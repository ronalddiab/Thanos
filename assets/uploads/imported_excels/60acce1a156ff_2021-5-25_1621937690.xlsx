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848"/>
  </bookViews>
  <sheets>
    <sheet name="TOTAL" sheetId="47" r:id="rId1"/>
    <sheet name="Daily HLP" sheetId="1" r:id="rId2"/>
    <sheet name="Water Report" sheetId="45" r:id="rId3"/>
    <sheet name="Section Load" sheetId="44" r:id="rId4"/>
    <sheet name="1" sheetId="2" r:id="rId5"/>
    <sheet name="2" sheetId="3" r:id="rId6"/>
    <sheet name="3" sheetId="4" r:id="rId7"/>
    <sheet name="4" sheetId="5" r:id="rId8"/>
    <sheet name="5" sheetId="33" r:id="rId9"/>
    <sheet name="6" sheetId="7" r:id="rId10"/>
    <sheet name="7" sheetId="8" r:id="rId11"/>
    <sheet name="8" sheetId="9" r:id="rId12"/>
    <sheet name="9" sheetId="10" r:id="rId13"/>
    <sheet name="10" sheetId="11" r:id="rId14"/>
    <sheet name="11" sheetId="12" r:id="rId15"/>
    <sheet name="12" sheetId="13" r:id="rId16"/>
    <sheet name="13" sheetId="14" r:id="rId17"/>
    <sheet name="14" sheetId="15" r:id="rId18"/>
    <sheet name="15" sheetId="16" r:id="rId19"/>
    <sheet name="16" sheetId="17" r:id="rId20"/>
    <sheet name="17" sheetId="18" r:id="rId21"/>
    <sheet name="18" sheetId="19" r:id="rId22"/>
    <sheet name="19" sheetId="20" r:id="rId23"/>
    <sheet name="20" sheetId="21" r:id="rId24"/>
    <sheet name="21" sheetId="22" r:id="rId25"/>
    <sheet name="22" sheetId="23" r:id="rId26"/>
    <sheet name="23" sheetId="24" r:id="rId27"/>
    <sheet name="24" sheetId="25" r:id="rId28"/>
    <sheet name="25" sheetId="40" r:id="rId29"/>
    <sheet name="26" sheetId="27" r:id="rId30"/>
    <sheet name="27" sheetId="28" r:id="rId31"/>
    <sheet name="28" sheetId="29" r:id="rId32"/>
    <sheet name="29" sheetId="30" r:id="rId33"/>
    <sheet name="30" sheetId="43" r:id="rId34"/>
    <sheet name="31" sheetId="31" r:id="rId35"/>
    <sheet name="Daily HLP (2)" sheetId="35" r:id="rId36"/>
    <sheet name="Sheet1" sheetId="41" r:id="rId37"/>
    <sheet name="Sheet2" sheetId="42" r:id="rId38"/>
    <sheet name="Sheet3" sheetId="46" r:id="rId39"/>
  </sheets>
  <externalReferences>
    <externalReference r:id="rId40"/>
    <externalReference r:id="rId41"/>
    <externalReference r:id="rId42"/>
    <externalReference r:id="rId43"/>
    <externalReference r:id="rId44"/>
  </externalReferences>
  <definedNames>
    <definedName name="_xlnm.Print_Area" localSheetId="4">'1'!$A$1:$M$171</definedName>
    <definedName name="_xlnm.Print_Area" localSheetId="13">'10'!$A$1:$M$200</definedName>
    <definedName name="_xlnm.Print_Area" localSheetId="16">'13'!$A$1:$P$172</definedName>
    <definedName name="_xlnm.Print_Area" localSheetId="17">'14'!$A$1:$J$175</definedName>
    <definedName name="_xlnm.Print_Area" localSheetId="18">'15'!$A$1:$J$175</definedName>
    <definedName name="_xlnm.Print_Area" localSheetId="19">'16'!$A$1:$J$175</definedName>
    <definedName name="_xlnm.Print_Area" localSheetId="20">'17'!$A$1:$J$175</definedName>
    <definedName name="_xlnm.Print_Area" localSheetId="21">'18'!$A$1:$J$176</definedName>
    <definedName name="_xlnm.Print_Area" localSheetId="22">'19'!$A$1:$J$175</definedName>
    <definedName name="_xlnm.Print_Area" localSheetId="23">'20'!$A$1:$J$175</definedName>
    <definedName name="_xlnm.Print_Area" localSheetId="24">'21'!$A$1:$J$175</definedName>
    <definedName name="_xlnm.Print_Area" localSheetId="25">'22'!$A$1:$J$153</definedName>
    <definedName name="_xlnm.Print_Area" localSheetId="26">'23'!$A$1:$J$153</definedName>
    <definedName name="_xlnm.Print_Area" localSheetId="27">'24'!$A$1:$J$153</definedName>
    <definedName name="_xlnm.Print_Area" localSheetId="28">'25'!$A$1:$J$153</definedName>
    <definedName name="_xlnm.Print_Area" localSheetId="29">'26'!$A$1:$J$153</definedName>
    <definedName name="_xlnm.Print_Area" localSheetId="30">'27'!$A$1:$J$153</definedName>
    <definedName name="_xlnm.Print_Area" localSheetId="31">'28'!$A$1:$J$153</definedName>
    <definedName name="_xlnm.Print_Area" localSheetId="32">'29'!$A$1:$M$172</definedName>
    <definedName name="_xlnm.Print_Area" localSheetId="33">'30'!$A$1:$J$172</definedName>
    <definedName name="_xlnm.Print_Area" localSheetId="34">'31'!$A$1:$J$172</definedName>
    <definedName name="_xlnm.Print_Area" localSheetId="7">'4'!$A$1:$J$153</definedName>
    <definedName name="_xlnm.Print_Area" localSheetId="9">'6'!$A$1:$J$153</definedName>
    <definedName name="_xlnm.Print_Area" localSheetId="10">'7'!$A$1:$J$153</definedName>
    <definedName name="_xlnm.Print_Area" localSheetId="11">'8'!$A$1:$J$153</definedName>
    <definedName name="_xlnm.Print_Area" localSheetId="12">'9'!$A$1:$J$153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7" l="1"/>
  <c r="K4" i="47"/>
  <c r="K5" i="47"/>
  <c r="K6" i="47"/>
  <c r="K7" i="47"/>
  <c r="K8" i="47"/>
  <c r="K9" i="47"/>
  <c r="K10" i="47"/>
  <c r="K11" i="47"/>
  <c r="K12" i="47"/>
  <c r="K13" i="47"/>
  <c r="K14" i="47"/>
  <c r="K15" i="47"/>
  <c r="K16" i="47"/>
  <c r="K17" i="47"/>
  <c r="K18" i="47"/>
  <c r="K19" i="47"/>
  <c r="K20" i="47"/>
  <c r="K21" i="47"/>
  <c r="K22" i="47"/>
  <c r="K23" i="47"/>
  <c r="K24" i="47"/>
  <c r="K25" i="47"/>
  <c r="K26" i="47"/>
  <c r="K27" i="47"/>
  <c r="K28" i="47"/>
  <c r="K29" i="47"/>
  <c r="K30" i="47"/>
  <c r="K31" i="47"/>
  <c r="K32" i="47"/>
  <c r="K2" i="47"/>
  <c r="I2" i="47"/>
  <c r="I3" i="47"/>
  <c r="I4" i="47"/>
  <c r="I5" i="47"/>
  <c r="I6" i="47"/>
  <c r="I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24" i="47"/>
  <c r="I25" i="47"/>
  <c r="I26" i="47"/>
  <c r="I27" i="47"/>
  <c r="I28" i="47"/>
  <c r="I29" i="47"/>
  <c r="I30" i="47"/>
  <c r="I31" i="47"/>
  <c r="I32" i="47"/>
  <c r="G3" i="47"/>
  <c r="G4" i="47"/>
  <c r="G5" i="47"/>
  <c r="G6" i="47"/>
  <c r="G7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2" i="47"/>
  <c r="E3" i="47"/>
  <c r="E4" i="47"/>
  <c r="E5" i="47"/>
  <c r="E6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2" i="47"/>
  <c r="AN35" i="1" l="1"/>
  <c r="U35" i="1"/>
  <c r="Q35" i="1"/>
  <c r="N35" i="1"/>
  <c r="BK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M34" i="1"/>
  <c r="AL34" i="1"/>
  <c r="AJ34" i="1"/>
  <c r="AI34" i="1"/>
  <c r="AH34" i="1"/>
  <c r="AK34" i="1" s="1"/>
  <c r="AD34" i="1"/>
  <c r="AC34" i="1"/>
  <c r="AB34" i="1"/>
  <c r="AA34" i="1"/>
  <c r="AE34" i="1" s="1"/>
  <c r="Y34" i="1"/>
  <c r="X34" i="1"/>
  <c r="W34" i="1"/>
  <c r="Z34" i="1" s="1"/>
  <c r="T34" i="1"/>
  <c r="V34" i="1" s="1"/>
  <c r="P34" i="1"/>
  <c r="M34" i="1"/>
  <c r="I34" i="1"/>
  <c r="H34" i="1"/>
  <c r="K34" i="1" s="1"/>
  <c r="G34" i="1"/>
  <c r="F34" i="1"/>
  <c r="E34" i="1"/>
  <c r="D34" i="1"/>
  <c r="F171" i="43"/>
  <c r="F170" i="43"/>
  <c r="F169" i="43"/>
  <c r="F168" i="43"/>
  <c r="F167" i="43"/>
  <c r="F166" i="43"/>
  <c r="F165" i="43"/>
  <c r="F164" i="43"/>
  <c r="E163" i="43"/>
  <c r="G163" i="43" s="1"/>
  <c r="E162" i="43"/>
  <c r="G162" i="43" s="1"/>
  <c r="E161" i="43"/>
  <c r="G161" i="43" s="1"/>
  <c r="E160" i="43"/>
  <c r="G160" i="43" s="1"/>
  <c r="E140" i="43"/>
  <c r="G140" i="43" s="1"/>
  <c r="E139" i="43"/>
  <c r="G139" i="43" s="1"/>
  <c r="E138" i="43"/>
  <c r="G138" i="43" s="1"/>
  <c r="H138" i="43" s="1"/>
  <c r="J138" i="43" s="1"/>
  <c r="E137" i="43"/>
  <c r="G137" i="43" s="1"/>
  <c r="E136" i="43"/>
  <c r="G136" i="43" s="1"/>
  <c r="E135" i="43"/>
  <c r="G135" i="43" s="1"/>
  <c r="H135" i="43" s="1"/>
  <c r="J135" i="43" s="1"/>
  <c r="E134" i="43"/>
  <c r="G134" i="43" s="1"/>
  <c r="E133" i="43"/>
  <c r="G133" i="43" s="1"/>
  <c r="E132" i="43"/>
  <c r="G132" i="43" s="1"/>
  <c r="E131" i="43"/>
  <c r="G131" i="43" s="1"/>
  <c r="E130" i="43"/>
  <c r="G130" i="43" s="1"/>
  <c r="I133" i="43" s="1"/>
  <c r="E127" i="43"/>
  <c r="G127" i="43" s="1"/>
  <c r="E126" i="43"/>
  <c r="G126" i="43" s="1"/>
  <c r="E125" i="43"/>
  <c r="G125" i="43" s="1"/>
  <c r="E124" i="43"/>
  <c r="G124" i="43" s="1"/>
  <c r="E123" i="43"/>
  <c r="G123" i="43" s="1"/>
  <c r="G116" i="43"/>
  <c r="H116" i="43" s="1"/>
  <c r="J116" i="43" s="1"/>
  <c r="E115" i="43"/>
  <c r="G115" i="43" s="1"/>
  <c r="H115" i="43" s="1"/>
  <c r="J115" i="43" s="1"/>
  <c r="E114" i="43"/>
  <c r="G114" i="43" s="1"/>
  <c r="J113" i="43"/>
  <c r="E113" i="43"/>
  <c r="E112" i="43"/>
  <c r="E111" i="43"/>
  <c r="G111" i="43" s="1"/>
  <c r="H111" i="43" s="1"/>
  <c r="J111" i="43" s="1"/>
  <c r="E110" i="43"/>
  <c r="G110" i="43" s="1"/>
  <c r="H110" i="43" s="1"/>
  <c r="J110" i="43" s="1"/>
  <c r="E109" i="43"/>
  <c r="G109" i="43" s="1"/>
  <c r="E108" i="43"/>
  <c r="E107" i="43"/>
  <c r="E106" i="43"/>
  <c r="G106" i="43" s="1"/>
  <c r="H106" i="43" s="1"/>
  <c r="J106" i="43" s="1"/>
  <c r="E105" i="43"/>
  <c r="G105" i="43" s="1"/>
  <c r="H105" i="43" s="1"/>
  <c r="J105" i="43" s="1"/>
  <c r="E104" i="43"/>
  <c r="G104" i="43" s="1"/>
  <c r="E100" i="43"/>
  <c r="G100" i="43" s="1"/>
  <c r="E99" i="43"/>
  <c r="G99" i="43" s="1"/>
  <c r="E98" i="43"/>
  <c r="G98" i="43" s="1"/>
  <c r="E97" i="43"/>
  <c r="G97" i="43" s="1"/>
  <c r="E96" i="43"/>
  <c r="G96" i="43" s="1"/>
  <c r="E95" i="43"/>
  <c r="G95" i="43" s="1"/>
  <c r="E93" i="43"/>
  <c r="G93" i="43" s="1"/>
  <c r="E92" i="43"/>
  <c r="G92" i="43" s="1"/>
  <c r="E90" i="43"/>
  <c r="G90" i="43" s="1"/>
  <c r="H90" i="43" s="1"/>
  <c r="J90" i="43" s="1"/>
  <c r="E89" i="43"/>
  <c r="G89" i="43" s="1"/>
  <c r="H89" i="43" s="1"/>
  <c r="J89" i="43" s="1"/>
  <c r="E88" i="43"/>
  <c r="G88" i="43" s="1"/>
  <c r="H88" i="43" s="1"/>
  <c r="J88" i="43" s="1"/>
  <c r="E87" i="43"/>
  <c r="G87" i="43" s="1"/>
  <c r="H87" i="43" s="1"/>
  <c r="J87" i="43" s="1"/>
  <c r="E86" i="43"/>
  <c r="G86" i="43" s="1"/>
  <c r="H86" i="43" s="1"/>
  <c r="J86" i="43" s="1"/>
  <c r="E85" i="43"/>
  <c r="E84" i="43"/>
  <c r="G84" i="43" s="1"/>
  <c r="E83" i="43"/>
  <c r="G83" i="43" s="1"/>
  <c r="E82" i="43"/>
  <c r="G82" i="43" s="1"/>
  <c r="E81" i="43"/>
  <c r="G81" i="43" s="1"/>
  <c r="E80" i="43"/>
  <c r="G80" i="43" s="1"/>
  <c r="E79" i="43"/>
  <c r="G79" i="43" s="1"/>
  <c r="E78" i="43"/>
  <c r="G78" i="43" s="1"/>
  <c r="E77" i="43"/>
  <c r="G77" i="43" s="1"/>
  <c r="E76" i="43"/>
  <c r="G76" i="43" s="1"/>
  <c r="E75" i="43"/>
  <c r="G75" i="43" s="1"/>
  <c r="E74" i="43"/>
  <c r="G74" i="43" s="1"/>
  <c r="E73" i="43"/>
  <c r="G73" i="43" s="1"/>
  <c r="E72" i="43"/>
  <c r="G72" i="43" s="1"/>
  <c r="H70" i="43"/>
  <c r="E69" i="43"/>
  <c r="G69" i="43" s="1"/>
  <c r="E68" i="43"/>
  <c r="E67" i="43"/>
  <c r="E169" i="43" s="1"/>
  <c r="G169" i="43" s="1"/>
  <c r="E66" i="43"/>
  <c r="E168" i="43" s="1"/>
  <c r="E65" i="43"/>
  <c r="G65" i="43" s="1"/>
  <c r="E64" i="43"/>
  <c r="G64" i="43" s="1"/>
  <c r="E63" i="43"/>
  <c r="E62" i="43"/>
  <c r="E164" i="43" s="1"/>
  <c r="G164" i="43" s="1"/>
  <c r="E58" i="43"/>
  <c r="G58" i="43" s="1"/>
  <c r="E57" i="43"/>
  <c r="G57" i="43" s="1"/>
  <c r="E56" i="43"/>
  <c r="G56" i="43" s="1"/>
  <c r="E55" i="43"/>
  <c r="G55" i="43" s="1"/>
  <c r="E54" i="43"/>
  <c r="G54" i="43" s="1"/>
  <c r="E53" i="43"/>
  <c r="G53" i="43" s="1"/>
  <c r="E52" i="43"/>
  <c r="G52" i="43" s="1"/>
  <c r="E51" i="43"/>
  <c r="G51" i="43" s="1"/>
  <c r="E50" i="43"/>
  <c r="G50" i="43" s="1"/>
  <c r="E49" i="43"/>
  <c r="G49" i="43" s="1"/>
  <c r="N47" i="43"/>
  <c r="N46" i="43"/>
  <c r="E46" i="43"/>
  <c r="G46" i="43" s="1"/>
  <c r="N45" i="43"/>
  <c r="E45" i="43"/>
  <c r="G45" i="43" s="1"/>
  <c r="N44" i="43"/>
  <c r="E44" i="43"/>
  <c r="G44" i="43" s="1"/>
  <c r="N43" i="43"/>
  <c r="E43" i="43"/>
  <c r="G43" i="43" s="1"/>
  <c r="N42" i="43"/>
  <c r="E42" i="43"/>
  <c r="G42" i="43" s="1"/>
  <c r="N41" i="43"/>
  <c r="E41" i="43"/>
  <c r="G41" i="43" s="1"/>
  <c r="N40" i="43"/>
  <c r="E40" i="43"/>
  <c r="G40" i="43" s="1"/>
  <c r="N39" i="43"/>
  <c r="E39" i="43"/>
  <c r="G39" i="43" s="1"/>
  <c r="E38" i="43"/>
  <c r="G38" i="43" s="1"/>
  <c r="G148" i="43" s="1"/>
  <c r="N37" i="43"/>
  <c r="E37" i="43"/>
  <c r="G37" i="43" s="1"/>
  <c r="N36" i="43"/>
  <c r="E36" i="43"/>
  <c r="G36" i="43" s="1"/>
  <c r="N35" i="43"/>
  <c r="E35" i="43"/>
  <c r="G35" i="43" s="1"/>
  <c r="E29" i="43"/>
  <c r="G29" i="43" s="1"/>
  <c r="N26" i="43"/>
  <c r="N25" i="43"/>
  <c r="N24" i="43"/>
  <c r="H24" i="43"/>
  <c r="J24" i="43" s="1"/>
  <c r="N23" i="43"/>
  <c r="N22" i="43"/>
  <c r="G22" i="43"/>
  <c r="H22" i="43" s="1"/>
  <c r="J22" i="43" s="1"/>
  <c r="N21" i="43"/>
  <c r="N20" i="43"/>
  <c r="N19" i="43"/>
  <c r="E19" i="43"/>
  <c r="G19" i="43" s="1"/>
  <c r="N18" i="43"/>
  <c r="I18" i="43"/>
  <c r="G18" i="43"/>
  <c r="E31" i="43" s="1"/>
  <c r="G31" i="43" s="1"/>
  <c r="E18" i="43"/>
  <c r="N17" i="43"/>
  <c r="N16" i="43"/>
  <c r="N15" i="43"/>
  <c r="I15" i="43"/>
  <c r="E15" i="43"/>
  <c r="G15" i="43" s="1"/>
  <c r="N14" i="43"/>
  <c r="N13" i="43"/>
  <c r="N12" i="43"/>
  <c r="E12" i="43"/>
  <c r="G12" i="43" s="1"/>
  <c r="N11" i="43"/>
  <c r="E11" i="43"/>
  <c r="G11" i="43" s="1"/>
  <c r="N10" i="43"/>
  <c r="E10" i="43"/>
  <c r="G10" i="43" s="1"/>
  <c r="N9" i="43"/>
  <c r="K9" i="43"/>
  <c r="E9" i="43"/>
  <c r="G9" i="43" s="1"/>
  <c r="N8" i="43"/>
  <c r="M8" i="43"/>
  <c r="E8" i="43"/>
  <c r="G8" i="43" s="1"/>
  <c r="N7" i="43"/>
  <c r="I7" i="43"/>
  <c r="E7" i="43"/>
  <c r="G7" i="43" s="1"/>
  <c r="F171" i="30"/>
  <c r="F170" i="30"/>
  <c r="F169" i="30"/>
  <c r="F168" i="30"/>
  <c r="F167" i="30"/>
  <c r="F166" i="30"/>
  <c r="F165" i="30"/>
  <c r="F164" i="30"/>
  <c r="E163" i="30"/>
  <c r="G163" i="30" s="1"/>
  <c r="E162" i="30"/>
  <c r="G162" i="30" s="1"/>
  <c r="E161" i="30"/>
  <c r="G161" i="30" s="1"/>
  <c r="E160" i="30"/>
  <c r="G160" i="30" s="1"/>
  <c r="E140" i="30"/>
  <c r="G140" i="30" s="1"/>
  <c r="E139" i="30"/>
  <c r="G139" i="30" s="1"/>
  <c r="E138" i="30"/>
  <c r="G138" i="30" s="1"/>
  <c r="H138" i="30" s="1"/>
  <c r="J138" i="30" s="1"/>
  <c r="E137" i="30"/>
  <c r="G137" i="30" s="1"/>
  <c r="H137" i="30" s="1"/>
  <c r="J137" i="30" s="1"/>
  <c r="E136" i="30"/>
  <c r="G136" i="30" s="1"/>
  <c r="E135" i="30"/>
  <c r="G135" i="30" s="1"/>
  <c r="H135" i="30" s="1"/>
  <c r="J135" i="30" s="1"/>
  <c r="E134" i="30"/>
  <c r="G134" i="30" s="1"/>
  <c r="E133" i="30"/>
  <c r="G133" i="30" s="1"/>
  <c r="E132" i="30"/>
  <c r="G132" i="30" s="1"/>
  <c r="E131" i="30"/>
  <c r="G131" i="30" s="1"/>
  <c r="E130" i="30"/>
  <c r="G130" i="30" s="1"/>
  <c r="E127" i="30"/>
  <c r="G127" i="30" s="1"/>
  <c r="E126" i="30"/>
  <c r="G126" i="30" s="1"/>
  <c r="E125" i="30"/>
  <c r="G125" i="30" s="1"/>
  <c r="E124" i="30"/>
  <c r="G124" i="30" s="1"/>
  <c r="E123" i="30"/>
  <c r="G123" i="30" s="1"/>
  <c r="G116" i="30"/>
  <c r="H116" i="30" s="1"/>
  <c r="J116" i="30" s="1"/>
  <c r="E115" i="30"/>
  <c r="G115" i="30" s="1"/>
  <c r="H115" i="30" s="1"/>
  <c r="J115" i="30" s="1"/>
  <c r="E114" i="30"/>
  <c r="G114" i="30" s="1"/>
  <c r="J113" i="30"/>
  <c r="E113" i="30"/>
  <c r="E112" i="30"/>
  <c r="E111" i="30"/>
  <c r="G111" i="30" s="1"/>
  <c r="H111" i="30" s="1"/>
  <c r="J111" i="30" s="1"/>
  <c r="E110" i="30"/>
  <c r="G110" i="30" s="1"/>
  <c r="H110" i="30" s="1"/>
  <c r="J110" i="30" s="1"/>
  <c r="E109" i="30"/>
  <c r="G109" i="30" s="1"/>
  <c r="E108" i="30"/>
  <c r="E107" i="30"/>
  <c r="E106" i="30"/>
  <c r="G106" i="30" s="1"/>
  <c r="H106" i="30" s="1"/>
  <c r="J106" i="30" s="1"/>
  <c r="E105" i="30"/>
  <c r="G105" i="30" s="1"/>
  <c r="H105" i="30" s="1"/>
  <c r="J105" i="30" s="1"/>
  <c r="E104" i="30"/>
  <c r="G104" i="30" s="1"/>
  <c r="H104" i="30" s="1"/>
  <c r="J104" i="30" s="1"/>
  <c r="E100" i="30"/>
  <c r="G100" i="30" s="1"/>
  <c r="E99" i="30"/>
  <c r="G99" i="30" s="1"/>
  <c r="E98" i="30"/>
  <c r="G98" i="30" s="1"/>
  <c r="E97" i="30"/>
  <c r="G97" i="30" s="1"/>
  <c r="E96" i="30"/>
  <c r="G96" i="30" s="1"/>
  <c r="E95" i="30"/>
  <c r="G95" i="30" s="1"/>
  <c r="E93" i="30"/>
  <c r="G93" i="30" s="1"/>
  <c r="E92" i="30"/>
  <c r="G92" i="30" s="1"/>
  <c r="E90" i="30"/>
  <c r="G90" i="30" s="1"/>
  <c r="H90" i="30" s="1"/>
  <c r="J90" i="30" s="1"/>
  <c r="E89" i="30"/>
  <c r="G89" i="30" s="1"/>
  <c r="H89" i="30" s="1"/>
  <c r="J89" i="30" s="1"/>
  <c r="N88" i="30"/>
  <c r="E88" i="30"/>
  <c r="G88" i="30" s="1"/>
  <c r="H88" i="30" s="1"/>
  <c r="J88" i="30" s="1"/>
  <c r="E87" i="30"/>
  <c r="G87" i="30" s="1"/>
  <c r="H87" i="30" s="1"/>
  <c r="J87" i="30" s="1"/>
  <c r="E86" i="30"/>
  <c r="G86" i="30" s="1"/>
  <c r="H86" i="30" s="1"/>
  <c r="J86" i="30" s="1"/>
  <c r="E85" i="30"/>
  <c r="E84" i="30"/>
  <c r="G84" i="30" s="1"/>
  <c r="E83" i="30"/>
  <c r="G83" i="30" s="1"/>
  <c r="E82" i="30"/>
  <c r="G82" i="30" s="1"/>
  <c r="E81" i="30"/>
  <c r="G81" i="30" s="1"/>
  <c r="E80" i="30"/>
  <c r="G80" i="30" s="1"/>
  <c r="E79" i="30"/>
  <c r="G79" i="30" s="1"/>
  <c r="E78" i="30"/>
  <c r="G78" i="30" s="1"/>
  <c r="E77" i="30"/>
  <c r="G77" i="30" s="1"/>
  <c r="E76" i="30"/>
  <c r="G76" i="30" s="1"/>
  <c r="E75" i="30"/>
  <c r="G75" i="30" s="1"/>
  <c r="E74" i="30"/>
  <c r="G74" i="30" s="1"/>
  <c r="E73" i="30"/>
  <c r="G73" i="30" s="1"/>
  <c r="E72" i="30"/>
  <c r="G72" i="30" s="1"/>
  <c r="H70" i="30"/>
  <c r="E69" i="30"/>
  <c r="E68" i="30"/>
  <c r="E67" i="30"/>
  <c r="E66" i="30"/>
  <c r="E168" i="30" s="1"/>
  <c r="E65" i="30"/>
  <c r="E64" i="30"/>
  <c r="E166" i="30" s="1"/>
  <c r="G166" i="30" s="1"/>
  <c r="E63" i="30"/>
  <c r="E165" i="30" s="1"/>
  <c r="G165" i="30" s="1"/>
  <c r="E62" i="30"/>
  <c r="O59" i="30"/>
  <c r="E58" i="30"/>
  <c r="G58" i="30" s="1"/>
  <c r="E57" i="30"/>
  <c r="G57" i="30" s="1"/>
  <c r="E56" i="30"/>
  <c r="G56" i="30" s="1"/>
  <c r="E55" i="30"/>
  <c r="G55" i="30" s="1"/>
  <c r="E54" i="30"/>
  <c r="G54" i="30" s="1"/>
  <c r="E53" i="30"/>
  <c r="G53" i="30" s="1"/>
  <c r="E52" i="30"/>
  <c r="G52" i="30" s="1"/>
  <c r="E51" i="30"/>
  <c r="G51" i="30" s="1"/>
  <c r="E50" i="30"/>
  <c r="G50" i="30" s="1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G37" i="30" s="1"/>
  <c r="E36" i="30"/>
  <c r="G36" i="30" s="1"/>
  <c r="E35" i="30"/>
  <c r="G35" i="30" s="1"/>
  <c r="E29" i="30"/>
  <c r="G29" i="30" s="1"/>
  <c r="H24" i="30"/>
  <c r="J24" i="30" s="1"/>
  <c r="E24" i="30"/>
  <c r="E23" i="30"/>
  <c r="E22" i="30"/>
  <c r="G22" i="30" s="1"/>
  <c r="H22" i="30" s="1"/>
  <c r="J22" i="30" s="1"/>
  <c r="E19" i="30"/>
  <c r="G19" i="30" s="1"/>
  <c r="I18" i="30"/>
  <c r="G18" i="30"/>
  <c r="E31" i="30" s="1"/>
  <c r="G31" i="30" s="1"/>
  <c r="E18" i="30"/>
  <c r="I15" i="30"/>
  <c r="E15" i="30"/>
  <c r="G15" i="30" s="1"/>
  <c r="E12" i="30"/>
  <c r="G12" i="30" s="1"/>
  <c r="E11" i="30"/>
  <c r="G11" i="30" s="1"/>
  <c r="E10" i="30"/>
  <c r="G10" i="30" s="1"/>
  <c r="E9" i="30"/>
  <c r="G9" i="30" s="1"/>
  <c r="E8" i="30"/>
  <c r="G8" i="30" s="1"/>
  <c r="I7" i="30"/>
  <c r="E7" i="30"/>
  <c r="G7" i="30" s="1"/>
  <c r="F171" i="29"/>
  <c r="F170" i="29"/>
  <c r="F169" i="29"/>
  <c r="F168" i="29"/>
  <c r="F167" i="29"/>
  <c r="F166" i="29"/>
  <c r="F165" i="29"/>
  <c r="F164" i="29"/>
  <c r="E163" i="29"/>
  <c r="G163" i="29" s="1"/>
  <c r="E162" i="29"/>
  <c r="G162" i="29" s="1"/>
  <c r="E161" i="29"/>
  <c r="G161" i="29" s="1"/>
  <c r="E160" i="29"/>
  <c r="G160" i="29" s="1"/>
  <c r="E140" i="29"/>
  <c r="G140" i="29" s="1"/>
  <c r="E139" i="29"/>
  <c r="G139" i="29" s="1"/>
  <c r="E138" i="29"/>
  <c r="G138" i="29" s="1"/>
  <c r="H138" i="29" s="1"/>
  <c r="J138" i="29" s="1"/>
  <c r="E137" i="29"/>
  <c r="G137" i="29" s="1"/>
  <c r="E136" i="29"/>
  <c r="G136" i="29" s="1"/>
  <c r="E135" i="29"/>
  <c r="G135" i="29" s="1"/>
  <c r="H135" i="29" s="1"/>
  <c r="J135" i="29" s="1"/>
  <c r="E134" i="29"/>
  <c r="G134" i="29" s="1"/>
  <c r="E133" i="29"/>
  <c r="G133" i="29" s="1"/>
  <c r="E132" i="29"/>
  <c r="G132" i="29" s="1"/>
  <c r="E131" i="29"/>
  <c r="G131" i="29" s="1"/>
  <c r="E130" i="29"/>
  <c r="G130" i="29" s="1"/>
  <c r="N128" i="29"/>
  <c r="N127" i="29"/>
  <c r="E127" i="29"/>
  <c r="G127" i="29" s="1"/>
  <c r="N126" i="29"/>
  <c r="E126" i="29"/>
  <c r="G126" i="29" s="1"/>
  <c r="N125" i="29"/>
  <c r="E125" i="29"/>
  <c r="G125" i="29" s="1"/>
  <c r="N124" i="29"/>
  <c r="E124" i="29"/>
  <c r="G124" i="29" s="1"/>
  <c r="N123" i="29"/>
  <c r="E123" i="29"/>
  <c r="G123" i="29" s="1"/>
  <c r="N122" i="29"/>
  <c r="N121" i="29"/>
  <c r="N117" i="29"/>
  <c r="N116" i="29"/>
  <c r="G116" i="29"/>
  <c r="H116" i="29" s="1"/>
  <c r="J116" i="29" s="1"/>
  <c r="N115" i="29"/>
  <c r="E115" i="29"/>
  <c r="G115" i="29" s="1"/>
  <c r="H115" i="29" s="1"/>
  <c r="J115" i="29" s="1"/>
  <c r="N114" i="29"/>
  <c r="E114" i="29"/>
  <c r="G114" i="29" s="1"/>
  <c r="N113" i="29"/>
  <c r="J113" i="29"/>
  <c r="E113" i="29"/>
  <c r="N112" i="29"/>
  <c r="E112" i="29"/>
  <c r="N111" i="29"/>
  <c r="E111" i="29"/>
  <c r="G111" i="29" s="1"/>
  <c r="H111" i="29" s="1"/>
  <c r="J111" i="29" s="1"/>
  <c r="N110" i="29"/>
  <c r="E110" i="29"/>
  <c r="G110" i="29" s="1"/>
  <c r="H110" i="29" s="1"/>
  <c r="J110" i="29" s="1"/>
  <c r="N109" i="29"/>
  <c r="E109" i="29"/>
  <c r="G109" i="29" s="1"/>
  <c r="H109" i="29" s="1"/>
  <c r="J109" i="29" s="1"/>
  <c r="N108" i="29"/>
  <c r="E108" i="29"/>
  <c r="N107" i="29"/>
  <c r="E107" i="29"/>
  <c r="N106" i="29"/>
  <c r="E106" i="29"/>
  <c r="G106" i="29" s="1"/>
  <c r="H106" i="29" s="1"/>
  <c r="J106" i="29" s="1"/>
  <c r="N105" i="29"/>
  <c r="E105" i="29"/>
  <c r="G105" i="29" s="1"/>
  <c r="H105" i="29" s="1"/>
  <c r="J105" i="29" s="1"/>
  <c r="N104" i="29"/>
  <c r="E104" i="29"/>
  <c r="G104" i="29" s="1"/>
  <c r="N103" i="29"/>
  <c r="N102" i="29"/>
  <c r="N101" i="29"/>
  <c r="N100" i="29"/>
  <c r="E100" i="29"/>
  <c r="G100" i="29" s="1"/>
  <c r="N99" i="29"/>
  <c r="E99" i="29"/>
  <c r="G99" i="29" s="1"/>
  <c r="N98" i="29"/>
  <c r="E98" i="29"/>
  <c r="G98" i="29" s="1"/>
  <c r="N97" i="29"/>
  <c r="E97" i="29"/>
  <c r="G97" i="29" s="1"/>
  <c r="N96" i="29"/>
  <c r="E96" i="29"/>
  <c r="G96" i="29" s="1"/>
  <c r="N95" i="29"/>
  <c r="E95" i="29"/>
  <c r="G95" i="29" s="1"/>
  <c r="N94" i="29"/>
  <c r="E94" i="29"/>
  <c r="N93" i="29"/>
  <c r="E93" i="29"/>
  <c r="G93" i="29" s="1"/>
  <c r="N92" i="29"/>
  <c r="E92" i="29"/>
  <c r="G92" i="29" s="1"/>
  <c r="N91" i="29"/>
  <c r="N90" i="29"/>
  <c r="E90" i="29"/>
  <c r="G90" i="29" s="1"/>
  <c r="H90" i="29" s="1"/>
  <c r="J90" i="29" s="1"/>
  <c r="N89" i="29"/>
  <c r="E89" i="29"/>
  <c r="G89" i="29" s="1"/>
  <c r="H89" i="29" s="1"/>
  <c r="J89" i="29" s="1"/>
  <c r="N88" i="29"/>
  <c r="E88" i="29"/>
  <c r="G88" i="29" s="1"/>
  <c r="H88" i="29" s="1"/>
  <c r="J88" i="29" s="1"/>
  <c r="N87" i="29"/>
  <c r="E87" i="29"/>
  <c r="G87" i="29" s="1"/>
  <c r="H87" i="29" s="1"/>
  <c r="J87" i="29" s="1"/>
  <c r="N86" i="29"/>
  <c r="E86" i="29"/>
  <c r="G86" i="29" s="1"/>
  <c r="H86" i="29" s="1"/>
  <c r="J86" i="29" s="1"/>
  <c r="N85" i="29"/>
  <c r="E85" i="29"/>
  <c r="N84" i="29"/>
  <c r="E84" i="29"/>
  <c r="G84" i="29" s="1"/>
  <c r="N83" i="29"/>
  <c r="E83" i="29"/>
  <c r="G83" i="29" s="1"/>
  <c r="N82" i="29"/>
  <c r="E82" i="29"/>
  <c r="G82" i="29" s="1"/>
  <c r="N81" i="29"/>
  <c r="E81" i="29"/>
  <c r="G81" i="29" s="1"/>
  <c r="N80" i="29"/>
  <c r="E80" i="29"/>
  <c r="G80" i="29" s="1"/>
  <c r="N79" i="29"/>
  <c r="E79" i="29"/>
  <c r="G79" i="29" s="1"/>
  <c r="N78" i="29"/>
  <c r="E78" i="29"/>
  <c r="G78" i="29" s="1"/>
  <c r="N77" i="29"/>
  <c r="E77" i="29"/>
  <c r="G77" i="29" s="1"/>
  <c r="N76" i="29"/>
  <c r="E76" i="29"/>
  <c r="G76" i="29" s="1"/>
  <c r="N75" i="29"/>
  <c r="E75" i="29"/>
  <c r="G75" i="29" s="1"/>
  <c r="N74" i="29"/>
  <c r="E74" i="29"/>
  <c r="G74" i="29" s="1"/>
  <c r="N73" i="29"/>
  <c r="E73" i="29"/>
  <c r="G73" i="29" s="1"/>
  <c r="N72" i="29"/>
  <c r="E72" i="29"/>
  <c r="G72" i="29" s="1"/>
  <c r="N71" i="29"/>
  <c r="N70" i="29"/>
  <c r="H70" i="29"/>
  <c r="N69" i="29"/>
  <c r="E69" i="29"/>
  <c r="E171" i="29" s="1"/>
  <c r="N68" i="29"/>
  <c r="E68" i="29"/>
  <c r="E170" i="29" s="1"/>
  <c r="N67" i="29"/>
  <c r="E67" i="29"/>
  <c r="G67" i="29" s="1"/>
  <c r="N66" i="29"/>
  <c r="E66" i="29"/>
  <c r="N65" i="29"/>
  <c r="E65" i="29"/>
  <c r="E167" i="29" s="1"/>
  <c r="N64" i="29"/>
  <c r="E64" i="29"/>
  <c r="E166" i="29" s="1"/>
  <c r="N63" i="29"/>
  <c r="E63" i="29"/>
  <c r="N62" i="29"/>
  <c r="E62" i="29"/>
  <c r="N61" i="29"/>
  <c r="N60" i="29"/>
  <c r="N59" i="29"/>
  <c r="N58" i="29"/>
  <c r="E58" i="29"/>
  <c r="G58" i="29" s="1"/>
  <c r="N57" i="29"/>
  <c r="E57" i="29"/>
  <c r="G57" i="29" s="1"/>
  <c r="N56" i="29"/>
  <c r="E56" i="29"/>
  <c r="G56" i="29" s="1"/>
  <c r="N55" i="29"/>
  <c r="E55" i="29"/>
  <c r="G55" i="29" s="1"/>
  <c r="N54" i="29"/>
  <c r="E54" i="29"/>
  <c r="G54" i="29" s="1"/>
  <c r="N53" i="29"/>
  <c r="E53" i="29"/>
  <c r="G53" i="29" s="1"/>
  <c r="N52" i="29"/>
  <c r="E52" i="29"/>
  <c r="G52" i="29" s="1"/>
  <c r="N51" i="29"/>
  <c r="E51" i="29"/>
  <c r="G51" i="29" s="1"/>
  <c r="N50" i="29"/>
  <c r="E50" i="29"/>
  <c r="G50" i="29" s="1"/>
  <c r="N49" i="29"/>
  <c r="E49" i="29"/>
  <c r="G49" i="29" s="1"/>
  <c r="N48" i="29"/>
  <c r="N47" i="29"/>
  <c r="N46" i="29"/>
  <c r="E46" i="29"/>
  <c r="G46" i="29" s="1"/>
  <c r="N45" i="29"/>
  <c r="E45" i="29"/>
  <c r="G45" i="29" s="1"/>
  <c r="N44" i="29"/>
  <c r="E44" i="29"/>
  <c r="G44" i="29" s="1"/>
  <c r="N43" i="29"/>
  <c r="E43" i="29"/>
  <c r="G43" i="29" s="1"/>
  <c r="N42" i="29"/>
  <c r="E42" i="29"/>
  <c r="G42" i="29" s="1"/>
  <c r="N41" i="29"/>
  <c r="E41" i="29"/>
  <c r="G41" i="29" s="1"/>
  <c r="N40" i="29"/>
  <c r="E40" i="29"/>
  <c r="G40" i="29" s="1"/>
  <c r="N39" i="29"/>
  <c r="E39" i="29"/>
  <c r="G39" i="29" s="1"/>
  <c r="N38" i="29"/>
  <c r="E38" i="29"/>
  <c r="G38" i="29" s="1"/>
  <c r="N37" i="29"/>
  <c r="E37" i="29"/>
  <c r="G37" i="29" s="1"/>
  <c r="N36" i="29"/>
  <c r="E36" i="29"/>
  <c r="G36" i="29" s="1"/>
  <c r="N35" i="29"/>
  <c r="E35" i="29"/>
  <c r="G35" i="29" s="1"/>
  <c r="N34" i="29"/>
  <c r="N33" i="29"/>
  <c r="N32" i="29"/>
  <c r="N31" i="29"/>
  <c r="N30" i="29"/>
  <c r="N29" i="29"/>
  <c r="E29" i="29"/>
  <c r="G29" i="29" s="1"/>
  <c r="N28" i="29"/>
  <c r="N27" i="29"/>
  <c r="N26" i="29"/>
  <c r="N25" i="29"/>
  <c r="N24" i="29"/>
  <c r="H24" i="29"/>
  <c r="J24" i="29" s="1"/>
  <c r="E24" i="29"/>
  <c r="N23" i="29"/>
  <c r="E23" i="29"/>
  <c r="N22" i="29"/>
  <c r="E22" i="29"/>
  <c r="G22" i="29" s="1"/>
  <c r="H22" i="29" s="1"/>
  <c r="J22" i="29" s="1"/>
  <c r="N21" i="29"/>
  <c r="N20" i="29"/>
  <c r="N19" i="29"/>
  <c r="E19" i="29"/>
  <c r="G19" i="29" s="1"/>
  <c r="N18" i="29"/>
  <c r="I18" i="29"/>
  <c r="G18" i="29"/>
  <c r="E31" i="29" s="1"/>
  <c r="G31" i="29" s="1"/>
  <c r="E18" i="29"/>
  <c r="N17" i="29"/>
  <c r="N16" i="29"/>
  <c r="N15" i="29"/>
  <c r="E15" i="29"/>
  <c r="G15" i="29" s="1"/>
  <c r="N14" i="29"/>
  <c r="N13" i="29"/>
  <c r="N12" i="29"/>
  <c r="E12" i="29"/>
  <c r="G12" i="29" s="1"/>
  <c r="N11" i="29"/>
  <c r="E11" i="29"/>
  <c r="G11" i="29" s="1"/>
  <c r="N10" i="29"/>
  <c r="M10" i="29"/>
  <c r="E10" i="29"/>
  <c r="G10" i="29" s="1"/>
  <c r="N9" i="29"/>
  <c r="E9" i="29"/>
  <c r="G9" i="29" s="1"/>
  <c r="N8" i="29"/>
  <c r="I8" i="29"/>
  <c r="E8" i="29"/>
  <c r="G8" i="29" s="1"/>
  <c r="N7" i="29"/>
  <c r="I7" i="29"/>
  <c r="E7" i="29"/>
  <c r="G7" i="29" s="1"/>
  <c r="F171" i="28"/>
  <c r="F170" i="28"/>
  <c r="F169" i="28"/>
  <c r="F168" i="28"/>
  <c r="F167" i="28"/>
  <c r="F166" i="28"/>
  <c r="F165" i="28"/>
  <c r="F164" i="28"/>
  <c r="E163" i="28"/>
  <c r="G163" i="28" s="1"/>
  <c r="E162" i="28"/>
  <c r="G162" i="28" s="1"/>
  <c r="E161" i="28"/>
  <c r="G161" i="28" s="1"/>
  <c r="E160" i="28"/>
  <c r="G160" i="28" s="1"/>
  <c r="E140" i="28"/>
  <c r="G140" i="28" s="1"/>
  <c r="E139" i="28"/>
  <c r="G139" i="28" s="1"/>
  <c r="E138" i="28"/>
  <c r="G138" i="28" s="1"/>
  <c r="H138" i="28" s="1"/>
  <c r="J138" i="28" s="1"/>
  <c r="E137" i="28"/>
  <c r="G137" i="28" s="1"/>
  <c r="E136" i="28"/>
  <c r="G136" i="28" s="1"/>
  <c r="E135" i="28"/>
  <c r="G135" i="28" s="1"/>
  <c r="H135" i="28" s="1"/>
  <c r="J135" i="28" s="1"/>
  <c r="E134" i="28"/>
  <c r="G134" i="28" s="1"/>
  <c r="H134" i="28" s="1"/>
  <c r="J134" i="28" s="1"/>
  <c r="E133" i="28"/>
  <c r="G133" i="28" s="1"/>
  <c r="E132" i="28"/>
  <c r="G132" i="28" s="1"/>
  <c r="E131" i="28"/>
  <c r="G131" i="28" s="1"/>
  <c r="E130" i="28"/>
  <c r="G130" i="28" s="1"/>
  <c r="I133" i="28" s="1"/>
  <c r="E127" i="28"/>
  <c r="G127" i="28" s="1"/>
  <c r="E126" i="28"/>
  <c r="G126" i="28" s="1"/>
  <c r="E125" i="28"/>
  <c r="G125" i="28" s="1"/>
  <c r="E124" i="28"/>
  <c r="G124" i="28" s="1"/>
  <c r="E123" i="28"/>
  <c r="G123" i="28" s="1"/>
  <c r="I123" i="28" s="1"/>
  <c r="G116" i="28"/>
  <c r="H116" i="28" s="1"/>
  <c r="J116" i="28" s="1"/>
  <c r="E115" i="28"/>
  <c r="G115" i="28" s="1"/>
  <c r="H115" i="28" s="1"/>
  <c r="J115" i="28" s="1"/>
  <c r="E114" i="28"/>
  <c r="G114" i="28" s="1"/>
  <c r="H114" i="28" s="1"/>
  <c r="J114" i="28" s="1"/>
  <c r="J113" i="28"/>
  <c r="E113" i="28"/>
  <c r="E112" i="28"/>
  <c r="E111" i="28"/>
  <c r="G111" i="28" s="1"/>
  <c r="H111" i="28" s="1"/>
  <c r="J111" i="28" s="1"/>
  <c r="E110" i="28"/>
  <c r="G110" i="28" s="1"/>
  <c r="H110" i="28" s="1"/>
  <c r="J110" i="28" s="1"/>
  <c r="E109" i="28"/>
  <c r="G109" i="28" s="1"/>
  <c r="E108" i="28"/>
  <c r="E107" i="28"/>
  <c r="E106" i="28"/>
  <c r="G106" i="28" s="1"/>
  <c r="H106" i="28" s="1"/>
  <c r="J106" i="28" s="1"/>
  <c r="E105" i="28"/>
  <c r="G105" i="28" s="1"/>
  <c r="E104" i="28"/>
  <c r="G104" i="28" s="1"/>
  <c r="H104" i="28" s="1"/>
  <c r="J104" i="28" s="1"/>
  <c r="E100" i="28"/>
  <c r="G100" i="28" s="1"/>
  <c r="E99" i="28"/>
  <c r="G99" i="28" s="1"/>
  <c r="E98" i="28"/>
  <c r="G98" i="28" s="1"/>
  <c r="E97" i="28"/>
  <c r="G97" i="28" s="1"/>
  <c r="E96" i="28"/>
  <c r="G96" i="28" s="1"/>
  <c r="E95" i="28"/>
  <c r="G95" i="28" s="1"/>
  <c r="E94" i="28"/>
  <c r="E93" i="28"/>
  <c r="G93" i="28" s="1"/>
  <c r="E92" i="28"/>
  <c r="G92" i="28" s="1"/>
  <c r="E90" i="28"/>
  <c r="G90" i="28" s="1"/>
  <c r="H90" i="28" s="1"/>
  <c r="J90" i="28" s="1"/>
  <c r="E89" i="28"/>
  <c r="G89" i="28" s="1"/>
  <c r="H89" i="28" s="1"/>
  <c r="J89" i="28" s="1"/>
  <c r="E88" i="28"/>
  <c r="G88" i="28" s="1"/>
  <c r="H88" i="28" s="1"/>
  <c r="J88" i="28" s="1"/>
  <c r="E87" i="28"/>
  <c r="G87" i="28" s="1"/>
  <c r="H87" i="28" s="1"/>
  <c r="J87" i="28" s="1"/>
  <c r="E86" i="28"/>
  <c r="G86" i="28" s="1"/>
  <c r="H86" i="28" s="1"/>
  <c r="J86" i="28" s="1"/>
  <c r="E85" i="28"/>
  <c r="E84" i="28"/>
  <c r="G84" i="28" s="1"/>
  <c r="E83" i="28"/>
  <c r="G83" i="28" s="1"/>
  <c r="E82" i="28"/>
  <c r="G82" i="28" s="1"/>
  <c r="E81" i="28"/>
  <c r="G81" i="28" s="1"/>
  <c r="E80" i="28"/>
  <c r="G80" i="28" s="1"/>
  <c r="E79" i="28"/>
  <c r="G79" i="28" s="1"/>
  <c r="E78" i="28"/>
  <c r="G78" i="28" s="1"/>
  <c r="E77" i="28"/>
  <c r="G77" i="28" s="1"/>
  <c r="E76" i="28"/>
  <c r="G76" i="28" s="1"/>
  <c r="E75" i="28"/>
  <c r="G75" i="28" s="1"/>
  <c r="E74" i="28"/>
  <c r="G74" i="28" s="1"/>
  <c r="E73" i="28"/>
  <c r="G73" i="28" s="1"/>
  <c r="E72" i="28"/>
  <c r="G72" i="28" s="1"/>
  <c r="H70" i="28"/>
  <c r="E69" i="28"/>
  <c r="E68" i="28"/>
  <c r="E67" i="28"/>
  <c r="E66" i="28"/>
  <c r="E65" i="28"/>
  <c r="E167" i="28" s="1"/>
  <c r="G167" i="28" s="1"/>
  <c r="E64" i="28"/>
  <c r="E63" i="28"/>
  <c r="E62" i="28"/>
  <c r="E164" i="28" s="1"/>
  <c r="G164" i="28" s="1"/>
  <c r="E58" i="28"/>
  <c r="G58" i="28" s="1"/>
  <c r="E57" i="28"/>
  <c r="G57" i="28" s="1"/>
  <c r="E56" i="28"/>
  <c r="G56" i="28" s="1"/>
  <c r="E55" i="28"/>
  <c r="G55" i="28" s="1"/>
  <c r="E54" i="28"/>
  <c r="G54" i="28" s="1"/>
  <c r="E53" i="28"/>
  <c r="G53" i="28" s="1"/>
  <c r="E52" i="28"/>
  <c r="G52" i="28" s="1"/>
  <c r="E51" i="28"/>
  <c r="G51" i="28" s="1"/>
  <c r="E50" i="28"/>
  <c r="G50" i="28" s="1"/>
  <c r="E49" i="28"/>
  <c r="G49" i="28" s="1"/>
  <c r="E46" i="28"/>
  <c r="G46" i="28" s="1"/>
  <c r="E45" i="28"/>
  <c r="G45" i="28" s="1"/>
  <c r="E44" i="28"/>
  <c r="G44" i="28" s="1"/>
  <c r="E43" i="28"/>
  <c r="G43" i="28" s="1"/>
  <c r="E42" i="28"/>
  <c r="G42" i="28" s="1"/>
  <c r="E41" i="28"/>
  <c r="G41" i="28" s="1"/>
  <c r="E40" i="28"/>
  <c r="G40" i="28" s="1"/>
  <c r="E39" i="28"/>
  <c r="G39" i="28" s="1"/>
  <c r="G146" i="28" s="1"/>
  <c r="E38" i="28"/>
  <c r="G38" i="28" s="1"/>
  <c r="G148" i="28" s="1"/>
  <c r="E37" i="28"/>
  <c r="G37" i="28" s="1"/>
  <c r="E36" i="28"/>
  <c r="G36" i="28" s="1"/>
  <c r="E35" i="28"/>
  <c r="G35" i="28" s="1"/>
  <c r="E29" i="28"/>
  <c r="G29" i="28" s="1"/>
  <c r="H24" i="28"/>
  <c r="J24" i="28" s="1"/>
  <c r="E24" i="28"/>
  <c r="E23" i="28"/>
  <c r="E22" i="28"/>
  <c r="G22" i="28" s="1"/>
  <c r="H22" i="28" s="1"/>
  <c r="J22" i="28" s="1"/>
  <c r="E19" i="28"/>
  <c r="G19" i="28" s="1"/>
  <c r="F118" i="28" s="1"/>
  <c r="I18" i="28"/>
  <c r="G18" i="28"/>
  <c r="E31" i="28" s="1"/>
  <c r="G31" i="28" s="1"/>
  <c r="E18" i="28"/>
  <c r="E15" i="28"/>
  <c r="G15" i="28" s="1"/>
  <c r="E12" i="28"/>
  <c r="G12" i="28" s="1"/>
  <c r="E11" i="28"/>
  <c r="G11" i="28" s="1"/>
  <c r="E10" i="28"/>
  <c r="G10" i="28" s="1"/>
  <c r="E9" i="28"/>
  <c r="G9" i="28" s="1"/>
  <c r="I8" i="28"/>
  <c r="E8" i="28"/>
  <c r="G8" i="28" s="1"/>
  <c r="E27" i="28" s="1"/>
  <c r="G27" i="28" s="1"/>
  <c r="N7" i="28"/>
  <c r="I7" i="28"/>
  <c r="E7" i="28"/>
  <c r="G7" i="28" s="1"/>
  <c r="F171" i="27"/>
  <c r="F170" i="27"/>
  <c r="F169" i="27"/>
  <c r="F168" i="27"/>
  <c r="E168" i="27"/>
  <c r="F167" i="27"/>
  <c r="F166" i="27"/>
  <c r="F165" i="27"/>
  <c r="F164" i="27"/>
  <c r="E163" i="27"/>
  <c r="G163" i="27" s="1"/>
  <c r="E162" i="27"/>
  <c r="G162" i="27" s="1"/>
  <c r="E161" i="27"/>
  <c r="G161" i="27" s="1"/>
  <c r="E160" i="27"/>
  <c r="G160" i="27" s="1"/>
  <c r="E140" i="27"/>
  <c r="G140" i="27" s="1"/>
  <c r="E139" i="27"/>
  <c r="G139" i="27" s="1"/>
  <c r="E138" i="27"/>
  <c r="G138" i="27" s="1"/>
  <c r="H138" i="27" s="1"/>
  <c r="J138" i="27" s="1"/>
  <c r="E137" i="27"/>
  <c r="G137" i="27" s="1"/>
  <c r="E136" i="27"/>
  <c r="G136" i="27" s="1"/>
  <c r="G135" i="27"/>
  <c r="H135" i="27" s="1"/>
  <c r="J135" i="27" s="1"/>
  <c r="E134" i="27"/>
  <c r="G134" i="27" s="1"/>
  <c r="E133" i="27"/>
  <c r="G133" i="27" s="1"/>
  <c r="E132" i="27"/>
  <c r="G132" i="27" s="1"/>
  <c r="E131" i="27"/>
  <c r="G131" i="27" s="1"/>
  <c r="E130" i="27"/>
  <c r="G130" i="27" s="1"/>
  <c r="E127" i="27"/>
  <c r="G127" i="27" s="1"/>
  <c r="E126" i="27"/>
  <c r="G126" i="27" s="1"/>
  <c r="E125" i="27"/>
  <c r="G125" i="27" s="1"/>
  <c r="E124" i="27"/>
  <c r="G124" i="27" s="1"/>
  <c r="E123" i="27"/>
  <c r="G123" i="27" s="1"/>
  <c r="G116" i="27"/>
  <c r="H116" i="27" s="1"/>
  <c r="J116" i="27" s="1"/>
  <c r="E115" i="27"/>
  <c r="G115" i="27" s="1"/>
  <c r="H115" i="27" s="1"/>
  <c r="J115" i="27" s="1"/>
  <c r="E114" i="27"/>
  <c r="G114" i="27" s="1"/>
  <c r="H114" i="27" s="1"/>
  <c r="J114" i="27" s="1"/>
  <c r="J113" i="27"/>
  <c r="E113" i="27"/>
  <c r="E112" i="27"/>
  <c r="E111" i="27"/>
  <c r="G111" i="27" s="1"/>
  <c r="H111" i="27" s="1"/>
  <c r="J111" i="27" s="1"/>
  <c r="E110" i="27"/>
  <c r="G110" i="27" s="1"/>
  <c r="H110" i="27" s="1"/>
  <c r="J110" i="27" s="1"/>
  <c r="E109" i="27"/>
  <c r="G109" i="27" s="1"/>
  <c r="E108" i="27"/>
  <c r="E107" i="27"/>
  <c r="E106" i="27"/>
  <c r="G106" i="27" s="1"/>
  <c r="H106" i="27" s="1"/>
  <c r="J106" i="27" s="1"/>
  <c r="E105" i="27"/>
  <c r="G105" i="27" s="1"/>
  <c r="H105" i="27" s="1"/>
  <c r="J105" i="27" s="1"/>
  <c r="E104" i="27"/>
  <c r="G104" i="27" s="1"/>
  <c r="H104" i="27" s="1"/>
  <c r="J104" i="27" s="1"/>
  <c r="E100" i="27"/>
  <c r="G100" i="27" s="1"/>
  <c r="E99" i="27"/>
  <c r="G99" i="27" s="1"/>
  <c r="E98" i="27"/>
  <c r="G98" i="27" s="1"/>
  <c r="E97" i="27"/>
  <c r="G97" i="27" s="1"/>
  <c r="E96" i="27"/>
  <c r="G96" i="27" s="1"/>
  <c r="E95" i="27"/>
  <c r="G95" i="27" s="1"/>
  <c r="E94" i="27"/>
  <c r="E93" i="27"/>
  <c r="G93" i="27" s="1"/>
  <c r="E92" i="27"/>
  <c r="G92" i="27" s="1"/>
  <c r="E90" i="27"/>
  <c r="G90" i="27" s="1"/>
  <c r="H90" i="27" s="1"/>
  <c r="J90" i="27" s="1"/>
  <c r="E89" i="27"/>
  <c r="G89" i="27" s="1"/>
  <c r="H89" i="27" s="1"/>
  <c r="J89" i="27" s="1"/>
  <c r="E88" i="27"/>
  <c r="G88" i="27" s="1"/>
  <c r="H88" i="27" s="1"/>
  <c r="J88" i="27" s="1"/>
  <c r="E87" i="27"/>
  <c r="G87" i="27" s="1"/>
  <c r="H87" i="27" s="1"/>
  <c r="J87" i="27" s="1"/>
  <c r="E86" i="27"/>
  <c r="G86" i="27" s="1"/>
  <c r="H86" i="27" s="1"/>
  <c r="J86" i="27" s="1"/>
  <c r="E85" i="27"/>
  <c r="E84" i="27"/>
  <c r="G84" i="27" s="1"/>
  <c r="E83" i="27"/>
  <c r="G83" i="27" s="1"/>
  <c r="E82" i="27"/>
  <c r="G82" i="27" s="1"/>
  <c r="E81" i="27"/>
  <c r="G81" i="27" s="1"/>
  <c r="E80" i="27"/>
  <c r="G80" i="27" s="1"/>
  <c r="E79" i="27"/>
  <c r="G79" i="27" s="1"/>
  <c r="E78" i="27"/>
  <c r="G78" i="27" s="1"/>
  <c r="E77" i="27"/>
  <c r="G77" i="27" s="1"/>
  <c r="E76" i="27"/>
  <c r="G76" i="27" s="1"/>
  <c r="E75" i="27"/>
  <c r="G75" i="27" s="1"/>
  <c r="E74" i="27"/>
  <c r="G74" i="27" s="1"/>
  <c r="E73" i="27"/>
  <c r="G73" i="27" s="1"/>
  <c r="E72" i="27"/>
  <c r="G72" i="27" s="1"/>
  <c r="H70" i="27"/>
  <c r="E69" i="27"/>
  <c r="E171" i="27" s="1"/>
  <c r="E68" i="27"/>
  <c r="E170" i="27" s="1"/>
  <c r="E67" i="27"/>
  <c r="E169" i="27" s="1"/>
  <c r="G169" i="27" s="1"/>
  <c r="G66" i="27"/>
  <c r="E65" i="27"/>
  <c r="E167" i="27" s="1"/>
  <c r="G167" i="27" s="1"/>
  <c r="E64" i="27"/>
  <c r="E166" i="27" s="1"/>
  <c r="E63" i="27"/>
  <c r="E165" i="27" s="1"/>
  <c r="G165" i="27" s="1"/>
  <c r="E62" i="27"/>
  <c r="E164" i="27" s="1"/>
  <c r="G164" i="27" s="1"/>
  <c r="E58" i="27"/>
  <c r="G58" i="27" s="1"/>
  <c r="E57" i="27"/>
  <c r="G57" i="27" s="1"/>
  <c r="E56" i="27"/>
  <c r="G56" i="27" s="1"/>
  <c r="E55" i="27"/>
  <c r="G55" i="27" s="1"/>
  <c r="E54" i="27"/>
  <c r="G54" i="27" s="1"/>
  <c r="E53" i="27"/>
  <c r="G53" i="27" s="1"/>
  <c r="E52" i="27"/>
  <c r="G52" i="27" s="1"/>
  <c r="E51" i="27"/>
  <c r="G51" i="27" s="1"/>
  <c r="E50" i="27"/>
  <c r="G50" i="27" s="1"/>
  <c r="E49" i="27"/>
  <c r="G49" i="27" s="1"/>
  <c r="E46" i="27"/>
  <c r="G46" i="27" s="1"/>
  <c r="E45" i="27"/>
  <c r="G45" i="27" s="1"/>
  <c r="E44" i="27"/>
  <c r="G44" i="27" s="1"/>
  <c r="E43" i="27"/>
  <c r="G43" i="27" s="1"/>
  <c r="E42" i="27"/>
  <c r="G42" i="27" s="1"/>
  <c r="E41" i="27"/>
  <c r="G41" i="27" s="1"/>
  <c r="E40" i="27"/>
  <c r="G40" i="27" s="1"/>
  <c r="E39" i="27"/>
  <c r="G39" i="27" s="1"/>
  <c r="E38" i="27"/>
  <c r="G38" i="27" s="1"/>
  <c r="E37" i="27"/>
  <c r="G37" i="27" s="1"/>
  <c r="E36" i="27"/>
  <c r="G36" i="27" s="1"/>
  <c r="E35" i="27"/>
  <c r="G35" i="27" s="1"/>
  <c r="E29" i="27"/>
  <c r="G29" i="27" s="1"/>
  <c r="E24" i="27"/>
  <c r="G24" i="27" s="1"/>
  <c r="H24" i="27" s="1"/>
  <c r="J24" i="27" s="1"/>
  <c r="E23" i="27"/>
  <c r="G23" i="27" s="1"/>
  <c r="E22" i="27"/>
  <c r="G22" i="27" s="1"/>
  <c r="H22" i="27" s="1"/>
  <c r="J22" i="27" s="1"/>
  <c r="E19" i="27"/>
  <c r="G19" i="27" s="1"/>
  <c r="I18" i="27"/>
  <c r="G18" i="27"/>
  <c r="G20" i="27" s="1"/>
  <c r="E18" i="27"/>
  <c r="L16" i="27"/>
  <c r="L19" i="27" s="1"/>
  <c r="I15" i="27"/>
  <c r="E15" i="27"/>
  <c r="G15" i="27" s="1"/>
  <c r="E12" i="27"/>
  <c r="G12" i="27" s="1"/>
  <c r="E11" i="27"/>
  <c r="G11" i="27" s="1"/>
  <c r="E10" i="27"/>
  <c r="G10" i="27" s="1"/>
  <c r="E9" i="27"/>
  <c r="G9" i="27" s="1"/>
  <c r="I8" i="27"/>
  <c r="E8" i="27"/>
  <c r="G8" i="27" s="1"/>
  <c r="E27" i="27" s="1"/>
  <c r="G27" i="27" s="1"/>
  <c r="I7" i="27"/>
  <c r="E7" i="27"/>
  <c r="G7" i="27" s="1"/>
  <c r="F171" i="40"/>
  <c r="F170" i="40"/>
  <c r="F169" i="40"/>
  <c r="F168" i="40"/>
  <c r="F167" i="40"/>
  <c r="F166" i="40"/>
  <c r="F165" i="40"/>
  <c r="F164" i="40"/>
  <c r="E163" i="40"/>
  <c r="G163" i="40" s="1"/>
  <c r="E162" i="40"/>
  <c r="G162" i="40" s="1"/>
  <c r="E161" i="40"/>
  <c r="G161" i="40" s="1"/>
  <c r="E160" i="40"/>
  <c r="G160" i="40" s="1"/>
  <c r="E140" i="40"/>
  <c r="G140" i="40" s="1"/>
  <c r="E139" i="40"/>
  <c r="G139" i="40" s="1"/>
  <c r="E138" i="40"/>
  <c r="G138" i="40" s="1"/>
  <c r="H138" i="40" s="1"/>
  <c r="J138" i="40" s="1"/>
  <c r="E137" i="40"/>
  <c r="G137" i="40" s="1"/>
  <c r="I138" i="40" s="1"/>
  <c r="E136" i="40"/>
  <c r="G136" i="40" s="1"/>
  <c r="E135" i="40"/>
  <c r="G135" i="40" s="1"/>
  <c r="H135" i="40" s="1"/>
  <c r="J135" i="40" s="1"/>
  <c r="E134" i="40"/>
  <c r="G134" i="40" s="1"/>
  <c r="E133" i="40"/>
  <c r="G133" i="40" s="1"/>
  <c r="P132" i="40"/>
  <c r="E132" i="40"/>
  <c r="G132" i="40" s="1"/>
  <c r="E131" i="40"/>
  <c r="G131" i="40" s="1"/>
  <c r="E130" i="40"/>
  <c r="G130" i="40" s="1"/>
  <c r="E127" i="40"/>
  <c r="G127" i="40" s="1"/>
  <c r="E126" i="40"/>
  <c r="G126" i="40" s="1"/>
  <c r="E125" i="40"/>
  <c r="G125" i="40" s="1"/>
  <c r="E124" i="40"/>
  <c r="G124" i="40" s="1"/>
  <c r="E123" i="40"/>
  <c r="G123" i="40" s="1"/>
  <c r="G116" i="40"/>
  <c r="H116" i="40" s="1"/>
  <c r="J116" i="40" s="1"/>
  <c r="E115" i="40"/>
  <c r="G115" i="40" s="1"/>
  <c r="H115" i="40" s="1"/>
  <c r="J115" i="40" s="1"/>
  <c r="E114" i="40"/>
  <c r="G114" i="40" s="1"/>
  <c r="H114" i="40" s="1"/>
  <c r="J114" i="40" s="1"/>
  <c r="J113" i="40"/>
  <c r="E113" i="40"/>
  <c r="E112" i="40"/>
  <c r="E111" i="40"/>
  <c r="G111" i="40" s="1"/>
  <c r="H111" i="40" s="1"/>
  <c r="J111" i="40" s="1"/>
  <c r="E110" i="40"/>
  <c r="G110" i="40" s="1"/>
  <c r="H110" i="40" s="1"/>
  <c r="J110" i="40" s="1"/>
  <c r="E109" i="40"/>
  <c r="G109" i="40" s="1"/>
  <c r="H109" i="40" s="1"/>
  <c r="J109" i="40" s="1"/>
  <c r="E108" i="40"/>
  <c r="E107" i="40"/>
  <c r="E106" i="40"/>
  <c r="G106" i="40" s="1"/>
  <c r="H106" i="40" s="1"/>
  <c r="J106" i="40" s="1"/>
  <c r="E105" i="40"/>
  <c r="G105" i="40" s="1"/>
  <c r="E104" i="40"/>
  <c r="G104" i="40" s="1"/>
  <c r="H104" i="40" s="1"/>
  <c r="J104" i="40" s="1"/>
  <c r="E100" i="40"/>
  <c r="G100" i="40" s="1"/>
  <c r="E99" i="40"/>
  <c r="G99" i="40" s="1"/>
  <c r="E98" i="40"/>
  <c r="G98" i="40" s="1"/>
  <c r="E97" i="40"/>
  <c r="G97" i="40" s="1"/>
  <c r="E96" i="40"/>
  <c r="G96" i="40" s="1"/>
  <c r="E95" i="40"/>
  <c r="G95" i="40" s="1"/>
  <c r="E94" i="40"/>
  <c r="E93" i="40"/>
  <c r="G93" i="40" s="1"/>
  <c r="E92" i="40"/>
  <c r="G92" i="40" s="1"/>
  <c r="G94" i="40" s="1"/>
  <c r="E90" i="40"/>
  <c r="G90" i="40" s="1"/>
  <c r="H90" i="40" s="1"/>
  <c r="J90" i="40" s="1"/>
  <c r="N89" i="40"/>
  <c r="E89" i="40"/>
  <c r="G89" i="40" s="1"/>
  <c r="H89" i="40" s="1"/>
  <c r="J89" i="40" s="1"/>
  <c r="E88" i="40"/>
  <c r="G88" i="40" s="1"/>
  <c r="H88" i="40" s="1"/>
  <c r="J88" i="40" s="1"/>
  <c r="E87" i="40"/>
  <c r="G87" i="40" s="1"/>
  <c r="H87" i="40" s="1"/>
  <c r="J87" i="40" s="1"/>
  <c r="E86" i="40"/>
  <c r="G86" i="40" s="1"/>
  <c r="H86" i="40" s="1"/>
  <c r="J86" i="40" s="1"/>
  <c r="E84" i="40"/>
  <c r="G84" i="40" s="1"/>
  <c r="E83" i="40"/>
  <c r="G83" i="40" s="1"/>
  <c r="N82" i="40"/>
  <c r="E82" i="40"/>
  <c r="G82" i="40" s="1"/>
  <c r="E81" i="40"/>
  <c r="G81" i="40" s="1"/>
  <c r="E80" i="40"/>
  <c r="G80" i="40" s="1"/>
  <c r="E79" i="40"/>
  <c r="G79" i="40" s="1"/>
  <c r="E78" i="40"/>
  <c r="G78" i="40" s="1"/>
  <c r="E77" i="40"/>
  <c r="G77" i="40" s="1"/>
  <c r="E76" i="40"/>
  <c r="G76" i="40" s="1"/>
  <c r="E75" i="40"/>
  <c r="G75" i="40" s="1"/>
  <c r="E74" i="40"/>
  <c r="G74" i="40" s="1"/>
  <c r="E73" i="40"/>
  <c r="G73" i="40" s="1"/>
  <c r="E72" i="40"/>
  <c r="G72" i="40" s="1"/>
  <c r="H70" i="40"/>
  <c r="E69" i="40"/>
  <c r="E171" i="40" s="1"/>
  <c r="E68" i="40"/>
  <c r="E170" i="40" s="1"/>
  <c r="E67" i="40"/>
  <c r="E169" i="40" s="1"/>
  <c r="E66" i="40"/>
  <c r="G66" i="40" s="1"/>
  <c r="E65" i="40"/>
  <c r="E167" i="40" s="1"/>
  <c r="E64" i="40"/>
  <c r="G64" i="40" s="1"/>
  <c r="E63" i="40"/>
  <c r="E165" i="40" s="1"/>
  <c r="E62" i="40"/>
  <c r="G62" i="40" s="1"/>
  <c r="E58" i="40"/>
  <c r="G58" i="40" s="1"/>
  <c r="E57" i="40"/>
  <c r="G57" i="40" s="1"/>
  <c r="O57" i="40" s="1"/>
  <c r="E56" i="40"/>
  <c r="G56" i="40" s="1"/>
  <c r="E55" i="40"/>
  <c r="G55" i="40" s="1"/>
  <c r="E54" i="40"/>
  <c r="G54" i="40" s="1"/>
  <c r="E53" i="40"/>
  <c r="G53" i="40" s="1"/>
  <c r="E52" i="40"/>
  <c r="G52" i="40" s="1"/>
  <c r="E51" i="40"/>
  <c r="G51" i="40" s="1"/>
  <c r="E50" i="40"/>
  <c r="G50" i="40" s="1"/>
  <c r="E49" i="40"/>
  <c r="G49" i="40" s="1"/>
  <c r="O49" i="40" s="1"/>
  <c r="O48" i="40"/>
  <c r="E46" i="40"/>
  <c r="G46" i="40" s="1"/>
  <c r="E45" i="40"/>
  <c r="G45" i="40" s="1"/>
  <c r="E44" i="40"/>
  <c r="G44" i="40" s="1"/>
  <c r="E43" i="40"/>
  <c r="G43" i="40" s="1"/>
  <c r="E42" i="40"/>
  <c r="G42" i="40" s="1"/>
  <c r="E41" i="40"/>
  <c r="G41" i="40" s="1"/>
  <c r="E40" i="40"/>
  <c r="G40" i="40" s="1"/>
  <c r="O40" i="40" s="1"/>
  <c r="E39" i="40"/>
  <c r="G39" i="40" s="1"/>
  <c r="E38" i="40"/>
  <c r="G38" i="40" s="1"/>
  <c r="E37" i="40"/>
  <c r="G37" i="40" s="1"/>
  <c r="E36" i="40"/>
  <c r="G36" i="40" s="1"/>
  <c r="E35" i="40"/>
  <c r="G35" i="40" s="1"/>
  <c r="E29" i="40"/>
  <c r="G29" i="40" s="1"/>
  <c r="H24" i="40"/>
  <c r="J24" i="40" s="1"/>
  <c r="E24" i="40"/>
  <c r="E23" i="40"/>
  <c r="E22" i="40"/>
  <c r="G22" i="40" s="1"/>
  <c r="H22" i="40" s="1"/>
  <c r="J22" i="40" s="1"/>
  <c r="E19" i="40"/>
  <c r="G19" i="40" s="1"/>
  <c r="I18" i="40"/>
  <c r="G18" i="40"/>
  <c r="E31" i="40" s="1"/>
  <c r="G31" i="40" s="1"/>
  <c r="E18" i="40"/>
  <c r="I15" i="40"/>
  <c r="E15" i="40"/>
  <c r="G15" i="40" s="1"/>
  <c r="G128" i="40" s="1"/>
  <c r="H128" i="40" s="1"/>
  <c r="J128" i="40" s="1"/>
  <c r="E12" i="40"/>
  <c r="G12" i="40" s="1"/>
  <c r="E11" i="40"/>
  <c r="G11" i="40" s="1"/>
  <c r="L10" i="40"/>
  <c r="E10" i="40"/>
  <c r="G10" i="40" s="1"/>
  <c r="E9" i="40"/>
  <c r="G9" i="40" s="1"/>
  <c r="O9" i="40" s="1"/>
  <c r="I8" i="40"/>
  <c r="E8" i="40"/>
  <c r="G8" i="40" s="1"/>
  <c r="I7" i="40"/>
  <c r="E7" i="40"/>
  <c r="G7" i="40" s="1"/>
  <c r="J3" i="40"/>
  <c r="I3" i="40"/>
  <c r="H3" i="40"/>
  <c r="G3" i="40"/>
  <c r="F171" i="25"/>
  <c r="F170" i="25"/>
  <c r="F169" i="25"/>
  <c r="F168" i="25"/>
  <c r="F167" i="25"/>
  <c r="F166" i="25"/>
  <c r="F165" i="25"/>
  <c r="E163" i="25"/>
  <c r="G163" i="25" s="1"/>
  <c r="E162" i="25"/>
  <c r="G162" i="25" s="1"/>
  <c r="E161" i="25"/>
  <c r="G161" i="25" s="1"/>
  <c r="E160" i="25"/>
  <c r="G160" i="25" s="1"/>
  <c r="E140" i="25"/>
  <c r="G140" i="25" s="1"/>
  <c r="E139" i="25"/>
  <c r="G139" i="25" s="1"/>
  <c r="E138" i="25"/>
  <c r="G138" i="25" s="1"/>
  <c r="H138" i="25" s="1"/>
  <c r="J138" i="25" s="1"/>
  <c r="E137" i="25"/>
  <c r="G137" i="25" s="1"/>
  <c r="I138" i="25" s="1"/>
  <c r="E136" i="25"/>
  <c r="G136" i="25" s="1"/>
  <c r="E135" i="25"/>
  <c r="G135" i="25" s="1"/>
  <c r="H135" i="25" s="1"/>
  <c r="J135" i="25" s="1"/>
  <c r="E134" i="25"/>
  <c r="G134" i="25" s="1"/>
  <c r="E133" i="25"/>
  <c r="G133" i="25" s="1"/>
  <c r="E132" i="25"/>
  <c r="G132" i="25" s="1"/>
  <c r="E131" i="25"/>
  <c r="G131" i="25" s="1"/>
  <c r="E130" i="25"/>
  <c r="G130" i="25" s="1"/>
  <c r="E127" i="25"/>
  <c r="G127" i="25" s="1"/>
  <c r="E126" i="25"/>
  <c r="G126" i="25" s="1"/>
  <c r="E125" i="25"/>
  <c r="G125" i="25" s="1"/>
  <c r="E124" i="25"/>
  <c r="G124" i="25" s="1"/>
  <c r="E123" i="25"/>
  <c r="G123" i="25" s="1"/>
  <c r="G116" i="25"/>
  <c r="H116" i="25" s="1"/>
  <c r="J116" i="25" s="1"/>
  <c r="E115" i="25"/>
  <c r="G115" i="25" s="1"/>
  <c r="H115" i="25" s="1"/>
  <c r="J115" i="25" s="1"/>
  <c r="E114" i="25"/>
  <c r="G114" i="25" s="1"/>
  <c r="J113" i="25"/>
  <c r="E112" i="25"/>
  <c r="E111" i="25"/>
  <c r="G111" i="25" s="1"/>
  <c r="H111" i="25" s="1"/>
  <c r="J111" i="25" s="1"/>
  <c r="E110" i="25"/>
  <c r="G110" i="25" s="1"/>
  <c r="H110" i="25" s="1"/>
  <c r="J110" i="25" s="1"/>
  <c r="E109" i="25"/>
  <c r="G109" i="25" s="1"/>
  <c r="G112" i="25" s="1"/>
  <c r="E108" i="25"/>
  <c r="E106" i="25"/>
  <c r="G106" i="25" s="1"/>
  <c r="H106" i="25" s="1"/>
  <c r="J106" i="25" s="1"/>
  <c r="E105" i="25"/>
  <c r="G105" i="25" s="1"/>
  <c r="H105" i="25" s="1"/>
  <c r="J105" i="25" s="1"/>
  <c r="E104" i="25"/>
  <c r="G104" i="25" s="1"/>
  <c r="H104" i="25" s="1"/>
  <c r="J104" i="25" s="1"/>
  <c r="E100" i="25"/>
  <c r="G100" i="25" s="1"/>
  <c r="E99" i="25"/>
  <c r="G99" i="25" s="1"/>
  <c r="E98" i="25"/>
  <c r="G98" i="25" s="1"/>
  <c r="E97" i="25"/>
  <c r="G97" i="25" s="1"/>
  <c r="E96" i="25"/>
  <c r="G96" i="25" s="1"/>
  <c r="E95" i="25"/>
  <c r="G95" i="25" s="1"/>
  <c r="G101" i="25" s="1"/>
  <c r="E94" i="25"/>
  <c r="E93" i="25"/>
  <c r="G93" i="25" s="1"/>
  <c r="E92" i="25"/>
  <c r="G92" i="25" s="1"/>
  <c r="E90" i="25"/>
  <c r="G90" i="25" s="1"/>
  <c r="H90" i="25" s="1"/>
  <c r="J90" i="25" s="1"/>
  <c r="E89" i="25"/>
  <c r="G89" i="25" s="1"/>
  <c r="H89" i="25" s="1"/>
  <c r="J89" i="25" s="1"/>
  <c r="E88" i="25"/>
  <c r="G88" i="25" s="1"/>
  <c r="H88" i="25" s="1"/>
  <c r="J88" i="25" s="1"/>
  <c r="E87" i="25"/>
  <c r="G87" i="25" s="1"/>
  <c r="H87" i="25" s="1"/>
  <c r="J87" i="25" s="1"/>
  <c r="E86" i="25"/>
  <c r="G86" i="25" s="1"/>
  <c r="H86" i="25" s="1"/>
  <c r="J86" i="25" s="1"/>
  <c r="E85" i="25"/>
  <c r="E84" i="25"/>
  <c r="G84" i="25" s="1"/>
  <c r="E83" i="25"/>
  <c r="G83" i="25" s="1"/>
  <c r="E82" i="25"/>
  <c r="G82" i="25" s="1"/>
  <c r="E81" i="25"/>
  <c r="G81" i="25" s="1"/>
  <c r="E80" i="25"/>
  <c r="G80" i="25" s="1"/>
  <c r="E79" i="25"/>
  <c r="G79" i="25" s="1"/>
  <c r="E78" i="25"/>
  <c r="G78" i="25" s="1"/>
  <c r="E77" i="25"/>
  <c r="G77" i="25" s="1"/>
  <c r="E76" i="25"/>
  <c r="G76" i="25" s="1"/>
  <c r="E75" i="25"/>
  <c r="G75" i="25" s="1"/>
  <c r="E74" i="25"/>
  <c r="G74" i="25" s="1"/>
  <c r="E73" i="25"/>
  <c r="G73" i="25" s="1"/>
  <c r="E72" i="25"/>
  <c r="G72" i="25" s="1"/>
  <c r="H70" i="25"/>
  <c r="E69" i="25"/>
  <c r="E68" i="25"/>
  <c r="E67" i="25"/>
  <c r="E66" i="25"/>
  <c r="E65" i="25"/>
  <c r="G65" i="25" s="1"/>
  <c r="E64" i="25"/>
  <c r="E63" i="25"/>
  <c r="G63" i="25" s="1"/>
  <c r="E62" i="25"/>
  <c r="G62" i="25" s="1"/>
  <c r="E58" i="25"/>
  <c r="G58" i="25" s="1"/>
  <c r="E57" i="25"/>
  <c r="G57" i="25" s="1"/>
  <c r="E56" i="25"/>
  <c r="G56" i="25" s="1"/>
  <c r="E55" i="25"/>
  <c r="G55" i="25" s="1"/>
  <c r="E54" i="25"/>
  <c r="G54" i="25" s="1"/>
  <c r="E53" i="25"/>
  <c r="G53" i="25" s="1"/>
  <c r="E52" i="25"/>
  <c r="G52" i="25" s="1"/>
  <c r="E51" i="25"/>
  <c r="G51" i="25" s="1"/>
  <c r="E50" i="25"/>
  <c r="G50" i="25" s="1"/>
  <c r="E49" i="25"/>
  <c r="G49" i="25" s="1"/>
  <c r="E46" i="25"/>
  <c r="G46" i="25" s="1"/>
  <c r="E45" i="25"/>
  <c r="G45" i="25" s="1"/>
  <c r="E44" i="25"/>
  <c r="G44" i="25" s="1"/>
  <c r="E43" i="25"/>
  <c r="G43" i="25" s="1"/>
  <c r="E42" i="25"/>
  <c r="G42" i="25" s="1"/>
  <c r="E41" i="25"/>
  <c r="G41" i="25" s="1"/>
  <c r="E40" i="25"/>
  <c r="G40" i="25" s="1"/>
  <c r="N39" i="25"/>
  <c r="E39" i="25"/>
  <c r="G39" i="25" s="1"/>
  <c r="G146" i="25" s="1"/>
  <c r="E38" i="25"/>
  <c r="G38" i="25" s="1"/>
  <c r="E37" i="25"/>
  <c r="G37" i="25" s="1"/>
  <c r="G152" i="25" s="1"/>
  <c r="E36" i="25"/>
  <c r="G36" i="25" s="1"/>
  <c r="E35" i="25"/>
  <c r="G35" i="25" s="1"/>
  <c r="E29" i="25"/>
  <c r="G29" i="25" s="1"/>
  <c r="H24" i="25"/>
  <c r="J24" i="25" s="1"/>
  <c r="E24" i="25"/>
  <c r="E23" i="25"/>
  <c r="E22" i="25"/>
  <c r="G22" i="25" s="1"/>
  <c r="H22" i="25" s="1"/>
  <c r="J22" i="25" s="1"/>
  <c r="E19" i="25"/>
  <c r="G19" i="25" s="1"/>
  <c r="I18" i="25"/>
  <c r="G18" i="25"/>
  <c r="E18" i="25"/>
  <c r="H17" i="25"/>
  <c r="I15" i="25"/>
  <c r="E15" i="25"/>
  <c r="G15" i="25" s="1"/>
  <c r="E12" i="25"/>
  <c r="G12" i="25" s="1"/>
  <c r="E11" i="25"/>
  <c r="G11" i="25" s="1"/>
  <c r="E10" i="25"/>
  <c r="G10" i="25" s="1"/>
  <c r="E9" i="25"/>
  <c r="G9" i="25" s="1"/>
  <c r="I8" i="25"/>
  <c r="E8" i="25"/>
  <c r="G8" i="25" s="1"/>
  <c r="I7" i="25"/>
  <c r="E7" i="25"/>
  <c r="G7" i="25" s="1"/>
  <c r="J3" i="25"/>
  <c r="I3" i="25"/>
  <c r="H3" i="25"/>
  <c r="G3" i="25"/>
  <c r="F171" i="24"/>
  <c r="F170" i="24"/>
  <c r="F169" i="24"/>
  <c r="F168" i="24"/>
  <c r="F167" i="24"/>
  <c r="F166" i="24"/>
  <c r="F165" i="24"/>
  <c r="F164" i="24"/>
  <c r="E163" i="24"/>
  <c r="G163" i="24" s="1"/>
  <c r="E162" i="24"/>
  <c r="G162" i="24" s="1"/>
  <c r="E161" i="24"/>
  <c r="G161" i="24" s="1"/>
  <c r="E160" i="24"/>
  <c r="G160" i="24" s="1"/>
  <c r="E140" i="24"/>
  <c r="G140" i="24" s="1"/>
  <c r="E139" i="24"/>
  <c r="G139" i="24" s="1"/>
  <c r="J138" i="24"/>
  <c r="E138" i="24"/>
  <c r="G138" i="24" s="1"/>
  <c r="J137" i="24"/>
  <c r="E137" i="24"/>
  <c r="G137" i="24" s="1"/>
  <c r="I138" i="24" s="1"/>
  <c r="E136" i="24"/>
  <c r="G136" i="24" s="1"/>
  <c r="J135" i="24"/>
  <c r="E135" i="24"/>
  <c r="G135" i="24" s="1"/>
  <c r="J134" i="24"/>
  <c r="E134" i="24"/>
  <c r="G134" i="24" s="1"/>
  <c r="I136" i="24" s="1"/>
  <c r="E133" i="24"/>
  <c r="G133" i="24" s="1"/>
  <c r="E132" i="24"/>
  <c r="G132" i="24" s="1"/>
  <c r="E131" i="24"/>
  <c r="G131" i="24" s="1"/>
  <c r="E130" i="24"/>
  <c r="G130" i="24" s="1"/>
  <c r="E127" i="24"/>
  <c r="G127" i="24" s="1"/>
  <c r="E126" i="24"/>
  <c r="G126" i="24" s="1"/>
  <c r="E125" i="24"/>
  <c r="G125" i="24" s="1"/>
  <c r="E124" i="24"/>
  <c r="G124" i="24" s="1"/>
  <c r="E123" i="24"/>
  <c r="G123" i="24" s="1"/>
  <c r="G116" i="24"/>
  <c r="H116" i="24" s="1"/>
  <c r="J116" i="24" s="1"/>
  <c r="E115" i="24"/>
  <c r="G115" i="24" s="1"/>
  <c r="H115" i="24" s="1"/>
  <c r="J115" i="24" s="1"/>
  <c r="E114" i="24"/>
  <c r="G114" i="24" s="1"/>
  <c r="J113" i="24"/>
  <c r="E113" i="24"/>
  <c r="E112" i="24"/>
  <c r="E111" i="24"/>
  <c r="G111" i="24" s="1"/>
  <c r="H111" i="24" s="1"/>
  <c r="J111" i="24" s="1"/>
  <c r="E110" i="24"/>
  <c r="G110" i="24" s="1"/>
  <c r="H110" i="24" s="1"/>
  <c r="J110" i="24" s="1"/>
  <c r="E109" i="24"/>
  <c r="G109" i="24" s="1"/>
  <c r="E108" i="24"/>
  <c r="E107" i="24"/>
  <c r="E106" i="24"/>
  <c r="G106" i="24" s="1"/>
  <c r="H106" i="24" s="1"/>
  <c r="J106" i="24" s="1"/>
  <c r="E105" i="24"/>
  <c r="G105" i="24" s="1"/>
  <c r="E104" i="24"/>
  <c r="G104" i="24" s="1"/>
  <c r="H104" i="24" s="1"/>
  <c r="J104" i="24" s="1"/>
  <c r="E100" i="24"/>
  <c r="G100" i="24" s="1"/>
  <c r="E99" i="24"/>
  <c r="G99" i="24" s="1"/>
  <c r="E98" i="24"/>
  <c r="G98" i="24" s="1"/>
  <c r="E97" i="24"/>
  <c r="G97" i="24" s="1"/>
  <c r="E96" i="24"/>
  <c r="G96" i="24" s="1"/>
  <c r="E95" i="24"/>
  <c r="G95" i="24" s="1"/>
  <c r="E94" i="24"/>
  <c r="E93" i="24"/>
  <c r="G93" i="24" s="1"/>
  <c r="E92" i="24"/>
  <c r="G92" i="24" s="1"/>
  <c r="E90" i="24"/>
  <c r="G90" i="24" s="1"/>
  <c r="H90" i="24" s="1"/>
  <c r="J90" i="24" s="1"/>
  <c r="E89" i="24"/>
  <c r="G89" i="24" s="1"/>
  <c r="H89" i="24" s="1"/>
  <c r="J89" i="24" s="1"/>
  <c r="E88" i="24"/>
  <c r="G88" i="24" s="1"/>
  <c r="H88" i="24" s="1"/>
  <c r="J88" i="24" s="1"/>
  <c r="E87" i="24"/>
  <c r="G87" i="24" s="1"/>
  <c r="H87" i="24" s="1"/>
  <c r="J87" i="24" s="1"/>
  <c r="E86" i="24"/>
  <c r="G86" i="24" s="1"/>
  <c r="H86" i="24" s="1"/>
  <c r="J86" i="24" s="1"/>
  <c r="E84" i="24"/>
  <c r="G84" i="24" s="1"/>
  <c r="E83" i="24"/>
  <c r="G83" i="24" s="1"/>
  <c r="E82" i="24"/>
  <c r="G82" i="24" s="1"/>
  <c r="E81" i="24"/>
  <c r="G81" i="24" s="1"/>
  <c r="E80" i="24"/>
  <c r="G80" i="24" s="1"/>
  <c r="E79" i="24"/>
  <c r="G79" i="24" s="1"/>
  <c r="E78" i="24"/>
  <c r="G78" i="24" s="1"/>
  <c r="E77" i="24"/>
  <c r="G77" i="24" s="1"/>
  <c r="E76" i="24"/>
  <c r="G76" i="24" s="1"/>
  <c r="E75" i="24"/>
  <c r="G75" i="24" s="1"/>
  <c r="E74" i="24"/>
  <c r="G74" i="24" s="1"/>
  <c r="E73" i="24"/>
  <c r="G73" i="24" s="1"/>
  <c r="E72" i="24"/>
  <c r="G72" i="24" s="1"/>
  <c r="H70" i="24"/>
  <c r="E69" i="24"/>
  <c r="E171" i="24" s="1"/>
  <c r="E68" i="24"/>
  <c r="E170" i="24" s="1"/>
  <c r="E67" i="24"/>
  <c r="E169" i="24" s="1"/>
  <c r="G169" i="24" s="1"/>
  <c r="E66" i="24"/>
  <c r="G66" i="24" s="1"/>
  <c r="E65" i="24"/>
  <c r="E167" i="24" s="1"/>
  <c r="G167" i="24" s="1"/>
  <c r="E64" i="24"/>
  <c r="G64" i="24" s="1"/>
  <c r="E63" i="24"/>
  <c r="E165" i="24" s="1"/>
  <c r="E62" i="24"/>
  <c r="G62" i="24" s="1"/>
  <c r="E58" i="24"/>
  <c r="G58" i="24" s="1"/>
  <c r="E57" i="24"/>
  <c r="G57" i="24" s="1"/>
  <c r="E56" i="24"/>
  <c r="G56" i="24" s="1"/>
  <c r="E55" i="24"/>
  <c r="G55" i="24" s="1"/>
  <c r="E54" i="24"/>
  <c r="G54" i="24" s="1"/>
  <c r="E53" i="24"/>
  <c r="G53" i="24" s="1"/>
  <c r="E52" i="24"/>
  <c r="G52" i="24" s="1"/>
  <c r="E51" i="24"/>
  <c r="G51" i="24" s="1"/>
  <c r="E50" i="24"/>
  <c r="G50" i="24" s="1"/>
  <c r="E49" i="24"/>
  <c r="G49" i="24" s="1"/>
  <c r="E46" i="24"/>
  <c r="G46" i="24" s="1"/>
  <c r="E45" i="24"/>
  <c r="G45" i="24" s="1"/>
  <c r="E44" i="24"/>
  <c r="G44" i="24" s="1"/>
  <c r="E43" i="24"/>
  <c r="G43" i="24" s="1"/>
  <c r="E42" i="24"/>
  <c r="G42" i="24" s="1"/>
  <c r="E41" i="24"/>
  <c r="G41" i="24" s="1"/>
  <c r="E40" i="24"/>
  <c r="G40" i="24" s="1"/>
  <c r="E39" i="24"/>
  <c r="G39" i="24" s="1"/>
  <c r="E38" i="24"/>
  <c r="G38" i="24" s="1"/>
  <c r="E37" i="24"/>
  <c r="G37" i="24" s="1"/>
  <c r="E36" i="24"/>
  <c r="G36" i="24" s="1"/>
  <c r="E35" i="24"/>
  <c r="G35" i="24" s="1"/>
  <c r="E29" i="24"/>
  <c r="G29" i="24" s="1"/>
  <c r="H24" i="24"/>
  <c r="J24" i="24" s="1"/>
  <c r="E24" i="24"/>
  <c r="E23" i="24"/>
  <c r="E22" i="24"/>
  <c r="G22" i="24" s="1"/>
  <c r="H22" i="24" s="1"/>
  <c r="J22" i="24" s="1"/>
  <c r="N20" i="24"/>
  <c r="I19" i="24"/>
  <c r="E19" i="24"/>
  <c r="G19" i="24" s="1"/>
  <c r="I18" i="24"/>
  <c r="G18" i="24"/>
  <c r="E31" i="24" s="1"/>
  <c r="G31" i="24" s="1"/>
  <c r="E18" i="24"/>
  <c r="I15" i="24"/>
  <c r="E15" i="24"/>
  <c r="G15" i="24" s="1"/>
  <c r="E12" i="24"/>
  <c r="G12" i="24" s="1"/>
  <c r="E11" i="24"/>
  <c r="G11" i="24" s="1"/>
  <c r="E10" i="24"/>
  <c r="G10" i="24" s="1"/>
  <c r="E9" i="24"/>
  <c r="G9" i="24" s="1"/>
  <c r="I8" i="24"/>
  <c r="E8" i="24"/>
  <c r="G8" i="24" s="1"/>
  <c r="I7" i="24"/>
  <c r="E7" i="24"/>
  <c r="G7" i="24" s="1"/>
  <c r="J3" i="24"/>
  <c r="I3" i="24"/>
  <c r="H3" i="24"/>
  <c r="G3" i="24"/>
  <c r="F171" i="23"/>
  <c r="F170" i="23"/>
  <c r="F169" i="23"/>
  <c r="F168" i="23"/>
  <c r="F167" i="23"/>
  <c r="F166" i="23"/>
  <c r="F165" i="23"/>
  <c r="F164" i="23"/>
  <c r="E163" i="23"/>
  <c r="G163" i="23" s="1"/>
  <c r="E162" i="23"/>
  <c r="G162" i="23" s="1"/>
  <c r="E161" i="23"/>
  <c r="G161" i="23" s="1"/>
  <c r="E160" i="23"/>
  <c r="G160" i="23" s="1"/>
  <c r="O154" i="23"/>
  <c r="O141" i="23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O131" i="23" s="1"/>
  <c r="E130" i="23"/>
  <c r="G130" i="23" s="1"/>
  <c r="O129" i="23"/>
  <c r="E127" i="23"/>
  <c r="G127" i="23" s="1"/>
  <c r="E126" i="23"/>
  <c r="G126" i="23" s="1"/>
  <c r="O126" i="23" s="1"/>
  <c r="E125" i="23"/>
  <c r="G125" i="23" s="1"/>
  <c r="O125" i="23" s="1"/>
  <c r="E124" i="23"/>
  <c r="G124" i="23" s="1"/>
  <c r="E123" i="23"/>
  <c r="G123" i="23" s="1"/>
  <c r="O122" i="23"/>
  <c r="O121" i="23"/>
  <c r="G116" i="23"/>
  <c r="E115" i="23"/>
  <c r="G115" i="23" s="1"/>
  <c r="E114" i="23"/>
  <c r="G114" i="23" s="1"/>
  <c r="O113" i="23"/>
  <c r="J113" i="23"/>
  <c r="E113" i="23"/>
  <c r="E112" i="23"/>
  <c r="E111" i="23"/>
  <c r="G111" i="23" s="1"/>
  <c r="E110" i="23"/>
  <c r="G110" i="23" s="1"/>
  <c r="E109" i="23"/>
  <c r="G109" i="23" s="1"/>
  <c r="H109" i="23" s="1"/>
  <c r="J109" i="23" s="1"/>
  <c r="O108" i="23"/>
  <c r="E108" i="23"/>
  <c r="E107" i="23"/>
  <c r="E106" i="23"/>
  <c r="G106" i="23" s="1"/>
  <c r="O106" i="23" s="1"/>
  <c r="E105" i="23"/>
  <c r="G105" i="23" s="1"/>
  <c r="E104" i="23"/>
  <c r="G104" i="23" s="1"/>
  <c r="O103" i="23"/>
  <c r="O102" i="23"/>
  <c r="E100" i="23"/>
  <c r="G100" i="23" s="1"/>
  <c r="E99" i="23"/>
  <c r="G99" i="23" s="1"/>
  <c r="E98" i="23"/>
  <c r="G98" i="23" s="1"/>
  <c r="E97" i="23"/>
  <c r="G97" i="23" s="1"/>
  <c r="O97" i="23" s="1"/>
  <c r="E96" i="23"/>
  <c r="G96" i="23" s="1"/>
  <c r="E95" i="23"/>
  <c r="G95" i="23" s="1"/>
  <c r="E94" i="23"/>
  <c r="E93" i="23"/>
  <c r="G93" i="23" s="1"/>
  <c r="O93" i="23" s="1"/>
  <c r="E92" i="23"/>
  <c r="G92" i="23" s="1"/>
  <c r="O91" i="23"/>
  <c r="E90" i="23"/>
  <c r="G90" i="23" s="1"/>
  <c r="O90" i="23" s="1"/>
  <c r="E89" i="23"/>
  <c r="G89" i="23" s="1"/>
  <c r="O89" i="23" s="1"/>
  <c r="E88" i="23"/>
  <c r="G88" i="23" s="1"/>
  <c r="E87" i="23"/>
  <c r="G87" i="23" s="1"/>
  <c r="E86" i="23"/>
  <c r="G86" i="23" s="1"/>
  <c r="E84" i="23"/>
  <c r="G84" i="23" s="1"/>
  <c r="E83" i="23"/>
  <c r="G83" i="23" s="1"/>
  <c r="E82" i="23"/>
  <c r="G82" i="23" s="1"/>
  <c r="E81" i="23"/>
  <c r="G81" i="23" s="1"/>
  <c r="E80" i="23"/>
  <c r="G80" i="23" s="1"/>
  <c r="O80" i="23" s="1"/>
  <c r="E79" i="23"/>
  <c r="G79" i="23" s="1"/>
  <c r="E78" i="23"/>
  <c r="G78" i="23" s="1"/>
  <c r="E77" i="23"/>
  <c r="G77" i="23" s="1"/>
  <c r="O77" i="23" s="1"/>
  <c r="E76" i="23"/>
  <c r="G76" i="23" s="1"/>
  <c r="E75" i="23"/>
  <c r="G75" i="23" s="1"/>
  <c r="E74" i="23"/>
  <c r="G74" i="23" s="1"/>
  <c r="E73" i="23"/>
  <c r="G73" i="23" s="1"/>
  <c r="E72" i="23"/>
  <c r="G72" i="23" s="1"/>
  <c r="O71" i="23"/>
  <c r="O70" i="23"/>
  <c r="H70" i="23"/>
  <c r="E69" i="23"/>
  <c r="E68" i="23"/>
  <c r="E170" i="23" s="1"/>
  <c r="E67" i="23"/>
  <c r="G67" i="23" s="1"/>
  <c r="E66" i="23"/>
  <c r="E65" i="23"/>
  <c r="E64" i="23"/>
  <c r="G64" i="23" s="1"/>
  <c r="E63" i="23"/>
  <c r="E165" i="23" s="1"/>
  <c r="G165" i="23" s="1"/>
  <c r="E62" i="23"/>
  <c r="G62" i="23" s="1"/>
  <c r="O61" i="23"/>
  <c r="E58" i="23"/>
  <c r="G58" i="23" s="1"/>
  <c r="E57" i="23"/>
  <c r="G57" i="23" s="1"/>
  <c r="O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E50" i="23"/>
  <c r="G50" i="23" s="1"/>
  <c r="E49" i="23"/>
  <c r="G49" i="23" s="1"/>
  <c r="O48" i="23"/>
  <c r="E46" i="23"/>
  <c r="G46" i="23" s="1"/>
  <c r="E45" i="23"/>
  <c r="G45" i="23" s="1"/>
  <c r="E44" i="23"/>
  <c r="G44" i="23" s="1"/>
  <c r="E43" i="23"/>
  <c r="G43" i="23" s="1"/>
  <c r="E42" i="23"/>
  <c r="G42" i="23" s="1"/>
  <c r="E41" i="23"/>
  <c r="G41" i="23" s="1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O34" i="23"/>
  <c r="O33" i="23"/>
  <c r="E29" i="23"/>
  <c r="G29" i="23" s="1"/>
  <c r="O26" i="23"/>
  <c r="O25" i="23"/>
  <c r="O24" i="23"/>
  <c r="H24" i="23"/>
  <c r="J24" i="23" s="1"/>
  <c r="E24" i="23"/>
  <c r="O23" i="23"/>
  <c r="E23" i="23"/>
  <c r="E22" i="23"/>
  <c r="G22" i="23" s="1"/>
  <c r="O21" i="23"/>
  <c r="E19" i="23"/>
  <c r="G19" i="23" s="1"/>
  <c r="I18" i="23"/>
  <c r="G18" i="23"/>
  <c r="O18" i="23" s="1"/>
  <c r="E18" i="23"/>
  <c r="O17" i="23"/>
  <c r="O16" i="23"/>
  <c r="E15" i="23"/>
  <c r="G15" i="23" s="1"/>
  <c r="O14" i="23"/>
  <c r="E12" i="23"/>
  <c r="G12" i="23" s="1"/>
  <c r="E11" i="23"/>
  <c r="G11" i="23" s="1"/>
  <c r="E10" i="23"/>
  <c r="G10" i="23" s="1"/>
  <c r="E9" i="23"/>
  <c r="G9" i="23" s="1"/>
  <c r="I8" i="23"/>
  <c r="E8" i="23"/>
  <c r="G8" i="23" s="1"/>
  <c r="I7" i="23"/>
  <c r="E7" i="23"/>
  <c r="G7" i="23" s="1"/>
  <c r="J3" i="23"/>
  <c r="I3" i="23"/>
  <c r="H3" i="23"/>
  <c r="G3" i="23"/>
  <c r="F171" i="22"/>
  <c r="F170" i="22"/>
  <c r="F169" i="22"/>
  <c r="F168" i="22"/>
  <c r="F167" i="22"/>
  <c r="F166" i="22"/>
  <c r="F165" i="22"/>
  <c r="F164" i="22"/>
  <c r="G163" i="22"/>
  <c r="L163" i="22" s="1"/>
  <c r="G162" i="22"/>
  <c r="L162" i="22" s="1"/>
  <c r="G161" i="22"/>
  <c r="L161" i="22" s="1"/>
  <c r="G160" i="22"/>
  <c r="L160" i="22" s="1"/>
  <c r="E140" i="22"/>
  <c r="G140" i="22" s="1"/>
  <c r="E139" i="22"/>
  <c r="G139" i="22" s="1"/>
  <c r="E138" i="22"/>
  <c r="G138" i="22" s="1"/>
  <c r="E137" i="22"/>
  <c r="G137" i="22" s="1"/>
  <c r="E136" i="22"/>
  <c r="G136" i="22" s="1"/>
  <c r="E135" i="22"/>
  <c r="G135" i="22" s="1"/>
  <c r="E134" i="22"/>
  <c r="G134" i="22" s="1"/>
  <c r="E133" i="22"/>
  <c r="G133" i="22" s="1"/>
  <c r="E132" i="22"/>
  <c r="G132" i="22" s="1"/>
  <c r="E131" i="22"/>
  <c r="G131" i="22" s="1"/>
  <c r="E130" i="22"/>
  <c r="G130" i="22" s="1"/>
  <c r="E127" i="22"/>
  <c r="G127" i="22" s="1"/>
  <c r="E126" i="22"/>
  <c r="G126" i="22" s="1"/>
  <c r="E125" i="22"/>
  <c r="G125" i="22" s="1"/>
  <c r="E124" i="22"/>
  <c r="G124" i="22" s="1"/>
  <c r="E123" i="22"/>
  <c r="G123" i="22" s="1"/>
  <c r="G116" i="22"/>
  <c r="H116" i="22" s="1"/>
  <c r="J116" i="22" s="1"/>
  <c r="E115" i="22"/>
  <c r="G115" i="22" s="1"/>
  <c r="H115" i="22" s="1"/>
  <c r="J115" i="22" s="1"/>
  <c r="E114" i="22"/>
  <c r="G114" i="22" s="1"/>
  <c r="J113" i="22"/>
  <c r="E113" i="22"/>
  <c r="E112" i="22"/>
  <c r="E111" i="22"/>
  <c r="G111" i="22" s="1"/>
  <c r="H111" i="22" s="1"/>
  <c r="J111" i="22" s="1"/>
  <c r="E110" i="22"/>
  <c r="G110" i="22" s="1"/>
  <c r="E109" i="22"/>
  <c r="G109" i="22" s="1"/>
  <c r="H109" i="22" s="1"/>
  <c r="J109" i="22" s="1"/>
  <c r="E108" i="22"/>
  <c r="E107" i="22"/>
  <c r="E106" i="22"/>
  <c r="G106" i="22" s="1"/>
  <c r="H106" i="22" s="1"/>
  <c r="J106" i="22" s="1"/>
  <c r="E105" i="22"/>
  <c r="G105" i="22" s="1"/>
  <c r="H105" i="22" s="1"/>
  <c r="J105" i="22" s="1"/>
  <c r="E104" i="22"/>
  <c r="G104" i="22" s="1"/>
  <c r="H104" i="22" s="1"/>
  <c r="J104" i="22" s="1"/>
  <c r="E100" i="22"/>
  <c r="G100" i="22" s="1"/>
  <c r="E99" i="22"/>
  <c r="G99" i="22" s="1"/>
  <c r="E98" i="22"/>
  <c r="G98" i="22" s="1"/>
  <c r="E97" i="22"/>
  <c r="G97" i="22" s="1"/>
  <c r="E96" i="22"/>
  <c r="G96" i="22" s="1"/>
  <c r="E95" i="22"/>
  <c r="G95" i="22" s="1"/>
  <c r="E94" i="22"/>
  <c r="E93" i="22"/>
  <c r="G93" i="22" s="1"/>
  <c r="E92" i="22"/>
  <c r="G92" i="22" s="1"/>
  <c r="E90" i="22"/>
  <c r="G90" i="22" s="1"/>
  <c r="H90" i="22" s="1"/>
  <c r="J90" i="22" s="1"/>
  <c r="E89" i="22"/>
  <c r="G89" i="22" s="1"/>
  <c r="H89" i="22" s="1"/>
  <c r="J89" i="22" s="1"/>
  <c r="E88" i="22"/>
  <c r="G88" i="22" s="1"/>
  <c r="H88" i="22" s="1"/>
  <c r="J88" i="22" s="1"/>
  <c r="E87" i="22"/>
  <c r="G87" i="22" s="1"/>
  <c r="H87" i="22" s="1"/>
  <c r="J87" i="22" s="1"/>
  <c r="E86" i="22"/>
  <c r="G86" i="22" s="1"/>
  <c r="H86" i="22" s="1"/>
  <c r="J86" i="22" s="1"/>
  <c r="E84" i="22"/>
  <c r="G84" i="22" s="1"/>
  <c r="E83" i="22"/>
  <c r="G83" i="22" s="1"/>
  <c r="E82" i="22"/>
  <c r="G82" i="22" s="1"/>
  <c r="E81" i="22"/>
  <c r="G81" i="22" s="1"/>
  <c r="E80" i="22"/>
  <c r="G80" i="22" s="1"/>
  <c r="E79" i="22"/>
  <c r="G79" i="22" s="1"/>
  <c r="E78" i="22"/>
  <c r="G78" i="22" s="1"/>
  <c r="E77" i="22"/>
  <c r="G77" i="22" s="1"/>
  <c r="E76" i="22"/>
  <c r="G76" i="22" s="1"/>
  <c r="E75" i="22"/>
  <c r="G75" i="22" s="1"/>
  <c r="E74" i="22"/>
  <c r="G74" i="22" s="1"/>
  <c r="E73" i="22"/>
  <c r="G73" i="22" s="1"/>
  <c r="E72" i="22"/>
  <c r="G72" i="22" s="1"/>
  <c r="H70" i="22"/>
  <c r="E69" i="22"/>
  <c r="E171" i="22" s="1"/>
  <c r="E68" i="22"/>
  <c r="E67" i="22"/>
  <c r="E66" i="22"/>
  <c r="E65" i="22"/>
  <c r="E64" i="22"/>
  <c r="E63" i="22"/>
  <c r="E165" i="22" s="1"/>
  <c r="G165" i="22" s="1"/>
  <c r="L165" i="22" s="1"/>
  <c r="E62" i="22"/>
  <c r="E164" i="22" s="1"/>
  <c r="E58" i="22"/>
  <c r="G58" i="22" s="1"/>
  <c r="E57" i="22"/>
  <c r="G57" i="22" s="1"/>
  <c r="E56" i="22"/>
  <c r="G56" i="22" s="1"/>
  <c r="L56" i="22" s="1"/>
  <c r="E55" i="22"/>
  <c r="G55" i="22" s="1"/>
  <c r="E54" i="22"/>
  <c r="G54" i="22" s="1"/>
  <c r="E53" i="22"/>
  <c r="G53" i="22" s="1"/>
  <c r="E52" i="22"/>
  <c r="G52" i="22" s="1"/>
  <c r="L52" i="22" s="1"/>
  <c r="E51" i="22"/>
  <c r="G51" i="22" s="1"/>
  <c r="E50" i="22"/>
  <c r="G50" i="22" s="1"/>
  <c r="E49" i="22"/>
  <c r="G49" i="22" s="1"/>
  <c r="L49" i="22" s="1"/>
  <c r="L48" i="22"/>
  <c r="E46" i="22"/>
  <c r="G46" i="22" s="1"/>
  <c r="E45" i="22"/>
  <c r="G45" i="22" s="1"/>
  <c r="L45" i="22" s="1"/>
  <c r="E44" i="22"/>
  <c r="G44" i="22" s="1"/>
  <c r="L44" i="22" s="1"/>
  <c r="E43" i="22"/>
  <c r="G43" i="22" s="1"/>
  <c r="E42" i="22"/>
  <c r="G42" i="22" s="1"/>
  <c r="G41" i="22"/>
  <c r="E40" i="22"/>
  <c r="G40" i="22" s="1"/>
  <c r="E39" i="22"/>
  <c r="G39" i="22" s="1"/>
  <c r="E38" i="22"/>
  <c r="G38" i="22" s="1"/>
  <c r="E37" i="22"/>
  <c r="G37" i="22" s="1"/>
  <c r="E36" i="22"/>
  <c r="G36" i="22" s="1"/>
  <c r="E35" i="22"/>
  <c r="G35" i="22" s="1"/>
  <c r="E29" i="22"/>
  <c r="G29" i="22" s="1"/>
  <c r="H24" i="22"/>
  <c r="J24" i="22" s="1"/>
  <c r="E24" i="22"/>
  <c r="E23" i="22"/>
  <c r="E22" i="22"/>
  <c r="G22" i="22" s="1"/>
  <c r="H22" i="22" s="1"/>
  <c r="J22" i="22" s="1"/>
  <c r="E19" i="22"/>
  <c r="G19" i="22" s="1"/>
  <c r="I18" i="22"/>
  <c r="G18" i="22"/>
  <c r="E31" i="22" s="1"/>
  <c r="G31" i="22" s="1"/>
  <c r="E18" i="22"/>
  <c r="E15" i="22"/>
  <c r="G15" i="22" s="1"/>
  <c r="E12" i="22"/>
  <c r="G12" i="22" s="1"/>
  <c r="E11" i="22"/>
  <c r="G11" i="22" s="1"/>
  <c r="E10" i="22"/>
  <c r="G10" i="22" s="1"/>
  <c r="E9" i="22"/>
  <c r="G9" i="22" s="1"/>
  <c r="I8" i="22"/>
  <c r="E8" i="22"/>
  <c r="G8" i="22" s="1"/>
  <c r="I7" i="22"/>
  <c r="E7" i="22"/>
  <c r="G7" i="22" s="1"/>
  <c r="J3" i="22"/>
  <c r="I3" i="22"/>
  <c r="H3" i="22"/>
  <c r="G3" i="22"/>
  <c r="F171" i="21"/>
  <c r="F170" i="21"/>
  <c r="F169" i="21"/>
  <c r="F168" i="21"/>
  <c r="F167" i="21"/>
  <c r="F166" i="21"/>
  <c r="F165" i="21"/>
  <c r="E163" i="21"/>
  <c r="G163" i="21" s="1"/>
  <c r="L163" i="21" s="1"/>
  <c r="E162" i="21"/>
  <c r="G162" i="21" s="1"/>
  <c r="L162" i="21" s="1"/>
  <c r="E161" i="21"/>
  <c r="G161" i="21" s="1"/>
  <c r="L161" i="21" s="1"/>
  <c r="E160" i="21"/>
  <c r="G160" i="21" s="1"/>
  <c r="L160" i="21" s="1"/>
  <c r="E140" i="21"/>
  <c r="G140" i="21" s="1"/>
  <c r="E139" i="21"/>
  <c r="G139" i="21" s="1"/>
  <c r="E138" i="21"/>
  <c r="G138" i="21" s="1"/>
  <c r="E137" i="21"/>
  <c r="G137" i="21" s="1"/>
  <c r="E136" i="21"/>
  <c r="G136" i="21" s="1"/>
  <c r="E135" i="21"/>
  <c r="G135" i="21" s="1"/>
  <c r="E134" i="21"/>
  <c r="G134" i="21" s="1"/>
  <c r="E133" i="21"/>
  <c r="G133" i="21" s="1"/>
  <c r="E132" i="21"/>
  <c r="G132" i="21" s="1"/>
  <c r="E131" i="21"/>
  <c r="G131" i="21" s="1"/>
  <c r="E130" i="21"/>
  <c r="G130" i="21" s="1"/>
  <c r="E127" i="21"/>
  <c r="G127" i="21" s="1"/>
  <c r="E126" i="21"/>
  <c r="G126" i="21" s="1"/>
  <c r="E125" i="21"/>
  <c r="G125" i="21" s="1"/>
  <c r="E124" i="21"/>
  <c r="G124" i="21" s="1"/>
  <c r="E123" i="21"/>
  <c r="G123" i="21" s="1"/>
  <c r="G116" i="21"/>
  <c r="H116" i="21" s="1"/>
  <c r="J116" i="21" s="1"/>
  <c r="E115" i="21"/>
  <c r="G115" i="21" s="1"/>
  <c r="H115" i="21" s="1"/>
  <c r="J115" i="21" s="1"/>
  <c r="E114" i="21"/>
  <c r="G114" i="21" s="1"/>
  <c r="H114" i="21" s="1"/>
  <c r="J114" i="21" s="1"/>
  <c r="J113" i="21"/>
  <c r="E113" i="21"/>
  <c r="E112" i="21"/>
  <c r="E111" i="21"/>
  <c r="G111" i="21" s="1"/>
  <c r="H111" i="21" s="1"/>
  <c r="J111" i="21" s="1"/>
  <c r="E110" i="21"/>
  <c r="G110" i="21" s="1"/>
  <c r="H110" i="21" s="1"/>
  <c r="J110" i="21" s="1"/>
  <c r="E109" i="21"/>
  <c r="G109" i="21" s="1"/>
  <c r="E108" i="21"/>
  <c r="E107" i="21"/>
  <c r="E106" i="21"/>
  <c r="G106" i="21" s="1"/>
  <c r="H106" i="21" s="1"/>
  <c r="J106" i="21" s="1"/>
  <c r="E105" i="21"/>
  <c r="G105" i="21" s="1"/>
  <c r="E104" i="21"/>
  <c r="G104" i="21" s="1"/>
  <c r="H104" i="21" s="1"/>
  <c r="J104" i="21" s="1"/>
  <c r="E100" i="21"/>
  <c r="G100" i="21" s="1"/>
  <c r="E99" i="21"/>
  <c r="G99" i="21" s="1"/>
  <c r="E98" i="21"/>
  <c r="G98" i="21" s="1"/>
  <c r="E97" i="21"/>
  <c r="G97" i="21" s="1"/>
  <c r="E96" i="21"/>
  <c r="G96" i="21" s="1"/>
  <c r="E95" i="21"/>
  <c r="G95" i="21" s="1"/>
  <c r="E94" i="21"/>
  <c r="E93" i="21"/>
  <c r="G93" i="21" s="1"/>
  <c r="E92" i="21"/>
  <c r="G92" i="21" s="1"/>
  <c r="E90" i="21"/>
  <c r="G90" i="21" s="1"/>
  <c r="H90" i="21" s="1"/>
  <c r="J90" i="21" s="1"/>
  <c r="E89" i="21"/>
  <c r="G89" i="21" s="1"/>
  <c r="H89" i="21" s="1"/>
  <c r="J89" i="21" s="1"/>
  <c r="E88" i="21"/>
  <c r="G88" i="21" s="1"/>
  <c r="H88" i="21" s="1"/>
  <c r="J88" i="21" s="1"/>
  <c r="E87" i="21"/>
  <c r="G87" i="21" s="1"/>
  <c r="H87" i="21" s="1"/>
  <c r="J87" i="21" s="1"/>
  <c r="E86" i="21"/>
  <c r="G86" i="21" s="1"/>
  <c r="H86" i="21" s="1"/>
  <c r="J86" i="21" s="1"/>
  <c r="E84" i="21"/>
  <c r="G84" i="21" s="1"/>
  <c r="E83" i="21"/>
  <c r="G83" i="21" s="1"/>
  <c r="E82" i="21"/>
  <c r="G82" i="21" s="1"/>
  <c r="E81" i="21"/>
  <c r="G81" i="21" s="1"/>
  <c r="E80" i="21"/>
  <c r="G80" i="21" s="1"/>
  <c r="E79" i="21"/>
  <c r="G79" i="21" s="1"/>
  <c r="E78" i="21"/>
  <c r="G78" i="21" s="1"/>
  <c r="E77" i="21"/>
  <c r="G77" i="21" s="1"/>
  <c r="E76" i="21"/>
  <c r="G76" i="21" s="1"/>
  <c r="E75" i="21"/>
  <c r="G75" i="21" s="1"/>
  <c r="E74" i="21"/>
  <c r="G74" i="21" s="1"/>
  <c r="E73" i="21"/>
  <c r="G73" i="21" s="1"/>
  <c r="E72" i="21"/>
  <c r="G72" i="21" s="1"/>
  <c r="H70" i="21"/>
  <c r="E69" i="21"/>
  <c r="E171" i="21" s="1"/>
  <c r="G171" i="21" s="1"/>
  <c r="L171" i="21" s="1"/>
  <c r="E68" i="21"/>
  <c r="G68" i="21" s="1"/>
  <c r="E67" i="21"/>
  <c r="E169" i="21" s="1"/>
  <c r="G169" i="21" s="1"/>
  <c r="L169" i="21" s="1"/>
  <c r="E66" i="21"/>
  <c r="G66" i="21" s="1"/>
  <c r="E65" i="21"/>
  <c r="E167" i="21" s="1"/>
  <c r="G167" i="21" s="1"/>
  <c r="L167" i="21" s="1"/>
  <c r="E64" i="21"/>
  <c r="G64" i="21" s="1"/>
  <c r="E63" i="21"/>
  <c r="E165" i="21" s="1"/>
  <c r="G165" i="21" s="1"/>
  <c r="L165" i="21" s="1"/>
  <c r="E62" i="21"/>
  <c r="G62" i="21" s="1"/>
  <c r="E58" i="21"/>
  <c r="G58" i="21" s="1"/>
  <c r="E57" i="21"/>
  <c r="G57" i="21" s="1"/>
  <c r="E56" i="21"/>
  <c r="G56" i="21" s="1"/>
  <c r="E55" i="21"/>
  <c r="G55" i="21" s="1"/>
  <c r="E54" i="21"/>
  <c r="G54" i="21" s="1"/>
  <c r="E53" i="21"/>
  <c r="G53" i="21" s="1"/>
  <c r="E52" i="21"/>
  <c r="G52" i="21" s="1"/>
  <c r="L52" i="21" s="1"/>
  <c r="E51" i="21"/>
  <c r="G51" i="21" s="1"/>
  <c r="E50" i="21"/>
  <c r="G50" i="21" s="1"/>
  <c r="E49" i="21"/>
  <c r="G49" i="21" s="1"/>
  <c r="L48" i="21"/>
  <c r="E46" i="21"/>
  <c r="G46" i="21" s="1"/>
  <c r="L46" i="21" s="1"/>
  <c r="E45" i="21"/>
  <c r="G45" i="21" s="1"/>
  <c r="E44" i="21"/>
  <c r="G44" i="21" s="1"/>
  <c r="E43" i="21"/>
  <c r="G43" i="21" s="1"/>
  <c r="L43" i="21" s="1"/>
  <c r="E42" i="21"/>
  <c r="G42" i="21" s="1"/>
  <c r="L42" i="21" s="1"/>
  <c r="E41" i="21"/>
  <c r="G41" i="21" s="1"/>
  <c r="E40" i="21"/>
  <c r="G40" i="21" s="1"/>
  <c r="E39" i="21"/>
  <c r="G39" i="21" s="1"/>
  <c r="E38" i="21"/>
  <c r="G38" i="21" s="1"/>
  <c r="E37" i="21"/>
  <c r="G37" i="21" s="1"/>
  <c r="E36" i="21"/>
  <c r="G36" i="21" s="1"/>
  <c r="E35" i="21"/>
  <c r="G35" i="21" s="1"/>
  <c r="E29" i="21"/>
  <c r="G29" i="21" s="1"/>
  <c r="H24" i="21"/>
  <c r="J24" i="21" s="1"/>
  <c r="E24" i="21"/>
  <c r="E23" i="21"/>
  <c r="H22" i="21"/>
  <c r="J22" i="21" s="1"/>
  <c r="E22" i="21"/>
  <c r="E19" i="21"/>
  <c r="G19" i="21" s="1"/>
  <c r="F118" i="21" s="1"/>
  <c r="I18" i="21"/>
  <c r="G18" i="21"/>
  <c r="E31" i="21" s="1"/>
  <c r="G31" i="21" s="1"/>
  <c r="E18" i="21"/>
  <c r="E15" i="21"/>
  <c r="G15" i="21" s="1"/>
  <c r="E12" i="21"/>
  <c r="G12" i="21" s="1"/>
  <c r="E11" i="21"/>
  <c r="G11" i="21" s="1"/>
  <c r="E10" i="21"/>
  <c r="G10" i="21" s="1"/>
  <c r="E9" i="21"/>
  <c r="G9" i="21" s="1"/>
  <c r="I8" i="21"/>
  <c r="E8" i="21"/>
  <c r="G8" i="21" s="1"/>
  <c r="I7" i="21"/>
  <c r="E7" i="21"/>
  <c r="G7" i="21" s="1"/>
  <c r="J3" i="21"/>
  <c r="I3" i="21"/>
  <c r="H3" i="21"/>
  <c r="G3" i="21"/>
  <c r="F171" i="20"/>
  <c r="F170" i="20"/>
  <c r="F169" i="20"/>
  <c r="F168" i="20"/>
  <c r="F167" i="20"/>
  <c r="F166" i="20"/>
  <c r="F165" i="20"/>
  <c r="E163" i="20"/>
  <c r="G163" i="20" s="1"/>
  <c r="L163" i="20" s="1"/>
  <c r="E162" i="20"/>
  <c r="G162" i="20" s="1"/>
  <c r="L162" i="20" s="1"/>
  <c r="E161" i="20"/>
  <c r="G161" i="20" s="1"/>
  <c r="L161" i="20" s="1"/>
  <c r="E160" i="20"/>
  <c r="G160" i="20" s="1"/>
  <c r="L160" i="20" s="1"/>
  <c r="E140" i="20"/>
  <c r="G140" i="20" s="1"/>
  <c r="E139" i="20"/>
  <c r="G139" i="20" s="1"/>
  <c r="E138" i="20"/>
  <c r="G138" i="20" s="1"/>
  <c r="E137" i="20"/>
  <c r="G137" i="20" s="1"/>
  <c r="E136" i="20"/>
  <c r="G136" i="20" s="1"/>
  <c r="E135" i="20"/>
  <c r="G135" i="20" s="1"/>
  <c r="E134" i="20"/>
  <c r="G134" i="20" s="1"/>
  <c r="E133" i="20"/>
  <c r="G133" i="20" s="1"/>
  <c r="E132" i="20"/>
  <c r="G132" i="20" s="1"/>
  <c r="E131" i="20"/>
  <c r="G131" i="20" s="1"/>
  <c r="E130" i="20"/>
  <c r="G130" i="20" s="1"/>
  <c r="E127" i="20"/>
  <c r="G127" i="20" s="1"/>
  <c r="E126" i="20"/>
  <c r="G126" i="20" s="1"/>
  <c r="E125" i="20"/>
  <c r="G125" i="20" s="1"/>
  <c r="E124" i="20"/>
  <c r="G124" i="20" s="1"/>
  <c r="E123" i="20"/>
  <c r="G123" i="20" s="1"/>
  <c r="G116" i="20"/>
  <c r="H116" i="20" s="1"/>
  <c r="J116" i="20" s="1"/>
  <c r="E115" i="20"/>
  <c r="G115" i="20" s="1"/>
  <c r="H115" i="20" s="1"/>
  <c r="J115" i="20" s="1"/>
  <c r="E114" i="20"/>
  <c r="G114" i="20" s="1"/>
  <c r="H114" i="20" s="1"/>
  <c r="J114" i="20" s="1"/>
  <c r="J113" i="20"/>
  <c r="E113" i="20"/>
  <c r="E112" i="20"/>
  <c r="E111" i="20"/>
  <c r="G111" i="20" s="1"/>
  <c r="H111" i="20" s="1"/>
  <c r="J111" i="20" s="1"/>
  <c r="E110" i="20"/>
  <c r="G110" i="20" s="1"/>
  <c r="H110" i="20" s="1"/>
  <c r="J110" i="20" s="1"/>
  <c r="E109" i="20"/>
  <c r="G109" i="20" s="1"/>
  <c r="E108" i="20"/>
  <c r="E107" i="20"/>
  <c r="E106" i="20"/>
  <c r="G106" i="20" s="1"/>
  <c r="H106" i="20" s="1"/>
  <c r="J106" i="20" s="1"/>
  <c r="E105" i="20"/>
  <c r="G105" i="20" s="1"/>
  <c r="H105" i="20" s="1"/>
  <c r="J105" i="20" s="1"/>
  <c r="E104" i="20"/>
  <c r="G104" i="20" s="1"/>
  <c r="E100" i="20"/>
  <c r="G100" i="20" s="1"/>
  <c r="E99" i="20"/>
  <c r="G99" i="20" s="1"/>
  <c r="E98" i="20"/>
  <c r="G98" i="20" s="1"/>
  <c r="E97" i="20"/>
  <c r="G97" i="20" s="1"/>
  <c r="E96" i="20"/>
  <c r="G96" i="20" s="1"/>
  <c r="E95" i="20"/>
  <c r="G95" i="20" s="1"/>
  <c r="E94" i="20"/>
  <c r="E93" i="20"/>
  <c r="G93" i="20" s="1"/>
  <c r="E92" i="20"/>
  <c r="G92" i="20" s="1"/>
  <c r="G94" i="20" s="1"/>
  <c r="E90" i="20"/>
  <c r="G90" i="20" s="1"/>
  <c r="H90" i="20" s="1"/>
  <c r="J90" i="20" s="1"/>
  <c r="E89" i="20"/>
  <c r="G89" i="20" s="1"/>
  <c r="H89" i="20" s="1"/>
  <c r="J89" i="20" s="1"/>
  <c r="E88" i="20"/>
  <c r="G88" i="20" s="1"/>
  <c r="H88" i="20" s="1"/>
  <c r="J88" i="20" s="1"/>
  <c r="E87" i="20"/>
  <c r="G87" i="20" s="1"/>
  <c r="H87" i="20" s="1"/>
  <c r="J87" i="20" s="1"/>
  <c r="E86" i="20"/>
  <c r="G86" i="20" s="1"/>
  <c r="H86" i="20" s="1"/>
  <c r="J86" i="20" s="1"/>
  <c r="E84" i="20"/>
  <c r="G84" i="20" s="1"/>
  <c r="E83" i="20"/>
  <c r="G83" i="20" s="1"/>
  <c r="E82" i="20"/>
  <c r="G82" i="20" s="1"/>
  <c r="E81" i="20"/>
  <c r="G81" i="20" s="1"/>
  <c r="E80" i="20"/>
  <c r="G80" i="20" s="1"/>
  <c r="E79" i="20"/>
  <c r="G79" i="20" s="1"/>
  <c r="E78" i="20"/>
  <c r="G78" i="20" s="1"/>
  <c r="E77" i="20"/>
  <c r="G77" i="20" s="1"/>
  <c r="E76" i="20"/>
  <c r="G76" i="20" s="1"/>
  <c r="E75" i="20"/>
  <c r="G75" i="20" s="1"/>
  <c r="E74" i="20"/>
  <c r="G74" i="20" s="1"/>
  <c r="E73" i="20"/>
  <c r="G73" i="20" s="1"/>
  <c r="E72" i="20"/>
  <c r="G72" i="20" s="1"/>
  <c r="H70" i="20"/>
  <c r="E69" i="20"/>
  <c r="E68" i="20"/>
  <c r="G68" i="20" s="1"/>
  <c r="E67" i="20"/>
  <c r="E66" i="20"/>
  <c r="G66" i="20" s="1"/>
  <c r="E65" i="20"/>
  <c r="E64" i="20"/>
  <c r="G64" i="20" s="1"/>
  <c r="E63" i="20"/>
  <c r="E62" i="20"/>
  <c r="G62" i="20" s="1"/>
  <c r="E58" i="20"/>
  <c r="G58" i="20" s="1"/>
  <c r="E57" i="20"/>
  <c r="G57" i="20" s="1"/>
  <c r="L57" i="20" s="1"/>
  <c r="E56" i="20"/>
  <c r="G56" i="20" s="1"/>
  <c r="E55" i="20"/>
  <c r="G55" i="20" s="1"/>
  <c r="L55" i="20" s="1"/>
  <c r="E54" i="20"/>
  <c r="G54" i="20" s="1"/>
  <c r="E53" i="20"/>
  <c r="G53" i="20" s="1"/>
  <c r="E52" i="20"/>
  <c r="G52" i="20" s="1"/>
  <c r="L52" i="20" s="1"/>
  <c r="E51" i="20"/>
  <c r="G51" i="20" s="1"/>
  <c r="L51" i="20" s="1"/>
  <c r="E50" i="20"/>
  <c r="G50" i="20" s="1"/>
  <c r="E49" i="20"/>
  <c r="G49" i="20" s="1"/>
  <c r="L49" i="20" s="1"/>
  <c r="L48" i="20"/>
  <c r="E46" i="20"/>
  <c r="G46" i="20" s="1"/>
  <c r="E45" i="20"/>
  <c r="G45" i="20" s="1"/>
  <c r="E44" i="20"/>
  <c r="G44" i="20" s="1"/>
  <c r="E43" i="20"/>
  <c r="G43" i="20" s="1"/>
  <c r="E42" i="20"/>
  <c r="G42" i="20" s="1"/>
  <c r="L42" i="20" s="1"/>
  <c r="E41" i="20"/>
  <c r="G41" i="20" s="1"/>
  <c r="E40" i="20"/>
  <c r="G40" i="20" s="1"/>
  <c r="E39" i="20"/>
  <c r="G39" i="20" s="1"/>
  <c r="E38" i="20"/>
  <c r="G38" i="20" s="1"/>
  <c r="G148" i="20" s="1"/>
  <c r="E37" i="20"/>
  <c r="G37" i="20" s="1"/>
  <c r="E36" i="20"/>
  <c r="G36" i="20" s="1"/>
  <c r="E35" i="20"/>
  <c r="G35" i="20" s="1"/>
  <c r="E29" i="20"/>
  <c r="G29" i="20" s="1"/>
  <c r="H24" i="20"/>
  <c r="J24" i="20" s="1"/>
  <c r="E24" i="20"/>
  <c r="E23" i="20"/>
  <c r="H22" i="20"/>
  <c r="J22" i="20" s="1"/>
  <c r="E22" i="20"/>
  <c r="E19" i="20"/>
  <c r="G19" i="20" s="1"/>
  <c r="I18" i="20"/>
  <c r="G18" i="20"/>
  <c r="E18" i="20"/>
  <c r="E15" i="20"/>
  <c r="G15" i="20" s="1"/>
  <c r="E12" i="20"/>
  <c r="G12" i="20" s="1"/>
  <c r="E11" i="20"/>
  <c r="G11" i="20" s="1"/>
  <c r="E10" i="20"/>
  <c r="G10" i="20" s="1"/>
  <c r="E9" i="20"/>
  <c r="G9" i="20" s="1"/>
  <c r="G13" i="20" s="1"/>
  <c r="I8" i="20"/>
  <c r="E8" i="20"/>
  <c r="G8" i="20" s="1"/>
  <c r="I7" i="20"/>
  <c r="E7" i="20"/>
  <c r="G7" i="20" s="1"/>
  <c r="J3" i="20"/>
  <c r="I3" i="20"/>
  <c r="H3" i="20"/>
  <c r="G3" i="20"/>
  <c r="E163" i="19"/>
  <c r="G163" i="19" s="1"/>
  <c r="G162" i="19"/>
  <c r="E161" i="19"/>
  <c r="G161" i="19" s="1"/>
  <c r="E160" i="19"/>
  <c r="G160" i="19" s="1"/>
  <c r="E140" i="19"/>
  <c r="G140" i="19" s="1"/>
  <c r="E139" i="19"/>
  <c r="G139" i="19" s="1"/>
  <c r="E138" i="19"/>
  <c r="G138" i="19" s="1"/>
  <c r="E137" i="19"/>
  <c r="G137" i="19" s="1"/>
  <c r="E136" i="19"/>
  <c r="G136" i="19" s="1"/>
  <c r="G135" i="19"/>
  <c r="E134" i="19"/>
  <c r="G134" i="19" s="1"/>
  <c r="E133" i="19"/>
  <c r="G133" i="19" s="1"/>
  <c r="E132" i="19"/>
  <c r="G132" i="19" s="1"/>
  <c r="E131" i="19"/>
  <c r="G131" i="19" s="1"/>
  <c r="E130" i="19"/>
  <c r="G130" i="19" s="1"/>
  <c r="E127" i="19"/>
  <c r="G127" i="19" s="1"/>
  <c r="E126" i="19"/>
  <c r="G126" i="19" s="1"/>
  <c r="E125" i="19"/>
  <c r="G125" i="19" s="1"/>
  <c r="E124" i="19"/>
  <c r="G124" i="19" s="1"/>
  <c r="E123" i="19"/>
  <c r="G123" i="19" s="1"/>
  <c r="G116" i="19"/>
  <c r="H116" i="19" s="1"/>
  <c r="J116" i="19" s="1"/>
  <c r="E115" i="19"/>
  <c r="G115" i="19" s="1"/>
  <c r="H115" i="19" s="1"/>
  <c r="J115" i="19" s="1"/>
  <c r="E114" i="19"/>
  <c r="G114" i="19" s="1"/>
  <c r="J113" i="19"/>
  <c r="E113" i="19"/>
  <c r="E112" i="19"/>
  <c r="E111" i="19"/>
  <c r="G111" i="19" s="1"/>
  <c r="H111" i="19" s="1"/>
  <c r="J111" i="19" s="1"/>
  <c r="E110" i="19"/>
  <c r="G110" i="19" s="1"/>
  <c r="H110" i="19" s="1"/>
  <c r="J110" i="19" s="1"/>
  <c r="E109" i="19"/>
  <c r="G109" i="19" s="1"/>
  <c r="E108" i="19"/>
  <c r="E107" i="19"/>
  <c r="E106" i="19"/>
  <c r="G106" i="19" s="1"/>
  <c r="H106" i="19" s="1"/>
  <c r="J106" i="19" s="1"/>
  <c r="E105" i="19"/>
  <c r="G105" i="19" s="1"/>
  <c r="H105" i="19" s="1"/>
  <c r="J105" i="19" s="1"/>
  <c r="E104" i="19"/>
  <c r="G104" i="19" s="1"/>
  <c r="E100" i="19"/>
  <c r="G100" i="19" s="1"/>
  <c r="E99" i="19"/>
  <c r="G99" i="19" s="1"/>
  <c r="E98" i="19"/>
  <c r="G98" i="19" s="1"/>
  <c r="E97" i="19"/>
  <c r="G97" i="19" s="1"/>
  <c r="E96" i="19"/>
  <c r="G96" i="19" s="1"/>
  <c r="E95" i="19"/>
  <c r="G95" i="19" s="1"/>
  <c r="E94" i="19"/>
  <c r="E93" i="19"/>
  <c r="G93" i="19" s="1"/>
  <c r="E92" i="19"/>
  <c r="G92" i="19" s="1"/>
  <c r="G94" i="19" s="1"/>
  <c r="E90" i="19"/>
  <c r="G90" i="19" s="1"/>
  <c r="H90" i="19" s="1"/>
  <c r="J90" i="19" s="1"/>
  <c r="E89" i="19"/>
  <c r="G89" i="19" s="1"/>
  <c r="H89" i="19" s="1"/>
  <c r="J89" i="19" s="1"/>
  <c r="E88" i="19"/>
  <c r="G88" i="19" s="1"/>
  <c r="H88" i="19" s="1"/>
  <c r="J88" i="19" s="1"/>
  <c r="E87" i="19"/>
  <c r="G87" i="19" s="1"/>
  <c r="H87" i="19" s="1"/>
  <c r="J87" i="19" s="1"/>
  <c r="E86" i="19"/>
  <c r="G86" i="19" s="1"/>
  <c r="H86" i="19" s="1"/>
  <c r="J86" i="19" s="1"/>
  <c r="E84" i="19"/>
  <c r="G84" i="19" s="1"/>
  <c r="E83" i="19"/>
  <c r="G83" i="19" s="1"/>
  <c r="E82" i="19"/>
  <c r="G82" i="19" s="1"/>
  <c r="E81" i="19"/>
  <c r="G81" i="19" s="1"/>
  <c r="E80" i="19"/>
  <c r="G80" i="19" s="1"/>
  <c r="E79" i="19"/>
  <c r="G79" i="19" s="1"/>
  <c r="E78" i="19"/>
  <c r="G78" i="19" s="1"/>
  <c r="E77" i="19"/>
  <c r="G77" i="19" s="1"/>
  <c r="E76" i="19"/>
  <c r="G76" i="19" s="1"/>
  <c r="E75" i="19"/>
  <c r="G75" i="19" s="1"/>
  <c r="E74" i="19"/>
  <c r="G74" i="19" s="1"/>
  <c r="E73" i="19"/>
  <c r="G73" i="19" s="1"/>
  <c r="E72" i="19"/>
  <c r="G72" i="19" s="1"/>
  <c r="H70" i="19"/>
  <c r="E69" i="19"/>
  <c r="E171" i="19" s="1"/>
  <c r="E68" i="19"/>
  <c r="G68" i="19" s="1"/>
  <c r="E67" i="19"/>
  <c r="E66" i="19"/>
  <c r="G168" i="19" s="1"/>
  <c r="E65" i="19"/>
  <c r="E64" i="19"/>
  <c r="G64" i="19" s="1"/>
  <c r="E63" i="19"/>
  <c r="E62" i="19"/>
  <c r="G62" i="19" s="1"/>
  <c r="E58" i="19"/>
  <c r="G58" i="19" s="1"/>
  <c r="E57" i="19"/>
  <c r="G57" i="19" s="1"/>
  <c r="E56" i="19"/>
  <c r="G56" i="19" s="1"/>
  <c r="E55" i="19"/>
  <c r="G55" i="19" s="1"/>
  <c r="E54" i="19"/>
  <c r="G54" i="19" s="1"/>
  <c r="E53" i="19"/>
  <c r="G53" i="19" s="1"/>
  <c r="E52" i="19"/>
  <c r="G52" i="19" s="1"/>
  <c r="E51" i="19"/>
  <c r="G51" i="19" s="1"/>
  <c r="E50" i="19"/>
  <c r="G50" i="19" s="1"/>
  <c r="E49" i="19"/>
  <c r="E46" i="19"/>
  <c r="G46" i="19" s="1"/>
  <c r="E45" i="19"/>
  <c r="G45" i="19" s="1"/>
  <c r="E44" i="19"/>
  <c r="G44" i="19" s="1"/>
  <c r="E43" i="19"/>
  <c r="G43" i="19" s="1"/>
  <c r="E42" i="19"/>
  <c r="G42" i="19" s="1"/>
  <c r="E41" i="19"/>
  <c r="G41" i="19" s="1"/>
  <c r="G40" i="19"/>
  <c r="E39" i="19"/>
  <c r="G39" i="19" s="1"/>
  <c r="E38" i="19"/>
  <c r="G38" i="19" s="1"/>
  <c r="E37" i="19"/>
  <c r="G37" i="19" s="1"/>
  <c r="E36" i="19"/>
  <c r="G36" i="19" s="1"/>
  <c r="E35" i="19"/>
  <c r="G35" i="19" s="1"/>
  <c r="E29" i="19"/>
  <c r="G29" i="19" s="1"/>
  <c r="H24" i="19"/>
  <c r="J24" i="19" s="1"/>
  <c r="E24" i="19"/>
  <c r="E23" i="19"/>
  <c r="E22" i="19"/>
  <c r="G22" i="19" s="1"/>
  <c r="E19" i="19"/>
  <c r="G19" i="19" s="1"/>
  <c r="E30" i="19" s="1"/>
  <c r="G30" i="19" s="1"/>
  <c r="I18" i="19"/>
  <c r="G18" i="19"/>
  <c r="E18" i="19"/>
  <c r="I15" i="19"/>
  <c r="E15" i="19"/>
  <c r="G15" i="19" s="1"/>
  <c r="E12" i="19"/>
  <c r="G12" i="19" s="1"/>
  <c r="E11" i="19"/>
  <c r="G11" i="19" s="1"/>
  <c r="E10" i="19"/>
  <c r="G10" i="19" s="1"/>
  <c r="E9" i="19"/>
  <c r="G9" i="19" s="1"/>
  <c r="I8" i="19"/>
  <c r="E8" i="19"/>
  <c r="G8" i="19" s="1"/>
  <c r="I7" i="19"/>
  <c r="E7" i="19"/>
  <c r="G7" i="19" s="1"/>
  <c r="J3" i="19"/>
  <c r="I3" i="19"/>
  <c r="H3" i="19"/>
  <c r="G3" i="19"/>
  <c r="F171" i="18"/>
  <c r="F170" i="18"/>
  <c r="F169" i="18"/>
  <c r="F168" i="18"/>
  <c r="F167" i="18"/>
  <c r="F166" i="18"/>
  <c r="F164" i="18"/>
  <c r="E163" i="18"/>
  <c r="G163" i="18" s="1"/>
  <c r="E162" i="18"/>
  <c r="G162" i="18" s="1"/>
  <c r="E161" i="18"/>
  <c r="G161" i="18" s="1"/>
  <c r="E160" i="18"/>
  <c r="G160" i="18" s="1"/>
  <c r="E140" i="18"/>
  <c r="G140" i="18" s="1"/>
  <c r="E139" i="18"/>
  <c r="G139" i="18" s="1"/>
  <c r="E138" i="18"/>
  <c r="G138" i="18" s="1"/>
  <c r="E137" i="18"/>
  <c r="G137" i="18" s="1"/>
  <c r="E136" i="18"/>
  <c r="G136" i="18" s="1"/>
  <c r="E135" i="18"/>
  <c r="G135" i="18" s="1"/>
  <c r="E134" i="18"/>
  <c r="G134" i="18" s="1"/>
  <c r="E133" i="18"/>
  <c r="G133" i="18" s="1"/>
  <c r="E132" i="18"/>
  <c r="G132" i="18" s="1"/>
  <c r="E131" i="18"/>
  <c r="G131" i="18" s="1"/>
  <c r="E130" i="18"/>
  <c r="G130" i="18" s="1"/>
  <c r="E127" i="18"/>
  <c r="G127" i="18" s="1"/>
  <c r="E126" i="18"/>
  <c r="G126" i="18" s="1"/>
  <c r="E125" i="18"/>
  <c r="G125" i="18" s="1"/>
  <c r="E124" i="18"/>
  <c r="G124" i="18" s="1"/>
  <c r="E123" i="18"/>
  <c r="G123" i="18" s="1"/>
  <c r="G116" i="18"/>
  <c r="H116" i="18" s="1"/>
  <c r="J116" i="18" s="1"/>
  <c r="E115" i="18"/>
  <c r="G115" i="18" s="1"/>
  <c r="H115" i="18" s="1"/>
  <c r="J115" i="18" s="1"/>
  <c r="E114" i="18"/>
  <c r="G114" i="18" s="1"/>
  <c r="H114" i="18" s="1"/>
  <c r="J114" i="18" s="1"/>
  <c r="J113" i="18"/>
  <c r="E113" i="18"/>
  <c r="E112" i="18"/>
  <c r="E111" i="18"/>
  <c r="G111" i="18" s="1"/>
  <c r="H111" i="18" s="1"/>
  <c r="J111" i="18" s="1"/>
  <c r="E110" i="18"/>
  <c r="G110" i="18" s="1"/>
  <c r="H110" i="18" s="1"/>
  <c r="J110" i="18" s="1"/>
  <c r="E109" i="18"/>
  <c r="G109" i="18" s="1"/>
  <c r="E108" i="18"/>
  <c r="E107" i="18"/>
  <c r="E106" i="18"/>
  <c r="G106" i="18" s="1"/>
  <c r="H106" i="18" s="1"/>
  <c r="J106" i="18" s="1"/>
  <c r="E105" i="18"/>
  <c r="G105" i="18" s="1"/>
  <c r="H105" i="18" s="1"/>
  <c r="J105" i="18" s="1"/>
  <c r="E104" i="18"/>
  <c r="G104" i="18" s="1"/>
  <c r="H104" i="18" s="1"/>
  <c r="J104" i="18" s="1"/>
  <c r="G100" i="18"/>
  <c r="E99" i="18"/>
  <c r="G99" i="18" s="1"/>
  <c r="E98" i="18"/>
  <c r="G98" i="18" s="1"/>
  <c r="E97" i="18"/>
  <c r="G97" i="18" s="1"/>
  <c r="E96" i="18"/>
  <c r="G96" i="18" s="1"/>
  <c r="E95" i="18"/>
  <c r="G95" i="18" s="1"/>
  <c r="E94" i="18"/>
  <c r="E93" i="18"/>
  <c r="G93" i="18" s="1"/>
  <c r="E92" i="18"/>
  <c r="G92" i="18" s="1"/>
  <c r="E90" i="18"/>
  <c r="G90" i="18" s="1"/>
  <c r="H90" i="18" s="1"/>
  <c r="J90" i="18" s="1"/>
  <c r="E89" i="18"/>
  <c r="G89" i="18" s="1"/>
  <c r="H89" i="18" s="1"/>
  <c r="J89" i="18" s="1"/>
  <c r="E88" i="18"/>
  <c r="G88" i="18" s="1"/>
  <c r="H88" i="18" s="1"/>
  <c r="J88" i="18" s="1"/>
  <c r="E87" i="18"/>
  <c r="G87" i="18" s="1"/>
  <c r="H87" i="18" s="1"/>
  <c r="J87" i="18" s="1"/>
  <c r="E86" i="18"/>
  <c r="G86" i="18" s="1"/>
  <c r="H86" i="18" s="1"/>
  <c r="J86" i="18" s="1"/>
  <c r="E84" i="18"/>
  <c r="G84" i="18" s="1"/>
  <c r="E83" i="18"/>
  <c r="G83" i="18" s="1"/>
  <c r="E82" i="18"/>
  <c r="G82" i="18" s="1"/>
  <c r="E81" i="18"/>
  <c r="G81" i="18" s="1"/>
  <c r="E80" i="18"/>
  <c r="G80" i="18" s="1"/>
  <c r="E79" i="18"/>
  <c r="G79" i="18" s="1"/>
  <c r="E78" i="18"/>
  <c r="G78" i="18" s="1"/>
  <c r="E77" i="18"/>
  <c r="G77" i="18" s="1"/>
  <c r="E76" i="18"/>
  <c r="G76" i="18" s="1"/>
  <c r="E75" i="18"/>
  <c r="G75" i="18" s="1"/>
  <c r="E74" i="18"/>
  <c r="G74" i="18" s="1"/>
  <c r="E73" i="18"/>
  <c r="G73" i="18" s="1"/>
  <c r="E72" i="18"/>
  <c r="G72" i="18" s="1"/>
  <c r="H70" i="18"/>
  <c r="E69" i="18"/>
  <c r="E171" i="18" s="1"/>
  <c r="G171" i="18" s="1"/>
  <c r="E68" i="18"/>
  <c r="E67" i="18"/>
  <c r="G67" i="18" s="1"/>
  <c r="E66" i="18"/>
  <c r="E168" i="18" s="1"/>
  <c r="E65" i="18"/>
  <c r="E167" i="18" s="1"/>
  <c r="E64" i="18"/>
  <c r="E166" i="18" s="1"/>
  <c r="G166" i="18" s="1"/>
  <c r="E63" i="18"/>
  <c r="E165" i="18" s="1"/>
  <c r="G165" i="18" s="1"/>
  <c r="E62" i="18"/>
  <c r="E164" i="18" s="1"/>
  <c r="E58" i="18"/>
  <c r="G58" i="18" s="1"/>
  <c r="E57" i="18"/>
  <c r="G57" i="18" s="1"/>
  <c r="E56" i="18"/>
  <c r="G56" i="18" s="1"/>
  <c r="E55" i="18"/>
  <c r="G55" i="18" s="1"/>
  <c r="E54" i="18"/>
  <c r="G54" i="18" s="1"/>
  <c r="G53" i="18"/>
  <c r="E52" i="18"/>
  <c r="G52" i="18" s="1"/>
  <c r="G51" i="18"/>
  <c r="E50" i="18"/>
  <c r="G50" i="18" s="1"/>
  <c r="E49" i="18"/>
  <c r="G49" i="18" s="1"/>
  <c r="E46" i="18"/>
  <c r="G46" i="18" s="1"/>
  <c r="E45" i="18"/>
  <c r="G45" i="18" s="1"/>
  <c r="E44" i="18"/>
  <c r="G44" i="18" s="1"/>
  <c r="E43" i="18"/>
  <c r="G43" i="18" s="1"/>
  <c r="E42" i="18"/>
  <c r="G42" i="18" s="1"/>
  <c r="E41" i="18"/>
  <c r="G41" i="18" s="1"/>
  <c r="E40" i="18"/>
  <c r="G40" i="18" s="1"/>
  <c r="E39" i="18"/>
  <c r="G39" i="18" s="1"/>
  <c r="E38" i="18"/>
  <c r="G38" i="18" s="1"/>
  <c r="E37" i="18"/>
  <c r="G37" i="18" s="1"/>
  <c r="E36" i="18"/>
  <c r="G36" i="18" s="1"/>
  <c r="E35" i="18"/>
  <c r="G35" i="18" s="1"/>
  <c r="E29" i="18"/>
  <c r="G29" i="18" s="1"/>
  <c r="J24" i="18"/>
  <c r="E24" i="18"/>
  <c r="E23" i="18"/>
  <c r="E22" i="18"/>
  <c r="E19" i="18"/>
  <c r="G19" i="18" s="1"/>
  <c r="I18" i="18"/>
  <c r="G18" i="18"/>
  <c r="G20" i="18" s="1"/>
  <c r="E18" i="18"/>
  <c r="I15" i="18"/>
  <c r="E15" i="18"/>
  <c r="G15" i="18" s="1"/>
  <c r="E12" i="18"/>
  <c r="G12" i="18" s="1"/>
  <c r="E11" i="18"/>
  <c r="G11" i="18" s="1"/>
  <c r="E10" i="18"/>
  <c r="G10" i="18" s="1"/>
  <c r="E9" i="18"/>
  <c r="G9" i="18" s="1"/>
  <c r="I8" i="18"/>
  <c r="E8" i="18"/>
  <c r="G8" i="18" s="1"/>
  <c r="I7" i="18"/>
  <c r="E7" i="18"/>
  <c r="G7" i="18" s="1"/>
  <c r="G143" i="18" s="1"/>
  <c r="F164" i="17"/>
  <c r="E163" i="17"/>
  <c r="G163" i="17" s="1"/>
  <c r="E162" i="17"/>
  <c r="G162" i="17" s="1"/>
  <c r="E161" i="17"/>
  <c r="G161" i="17" s="1"/>
  <c r="E160" i="17"/>
  <c r="G160" i="17" s="1"/>
  <c r="E140" i="17"/>
  <c r="G140" i="17" s="1"/>
  <c r="E139" i="17"/>
  <c r="G139" i="17" s="1"/>
  <c r="E138" i="17"/>
  <c r="G138" i="17" s="1"/>
  <c r="E137" i="17"/>
  <c r="G137" i="17" s="1"/>
  <c r="E136" i="17"/>
  <c r="G136" i="17" s="1"/>
  <c r="E135" i="17"/>
  <c r="G135" i="17" s="1"/>
  <c r="E134" i="17"/>
  <c r="G134" i="17" s="1"/>
  <c r="E133" i="17"/>
  <c r="G133" i="17" s="1"/>
  <c r="E132" i="17"/>
  <c r="G132" i="17" s="1"/>
  <c r="E131" i="17"/>
  <c r="G131" i="17" s="1"/>
  <c r="E130" i="17"/>
  <c r="G130" i="17" s="1"/>
  <c r="E127" i="17"/>
  <c r="G127" i="17" s="1"/>
  <c r="E126" i="17"/>
  <c r="G126" i="17" s="1"/>
  <c r="E125" i="17"/>
  <c r="G125" i="17" s="1"/>
  <c r="E124" i="17"/>
  <c r="G124" i="17" s="1"/>
  <c r="E123" i="17"/>
  <c r="G123" i="17" s="1"/>
  <c r="G116" i="17"/>
  <c r="H116" i="17" s="1"/>
  <c r="J116" i="17" s="1"/>
  <c r="E115" i="17"/>
  <c r="G115" i="17" s="1"/>
  <c r="H115" i="17" s="1"/>
  <c r="J115" i="17" s="1"/>
  <c r="E114" i="17"/>
  <c r="G114" i="17" s="1"/>
  <c r="J113" i="17"/>
  <c r="E113" i="17"/>
  <c r="E112" i="17"/>
  <c r="E111" i="17"/>
  <c r="G111" i="17" s="1"/>
  <c r="H111" i="17" s="1"/>
  <c r="J111" i="17" s="1"/>
  <c r="E110" i="17"/>
  <c r="G110" i="17" s="1"/>
  <c r="H110" i="17" s="1"/>
  <c r="J110" i="17" s="1"/>
  <c r="E109" i="17"/>
  <c r="G109" i="17" s="1"/>
  <c r="H109" i="17" s="1"/>
  <c r="J109" i="17" s="1"/>
  <c r="E108" i="17"/>
  <c r="E107" i="17"/>
  <c r="E106" i="17"/>
  <c r="G106" i="17" s="1"/>
  <c r="H106" i="17" s="1"/>
  <c r="J106" i="17" s="1"/>
  <c r="E105" i="17"/>
  <c r="G105" i="17" s="1"/>
  <c r="E104" i="17"/>
  <c r="G104" i="17" s="1"/>
  <c r="H104" i="17" s="1"/>
  <c r="J104" i="17" s="1"/>
  <c r="E100" i="17"/>
  <c r="G100" i="17" s="1"/>
  <c r="E99" i="17"/>
  <c r="G99" i="17" s="1"/>
  <c r="E98" i="17"/>
  <c r="G98" i="17" s="1"/>
  <c r="E97" i="17"/>
  <c r="G97" i="17" s="1"/>
  <c r="E96" i="17"/>
  <c r="G96" i="17" s="1"/>
  <c r="E95" i="17"/>
  <c r="G95" i="17" s="1"/>
  <c r="E94" i="17"/>
  <c r="E93" i="17"/>
  <c r="G93" i="17" s="1"/>
  <c r="E92" i="17"/>
  <c r="G92" i="17" s="1"/>
  <c r="E90" i="17"/>
  <c r="G90" i="17" s="1"/>
  <c r="H90" i="17" s="1"/>
  <c r="J90" i="17" s="1"/>
  <c r="E89" i="17"/>
  <c r="G89" i="17" s="1"/>
  <c r="H89" i="17" s="1"/>
  <c r="J89" i="17" s="1"/>
  <c r="E88" i="17"/>
  <c r="G88" i="17" s="1"/>
  <c r="H88" i="17" s="1"/>
  <c r="J88" i="17" s="1"/>
  <c r="E87" i="17"/>
  <c r="G87" i="17" s="1"/>
  <c r="H87" i="17" s="1"/>
  <c r="J87" i="17" s="1"/>
  <c r="E86" i="17"/>
  <c r="G86" i="17" s="1"/>
  <c r="H86" i="17" s="1"/>
  <c r="J86" i="17" s="1"/>
  <c r="E84" i="17"/>
  <c r="G84" i="17" s="1"/>
  <c r="E83" i="17"/>
  <c r="G83" i="17" s="1"/>
  <c r="E82" i="17"/>
  <c r="G82" i="17" s="1"/>
  <c r="E81" i="17"/>
  <c r="G81" i="17" s="1"/>
  <c r="E80" i="17"/>
  <c r="G80" i="17" s="1"/>
  <c r="E79" i="17"/>
  <c r="G79" i="17" s="1"/>
  <c r="E78" i="17"/>
  <c r="G78" i="17" s="1"/>
  <c r="E77" i="17"/>
  <c r="G77" i="17" s="1"/>
  <c r="E76" i="17"/>
  <c r="G76" i="17" s="1"/>
  <c r="E75" i="17"/>
  <c r="G75" i="17" s="1"/>
  <c r="E74" i="17"/>
  <c r="G74" i="17" s="1"/>
  <c r="E73" i="17"/>
  <c r="G73" i="17" s="1"/>
  <c r="E72" i="17"/>
  <c r="G72" i="17" s="1"/>
  <c r="E69" i="17"/>
  <c r="G69" i="17" s="1"/>
  <c r="E68" i="17"/>
  <c r="E170" i="17" s="1"/>
  <c r="G170" i="17" s="1"/>
  <c r="E67" i="17"/>
  <c r="E169" i="17" s="1"/>
  <c r="G169" i="17" s="1"/>
  <c r="E66" i="17"/>
  <c r="G66" i="17" s="1"/>
  <c r="E65" i="17"/>
  <c r="G65" i="17" s="1"/>
  <c r="E64" i="17"/>
  <c r="E166" i="17" s="1"/>
  <c r="G166" i="17" s="1"/>
  <c r="E63" i="17"/>
  <c r="E165" i="17" s="1"/>
  <c r="G165" i="17" s="1"/>
  <c r="E62" i="17"/>
  <c r="E164" i="17" s="1"/>
  <c r="G164" i="17" s="1"/>
  <c r="E58" i="17"/>
  <c r="G58" i="17" s="1"/>
  <c r="E57" i="17"/>
  <c r="G57" i="17" s="1"/>
  <c r="E56" i="17"/>
  <c r="G56" i="17" s="1"/>
  <c r="E55" i="17"/>
  <c r="G55" i="17" s="1"/>
  <c r="E54" i="17"/>
  <c r="G54" i="17" s="1"/>
  <c r="E53" i="17"/>
  <c r="G53" i="17" s="1"/>
  <c r="E52" i="17"/>
  <c r="G52" i="17" s="1"/>
  <c r="E51" i="17"/>
  <c r="G51" i="17" s="1"/>
  <c r="E50" i="17"/>
  <c r="G50" i="17" s="1"/>
  <c r="E49" i="17"/>
  <c r="K49" i="17" s="1"/>
  <c r="E46" i="17"/>
  <c r="G46" i="17" s="1"/>
  <c r="E45" i="17"/>
  <c r="G45" i="17" s="1"/>
  <c r="E44" i="17"/>
  <c r="G44" i="17" s="1"/>
  <c r="E43" i="17"/>
  <c r="G43" i="17" s="1"/>
  <c r="E42" i="17"/>
  <c r="G42" i="17" s="1"/>
  <c r="E41" i="17"/>
  <c r="G41" i="17" s="1"/>
  <c r="E40" i="17"/>
  <c r="G40" i="17" s="1"/>
  <c r="E39" i="17"/>
  <c r="G39" i="17" s="1"/>
  <c r="E38" i="17"/>
  <c r="G38" i="17" s="1"/>
  <c r="E37" i="17"/>
  <c r="G37" i="17" s="1"/>
  <c r="E36" i="17"/>
  <c r="G36" i="17" s="1"/>
  <c r="E35" i="17"/>
  <c r="G35" i="17" s="1"/>
  <c r="E29" i="17"/>
  <c r="G29" i="17" s="1"/>
  <c r="E24" i="17"/>
  <c r="E23" i="17"/>
  <c r="G22" i="17"/>
  <c r="E19" i="17"/>
  <c r="G19" i="17" s="1"/>
  <c r="I18" i="17"/>
  <c r="G18" i="17"/>
  <c r="E31" i="17" s="1"/>
  <c r="G31" i="17" s="1"/>
  <c r="E18" i="17"/>
  <c r="I15" i="17"/>
  <c r="E15" i="17"/>
  <c r="G15" i="17" s="1"/>
  <c r="E12" i="17"/>
  <c r="G12" i="17" s="1"/>
  <c r="E11" i="17"/>
  <c r="G11" i="17" s="1"/>
  <c r="E10" i="17"/>
  <c r="G10" i="17" s="1"/>
  <c r="K9" i="17"/>
  <c r="E9" i="17"/>
  <c r="G9" i="17" s="1"/>
  <c r="K8" i="17"/>
  <c r="I8" i="17"/>
  <c r="E8" i="17"/>
  <c r="G8" i="17" s="1"/>
  <c r="K7" i="17"/>
  <c r="I7" i="17"/>
  <c r="E7" i="17"/>
  <c r="G7" i="17" s="1"/>
  <c r="F171" i="16"/>
  <c r="F170" i="16"/>
  <c r="F169" i="16"/>
  <c r="F168" i="16"/>
  <c r="F167" i="16"/>
  <c r="F166" i="16"/>
  <c r="F165" i="16"/>
  <c r="F164" i="16"/>
  <c r="E163" i="16"/>
  <c r="G163" i="16" s="1"/>
  <c r="E162" i="16"/>
  <c r="G162" i="16" s="1"/>
  <c r="E161" i="16"/>
  <c r="G161" i="16" s="1"/>
  <c r="E160" i="16"/>
  <c r="G160" i="16" s="1"/>
  <c r="E140" i="16"/>
  <c r="G140" i="16" s="1"/>
  <c r="E139" i="16"/>
  <c r="G139" i="16" s="1"/>
  <c r="E138" i="16"/>
  <c r="G138" i="16" s="1"/>
  <c r="E137" i="16"/>
  <c r="G137" i="16" s="1"/>
  <c r="E136" i="16"/>
  <c r="G136" i="16" s="1"/>
  <c r="E135" i="16"/>
  <c r="G135" i="16" s="1"/>
  <c r="E134" i="16"/>
  <c r="G134" i="16" s="1"/>
  <c r="E133" i="16"/>
  <c r="G133" i="16" s="1"/>
  <c r="E132" i="16"/>
  <c r="G132" i="16" s="1"/>
  <c r="E131" i="16"/>
  <c r="G131" i="16" s="1"/>
  <c r="E130" i="16"/>
  <c r="G130" i="16" s="1"/>
  <c r="E127" i="16"/>
  <c r="G127" i="16" s="1"/>
  <c r="E126" i="16"/>
  <c r="G126" i="16" s="1"/>
  <c r="E125" i="16"/>
  <c r="G125" i="16" s="1"/>
  <c r="E124" i="16"/>
  <c r="G124" i="16" s="1"/>
  <c r="E123" i="16"/>
  <c r="G123" i="16" s="1"/>
  <c r="E116" i="16"/>
  <c r="G116" i="16" s="1"/>
  <c r="H116" i="16" s="1"/>
  <c r="J116" i="16" s="1"/>
  <c r="E115" i="16"/>
  <c r="G115" i="16" s="1"/>
  <c r="H115" i="16" s="1"/>
  <c r="J115" i="16" s="1"/>
  <c r="E114" i="16"/>
  <c r="G114" i="16" s="1"/>
  <c r="J113" i="16"/>
  <c r="E113" i="16"/>
  <c r="E112" i="16"/>
  <c r="E111" i="16"/>
  <c r="G111" i="16" s="1"/>
  <c r="H111" i="16" s="1"/>
  <c r="J111" i="16" s="1"/>
  <c r="E110" i="16"/>
  <c r="G110" i="16" s="1"/>
  <c r="H110" i="16" s="1"/>
  <c r="J110" i="16" s="1"/>
  <c r="E109" i="16"/>
  <c r="G109" i="16" s="1"/>
  <c r="E108" i="16"/>
  <c r="E107" i="16"/>
  <c r="E106" i="16"/>
  <c r="G106" i="16" s="1"/>
  <c r="H106" i="16" s="1"/>
  <c r="J106" i="16" s="1"/>
  <c r="E105" i="16"/>
  <c r="G105" i="16" s="1"/>
  <c r="H105" i="16" s="1"/>
  <c r="J105" i="16" s="1"/>
  <c r="E104" i="16"/>
  <c r="G104" i="16" s="1"/>
  <c r="E100" i="16"/>
  <c r="G100" i="16" s="1"/>
  <c r="E99" i="16"/>
  <c r="G99" i="16" s="1"/>
  <c r="E98" i="16"/>
  <c r="G98" i="16" s="1"/>
  <c r="E97" i="16"/>
  <c r="G97" i="16" s="1"/>
  <c r="E96" i="16"/>
  <c r="G96" i="16" s="1"/>
  <c r="E95" i="16"/>
  <c r="G95" i="16" s="1"/>
  <c r="E93" i="16"/>
  <c r="G93" i="16" s="1"/>
  <c r="E92" i="16"/>
  <c r="G92" i="16" s="1"/>
  <c r="E90" i="16"/>
  <c r="G90" i="16" s="1"/>
  <c r="H90" i="16" s="1"/>
  <c r="J90" i="16" s="1"/>
  <c r="E89" i="16"/>
  <c r="G89" i="16" s="1"/>
  <c r="H89" i="16" s="1"/>
  <c r="J89" i="16" s="1"/>
  <c r="E88" i="16"/>
  <c r="G88" i="16" s="1"/>
  <c r="H88" i="16" s="1"/>
  <c r="J88" i="16" s="1"/>
  <c r="E87" i="16"/>
  <c r="G87" i="16" s="1"/>
  <c r="H87" i="16" s="1"/>
  <c r="J87" i="16" s="1"/>
  <c r="E86" i="16"/>
  <c r="G86" i="16" s="1"/>
  <c r="H86" i="16" s="1"/>
  <c r="J86" i="16" s="1"/>
  <c r="E84" i="16"/>
  <c r="G84" i="16" s="1"/>
  <c r="E83" i="16"/>
  <c r="G83" i="16" s="1"/>
  <c r="E82" i="16"/>
  <c r="G82" i="16" s="1"/>
  <c r="E81" i="16"/>
  <c r="G81" i="16" s="1"/>
  <c r="E80" i="16"/>
  <c r="G80" i="16" s="1"/>
  <c r="E79" i="16"/>
  <c r="G79" i="16" s="1"/>
  <c r="E78" i="16"/>
  <c r="G78" i="16" s="1"/>
  <c r="E77" i="16"/>
  <c r="G77" i="16" s="1"/>
  <c r="E76" i="16"/>
  <c r="G76" i="16" s="1"/>
  <c r="E75" i="16"/>
  <c r="G75" i="16" s="1"/>
  <c r="E74" i="16"/>
  <c r="G74" i="16" s="1"/>
  <c r="E73" i="16"/>
  <c r="G73" i="16" s="1"/>
  <c r="E72" i="16"/>
  <c r="G72" i="16" s="1"/>
  <c r="E69" i="16"/>
  <c r="E171" i="16" s="1"/>
  <c r="E68" i="16"/>
  <c r="E67" i="16"/>
  <c r="G67" i="16" s="1"/>
  <c r="E66" i="16"/>
  <c r="E168" i="16" s="1"/>
  <c r="E65" i="16"/>
  <c r="E167" i="16" s="1"/>
  <c r="E64" i="16"/>
  <c r="E166" i="16" s="1"/>
  <c r="E63" i="16"/>
  <c r="E165" i="16" s="1"/>
  <c r="E62" i="16"/>
  <c r="E164" i="16" s="1"/>
  <c r="G164" i="16" s="1"/>
  <c r="E58" i="16"/>
  <c r="G58" i="16" s="1"/>
  <c r="E57" i="16"/>
  <c r="G57" i="16" s="1"/>
  <c r="E56" i="16"/>
  <c r="G56" i="16" s="1"/>
  <c r="E55" i="16"/>
  <c r="G55" i="16" s="1"/>
  <c r="E54" i="16"/>
  <c r="G54" i="16" s="1"/>
  <c r="E53" i="16"/>
  <c r="G53" i="16" s="1"/>
  <c r="E52" i="16"/>
  <c r="G52" i="16" s="1"/>
  <c r="E51" i="16"/>
  <c r="G51" i="16" s="1"/>
  <c r="E50" i="16"/>
  <c r="G50" i="16" s="1"/>
  <c r="E49" i="16"/>
  <c r="K49" i="16" s="1"/>
  <c r="E46" i="16"/>
  <c r="G46" i="16" s="1"/>
  <c r="E45" i="16"/>
  <c r="G45" i="16" s="1"/>
  <c r="E44" i="16"/>
  <c r="G44" i="16" s="1"/>
  <c r="E43" i="16"/>
  <c r="G43" i="16" s="1"/>
  <c r="E42" i="16"/>
  <c r="G42" i="16" s="1"/>
  <c r="E41" i="16"/>
  <c r="G41" i="16" s="1"/>
  <c r="E40" i="16"/>
  <c r="G40" i="16" s="1"/>
  <c r="E39" i="16"/>
  <c r="G39" i="16" s="1"/>
  <c r="E38" i="16"/>
  <c r="G38" i="16" s="1"/>
  <c r="E37" i="16"/>
  <c r="G37" i="16" s="1"/>
  <c r="E36" i="16"/>
  <c r="G36" i="16" s="1"/>
  <c r="E35" i="16"/>
  <c r="G35" i="16" s="1"/>
  <c r="E29" i="16"/>
  <c r="G29" i="16" s="1"/>
  <c r="E24" i="16"/>
  <c r="E23" i="16"/>
  <c r="E22" i="16"/>
  <c r="G22" i="16" s="1"/>
  <c r="E19" i="16"/>
  <c r="G19" i="16" s="1"/>
  <c r="E30" i="16" s="1"/>
  <c r="G30" i="16" s="1"/>
  <c r="I18" i="16"/>
  <c r="G18" i="16"/>
  <c r="E18" i="16"/>
  <c r="E15" i="16"/>
  <c r="G15" i="16" s="1"/>
  <c r="E12" i="16"/>
  <c r="G12" i="16" s="1"/>
  <c r="E11" i="16"/>
  <c r="G11" i="16" s="1"/>
  <c r="E10" i="16"/>
  <c r="G10" i="16" s="1"/>
  <c r="E9" i="16"/>
  <c r="G9" i="16" s="1"/>
  <c r="I8" i="16"/>
  <c r="E8" i="16"/>
  <c r="G8" i="16" s="1"/>
  <c r="I7" i="16"/>
  <c r="E7" i="16"/>
  <c r="G7" i="16" s="1"/>
  <c r="F171" i="15"/>
  <c r="F170" i="15"/>
  <c r="F169" i="15"/>
  <c r="F168" i="15"/>
  <c r="F167" i="15"/>
  <c r="F166" i="15"/>
  <c r="F165" i="15"/>
  <c r="F164" i="15"/>
  <c r="E163" i="15"/>
  <c r="G163" i="15" s="1"/>
  <c r="E162" i="15"/>
  <c r="G162" i="15" s="1"/>
  <c r="E161" i="15"/>
  <c r="G161" i="15" s="1"/>
  <c r="E160" i="15"/>
  <c r="G160" i="15" s="1"/>
  <c r="E140" i="15"/>
  <c r="G140" i="15" s="1"/>
  <c r="E139" i="15"/>
  <c r="G139" i="15" s="1"/>
  <c r="E138" i="15"/>
  <c r="G138" i="15" s="1"/>
  <c r="E137" i="15"/>
  <c r="G137" i="15" s="1"/>
  <c r="E136" i="15"/>
  <c r="G136" i="15" s="1"/>
  <c r="E135" i="15"/>
  <c r="G135" i="15" s="1"/>
  <c r="E134" i="15"/>
  <c r="G134" i="15" s="1"/>
  <c r="E133" i="15"/>
  <c r="G133" i="15" s="1"/>
  <c r="E132" i="15"/>
  <c r="G132" i="15" s="1"/>
  <c r="E131" i="15"/>
  <c r="G131" i="15" s="1"/>
  <c r="E130" i="15"/>
  <c r="G130" i="15" s="1"/>
  <c r="E127" i="15"/>
  <c r="G127" i="15" s="1"/>
  <c r="E126" i="15"/>
  <c r="G126" i="15" s="1"/>
  <c r="E125" i="15"/>
  <c r="G125" i="15" s="1"/>
  <c r="E124" i="15"/>
  <c r="G124" i="15" s="1"/>
  <c r="E123" i="15"/>
  <c r="G123" i="15" s="1"/>
  <c r="G116" i="15"/>
  <c r="H116" i="15" s="1"/>
  <c r="J116" i="15" s="1"/>
  <c r="E115" i="15"/>
  <c r="G115" i="15" s="1"/>
  <c r="H115" i="15" s="1"/>
  <c r="J115" i="15" s="1"/>
  <c r="E114" i="15"/>
  <c r="G114" i="15" s="1"/>
  <c r="G117" i="15" s="1"/>
  <c r="H117" i="15" s="1"/>
  <c r="J117" i="15" s="1"/>
  <c r="J113" i="15"/>
  <c r="E113" i="15"/>
  <c r="E112" i="15"/>
  <c r="E111" i="15"/>
  <c r="G111" i="15" s="1"/>
  <c r="H111" i="15" s="1"/>
  <c r="J111" i="15" s="1"/>
  <c r="E110" i="15"/>
  <c r="G110" i="15" s="1"/>
  <c r="H110" i="15" s="1"/>
  <c r="J110" i="15" s="1"/>
  <c r="E109" i="15"/>
  <c r="G109" i="15" s="1"/>
  <c r="E108" i="15"/>
  <c r="E107" i="15"/>
  <c r="E106" i="15"/>
  <c r="G106" i="15" s="1"/>
  <c r="H106" i="15" s="1"/>
  <c r="J106" i="15" s="1"/>
  <c r="E105" i="15"/>
  <c r="G105" i="15" s="1"/>
  <c r="H105" i="15" s="1"/>
  <c r="J105" i="15" s="1"/>
  <c r="E104" i="15"/>
  <c r="G104" i="15" s="1"/>
  <c r="E100" i="15"/>
  <c r="G100" i="15" s="1"/>
  <c r="E99" i="15"/>
  <c r="G99" i="15" s="1"/>
  <c r="E98" i="15"/>
  <c r="G98" i="15" s="1"/>
  <c r="E97" i="15"/>
  <c r="G97" i="15" s="1"/>
  <c r="E96" i="15"/>
  <c r="G96" i="15" s="1"/>
  <c r="E95" i="15"/>
  <c r="G95" i="15" s="1"/>
  <c r="G119" i="15" s="1"/>
  <c r="H119" i="15" s="1"/>
  <c r="J119" i="15" s="1"/>
  <c r="E94" i="15"/>
  <c r="E93" i="15"/>
  <c r="G93" i="15" s="1"/>
  <c r="E92" i="15"/>
  <c r="G92" i="15" s="1"/>
  <c r="E90" i="15"/>
  <c r="G90" i="15" s="1"/>
  <c r="H90" i="15" s="1"/>
  <c r="J90" i="15" s="1"/>
  <c r="E89" i="15"/>
  <c r="G89" i="15" s="1"/>
  <c r="H89" i="15" s="1"/>
  <c r="J89" i="15" s="1"/>
  <c r="E88" i="15"/>
  <c r="G88" i="15" s="1"/>
  <c r="H88" i="15" s="1"/>
  <c r="J88" i="15" s="1"/>
  <c r="E87" i="15"/>
  <c r="G87" i="15" s="1"/>
  <c r="H87" i="15" s="1"/>
  <c r="J87" i="15" s="1"/>
  <c r="E86" i="15"/>
  <c r="G86" i="15" s="1"/>
  <c r="H86" i="15" s="1"/>
  <c r="J86" i="15" s="1"/>
  <c r="E84" i="15"/>
  <c r="G84" i="15" s="1"/>
  <c r="E83" i="15"/>
  <c r="G83" i="15" s="1"/>
  <c r="E82" i="15"/>
  <c r="G82" i="15" s="1"/>
  <c r="E81" i="15"/>
  <c r="G81" i="15" s="1"/>
  <c r="E80" i="15"/>
  <c r="G80" i="15" s="1"/>
  <c r="E79" i="15"/>
  <c r="G79" i="15" s="1"/>
  <c r="E78" i="15"/>
  <c r="G78" i="15" s="1"/>
  <c r="E77" i="15"/>
  <c r="G77" i="15" s="1"/>
  <c r="E76" i="15"/>
  <c r="G76" i="15" s="1"/>
  <c r="E75" i="15"/>
  <c r="G75" i="15" s="1"/>
  <c r="E74" i="15"/>
  <c r="G74" i="15" s="1"/>
  <c r="E73" i="15"/>
  <c r="G73" i="15" s="1"/>
  <c r="E72" i="15"/>
  <c r="G72" i="15" s="1"/>
  <c r="H70" i="15"/>
  <c r="E69" i="15"/>
  <c r="E68" i="15"/>
  <c r="G68" i="15" s="1"/>
  <c r="E67" i="15"/>
  <c r="E169" i="15" s="1"/>
  <c r="G169" i="15" s="1"/>
  <c r="E66" i="15"/>
  <c r="E168" i="15" s="1"/>
  <c r="E65" i="15"/>
  <c r="G65" i="15" s="1"/>
  <c r="E64" i="15"/>
  <c r="E63" i="15"/>
  <c r="E62" i="15"/>
  <c r="E58" i="15"/>
  <c r="G58" i="15" s="1"/>
  <c r="E57" i="15"/>
  <c r="G57" i="15" s="1"/>
  <c r="E56" i="15"/>
  <c r="G56" i="15" s="1"/>
  <c r="E55" i="15"/>
  <c r="G55" i="15" s="1"/>
  <c r="E54" i="15"/>
  <c r="G54" i="15" s="1"/>
  <c r="E53" i="15"/>
  <c r="G53" i="15" s="1"/>
  <c r="E52" i="15"/>
  <c r="G52" i="15" s="1"/>
  <c r="E51" i="15"/>
  <c r="G51" i="15" s="1"/>
  <c r="E50" i="15"/>
  <c r="G50" i="15" s="1"/>
  <c r="E49" i="15"/>
  <c r="G49" i="15" s="1"/>
  <c r="E46" i="15"/>
  <c r="G46" i="15" s="1"/>
  <c r="E45" i="15"/>
  <c r="G45" i="15" s="1"/>
  <c r="E44" i="15"/>
  <c r="G44" i="15" s="1"/>
  <c r="E43" i="15"/>
  <c r="G43" i="15" s="1"/>
  <c r="E42" i="15"/>
  <c r="G42" i="15" s="1"/>
  <c r="E41" i="15"/>
  <c r="G41" i="15" s="1"/>
  <c r="E40" i="15"/>
  <c r="G40" i="15" s="1"/>
  <c r="E39" i="15"/>
  <c r="G39" i="15" s="1"/>
  <c r="G146" i="15" s="1"/>
  <c r="E38" i="15"/>
  <c r="G38" i="15" s="1"/>
  <c r="E37" i="15"/>
  <c r="G37" i="15" s="1"/>
  <c r="E36" i="15"/>
  <c r="G36" i="15" s="1"/>
  <c r="E35" i="15"/>
  <c r="G35" i="15" s="1"/>
  <c r="E29" i="15"/>
  <c r="G29" i="15" s="1"/>
  <c r="E24" i="15"/>
  <c r="E23" i="15"/>
  <c r="E22" i="15"/>
  <c r="G22" i="15" s="1"/>
  <c r="E19" i="15"/>
  <c r="G19" i="15" s="1"/>
  <c r="E30" i="15" s="1"/>
  <c r="G30" i="15" s="1"/>
  <c r="I18" i="15"/>
  <c r="G18" i="15"/>
  <c r="E18" i="15"/>
  <c r="E15" i="15"/>
  <c r="G15" i="15" s="1"/>
  <c r="E12" i="15"/>
  <c r="G12" i="15" s="1"/>
  <c r="E11" i="15"/>
  <c r="G11" i="15" s="1"/>
  <c r="E10" i="15"/>
  <c r="G10" i="15" s="1"/>
  <c r="E9" i="15"/>
  <c r="G9" i="15" s="1"/>
  <c r="I8" i="15"/>
  <c r="E8" i="15"/>
  <c r="G8" i="15" s="1"/>
  <c r="I7" i="15"/>
  <c r="E7" i="15"/>
  <c r="G7" i="15" s="1"/>
  <c r="F171" i="14"/>
  <c r="E171" i="14"/>
  <c r="F170" i="14"/>
  <c r="E170" i="14"/>
  <c r="F169" i="14"/>
  <c r="E169" i="14"/>
  <c r="G169" i="14" s="1"/>
  <c r="F168" i="14"/>
  <c r="E168" i="14"/>
  <c r="F167" i="14"/>
  <c r="E167" i="14"/>
  <c r="F166" i="14"/>
  <c r="E166" i="14"/>
  <c r="F165" i="14"/>
  <c r="E165" i="14"/>
  <c r="F164" i="14"/>
  <c r="E164" i="14"/>
  <c r="E163" i="14"/>
  <c r="G163" i="14" s="1"/>
  <c r="E162" i="14"/>
  <c r="G162" i="14" s="1"/>
  <c r="E161" i="14"/>
  <c r="G161" i="14" s="1"/>
  <c r="E160" i="14"/>
  <c r="G160" i="14" s="1"/>
  <c r="E140" i="14"/>
  <c r="G140" i="14" s="1"/>
  <c r="E139" i="14"/>
  <c r="G139" i="14" s="1"/>
  <c r="E138" i="14"/>
  <c r="G138" i="14" s="1"/>
  <c r="E137" i="14"/>
  <c r="G137" i="14" s="1"/>
  <c r="E136" i="14"/>
  <c r="G136" i="14" s="1"/>
  <c r="E135" i="14"/>
  <c r="G135" i="14" s="1"/>
  <c r="E134" i="14"/>
  <c r="G134" i="14" s="1"/>
  <c r="E133" i="14"/>
  <c r="G133" i="14" s="1"/>
  <c r="E132" i="14"/>
  <c r="G132" i="14" s="1"/>
  <c r="E131" i="14"/>
  <c r="G131" i="14" s="1"/>
  <c r="E130" i="14"/>
  <c r="G130" i="14" s="1"/>
  <c r="E127" i="14"/>
  <c r="G127" i="14" s="1"/>
  <c r="E126" i="14"/>
  <c r="G126" i="14" s="1"/>
  <c r="E125" i="14"/>
  <c r="G125" i="14" s="1"/>
  <c r="E124" i="14"/>
  <c r="G124" i="14" s="1"/>
  <c r="E123" i="14"/>
  <c r="G123" i="14" s="1"/>
  <c r="E120" i="14"/>
  <c r="E119" i="14"/>
  <c r="E118" i="14"/>
  <c r="G116" i="14"/>
  <c r="H116" i="14" s="1"/>
  <c r="J116" i="14" s="1"/>
  <c r="E115" i="14"/>
  <c r="G115" i="14" s="1"/>
  <c r="H115" i="14" s="1"/>
  <c r="J115" i="14" s="1"/>
  <c r="E114" i="14"/>
  <c r="G114" i="14" s="1"/>
  <c r="H114" i="14" s="1"/>
  <c r="J114" i="14" s="1"/>
  <c r="H113" i="14"/>
  <c r="J113" i="14" s="1"/>
  <c r="E111" i="14"/>
  <c r="G111" i="14" s="1"/>
  <c r="H111" i="14" s="1"/>
  <c r="J111" i="14" s="1"/>
  <c r="E110" i="14"/>
  <c r="G110" i="14" s="1"/>
  <c r="H110" i="14" s="1"/>
  <c r="J110" i="14" s="1"/>
  <c r="E109" i="14"/>
  <c r="G109" i="14" s="1"/>
  <c r="H109" i="14" s="1"/>
  <c r="J109" i="14" s="1"/>
  <c r="H108" i="14"/>
  <c r="E106" i="14"/>
  <c r="G106" i="14" s="1"/>
  <c r="H106" i="14" s="1"/>
  <c r="J106" i="14" s="1"/>
  <c r="E105" i="14"/>
  <c r="G105" i="14" s="1"/>
  <c r="H105" i="14" s="1"/>
  <c r="J105" i="14" s="1"/>
  <c r="E104" i="14"/>
  <c r="G104" i="14" s="1"/>
  <c r="E100" i="14"/>
  <c r="G100" i="14" s="1"/>
  <c r="E99" i="14"/>
  <c r="G99" i="14" s="1"/>
  <c r="E98" i="14"/>
  <c r="G98" i="14" s="1"/>
  <c r="E97" i="14"/>
  <c r="G97" i="14" s="1"/>
  <c r="E96" i="14"/>
  <c r="G96" i="14" s="1"/>
  <c r="E95" i="14"/>
  <c r="G95" i="14" s="1"/>
  <c r="E94" i="14"/>
  <c r="E93" i="14"/>
  <c r="G93" i="14" s="1"/>
  <c r="E92" i="14"/>
  <c r="G92" i="14" s="1"/>
  <c r="G94" i="14" s="1"/>
  <c r="E90" i="14"/>
  <c r="G90" i="14" s="1"/>
  <c r="H90" i="14" s="1"/>
  <c r="J90" i="14" s="1"/>
  <c r="E89" i="14"/>
  <c r="G89" i="14" s="1"/>
  <c r="H89" i="14" s="1"/>
  <c r="J89" i="14" s="1"/>
  <c r="E88" i="14"/>
  <c r="G88" i="14" s="1"/>
  <c r="H88" i="14" s="1"/>
  <c r="J88" i="14" s="1"/>
  <c r="E87" i="14"/>
  <c r="G87" i="14" s="1"/>
  <c r="H87" i="14" s="1"/>
  <c r="J87" i="14" s="1"/>
  <c r="E86" i="14"/>
  <c r="G86" i="14" s="1"/>
  <c r="H86" i="14" s="1"/>
  <c r="J86" i="14" s="1"/>
  <c r="E84" i="14"/>
  <c r="G84" i="14" s="1"/>
  <c r="E83" i="14"/>
  <c r="G83" i="14" s="1"/>
  <c r="E82" i="14"/>
  <c r="G82" i="14" s="1"/>
  <c r="E81" i="14"/>
  <c r="G81" i="14" s="1"/>
  <c r="E80" i="14"/>
  <c r="G80" i="14" s="1"/>
  <c r="E79" i="14"/>
  <c r="G79" i="14" s="1"/>
  <c r="E78" i="14"/>
  <c r="G78" i="14" s="1"/>
  <c r="E77" i="14"/>
  <c r="G77" i="14" s="1"/>
  <c r="E76" i="14"/>
  <c r="G76" i="14" s="1"/>
  <c r="E75" i="14"/>
  <c r="G75" i="14" s="1"/>
  <c r="E74" i="14"/>
  <c r="G74" i="14" s="1"/>
  <c r="E73" i="14"/>
  <c r="G73" i="14" s="1"/>
  <c r="E72" i="14"/>
  <c r="G72" i="14" s="1"/>
  <c r="G70" i="14"/>
  <c r="H70" i="14" s="1"/>
  <c r="J70" i="14" s="1"/>
  <c r="E69" i="14"/>
  <c r="G69" i="14" s="1"/>
  <c r="E68" i="14"/>
  <c r="G68" i="14" s="1"/>
  <c r="E67" i="14"/>
  <c r="G67" i="14" s="1"/>
  <c r="E66" i="14"/>
  <c r="G66" i="14" s="1"/>
  <c r="E65" i="14"/>
  <c r="G65" i="14" s="1"/>
  <c r="E64" i="14"/>
  <c r="G64" i="14" s="1"/>
  <c r="E63" i="14"/>
  <c r="G63" i="14" s="1"/>
  <c r="E62" i="14"/>
  <c r="G62" i="14" s="1"/>
  <c r="E58" i="14"/>
  <c r="G58" i="14" s="1"/>
  <c r="E57" i="14"/>
  <c r="G57" i="14" s="1"/>
  <c r="E56" i="14"/>
  <c r="G56" i="14" s="1"/>
  <c r="E55" i="14"/>
  <c r="G55" i="14" s="1"/>
  <c r="E54" i="14"/>
  <c r="G54" i="14" s="1"/>
  <c r="E53" i="14"/>
  <c r="G53" i="14" s="1"/>
  <c r="E52" i="14"/>
  <c r="G52" i="14" s="1"/>
  <c r="E51" i="14"/>
  <c r="G51" i="14" s="1"/>
  <c r="E50" i="14"/>
  <c r="G50" i="14" s="1"/>
  <c r="E49" i="14"/>
  <c r="G49" i="14" s="1"/>
  <c r="E46" i="14"/>
  <c r="G46" i="14" s="1"/>
  <c r="E45" i="14"/>
  <c r="G45" i="14" s="1"/>
  <c r="E44" i="14"/>
  <c r="G44" i="14" s="1"/>
  <c r="E43" i="14"/>
  <c r="G43" i="14" s="1"/>
  <c r="E42" i="14"/>
  <c r="G42" i="14" s="1"/>
  <c r="E41" i="14"/>
  <c r="G41" i="14" s="1"/>
  <c r="E40" i="14"/>
  <c r="G40" i="14" s="1"/>
  <c r="E39" i="14"/>
  <c r="G39" i="14" s="1"/>
  <c r="G146" i="14" s="1"/>
  <c r="E38" i="14"/>
  <c r="G38" i="14" s="1"/>
  <c r="G148" i="14" s="1"/>
  <c r="E37" i="14"/>
  <c r="G37" i="14" s="1"/>
  <c r="G152" i="14" s="1"/>
  <c r="E36" i="14"/>
  <c r="G36" i="14" s="1"/>
  <c r="E35" i="14"/>
  <c r="G35" i="14" s="1"/>
  <c r="E29" i="14"/>
  <c r="G29" i="14" s="1"/>
  <c r="E24" i="14"/>
  <c r="E23" i="14"/>
  <c r="E22" i="14"/>
  <c r="G22" i="14" s="1"/>
  <c r="E19" i="14"/>
  <c r="G19" i="14" s="1"/>
  <c r="I18" i="14"/>
  <c r="G18" i="14"/>
  <c r="E31" i="14" s="1"/>
  <c r="G31" i="14" s="1"/>
  <c r="E18" i="14"/>
  <c r="E15" i="14"/>
  <c r="G15" i="14" s="1"/>
  <c r="E12" i="14"/>
  <c r="G12" i="14" s="1"/>
  <c r="E11" i="14"/>
  <c r="G11" i="14" s="1"/>
  <c r="E10" i="14"/>
  <c r="G10" i="14" s="1"/>
  <c r="E9" i="14"/>
  <c r="G9" i="14" s="1"/>
  <c r="O8" i="14"/>
  <c r="I8" i="14"/>
  <c r="E8" i="14"/>
  <c r="G8" i="14" s="1"/>
  <c r="O7" i="14"/>
  <c r="I7" i="14"/>
  <c r="E7" i="14"/>
  <c r="G7" i="14" s="1"/>
  <c r="F171" i="13"/>
  <c r="F170" i="13"/>
  <c r="F169" i="13"/>
  <c r="F168" i="13"/>
  <c r="F167" i="13"/>
  <c r="F166" i="13"/>
  <c r="F165" i="13"/>
  <c r="F164" i="13"/>
  <c r="E163" i="13"/>
  <c r="G163" i="13" s="1"/>
  <c r="E162" i="13"/>
  <c r="G162" i="13" s="1"/>
  <c r="E161" i="13"/>
  <c r="G161" i="13" s="1"/>
  <c r="E160" i="13"/>
  <c r="G160" i="13" s="1"/>
  <c r="O141" i="13"/>
  <c r="E140" i="13"/>
  <c r="G140" i="13" s="1"/>
  <c r="E139" i="13"/>
  <c r="G139" i="13" s="1"/>
  <c r="E138" i="13"/>
  <c r="G138" i="13" s="1"/>
  <c r="E137" i="13"/>
  <c r="G137" i="13" s="1"/>
  <c r="E136" i="13"/>
  <c r="G136" i="13" s="1"/>
  <c r="O136" i="13" s="1"/>
  <c r="E135" i="13"/>
  <c r="G135" i="13" s="1"/>
  <c r="E134" i="13"/>
  <c r="G134" i="13" s="1"/>
  <c r="E133" i="13"/>
  <c r="G133" i="13" s="1"/>
  <c r="O133" i="13" s="1"/>
  <c r="E132" i="13"/>
  <c r="G132" i="13" s="1"/>
  <c r="E131" i="13"/>
  <c r="G131" i="13" s="1"/>
  <c r="E130" i="13"/>
  <c r="G130" i="13" s="1"/>
  <c r="O129" i="13"/>
  <c r="E127" i="13"/>
  <c r="G127" i="13" s="1"/>
  <c r="E126" i="13"/>
  <c r="G126" i="13" s="1"/>
  <c r="E125" i="13"/>
  <c r="G125" i="13" s="1"/>
  <c r="E124" i="13"/>
  <c r="G124" i="13" s="1"/>
  <c r="E123" i="13"/>
  <c r="G123" i="13" s="1"/>
  <c r="O122" i="13"/>
  <c r="O121" i="13"/>
  <c r="G116" i="13"/>
  <c r="E115" i="13"/>
  <c r="G115" i="13" s="1"/>
  <c r="E114" i="13"/>
  <c r="G114" i="13" s="1"/>
  <c r="O113" i="13"/>
  <c r="J113" i="13"/>
  <c r="E111" i="13"/>
  <c r="G111" i="13" s="1"/>
  <c r="E110" i="13"/>
  <c r="G110" i="13" s="1"/>
  <c r="E109" i="13"/>
  <c r="G109" i="13" s="1"/>
  <c r="O109" i="13" s="1"/>
  <c r="O108" i="13"/>
  <c r="E106" i="13"/>
  <c r="G106" i="13" s="1"/>
  <c r="E105" i="13"/>
  <c r="G105" i="13" s="1"/>
  <c r="H105" i="13" s="1"/>
  <c r="J105" i="13" s="1"/>
  <c r="E104" i="13"/>
  <c r="G104" i="13" s="1"/>
  <c r="O103" i="13"/>
  <c r="O102" i="13"/>
  <c r="E100" i="13"/>
  <c r="G100" i="13" s="1"/>
  <c r="E99" i="13"/>
  <c r="G99" i="13" s="1"/>
  <c r="E98" i="13"/>
  <c r="G98" i="13" s="1"/>
  <c r="E97" i="13"/>
  <c r="G97" i="13" s="1"/>
  <c r="E96" i="13"/>
  <c r="G96" i="13" s="1"/>
  <c r="E95" i="13"/>
  <c r="G95" i="13" s="1"/>
  <c r="E94" i="13"/>
  <c r="E93" i="13"/>
  <c r="G93" i="13" s="1"/>
  <c r="E92" i="13"/>
  <c r="G92" i="13" s="1"/>
  <c r="O91" i="13"/>
  <c r="E90" i="13"/>
  <c r="G90" i="13" s="1"/>
  <c r="H90" i="13" s="1"/>
  <c r="J90" i="13" s="1"/>
  <c r="E89" i="13"/>
  <c r="G89" i="13" s="1"/>
  <c r="H89" i="13" s="1"/>
  <c r="J89" i="13" s="1"/>
  <c r="E88" i="13"/>
  <c r="G88" i="13" s="1"/>
  <c r="H88" i="13" s="1"/>
  <c r="J88" i="13" s="1"/>
  <c r="E87" i="13"/>
  <c r="G87" i="13" s="1"/>
  <c r="H87" i="13" s="1"/>
  <c r="J87" i="13" s="1"/>
  <c r="E86" i="13"/>
  <c r="G86" i="13" s="1"/>
  <c r="H86" i="13" s="1"/>
  <c r="J86" i="13" s="1"/>
  <c r="E84" i="13"/>
  <c r="G84" i="13" s="1"/>
  <c r="E83" i="13"/>
  <c r="G83" i="13" s="1"/>
  <c r="E82" i="13"/>
  <c r="G82" i="13" s="1"/>
  <c r="E81" i="13"/>
  <c r="G81" i="13" s="1"/>
  <c r="E80" i="13"/>
  <c r="G80" i="13" s="1"/>
  <c r="E79" i="13"/>
  <c r="G79" i="13" s="1"/>
  <c r="E78" i="13"/>
  <c r="G78" i="13" s="1"/>
  <c r="E77" i="13"/>
  <c r="G77" i="13" s="1"/>
  <c r="O77" i="13" s="1"/>
  <c r="E76" i="13"/>
  <c r="G76" i="13" s="1"/>
  <c r="E75" i="13"/>
  <c r="G75" i="13" s="1"/>
  <c r="E74" i="13"/>
  <c r="G74" i="13" s="1"/>
  <c r="E73" i="13"/>
  <c r="G73" i="13" s="1"/>
  <c r="E72" i="13"/>
  <c r="G72" i="13" s="1"/>
  <c r="O71" i="13"/>
  <c r="O70" i="13"/>
  <c r="H70" i="13"/>
  <c r="J70" i="13" s="1"/>
  <c r="E69" i="13"/>
  <c r="E171" i="13" s="1"/>
  <c r="G171" i="13" s="1"/>
  <c r="E68" i="13"/>
  <c r="E170" i="13" s="1"/>
  <c r="E67" i="13"/>
  <c r="E169" i="13" s="1"/>
  <c r="G169" i="13" s="1"/>
  <c r="E66" i="13"/>
  <c r="E168" i="13" s="1"/>
  <c r="E65" i="13"/>
  <c r="E167" i="13" s="1"/>
  <c r="E64" i="13"/>
  <c r="E166" i="13" s="1"/>
  <c r="E63" i="13"/>
  <c r="E165" i="13" s="1"/>
  <c r="E62" i="13"/>
  <c r="G62" i="13" s="1"/>
  <c r="O61" i="13"/>
  <c r="E58" i="13"/>
  <c r="G58" i="13" s="1"/>
  <c r="E57" i="13"/>
  <c r="G57" i="13" s="1"/>
  <c r="E56" i="13"/>
  <c r="G56" i="13" s="1"/>
  <c r="E55" i="13"/>
  <c r="G55" i="13" s="1"/>
  <c r="E54" i="13"/>
  <c r="G54" i="13" s="1"/>
  <c r="E53" i="13"/>
  <c r="G53" i="13" s="1"/>
  <c r="E52" i="13"/>
  <c r="G52" i="13" s="1"/>
  <c r="E51" i="13"/>
  <c r="G51" i="13" s="1"/>
  <c r="E50" i="13"/>
  <c r="G50" i="13" s="1"/>
  <c r="E49" i="13"/>
  <c r="G49" i="13" s="1"/>
  <c r="O49" i="13" s="1"/>
  <c r="O48" i="13"/>
  <c r="E46" i="13"/>
  <c r="G46" i="13" s="1"/>
  <c r="E45" i="13"/>
  <c r="G45" i="13" s="1"/>
  <c r="E44" i="13"/>
  <c r="G44" i="13" s="1"/>
  <c r="E43" i="13"/>
  <c r="G43" i="13" s="1"/>
  <c r="E42" i="13"/>
  <c r="G42" i="13" s="1"/>
  <c r="O42" i="13" s="1"/>
  <c r="E41" i="13"/>
  <c r="G41" i="13" s="1"/>
  <c r="E40" i="13"/>
  <c r="G40" i="13" s="1"/>
  <c r="O40" i="13" s="1"/>
  <c r="E39" i="13"/>
  <c r="G39" i="13" s="1"/>
  <c r="E38" i="13"/>
  <c r="G38" i="13" s="1"/>
  <c r="E37" i="13"/>
  <c r="G37" i="13" s="1"/>
  <c r="E36" i="13"/>
  <c r="G36" i="13" s="1"/>
  <c r="E35" i="13"/>
  <c r="G35" i="13" s="1"/>
  <c r="O34" i="13"/>
  <c r="O33" i="13"/>
  <c r="P30" i="13"/>
  <c r="E29" i="13"/>
  <c r="G29" i="13" s="1"/>
  <c r="P28" i="13"/>
  <c r="O26" i="13"/>
  <c r="O25" i="13"/>
  <c r="O24" i="13"/>
  <c r="E24" i="13"/>
  <c r="O23" i="13"/>
  <c r="E23" i="13"/>
  <c r="E22" i="13"/>
  <c r="G22" i="13" s="1"/>
  <c r="O21" i="13"/>
  <c r="E19" i="13"/>
  <c r="G19" i="13" s="1"/>
  <c r="I18" i="13"/>
  <c r="G18" i="13"/>
  <c r="E31" i="13" s="1"/>
  <c r="G31" i="13" s="1"/>
  <c r="E18" i="13"/>
  <c r="O17" i="13"/>
  <c r="O16" i="13"/>
  <c r="E15" i="13"/>
  <c r="G15" i="13" s="1"/>
  <c r="O14" i="13"/>
  <c r="E12" i="13"/>
  <c r="G12" i="13" s="1"/>
  <c r="E11" i="13"/>
  <c r="G11" i="13" s="1"/>
  <c r="E10" i="13"/>
  <c r="G10" i="13" s="1"/>
  <c r="E9" i="13"/>
  <c r="G9" i="13" s="1"/>
  <c r="I8" i="13"/>
  <c r="E8" i="13"/>
  <c r="G8" i="13" s="1"/>
  <c r="I7" i="13"/>
  <c r="E7" i="13"/>
  <c r="G7" i="13" s="1"/>
  <c r="J3" i="13"/>
  <c r="I3" i="13"/>
  <c r="H3" i="13"/>
  <c r="G3" i="13"/>
  <c r="G191" i="12"/>
  <c r="G190" i="12"/>
  <c r="G189" i="12"/>
  <c r="G186" i="12"/>
  <c r="G185" i="12"/>
  <c r="G184" i="12"/>
  <c r="G187" i="12" s="1"/>
  <c r="G181" i="12"/>
  <c r="G180" i="12"/>
  <c r="G179" i="12"/>
  <c r="F171" i="12"/>
  <c r="F170" i="12"/>
  <c r="F169" i="12"/>
  <c r="F168" i="12"/>
  <c r="F167" i="12"/>
  <c r="F166" i="12"/>
  <c r="F165" i="12"/>
  <c r="F164" i="12"/>
  <c r="E163" i="12"/>
  <c r="G163" i="12" s="1"/>
  <c r="E162" i="12"/>
  <c r="G162" i="12" s="1"/>
  <c r="E161" i="12"/>
  <c r="G161" i="12" s="1"/>
  <c r="E160" i="12"/>
  <c r="G160" i="12" s="1"/>
  <c r="E140" i="12"/>
  <c r="G140" i="12" s="1"/>
  <c r="E139" i="12"/>
  <c r="G139" i="12" s="1"/>
  <c r="E138" i="12"/>
  <c r="G138" i="12" s="1"/>
  <c r="E137" i="12"/>
  <c r="G137" i="12" s="1"/>
  <c r="E136" i="12"/>
  <c r="G136" i="12" s="1"/>
  <c r="E135" i="12"/>
  <c r="G135" i="12" s="1"/>
  <c r="E134" i="12"/>
  <c r="G134" i="12" s="1"/>
  <c r="E133" i="12"/>
  <c r="G133" i="12" s="1"/>
  <c r="E132" i="12"/>
  <c r="G132" i="12" s="1"/>
  <c r="E131" i="12"/>
  <c r="G131" i="12" s="1"/>
  <c r="E130" i="12"/>
  <c r="G130" i="12" s="1"/>
  <c r="E127" i="12"/>
  <c r="G127" i="12" s="1"/>
  <c r="E126" i="12"/>
  <c r="G126" i="12" s="1"/>
  <c r="E125" i="12"/>
  <c r="G125" i="12" s="1"/>
  <c r="E124" i="12"/>
  <c r="G124" i="12" s="1"/>
  <c r="E123" i="12"/>
  <c r="G123" i="12" s="1"/>
  <c r="G116" i="12"/>
  <c r="H116" i="12" s="1"/>
  <c r="J116" i="12" s="1"/>
  <c r="E115" i="12"/>
  <c r="G115" i="12" s="1"/>
  <c r="H115" i="12" s="1"/>
  <c r="J115" i="12" s="1"/>
  <c r="E114" i="12"/>
  <c r="G114" i="12" s="1"/>
  <c r="J113" i="12"/>
  <c r="E111" i="12"/>
  <c r="G111" i="12" s="1"/>
  <c r="H111" i="12" s="1"/>
  <c r="J111" i="12" s="1"/>
  <c r="E110" i="12"/>
  <c r="G110" i="12" s="1"/>
  <c r="H110" i="12" s="1"/>
  <c r="J110" i="12" s="1"/>
  <c r="E109" i="12"/>
  <c r="G109" i="12" s="1"/>
  <c r="H109" i="12" s="1"/>
  <c r="J109" i="12" s="1"/>
  <c r="E106" i="12"/>
  <c r="G106" i="12" s="1"/>
  <c r="H106" i="12" s="1"/>
  <c r="J106" i="12" s="1"/>
  <c r="E105" i="12"/>
  <c r="G105" i="12" s="1"/>
  <c r="H105" i="12" s="1"/>
  <c r="J105" i="12" s="1"/>
  <c r="E104" i="12"/>
  <c r="G104" i="12" s="1"/>
  <c r="H104" i="12" s="1"/>
  <c r="J104" i="12" s="1"/>
  <c r="E100" i="12"/>
  <c r="G100" i="12" s="1"/>
  <c r="E99" i="12"/>
  <c r="G99" i="12" s="1"/>
  <c r="E98" i="12"/>
  <c r="G98" i="12" s="1"/>
  <c r="E97" i="12"/>
  <c r="G97" i="12" s="1"/>
  <c r="E96" i="12"/>
  <c r="G96" i="12" s="1"/>
  <c r="E95" i="12"/>
  <c r="G95" i="12" s="1"/>
  <c r="E93" i="12"/>
  <c r="G93" i="12" s="1"/>
  <c r="E92" i="12"/>
  <c r="G92" i="12" s="1"/>
  <c r="E90" i="12"/>
  <c r="G90" i="12" s="1"/>
  <c r="H90" i="12" s="1"/>
  <c r="J90" i="12" s="1"/>
  <c r="E89" i="12"/>
  <c r="G89" i="12" s="1"/>
  <c r="H89" i="12" s="1"/>
  <c r="J89" i="12" s="1"/>
  <c r="E88" i="12"/>
  <c r="G88" i="12" s="1"/>
  <c r="H88" i="12" s="1"/>
  <c r="J88" i="12" s="1"/>
  <c r="E87" i="12"/>
  <c r="G87" i="12" s="1"/>
  <c r="H87" i="12" s="1"/>
  <c r="J87" i="12" s="1"/>
  <c r="E86" i="12"/>
  <c r="G86" i="12" s="1"/>
  <c r="H86" i="12" s="1"/>
  <c r="J86" i="12" s="1"/>
  <c r="E84" i="12"/>
  <c r="G84" i="12" s="1"/>
  <c r="E83" i="12"/>
  <c r="G83" i="12" s="1"/>
  <c r="E82" i="12"/>
  <c r="G82" i="12" s="1"/>
  <c r="E81" i="12"/>
  <c r="G81" i="12" s="1"/>
  <c r="E80" i="12"/>
  <c r="G80" i="12" s="1"/>
  <c r="E79" i="12"/>
  <c r="G79" i="12" s="1"/>
  <c r="E78" i="12"/>
  <c r="G78" i="12" s="1"/>
  <c r="E77" i="12"/>
  <c r="G77" i="12" s="1"/>
  <c r="E76" i="12"/>
  <c r="G76" i="12" s="1"/>
  <c r="E75" i="12"/>
  <c r="G75" i="12" s="1"/>
  <c r="E74" i="12"/>
  <c r="G74" i="12" s="1"/>
  <c r="E73" i="12"/>
  <c r="G73" i="12" s="1"/>
  <c r="E72" i="12"/>
  <c r="G72" i="12" s="1"/>
  <c r="E69" i="12"/>
  <c r="E171" i="12" s="1"/>
  <c r="G171" i="12" s="1"/>
  <c r="E68" i="12"/>
  <c r="E67" i="12"/>
  <c r="E169" i="12" s="1"/>
  <c r="E66" i="12"/>
  <c r="E168" i="12" s="1"/>
  <c r="G168" i="12" s="1"/>
  <c r="E65" i="12"/>
  <c r="E167" i="12" s="1"/>
  <c r="G167" i="12" s="1"/>
  <c r="E64" i="12"/>
  <c r="E166" i="12" s="1"/>
  <c r="G166" i="12" s="1"/>
  <c r="E63" i="12"/>
  <c r="E165" i="12" s="1"/>
  <c r="E62" i="12"/>
  <c r="E164" i="12" s="1"/>
  <c r="G164" i="12" s="1"/>
  <c r="E58" i="12"/>
  <c r="G58" i="12" s="1"/>
  <c r="E57" i="12"/>
  <c r="G57" i="12" s="1"/>
  <c r="E56" i="12"/>
  <c r="G56" i="12" s="1"/>
  <c r="E55" i="12"/>
  <c r="G55" i="12" s="1"/>
  <c r="E54" i="12"/>
  <c r="G54" i="12" s="1"/>
  <c r="E53" i="12"/>
  <c r="G53" i="12" s="1"/>
  <c r="E52" i="12"/>
  <c r="G52" i="12" s="1"/>
  <c r="E51" i="12"/>
  <c r="G51" i="12" s="1"/>
  <c r="E50" i="12"/>
  <c r="G50" i="12" s="1"/>
  <c r="E49" i="12"/>
  <c r="G49" i="12" s="1"/>
  <c r="E46" i="12"/>
  <c r="G46" i="12" s="1"/>
  <c r="E45" i="12"/>
  <c r="G45" i="12" s="1"/>
  <c r="E44" i="12"/>
  <c r="G44" i="12" s="1"/>
  <c r="E43" i="12"/>
  <c r="G43" i="12" s="1"/>
  <c r="E42" i="12"/>
  <c r="G42" i="12" s="1"/>
  <c r="E41" i="12"/>
  <c r="G41" i="12" s="1"/>
  <c r="E40" i="12"/>
  <c r="G40" i="12" s="1"/>
  <c r="E39" i="12"/>
  <c r="G39" i="12" s="1"/>
  <c r="E38" i="12"/>
  <c r="G38" i="12" s="1"/>
  <c r="G148" i="12" s="1"/>
  <c r="E37" i="12"/>
  <c r="G37" i="12" s="1"/>
  <c r="E36" i="12"/>
  <c r="G36" i="12" s="1"/>
  <c r="E35" i="12"/>
  <c r="G35" i="12" s="1"/>
  <c r="E29" i="12"/>
  <c r="G29" i="12" s="1"/>
  <c r="E24" i="12"/>
  <c r="E23" i="12"/>
  <c r="E22" i="12"/>
  <c r="G22" i="12" s="1"/>
  <c r="E19" i="12"/>
  <c r="G19" i="12" s="1"/>
  <c r="G18" i="12"/>
  <c r="E18" i="12"/>
  <c r="E15" i="12"/>
  <c r="G15" i="12" s="1"/>
  <c r="E12" i="12"/>
  <c r="G12" i="12" s="1"/>
  <c r="E11" i="12"/>
  <c r="G11" i="12" s="1"/>
  <c r="E10" i="12"/>
  <c r="G10" i="12" s="1"/>
  <c r="E9" i="12"/>
  <c r="G9" i="12" s="1"/>
  <c r="E8" i="12"/>
  <c r="G8" i="12" s="1"/>
  <c r="E7" i="12"/>
  <c r="G7" i="12" s="1"/>
  <c r="G191" i="11"/>
  <c r="G190" i="11"/>
  <c r="G189" i="11"/>
  <c r="G193" i="11" s="1"/>
  <c r="G186" i="11"/>
  <c r="G185" i="11"/>
  <c r="G184" i="11"/>
  <c r="G187" i="11" s="1"/>
  <c r="G181" i="11"/>
  <c r="G180" i="11"/>
  <c r="G179" i="11"/>
  <c r="G182" i="11" s="1"/>
  <c r="F171" i="11"/>
  <c r="F170" i="11"/>
  <c r="F169" i="11"/>
  <c r="F168" i="11"/>
  <c r="F167" i="11"/>
  <c r="F166" i="11"/>
  <c r="F165" i="11"/>
  <c r="F164" i="11"/>
  <c r="E163" i="11"/>
  <c r="G163" i="11" s="1"/>
  <c r="E162" i="11"/>
  <c r="G162" i="11" s="1"/>
  <c r="E161" i="11"/>
  <c r="G161" i="11" s="1"/>
  <c r="E160" i="11"/>
  <c r="G160" i="11" s="1"/>
  <c r="E140" i="11"/>
  <c r="G140" i="11" s="1"/>
  <c r="E139" i="11"/>
  <c r="G139" i="11" s="1"/>
  <c r="E138" i="11"/>
  <c r="G138" i="11" s="1"/>
  <c r="E137" i="11"/>
  <c r="G137" i="11" s="1"/>
  <c r="I138" i="11" s="1"/>
  <c r="E136" i="11"/>
  <c r="G136" i="11" s="1"/>
  <c r="E135" i="11"/>
  <c r="G135" i="11" s="1"/>
  <c r="E134" i="11"/>
  <c r="G134" i="11" s="1"/>
  <c r="E133" i="11"/>
  <c r="G133" i="11" s="1"/>
  <c r="E132" i="11"/>
  <c r="G132" i="11" s="1"/>
  <c r="E131" i="11"/>
  <c r="G131" i="11" s="1"/>
  <c r="E130" i="11"/>
  <c r="G130" i="11" s="1"/>
  <c r="E127" i="11"/>
  <c r="G127" i="11" s="1"/>
  <c r="E126" i="11"/>
  <c r="G126" i="11" s="1"/>
  <c r="E125" i="11"/>
  <c r="G125" i="11" s="1"/>
  <c r="E124" i="11"/>
  <c r="G124" i="11" s="1"/>
  <c r="E123" i="11"/>
  <c r="G123" i="11" s="1"/>
  <c r="G116" i="11"/>
  <c r="H116" i="11" s="1"/>
  <c r="J116" i="11" s="1"/>
  <c r="E115" i="11"/>
  <c r="G115" i="11" s="1"/>
  <c r="H115" i="11" s="1"/>
  <c r="J115" i="11" s="1"/>
  <c r="E114" i="11"/>
  <c r="G114" i="11" s="1"/>
  <c r="J113" i="11"/>
  <c r="E111" i="11"/>
  <c r="G111" i="11" s="1"/>
  <c r="H111" i="11" s="1"/>
  <c r="J111" i="11" s="1"/>
  <c r="E110" i="11"/>
  <c r="G110" i="11" s="1"/>
  <c r="H110" i="11" s="1"/>
  <c r="J110" i="11" s="1"/>
  <c r="E109" i="11"/>
  <c r="G109" i="11" s="1"/>
  <c r="E106" i="11"/>
  <c r="G106" i="11" s="1"/>
  <c r="H106" i="11" s="1"/>
  <c r="J106" i="11" s="1"/>
  <c r="E105" i="11"/>
  <c r="G105" i="11" s="1"/>
  <c r="H105" i="11" s="1"/>
  <c r="J105" i="11" s="1"/>
  <c r="E104" i="11"/>
  <c r="G104" i="11" s="1"/>
  <c r="H104" i="11" s="1"/>
  <c r="J104" i="11" s="1"/>
  <c r="E100" i="11"/>
  <c r="G100" i="11" s="1"/>
  <c r="E99" i="11"/>
  <c r="G99" i="11" s="1"/>
  <c r="E98" i="11"/>
  <c r="G98" i="11" s="1"/>
  <c r="E97" i="11"/>
  <c r="G97" i="11" s="1"/>
  <c r="E96" i="11"/>
  <c r="G96" i="11" s="1"/>
  <c r="E95" i="11"/>
  <c r="G95" i="11" s="1"/>
  <c r="E93" i="11"/>
  <c r="G93" i="11" s="1"/>
  <c r="E92" i="11"/>
  <c r="G92" i="11" s="1"/>
  <c r="G94" i="11" s="1"/>
  <c r="E90" i="11"/>
  <c r="G90" i="11" s="1"/>
  <c r="H90" i="11" s="1"/>
  <c r="J90" i="11" s="1"/>
  <c r="E89" i="11"/>
  <c r="G89" i="11" s="1"/>
  <c r="H89" i="11" s="1"/>
  <c r="J89" i="11" s="1"/>
  <c r="E88" i="11"/>
  <c r="G88" i="11" s="1"/>
  <c r="H88" i="11" s="1"/>
  <c r="J88" i="11" s="1"/>
  <c r="E87" i="11"/>
  <c r="G87" i="11" s="1"/>
  <c r="H87" i="11" s="1"/>
  <c r="J87" i="11" s="1"/>
  <c r="E86" i="11"/>
  <c r="G86" i="11" s="1"/>
  <c r="H86" i="11" s="1"/>
  <c r="J86" i="11" s="1"/>
  <c r="E84" i="11"/>
  <c r="G84" i="11" s="1"/>
  <c r="E83" i="11"/>
  <c r="G83" i="11" s="1"/>
  <c r="E82" i="11"/>
  <c r="G82" i="11" s="1"/>
  <c r="E81" i="11"/>
  <c r="G81" i="11" s="1"/>
  <c r="E80" i="11"/>
  <c r="G80" i="11" s="1"/>
  <c r="E79" i="11"/>
  <c r="G79" i="11" s="1"/>
  <c r="E78" i="11"/>
  <c r="G78" i="11" s="1"/>
  <c r="E77" i="11"/>
  <c r="G77" i="11" s="1"/>
  <c r="E76" i="11"/>
  <c r="G76" i="11" s="1"/>
  <c r="E75" i="11"/>
  <c r="G75" i="11" s="1"/>
  <c r="E74" i="11"/>
  <c r="G74" i="11" s="1"/>
  <c r="E73" i="11"/>
  <c r="G73" i="11" s="1"/>
  <c r="E72" i="11"/>
  <c r="G72" i="11" s="1"/>
  <c r="E69" i="11"/>
  <c r="G69" i="11" s="1"/>
  <c r="E68" i="11"/>
  <c r="G68" i="11" s="1"/>
  <c r="E67" i="11"/>
  <c r="E169" i="11" s="1"/>
  <c r="E66" i="11"/>
  <c r="G66" i="11" s="1"/>
  <c r="E65" i="11"/>
  <c r="E167" i="11" s="1"/>
  <c r="G167" i="11" s="1"/>
  <c r="E64" i="11"/>
  <c r="E166" i="11" s="1"/>
  <c r="G166" i="11" s="1"/>
  <c r="E63" i="11"/>
  <c r="E165" i="11" s="1"/>
  <c r="E62" i="11"/>
  <c r="G62" i="11" s="1"/>
  <c r="E58" i="11"/>
  <c r="G58" i="11" s="1"/>
  <c r="E57" i="11"/>
  <c r="G57" i="11" s="1"/>
  <c r="E56" i="11"/>
  <c r="G56" i="11" s="1"/>
  <c r="E55" i="11"/>
  <c r="G55" i="11" s="1"/>
  <c r="E54" i="11"/>
  <c r="G54" i="11" s="1"/>
  <c r="E53" i="11"/>
  <c r="G53" i="11" s="1"/>
  <c r="E52" i="11"/>
  <c r="G52" i="11" s="1"/>
  <c r="E51" i="11"/>
  <c r="G51" i="11" s="1"/>
  <c r="E50" i="11"/>
  <c r="G50" i="11" s="1"/>
  <c r="E49" i="11"/>
  <c r="G49" i="11" s="1"/>
  <c r="E46" i="11"/>
  <c r="G46" i="11" s="1"/>
  <c r="E45" i="11"/>
  <c r="G45" i="11" s="1"/>
  <c r="E44" i="11"/>
  <c r="G44" i="11" s="1"/>
  <c r="E43" i="11"/>
  <c r="G43" i="11" s="1"/>
  <c r="E42" i="11"/>
  <c r="G42" i="11" s="1"/>
  <c r="E41" i="11"/>
  <c r="G41" i="11" s="1"/>
  <c r="E40" i="11"/>
  <c r="G40" i="11" s="1"/>
  <c r="E39" i="11"/>
  <c r="G39" i="11" s="1"/>
  <c r="E38" i="11"/>
  <c r="G38" i="11" s="1"/>
  <c r="E37" i="11"/>
  <c r="G37" i="11" s="1"/>
  <c r="E36" i="11"/>
  <c r="G36" i="11" s="1"/>
  <c r="E35" i="11"/>
  <c r="G35" i="11" s="1"/>
  <c r="E29" i="11"/>
  <c r="G29" i="11" s="1"/>
  <c r="E24" i="11"/>
  <c r="E23" i="11"/>
  <c r="E22" i="11"/>
  <c r="G22" i="11" s="1"/>
  <c r="E19" i="11"/>
  <c r="G19" i="11" s="1"/>
  <c r="G18" i="11"/>
  <c r="G20" i="11" s="1"/>
  <c r="E18" i="11"/>
  <c r="E15" i="11"/>
  <c r="G15" i="11" s="1"/>
  <c r="E28" i="11" s="1"/>
  <c r="G28" i="11" s="1"/>
  <c r="E12" i="11"/>
  <c r="G12" i="11" s="1"/>
  <c r="E11" i="11"/>
  <c r="G11" i="11" s="1"/>
  <c r="E10" i="11"/>
  <c r="G10" i="11" s="1"/>
  <c r="E9" i="11"/>
  <c r="G9" i="11" s="1"/>
  <c r="E8" i="11"/>
  <c r="G8" i="11" s="1"/>
  <c r="E7" i="11"/>
  <c r="G7" i="11" s="1"/>
  <c r="F173" i="10"/>
  <c r="E173" i="10"/>
  <c r="G173" i="10" s="1"/>
  <c r="I173" i="10" s="1"/>
  <c r="F172" i="10"/>
  <c r="E172" i="10"/>
  <c r="F171" i="10"/>
  <c r="E171" i="10"/>
  <c r="G171" i="10" s="1"/>
  <c r="I171" i="10" s="1"/>
  <c r="F170" i="10"/>
  <c r="E170" i="10"/>
  <c r="F169" i="10"/>
  <c r="E169" i="10"/>
  <c r="G169" i="10" s="1"/>
  <c r="I169" i="10" s="1"/>
  <c r="F168" i="10"/>
  <c r="E168" i="10"/>
  <c r="F167" i="10"/>
  <c r="E167" i="10"/>
  <c r="G167" i="10" s="1"/>
  <c r="I167" i="10" s="1"/>
  <c r="F166" i="10"/>
  <c r="E166" i="10"/>
  <c r="E165" i="10"/>
  <c r="G165" i="10" s="1"/>
  <c r="I165" i="10" s="1"/>
  <c r="E164" i="10"/>
  <c r="G164" i="10" s="1"/>
  <c r="I164" i="10" s="1"/>
  <c r="E163" i="10"/>
  <c r="G163" i="10" s="1"/>
  <c r="I163" i="10" s="1"/>
  <c r="E162" i="10"/>
  <c r="G162" i="10" s="1"/>
  <c r="I162" i="10" s="1"/>
  <c r="E140" i="10"/>
  <c r="G140" i="10" s="1"/>
  <c r="E139" i="10"/>
  <c r="G139" i="10" s="1"/>
  <c r="E138" i="10"/>
  <c r="G138" i="10" s="1"/>
  <c r="E137" i="10"/>
  <c r="G137" i="10" s="1"/>
  <c r="E136" i="10"/>
  <c r="G136" i="10" s="1"/>
  <c r="E135" i="10"/>
  <c r="G135" i="10" s="1"/>
  <c r="G134" i="10"/>
  <c r="E133" i="10"/>
  <c r="G133" i="10" s="1"/>
  <c r="E132" i="10"/>
  <c r="G132" i="10" s="1"/>
  <c r="E131" i="10"/>
  <c r="G131" i="10" s="1"/>
  <c r="E130" i="10"/>
  <c r="G130" i="10" s="1"/>
  <c r="E127" i="10"/>
  <c r="G127" i="10" s="1"/>
  <c r="E126" i="10"/>
  <c r="G126" i="10" s="1"/>
  <c r="E125" i="10"/>
  <c r="G125" i="10" s="1"/>
  <c r="E124" i="10"/>
  <c r="G124" i="10" s="1"/>
  <c r="E123" i="10"/>
  <c r="G123" i="10" s="1"/>
  <c r="G116" i="10"/>
  <c r="H116" i="10" s="1"/>
  <c r="J116" i="10" s="1"/>
  <c r="E115" i="10"/>
  <c r="G115" i="10" s="1"/>
  <c r="H115" i="10" s="1"/>
  <c r="J115" i="10" s="1"/>
  <c r="E114" i="10"/>
  <c r="G114" i="10" s="1"/>
  <c r="H114" i="10" s="1"/>
  <c r="J114" i="10" s="1"/>
  <c r="J113" i="10"/>
  <c r="E111" i="10"/>
  <c r="G111" i="10" s="1"/>
  <c r="H111" i="10" s="1"/>
  <c r="J111" i="10" s="1"/>
  <c r="E110" i="10"/>
  <c r="G110" i="10" s="1"/>
  <c r="H110" i="10" s="1"/>
  <c r="J110" i="10" s="1"/>
  <c r="E109" i="10"/>
  <c r="G109" i="10" s="1"/>
  <c r="H109" i="10" s="1"/>
  <c r="J109" i="10" s="1"/>
  <c r="E108" i="10"/>
  <c r="E106" i="10"/>
  <c r="G106" i="10" s="1"/>
  <c r="H106" i="10" s="1"/>
  <c r="J106" i="10" s="1"/>
  <c r="E105" i="10"/>
  <c r="G105" i="10" s="1"/>
  <c r="H105" i="10" s="1"/>
  <c r="J105" i="10" s="1"/>
  <c r="E104" i="10"/>
  <c r="G104" i="10" s="1"/>
  <c r="H104" i="10" s="1"/>
  <c r="J104" i="10" s="1"/>
  <c r="E100" i="10"/>
  <c r="G100" i="10" s="1"/>
  <c r="E99" i="10"/>
  <c r="G99" i="10" s="1"/>
  <c r="E98" i="10"/>
  <c r="G98" i="10" s="1"/>
  <c r="E97" i="10"/>
  <c r="G97" i="10" s="1"/>
  <c r="E96" i="10"/>
  <c r="G96" i="10" s="1"/>
  <c r="E95" i="10"/>
  <c r="G95" i="10" s="1"/>
  <c r="E94" i="10"/>
  <c r="E93" i="10"/>
  <c r="G93" i="10" s="1"/>
  <c r="E92" i="10"/>
  <c r="G92" i="10" s="1"/>
  <c r="E90" i="10"/>
  <c r="G90" i="10" s="1"/>
  <c r="H90" i="10" s="1"/>
  <c r="J90" i="10" s="1"/>
  <c r="E89" i="10"/>
  <c r="G89" i="10" s="1"/>
  <c r="H89" i="10" s="1"/>
  <c r="J89" i="10" s="1"/>
  <c r="E88" i="10"/>
  <c r="G88" i="10" s="1"/>
  <c r="H88" i="10" s="1"/>
  <c r="J88" i="10" s="1"/>
  <c r="E87" i="10"/>
  <c r="G87" i="10" s="1"/>
  <c r="H87" i="10" s="1"/>
  <c r="J87" i="10" s="1"/>
  <c r="E86" i="10"/>
  <c r="G86" i="10" s="1"/>
  <c r="H86" i="10" s="1"/>
  <c r="J86" i="10" s="1"/>
  <c r="E84" i="10"/>
  <c r="G84" i="10" s="1"/>
  <c r="E83" i="10"/>
  <c r="G83" i="10" s="1"/>
  <c r="E82" i="10"/>
  <c r="G82" i="10" s="1"/>
  <c r="E81" i="10"/>
  <c r="G81" i="10" s="1"/>
  <c r="E80" i="10"/>
  <c r="G80" i="10" s="1"/>
  <c r="E79" i="10"/>
  <c r="G79" i="10" s="1"/>
  <c r="E78" i="10"/>
  <c r="G78" i="10" s="1"/>
  <c r="E77" i="10"/>
  <c r="G77" i="10" s="1"/>
  <c r="E76" i="10"/>
  <c r="G76" i="10" s="1"/>
  <c r="E75" i="10"/>
  <c r="G75" i="10" s="1"/>
  <c r="E74" i="10"/>
  <c r="G74" i="10" s="1"/>
  <c r="E73" i="10"/>
  <c r="G73" i="10" s="1"/>
  <c r="E72" i="10"/>
  <c r="G72" i="10" s="1"/>
  <c r="E69" i="10"/>
  <c r="G69" i="10" s="1"/>
  <c r="E68" i="10"/>
  <c r="G68" i="10" s="1"/>
  <c r="E67" i="10"/>
  <c r="G67" i="10" s="1"/>
  <c r="E66" i="10"/>
  <c r="G66" i="10" s="1"/>
  <c r="E65" i="10"/>
  <c r="G65" i="10" s="1"/>
  <c r="E64" i="10"/>
  <c r="G64" i="10" s="1"/>
  <c r="E63" i="10"/>
  <c r="G63" i="10" s="1"/>
  <c r="E62" i="10"/>
  <c r="G62" i="10" s="1"/>
  <c r="E58" i="10"/>
  <c r="G58" i="10" s="1"/>
  <c r="E57" i="10"/>
  <c r="G57" i="10" s="1"/>
  <c r="E56" i="10"/>
  <c r="G56" i="10" s="1"/>
  <c r="E55" i="10"/>
  <c r="G55" i="10" s="1"/>
  <c r="E54" i="10"/>
  <c r="G54" i="10" s="1"/>
  <c r="E53" i="10"/>
  <c r="G53" i="10" s="1"/>
  <c r="E52" i="10"/>
  <c r="G52" i="10" s="1"/>
  <c r="E51" i="10"/>
  <c r="G51" i="10" s="1"/>
  <c r="E50" i="10"/>
  <c r="G50" i="10" s="1"/>
  <c r="E49" i="10"/>
  <c r="G49" i="10" s="1"/>
  <c r="E46" i="10"/>
  <c r="G46" i="10" s="1"/>
  <c r="E45" i="10"/>
  <c r="G45" i="10" s="1"/>
  <c r="E44" i="10"/>
  <c r="G44" i="10" s="1"/>
  <c r="E43" i="10"/>
  <c r="G43" i="10" s="1"/>
  <c r="E42" i="10"/>
  <c r="G42" i="10" s="1"/>
  <c r="E41" i="10"/>
  <c r="G41" i="10" s="1"/>
  <c r="E40" i="10"/>
  <c r="G40" i="10" s="1"/>
  <c r="E39" i="10"/>
  <c r="G39" i="10" s="1"/>
  <c r="E38" i="10"/>
  <c r="G38" i="10" s="1"/>
  <c r="E37" i="10"/>
  <c r="G37" i="10" s="1"/>
  <c r="E36" i="10"/>
  <c r="G36" i="10" s="1"/>
  <c r="E35" i="10"/>
  <c r="G35" i="10" s="1"/>
  <c r="E29" i="10"/>
  <c r="G29" i="10" s="1"/>
  <c r="E24" i="10"/>
  <c r="E23" i="10"/>
  <c r="E22" i="10"/>
  <c r="G22" i="10" s="1"/>
  <c r="E19" i="10"/>
  <c r="G19" i="10" s="1"/>
  <c r="G18" i="10"/>
  <c r="E31" i="10" s="1"/>
  <c r="G31" i="10" s="1"/>
  <c r="E18" i="10"/>
  <c r="E15" i="10"/>
  <c r="G15" i="10" s="1"/>
  <c r="E12" i="10"/>
  <c r="G12" i="10" s="1"/>
  <c r="E11" i="10"/>
  <c r="G11" i="10" s="1"/>
  <c r="E10" i="10"/>
  <c r="G10" i="10" s="1"/>
  <c r="E9" i="10"/>
  <c r="G9" i="10" s="1"/>
  <c r="E8" i="10"/>
  <c r="G8" i="10" s="1"/>
  <c r="E27" i="10" s="1"/>
  <c r="G27" i="10" s="1"/>
  <c r="I7" i="10"/>
  <c r="E7" i="10"/>
  <c r="G7" i="10" s="1"/>
  <c r="F171" i="9"/>
  <c r="E171" i="9"/>
  <c r="F170" i="9"/>
  <c r="E170" i="9"/>
  <c r="F169" i="9"/>
  <c r="E169" i="9"/>
  <c r="F168" i="9"/>
  <c r="E168" i="9"/>
  <c r="F167" i="9"/>
  <c r="E167" i="9"/>
  <c r="F166" i="9"/>
  <c r="E166" i="9"/>
  <c r="F165" i="9"/>
  <c r="E165" i="9"/>
  <c r="F164" i="9"/>
  <c r="E164" i="9"/>
  <c r="E163" i="9"/>
  <c r="G163" i="9" s="1"/>
  <c r="I163" i="9" s="1"/>
  <c r="E162" i="9"/>
  <c r="G162" i="9" s="1"/>
  <c r="I162" i="9" s="1"/>
  <c r="E161" i="9"/>
  <c r="G161" i="9" s="1"/>
  <c r="I161" i="9" s="1"/>
  <c r="E160" i="9"/>
  <c r="G160" i="9" s="1"/>
  <c r="I160" i="9" s="1"/>
  <c r="E140" i="9"/>
  <c r="G140" i="9" s="1"/>
  <c r="H140" i="9" s="1"/>
  <c r="J140" i="9" s="1"/>
  <c r="E139" i="9"/>
  <c r="G139" i="9" s="1"/>
  <c r="H139" i="9" s="1"/>
  <c r="J139" i="9" s="1"/>
  <c r="E138" i="9"/>
  <c r="G138" i="9" s="1"/>
  <c r="H138" i="9" s="1"/>
  <c r="J138" i="9" s="1"/>
  <c r="E137" i="9"/>
  <c r="G137" i="9" s="1"/>
  <c r="E136" i="9"/>
  <c r="G136" i="9" s="1"/>
  <c r="H136" i="9" s="1"/>
  <c r="J136" i="9" s="1"/>
  <c r="E135" i="9"/>
  <c r="G135" i="9" s="1"/>
  <c r="H135" i="9" s="1"/>
  <c r="J135" i="9" s="1"/>
  <c r="E134" i="9"/>
  <c r="G134" i="9" s="1"/>
  <c r="E133" i="9"/>
  <c r="G133" i="9" s="1"/>
  <c r="H133" i="9" s="1"/>
  <c r="J133" i="9" s="1"/>
  <c r="E132" i="9"/>
  <c r="G132" i="9" s="1"/>
  <c r="E131" i="9"/>
  <c r="G131" i="9" s="1"/>
  <c r="H131" i="9" s="1"/>
  <c r="J131" i="9" s="1"/>
  <c r="E130" i="9"/>
  <c r="G130" i="9" s="1"/>
  <c r="H130" i="9" s="1"/>
  <c r="J130" i="9" s="1"/>
  <c r="E127" i="9"/>
  <c r="G127" i="9" s="1"/>
  <c r="H127" i="9" s="1"/>
  <c r="J127" i="9" s="1"/>
  <c r="E126" i="9"/>
  <c r="G126" i="9" s="1"/>
  <c r="H126" i="9" s="1"/>
  <c r="J126" i="9" s="1"/>
  <c r="E125" i="9"/>
  <c r="G125" i="9" s="1"/>
  <c r="H125" i="9" s="1"/>
  <c r="J125" i="9" s="1"/>
  <c r="E124" i="9"/>
  <c r="G124" i="9" s="1"/>
  <c r="H124" i="9" s="1"/>
  <c r="J124" i="9" s="1"/>
  <c r="E123" i="9"/>
  <c r="G123" i="9" s="1"/>
  <c r="H123" i="9" s="1"/>
  <c r="J123" i="9" s="1"/>
  <c r="G116" i="9"/>
  <c r="H116" i="9" s="1"/>
  <c r="J116" i="9" s="1"/>
  <c r="E115" i="9"/>
  <c r="G115" i="9" s="1"/>
  <c r="H115" i="9" s="1"/>
  <c r="J115" i="9" s="1"/>
  <c r="E114" i="9"/>
  <c r="G114" i="9" s="1"/>
  <c r="J113" i="9"/>
  <c r="E111" i="9"/>
  <c r="G111" i="9" s="1"/>
  <c r="H111" i="9" s="1"/>
  <c r="J111" i="9" s="1"/>
  <c r="E110" i="9"/>
  <c r="G110" i="9" s="1"/>
  <c r="H110" i="9" s="1"/>
  <c r="J110" i="9" s="1"/>
  <c r="E109" i="9"/>
  <c r="G109" i="9" s="1"/>
  <c r="E106" i="9"/>
  <c r="G106" i="9" s="1"/>
  <c r="H106" i="9" s="1"/>
  <c r="J106" i="9" s="1"/>
  <c r="E105" i="9"/>
  <c r="G105" i="9" s="1"/>
  <c r="H105" i="9" s="1"/>
  <c r="J105" i="9" s="1"/>
  <c r="E104" i="9"/>
  <c r="G104" i="9" s="1"/>
  <c r="H104" i="9" s="1"/>
  <c r="J104" i="9" s="1"/>
  <c r="E100" i="9"/>
  <c r="G100" i="9" s="1"/>
  <c r="H100" i="9" s="1"/>
  <c r="J100" i="9" s="1"/>
  <c r="E99" i="9"/>
  <c r="G99" i="9" s="1"/>
  <c r="H99" i="9" s="1"/>
  <c r="J99" i="9" s="1"/>
  <c r="E98" i="9"/>
  <c r="G98" i="9" s="1"/>
  <c r="H98" i="9" s="1"/>
  <c r="J98" i="9" s="1"/>
  <c r="E97" i="9"/>
  <c r="G97" i="9" s="1"/>
  <c r="H97" i="9" s="1"/>
  <c r="J97" i="9" s="1"/>
  <c r="E96" i="9"/>
  <c r="G96" i="9" s="1"/>
  <c r="H96" i="9" s="1"/>
  <c r="J96" i="9" s="1"/>
  <c r="E95" i="9"/>
  <c r="G95" i="9" s="1"/>
  <c r="E94" i="9"/>
  <c r="E93" i="9"/>
  <c r="G93" i="9" s="1"/>
  <c r="H93" i="9" s="1"/>
  <c r="J93" i="9" s="1"/>
  <c r="E92" i="9"/>
  <c r="G92" i="9" s="1"/>
  <c r="E90" i="9"/>
  <c r="G90" i="9" s="1"/>
  <c r="H90" i="9" s="1"/>
  <c r="J90" i="9" s="1"/>
  <c r="E89" i="9"/>
  <c r="G89" i="9" s="1"/>
  <c r="H89" i="9" s="1"/>
  <c r="J89" i="9" s="1"/>
  <c r="E88" i="9"/>
  <c r="G88" i="9" s="1"/>
  <c r="H88" i="9" s="1"/>
  <c r="J88" i="9" s="1"/>
  <c r="E87" i="9"/>
  <c r="G87" i="9" s="1"/>
  <c r="H87" i="9" s="1"/>
  <c r="J87" i="9" s="1"/>
  <c r="E86" i="9"/>
  <c r="G86" i="9" s="1"/>
  <c r="H86" i="9" s="1"/>
  <c r="J86" i="9" s="1"/>
  <c r="E84" i="9"/>
  <c r="G84" i="9" s="1"/>
  <c r="H84" i="9" s="1"/>
  <c r="J84" i="9" s="1"/>
  <c r="E83" i="9"/>
  <c r="G83" i="9" s="1"/>
  <c r="H83" i="9" s="1"/>
  <c r="J83" i="9" s="1"/>
  <c r="E82" i="9"/>
  <c r="G82" i="9" s="1"/>
  <c r="H82" i="9" s="1"/>
  <c r="J82" i="9" s="1"/>
  <c r="E81" i="9"/>
  <c r="G81" i="9" s="1"/>
  <c r="H81" i="9" s="1"/>
  <c r="J81" i="9" s="1"/>
  <c r="E80" i="9"/>
  <c r="G80" i="9" s="1"/>
  <c r="H80" i="9" s="1"/>
  <c r="J80" i="9" s="1"/>
  <c r="E79" i="9"/>
  <c r="G79" i="9" s="1"/>
  <c r="H79" i="9" s="1"/>
  <c r="J79" i="9" s="1"/>
  <c r="E78" i="9"/>
  <c r="G78" i="9" s="1"/>
  <c r="H78" i="9" s="1"/>
  <c r="J78" i="9" s="1"/>
  <c r="E77" i="9"/>
  <c r="G77" i="9" s="1"/>
  <c r="H77" i="9" s="1"/>
  <c r="J77" i="9" s="1"/>
  <c r="E76" i="9"/>
  <c r="G76" i="9" s="1"/>
  <c r="H76" i="9" s="1"/>
  <c r="J76" i="9" s="1"/>
  <c r="E75" i="9"/>
  <c r="G75" i="9" s="1"/>
  <c r="H75" i="9" s="1"/>
  <c r="J75" i="9" s="1"/>
  <c r="E74" i="9"/>
  <c r="G74" i="9" s="1"/>
  <c r="H74" i="9" s="1"/>
  <c r="J74" i="9" s="1"/>
  <c r="E73" i="9"/>
  <c r="G73" i="9" s="1"/>
  <c r="H73" i="9" s="1"/>
  <c r="J73" i="9" s="1"/>
  <c r="E72" i="9"/>
  <c r="G72" i="9" s="1"/>
  <c r="H72" i="9" s="1"/>
  <c r="J72" i="9" s="1"/>
  <c r="E69" i="9"/>
  <c r="G69" i="9" s="1"/>
  <c r="H69" i="9" s="1"/>
  <c r="J69" i="9" s="1"/>
  <c r="E68" i="9"/>
  <c r="G68" i="9" s="1"/>
  <c r="H68" i="9" s="1"/>
  <c r="J68" i="9" s="1"/>
  <c r="E67" i="9"/>
  <c r="G67" i="9" s="1"/>
  <c r="H67" i="9" s="1"/>
  <c r="J67" i="9" s="1"/>
  <c r="E66" i="9"/>
  <c r="G66" i="9" s="1"/>
  <c r="H66" i="9" s="1"/>
  <c r="J66" i="9" s="1"/>
  <c r="E65" i="9"/>
  <c r="G65" i="9" s="1"/>
  <c r="H65" i="9" s="1"/>
  <c r="J65" i="9" s="1"/>
  <c r="E64" i="9"/>
  <c r="G64" i="9" s="1"/>
  <c r="H64" i="9" s="1"/>
  <c r="J64" i="9" s="1"/>
  <c r="E63" i="9"/>
  <c r="G63" i="9" s="1"/>
  <c r="H63" i="9" s="1"/>
  <c r="J63" i="9" s="1"/>
  <c r="E62" i="9"/>
  <c r="G62" i="9" s="1"/>
  <c r="H62" i="9" s="1"/>
  <c r="J62" i="9" s="1"/>
  <c r="E58" i="9"/>
  <c r="G58" i="9" s="1"/>
  <c r="H58" i="9" s="1"/>
  <c r="J58" i="9" s="1"/>
  <c r="E57" i="9"/>
  <c r="G57" i="9" s="1"/>
  <c r="H57" i="9" s="1"/>
  <c r="J57" i="9" s="1"/>
  <c r="E56" i="9"/>
  <c r="G56" i="9" s="1"/>
  <c r="H56" i="9" s="1"/>
  <c r="J56" i="9" s="1"/>
  <c r="E55" i="9"/>
  <c r="G55" i="9" s="1"/>
  <c r="H55" i="9" s="1"/>
  <c r="J55" i="9" s="1"/>
  <c r="E54" i="9"/>
  <c r="G54" i="9" s="1"/>
  <c r="H54" i="9" s="1"/>
  <c r="J54" i="9" s="1"/>
  <c r="E53" i="9"/>
  <c r="G53" i="9" s="1"/>
  <c r="H53" i="9" s="1"/>
  <c r="J53" i="9" s="1"/>
  <c r="E52" i="9"/>
  <c r="G52" i="9" s="1"/>
  <c r="H52" i="9" s="1"/>
  <c r="J52" i="9" s="1"/>
  <c r="E51" i="9"/>
  <c r="G51" i="9" s="1"/>
  <c r="H51" i="9" s="1"/>
  <c r="J51" i="9" s="1"/>
  <c r="E50" i="9"/>
  <c r="G50" i="9" s="1"/>
  <c r="H50" i="9" s="1"/>
  <c r="J50" i="9" s="1"/>
  <c r="E49" i="9"/>
  <c r="G49" i="9" s="1"/>
  <c r="E46" i="9"/>
  <c r="G46" i="9" s="1"/>
  <c r="H46" i="9" s="1"/>
  <c r="J46" i="9" s="1"/>
  <c r="E45" i="9"/>
  <c r="G45" i="9" s="1"/>
  <c r="H45" i="9" s="1"/>
  <c r="J45" i="9" s="1"/>
  <c r="E44" i="9"/>
  <c r="G44" i="9" s="1"/>
  <c r="H44" i="9" s="1"/>
  <c r="J44" i="9" s="1"/>
  <c r="E43" i="9"/>
  <c r="G43" i="9" s="1"/>
  <c r="H43" i="9" s="1"/>
  <c r="J43" i="9" s="1"/>
  <c r="E42" i="9"/>
  <c r="G42" i="9" s="1"/>
  <c r="H42" i="9" s="1"/>
  <c r="J42" i="9" s="1"/>
  <c r="E41" i="9"/>
  <c r="G41" i="9" s="1"/>
  <c r="E40" i="9"/>
  <c r="G40" i="9" s="1"/>
  <c r="H40" i="9" s="1"/>
  <c r="J40" i="9" s="1"/>
  <c r="E39" i="9"/>
  <c r="G39" i="9" s="1"/>
  <c r="E38" i="9"/>
  <c r="G38" i="9" s="1"/>
  <c r="E37" i="9"/>
  <c r="G37" i="9" s="1"/>
  <c r="E36" i="9"/>
  <c r="G36" i="9" s="1"/>
  <c r="E35" i="9"/>
  <c r="G35" i="9" s="1"/>
  <c r="E29" i="9"/>
  <c r="G29" i="9" s="1"/>
  <c r="H29" i="9" s="1"/>
  <c r="J29" i="9" s="1"/>
  <c r="H24" i="9"/>
  <c r="J24" i="9" s="1"/>
  <c r="E24" i="9"/>
  <c r="H23" i="9"/>
  <c r="J23" i="9" s="1"/>
  <c r="E23" i="9"/>
  <c r="E22" i="9"/>
  <c r="G22" i="9" s="1"/>
  <c r="H22" i="9" s="1"/>
  <c r="J22" i="9" s="1"/>
  <c r="E19" i="9"/>
  <c r="G19" i="9" s="1"/>
  <c r="I18" i="9"/>
  <c r="G18" i="9"/>
  <c r="E31" i="9" s="1"/>
  <c r="G31" i="9" s="1"/>
  <c r="H31" i="9" s="1"/>
  <c r="E18" i="9"/>
  <c r="E15" i="9"/>
  <c r="G15" i="9" s="1"/>
  <c r="E12" i="9"/>
  <c r="G12" i="9" s="1"/>
  <c r="H12" i="9" s="1"/>
  <c r="J12" i="9" s="1"/>
  <c r="E11" i="9"/>
  <c r="G11" i="9" s="1"/>
  <c r="H11" i="9" s="1"/>
  <c r="J11" i="9" s="1"/>
  <c r="E10" i="9"/>
  <c r="G10" i="9" s="1"/>
  <c r="H10" i="9" s="1"/>
  <c r="J10" i="9" s="1"/>
  <c r="E9" i="9"/>
  <c r="G9" i="9" s="1"/>
  <c r="E8" i="9"/>
  <c r="G8" i="9" s="1"/>
  <c r="I7" i="9"/>
  <c r="E7" i="9"/>
  <c r="G7" i="9" s="1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E163" i="8"/>
  <c r="G163" i="8" s="1"/>
  <c r="I163" i="8" s="1"/>
  <c r="E162" i="8"/>
  <c r="G162" i="8" s="1"/>
  <c r="I162" i="8" s="1"/>
  <c r="E161" i="8"/>
  <c r="G161" i="8" s="1"/>
  <c r="I161" i="8" s="1"/>
  <c r="E160" i="8"/>
  <c r="G160" i="8" s="1"/>
  <c r="I160" i="8" s="1"/>
  <c r="E140" i="8"/>
  <c r="G140" i="8" s="1"/>
  <c r="H140" i="8" s="1"/>
  <c r="J140" i="8" s="1"/>
  <c r="E139" i="8"/>
  <c r="G139" i="8" s="1"/>
  <c r="H139" i="8" s="1"/>
  <c r="J139" i="8" s="1"/>
  <c r="E138" i="8"/>
  <c r="G138" i="8" s="1"/>
  <c r="H138" i="8" s="1"/>
  <c r="J138" i="8" s="1"/>
  <c r="E137" i="8"/>
  <c r="G137" i="8" s="1"/>
  <c r="H137" i="8" s="1"/>
  <c r="J137" i="8" s="1"/>
  <c r="E136" i="8"/>
  <c r="G136" i="8" s="1"/>
  <c r="E135" i="8"/>
  <c r="G135" i="8" s="1"/>
  <c r="H135" i="8" s="1"/>
  <c r="J135" i="8" s="1"/>
  <c r="E134" i="8"/>
  <c r="G134" i="8" s="1"/>
  <c r="H134" i="8" s="1"/>
  <c r="J134" i="8" s="1"/>
  <c r="E133" i="8"/>
  <c r="G133" i="8" s="1"/>
  <c r="H133" i="8" s="1"/>
  <c r="J133" i="8" s="1"/>
  <c r="E132" i="8"/>
  <c r="G132" i="8" s="1"/>
  <c r="E131" i="8"/>
  <c r="G131" i="8" s="1"/>
  <c r="H131" i="8" s="1"/>
  <c r="J131" i="8" s="1"/>
  <c r="E130" i="8"/>
  <c r="G130" i="8" s="1"/>
  <c r="H130" i="8" s="1"/>
  <c r="J130" i="8" s="1"/>
  <c r="E127" i="8"/>
  <c r="G127" i="8" s="1"/>
  <c r="H127" i="8" s="1"/>
  <c r="J127" i="8" s="1"/>
  <c r="E126" i="8"/>
  <c r="G126" i="8" s="1"/>
  <c r="H126" i="8" s="1"/>
  <c r="J126" i="8" s="1"/>
  <c r="E125" i="8"/>
  <c r="G125" i="8" s="1"/>
  <c r="H125" i="8" s="1"/>
  <c r="J125" i="8" s="1"/>
  <c r="E124" i="8"/>
  <c r="G124" i="8" s="1"/>
  <c r="H124" i="8" s="1"/>
  <c r="J124" i="8" s="1"/>
  <c r="E123" i="8"/>
  <c r="G123" i="8" s="1"/>
  <c r="H123" i="8" s="1"/>
  <c r="J123" i="8" s="1"/>
  <c r="G116" i="8"/>
  <c r="H116" i="8" s="1"/>
  <c r="J116" i="8" s="1"/>
  <c r="E115" i="8"/>
  <c r="G115" i="8" s="1"/>
  <c r="H115" i="8" s="1"/>
  <c r="J115" i="8" s="1"/>
  <c r="E114" i="8"/>
  <c r="G114" i="8" s="1"/>
  <c r="J113" i="8"/>
  <c r="E111" i="8"/>
  <c r="G111" i="8" s="1"/>
  <c r="H111" i="8" s="1"/>
  <c r="J111" i="8" s="1"/>
  <c r="E110" i="8"/>
  <c r="G110" i="8" s="1"/>
  <c r="H110" i="8" s="1"/>
  <c r="J110" i="8" s="1"/>
  <c r="E109" i="8"/>
  <c r="G109" i="8" s="1"/>
  <c r="E106" i="8"/>
  <c r="G106" i="8" s="1"/>
  <c r="H106" i="8" s="1"/>
  <c r="J106" i="8" s="1"/>
  <c r="E105" i="8"/>
  <c r="G105" i="8" s="1"/>
  <c r="H105" i="8" s="1"/>
  <c r="J105" i="8" s="1"/>
  <c r="E104" i="8"/>
  <c r="G104" i="8" s="1"/>
  <c r="E100" i="8"/>
  <c r="G100" i="8" s="1"/>
  <c r="H100" i="8" s="1"/>
  <c r="J100" i="8" s="1"/>
  <c r="E99" i="8"/>
  <c r="G99" i="8" s="1"/>
  <c r="H99" i="8" s="1"/>
  <c r="J99" i="8" s="1"/>
  <c r="E98" i="8"/>
  <c r="G98" i="8" s="1"/>
  <c r="H98" i="8" s="1"/>
  <c r="J98" i="8" s="1"/>
  <c r="E97" i="8"/>
  <c r="G97" i="8" s="1"/>
  <c r="H97" i="8" s="1"/>
  <c r="J97" i="8" s="1"/>
  <c r="E96" i="8"/>
  <c r="G96" i="8" s="1"/>
  <c r="E95" i="8"/>
  <c r="G95" i="8" s="1"/>
  <c r="H95" i="8" s="1"/>
  <c r="J95" i="8" s="1"/>
  <c r="E94" i="8"/>
  <c r="E93" i="8"/>
  <c r="G93" i="8" s="1"/>
  <c r="H93" i="8" s="1"/>
  <c r="J93" i="8" s="1"/>
  <c r="E92" i="8"/>
  <c r="G92" i="8" s="1"/>
  <c r="E90" i="8"/>
  <c r="G90" i="8" s="1"/>
  <c r="H90" i="8" s="1"/>
  <c r="J90" i="8" s="1"/>
  <c r="E89" i="8"/>
  <c r="G89" i="8" s="1"/>
  <c r="H89" i="8" s="1"/>
  <c r="J89" i="8" s="1"/>
  <c r="E88" i="8"/>
  <c r="G88" i="8" s="1"/>
  <c r="H88" i="8" s="1"/>
  <c r="J88" i="8" s="1"/>
  <c r="E87" i="8"/>
  <c r="G87" i="8" s="1"/>
  <c r="H87" i="8" s="1"/>
  <c r="J87" i="8" s="1"/>
  <c r="E86" i="8"/>
  <c r="G86" i="8" s="1"/>
  <c r="H86" i="8" s="1"/>
  <c r="J86" i="8" s="1"/>
  <c r="E84" i="8"/>
  <c r="G84" i="8" s="1"/>
  <c r="H84" i="8" s="1"/>
  <c r="J84" i="8" s="1"/>
  <c r="E83" i="8"/>
  <c r="G83" i="8" s="1"/>
  <c r="H83" i="8" s="1"/>
  <c r="J83" i="8" s="1"/>
  <c r="E82" i="8"/>
  <c r="G82" i="8" s="1"/>
  <c r="H82" i="8" s="1"/>
  <c r="J82" i="8" s="1"/>
  <c r="E81" i="8"/>
  <c r="G81" i="8" s="1"/>
  <c r="H81" i="8" s="1"/>
  <c r="J81" i="8" s="1"/>
  <c r="E80" i="8"/>
  <c r="G80" i="8" s="1"/>
  <c r="H80" i="8" s="1"/>
  <c r="J80" i="8" s="1"/>
  <c r="E79" i="8"/>
  <c r="G79" i="8" s="1"/>
  <c r="H79" i="8" s="1"/>
  <c r="J79" i="8" s="1"/>
  <c r="E78" i="8"/>
  <c r="G78" i="8" s="1"/>
  <c r="H78" i="8" s="1"/>
  <c r="J78" i="8" s="1"/>
  <c r="E77" i="8"/>
  <c r="G77" i="8" s="1"/>
  <c r="H77" i="8" s="1"/>
  <c r="J77" i="8" s="1"/>
  <c r="E76" i="8"/>
  <c r="G76" i="8" s="1"/>
  <c r="H76" i="8" s="1"/>
  <c r="J76" i="8" s="1"/>
  <c r="E75" i="8"/>
  <c r="G75" i="8" s="1"/>
  <c r="H75" i="8" s="1"/>
  <c r="J75" i="8" s="1"/>
  <c r="E74" i="8"/>
  <c r="G74" i="8" s="1"/>
  <c r="H74" i="8" s="1"/>
  <c r="J74" i="8" s="1"/>
  <c r="E73" i="8"/>
  <c r="G73" i="8" s="1"/>
  <c r="H73" i="8" s="1"/>
  <c r="J73" i="8" s="1"/>
  <c r="E72" i="8"/>
  <c r="G72" i="8" s="1"/>
  <c r="H72" i="8" s="1"/>
  <c r="J72" i="8" s="1"/>
  <c r="E69" i="8"/>
  <c r="G69" i="8" s="1"/>
  <c r="H69" i="8" s="1"/>
  <c r="J69" i="8" s="1"/>
  <c r="E68" i="8"/>
  <c r="G68" i="8" s="1"/>
  <c r="H68" i="8" s="1"/>
  <c r="J68" i="8" s="1"/>
  <c r="E67" i="8"/>
  <c r="G67" i="8" s="1"/>
  <c r="H67" i="8" s="1"/>
  <c r="J67" i="8" s="1"/>
  <c r="E66" i="8"/>
  <c r="G66" i="8" s="1"/>
  <c r="H66" i="8" s="1"/>
  <c r="J66" i="8" s="1"/>
  <c r="E65" i="8"/>
  <c r="G65" i="8" s="1"/>
  <c r="H65" i="8" s="1"/>
  <c r="J65" i="8" s="1"/>
  <c r="E64" i="8"/>
  <c r="G64" i="8" s="1"/>
  <c r="H64" i="8" s="1"/>
  <c r="J64" i="8" s="1"/>
  <c r="E63" i="8"/>
  <c r="G63" i="8" s="1"/>
  <c r="H63" i="8" s="1"/>
  <c r="J63" i="8" s="1"/>
  <c r="E62" i="8"/>
  <c r="G62" i="8" s="1"/>
  <c r="H62" i="8" s="1"/>
  <c r="J62" i="8" s="1"/>
  <c r="E58" i="8"/>
  <c r="G58" i="8" s="1"/>
  <c r="H58" i="8" s="1"/>
  <c r="J58" i="8" s="1"/>
  <c r="E57" i="8"/>
  <c r="G57" i="8" s="1"/>
  <c r="H57" i="8" s="1"/>
  <c r="J57" i="8" s="1"/>
  <c r="E56" i="8"/>
  <c r="G56" i="8" s="1"/>
  <c r="H56" i="8" s="1"/>
  <c r="J56" i="8" s="1"/>
  <c r="E55" i="8"/>
  <c r="G55" i="8" s="1"/>
  <c r="H55" i="8" s="1"/>
  <c r="J55" i="8" s="1"/>
  <c r="E54" i="8"/>
  <c r="G54" i="8" s="1"/>
  <c r="H54" i="8" s="1"/>
  <c r="J54" i="8" s="1"/>
  <c r="E53" i="8"/>
  <c r="G53" i="8" s="1"/>
  <c r="H53" i="8" s="1"/>
  <c r="J53" i="8" s="1"/>
  <c r="E52" i="8"/>
  <c r="G52" i="8" s="1"/>
  <c r="H52" i="8" s="1"/>
  <c r="J52" i="8" s="1"/>
  <c r="E51" i="8"/>
  <c r="G51" i="8" s="1"/>
  <c r="H51" i="8" s="1"/>
  <c r="J51" i="8" s="1"/>
  <c r="E50" i="8"/>
  <c r="G50" i="8" s="1"/>
  <c r="H50" i="8" s="1"/>
  <c r="J50" i="8" s="1"/>
  <c r="E49" i="8"/>
  <c r="G49" i="8" s="1"/>
  <c r="E46" i="8"/>
  <c r="G46" i="8" s="1"/>
  <c r="H46" i="8" s="1"/>
  <c r="J46" i="8" s="1"/>
  <c r="E45" i="8"/>
  <c r="G45" i="8" s="1"/>
  <c r="H45" i="8" s="1"/>
  <c r="J45" i="8" s="1"/>
  <c r="E44" i="8"/>
  <c r="G44" i="8" s="1"/>
  <c r="H44" i="8" s="1"/>
  <c r="J44" i="8" s="1"/>
  <c r="E43" i="8"/>
  <c r="G43" i="8" s="1"/>
  <c r="H43" i="8" s="1"/>
  <c r="J43" i="8" s="1"/>
  <c r="E42" i="8"/>
  <c r="G42" i="8" s="1"/>
  <c r="H42" i="8" s="1"/>
  <c r="J42" i="8" s="1"/>
  <c r="E41" i="8"/>
  <c r="G41" i="8" s="1"/>
  <c r="E40" i="8"/>
  <c r="G40" i="8" s="1"/>
  <c r="H40" i="8" s="1"/>
  <c r="J40" i="8" s="1"/>
  <c r="E39" i="8"/>
  <c r="G39" i="8" s="1"/>
  <c r="E38" i="8"/>
  <c r="G38" i="8" s="1"/>
  <c r="E37" i="8"/>
  <c r="G37" i="8" s="1"/>
  <c r="E36" i="8"/>
  <c r="G36" i="8" s="1"/>
  <c r="E35" i="8"/>
  <c r="G35" i="8" s="1"/>
  <c r="E29" i="8"/>
  <c r="G29" i="8" s="1"/>
  <c r="H29" i="8" s="1"/>
  <c r="J29" i="8" s="1"/>
  <c r="H24" i="8"/>
  <c r="J24" i="8" s="1"/>
  <c r="E24" i="8"/>
  <c r="H23" i="8"/>
  <c r="J23" i="8" s="1"/>
  <c r="E23" i="8"/>
  <c r="E22" i="8"/>
  <c r="G22" i="8" s="1"/>
  <c r="H22" i="8" s="1"/>
  <c r="J22" i="8" s="1"/>
  <c r="E19" i="8"/>
  <c r="G19" i="8" s="1"/>
  <c r="I18" i="8"/>
  <c r="G18" i="8"/>
  <c r="E18" i="8"/>
  <c r="E15" i="8"/>
  <c r="G15" i="8" s="1"/>
  <c r="E12" i="8"/>
  <c r="G12" i="8" s="1"/>
  <c r="H12" i="8" s="1"/>
  <c r="J12" i="8" s="1"/>
  <c r="E11" i="8"/>
  <c r="G11" i="8" s="1"/>
  <c r="H11" i="8" s="1"/>
  <c r="J11" i="8" s="1"/>
  <c r="E10" i="8"/>
  <c r="G10" i="8" s="1"/>
  <c r="H10" i="8" s="1"/>
  <c r="J10" i="8" s="1"/>
  <c r="E9" i="8"/>
  <c r="G9" i="8" s="1"/>
  <c r="E8" i="8"/>
  <c r="G8" i="8" s="1"/>
  <c r="I7" i="8"/>
  <c r="E7" i="8"/>
  <c r="G7" i="8" s="1"/>
  <c r="H7" i="8" s="1"/>
  <c r="J7" i="8" s="1"/>
  <c r="F171" i="7"/>
  <c r="E171" i="7"/>
  <c r="F170" i="7"/>
  <c r="E170" i="7"/>
  <c r="F169" i="7"/>
  <c r="E169" i="7"/>
  <c r="F168" i="7"/>
  <c r="E168" i="7"/>
  <c r="F167" i="7"/>
  <c r="E167" i="7"/>
  <c r="F166" i="7"/>
  <c r="E166" i="7"/>
  <c r="F165" i="7"/>
  <c r="E165" i="7"/>
  <c r="F164" i="7"/>
  <c r="E164" i="7"/>
  <c r="E163" i="7"/>
  <c r="G163" i="7" s="1"/>
  <c r="I163" i="7" s="1"/>
  <c r="E162" i="7"/>
  <c r="G162" i="7" s="1"/>
  <c r="I162" i="7" s="1"/>
  <c r="E161" i="7"/>
  <c r="G161" i="7" s="1"/>
  <c r="I161" i="7" s="1"/>
  <c r="E160" i="7"/>
  <c r="G160" i="7" s="1"/>
  <c r="I160" i="7" s="1"/>
  <c r="E140" i="7"/>
  <c r="G140" i="7" s="1"/>
  <c r="E139" i="7"/>
  <c r="G139" i="7" s="1"/>
  <c r="H139" i="7" s="1"/>
  <c r="J139" i="7" s="1"/>
  <c r="E138" i="7"/>
  <c r="G138" i="7" s="1"/>
  <c r="H138" i="7" s="1"/>
  <c r="J138" i="7" s="1"/>
  <c r="E137" i="7"/>
  <c r="G137" i="7" s="1"/>
  <c r="H137" i="7" s="1"/>
  <c r="J137" i="7" s="1"/>
  <c r="E136" i="7"/>
  <c r="G136" i="7" s="1"/>
  <c r="G135" i="7"/>
  <c r="H135" i="7" s="1"/>
  <c r="J135" i="7" s="1"/>
  <c r="E134" i="7"/>
  <c r="G134" i="7" s="1"/>
  <c r="H134" i="7" s="1"/>
  <c r="J134" i="7" s="1"/>
  <c r="E133" i="7"/>
  <c r="G133" i="7" s="1"/>
  <c r="H133" i="7" s="1"/>
  <c r="J133" i="7" s="1"/>
  <c r="E132" i="7"/>
  <c r="G132" i="7" s="1"/>
  <c r="E131" i="7"/>
  <c r="G131" i="7" s="1"/>
  <c r="H131" i="7" s="1"/>
  <c r="J131" i="7" s="1"/>
  <c r="E130" i="7"/>
  <c r="G130" i="7" s="1"/>
  <c r="H130" i="7" s="1"/>
  <c r="J130" i="7" s="1"/>
  <c r="E127" i="7"/>
  <c r="G127" i="7" s="1"/>
  <c r="H127" i="7" s="1"/>
  <c r="J127" i="7" s="1"/>
  <c r="E126" i="7"/>
  <c r="G126" i="7" s="1"/>
  <c r="H126" i="7" s="1"/>
  <c r="J126" i="7" s="1"/>
  <c r="E125" i="7"/>
  <c r="G125" i="7" s="1"/>
  <c r="H125" i="7" s="1"/>
  <c r="J125" i="7" s="1"/>
  <c r="E124" i="7"/>
  <c r="G124" i="7" s="1"/>
  <c r="E123" i="7"/>
  <c r="G123" i="7" s="1"/>
  <c r="H123" i="7" s="1"/>
  <c r="J123" i="7" s="1"/>
  <c r="G116" i="7"/>
  <c r="H116" i="7" s="1"/>
  <c r="J116" i="7" s="1"/>
  <c r="E115" i="7"/>
  <c r="G115" i="7" s="1"/>
  <c r="H115" i="7" s="1"/>
  <c r="J115" i="7" s="1"/>
  <c r="E114" i="7"/>
  <c r="G114" i="7" s="1"/>
  <c r="J113" i="7"/>
  <c r="E111" i="7"/>
  <c r="G111" i="7" s="1"/>
  <c r="H111" i="7" s="1"/>
  <c r="J111" i="7" s="1"/>
  <c r="E110" i="7"/>
  <c r="G110" i="7" s="1"/>
  <c r="H110" i="7" s="1"/>
  <c r="J110" i="7" s="1"/>
  <c r="E109" i="7"/>
  <c r="G109" i="7" s="1"/>
  <c r="E106" i="7"/>
  <c r="G106" i="7" s="1"/>
  <c r="H106" i="7" s="1"/>
  <c r="J106" i="7" s="1"/>
  <c r="E105" i="7"/>
  <c r="G105" i="7" s="1"/>
  <c r="H105" i="7" s="1"/>
  <c r="J105" i="7" s="1"/>
  <c r="E104" i="7"/>
  <c r="G104" i="7" s="1"/>
  <c r="E100" i="7"/>
  <c r="G100" i="7" s="1"/>
  <c r="H100" i="7" s="1"/>
  <c r="J100" i="7" s="1"/>
  <c r="E99" i="7"/>
  <c r="G99" i="7" s="1"/>
  <c r="H99" i="7" s="1"/>
  <c r="J99" i="7" s="1"/>
  <c r="E98" i="7"/>
  <c r="G98" i="7" s="1"/>
  <c r="H98" i="7" s="1"/>
  <c r="J98" i="7" s="1"/>
  <c r="E97" i="7"/>
  <c r="G97" i="7" s="1"/>
  <c r="H97" i="7" s="1"/>
  <c r="J97" i="7" s="1"/>
  <c r="E96" i="7"/>
  <c r="G96" i="7" s="1"/>
  <c r="H96" i="7" s="1"/>
  <c r="J96" i="7" s="1"/>
  <c r="E95" i="7"/>
  <c r="G95" i="7" s="1"/>
  <c r="E94" i="7"/>
  <c r="E93" i="7"/>
  <c r="G93" i="7" s="1"/>
  <c r="H93" i="7" s="1"/>
  <c r="J93" i="7" s="1"/>
  <c r="E92" i="7"/>
  <c r="G92" i="7" s="1"/>
  <c r="G94" i="7" s="1"/>
  <c r="H94" i="7" s="1"/>
  <c r="J94" i="7" s="1"/>
  <c r="E90" i="7"/>
  <c r="G90" i="7" s="1"/>
  <c r="H90" i="7" s="1"/>
  <c r="J90" i="7" s="1"/>
  <c r="E89" i="7"/>
  <c r="G89" i="7" s="1"/>
  <c r="H89" i="7" s="1"/>
  <c r="J89" i="7" s="1"/>
  <c r="E88" i="7"/>
  <c r="G88" i="7" s="1"/>
  <c r="H88" i="7" s="1"/>
  <c r="J88" i="7" s="1"/>
  <c r="E87" i="7"/>
  <c r="G87" i="7" s="1"/>
  <c r="H87" i="7" s="1"/>
  <c r="J87" i="7" s="1"/>
  <c r="E86" i="7"/>
  <c r="G86" i="7" s="1"/>
  <c r="H86" i="7" s="1"/>
  <c r="J86" i="7" s="1"/>
  <c r="E84" i="7"/>
  <c r="G84" i="7" s="1"/>
  <c r="H84" i="7" s="1"/>
  <c r="J84" i="7" s="1"/>
  <c r="E83" i="7"/>
  <c r="G83" i="7" s="1"/>
  <c r="H83" i="7" s="1"/>
  <c r="J83" i="7" s="1"/>
  <c r="E82" i="7"/>
  <c r="G82" i="7" s="1"/>
  <c r="H82" i="7" s="1"/>
  <c r="J82" i="7" s="1"/>
  <c r="E81" i="7"/>
  <c r="G81" i="7" s="1"/>
  <c r="H81" i="7" s="1"/>
  <c r="J81" i="7" s="1"/>
  <c r="E80" i="7"/>
  <c r="G80" i="7" s="1"/>
  <c r="H80" i="7" s="1"/>
  <c r="J80" i="7" s="1"/>
  <c r="E79" i="7"/>
  <c r="G79" i="7" s="1"/>
  <c r="H79" i="7" s="1"/>
  <c r="J79" i="7" s="1"/>
  <c r="E78" i="7"/>
  <c r="G78" i="7" s="1"/>
  <c r="H78" i="7" s="1"/>
  <c r="J78" i="7" s="1"/>
  <c r="E77" i="7"/>
  <c r="G77" i="7" s="1"/>
  <c r="H77" i="7" s="1"/>
  <c r="J77" i="7" s="1"/>
  <c r="E76" i="7"/>
  <c r="G76" i="7" s="1"/>
  <c r="H76" i="7" s="1"/>
  <c r="J76" i="7" s="1"/>
  <c r="E75" i="7"/>
  <c r="G75" i="7" s="1"/>
  <c r="H75" i="7" s="1"/>
  <c r="J75" i="7" s="1"/>
  <c r="E74" i="7"/>
  <c r="G74" i="7" s="1"/>
  <c r="H74" i="7" s="1"/>
  <c r="J74" i="7" s="1"/>
  <c r="E73" i="7"/>
  <c r="G73" i="7" s="1"/>
  <c r="E72" i="7"/>
  <c r="G72" i="7" s="1"/>
  <c r="H72" i="7" s="1"/>
  <c r="J72" i="7" s="1"/>
  <c r="E69" i="7"/>
  <c r="G69" i="7" s="1"/>
  <c r="H69" i="7" s="1"/>
  <c r="J69" i="7" s="1"/>
  <c r="E68" i="7"/>
  <c r="G68" i="7" s="1"/>
  <c r="H68" i="7" s="1"/>
  <c r="J68" i="7" s="1"/>
  <c r="E67" i="7"/>
  <c r="G67" i="7" s="1"/>
  <c r="H67" i="7" s="1"/>
  <c r="J67" i="7" s="1"/>
  <c r="E66" i="7"/>
  <c r="G66" i="7" s="1"/>
  <c r="H66" i="7" s="1"/>
  <c r="J66" i="7" s="1"/>
  <c r="E65" i="7"/>
  <c r="G65" i="7" s="1"/>
  <c r="H65" i="7" s="1"/>
  <c r="J65" i="7" s="1"/>
  <c r="E64" i="7"/>
  <c r="G64" i="7" s="1"/>
  <c r="H64" i="7" s="1"/>
  <c r="J64" i="7" s="1"/>
  <c r="E63" i="7"/>
  <c r="G63" i="7" s="1"/>
  <c r="H63" i="7" s="1"/>
  <c r="J63" i="7" s="1"/>
  <c r="E62" i="7"/>
  <c r="G62" i="7" s="1"/>
  <c r="H62" i="7" s="1"/>
  <c r="J62" i="7" s="1"/>
  <c r="E58" i="7"/>
  <c r="G58" i="7" s="1"/>
  <c r="H58" i="7" s="1"/>
  <c r="J58" i="7" s="1"/>
  <c r="E57" i="7"/>
  <c r="G57" i="7" s="1"/>
  <c r="H57" i="7" s="1"/>
  <c r="J57" i="7" s="1"/>
  <c r="E56" i="7"/>
  <c r="G56" i="7" s="1"/>
  <c r="H56" i="7" s="1"/>
  <c r="J56" i="7" s="1"/>
  <c r="E55" i="7"/>
  <c r="G55" i="7" s="1"/>
  <c r="H55" i="7" s="1"/>
  <c r="J55" i="7" s="1"/>
  <c r="E54" i="7"/>
  <c r="G54" i="7" s="1"/>
  <c r="H54" i="7" s="1"/>
  <c r="J54" i="7" s="1"/>
  <c r="E53" i="7"/>
  <c r="G53" i="7" s="1"/>
  <c r="H53" i="7" s="1"/>
  <c r="J53" i="7" s="1"/>
  <c r="E52" i="7"/>
  <c r="G52" i="7" s="1"/>
  <c r="H52" i="7" s="1"/>
  <c r="J52" i="7" s="1"/>
  <c r="E51" i="7"/>
  <c r="G51" i="7" s="1"/>
  <c r="H51" i="7" s="1"/>
  <c r="J51" i="7" s="1"/>
  <c r="E50" i="7"/>
  <c r="G50" i="7" s="1"/>
  <c r="H50" i="7" s="1"/>
  <c r="J50" i="7" s="1"/>
  <c r="E49" i="7"/>
  <c r="G49" i="7" s="1"/>
  <c r="E46" i="7"/>
  <c r="G46" i="7" s="1"/>
  <c r="H46" i="7" s="1"/>
  <c r="J46" i="7" s="1"/>
  <c r="E45" i="7"/>
  <c r="G45" i="7" s="1"/>
  <c r="H45" i="7" s="1"/>
  <c r="J45" i="7" s="1"/>
  <c r="E44" i="7"/>
  <c r="G44" i="7" s="1"/>
  <c r="H44" i="7" s="1"/>
  <c r="J44" i="7" s="1"/>
  <c r="E43" i="7"/>
  <c r="G43" i="7" s="1"/>
  <c r="H43" i="7" s="1"/>
  <c r="J43" i="7" s="1"/>
  <c r="E42" i="7"/>
  <c r="G42" i="7" s="1"/>
  <c r="H42" i="7" s="1"/>
  <c r="J42" i="7" s="1"/>
  <c r="E41" i="7"/>
  <c r="G41" i="7" s="1"/>
  <c r="E40" i="7"/>
  <c r="G40" i="7" s="1"/>
  <c r="H40" i="7" s="1"/>
  <c r="J40" i="7" s="1"/>
  <c r="E39" i="7"/>
  <c r="G39" i="7" s="1"/>
  <c r="E38" i="7"/>
  <c r="G38" i="7" s="1"/>
  <c r="E37" i="7"/>
  <c r="G37" i="7" s="1"/>
  <c r="E36" i="7"/>
  <c r="G36" i="7" s="1"/>
  <c r="E35" i="7"/>
  <c r="G35" i="7" s="1"/>
  <c r="E29" i="7"/>
  <c r="G29" i="7" s="1"/>
  <c r="H29" i="7" s="1"/>
  <c r="J29" i="7" s="1"/>
  <c r="H24" i="7"/>
  <c r="J24" i="7" s="1"/>
  <c r="E24" i="7"/>
  <c r="H23" i="7"/>
  <c r="J23" i="7" s="1"/>
  <c r="E23" i="7"/>
  <c r="E22" i="7"/>
  <c r="G22" i="7" s="1"/>
  <c r="H22" i="7" s="1"/>
  <c r="J22" i="7" s="1"/>
  <c r="E19" i="7"/>
  <c r="G19" i="7" s="1"/>
  <c r="I18" i="7"/>
  <c r="G18" i="7"/>
  <c r="E31" i="7" s="1"/>
  <c r="G31" i="7" s="1"/>
  <c r="H31" i="7" s="1"/>
  <c r="E18" i="7"/>
  <c r="E15" i="7"/>
  <c r="G15" i="7" s="1"/>
  <c r="E28" i="7" s="1"/>
  <c r="G28" i="7" s="1"/>
  <c r="H28" i="7" s="1"/>
  <c r="J28" i="7" s="1"/>
  <c r="E12" i="7"/>
  <c r="G12" i="7" s="1"/>
  <c r="H12" i="7" s="1"/>
  <c r="J12" i="7" s="1"/>
  <c r="E11" i="7"/>
  <c r="G11" i="7" s="1"/>
  <c r="H11" i="7" s="1"/>
  <c r="J11" i="7" s="1"/>
  <c r="E10" i="7"/>
  <c r="G10" i="7" s="1"/>
  <c r="H10" i="7" s="1"/>
  <c r="J10" i="7" s="1"/>
  <c r="E9" i="7"/>
  <c r="G9" i="7" s="1"/>
  <c r="H9" i="7" s="1"/>
  <c r="J9" i="7" s="1"/>
  <c r="E8" i="7"/>
  <c r="G8" i="7" s="1"/>
  <c r="I7" i="7"/>
  <c r="E7" i="7"/>
  <c r="G7" i="7" s="1"/>
  <c r="F171" i="33"/>
  <c r="E171" i="33"/>
  <c r="F170" i="33"/>
  <c r="E170" i="33"/>
  <c r="F169" i="33"/>
  <c r="E169" i="33"/>
  <c r="F168" i="33"/>
  <c r="E168" i="33"/>
  <c r="G168" i="33" s="1"/>
  <c r="I168" i="33" s="1"/>
  <c r="F167" i="33"/>
  <c r="E167" i="33"/>
  <c r="F166" i="33"/>
  <c r="E166" i="33"/>
  <c r="F165" i="33"/>
  <c r="E165" i="33"/>
  <c r="F164" i="33"/>
  <c r="E164" i="33"/>
  <c r="E163" i="33"/>
  <c r="G163" i="33" s="1"/>
  <c r="I163" i="33" s="1"/>
  <c r="E162" i="33"/>
  <c r="G162" i="33" s="1"/>
  <c r="I162" i="33" s="1"/>
  <c r="E161" i="33"/>
  <c r="G161" i="33" s="1"/>
  <c r="I161" i="33" s="1"/>
  <c r="E160" i="33"/>
  <c r="G160" i="33" s="1"/>
  <c r="I160" i="33" s="1"/>
  <c r="E140" i="33"/>
  <c r="G140" i="33" s="1"/>
  <c r="H140" i="33" s="1"/>
  <c r="J140" i="33" s="1"/>
  <c r="E139" i="33"/>
  <c r="G139" i="33" s="1"/>
  <c r="E138" i="33"/>
  <c r="G138" i="33" s="1"/>
  <c r="H138" i="33" s="1"/>
  <c r="J138" i="33" s="1"/>
  <c r="E137" i="33"/>
  <c r="G137" i="33" s="1"/>
  <c r="H137" i="33" s="1"/>
  <c r="J137" i="33" s="1"/>
  <c r="E136" i="33"/>
  <c r="G136" i="33" s="1"/>
  <c r="E135" i="33"/>
  <c r="G135" i="33" s="1"/>
  <c r="H135" i="33" s="1"/>
  <c r="J135" i="33" s="1"/>
  <c r="E134" i="33"/>
  <c r="G134" i="33" s="1"/>
  <c r="H134" i="33" s="1"/>
  <c r="J134" i="33" s="1"/>
  <c r="E133" i="33"/>
  <c r="G133" i="33" s="1"/>
  <c r="H133" i="33" s="1"/>
  <c r="J133" i="33" s="1"/>
  <c r="E132" i="33"/>
  <c r="G132" i="33" s="1"/>
  <c r="E131" i="33"/>
  <c r="G131" i="33" s="1"/>
  <c r="H131" i="33" s="1"/>
  <c r="J131" i="33" s="1"/>
  <c r="E130" i="33"/>
  <c r="G130" i="33" s="1"/>
  <c r="H130" i="33" s="1"/>
  <c r="J130" i="33" s="1"/>
  <c r="E127" i="33"/>
  <c r="G127" i="33" s="1"/>
  <c r="H127" i="33" s="1"/>
  <c r="J127" i="33" s="1"/>
  <c r="E126" i="33"/>
  <c r="G126" i="33" s="1"/>
  <c r="H126" i="33" s="1"/>
  <c r="J126" i="33" s="1"/>
  <c r="E125" i="33"/>
  <c r="G125" i="33" s="1"/>
  <c r="H125" i="33" s="1"/>
  <c r="J125" i="33" s="1"/>
  <c r="E124" i="33"/>
  <c r="G124" i="33" s="1"/>
  <c r="H124" i="33" s="1"/>
  <c r="J124" i="33" s="1"/>
  <c r="E123" i="33"/>
  <c r="G123" i="33" s="1"/>
  <c r="H123" i="33" s="1"/>
  <c r="J123" i="33" s="1"/>
  <c r="G116" i="33"/>
  <c r="H116" i="33" s="1"/>
  <c r="J116" i="33" s="1"/>
  <c r="E115" i="33"/>
  <c r="G115" i="33" s="1"/>
  <c r="E114" i="33"/>
  <c r="G114" i="33" s="1"/>
  <c r="H114" i="33" s="1"/>
  <c r="J114" i="33" s="1"/>
  <c r="J113" i="33"/>
  <c r="E113" i="33"/>
  <c r="E112" i="33"/>
  <c r="E111" i="33"/>
  <c r="G111" i="33" s="1"/>
  <c r="H111" i="33" s="1"/>
  <c r="J111" i="33" s="1"/>
  <c r="E110" i="33"/>
  <c r="G110" i="33" s="1"/>
  <c r="H110" i="33" s="1"/>
  <c r="J110" i="33" s="1"/>
  <c r="E109" i="33"/>
  <c r="G109" i="33" s="1"/>
  <c r="H109" i="33" s="1"/>
  <c r="J109" i="33" s="1"/>
  <c r="E108" i="33"/>
  <c r="E107" i="33"/>
  <c r="E106" i="33"/>
  <c r="G106" i="33" s="1"/>
  <c r="H106" i="33" s="1"/>
  <c r="J106" i="33" s="1"/>
  <c r="E105" i="33"/>
  <c r="G105" i="33" s="1"/>
  <c r="H105" i="33" s="1"/>
  <c r="J105" i="33" s="1"/>
  <c r="E104" i="33"/>
  <c r="G104" i="33" s="1"/>
  <c r="E100" i="33"/>
  <c r="G100" i="33" s="1"/>
  <c r="H100" i="33" s="1"/>
  <c r="J100" i="33" s="1"/>
  <c r="E99" i="33"/>
  <c r="G99" i="33" s="1"/>
  <c r="H99" i="33" s="1"/>
  <c r="J99" i="33" s="1"/>
  <c r="E98" i="33"/>
  <c r="G98" i="33" s="1"/>
  <c r="H98" i="33" s="1"/>
  <c r="J98" i="33" s="1"/>
  <c r="E97" i="33"/>
  <c r="G97" i="33" s="1"/>
  <c r="H97" i="33" s="1"/>
  <c r="J97" i="33" s="1"/>
  <c r="E96" i="33"/>
  <c r="G96" i="33" s="1"/>
  <c r="H96" i="33" s="1"/>
  <c r="J96" i="33" s="1"/>
  <c r="E95" i="33"/>
  <c r="G95" i="33" s="1"/>
  <c r="E93" i="33"/>
  <c r="G93" i="33" s="1"/>
  <c r="H93" i="33" s="1"/>
  <c r="J93" i="33" s="1"/>
  <c r="E92" i="33"/>
  <c r="G92" i="33" s="1"/>
  <c r="E90" i="33"/>
  <c r="G90" i="33" s="1"/>
  <c r="H90" i="33" s="1"/>
  <c r="J90" i="33" s="1"/>
  <c r="F89" i="33"/>
  <c r="E89" i="33"/>
  <c r="E88" i="33"/>
  <c r="G88" i="33" s="1"/>
  <c r="H88" i="33" s="1"/>
  <c r="J88" i="33" s="1"/>
  <c r="E87" i="33"/>
  <c r="G87" i="33" s="1"/>
  <c r="H87" i="33" s="1"/>
  <c r="J87" i="33" s="1"/>
  <c r="E86" i="33"/>
  <c r="G86" i="33" s="1"/>
  <c r="E85" i="33"/>
  <c r="E84" i="33"/>
  <c r="G84" i="33" s="1"/>
  <c r="H84" i="33" s="1"/>
  <c r="J84" i="33" s="1"/>
  <c r="E83" i="33"/>
  <c r="G83" i="33" s="1"/>
  <c r="H83" i="33" s="1"/>
  <c r="J83" i="33" s="1"/>
  <c r="E82" i="33"/>
  <c r="G82" i="33" s="1"/>
  <c r="H82" i="33" s="1"/>
  <c r="J82" i="33" s="1"/>
  <c r="E81" i="33"/>
  <c r="G81" i="33" s="1"/>
  <c r="H81" i="33" s="1"/>
  <c r="J81" i="33" s="1"/>
  <c r="E80" i="33"/>
  <c r="G80" i="33" s="1"/>
  <c r="H80" i="33" s="1"/>
  <c r="J80" i="33" s="1"/>
  <c r="E79" i="33"/>
  <c r="G79" i="33" s="1"/>
  <c r="H79" i="33" s="1"/>
  <c r="J79" i="33" s="1"/>
  <c r="E78" i="33"/>
  <c r="G78" i="33" s="1"/>
  <c r="H78" i="33" s="1"/>
  <c r="J78" i="33" s="1"/>
  <c r="E77" i="33"/>
  <c r="G77" i="33" s="1"/>
  <c r="H77" i="33" s="1"/>
  <c r="J77" i="33" s="1"/>
  <c r="E76" i="33"/>
  <c r="G76" i="33" s="1"/>
  <c r="H76" i="33" s="1"/>
  <c r="J76" i="33" s="1"/>
  <c r="E75" i="33"/>
  <c r="G75" i="33" s="1"/>
  <c r="H75" i="33" s="1"/>
  <c r="J75" i="33" s="1"/>
  <c r="E74" i="33"/>
  <c r="G74" i="33" s="1"/>
  <c r="H74" i="33" s="1"/>
  <c r="J74" i="33" s="1"/>
  <c r="E73" i="33"/>
  <c r="G73" i="33" s="1"/>
  <c r="H73" i="33" s="1"/>
  <c r="J73" i="33" s="1"/>
  <c r="E72" i="33"/>
  <c r="G72" i="33" s="1"/>
  <c r="E69" i="33"/>
  <c r="G69" i="33" s="1"/>
  <c r="H69" i="33" s="1"/>
  <c r="J69" i="33" s="1"/>
  <c r="E68" i="33"/>
  <c r="G68" i="33" s="1"/>
  <c r="H68" i="33" s="1"/>
  <c r="J68" i="33" s="1"/>
  <c r="E67" i="33"/>
  <c r="G67" i="33" s="1"/>
  <c r="H67" i="33" s="1"/>
  <c r="J67" i="33" s="1"/>
  <c r="E66" i="33"/>
  <c r="G66" i="33" s="1"/>
  <c r="H66" i="33" s="1"/>
  <c r="J66" i="33" s="1"/>
  <c r="E65" i="33"/>
  <c r="G65" i="33" s="1"/>
  <c r="H65" i="33" s="1"/>
  <c r="J65" i="33" s="1"/>
  <c r="E64" i="33"/>
  <c r="G64" i="33" s="1"/>
  <c r="H64" i="33" s="1"/>
  <c r="J64" i="33" s="1"/>
  <c r="E63" i="33"/>
  <c r="G63" i="33" s="1"/>
  <c r="H63" i="33" s="1"/>
  <c r="J63" i="33" s="1"/>
  <c r="E62" i="33"/>
  <c r="G62" i="33" s="1"/>
  <c r="H62" i="33" s="1"/>
  <c r="J62" i="33" s="1"/>
  <c r="E58" i="33"/>
  <c r="G58" i="33" s="1"/>
  <c r="H58" i="33" s="1"/>
  <c r="J58" i="33" s="1"/>
  <c r="E57" i="33"/>
  <c r="G57" i="33" s="1"/>
  <c r="H57" i="33" s="1"/>
  <c r="J57" i="33" s="1"/>
  <c r="E56" i="33"/>
  <c r="G56" i="33" s="1"/>
  <c r="H56" i="33" s="1"/>
  <c r="J56" i="33" s="1"/>
  <c r="E55" i="33"/>
  <c r="G55" i="33" s="1"/>
  <c r="H55" i="33" s="1"/>
  <c r="J55" i="33" s="1"/>
  <c r="E54" i="33"/>
  <c r="G54" i="33" s="1"/>
  <c r="H54" i="33" s="1"/>
  <c r="J54" i="33" s="1"/>
  <c r="E53" i="33"/>
  <c r="G53" i="33" s="1"/>
  <c r="H53" i="33" s="1"/>
  <c r="J53" i="33" s="1"/>
  <c r="E52" i="33"/>
  <c r="G52" i="33" s="1"/>
  <c r="H52" i="33" s="1"/>
  <c r="J52" i="33" s="1"/>
  <c r="E51" i="33"/>
  <c r="G51" i="33" s="1"/>
  <c r="H51" i="33" s="1"/>
  <c r="J51" i="33" s="1"/>
  <c r="E50" i="33"/>
  <c r="G50" i="33" s="1"/>
  <c r="H50" i="33" s="1"/>
  <c r="J50" i="33" s="1"/>
  <c r="E49" i="33"/>
  <c r="G49" i="33" s="1"/>
  <c r="E46" i="33"/>
  <c r="G46" i="33" s="1"/>
  <c r="H46" i="33" s="1"/>
  <c r="J46" i="33" s="1"/>
  <c r="E45" i="33"/>
  <c r="G45" i="33" s="1"/>
  <c r="H45" i="33" s="1"/>
  <c r="J45" i="33" s="1"/>
  <c r="E44" i="33"/>
  <c r="G44" i="33" s="1"/>
  <c r="H44" i="33" s="1"/>
  <c r="J44" i="33" s="1"/>
  <c r="E43" i="33"/>
  <c r="G43" i="33" s="1"/>
  <c r="H43" i="33" s="1"/>
  <c r="J43" i="33" s="1"/>
  <c r="E42" i="33"/>
  <c r="G42" i="33" s="1"/>
  <c r="H42" i="33" s="1"/>
  <c r="J42" i="33" s="1"/>
  <c r="E41" i="33"/>
  <c r="G41" i="33" s="1"/>
  <c r="E40" i="33"/>
  <c r="G40" i="33" s="1"/>
  <c r="H40" i="33" s="1"/>
  <c r="J40" i="33" s="1"/>
  <c r="E39" i="33"/>
  <c r="G39" i="33" s="1"/>
  <c r="E38" i="33"/>
  <c r="G38" i="33" s="1"/>
  <c r="E37" i="33"/>
  <c r="G37" i="33" s="1"/>
  <c r="E36" i="33"/>
  <c r="G36" i="33" s="1"/>
  <c r="E35" i="33"/>
  <c r="G35" i="33" s="1"/>
  <c r="E29" i="33"/>
  <c r="G29" i="33" s="1"/>
  <c r="H29" i="33" s="1"/>
  <c r="J29" i="33" s="1"/>
  <c r="H24" i="33"/>
  <c r="J24" i="33" s="1"/>
  <c r="E24" i="33"/>
  <c r="H23" i="33"/>
  <c r="J23" i="33" s="1"/>
  <c r="E23" i="33"/>
  <c r="E22" i="33"/>
  <c r="G22" i="33" s="1"/>
  <c r="H22" i="33" s="1"/>
  <c r="J22" i="33" s="1"/>
  <c r="E19" i="33"/>
  <c r="G19" i="33" s="1"/>
  <c r="I18" i="33"/>
  <c r="G18" i="33"/>
  <c r="E31" i="33" s="1"/>
  <c r="G31" i="33" s="1"/>
  <c r="H31" i="33" s="1"/>
  <c r="E18" i="33"/>
  <c r="E15" i="33"/>
  <c r="G15" i="33" s="1"/>
  <c r="E12" i="33"/>
  <c r="G12" i="33" s="1"/>
  <c r="H12" i="33" s="1"/>
  <c r="J12" i="33" s="1"/>
  <c r="E11" i="33"/>
  <c r="G11" i="33" s="1"/>
  <c r="H11" i="33" s="1"/>
  <c r="J11" i="33" s="1"/>
  <c r="E10" i="33"/>
  <c r="G10" i="33" s="1"/>
  <c r="H10" i="33" s="1"/>
  <c r="J10" i="33" s="1"/>
  <c r="E9" i="33"/>
  <c r="G9" i="33" s="1"/>
  <c r="E8" i="33"/>
  <c r="G8" i="33" s="1"/>
  <c r="I7" i="33"/>
  <c r="E7" i="33"/>
  <c r="G7" i="33" s="1"/>
  <c r="F171" i="5"/>
  <c r="E171" i="5"/>
  <c r="F170" i="5"/>
  <c r="E170" i="5"/>
  <c r="F169" i="5"/>
  <c r="E169" i="5"/>
  <c r="F168" i="5"/>
  <c r="E168" i="5"/>
  <c r="G168" i="5" s="1"/>
  <c r="I168" i="5" s="1"/>
  <c r="F167" i="5"/>
  <c r="E167" i="5"/>
  <c r="G167" i="5" s="1"/>
  <c r="I167" i="5" s="1"/>
  <c r="F166" i="5"/>
  <c r="E166" i="5"/>
  <c r="G166" i="5" s="1"/>
  <c r="I166" i="5" s="1"/>
  <c r="F165" i="5"/>
  <c r="E165" i="5"/>
  <c r="F164" i="5"/>
  <c r="E164" i="5"/>
  <c r="G164" i="5" s="1"/>
  <c r="I164" i="5" s="1"/>
  <c r="E163" i="5"/>
  <c r="G163" i="5" s="1"/>
  <c r="I163" i="5" s="1"/>
  <c r="E162" i="5"/>
  <c r="G162" i="5" s="1"/>
  <c r="I162" i="5" s="1"/>
  <c r="E161" i="5"/>
  <c r="G161" i="5" s="1"/>
  <c r="I161" i="5" s="1"/>
  <c r="E160" i="5"/>
  <c r="G160" i="5" s="1"/>
  <c r="I160" i="5" s="1"/>
  <c r="E140" i="5"/>
  <c r="G140" i="5" s="1"/>
  <c r="E139" i="5"/>
  <c r="G139" i="5" s="1"/>
  <c r="H139" i="5" s="1"/>
  <c r="J139" i="5" s="1"/>
  <c r="E138" i="5"/>
  <c r="G138" i="5" s="1"/>
  <c r="H138" i="5" s="1"/>
  <c r="J138" i="5" s="1"/>
  <c r="E137" i="5"/>
  <c r="G137" i="5" s="1"/>
  <c r="H137" i="5" s="1"/>
  <c r="J137" i="5" s="1"/>
  <c r="E136" i="5"/>
  <c r="G136" i="5" s="1"/>
  <c r="H136" i="5" s="1"/>
  <c r="J136" i="5" s="1"/>
  <c r="E135" i="5"/>
  <c r="G135" i="5" s="1"/>
  <c r="H135" i="5" s="1"/>
  <c r="J135" i="5" s="1"/>
  <c r="E134" i="5"/>
  <c r="G134" i="5" s="1"/>
  <c r="H134" i="5" s="1"/>
  <c r="J134" i="5" s="1"/>
  <c r="G133" i="5"/>
  <c r="H133" i="5" s="1"/>
  <c r="J133" i="5" s="1"/>
  <c r="E132" i="5"/>
  <c r="G132" i="5" s="1"/>
  <c r="H132" i="5" s="1"/>
  <c r="J132" i="5" s="1"/>
  <c r="E131" i="5"/>
  <c r="G131" i="5" s="1"/>
  <c r="H131" i="5" s="1"/>
  <c r="J131" i="5" s="1"/>
  <c r="E130" i="5"/>
  <c r="G130" i="5" s="1"/>
  <c r="H130" i="5" s="1"/>
  <c r="J130" i="5" s="1"/>
  <c r="E127" i="5"/>
  <c r="G127" i="5" s="1"/>
  <c r="H127" i="5" s="1"/>
  <c r="J127" i="5" s="1"/>
  <c r="E126" i="5"/>
  <c r="G126" i="5" s="1"/>
  <c r="H126" i="5" s="1"/>
  <c r="J126" i="5" s="1"/>
  <c r="E125" i="5"/>
  <c r="G125" i="5" s="1"/>
  <c r="H125" i="5" s="1"/>
  <c r="J125" i="5" s="1"/>
  <c r="E124" i="5"/>
  <c r="G124" i="5" s="1"/>
  <c r="H124" i="5" s="1"/>
  <c r="J124" i="5" s="1"/>
  <c r="E123" i="5"/>
  <c r="G123" i="5" s="1"/>
  <c r="H123" i="5" s="1"/>
  <c r="J123" i="5" s="1"/>
  <c r="G116" i="5"/>
  <c r="H116" i="5" s="1"/>
  <c r="J116" i="5" s="1"/>
  <c r="E115" i="5"/>
  <c r="G115" i="5" s="1"/>
  <c r="H115" i="5" s="1"/>
  <c r="J115" i="5" s="1"/>
  <c r="E114" i="5"/>
  <c r="G114" i="5" s="1"/>
  <c r="G117" i="5" s="1"/>
  <c r="H117" i="5" s="1"/>
  <c r="J117" i="5" s="1"/>
  <c r="H113" i="5"/>
  <c r="J113" i="5" s="1"/>
  <c r="E113" i="5"/>
  <c r="E112" i="5"/>
  <c r="E111" i="5"/>
  <c r="G111" i="5" s="1"/>
  <c r="H111" i="5" s="1"/>
  <c r="J111" i="5" s="1"/>
  <c r="E110" i="5"/>
  <c r="G110" i="5" s="1"/>
  <c r="H110" i="5" s="1"/>
  <c r="J110" i="5" s="1"/>
  <c r="E109" i="5"/>
  <c r="G109" i="5" s="1"/>
  <c r="H108" i="5"/>
  <c r="E108" i="5"/>
  <c r="E107" i="5"/>
  <c r="E106" i="5"/>
  <c r="G106" i="5" s="1"/>
  <c r="H106" i="5" s="1"/>
  <c r="J106" i="5" s="1"/>
  <c r="E105" i="5"/>
  <c r="G105" i="5" s="1"/>
  <c r="H105" i="5" s="1"/>
  <c r="J105" i="5" s="1"/>
  <c r="E104" i="5"/>
  <c r="G104" i="5" s="1"/>
  <c r="H104" i="5" s="1"/>
  <c r="J104" i="5" s="1"/>
  <c r="E100" i="5"/>
  <c r="G100" i="5" s="1"/>
  <c r="H100" i="5" s="1"/>
  <c r="J100" i="5" s="1"/>
  <c r="E99" i="5"/>
  <c r="G99" i="5" s="1"/>
  <c r="H99" i="5" s="1"/>
  <c r="J99" i="5" s="1"/>
  <c r="E98" i="5"/>
  <c r="G98" i="5" s="1"/>
  <c r="H98" i="5" s="1"/>
  <c r="J98" i="5" s="1"/>
  <c r="E97" i="5"/>
  <c r="G97" i="5" s="1"/>
  <c r="H97" i="5" s="1"/>
  <c r="J97" i="5" s="1"/>
  <c r="E96" i="5"/>
  <c r="G96" i="5" s="1"/>
  <c r="H96" i="5" s="1"/>
  <c r="J96" i="5" s="1"/>
  <c r="E95" i="5"/>
  <c r="G95" i="5" s="1"/>
  <c r="E94" i="5"/>
  <c r="E93" i="5"/>
  <c r="G93" i="5" s="1"/>
  <c r="H93" i="5" s="1"/>
  <c r="J93" i="5" s="1"/>
  <c r="E92" i="5"/>
  <c r="G92" i="5" s="1"/>
  <c r="G94" i="5" s="1"/>
  <c r="H94" i="5" s="1"/>
  <c r="J94" i="5" s="1"/>
  <c r="E90" i="5"/>
  <c r="G90" i="5" s="1"/>
  <c r="H90" i="5" s="1"/>
  <c r="E89" i="5"/>
  <c r="G89" i="5" s="1"/>
  <c r="H89" i="5" s="1"/>
  <c r="I89" i="5" s="1"/>
  <c r="K89" i="5" s="1"/>
  <c r="E88" i="5"/>
  <c r="G88" i="5" s="1"/>
  <c r="H88" i="5" s="1"/>
  <c r="J88" i="5" s="1"/>
  <c r="E87" i="5"/>
  <c r="G87" i="5" s="1"/>
  <c r="H87" i="5" s="1"/>
  <c r="J87" i="5" s="1"/>
  <c r="E86" i="5"/>
  <c r="G86" i="5" s="1"/>
  <c r="H86" i="5" s="1"/>
  <c r="J86" i="5" s="1"/>
  <c r="E84" i="5"/>
  <c r="G84" i="5" s="1"/>
  <c r="H84" i="5" s="1"/>
  <c r="J84" i="5" s="1"/>
  <c r="E83" i="5"/>
  <c r="G83" i="5" s="1"/>
  <c r="H83" i="5" s="1"/>
  <c r="J83" i="5" s="1"/>
  <c r="E82" i="5"/>
  <c r="G82" i="5" s="1"/>
  <c r="H82" i="5" s="1"/>
  <c r="J82" i="5" s="1"/>
  <c r="E81" i="5"/>
  <c r="G81" i="5" s="1"/>
  <c r="H81" i="5" s="1"/>
  <c r="J81" i="5" s="1"/>
  <c r="E80" i="5"/>
  <c r="G80" i="5" s="1"/>
  <c r="H80" i="5" s="1"/>
  <c r="J80" i="5" s="1"/>
  <c r="E79" i="5"/>
  <c r="G79" i="5" s="1"/>
  <c r="H79" i="5" s="1"/>
  <c r="J79" i="5" s="1"/>
  <c r="E78" i="5"/>
  <c r="G78" i="5" s="1"/>
  <c r="H78" i="5" s="1"/>
  <c r="J78" i="5" s="1"/>
  <c r="E77" i="5"/>
  <c r="G77" i="5" s="1"/>
  <c r="H77" i="5" s="1"/>
  <c r="J77" i="5" s="1"/>
  <c r="E76" i="5"/>
  <c r="G76" i="5" s="1"/>
  <c r="H76" i="5" s="1"/>
  <c r="J76" i="5" s="1"/>
  <c r="E75" i="5"/>
  <c r="G75" i="5" s="1"/>
  <c r="H75" i="5" s="1"/>
  <c r="J75" i="5" s="1"/>
  <c r="E74" i="5"/>
  <c r="G74" i="5" s="1"/>
  <c r="H74" i="5" s="1"/>
  <c r="J74" i="5" s="1"/>
  <c r="E73" i="5"/>
  <c r="G73" i="5" s="1"/>
  <c r="H73" i="5" s="1"/>
  <c r="J73" i="5" s="1"/>
  <c r="E72" i="5"/>
  <c r="G72" i="5" s="1"/>
  <c r="E69" i="5"/>
  <c r="G69" i="5" s="1"/>
  <c r="H69" i="5" s="1"/>
  <c r="J69" i="5" s="1"/>
  <c r="E68" i="5"/>
  <c r="G68" i="5" s="1"/>
  <c r="H68" i="5" s="1"/>
  <c r="J68" i="5" s="1"/>
  <c r="E67" i="5"/>
  <c r="G67" i="5" s="1"/>
  <c r="H67" i="5" s="1"/>
  <c r="J67" i="5" s="1"/>
  <c r="E66" i="5"/>
  <c r="G66" i="5" s="1"/>
  <c r="H66" i="5" s="1"/>
  <c r="J66" i="5" s="1"/>
  <c r="E65" i="5"/>
  <c r="G65" i="5" s="1"/>
  <c r="H65" i="5" s="1"/>
  <c r="J65" i="5" s="1"/>
  <c r="E64" i="5"/>
  <c r="G64" i="5" s="1"/>
  <c r="H64" i="5" s="1"/>
  <c r="J64" i="5" s="1"/>
  <c r="E63" i="5"/>
  <c r="G63" i="5" s="1"/>
  <c r="H63" i="5" s="1"/>
  <c r="J63" i="5" s="1"/>
  <c r="E62" i="5"/>
  <c r="G62" i="5" s="1"/>
  <c r="H62" i="5" s="1"/>
  <c r="J62" i="5" s="1"/>
  <c r="E58" i="5"/>
  <c r="G58" i="5" s="1"/>
  <c r="E57" i="5"/>
  <c r="G57" i="5" s="1"/>
  <c r="H57" i="5" s="1"/>
  <c r="J57" i="5" s="1"/>
  <c r="E56" i="5"/>
  <c r="G56" i="5" s="1"/>
  <c r="O56" i="5" s="1"/>
  <c r="E55" i="5"/>
  <c r="G55" i="5" s="1"/>
  <c r="O55" i="5" s="1"/>
  <c r="E54" i="5"/>
  <c r="G54" i="5" s="1"/>
  <c r="E53" i="5"/>
  <c r="G53" i="5" s="1"/>
  <c r="E52" i="5"/>
  <c r="G52" i="5" s="1"/>
  <c r="O52" i="5" s="1"/>
  <c r="E51" i="5"/>
  <c r="G51" i="5" s="1"/>
  <c r="E50" i="5"/>
  <c r="G50" i="5" s="1"/>
  <c r="E49" i="5"/>
  <c r="G49" i="5" s="1"/>
  <c r="O48" i="5"/>
  <c r="E46" i="5"/>
  <c r="G46" i="5" s="1"/>
  <c r="O46" i="5" s="1"/>
  <c r="E45" i="5"/>
  <c r="G45" i="5" s="1"/>
  <c r="E44" i="5"/>
  <c r="G44" i="5" s="1"/>
  <c r="E43" i="5"/>
  <c r="G43" i="5" s="1"/>
  <c r="H43" i="5" s="1"/>
  <c r="J43" i="5" s="1"/>
  <c r="G42" i="5"/>
  <c r="O42" i="5" s="1"/>
  <c r="E41" i="5"/>
  <c r="G41" i="5" s="1"/>
  <c r="O41" i="5" s="1"/>
  <c r="E40" i="5"/>
  <c r="G40" i="5" s="1"/>
  <c r="E39" i="5"/>
  <c r="G39" i="5" s="1"/>
  <c r="E38" i="5"/>
  <c r="G38" i="5" s="1"/>
  <c r="E37" i="5"/>
  <c r="G37" i="5" s="1"/>
  <c r="O37" i="5" s="1"/>
  <c r="E36" i="5"/>
  <c r="G36" i="5" s="1"/>
  <c r="E35" i="5"/>
  <c r="G35" i="5" s="1"/>
  <c r="H35" i="5" s="1"/>
  <c r="J35" i="5" s="1"/>
  <c r="E31" i="5"/>
  <c r="G31" i="5" s="1"/>
  <c r="H31" i="5" s="1"/>
  <c r="J31" i="5" s="1"/>
  <c r="E29" i="5"/>
  <c r="G29" i="5" s="1"/>
  <c r="H29" i="5" s="1"/>
  <c r="J29" i="5" s="1"/>
  <c r="H24" i="5"/>
  <c r="J24" i="5" s="1"/>
  <c r="E24" i="5"/>
  <c r="H23" i="5"/>
  <c r="J23" i="5" s="1"/>
  <c r="E23" i="5"/>
  <c r="E22" i="5"/>
  <c r="G22" i="5" s="1"/>
  <c r="H22" i="5" s="1"/>
  <c r="J22" i="5" s="1"/>
  <c r="E19" i="5"/>
  <c r="G19" i="5" s="1"/>
  <c r="I18" i="5"/>
  <c r="G18" i="5"/>
  <c r="G20" i="5" s="1"/>
  <c r="H20" i="5" s="1"/>
  <c r="J20" i="5" s="1"/>
  <c r="E18" i="5"/>
  <c r="E15" i="5"/>
  <c r="G15" i="5" s="1"/>
  <c r="E28" i="5" s="1"/>
  <c r="G28" i="5" s="1"/>
  <c r="H28" i="5" s="1"/>
  <c r="J28" i="5" s="1"/>
  <c r="E12" i="5"/>
  <c r="G12" i="5" s="1"/>
  <c r="H12" i="5" s="1"/>
  <c r="J12" i="5" s="1"/>
  <c r="E11" i="5"/>
  <c r="G11" i="5" s="1"/>
  <c r="H11" i="5" s="1"/>
  <c r="J11" i="5" s="1"/>
  <c r="E10" i="5"/>
  <c r="G10" i="5" s="1"/>
  <c r="H10" i="5" s="1"/>
  <c r="J10" i="5" s="1"/>
  <c r="E9" i="5"/>
  <c r="G9" i="5" s="1"/>
  <c r="E8" i="5"/>
  <c r="G8" i="5" s="1"/>
  <c r="I7" i="5"/>
  <c r="E7" i="5"/>
  <c r="G7" i="5" s="1"/>
  <c r="F171" i="4"/>
  <c r="E171" i="4"/>
  <c r="F170" i="4"/>
  <c r="E170" i="4"/>
  <c r="G170" i="4" s="1"/>
  <c r="I170" i="4" s="1"/>
  <c r="F169" i="4"/>
  <c r="E169" i="4"/>
  <c r="F168" i="4"/>
  <c r="E168" i="4"/>
  <c r="G168" i="4" s="1"/>
  <c r="I168" i="4" s="1"/>
  <c r="F167" i="4"/>
  <c r="E167" i="4"/>
  <c r="F166" i="4"/>
  <c r="E166" i="4"/>
  <c r="G166" i="4" s="1"/>
  <c r="I166" i="4" s="1"/>
  <c r="F165" i="4"/>
  <c r="E165" i="4"/>
  <c r="F164" i="4"/>
  <c r="E164" i="4"/>
  <c r="G164" i="4" s="1"/>
  <c r="I164" i="4" s="1"/>
  <c r="E163" i="4"/>
  <c r="G163" i="4" s="1"/>
  <c r="I163" i="4" s="1"/>
  <c r="E162" i="4"/>
  <c r="G162" i="4" s="1"/>
  <c r="I162" i="4" s="1"/>
  <c r="E161" i="4"/>
  <c r="G161" i="4" s="1"/>
  <c r="I161" i="4" s="1"/>
  <c r="E160" i="4"/>
  <c r="G160" i="4" s="1"/>
  <c r="I160" i="4" s="1"/>
  <c r="E140" i="4"/>
  <c r="G140" i="4" s="1"/>
  <c r="E139" i="4"/>
  <c r="G139" i="4" s="1"/>
  <c r="H139" i="4" s="1"/>
  <c r="J139" i="4" s="1"/>
  <c r="E138" i="4"/>
  <c r="G138" i="4" s="1"/>
  <c r="H138" i="4" s="1"/>
  <c r="J138" i="4" s="1"/>
  <c r="E137" i="4"/>
  <c r="G137" i="4" s="1"/>
  <c r="H137" i="4" s="1"/>
  <c r="J137" i="4" s="1"/>
  <c r="E136" i="4"/>
  <c r="G136" i="4" s="1"/>
  <c r="E135" i="4"/>
  <c r="G135" i="4" s="1"/>
  <c r="H135" i="4" s="1"/>
  <c r="J135" i="4" s="1"/>
  <c r="E134" i="4"/>
  <c r="G134" i="4" s="1"/>
  <c r="H134" i="4" s="1"/>
  <c r="J134" i="4" s="1"/>
  <c r="E133" i="4"/>
  <c r="G133" i="4" s="1"/>
  <c r="E132" i="4"/>
  <c r="G132" i="4" s="1"/>
  <c r="H132" i="4" s="1"/>
  <c r="J132" i="4" s="1"/>
  <c r="E131" i="4"/>
  <c r="G131" i="4" s="1"/>
  <c r="H131" i="4" s="1"/>
  <c r="J131" i="4" s="1"/>
  <c r="E130" i="4"/>
  <c r="G130" i="4" s="1"/>
  <c r="H130" i="4" s="1"/>
  <c r="J130" i="4" s="1"/>
  <c r="E127" i="4"/>
  <c r="G127" i="4" s="1"/>
  <c r="H127" i="4" s="1"/>
  <c r="J127" i="4" s="1"/>
  <c r="E126" i="4"/>
  <c r="G126" i="4" s="1"/>
  <c r="H126" i="4" s="1"/>
  <c r="J126" i="4" s="1"/>
  <c r="E125" i="4"/>
  <c r="G125" i="4" s="1"/>
  <c r="H125" i="4" s="1"/>
  <c r="J125" i="4" s="1"/>
  <c r="E124" i="4"/>
  <c r="G124" i="4" s="1"/>
  <c r="H124" i="4" s="1"/>
  <c r="J124" i="4" s="1"/>
  <c r="E123" i="4"/>
  <c r="G123" i="4" s="1"/>
  <c r="H123" i="4" s="1"/>
  <c r="J123" i="4" s="1"/>
  <c r="G116" i="4"/>
  <c r="H116" i="4" s="1"/>
  <c r="J116" i="4" s="1"/>
  <c r="E115" i="4"/>
  <c r="G115" i="4" s="1"/>
  <c r="H115" i="4" s="1"/>
  <c r="J115" i="4" s="1"/>
  <c r="E114" i="4"/>
  <c r="G114" i="4" s="1"/>
  <c r="J113" i="4"/>
  <c r="E111" i="4"/>
  <c r="G111" i="4" s="1"/>
  <c r="H111" i="4" s="1"/>
  <c r="J111" i="4" s="1"/>
  <c r="E110" i="4"/>
  <c r="G110" i="4" s="1"/>
  <c r="H110" i="4" s="1"/>
  <c r="J110" i="4" s="1"/>
  <c r="E109" i="4"/>
  <c r="G109" i="4" s="1"/>
  <c r="E106" i="4"/>
  <c r="G106" i="4" s="1"/>
  <c r="H106" i="4" s="1"/>
  <c r="J106" i="4" s="1"/>
  <c r="E105" i="4"/>
  <c r="G105" i="4" s="1"/>
  <c r="H105" i="4" s="1"/>
  <c r="J105" i="4" s="1"/>
  <c r="E104" i="4"/>
  <c r="G104" i="4" s="1"/>
  <c r="H104" i="4" s="1"/>
  <c r="J104" i="4" s="1"/>
  <c r="E100" i="4"/>
  <c r="G100" i="4" s="1"/>
  <c r="H100" i="4" s="1"/>
  <c r="J100" i="4" s="1"/>
  <c r="E99" i="4"/>
  <c r="G99" i="4" s="1"/>
  <c r="H99" i="4" s="1"/>
  <c r="J99" i="4" s="1"/>
  <c r="E98" i="4"/>
  <c r="G98" i="4" s="1"/>
  <c r="H98" i="4" s="1"/>
  <c r="J98" i="4" s="1"/>
  <c r="E97" i="4"/>
  <c r="G97" i="4" s="1"/>
  <c r="H97" i="4" s="1"/>
  <c r="J97" i="4" s="1"/>
  <c r="E96" i="4"/>
  <c r="G96" i="4" s="1"/>
  <c r="E95" i="4"/>
  <c r="G95" i="4" s="1"/>
  <c r="H95" i="4" s="1"/>
  <c r="J95" i="4" s="1"/>
  <c r="E93" i="4"/>
  <c r="G93" i="4" s="1"/>
  <c r="H93" i="4" s="1"/>
  <c r="J93" i="4" s="1"/>
  <c r="E92" i="4"/>
  <c r="G92" i="4" s="1"/>
  <c r="E90" i="4"/>
  <c r="G90" i="4" s="1"/>
  <c r="H90" i="4" s="1"/>
  <c r="E89" i="4"/>
  <c r="G89" i="4" s="1"/>
  <c r="H89" i="4" s="1"/>
  <c r="E88" i="4"/>
  <c r="G88" i="4" s="1"/>
  <c r="H88" i="4" s="1"/>
  <c r="J88" i="4" s="1"/>
  <c r="E87" i="4"/>
  <c r="G87" i="4" s="1"/>
  <c r="H87" i="4" s="1"/>
  <c r="J87" i="4" s="1"/>
  <c r="E86" i="4"/>
  <c r="G86" i="4" s="1"/>
  <c r="H86" i="4" s="1"/>
  <c r="J86" i="4" s="1"/>
  <c r="E84" i="4"/>
  <c r="G84" i="4" s="1"/>
  <c r="H84" i="4" s="1"/>
  <c r="J84" i="4" s="1"/>
  <c r="E83" i="4"/>
  <c r="G83" i="4" s="1"/>
  <c r="H83" i="4" s="1"/>
  <c r="J83" i="4" s="1"/>
  <c r="E82" i="4"/>
  <c r="G82" i="4" s="1"/>
  <c r="H82" i="4" s="1"/>
  <c r="J82" i="4" s="1"/>
  <c r="E81" i="4"/>
  <c r="G81" i="4" s="1"/>
  <c r="H81" i="4" s="1"/>
  <c r="J81" i="4" s="1"/>
  <c r="E80" i="4"/>
  <c r="G80" i="4" s="1"/>
  <c r="H80" i="4" s="1"/>
  <c r="J80" i="4" s="1"/>
  <c r="E79" i="4"/>
  <c r="G79" i="4" s="1"/>
  <c r="H79" i="4" s="1"/>
  <c r="J79" i="4" s="1"/>
  <c r="E78" i="4"/>
  <c r="G78" i="4" s="1"/>
  <c r="H78" i="4" s="1"/>
  <c r="J78" i="4" s="1"/>
  <c r="E77" i="4"/>
  <c r="G77" i="4" s="1"/>
  <c r="H77" i="4" s="1"/>
  <c r="J77" i="4" s="1"/>
  <c r="E76" i="4"/>
  <c r="G76" i="4" s="1"/>
  <c r="H76" i="4" s="1"/>
  <c r="J76" i="4" s="1"/>
  <c r="E75" i="4"/>
  <c r="G75" i="4" s="1"/>
  <c r="H75" i="4" s="1"/>
  <c r="J75" i="4" s="1"/>
  <c r="E74" i="4"/>
  <c r="G74" i="4" s="1"/>
  <c r="H74" i="4" s="1"/>
  <c r="J74" i="4" s="1"/>
  <c r="E73" i="4"/>
  <c r="G73" i="4" s="1"/>
  <c r="E72" i="4"/>
  <c r="G72" i="4" s="1"/>
  <c r="H72" i="4" s="1"/>
  <c r="J72" i="4" s="1"/>
  <c r="E69" i="4"/>
  <c r="G69" i="4" s="1"/>
  <c r="H69" i="4" s="1"/>
  <c r="J69" i="4" s="1"/>
  <c r="E68" i="4"/>
  <c r="G68" i="4" s="1"/>
  <c r="H68" i="4" s="1"/>
  <c r="J68" i="4" s="1"/>
  <c r="E67" i="4"/>
  <c r="G67" i="4" s="1"/>
  <c r="H67" i="4" s="1"/>
  <c r="J67" i="4" s="1"/>
  <c r="E66" i="4"/>
  <c r="G66" i="4" s="1"/>
  <c r="H66" i="4" s="1"/>
  <c r="J66" i="4" s="1"/>
  <c r="E65" i="4"/>
  <c r="G65" i="4" s="1"/>
  <c r="H65" i="4" s="1"/>
  <c r="J65" i="4" s="1"/>
  <c r="E64" i="4"/>
  <c r="G64" i="4" s="1"/>
  <c r="H64" i="4" s="1"/>
  <c r="J64" i="4" s="1"/>
  <c r="E63" i="4"/>
  <c r="G63" i="4" s="1"/>
  <c r="H63" i="4" s="1"/>
  <c r="J63" i="4" s="1"/>
  <c r="E62" i="4"/>
  <c r="G62" i="4" s="1"/>
  <c r="H62" i="4" s="1"/>
  <c r="J62" i="4" s="1"/>
  <c r="E58" i="4"/>
  <c r="G58" i="4" s="1"/>
  <c r="E57" i="4"/>
  <c r="G57" i="4" s="1"/>
  <c r="E56" i="4"/>
  <c r="G56" i="4" s="1"/>
  <c r="E55" i="4"/>
  <c r="G55" i="4" s="1"/>
  <c r="O55" i="4" s="1"/>
  <c r="E54" i="4"/>
  <c r="G54" i="4" s="1"/>
  <c r="H54" i="4" s="1"/>
  <c r="J54" i="4" s="1"/>
  <c r="E53" i="4"/>
  <c r="G53" i="4" s="1"/>
  <c r="E52" i="4"/>
  <c r="G52" i="4" s="1"/>
  <c r="H52" i="4" s="1"/>
  <c r="J52" i="4" s="1"/>
  <c r="E51" i="4"/>
  <c r="G51" i="4" s="1"/>
  <c r="E50" i="4"/>
  <c r="G50" i="4" s="1"/>
  <c r="E49" i="4"/>
  <c r="G49" i="4" s="1"/>
  <c r="O48" i="4"/>
  <c r="E46" i="4"/>
  <c r="G46" i="4" s="1"/>
  <c r="H46" i="4" s="1"/>
  <c r="J46" i="4" s="1"/>
  <c r="E45" i="4"/>
  <c r="G45" i="4" s="1"/>
  <c r="E44" i="4"/>
  <c r="G44" i="4" s="1"/>
  <c r="E43" i="4"/>
  <c r="G43" i="4" s="1"/>
  <c r="E42" i="4"/>
  <c r="G42" i="4" s="1"/>
  <c r="E41" i="4"/>
  <c r="G41" i="4" s="1"/>
  <c r="G40" i="4"/>
  <c r="H40" i="4" s="1"/>
  <c r="J40" i="4" s="1"/>
  <c r="E39" i="4"/>
  <c r="G39" i="4" s="1"/>
  <c r="E38" i="4"/>
  <c r="G38" i="4" s="1"/>
  <c r="E37" i="4"/>
  <c r="G37" i="4" s="1"/>
  <c r="E36" i="4"/>
  <c r="G36" i="4" s="1"/>
  <c r="H36" i="4" s="1"/>
  <c r="J36" i="4" s="1"/>
  <c r="E35" i="4"/>
  <c r="G35" i="4" s="1"/>
  <c r="E29" i="4"/>
  <c r="G29" i="4" s="1"/>
  <c r="H29" i="4" s="1"/>
  <c r="J29" i="4" s="1"/>
  <c r="H24" i="4"/>
  <c r="J24" i="4" s="1"/>
  <c r="E24" i="4"/>
  <c r="H23" i="4"/>
  <c r="J23" i="4" s="1"/>
  <c r="E23" i="4"/>
  <c r="E22" i="4"/>
  <c r="G22" i="4" s="1"/>
  <c r="H22" i="4" s="1"/>
  <c r="J22" i="4" s="1"/>
  <c r="E19" i="4"/>
  <c r="G19" i="4" s="1"/>
  <c r="H19" i="4" s="1"/>
  <c r="J19" i="4" s="1"/>
  <c r="I18" i="4"/>
  <c r="G18" i="4"/>
  <c r="E31" i="4" s="1"/>
  <c r="G31" i="4" s="1"/>
  <c r="H31" i="4" s="1"/>
  <c r="J31" i="4" s="1"/>
  <c r="E18" i="4"/>
  <c r="E15" i="4"/>
  <c r="G15" i="4" s="1"/>
  <c r="H15" i="4" s="1"/>
  <c r="J15" i="4" s="1"/>
  <c r="I16" i="4" s="1"/>
  <c r="E12" i="4"/>
  <c r="G12" i="4" s="1"/>
  <c r="H12" i="4" s="1"/>
  <c r="J12" i="4" s="1"/>
  <c r="E11" i="4"/>
  <c r="G11" i="4" s="1"/>
  <c r="H11" i="4" s="1"/>
  <c r="J11" i="4" s="1"/>
  <c r="E10" i="4"/>
  <c r="G10" i="4" s="1"/>
  <c r="H10" i="4" s="1"/>
  <c r="J10" i="4" s="1"/>
  <c r="E9" i="4"/>
  <c r="G9" i="4" s="1"/>
  <c r="E8" i="4"/>
  <c r="G8" i="4" s="1"/>
  <c r="I7" i="4"/>
  <c r="E7" i="4"/>
  <c r="G7" i="4" s="1"/>
  <c r="H7" i="4" s="1"/>
  <c r="J7" i="4" s="1"/>
  <c r="F171" i="3"/>
  <c r="E171" i="3"/>
  <c r="F170" i="3"/>
  <c r="E170" i="3"/>
  <c r="G170" i="3" s="1"/>
  <c r="F169" i="3"/>
  <c r="E169" i="3"/>
  <c r="F168" i="3"/>
  <c r="E168" i="3"/>
  <c r="F167" i="3"/>
  <c r="E167" i="3"/>
  <c r="F166" i="3"/>
  <c r="E166" i="3"/>
  <c r="G166" i="3" s="1"/>
  <c r="F165" i="3"/>
  <c r="E165" i="3"/>
  <c r="F164" i="3"/>
  <c r="E164" i="3"/>
  <c r="G164" i="3" s="1"/>
  <c r="E163" i="3"/>
  <c r="G163" i="3" s="1"/>
  <c r="E162" i="3"/>
  <c r="G162" i="3" s="1"/>
  <c r="E161" i="3"/>
  <c r="G161" i="3" s="1"/>
  <c r="E160" i="3"/>
  <c r="G160" i="3" s="1"/>
  <c r="E140" i="3"/>
  <c r="G140" i="3" s="1"/>
  <c r="H140" i="3" s="1"/>
  <c r="J140" i="3" s="1"/>
  <c r="E139" i="3"/>
  <c r="G139" i="3" s="1"/>
  <c r="I140" i="3" s="1"/>
  <c r="E138" i="3"/>
  <c r="G138" i="3" s="1"/>
  <c r="H138" i="3" s="1"/>
  <c r="J138" i="3" s="1"/>
  <c r="E137" i="3"/>
  <c r="G137" i="3" s="1"/>
  <c r="H137" i="3" s="1"/>
  <c r="J137" i="3" s="1"/>
  <c r="E136" i="3"/>
  <c r="G136" i="3" s="1"/>
  <c r="E135" i="3"/>
  <c r="G135" i="3" s="1"/>
  <c r="H135" i="3" s="1"/>
  <c r="J135" i="3" s="1"/>
  <c r="E134" i="3"/>
  <c r="G134" i="3" s="1"/>
  <c r="H134" i="3" s="1"/>
  <c r="J134" i="3" s="1"/>
  <c r="E133" i="3"/>
  <c r="G133" i="3" s="1"/>
  <c r="H133" i="3" s="1"/>
  <c r="J133" i="3" s="1"/>
  <c r="E132" i="3"/>
  <c r="G132" i="3" s="1"/>
  <c r="E131" i="3"/>
  <c r="G131" i="3" s="1"/>
  <c r="H131" i="3" s="1"/>
  <c r="J131" i="3" s="1"/>
  <c r="E130" i="3"/>
  <c r="G130" i="3" s="1"/>
  <c r="H130" i="3" s="1"/>
  <c r="J130" i="3" s="1"/>
  <c r="E127" i="3"/>
  <c r="G127" i="3" s="1"/>
  <c r="H127" i="3" s="1"/>
  <c r="J127" i="3" s="1"/>
  <c r="E126" i="3"/>
  <c r="G126" i="3" s="1"/>
  <c r="H126" i="3" s="1"/>
  <c r="J126" i="3" s="1"/>
  <c r="E125" i="3"/>
  <c r="G125" i="3" s="1"/>
  <c r="H125" i="3" s="1"/>
  <c r="J125" i="3" s="1"/>
  <c r="E124" i="3"/>
  <c r="G124" i="3" s="1"/>
  <c r="H124" i="3" s="1"/>
  <c r="J124" i="3" s="1"/>
  <c r="E123" i="3"/>
  <c r="G123" i="3" s="1"/>
  <c r="H123" i="3" s="1"/>
  <c r="J123" i="3" s="1"/>
  <c r="G116" i="3"/>
  <c r="H116" i="3" s="1"/>
  <c r="J116" i="3" s="1"/>
  <c r="E115" i="3"/>
  <c r="G115" i="3" s="1"/>
  <c r="H115" i="3" s="1"/>
  <c r="J115" i="3" s="1"/>
  <c r="E114" i="3"/>
  <c r="G114" i="3" s="1"/>
  <c r="J113" i="3"/>
  <c r="E111" i="3"/>
  <c r="G111" i="3" s="1"/>
  <c r="H111" i="3" s="1"/>
  <c r="J111" i="3" s="1"/>
  <c r="E110" i="3"/>
  <c r="G110" i="3" s="1"/>
  <c r="H110" i="3" s="1"/>
  <c r="J110" i="3" s="1"/>
  <c r="E109" i="3"/>
  <c r="G109" i="3" s="1"/>
  <c r="E106" i="3"/>
  <c r="G106" i="3" s="1"/>
  <c r="H106" i="3" s="1"/>
  <c r="J106" i="3" s="1"/>
  <c r="E105" i="3"/>
  <c r="G105" i="3" s="1"/>
  <c r="H105" i="3" s="1"/>
  <c r="J105" i="3" s="1"/>
  <c r="E104" i="3"/>
  <c r="G104" i="3" s="1"/>
  <c r="E100" i="3"/>
  <c r="G100" i="3" s="1"/>
  <c r="H100" i="3" s="1"/>
  <c r="J100" i="3" s="1"/>
  <c r="E99" i="3"/>
  <c r="G99" i="3" s="1"/>
  <c r="H99" i="3" s="1"/>
  <c r="J99" i="3" s="1"/>
  <c r="E98" i="3"/>
  <c r="G98" i="3" s="1"/>
  <c r="H98" i="3" s="1"/>
  <c r="J98" i="3" s="1"/>
  <c r="E97" i="3"/>
  <c r="G97" i="3" s="1"/>
  <c r="H97" i="3" s="1"/>
  <c r="J97" i="3" s="1"/>
  <c r="E96" i="3"/>
  <c r="G96" i="3" s="1"/>
  <c r="H96" i="3" s="1"/>
  <c r="J96" i="3" s="1"/>
  <c r="E95" i="3"/>
  <c r="G95" i="3" s="1"/>
  <c r="E93" i="3"/>
  <c r="G93" i="3" s="1"/>
  <c r="H93" i="3" s="1"/>
  <c r="J93" i="3" s="1"/>
  <c r="E92" i="3"/>
  <c r="G92" i="3" s="1"/>
  <c r="E90" i="3"/>
  <c r="G90" i="3" s="1"/>
  <c r="H90" i="3" s="1"/>
  <c r="J90" i="3" s="1"/>
  <c r="E89" i="3"/>
  <c r="G89" i="3" s="1"/>
  <c r="H89" i="3" s="1"/>
  <c r="J89" i="3" s="1"/>
  <c r="E88" i="3"/>
  <c r="G88" i="3" s="1"/>
  <c r="H88" i="3" s="1"/>
  <c r="J88" i="3" s="1"/>
  <c r="E87" i="3"/>
  <c r="G87" i="3" s="1"/>
  <c r="H87" i="3" s="1"/>
  <c r="J87" i="3" s="1"/>
  <c r="E86" i="3"/>
  <c r="G86" i="3" s="1"/>
  <c r="H86" i="3" s="1"/>
  <c r="J86" i="3" s="1"/>
  <c r="E85" i="3"/>
  <c r="E84" i="3"/>
  <c r="G84" i="3" s="1"/>
  <c r="H84" i="3" s="1"/>
  <c r="J84" i="3" s="1"/>
  <c r="E83" i="3"/>
  <c r="G83" i="3" s="1"/>
  <c r="H83" i="3" s="1"/>
  <c r="J83" i="3" s="1"/>
  <c r="E82" i="3"/>
  <c r="G82" i="3" s="1"/>
  <c r="H82" i="3" s="1"/>
  <c r="J82" i="3" s="1"/>
  <c r="E81" i="3"/>
  <c r="G81" i="3" s="1"/>
  <c r="H81" i="3" s="1"/>
  <c r="J81" i="3" s="1"/>
  <c r="E80" i="3"/>
  <c r="G80" i="3" s="1"/>
  <c r="H80" i="3" s="1"/>
  <c r="J80" i="3" s="1"/>
  <c r="E79" i="3"/>
  <c r="G79" i="3" s="1"/>
  <c r="H79" i="3" s="1"/>
  <c r="J79" i="3" s="1"/>
  <c r="E78" i="3"/>
  <c r="G78" i="3" s="1"/>
  <c r="H78" i="3" s="1"/>
  <c r="J78" i="3" s="1"/>
  <c r="E77" i="3"/>
  <c r="G77" i="3" s="1"/>
  <c r="H77" i="3" s="1"/>
  <c r="J77" i="3" s="1"/>
  <c r="E76" i="3"/>
  <c r="G76" i="3" s="1"/>
  <c r="H76" i="3" s="1"/>
  <c r="J76" i="3" s="1"/>
  <c r="E75" i="3"/>
  <c r="G75" i="3" s="1"/>
  <c r="H75" i="3" s="1"/>
  <c r="J75" i="3" s="1"/>
  <c r="E74" i="3"/>
  <c r="G74" i="3" s="1"/>
  <c r="H74" i="3" s="1"/>
  <c r="J74" i="3" s="1"/>
  <c r="E73" i="3"/>
  <c r="G73" i="3" s="1"/>
  <c r="H73" i="3" s="1"/>
  <c r="J73" i="3" s="1"/>
  <c r="E72" i="3"/>
  <c r="G72" i="3" s="1"/>
  <c r="H72" i="3" s="1"/>
  <c r="J72" i="3" s="1"/>
  <c r="E69" i="3"/>
  <c r="G69" i="3" s="1"/>
  <c r="H69" i="3" s="1"/>
  <c r="J69" i="3" s="1"/>
  <c r="E68" i="3"/>
  <c r="G68" i="3" s="1"/>
  <c r="H68" i="3" s="1"/>
  <c r="J68" i="3" s="1"/>
  <c r="E67" i="3"/>
  <c r="G67" i="3" s="1"/>
  <c r="H67" i="3" s="1"/>
  <c r="J67" i="3" s="1"/>
  <c r="E66" i="3"/>
  <c r="G66" i="3" s="1"/>
  <c r="H66" i="3" s="1"/>
  <c r="J66" i="3" s="1"/>
  <c r="E65" i="3"/>
  <c r="G65" i="3" s="1"/>
  <c r="H65" i="3" s="1"/>
  <c r="J65" i="3" s="1"/>
  <c r="E64" i="3"/>
  <c r="G64" i="3" s="1"/>
  <c r="H64" i="3" s="1"/>
  <c r="J64" i="3" s="1"/>
  <c r="E63" i="3"/>
  <c r="G63" i="3" s="1"/>
  <c r="H63" i="3" s="1"/>
  <c r="J63" i="3" s="1"/>
  <c r="E62" i="3"/>
  <c r="G62" i="3" s="1"/>
  <c r="H62" i="3" s="1"/>
  <c r="J62" i="3" s="1"/>
  <c r="E58" i="3"/>
  <c r="G58" i="3" s="1"/>
  <c r="H58" i="3" s="1"/>
  <c r="J58" i="3" s="1"/>
  <c r="E57" i="3"/>
  <c r="G57" i="3" s="1"/>
  <c r="H57" i="3" s="1"/>
  <c r="J57" i="3" s="1"/>
  <c r="E56" i="3"/>
  <c r="G56" i="3" s="1"/>
  <c r="H56" i="3" s="1"/>
  <c r="J56" i="3" s="1"/>
  <c r="E55" i="3"/>
  <c r="G55" i="3" s="1"/>
  <c r="H55" i="3" s="1"/>
  <c r="J55" i="3" s="1"/>
  <c r="E54" i="3"/>
  <c r="G54" i="3" s="1"/>
  <c r="H54" i="3" s="1"/>
  <c r="J54" i="3" s="1"/>
  <c r="E53" i="3"/>
  <c r="G53" i="3" s="1"/>
  <c r="H53" i="3" s="1"/>
  <c r="J53" i="3" s="1"/>
  <c r="E52" i="3"/>
  <c r="G52" i="3" s="1"/>
  <c r="H52" i="3" s="1"/>
  <c r="J52" i="3" s="1"/>
  <c r="E51" i="3"/>
  <c r="G51" i="3" s="1"/>
  <c r="H51" i="3" s="1"/>
  <c r="J51" i="3" s="1"/>
  <c r="E50" i="3"/>
  <c r="G50" i="3" s="1"/>
  <c r="H50" i="3" s="1"/>
  <c r="J50" i="3" s="1"/>
  <c r="E49" i="3"/>
  <c r="G49" i="3" s="1"/>
  <c r="H49" i="3" s="1"/>
  <c r="J49" i="3" s="1"/>
  <c r="E46" i="3"/>
  <c r="G46" i="3" s="1"/>
  <c r="H46" i="3" s="1"/>
  <c r="J46" i="3" s="1"/>
  <c r="E45" i="3"/>
  <c r="G45" i="3" s="1"/>
  <c r="H45" i="3" s="1"/>
  <c r="J45" i="3" s="1"/>
  <c r="E44" i="3"/>
  <c r="G44" i="3" s="1"/>
  <c r="H44" i="3" s="1"/>
  <c r="J44" i="3" s="1"/>
  <c r="E43" i="3"/>
  <c r="G43" i="3" s="1"/>
  <c r="H43" i="3" s="1"/>
  <c r="J43" i="3" s="1"/>
  <c r="E42" i="3"/>
  <c r="G42" i="3" s="1"/>
  <c r="H42" i="3" s="1"/>
  <c r="J42" i="3" s="1"/>
  <c r="E41" i="3"/>
  <c r="G41" i="3" s="1"/>
  <c r="H41" i="3" s="1"/>
  <c r="J41" i="3" s="1"/>
  <c r="E40" i="3"/>
  <c r="G40" i="3" s="1"/>
  <c r="H40" i="3" s="1"/>
  <c r="J40" i="3" s="1"/>
  <c r="E39" i="3"/>
  <c r="G39" i="3" s="1"/>
  <c r="H39" i="3" s="1"/>
  <c r="J39" i="3" s="1"/>
  <c r="E38" i="3"/>
  <c r="G38" i="3" s="1"/>
  <c r="E37" i="3"/>
  <c r="G37" i="3" s="1"/>
  <c r="E36" i="3"/>
  <c r="G36" i="3" s="1"/>
  <c r="E35" i="3"/>
  <c r="G35" i="3" s="1"/>
  <c r="H35" i="3" s="1"/>
  <c r="J35" i="3" s="1"/>
  <c r="E29" i="3"/>
  <c r="G29" i="3" s="1"/>
  <c r="H29" i="3" s="1"/>
  <c r="J29" i="3" s="1"/>
  <c r="H24" i="3"/>
  <c r="J24" i="3" s="1"/>
  <c r="E24" i="3"/>
  <c r="H23" i="3"/>
  <c r="J23" i="3" s="1"/>
  <c r="E23" i="3"/>
  <c r="E22" i="3"/>
  <c r="G22" i="3" s="1"/>
  <c r="H22" i="3" s="1"/>
  <c r="J22" i="3" s="1"/>
  <c r="E19" i="3"/>
  <c r="G19" i="3" s="1"/>
  <c r="I18" i="3"/>
  <c r="G18" i="3"/>
  <c r="E18" i="3"/>
  <c r="E15" i="3"/>
  <c r="G15" i="3" s="1"/>
  <c r="O16" i="3" s="1"/>
  <c r="H12" i="3"/>
  <c r="J12" i="3" s="1"/>
  <c r="E12" i="3"/>
  <c r="E11" i="3"/>
  <c r="G11" i="3" s="1"/>
  <c r="H11" i="3" s="1"/>
  <c r="J11" i="3" s="1"/>
  <c r="E10" i="3"/>
  <c r="G10" i="3" s="1"/>
  <c r="H10" i="3" s="1"/>
  <c r="J10" i="3" s="1"/>
  <c r="E9" i="3"/>
  <c r="G9" i="3" s="1"/>
  <c r="H9" i="3" s="1"/>
  <c r="J9" i="3" s="1"/>
  <c r="E8" i="3"/>
  <c r="G8" i="3" s="1"/>
  <c r="E27" i="3" s="1"/>
  <c r="G27" i="3" s="1"/>
  <c r="I7" i="3"/>
  <c r="E7" i="3"/>
  <c r="G7" i="3" s="1"/>
  <c r="F171" i="2"/>
  <c r="E171" i="2"/>
  <c r="F170" i="2"/>
  <c r="E170" i="2"/>
  <c r="F169" i="2"/>
  <c r="E169" i="2"/>
  <c r="G169" i="2" s="1"/>
  <c r="F168" i="2"/>
  <c r="E168" i="2"/>
  <c r="F167" i="2"/>
  <c r="E167" i="2"/>
  <c r="G167" i="2" s="1"/>
  <c r="F166" i="2"/>
  <c r="E166" i="2"/>
  <c r="F165" i="2"/>
  <c r="E165" i="2"/>
  <c r="F164" i="2"/>
  <c r="E164" i="2"/>
  <c r="G163" i="2"/>
  <c r="G162" i="2"/>
  <c r="G161" i="2"/>
  <c r="G160" i="2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G135" i="2"/>
  <c r="H135" i="2" s="1"/>
  <c r="J135" i="2" s="1"/>
  <c r="G134" i="2"/>
  <c r="H134" i="2" s="1"/>
  <c r="J134" i="2" s="1"/>
  <c r="G133" i="2"/>
  <c r="G132" i="2"/>
  <c r="H132" i="2" s="1"/>
  <c r="J132" i="2" s="1"/>
  <c r="G131" i="2"/>
  <c r="H131" i="2" s="1"/>
  <c r="J131" i="2" s="1"/>
  <c r="G130" i="2"/>
  <c r="H130" i="2" s="1"/>
  <c r="J130" i="2" s="1"/>
  <c r="G127" i="2"/>
  <c r="H127" i="2" s="1"/>
  <c r="J127" i="2" s="1"/>
  <c r="G126" i="2"/>
  <c r="H126" i="2" s="1"/>
  <c r="J126" i="2" s="1"/>
  <c r="G125" i="2"/>
  <c r="H125" i="2" s="1"/>
  <c r="J125" i="2" s="1"/>
  <c r="G124" i="2"/>
  <c r="H124" i="2" s="1"/>
  <c r="J124" i="2" s="1"/>
  <c r="G123" i="2"/>
  <c r="H123" i="2" s="1"/>
  <c r="J123" i="2" s="1"/>
  <c r="E120" i="2"/>
  <c r="E119" i="2"/>
  <c r="E118" i="2"/>
  <c r="G116" i="2"/>
  <c r="H116" i="2" s="1"/>
  <c r="J116" i="2" s="1"/>
  <c r="G115" i="2"/>
  <c r="H115" i="2" s="1"/>
  <c r="J115" i="2" s="1"/>
  <c r="G114" i="2"/>
  <c r="G117" i="2" s="1"/>
  <c r="H117" i="2" s="1"/>
  <c r="J117" i="2" s="1"/>
  <c r="J113" i="2"/>
  <c r="G111" i="2"/>
  <c r="H111" i="2" s="1"/>
  <c r="J111" i="2" s="1"/>
  <c r="G110" i="2"/>
  <c r="H110" i="2" s="1"/>
  <c r="J110" i="2" s="1"/>
  <c r="G109" i="2"/>
  <c r="G106" i="2"/>
  <c r="H106" i="2" s="1"/>
  <c r="J106" i="2" s="1"/>
  <c r="G105" i="2"/>
  <c r="H105" i="2" s="1"/>
  <c r="J105" i="2" s="1"/>
  <c r="G104" i="2"/>
  <c r="G100" i="2"/>
  <c r="H100" i="2" s="1"/>
  <c r="J100" i="2" s="1"/>
  <c r="G99" i="2"/>
  <c r="H99" i="2" s="1"/>
  <c r="J99" i="2" s="1"/>
  <c r="G98" i="2"/>
  <c r="H98" i="2" s="1"/>
  <c r="J98" i="2" s="1"/>
  <c r="G97" i="2"/>
  <c r="H97" i="2" s="1"/>
  <c r="J97" i="2" s="1"/>
  <c r="G96" i="2"/>
  <c r="H96" i="2" s="1"/>
  <c r="J96" i="2" s="1"/>
  <c r="G95" i="2"/>
  <c r="F119" i="2" s="1"/>
  <c r="G93" i="2"/>
  <c r="H93" i="2" s="1"/>
  <c r="J93" i="2" s="1"/>
  <c r="G92" i="2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G73" i="2"/>
  <c r="H73" i="2" s="1"/>
  <c r="J73" i="2" s="1"/>
  <c r="G72" i="2"/>
  <c r="G85" i="2" s="1"/>
  <c r="H85" i="2" s="1"/>
  <c r="J85" i="2" s="1"/>
  <c r="H70" i="2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4" i="2"/>
  <c r="H64" i="2" s="1"/>
  <c r="J64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J55" i="2" s="1"/>
  <c r="G54" i="2"/>
  <c r="H54" i="2" s="1"/>
  <c r="J54" i="2" s="1"/>
  <c r="G53" i="2"/>
  <c r="H53" i="2" s="1"/>
  <c r="J53" i="2" s="1"/>
  <c r="G52" i="2"/>
  <c r="H52" i="2" s="1"/>
  <c r="J52" i="2" s="1"/>
  <c r="G51" i="2"/>
  <c r="H51" i="2" s="1"/>
  <c r="J51" i="2" s="1"/>
  <c r="G50" i="2"/>
  <c r="H50" i="2" s="1"/>
  <c r="J50" i="2" s="1"/>
  <c r="G49" i="2"/>
  <c r="H49" i="2" s="1"/>
  <c r="J4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G38" i="2"/>
  <c r="G37" i="2"/>
  <c r="G36" i="2"/>
  <c r="G35" i="2"/>
  <c r="G142" i="2" s="1"/>
  <c r="H23" i="2"/>
  <c r="J23" i="2" s="1"/>
  <c r="G22" i="2"/>
  <c r="G24" i="2" s="1"/>
  <c r="G19" i="2"/>
  <c r="G18" i="2"/>
  <c r="G15" i="2"/>
  <c r="G12" i="2"/>
  <c r="H12" i="2" s="1"/>
  <c r="J12" i="2" s="1"/>
  <c r="G11" i="2"/>
  <c r="H11" i="2" s="1"/>
  <c r="J11" i="2" s="1"/>
  <c r="G10" i="2"/>
  <c r="G9" i="2"/>
  <c r="H9" i="2" s="1"/>
  <c r="J9" i="2" s="1"/>
  <c r="G8" i="2"/>
  <c r="G7" i="2"/>
  <c r="H7" i="2" s="1"/>
  <c r="J7" i="2" s="1"/>
  <c r="H8" i="2" l="1"/>
  <c r="J8" i="2" s="1"/>
  <c r="I9" i="2" s="1"/>
  <c r="E27" i="2"/>
  <c r="G27" i="2" s="1"/>
  <c r="G13" i="2"/>
  <c r="E28" i="2"/>
  <c r="G28" i="2" s="1"/>
  <c r="H28" i="2" s="1"/>
  <c r="J28" i="2" s="1"/>
  <c r="H15" i="2"/>
  <c r="J15" i="2" s="1"/>
  <c r="I16" i="2" s="1"/>
  <c r="G20" i="2"/>
  <c r="H20" i="2" s="1"/>
  <c r="J20" i="2" s="1"/>
  <c r="I20" i="2" s="1"/>
  <c r="E31" i="2"/>
  <c r="G31" i="2" s="1"/>
  <c r="H31" i="2" s="1"/>
  <c r="E30" i="2"/>
  <c r="G30" i="2" s="1"/>
  <c r="H30" i="2" s="1"/>
  <c r="J30" i="2" s="1"/>
  <c r="H19" i="2"/>
  <c r="J19" i="2" s="1"/>
  <c r="G150" i="2"/>
  <c r="H36" i="2"/>
  <c r="J36" i="2" s="1"/>
  <c r="G152" i="2"/>
  <c r="H37" i="2"/>
  <c r="J37" i="2" s="1"/>
  <c r="G148" i="2"/>
  <c r="H38" i="2"/>
  <c r="J38" i="2" s="1"/>
  <c r="G146" i="2"/>
  <c r="H39" i="2"/>
  <c r="J39" i="2" s="1"/>
  <c r="G94" i="2"/>
  <c r="H92" i="2"/>
  <c r="J92" i="2" s="1"/>
  <c r="G107" i="2"/>
  <c r="H107" i="2" s="1"/>
  <c r="J107" i="2" s="1"/>
  <c r="H104" i="2"/>
  <c r="J104" i="2" s="1"/>
  <c r="G112" i="2"/>
  <c r="H109" i="2"/>
  <c r="J109" i="2" s="1"/>
  <c r="I135" i="2"/>
  <c r="H136" i="2"/>
  <c r="J136" i="2" s="1"/>
  <c r="I138" i="2"/>
  <c r="G164" i="2"/>
  <c r="G165" i="2"/>
  <c r="G166" i="2"/>
  <c r="G168" i="2"/>
  <c r="G170" i="2"/>
  <c r="G171" i="2"/>
  <c r="E31" i="3"/>
  <c r="G31" i="3" s="1"/>
  <c r="H31" i="3" s="1"/>
  <c r="J31" i="3" s="1"/>
  <c r="H18" i="3"/>
  <c r="J18" i="3" s="1"/>
  <c r="G165" i="3"/>
  <c r="G167" i="3"/>
  <c r="G168" i="3"/>
  <c r="G169" i="3"/>
  <c r="G171" i="3"/>
  <c r="G150" i="5"/>
  <c r="H36" i="5"/>
  <c r="J36" i="5" s="1"/>
  <c r="O40" i="5"/>
  <c r="H40" i="5"/>
  <c r="J40" i="5" s="1"/>
  <c r="G165" i="5"/>
  <c r="I165" i="5" s="1"/>
  <c r="G169" i="5"/>
  <c r="I169" i="5" s="1"/>
  <c r="G170" i="5"/>
  <c r="I170" i="5" s="1"/>
  <c r="G171" i="5"/>
  <c r="I171" i="5" s="1"/>
  <c r="G167" i="33"/>
  <c r="I167" i="33" s="1"/>
  <c r="G171" i="33"/>
  <c r="I171" i="33" s="1"/>
  <c r="G165" i="7"/>
  <c r="I165" i="7" s="1"/>
  <c r="G166" i="7"/>
  <c r="I166" i="7" s="1"/>
  <c r="G169" i="7"/>
  <c r="I169" i="7" s="1"/>
  <c r="G170" i="7"/>
  <c r="I170" i="7" s="1"/>
  <c r="G164" i="8"/>
  <c r="I164" i="8" s="1"/>
  <c r="G165" i="8"/>
  <c r="I165" i="8" s="1"/>
  <c r="G168" i="8"/>
  <c r="I168" i="8" s="1"/>
  <c r="G169" i="8"/>
  <c r="I169" i="8" s="1"/>
  <c r="E27" i="9"/>
  <c r="G27" i="9" s="1"/>
  <c r="H8" i="9"/>
  <c r="J8" i="9" s="1"/>
  <c r="G13" i="9"/>
  <c r="H9" i="9"/>
  <c r="J9" i="9" s="1"/>
  <c r="G101" i="9"/>
  <c r="H101" i="9" s="1"/>
  <c r="J101" i="9" s="1"/>
  <c r="H95" i="9"/>
  <c r="J95" i="9" s="1"/>
  <c r="I138" i="9"/>
  <c r="H137" i="9"/>
  <c r="J137" i="9" s="1"/>
  <c r="G164" i="9"/>
  <c r="I164" i="9" s="1"/>
  <c r="G165" i="9"/>
  <c r="I165" i="9" s="1"/>
  <c r="G166" i="9"/>
  <c r="I166" i="9" s="1"/>
  <c r="G167" i="9"/>
  <c r="I167" i="9" s="1"/>
  <c r="G168" i="9"/>
  <c r="I168" i="9" s="1"/>
  <c r="G169" i="9"/>
  <c r="I169" i="9" s="1"/>
  <c r="G170" i="9"/>
  <c r="I170" i="9" s="1"/>
  <c r="G171" i="9"/>
  <c r="I171" i="9" s="1"/>
  <c r="G166" i="10"/>
  <c r="I166" i="10" s="1"/>
  <c r="G170" i="10"/>
  <c r="I170" i="10" s="1"/>
  <c r="E170" i="12"/>
  <c r="G68" i="12"/>
  <c r="G182" i="12"/>
  <c r="G193" i="12"/>
  <c r="H116" i="13"/>
  <c r="J116" i="13" s="1"/>
  <c r="O116" i="13"/>
  <c r="G107" i="14"/>
  <c r="H107" i="14" s="1"/>
  <c r="J107" i="14" s="1"/>
  <c r="H104" i="14"/>
  <c r="J104" i="14" s="1"/>
  <c r="G164" i="14"/>
  <c r="G165" i="14"/>
  <c r="G166" i="14"/>
  <c r="G167" i="14"/>
  <c r="G170" i="14"/>
  <c r="G171" i="14"/>
  <c r="E164" i="15"/>
  <c r="G164" i="15" s="1"/>
  <c r="G62" i="15"/>
  <c r="E165" i="15"/>
  <c r="G165" i="15" s="1"/>
  <c r="G63" i="15"/>
  <c r="E166" i="15"/>
  <c r="G166" i="15" s="1"/>
  <c r="G64" i="15"/>
  <c r="E171" i="15"/>
  <c r="G171" i="15" s="1"/>
  <c r="G69" i="15"/>
  <c r="G112" i="15"/>
  <c r="F120" i="15" s="1"/>
  <c r="H109" i="15"/>
  <c r="J109" i="15" s="1"/>
  <c r="E170" i="16"/>
  <c r="G68" i="16"/>
  <c r="E170" i="18"/>
  <c r="G170" i="18" s="1"/>
  <c r="G68" i="18"/>
  <c r="K49" i="19"/>
  <c r="G49" i="19"/>
  <c r="E165" i="19"/>
  <c r="G165" i="19" s="1"/>
  <c r="G63" i="19"/>
  <c r="E167" i="19"/>
  <c r="G65" i="19"/>
  <c r="E169" i="19"/>
  <c r="G67" i="19"/>
  <c r="E165" i="20"/>
  <c r="G165" i="20" s="1"/>
  <c r="L165" i="20" s="1"/>
  <c r="G63" i="20"/>
  <c r="E167" i="20"/>
  <c r="G167" i="20" s="1"/>
  <c r="L167" i="20" s="1"/>
  <c r="G65" i="20"/>
  <c r="E169" i="20"/>
  <c r="G169" i="20" s="1"/>
  <c r="L169" i="20" s="1"/>
  <c r="G67" i="20"/>
  <c r="E171" i="20"/>
  <c r="G171" i="20" s="1"/>
  <c r="L171" i="20" s="1"/>
  <c r="G69" i="20"/>
  <c r="G107" i="21"/>
  <c r="H107" i="21" s="1"/>
  <c r="J107" i="21" s="1"/>
  <c r="E166" i="22"/>
  <c r="G64" i="22"/>
  <c r="E167" i="22"/>
  <c r="G167" i="22" s="1"/>
  <c r="L167" i="22" s="1"/>
  <c r="G65" i="22"/>
  <c r="E168" i="22"/>
  <c r="G168" i="22" s="1"/>
  <c r="L168" i="22" s="1"/>
  <c r="G66" i="22"/>
  <c r="E169" i="22"/>
  <c r="G169" i="22" s="1"/>
  <c r="L169" i="22" s="1"/>
  <c r="G67" i="22"/>
  <c r="E170" i="22"/>
  <c r="G68" i="22"/>
  <c r="E167" i="23"/>
  <c r="G65" i="23"/>
  <c r="E168" i="23"/>
  <c r="G168" i="23" s="1"/>
  <c r="G66" i="23"/>
  <c r="E171" i="23"/>
  <c r="G69" i="23"/>
  <c r="O69" i="23" s="1"/>
  <c r="O115" i="23"/>
  <c r="H115" i="23"/>
  <c r="J115" i="23" s="1"/>
  <c r="O116" i="23"/>
  <c r="H116" i="23"/>
  <c r="J116" i="23" s="1"/>
  <c r="G20" i="25"/>
  <c r="E31" i="25"/>
  <c r="G31" i="25" s="1"/>
  <c r="F118" i="25"/>
  <c r="E30" i="25"/>
  <c r="G30" i="25" s="1"/>
  <c r="G150" i="25"/>
  <c r="E166" i="25"/>
  <c r="G64" i="25"/>
  <c r="E168" i="25"/>
  <c r="G66" i="25"/>
  <c r="E169" i="25"/>
  <c r="G169" i="25" s="1"/>
  <c r="G67" i="25"/>
  <c r="E170" i="25"/>
  <c r="G68" i="25"/>
  <c r="E171" i="25"/>
  <c r="G69" i="25"/>
  <c r="G168" i="27"/>
  <c r="G152" i="28"/>
  <c r="E165" i="28"/>
  <c r="G63" i="28"/>
  <c r="E166" i="28"/>
  <c r="G64" i="28"/>
  <c r="E168" i="28"/>
  <c r="G168" i="28" s="1"/>
  <c r="G66" i="28"/>
  <c r="E169" i="28"/>
  <c r="G169" i="28" s="1"/>
  <c r="G67" i="28"/>
  <c r="E170" i="28"/>
  <c r="G170" i="28" s="1"/>
  <c r="G68" i="28"/>
  <c r="E171" i="28"/>
  <c r="G69" i="28"/>
  <c r="G112" i="28"/>
  <c r="F120" i="28" s="1"/>
  <c r="H109" i="28"/>
  <c r="J109" i="28" s="1"/>
  <c r="I138" i="28"/>
  <c r="H137" i="28"/>
  <c r="J137" i="28" s="1"/>
  <c r="G166" i="28"/>
  <c r="G171" i="28"/>
  <c r="E164" i="29"/>
  <c r="G164" i="29" s="1"/>
  <c r="G62" i="29"/>
  <c r="E165" i="29"/>
  <c r="G165" i="29" s="1"/>
  <c r="G63" i="29"/>
  <c r="E168" i="29"/>
  <c r="G66" i="29"/>
  <c r="E164" i="30"/>
  <c r="G164" i="30" s="1"/>
  <c r="G62" i="30"/>
  <c r="E167" i="30"/>
  <c r="G65" i="30"/>
  <c r="E169" i="30"/>
  <c r="G67" i="30"/>
  <c r="E170" i="30"/>
  <c r="G170" i="30" s="1"/>
  <c r="G68" i="30"/>
  <c r="E171" i="30"/>
  <c r="G171" i="30" s="1"/>
  <c r="G69" i="30"/>
  <c r="G169" i="30"/>
  <c r="E165" i="43"/>
  <c r="G165" i="43" s="1"/>
  <c r="G63" i="43"/>
  <c r="E170" i="43"/>
  <c r="G68" i="43"/>
  <c r="F35" i="1"/>
  <c r="L34" i="1"/>
  <c r="O34" i="1"/>
  <c r="R34" i="1"/>
  <c r="BN34" i="1"/>
  <c r="BM34" i="1"/>
  <c r="S34" i="1"/>
  <c r="AO34" i="1"/>
  <c r="BL34" i="1"/>
  <c r="BO34" i="1"/>
  <c r="BJ34" i="1"/>
  <c r="BP34" i="1"/>
  <c r="BQ34" i="1" s="1"/>
  <c r="AF34" i="1"/>
  <c r="AG34" i="1" s="1"/>
  <c r="H53" i="4"/>
  <c r="J53" i="4" s="1"/>
  <c r="O53" i="4"/>
  <c r="I140" i="4"/>
  <c r="H140" i="4"/>
  <c r="J140" i="4" s="1"/>
  <c r="G152" i="8"/>
  <c r="G20" i="13"/>
  <c r="O20" i="13" s="1"/>
  <c r="E27" i="5"/>
  <c r="G27" i="5" s="1"/>
  <c r="H8" i="5"/>
  <c r="J8" i="5" s="1"/>
  <c r="I9" i="5" s="1"/>
  <c r="F118" i="8"/>
  <c r="E30" i="8"/>
  <c r="G30" i="8" s="1"/>
  <c r="H30" i="8" s="1"/>
  <c r="J30" i="8" s="1"/>
  <c r="F118" i="12"/>
  <c r="E30" i="12"/>
  <c r="G30" i="12" s="1"/>
  <c r="O75" i="13"/>
  <c r="G101" i="5"/>
  <c r="H101" i="5" s="1"/>
  <c r="J101" i="5" s="1"/>
  <c r="H95" i="5"/>
  <c r="J95" i="5" s="1"/>
  <c r="O29" i="13"/>
  <c r="O51" i="13"/>
  <c r="G152" i="3"/>
  <c r="H37" i="3"/>
  <c r="J37" i="3" s="1"/>
  <c r="O45" i="5"/>
  <c r="H45" i="5"/>
  <c r="J45" i="5" s="1"/>
  <c r="O93" i="13"/>
  <c r="O51" i="5"/>
  <c r="H51" i="5"/>
  <c r="J51" i="5" s="1"/>
  <c r="H8" i="7"/>
  <c r="J8" i="7" s="1"/>
  <c r="I9" i="7" s="1"/>
  <c r="E27" i="7"/>
  <c r="G27" i="7" s="1"/>
  <c r="G128" i="12"/>
  <c r="E28" i="12"/>
  <c r="G28" i="12" s="1"/>
  <c r="G117" i="12"/>
  <c r="H117" i="12" s="1"/>
  <c r="J117" i="12" s="1"/>
  <c r="H114" i="12"/>
  <c r="J114" i="12" s="1"/>
  <c r="E30" i="13"/>
  <c r="G30" i="13" s="1"/>
  <c r="O57" i="13"/>
  <c r="G146" i="8"/>
  <c r="E28" i="19"/>
  <c r="G28" i="19" s="1"/>
  <c r="L55" i="21"/>
  <c r="I133" i="22"/>
  <c r="O45" i="23"/>
  <c r="O54" i="23"/>
  <c r="H55" i="4"/>
  <c r="J55" i="4" s="1"/>
  <c r="G165" i="4"/>
  <c r="I165" i="4" s="1"/>
  <c r="G169" i="4"/>
  <c r="I169" i="4" s="1"/>
  <c r="G164" i="33"/>
  <c r="I164" i="33" s="1"/>
  <c r="G167" i="7"/>
  <c r="I167" i="7" s="1"/>
  <c r="G171" i="7"/>
  <c r="I171" i="7" s="1"/>
  <c r="G62" i="12"/>
  <c r="G65" i="12"/>
  <c r="G165" i="12"/>
  <c r="P29" i="13"/>
  <c r="G69" i="13"/>
  <c r="G107" i="13"/>
  <c r="G107" i="15"/>
  <c r="H107" i="15" s="1"/>
  <c r="J107" i="15" s="1"/>
  <c r="G168" i="15"/>
  <c r="G94" i="28"/>
  <c r="E27" i="15"/>
  <c r="G27" i="15" s="1"/>
  <c r="I138" i="15"/>
  <c r="O11" i="23"/>
  <c r="G152" i="23"/>
  <c r="O37" i="23"/>
  <c r="O134" i="23"/>
  <c r="G85" i="28"/>
  <c r="G119" i="43"/>
  <c r="H119" i="43" s="1"/>
  <c r="J119" i="43" s="1"/>
  <c r="G146" i="3"/>
  <c r="G142" i="8"/>
  <c r="G59" i="12"/>
  <c r="G94" i="12"/>
  <c r="I133" i="12"/>
  <c r="I133" i="15"/>
  <c r="E27" i="16"/>
  <c r="G27" i="16" s="1"/>
  <c r="L7" i="22"/>
  <c r="G63" i="13"/>
  <c r="G68" i="13"/>
  <c r="G165" i="28"/>
  <c r="G172" i="28" s="1"/>
  <c r="L40" i="20"/>
  <c r="L54" i="22"/>
  <c r="G146" i="40"/>
  <c r="O39" i="40"/>
  <c r="G144" i="28"/>
  <c r="G119" i="28"/>
  <c r="H119" i="28" s="1"/>
  <c r="J119" i="28" s="1"/>
  <c r="G47" i="3"/>
  <c r="G89" i="33"/>
  <c r="H89" i="33" s="1"/>
  <c r="J89" i="33" s="1"/>
  <c r="G20" i="8"/>
  <c r="H20" i="8" s="1"/>
  <c r="J20" i="8" s="1"/>
  <c r="I20" i="8" s="1"/>
  <c r="G167" i="8"/>
  <c r="I167" i="8" s="1"/>
  <c r="G171" i="8"/>
  <c r="I171" i="8" s="1"/>
  <c r="G20" i="12"/>
  <c r="G64" i="12"/>
  <c r="G67" i="12"/>
  <c r="I136" i="12"/>
  <c r="F119" i="40"/>
  <c r="G112" i="43"/>
  <c r="G59" i="15"/>
  <c r="G148" i="21"/>
  <c r="L53" i="22"/>
  <c r="O110" i="23"/>
  <c r="H110" i="23"/>
  <c r="J110" i="23" s="1"/>
  <c r="O139" i="23"/>
  <c r="O51" i="40"/>
  <c r="G167" i="4"/>
  <c r="I167" i="4" s="1"/>
  <c r="G171" i="4"/>
  <c r="I171" i="4" s="1"/>
  <c r="H46" i="5"/>
  <c r="J46" i="5" s="1"/>
  <c r="G166" i="33"/>
  <c r="I166" i="33" s="1"/>
  <c r="G170" i="33"/>
  <c r="I170" i="33" s="1"/>
  <c r="G85" i="12"/>
  <c r="G67" i="13"/>
  <c r="G165" i="13"/>
  <c r="H106" i="13"/>
  <c r="J106" i="13" s="1"/>
  <c r="O106" i="13"/>
  <c r="L51" i="21"/>
  <c r="G59" i="23"/>
  <c r="G20" i="24"/>
  <c r="G117" i="24"/>
  <c r="H117" i="24" s="1"/>
  <c r="J117" i="24" s="1"/>
  <c r="H114" i="24"/>
  <c r="J114" i="24" s="1"/>
  <c r="G152" i="29"/>
  <c r="G13" i="5"/>
  <c r="G142" i="5"/>
  <c r="G166" i="8"/>
  <c r="I166" i="8" s="1"/>
  <c r="G170" i="8"/>
  <c r="I170" i="8" s="1"/>
  <c r="G168" i="10"/>
  <c r="I168" i="10" s="1"/>
  <c r="G172" i="10"/>
  <c r="I172" i="10" s="1"/>
  <c r="G63" i="12"/>
  <c r="G118" i="15"/>
  <c r="H118" i="15" s="1"/>
  <c r="J118" i="15" s="1"/>
  <c r="G94" i="15"/>
  <c r="L40" i="22"/>
  <c r="G128" i="23"/>
  <c r="E28" i="23"/>
  <c r="G28" i="23" s="1"/>
  <c r="H22" i="23"/>
  <c r="J22" i="23" s="1"/>
  <c r="O22" i="23"/>
  <c r="O40" i="23"/>
  <c r="O130" i="23"/>
  <c r="H41" i="5"/>
  <c r="J41" i="5" s="1"/>
  <c r="H55" i="5"/>
  <c r="J55" i="5" s="1"/>
  <c r="G165" i="33"/>
  <c r="I165" i="33" s="1"/>
  <c r="G169" i="33"/>
  <c r="I169" i="33" s="1"/>
  <c r="G164" i="7"/>
  <c r="I164" i="7" s="1"/>
  <c r="G168" i="7"/>
  <c r="I168" i="7" s="1"/>
  <c r="G66" i="12"/>
  <c r="G69" i="12"/>
  <c r="G142" i="15"/>
  <c r="I138" i="22"/>
  <c r="O123" i="13"/>
  <c r="G13" i="14"/>
  <c r="L39" i="22"/>
  <c r="G146" i="22"/>
  <c r="L57" i="22"/>
  <c r="O7" i="23"/>
  <c r="G148" i="25"/>
  <c r="G128" i="29"/>
  <c r="E28" i="29"/>
  <c r="G28" i="29" s="1"/>
  <c r="G107" i="5"/>
  <c r="H107" i="5" s="1"/>
  <c r="J107" i="5" s="1"/>
  <c r="G107" i="7"/>
  <c r="H107" i="7" s="1"/>
  <c r="J107" i="7" s="1"/>
  <c r="G112" i="12"/>
  <c r="G166" i="13"/>
  <c r="F119" i="15"/>
  <c r="E167" i="15"/>
  <c r="G167" i="15" s="1"/>
  <c r="E170" i="15"/>
  <c r="G170" i="15" s="1"/>
  <c r="G20" i="16"/>
  <c r="E31" i="16"/>
  <c r="G31" i="16" s="1"/>
  <c r="G117" i="21"/>
  <c r="H117" i="21" s="1"/>
  <c r="J117" i="21" s="1"/>
  <c r="G171" i="22"/>
  <c r="L171" i="22" s="1"/>
  <c r="G112" i="22"/>
  <c r="G107" i="24"/>
  <c r="H107" i="24" s="1"/>
  <c r="J107" i="24" s="1"/>
  <c r="G142" i="25"/>
  <c r="G59" i="25"/>
  <c r="G20" i="43"/>
  <c r="E167" i="43"/>
  <c r="G20" i="15"/>
  <c r="E31" i="15"/>
  <c r="G31" i="15" s="1"/>
  <c r="G67" i="15"/>
  <c r="H104" i="15"/>
  <c r="J104" i="15" s="1"/>
  <c r="H112" i="15"/>
  <c r="J112" i="15" s="1"/>
  <c r="G64" i="16"/>
  <c r="G64" i="18"/>
  <c r="G20" i="21"/>
  <c r="G63" i="22"/>
  <c r="G166" i="22"/>
  <c r="L166" i="22" s="1"/>
  <c r="G167" i="23"/>
  <c r="E165" i="25"/>
  <c r="G165" i="25" s="1"/>
  <c r="G168" i="25"/>
  <c r="G170" i="40"/>
  <c r="G171" i="40"/>
  <c r="G69" i="27"/>
  <c r="G62" i="28"/>
  <c r="G65" i="28"/>
  <c r="G101" i="28"/>
  <c r="G168" i="29"/>
  <c r="G64" i="30"/>
  <c r="G62" i="43"/>
  <c r="E171" i="43"/>
  <c r="G171" i="43" s="1"/>
  <c r="G170" i="13"/>
  <c r="G112" i="14"/>
  <c r="I136" i="15"/>
  <c r="I133" i="17"/>
  <c r="G94" i="22"/>
  <c r="I136" i="22"/>
  <c r="G13" i="24"/>
  <c r="G59" i="43"/>
  <c r="E166" i="43"/>
  <c r="G166" i="43" s="1"/>
  <c r="G170" i="43"/>
  <c r="G13" i="15"/>
  <c r="G152" i="15"/>
  <c r="G144" i="15"/>
  <c r="G165" i="16"/>
  <c r="G13" i="17"/>
  <c r="G128" i="17"/>
  <c r="H128" i="17" s="1"/>
  <c r="J128" i="17" s="1"/>
  <c r="G94" i="17"/>
  <c r="G107" i="17"/>
  <c r="H107" i="17" s="1"/>
  <c r="J107" i="17" s="1"/>
  <c r="G150" i="19"/>
  <c r="I138" i="19"/>
  <c r="E30" i="21"/>
  <c r="G30" i="21" s="1"/>
  <c r="F119" i="22"/>
  <c r="G170" i="22"/>
  <c r="L170" i="22" s="1"/>
  <c r="E164" i="25"/>
  <c r="G164" i="25" s="1"/>
  <c r="G171" i="25"/>
  <c r="O56" i="40"/>
  <c r="G20" i="28"/>
  <c r="G107" i="28"/>
  <c r="H107" i="28" s="1"/>
  <c r="J107" i="28" s="1"/>
  <c r="F119" i="28"/>
  <c r="I136" i="28"/>
  <c r="G168" i="14"/>
  <c r="G172" i="14" s="1"/>
  <c r="G66" i="15"/>
  <c r="G101" i="15"/>
  <c r="H114" i="15"/>
  <c r="J114" i="15" s="1"/>
  <c r="G49" i="16"/>
  <c r="G62" i="16"/>
  <c r="G62" i="18"/>
  <c r="G69" i="19"/>
  <c r="G62" i="22"/>
  <c r="G164" i="22"/>
  <c r="H89" i="23"/>
  <c r="J89" i="23" s="1"/>
  <c r="H106" i="23"/>
  <c r="J106" i="23" s="1"/>
  <c r="G171" i="23"/>
  <c r="E167" i="25"/>
  <c r="G167" i="25" s="1"/>
  <c r="G67" i="27"/>
  <c r="G63" i="30"/>
  <c r="G66" i="30"/>
  <c r="G67" i="43"/>
  <c r="H109" i="13"/>
  <c r="J109" i="13" s="1"/>
  <c r="G128" i="15"/>
  <c r="G150" i="15"/>
  <c r="G170" i="16"/>
  <c r="G107" i="22"/>
  <c r="H107" i="22" s="1"/>
  <c r="J107" i="22" s="1"/>
  <c r="E28" i="25"/>
  <c r="G28" i="25" s="1"/>
  <c r="G166" i="25"/>
  <c r="G170" i="25"/>
  <c r="E30" i="28"/>
  <c r="G30" i="28" s="1"/>
  <c r="G118" i="28"/>
  <c r="H118" i="28" s="1"/>
  <c r="J118" i="28" s="1"/>
  <c r="E28" i="15"/>
  <c r="G28" i="15" s="1"/>
  <c r="G66" i="16"/>
  <c r="G66" i="18"/>
  <c r="G142" i="22"/>
  <c r="G170" i="23"/>
  <c r="G165" i="24"/>
  <c r="I133" i="24"/>
  <c r="G47" i="28"/>
  <c r="G168" i="43"/>
  <c r="G94" i="16"/>
  <c r="E31" i="18"/>
  <c r="G31" i="18" s="1"/>
  <c r="G146" i="18"/>
  <c r="G112" i="18"/>
  <c r="G117" i="18"/>
  <c r="H117" i="18" s="1"/>
  <c r="J117" i="18" s="1"/>
  <c r="G13" i="19"/>
  <c r="G148" i="19"/>
  <c r="G69" i="22"/>
  <c r="H110" i="22"/>
  <c r="J110" i="22" s="1"/>
  <c r="O66" i="23"/>
  <c r="G165" i="40"/>
  <c r="G13" i="28"/>
  <c r="I13" i="28" s="1"/>
  <c r="G142" i="28"/>
  <c r="G112" i="30"/>
  <c r="G66" i="43"/>
  <c r="G167" i="43"/>
  <c r="G94" i="43"/>
  <c r="H112" i="43"/>
  <c r="J112" i="43" s="1"/>
  <c r="F120" i="43"/>
  <c r="G120" i="43"/>
  <c r="H120" i="43" s="1"/>
  <c r="J120" i="43" s="1"/>
  <c r="G128" i="43"/>
  <c r="E28" i="43"/>
  <c r="G28" i="43" s="1"/>
  <c r="G149" i="43"/>
  <c r="G144" i="43"/>
  <c r="I138" i="43"/>
  <c r="H137" i="43"/>
  <c r="J137" i="43" s="1"/>
  <c r="E27" i="43"/>
  <c r="G27" i="43" s="1"/>
  <c r="G152" i="43"/>
  <c r="I136" i="43"/>
  <c r="H134" i="43"/>
  <c r="J134" i="43" s="1"/>
  <c r="H104" i="43"/>
  <c r="J104" i="43" s="1"/>
  <c r="G107" i="43"/>
  <c r="H107" i="43" s="1"/>
  <c r="J107" i="43" s="1"/>
  <c r="G150" i="43"/>
  <c r="G117" i="43"/>
  <c r="H117" i="43" s="1"/>
  <c r="J117" i="43" s="1"/>
  <c r="H114" i="43"/>
  <c r="J114" i="43" s="1"/>
  <c r="G101" i="43"/>
  <c r="F119" i="43"/>
  <c r="G146" i="43"/>
  <c r="G13" i="43"/>
  <c r="I13" i="43" s="1"/>
  <c r="E30" i="43"/>
  <c r="G30" i="43" s="1"/>
  <c r="G85" i="43"/>
  <c r="H109" i="43"/>
  <c r="J109" i="43" s="1"/>
  <c r="G118" i="43"/>
  <c r="H118" i="43" s="1"/>
  <c r="J118" i="43" s="1"/>
  <c r="G47" i="43"/>
  <c r="F118" i="43"/>
  <c r="G142" i="43"/>
  <c r="G146" i="30"/>
  <c r="G117" i="30"/>
  <c r="H117" i="30" s="1"/>
  <c r="J117" i="30" s="1"/>
  <c r="H114" i="30"/>
  <c r="J114" i="30" s="1"/>
  <c r="I136" i="30"/>
  <c r="H134" i="30"/>
  <c r="J134" i="30" s="1"/>
  <c r="G13" i="30"/>
  <c r="G20" i="30"/>
  <c r="G85" i="30"/>
  <c r="G152" i="30"/>
  <c r="G119" i="30"/>
  <c r="H119" i="30" s="1"/>
  <c r="J119" i="30" s="1"/>
  <c r="G101" i="30"/>
  <c r="F119" i="30"/>
  <c r="G59" i="30"/>
  <c r="G168" i="30"/>
  <c r="E28" i="30"/>
  <c r="G28" i="30" s="1"/>
  <c r="G128" i="30"/>
  <c r="G167" i="30"/>
  <c r="G172" i="30" s="1"/>
  <c r="I13" i="30"/>
  <c r="G144" i="30"/>
  <c r="H112" i="30"/>
  <c r="J112" i="30" s="1"/>
  <c r="F120" i="30"/>
  <c r="G120" i="30"/>
  <c r="H120" i="30" s="1"/>
  <c r="J120" i="30" s="1"/>
  <c r="E30" i="30"/>
  <c r="G30" i="30" s="1"/>
  <c r="F118" i="30"/>
  <c r="G118" i="30"/>
  <c r="H118" i="30" s="1"/>
  <c r="J118" i="30" s="1"/>
  <c r="G47" i="30"/>
  <c r="G142" i="30"/>
  <c r="G94" i="30"/>
  <c r="I133" i="30"/>
  <c r="H109" i="30"/>
  <c r="J109" i="30" s="1"/>
  <c r="G148" i="30"/>
  <c r="G107" i="30"/>
  <c r="H107" i="30" s="1"/>
  <c r="J107" i="30" s="1"/>
  <c r="E27" i="30"/>
  <c r="G27" i="30" s="1"/>
  <c r="G150" i="30"/>
  <c r="I138" i="30"/>
  <c r="F118" i="29"/>
  <c r="N118" i="29" s="1"/>
  <c r="G118" i="29"/>
  <c r="H118" i="29" s="1"/>
  <c r="J118" i="29" s="1"/>
  <c r="G20" i="29"/>
  <c r="E30" i="29"/>
  <c r="G30" i="29" s="1"/>
  <c r="G13" i="29"/>
  <c r="I13" i="29" s="1"/>
  <c r="G144" i="29"/>
  <c r="G171" i="29"/>
  <c r="G112" i="29"/>
  <c r="G170" i="29"/>
  <c r="G153" i="29"/>
  <c r="E27" i="29"/>
  <c r="G27" i="29" s="1"/>
  <c r="G85" i="29"/>
  <c r="I138" i="29"/>
  <c r="H137" i="29"/>
  <c r="J137" i="29" s="1"/>
  <c r="G167" i="29"/>
  <c r="G150" i="29"/>
  <c r="G146" i="29"/>
  <c r="G94" i="29"/>
  <c r="G107" i="29"/>
  <c r="H107" i="29" s="1"/>
  <c r="J107" i="29" s="1"/>
  <c r="H104" i="29"/>
  <c r="J104" i="29" s="1"/>
  <c r="H114" i="29"/>
  <c r="J114" i="29" s="1"/>
  <c r="G117" i="29"/>
  <c r="H117" i="29" s="1"/>
  <c r="J117" i="29" s="1"/>
  <c r="I133" i="29"/>
  <c r="G166" i="29"/>
  <c r="G101" i="29"/>
  <c r="F119" i="29"/>
  <c r="N119" i="29" s="1"/>
  <c r="G119" i="29"/>
  <c r="H119" i="29" s="1"/>
  <c r="J119" i="29" s="1"/>
  <c r="G47" i="29"/>
  <c r="G142" i="29"/>
  <c r="G148" i="29"/>
  <c r="G59" i="29"/>
  <c r="I136" i="29"/>
  <c r="H134" i="29"/>
  <c r="J134" i="29" s="1"/>
  <c r="G69" i="29"/>
  <c r="G64" i="29"/>
  <c r="E169" i="29"/>
  <c r="G169" i="29" s="1"/>
  <c r="G65" i="29"/>
  <c r="G68" i="29"/>
  <c r="G145" i="28"/>
  <c r="G153" i="28"/>
  <c r="G149" i="28"/>
  <c r="G143" i="28"/>
  <c r="E28" i="28"/>
  <c r="G28" i="28" s="1"/>
  <c r="H112" i="28"/>
  <c r="J112" i="28" s="1"/>
  <c r="H105" i="28"/>
  <c r="J105" i="28" s="1"/>
  <c r="G117" i="28"/>
  <c r="H117" i="28" s="1"/>
  <c r="J117" i="28" s="1"/>
  <c r="G59" i="28"/>
  <c r="G150" i="28"/>
  <c r="G147" i="28"/>
  <c r="G120" i="28"/>
  <c r="H120" i="28" s="1"/>
  <c r="J120" i="28" s="1"/>
  <c r="G128" i="28"/>
  <c r="H128" i="28" s="1"/>
  <c r="J128" i="28" s="1"/>
  <c r="N42" i="27"/>
  <c r="G171" i="27"/>
  <c r="E28" i="27"/>
  <c r="G28" i="27" s="1"/>
  <c r="G128" i="27"/>
  <c r="H128" i="27" s="1"/>
  <c r="J128" i="27" s="1"/>
  <c r="G144" i="27"/>
  <c r="G59" i="27"/>
  <c r="G94" i="27"/>
  <c r="H109" i="27"/>
  <c r="J109" i="27" s="1"/>
  <c r="G112" i="27"/>
  <c r="I136" i="27"/>
  <c r="H134" i="27"/>
  <c r="J134" i="27" s="1"/>
  <c r="G170" i="27"/>
  <c r="L21" i="27"/>
  <c r="E30" i="27"/>
  <c r="G30" i="27" s="1"/>
  <c r="F118" i="27"/>
  <c r="G118" i="27"/>
  <c r="H118" i="27" s="1"/>
  <c r="J118" i="27" s="1"/>
  <c r="G146" i="27"/>
  <c r="G148" i="27"/>
  <c r="G85" i="27"/>
  <c r="G13" i="27"/>
  <c r="G152" i="27"/>
  <c r="G150" i="27"/>
  <c r="F119" i="27"/>
  <c r="G101" i="27"/>
  <c r="G119" i="27"/>
  <c r="H119" i="27" s="1"/>
  <c r="J119" i="27" s="1"/>
  <c r="I138" i="27"/>
  <c r="H137" i="27"/>
  <c r="J137" i="27" s="1"/>
  <c r="G166" i="27"/>
  <c r="G172" i="27" s="1"/>
  <c r="G142" i="27"/>
  <c r="G47" i="27"/>
  <c r="I133" i="27"/>
  <c r="G62" i="27"/>
  <c r="G64" i="27"/>
  <c r="G117" i="27"/>
  <c r="H117" i="27" s="1"/>
  <c r="J117" i="27" s="1"/>
  <c r="G68" i="27"/>
  <c r="G107" i="27"/>
  <c r="H107" i="27" s="1"/>
  <c r="J107" i="27" s="1"/>
  <c r="E31" i="27"/>
  <c r="G31" i="27" s="1"/>
  <c r="G63" i="27"/>
  <c r="G65" i="27"/>
  <c r="I13" i="27"/>
  <c r="O50" i="40"/>
  <c r="O43" i="40"/>
  <c r="F118" i="40"/>
  <c r="G118" i="40"/>
  <c r="H118" i="40" s="1"/>
  <c r="J118" i="40" s="1"/>
  <c r="E30" i="40"/>
  <c r="G30" i="40" s="1"/>
  <c r="O8" i="40"/>
  <c r="E27" i="40"/>
  <c r="G27" i="40" s="1"/>
  <c r="O42" i="40"/>
  <c r="G169" i="40"/>
  <c r="G147" i="40"/>
  <c r="I133" i="40"/>
  <c r="G144" i="40"/>
  <c r="O41" i="40"/>
  <c r="O52" i="40"/>
  <c r="G20" i="40"/>
  <c r="G152" i="40"/>
  <c r="O37" i="40"/>
  <c r="I136" i="40"/>
  <c r="H134" i="40"/>
  <c r="J134" i="40" s="1"/>
  <c r="G167" i="40"/>
  <c r="O45" i="40"/>
  <c r="O12" i="40"/>
  <c r="O54" i="40"/>
  <c r="G107" i="40"/>
  <c r="H107" i="40" s="1"/>
  <c r="J107" i="40" s="1"/>
  <c r="H105" i="40"/>
  <c r="J105" i="40" s="1"/>
  <c r="G142" i="40"/>
  <c r="G47" i="40"/>
  <c r="O35" i="40"/>
  <c r="O58" i="40"/>
  <c r="G13" i="40"/>
  <c r="O10" i="40"/>
  <c r="G85" i="40"/>
  <c r="E164" i="40"/>
  <c r="G164" i="40" s="1"/>
  <c r="O38" i="40"/>
  <c r="O46" i="40"/>
  <c r="O55" i="40"/>
  <c r="G59" i="40"/>
  <c r="G63" i="40"/>
  <c r="G65" i="40"/>
  <c r="G67" i="40"/>
  <c r="G69" i="40"/>
  <c r="N86" i="40"/>
  <c r="O7" i="40"/>
  <c r="G112" i="40"/>
  <c r="G117" i="40"/>
  <c r="H117" i="40" s="1"/>
  <c r="J117" i="40" s="1"/>
  <c r="G119" i="40"/>
  <c r="H119" i="40" s="1"/>
  <c r="J119" i="40" s="1"/>
  <c r="G148" i="40"/>
  <c r="E166" i="40"/>
  <c r="G166" i="40" s="1"/>
  <c r="O11" i="40"/>
  <c r="O36" i="40"/>
  <c r="O44" i="40"/>
  <c r="O53" i="40"/>
  <c r="G101" i="40"/>
  <c r="H137" i="40"/>
  <c r="J137" i="40" s="1"/>
  <c r="G150" i="40"/>
  <c r="E168" i="40"/>
  <c r="G168" i="40" s="1"/>
  <c r="G68" i="40"/>
  <c r="E28" i="40"/>
  <c r="G28" i="40" s="1"/>
  <c r="G153" i="25"/>
  <c r="H134" i="25"/>
  <c r="J134" i="25" s="1"/>
  <c r="I136" i="25"/>
  <c r="E27" i="25"/>
  <c r="G27" i="25" s="1"/>
  <c r="G151" i="25"/>
  <c r="I133" i="25"/>
  <c r="G147" i="25"/>
  <c r="G94" i="25"/>
  <c r="G172" i="25"/>
  <c r="G143" i="25"/>
  <c r="H112" i="25"/>
  <c r="J112" i="25" s="1"/>
  <c r="F120" i="25"/>
  <c r="G120" i="25"/>
  <c r="H120" i="25" s="1"/>
  <c r="J120" i="25" s="1"/>
  <c r="H114" i="25"/>
  <c r="J114" i="25" s="1"/>
  <c r="G117" i="25"/>
  <c r="H117" i="25" s="1"/>
  <c r="J117" i="25" s="1"/>
  <c r="G128" i="25"/>
  <c r="H128" i="25" s="1"/>
  <c r="J128" i="25" s="1"/>
  <c r="G149" i="25"/>
  <c r="G13" i="25"/>
  <c r="G144" i="25"/>
  <c r="G107" i="25"/>
  <c r="H107" i="25" s="1"/>
  <c r="J107" i="25" s="1"/>
  <c r="G119" i="25"/>
  <c r="H119" i="25" s="1"/>
  <c r="J119" i="25" s="1"/>
  <c r="F119" i="25"/>
  <c r="I13" i="25"/>
  <c r="G85" i="25"/>
  <c r="H109" i="25"/>
  <c r="J109" i="25" s="1"/>
  <c r="H137" i="25"/>
  <c r="J137" i="25" s="1"/>
  <c r="G47" i="25"/>
  <c r="G118" i="25"/>
  <c r="H118" i="25" s="1"/>
  <c r="J118" i="25" s="1"/>
  <c r="G150" i="24"/>
  <c r="G94" i="24"/>
  <c r="G171" i="24"/>
  <c r="E27" i="24"/>
  <c r="G27" i="24" s="1"/>
  <c r="G142" i="24"/>
  <c r="G47" i="24"/>
  <c r="G170" i="24"/>
  <c r="G85" i="24"/>
  <c r="I13" i="24"/>
  <c r="G144" i="24"/>
  <c r="G146" i="24"/>
  <c r="G59" i="24"/>
  <c r="F119" i="24"/>
  <c r="G101" i="24"/>
  <c r="G119" i="24"/>
  <c r="H119" i="24" s="1"/>
  <c r="J119" i="24" s="1"/>
  <c r="G148" i="24"/>
  <c r="G152" i="24"/>
  <c r="G112" i="24"/>
  <c r="H109" i="24"/>
  <c r="J109" i="24" s="1"/>
  <c r="E164" i="24"/>
  <c r="G164" i="24" s="1"/>
  <c r="G63" i="24"/>
  <c r="G65" i="24"/>
  <c r="G67" i="24"/>
  <c r="G69" i="24"/>
  <c r="G118" i="24"/>
  <c r="H118" i="24" s="1"/>
  <c r="J118" i="24" s="1"/>
  <c r="F118" i="24"/>
  <c r="G128" i="24"/>
  <c r="H128" i="24" s="1"/>
  <c r="J128" i="24" s="1"/>
  <c r="E166" i="24"/>
  <c r="G166" i="24" s="1"/>
  <c r="E28" i="24"/>
  <c r="G28" i="24" s="1"/>
  <c r="E30" i="24"/>
  <c r="G30" i="24" s="1"/>
  <c r="E168" i="24"/>
  <c r="G168" i="24" s="1"/>
  <c r="G68" i="24"/>
  <c r="H105" i="24"/>
  <c r="J105" i="24" s="1"/>
  <c r="O51" i="23"/>
  <c r="O56" i="23"/>
  <c r="O64" i="23"/>
  <c r="O83" i="23"/>
  <c r="O99" i="23"/>
  <c r="O124" i="23"/>
  <c r="O132" i="23"/>
  <c r="I133" i="23"/>
  <c r="I138" i="23"/>
  <c r="G142" i="23"/>
  <c r="G47" i="23"/>
  <c r="O35" i="23"/>
  <c r="O50" i="23"/>
  <c r="O55" i="23"/>
  <c r="O82" i="23"/>
  <c r="G117" i="23"/>
  <c r="H114" i="23"/>
  <c r="J114" i="23" s="1"/>
  <c r="O114" i="23"/>
  <c r="O123" i="23"/>
  <c r="G85" i="23"/>
  <c r="O10" i="23"/>
  <c r="E30" i="23"/>
  <c r="G30" i="23" s="1"/>
  <c r="F118" i="23"/>
  <c r="G118" i="23"/>
  <c r="O19" i="23"/>
  <c r="O39" i="23"/>
  <c r="G146" i="23"/>
  <c r="O62" i="23"/>
  <c r="O67" i="23"/>
  <c r="O81" i="23"/>
  <c r="O136" i="23"/>
  <c r="G13" i="23"/>
  <c r="O9" i="23"/>
  <c r="O128" i="23"/>
  <c r="H128" i="23"/>
  <c r="J128" i="23" s="1"/>
  <c r="O38" i="23"/>
  <c r="G148" i="23"/>
  <c r="O59" i="23"/>
  <c r="H88" i="23"/>
  <c r="J88" i="23" s="1"/>
  <c r="O88" i="23"/>
  <c r="H105" i="23"/>
  <c r="J105" i="23" s="1"/>
  <c r="O105" i="23"/>
  <c r="O135" i="23"/>
  <c r="I136" i="23"/>
  <c r="G112" i="23"/>
  <c r="O29" i="23"/>
  <c r="O43" i="23"/>
  <c r="O58" i="23"/>
  <c r="O87" i="23"/>
  <c r="H87" i="23"/>
  <c r="J87" i="23" s="1"/>
  <c r="G94" i="23"/>
  <c r="O92" i="23"/>
  <c r="O104" i="23"/>
  <c r="G107" i="23"/>
  <c r="H104" i="23"/>
  <c r="J104" i="23" s="1"/>
  <c r="E27" i="23"/>
  <c r="G27" i="23" s="1"/>
  <c r="O8" i="23"/>
  <c r="O28" i="23"/>
  <c r="O152" i="23"/>
  <c r="G153" i="23"/>
  <c r="O42" i="23"/>
  <c r="O75" i="23"/>
  <c r="H86" i="23"/>
  <c r="J86" i="23" s="1"/>
  <c r="O86" i="23"/>
  <c r="O12" i="23"/>
  <c r="O41" i="23"/>
  <c r="G144" i="23"/>
  <c r="O46" i="23"/>
  <c r="O74" i="23"/>
  <c r="O79" i="23"/>
  <c r="O96" i="23"/>
  <c r="O111" i="23"/>
  <c r="H111" i="23"/>
  <c r="J111" i="23" s="1"/>
  <c r="G20" i="23"/>
  <c r="O52" i="23"/>
  <c r="O73" i="23"/>
  <c r="O78" i="23"/>
  <c r="F119" i="23"/>
  <c r="G119" i="23"/>
  <c r="O95" i="23"/>
  <c r="G101" i="23"/>
  <c r="O100" i="23"/>
  <c r="O133" i="23"/>
  <c r="O138" i="23"/>
  <c r="O15" i="23"/>
  <c r="E31" i="23"/>
  <c r="G31" i="23" s="1"/>
  <c r="O49" i="23"/>
  <c r="G68" i="23"/>
  <c r="O72" i="23"/>
  <c r="O109" i="23"/>
  <c r="E164" i="23"/>
  <c r="G164" i="23" s="1"/>
  <c r="G63" i="23"/>
  <c r="H90" i="23"/>
  <c r="J90" i="23" s="1"/>
  <c r="G150" i="23"/>
  <c r="E169" i="23"/>
  <c r="G169" i="23" s="1"/>
  <c r="O127" i="23"/>
  <c r="E166" i="23"/>
  <c r="G166" i="23" s="1"/>
  <c r="G172" i="23" s="1"/>
  <c r="O98" i="23"/>
  <c r="O137" i="23"/>
  <c r="O140" i="23"/>
  <c r="O36" i="23"/>
  <c r="O44" i="23"/>
  <c r="O53" i="23"/>
  <c r="O65" i="23"/>
  <c r="O76" i="23"/>
  <c r="O84" i="23"/>
  <c r="G13" i="22"/>
  <c r="L164" i="22"/>
  <c r="G172" i="22"/>
  <c r="L37" i="22"/>
  <c r="G152" i="22"/>
  <c r="L8" i="22"/>
  <c r="E27" i="22"/>
  <c r="G27" i="22" s="1"/>
  <c r="G143" i="22"/>
  <c r="L55" i="22"/>
  <c r="L51" i="22"/>
  <c r="F118" i="22"/>
  <c r="G118" i="22"/>
  <c r="H118" i="22" s="1"/>
  <c r="J118" i="22" s="1"/>
  <c r="E30" i="22"/>
  <c r="G30" i="22" s="1"/>
  <c r="L43" i="22"/>
  <c r="F120" i="22"/>
  <c r="G120" i="22"/>
  <c r="H120" i="22" s="1"/>
  <c r="J120" i="22" s="1"/>
  <c r="H112" i="22"/>
  <c r="J112" i="22" s="1"/>
  <c r="H114" i="22"/>
  <c r="J114" i="22" s="1"/>
  <c r="G117" i="22"/>
  <c r="H117" i="22" s="1"/>
  <c r="J117" i="22" s="1"/>
  <c r="L38" i="22"/>
  <c r="G148" i="22"/>
  <c r="L42" i="22"/>
  <c r="L46" i="22"/>
  <c r="E28" i="22"/>
  <c r="G28" i="22" s="1"/>
  <c r="G119" i="22"/>
  <c r="H119" i="22" s="1"/>
  <c r="J119" i="22" s="1"/>
  <c r="L35" i="22"/>
  <c r="G101" i="22"/>
  <c r="G20" i="22"/>
  <c r="G47" i="22"/>
  <c r="G59" i="22"/>
  <c r="G150" i="22"/>
  <c r="L36" i="22"/>
  <c r="L41" i="22"/>
  <c r="L50" i="22"/>
  <c r="L58" i="22"/>
  <c r="G85" i="22"/>
  <c r="G147" i="22"/>
  <c r="G128" i="22"/>
  <c r="H128" i="22" s="1"/>
  <c r="J128" i="22" s="1"/>
  <c r="G144" i="22"/>
  <c r="G13" i="21"/>
  <c r="I13" i="21" s="1"/>
  <c r="L36" i="21"/>
  <c r="G150" i="21"/>
  <c r="G144" i="21"/>
  <c r="L41" i="21"/>
  <c r="G112" i="21"/>
  <c r="H109" i="21"/>
  <c r="J109" i="21" s="1"/>
  <c r="L40" i="21"/>
  <c r="L45" i="21"/>
  <c r="G94" i="21"/>
  <c r="G47" i="21"/>
  <c r="L44" i="21"/>
  <c r="I138" i="21"/>
  <c r="L50" i="21"/>
  <c r="G85" i="21"/>
  <c r="E28" i="21"/>
  <c r="G28" i="21" s="1"/>
  <c r="G128" i="21"/>
  <c r="H128" i="21" s="1"/>
  <c r="J128" i="21" s="1"/>
  <c r="L49" i="21"/>
  <c r="G59" i="21"/>
  <c r="L54" i="21"/>
  <c r="L7" i="21"/>
  <c r="G149" i="21"/>
  <c r="L53" i="21"/>
  <c r="L58" i="21"/>
  <c r="I136" i="21"/>
  <c r="L57" i="21"/>
  <c r="F119" i="21"/>
  <c r="G101" i="21"/>
  <c r="G119" i="21"/>
  <c r="H119" i="21" s="1"/>
  <c r="J119" i="21" s="1"/>
  <c r="L37" i="21"/>
  <c r="G152" i="21"/>
  <c r="L38" i="21"/>
  <c r="I133" i="21"/>
  <c r="G142" i="21"/>
  <c r="E164" i="21"/>
  <c r="G164" i="21" s="1"/>
  <c r="L164" i="21" s="1"/>
  <c r="G63" i="21"/>
  <c r="G65" i="21"/>
  <c r="G67" i="21"/>
  <c r="G69" i="21"/>
  <c r="G118" i="21"/>
  <c r="H118" i="21" s="1"/>
  <c r="J118" i="21" s="1"/>
  <c r="E166" i="21"/>
  <c r="G166" i="21" s="1"/>
  <c r="L166" i="21" s="1"/>
  <c r="E168" i="21"/>
  <c r="G168" i="21" s="1"/>
  <c r="L168" i="21" s="1"/>
  <c r="E170" i="21"/>
  <c r="G170" i="21" s="1"/>
  <c r="L170" i="21" s="1"/>
  <c r="E27" i="21"/>
  <c r="G27" i="21" s="1"/>
  <c r="L39" i="21"/>
  <c r="L56" i="21"/>
  <c r="G146" i="21"/>
  <c r="H105" i="21"/>
  <c r="J105" i="21" s="1"/>
  <c r="L35" i="21"/>
  <c r="L43" i="20"/>
  <c r="G112" i="20"/>
  <c r="I13" i="20"/>
  <c r="L7" i="20"/>
  <c r="G59" i="20"/>
  <c r="E30" i="20"/>
  <c r="G30" i="20" s="1"/>
  <c r="F118" i="20"/>
  <c r="G118" i="20"/>
  <c r="H118" i="20" s="1"/>
  <c r="J118" i="20" s="1"/>
  <c r="G149" i="20"/>
  <c r="I138" i="20"/>
  <c r="L37" i="20"/>
  <c r="G152" i="20"/>
  <c r="G144" i="20"/>
  <c r="L41" i="20"/>
  <c r="L36" i="20"/>
  <c r="G150" i="20"/>
  <c r="L58" i="20"/>
  <c r="G20" i="20"/>
  <c r="G47" i="20"/>
  <c r="L35" i="20"/>
  <c r="G142" i="20"/>
  <c r="L45" i="20"/>
  <c r="L54" i="20"/>
  <c r="G107" i="20"/>
  <c r="H107" i="20" s="1"/>
  <c r="J107" i="20" s="1"/>
  <c r="H104" i="20"/>
  <c r="J104" i="20" s="1"/>
  <c r="I136" i="20"/>
  <c r="E28" i="20"/>
  <c r="G28" i="20" s="1"/>
  <c r="G128" i="20"/>
  <c r="H128" i="20" s="1"/>
  <c r="J128" i="20" s="1"/>
  <c r="L44" i="20"/>
  <c r="L50" i="20"/>
  <c r="L53" i="20"/>
  <c r="G85" i="20"/>
  <c r="F119" i="20"/>
  <c r="G101" i="20"/>
  <c r="G119" i="20"/>
  <c r="H119" i="20" s="1"/>
  <c r="J119" i="20" s="1"/>
  <c r="L38" i="20"/>
  <c r="L46" i="20"/>
  <c r="H109" i="20"/>
  <c r="J109" i="20" s="1"/>
  <c r="I133" i="20"/>
  <c r="E164" i="20"/>
  <c r="G164" i="20" s="1"/>
  <c r="L164" i="20" s="1"/>
  <c r="E166" i="20"/>
  <c r="G166" i="20" s="1"/>
  <c r="L166" i="20" s="1"/>
  <c r="E168" i="20"/>
  <c r="G168" i="20" s="1"/>
  <c r="L168" i="20" s="1"/>
  <c r="E170" i="20"/>
  <c r="G170" i="20" s="1"/>
  <c r="L170" i="20" s="1"/>
  <c r="E27" i="20"/>
  <c r="G27" i="20" s="1"/>
  <c r="E31" i="20"/>
  <c r="G31" i="20" s="1"/>
  <c r="L39" i="20"/>
  <c r="L56" i="20"/>
  <c r="G146" i="20"/>
  <c r="G117" i="20"/>
  <c r="H117" i="20" s="1"/>
  <c r="J117" i="20" s="1"/>
  <c r="G149" i="19"/>
  <c r="G85" i="19"/>
  <c r="I133" i="19"/>
  <c r="H104" i="19"/>
  <c r="J104" i="19" s="1"/>
  <c r="G107" i="19"/>
  <c r="H107" i="19" s="1"/>
  <c r="J107" i="19" s="1"/>
  <c r="G144" i="19"/>
  <c r="G152" i="19"/>
  <c r="G119" i="19"/>
  <c r="H119" i="19" s="1"/>
  <c r="J119" i="19" s="1"/>
  <c r="F119" i="19"/>
  <c r="G101" i="19"/>
  <c r="E27" i="19"/>
  <c r="G27" i="19" s="1"/>
  <c r="G112" i="19"/>
  <c r="G151" i="19"/>
  <c r="G117" i="19"/>
  <c r="H117" i="19" s="1"/>
  <c r="J117" i="19" s="1"/>
  <c r="H114" i="19"/>
  <c r="J114" i="19" s="1"/>
  <c r="G47" i="19"/>
  <c r="G142" i="19"/>
  <c r="G146" i="19"/>
  <c r="I136" i="19"/>
  <c r="G20" i="19"/>
  <c r="G59" i="19"/>
  <c r="E164" i="19"/>
  <c r="G164" i="19" s="1"/>
  <c r="E168" i="19"/>
  <c r="I13" i="19"/>
  <c r="G167" i="19"/>
  <c r="G171" i="19"/>
  <c r="E31" i="19"/>
  <c r="G31" i="19" s="1"/>
  <c r="H109" i="19"/>
  <c r="J109" i="19" s="1"/>
  <c r="G118" i="19"/>
  <c r="H118" i="19" s="1"/>
  <c r="J118" i="19" s="1"/>
  <c r="G166" i="19"/>
  <c r="G170" i="19"/>
  <c r="F118" i="19"/>
  <c r="G128" i="19"/>
  <c r="H128" i="19" s="1"/>
  <c r="J128" i="19" s="1"/>
  <c r="E166" i="19"/>
  <c r="E170" i="19"/>
  <c r="G169" i="19"/>
  <c r="G66" i="19"/>
  <c r="G119" i="18"/>
  <c r="H119" i="18" s="1"/>
  <c r="J119" i="18" s="1"/>
  <c r="G150" i="18"/>
  <c r="G59" i="18"/>
  <c r="I136" i="18"/>
  <c r="G13" i="18"/>
  <c r="I13" i="18" s="1"/>
  <c r="G168" i="18"/>
  <c r="G167" i="18"/>
  <c r="E27" i="18"/>
  <c r="G27" i="18" s="1"/>
  <c r="G147" i="18"/>
  <c r="G94" i="18"/>
  <c r="H112" i="18"/>
  <c r="J112" i="18" s="1"/>
  <c r="F120" i="18"/>
  <c r="G120" i="18"/>
  <c r="H120" i="18" s="1"/>
  <c r="J120" i="18" s="1"/>
  <c r="G128" i="18"/>
  <c r="H128" i="18" s="1"/>
  <c r="J128" i="18" s="1"/>
  <c r="E28" i="18"/>
  <c r="G28" i="18" s="1"/>
  <c r="G85" i="18"/>
  <c r="I138" i="18"/>
  <c r="G164" i="18"/>
  <c r="F118" i="18"/>
  <c r="E30" i="18"/>
  <c r="G30" i="18" s="1"/>
  <c r="G118" i="18"/>
  <c r="H118" i="18" s="1"/>
  <c r="J118" i="18" s="1"/>
  <c r="G148" i="18"/>
  <c r="F119" i="18"/>
  <c r="G101" i="18"/>
  <c r="G107" i="18"/>
  <c r="H107" i="18" s="1"/>
  <c r="J107" i="18" s="1"/>
  <c r="G47" i="18"/>
  <c r="E169" i="18"/>
  <c r="G169" i="18" s="1"/>
  <c r="G172" i="18" s="1"/>
  <c r="K49" i="18"/>
  <c r="G63" i="18"/>
  <c r="G65" i="18"/>
  <c r="G69" i="18"/>
  <c r="H109" i="18"/>
  <c r="J109" i="18" s="1"/>
  <c r="I133" i="18"/>
  <c r="K31" i="18"/>
  <c r="G144" i="18"/>
  <c r="G152" i="18"/>
  <c r="G148" i="17"/>
  <c r="G152" i="17"/>
  <c r="G150" i="17"/>
  <c r="H114" i="17"/>
  <c r="J114" i="17" s="1"/>
  <c r="G117" i="17"/>
  <c r="H117" i="17" s="1"/>
  <c r="J117" i="17" s="1"/>
  <c r="I138" i="17"/>
  <c r="F118" i="17"/>
  <c r="G118" i="17"/>
  <c r="H118" i="17" s="1"/>
  <c r="J118" i="17" s="1"/>
  <c r="E30" i="17"/>
  <c r="G30" i="17" s="1"/>
  <c r="G47" i="17"/>
  <c r="E27" i="17"/>
  <c r="G27" i="17" s="1"/>
  <c r="G144" i="17"/>
  <c r="G85" i="17"/>
  <c r="F119" i="17"/>
  <c r="G101" i="17"/>
  <c r="G119" i="17"/>
  <c r="H119" i="17" s="1"/>
  <c r="J119" i="17" s="1"/>
  <c r="I136" i="17"/>
  <c r="G146" i="17"/>
  <c r="I13" i="17"/>
  <c r="E168" i="17"/>
  <c r="G168" i="17" s="1"/>
  <c r="E28" i="17"/>
  <c r="G28" i="17" s="1"/>
  <c r="G62" i="17"/>
  <c r="G64" i="17"/>
  <c r="G68" i="17"/>
  <c r="G20" i="17"/>
  <c r="G49" i="17"/>
  <c r="G142" i="17" s="1"/>
  <c r="H105" i="17"/>
  <c r="J105" i="17" s="1"/>
  <c r="G112" i="17"/>
  <c r="E167" i="17"/>
  <c r="G167" i="17" s="1"/>
  <c r="E171" i="17"/>
  <c r="G171" i="17" s="1"/>
  <c r="G63" i="17"/>
  <c r="G67" i="17"/>
  <c r="G152" i="16"/>
  <c r="G59" i="16"/>
  <c r="G171" i="16"/>
  <c r="H104" i="16"/>
  <c r="J104" i="16" s="1"/>
  <c r="G107" i="16"/>
  <c r="H107" i="16" s="1"/>
  <c r="J107" i="16" s="1"/>
  <c r="G13" i="16"/>
  <c r="G144" i="16"/>
  <c r="G142" i="16"/>
  <c r="G47" i="16"/>
  <c r="G168" i="16"/>
  <c r="H109" i="16"/>
  <c r="J109" i="16" s="1"/>
  <c r="G112" i="16"/>
  <c r="I138" i="16"/>
  <c r="G167" i="16"/>
  <c r="G146" i="16"/>
  <c r="I133" i="16"/>
  <c r="G166" i="16"/>
  <c r="E28" i="16"/>
  <c r="G28" i="16" s="1"/>
  <c r="G128" i="16"/>
  <c r="G32" i="16"/>
  <c r="G117" i="16"/>
  <c r="H117" i="16" s="1"/>
  <c r="J117" i="16" s="1"/>
  <c r="H114" i="16"/>
  <c r="J114" i="16" s="1"/>
  <c r="G119" i="16"/>
  <c r="H119" i="16" s="1"/>
  <c r="J119" i="16" s="1"/>
  <c r="G101" i="16"/>
  <c r="F119" i="16"/>
  <c r="I136" i="16"/>
  <c r="E169" i="16"/>
  <c r="G169" i="16" s="1"/>
  <c r="G63" i="16"/>
  <c r="G65" i="16"/>
  <c r="G69" i="16"/>
  <c r="G148" i="16"/>
  <c r="G85" i="16"/>
  <c r="G118" i="16"/>
  <c r="H118" i="16" s="1"/>
  <c r="J118" i="16" s="1"/>
  <c r="F118" i="16"/>
  <c r="G150" i="16"/>
  <c r="G151" i="15"/>
  <c r="G32" i="15"/>
  <c r="G143" i="15"/>
  <c r="G147" i="15"/>
  <c r="I13" i="15"/>
  <c r="G153" i="15"/>
  <c r="G145" i="15"/>
  <c r="G47" i="15"/>
  <c r="G85" i="15"/>
  <c r="G148" i="15"/>
  <c r="G120" i="15"/>
  <c r="H120" i="15" s="1"/>
  <c r="J120" i="15" s="1"/>
  <c r="G144" i="14"/>
  <c r="G118" i="14"/>
  <c r="H118" i="14" s="1"/>
  <c r="J118" i="14" s="1"/>
  <c r="E30" i="14"/>
  <c r="G30" i="14" s="1"/>
  <c r="F118" i="14"/>
  <c r="I136" i="14"/>
  <c r="I13" i="14"/>
  <c r="N7" i="14"/>
  <c r="G153" i="14"/>
  <c r="G59" i="14"/>
  <c r="F120" i="14"/>
  <c r="G120" i="14"/>
  <c r="H120" i="14" s="1"/>
  <c r="J120" i="14" s="1"/>
  <c r="H112" i="14"/>
  <c r="J112" i="14" s="1"/>
  <c r="G150" i="14"/>
  <c r="G128" i="14"/>
  <c r="E28" i="14"/>
  <c r="G28" i="14" s="1"/>
  <c r="G147" i="14"/>
  <c r="I138" i="14"/>
  <c r="E27" i="14"/>
  <c r="G27" i="14" s="1"/>
  <c r="G149" i="14"/>
  <c r="G85" i="14"/>
  <c r="F119" i="14"/>
  <c r="G101" i="14"/>
  <c r="G119" i="14"/>
  <c r="H119" i="14" s="1"/>
  <c r="J119" i="14" s="1"/>
  <c r="I133" i="14"/>
  <c r="G142" i="14"/>
  <c r="G47" i="14"/>
  <c r="G117" i="14"/>
  <c r="H117" i="14" s="1"/>
  <c r="J117" i="14" s="1"/>
  <c r="G20" i="14"/>
  <c r="O53" i="13"/>
  <c r="G128" i="13"/>
  <c r="O128" i="13" s="1"/>
  <c r="O15" i="13"/>
  <c r="E28" i="13"/>
  <c r="G28" i="13" s="1"/>
  <c r="O37" i="13"/>
  <c r="G152" i="13"/>
  <c r="O41" i="13"/>
  <c r="G144" i="13"/>
  <c r="O130" i="13"/>
  <c r="I133" i="13"/>
  <c r="O30" i="13"/>
  <c r="O36" i="13"/>
  <c r="G150" i="13"/>
  <c r="F119" i="13"/>
  <c r="O7" i="13"/>
  <c r="P7" i="13"/>
  <c r="O12" i="13"/>
  <c r="G47" i="13"/>
  <c r="O35" i="13"/>
  <c r="G142" i="13"/>
  <c r="O45" i="13"/>
  <c r="O72" i="13"/>
  <c r="G85" i="13"/>
  <c r="O76" i="13"/>
  <c r="H111" i="13"/>
  <c r="J111" i="13" s="1"/>
  <c r="O111" i="13"/>
  <c r="O135" i="13"/>
  <c r="O11" i="13"/>
  <c r="O44" i="13"/>
  <c r="O50" i="13"/>
  <c r="O62" i="13"/>
  <c r="O110" i="13"/>
  <c r="G112" i="13"/>
  <c r="H110" i="13"/>
  <c r="J110" i="13" s="1"/>
  <c r="O134" i="13"/>
  <c r="I136" i="13"/>
  <c r="O10" i="13"/>
  <c r="O43" i="13"/>
  <c r="O80" i="13"/>
  <c r="O126" i="13"/>
  <c r="O140" i="13"/>
  <c r="G13" i="13"/>
  <c r="O9" i="13"/>
  <c r="O22" i="13"/>
  <c r="O31" i="13"/>
  <c r="O54" i="13"/>
  <c r="O58" i="13"/>
  <c r="O79" i="13"/>
  <c r="O98" i="13"/>
  <c r="H107" i="13"/>
  <c r="J107" i="13" s="1"/>
  <c r="O107" i="13"/>
  <c r="O125" i="13"/>
  <c r="O139" i="13"/>
  <c r="G59" i="13"/>
  <c r="G168" i="13"/>
  <c r="O78" i="13"/>
  <c r="O84" i="13"/>
  <c r="O97" i="13"/>
  <c r="H115" i="13"/>
  <c r="J115" i="13" s="1"/>
  <c r="O115" i="13"/>
  <c r="O124" i="13"/>
  <c r="O132" i="13"/>
  <c r="O138" i="13"/>
  <c r="G167" i="13"/>
  <c r="O52" i="13"/>
  <c r="O83" i="13"/>
  <c r="O96" i="13"/>
  <c r="G119" i="13"/>
  <c r="O114" i="13"/>
  <c r="G117" i="13"/>
  <c r="H114" i="13"/>
  <c r="J114" i="13" s="1"/>
  <c r="O131" i="13"/>
  <c r="I138" i="13"/>
  <c r="O137" i="13"/>
  <c r="E27" i="13"/>
  <c r="O38" i="13"/>
  <c r="O46" i="13"/>
  <c r="O55" i="13"/>
  <c r="G66" i="13"/>
  <c r="O67" i="13"/>
  <c r="O73" i="13"/>
  <c r="O81" i="13"/>
  <c r="O99" i="13"/>
  <c r="O104" i="13"/>
  <c r="G118" i="13"/>
  <c r="O127" i="13"/>
  <c r="G146" i="13"/>
  <c r="G148" i="13"/>
  <c r="E164" i="13"/>
  <c r="G164" i="13" s="1"/>
  <c r="G172" i="13" s="1"/>
  <c r="O18" i="13"/>
  <c r="F118" i="13"/>
  <c r="O8" i="13"/>
  <c r="G64" i="13"/>
  <c r="G101" i="13"/>
  <c r="H104" i="13"/>
  <c r="J104" i="13" s="1"/>
  <c r="O39" i="13"/>
  <c r="O56" i="13"/>
  <c r="O68" i="13"/>
  <c r="O74" i="13"/>
  <c r="O82" i="13"/>
  <c r="O92" i="13"/>
  <c r="O100" i="13"/>
  <c r="O105" i="13"/>
  <c r="O19" i="13"/>
  <c r="G94" i="13"/>
  <c r="O95" i="13"/>
  <c r="G65" i="13"/>
  <c r="G152" i="12"/>
  <c r="G13" i="12"/>
  <c r="I13" i="12" s="1"/>
  <c r="E27" i="12"/>
  <c r="G27" i="12" s="1"/>
  <c r="G144" i="12"/>
  <c r="F196" i="12"/>
  <c r="G196" i="12" s="1"/>
  <c r="H196" i="12" s="1"/>
  <c r="F119" i="12"/>
  <c r="G119" i="12"/>
  <c r="H119" i="12" s="1"/>
  <c r="J119" i="12" s="1"/>
  <c r="G101" i="12"/>
  <c r="G170" i="12"/>
  <c r="G47" i="12"/>
  <c r="G142" i="12"/>
  <c r="I138" i="12"/>
  <c r="G169" i="12"/>
  <c r="G198" i="12"/>
  <c r="H198" i="12" s="1"/>
  <c r="G146" i="12"/>
  <c r="G149" i="12"/>
  <c r="H112" i="12"/>
  <c r="J112" i="12" s="1"/>
  <c r="F120" i="12"/>
  <c r="G120" i="12"/>
  <c r="H120" i="12" s="1"/>
  <c r="J120" i="12" s="1"/>
  <c r="G172" i="12"/>
  <c r="G118" i="12"/>
  <c r="H118" i="12" s="1"/>
  <c r="J118" i="12" s="1"/>
  <c r="F194" i="12"/>
  <c r="G194" i="12" s="1"/>
  <c r="H194" i="12" s="1"/>
  <c r="E31" i="12"/>
  <c r="G31" i="12" s="1"/>
  <c r="G150" i="12"/>
  <c r="G107" i="12"/>
  <c r="H107" i="12" s="1"/>
  <c r="J107" i="12" s="1"/>
  <c r="G152" i="11"/>
  <c r="E30" i="11"/>
  <c r="G30" i="11" s="1"/>
  <c r="F118" i="11"/>
  <c r="G118" i="11"/>
  <c r="H118" i="11" s="1"/>
  <c r="J118" i="11" s="1"/>
  <c r="G150" i="11"/>
  <c r="F196" i="11"/>
  <c r="G196" i="11" s="1"/>
  <c r="H196" i="11" s="1"/>
  <c r="F119" i="11"/>
  <c r="G119" i="11"/>
  <c r="H119" i="11" s="1"/>
  <c r="J119" i="11" s="1"/>
  <c r="G101" i="11"/>
  <c r="H114" i="11"/>
  <c r="J114" i="11" s="1"/>
  <c r="G117" i="11"/>
  <c r="H117" i="11" s="1"/>
  <c r="J117" i="11" s="1"/>
  <c r="I136" i="11"/>
  <c r="G47" i="11"/>
  <c r="G142" i="11"/>
  <c r="G165" i="11"/>
  <c r="G144" i="11"/>
  <c r="G13" i="11"/>
  <c r="G85" i="11"/>
  <c r="E27" i="11"/>
  <c r="G27" i="11" s="1"/>
  <c r="H109" i="11"/>
  <c r="J109" i="11" s="1"/>
  <c r="G112" i="11"/>
  <c r="G146" i="11"/>
  <c r="G59" i="11"/>
  <c r="G198" i="11"/>
  <c r="H198" i="11" s="1"/>
  <c r="G148" i="11"/>
  <c r="G169" i="11"/>
  <c r="E171" i="11"/>
  <c r="G171" i="11" s="1"/>
  <c r="F194" i="11"/>
  <c r="G194" i="11" s="1"/>
  <c r="H194" i="11" s="1"/>
  <c r="E31" i="11"/>
  <c r="G31" i="11" s="1"/>
  <c r="G128" i="11"/>
  <c r="I133" i="11"/>
  <c r="E168" i="11"/>
  <c r="G168" i="11" s="1"/>
  <c r="G63" i="11"/>
  <c r="G65" i="11"/>
  <c r="G67" i="11"/>
  <c r="G107" i="11"/>
  <c r="H107" i="11" s="1"/>
  <c r="J107" i="11" s="1"/>
  <c r="E170" i="11"/>
  <c r="G170" i="11" s="1"/>
  <c r="E164" i="11"/>
  <c r="G164" i="11" s="1"/>
  <c r="G64" i="11"/>
  <c r="G142" i="10"/>
  <c r="G47" i="10"/>
  <c r="G94" i="10"/>
  <c r="G13" i="10"/>
  <c r="I13" i="10" s="1"/>
  <c r="G128" i="10"/>
  <c r="E28" i="10"/>
  <c r="G28" i="10" s="1"/>
  <c r="G144" i="10"/>
  <c r="I133" i="10"/>
  <c r="G59" i="10"/>
  <c r="G146" i="10"/>
  <c r="F118" i="10"/>
  <c r="G118" i="10"/>
  <c r="H118" i="10" s="1"/>
  <c r="J118" i="10" s="1"/>
  <c r="G20" i="10"/>
  <c r="E30" i="10"/>
  <c r="G30" i="10" s="1"/>
  <c r="G148" i="10"/>
  <c r="G101" i="10"/>
  <c r="F119" i="10"/>
  <c r="G119" i="10"/>
  <c r="H119" i="10" s="1"/>
  <c r="J119" i="10" s="1"/>
  <c r="I136" i="10"/>
  <c r="G152" i="10"/>
  <c r="G150" i="10"/>
  <c r="G107" i="10"/>
  <c r="H107" i="10" s="1"/>
  <c r="J107" i="10" s="1"/>
  <c r="G112" i="10"/>
  <c r="G117" i="10"/>
  <c r="H117" i="10" s="1"/>
  <c r="J117" i="10" s="1"/>
  <c r="I138" i="10"/>
  <c r="G85" i="10"/>
  <c r="G148" i="9"/>
  <c r="H38" i="9"/>
  <c r="J38" i="9" s="1"/>
  <c r="H114" i="9"/>
  <c r="J114" i="9" s="1"/>
  <c r="G117" i="9"/>
  <c r="H117" i="9" s="1"/>
  <c r="J117" i="9" s="1"/>
  <c r="I133" i="9"/>
  <c r="H13" i="9"/>
  <c r="J13" i="9" s="1"/>
  <c r="G128" i="9"/>
  <c r="E28" i="9"/>
  <c r="G28" i="9" s="1"/>
  <c r="H28" i="9" s="1"/>
  <c r="J28" i="9" s="1"/>
  <c r="H15" i="9"/>
  <c r="J15" i="9" s="1"/>
  <c r="I16" i="9" s="1"/>
  <c r="H37" i="9"/>
  <c r="J37" i="9" s="1"/>
  <c r="G152" i="9"/>
  <c r="H39" i="9"/>
  <c r="J39" i="9" s="1"/>
  <c r="G146" i="9"/>
  <c r="G150" i="9"/>
  <c r="H36" i="9"/>
  <c r="J36" i="9" s="1"/>
  <c r="G142" i="9"/>
  <c r="H35" i="9"/>
  <c r="J35" i="9" s="1"/>
  <c r="G47" i="9"/>
  <c r="H27" i="9"/>
  <c r="J27" i="9" s="1"/>
  <c r="H109" i="9"/>
  <c r="J109" i="9" s="1"/>
  <c r="G112" i="9"/>
  <c r="F118" i="9"/>
  <c r="H19" i="9"/>
  <c r="J19" i="9" s="1"/>
  <c r="G118" i="9"/>
  <c r="H118" i="9" s="1"/>
  <c r="J118" i="9" s="1"/>
  <c r="E30" i="9"/>
  <c r="G30" i="9" s="1"/>
  <c r="H30" i="9" s="1"/>
  <c r="J30" i="9" s="1"/>
  <c r="H41" i="9"/>
  <c r="J41" i="9" s="1"/>
  <c r="G144" i="9"/>
  <c r="G94" i="9"/>
  <c r="H94" i="9" s="1"/>
  <c r="J94" i="9" s="1"/>
  <c r="H92" i="9"/>
  <c r="J92" i="9" s="1"/>
  <c r="H134" i="9"/>
  <c r="J134" i="9" s="1"/>
  <c r="I136" i="9"/>
  <c r="G59" i="9"/>
  <c r="H59" i="9" s="1"/>
  <c r="J59" i="9" s="1"/>
  <c r="I13" i="9"/>
  <c r="O7" i="9"/>
  <c r="H7" i="9"/>
  <c r="J7" i="9" s="1"/>
  <c r="I9" i="9" s="1"/>
  <c r="G107" i="9"/>
  <c r="H107" i="9" s="1"/>
  <c r="J107" i="9" s="1"/>
  <c r="G85" i="9"/>
  <c r="H85" i="9" s="1"/>
  <c r="J85" i="9" s="1"/>
  <c r="G119" i="9"/>
  <c r="H119" i="9" s="1"/>
  <c r="J119" i="9" s="1"/>
  <c r="F119" i="9"/>
  <c r="H18" i="9"/>
  <c r="J18" i="9" s="1"/>
  <c r="H49" i="9"/>
  <c r="J49" i="9" s="1"/>
  <c r="H132" i="9"/>
  <c r="J132" i="9" s="1"/>
  <c r="G20" i="9"/>
  <c r="H20" i="9" s="1"/>
  <c r="J20" i="9" s="1"/>
  <c r="I20" i="9" s="1"/>
  <c r="G13" i="8"/>
  <c r="H9" i="8"/>
  <c r="J9" i="8" s="1"/>
  <c r="G47" i="8"/>
  <c r="H8" i="8"/>
  <c r="J8" i="8" s="1"/>
  <c r="I9" i="8" s="1"/>
  <c r="E27" i="8"/>
  <c r="G27" i="8" s="1"/>
  <c r="H109" i="8"/>
  <c r="J109" i="8" s="1"/>
  <c r="G112" i="8"/>
  <c r="I133" i="8"/>
  <c r="H132" i="8"/>
  <c r="J132" i="8" s="1"/>
  <c r="E28" i="8"/>
  <c r="G28" i="8" s="1"/>
  <c r="H28" i="8" s="1"/>
  <c r="J28" i="8" s="1"/>
  <c r="H15" i="8"/>
  <c r="J15" i="8" s="1"/>
  <c r="I16" i="8" s="1"/>
  <c r="G128" i="8"/>
  <c r="H128" i="8" s="1"/>
  <c r="J128" i="8" s="1"/>
  <c r="H146" i="8"/>
  <c r="J146" i="8" s="1"/>
  <c r="G147" i="8"/>
  <c r="H147" i="8" s="1"/>
  <c r="J147" i="8" s="1"/>
  <c r="G148" i="8"/>
  <c r="H38" i="8"/>
  <c r="J38" i="8" s="1"/>
  <c r="H104" i="8"/>
  <c r="J104" i="8" s="1"/>
  <c r="G107" i="8"/>
  <c r="H107" i="8" s="1"/>
  <c r="J107" i="8" s="1"/>
  <c r="H114" i="8"/>
  <c r="J114" i="8" s="1"/>
  <c r="G117" i="8"/>
  <c r="H117" i="8" s="1"/>
  <c r="J117" i="8" s="1"/>
  <c r="G153" i="8"/>
  <c r="H153" i="8" s="1"/>
  <c r="J153" i="8" s="1"/>
  <c r="H152" i="8"/>
  <c r="J152" i="8" s="1"/>
  <c r="G94" i="8"/>
  <c r="H94" i="8" s="1"/>
  <c r="J94" i="8" s="1"/>
  <c r="H92" i="8"/>
  <c r="J92" i="8" s="1"/>
  <c r="F119" i="8"/>
  <c r="G119" i="8"/>
  <c r="H119" i="8" s="1"/>
  <c r="J119" i="8" s="1"/>
  <c r="H96" i="8"/>
  <c r="J96" i="8" s="1"/>
  <c r="H136" i="8"/>
  <c r="J136" i="8" s="1"/>
  <c r="I136" i="8"/>
  <c r="H142" i="8"/>
  <c r="J142" i="8" s="1"/>
  <c r="G143" i="8"/>
  <c r="H143" i="8" s="1"/>
  <c r="J143" i="8" s="1"/>
  <c r="G150" i="8"/>
  <c r="H36" i="8"/>
  <c r="J36" i="8" s="1"/>
  <c r="G144" i="8"/>
  <c r="G101" i="8"/>
  <c r="H101" i="8" s="1"/>
  <c r="J101" i="8" s="1"/>
  <c r="G59" i="8"/>
  <c r="H59" i="8" s="1"/>
  <c r="J59" i="8" s="1"/>
  <c r="G118" i="8"/>
  <c r="H118" i="8" s="1"/>
  <c r="J118" i="8" s="1"/>
  <c r="H19" i="8"/>
  <c r="J19" i="8" s="1"/>
  <c r="E31" i="8"/>
  <c r="G31" i="8" s="1"/>
  <c r="H31" i="8" s="1"/>
  <c r="H35" i="8"/>
  <c r="J35" i="8" s="1"/>
  <c r="H37" i="8"/>
  <c r="J37" i="8" s="1"/>
  <c r="H39" i="8"/>
  <c r="J39" i="8" s="1"/>
  <c r="H41" i="8"/>
  <c r="J41" i="8" s="1"/>
  <c r="G85" i="8"/>
  <c r="H85" i="8" s="1"/>
  <c r="J85" i="8" s="1"/>
  <c r="I139" i="8"/>
  <c r="H18" i="8"/>
  <c r="J18" i="8" s="1"/>
  <c r="H49" i="8"/>
  <c r="J49" i="8" s="1"/>
  <c r="G148" i="5"/>
  <c r="H148" i="5" s="1"/>
  <c r="J148" i="5" s="1"/>
  <c r="H15" i="5"/>
  <c r="J15" i="5" s="1"/>
  <c r="I16" i="5" s="1"/>
  <c r="G59" i="5"/>
  <c r="H59" i="5" s="1"/>
  <c r="J59" i="5" s="1"/>
  <c r="H114" i="5"/>
  <c r="J114" i="5" s="1"/>
  <c r="H18" i="33"/>
  <c r="J18" i="33" s="1"/>
  <c r="G117" i="33"/>
  <c r="H117" i="33" s="1"/>
  <c r="J117" i="33" s="1"/>
  <c r="H52" i="5"/>
  <c r="J52" i="5" s="1"/>
  <c r="H104" i="7"/>
  <c r="J104" i="7" s="1"/>
  <c r="G150" i="7"/>
  <c r="H36" i="7"/>
  <c r="J36" i="7" s="1"/>
  <c r="G142" i="7"/>
  <c r="H35" i="7"/>
  <c r="J35" i="7" s="1"/>
  <c r="G47" i="7"/>
  <c r="H124" i="7"/>
  <c r="J124" i="7" s="1"/>
  <c r="G128" i="7"/>
  <c r="H128" i="7" s="1"/>
  <c r="J128" i="7" s="1"/>
  <c r="G118" i="7"/>
  <c r="H118" i="7" s="1"/>
  <c r="J118" i="7" s="1"/>
  <c r="H19" i="7"/>
  <c r="J19" i="7" s="1"/>
  <c r="E30" i="7"/>
  <c r="G30" i="7" s="1"/>
  <c r="H30" i="7" s="1"/>
  <c r="J30" i="7" s="1"/>
  <c r="F118" i="7"/>
  <c r="H109" i="7"/>
  <c r="J109" i="7" s="1"/>
  <c r="G112" i="7"/>
  <c r="H136" i="7"/>
  <c r="J136" i="7" s="1"/>
  <c r="I136" i="7"/>
  <c r="H7" i="7"/>
  <c r="J7" i="7" s="1"/>
  <c r="H41" i="7"/>
  <c r="J41" i="7" s="1"/>
  <c r="G144" i="7"/>
  <c r="H95" i="7"/>
  <c r="J95" i="7" s="1"/>
  <c r="F119" i="7"/>
  <c r="G119" i="7"/>
  <c r="H119" i="7" s="1"/>
  <c r="J119" i="7" s="1"/>
  <c r="G101" i="7"/>
  <c r="H101" i="7" s="1"/>
  <c r="J101" i="7" s="1"/>
  <c r="H27" i="7"/>
  <c r="J27" i="7" s="1"/>
  <c r="G20" i="7"/>
  <c r="H20" i="7" s="1"/>
  <c r="J20" i="7" s="1"/>
  <c r="I20" i="7" s="1"/>
  <c r="G59" i="7"/>
  <c r="H59" i="7" s="1"/>
  <c r="J59" i="7" s="1"/>
  <c r="G146" i="7"/>
  <c r="H39" i="7"/>
  <c r="J39" i="7" s="1"/>
  <c r="I139" i="7"/>
  <c r="H140" i="7"/>
  <c r="J140" i="7" s="1"/>
  <c r="G148" i="7"/>
  <c r="H38" i="7"/>
  <c r="J38" i="7" s="1"/>
  <c r="H114" i="7"/>
  <c r="J114" i="7" s="1"/>
  <c r="G117" i="7"/>
  <c r="H117" i="7" s="1"/>
  <c r="J117" i="7" s="1"/>
  <c r="H37" i="7"/>
  <c r="J37" i="7" s="1"/>
  <c r="G152" i="7"/>
  <c r="G85" i="7"/>
  <c r="H85" i="7" s="1"/>
  <c r="J85" i="7" s="1"/>
  <c r="H73" i="7"/>
  <c r="J73" i="7" s="1"/>
  <c r="I133" i="7"/>
  <c r="H132" i="7"/>
  <c r="J132" i="7" s="1"/>
  <c r="H15" i="7"/>
  <c r="J15" i="7" s="1"/>
  <c r="I16" i="7" s="1"/>
  <c r="H92" i="7"/>
  <c r="J92" i="7" s="1"/>
  <c r="G13" i="7"/>
  <c r="I13" i="7" s="1"/>
  <c r="H18" i="7"/>
  <c r="J18" i="7" s="1"/>
  <c r="H49" i="7"/>
  <c r="J49" i="7" s="1"/>
  <c r="H37" i="33"/>
  <c r="J37" i="33" s="1"/>
  <c r="G152" i="33"/>
  <c r="H139" i="33"/>
  <c r="J139" i="33" s="1"/>
  <c r="I139" i="33"/>
  <c r="I133" i="33"/>
  <c r="H19" i="33"/>
  <c r="J19" i="33" s="1"/>
  <c r="E30" i="33"/>
  <c r="G30" i="33" s="1"/>
  <c r="H30" i="33" s="1"/>
  <c r="J30" i="33" s="1"/>
  <c r="F118" i="33"/>
  <c r="G118" i="33"/>
  <c r="H118" i="33" s="1"/>
  <c r="J118" i="33" s="1"/>
  <c r="G150" i="33"/>
  <c r="H36" i="33"/>
  <c r="J36" i="33" s="1"/>
  <c r="G13" i="33"/>
  <c r="H9" i="33"/>
  <c r="J9" i="33" s="1"/>
  <c r="G142" i="33"/>
  <c r="H35" i="33"/>
  <c r="J35" i="33" s="1"/>
  <c r="G47" i="33"/>
  <c r="E27" i="33"/>
  <c r="G27" i="33" s="1"/>
  <c r="H8" i="33"/>
  <c r="J8" i="33" s="1"/>
  <c r="I9" i="33" s="1"/>
  <c r="H41" i="33"/>
  <c r="J41" i="33" s="1"/>
  <c r="G144" i="33"/>
  <c r="H72" i="33"/>
  <c r="J72" i="33" s="1"/>
  <c r="G85" i="33"/>
  <c r="H85" i="33" s="1"/>
  <c r="J85" i="33" s="1"/>
  <c r="G107" i="33"/>
  <c r="H107" i="33" s="1"/>
  <c r="J107" i="33" s="1"/>
  <c r="H104" i="33"/>
  <c r="J104" i="33" s="1"/>
  <c r="H136" i="33"/>
  <c r="J136" i="33" s="1"/>
  <c r="I136" i="33"/>
  <c r="H7" i="33"/>
  <c r="J7" i="33" s="1"/>
  <c r="F119" i="33"/>
  <c r="G101" i="33"/>
  <c r="H101" i="33" s="1"/>
  <c r="J101" i="33" s="1"/>
  <c r="G119" i="33"/>
  <c r="H119" i="33" s="1"/>
  <c r="J119" i="33" s="1"/>
  <c r="H95" i="33"/>
  <c r="J95" i="33" s="1"/>
  <c r="E28" i="33"/>
  <c r="G28" i="33" s="1"/>
  <c r="H28" i="33" s="1"/>
  <c r="J28" i="33" s="1"/>
  <c r="G128" i="33"/>
  <c r="H128" i="33" s="1"/>
  <c r="J128" i="33" s="1"/>
  <c r="H15" i="33"/>
  <c r="J15" i="33" s="1"/>
  <c r="I16" i="33" s="1"/>
  <c r="H39" i="33"/>
  <c r="J39" i="33" s="1"/>
  <c r="G146" i="33"/>
  <c r="G59" i="33"/>
  <c r="H59" i="33" s="1"/>
  <c r="J59" i="33" s="1"/>
  <c r="H49" i="33"/>
  <c r="J49" i="33" s="1"/>
  <c r="H86" i="33"/>
  <c r="J86" i="33" s="1"/>
  <c r="N86" i="33"/>
  <c r="G148" i="33"/>
  <c r="H38" i="33"/>
  <c r="J38" i="33" s="1"/>
  <c r="H92" i="33"/>
  <c r="J92" i="33" s="1"/>
  <c r="G94" i="33"/>
  <c r="H94" i="33" s="1"/>
  <c r="J94" i="33" s="1"/>
  <c r="H115" i="33"/>
  <c r="J115" i="33" s="1"/>
  <c r="G112" i="33"/>
  <c r="H132" i="33"/>
  <c r="J132" i="33" s="1"/>
  <c r="G20" i="33"/>
  <c r="H20" i="33" s="1"/>
  <c r="J20" i="33" s="1"/>
  <c r="I20" i="33" s="1"/>
  <c r="E30" i="5"/>
  <c r="G30" i="5" s="1"/>
  <c r="H30" i="5" s="1"/>
  <c r="J30" i="5" s="1"/>
  <c r="H19" i="5"/>
  <c r="J19" i="5" s="1"/>
  <c r="F118" i="5"/>
  <c r="G118" i="5"/>
  <c r="H118" i="5" s="1"/>
  <c r="J118" i="5" s="1"/>
  <c r="H39" i="5"/>
  <c r="J39" i="5" s="1"/>
  <c r="O39" i="5"/>
  <c r="G146" i="5"/>
  <c r="I20" i="5"/>
  <c r="H142" i="5"/>
  <c r="J142" i="5" s="1"/>
  <c r="G143" i="5"/>
  <c r="H143" i="5" s="1"/>
  <c r="J143" i="5" s="1"/>
  <c r="G149" i="5"/>
  <c r="H149" i="5" s="1"/>
  <c r="J149" i="5" s="1"/>
  <c r="I90" i="5"/>
  <c r="K90" i="5" s="1"/>
  <c r="J90" i="5"/>
  <c r="H140" i="5"/>
  <c r="J140" i="5" s="1"/>
  <c r="I140" i="5"/>
  <c r="H58" i="5"/>
  <c r="J58" i="5" s="1"/>
  <c r="O58" i="5"/>
  <c r="H50" i="5"/>
  <c r="J50" i="5" s="1"/>
  <c r="O50" i="5"/>
  <c r="H54" i="5"/>
  <c r="J54" i="5" s="1"/>
  <c r="O54" i="5"/>
  <c r="H7" i="5"/>
  <c r="J7" i="5" s="1"/>
  <c r="I13" i="5"/>
  <c r="O53" i="5"/>
  <c r="H53" i="5"/>
  <c r="J53" i="5" s="1"/>
  <c r="H13" i="5"/>
  <c r="J13" i="5" s="1"/>
  <c r="H150" i="5"/>
  <c r="J150" i="5" s="1"/>
  <c r="G151" i="5"/>
  <c r="H151" i="5" s="1"/>
  <c r="J151" i="5" s="1"/>
  <c r="H44" i="5"/>
  <c r="J44" i="5" s="1"/>
  <c r="O44" i="5"/>
  <c r="G85" i="5"/>
  <c r="H85" i="5" s="1"/>
  <c r="J85" i="5" s="1"/>
  <c r="H72" i="5"/>
  <c r="J72" i="5" s="1"/>
  <c r="G112" i="5"/>
  <c r="H109" i="5"/>
  <c r="J109" i="5" s="1"/>
  <c r="G32" i="5"/>
  <c r="H32" i="5" s="1"/>
  <c r="J32" i="5" s="1"/>
  <c r="I172" i="5"/>
  <c r="H18" i="5"/>
  <c r="J18" i="5" s="1"/>
  <c r="O35" i="5"/>
  <c r="I135" i="5"/>
  <c r="H27" i="5"/>
  <c r="J27" i="5" s="1"/>
  <c r="H37" i="5"/>
  <c r="J37" i="5" s="1"/>
  <c r="H42" i="5"/>
  <c r="J42" i="5" s="1"/>
  <c r="H56" i="5"/>
  <c r="J56" i="5" s="1"/>
  <c r="H92" i="5"/>
  <c r="J92" i="5" s="1"/>
  <c r="G128" i="5"/>
  <c r="H128" i="5" s="1"/>
  <c r="J128" i="5" s="1"/>
  <c r="H9" i="5"/>
  <c r="J9" i="5" s="1"/>
  <c r="O38" i="5"/>
  <c r="O43" i="5"/>
  <c r="G47" i="5"/>
  <c r="O49" i="5"/>
  <c r="O57" i="5"/>
  <c r="G144" i="5"/>
  <c r="G152" i="5"/>
  <c r="J89" i="5"/>
  <c r="I138" i="5"/>
  <c r="H38" i="5"/>
  <c r="J38" i="5" s="1"/>
  <c r="H49" i="5"/>
  <c r="J49" i="5" s="1"/>
  <c r="G119" i="5"/>
  <c r="H119" i="5" s="1"/>
  <c r="J119" i="5" s="1"/>
  <c r="F119" i="5"/>
  <c r="O41" i="4"/>
  <c r="H41" i="4"/>
  <c r="J41" i="4" s="1"/>
  <c r="G144" i="4"/>
  <c r="O58" i="4"/>
  <c r="H58" i="4"/>
  <c r="J58" i="4" s="1"/>
  <c r="G94" i="4"/>
  <c r="H94" i="4" s="1"/>
  <c r="J94" i="4" s="1"/>
  <c r="H92" i="4"/>
  <c r="J92" i="4" s="1"/>
  <c r="H57" i="4"/>
  <c r="J57" i="4" s="1"/>
  <c r="O57" i="4"/>
  <c r="H73" i="4"/>
  <c r="J73" i="4" s="1"/>
  <c r="G85" i="4"/>
  <c r="H85" i="4" s="1"/>
  <c r="J85" i="4" s="1"/>
  <c r="J90" i="4"/>
  <c r="I90" i="4"/>
  <c r="K90" i="4" s="1"/>
  <c r="I135" i="4"/>
  <c r="H133" i="4"/>
  <c r="J133" i="4" s="1"/>
  <c r="G59" i="4"/>
  <c r="H59" i="4" s="1"/>
  <c r="J59" i="4" s="1"/>
  <c r="H49" i="4"/>
  <c r="J49" i="4" s="1"/>
  <c r="O49" i="4"/>
  <c r="O39" i="4"/>
  <c r="G146" i="4"/>
  <c r="H39" i="4"/>
  <c r="J39" i="4" s="1"/>
  <c r="H56" i="4"/>
  <c r="J56" i="4" s="1"/>
  <c r="O56" i="4"/>
  <c r="I89" i="4"/>
  <c r="K89" i="4" s="1"/>
  <c r="J89" i="4"/>
  <c r="F119" i="4"/>
  <c r="H96" i="4"/>
  <c r="J96" i="4" s="1"/>
  <c r="G13" i="4"/>
  <c r="H9" i="4"/>
  <c r="J9" i="4" s="1"/>
  <c r="H37" i="4"/>
  <c r="J37" i="4" s="1"/>
  <c r="G152" i="4"/>
  <c r="O37" i="4"/>
  <c r="H45" i="4"/>
  <c r="J45" i="4" s="1"/>
  <c r="O45" i="4"/>
  <c r="H109" i="4"/>
  <c r="J109" i="4" s="1"/>
  <c r="G112" i="4"/>
  <c r="G119" i="4"/>
  <c r="H119" i="4" s="1"/>
  <c r="J119" i="4" s="1"/>
  <c r="I172" i="4"/>
  <c r="G148" i="4"/>
  <c r="H38" i="4"/>
  <c r="J38" i="4" s="1"/>
  <c r="O38" i="4"/>
  <c r="E27" i="4"/>
  <c r="G27" i="4" s="1"/>
  <c r="H8" i="4"/>
  <c r="J8" i="4" s="1"/>
  <c r="I9" i="4" s="1"/>
  <c r="O44" i="4"/>
  <c r="H44" i="4"/>
  <c r="J44" i="4" s="1"/>
  <c r="H136" i="4"/>
  <c r="J136" i="4" s="1"/>
  <c r="I138" i="4"/>
  <c r="H43" i="4"/>
  <c r="J43" i="4" s="1"/>
  <c r="O43" i="4"/>
  <c r="H51" i="4"/>
  <c r="J51" i="4" s="1"/>
  <c r="O51" i="4"/>
  <c r="G142" i="4"/>
  <c r="G47" i="4"/>
  <c r="H35" i="4"/>
  <c r="J35" i="4" s="1"/>
  <c r="O35" i="4"/>
  <c r="H42" i="4"/>
  <c r="J42" i="4" s="1"/>
  <c r="O42" i="4"/>
  <c r="O50" i="4"/>
  <c r="H50" i="4"/>
  <c r="J50" i="4" s="1"/>
  <c r="H114" i="4"/>
  <c r="J114" i="4" s="1"/>
  <c r="G117" i="4"/>
  <c r="H117" i="4" s="1"/>
  <c r="J117" i="4" s="1"/>
  <c r="E28" i="4"/>
  <c r="G28" i="4" s="1"/>
  <c r="H28" i="4" s="1"/>
  <c r="J28" i="4" s="1"/>
  <c r="E30" i="4"/>
  <c r="G30" i="4" s="1"/>
  <c r="H30" i="4" s="1"/>
  <c r="J30" i="4" s="1"/>
  <c r="G118" i="4"/>
  <c r="H118" i="4" s="1"/>
  <c r="J118" i="4" s="1"/>
  <c r="H18" i="4"/>
  <c r="J18" i="4" s="1"/>
  <c r="G101" i="4"/>
  <c r="H101" i="4" s="1"/>
  <c r="J101" i="4" s="1"/>
  <c r="F118" i="4"/>
  <c r="G128" i="4"/>
  <c r="H128" i="4" s="1"/>
  <c r="J128" i="4" s="1"/>
  <c r="G20" i="4"/>
  <c r="H20" i="4" s="1"/>
  <c r="J20" i="4" s="1"/>
  <c r="I20" i="4" s="1"/>
  <c r="O40" i="4"/>
  <c r="O54" i="4"/>
  <c r="G107" i="4"/>
  <c r="H107" i="4" s="1"/>
  <c r="J107" i="4" s="1"/>
  <c r="O46" i="4"/>
  <c r="O52" i="4"/>
  <c r="G150" i="4"/>
  <c r="G112" i="3"/>
  <c r="H109" i="3"/>
  <c r="J109" i="3" s="1"/>
  <c r="H136" i="3"/>
  <c r="J136" i="3" s="1"/>
  <c r="I138" i="3"/>
  <c r="G13" i="3"/>
  <c r="G59" i="3"/>
  <c r="H59" i="3" s="1"/>
  <c r="J59" i="3" s="1"/>
  <c r="H27" i="3"/>
  <c r="J27" i="3" s="1"/>
  <c r="H152" i="3"/>
  <c r="J152" i="3" s="1"/>
  <c r="G153" i="3"/>
  <c r="H153" i="3" s="1"/>
  <c r="J153" i="3" s="1"/>
  <c r="H19" i="3"/>
  <c r="J19" i="3" s="1"/>
  <c r="F118" i="3"/>
  <c r="G118" i="3"/>
  <c r="H118" i="3" s="1"/>
  <c r="J118" i="3" s="1"/>
  <c r="E30" i="3"/>
  <c r="G30" i="3" s="1"/>
  <c r="H30" i="3" s="1"/>
  <c r="J30" i="3" s="1"/>
  <c r="G101" i="3"/>
  <c r="H101" i="3" s="1"/>
  <c r="J101" i="3" s="1"/>
  <c r="H95" i="3"/>
  <c r="J95" i="3" s="1"/>
  <c r="F119" i="3"/>
  <c r="G119" i="3"/>
  <c r="H119" i="3" s="1"/>
  <c r="J119" i="3" s="1"/>
  <c r="H114" i="3"/>
  <c r="J114" i="3" s="1"/>
  <c r="G117" i="3"/>
  <c r="H117" i="3" s="1"/>
  <c r="J117" i="3" s="1"/>
  <c r="H7" i="3"/>
  <c r="J7" i="3" s="1"/>
  <c r="I13" i="3"/>
  <c r="H146" i="3"/>
  <c r="J146" i="3" s="1"/>
  <c r="G147" i="3"/>
  <c r="H147" i="3" s="1"/>
  <c r="J147" i="3" s="1"/>
  <c r="G107" i="3"/>
  <c r="H107" i="3" s="1"/>
  <c r="J107" i="3" s="1"/>
  <c r="H104" i="3"/>
  <c r="J104" i="3" s="1"/>
  <c r="G150" i="3"/>
  <c r="G85" i="3"/>
  <c r="H85" i="3" s="1"/>
  <c r="J85" i="3" s="1"/>
  <c r="I133" i="3"/>
  <c r="H132" i="3"/>
  <c r="J132" i="3" s="1"/>
  <c r="G20" i="3"/>
  <c r="H20" i="3" s="1"/>
  <c r="J20" i="3" s="1"/>
  <c r="I20" i="3" s="1"/>
  <c r="H47" i="3"/>
  <c r="J47" i="3" s="1"/>
  <c r="H92" i="3"/>
  <c r="J92" i="3" s="1"/>
  <c r="G94" i="3"/>
  <c r="H94" i="3" s="1"/>
  <c r="J94" i="3" s="1"/>
  <c r="G148" i="3"/>
  <c r="G144" i="3"/>
  <c r="H8" i="3"/>
  <c r="J8" i="3" s="1"/>
  <c r="I9" i="3" s="1"/>
  <c r="H15" i="3"/>
  <c r="J15" i="3" s="1"/>
  <c r="I16" i="3" s="1"/>
  <c r="H36" i="3"/>
  <c r="J36" i="3" s="1"/>
  <c r="H38" i="3"/>
  <c r="J38" i="3" s="1"/>
  <c r="E28" i="3"/>
  <c r="G28" i="3" s="1"/>
  <c r="H28" i="3" s="1"/>
  <c r="J28" i="3" s="1"/>
  <c r="H139" i="3"/>
  <c r="J139" i="3" s="1"/>
  <c r="G142" i="3"/>
  <c r="G128" i="3"/>
  <c r="H128" i="3" s="1"/>
  <c r="J128" i="3" s="1"/>
  <c r="H27" i="2"/>
  <c r="J27" i="2" s="1"/>
  <c r="H24" i="2"/>
  <c r="J24" i="2" s="1"/>
  <c r="E29" i="2"/>
  <c r="G29" i="2" s="1"/>
  <c r="H29" i="2" s="1"/>
  <c r="J29" i="2" s="1"/>
  <c r="G153" i="2"/>
  <c r="H153" i="2" s="1"/>
  <c r="J153" i="2" s="1"/>
  <c r="H152" i="2"/>
  <c r="J152" i="2" s="1"/>
  <c r="H13" i="2"/>
  <c r="J13" i="2" s="1"/>
  <c r="H148" i="2"/>
  <c r="J148" i="2" s="1"/>
  <c r="G149" i="2"/>
  <c r="H149" i="2" s="1"/>
  <c r="J149" i="2" s="1"/>
  <c r="H150" i="2"/>
  <c r="J150" i="2" s="1"/>
  <c r="G151" i="2"/>
  <c r="H151" i="2" s="1"/>
  <c r="J151" i="2" s="1"/>
  <c r="H142" i="2"/>
  <c r="J142" i="2" s="1"/>
  <c r="G143" i="2"/>
  <c r="H143" i="2" s="1"/>
  <c r="J143" i="2" s="1"/>
  <c r="G147" i="2"/>
  <c r="H147" i="2" s="1"/>
  <c r="J147" i="2" s="1"/>
  <c r="H146" i="2"/>
  <c r="J146" i="2" s="1"/>
  <c r="G47" i="2"/>
  <c r="H133" i="2"/>
  <c r="J133" i="2" s="1"/>
  <c r="I140" i="2"/>
  <c r="G144" i="2"/>
  <c r="H22" i="2"/>
  <c r="J22" i="2" s="1"/>
  <c r="G118" i="2"/>
  <c r="H118" i="2" s="1"/>
  <c r="J118" i="2" s="1"/>
  <c r="G59" i="2"/>
  <c r="H59" i="2" s="1"/>
  <c r="J59" i="2" s="1"/>
  <c r="I13" i="2"/>
  <c r="F118" i="2"/>
  <c r="H18" i="2"/>
  <c r="J18" i="2" s="1"/>
  <c r="H35" i="2"/>
  <c r="J35" i="2" s="1"/>
  <c r="G101" i="2"/>
  <c r="H101" i="2" s="1"/>
  <c r="J101" i="2" s="1"/>
  <c r="H10" i="2"/>
  <c r="J10" i="2" s="1"/>
  <c r="H72" i="2"/>
  <c r="J72" i="2" s="1"/>
  <c r="H95" i="2"/>
  <c r="J95" i="2" s="1"/>
  <c r="G119" i="2"/>
  <c r="H119" i="2" s="1"/>
  <c r="J119" i="2" s="1"/>
  <c r="G128" i="2"/>
  <c r="H128" i="2" s="1"/>
  <c r="J128" i="2" s="1"/>
  <c r="H114" i="2"/>
  <c r="J114" i="2" s="1"/>
  <c r="G172" i="43" l="1"/>
  <c r="G172" i="15"/>
  <c r="F120" i="2"/>
  <c r="G120" i="2"/>
  <c r="H120" i="2" s="1"/>
  <c r="J120" i="2" s="1"/>
  <c r="H112" i="2"/>
  <c r="J112" i="2" s="1"/>
  <c r="O69" i="13"/>
  <c r="G172" i="19"/>
  <c r="G172" i="11"/>
  <c r="G172" i="24"/>
  <c r="G172" i="40"/>
  <c r="G172" i="29"/>
  <c r="G172" i="17"/>
  <c r="L172" i="21"/>
  <c r="G172" i="16"/>
  <c r="L172" i="20"/>
  <c r="G32" i="28"/>
  <c r="O63" i="13"/>
  <c r="G60" i="43"/>
  <c r="G147" i="43"/>
  <c r="G153" i="43"/>
  <c r="I60" i="43"/>
  <c r="G145" i="43"/>
  <c r="G143" i="43"/>
  <c r="G151" i="43"/>
  <c r="G32" i="43"/>
  <c r="G151" i="30"/>
  <c r="G147" i="30"/>
  <c r="G145" i="30"/>
  <c r="G153" i="30"/>
  <c r="G149" i="30"/>
  <c r="G60" i="30"/>
  <c r="I60" i="30" s="1"/>
  <c r="G32" i="30"/>
  <c r="G143" i="30"/>
  <c r="G143" i="29"/>
  <c r="G147" i="29"/>
  <c r="H112" i="29"/>
  <c r="J112" i="29" s="1"/>
  <c r="F120" i="29"/>
  <c r="N120" i="29" s="1"/>
  <c r="G120" i="29"/>
  <c r="H120" i="29" s="1"/>
  <c r="J120" i="29" s="1"/>
  <c r="G149" i="29"/>
  <c r="G151" i="29"/>
  <c r="G32" i="29"/>
  <c r="G60" i="29"/>
  <c r="I60" i="29" s="1"/>
  <c r="G145" i="29"/>
  <c r="G151" i="28"/>
  <c r="G60" i="28"/>
  <c r="G60" i="27"/>
  <c r="I60" i="27" s="1"/>
  <c r="H112" i="27"/>
  <c r="J112" i="27" s="1"/>
  <c r="F120" i="27"/>
  <c r="G120" i="27"/>
  <c r="H120" i="27" s="1"/>
  <c r="J120" i="27" s="1"/>
  <c r="G145" i="27"/>
  <c r="G32" i="27"/>
  <c r="G153" i="27"/>
  <c r="G147" i="27"/>
  <c r="G149" i="27"/>
  <c r="G143" i="27"/>
  <c r="G151" i="27"/>
  <c r="G151" i="40"/>
  <c r="O13" i="40"/>
  <c r="I13" i="40"/>
  <c r="G143" i="40"/>
  <c r="G153" i="40"/>
  <c r="G145" i="40"/>
  <c r="G32" i="40"/>
  <c r="F120" i="40"/>
  <c r="G120" i="40"/>
  <c r="H120" i="40" s="1"/>
  <c r="J120" i="40" s="1"/>
  <c r="H112" i="40"/>
  <c r="J112" i="40" s="1"/>
  <c r="O59" i="40"/>
  <c r="O47" i="40"/>
  <c r="G60" i="40"/>
  <c r="I60" i="40" s="1"/>
  <c r="G149" i="40"/>
  <c r="G60" i="25"/>
  <c r="G145" i="25"/>
  <c r="G32" i="25"/>
  <c r="G32" i="24"/>
  <c r="G151" i="24"/>
  <c r="G149" i="24"/>
  <c r="G143" i="24"/>
  <c r="G145" i="24"/>
  <c r="G60" i="24"/>
  <c r="G153" i="24"/>
  <c r="H112" i="24"/>
  <c r="J112" i="24" s="1"/>
  <c r="F120" i="24"/>
  <c r="G120" i="24"/>
  <c r="H120" i="24" s="1"/>
  <c r="J120" i="24" s="1"/>
  <c r="G147" i="24"/>
  <c r="O20" i="23"/>
  <c r="O107" i="23"/>
  <c r="H107" i="23"/>
  <c r="J107" i="23" s="1"/>
  <c r="O150" i="23"/>
  <c r="G151" i="23"/>
  <c r="O68" i="23"/>
  <c r="H119" i="23"/>
  <c r="J119" i="23" s="1"/>
  <c r="O119" i="23"/>
  <c r="O153" i="23"/>
  <c r="O148" i="23"/>
  <c r="G149" i="23"/>
  <c r="O146" i="23"/>
  <c r="G147" i="23"/>
  <c r="O142" i="23"/>
  <c r="G143" i="23"/>
  <c r="O30" i="23"/>
  <c r="H117" i="23"/>
  <c r="J117" i="23" s="1"/>
  <c r="O117" i="23"/>
  <c r="O47" i="23"/>
  <c r="G60" i="23"/>
  <c r="G32" i="23"/>
  <c r="O27" i="23"/>
  <c r="H112" i="23"/>
  <c r="J112" i="23" s="1"/>
  <c r="F120" i="23"/>
  <c r="O112" i="23"/>
  <c r="G120" i="23"/>
  <c r="O13" i="23"/>
  <c r="O101" i="23"/>
  <c r="I13" i="23"/>
  <c r="O144" i="23"/>
  <c r="G145" i="23"/>
  <c r="O94" i="23"/>
  <c r="O118" i="23"/>
  <c r="H118" i="23"/>
  <c r="J118" i="23" s="1"/>
  <c r="O63" i="23"/>
  <c r="O31" i="23"/>
  <c r="O85" i="23"/>
  <c r="G32" i="22"/>
  <c r="I13" i="22"/>
  <c r="G60" i="22"/>
  <c r="I60" i="22" s="1"/>
  <c r="L47" i="22"/>
  <c r="L59" i="22"/>
  <c r="G149" i="22"/>
  <c r="G153" i="22"/>
  <c r="G145" i="22"/>
  <c r="G151" i="22"/>
  <c r="H112" i="21"/>
  <c r="J112" i="21" s="1"/>
  <c r="F120" i="21"/>
  <c r="G120" i="21"/>
  <c r="H120" i="21" s="1"/>
  <c r="J120" i="21" s="1"/>
  <c r="G172" i="21"/>
  <c r="G32" i="21"/>
  <c r="L47" i="21"/>
  <c r="G60" i="21"/>
  <c r="I60" i="21" s="1"/>
  <c r="G143" i="21"/>
  <c r="G147" i="21"/>
  <c r="G151" i="21"/>
  <c r="G145" i="21"/>
  <c r="G153" i="21"/>
  <c r="L59" i="21"/>
  <c r="G32" i="20"/>
  <c r="L47" i="20"/>
  <c r="G60" i="20"/>
  <c r="G145" i="20"/>
  <c r="H112" i="20"/>
  <c r="J112" i="20" s="1"/>
  <c r="F120" i="20"/>
  <c r="G120" i="20"/>
  <c r="H120" i="20" s="1"/>
  <c r="J120" i="20" s="1"/>
  <c r="G143" i="20"/>
  <c r="G151" i="20"/>
  <c r="G147" i="20"/>
  <c r="G153" i="20"/>
  <c r="L59" i="20"/>
  <c r="G172" i="20"/>
  <c r="G145" i="19"/>
  <c r="G32" i="19"/>
  <c r="G153" i="19"/>
  <c r="G60" i="19"/>
  <c r="H112" i="19"/>
  <c r="J112" i="19" s="1"/>
  <c r="F120" i="19"/>
  <c r="G120" i="19"/>
  <c r="H120" i="19" s="1"/>
  <c r="J120" i="19" s="1"/>
  <c r="G143" i="19"/>
  <c r="G147" i="19"/>
  <c r="G32" i="18"/>
  <c r="G60" i="18"/>
  <c r="I60" i="18"/>
  <c r="G151" i="18"/>
  <c r="G145" i="18"/>
  <c r="G149" i="18"/>
  <c r="G153" i="18"/>
  <c r="F120" i="17"/>
  <c r="G120" i="17"/>
  <c r="H120" i="17" s="1"/>
  <c r="J120" i="17" s="1"/>
  <c r="H112" i="17"/>
  <c r="J112" i="17" s="1"/>
  <c r="G143" i="17"/>
  <c r="G149" i="17"/>
  <c r="G147" i="17"/>
  <c r="G32" i="17"/>
  <c r="G153" i="17"/>
  <c r="G145" i="17"/>
  <c r="G151" i="17"/>
  <c r="G59" i="17"/>
  <c r="G149" i="16"/>
  <c r="G147" i="16"/>
  <c r="H112" i="16"/>
  <c r="J112" i="16" s="1"/>
  <c r="F120" i="16"/>
  <c r="G120" i="16"/>
  <c r="H120" i="16" s="1"/>
  <c r="J120" i="16" s="1"/>
  <c r="I13" i="16"/>
  <c r="G145" i="16"/>
  <c r="G153" i="16"/>
  <c r="G151" i="16"/>
  <c r="G143" i="16"/>
  <c r="G60" i="16"/>
  <c r="G149" i="15"/>
  <c r="G60" i="15"/>
  <c r="G145" i="14"/>
  <c r="G143" i="14"/>
  <c r="G60" i="14"/>
  <c r="G32" i="14"/>
  <c r="G151" i="14"/>
  <c r="H118" i="13"/>
  <c r="J118" i="13" s="1"/>
  <c r="O118" i="13"/>
  <c r="F120" i="13"/>
  <c r="O112" i="13"/>
  <c r="H112" i="13"/>
  <c r="J112" i="13" s="1"/>
  <c r="G120" i="13"/>
  <c r="O85" i="13"/>
  <c r="O47" i="13"/>
  <c r="G60" i="13"/>
  <c r="O28" i="13"/>
  <c r="O65" i="13"/>
  <c r="O64" i="13"/>
  <c r="O13" i="13"/>
  <c r="O101" i="13"/>
  <c r="O146" i="13"/>
  <c r="G147" i="13"/>
  <c r="O66" i="13"/>
  <c r="O148" i="13"/>
  <c r="G149" i="13"/>
  <c r="H119" i="13"/>
  <c r="J119" i="13" s="1"/>
  <c r="O119" i="13"/>
  <c r="O142" i="13"/>
  <c r="G143" i="13"/>
  <c r="O152" i="13"/>
  <c r="G153" i="13"/>
  <c r="I13" i="13"/>
  <c r="G27" i="13"/>
  <c r="P27" i="13"/>
  <c r="O59" i="13"/>
  <c r="H117" i="13"/>
  <c r="J117" i="13" s="1"/>
  <c r="O117" i="13"/>
  <c r="O150" i="13"/>
  <c r="G151" i="13"/>
  <c r="O144" i="13"/>
  <c r="G145" i="13"/>
  <c r="O94" i="13"/>
  <c r="G145" i="12"/>
  <c r="G153" i="12"/>
  <c r="G147" i="12"/>
  <c r="G60" i="12"/>
  <c r="I60" i="12" s="1"/>
  <c r="G143" i="12"/>
  <c r="G151" i="12"/>
  <c r="G32" i="12"/>
  <c r="H112" i="11"/>
  <c r="J112" i="11" s="1"/>
  <c r="F120" i="11"/>
  <c r="G120" i="11"/>
  <c r="H120" i="11" s="1"/>
  <c r="J120" i="11" s="1"/>
  <c r="G153" i="11"/>
  <c r="G60" i="11"/>
  <c r="I60" i="11" s="1"/>
  <c r="G143" i="11"/>
  <c r="G149" i="11"/>
  <c r="I13" i="11"/>
  <c r="G147" i="11"/>
  <c r="G32" i="11"/>
  <c r="G145" i="11"/>
  <c r="G151" i="11"/>
  <c r="G149" i="10"/>
  <c r="G143" i="10"/>
  <c r="G153" i="10"/>
  <c r="G147" i="10"/>
  <c r="G60" i="10"/>
  <c r="G151" i="10"/>
  <c r="G145" i="10"/>
  <c r="I60" i="10"/>
  <c r="H112" i="10"/>
  <c r="J112" i="10" s="1"/>
  <c r="F120" i="10"/>
  <c r="G120" i="10"/>
  <c r="H120" i="10" s="1"/>
  <c r="J120" i="10" s="1"/>
  <c r="G32" i="10"/>
  <c r="H146" i="9"/>
  <c r="J146" i="9" s="1"/>
  <c r="G147" i="9"/>
  <c r="H147" i="9" s="1"/>
  <c r="J147" i="9" s="1"/>
  <c r="F120" i="9"/>
  <c r="G120" i="9"/>
  <c r="H120" i="9" s="1"/>
  <c r="J120" i="9" s="1"/>
  <c r="H112" i="9"/>
  <c r="J112" i="9" s="1"/>
  <c r="H150" i="9"/>
  <c r="J150" i="9" s="1"/>
  <c r="G151" i="9"/>
  <c r="H151" i="9" s="1"/>
  <c r="J151" i="9" s="1"/>
  <c r="H142" i="9"/>
  <c r="J142" i="9" s="1"/>
  <c r="G143" i="9"/>
  <c r="H143" i="9" s="1"/>
  <c r="J143" i="9" s="1"/>
  <c r="H148" i="9"/>
  <c r="J148" i="9" s="1"/>
  <c r="G149" i="9"/>
  <c r="H149" i="9" s="1"/>
  <c r="J149" i="9" s="1"/>
  <c r="G60" i="9"/>
  <c r="H47" i="9"/>
  <c r="J47" i="9" s="1"/>
  <c r="G153" i="9"/>
  <c r="H153" i="9" s="1"/>
  <c r="J153" i="9" s="1"/>
  <c r="H152" i="9"/>
  <c r="J152" i="9" s="1"/>
  <c r="G145" i="9"/>
  <c r="H145" i="9" s="1"/>
  <c r="J145" i="9" s="1"/>
  <c r="H144" i="9"/>
  <c r="J144" i="9" s="1"/>
  <c r="G32" i="9"/>
  <c r="H32" i="9" s="1"/>
  <c r="J32" i="9" s="1"/>
  <c r="H148" i="8"/>
  <c r="J148" i="8" s="1"/>
  <c r="G149" i="8"/>
  <c r="H149" i="8" s="1"/>
  <c r="J149" i="8" s="1"/>
  <c r="H112" i="8"/>
  <c r="J112" i="8" s="1"/>
  <c r="F120" i="8"/>
  <c r="G120" i="8"/>
  <c r="H120" i="8" s="1"/>
  <c r="J120" i="8" s="1"/>
  <c r="H150" i="8"/>
  <c r="J150" i="8" s="1"/>
  <c r="G151" i="8"/>
  <c r="H151" i="8" s="1"/>
  <c r="J151" i="8" s="1"/>
  <c r="I13" i="8"/>
  <c r="H13" i="8"/>
  <c r="J13" i="8" s="1"/>
  <c r="G145" i="8"/>
  <c r="H145" i="8" s="1"/>
  <c r="J145" i="8" s="1"/>
  <c r="H144" i="8"/>
  <c r="J144" i="8" s="1"/>
  <c r="G60" i="8"/>
  <c r="I60" i="8" s="1"/>
  <c r="H47" i="8"/>
  <c r="J47" i="8" s="1"/>
  <c r="H27" i="8"/>
  <c r="J27" i="8" s="1"/>
  <c r="G32" i="8"/>
  <c r="H32" i="8" s="1"/>
  <c r="J32" i="8" s="1"/>
  <c r="G60" i="3"/>
  <c r="H146" i="7"/>
  <c r="J146" i="7" s="1"/>
  <c r="G147" i="7"/>
  <c r="H147" i="7" s="1"/>
  <c r="J147" i="7" s="1"/>
  <c r="G153" i="7"/>
  <c r="H153" i="7" s="1"/>
  <c r="J153" i="7" s="1"/>
  <c r="H152" i="7"/>
  <c r="J152" i="7" s="1"/>
  <c r="H150" i="7"/>
  <c r="J150" i="7" s="1"/>
  <c r="G151" i="7"/>
  <c r="H151" i="7" s="1"/>
  <c r="J151" i="7" s="1"/>
  <c r="H148" i="7"/>
  <c r="J148" i="7" s="1"/>
  <c r="G149" i="7"/>
  <c r="H149" i="7" s="1"/>
  <c r="J149" i="7" s="1"/>
  <c r="H142" i="7"/>
  <c r="J142" i="7" s="1"/>
  <c r="G143" i="7"/>
  <c r="H143" i="7" s="1"/>
  <c r="J143" i="7" s="1"/>
  <c r="G145" i="7"/>
  <c r="H145" i="7" s="1"/>
  <c r="J145" i="7" s="1"/>
  <c r="H144" i="7"/>
  <c r="J144" i="7" s="1"/>
  <c r="G120" i="7"/>
  <c r="H120" i="7" s="1"/>
  <c r="J120" i="7" s="1"/>
  <c r="H112" i="7"/>
  <c r="J112" i="7" s="1"/>
  <c r="F120" i="7"/>
  <c r="G60" i="7"/>
  <c r="H47" i="7"/>
  <c r="J47" i="7" s="1"/>
  <c r="G32" i="7"/>
  <c r="H32" i="7" s="1"/>
  <c r="J32" i="7" s="1"/>
  <c r="H13" i="7"/>
  <c r="J13" i="7" s="1"/>
  <c r="H146" i="33"/>
  <c r="J146" i="33" s="1"/>
  <c r="G147" i="33"/>
  <c r="H147" i="33" s="1"/>
  <c r="J147" i="33" s="1"/>
  <c r="H112" i="33"/>
  <c r="J112" i="33" s="1"/>
  <c r="F120" i="33"/>
  <c r="G120" i="33"/>
  <c r="H120" i="33" s="1"/>
  <c r="J120" i="33" s="1"/>
  <c r="H142" i="33"/>
  <c r="J142" i="33" s="1"/>
  <c r="G143" i="33"/>
  <c r="H143" i="33" s="1"/>
  <c r="J143" i="33" s="1"/>
  <c r="H27" i="33"/>
  <c r="J27" i="33" s="1"/>
  <c r="G32" i="33"/>
  <c r="H32" i="33" s="1"/>
  <c r="J32" i="33" s="1"/>
  <c r="H150" i="33"/>
  <c r="J150" i="33" s="1"/>
  <c r="G151" i="33"/>
  <c r="H151" i="33" s="1"/>
  <c r="J151" i="33" s="1"/>
  <c r="G153" i="33"/>
  <c r="H153" i="33" s="1"/>
  <c r="J153" i="33" s="1"/>
  <c r="H152" i="33"/>
  <c r="J152" i="33" s="1"/>
  <c r="H148" i="33"/>
  <c r="J148" i="33" s="1"/>
  <c r="G149" i="33"/>
  <c r="H149" i="33" s="1"/>
  <c r="J149" i="33" s="1"/>
  <c r="H13" i="33"/>
  <c r="J13" i="33" s="1"/>
  <c r="G145" i="33"/>
  <c r="H145" i="33" s="1"/>
  <c r="J145" i="33" s="1"/>
  <c r="H144" i="33"/>
  <c r="J144" i="33" s="1"/>
  <c r="I13" i="33"/>
  <c r="G60" i="33"/>
  <c r="I60" i="33" s="1"/>
  <c r="H47" i="33"/>
  <c r="J47" i="33" s="1"/>
  <c r="G145" i="5"/>
  <c r="H145" i="5" s="1"/>
  <c r="J145" i="5" s="1"/>
  <c r="H144" i="5"/>
  <c r="J144" i="5" s="1"/>
  <c r="H146" i="5"/>
  <c r="J146" i="5" s="1"/>
  <c r="G147" i="5"/>
  <c r="H147" i="5" s="1"/>
  <c r="J147" i="5" s="1"/>
  <c r="G153" i="5"/>
  <c r="H153" i="5" s="1"/>
  <c r="J153" i="5" s="1"/>
  <c r="H152" i="5"/>
  <c r="J152" i="5" s="1"/>
  <c r="O59" i="5"/>
  <c r="G60" i="5"/>
  <c r="H47" i="5"/>
  <c r="J47" i="5" s="1"/>
  <c r="H112" i="5"/>
  <c r="J112" i="5" s="1"/>
  <c r="F120" i="5"/>
  <c r="G120" i="5"/>
  <c r="H120" i="5" s="1"/>
  <c r="J120" i="5" s="1"/>
  <c r="H148" i="4"/>
  <c r="J148" i="4" s="1"/>
  <c r="G149" i="4"/>
  <c r="H149" i="4" s="1"/>
  <c r="J149" i="4" s="1"/>
  <c r="G153" i="4"/>
  <c r="H153" i="4" s="1"/>
  <c r="J153" i="4" s="1"/>
  <c r="H152" i="4"/>
  <c r="J152" i="4" s="1"/>
  <c r="H27" i="4"/>
  <c r="J27" i="4" s="1"/>
  <c r="G32" i="4"/>
  <c r="H32" i="4" s="1"/>
  <c r="J32" i="4" s="1"/>
  <c r="G145" i="4"/>
  <c r="H145" i="4" s="1"/>
  <c r="J145" i="4" s="1"/>
  <c r="H144" i="4"/>
  <c r="J144" i="4" s="1"/>
  <c r="O59" i="4"/>
  <c r="H146" i="4"/>
  <c r="J146" i="4" s="1"/>
  <c r="G147" i="4"/>
  <c r="H147" i="4" s="1"/>
  <c r="J147" i="4" s="1"/>
  <c r="H142" i="4"/>
  <c r="J142" i="4" s="1"/>
  <c r="G143" i="4"/>
  <c r="H143" i="4" s="1"/>
  <c r="J143" i="4" s="1"/>
  <c r="H112" i="4"/>
  <c r="J112" i="4" s="1"/>
  <c r="F120" i="4"/>
  <c r="G120" i="4"/>
  <c r="H120" i="4" s="1"/>
  <c r="J120" i="4" s="1"/>
  <c r="H13" i="4"/>
  <c r="J13" i="4" s="1"/>
  <c r="H150" i="4"/>
  <c r="J150" i="4" s="1"/>
  <c r="G151" i="4"/>
  <c r="H151" i="4" s="1"/>
  <c r="J151" i="4" s="1"/>
  <c r="H47" i="4"/>
  <c r="J47" i="4" s="1"/>
  <c r="G60" i="4"/>
  <c r="I60" i="4" s="1"/>
  <c r="I13" i="4"/>
  <c r="H144" i="3"/>
  <c r="J144" i="3" s="1"/>
  <c r="G145" i="3"/>
  <c r="H145" i="3" s="1"/>
  <c r="J145" i="3" s="1"/>
  <c r="H112" i="3"/>
  <c r="J112" i="3" s="1"/>
  <c r="F120" i="3"/>
  <c r="G120" i="3"/>
  <c r="H120" i="3" s="1"/>
  <c r="J120" i="3" s="1"/>
  <c r="G32" i="3"/>
  <c r="H32" i="3" s="1"/>
  <c r="J32" i="3" s="1"/>
  <c r="H150" i="3"/>
  <c r="J150" i="3" s="1"/>
  <c r="G151" i="3"/>
  <c r="H151" i="3" s="1"/>
  <c r="J151" i="3" s="1"/>
  <c r="I60" i="3"/>
  <c r="H13" i="3"/>
  <c r="J13" i="3" s="1"/>
  <c r="H142" i="3"/>
  <c r="J142" i="3" s="1"/>
  <c r="G143" i="3"/>
  <c r="H143" i="3" s="1"/>
  <c r="J143" i="3" s="1"/>
  <c r="G149" i="3"/>
  <c r="H149" i="3" s="1"/>
  <c r="J149" i="3" s="1"/>
  <c r="H148" i="3"/>
  <c r="J148" i="3" s="1"/>
  <c r="G60" i="2"/>
  <c r="H47" i="2"/>
  <c r="J47" i="2" s="1"/>
  <c r="G32" i="2"/>
  <c r="H32" i="2" s="1"/>
  <c r="J32" i="2" s="1"/>
  <c r="G145" i="2"/>
  <c r="H145" i="2" s="1"/>
  <c r="J145" i="2" s="1"/>
  <c r="H144" i="2"/>
  <c r="J144" i="2" s="1"/>
  <c r="G60" i="17" l="1"/>
  <c r="I59" i="43"/>
  <c r="I59" i="30"/>
  <c r="I59" i="29"/>
  <c r="I59" i="28"/>
  <c r="I60" i="28"/>
  <c r="I59" i="27"/>
  <c r="O60" i="40"/>
  <c r="O61" i="40" s="1"/>
  <c r="I59" i="40"/>
  <c r="I59" i="25"/>
  <c r="I60" i="25"/>
  <c r="I59" i="24"/>
  <c r="I60" i="24"/>
  <c r="O149" i="23"/>
  <c r="O147" i="23"/>
  <c r="O145" i="23"/>
  <c r="H120" i="23"/>
  <c r="J120" i="23" s="1"/>
  <c r="O120" i="23"/>
  <c r="O60" i="23"/>
  <c r="I59" i="23"/>
  <c r="O143" i="23"/>
  <c r="O32" i="23"/>
  <c r="O151" i="23"/>
  <c r="I60" i="23"/>
  <c r="L60" i="22"/>
  <c r="I59" i="22"/>
  <c r="L60" i="21"/>
  <c r="I59" i="21"/>
  <c r="L60" i="20"/>
  <c r="I59" i="20"/>
  <c r="I60" i="20"/>
  <c r="I59" i="19"/>
  <c r="I60" i="19"/>
  <c r="I59" i="18"/>
  <c r="I59" i="17"/>
  <c r="I60" i="17"/>
  <c r="I59" i="16"/>
  <c r="I60" i="16"/>
  <c r="I59" i="15"/>
  <c r="I60" i="15"/>
  <c r="I59" i="14"/>
  <c r="I60" i="14"/>
  <c r="O153" i="13"/>
  <c r="O149" i="13"/>
  <c r="H120" i="13"/>
  <c r="J120" i="13" s="1"/>
  <c r="O120" i="13"/>
  <c r="O151" i="13"/>
  <c r="O27" i="13"/>
  <c r="G32" i="13"/>
  <c r="O147" i="13"/>
  <c r="O60" i="13"/>
  <c r="I59" i="13"/>
  <c r="O145" i="13"/>
  <c r="O143" i="13"/>
  <c r="I60" i="13"/>
  <c r="I59" i="12"/>
  <c r="I59" i="11"/>
  <c r="I59" i="10"/>
  <c r="H60" i="9"/>
  <c r="J60" i="9" s="1"/>
  <c r="I60" i="9"/>
  <c r="I59" i="9"/>
  <c r="I59" i="8"/>
  <c r="H60" i="8"/>
  <c r="J60" i="8" s="1"/>
  <c r="H60" i="3"/>
  <c r="J60" i="3" s="1"/>
  <c r="I59" i="3"/>
  <c r="H60" i="7"/>
  <c r="J60" i="7" s="1"/>
  <c r="I59" i="7"/>
  <c r="I60" i="7"/>
  <c r="H60" i="33"/>
  <c r="J60" i="33" s="1"/>
  <c r="I59" i="33"/>
  <c r="H60" i="5"/>
  <c r="J60" i="5" s="1"/>
  <c r="O60" i="5"/>
  <c r="I60" i="5"/>
  <c r="I59" i="5"/>
  <c r="O60" i="4"/>
  <c r="H60" i="4"/>
  <c r="J60" i="4" s="1"/>
  <c r="I59" i="4"/>
  <c r="H60" i="2"/>
  <c r="J60" i="2" s="1"/>
  <c r="I60" i="2"/>
  <c r="I59" i="2"/>
  <c r="O32" i="13" l="1"/>
  <c r="J3" i="47" l="1"/>
  <c r="J4" i="47" s="1"/>
  <c r="J5" i="47" s="1"/>
  <c r="J6" i="47" s="1"/>
  <c r="J7" i="47" s="1"/>
  <c r="J8" i="47" s="1"/>
  <c r="J9" i="47" s="1"/>
  <c r="J10" i="47" s="1"/>
  <c r="J11" i="47" s="1"/>
  <c r="J12" i="47" s="1"/>
  <c r="J13" i="47" s="1"/>
  <c r="J14" i="47" s="1"/>
  <c r="J15" i="47" s="1"/>
  <c r="J16" i="47" s="1"/>
  <c r="J17" i="47" s="1"/>
  <c r="J18" i="47" s="1"/>
  <c r="J19" i="47" s="1"/>
  <c r="J20" i="47" s="1"/>
  <c r="J21" i="47" s="1"/>
  <c r="J22" i="47" s="1"/>
  <c r="J23" i="47" s="1"/>
  <c r="J24" i="47" s="1"/>
  <c r="J25" i="47" s="1"/>
  <c r="J26" i="47" s="1"/>
  <c r="J27" i="47" s="1"/>
  <c r="J28" i="47" s="1"/>
  <c r="J29" i="47" s="1"/>
  <c r="J30" i="47" s="1"/>
  <c r="J31" i="47" s="1"/>
  <c r="J32" i="47" s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AD42" i="44" l="1"/>
  <c r="AD38" i="44"/>
  <c r="H113" i="31" l="1"/>
  <c r="H108" i="31"/>
  <c r="E161" i="31" l="1"/>
  <c r="E162" i="31"/>
  <c r="E163" i="31"/>
  <c r="E160" i="31"/>
  <c r="E131" i="31"/>
  <c r="E132" i="31"/>
  <c r="E133" i="31"/>
  <c r="E134" i="31"/>
  <c r="E135" i="31"/>
  <c r="E136" i="31"/>
  <c r="E137" i="31"/>
  <c r="E138" i="31"/>
  <c r="E139" i="31"/>
  <c r="E140" i="31"/>
  <c r="E130" i="31"/>
  <c r="E124" i="31"/>
  <c r="E125" i="31"/>
  <c r="E126" i="31"/>
  <c r="E127" i="31"/>
  <c r="E123" i="31"/>
  <c r="E115" i="31"/>
  <c r="E114" i="31"/>
  <c r="E110" i="31"/>
  <c r="E111" i="31"/>
  <c r="E109" i="31"/>
  <c r="E105" i="31"/>
  <c r="E106" i="31"/>
  <c r="E104" i="31"/>
  <c r="E96" i="31"/>
  <c r="E97" i="31"/>
  <c r="E98" i="31"/>
  <c r="E99" i="31"/>
  <c r="E100" i="31"/>
  <c r="E95" i="31"/>
  <c r="E93" i="31"/>
  <c r="E92" i="31"/>
  <c r="E87" i="31"/>
  <c r="E88" i="31"/>
  <c r="E89" i="31"/>
  <c r="E90" i="31"/>
  <c r="E86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3" i="31"/>
  <c r="E64" i="31"/>
  <c r="E65" i="31"/>
  <c r="E66" i="31"/>
  <c r="E67" i="31"/>
  <c r="E68" i="31"/>
  <c r="E69" i="31"/>
  <c r="E62" i="31"/>
  <c r="E50" i="31"/>
  <c r="E51" i="31"/>
  <c r="E52" i="31"/>
  <c r="E53" i="31"/>
  <c r="E54" i="31"/>
  <c r="E55" i="31"/>
  <c r="E56" i="31"/>
  <c r="E57" i="31"/>
  <c r="E58" i="31"/>
  <c r="E49" i="31"/>
  <c r="E36" i="31"/>
  <c r="E37" i="31"/>
  <c r="E38" i="31"/>
  <c r="E39" i="31"/>
  <c r="E40" i="31"/>
  <c r="E41" i="31"/>
  <c r="E42" i="31"/>
  <c r="E43" i="31"/>
  <c r="E44" i="31"/>
  <c r="E45" i="31"/>
  <c r="E46" i="31"/>
  <c r="E35" i="31"/>
  <c r="E29" i="31"/>
  <c r="E23" i="31"/>
  <c r="E24" i="31"/>
  <c r="E22" i="31"/>
  <c r="E19" i="31"/>
  <c r="E18" i="31"/>
  <c r="E15" i="31"/>
  <c r="E8" i="31"/>
  <c r="E9" i="31"/>
  <c r="E10" i="31"/>
  <c r="E11" i="31"/>
  <c r="E12" i="31"/>
  <c r="E7" i="31"/>
  <c r="G9" i="31" l="1"/>
  <c r="E171" i="31"/>
  <c r="E170" i="31"/>
  <c r="E169" i="31"/>
  <c r="E168" i="31"/>
  <c r="E167" i="31"/>
  <c r="E166" i="31"/>
  <c r="E165" i="31"/>
  <c r="E164" i="31"/>
  <c r="N8" i="31" l="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7" i="31"/>
  <c r="N48" i="31"/>
  <c r="N61" i="31"/>
  <c r="N71" i="31"/>
  <c r="N91" i="31"/>
  <c r="N102" i="31"/>
  <c r="N103" i="31"/>
  <c r="N108" i="31"/>
  <c r="N113" i="31"/>
  <c r="N121" i="31"/>
  <c r="N122" i="31"/>
  <c r="G89" i="31"/>
  <c r="G90" i="31"/>
  <c r="Q34" i="44" l="1"/>
  <c r="G160" i="31" l="1"/>
  <c r="G163" i="31"/>
  <c r="G162" i="31"/>
  <c r="G161" i="31"/>
  <c r="F171" i="31"/>
  <c r="F170" i="31"/>
  <c r="F169" i="31"/>
  <c r="F168" i="31"/>
  <c r="F167" i="31"/>
  <c r="F166" i="31"/>
  <c r="F165" i="31"/>
  <c r="G165" i="31"/>
  <c r="F164" i="31"/>
  <c r="G164" i="31" s="1"/>
  <c r="R4" i="44" l="1"/>
  <c r="R11" i="44" l="1"/>
  <c r="R9" i="44"/>
  <c r="R10" i="44"/>
  <c r="R8" i="44"/>
  <c r="D33" i="1" l="1"/>
  <c r="H90" i="31" l="1"/>
  <c r="N90" i="31" s="1"/>
  <c r="H89" i="31"/>
  <c r="N89" i="31" s="1"/>
  <c r="R12" i="44"/>
  <c r="R7" i="44"/>
  <c r="R5" i="44"/>
  <c r="R6" i="44"/>
  <c r="J89" i="31" l="1"/>
  <c r="J90" i="31"/>
  <c r="G88" i="31" l="1"/>
  <c r="G86" i="31"/>
  <c r="Q32" i="44"/>
  <c r="O30" i="44"/>
  <c r="Q27" i="44"/>
  <c r="O27" i="44"/>
  <c r="Q26" i="44"/>
  <c r="O26" i="44"/>
  <c r="Q10" i="44"/>
  <c r="Q7" i="44"/>
  <c r="Q12" i="44"/>
  <c r="G87" i="31"/>
  <c r="Q9" i="44"/>
  <c r="Q11" i="44"/>
  <c r="O32" i="44"/>
  <c r="P26" i="44" l="1"/>
  <c r="R26" i="44"/>
  <c r="R27" i="44"/>
  <c r="P27" i="44"/>
  <c r="P34" i="44"/>
  <c r="O13" i="44"/>
  <c r="O12" i="44"/>
  <c r="O11" i="44"/>
  <c r="O10" i="44"/>
  <c r="O9" i="44"/>
  <c r="P8" i="44"/>
  <c r="Q8" i="44"/>
  <c r="O8" i="44"/>
  <c r="P7" i="44"/>
  <c r="O7" i="44"/>
  <c r="O6" i="44"/>
  <c r="Q6" i="44"/>
  <c r="Q5" i="44"/>
  <c r="P5" i="44"/>
  <c r="P4" i="44"/>
  <c r="P6" i="44"/>
  <c r="O5" i="44"/>
  <c r="O4" i="44"/>
  <c r="Q4" i="44"/>
  <c r="O33" i="44"/>
  <c r="O31" i="44"/>
  <c r="O29" i="44"/>
  <c r="O28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P9" i="44"/>
  <c r="Q24" i="44"/>
  <c r="P15" i="44"/>
  <c r="R15" i="44"/>
  <c r="R25" i="44"/>
  <c r="P25" i="44"/>
  <c r="R14" i="44"/>
  <c r="P14" i="44"/>
  <c r="R24" i="44"/>
  <c r="P24" i="44"/>
  <c r="Q20" i="44"/>
  <c r="Q16" i="44"/>
  <c r="R33" i="44"/>
  <c r="P33" i="44"/>
  <c r="R13" i="44"/>
  <c r="P13" i="44"/>
  <c r="R22" i="44"/>
  <c r="P22" i="44"/>
  <c r="Q13" i="44"/>
  <c r="Q19" i="44"/>
  <c r="R28" i="44"/>
  <c r="P28" i="44"/>
  <c r="Q30" i="44"/>
  <c r="P31" i="44"/>
  <c r="R31" i="44"/>
  <c r="O34" i="44"/>
  <c r="R20" i="44"/>
  <c r="P20" i="44"/>
  <c r="Q14" i="44"/>
  <c r="R34" i="44"/>
  <c r="Q15" i="44"/>
  <c r="R18" i="44"/>
  <c r="P18" i="44"/>
  <c r="Q21" i="44"/>
  <c r="Q23" i="44"/>
  <c r="Q31" i="44"/>
  <c r="Q33" i="44"/>
  <c r="Q28" i="44"/>
  <c r="R16" i="44"/>
  <c r="P16" i="44"/>
  <c r="P12" i="44"/>
  <c r="R29" i="44"/>
  <c r="P29" i="44"/>
  <c r="R17" i="44"/>
  <c r="P17" i="44"/>
  <c r="R32" i="44"/>
  <c r="P32" i="44"/>
  <c r="P23" i="44"/>
  <c r="R23" i="44"/>
  <c r="P19" i="44"/>
  <c r="R19" i="44"/>
  <c r="Q18" i="44"/>
  <c r="Q17" i="44"/>
  <c r="R21" i="44"/>
  <c r="P21" i="44"/>
  <c r="P10" i="44"/>
  <c r="P11" i="44"/>
  <c r="Q29" i="44"/>
  <c r="Q25" i="44"/>
  <c r="Q22" i="44"/>
  <c r="R30" i="44"/>
  <c r="P30" i="44"/>
  <c r="H88" i="31" l="1"/>
  <c r="N88" i="31" s="1"/>
  <c r="H87" i="31"/>
  <c r="N87" i="31" s="1"/>
  <c r="H86" i="31"/>
  <c r="N86" i="31" s="1"/>
  <c r="J86" i="31" l="1"/>
  <c r="J87" i="31"/>
  <c r="J88" i="31"/>
  <c r="M12" i="44" l="1"/>
  <c r="L14" i="45"/>
  <c r="S12" i="44"/>
  <c r="T12" i="44"/>
  <c r="AJ12" i="44"/>
  <c r="AI12" i="44"/>
  <c r="L13" i="45" l="1"/>
  <c r="N27" i="31" l="1"/>
  <c r="A3" i="46"/>
  <c r="G79" i="31"/>
  <c r="G131" i="31"/>
  <c r="G132" i="31"/>
  <c r="G133" i="31"/>
  <c r="G135" i="31"/>
  <c r="G136" i="31"/>
  <c r="G137" i="31"/>
  <c r="G139" i="31"/>
  <c r="G140" i="31"/>
  <c r="G130" i="31"/>
  <c r="G125" i="31"/>
  <c r="G123" i="31"/>
  <c r="G105" i="31"/>
  <c r="G106" i="31"/>
  <c r="G109" i="31"/>
  <c r="G110" i="31"/>
  <c r="G111" i="31"/>
  <c r="G114" i="31"/>
  <c r="G104" i="31"/>
  <c r="G93" i="31"/>
  <c r="G95" i="31"/>
  <c r="G97" i="31"/>
  <c r="G98" i="31"/>
  <c r="G99" i="31"/>
  <c r="G92" i="31"/>
  <c r="G73" i="31"/>
  <c r="G74" i="31"/>
  <c r="G75" i="31"/>
  <c r="G76" i="31"/>
  <c r="G77" i="31"/>
  <c r="G78" i="31"/>
  <c r="G81" i="31"/>
  <c r="G82" i="31"/>
  <c r="G83" i="31"/>
  <c r="G84" i="31"/>
  <c r="G72" i="31"/>
  <c r="G63" i="31"/>
  <c r="G167" i="31"/>
  <c r="G169" i="31"/>
  <c r="G171" i="31"/>
  <c r="G62" i="31"/>
  <c r="G50" i="31"/>
  <c r="G51" i="31"/>
  <c r="G53" i="31"/>
  <c r="G54" i="31"/>
  <c r="G55" i="31"/>
  <c r="G57" i="31"/>
  <c r="G58" i="31"/>
  <c r="G49" i="31"/>
  <c r="G36" i="31"/>
  <c r="G37" i="31"/>
  <c r="G38" i="31"/>
  <c r="G39" i="31"/>
  <c r="G41" i="31"/>
  <c r="G42" i="31"/>
  <c r="G43" i="31"/>
  <c r="G45" i="31"/>
  <c r="G46" i="31"/>
  <c r="G35" i="31"/>
  <c r="G22" i="31"/>
  <c r="G19" i="31"/>
  <c r="G15" i="31"/>
  <c r="G8" i="31"/>
  <c r="G10" i="31"/>
  <c r="G11" i="31"/>
  <c r="G12" i="31"/>
  <c r="G7" i="31"/>
  <c r="G80" i="31"/>
  <c r="G96" i="31"/>
  <c r="G100" i="31"/>
  <c r="G138" i="31"/>
  <c r="G134" i="31"/>
  <c r="G127" i="31"/>
  <c r="G126" i="31"/>
  <c r="G124" i="31"/>
  <c r="G116" i="31"/>
  <c r="G115" i="31"/>
  <c r="J113" i="31"/>
  <c r="G69" i="31"/>
  <c r="G65" i="31"/>
  <c r="G56" i="31"/>
  <c r="G52" i="31"/>
  <c r="G44" i="31"/>
  <c r="G40" i="31"/>
  <c r="G29" i="31"/>
  <c r="G18" i="31"/>
  <c r="I15" i="31"/>
  <c r="K9" i="31"/>
  <c r="M8" i="31"/>
  <c r="I7" i="31"/>
  <c r="E28" i="31" l="1"/>
  <c r="G28" i="31" s="1"/>
  <c r="E31" i="31"/>
  <c r="G31" i="31" s="1"/>
  <c r="AH13" i="45"/>
  <c r="AI34" i="44"/>
  <c r="E27" i="31"/>
  <c r="G27" i="31" s="1"/>
  <c r="AJ34" i="44"/>
  <c r="AH14" i="45"/>
  <c r="E30" i="31"/>
  <c r="G30" i="31" s="1"/>
  <c r="S34" i="44"/>
  <c r="T34" i="44"/>
  <c r="G68" i="31"/>
  <c r="G170" i="31"/>
  <c r="G67" i="31"/>
  <c r="G66" i="31"/>
  <c r="G168" i="31"/>
  <c r="G64" i="31"/>
  <c r="G166" i="31"/>
  <c r="M34" i="44"/>
  <c r="G20" i="31"/>
  <c r="G47" i="31"/>
  <c r="F118" i="31"/>
  <c r="G59" i="31"/>
  <c r="G94" i="31"/>
  <c r="G107" i="31"/>
  <c r="I133" i="31"/>
  <c r="G128" i="31"/>
  <c r="H128" i="31" s="1"/>
  <c r="N128" i="31" s="1"/>
  <c r="G152" i="31"/>
  <c r="G144" i="31"/>
  <c r="F119" i="31"/>
  <c r="G101" i="31"/>
  <c r="G119" i="31"/>
  <c r="G117" i="31"/>
  <c r="I136" i="31"/>
  <c r="G150" i="31"/>
  <c r="G85" i="31"/>
  <c r="G13" i="31"/>
  <c r="G142" i="31"/>
  <c r="G146" i="31"/>
  <c r="G112" i="31"/>
  <c r="G148" i="31"/>
  <c r="I138" i="31"/>
  <c r="G118" i="31"/>
  <c r="N28" i="31" l="1"/>
  <c r="G172" i="31"/>
  <c r="I13" i="31"/>
  <c r="G32" i="31"/>
  <c r="G143" i="31"/>
  <c r="G145" i="31"/>
  <c r="G149" i="31"/>
  <c r="F120" i="31"/>
  <c r="G120" i="31"/>
  <c r="G60" i="31"/>
  <c r="G153" i="31"/>
  <c r="G147" i="31"/>
  <c r="G151" i="31"/>
  <c r="I60" i="31" l="1"/>
  <c r="I59" i="31"/>
  <c r="AI24" i="45" l="1"/>
  <c r="AI26" i="45"/>
  <c r="S22" i="44" l="1"/>
  <c r="F4" i="45" l="1"/>
  <c r="E4" i="45"/>
  <c r="D4" i="45"/>
  <c r="J4" i="1" l="1"/>
  <c r="F2" i="47" l="1"/>
  <c r="F3" i="47" s="1"/>
  <c r="F4" i="47" s="1"/>
  <c r="F5" i="47" s="1"/>
  <c r="J35" i="1"/>
  <c r="M14" i="44"/>
  <c r="G33" i="1"/>
  <c r="F6" i="47" l="1"/>
  <c r="G14" i="45"/>
  <c r="G22" i="45"/>
  <c r="G21" i="45"/>
  <c r="G20" i="45"/>
  <c r="G18" i="45"/>
  <c r="G16" i="45"/>
  <c r="H14" i="45"/>
  <c r="H22" i="45"/>
  <c r="H21" i="45"/>
  <c r="H20" i="45"/>
  <c r="H18" i="45"/>
  <c r="H17" i="45"/>
  <c r="H16" i="45"/>
  <c r="I14" i="45"/>
  <c r="I13" i="45"/>
  <c r="I22" i="45"/>
  <c r="I20" i="45"/>
  <c r="I18" i="45"/>
  <c r="I16" i="45"/>
  <c r="J14" i="45"/>
  <c r="J13" i="45"/>
  <c r="J22" i="45"/>
  <c r="J21" i="45"/>
  <c r="J20" i="45"/>
  <c r="J18" i="45"/>
  <c r="J17" i="45"/>
  <c r="J16" i="45"/>
  <c r="K14" i="45"/>
  <c r="K13" i="45"/>
  <c r="K22" i="45"/>
  <c r="K21" i="45"/>
  <c r="K20" i="45"/>
  <c r="K17" i="45"/>
  <c r="K16" i="45"/>
  <c r="L22" i="45"/>
  <c r="L21" i="45"/>
  <c r="L20" i="45"/>
  <c r="L18" i="45"/>
  <c r="L17" i="45"/>
  <c r="L16" i="45"/>
  <c r="M14" i="45"/>
  <c r="M13" i="45"/>
  <c r="M22" i="45"/>
  <c r="M21" i="45"/>
  <c r="M18" i="45"/>
  <c r="M17" i="45"/>
  <c r="N13" i="45"/>
  <c r="P14" i="45"/>
  <c r="P22" i="45"/>
  <c r="P21" i="45"/>
  <c r="P20" i="45"/>
  <c r="P18" i="45"/>
  <c r="P17" i="45"/>
  <c r="P16" i="45"/>
  <c r="Q14" i="45"/>
  <c r="Q13" i="45"/>
  <c r="Q22" i="45"/>
  <c r="Q21" i="45"/>
  <c r="Q20" i="45"/>
  <c r="Q18" i="45"/>
  <c r="Q17" i="45"/>
  <c r="Q16" i="45"/>
  <c r="R14" i="45"/>
  <c r="R13" i="45"/>
  <c r="R22" i="45"/>
  <c r="R21" i="45"/>
  <c r="R20" i="45"/>
  <c r="R18" i="45"/>
  <c r="R17" i="45"/>
  <c r="R16" i="45"/>
  <c r="S14" i="45"/>
  <c r="S22" i="45"/>
  <c r="S21" i="45"/>
  <c r="S20" i="45"/>
  <c r="S18" i="45"/>
  <c r="S17" i="45"/>
  <c r="S16" i="45"/>
  <c r="T14" i="45"/>
  <c r="T22" i="45"/>
  <c r="T21" i="45"/>
  <c r="T20" i="45"/>
  <c r="T18" i="45"/>
  <c r="T17" i="45"/>
  <c r="T16" i="45"/>
  <c r="U14" i="45"/>
  <c r="U13" i="45"/>
  <c r="U22" i="45"/>
  <c r="U21" i="45"/>
  <c r="U20" i="45"/>
  <c r="U18" i="45"/>
  <c r="U17" i="45"/>
  <c r="U16" i="45"/>
  <c r="V14" i="45"/>
  <c r="V22" i="45"/>
  <c r="V21" i="45"/>
  <c r="V20" i="45"/>
  <c r="V18" i="45"/>
  <c r="V17" i="45"/>
  <c r="V16" i="45"/>
  <c r="W14" i="45"/>
  <c r="W22" i="45"/>
  <c r="W21" i="45"/>
  <c r="W20" i="45"/>
  <c r="W18" i="45"/>
  <c r="W17" i="45"/>
  <c r="W16" i="45"/>
  <c r="X14" i="45"/>
  <c r="X22" i="45"/>
  <c r="X21" i="45"/>
  <c r="X20" i="45"/>
  <c r="X18" i="45"/>
  <c r="X17" i="45"/>
  <c r="X16" i="45"/>
  <c r="Z14" i="45"/>
  <c r="Z13" i="45"/>
  <c r="Z22" i="45"/>
  <c r="Z21" i="45"/>
  <c r="Z20" i="45"/>
  <c r="Z18" i="45"/>
  <c r="Z17" i="45"/>
  <c r="Z16" i="45"/>
  <c r="AA14" i="45"/>
  <c r="AA22" i="45"/>
  <c r="AA21" i="45"/>
  <c r="AA20" i="45"/>
  <c r="AA18" i="45"/>
  <c r="AA17" i="45"/>
  <c r="AA16" i="45"/>
  <c r="AB14" i="45"/>
  <c r="AB22" i="45"/>
  <c r="AB21" i="45"/>
  <c r="AB20" i="45"/>
  <c r="AB18" i="45"/>
  <c r="AB17" i="45"/>
  <c r="AB16" i="45"/>
  <c r="AC14" i="45"/>
  <c r="AC13" i="45"/>
  <c r="AC22" i="45"/>
  <c r="AC21" i="45"/>
  <c r="AC20" i="45"/>
  <c r="AC18" i="45"/>
  <c r="AC17" i="45"/>
  <c r="AC16" i="45"/>
  <c r="AD14" i="45"/>
  <c r="AD22" i="45"/>
  <c r="AD21" i="45"/>
  <c r="AD20" i="45"/>
  <c r="AD18" i="45"/>
  <c r="AD17" i="45"/>
  <c r="AD16" i="45"/>
  <c r="AE14" i="45"/>
  <c r="AE22" i="45"/>
  <c r="AE21" i="45"/>
  <c r="AE20" i="45"/>
  <c r="AE18" i="45"/>
  <c r="AE17" i="45"/>
  <c r="AE16" i="45"/>
  <c r="AG14" i="45"/>
  <c r="AG13" i="45"/>
  <c r="AG22" i="45"/>
  <c r="AG21" i="45"/>
  <c r="AG20" i="45"/>
  <c r="AG18" i="45"/>
  <c r="AG17" i="45"/>
  <c r="AG16" i="45"/>
  <c r="AH22" i="45"/>
  <c r="AH21" i="45"/>
  <c r="AH20" i="45"/>
  <c r="AH18" i="45"/>
  <c r="AH17" i="45"/>
  <c r="AH16" i="45"/>
  <c r="F14" i="45"/>
  <c r="F13" i="45"/>
  <c r="F22" i="45"/>
  <c r="F21" i="45"/>
  <c r="F20" i="45"/>
  <c r="F18" i="45"/>
  <c r="F17" i="45"/>
  <c r="F16" i="45"/>
  <c r="D14" i="45"/>
  <c r="D13" i="45"/>
  <c r="E14" i="45"/>
  <c r="E22" i="45"/>
  <c r="E21" i="45"/>
  <c r="E20" i="45"/>
  <c r="E18" i="45"/>
  <c r="E17" i="45"/>
  <c r="E16" i="45"/>
  <c r="F7" i="47" l="1"/>
  <c r="G13" i="45"/>
  <c r="E13" i="45"/>
  <c r="N14" i="45"/>
  <c r="Y22" i="45"/>
  <c r="H13" i="45"/>
  <c r="Y16" i="45"/>
  <c r="AF14" i="45"/>
  <c r="AF13" i="45"/>
  <c r="AE13" i="45"/>
  <c r="AD13" i="45"/>
  <c r="AB13" i="45"/>
  <c r="AA13" i="45"/>
  <c r="Y14" i="45"/>
  <c r="Y13" i="45"/>
  <c r="Y21" i="45"/>
  <c r="Y18" i="45"/>
  <c r="Y17" i="45"/>
  <c r="X13" i="45"/>
  <c r="W13" i="45"/>
  <c r="V13" i="45"/>
  <c r="T13" i="45"/>
  <c r="S13" i="45"/>
  <c r="O14" i="45"/>
  <c r="P13" i="45"/>
  <c r="O13" i="45"/>
  <c r="D17" i="45"/>
  <c r="D22" i="45"/>
  <c r="D20" i="45"/>
  <c r="D16" i="45"/>
  <c r="D21" i="45"/>
  <c r="D18" i="45"/>
  <c r="AF20" i="45"/>
  <c r="AF18" i="45"/>
  <c r="AF17" i="45"/>
  <c r="AF22" i="45"/>
  <c r="AF16" i="45"/>
  <c r="AF21" i="45"/>
  <c r="O16" i="45"/>
  <c r="O20" i="45"/>
  <c r="O21" i="45"/>
  <c r="O18" i="45"/>
  <c r="O17" i="45"/>
  <c r="O22" i="45"/>
  <c r="N20" i="45"/>
  <c r="N18" i="45"/>
  <c r="N17" i="45"/>
  <c r="N22" i="45"/>
  <c r="N16" i="45"/>
  <c r="N21" i="45"/>
  <c r="M16" i="45"/>
  <c r="M20" i="45"/>
  <c r="I21" i="45"/>
  <c r="K18" i="45"/>
  <c r="I17" i="45"/>
  <c r="G17" i="45"/>
  <c r="Y20" i="45"/>
  <c r="F8" i="47" l="1"/>
  <c r="H114" i="31"/>
  <c r="F9" i="47" l="1"/>
  <c r="J114" i="31"/>
  <c r="N114" i="31"/>
  <c r="F10" i="47" l="1"/>
  <c r="BF33" i="1"/>
  <c r="BI33" i="1" s="1"/>
  <c r="BE33" i="1"/>
  <c r="BD33" i="1"/>
  <c r="BC33" i="1"/>
  <c r="BB33" i="1"/>
  <c r="BA33" i="1"/>
  <c r="T33" i="1"/>
  <c r="E33" i="1"/>
  <c r="H11" i="1"/>
  <c r="K11" i="1" s="1"/>
  <c r="H12" i="1"/>
  <c r="K12" i="1" s="1"/>
  <c r="H13" i="1"/>
  <c r="K13" i="1" s="1"/>
  <c r="F11" i="47" l="1"/>
  <c r="H33" i="1"/>
  <c r="K33" i="1" s="1"/>
  <c r="H18" i="1"/>
  <c r="K18" i="1" s="1"/>
  <c r="H27" i="1"/>
  <c r="K27" i="1" s="1"/>
  <c r="H28" i="1"/>
  <c r="K28" i="1" s="1"/>
  <c r="H30" i="1"/>
  <c r="K30" i="1" s="1"/>
  <c r="H14" i="1"/>
  <c r="K14" i="1" s="1"/>
  <c r="H31" i="1"/>
  <c r="K31" i="1" s="1"/>
  <c r="H23" i="1"/>
  <c r="K23" i="1" s="1"/>
  <c r="H15" i="1"/>
  <c r="K15" i="1" s="1"/>
  <c r="H25" i="1"/>
  <c r="K25" i="1" s="1"/>
  <c r="H17" i="1"/>
  <c r="K17" i="1" s="1"/>
  <c r="H26" i="1"/>
  <c r="K26" i="1" s="1"/>
  <c r="H19" i="1"/>
  <c r="K19" i="1" s="1"/>
  <c r="H20" i="1"/>
  <c r="K20" i="1" s="1"/>
  <c r="H29" i="1"/>
  <c r="K29" i="1" s="1"/>
  <c r="H21" i="1"/>
  <c r="K21" i="1" s="1"/>
  <c r="H22" i="1"/>
  <c r="K22" i="1" s="1"/>
  <c r="H32" i="1"/>
  <c r="K32" i="1" s="1"/>
  <c r="H24" i="1"/>
  <c r="K24" i="1" s="1"/>
  <c r="H16" i="1"/>
  <c r="K16" i="1" s="1"/>
  <c r="H4" i="1"/>
  <c r="H10" i="1"/>
  <c r="K10" i="1" s="1"/>
  <c r="H9" i="1"/>
  <c r="K9" i="1" s="1"/>
  <c r="H8" i="1"/>
  <c r="K8" i="1" s="1"/>
  <c r="H7" i="1"/>
  <c r="K7" i="1" s="1"/>
  <c r="H6" i="1"/>
  <c r="K6" i="1" s="1"/>
  <c r="H5" i="1"/>
  <c r="K5" i="1" s="1"/>
  <c r="K4" i="1" l="1"/>
  <c r="K35" i="1" s="1"/>
  <c r="H35" i="1"/>
  <c r="F12" i="47"/>
  <c r="F13" i="47" l="1"/>
  <c r="F14" i="47" l="1"/>
  <c r="F15" i="47" l="1"/>
  <c r="F16" i="47" l="1"/>
  <c r="F17" i="47" l="1"/>
  <c r="F18" i="47" l="1"/>
  <c r="W5" i="45"/>
  <c r="G32" i="1"/>
  <c r="G31" i="1"/>
  <c r="G30" i="1"/>
  <c r="G29" i="1"/>
  <c r="G28" i="1"/>
  <c r="G27" i="1"/>
  <c r="G26" i="1"/>
  <c r="G25" i="1"/>
  <c r="G24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19" i="47" l="1"/>
  <c r="G23" i="1"/>
  <c r="G19" i="1"/>
  <c r="G21" i="1"/>
  <c r="G18" i="1"/>
  <c r="G20" i="1"/>
  <c r="G17" i="1"/>
  <c r="G22" i="1"/>
  <c r="G35" i="1" l="1"/>
  <c r="F20" i="47"/>
  <c r="F21" i="47" l="1"/>
  <c r="F22" i="47" l="1"/>
  <c r="F23" i="47" l="1"/>
  <c r="F24" i="47" l="1"/>
  <c r="F25" i="47" l="1"/>
  <c r="F26" i="47" l="1"/>
  <c r="N27" i="44"/>
  <c r="F27" i="47" l="1"/>
  <c r="F28" i="47" l="1"/>
  <c r="AI27" i="44"/>
  <c r="AL27" i="44"/>
  <c r="AJ27" i="44"/>
  <c r="AG27" i="44"/>
  <c r="AF27" i="44"/>
  <c r="AE27" i="44"/>
  <c r="AD27" i="44"/>
  <c r="AC27" i="44"/>
  <c r="AA12" i="45"/>
  <c r="AA26" i="45" s="1"/>
  <c r="AA10" i="45"/>
  <c r="AA9" i="45"/>
  <c r="AA8" i="45"/>
  <c r="AA28" i="45" s="1"/>
  <c r="AA7" i="45"/>
  <c r="AA27" i="44"/>
  <c r="L27" i="44"/>
  <c r="K27" i="44"/>
  <c r="J27" i="44"/>
  <c r="I27" i="44"/>
  <c r="H27" i="44"/>
  <c r="G27" i="44"/>
  <c r="F27" i="44"/>
  <c r="E27" i="44"/>
  <c r="D27" i="44"/>
  <c r="Z27" i="44"/>
  <c r="Y27" i="44"/>
  <c r="X27" i="44"/>
  <c r="W27" i="44"/>
  <c r="V27" i="44"/>
  <c r="U27" i="44"/>
  <c r="T27" i="44"/>
  <c r="S27" i="44"/>
  <c r="M27" i="44"/>
  <c r="F29" i="47" l="1"/>
  <c r="AA29" i="45"/>
  <c r="AA30" i="45" s="1"/>
  <c r="AA5" i="45"/>
  <c r="AK27" i="44"/>
  <c r="AM27" i="44" s="1"/>
  <c r="AA24" i="45"/>
  <c r="AA6" i="45"/>
  <c r="M27" i="1"/>
  <c r="AB27" i="44"/>
  <c r="F30" i="47" l="1"/>
  <c r="AH27" i="44"/>
  <c r="AO27" i="44" s="1"/>
  <c r="F31" i="47" l="1"/>
  <c r="F32" i="47" s="1"/>
  <c r="S10" i="45" l="1"/>
  <c r="AW9" i="1"/>
  <c r="AK34" i="44"/>
  <c r="AL34" i="44"/>
  <c r="AD34" i="44"/>
  <c r="AE34" i="44"/>
  <c r="AF34" i="44"/>
  <c r="AG34" i="44"/>
  <c r="AH9" i="45"/>
  <c r="AH10" i="45"/>
  <c r="AH12" i="45"/>
  <c r="AH26" i="45" s="1"/>
  <c r="AH8" i="45"/>
  <c r="AH28" i="45" s="1"/>
  <c r="AH7" i="45"/>
  <c r="C34" i="44"/>
  <c r="F34" i="44"/>
  <c r="G34" i="44"/>
  <c r="H34" i="44"/>
  <c r="I34" i="44"/>
  <c r="J34" i="44"/>
  <c r="K34" i="44"/>
  <c r="L34" i="44"/>
  <c r="N34" i="44"/>
  <c r="B34" i="44"/>
  <c r="U34" i="44"/>
  <c r="V34" i="44"/>
  <c r="W34" i="44"/>
  <c r="X34" i="44"/>
  <c r="Y34" i="44"/>
  <c r="Z34" i="44"/>
  <c r="AA33" i="1"/>
  <c r="AC33" i="1"/>
  <c r="AD33" i="1"/>
  <c r="AJ33" i="44"/>
  <c r="AD33" i="44"/>
  <c r="AE33" i="44"/>
  <c r="AF33" i="44"/>
  <c r="AG33" i="44"/>
  <c r="AG12" i="45"/>
  <c r="AG26" i="45" s="1"/>
  <c r="AG7" i="45"/>
  <c r="C33" i="44"/>
  <c r="D33" i="44"/>
  <c r="E33" i="44"/>
  <c r="F33" i="44"/>
  <c r="G33" i="44"/>
  <c r="H33" i="44"/>
  <c r="I33" i="44"/>
  <c r="J33" i="44"/>
  <c r="K33" i="44"/>
  <c r="L33" i="44"/>
  <c r="N33" i="44"/>
  <c r="AA33" i="44"/>
  <c r="B33" i="44"/>
  <c r="BG33" i="1"/>
  <c r="AA12" i="44"/>
  <c r="X27" i="1"/>
  <c r="Y27" i="1"/>
  <c r="M21" i="44"/>
  <c r="BC20" i="1"/>
  <c r="BE20" i="1"/>
  <c r="AD18" i="1"/>
  <c r="BH5" i="1"/>
  <c r="BG5" i="1"/>
  <c r="BF5" i="1"/>
  <c r="BE5" i="1"/>
  <c r="BD5" i="1"/>
  <c r="BB5" i="1"/>
  <c r="BA5" i="1"/>
  <c r="E126" i="42"/>
  <c r="G126" i="42" s="1"/>
  <c r="E125" i="42"/>
  <c r="G125" i="42" s="1"/>
  <c r="E124" i="42"/>
  <c r="G124" i="42" s="1"/>
  <c r="E123" i="42"/>
  <c r="G123" i="42" s="1"/>
  <c r="E122" i="42"/>
  <c r="G122" i="42" s="1"/>
  <c r="E121" i="42"/>
  <c r="G121" i="42" s="1"/>
  <c r="E120" i="42"/>
  <c r="G120" i="42" s="1"/>
  <c r="E119" i="42"/>
  <c r="G119" i="42" s="1"/>
  <c r="E118" i="42"/>
  <c r="G118" i="42" s="1"/>
  <c r="E117" i="42"/>
  <c r="G117" i="42" s="1"/>
  <c r="E116" i="42"/>
  <c r="G116" i="42" s="1"/>
  <c r="E101" i="42"/>
  <c r="G101" i="42" s="1"/>
  <c r="E100" i="42"/>
  <c r="G100" i="42" s="1"/>
  <c r="E99" i="42"/>
  <c r="G99" i="42" s="1"/>
  <c r="E98" i="42"/>
  <c r="G98" i="42" s="1"/>
  <c r="E97" i="42"/>
  <c r="G97" i="42" s="1"/>
  <c r="E94" i="42"/>
  <c r="G94" i="42" s="1"/>
  <c r="E93" i="42"/>
  <c r="G93" i="42" s="1"/>
  <c r="E92" i="42"/>
  <c r="G92" i="42" s="1"/>
  <c r="E91" i="42"/>
  <c r="G91" i="42" s="1"/>
  <c r="G90" i="42"/>
  <c r="E89" i="42"/>
  <c r="G89" i="42" s="1"/>
  <c r="E88" i="42"/>
  <c r="E87" i="42"/>
  <c r="G87" i="42" s="1"/>
  <c r="E86" i="42"/>
  <c r="G86" i="42" s="1"/>
  <c r="E83" i="42"/>
  <c r="G83" i="42" s="1"/>
  <c r="E82" i="42"/>
  <c r="G82" i="42" s="1"/>
  <c r="E81" i="42"/>
  <c r="G81" i="42" s="1"/>
  <c r="E80" i="42"/>
  <c r="G80" i="42" s="1"/>
  <c r="E79" i="42"/>
  <c r="G79" i="42" s="1"/>
  <c r="E78" i="42"/>
  <c r="G78" i="42" s="1"/>
  <c r="E77" i="42"/>
  <c r="G77" i="42" s="1"/>
  <c r="E76" i="42"/>
  <c r="G76" i="42" s="1"/>
  <c r="E75" i="42"/>
  <c r="G75" i="42" s="1"/>
  <c r="E74" i="42"/>
  <c r="G74" i="42" s="1"/>
  <c r="E73" i="42"/>
  <c r="G73" i="42" s="1"/>
  <c r="E72" i="42"/>
  <c r="G72" i="42" s="1"/>
  <c r="E71" i="42"/>
  <c r="G71" i="42" s="1"/>
  <c r="E68" i="42"/>
  <c r="G68" i="42" s="1"/>
  <c r="E67" i="42"/>
  <c r="G67" i="42" s="1"/>
  <c r="E66" i="42"/>
  <c r="G66" i="42" s="1"/>
  <c r="E65" i="42"/>
  <c r="G65" i="42" s="1"/>
  <c r="E64" i="42"/>
  <c r="G64" i="42" s="1"/>
  <c r="E63" i="42"/>
  <c r="G63" i="42" s="1"/>
  <c r="E62" i="42"/>
  <c r="G62" i="42" s="1"/>
  <c r="E61" i="42"/>
  <c r="G61" i="42" s="1"/>
  <c r="E57" i="42"/>
  <c r="G57" i="42" s="1"/>
  <c r="E56" i="42"/>
  <c r="G56" i="42" s="1"/>
  <c r="E55" i="42"/>
  <c r="G55" i="42" s="1"/>
  <c r="E54" i="42"/>
  <c r="G54" i="42" s="1"/>
  <c r="E53" i="42"/>
  <c r="G53" i="42" s="1"/>
  <c r="E52" i="42"/>
  <c r="G52" i="42" s="1"/>
  <c r="E51" i="42"/>
  <c r="G51" i="42" s="1"/>
  <c r="E50" i="42"/>
  <c r="G50" i="42" s="1"/>
  <c r="E49" i="42"/>
  <c r="G49" i="42" s="1"/>
  <c r="E48" i="42"/>
  <c r="G48" i="42" s="1"/>
  <c r="E45" i="42"/>
  <c r="G45" i="42" s="1"/>
  <c r="E44" i="42"/>
  <c r="G44" i="42" s="1"/>
  <c r="E43" i="42"/>
  <c r="G43" i="42" s="1"/>
  <c r="E42" i="42"/>
  <c r="G42" i="42" s="1"/>
  <c r="E41" i="42"/>
  <c r="G41" i="42" s="1"/>
  <c r="E40" i="42"/>
  <c r="G40" i="42" s="1"/>
  <c r="E39" i="42"/>
  <c r="G39" i="42" s="1"/>
  <c r="E38" i="42"/>
  <c r="G38" i="42" s="1"/>
  <c r="E37" i="42"/>
  <c r="G37" i="42" s="1"/>
  <c r="E36" i="42"/>
  <c r="G36" i="42" s="1"/>
  <c r="E35" i="42"/>
  <c r="G35" i="42" s="1"/>
  <c r="E34" i="42"/>
  <c r="G34" i="42" s="1"/>
  <c r="E29" i="42"/>
  <c r="G29" i="42" s="1"/>
  <c r="E24" i="42"/>
  <c r="E23" i="42"/>
  <c r="E22" i="42"/>
  <c r="G22" i="42" s="1"/>
  <c r="E19" i="42"/>
  <c r="G19" i="42" s="1"/>
  <c r="G18" i="42"/>
  <c r="E18" i="42"/>
  <c r="I15" i="42"/>
  <c r="E15" i="42"/>
  <c r="G15" i="42" s="1"/>
  <c r="E28" i="42" s="1"/>
  <c r="G28" i="42" s="1"/>
  <c r="E12" i="42"/>
  <c r="E11" i="42"/>
  <c r="G11" i="42" s="1"/>
  <c r="E10" i="42"/>
  <c r="G10" i="42" s="1"/>
  <c r="E9" i="42"/>
  <c r="G9" i="42" s="1"/>
  <c r="I7" i="42"/>
  <c r="E7" i="42"/>
  <c r="G7" i="42" s="1"/>
  <c r="J3" i="42"/>
  <c r="I3" i="42"/>
  <c r="H3" i="42"/>
  <c r="G3" i="42"/>
  <c r="AW13" i="1"/>
  <c r="AB12" i="1"/>
  <c r="AC12" i="1"/>
  <c r="AL12" i="1"/>
  <c r="AM12" i="1"/>
  <c r="AD12" i="44"/>
  <c r="AE12" i="44"/>
  <c r="AF12" i="44"/>
  <c r="AG12" i="44"/>
  <c r="C12" i="44"/>
  <c r="D12" i="44"/>
  <c r="E12" i="44"/>
  <c r="F12" i="44"/>
  <c r="G12" i="44"/>
  <c r="H12" i="44"/>
  <c r="I12" i="44"/>
  <c r="J12" i="44"/>
  <c r="K12" i="44"/>
  <c r="L12" i="44"/>
  <c r="N12" i="44"/>
  <c r="BK27" i="1"/>
  <c r="AZ27" i="1"/>
  <c r="AR27" i="1"/>
  <c r="AS27" i="1"/>
  <c r="AW27" i="1"/>
  <c r="AY27" i="1"/>
  <c r="AG22" i="44"/>
  <c r="AF22" i="44"/>
  <c r="AE22" i="44"/>
  <c r="V8" i="45"/>
  <c r="V28" i="45" s="1"/>
  <c r="V12" i="45"/>
  <c r="V26" i="45" s="1"/>
  <c r="AI14" i="44"/>
  <c r="BD14" i="1"/>
  <c r="BE14" i="1"/>
  <c r="BF14" i="1"/>
  <c r="BG14" i="1"/>
  <c r="BH14" i="1"/>
  <c r="M9" i="45"/>
  <c r="M12" i="45"/>
  <c r="M26" i="45" s="1"/>
  <c r="C13" i="44"/>
  <c r="D13" i="44"/>
  <c r="E13" i="44"/>
  <c r="F13" i="44"/>
  <c r="G13" i="44"/>
  <c r="H13" i="44"/>
  <c r="I13" i="44"/>
  <c r="J13" i="44"/>
  <c r="K13" i="44"/>
  <c r="L13" i="44"/>
  <c r="N13" i="44"/>
  <c r="AA13" i="44"/>
  <c r="BC13" i="1"/>
  <c r="BD13" i="1"/>
  <c r="BE13" i="1"/>
  <c r="BF13" i="1"/>
  <c r="BG13" i="1"/>
  <c r="BH13" i="1"/>
  <c r="M13" i="44"/>
  <c r="AW10" i="1"/>
  <c r="BA10" i="1"/>
  <c r="BB10" i="1"/>
  <c r="BC10" i="1"/>
  <c r="BD10" i="1"/>
  <c r="BE10" i="1"/>
  <c r="BF10" i="1"/>
  <c r="BH10" i="1"/>
  <c r="M10" i="44"/>
  <c r="S10" i="44"/>
  <c r="T10" i="44"/>
  <c r="U10" i="44"/>
  <c r="V10" i="44"/>
  <c r="W10" i="44"/>
  <c r="X10" i="44"/>
  <c r="Y10" i="44"/>
  <c r="C10" i="44"/>
  <c r="D10" i="44"/>
  <c r="E10" i="44"/>
  <c r="F10" i="44"/>
  <c r="G10" i="44"/>
  <c r="H10" i="44"/>
  <c r="I10" i="44"/>
  <c r="J10" i="44"/>
  <c r="K10" i="44"/>
  <c r="L10" i="44"/>
  <c r="N10" i="44"/>
  <c r="J7" i="45"/>
  <c r="J8" i="45"/>
  <c r="J28" i="45" s="1"/>
  <c r="J12" i="45"/>
  <c r="J26" i="45" s="1"/>
  <c r="AD10" i="44"/>
  <c r="AE10" i="44"/>
  <c r="AF10" i="44"/>
  <c r="AG10" i="44"/>
  <c r="AB10" i="1"/>
  <c r="AC10" i="1"/>
  <c r="AJ10" i="44"/>
  <c r="AK10" i="44"/>
  <c r="AL10" i="1"/>
  <c r="AI10" i="44"/>
  <c r="F12" i="45"/>
  <c r="F26" i="45" s="1"/>
  <c r="F8" i="45"/>
  <c r="F28" i="45" s="1"/>
  <c r="A5" i="46"/>
  <c r="F5" i="45"/>
  <c r="AU6" i="1"/>
  <c r="BB6" i="1"/>
  <c r="BD6" i="1"/>
  <c r="BH6" i="1"/>
  <c r="M6" i="44"/>
  <c r="S6" i="44"/>
  <c r="T6" i="44"/>
  <c r="U6" i="44"/>
  <c r="V6" i="44"/>
  <c r="W6" i="44"/>
  <c r="X6" i="44"/>
  <c r="Y6" i="44"/>
  <c r="B6" i="44"/>
  <c r="C6" i="44"/>
  <c r="D6" i="44"/>
  <c r="E6" i="44"/>
  <c r="F6" i="44"/>
  <c r="G6" i="44"/>
  <c r="H6" i="44"/>
  <c r="I6" i="44"/>
  <c r="J6" i="44"/>
  <c r="K6" i="44"/>
  <c r="L6" i="44"/>
  <c r="N6" i="44"/>
  <c r="AA6" i="44"/>
  <c r="F7" i="45"/>
  <c r="AD6" i="44"/>
  <c r="AE6" i="44"/>
  <c r="AF6" i="44"/>
  <c r="AG6" i="44"/>
  <c r="AB6" i="1"/>
  <c r="AD6" i="1"/>
  <c r="AJ6" i="44"/>
  <c r="AK6" i="44"/>
  <c r="AL6" i="1"/>
  <c r="AI6" i="44"/>
  <c r="J16" i="35"/>
  <c r="U11" i="44"/>
  <c r="A6" i="46"/>
  <c r="C24" i="44"/>
  <c r="D24" i="44"/>
  <c r="E24" i="44"/>
  <c r="F24" i="44"/>
  <c r="G24" i="44"/>
  <c r="H24" i="44"/>
  <c r="I24" i="44"/>
  <c r="J24" i="44"/>
  <c r="K24" i="44"/>
  <c r="L24" i="44"/>
  <c r="N24" i="44"/>
  <c r="BB19" i="1"/>
  <c r="BD19" i="1"/>
  <c r="BE19" i="1"/>
  <c r="BF19" i="1"/>
  <c r="BG19" i="1"/>
  <c r="BH19" i="1"/>
  <c r="M19" i="44"/>
  <c r="AW19" i="1"/>
  <c r="AJ15" i="44"/>
  <c r="AI15" i="44"/>
  <c r="N16" i="44"/>
  <c r="L16" i="44"/>
  <c r="K16" i="44"/>
  <c r="J16" i="44"/>
  <c r="I16" i="44"/>
  <c r="H16" i="44"/>
  <c r="G16" i="44"/>
  <c r="F16" i="44"/>
  <c r="E16" i="44"/>
  <c r="D16" i="44"/>
  <c r="C16" i="44"/>
  <c r="B12" i="44"/>
  <c r="N11" i="44"/>
  <c r="L11" i="44"/>
  <c r="K11" i="44"/>
  <c r="J11" i="44"/>
  <c r="I11" i="44"/>
  <c r="H11" i="44"/>
  <c r="G11" i="44"/>
  <c r="F11" i="44"/>
  <c r="E11" i="44"/>
  <c r="D11" i="44"/>
  <c r="C11" i="44"/>
  <c r="B11" i="44"/>
  <c r="N9" i="44"/>
  <c r="L9" i="44"/>
  <c r="K9" i="44"/>
  <c r="J9" i="44"/>
  <c r="I9" i="44"/>
  <c r="H9" i="44"/>
  <c r="G9" i="44"/>
  <c r="F9" i="44"/>
  <c r="E9" i="44"/>
  <c r="D9" i="44"/>
  <c r="C9" i="44"/>
  <c r="B9" i="44"/>
  <c r="N8" i="44"/>
  <c r="L8" i="44"/>
  <c r="K8" i="44"/>
  <c r="J8" i="44"/>
  <c r="I8" i="44"/>
  <c r="H8" i="44"/>
  <c r="G8" i="44"/>
  <c r="F8" i="44"/>
  <c r="E8" i="44"/>
  <c r="D8" i="44"/>
  <c r="C8" i="44"/>
  <c r="B8" i="44"/>
  <c r="AA7" i="44"/>
  <c r="N7" i="44"/>
  <c r="L7" i="44"/>
  <c r="K7" i="44"/>
  <c r="J7" i="44"/>
  <c r="I7" i="44"/>
  <c r="H7" i="44"/>
  <c r="G7" i="44"/>
  <c r="F7" i="44"/>
  <c r="C7" i="44"/>
  <c r="B7" i="44"/>
  <c r="N5" i="44"/>
  <c r="L5" i="44"/>
  <c r="K5" i="44"/>
  <c r="J5" i="44"/>
  <c r="I5" i="44"/>
  <c r="H5" i="44"/>
  <c r="G5" i="44"/>
  <c r="F5" i="44"/>
  <c r="E5" i="44"/>
  <c r="D5" i="44"/>
  <c r="C5" i="44"/>
  <c r="B5" i="44"/>
  <c r="AA13" i="1"/>
  <c r="AB13" i="1"/>
  <c r="AD13" i="1"/>
  <c r="AJ13" i="44"/>
  <c r="AL13" i="1"/>
  <c r="AD13" i="44"/>
  <c r="AE13" i="44"/>
  <c r="AF13" i="44"/>
  <c r="AG13" i="44"/>
  <c r="AD11" i="44"/>
  <c r="AE11" i="44"/>
  <c r="AF11" i="44"/>
  <c r="AG11" i="44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J32" i="44"/>
  <c r="T32" i="44"/>
  <c r="AL31" i="1"/>
  <c r="AK31" i="44"/>
  <c r="AJ31" i="44"/>
  <c r="AD31" i="1"/>
  <c r="AC31" i="1"/>
  <c r="AB31" i="1"/>
  <c r="AA31" i="1"/>
  <c r="AG31" i="44"/>
  <c r="AF31" i="44"/>
  <c r="AE31" i="44"/>
  <c r="AD31" i="44"/>
  <c r="AC31" i="44"/>
  <c r="AE12" i="45"/>
  <c r="AE26" i="45" s="1"/>
  <c r="AE8" i="45"/>
  <c r="AE28" i="45" s="1"/>
  <c r="AE7" i="45"/>
  <c r="AA31" i="44"/>
  <c r="N31" i="44"/>
  <c r="L31" i="44"/>
  <c r="K31" i="44"/>
  <c r="J31" i="44"/>
  <c r="I31" i="44"/>
  <c r="H31" i="44"/>
  <c r="G31" i="44"/>
  <c r="F31" i="44"/>
  <c r="E31" i="44"/>
  <c r="D31" i="44"/>
  <c r="C31" i="44"/>
  <c r="B31" i="44"/>
  <c r="Z31" i="44"/>
  <c r="Y31" i="44"/>
  <c r="X31" i="44"/>
  <c r="W31" i="44"/>
  <c r="V31" i="44"/>
  <c r="U31" i="44"/>
  <c r="T31" i="44"/>
  <c r="M31" i="44"/>
  <c r="BH31" i="1"/>
  <c r="BG31" i="1"/>
  <c r="BE31" i="1"/>
  <c r="BB31" i="1"/>
  <c r="BA31" i="1"/>
  <c r="AW31" i="1"/>
  <c r="AJ30" i="44"/>
  <c r="AC30" i="1"/>
  <c r="AB30" i="1"/>
  <c r="AA30" i="1"/>
  <c r="AG30" i="44"/>
  <c r="AF30" i="44"/>
  <c r="AE30" i="44"/>
  <c r="AD30" i="44"/>
  <c r="AD12" i="45"/>
  <c r="AD26" i="45" s="1"/>
  <c r="AD9" i="45"/>
  <c r="AD8" i="45"/>
  <c r="AD28" i="45" s="1"/>
  <c r="AD7" i="45"/>
  <c r="N30" i="44"/>
  <c r="L30" i="44"/>
  <c r="K30" i="44"/>
  <c r="J30" i="44"/>
  <c r="I30" i="44"/>
  <c r="H30" i="44"/>
  <c r="G30" i="44"/>
  <c r="F30" i="44"/>
  <c r="E30" i="44"/>
  <c r="D30" i="44"/>
  <c r="C30" i="44"/>
  <c r="B30" i="44"/>
  <c r="BG30" i="1"/>
  <c r="BE30" i="1"/>
  <c r="AQ30" i="1"/>
  <c r="AL29" i="1"/>
  <c r="AJ29" i="44"/>
  <c r="AD29" i="1"/>
  <c r="AC29" i="1"/>
  <c r="AB29" i="1"/>
  <c r="AA29" i="1"/>
  <c r="AG29" i="44"/>
  <c r="AF29" i="44"/>
  <c r="AE29" i="44"/>
  <c r="AD29" i="44"/>
  <c r="AC12" i="45"/>
  <c r="AC26" i="45" s="1"/>
  <c r="AC8" i="45"/>
  <c r="AC28" i="45" s="1"/>
  <c r="AC7" i="45"/>
  <c r="N29" i="44"/>
  <c r="L29" i="44"/>
  <c r="K29" i="44"/>
  <c r="J29" i="44"/>
  <c r="I29" i="44"/>
  <c r="H29" i="44"/>
  <c r="G29" i="44"/>
  <c r="F29" i="44"/>
  <c r="E29" i="44"/>
  <c r="D29" i="44"/>
  <c r="C29" i="44"/>
  <c r="B29" i="44"/>
  <c r="BG29" i="1"/>
  <c r="BE29" i="1"/>
  <c r="BD29" i="1"/>
  <c r="BB29" i="1"/>
  <c r="BA29" i="1"/>
  <c r="AI28" i="44"/>
  <c r="AL28" i="44"/>
  <c r="AK28" i="44"/>
  <c r="AJ28" i="44"/>
  <c r="AD28" i="1"/>
  <c r="AC28" i="1"/>
  <c r="AB28" i="1"/>
  <c r="AA28" i="1"/>
  <c r="AG28" i="44"/>
  <c r="AF28" i="44"/>
  <c r="AE28" i="44"/>
  <c r="AD28" i="44"/>
  <c r="AB12" i="45"/>
  <c r="AB26" i="45" s="1"/>
  <c r="AB8" i="45"/>
  <c r="AB28" i="45" s="1"/>
  <c r="AB7" i="45"/>
  <c r="N28" i="44"/>
  <c r="L28" i="44"/>
  <c r="K28" i="44"/>
  <c r="J28" i="44"/>
  <c r="I28" i="44"/>
  <c r="H28" i="44"/>
  <c r="G28" i="44"/>
  <c r="F28" i="44"/>
  <c r="E28" i="44"/>
  <c r="D28" i="44"/>
  <c r="C28" i="44"/>
  <c r="B28" i="44"/>
  <c r="BH28" i="1"/>
  <c r="BG28" i="1"/>
  <c r="BF28" i="1"/>
  <c r="BD28" i="1"/>
  <c r="BC28" i="1"/>
  <c r="BB28" i="1"/>
  <c r="BA28" i="1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AL28" i="1"/>
  <c r="AJ26" i="44"/>
  <c r="AD26" i="1"/>
  <c r="AC26" i="1"/>
  <c r="AB26" i="1"/>
  <c r="AA26" i="1"/>
  <c r="AG26" i="44"/>
  <c r="AF26" i="44"/>
  <c r="AE26" i="44"/>
  <c r="AD26" i="44"/>
  <c r="Z12" i="45"/>
  <c r="Z26" i="45" s="1"/>
  <c r="Z8" i="45"/>
  <c r="Z28" i="45" s="1"/>
  <c r="Z7" i="45"/>
  <c r="N26" i="44"/>
  <c r="L26" i="44"/>
  <c r="K26" i="44"/>
  <c r="J26" i="44"/>
  <c r="I26" i="44"/>
  <c r="H26" i="44"/>
  <c r="G26" i="44"/>
  <c r="F26" i="44"/>
  <c r="E26" i="44"/>
  <c r="D26" i="44"/>
  <c r="M26" i="44"/>
  <c r="BH26" i="1"/>
  <c r="BG26" i="1"/>
  <c r="BF26" i="1"/>
  <c r="BE26" i="1"/>
  <c r="BD26" i="1"/>
  <c r="BC26" i="1"/>
  <c r="BB26" i="1"/>
  <c r="BA26" i="1"/>
  <c r="AW26" i="1"/>
  <c r="AL24" i="1"/>
  <c r="AL24" i="44"/>
  <c r="AJ24" i="44"/>
  <c r="AD24" i="1"/>
  <c r="AB24" i="1"/>
  <c r="AA24" i="1"/>
  <c r="AG24" i="44"/>
  <c r="AF24" i="44"/>
  <c r="AE24" i="44"/>
  <c r="AD24" i="44"/>
  <c r="X12" i="45"/>
  <c r="X26" i="45" s="1"/>
  <c r="X8" i="45"/>
  <c r="X28" i="45" s="1"/>
  <c r="X7" i="45"/>
  <c r="B24" i="44"/>
  <c r="AL23" i="1"/>
  <c r="AL23" i="44"/>
  <c r="AJ23" i="44"/>
  <c r="AD23" i="1"/>
  <c r="AB23" i="1"/>
  <c r="AA23" i="1"/>
  <c r="AG23" i="44"/>
  <c r="AF23" i="44"/>
  <c r="AE23" i="44"/>
  <c r="AD23" i="44"/>
  <c r="W12" i="45"/>
  <c r="W26" i="45" s="1"/>
  <c r="W8" i="45"/>
  <c r="W28" i="45" s="1"/>
  <c r="W7" i="45"/>
  <c r="N23" i="44"/>
  <c r="L23" i="44"/>
  <c r="K23" i="44"/>
  <c r="J23" i="44"/>
  <c r="I23" i="44"/>
  <c r="H23" i="44"/>
  <c r="G23" i="44"/>
  <c r="F23" i="44"/>
  <c r="E23" i="44"/>
  <c r="D23" i="44"/>
  <c r="C23" i="44"/>
  <c r="B23" i="44"/>
  <c r="AL22" i="1"/>
  <c r="AJ22" i="44"/>
  <c r="AD22" i="1"/>
  <c r="AB22" i="1"/>
  <c r="AA22" i="1"/>
  <c r="AD22" i="44"/>
  <c r="V7" i="45"/>
  <c r="N22" i="44"/>
  <c r="L22" i="44"/>
  <c r="K22" i="44"/>
  <c r="J22" i="44"/>
  <c r="I22" i="44"/>
  <c r="H22" i="44"/>
  <c r="G22" i="44"/>
  <c r="F22" i="44"/>
  <c r="E22" i="44"/>
  <c r="D22" i="44"/>
  <c r="C22" i="44"/>
  <c r="B22" i="44"/>
  <c r="BH22" i="1"/>
  <c r="BG22" i="1"/>
  <c r="BF22" i="1"/>
  <c r="BE22" i="1"/>
  <c r="BD22" i="1"/>
  <c r="BB22" i="1"/>
  <c r="BA22" i="1"/>
  <c r="AJ21" i="44"/>
  <c r="AG21" i="44"/>
  <c r="AF21" i="44"/>
  <c r="AE21" i="44"/>
  <c r="AD21" i="44"/>
  <c r="U12" i="45"/>
  <c r="U26" i="45" s="1"/>
  <c r="U8" i="45"/>
  <c r="U28" i="45" s="1"/>
  <c r="U7" i="45"/>
  <c r="N21" i="44"/>
  <c r="L21" i="44"/>
  <c r="K21" i="44"/>
  <c r="J21" i="44"/>
  <c r="I21" i="44"/>
  <c r="H21" i="44"/>
  <c r="G21" i="44"/>
  <c r="F21" i="44"/>
  <c r="E21" i="44"/>
  <c r="D21" i="44"/>
  <c r="C21" i="44"/>
  <c r="BH21" i="1"/>
  <c r="BG21" i="1"/>
  <c r="BD21" i="1"/>
  <c r="BB21" i="1"/>
  <c r="AW21" i="1"/>
  <c r="AI20" i="44"/>
  <c r="AJ20" i="44"/>
  <c r="AG20" i="44"/>
  <c r="AF20" i="44"/>
  <c r="AE20" i="44"/>
  <c r="AD20" i="44"/>
  <c r="T12" i="45"/>
  <c r="T26" i="45" s="1"/>
  <c r="T8" i="45"/>
  <c r="T7" i="45"/>
  <c r="N20" i="44"/>
  <c r="L20" i="44"/>
  <c r="K20" i="44"/>
  <c r="J20" i="44"/>
  <c r="I20" i="44"/>
  <c r="H20" i="44"/>
  <c r="G20" i="44"/>
  <c r="F20" i="44"/>
  <c r="E20" i="44"/>
  <c r="D20" i="44"/>
  <c r="C20" i="44"/>
  <c r="M20" i="44"/>
  <c r="BF20" i="1"/>
  <c r="BD20" i="1"/>
  <c r="BB20" i="1"/>
  <c r="AL19" i="1"/>
  <c r="AJ19" i="44"/>
  <c r="AD19" i="1"/>
  <c r="AC19" i="1"/>
  <c r="AB19" i="1"/>
  <c r="AA19" i="1"/>
  <c r="AG19" i="44"/>
  <c r="AF19" i="44"/>
  <c r="AE19" i="44"/>
  <c r="AD19" i="44"/>
  <c r="S12" i="45"/>
  <c r="S26" i="45" s="1"/>
  <c r="S8" i="45"/>
  <c r="S28" i="45" s="1"/>
  <c r="S7" i="45"/>
  <c r="N19" i="44"/>
  <c r="L19" i="44"/>
  <c r="K19" i="44"/>
  <c r="J19" i="44"/>
  <c r="I19" i="44"/>
  <c r="H19" i="44"/>
  <c r="G19" i="44"/>
  <c r="F19" i="44"/>
  <c r="E19" i="44"/>
  <c r="D19" i="44"/>
  <c r="C19" i="44"/>
  <c r="B19" i="44"/>
  <c r="Z19" i="44"/>
  <c r="Y19" i="44"/>
  <c r="X19" i="44"/>
  <c r="W19" i="44"/>
  <c r="V19" i="44"/>
  <c r="T19" i="44"/>
  <c r="S19" i="44"/>
  <c r="AL18" i="1"/>
  <c r="AJ18" i="44"/>
  <c r="AB18" i="1"/>
  <c r="AA18" i="1"/>
  <c r="AG18" i="44"/>
  <c r="AF18" i="44"/>
  <c r="AE18" i="44"/>
  <c r="AD18" i="44"/>
  <c r="R12" i="45"/>
  <c r="R26" i="45" s="1"/>
  <c r="R8" i="45"/>
  <c r="R28" i="45" s="1"/>
  <c r="R7" i="45"/>
  <c r="N18" i="44"/>
  <c r="L18" i="44"/>
  <c r="K18" i="44"/>
  <c r="J18" i="44"/>
  <c r="I18" i="44"/>
  <c r="H18" i="44"/>
  <c r="G18" i="44"/>
  <c r="F18" i="44"/>
  <c r="E18" i="44"/>
  <c r="D18" i="44"/>
  <c r="B18" i="44"/>
  <c r="Y18" i="44"/>
  <c r="X18" i="44"/>
  <c r="W18" i="44"/>
  <c r="V18" i="44"/>
  <c r="U18" i="44"/>
  <c r="T18" i="44"/>
  <c r="S18" i="44"/>
  <c r="M18" i="44"/>
  <c r="BH18" i="1"/>
  <c r="BG18" i="1"/>
  <c r="BF18" i="1"/>
  <c r="BE18" i="1"/>
  <c r="BD18" i="1"/>
  <c r="BB18" i="1"/>
  <c r="BI18" i="1"/>
  <c r="AZ18" i="1"/>
  <c r="AL17" i="1"/>
  <c r="AJ17" i="44"/>
  <c r="AD17" i="1"/>
  <c r="AB17" i="1"/>
  <c r="AA17" i="1"/>
  <c r="AG17" i="44"/>
  <c r="AF17" i="44"/>
  <c r="AE17" i="44"/>
  <c r="AD17" i="44"/>
  <c r="Q12" i="45"/>
  <c r="Q26" i="45" s="1"/>
  <c r="Q8" i="45"/>
  <c r="Q28" i="45" s="1"/>
  <c r="Q7" i="45"/>
  <c r="BH17" i="1"/>
  <c r="BF17" i="1"/>
  <c r="BE17" i="1"/>
  <c r="BD17" i="1"/>
  <c r="BB17" i="1"/>
  <c r="BA17" i="1"/>
  <c r="AL16" i="1"/>
  <c r="AL16" i="44"/>
  <c r="AJ16" i="44"/>
  <c r="AD16" i="1"/>
  <c r="AC16" i="1"/>
  <c r="AB16" i="1"/>
  <c r="AA16" i="1"/>
  <c r="AG16" i="44"/>
  <c r="AF16" i="44"/>
  <c r="AE16" i="44"/>
  <c r="AD16" i="44"/>
  <c r="P12" i="45"/>
  <c r="P26" i="45" s="1"/>
  <c r="P10" i="45"/>
  <c r="P8" i="45"/>
  <c r="P28" i="45" s="1"/>
  <c r="P7" i="45"/>
  <c r="BH16" i="1"/>
  <c r="BG16" i="1"/>
  <c r="BF16" i="1"/>
  <c r="BE16" i="1"/>
  <c r="BD16" i="1"/>
  <c r="BB16" i="1"/>
  <c r="BA16" i="1"/>
  <c r="BA14" i="1"/>
  <c r="AC13" i="44"/>
  <c r="BA13" i="1"/>
  <c r="AA12" i="1"/>
  <c r="L12" i="45"/>
  <c r="L26" i="45" s="1"/>
  <c r="L8" i="45"/>
  <c r="L28" i="45" s="1"/>
  <c r="L7" i="45"/>
  <c r="Y12" i="44"/>
  <c r="X12" i="44"/>
  <c r="W12" i="44"/>
  <c r="V12" i="44"/>
  <c r="U12" i="44"/>
  <c r="BH12" i="1"/>
  <c r="BG12" i="1"/>
  <c r="BF12" i="1"/>
  <c r="BE12" i="1"/>
  <c r="BC12" i="1"/>
  <c r="BB12" i="1"/>
  <c r="BA12" i="1"/>
  <c r="AW12" i="1"/>
  <c r="AL11" i="1"/>
  <c r="AJ11" i="44"/>
  <c r="AD11" i="1"/>
  <c r="AC11" i="1"/>
  <c r="AB11" i="1"/>
  <c r="AA11" i="1"/>
  <c r="K12" i="45"/>
  <c r="K26" i="45" s="1"/>
  <c r="K9" i="45"/>
  <c r="K8" i="45"/>
  <c r="K28" i="45" s="1"/>
  <c r="K7" i="45"/>
  <c r="Y11" i="44"/>
  <c r="X11" i="44"/>
  <c r="W11" i="44"/>
  <c r="V11" i="44"/>
  <c r="T11" i="44"/>
  <c r="S11" i="44"/>
  <c r="M11" i="44"/>
  <c r="BH11" i="1"/>
  <c r="BG11" i="1"/>
  <c r="BF11" i="1"/>
  <c r="BE11" i="1"/>
  <c r="BD11" i="1"/>
  <c r="BB11" i="1"/>
  <c r="AW11" i="1"/>
  <c r="AI9" i="44"/>
  <c r="AL9" i="1"/>
  <c r="AK9" i="44"/>
  <c r="AJ9" i="44"/>
  <c r="AD9" i="1"/>
  <c r="AC9" i="1"/>
  <c r="AB9" i="1"/>
  <c r="AG9" i="44"/>
  <c r="AF9" i="44"/>
  <c r="AE9" i="44"/>
  <c r="AD9" i="44"/>
  <c r="I12" i="45"/>
  <c r="I26" i="45" s="1"/>
  <c r="I9" i="45"/>
  <c r="I8" i="45"/>
  <c r="I28" i="45" s="1"/>
  <c r="I7" i="45"/>
  <c r="Y9" i="44"/>
  <c r="X9" i="44"/>
  <c r="W9" i="44"/>
  <c r="V9" i="44"/>
  <c r="U9" i="44"/>
  <c r="T9" i="44"/>
  <c r="S9" i="44"/>
  <c r="M9" i="44"/>
  <c r="BH9" i="1"/>
  <c r="BG9" i="1"/>
  <c r="BF9" i="1"/>
  <c r="BE9" i="1"/>
  <c r="BD9" i="1"/>
  <c r="BC9" i="1"/>
  <c r="BA9" i="1"/>
  <c r="AA8" i="1"/>
  <c r="AB8" i="1"/>
  <c r="AD8" i="1"/>
  <c r="AJ8" i="44"/>
  <c r="AD8" i="44"/>
  <c r="AE8" i="44"/>
  <c r="AF8" i="44"/>
  <c r="AG8" i="44"/>
  <c r="H12" i="45"/>
  <c r="H26" i="45" s="1"/>
  <c r="H8" i="45"/>
  <c r="H28" i="45" s="1"/>
  <c r="H7" i="45"/>
  <c r="T8" i="44"/>
  <c r="U8" i="44"/>
  <c r="V8" i="44"/>
  <c r="W8" i="44"/>
  <c r="X8" i="44"/>
  <c r="Y8" i="44"/>
  <c r="Z8" i="44"/>
  <c r="S8" i="44"/>
  <c r="BB8" i="1"/>
  <c r="BC8" i="1"/>
  <c r="BD8" i="1"/>
  <c r="BE8" i="1"/>
  <c r="BF8" i="1"/>
  <c r="BG8" i="1"/>
  <c r="BH8" i="1"/>
  <c r="M8" i="44"/>
  <c r="BA8" i="1"/>
  <c r="AW8" i="1"/>
  <c r="AC7" i="1"/>
  <c r="AJ7" i="44"/>
  <c r="AK7" i="44"/>
  <c r="AD7" i="44"/>
  <c r="AE7" i="44"/>
  <c r="AF7" i="44"/>
  <c r="AG7" i="44"/>
  <c r="G8" i="45"/>
  <c r="G28" i="45" s="1"/>
  <c r="G12" i="45"/>
  <c r="G26" i="45" s="1"/>
  <c r="G7" i="45"/>
  <c r="T7" i="44"/>
  <c r="U7" i="44"/>
  <c r="V7" i="44"/>
  <c r="W7" i="44"/>
  <c r="X7" i="44"/>
  <c r="Y7" i="44"/>
  <c r="S7" i="44"/>
  <c r="BC7" i="1"/>
  <c r="BD7" i="1"/>
  <c r="BE7" i="1"/>
  <c r="BF7" i="1"/>
  <c r="BH7" i="1"/>
  <c r="M7" i="44"/>
  <c r="AW7" i="1"/>
  <c r="AL30" i="1"/>
  <c r="AC27" i="1"/>
  <c r="AU27" i="1"/>
  <c r="AU21" i="1"/>
  <c r="U19" i="44"/>
  <c r="AK5" i="44"/>
  <c r="AJ5" i="44"/>
  <c r="AD5" i="1"/>
  <c r="AB5" i="1"/>
  <c r="AG5" i="44"/>
  <c r="AF5" i="44"/>
  <c r="AE5" i="44"/>
  <c r="AD5" i="44"/>
  <c r="E12" i="45"/>
  <c r="E26" i="45" s="1"/>
  <c r="E8" i="45"/>
  <c r="E28" i="45" s="1"/>
  <c r="E7" i="45"/>
  <c r="Y5" i="44"/>
  <c r="X5" i="44"/>
  <c r="W5" i="44"/>
  <c r="V5" i="44"/>
  <c r="U5" i="44"/>
  <c r="T5" i="44"/>
  <c r="S5" i="44"/>
  <c r="BD23" i="1"/>
  <c r="AI4" i="44"/>
  <c r="AJ4" i="44"/>
  <c r="AB4" i="1"/>
  <c r="I111" i="41"/>
  <c r="T25" i="1"/>
  <c r="T22" i="1"/>
  <c r="T11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E3" i="41"/>
  <c r="F3" i="41"/>
  <c r="G3" i="41"/>
  <c r="H3" i="41"/>
  <c r="D35" i="1" l="1"/>
  <c r="AH29" i="45"/>
  <c r="AB33" i="1"/>
  <c r="B27" i="44"/>
  <c r="C27" i="44"/>
  <c r="B26" i="44"/>
  <c r="C26" i="44"/>
  <c r="A7" i="46"/>
  <c r="AW33" i="1"/>
  <c r="AT33" i="1"/>
  <c r="AQ33" i="1"/>
  <c r="M29" i="44"/>
  <c r="M30" i="44"/>
  <c r="AW30" i="1"/>
  <c r="M28" i="44"/>
  <c r="M16" i="44"/>
  <c r="M17" i="44"/>
  <c r="BC17" i="1"/>
  <c r="BC16" i="1"/>
  <c r="AW17" i="1"/>
  <c r="AW16" i="1"/>
  <c r="M5" i="44"/>
  <c r="AW5" i="1"/>
  <c r="A4" i="46"/>
  <c r="AM5" i="1"/>
  <c r="AI5" i="44"/>
  <c r="AM8" i="1"/>
  <c r="AI8" i="44"/>
  <c r="AM11" i="1"/>
  <c r="AO11" i="1" s="1"/>
  <c r="AI11" i="44"/>
  <c r="T17" i="44"/>
  <c r="AM18" i="1"/>
  <c r="AI18" i="44"/>
  <c r="AM19" i="1"/>
  <c r="AO19" i="1" s="1"/>
  <c r="AI19" i="44"/>
  <c r="S20" i="44"/>
  <c r="T28" i="45"/>
  <c r="AD20" i="1"/>
  <c r="AL20" i="1"/>
  <c r="AB21" i="1"/>
  <c r="AW22" i="1"/>
  <c r="BB23" i="1"/>
  <c r="S23" i="44"/>
  <c r="BG25" i="1"/>
  <c r="AF25" i="44"/>
  <c r="BB24" i="1"/>
  <c r="T24" i="44"/>
  <c r="T13" i="44"/>
  <c r="S13" i="44"/>
  <c r="AM17" i="1"/>
  <c r="AO17" i="1" s="1"/>
  <c r="AI17" i="44"/>
  <c r="AW20" i="1"/>
  <c r="X21" i="44"/>
  <c r="AA21" i="1"/>
  <c r="AI21" i="44"/>
  <c r="BE23" i="1"/>
  <c r="BB25" i="1"/>
  <c r="BF25" i="1"/>
  <c r="AD25" i="1"/>
  <c r="AL25" i="1"/>
  <c r="S32" i="44"/>
  <c r="BG24" i="1"/>
  <c r="S33" i="44"/>
  <c r="AM7" i="1"/>
  <c r="AI7" i="44"/>
  <c r="AM16" i="1"/>
  <c r="AO16" i="1" s="1"/>
  <c r="AI16" i="44"/>
  <c r="AB20" i="1"/>
  <c r="BA21" i="1"/>
  <c r="AD21" i="1"/>
  <c r="AL21" i="1"/>
  <c r="BH23" i="1"/>
  <c r="BE25" i="1"/>
  <c r="AD25" i="44"/>
  <c r="AC25" i="1"/>
  <c r="AM13" i="1"/>
  <c r="AO13" i="1" s="1"/>
  <c r="AI13" i="44"/>
  <c r="T16" i="44"/>
  <c r="BH24" i="1"/>
  <c r="AW6" i="1"/>
  <c r="T33" i="44"/>
  <c r="AL33" i="1"/>
  <c r="S15" i="44"/>
  <c r="S16" i="44"/>
  <c r="T20" i="44"/>
  <c r="AA20" i="1"/>
  <c r="V21" i="44"/>
  <c r="AC21" i="1"/>
  <c r="AL21" i="44"/>
  <c r="BG23" i="1"/>
  <c r="T23" i="44"/>
  <c r="S24" i="44"/>
  <c r="BH25" i="1"/>
  <c r="AG25" i="44"/>
  <c r="AJ14" i="44"/>
  <c r="T15" i="44"/>
  <c r="AH30" i="45"/>
  <c r="AM33" i="1"/>
  <c r="AI33" i="44"/>
  <c r="AI32" i="44"/>
  <c r="BA19" i="1"/>
  <c r="AM31" i="1"/>
  <c r="AO31" i="1" s="1"/>
  <c r="AI31" i="44"/>
  <c r="AM30" i="1"/>
  <c r="AO30" i="1" s="1"/>
  <c r="AI30" i="44"/>
  <c r="AM29" i="1"/>
  <c r="AO29" i="1" s="1"/>
  <c r="AI29" i="44"/>
  <c r="AM26" i="1"/>
  <c r="AI26" i="44"/>
  <c r="AM25" i="1"/>
  <c r="AI25" i="44"/>
  <c r="AL25" i="44"/>
  <c r="AJ25" i="44"/>
  <c r="AB25" i="1"/>
  <c r="AA25" i="1"/>
  <c r="AE25" i="44"/>
  <c r="Y12" i="45"/>
  <c r="Y26" i="45" s="1"/>
  <c r="Y8" i="45"/>
  <c r="Y28" i="45" s="1"/>
  <c r="Y7" i="45"/>
  <c r="N25" i="44"/>
  <c r="L25" i="44"/>
  <c r="K25" i="44"/>
  <c r="J25" i="44"/>
  <c r="I25" i="44"/>
  <c r="H25" i="44"/>
  <c r="G25" i="44"/>
  <c r="F25" i="44"/>
  <c r="E25" i="44"/>
  <c r="D25" i="44"/>
  <c r="C25" i="44"/>
  <c r="B25" i="44"/>
  <c r="M25" i="44"/>
  <c r="BD25" i="1"/>
  <c r="BC25" i="1"/>
  <c r="BA25" i="1"/>
  <c r="AM24" i="1"/>
  <c r="AO24" i="1" s="1"/>
  <c r="AI24" i="44"/>
  <c r="M24" i="44"/>
  <c r="BD24" i="1"/>
  <c r="BC24" i="1"/>
  <c r="BA24" i="1"/>
  <c r="AW24" i="1"/>
  <c r="AM23" i="1"/>
  <c r="AO23" i="1" s="1"/>
  <c r="AI23" i="44"/>
  <c r="AM22" i="1"/>
  <c r="AO22" i="1" s="1"/>
  <c r="AI22" i="44"/>
  <c r="M22" i="44"/>
  <c r="M23" i="44"/>
  <c r="BC23" i="1"/>
  <c r="BA23" i="1"/>
  <c r="AW23" i="1"/>
  <c r="Z21" i="44"/>
  <c r="M15" i="44"/>
  <c r="Z13" i="44"/>
  <c r="Y13" i="44"/>
  <c r="X13" i="44"/>
  <c r="W13" i="44"/>
  <c r="V13" i="44"/>
  <c r="U13" i="44"/>
  <c r="BH4" i="1"/>
  <c r="AY4" i="1"/>
  <c r="BI4" i="1"/>
  <c r="BG4" i="1"/>
  <c r="U4" i="44"/>
  <c r="AG4" i="44"/>
  <c r="V4" i="44"/>
  <c r="X4" i="44"/>
  <c r="N31" i="31"/>
  <c r="N30" i="31"/>
  <c r="AX4" i="1"/>
  <c r="T4" i="44"/>
  <c r="AM4" i="1"/>
  <c r="M4" i="44"/>
  <c r="AZ4" i="1"/>
  <c r="W4" i="44"/>
  <c r="S4" i="44"/>
  <c r="Y4" i="44"/>
  <c r="AA4" i="1"/>
  <c r="AL4" i="44"/>
  <c r="B4" i="44"/>
  <c r="Z33" i="44"/>
  <c r="Y33" i="44"/>
  <c r="X33" i="44"/>
  <c r="W33" i="44"/>
  <c r="V33" i="44"/>
  <c r="U33" i="44"/>
  <c r="M33" i="44"/>
  <c r="M32" i="44"/>
  <c r="S31" i="44"/>
  <c r="BD31" i="1"/>
  <c r="AW29" i="1"/>
  <c r="S30" i="44"/>
  <c r="W30" i="44"/>
  <c r="V30" i="44"/>
  <c r="Z30" i="44"/>
  <c r="U30" i="44"/>
  <c r="Y30" i="44"/>
  <c r="T30" i="44"/>
  <c r="X30" i="44"/>
  <c r="T29" i="44"/>
  <c r="X29" i="44"/>
  <c r="S29" i="44"/>
  <c r="W29" i="44"/>
  <c r="V29" i="44"/>
  <c r="Z29" i="44"/>
  <c r="U29" i="44"/>
  <c r="Y29" i="44"/>
  <c r="T28" i="44"/>
  <c r="X28" i="44"/>
  <c r="S28" i="44"/>
  <c r="W28" i="44"/>
  <c r="V28" i="44"/>
  <c r="Z28" i="44"/>
  <c r="I28" i="1"/>
  <c r="U28" i="44"/>
  <c r="Y28" i="44"/>
  <c r="V26" i="44"/>
  <c r="Z26" i="44"/>
  <c r="U26" i="44"/>
  <c r="Y26" i="44"/>
  <c r="T26" i="44"/>
  <c r="X26" i="44"/>
  <c r="S26" i="44"/>
  <c r="W26" i="44"/>
  <c r="Z24" i="44"/>
  <c r="Y24" i="44"/>
  <c r="X24" i="44"/>
  <c r="W24" i="44"/>
  <c r="V24" i="44"/>
  <c r="U24" i="44"/>
  <c r="Z23" i="44"/>
  <c r="Y23" i="44"/>
  <c r="X23" i="44"/>
  <c r="W23" i="44"/>
  <c r="V23" i="44"/>
  <c r="U23" i="44"/>
  <c r="T22" i="44"/>
  <c r="S21" i="44"/>
  <c r="T21" i="44"/>
  <c r="Z22" i="44"/>
  <c r="Y22" i="44"/>
  <c r="X22" i="44"/>
  <c r="W22" i="44"/>
  <c r="V22" i="44"/>
  <c r="U22" i="44"/>
  <c r="Y21" i="44"/>
  <c r="W21" i="44"/>
  <c r="U21" i="44"/>
  <c r="Z20" i="44"/>
  <c r="Y20" i="44"/>
  <c r="X20" i="44"/>
  <c r="W20" i="44"/>
  <c r="V20" i="44"/>
  <c r="U20" i="44"/>
  <c r="I17" i="35"/>
  <c r="Y17" i="44"/>
  <c r="X17" i="44"/>
  <c r="W17" i="44"/>
  <c r="V17" i="44"/>
  <c r="U17" i="44"/>
  <c r="S17" i="44"/>
  <c r="I16" i="35"/>
  <c r="Y16" i="44"/>
  <c r="X16" i="44"/>
  <c r="W16" i="44"/>
  <c r="V16" i="44"/>
  <c r="U16" i="44"/>
  <c r="Y15" i="44"/>
  <c r="W15" i="44"/>
  <c r="V15" i="44"/>
  <c r="U15" i="44"/>
  <c r="M8" i="45"/>
  <c r="M28" i="45" s="1"/>
  <c r="M7" i="45"/>
  <c r="BH32" i="1"/>
  <c r="U32" i="44"/>
  <c r="Y32" i="44"/>
  <c r="AF12" i="45"/>
  <c r="AF26" i="45" s="1"/>
  <c r="AD32" i="44"/>
  <c r="AC32" i="1"/>
  <c r="AL32" i="44"/>
  <c r="J32" i="44"/>
  <c r="F32" i="44"/>
  <c r="AW32" i="1"/>
  <c r="BG32" i="1"/>
  <c r="X32" i="44"/>
  <c r="AF7" i="45"/>
  <c r="AF10" i="45"/>
  <c r="AG32" i="44"/>
  <c r="AB32" i="1"/>
  <c r="AK32" i="44"/>
  <c r="K32" i="44"/>
  <c r="G32" i="44"/>
  <c r="C32" i="44"/>
  <c r="D5" i="45"/>
  <c r="BB32" i="1"/>
  <c r="W32" i="44"/>
  <c r="B32" i="44"/>
  <c r="AF9" i="45"/>
  <c r="AF32" i="44"/>
  <c r="L32" i="44"/>
  <c r="H32" i="44"/>
  <c r="D32" i="44"/>
  <c r="BH36" i="1"/>
  <c r="V32" i="44"/>
  <c r="Z32" i="44"/>
  <c r="AE32" i="44"/>
  <c r="AL32" i="1"/>
  <c r="N32" i="44"/>
  <c r="I32" i="44"/>
  <c r="E32" i="44"/>
  <c r="J15" i="44"/>
  <c r="F15" i="44"/>
  <c r="AE15" i="44"/>
  <c r="AU24" i="1"/>
  <c r="BA15" i="1"/>
  <c r="BD15" i="1"/>
  <c r="BH15" i="1"/>
  <c r="O8" i="45"/>
  <c r="O28" i="45" s="1"/>
  <c r="K15" i="44"/>
  <c r="G15" i="44"/>
  <c r="C15" i="44"/>
  <c r="AF15" i="44"/>
  <c r="BE15" i="1"/>
  <c r="O7" i="45"/>
  <c r="O12" i="45"/>
  <c r="O26" i="45" s="1"/>
  <c r="L15" i="44"/>
  <c r="H15" i="44"/>
  <c r="D15" i="44"/>
  <c r="AG15" i="44"/>
  <c r="AW15" i="1"/>
  <c r="AD15" i="44"/>
  <c r="AA15" i="1"/>
  <c r="N15" i="44"/>
  <c r="I15" i="44"/>
  <c r="E15" i="44"/>
  <c r="AB15" i="1"/>
  <c r="AL15" i="1"/>
  <c r="AD15" i="1"/>
  <c r="AM15" i="1"/>
  <c r="AC15" i="1"/>
  <c r="BF15" i="1"/>
  <c r="C14" i="44"/>
  <c r="K14" i="44"/>
  <c r="AM14" i="1"/>
  <c r="N12" i="45"/>
  <c r="N26" i="45" s="1"/>
  <c r="AD14" i="44"/>
  <c r="F14" i="44"/>
  <c r="J14" i="44"/>
  <c r="AB14" i="1"/>
  <c r="N7" i="45"/>
  <c r="AG14" i="44"/>
  <c r="E14" i="44"/>
  <c r="I14" i="44"/>
  <c r="N14" i="44"/>
  <c r="AW14" i="1"/>
  <c r="AC14" i="1"/>
  <c r="AE14" i="44"/>
  <c r="G14" i="44"/>
  <c r="AF14" i="44"/>
  <c r="AA14" i="1"/>
  <c r="D14" i="44"/>
  <c r="H14" i="44"/>
  <c r="L14" i="44"/>
  <c r="AL14" i="1"/>
  <c r="AD14" i="1"/>
  <c r="N8" i="45"/>
  <c r="N28" i="45" s="1"/>
  <c r="T5" i="45"/>
  <c r="U6" i="45"/>
  <c r="Y21" i="1"/>
  <c r="U10" i="45"/>
  <c r="AI21" i="1"/>
  <c r="AK21" i="44"/>
  <c r="AH22" i="1"/>
  <c r="AH24" i="1"/>
  <c r="AI25" i="1"/>
  <c r="AK25" i="44"/>
  <c r="AI26" i="1"/>
  <c r="AK26" i="44"/>
  <c r="AF8" i="45"/>
  <c r="AF28" i="45" s="1"/>
  <c r="AH13" i="1"/>
  <c r="X15" i="1"/>
  <c r="O9" i="45"/>
  <c r="AI15" i="1"/>
  <c r="AK15" i="44"/>
  <c r="G5" i="45"/>
  <c r="J6" i="45"/>
  <c r="Y13" i="1"/>
  <c r="M10" i="45"/>
  <c r="M29" i="45" s="1"/>
  <c r="AH14" i="1"/>
  <c r="AJ12" i="1"/>
  <c r="AL12" i="44"/>
  <c r="AS33" i="1"/>
  <c r="M5" i="45"/>
  <c r="AD5" i="45"/>
  <c r="Y8" i="1"/>
  <c r="H10" i="45"/>
  <c r="AJ17" i="1"/>
  <c r="AL17" i="44"/>
  <c r="AH19" i="1"/>
  <c r="T6" i="45"/>
  <c r="BF21" i="1"/>
  <c r="L5" i="45"/>
  <c r="U5" i="45"/>
  <c r="X5" i="45"/>
  <c r="AC5" i="45"/>
  <c r="AI8" i="1"/>
  <c r="AK8" i="44"/>
  <c r="AJ9" i="1"/>
  <c r="AL9" i="44"/>
  <c r="AM9" i="44" s="1"/>
  <c r="Y11" i="1"/>
  <c r="K10" i="45"/>
  <c r="K24" i="45" s="1"/>
  <c r="AJ11" i="1"/>
  <c r="AL11" i="44"/>
  <c r="N6" i="45"/>
  <c r="P6" i="45"/>
  <c r="Y17" i="1"/>
  <c r="Q10" i="45"/>
  <c r="AI17" i="1"/>
  <c r="AK17" i="44"/>
  <c r="AJ20" i="1"/>
  <c r="AL20" i="44"/>
  <c r="X21" i="1"/>
  <c r="U9" i="45"/>
  <c r="U29" i="45" s="1"/>
  <c r="U30" i="45" s="1"/>
  <c r="AH21" i="1"/>
  <c r="AI23" i="1"/>
  <c r="AK23" i="44"/>
  <c r="AM23" i="44" s="1"/>
  <c r="AH25" i="1"/>
  <c r="AH26" i="1"/>
  <c r="AH31" i="1"/>
  <c r="AI13" i="1"/>
  <c r="AK13" i="44"/>
  <c r="Y15" i="1"/>
  <c r="O10" i="45"/>
  <c r="AJ15" i="1"/>
  <c r="AL15" i="44"/>
  <c r="AH10" i="1"/>
  <c r="X10" i="1"/>
  <c r="J9" i="45"/>
  <c r="T14" i="44"/>
  <c r="AI14" i="1"/>
  <c r="AK14" i="44"/>
  <c r="P5" i="45"/>
  <c r="S14" i="44"/>
  <c r="Q6" i="45"/>
  <c r="K5" i="45"/>
  <c r="O5" i="45"/>
  <c r="R5" i="45"/>
  <c r="S5" i="45"/>
  <c r="V5" i="45"/>
  <c r="AB5" i="45"/>
  <c r="AE5" i="45"/>
  <c r="H6" i="45"/>
  <c r="AJ8" i="1"/>
  <c r="AL8" i="44"/>
  <c r="I6" i="45"/>
  <c r="Y9" i="1"/>
  <c r="I10" i="45"/>
  <c r="I29" i="45" s="1"/>
  <c r="I30" i="45" s="1"/>
  <c r="AI11" i="1"/>
  <c r="AK11" i="44"/>
  <c r="Y12" i="1"/>
  <c r="L10" i="45"/>
  <c r="M6" i="45"/>
  <c r="Y14" i="1"/>
  <c r="N10" i="45"/>
  <c r="AI16" i="1"/>
  <c r="AK16" i="44"/>
  <c r="X17" i="1"/>
  <c r="Q9" i="45"/>
  <c r="AH17" i="1"/>
  <c r="AW18" i="1"/>
  <c r="Y18" i="1"/>
  <c r="R10" i="45"/>
  <c r="AJ18" i="1"/>
  <c r="AL18" i="44"/>
  <c r="AJ19" i="1"/>
  <c r="AL19" i="44"/>
  <c r="Y20" i="1"/>
  <c r="T10" i="45"/>
  <c r="AI20" i="1"/>
  <c r="AK20" i="44"/>
  <c r="AJ22" i="1"/>
  <c r="AL22" i="44"/>
  <c r="AH23" i="1"/>
  <c r="AH30" i="1"/>
  <c r="AJ13" i="1"/>
  <c r="AL13" i="44"/>
  <c r="S6" i="45"/>
  <c r="BF24" i="1"/>
  <c r="Y10" i="1"/>
  <c r="J10" i="45"/>
  <c r="AJ14" i="1"/>
  <c r="AL14" i="44"/>
  <c r="AH12" i="1"/>
  <c r="AY33" i="1"/>
  <c r="AU33" i="1"/>
  <c r="AZ33" i="1"/>
  <c r="X19" i="1"/>
  <c r="S9" i="45"/>
  <c r="H5" i="45"/>
  <c r="O6" i="45"/>
  <c r="AH18" i="1"/>
  <c r="I5" i="45"/>
  <c r="N5" i="45"/>
  <c r="Q5" i="45"/>
  <c r="X8" i="1"/>
  <c r="H9" i="45"/>
  <c r="K6" i="45"/>
  <c r="AH11" i="1"/>
  <c r="L6" i="45"/>
  <c r="X12" i="1"/>
  <c r="L9" i="45"/>
  <c r="X14" i="1"/>
  <c r="N9" i="45"/>
  <c r="X16" i="1"/>
  <c r="P9" i="45"/>
  <c r="AH16" i="1"/>
  <c r="R6" i="45"/>
  <c r="X18" i="1"/>
  <c r="R9" i="45"/>
  <c r="AI18" i="1"/>
  <c r="AK18" i="44"/>
  <c r="AI19" i="1"/>
  <c r="AK19" i="44"/>
  <c r="X20" i="1"/>
  <c r="T9" i="45"/>
  <c r="T29" i="45" s="1"/>
  <c r="T30" i="45" s="1"/>
  <c r="AH20" i="1"/>
  <c r="AI22" i="1"/>
  <c r="AK22" i="44"/>
  <c r="AI24" i="1"/>
  <c r="AK24" i="44"/>
  <c r="AJ26" i="1"/>
  <c r="AL26" i="44"/>
  <c r="AH29" i="1"/>
  <c r="BF6" i="1"/>
  <c r="AJ10" i="1"/>
  <c r="AL10" i="44"/>
  <c r="J5" i="45"/>
  <c r="AI12" i="1"/>
  <c r="AK12" i="44"/>
  <c r="AV33" i="1"/>
  <c r="AR33" i="1"/>
  <c r="BG6" i="1"/>
  <c r="BG7" i="1"/>
  <c r="AJ7" i="1"/>
  <c r="AL7" i="44"/>
  <c r="AM7" i="44" s="1"/>
  <c r="X7" i="1"/>
  <c r="G9" i="45"/>
  <c r="G6" i="45"/>
  <c r="Y7" i="1"/>
  <c r="G10" i="45"/>
  <c r="F6" i="45"/>
  <c r="X6" i="1"/>
  <c r="F9" i="45"/>
  <c r="AJ6" i="1"/>
  <c r="AL6" i="44"/>
  <c r="AM6" i="44" s="1"/>
  <c r="Y6" i="1"/>
  <c r="F10" i="45"/>
  <c r="D7" i="45"/>
  <c r="AK4" i="44"/>
  <c r="D8" i="45"/>
  <c r="D28" i="45" s="1"/>
  <c r="AJ5" i="1"/>
  <c r="AL5" i="44"/>
  <c r="AM5" i="44" s="1"/>
  <c r="AH4" i="1"/>
  <c r="D9" i="45"/>
  <c r="D12" i="45"/>
  <c r="D26" i="45" s="1"/>
  <c r="AX33" i="1"/>
  <c r="AH5" i="45"/>
  <c r="AM34" i="44"/>
  <c r="AG5" i="45"/>
  <c r="AH6" i="45"/>
  <c r="AH24" i="45"/>
  <c r="AG8" i="45"/>
  <c r="AG28" i="45" s="1"/>
  <c r="AH33" i="1"/>
  <c r="AF5" i="45"/>
  <c r="AJ33" i="1"/>
  <c r="AL33" i="44"/>
  <c r="AI33" i="1"/>
  <c r="AK33" i="44"/>
  <c r="Y33" i="1"/>
  <c r="AG10" i="45"/>
  <c r="X33" i="1"/>
  <c r="AG9" i="45"/>
  <c r="AG6" i="45"/>
  <c r="AF6" i="45"/>
  <c r="AJ31" i="1"/>
  <c r="AL31" i="44"/>
  <c r="Y31" i="1"/>
  <c r="AE10" i="45"/>
  <c r="X31" i="1"/>
  <c r="AE9" i="45"/>
  <c r="BF31" i="1"/>
  <c r="AE6" i="45"/>
  <c r="AJ30" i="1"/>
  <c r="AL30" i="44"/>
  <c r="AI30" i="1"/>
  <c r="AK30" i="44"/>
  <c r="Y30" i="1"/>
  <c r="AD10" i="45"/>
  <c r="AD24" i="45" s="1"/>
  <c r="BF30" i="1"/>
  <c r="BF29" i="1"/>
  <c r="BC30" i="1"/>
  <c r="AD6" i="45"/>
  <c r="AJ29" i="1"/>
  <c r="AL29" i="44"/>
  <c r="AI29" i="1"/>
  <c r="AK29" i="44"/>
  <c r="Y29" i="1"/>
  <c r="AC10" i="45"/>
  <c r="X29" i="1"/>
  <c r="AC9" i="45"/>
  <c r="AC6" i="45"/>
  <c r="AM28" i="44"/>
  <c r="Y28" i="1"/>
  <c r="AB10" i="45"/>
  <c r="X28" i="1"/>
  <c r="AB9" i="45"/>
  <c r="AB6" i="45"/>
  <c r="Y5" i="45"/>
  <c r="Z5" i="45"/>
  <c r="Y26" i="1"/>
  <c r="Z10" i="45"/>
  <c r="X26" i="1"/>
  <c r="Z9" i="45"/>
  <c r="Z6" i="45"/>
  <c r="Y25" i="1"/>
  <c r="Y10" i="45"/>
  <c r="X25" i="1"/>
  <c r="Y9" i="45"/>
  <c r="Y6" i="45"/>
  <c r="Y24" i="1"/>
  <c r="X10" i="45"/>
  <c r="X24" i="1"/>
  <c r="X9" i="45"/>
  <c r="X6" i="45"/>
  <c r="Y23" i="1"/>
  <c r="W10" i="45"/>
  <c r="Y22" i="1"/>
  <c r="V10" i="45"/>
  <c r="X23" i="1"/>
  <c r="W9" i="45"/>
  <c r="X22" i="1"/>
  <c r="V9" i="45"/>
  <c r="W6" i="45"/>
  <c r="V6" i="45"/>
  <c r="D10" i="45"/>
  <c r="D6" i="45"/>
  <c r="Y5" i="1"/>
  <c r="E10" i="45"/>
  <c r="E5" i="45"/>
  <c r="X5" i="1"/>
  <c r="E9" i="45"/>
  <c r="E6" i="45"/>
  <c r="W4" i="1"/>
  <c r="X4" i="1"/>
  <c r="AA4" i="44"/>
  <c r="E11" i="35"/>
  <c r="G11" i="35" s="1"/>
  <c r="W19" i="1"/>
  <c r="W8" i="1"/>
  <c r="W9" i="1"/>
  <c r="W30" i="1"/>
  <c r="W18" i="1"/>
  <c r="W20" i="1"/>
  <c r="W23" i="1"/>
  <c r="E17" i="35"/>
  <c r="G17" i="35" s="1"/>
  <c r="E15" i="35"/>
  <c r="G15" i="35" s="1"/>
  <c r="E16" i="35"/>
  <c r="G16" i="35" s="1"/>
  <c r="W24" i="1"/>
  <c r="W31" i="1"/>
  <c r="W33" i="1"/>
  <c r="E12" i="35"/>
  <c r="G12" i="35" s="1"/>
  <c r="W21" i="1"/>
  <c r="W25" i="1"/>
  <c r="W22" i="1"/>
  <c r="E10" i="35"/>
  <c r="G10" i="35" s="1"/>
  <c r="W29" i="1"/>
  <c r="E13" i="35"/>
  <c r="G13" i="35" s="1"/>
  <c r="AL5" i="1"/>
  <c r="AH8" i="1"/>
  <c r="AH7" i="1"/>
  <c r="AL7" i="1"/>
  <c r="AM6" i="1"/>
  <c r="AO6" i="1" s="1"/>
  <c r="AH9" i="1"/>
  <c r="AA7" i="1"/>
  <c r="AH5" i="1"/>
  <c r="AL8" i="1"/>
  <c r="AM9" i="1"/>
  <c r="AO9" i="1" s="1"/>
  <c r="AH6" i="1"/>
  <c r="AC33" i="44"/>
  <c r="AP33" i="1"/>
  <c r="AA9" i="1"/>
  <c r="AE9" i="1" s="1"/>
  <c r="AI10" i="1"/>
  <c r="AM10" i="1"/>
  <c r="AO10" i="1" s="1"/>
  <c r="I4" i="35"/>
  <c r="Z4" i="44"/>
  <c r="AT18" i="1"/>
  <c r="AQ7" i="1"/>
  <c r="AS7" i="1"/>
  <c r="AQ8" i="1"/>
  <c r="AX8" i="1"/>
  <c r="AB9" i="44"/>
  <c r="AT9" i="1"/>
  <c r="AY9" i="1"/>
  <c r="BI9" i="1"/>
  <c r="I9" i="35"/>
  <c r="Z9" i="44"/>
  <c r="AS11" i="1"/>
  <c r="AZ12" i="1"/>
  <c r="AU12" i="1"/>
  <c r="AY12" i="1"/>
  <c r="BI12" i="1"/>
  <c r="I12" i="35"/>
  <c r="Z12" i="44"/>
  <c r="AB13" i="44"/>
  <c r="AB17" i="44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B7" i="44"/>
  <c r="I7" i="35"/>
  <c r="Z6" i="44"/>
  <c r="BE6" i="1"/>
  <c r="BI6" i="1"/>
  <c r="AY6" i="1"/>
  <c r="I10" i="35"/>
  <c r="Z10" i="44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B8" i="44"/>
  <c r="AS9" i="1"/>
  <c r="AX9" i="1"/>
  <c r="AB11" i="44"/>
  <c r="AQ12" i="1"/>
  <c r="AT12" i="1"/>
  <c r="AB15" i="44"/>
  <c r="AB16" i="44"/>
  <c r="AZ17" i="1"/>
  <c r="AU17" i="1"/>
  <c r="AY17" i="1"/>
  <c r="AU18" i="1"/>
  <c r="AY18" i="1"/>
  <c r="I18" i="35"/>
  <c r="Z18" i="44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B10" i="44"/>
  <c r="AV14" i="1"/>
  <c r="BJ14" i="1" s="1"/>
  <c r="AR14" i="1"/>
  <c r="AX15" i="1"/>
  <c r="AT15" i="1"/>
  <c r="AY13" i="1"/>
  <c r="AU13" i="1"/>
  <c r="BI5" i="1"/>
  <c r="AS29" i="1"/>
  <c r="I5" i="35"/>
  <c r="Z5" i="44"/>
  <c r="AU7" i="1"/>
  <c r="AV8" i="1"/>
  <c r="BJ8" i="1" s="1"/>
  <c r="I9" i="1"/>
  <c r="AR9" i="1"/>
  <c r="I11" i="1"/>
  <c r="AZ11" i="1"/>
  <c r="AU11" i="1"/>
  <c r="AY11" i="1"/>
  <c r="BI11" i="1"/>
  <c r="I13" i="1"/>
  <c r="AB14" i="44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AV31" i="1"/>
  <c r="AS32" i="1"/>
  <c r="AR19" i="1"/>
  <c r="AX24" i="1"/>
  <c r="AS24" i="1"/>
  <c r="AR7" i="1"/>
  <c r="AS6" i="1"/>
  <c r="AB6" i="44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AB34" i="44"/>
  <c r="I6" i="35"/>
  <c r="Z7" i="44"/>
  <c r="AS8" i="1"/>
  <c r="BI8" i="1"/>
  <c r="AU9" i="1"/>
  <c r="AT11" i="1"/>
  <c r="AX11" i="1"/>
  <c r="I11" i="35"/>
  <c r="Z11" i="44"/>
  <c r="AQ13" i="1"/>
  <c r="AQ15" i="1"/>
  <c r="AS17" i="1"/>
  <c r="AB18" i="44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I18" i="1"/>
  <c r="AY29" i="1"/>
  <c r="AU29" i="1"/>
  <c r="AZ29" i="1"/>
  <c r="AY28" i="1"/>
  <c r="AU28" i="1"/>
  <c r="AX30" i="1"/>
  <c r="AX31" i="1"/>
  <c r="I20" i="1"/>
  <c r="AE4" i="44"/>
  <c r="H6" i="35"/>
  <c r="AP8" i="1"/>
  <c r="AC8" i="44"/>
  <c r="AP9" i="1"/>
  <c r="AC9" i="44"/>
  <c r="AP12" i="1"/>
  <c r="AC12" i="44"/>
  <c r="H17" i="35"/>
  <c r="H18" i="35"/>
  <c r="BK19" i="1"/>
  <c r="AA19" i="44"/>
  <c r="M21" i="1"/>
  <c r="AB21" i="44"/>
  <c r="B20" i="44"/>
  <c r="B21" i="44"/>
  <c r="BK21" i="1"/>
  <c r="AA21" i="44"/>
  <c r="M23" i="1"/>
  <c r="AB23" i="44"/>
  <c r="M25" i="1"/>
  <c r="AB25" i="44"/>
  <c r="BK25" i="1"/>
  <c r="AA25" i="44"/>
  <c r="BK26" i="1"/>
  <c r="AA26" i="44"/>
  <c r="M29" i="1"/>
  <c r="AB29" i="44"/>
  <c r="J4" i="44"/>
  <c r="C4" i="44"/>
  <c r="M16" i="35"/>
  <c r="O16" i="35" s="1"/>
  <c r="B16" i="44"/>
  <c r="BK16" i="1"/>
  <c r="AA16" i="44"/>
  <c r="AP6" i="1"/>
  <c r="AC6" i="44"/>
  <c r="BK15" i="1"/>
  <c r="AA15" i="44"/>
  <c r="D17" i="44"/>
  <c r="BK32" i="1"/>
  <c r="AA32" i="44"/>
  <c r="D34" i="44"/>
  <c r="E34" i="44"/>
  <c r="I4" i="44"/>
  <c r="AP5" i="1"/>
  <c r="AC5" i="44"/>
  <c r="AB19" i="44"/>
  <c r="M19" i="1"/>
  <c r="M20" i="1"/>
  <c r="AB20" i="44"/>
  <c r="BH20" i="1"/>
  <c r="AP20" i="1"/>
  <c r="AC20" i="44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K4" i="44"/>
  <c r="E4" i="44"/>
  <c r="BK13" i="1"/>
  <c r="AA11" i="44"/>
  <c r="M15" i="35"/>
  <c r="O15" i="35" s="1"/>
  <c r="B15" i="44"/>
  <c r="BK10" i="1"/>
  <c r="AA10" i="44"/>
  <c r="M10" i="35"/>
  <c r="O10" i="35" s="1"/>
  <c r="B10" i="44"/>
  <c r="E17" i="44"/>
  <c r="M33" i="1"/>
  <c r="AB33" i="44"/>
  <c r="F4" i="44"/>
  <c r="H5" i="35"/>
  <c r="AP7" i="1"/>
  <c r="AC7" i="44"/>
  <c r="H11" i="35"/>
  <c r="AP15" i="1"/>
  <c r="AC15" i="44"/>
  <c r="AP16" i="1"/>
  <c r="AC16" i="44"/>
  <c r="AP19" i="1"/>
  <c r="AC19" i="44"/>
  <c r="AM20" i="1"/>
  <c r="AP21" i="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i="44" s="1"/>
  <c r="AO31" i="44" s="1"/>
  <c r="AP32" i="1"/>
  <c r="AC32" i="44"/>
  <c r="L4" i="44"/>
  <c r="G4" i="44"/>
  <c r="BK5" i="1"/>
  <c r="AA5" i="44"/>
  <c r="BK9" i="1"/>
  <c r="AA9" i="44"/>
  <c r="M14" i="35"/>
  <c r="O14" i="35" s="1"/>
  <c r="B14" i="44"/>
  <c r="BK14" i="1"/>
  <c r="AA14" i="44"/>
  <c r="BK33" i="1"/>
  <c r="AA34" i="44"/>
  <c r="AC34" i="44"/>
  <c r="D4" i="44"/>
  <c r="AF4" i="44"/>
  <c r="AP4" i="1"/>
  <c r="AC4" i="44"/>
  <c r="AB4" i="44"/>
  <c r="H9" i="35"/>
  <c r="AB12" i="44"/>
  <c r="H12" i="35"/>
  <c r="AP13" i="1"/>
  <c r="AP14" i="1"/>
  <c r="AC14" i="44"/>
  <c r="BK20" i="1"/>
  <c r="AA20" i="44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N4" i="44"/>
  <c r="H4" i="44"/>
  <c r="D7" i="44"/>
  <c r="E7" i="44"/>
  <c r="BK8" i="1"/>
  <c r="AA8" i="44"/>
  <c r="M13" i="35"/>
  <c r="O13" i="35" s="1"/>
  <c r="B13" i="44"/>
  <c r="BK24" i="1"/>
  <c r="AA24" i="44"/>
  <c r="H7" i="35"/>
  <c r="AP10" i="1"/>
  <c r="AC10" i="44"/>
  <c r="H10" i="35"/>
  <c r="B17" i="44"/>
  <c r="AD4" i="44"/>
  <c r="AP17" i="1"/>
  <c r="AC17" i="44"/>
  <c r="AP18" i="1"/>
  <c r="AC18" i="44"/>
  <c r="BK18" i="1"/>
  <c r="AA18" i="44"/>
  <c r="BK17" i="1"/>
  <c r="AA17" i="44"/>
  <c r="N17" i="44"/>
  <c r="L17" i="44"/>
  <c r="K17" i="44"/>
  <c r="J17" i="44"/>
  <c r="I17" i="44"/>
  <c r="H17" i="44"/>
  <c r="G17" i="44"/>
  <c r="F17" i="44"/>
  <c r="M18" i="35"/>
  <c r="C18" i="44"/>
  <c r="M17" i="35"/>
  <c r="C17" i="44"/>
  <c r="M4" i="1"/>
  <c r="M18" i="1"/>
  <c r="M10" i="1"/>
  <c r="L28" i="1"/>
  <c r="W13" i="1"/>
  <c r="G8" i="35"/>
  <c r="Q36" i="1"/>
  <c r="I27" i="1"/>
  <c r="P21" i="1"/>
  <c r="V30" i="1"/>
  <c r="V21" i="1"/>
  <c r="V9" i="1"/>
  <c r="V8" i="1"/>
  <c r="V33" i="1"/>
  <c r="AT4" i="1"/>
  <c r="AJ27" i="1"/>
  <c r="AJ28" i="1"/>
  <c r="O27" i="1"/>
  <c r="P24" i="1"/>
  <c r="BB36" i="1"/>
  <c r="BF36" i="1"/>
  <c r="V31" i="1"/>
  <c r="V28" i="1"/>
  <c r="V7" i="1"/>
  <c r="AE29" i="1"/>
  <c r="BC32" i="1"/>
  <c r="V6" i="1"/>
  <c r="AS23" i="1"/>
  <c r="G20" i="42"/>
  <c r="E30" i="42" s="1"/>
  <c r="G30" i="42" s="1"/>
  <c r="I29" i="1"/>
  <c r="W16" i="1"/>
  <c r="P12" i="1"/>
  <c r="E36" i="1"/>
  <c r="BD36" i="1"/>
  <c r="AO18" i="1"/>
  <c r="E18" i="35"/>
  <c r="G18" i="35" s="1"/>
  <c r="BC19" i="1"/>
  <c r="AA36" i="1"/>
  <c r="U36" i="1"/>
  <c r="P16" i="1"/>
  <c r="AT27" i="1"/>
  <c r="BG17" i="1"/>
  <c r="AZ26" i="1"/>
  <c r="I24" i="1"/>
  <c r="BH30" i="1"/>
  <c r="AC13" i="1"/>
  <c r="AE13" i="1" s="1"/>
  <c r="M17" i="1"/>
  <c r="BC27" i="1"/>
  <c r="V26" i="1"/>
  <c r="P17" i="1"/>
  <c r="X30" i="1"/>
  <c r="E9" i="35"/>
  <c r="G9" i="35" s="1"/>
  <c r="V25" i="1"/>
  <c r="V29" i="1"/>
  <c r="V18" i="1"/>
  <c r="V14" i="1"/>
  <c r="V32" i="1"/>
  <c r="P9" i="1"/>
  <c r="BE36" i="1"/>
  <c r="D36" i="1"/>
  <c r="J36" i="1"/>
  <c r="AZ28" i="1"/>
  <c r="I26" i="1"/>
  <c r="BH29" i="1"/>
  <c r="P10" i="1"/>
  <c r="AE16" i="1"/>
  <c r="BC15" i="1"/>
  <c r="M15" i="1"/>
  <c r="M14" i="1"/>
  <c r="V13" i="1"/>
  <c r="AO12" i="1"/>
  <c r="W11" i="1"/>
  <c r="BK12" i="1"/>
  <c r="AV12" i="1"/>
  <c r="P11" i="1"/>
  <c r="M11" i="1"/>
  <c r="BK11" i="1"/>
  <c r="M11" i="35"/>
  <c r="O11" i="35" s="1"/>
  <c r="BC11" i="1"/>
  <c r="W10" i="1"/>
  <c r="I10" i="1"/>
  <c r="BG10" i="1"/>
  <c r="BB14" i="1"/>
  <c r="AZ30" i="1"/>
  <c r="AR5" i="1"/>
  <c r="AZ13" i="1"/>
  <c r="AA10" i="1"/>
  <c r="AJ25" i="1"/>
  <c r="L17" i="35"/>
  <c r="AQ4" i="1"/>
  <c r="AC17" i="1"/>
  <c r="AE17" i="1" s="1"/>
  <c r="AJ24" i="1"/>
  <c r="AZ14" i="1"/>
  <c r="AS16" i="1"/>
  <c r="AC22" i="1"/>
  <c r="AE22" i="1" s="1"/>
  <c r="AR18" i="1"/>
  <c r="AZ20" i="1"/>
  <c r="AH15" i="1"/>
  <c r="AD10" i="1"/>
  <c r="BB13" i="1"/>
  <c r="AS13" i="1"/>
  <c r="AI27" i="1"/>
  <c r="AI28" i="1"/>
  <c r="I12" i="1"/>
  <c r="BA20" i="1"/>
  <c r="AR23" i="1"/>
  <c r="AJ23" i="1"/>
  <c r="AS26" i="1"/>
  <c r="AQ28" i="1"/>
  <c r="X13" i="1"/>
  <c r="AV27" i="1"/>
  <c r="AB36" i="1"/>
  <c r="AR31" i="1"/>
  <c r="AM27" i="1"/>
  <c r="AO27" i="1" s="1"/>
  <c r="I22" i="1"/>
  <c r="BD4" i="1"/>
  <c r="V20" i="1"/>
  <c r="I25" i="1"/>
  <c r="BB30" i="1"/>
  <c r="AL36" i="1"/>
  <c r="V12" i="1"/>
  <c r="V11" i="1"/>
  <c r="BA11" i="1"/>
  <c r="M12" i="1"/>
  <c r="AX12" i="1"/>
  <c r="AQ19" i="1"/>
  <c r="AC23" i="1"/>
  <c r="AE23" i="1" s="1"/>
  <c r="BI29" i="1"/>
  <c r="AD12" i="1"/>
  <c r="AE12" i="1" s="1"/>
  <c r="AJ4" i="1"/>
  <c r="AC20" i="1"/>
  <c r="I30" i="1"/>
  <c r="AT10" i="1"/>
  <c r="AV29" i="1"/>
  <c r="AV30" i="1"/>
  <c r="BG15" i="1"/>
  <c r="W15" i="1"/>
  <c r="AQ23" i="1"/>
  <c r="BF23" i="1"/>
  <c r="AT26" i="1"/>
  <c r="BD30" i="1"/>
  <c r="AI31" i="1"/>
  <c r="M12" i="35"/>
  <c r="O12" i="35" s="1"/>
  <c r="I7" i="1"/>
  <c r="AZ10" i="1"/>
  <c r="AT29" i="1"/>
  <c r="AS4" i="1"/>
  <c r="BC18" i="1"/>
  <c r="AZ22" i="1"/>
  <c r="V27" i="1"/>
  <c r="AE26" i="1"/>
  <c r="O8" i="35"/>
  <c r="V10" i="1"/>
  <c r="F36" i="1"/>
  <c r="V5" i="1"/>
  <c r="AE11" i="1"/>
  <c r="AO28" i="1"/>
  <c r="V24" i="1"/>
  <c r="V15" i="1"/>
  <c r="V22" i="1"/>
  <c r="AE19" i="1"/>
  <c r="G109" i="42"/>
  <c r="G110" i="42" s="1"/>
  <c r="P18" i="1"/>
  <c r="N36" i="1"/>
  <c r="AD36" i="1"/>
  <c r="M9" i="1"/>
  <c r="BB9" i="1"/>
  <c r="AI9" i="1"/>
  <c r="M9" i="35"/>
  <c r="O9" i="35" s="1"/>
  <c r="AQ9" i="1"/>
  <c r="AC8" i="1"/>
  <c r="AE8" i="1" s="1"/>
  <c r="AT8" i="1"/>
  <c r="M8" i="1"/>
  <c r="I8" i="1"/>
  <c r="AS12" i="1"/>
  <c r="T36" i="1"/>
  <c r="V17" i="1"/>
  <c r="X9" i="1"/>
  <c r="AQ11" i="1"/>
  <c r="X11" i="1"/>
  <c r="AR17" i="1"/>
  <c r="W12" i="1"/>
  <c r="E14" i="35"/>
  <c r="G14" i="35" s="1"/>
  <c r="W14" i="1"/>
  <c r="BI15" i="1"/>
  <c r="AZ25" i="1"/>
  <c r="W26" i="1"/>
  <c r="BE28" i="1"/>
  <c r="BE27" i="1"/>
  <c r="W27" i="1"/>
  <c r="Z27" i="1" s="1"/>
  <c r="W28" i="1"/>
  <c r="BC29" i="1"/>
  <c r="AD30" i="1"/>
  <c r="AE30" i="1" s="1"/>
  <c r="Y19" i="1"/>
  <c r="BC14" i="1"/>
  <c r="AT24" i="1"/>
  <c r="AX27" i="1"/>
  <c r="Y16" i="1"/>
  <c r="AJ16" i="1"/>
  <c r="AQ18" i="1"/>
  <c r="L18" i="35"/>
  <c r="V19" i="1"/>
  <c r="AE27" i="1"/>
  <c r="AE28" i="1"/>
  <c r="AZ9" i="1"/>
  <c r="M13" i="1"/>
  <c r="BB15" i="1"/>
  <c r="K8" i="35"/>
  <c r="V16" i="1"/>
  <c r="H4" i="35"/>
  <c r="AR11" i="1"/>
  <c r="I17" i="1"/>
  <c r="AQ21" i="1"/>
  <c r="BC21" i="1"/>
  <c r="AS28" i="1"/>
  <c r="AV11" i="1"/>
  <c r="BJ11" i="1" s="1"/>
  <c r="AQ14" i="1"/>
  <c r="M16" i="1"/>
  <c r="BA18" i="1"/>
  <c r="BA36" i="1" s="1"/>
  <c r="AJ21" i="1"/>
  <c r="AW25" i="1"/>
  <c r="AH28" i="1"/>
  <c r="AH27" i="1"/>
  <c r="AR8" i="1"/>
  <c r="BD12" i="1"/>
  <c r="I16" i="1"/>
  <c r="AC18" i="1"/>
  <c r="AS20" i="1"/>
  <c r="AR22" i="1"/>
  <c r="I23" i="1"/>
  <c r="AT13" i="1"/>
  <c r="AC24" i="1"/>
  <c r="AE24" i="1" s="1"/>
  <c r="V23" i="1"/>
  <c r="AL26" i="1"/>
  <c r="AV9" i="1"/>
  <c r="BJ9" i="1" s="1"/>
  <c r="AR12" i="1"/>
  <c r="AQ16" i="1"/>
  <c r="BI16" i="1"/>
  <c r="BI17" i="1"/>
  <c r="W17" i="1"/>
  <c r="I19" i="1"/>
  <c r="I14" i="1"/>
  <c r="I119" i="42"/>
  <c r="G13" i="42"/>
  <c r="I13" i="42" s="1"/>
  <c r="G113" i="42"/>
  <c r="G114" i="42" s="1"/>
  <c r="G88" i="42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I6" i="1"/>
  <c r="F37" i="1"/>
  <c r="F38" i="1"/>
  <c r="W5" i="1"/>
  <c r="E5" i="35"/>
  <c r="G5" i="35" s="1"/>
  <c r="AI5" i="1"/>
  <c r="AC5" i="1"/>
  <c r="AA5" i="1"/>
  <c r="M5" i="35"/>
  <c r="O5" i="35" s="1"/>
  <c r="BC5" i="1"/>
  <c r="BB4" i="1"/>
  <c r="AX5" i="1"/>
  <c r="AV5" i="1"/>
  <c r="BJ5" i="1" s="1"/>
  <c r="AT5" i="1"/>
  <c r="AZ5" i="1"/>
  <c r="I5" i="1"/>
  <c r="AI4" i="1"/>
  <c r="BA4" i="1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I4" i="1"/>
  <c r="I124" i="42"/>
  <c r="I122" i="42"/>
  <c r="G95" i="42"/>
  <c r="G84" i="42"/>
  <c r="G107" i="42"/>
  <c r="G108" i="42" s="1"/>
  <c r="G58" i="42"/>
  <c r="G103" i="42"/>
  <c r="G104" i="42" s="1"/>
  <c r="G105" i="42"/>
  <c r="G106" i="42" s="1"/>
  <c r="G111" i="42"/>
  <c r="G112" i="42" s="1"/>
  <c r="G46" i="42"/>
  <c r="E27" i="42"/>
  <c r="G27" i="42" s="1"/>
  <c r="Y32" i="1"/>
  <c r="BK31" i="1"/>
  <c r="AP31" i="1"/>
  <c r="X32" i="1"/>
  <c r="W32" i="1"/>
  <c r="P31" i="1"/>
  <c r="AM32" i="1"/>
  <c r="AJ32" i="1"/>
  <c r="AI32" i="1"/>
  <c r="AH32" i="1"/>
  <c r="AD32" i="1"/>
  <c r="AE31" i="1"/>
  <c r="AA32" i="1"/>
  <c r="BF32" i="1"/>
  <c r="BE32" i="1"/>
  <c r="BD32" i="1"/>
  <c r="BC31" i="1"/>
  <c r="BI32" i="1"/>
  <c r="BA32" i="1"/>
  <c r="AX32" i="1"/>
  <c r="AV32" i="1"/>
  <c r="AU32" i="1"/>
  <c r="AT31" i="1"/>
  <c r="AZ32" i="1"/>
  <c r="I32" i="1"/>
  <c r="BB35" i="1" l="1"/>
  <c r="BE35" i="1"/>
  <c r="AK23" i="1"/>
  <c r="AW35" i="1"/>
  <c r="AC35" i="1"/>
  <c r="AB35" i="1"/>
  <c r="BA35" i="1"/>
  <c r="BD35" i="1"/>
  <c r="AU35" i="1"/>
  <c r="BF35" i="1"/>
  <c r="AY35" i="1"/>
  <c r="BK35" i="1"/>
  <c r="AL35" i="1"/>
  <c r="AA35" i="1"/>
  <c r="AX35" i="1"/>
  <c r="BI35" i="1"/>
  <c r="AD35" i="1"/>
  <c r="AP35" i="1"/>
  <c r="AH35" i="1"/>
  <c r="AV35" i="1"/>
  <c r="Y35" i="1"/>
  <c r="AJ35" i="1"/>
  <c r="AQ35" i="1"/>
  <c r="W35" i="1"/>
  <c r="AI35" i="1"/>
  <c r="AS35" i="1"/>
  <c r="X35" i="1"/>
  <c r="AZ35" i="1"/>
  <c r="N29" i="45"/>
  <c r="N30" i="45" s="1"/>
  <c r="AM36" i="1"/>
  <c r="I24" i="45"/>
  <c r="AO14" i="1"/>
  <c r="AO25" i="1"/>
  <c r="O30" i="1"/>
  <c r="O13" i="1"/>
  <c r="O15" i="1"/>
  <c r="S16" i="1"/>
  <c r="O31" i="1"/>
  <c r="L20" i="1"/>
  <c r="O14" i="1"/>
  <c r="R21" i="1"/>
  <c r="O33" i="1"/>
  <c r="O19" i="1"/>
  <c r="L29" i="45"/>
  <c r="L30" i="45" s="1"/>
  <c r="R17" i="1"/>
  <c r="M15" i="47"/>
  <c r="O16" i="1"/>
  <c r="O18" i="1"/>
  <c r="M16" i="47"/>
  <c r="O32" i="1"/>
  <c r="O28" i="1"/>
  <c r="O26" i="1"/>
  <c r="O22" i="1"/>
  <c r="O20" i="1"/>
  <c r="M30" i="45"/>
  <c r="O12" i="1"/>
  <c r="M10" i="47"/>
  <c r="S11" i="1"/>
  <c r="O25" i="1"/>
  <c r="O29" i="1"/>
  <c r="O23" i="1"/>
  <c r="L11" i="1"/>
  <c r="AO8" i="1"/>
  <c r="O24" i="1"/>
  <c r="O21" i="1"/>
  <c r="O11" i="1"/>
  <c r="R24" i="1"/>
  <c r="O10" i="1"/>
  <c r="M8" i="47"/>
  <c r="L9" i="1"/>
  <c r="O9" i="1"/>
  <c r="O8" i="1"/>
  <c r="AO7" i="1"/>
  <c r="O7" i="1"/>
  <c r="O6" i="1"/>
  <c r="O4" i="1"/>
  <c r="AS36" i="1"/>
  <c r="BJ16" i="1"/>
  <c r="H29" i="45"/>
  <c r="H30" i="45" s="1"/>
  <c r="BM28" i="1"/>
  <c r="BN28" i="1"/>
  <c r="I13" i="35"/>
  <c r="AO15" i="1"/>
  <c r="AE14" i="1"/>
  <c r="AO33" i="1"/>
  <c r="BJ22" i="1"/>
  <c r="AW36" i="1"/>
  <c r="AJ36" i="1"/>
  <c r="Q29" i="45"/>
  <c r="Q30" i="45" s="1"/>
  <c r="R29" i="45"/>
  <c r="R30" i="45" s="1"/>
  <c r="BC36" i="1"/>
  <c r="Z16" i="44"/>
  <c r="Z15" i="44"/>
  <c r="Z14" i="1"/>
  <c r="AO5" i="1"/>
  <c r="BL4" i="1"/>
  <c r="AE21" i="1"/>
  <c r="H106" i="31"/>
  <c r="H115" i="31"/>
  <c r="N115" i="31" s="1"/>
  <c r="H110" i="31"/>
  <c r="J110" i="31" s="1"/>
  <c r="H104" i="31"/>
  <c r="N104" i="31" s="1"/>
  <c r="E24" i="45"/>
  <c r="E29" i="45"/>
  <c r="E30" i="45" s="1"/>
  <c r="W24" i="45"/>
  <c r="W29" i="45"/>
  <c r="W30" i="45" s="1"/>
  <c r="H119" i="31"/>
  <c r="J119" i="31" s="1"/>
  <c r="H118" i="31"/>
  <c r="J118" i="31" s="1"/>
  <c r="AE20" i="1"/>
  <c r="Z29" i="45"/>
  <c r="Z30" i="45" s="1"/>
  <c r="O29" i="45"/>
  <c r="O30" i="45" s="1"/>
  <c r="H116" i="31"/>
  <c r="J116" i="31" s="1"/>
  <c r="H117" i="31"/>
  <c r="N117" i="31" s="1"/>
  <c r="H111" i="31"/>
  <c r="N111" i="31" s="1"/>
  <c r="H107" i="31"/>
  <c r="N107" i="31" s="1"/>
  <c r="P24" i="45"/>
  <c r="P29" i="45"/>
  <c r="P30" i="45" s="1"/>
  <c r="S25" i="44"/>
  <c r="J29" i="45"/>
  <c r="J30" i="45" s="1"/>
  <c r="K29" i="45"/>
  <c r="K30" i="45" s="1"/>
  <c r="T24" i="45"/>
  <c r="H112" i="31"/>
  <c r="N112" i="31" s="1"/>
  <c r="H105" i="31"/>
  <c r="H109" i="31"/>
  <c r="N109" i="31" s="1"/>
  <c r="V24" i="45"/>
  <c r="V29" i="45"/>
  <c r="V30" i="45" s="1"/>
  <c r="H120" i="31"/>
  <c r="N120" i="31" s="1"/>
  <c r="S24" i="45"/>
  <c r="S29" i="45"/>
  <c r="S30" i="45" s="1"/>
  <c r="BP4" i="1"/>
  <c r="BN4" i="1"/>
  <c r="AO20" i="1"/>
  <c r="D29" i="45"/>
  <c r="D30" i="45" s="1"/>
  <c r="G29" i="45"/>
  <c r="G30" i="45" s="1"/>
  <c r="T25" i="44"/>
  <c r="F29" i="45"/>
  <c r="F30" i="45" s="1"/>
  <c r="AM21" i="1"/>
  <c r="AO21" i="1" s="1"/>
  <c r="AG29" i="45"/>
  <c r="AG30" i="45" s="1"/>
  <c r="AE29" i="45"/>
  <c r="AE30" i="45" s="1"/>
  <c r="AF29" i="45"/>
  <c r="AF30" i="45" s="1"/>
  <c r="AD29" i="45"/>
  <c r="AD30" i="45" s="1"/>
  <c r="AC29" i="45"/>
  <c r="AC30" i="45" s="1"/>
  <c r="AB29" i="45"/>
  <c r="AB30" i="45" s="1"/>
  <c r="AO26" i="1"/>
  <c r="Y29" i="45"/>
  <c r="Y30" i="45" s="1"/>
  <c r="AE25" i="1"/>
  <c r="X29" i="45"/>
  <c r="X30" i="45" s="1"/>
  <c r="Z25" i="44"/>
  <c r="Y25" i="44"/>
  <c r="X25" i="44"/>
  <c r="W25" i="44"/>
  <c r="V25" i="44"/>
  <c r="U25" i="44"/>
  <c r="P25" i="1"/>
  <c r="R25" i="1" s="1"/>
  <c r="BJ24" i="1"/>
  <c r="AH4" i="44"/>
  <c r="Z21" i="1"/>
  <c r="Y36" i="1"/>
  <c r="AO15" i="44"/>
  <c r="M24" i="45"/>
  <c r="I14" i="35"/>
  <c r="Z14" i="44"/>
  <c r="H13" i="35"/>
  <c r="K13" i="35" s="1"/>
  <c r="AI36" i="1"/>
  <c r="AO4" i="1"/>
  <c r="Z7" i="1"/>
  <c r="N29" i="31"/>
  <c r="J115" i="31"/>
  <c r="N116" i="31"/>
  <c r="J105" i="31"/>
  <c r="N105" i="31"/>
  <c r="J106" i="31"/>
  <c r="N106" i="31"/>
  <c r="N119" i="31"/>
  <c r="N118" i="31"/>
  <c r="BJ33" i="1"/>
  <c r="AF33" i="1"/>
  <c r="BJ29" i="1"/>
  <c r="AM31" i="44"/>
  <c r="U24" i="45"/>
  <c r="Z22" i="1"/>
  <c r="BJ21" i="1"/>
  <c r="AM21" i="44"/>
  <c r="AK19" i="1"/>
  <c r="Z20" i="1"/>
  <c r="AK17" i="1"/>
  <c r="Z18" i="1"/>
  <c r="Z17" i="44"/>
  <c r="O24" i="45"/>
  <c r="H16" i="35"/>
  <c r="K16" i="35" s="1"/>
  <c r="AE15" i="1"/>
  <c r="I15" i="35"/>
  <c r="H15" i="35"/>
  <c r="X15" i="44"/>
  <c r="AM11" i="44"/>
  <c r="AK8" i="1"/>
  <c r="AM25" i="44"/>
  <c r="AM20" i="44"/>
  <c r="R24" i="45"/>
  <c r="AH36" i="1"/>
  <c r="AK26" i="1"/>
  <c r="AF24" i="45"/>
  <c r="AM32" i="44"/>
  <c r="M5" i="1"/>
  <c r="M35" i="1" s="1"/>
  <c r="BJ6" i="1"/>
  <c r="Z6" i="1"/>
  <c r="AK21" i="1"/>
  <c r="BJ18" i="1"/>
  <c r="Y24" i="45"/>
  <c r="X36" i="1"/>
  <c r="AK20" i="1"/>
  <c r="Q24" i="45"/>
  <c r="Z5" i="1"/>
  <c r="K11" i="35"/>
  <c r="AB5" i="44"/>
  <c r="AH5" i="44" s="1"/>
  <c r="AM4" i="44"/>
  <c r="AK18" i="1"/>
  <c r="Z17" i="1"/>
  <c r="AM17" i="44"/>
  <c r="AM16" i="44"/>
  <c r="AK11" i="1"/>
  <c r="W14" i="44"/>
  <c r="Y14" i="44"/>
  <c r="X14" i="44"/>
  <c r="V14" i="44"/>
  <c r="U14" i="44"/>
  <c r="Z24" i="45"/>
  <c r="AK15" i="1"/>
  <c r="AM15" i="44"/>
  <c r="N24" i="45"/>
  <c r="AK14" i="1"/>
  <c r="AK13" i="1"/>
  <c r="BN13" i="1"/>
  <c r="L13" i="1"/>
  <c r="BM13" i="1"/>
  <c r="AK12" i="1"/>
  <c r="Z12" i="1"/>
  <c r="AH11" i="44"/>
  <c r="L24" i="45"/>
  <c r="AK9" i="1"/>
  <c r="J24" i="45"/>
  <c r="H24" i="45"/>
  <c r="AK22" i="1"/>
  <c r="X24" i="45"/>
  <c r="AM10" i="44"/>
  <c r="AH7" i="44"/>
  <c r="AM8" i="44"/>
  <c r="I15" i="1"/>
  <c r="H14" i="35"/>
  <c r="Z29" i="1"/>
  <c r="AK29" i="1"/>
  <c r="AG24" i="45"/>
  <c r="AM24" i="44"/>
  <c r="AM22" i="44"/>
  <c r="AM18" i="44"/>
  <c r="Z9" i="1"/>
  <c r="Z15" i="1"/>
  <c r="Z10" i="1"/>
  <c r="L18" i="1"/>
  <c r="AE24" i="45"/>
  <c r="AM19" i="44"/>
  <c r="AK16" i="1"/>
  <c r="AK24" i="1"/>
  <c r="AK25" i="1"/>
  <c r="AK10" i="1"/>
  <c r="Z8" i="1"/>
  <c r="AM12" i="44"/>
  <c r="AM26" i="44"/>
  <c r="AM14" i="44"/>
  <c r="AM13" i="44"/>
  <c r="AK7" i="1"/>
  <c r="F24" i="45"/>
  <c r="G24" i="45"/>
  <c r="T4" i="1"/>
  <c r="Z4" i="1"/>
  <c r="D24" i="45"/>
  <c r="AK33" i="1"/>
  <c r="AM33" i="44"/>
  <c r="Z33" i="1"/>
  <c r="AK31" i="1"/>
  <c r="Z31" i="1"/>
  <c r="BP31" i="1"/>
  <c r="BQ31" i="1" s="1"/>
  <c r="BJ31" i="1"/>
  <c r="BJ41" i="1" s="1"/>
  <c r="AK30" i="1"/>
  <c r="AM30" i="44"/>
  <c r="AC24" i="45"/>
  <c r="BN30" i="1"/>
  <c r="AM29" i="44"/>
  <c r="AB24" i="45"/>
  <c r="Z28" i="1"/>
  <c r="Z26" i="1"/>
  <c r="AF25" i="1"/>
  <c r="Z25" i="1"/>
  <c r="AF24" i="1"/>
  <c r="AG24" i="1" s="1"/>
  <c r="Z24" i="1"/>
  <c r="Z23" i="1"/>
  <c r="AF18" i="1"/>
  <c r="K9" i="35"/>
  <c r="BN27" i="1"/>
  <c r="AH33" i="44"/>
  <c r="AO33" i="44" s="1"/>
  <c r="AF21" i="1"/>
  <c r="BG20" i="1"/>
  <c r="BL20" i="1" s="1"/>
  <c r="Z19" i="1"/>
  <c r="AK5" i="1"/>
  <c r="K17" i="35"/>
  <c r="AH32" i="44"/>
  <c r="AO32" i="44" s="1"/>
  <c r="BP24" i="1"/>
  <c r="BQ24" i="1" s="1"/>
  <c r="AV36" i="1"/>
  <c r="BL28" i="1"/>
  <c r="AF28" i="1"/>
  <c r="AG28" i="1" s="1"/>
  <c r="BP28" i="1"/>
  <c r="BQ28" i="1" s="1"/>
  <c r="AX36" i="1"/>
  <c r="AH16" i="44"/>
  <c r="AO16" i="44" s="1"/>
  <c r="K18" i="35"/>
  <c r="BP21" i="1"/>
  <c r="BP23" i="1"/>
  <c r="BQ23" i="1" s="1"/>
  <c r="K5" i="35"/>
  <c r="AK6" i="1"/>
  <c r="AF19" i="1"/>
  <c r="AF15" i="1"/>
  <c r="AH17" i="44"/>
  <c r="AO17" i="44" s="1"/>
  <c r="AH19" i="44"/>
  <c r="AO19" i="44" s="1"/>
  <c r="Z30" i="1"/>
  <c r="AH8" i="44"/>
  <c r="AU36" i="1"/>
  <c r="K12" i="35"/>
  <c r="AT36" i="1"/>
  <c r="AH15" i="44"/>
  <c r="O17" i="35"/>
  <c r="AH13" i="44"/>
  <c r="BP13" i="1"/>
  <c r="BQ13" i="1" s="1"/>
  <c r="BP14" i="1"/>
  <c r="BQ14" i="1" s="1"/>
  <c r="AH24" i="44"/>
  <c r="AO24" i="44" s="1"/>
  <c r="AH6" i="44"/>
  <c r="K7" i="35"/>
  <c r="AF16" i="1"/>
  <c r="AG16" i="1" s="1"/>
  <c r="AH10" i="44"/>
  <c r="BJ32" i="1"/>
  <c r="BM18" i="1"/>
  <c r="AH18" i="44"/>
  <c r="AO18" i="44" s="1"/>
  <c r="P33" i="1"/>
  <c r="S33" i="1" s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AH34" i="44"/>
  <c r="AO34" i="44" s="1"/>
  <c r="BL13" i="1"/>
  <c r="AH14" i="44"/>
  <c r="AF13" i="1"/>
  <c r="AG13" i="1" s="1"/>
  <c r="BM11" i="1"/>
  <c r="BN11" i="1"/>
  <c r="K10" i="35"/>
  <c r="AH9" i="44"/>
  <c r="BP10" i="1"/>
  <c r="BM9" i="1"/>
  <c r="BN9" i="1"/>
  <c r="K6" i="35"/>
  <c r="AF8" i="1"/>
  <c r="AG8" i="1" s="1"/>
  <c r="BP8" i="1"/>
  <c r="BQ8" i="1" s="1"/>
  <c r="K4" i="35"/>
  <c r="BP18" i="1"/>
  <c r="BP17" i="1"/>
  <c r="BQ17" i="1" s="1"/>
  <c r="BP19" i="1"/>
  <c r="BQ19" i="1" s="1"/>
  <c r="I21" i="1"/>
  <c r="BJ4" i="1"/>
  <c r="AH12" i="44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M20" i="1" s="1"/>
  <c r="BJ15" i="1"/>
  <c r="AH30" i="44"/>
  <c r="AO30" i="44" s="1"/>
  <c r="AF30" i="1"/>
  <c r="AG30" i="1" s="1"/>
  <c r="BJ30" i="1"/>
  <c r="AH28" i="44"/>
  <c r="AO28" i="44" s="1"/>
  <c r="AH26" i="44"/>
  <c r="AO26" i="44" s="1"/>
  <c r="AH22" i="44"/>
  <c r="AO22" i="44" s="1"/>
  <c r="BN20" i="1"/>
  <c r="P4" i="1"/>
  <c r="AH20" i="44"/>
  <c r="AO20" i="44" s="1"/>
  <c r="AH29" i="44"/>
  <c r="AO29" i="44" s="1"/>
  <c r="AH23" i="44"/>
  <c r="AO23" i="44" s="1"/>
  <c r="AH25" i="44"/>
  <c r="AO25" i="44" s="1"/>
  <c r="AH21" i="44"/>
  <c r="AO21" i="44" s="1"/>
  <c r="O18" i="35"/>
  <c r="M36" i="1"/>
  <c r="BN29" i="1"/>
  <c r="BC22" i="1"/>
  <c r="BN22" i="1" s="1"/>
  <c r="BL11" i="1"/>
  <c r="BN19" i="1"/>
  <c r="BL18" i="1"/>
  <c r="BL9" i="1"/>
  <c r="BN14" i="1"/>
  <c r="BN12" i="1"/>
  <c r="BN26" i="1"/>
  <c r="BN6" i="1"/>
  <c r="BN5" i="1"/>
  <c r="BN32" i="1"/>
  <c r="BM24" i="1"/>
  <c r="BL24" i="1"/>
  <c r="BM5" i="1"/>
  <c r="BL5" i="1"/>
  <c r="BM25" i="1"/>
  <c r="BL25" i="1"/>
  <c r="BM12" i="1"/>
  <c r="BL12" i="1"/>
  <c r="L27" i="1"/>
  <c r="BL27" i="1"/>
  <c r="BM27" i="1"/>
  <c r="BM4" i="1"/>
  <c r="L8" i="1"/>
  <c r="BM8" i="1"/>
  <c r="BL8" i="1"/>
  <c r="BL22" i="1"/>
  <c r="BM22" i="1"/>
  <c r="BM29" i="1"/>
  <c r="BL29" i="1"/>
  <c r="BN25" i="1"/>
  <c r="BN18" i="1"/>
  <c r="BM32" i="1"/>
  <c r="BL32" i="1"/>
  <c r="BL14" i="1"/>
  <c r="BM14" i="1"/>
  <c r="BL23" i="1"/>
  <c r="BM23" i="1"/>
  <c r="BL7" i="1"/>
  <c r="BM7" i="1"/>
  <c r="BL10" i="1"/>
  <c r="BM10" i="1"/>
  <c r="BL6" i="1"/>
  <c r="BM6" i="1"/>
  <c r="BL30" i="1"/>
  <c r="BM30" i="1"/>
  <c r="BL19" i="1"/>
  <c r="BM19" i="1"/>
  <c r="BM16" i="1"/>
  <c r="BL16" i="1"/>
  <c r="BM17" i="1"/>
  <c r="BL17" i="1"/>
  <c r="BL26" i="1"/>
  <c r="BM26" i="1"/>
  <c r="BN24" i="1"/>
  <c r="BN7" i="1"/>
  <c r="BN16" i="1"/>
  <c r="BN23" i="1"/>
  <c r="BN17" i="1"/>
  <c r="BN10" i="1"/>
  <c r="BN8" i="1"/>
  <c r="Z13" i="1"/>
  <c r="P28" i="1"/>
  <c r="BP7" i="1"/>
  <c r="P20" i="1"/>
  <c r="S21" i="1"/>
  <c r="P15" i="1"/>
  <c r="P26" i="1"/>
  <c r="I31" i="1"/>
  <c r="P6" i="1"/>
  <c r="AK4" i="1"/>
  <c r="BP27" i="1"/>
  <c r="BQ27" i="1" s="1"/>
  <c r="S24" i="1"/>
  <c r="P23" i="1"/>
  <c r="R11" i="1"/>
  <c r="Z16" i="1"/>
  <c r="P22" i="1"/>
  <c r="P8" i="1"/>
  <c r="M6" i="47" s="1"/>
  <c r="G31" i="42"/>
  <c r="P13" i="1"/>
  <c r="BP30" i="1"/>
  <c r="BQ30" i="1" s="1"/>
  <c r="L29" i="1"/>
  <c r="P29" i="1"/>
  <c r="Z11" i="1"/>
  <c r="AC36" i="1"/>
  <c r="L22" i="1"/>
  <c r="AO36" i="1"/>
  <c r="R16" i="1"/>
  <c r="S17" i="1"/>
  <c r="AR36" i="1"/>
  <c r="O17" i="1"/>
  <c r="O36" i="1" s="1"/>
  <c r="BG36" i="1"/>
  <c r="L26" i="1"/>
  <c r="L24" i="1"/>
  <c r="P19" i="1"/>
  <c r="AK28" i="1"/>
  <c r="V36" i="1"/>
  <c r="AF17" i="1"/>
  <c r="AG17" i="1" s="1"/>
  <c r="BP15" i="1"/>
  <c r="P14" i="1"/>
  <c r="BP12" i="1"/>
  <c r="BQ12" i="1" s="1"/>
  <c r="S12" i="1"/>
  <c r="R12" i="1"/>
  <c r="AE10" i="1"/>
  <c r="AF10" i="1"/>
  <c r="L10" i="1"/>
  <c r="L12" i="1"/>
  <c r="S10" i="1"/>
  <c r="R10" i="1"/>
  <c r="P30" i="1"/>
  <c r="M28" i="47" s="1"/>
  <c r="W36" i="1"/>
  <c r="AG19" i="1"/>
  <c r="L30" i="1"/>
  <c r="P27" i="1"/>
  <c r="M25" i="47" s="1"/>
  <c r="AF29" i="1"/>
  <c r="AG29" i="1" s="1"/>
  <c r="BP29" i="1"/>
  <c r="BQ29" i="1" s="1"/>
  <c r="L25" i="1"/>
  <c r="AF23" i="1"/>
  <c r="AG23" i="1" s="1"/>
  <c r="AK27" i="1"/>
  <c r="L7" i="1"/>
  <c r="AQ36" i="1"/>
  <c r="AF11" i="1"/>
  <c r="AG11" i="1" s="1"/>
  <c r="BP11" i="1"/>
  <c r="BQ11" i="1" s="1"/>
  <c r="L14" i="1"/>
  <c r="L23" i="1"/>
  <c r="L16" i="1"/>
  <c r="L17" i="1"/>
  <c r="I36" i="1"/>
  <c r="P7" i="1"/>
  <c r="P5" i="1"/>
  <c r="AE18" i="1"/>
  <c r="AE36" i="1" s="1"/>
  <c r="AF9" i="1"/>
  <c r="AG9" i="1" s="1"/>
  <c r="BP9" i="1"/>
  <c r="BQ9" i="1" s="1"/>
  <c r="L19" i="1"/>
  <c r="R18" i="1"/>
  <c r="S18" i="1"/>
  <c r="P36" i="1"/>
  <c r="R9" i="1"/>
  <c r="S9" i="1"/>
  <c r="BP25" i="1"/>
  <c r="AE7" i="1"/>
  <c r="AE6" i="1"/>
  <c r="BP6" i="1"/>
  <c r="AF6" i="1"/>
  <c r="L6" i="1"/>
  <c r="AE5" i="1"/>
  <c r="AF5" i="1"/>
  <c r="BP5" i="1"/>
  <c r="L5" i="1"/>
  <c r="AE4" i="1"/>
  <c r="AF4" i="1"/>
  <c r="L4" i="1"/>
  <c r="AE33" i="1"/>
  <c r="AO32" i="1"/>
  <c r="AE32" i="1"/>
  <c r="G59" i="42"/>
  <c r="I59" i="42" s="1"/>
  <c r="Z32" i="1"/>
  <c r="P32" i="1"/>
  <c r="M30" i="47" s="1"/>
  <c r="AK32" i="1"/>
  <c r="AF32" i="1"/>
  <c r="BP32" i="1"/>
  <c r="R31" i="1"/>
  <c r="S31" i="1"/>
  <c r="L32" i="1"/>
  <c r="M7" i="47" l="1"/>
  <c r="P35" i="1"/>
  <c r="AG14" i="1"/>
  <c r="BG35" i="1"/>
  <c r="V4" i="1"/>
  <c r="V35" i="1" s="1"/>
  <c r="T35" i="1"/>
  <c r="AM35" i="1"/>
  <c r="AT35" i="1"/>
  <c r="BR4" i="1"/>
  <c r="AE35" i="1"/>
  <c r="Z35" i="1"/>
  <c r="AO35" i="1"/>
  <c r="BC35" i="1"/>
  <c r="AK35" i="1"/>
  <c r="M17" i="47"/>
  <c r="N110" i="31"/>
  <c r="J109" i="31"/>
  <c r="J111" i="31"/>
  <c r="M27" i="47"/>
  <c r="BO24" i="1"/>
  <c r="M22" i="47"/>
  <c r="M14" i="47"/>
  <c r="M9" i="47"/>
  <c r="S28" i="1"/>
  <c r="M26" i="47"/>
  <c r="R33" i="1"/>
  <c r="BO33" i="1" s="1"/>
  <c r="R23" i="1"/>
  <c r="M21" i="47"/>
  <c r="S20" i="1"/>
  <c r="M18" i="47"/>
  <c r="L21" i="1"/>
  <c r="M19" i="47"/>
  <c r="BN31" i="1"/>
  <c r="M29" i="47"/>
  <c r="S14" i="1"/>
  <c r="M12" i="47"/>
  <c r="R22" i="1"/>
  <c r="BO22" i="1" s="1"/>
  <c r="M20" i="47"/>
  <c r="S15" i="1"/>
  <c r="BL15" i="1"/>
  <c r="S25" i="1"/>
  <c r="M23" i="47"/>
  <c r="R13" i="1"/>
  <c r="BO13" i="1" s="1"/>
  <c r="M11" i="47"/>
  <c r="R26" i="1"/>
  <c r="BO26" i="1" s="1"/>
  <c r="M24" i="47"/>
  <c r="S7" i="1"/>
  <c r="M5" i="47"/>
  <c r="S6" i="1"/>
  <c r="M4" i="47"/>
  <c r="O5" i="1"/>
  <c r="O35" i="1" s="1"/>
  <c r="S5" i="1"/>
  <c r="S4" i="1"/>
  <c r="S35" i="1" s="1"/>
  <c r="M2" i="47"/>
  <c r="J120" i="31"/>
  <c r="AG21" i="1"/>
  <c r="J112" i="31"/>
  <c r="J104" i="31"/>
  <c r="J117" i="31"/>
  <c r="BQ21" i="1"/>
  <c r="Z36" i="1"/>
  <c r="AK36" i="1"/>
  <c r="K14" i="35"/>
  <c r="BQ5" i="1"/>
  <c r="J107" i="31"/>
  <c r="BQ4" i="1"/>
  <c r="BQ32" i="1"/>
  <c r="BQ25" i="1"/>
  <c r="AG25" i="1"/>
  <c r="BQ18" i="1"/>
  <c r="BQ15" i="1"/>
  <c r="AG15" i="1"/>
  <c r="BQ10" i="1"/>
  <c r="BQ6" i="1"/>
  <c r="BQ7" i="1"/>
  <c r="L15" i="1"/>
  <c r="K15" i="35"/>
  <c r="AG33" i="1"/>
  <c r="R4" i="1"/>
  <c r="AF20" i="1"/>
  <c r="AG20" i="1" s="1"/>
  <c r="BM15" i="1"/>
  <c r="L36" i="1"/>
  <c r="BN15" i="1"/>
  <c r="BM21" i="1"/>
  <c r="BP20" i="1"/>
  <c r="BQ20" i="1" s="1"/>
  <c r="BJ20" i="1"/>
  <c r="BJ35" i="1" s="1"/>
  <c r="BN21" i="1"/>
  <c r="BO21" i="1"/>
  <c r="BP36" i="1"/>
  <c r="BM36" i="1"/>
  <c r="BO11" i="1"/>
  <c r="BL21" i="1"/>
  <c r="BO9" i="1"/>
  <c r="AG7" i="1"/>
  <c r="BL31" i="1"/>
  <c r="BL36" i="1"/>
  <c r="L31" i="1"/>
  <c r="BM31" i="1"/>
  <c r="S26" i="1"/>
  <c r="R20" i="1"/>
  <c r="BO20" i="1" s="1"/>
  <c r="R15" i="1"/>
  <c r="R6" i="1"/>
  <c r="BO6" i="1" s="1"/>
  <c r="R28" i="1"/>
  <c r="BO28" i="1" s="1"/>
  <c r="BO31" i="1"/>
  <c r="S13" i="1"/>
  <c r="S23" i="1"/>
  <c r="S22" i="1"/>
  <c r="R29" i="1"/>
  <c r="BO29" i="1" s="1"/>
  <c r="S29" i="1"/>
  <c r="R8" i="1"/>
  <c r="BO8" i="1" s="1"/>
  <c r="S8" i="1"/>
  <c r="R14" i="1"/>
  <c r="BO14" i="1" s="1"/>
  <c r="AF36" i="1"/>
  <c r="BO16" i="1"/>
  <c r="R19" i="1"/>
  <c r="BO19" i="1" s="1"/>
  <c r="S19" i="1"/>
  <c r="S36" i="1"/>
  <c r="AG18" i="1"/>
  <c r="AG36" i="1" s="1"/>
  <c r="BO12" i="1"/>
  <c r="BO10" i="1"/>
  <c r="AG10" i="1"/>
  <c r="BO25" i="1"/>
  <c r="R27" i="1"/>
  <c r="BO27" i="1" s="1"/>
  <c r="S27" i="1"/>
  <c r="R30" i="1"/>
  <c r="BO30" i="1" s="1"/>
  <c r="S30" i="1"/>
  <c r="R5" i="1"/>
  <c r="R7" i="1"/>
  <c r="BO7" i="1" s="1"/>
  <c r="H70" i="31"/>
  <c r="N70" i="31" s="1"/>
  <c r="H69" i="42"/>
  <c r="K36" i="1"/>
  <c r="BO17" i="1"/>
  <c r="R36" i="1"/>
  <c r="BO18" i="1"/>
  <c r="BO23" i="1"/>
  <c r="AG6" i="1"/>
  <c r="AG5" i="1"/>
  <c r="AG4" i="1"/>
  <c r="AG32" i="1"/>
  <c r="I58" i="42"/>
  <c r="S32" i="1"/>
  <c r="R32" i="1"/>
  <c r="BO32" i="1" s="1"/>
  <c r="BO5" i="1" l="1"/>
  <c r="BO4" i="1"/>
  <c r="R35" i="1"/>
  <c r="M3" i="47"/>
  <c r="AG35" i="1"/>
  <c r="AF35" i="1"/>
  <c r="M13" i="47"/>
  <c r="BO15" i="1"/>
  <c r="BO36" i="1"/>
  <c r="BO35" i="1" l="1"/>
  <c r="H22" i="31"/>
  <c r="J22" i="31" s="1"/>
  <c r="H22" i="42"/>
  <c r="J22" i="42" s="1"/>
  <c r="H24" i="42" l="1"/>
  <c r="J24" i="42" s="1"/>
  <c r="H24" i="31"/>
  <c r="J24" i="31" s="1"/>
  <c r="H124" i="42" l="1"/>
  <c r="J124" i="42" s="1"/>
  <c r="H138" i="31" l="1"/>
  <c r="J138" i="31" s="1"/>
  <c r="H29" i="42"/>
  <c r="J29" i="42" s="1"/>
  <c r="H123" i="42"/>
  <c r="J123" i="42" s="1"/>
  <c r="H121" i="42"/>
  <c r="J121" i="42" s="1"/>
  <c r="H137" i="31" l="1"/>
  <c r="J137" i="31" s="1"/>
  <c r="H135" i="31"/>
  <c r="J135" i="31" s="1"/>
  <c r="H120" i="42"/>
  <c r="J120" i="42" s="1"/>
  <c r="H134" i="31"/>
  <c r="H28" i="42"/>
  <c r="J28" i="42" s="1"/>
  <c r="J134" i="31" l="1"/>
  <c r="H30" i="42"/>
  <c r="J30" i="42" s="1"/>
  <c r="H31" i="42"/>
  <c r="J31" i="42" s="1"/>
  <c r="H27" i="42"/>
  <c r="J27" i="42" s="1"/>
  <c r="I18" i="42" l="1"/>
  <c r="I18" i="31"/>
  <c r="I33" i="1" l="1"/>
  <c r="M31" i="47" l="1"/>
  <c r="I35" i="1"/>
  <c r="I37" i="1" s="1"/>
  <c r="L33" i="1"/>
  <c r="L35" i="1" s="1"/>
  <c r="BN33" i="1"/>
  <c r="BN35" i="1" s="1"/>
  <c r="BM33" i="1"/>
  <c r="BM35" i="1" s="1"/>
  <c r="H18" i="10" l="1"/>
  <c r="J18" i="10" s="1"/>
  <c r="H31" i="10"/>
  <c r="H100" i="10" l="1"/>
  <c r="J100" i="10" s="1"/>
  <c r="H94" i="10"/>
  <c r="J94" i="10" s="1"/>
  <c r="H99" i="10"/>
  <c r="J99" i="10" s="1"/>
  <c r="H98" i="10"/>
  <c r="J98" i="10" s="1"/>
  <c r="H11" i="10"/>
  <c r="J11" i="10" s="1"/>
  <c r="H97" i="10"/>
  <c r="J97" i="10" s="1"/>
  <c r="H138" i="10"/>
  <c r="J138" i="10" s="1"/>
  <c r="H12" i="10"/>
  <c r="J12" i="10" s="1"/>
  <c r="H96" i="10"/>
  <c r="J96" i="10" s="1"/>
  <c r="H137" i="10"/>
  <c r="J137" i="10" s="1"/>
  <c r="H53" i="10"/>
  <c r="J53" i="10" s="1"/>
  <c r="H64" i="10"/>
  <c r="J64" i="10" s="1"/>
  <c r="H74" i="10"/>
  <c r="J74" i="10" s="1"/>
  <c r="H82" i="10"/>
  <c r="J82" i="10" s="1"/>
  <c r="H93" i="10"/>
  <c r="J93" i="10" s="1"/>
  <c r="H125" i="10"/>
  <c r="J125" i="10" s="1"/>
  <c r="H9" i="10"/>
  <c r="J9" i="10" s="1"/>
  <c r="H29" i="10"/>
  <c r="J29" i="10" s="1"/>
  <c r="H42" i="10"/>
  <c r="J42" i="10" s="1"/>
  <c r="H52" i="10"/>
  <c r="J52" i="10" s="1"/>
  <c r="H63" i="10"/>
  <c r="J63" i="10" s="1"/>
  <c r="H73" i="10"/>
  <c r="J73" i="10" s="1"/>
  <c r="H81" i="10"/>
  <c r="J81" i="10" s="1"/>
  <c r="H124" i="10"/>
  <c r="J124" i="10" s="1"/>
  <c r="H51" i="10"/>
  <c r="J51" i="10" s="1"/>
  <c r="H62" i="10"/>
  <c r="J62" i="10" s="1"/>
  <c r="H80" i="10"/>
  <c r="J80" i="10" s="1"/>
  <c r="H123" i="10"/>
  <c r="J123" i="10" s="1"/>
  <c r="H131" i="10"/>
  <c r="J131" i="10" s="1"/>
  <c r="H24" i="10"/>
  <c r="J24" i="10" s="1"/>
  <c r="H58" i="10"/>
  <c r="J58" i="10" s="1"/>
  <c r="H69" i="10"/>
  <c r="J69" i="10" s="1"/>
  <c r="H79" i="10"/>
  <c r="J79" i="10" s="1"/>
  <c r="H136" i="10"/>
  <c r="J136" i="10" s="1"/>
  <c r="H57" i="10"/>
  <c r="J57" i="10" s="1"/>
  <c r="H68" i="10"/>
  <c r="J68" i="10" s="1"/>
  <c r="H78" i="10"/>
  <c r="J78" i="10" s="1"/>
  <c r="H130" i="10"/>
  <c r="J130" i="10" s="1"/>
  <c r="H135" i="10"/>
  <c r="J135" i="10" s="1"/>
  <c r="H23" i="10"/>
  <c r="J23" i="10" s="1"/>
  <c r="H46" i="10"/>
  <c r="J46" i="10" s="1"/>
  <c r="H56" i="10"/>
  <c r="J56" i="10" s="1"/>
  <c r="H67" i="10"/>
  <c r="J67" i="10" s="1"/>
  <c r="H77" i="10"/>
  <c r="J77" i="10" s="1"/>
  <c r="H140" i="10"/>
  <c r="J140" i="10" s="1"/>
  <c r="H45" i="10"/>
  <c r="J45" i="10" s="1"/>
  <c r="H55" i="10"/>
  <c r="J55" i="10" s="1"/>
  <c r="H66" i="10"/>
  <c r="J66" i="10" s="1"/>
  <c r="H76" i="10"/>
  <c r="J76" i="10" s="1"/>
  <c r="H84" i="10"/>
  <c r="J84" i="10" s="1"/>
  <c r="H127" i="10"/>
  <c r="J127" i="10" s="1"/>
  <c r="H133" i="10"/>
  <c r="J133" i="10" s="1"/>
  <c r="H139" i="10"/>
  <c r="J139" i="10" s="1"/>
  <c r="H22" i="10"/>
  <c r="J22" i="10" s="1"/>
  <c r="H54" i="10"/>
  <c r="J54" i="10" s="1"/>
  <c r="H65" i="10"/>
  <c r="J65" i="10" s="1"/>
  <c r="H75" i="10"/>
  <c r="J75" i="10" s="1"/>
  <c r="H83" i="10"/>
  <c r="J83" i="10" s="1"/>
  <c r="H126" i="10"/>
  <c r="J126" i="10" s="1"/>
  <c r="H59" i="10" l="1"/>
  <c r="J59" i="10" s="1"/>
  <c r="H92" i="10"/>
  <c r="J92" i="10" s="1"/>
  <c r="H36" i="10"/>
  <c r="J36" i="10" s="1"/>
  <c r="H37" i="10"/>
  <c r="J37" i="10" s="1"/>
  <c r="H50" i="10"/>
  <c r="J50" i="10" s="1"/>
  <c r="H30" i="10"/>
  <c r="J30" i="10" s="1"/>
  <c r="H95" i="10"/>
  <c r="J95" i="10" s="1"/>
  <c r="H49" i="10"/>
  <c r="J49" i="10" s="1"/>
  <c r="H38" i="10"/>
  <c r="J38" i="10" s="1"/>
  <c r="H8" i="10"/>
  <c r="J8" i="10" s="1"/>
  <c r="H39" i="10"/>
  <c r="J39" i="10" s="1"/>
  <c r="H41" i="10"/>
  <c r="J41" i="10" s="1"/>
  <c r="H10" i="10"/>
  <c r="J10" i="10" s="1"/>
  <c r="H7" i="10"/>
  <c r="J7" i="10" s="1"/>
  <c r="I9" i="10" s="1"/>
  <c r="H13" i="10"/>
  <c r="J13" i="10" s="1"/>
  <c r="H101" i="10"/>
  <c r="J101" i="10" s="1"/>
  <c r="H134" i="10"/>
  <c r="J134" i="10" s="1"/>
  <c r="H19" i="10"/>
  <c r="J19" i="10" s="1"/>
  <c r="H132" i="10"/>
  <c r="J132" i="10" s="1"/>
  <c r="H85" i="10"/>
  <c r="J85" i="10" s="1"/>
  <c r="H28" i="10"/>
  <c r="J28" i="10" s="1"/>
  <c r="H15" i="10"/>
  <c r="J15" i="10" s="1"/>
  <c r="I16" i="10" s="1"/>
  <c r="H35" i="10"/>
  <c r="J35" i="10" s="1"/>
  <c r="H72" i="10"/>
  <c r="J72" i="10" s="1"/>
  <c r="H44" i="10"/>
  <c r="J44" i="10" s="1"/>
  <c r="H43" i="10"/>
  <c r="J43" i="10" s="1"/>
  <c r="H20" i="10"/>
  <c r="J20" i="10" s="1"/>
  <c r="I20" i="10" s="1"/>
  <c r="H27" i="10"/>
  <c r="J27" i="10" s="1"/>
  <c r="H40" i="10"/>
  <c r="J40" i="10" s="1"/>
  <c r="H47" i="10" l="1"/>
  <c r="J47" i="10" s="1"/>
  <c r="H143" i="10"/>
  <c r="J143" i="10" s="1"/>
  <c r="H153" i="10"/>
  <c r="J153" i="10" s="1"/>
  <c r="H152" i="10"/>
  <c r="J152" i="10" s="1"/>
  <c r="H144" i="10"/>
  <c r="J144" i="10" s="1"/>
  <c r="H150" i="10"/>
  <c r="J150" i="10" s="1"/>
  <c r="H146" i="10"/>
  <c r="J146" i="10" s="1"/>
  <c r="H145" i="10"/>
  <c r="J145" i="10" s="1"/>
  <c r="H32" i="10"/>
  <c r="J32" i="10" s="1"/>
  <c r="H151" i="10"/>
  <c r="J151" i="10" s="1"/>
  <c r="H147" i="10"/>
  <c r="J147" i="10" s="1"/>
  <c r="H149" i="10"/>
  <c r="J149" i="10" s="1"/>
  <c r="H142" i="10"/>
  <c r="J142" i="10" s="1"/>
  <c r="H148" i="10"/>
  <c r="J148" i="10" s="1"/>
  <c r="H60" i="10" l="1"/>
  <c r="J60" i="10" s="1"/>
  <c r="H31" i="12" l="1"/>
  <c r="J31" i="12" s="1"/>
  <c r="H31" i="11"/>
  <c r="J31" i="11" s="1"/>
  <c r="H133" i="12"/>
  <c r="J133" i="12" s="1"/>
  <c r="H133" i="11"/>
  <c r="J133" i="11" s="1"/>
  <c r="H31" i="13"/>
  <c r="J31" i="13" s="1"/>
  <c r="H24" i="12" l="1"/>
  <c r="J24" i="12" s="1"/>
  <c r="H24" i="11"/>
  <c r="J24" i="11" s="1"/>
  <c r="H57" i="12" l="1"/>
  <c r="J57" i="12" s="1"/>
  <c r="H57" i="11"/>
  <c r="J57" i="11" s="1"/>
  <c r="H131" i="11"/>
  <c r="J131" i="11" s="1"/>
  <c r="H131" i="12"/>
  <c r="J131" i="12" s="1"/>
  <c r="H31" i="14"/>
  <c r="J31" i="14" s="1"/>
  <c r="H138" i="11"/>
  <c r="J138" i="11" s="1"/>
  <c r="H138" i="12"/>
  <c r="J138" i="12" s="1"/>
  <c r="H11" i="12"/>
  <c r="J11" i="12" s="1"/>
  <c r="H11" i="11"/>
  <c r="J11" i="11" s="1"/>
  <c r="H45" i="11"/>
  <c r="J45" i="11" s="1"/>
  <c r="H45" i="12"/>
  <c r="J45" i="12" s="1"/>
  <c r="H140" i="12"/>
  <c r="J140" i="12" s="1"/>
  <c r="H140" i="11"/>
  <c r="J140" i="11" s="1"/>
  <c r="H43" i="11"/>
  <c r="J43" i="11" s="1"/>
  <c r="H43" i="12"/>
  <c r="J43" i="12" s="1"/>
  <c r="H94" i="11"/>
  <c r="J94" i="11" s="1"/>
  <c r="H94" i="12"/>
  <c r="J94" i="12" s="1"/>
  <c r="H12" i="11"/>
  <c r="J12" i="11" s="1"/>
  <c r="H12" i="12"/>
  <c r="J12" i="12" s="1"/>
  <c r="H73" i="12"/>
  <c r="J73" i="12" s="1"/>
  <c r="H73" i="11"/>
  <c r="J73" i="11" s="1"/>
  <c r="H68" i="11"/>
  <c r="J68" i="11" s="1"/>
  <c r="H68" i="12"/>
  <c r="J68" i="12" s="1"/>
  <c r="H22" i="12"/>
  <c r="J22" i="12" s="1"/>
  <c r="H22" i="11"/>
  <c r="J22" i="11" s="1"/>
  <c r="H31" i="16"/>
  <c r="J31" i="16" s="1"/>
  <c r="H133" i="13"/>
  <c r="J133" i="13" s="1"/>
  <c r="H39" i="11" l="1"/>
  <c r="J39" i="11" s="1"/>
  <c r="H39" i="12"/>
  <c r="J39" i="12" s="1"/>
  <c r="H65" i="11"/>
  <c r="J65" i="11" s="1"/>
  <c r="H65" i="12"/>
  <c r="J65" i="12" s="1"/>
  <c r="H78" i="12"/>
  <c r="J78" i="12" s="1"/>
  <c r="H78" i="11"/>
  <c r="J78" i="11" s="1"/>
  <c r="H83" i="11"/>
  <c r="J83" i="11" s="1"/>
  <c r="H83" i="12"/>
  <c r="J83" i="12" s="1"/>
  <c r="H98" i="12"/>
  <c r="J98" i="12" s="1"/>
  <c r="H98" i="11"/>
  <c r="J98" i="11" s="1"/>
  <c r="H132" i="11"/>
  <c r="J132" i="11" s="1"/>
  <c r="H132" i="12"/>
  <c r="J132" i="12" s="1"/>
  <c r="H38" i="12"/>
  <c r="J38" i="12" s="1"/>
  <c r="H38" i="11"/>
  <c r="J38" i="11" s="1"/>
  <c r="H22" i="13"/>
  <c r="J22" i="13" s="1"/>
  <c r="H28" i="11"/>
  <c r="J28" i="11" s="1"/>
  <c r="H28" i="12"/>
  <c r="J28" i="12" s="1"/>
  <c r="H19" i="11"/>
  <c r="J19" i="11" s="1"/>
  <c r="H19" i="12"/>
  <c r="J19" i="12" s="1"/>
  <c r="H10" i="11"/>
  <c r="J10" i="11" s="1"/>
  <c r="H10" i="12"/>
  <c r="J10" i="12" s="1"/>
  <c r="H63" i="12"/>
  <c r="J63" i="12" s="1"/>
  <c r="H63" i="11"/>
  <c r="J63" i="11" s="1"/>
  <c r="H125" i="12"/>
  <c r="J125" i="12" s="1"/>
  <c r="H125" i="11"/>
  <c r="J125" i="11" s="1"/>
  <c r="H62" i="11"/>
  <c r="J62" i="11" s="1"/>
  <c r="H62" i="12"/>
  <c r="J62" i="12" s="1"/>
  <c r="H137" i="12"/>
  <c r="J137" i="12" s="1"/>
  <c r="H137" i="11"/>
  <c r="J137" i="11" s="1"/>
  <c r="H123" i="11"/>
  <c r="J123" i="11" s="1"/>
  <c r="H123" i="12"/>
  <c r="J123" i="12" s="1"/>
  <c r="H53" i="11"/>
  <c r="J53" i="11" s="1"/>
  <c r="H53" i="12"/>
  <c r="J53" i="12" s="1"/>
  <c r="H76" i="11"/>
  <c r="J76" i="11" s="1"/>
  <c r="H76" i="12"/>
  <c r="J76" i="12" s="1"/>
  <c r="H82" i="11"/>
  <c r="J82" i="11" s="1"/>
  <c r="H82" i="12"/>
  <c r="J82" i="12" s="1"/>
  <c r="H135" i="11"/>
  <c r="J135" i="11" s="1"/>
  <c r="H135" i="12"/>
  <c r="J135" i="12" s="1"/>
  <c r="H49" i="11"/>
  <c r="J49" i="11" s="1"/>
  <c r="H49" i="12"/>
  <c r="J49" i="12" s="1"/>
  <c r="H97" i="12"/>
  <c r="J97" i="12" s="1"/>
  <c r="H97" i="11"/>
  <c r="J97" i="11" s="1"/>
  <c r="H144" i="12"/>
  <c r="J144" i="12" s="1"/>
  <c r="H144" i="11"/>
  <c r="J144" i="11" s="1"/>
  <c r="H59" i="12"/>
  <c r="J59" i="12" s="1"/>
  <c r="H59" i="11"/>
  <c r="J59" i="11" s="1"/>
  <c r="H58" i="11"/>
  <c r="J58" i="11" s="1"/>
  <c r="H58" i="12"/>
  <c r="J58" i="12" s="1"/>
  <c r="H75" i="12"/>
  <c r="J75" i="12" s="1"/>
  <c r="H75" i="11"/>
  <c r="J75" i="11" s="1"/>
  <c r="H136" i="12"/>
  <c r="J136" i="12" s="1"/>
  <c r="H136" i="11"/>
  <c r="J136" i="11" s="1"/>
  <c r="H18" i="12"/>
  <c r="J18" i="12" s="1"/>
  <c r="H18" i="11"/>
  <c r="J18" i="11" s="1"/>
  <c r="H67" i="12"/>
  <c r="J67" i="12" s="1"/>
  <c r="H67" i="11"/>
  <c r="J67" i="11" s="1"/>
  <c r="H80" i="12"/>
  <c r="J80" i="12" s="1"/>
  <c r="H80" i="11"/>
  <c r="J80" i="11" s="1"/>
  <c r="H96" i="12"/>
  <c r="J96" i="12" s="1"/>
  <c r="H96" i="11"/>
  <c r="J96" i="11" s="1"/>
  <c r="H100" i="12"/>
  <c r="J100" i="12" s="1"/>
  <c r="H100" i="11"/>
  <c r="J100" i="11" s="1"/>
  <c r="H127" i="12"/>
  <c r="J127" i="12" s="1"/>
  <c r="H127" i="11"/>
  <c r="J127" i="11" s="1"/>
  <c r="H9" i="12"/>
  <c r="J9" i="12" s="1"/>
  <c r="H9" i="11"/>
  <c r="J9" i="11" s="1"/>
  <c r="H35" i="12"/>
  <c r="J35" i="12" s="1"/>
  <c r="H35" i="11"/>
  <c r="J35" i="11" s="1"/>
  <c r="H92" i="11"/>
  <c r="J92" i="11" s="1"/>
  <c r="H92" i="12"/>
  <c r="J92" i="12" s="1"/>
  <c r="H150" i="12"/>
  <c r="J150" i="12" s="1"/>
  <c r="H150" i="11"/>
  <c r="J150" i="11" s="1"/>
  <c r="H79" i="12"/>
  <c r="J79" i="12" s="1"/>
  <c r="H79" i="11"/>
  <c r="J79" i="11" s="1"/>
  <c r="H57" i="13"/>
  <c r="J57" i="13" s="1"/>
  <c r="H52" i="12"/>
  <c r="J52" i="12" s="1"/>
  <c r="H52" i="11"/>
  <c r="J52" i="11" s="1"/>
  <c r="H99" i="11"/>
  <c r="J99" i="11" s="1"/>
  <c r="H99" i="12"/>
  <c r="J99" i="12" s="1"/>
  <c r="H74" i="12"/>
  <c r="J74" i="12" s="1"/>
  <c r="H74" i="11"/>
  <c r="J74" i="11" s="1"/>
  <c r="H126" i="11"/>
  <c r="J126" i="11" s="1"/>
  <c r="H126" i="12"/>
  <c r="J126" i="12" s="1"/>
  <c r="H130" i="12"/>
  <c r="J130" i="12" s="1"/>
  <c r="H130" i="11"/>
  <c r="J130" i="11" s="1"/>
  <c r="H81" i="12"/>
  <c r="J81" i="12" s="1"/>
  <c r="H81" i="11"/>
  <c r="J81" i="11" s="1"/>
  <c r="H31" i="15"/>
  <c r="J31" i="15" s="1"/>
  <c r="H46" i="11"/>
  <c r="J46" i="11" s="1"/>
  <c r="H46" i="12"/>
  <c r="J46" i="12" s="1"/>
  <c r="H66" i="11"/>
  <c r="J66" i="11" s="1"/>
  <c r="H66" i="12"/>
  <c r="J66" i="12" s="1"/>
  <c r="H142" i="12"/>
  <c r="J142" i="12" s="1"/>
  <c r="H142" i="11"/>
  <c r="J142" i="11" s="1"/>
  <c r="H51" i="11"/>
  <c r="J51" i="11" s="1"/>
  <c r="H51" i="12"/>
  <c r="J51" i="12" s="1"/>
  <c r="H101" i="11"/>
  <c r="J101" i="11" s="1"/>
  <c r="H101" i="12"/>
  <c r="J101" i="12" s="1"/>
  <c r="H124" i="12"/>
  <c r="J124" i="12" s="1"/>
  <c r="H124" i="11"/>
  <c r="J124" i="11" s="1"/>
  <c r="H40" i="12"/>
  <c r="J40" i="12" s="1"/>
  <c r="H40" i="11"/>
  <c r="J40" i="11" s="1"/>
  <c r="H64" i="11"/>
  <c r="J64" i="11" s="1"/>
  <c r="H64" i="12"/>
  <c r="J64" i="12" s="1"/>
  <c r="H23" i="12"/>
  <c r="J23" i="12" s="1"/>
  <c r="H23" i="11"/>
  <c r="J23" i="11" s="1"/>
  <c r="H31" i="17"/>
  <c r="J31" i="17" s="1"/>
  <c r="H24" i="13"/>
  <c r="J24" i="13" s="1"/>
  <c r="H51" i="13" l="1"/>
  <c r="J51" i="13" s="1"/>
  <c r="H85" i="11"/>
  <c r="J85" i="11" s="1"/>
  <c r="H85" i="12"/>
  <c r="J85" i="12" s="1"/>
  <c r="H37" i="12"/>
  <c r="J37" i="12" s="1"/>
  <c r="H37" i="11"/>
  <c r="J37" i="11" s="1"/>
  <c r="H55" i="11"/>
  <c r="J55" i="11" s="1"/>
  <c r="H55" i="12"/>
  <c r="J55" i="12" s="1"/>
  <c r="H77" i="11"/>
  <c r="J77" i="11" s="1"/>
  <c r="H77" i="12"/>
  <c r="J77" i="12" s="1"/>
  <c r="H49" i="13"/>
  <c r="J49" i="13" s="1"/>
  <c r="H95" i="11"/>
  <c r="J95" i="11" s="1"/>
  <c r="H95" i="12"/>
  <c r="J95" i="12" s="1"/>
  <c r="H139" i="12"/>
  <c r="H139" i="11"/>
  <c r="H59" i="13"/>
  <c r="J59" i="13" s="1"/>
  <c r="H149" i="12"/>
  <c r="J149" i="12" s="1"/>
  <c r="H149" i="11"/>
  <c r="J149" i="11" s="1"/>
  <c r="H54" i="12"/>
  <c r="J54" i="12" s="1"/>
  <c r="H54" i="11"/>
  <c r="J54" i="11" s="1"/>
  <c r="H44" i="12"/>
  <c r="J44" i="12" s="1"/>
  <c r="H44" i="11"/>
  <c r="J44" i="11" s="1"/>
  <c r="H50" i="12"/>
  <c r="J50" i="12" s="1"/>
  <c r="H50" i="11"/>
  <c r="J50" i="11" s="1"/>
  <c r="H143" i="11"/>
  <c r="J143" i="11" s="1"/>
  <c r="H143" i="12"/>
  <c r="J143" i="12" s="1"/>
  <c r="H146" i="12"/>
  <c r="J146" i="12" s="1"/>
  <c r="H146" i="11"/>
  <c r="J146" i="11" s="1"/>
  <c r="H42" i="12"/>
  <c r="J42" i="12" s="1"/>
  <c r="H42" i="11"/>
  <c r="J42" i="11" s="1"/>
  <c r="H53" i="13"/>
  <c r="J53" i="13" s="1"/>
  <c r="H72" i="12"/>
  <c r="J72" i="12" s="1"/>
  <c r="H72" i="11"/>
  <c r="J72" i="11" s="1"/>
  <c r="H93" i="12"/>
  <c r="J93" i="12" s="1"/>
  <c r="H93" i="11"/>
  <c r="J93" i="11" s="1"/>
  <c r="H148" i="12"/>
  <c r="J148" i="12" s="1"/>
  <c r="H148" i="11"/>
  <c r="J148" i="11" s="1"/>
  <c r="H134" i="11"/>
  <c r="J134" i="11" s="1"/>
  <c r="H134" i="12"/>
  <c r="J134" i="12" s="1"/>
  <c r="H22" i="14"/>
  <c r="J22" i="14" s="1"/>
  <c r="H13" i="11"/>
  <c r="J13" i="11" s="1"/>
  <c r="H13" i="12"/>
  <c r="J13" i="12" s="1"/>
  <c r="H147" i="12"/>
  <c r="J147" i="12" s="1"/>
  <c r="H147" i="11"/>
  <c r="J147" i="11" s="1"/>
  <c r="H15" i="11"/>
  <c r="J15" i="11" s="1"/>
  <c r="I16" i="11" s="1"/>
  <c r="H15" i="12"/>
  <c r="J15" i="12" s="1"/>
  <c r="I16" i="12" s="1"/>
  <c r="H69" i="11"/>
  <c r="J69" i="11" s="1"/>
  <c r="H69" i="12"/>
  <c r="J69" i="12" s="1"/>
  <c r="H84" i="12"/>
  <c r="J84" i="12" s="1"/>
  <c r="H84" i="11"/>
  <c r="J84" i="11" s="1"/>
  <c r="H36" i="12"/>
  <c r="J36" i="12" s="1"/>
  <c r="H36" i="11"/>
  <c r="J36" i="11" s="1"/>
  <c r="H145" i="12"/>
  <c r="J145" i="12" s="1"/>
  <c r="H145" i="11"/>
  <c r="J145" i="11" s="1"/>
  <c r="H41" i="11"/>
  <c r="J41" i="11" s="1"/>
  <c r="H41" i="12"/>
  <c r="J41" i="12" s="1"/>
  <c r="H52" i="13"/>
  <c r="J52" i="13" s="1"/>
  <c r="H58" i="13"/>
  <c r="J58" i="13" s="1"/>
  <c r="H133" i="14"/>
  <c r="J133" i="14" s="1"/>
  <c r="H56" i="11"/>
  <c r="J56" i="11" s="1"/>
  <c r="H56" i="12"/>
  <c r="J56" i="12" s="1"/>
  <c r="H27" i="11"/>
  <c r="J27" i="11" s="1"/>
  <c r="H27" i="12"/>
  <c r="J27" i="12" s="1"/>
  <c r="H31" i="18"/>
  <c r="H13" i="13"/>
  <c r="J13" i="13" s="1"/>
  <c r="H28" i="13"/>
  <c r="J28" i="13" s="1"/>
  <c r="H94" i="13"/>
  <c r="J94" i="13" s="1"/>
  <c r="H131" i="13"/>
  <c r="J131" i="13" s="1"/>
  <c r="H68" i="13"/>
  <c r="J68" i="13" s="1"/>
  <c r="H45" i="13"/>
  <c r="J45" i="13" s="1"/>
  <c r="H19" i="13"/>
  <c r="J19" i="13" s="1"/>
  <c r="H140" i="13"/>
  <c r="J140" i="13" s="1"/>
  <c r="H138" i="13"/>
  <c r="J138" i="13" s="1"/>
  <c r="H81" i="13"/>
  <c r="J81" i="13" s="1"/>
  <c r="H73" i="13"/>
  <c r="J73" i="13" s="1"/>
  <c r="H43" i="13"/>
  <c r="J43" i="13" s="1"/>
  <c r="H11" i="13" l="1"/>
  <c r="J11" i="13" s="1"/>
  <c r="H12" i="13"/>
  <c r="J12" i="13" s="1"/>
  <c r="H7" i="12"/>
  <c r="J7" i="12" s="1"/>
  <c r="I9" i="12" s="1"/>
  <c r="H7" i="11"/>
  <c r="J7" i="11" s="1"/>
  <c r="I9" i="11" s="1"/>
  <c r="H22" i="15"/>
  <c r="J22" i="15" s="1"/>
  <c r="H56" i="13"/>
  <c r="J56" i="13" s="1"/>
  <c r="F198" i="12"/>
  <c r="J139" i="12"/>
  <c r="H24" i="14"/>
  <c r="J24" i="14" s="1"/>
  <c r="H30" i="12"/>
  <c r="J30" i="12" s="1"/>
  <c r="H30" i="11"/>
  <c r="J30" i="11" s="1"/>
  <c r="F198" i="11"/>
  <c r="J139" i="11"/>
  <c r="H55" i="13"/>
  <c r="J55" i="13" s="1"/>
  <c r="H20" i="11"/>
  <c r="J20" i="11" s="1"/>
  <c r="I20" i="11" s="1"/>
  <c r="H20" i="12"/>
  <c r="J20" i="12" s="1"/>
  <c r="I20" i="12" s="1"/>
  <c r="H29" i="11"/>
  <c r="J29" i="11" s="1"/>
  <c r="H29" i="12"/>
  <c r="J29" i="12" s="1"/>
  <c r="H133" i="15"/>
  <c r="J133" i="15" s="1"/>
  <c r="H47" i="11"/>
  <c r="J47" i="11" s="1"/>
  <c r="H47" i="12"/>
  <c r="J47" i="12" s="1"/>
  <c r="H54" i="13"/>
  <c r="J54" i="13" s="1"/>
  <c r="H50" i="13"/>
  <c r="J50" i="13" s="1"/>
  <c r="H27" i="13"/>
  <c r="J27" i="13" s="1"/>
  <c r="H23" i="13"/>
  <c r="J23" i="13" s="1"/>
  <c r="H22" i="16"/>
  <c r="J22" i="16" s="1"/>
  <c r="H18" i="13"/>
  <c r="J18" i="13" s="1"/>
  <c r="H130" i="13"/>
  <c r="J130" i="13" s="1"/>
  <c r="H136" i="13"/>
  <c r="J136" i="13" s="1"/>
  <c r="H137" i="13"/>
  <c r="J137" i="13" s="1"/>
  <c r="H92" i="13"/>
  <c r="J92" i="13" s="1"/>
  <c r="H77" i="13"/>
  <c r="J77" i="13" s="1"/>
  <c r="H64" i="13"/>
  <c r="J64" i="13" s="1"/>
  <c r="H62" i="13"/>
  <c r="J62" i="13" s="1"/>
  <c r="H38" i="13"/>
  <c r="J38" i="13" s="1"/>
  <c r="H40" i="13"/>
  <c r="J40" i="13" s="1"/>
  <c r="H35" i="13"/>
  <c r="J35" i="13" s="1"/>
  <c r="H135" i="13"/>
  <c r="J135" i="13" s="1"/>
  <c r="H133" i="16"/>
  <c r="J133" i="16" s="1"/>
  <c r="H132" i="13"/>
  <c r="J132" i="13" s="1"/>
  <c r="H125" i="13"/>
  <c r="J125" i="13" s="1"/>
  <c r="H127" i="13"/>
  <c r="J127" i="13" s="1"/>
  <c r="H126" i="13"/>
  <c r="J126" i="13" s="1"/>
  <c r="H124" i="13"/>
  <c r="J124" i="13" s="1"/>
  <c r="H123" i="13"/>
  <c r="J123" i="13" s="1"/>
  <c r="H100" i="13"/>
  <c r="J100" i="13" s="1"/>
  <c r="H99" i="13"/>
  <c r="J99" i="13" s="1"/>
  <c r="H98" i="13"/>
  <c r="J98" i="13" s="1"/>
  <c r="H97" i="13"/>
  <c r="J97" i="13" s="1"/>
  <c r="H96" i="13"/>
  <c r="J96" i="13" s="1"/>
  <c r="H101" i="13"/>
  <c r="J101" i="13" s="1"/>
  <c r="H85" i="13"/>
  <c r="J85" i="13" s="1"/>
  <c r="H83" i="13"/>
  <c r="J83" i="13" s="1"/>
  <c r="H82" i="13"/>
  <c r="J82" i="13" s="1"/>
  <c r="H80" i="13"/>
  <c r="J80" i="13" s="1"/>
  <c r="H79" i="13"/>
  <c r="J79" i="13" s="1"/>
  <c r="H78" i="13"/>
  <c r="J78" i="13" s="1"/>
  <c r="H76" i="13"/>
  <c r="J76" i="13" s="1"/>
  <c r="H75" i="13"/>
  <c r="J75" i="13" s="1"/>
  <c r="H74" i="13"/>
  <c r="J74" i="13" s="1"/>
  <c r="H67" i="13"/>
  <c r="J67" i="13" s="1"/>
  <c r="H66" i="13"/>
  <c r="J66" i="13" s="1"/>
  <c r="H65" i="13"/>
  <c r="J65" i="13" s="1"/>
  <c r="H63" i="13"/>
  <c r="J63" i="13" s="1"/>
  <c r="H46" i="13"/>
  <c r="J46" i="13" s="1"/>
  <c r="H142" i="13"/>
  <c r="J142" i="13" s="1"/>
  <c r="H144" i="13"/>
  <c r="J144" i="13" s="1"/>
  <c r="H39" i="13"/>
  <c r="J39" i="13" s="1"/>
  <c r="H150" i="13"/>
  <c r="J150" i="13" s="1"/>
  <c r="H43" i="14" l="1"/>
  <c r="J43" i="14" s="1"/>
  <c r="H81" i="14"/>
  <c r="J81" i="14" s="1"/>
  <c r="H57" i="14"/>
  <c r="J57" i="14" s="1"/>
  <c r="H94" i="14"/>
  <c r="J94" i="14" s="1"/>
  <c r="H11" i="14"/>
  <c r="J11" i="14" s="1"/>
  <c r="H10" i="13"/>
  <c r="J10" i="13" s="1"/>
  <c r="H45" i="14"/>
  <c r="J45" i="14" s="1"/>
  <c r="H32" i="12"/>
  <c r="J32" i="12" s="1"/>
  <c r="H32" i="11"/>
  <c r="J32" i="11" s="1"/>
  <c r="H152" i="12"/>
  <c r="J152" i="12" s="1"/>
  <c r="H152" i="11"/>
  <c r="J152" i="11" s="1"/>
  <c r="H138" i="14"/>
  <c r="J138" i="14" s="1"/>
  <c r="H68" i="14"/>
  <c r="J68" i="14" s="1"/>
  <c r="H12" i="14"/>
  <c r="J12" i="14" s="1"/>
  <c r="H9" i="13"/>
  <c r="J9" i="13" s="1"/>
  <c r="H31" i="19"/>
  <c r="J31" i="19" s="1"/>
  <c r="H24" i="15"/>
  <c r="J24" i="15" s="1"/>
  <c r="H19" i="14"/>
  <c r="J19" i="14" s="1"/>
  <c r="H131" i="14"/>
  <c r="J131" i="14" s="1"/>
  <c r="H28" i="14"/>
  <c r="J28" i="14" s="1"/>
  <c r="H60" i="12"/>
  <c r="J60" i="12" s="1"/>
  <c r="H60" i="11"/>
  <c r="J60" i="11" s="1"/>
  <c r="H73" i="14"/>
  <c r="J73" i="14" s="1"/>
  <c r="H140" i="14"/>
  <c r="J140" i="14" s="1"/>
  <c r="H151" i="11"/>
  <c r="J151" i="11" s="1"/>
  <c r="H151" i="12"/>
  <c r="J151" i="12" s="1"/>
  <c r="H60" i="13"/>
  <c r="J60" i="13" s="1"/>
  <c r="H29" i="13"/>
  <c r="J29" i="13" s="1"/>
  <c r="H24" i="16"/>
  <c r="J24" i="16" s="1"/>
  <c r="H37" i="13"/>
  <c r="J37" i="13" s="1"/>
  <c r="H36" i="13"/>
  <c r="J36" i="13" s="1"/>
  <c r="H44" i="13"/>
  <c r="J44" i="13" s="1"/>
  <c r="H139" i="13"/>
  <c r="J139" i="13" s="1"/>
  <c r="H134" i="13"/>
  <c r="J134" i="13" s="1"/>
  <c r="H95" i="13"/>
  <c r="J95" i="13" s="1"/>
  <c r="H93" i="13"/>
  <c r="J93" i="13" s="1"/>
  <c r="H84" i="13"/>
  <c r="J84" i="13" s="1"/>
  <c r="H81" i="16"/>
  <c r="J81" i="16" s="1"/>
  <c r="H72" i="13"/>
  <c r="J72" i="13" s="1"/>
  <c r="H69" i="13"/>
  <c r="J69" i="13" s="1"/>
  <c r="H148" i="13"/>
  <c r="J148" i="13" s="1"/>
  <c r="H42" i="13"/>
  <c r="J42" i="13" s="1"/>
  <c r="H41" i="13"/>
  <c r="J41" i="13" s="1"/>
  <c r="H146" i="13"/>
  <c r="J146" i="13" s="1"/>
  <c r="H15" i="13"/>
  <c r="H145" i="13"/>
  <c r="J145" i="13" s="1"/>
  <c r="H143" i="13"/>
  <c r="J143" i="13" s="1"/>
  <c r="H149" i="13"/>
  <c r="J149" i="13" s="1"/>
  <c r="H7" i="13"/>
  <c r="J7" i="13" s="1"/>
  <c r="I9" i="13" s="1"/>
  <c r="H147" i="13"/>
  <c r="J147" i="13" s="1"/>
  <c r="H151" i="13" l="1"/>
  <c r="J151" i="13" s="1"/>
  <c r="H52" i="14"/>
  <c r="J52" i="14" s="1"/>
  <c r="H65" i="14"/>
  <c r="J65" i="14" s="1"/>
  <c r="H78" i="14"/>
  <c r="J78" i="14" s="1"/>
  <c r="H82" i="14"/>
  <c r="J82" i="14" s="1"/>
  <c r="H35" i="14"/>
  <c r="J35" i="14" s="1"/>
  <c r="H64" i="14"/>
  <c r="J64" i="14" s="1"/>
  <c r="H92" i="14"/>
  <c r="J92" i="14" s="1"/>
  <c r="H11" i="15"/>
  <c r="J11" i="15" s="1"/>
  <c r="H43" i="15"/>
  <c r="J43" i="15" s="1"/>
  <c r="H97" i="14"/>
  <c r="J97" i="14" s="1"/>
  <c r="H123" i="14"/>
  <c r="J123" i="14" s="1"/>
  <c r="H125" i="14"/>
  <c r="J125" i="14" s="1"/>
  <c r="H135" i="14"/>
  <c r="J135" i="14" s="1"/>
  <c r="H153" i="11"/>
  <c r="J153" i="11" s="1"/>
  <c r="H153" i="12"/>
  <c r="J153" i="12" s="1"/>
  <c r="H140" i="15"/>
  <c r="J140" i="15" s="1"/>
  <c r="H131" i="15"/>
  <c r="J131" i="15" s="1"/>
  <c r="H9" i="14"/>
  <c r="J9" i="14" s="1"/>
  <c r="H76" i="14"/>
  <c r="J76" i="14" s="1"/>
  <c r="H100" i="14"/>
  <c r="J100" i="14" s="1"/>
  <c r="H77" i="14"/>
  <c r="J77" i="14" s="1"/>
  <c r="H136" i="14"/>
  <c r="J136" i="14" s="1"/>
  <c r="H23" i="14"/>
  <c r="J23" i="14" s="1"/>
  <c r="H10" i="14"/>
  <c r="J10" i="14" s="1"/>
  <c r="H81" i="15"/>
  <c r="J81" i="15" s="1"/>
  <c r="H142" i="14"/>
  <c r="J142" i="14" s="1"/>
  <c r="H51" i="14"/>
  <c r="J51" i="14" s="1"/>
  <c r="H63" i="14"/>
  <c r="J63" i="14" s="1"/>
  <c r="H75" i="14"/>
  <c r="J75" i="14" s="1"/>
  <c r="H96" i="14"/>
  <c r="J96" i="14" s="1"/>
  <c r="H127" i="14"/>
  <c r="J127" i="14" s="1"/>
  <c r="H40" i="14"/>
  <c r="J40" i="14" s="1"/>
  <c r="H22" i="17"/>
  <c r="J22" i="17" s="1"/>
  <c r="H28" i="15"/>
  <c r="J28" i="15" s="1"/>
  <c r="H138" i="15"/>
  <c r="J138" i="15" s="1"/>
  <c r="H49" i="14"/>
  <c r="J49" i="14" s="1"/>
  <c r="H58" i="14"/>
  <c r="J58" i="14" s="1"/>
  <c r="H80" i="14"/>
  <c r="J80" i="14" s="1"/>
  <c r="H99" i="14"/>
  <c r="J99" i="14" s="1"/>
  <c r="H133" i="17"/>
  <c r="J133" i="17" s="1"/>
  <c r="H130" i="14"/>
  <c r="J130" i="14" s="1"/>
  <c r="H30" i="13"/>
  <c r="J30" i="13" s="1"/>
  <c r="H45" i="15"/>
  <c r="J45" i="15" s="1"/>
  <c r="H57" i="15"/>
  <c r="J57" i="15" s="1"/>
  <c r="H59" i="14"/>
  <c r="J59" i="14" s="1"/>
  <c r="H67" i="14"/>
  <c r="J67" i="14" s="1"/>
  <c r="H74" i="14"/>
  <c r="J74" i="14" s="1"/>
  <c r="H79" i="14"/>
  <c r="J79" i="14" s="1"/>
  <c r="H101" i="14"/>
  <c r="J101" i="14" s="1"/>
  <c r="H126" i="14"/>
  <c r="J126" i="14" s="1"/>
  <c r="H68" i="15"/>
  <c r="J68" i="15" s="1"/>
  <c r="H13" i="14"/>
  <c r="J13" i="14" s="1"/>
  <c r="H39" i="14"/>
  <c r="J39" i="14" s="1"/>
  <c r="H144" i="14"/>
  <c r="J144" i="14" s="1"/>
  <c r="H46" i="14"/>
  <c r="J46" i="14" s="1"/>
  <c r="H83" i="14"/>
  <c r="J83" i="14" s="1"/>
  <c r="H98" i="14"/>
  <c r="J98" i="14" s="1"/>
  <c r="H132" i="14"/>
  <c r="J132" i="14" s="1"/>
  <c r="H62" i="14"/>
  <c r="J62" i="14" s="1"/>
  <c r="H27" i="14"/>
  <c r="J27" i="14" s="1"/>
  <c r="H31" i="22"/>
  <c r="J31" i="22" s="1"/>
  <c r="H31" i="21"/>
  <c r="J31" i="21" s="1"/>
  <c r="H31" i="20"/>
  <c r="J31" i="20" s="1"/>
  <c r="H94" i="15"/>
  <c r="J94" i="15" s="1"/>
  <c r="H128" i="13"/>
  <c r="J15" i="13"/>
  <c r="I16" i="13" s="1"/>
  <c r="H150" i="14"/>
  <c r="J150" i="14" s="1"/>
  <c r="H53" i="14"/>
  <c r="J53" i="14" s="1"/>
  <c r="H66" i="14"/>
  <c r="J66" i="14" s="1"/>
  <c r="H124" i="14"/>
  <c r="J124" i="14" s="1"/>
  <c r="H38" i="14"/>
  <c r="J38" i="14" s="1"/>
  <c r="H137" i="14"/>
  <c r="J137" i="14" s="1"/>
  <c r="H18" i="14"/>
  <c r="J18" i="14" s="1"/>
  <c r="H19" i="15"/>
  <c r="J19" i="15" s="1"/>
  <c r="H12" i="15"/>
  <c r="J12" i="15" s="1"/>
  <c r="H31" i="23"/>
  <c r="J31" i="23" s="1"/>
  <c r="H152" i="13"/>
  <c r="J152" i="13" s="1"/>
  <c r="H30" i="14"/>
  <c r="J30" i="14" s="1"/>
  <c r="H28" i="16"/>
  <c r="J28" i="16" s="1"/>
  <c r="H22" i="18"/>
  <c r="J22" i="18" s="1"/>
  <c r="H94" i="16"/>
  <c r="J94" i="16" s="1"/>
  <c r="H131" i="16"/>
  <c r="J131" i="16" s="1"/>
  <c r="H68" i="16"/>
  <c r="J68" i="16" s="1"/>
  <c r="H57" i="16"/>
  <c r="J57" i="16" s="1"/>
  <c r="H45" i="16"/>
  <c r="J45" i="16" s="1"/>
  <c r="H20" i="13"/>
  <c r="J20" i="13" s="1"/>
  <c r="I20" i="13" s="1"/>
  <c r="H11" i="16"/>
  <c r="J11" i="16" s="1"/>
  <c r="H19" i="16"/>
  <c r="J19" i="16" s="1"/>
  <c r="H140" i="16"/>
  <c r="J140" i="16" s="1"/>
  <c r="H138" i="16"/>
  <c r="J138" i="16" s="1"/>
  <c r="H133" i="18"/>
  <c r="J133" i="18" s="1"/>
  <c r="H83" i="16"/>
  <c r="J83" i="16" s="1"/>
  <c r="H82" i="16"/>
  <c r="J82" i="16" s="1"/>
  <c r="H80" i="16"/>
  <c r="J80" i="16" s="1"/>
  <c r="H74" i="16"/>
  <c r="J74" i="16" s="1"/>
  <c r="H43" i="16"/>
  <c r="J43" i="16" s="1"/>
  <c r="H47" i="13"/>
  <c r="J47" i="13" s="1"/>
  <c r="H15" i="14"/>
  <c r="J15" i="14" s="1"/>
  <c r="I16" i="14" s="1"/>
  <c r="H12" i="16"/>
  <c r="J12" i="16" s="1"/>
  <c r="H151" i="14"/>
  <c r="J151" i="14" s="1"/>
  <c r="H143" i="14" l="1"/>
  <c r="J143" i="14" s="1"/>
  <c r="H7" i="14"/>
  <c r="J7" i="14" s="1"/>
  <c r="I9" i="14" s="1"/>
  <c r="H41" i="14"/>
  <c r="J41" i="14" s="1"/>
  <c r="H55" i="14"/>
  <c r="J55" i="14" s="1"/>
  <c r="H72" i="14"/>
  <c r="J72" i="14" s="1"/>
  <c r="H72" i="15"/>
  <c r="J72" i="15" s="1"/>
  <c r="H85" i="14"/>
  <c r="J85" i="14" s="1"/>
  <c r="H139" i="14"/>
  <c r="J139" i="14" s="1"/>
  <c r="H98" i="15"/>
  <c r="J98" i="15" s="1"/>
  <c r="H39" i="15"/>
  <c r="J39" i="15" s="1"/>
  <c r="H101" i="15"/>
  <c r="J101" i="15" s="1"/>
  <c r="H59" i="15"/>
  <c r="J59" i="15" s="1"/>
  <c r="H130" i="15"/>
  <c r="J130" i="15" s="1"/>
  <c r="H58" i="15"/>
  <c r="J58" i="15" s="1"/>
  <c r="H75" i="15"/>
  <c r="J75" i="15" s="1"/>
  <c r="H76" i="15"/>
  <c r="J76" i="15" s="1"/>
  <c r="H77" i="15"/>
  <c r="J77" i="15" s="1"/>
  <c r="H125" i="15"/>
  <c r="J125" i="15" s="1"/>
  <c r="H82" i="15"/>
  <c r="J82" i="15" s="1"/>
  <c r="H36" i="14"/>
  <c r="J36" i="14" s="1"/>
  <c r="H29" i="14"/>
  <c r="J29" i="14" s="1"/>
  <c r="H137" i="15"/>
  <c r="J137" i="15" s="1"/>
  <c r="H53" i="15"/>
  <c r="J53" i="15" s="1"/>
  <c r="H84" i="14"/>
  <c r="J84" i="14" s="1"/>
  <c r="H132" i="15"/>
  <c r="J132" i="15" s="1"/>
  <c r="H144" i="15"/>
  <c r="J144" i="15" s="1"/>
  <c r="H126" i="15"/>
  <c r="J126" i="15" s="1"/>
  <c r="H67" i="15"/>
  <c r="J67" i="15" s="1"/>
  <c r="H96" i="15"/>
  <c r="J96" i="15" s="1"/>
  <c r="H142" i="15"/>
  <c r="J142" i="15" s="1"/>
  <c r="H136" i="15"/>
  <c r="J136" i="15" s="1"/>
  <c r="H9" i="15"/>
  <c r="J9" i="15" s="1"/>
  <c r="H135" i="15"/>
  <c r="J135" i="15" s="1"/>
  <c r="H35" i="15"/>
  <c r="J35" i="15" s="1"/>
  <c r="H52" i="15"/>
  <c r="J52" i="15" s="1"/>
  <c r="H69" i="14"/>
  <c r="J69" i="14" s="1"/>
  <c r="H37" i="14"/>
  <c r="J37" i="14" s="1"/>
  <c r="H32" i="13"/>
  <c r="J32" i="13" s="1"/>
  <c r="H18" i="15"/>
  <c r="J18" i="15" s="1"/>
  <c r="H66" i="15"/>
  <c r="J66" i="15" s="1"/>
  <c r="H149" i="14"/>
  <c r="J149" i="14" s="1"/>
  <c r="H146" i="14"/>
  <c r="J146" i="14" s="1"/>
  <c r="H42" i="14"/>
  <c r="J42" i="14" s="1"/>
  <c r="H95" i="14"/>
  <c r="J95" i="14" s="1"/>
  <c r="H56" i="14"/>
  <c r="J56" i="14" s="1"/>
  <c r="H62" i="15"/>
  <c r="J62" i="15" s="1"/>
  <c r="H46" i="15"/>
  <c r="J46" i="15" s="1"/>
  <c r="H74" i="15"/>
  <c r="J74" i="15" s="1"/>
  <c r="H99" i="15"/>
  <c r="J99" i="15" s="1"/>
  <c r="H127" i="15"/>
  <c r="J127" i="15" s="1"/>
  <c r="H51" i="15"/>
  <c r="J51" i="15" s="1"/>
  <c r="H23" i="15"/>
  <c r="J23" i="15" s="1"/>
  <c r="H97" i="15"/>
  <c r="J97" i="15" s="1"/>
  <c r="H64" i="15"/>
  <c r="J64" i="15" s="1"/>
  <c r="H65" i="15"/>
  <c r="J65" i="15" s="1"/>
  <c r="H147" i="14"/>
  <c r="J147" i="14" s="1"/>
  <c r="H148" i="14"/>
  <c r="J148" i="14" s="1"/>
  <c r="H93" i="14"/>
  <c r="J93" i="14" s="1"/>
  <c r="H134" i="14"/>
  <c r="J134" i="14" s="1"/>
  <c r="H44" i="14"/>
  <c r="J44" i="14" s="1"/>
  <c r="H124" i="15"/>
  <c r="J124" i="15" s="1"/>
  <c r="H54" i="14"/>
  <c r="J54" i="14" s="1"/>
  <c r="H145" i="14"/>
  <c r="J145" i="14" s="1"/>
  <c r="H27" i="15"/>
  <c r="J27" i="15" s="1"/>
  <c r="H83" i="15"/>
  <c r="J83" i="15" s="1"/>
  <c r="H13" i="15"/>
  <c r="J13" i="15" s="1"/>
  <c r="H80" i="15"/>
  <c r="J80" i="15" s="1"/>
  <c r="H49" i="15"/>
  <c r="J49" i="15" s="1"/>
  <c r="H40" i="15"/>
  <c r="J40" i="15" s="1"/>
  <c r="H63" i="15"/>
  <c r="J63" i="15" s="1"/>
  <c r="H10" i="15"/>
  <c r="J10" i="15" s="1"/>
  <c r="H100" i="15"/>
  <c r="J100" i="15" s="1"/>
  <c r="H123" i="15"/>
  <c r="J123" i="15" s="1"/>
  <c r="H92" i="15"/>
  <c r="J92" i="15" s="1"/>
  <c r="H78" i="15"/>
  <c r="J78" i="15" s="1"/>
  <c r="H79" i="15"/>
  <c r="J79" i="15" s="1"/>
  <c r="H50" i="14"/>
  <c r="J50" i="14" s="1"/>
  <c r="H24" i="17"/>
  <c r="J24" i="17" s="1"/>
  <c r="H38" i="15"/>
  <c r="J38" i="15" s="1"/>
  <c r="H150" i="15"/>
  <c r="J150" i="15" s="1"/>
  <c r="H31" i="24"/>
  <c r="J31" i="24" s="1"/>
  <c r="H153" i="13"/>
  <c r="J153" i="13" s="1"/>
  <c r="H72" i="16"/>
  <c r="J72" i="16" s="1"/>
  <c r="H152" i="14"/>
  <c r="J152" i="14" s="1"/>
  <c r="H27" i="16"/>
  <c r="J27" i="16" s="1"/>
  <c r="H76" i="16"/>
  <c r="J76" i="16" s="1"/>
  <c r="H75" i="16"/>
  <c r="J75" i="16" s="1"/>
  <c r="H78" i="16"/>
  <c r="J78" i="16" s="1"/>
  <c r="H79" i="16"/>
  <c r="J79" i="16" s="1"/>
  <c r="H23" i="16"/>
  <c r="J23" i="16" s="1"/>
  <c r="H22" i="19"/>
  <c r="J22" i="19" s="1"/>
  <c r="H18" i="16"/>
  <c r="J18" i="16" s="1"/>
  <c r="H137" i="16"/>
  <c r="J137" i="16" s="1"/>
  <c r="H136" i="16"/>
  <c r="J136" i="16" s="1"/>
  <c r="H130" i="16"/>
  <c r="J130" i="16" s="1"/>
  <c r="H92" i="16"/>
  <c r="J92" i="16" s="1"/>
  <c r="H62" i="16"/>
  <c r="J62" i="16" s="1"/>
  <c r="H64" i="16"/>
  <c r="J64" i="16" s="1"/>
  <c r="H40" i="16"/>
  <c r="J40" i="16" s="1"/>
  <c r="H35" i="16"/>
  <c r="J35" i="16" s="1"/>
  <c r="H38" i="16"/>
  <c r="J38" i="16" s="1"/>
  <c r="H9" i="16"/>
  <c r="J9" i="16" s="1"/>
  <c r="H135" i="16"/>
  <c r="J135" i="16" s="1"/>
  <c r="H132" i="16"/>
  <c r="J132" i="16" s="1"/>
  <c r="H125" i="16"/>
  <c r="J125" i="16" s="1"/>
  <c r="H127" i="16"/>
  <c r="J127" i="16" s="1"/>
  <c r="H126" i="16"/>
  <c r="J126" i="16" s="1"/>
  <c r="H124" i="16"/>
  <c r="J124" i="16" s="1"/>
  <c r="H123" i="16"/>
  <c r="J123" i="16" s="1"/>
  <c r="H100" i="16"/>
  <c r="J100" i="16" s="1"/>
  <c r="H99" i="16"/>
  <c r="J99" i="16" s="1"/>
  <c r="H98" i="16"/>
  <c r="J98" i="16" s="1"/>
  <c r="H97" i="16"/>
  <c r="J97" i="16" s="1"/>
  <c r="H96" i="16"/>
  <c r="J96" i="16" s="1"/>
  <c r="H101" i="16"/>
  <c r="J101" i="16" s="1"/>
  <c r="H85" i="16"/>
  <c r="J85" i="16" s="1"/>
  <c r="H84" i="16"/>
  <c r="J84" i="16" s="1"/>
  <c r="H67" i="16"/>
  <c r="J67" i="16" s="1"/>
  <c r="H66" i="16"/>
  <c r="J66" i="16" s="1"/>
  <c r="H65" i="16"/>
  <c r="J65" i="16" s="1"/>
  <c r="H63" i="16"/>
  <c r="J63" i="16" s="1"/>
  <c r="H58" i="16"/>
  <c r="J58" i="16" s="1"/>
  <c r="H53" i="16"/>
  <c r="J53" i="16" s="1"/>
  <c r="H52" i="16"/>
  <c r="J52" i="16" s="1"/>
  <c r="H51" i="16"/>
  <c r="J51" i="16" s="1"/>
  <c r="H59" i="16"/>
  <c r="J59" i="16" s="1"/>
  <c r="H49" i="16"/>
  <c r="J49" i="16" s="1"/>
  <c r="H46" i="16"/>
  <c r="J46" i="16" s="1"/>
  <c r="H142" i="16"/>
  <c r="J142" i="16" s="1"/>
  <c r="H144" i="16"/>
  <c r="J144" i="16" s="1"/>
  <c r="H39" i="16"/>
  <c r="J39" i="16" s="1"/>
  <c r="H150" i="16"/>
  <c r="J150" i="16" s="1"/>
  <c r="H10" i="16"/>
  <c r="J10" i="16" s="1"/>
  <c r="H45" i="17" l="1"/>
  <c r="J45" i="17" s="1"/>
  <c r="H94" i="17"/>
  <c r="J94" i="17" s="1"/>
  <c r="H143" i="15"/>
  <c r="J143" i="15" s="1"/>
  <c r="H140" i="17"/>
  <c r="J140" i="17" s="1"/>
  <c r="H151" i="15"/>
  <c r="J151" i="15" s="1"/>
  <c r="H145" i="15"/>
  <c r="J145" i="15" s="1"/>
  <c r="H134" i="15"/>
  <c r="J134" i="15" s="1"/>
  <c r="H42" i="15"/>
  <c r="J42" i="15" s="1"/>
  <c r="H20" i="14"/>
  <c r="J20" i="14" s="1"/>
  <c r="I20" i="14" s="1"/>
  <c r="H85" i="15"/>
  <c r="J85" i="15" s="1"/>
  <c r="H7" i="15"/>
  <c r="J7" i="15" s="1"/>
  <c r="I9" i="15" s="1"/>
  <c r="H12" i="17"/>
  <c r="J12" i="17" s="1"/>
  <c r="H81" i="17"/>
  <c r="J81" i="17" s="1"/>
  <c r="H11" i="17"/>
  <c r="J11" i="17" s="1"/>
  <c r="H68" i="17"/>
  <c r="J68" i="17" s="1"/>
  <c r="H77" i="16"/>
  <c r="J77" i="16" s="1"/>
  <c r="H28" i="17"/>
  <c r="J28" i="17" s="1"/>
  <c r="H73" i="15"/>
  <c r="J73" i="15" s="1"/>
  <c r="H44" i="15"/>
  <c r="J44" i="15" s="1"/>
  <c r="H147" i="15"/>
  <c r="J147" i="15" s="1"/>
  <c r="H95" i="15"/>
  <c r="J95" i="15" s="1"/>
  <c r="H69" i="15"/>
  <c r="J69" i="15" s="1"/>
  <c r="H84" i="15"/>
  <c r="J84" i="15" s="1"/>
  <c r="H36" i="15"/>
  <c r="J36" i="15" s="1"/>
  <c r="H138" i="17"/>
  <c r="J138" i="17" s="1"/>
  <c r="H50" i="15"/>
  <c r="J50" i="15" s="1"/>
  <c r="H139" i="15"/>
  <c r="J139" i="15" s="1"/>
  <c r="H41" i="15"/>
  <c r="J41" i="15" s="1"/>
  <c r="H47" i="14"/>
  <c r="J47" i="14" s="1"/>
  <c r="H43" i="17"/>
  <c r="J43" i="17" s="1"/>
  <c r="H131" i="17"/>
  <c r="J131" i="17" s="1"/>
  <c r="H32" i="14"/>
  <c r="J32" i="14" s="1"/>
  <c r="H30" i="15"/>
  <c r="J30" i="15" s="1"/>
  <c r="H148" i="15"/>
  <c r="J148" i="15" s="1"/>
  <c r="H56" i="15"/>
  <c r="J56" i="15" s="1"/>
  <c r="H149" i="15"/>
  <c r="J149" i="15" s="1"/>
  <c r="H37" i="15"/>
  <c r="J37" i="15" s="1"/>
  <c r="H29" i="15"/>
  <c r="J29" i="15" s="1"/>
  <c r="H19" i="17"/>
  <c r="J19" i="17" s="1"/>
  <c r="H128" i="14"/>
  <c r="J128" i="14" s="1"/>
  <c r="H55" i="15"/>
  <c r="J55" i="15" s="1"/>
  <c r="H133" i="19"/>
  <c r="J133" i="19" s="1"/>
  <c r="H57" i="17"/>
  <c r="J57" i="17" s="1"/>
  <c r="H15" i="15"/>
  <c r="J15" i="15" s="1"/>
  <c r="I16" i="15" s="1"/>
  <c r="H54" i="15"/>
  <c r="J54" i="15" s="1"/>
  <c r="H93" i="15"/>
  <c r="J93" i="15" s="1"/>
  <c r="H146" i="15"/>
  <c r="J146" i="15" s="1"/>
  <c r="H31" i="25"/>
  <c r="J31" i="25" s="1"/>
  <c r="H72" i="17"/>
  <c r="J72" i="17" s="1"/>
  <c r="H153" i="14"/>
  <c r="J153" i="14" s="1"/>
  <c r="H29" i="16"/>
  <c r="J29" i="16" s="1"/>
  <c r="H28" i="18"/>
  <c r="J28" i="18" s="1"/>
  <c r="H94" i="18"/>
  <c r="J94" i="18" s="1"/>
  <c r="H56" i="16"/>
  <c r="J56" i="16" s="1"/>
  <c r="H131" i="18"/>
  <c r="J131" i="18" s="1"/>
  <c r="H77" i="18"/>
  <c r="J77" i="18" s="1"/>
  <c r="H68" i="18"/>
  <c r="J68" i="18" s="1"/>
  <c r="H50" i="16"/>
  <c r="J50" i="16" s="1"/>
  <c r="H57" i="18"/>
  <c r="J57" i="18" s="1"/>
  <c r="H36" i="16"/>
  <c r="J36" i="16" s="1"/>
  <c r="H37" i="16"/>
  <c r="J37" i="16" s="1"/>
  <c r="H44" i="16"/>
  <c r="J44" i="16" s="1"/>
  <c r="H45" i="18"/>
  <c r="J45" i="18" s="1"/>
  <c r="H9" i="17"/>
  <c r="J9" i="17" s="1"/>
  <c r="H11" i="18"/>
  <c r="J11" i="18" s="1"/>
  <c r="H19" i="18"/>
  <c r="J19" i="18" s="1"/>
  <c r="H140" i="18"/>
  <c r="J140" i="18" s="1"/>
  <c r="H139" i="16"/>
  <c r="J139" i="16" s="1"/>
  <c r="H138" i="18"/>
  <c r="J138" i="18" s="1"/>
  <c r="H134" i="16"/>
  <c r="J134" i="16" s="1"/>
  <c r="H95" i="16"/>
  <c r="J95" i="16" s="1"/>
  <c r="H93" i="16"/>
  <c r="J93" i="16" s="1"/>
  <c r="H81" i="18"/>
  <c r="J81" i="18" s="1"/>
  <c r="H69" i="16"/>
  <c r="J69" i="16" s="1"/>
  <c r="H55" i="16"/>
  <c r="J55" i="16" s="1"/>
  <c r="H54" i="16"/>
  <c r="J54" i="16" s="1"/>
  <c r="H148" i="16"/>
  <c r="J148" i="16" s="1"/>
  <c r="H43" i="18"/>
  <c r="J43" i="18" s="1"/>
  <c r="H42" i="16"/>
  <c r="J42" i="16" s="1"/>
  <c r="H41" i="16"/>
  <c r="J41" i="16" s="1"/>
  <c r="H146" i="16"/>
  <c r="J146" i="16" s="1"/>
  <c r="H15" i="16"/>
  <c r="J15" i="16" s="1"/>
  <c r="I16" i="16" s="1"/>
  <c r="H12" i="18"/>
  <c r="J12" i="18" s="1"/>
  <c r="H13" i="16"/>
  <c r="J13" i="16" s="1"/>
  <c r="H147" i="16"/>
  <c r="J147" i="16" s="1"/>
  <c r="H7" i="16"/>
  <c r="J7" i="16" s="1"/>
  <c r="I9" i="16" s="1"/>
  <c r="H149" i="16"/>
  <c r="J149" i="16" s="1"/>
  <c r="H145" i="16"/>
  <c r="J145" i="16" s="1"/>
  <c r="H143" i="16"/>
  <c r="J143" i="16" s="1"/>
  <c r="H151" i="16"/>
  <c r="J151" i="16" s="1"/>
  <c r="H74" i="17" l="1"/>
  <c r="J74" i="17" s="1"/>
  <c r="H79" i="17"/>
  <c r="J79" i="17" s="1"/>
  <c r="H83" i="17"/>
  <c r="J83" i="17" s="1"/>
  <c r="H35" i="17"/>
  <c r="J35" i="17" s="1"/>
  <c r="H47" i="15"/>
  <c r="J47" i="15" s="1"/>
  <c r="H20" i="15"/>
  <c r="J20" i="15" s="1"/>
  <c r="I20" i="15" s="1"/>
  <c r="H123" i="17"/>
  <c r="J123" i="17" s="1"/>
  <c r="H125" i="17"/>
  <c r="J125" i="17" s="1"/>
  <c r="H130" i="17"/>
  <c r="J130" i="17" s="1"/>
  <c r="H97" i="17"/>
  <c r="J97" i="17" s="1"/>
  <c r="H46" i="17"/>
  <c r="J46" i="17" s="1"/>
  <c r="H52" i="17"/>
  <c r="J52" i="17" s="1"/>
  <c r="H78" i="17"/>
  <c r="J78" i="17" s="1"/>
  <c r="H96" i="17"/>
  <c r="J96" i="17" s="1"/>
  <c r="H127" i="17"/>
  <c r="J127" i="17" s="1"/>
  <c r="H135" i="17"/>
  <c r="J135" i="17" s="1"/>
  <c r="H150" i="17"/>
  <c r="J150" i="17" s="1"/>
  <c r="H63" i="17"/>
  <c r="J63" i="17" s="1"/>
  <c r="H39" i="17"/>
  <c r="J39" i="17" s="1"/>
  <c r="H142" i="17"/>
  <c r="J142" i="17" s="1"/>
  <c r="H51" i="17"/>
  <c r="J51" i="17" s="1"/>
  <c r="H58" i="17"/>
  <c r="J58" i="17" s="1"/>
  <c r="H67" i="17"/>
  <c r="J67" i="17" s="1"/>
  <c r="H76" i="17"/>
  <c r="J76" i="17" s="1"/>
  <c r="H82" i="17"/>
  <c r="J82" i="17" s="1"/>
  <c r="H100" i="17"/>
  <c r="J100" i="17" s="1"/>
  <c r="H40" i="17"/>
  <c r="J40" i="17" s="1"/>
  <c r="H64" i="17"/>
  <c r="J64" i="17" s="1"/>
  <c r="H27" i="17"/>
  <c r="J27" i="17" s="1"/>
  <c r="H101" i="17"/>
  <c r="J101" i="17" s="1"/>
  <c r="H99" i="17"/>
  <c r="J99" i="17" s="1"/>
  <c r="H136" i="17"/>
  <c r="J136" i="17" s="1"/>
  <c r="H10" i="17"/>
  <c r="J10" i="17" s="1"/>
  <c r="H60" i="14"/>
  <c r="J60" i="14" s="1"/>
  <c r="H49" i="17"/>
  <c r="J49" i="17" s="1"/>
  <c r="H66" i="17"/>
  <c r="J66" i="17" s="1"/>
  <c r="H75" i="17"/>
  <c r="J75" i="17" s="1"/>
  <c r="H126" i="17"/>
  <c r="J126" i="17" s="1"/>
  <c r="H62" i="17"/>
  <c r="J62" i="17" s="1"/>
  <c r="H18" i="17"/>
  <c r="J18" i="17" s="1"/>
  <c r="H73" i="17"/>
  <c r="J73" i="17" s="1"/>
  <c r="H73" i="16"/>
  <c r="J73" i="16" s="1"/>
  <c r="H152" i="15"/>
  <c r="J152" i="15" s="1"/>
  <c r="H65" i="17"/>
  <c r="J65" i="17" s="1"/>
  <c r="H80" i="17"/>
  <c r="J80" i="17" s="1"/>
  <c r="H98" i="17"/>
  <c r="J98" i="17" s="1"/>
  <c r="H132" i="17"/>
  <c r="J132" i="17" s="1"/>
  <c r="H30" i="16"/>
  <c r="J30" i="16" s="1"/>
  <c r="H32" i="15"/>
  <c r="J32" i="15" s="1"/>
  <c r="H77" i="17"/>
  <c r="J77" i="17" s="1"/>
  <c r="H144" i="17"/>
  <c r="J144" i="17" s="1"/>
  <c r="H59" i="17"/>
  <c r="J59" i="17" s="1"/>
  <c r="H53" i="17"/>
  <c r="J53" i="17" s="1"/>
  <c r="H124" i="17"/>
  <c r="J124" i="17" s="1"/>
  <c r="H38" i="17"/>
  <c r="J38" i="17" s="1"/>
  <c r="H92" i="17"/>
  <c r="J92" i="17" s="1"/>
  <c r="H137" i="17"/>
  <c r="J137" i="17" s="1"/>
  <c r="H23" i="17"/>
  <c r="J23" i="17" s="1"/>
  <c r="H31" i="40"/>
  <c r="H153" i="15"/>
  <c r="J153" i="15" s="1"/>
  <c r="H9" i="18"/>
  <c r="J9" i="18" s="1"/>
  <c r="H28" i="19"/>
  <c r="J28" i="19" s="1"/>
  <c r="H32" i="16"/>
  <c r="J32" i="16" s="1"/>
  <c r="H27" i="18"/>
  <c r="J27" i="18" s="1"/>
  <c r="H23" i="18"/>
  <c r="J23" i="18" s="1"/>
  <c r="H94" i="19"/>
  <c r="J94" i="19" s="1"/>
  <c r="H18" i="18"/>
  <c r="J18" i="18" s="1"/>
  <c r="H136" i="18"/>
  <c r="J136" i="18" s="1"/>
  <c r="H130" i="18"/>
  <c r="J130" i="18" s="1"/>
  <c r="H137" i="18"/>
  <c r="J137" i="18" s="1"/>
  <c r="H92" i="18"/>
  <c r="J92" i="18" s="1"/>
  <c r="H77" i="19"/>
  <c r="J77" i="19" s="1"/>
  <c r="H68" i="19"/>
  <c r="J68" i="19" s="1"/>
  <c r="H62" i="18"/>
  <c r="J62" i="18" s="1"/>
  <c r="H64" i="18"/>
  <c r="J64" i="18" s="1"/>
  <c r="H57" i="19"/>
  <c r="J57" i="19" s="1"/>
  <c r="H38" i="18"/>
  <c r="J38" i="18" s="1"/>
  <c r="H45" i="19"/>
  <c r="J45" i="19" s="1"/>
  <c r="H35" i="18"/>
  <c r="J35" i="18" s="1"/>
  <c r="H40" i="18"/>
  <c r="J40" i="18" s="1"/>
  <c r="H20" i="16"/>
  <c r="J20" i="16" s="1"/>
  <c r="I20" i="16" s="1"/>
  <c r="H11" i="19"/>
  <c r="J11" i="19" s="1"/>
  <c r="H19" i="19"/>
  <c r="J19" i="19" s="1"/>
  <c r="H135" i="18"/>
  <c r="J135" i="18" s="1"/>
  <c r="H132" i="18"/>
  <c r="J132" i="18" s="1"/>
  <c r="H125" i="18"/>
  <c r="J125" i="18" s="1"/>
  <c r="H127" i="18"/>
  <c r="J127" i="18" s="1"/>
  <c r="H126" i="18"/>
  <c r="J126" i="18" s="1"/>
  <c r="H124" i="18"/>
  <c r="J124" i="18" s="1"/>
  <c r="H123" i="18"/>
  <c r="J123" i="18" s="1"/>
  <c r="H100" i="18"/>
  <c r="J100" i="18" s="1"/>
  <c r="H99" i="18"/>
  <c r="J99" i="18" s="1"/>
  <c r="H98" i="18"/>
  <c r="J98" i="18" s="1"/>
  <c r="H97" i="18"/>
  <c r="J97" i="18" s="1"/>
  <c r="H96" i="18"/>
  <c r="J96" i="18" s="1"/>
  <c r="H101" i="18"/>
  <c r="J101" i="18" s="1"/>
  <c r="H85" i="17"/>
  <c r="J85" i="17" s="1"/>
  <c r="H83" i="18"/>
  <c r="J83" i="18" s="1"/>
  <c r="H82" i="18"/>
  <c r="J82" i="18" s="1"/>
  <c r="H81" i="19"/>
  <c r="J81" i="19" s="1"/>
  <c r="H80" i="18"/>
  <c r="J80" i="18" s="1"/>
  <c r="H79" i="18"/>
  <c r="J79" i="18" s="1"/>
  <c r="H78" i="18"/>
  <c r="J78" i="18" s="1"/>
  <c r="H76" i="18"/>
  <c r="J76" i="18" s="1"/>
  <c r="H75" i="18"/>
  <c r="J75" i="18" s="1"/>
  <c r="H74" i="18"/>
  <c r="J74" i="18" s="1"/>
  <c r="H67" i="18"/>
  <c r="J67" i="18" s="1"/>
  <c r="H66" i="18"/>
  <c r="J66" i="18" s="1"/>
  <c r="H65" i="18"/>
  <c r="J65" i="18" s="1"/>
  <c r="H63" i="18"/>
  <c r="J63" i="18" s="1"/>
  <c r="H58" i="18"/>
  <c r="J58" i="18" s="1"/>
  <c r="H53" i="18"/>
  <c r="J53" i="18" s="1"/>
  <c r="H52" i="18"/>
  <c r="J52" i="18" s="1"/>
  <c r="H51" i="18"/>
  <c r="J51" i="18" s="1"/>
  <c r="H49" i="18"/>
  <c r="J49" i="18" s="1"/>
  <c r="H59" i="18"/>
  <c r="J59" i="18" s="1"/>
  <c r="H46" i="18"/>
  <c r="J46" i="18" s="1"/>
  <c r="H43" i="19"/>
  <c r="J43" i="19" s="1"/>
  <c r="H144" i="18"/>
  <c r="J144" i="18" s="1"/>
  <c r="H47" i="16"/>
  <c r="J47" i="16" s="1"/>
  <c r="H39" i="18"/>
  <c r="J39" i="18" s="1"/>
  <c r="H150" i="18"/>
  <c r="J150" i="18" s="1"/>
  <c r="H12" i="19"/>
  <c r="J12" i="19" s="1"/>
  <c r="H10" i="18"/>
  <c r="J10" i="18" s="1"/>
  <c r="H147" i="17" l="1"/>
  <c r="J147" i="17" s="1"/>
  <c r="H151" i="17"/>
  <c r="J151" i="17" s="1"/>
  <c r="H41" i="17"/>
  <c r="J41" i="17" s="1"/>
  <c r="H54" i="17"/>
  <c r="J54" i="17" s="1"/>
  <c r="H69" i="17"/>
  <c r="J69" i="17" s="1"/>
  <c r="H138" i="19"/>
  <c r="J138" i="19" s="1"/>
  <c r="H15" i="17"/>
  <c r="J15" i="17" s="1"/>
  <c r="I16" i="17" s="1"/>
  <c r="H50" i="17"/>
  <c r="J50" i="17" s="1"/>
  <c r="H7" i="17"/>
  <c r="J7" i="17" s="1"/>
  <c r="I9" i="17" s="1"/>
  <c r="H95" i="17"/>
  <c r="J95" i="17" s="1"/>
  <c r="H56" i="17"/>
  <c r="J56" i="17" s="1"/>
  <c r="H60" i="15"/>
  <c r="J60" i="15" s="1"/>
  <c r="H134" i="17"/>
  <c r="J134" i="17" s="1"/>
  <c r="H140" i="19"/>
  <c r="J140" i="19" s="1"/>
  <c r="H36" i="17"/>
  <c r="J36" i="17" s="1"/>
  <c r="H30" i="17"/>
  <c r="J30" i="17" s="1"/>
  <c r="H149" i="17"/>
  <c r="J149" i="17" s="1"/>
  <c r="H142" i="18"/>
  <c r="J142" i="18" s="1"/>
  <c r="H148" i="17"/>
  <c r="J148" i="17" s="1"/>
  <c r="H93" i="17"/>
  <c r="J93" i="17" s="1"/>
  <c r="H29" i="17"/>
  <c r="J29" i="17" s="1"/>
  <c r="H143" i="17"/>
  <c r="J143" i="17" s="1"/>
  <c r="H145" i="17"/>
  <c r="J145" i="17" s="1"/>
  <c r="H146" i="17"/>
  <c r="J146" i="17" s="1"/>
  <c r="H42" i="17"/>
  <c r="J42" i="17" s="1"/>
  <c r="H133" i="21"/>
  <c r="J133" i="21" s="1"/>
  <c r="H133" i="20"/>
  <c r="J133" i="20" s="1"/>
  <c r="H139" i="17"/>
  <c r="J139" i="17" s="1"/>
  <c r="H44" i="17"/>
  <c r="J44" i="17" s="1"/>
  <c r="H13" i="17"/>
  <c r="J13" i="17" s="1"/>
  <c r="H55" i="17"/>
  <c r="J55" i="17" s="1"/>
  <c r="H84" i="17"/>
  <c r="J84" i="17" s="1"/>
  <c r="H37" i="17"/>
  <c r="J37" i="17" s="1"/>
  <c r="H131" i="19"/>
  <c r="J131" i="19" s="1"/>
  <c r="H152" i="16"/>
  <c r="J152" i="16" s="1"/>
  <c r="H85" i="18"/>
  <c r="J85" i="18" s="1"/>
  <c r="H153" i="16"/>
  <c r="J153" i="16" s="1"/>
  <c r="H152" i="18"/>
  <c r="J152" i="18" s="1"/>
  <c r="H29" i="18"/>
  <c r="J29" i="18" s="1"/>
  <c r="H27" i="19"/>
  <c r="J27" i="19" s="1"/>
  <c r="H23" i="19"/>
  <c r="J23" i="19" s="1"/>
  <c r="H18" i="19"/>
  <c r="J18" i="19" s="1"/>
  <c r="H56" i="18"/>
  <c r="J56" i="18" s="1"/>
  <c r="H130" i="19"/>
  <c r="J130" i="19" s="1"/>
  <c r="H92" i="19"/>
  <c r="J92" i="19" s="1"/>
  <c r="H64" i="19"/>
  <c r="J64" i="19" s="1"/>
  <c r="H62" i="19"/>
  <c r="J62" i="19" s="1"/>
  <c r="H50" i="18"/>
  <c r="J50" i="18" s="1"/>
  <c r="H36" i="18"/>
  <c r="J36" i="18" s="1"/>
  <c r="H37" i="18"/>
  <c r="J37" i="18" s="1"/>
  <c r="H38" i="19"/>
  <c r="J38" i="19" s="1"/>
  <c r="H44" i="18"/>
  <c r="J44" i="18" s="1"/>
  <c r="H35" i="19"/>
  <c r="J35" i="19" s="1"/>
  <c r="H40" i="19"/>
  <c r="J40" i="19" s="1"/>
  <c r="H9" i="19"/>
  <c r="J9" i="19" s="1"/>
  <c r="H139" i="18"/>
  <c r="J139" i="18" s="1"/>
  <c r="H134" i="18"/>
  <c r="J134" i="18" s="1"/>
  <c r="H133" i="22"/>
  <c r="J133" i="22" s="1"/>
  <c r="H125" i="19"/>
  <c r="J125" i="19" s="1"/>
  <c r="H127" i="19"/>
  <c r="J127" i="19" s="1"/>
  <c r="H126" i="19"/>
  <c r="J126" i="19" s="1"/>
  <c r="H124" i="19"/>
  <c r="J124" i="19" s="1"/>
  <c r="H123" i="19"/>
  <c r="J123" i="19" s="1"/>
  <c r="H100" i="19"/>
  <c r="J100" i="19" s="1"/>
  <c r="H99" i="19"/>
  <c r="J99" i="19" s="1"/>
  <c r="H98" i="19"/>
  <c r="J98" i="19" s="1"/>
  <c r="H97" i="19"/>
  <c r="J97" i="19" s="1"/>
  <c r="H96" i="19"/>
  <c r="J96" i="19" s="1"/>
  <c r="H95" i="18"/>
  <c r="J95" i="18" s="1"/>
  <c r="H101" i="19"/>
  <c r="J101" i="19" s="1"/>
  <c r="H93" i="18"/>
  <c r="J93" i="18" s="1"/>
  <c r="H84" i="18"/>
  <c r="J84" i="18" s="1"/>
  <c r="H83" i="19"/>
  <c r="J83" i="19" s="1"/>
  <c r="H82" i="19"/>
  <c r="J82" i="19" s="1"/>
  <c r="H80" i="19"/>
  <c r="J80" i="19" s="1"/>
  <c r="H79" i="19"/>
  <c r="J79" i="19" s="1"/>
  <c r="H78" i="19"/>
  <c r="J78" i="19" s="1"/>
  <c r="H76" i="19"/>
  <c r="J76" i="19" s="1"/>
  <c r="H74" i="19"/>
  <c r="J74" i="19" s="1"/>
  <c r="H75" i="19"/>
  <c r="J75" i="19" s="1"/>
  <c r="H73" i="18"/>
  <c r="J73" i="18" s="1"/>
  <c r="H72" i="18"/>
  <c r="J72" i="18" s="1"/>
  <c r="H69" i="18"/>
  <c r="J69" i="18" s="1"/>
  <c r="H67" i="19"/>
  <c r="J67" i="19" s="1"/>
  <c r="H66" i="19"/>
  <c r="J66" i="19" s="1"/>
  <c r="H65" i="19"/>
  <c r="J65" i="19" s="1"/>
  <c r="H63" i="19"/>
  <c r="J63" i="19" s="1"/>
  <c r="H58" i="19"/>
  <c r="J58" i="19" s="1"/>
  <c r="H55" i="18"/>
  <c r="J55" i="18" s="1"/>
  <c r="H54" i="18"/>
  <c r="J54" i="18" s="1"/>
  <c r="H53" i="19"/>
  <c r="J53" i="19" s="1"/>
  <c r="H148" i="18"/>
  <c r="J148" i="18" s="1"/>
  <c r="H52" i="19"/>
  <c r="J52" i="19" s="1"/>
  <c r="H51" i="19"/>
  <c r="J51" i="19" s="1"/>
  <c r="H59" i="19"/>
  <c r="J59" i="19" s="1"/>
  <c r="H49" i="19"/>
  <c r="J49" i="19" s="1"/>
  <c r="H46" i="19"/>
  <c r="J46" i="19" s="1"/>
  <c r="H42" i="18"/>
  <c r="J42" i="18" s="1"/>
  <c r="H144" i="19"/>
  <c r="J144" i="19" s="1"/>
  <c r="H41" i="18"/>
  <c r="J41" i="18" s="1"/>
  <c r="H60" i="16"/>
  <c r="J60" i="16" s="1"/>
  <c r="H146" i="18"/>
  <c r="J146" i="18" s="1"/>
  <c r="H39" i="19"/>
  <c r="J39" i="19" s="1"/>
  <c r="H150" i="19"/>
  <c r="J150" i="19" s="1"/>
  <c r="H15" i="18"/>
  <c r="J15" i="18" s="1"/>
  <c r="I16" i="18" s="1"/>
  <c r="H10" i="19"/>
  <c r="J10" i="19" s="1"/>
  <c r="H13" i="18"/>
  <c r="J13" i="18" s="1"/>
  <c r="H147" i="18"/>
  <c r="J147" i="18" s="1"/>
  <c r="H149" i="18"/>
  <c r="J149" i="18" s="1"/>
  <c r="H145" i="18"/>
  <c r="J145" i="18" s="1"/>
  <c r="H151" i="18"/>
  <c r="J151" i="18" s="1"/>
  <c r="H7" i="18"/>
  <c r="J7" i="18" s="1"/>
  <c r="I9" i="18" s="1"/>
  <c r="H135" i="19" l="1"/>
  <c r="J135" i="19" s="1"/>
  <c r="H137" i="19"/>
  <c r="J137" i="19" s="1"/>
  <c r="H32" i="17"/>
  <c r="J32" i="17" s="1"/>
  <c r="H47" i="17"/>
  <c r="J47" i="17" s="1"/>
  <c r="H152" i="17"/>
  <c r="J152" i="17" s="1"/>
  <c r="H142" i="19"/>
  <c r="J142" i="19" s="1"/>
  <c r="H136" i="19"/>
  <c r="J136" i="19" s="1"/>
  <c r="H30" i="18"/>
  <c r="J30" i="18" s="1"/>
  <c r="H31" i="27"/>
  <c r="H143" i="18"/>
  <c r="J143" i="18" s="1"/>
  <c r="H132" i="19"/>
  <c r="J132" i="19" s="1"/>
  <c r="H20" i="17"/>
  <c r="J20" i="17" s="1"/>
  <c r="I20" i="17" s="1"/>
  <c r="H153" i="17"/>
  <c r="J153" i="17" s="1"/>
  <c r="H152" i="19"/>
  <c r="J152" i="19" s="1"/>
  <c r="H29" i="19"/>
  <c r="J29" i="19" s="1"/>
  <c r="H32" i="18"/>
  <c r="J32" i="18" s="1"/>
  <c r="H56" i="19"/>
  <c r="J56" i="19" s="1"/>
  <c r="H50" i="19"/>
  <c r="J50" i="19" s="1"/>
  <c r="H37" i="19"/>
  <c r="J37" i="19" s="1"/>
  <c r="H36" i="19"/>
  <c r="J36" i="19" s="1"/>
  <c r="H44" i="19"/>
  <c r="J44" i="19" s="1"/>
  <c r="H20" i="18"/>
  <c r="J20" i="18" s="1"/>
  <c r="I20" i="18" s="1"/>
  <c r="H133" i="23"/>
  <c r="J133" i="23" s="1"/>
  <c r="H95" i="19"/>
  <c r="J95" i="19" s="1"/>
  <c r="H93" i="19"/>
  <c r="J93" i="19" s="1"/>
  <c r="H85" i="19"/>
  <c r="J85" i="19" s="1"/>
  <c r="H84" i="19"/>
  <c r="J84" i="19" s="1"/>
  <c r="H73" i="19"/>
  <c r="J73" i="19" s="1"/>
  <c r="H72" i="19"/>
  <c r="J72" i="19" s="1"/>
  <c r="H69" i="19"/>
  <c r="J69" i="19" s="1"/>
  <c r="H55" i="19"/>
  <c r="J55" i="19" s="1"/>
  <c r="H54" i="19"/>
  <c r="J54" i="19" s="1"/>
  <c r="H148" i="19"/>
  <c r="J148" i="19" s="1"/>
  <c r="H42" i="19"/>
  <c r="J42" i="19" s="1"/>
  <c r="H41" i="19"/>
  <c r="J41" i="19" s="1"/>
  <c r="H47" i="18"/>
  <c r="J47" i="18" s="1"/>
  <c r="H146" i="19"/>
  <c r="J146" i="19" s="1"/>
  <c r="H15" i="19"/>
  <c r="J15" i="19" s="1"/>
  <c r="I16" i="19" s="1"/>
  <c r="H13" i="19"/>
  <c r="J13" i="19" s="1"/>
  <c r="H7" i="19"/>
  <c r="J7" i="19" s="1"/>
  <c r="I9" i="19" s="1"/>
  <c r="H145" i="19"/>
  <c r="J145" i="19" s="1"/>
  <c r="H151" i="19"/>
  <c r="J151" i="19" s="1"/>
  <c r="H149" i="19"/>
  <c r="J149" i="19" s="1"/>
  <c r="H147" i="19"/>
  <c r="J147" i="19" s="1"/>
  <c r="H68" i="21" l="1"/>
  <c r="J68" i="21" s="1"/>
  <c r="H68" i="20"/>
  <c r="J68" i="20" s="1"/>
  <c r="H31" i="28"/>
  <c r="H19" i="20"/>
  <c r="J19" i="20" s="1"/>
  <c r="H19" i="21"/>
  <c r="J19" i="21" s="1"/>
  <c r="H43" i="20"/>
  <c r="J43" i="20" s="1"/>
  <c r="H43" i="21"/>
  <c r="J43" i="21" s="1"/>
  <c r="H81" i="21"/>
  <c r="J81" i="21" s="1"/>
  <c r="H81" i="20"/>
  <c r="J81" i="20" s="1"/>
  <c r="H134" i="19"/>
  <c r="J134" i="19" s="1"/>
  <c r="H45" i="21"/>
  <c r="J45" i="21" s="1"/>
  <c r="H45" i="20"/>
  <c r="J45" i="20" s="1"/>
  <c r="H57" i="21"/>
  <c r="J57" i="21" s="1"/>
  <c r="H57" i="20"/>
  <c r="J57" i="20" s="1"/>
  <c r="H77" i="20"/>
  <c r="J77" i="20" s="1"/>
  <c r="H77" i="21"/>
  <c r="J77" i="21" s="1"/>
  <c r="H28" i="20"/>
  <c r="J28" i="20" s="1"/>
  <c r="H28" i="21"/>
  <c r="J28" i="21" s="1"/>
  <c r="H143" i="19"/>
  <c r="J143" i="19" s="1"/>
  <c r="H131" i="20"/>
  <c r="J131" i="20" s="1"/>
  <c r="H131" i="21"/>
  <c r="J131" i="21" s="1"/>
  <c r="H60" i="17"/>
  <c r="J60" i="17" s="1"/>
  <c r="H140" i="21"/>
  <c r="J140" i="21" s="1"/>
  <c r="H140" i="20"/>
  <c r="J140" i="20" s="1"/>
  <c r="H62" i="20"/>
  <c r="J62" i="20" s="1"/>
  <c r="H62" i="21"/>
  <c r="J62" i="21" s="1"/>
  <c r="H139" i="19"/>
  <c r="J139" i="19" s="1"/>
  <c r="H94" i="20"/>
  <c r="J94" i="20" s="1"/>
  <c r="H94" i="21"/>
  <c r="J94" i="21" s="1"/>
  <c r="H12" i="20"/>
  <c r="J12" i="20" s="1"/>
  <c r="H12" i="21"/>
  <c r="J12" i="21" s="1"/>
  <c r="H30" i="19"/>
  <c r="J30" i="19" s="1"/>
  <c r="H138" i="21"/>
  <c r="J138" i="21" s="1"/>
  <c r="H138" i="20"/>
  <c r="J138" i="20" s="1"/>
  <c r="H11" i="20"/>
  <c r="J11" i="20" s="1"/>
  <c r="H11" i="21"/>
  <c r="J11" i="21" s="1"/>
  <c r="H153" i="18"/>
  <c r="J153" i="18" s="1"/>
  <c r="H28" i="22"/>
  <c r="J28" i="22" s="1"/>
  <c r="H32" i="19"/>
  <c r="J32" i="19" s="1"/>
  <c r="H94" i="22"/>
  <c r="J94" i="22" s="1"/>
  <c r="H131" i="22"/>
  <c r="J131" i="22" s="1"/>
  <c r="H77" i="22"/>
  <c r="J77" i="22" s="1"/>
  <c r="H68" i="22"/>
  <c r="J68" i="22" s="1"/>
  <c r="H57" i="22"/>
  <c r="J57" i="22" s="1"/>
  <c r="H45" i="22"/>
  <c r="J45" i="22" s="1"/>
  <c r="H20" i="19"/>
  <c r="J20" i="19" s="1"/>
  <c r="I20" i="19" s="1"/>
  <c r="H11" i="22"/>
  <c r="J11" i="22" s="1"/>
  <c r="H19" i="22"/>
  <c r="J19" i="22" s="1"/>
  <c r="H140" i="22"/>
  <c r="J140" i="22" s="1"/>
  <c r="H138" i="22"/>
  <c r="J138" i="22" s="1"/>
  <c r="H133" i="24"/>
  <c r="J133" i="24" s="1"/>
  <c r="H81" i="22"/>
  <c r="J81" i="22" s="1"/>
  <c r="H43" i="22"/>
  <c r="J43" i="22" s="1"/>
  <c r="H47" i="19"/>
  <c r="J47" i="19" s="1"/>
  <c r="H60" i="18"/>
  <c r="J60" i="18" s="1"/>
  <c r="H12" i="22"/>
  <c r="J12" i="22" s="1"/>
  <c r="H75" i="21" l="1"/>
  <c r="J75" i="21" s="1"/>
  <c r="H75" i="20"/>
  <c r="J75" i="20" s="1"/>
  <c r="H98" i="20"/>
  <c r="J98" i="20" s="1"/>
  <c r="H98" i="21"/>
  <c r="J98" i="21" s="1"/>
  <c r="H124" i="21"/>
  <c r="J124" i="21" s="1"/>
  <c r="H124" i="20"/>
  <c r="J124" i="20" s="1"/>
  <c r="H132" i="21"/>
  <c r="J132" i="21" s="1"/>
  <c r="H132" i="20"/>
  <c r="J132" i="20" s="1"/>
  <c r="H18" i="20"/>
  <c r="J18" i="20" s="1"/>
  <c r="H18" i="21"/>
  <c r="J18" i="21" s="1"/>
  <c r="H59" i="20"/>
  <c r="J59" i="20" s="1"/>
  <c r="H59" i="21"/>
  <c r="J59" i="21" s="1"/>
  <c r="H52" i="20"/>
  <c r="J52" i="20" s="1"/>
  <c r="H52" i="21"/>
  <c r="J52" i="21" s="1"/>
  <c r="H58" i="20"/>
  <c r="J58" i="20" s="1"/>
  <c r="H58" i="21"/>
  <c r="J58" i="21" s="1"/>
  <c r="H67" i="20"/>
  <c r="J67" i="20" s="1"/>
  <c r="H67" i="21"/>
  <c r="J67" i="21" s="1"/>
  <c r="H79" i="20"/>
  <c r="J79" i="20" s="1"/>
  <c r="H79" i="21"/>
  <c r="J79" i="21" s="1"/>
  <c r="H83" i="21"/>
  <c r="J83" i="21" s="1"/>
  <c r="H83" i="20"/>
  <c r="J83" i="20" s="1"/>
  <c r="H9" i="20"/>
  <c r="J9" i="20" s="1"/>
  <c r="H9" i="21"/>
  <c r="J9" i="21" s="1"/>
  <c r="H38" i="21"/>
  <c r="J38" i="21" s="1"/>
  <c r="H38" i="20"/>
  <c r="J38" i="20" s="1"/>
  <c r="H46" i="21"/>
  <c r="J46" i="21" s="1"/>
  <c r="H46" i="20"/>
  <c r="J46" i="20" s="1"/>
  <c r="H66" i="21"/>
  <c r="J66" i="21" s="1"/>
  <c r="H66" i="20"/>
  <c r="J66" i="20" s="1"/>
  <c r="H78" i="20"/>
  <c r="J78" i="20" s="1"/>
  <c r="H78" i="21"/>
  <c r="J78" i="21" s="1"/>
  <c r="H97" i="20"/>
  <c r="J97" i="20" s="1"/>
  <c r="H97" i="21"/>
  <c r="J97" i="21" s="1"/>
  <c r="H123" i="20"/>
  <c r="J123" i="20" s="1"/>
  <c r="H123" i="21"/>
  <c r="J123" i="21" s="1"/>
  <c r="H130" i="21"/>
  <c r="J130" i="21" s="1"/>
  <c r="H130" i="20"/>
  <c r="J130" i="20" s="1"/>
  <c r="H23" i="20"/>
  <c r="J23" i="20" s="1"/>
  <c r="H23" i="21"/>
  <c r="J23" i="21" s="1"/>
  <c r="H27" i="20"/>
  <c r="J27" i="20" s="1"/>
  <c r="H27" i="21"/>
  <c r="J27" i="21" s="1"/>
  <c r="H31" i="29"/>
  <c r="H39" i="20"/>
  <c r="J39" i="20" s="1"/>
  <c r="H39" i="21"/>
  <c r="J39" i="21" s="1"/>
  <c r="H144" i="21"/>
  <c r="J144" i="21" s="1"/>
  <c r="H144" i="20"/>
  <c r="J144" i="20" s="1"/>
  <c r="H82" i="21"/>
  <c r="J82" i="21" s="1"/>
  <c r="H82" i="20"/>
  <c r="J82" i="20" s="1"/>
  <c r="H125" i="21"/>
  <c r="J125" i="21" s="1"/>
  <c r="H125" i="20"/>
  <c r="J125" i="20" s="1"/>
  <c r="H135" i="21"/>
  <c r="J135" i="21" s="1"/>
  <c r="H135" i="20"/>
  <c r="J135" i="20" s="1"/>
  <c r="H92" i="20"/>
  <c r="J92" i="20" s="1"/>
  <c r="H92" i="21"/>
  <c r="J92" i="21" s="1"/>
  <c r="H136" i="21"/>
  <c r="J136" i="21" s="1"/>
  <c r="H136" i="20"/>
  <c r="J136" i="20" s="1"/>
  <c r="H10" i="21"/>
  <c r="J10" i="21" s="1"/>
  <c r="H10" i="20"/>
  <c r="J10" i="20" s="1"/>
  <c r="H65" i="20"/>
  <c r="J65" i="20" s="1"/>
  <c r="H65" i="21"/>
  <c r="J65" i="21" s="1"/>
  <c r="H96" i="20"/>
  <c r="J96" i="20" s="1"/>
  <c r="H96" i="21"/>
  <c r="J96" i="21" s="1"/>
  <c r="H40" i="21"/>
  <c r="J40" i="21" s="1"/>
  <c r="H40" i="20"/>
  <c r="J40" i="20" s="1"/>
  <c r="H51" i="20"/>
  <c r="J51" i="20" s="1"/>
  <c r="H51" i="21"/>
  <c r="J51" i="21" s="1"/>
  <c r="H76" i="21"/>
  <c r="J76" i="21" s="1"/>
  <c r="H76" i="20"/>
  <c r="J76" i="20" s="1"/>
  <c r="H100" i="21"/>
  <c r="J100" i="21" s="1"/>
  <c r="H100" i="20"/>
  <c r="J100" i="20" s="1"/>
  <c r="H127" i="20"/>
  <c r="J127" i="20" s="1"/>
  <c r="H127" i="21"/>
  <c r="J127" i="21" s="1"/>
  <c r="H35" i="21"/>
  <c r="J35" i="21" s="1"/>
  <c r="H35" i="20"/>
  <c r="J35" i="20" s="1"/>
  <c r="H150" i="20"/>
  <c r="J150" i="20" s="1"/>
  <c r="H150" i="21"/>
  <c r="J150" i="21" s="1"/>
  <c r="H142" i="21"/>
  <c r="J142" i="21" s="1"/>
  <c r="H142" i="20"/>
  <c r="J142" i="20" s="1"/>
  <c r="H63" i="20"/>
  <c r="J63" i="20" s="1"/>
  <c r="H63" i="21"/>
  <c r="J63" i="21" s="1"/>
  <c r="H80" i="21"/>
  <c r="J80" i="21" s="1"/>
  <c r="H80" i="20"/>
  <c r="J80" i="20" s="1"/>
  <c r="H99" i="20"/>
  <c r="J99" i="20" s="1"/>
  <c r="H99" i="21"/>
  <c r="J99" i="21" s="1"/>
  <c r="H126" i="20"/>
  <c r="J126" i="20" s="1"/>
  <c r="H126" i="21"/>
  <c r="J126" i="21" s="1"/>
  <c r="H137" i="21"/>
  <c r="J137" i="21" s="1"/>
  <c r="H137" i="20"/>
  <c r="J137" i="20" s="1"/>
  <c r="H49" i="21"/>
  <c r="J49" i="21" s="1"/>
  <c r="H49" i="20"/>
  <c r="J49" i="20" s="1"/>
  <c r="H53" i="20"/>
  <c r="J53" i="20" s="1"/>
  <c r="H53" i="21"/>
  <c r="J53" i="21" s="1"/>
  <c r="H74" i="21"/>
  <c r="J74" i="21" s="1"/>
  <c r="H74" i="20"/>
  <c r="J74" i="20" s="1"/>
  <c r="H101" i="20"/>
  <c r="J101" i="20" s="1"/>
  <c r="H101" i="21"/>
  <c r="J101" i="21" s="1"/>
  <c r="H64" i="20"/>
  <c r="J64" i="20" s="1"/>
  <c r="H64" i="21"/>
  <c r="J64" i="21" s="1"/>
  <c r="H153" i="19"/>
  <c r="J153" i="19" s="1"/>
  <c r="H27" i="22"/>
  <c r="J27" i="22" s="1"/>
  <c r="H28" i="23"/>
  <c r="J28" i="23" s="1"/>
  <c r="H23" i="22"/>
  <c r="J23" i="22" s="1"/>
  <c r="H94" i="23"/>
  <c r="J94" i="23" s="1"/>
  <c r="H18" i="22"/>
  <c r="J18" i="22" s="1"/>
  <c r="H131" i="23"/>
  <c r="J131" i="23" s="1"/>
  <c r="H136" i="22"/>
  <c r="J136" i="22" s="1"/>
  <c r="H130" i="22"/>
  <c r="J130" i="22" s="1"/>
  <c r="H137" i="22"/>
  <c r="J137" i="22" s="1"/>
  <c r="H92" i="22"/>
  <c r="J92" i="22" s="1"/>
  <c r="H77" i="23"/>
  <c r="J77" i="23" s="1"/>
  <c r="H62" i="22"/>
  <c r="J62" i="22" s="1"/>
  <c r="H64" i="22"/>
  <c r="J64" i="22" s="1"/>
  <c r="H57" i="23"/>
  <c r="J57" i="23" s="1"/>
  <c r="H35" i="22"/>
  <c r="J35" i="22" s="1"/>
  <c r="H38" i="22"/>
  <c r="J38" i="22" s="1"/>
  <c r="H45" i="23"/>
  <c r="J45" i="23" s="1"/>
  <c r="H40" i="22"/>
  <c r="J40" i="22" s="1"/>
  <c r="H9" i="22"/>
  <c r="J9" i="22" s="1"/>
  <c r="H11" i="23"/>
  <c r="J11" i="23" s="1"/>
  <c r="H19" i="23"/>
  <c r="J19" i="23" s="1"/>
  <c r="H140" i="23"/>
  <c r="J140" i="23" s="1"/>
  <c r="H138" i="23"/>
  <c r="J138" i="23" s="1"/>
  <c r="H135" i="22"/>
  <c r="J135" i="22" s="1"/>
  <c r="H132" i="22"/>
  <c r="J132" i="22" s="1"/>
  <c r="H125" i="22"/>
  <c r="J125" i="22" s="1"/>
  <c r="H127" i="22"/>
  <c r="J127" i="22" s="1"/>
  <c r="H126" i="22"/>
  <c r="J126" i="22" s="1"/>
  <c r="H124" i="22"/>
  <c r="J124" i="22" s="1"/>
  <c r="H123" i="22"/>
  <c r="J123" i="22" s="1"/>
  <c r="H100" i="22"/>
  <c r="J100" i="22" s="1"/>
  <c r="H99" i="22"/>
  <c r="J99" i="22" s="1"/>
  <c r="H98" i="22"/>
  <c r="J98" i="22" s="1"/>
  <c r="H97" i="22"/>
  <c r="J97" i="22" s="1"/>
  <c r="H96" i="22"/>
  <c r="J96" i="22" s="1"/>
  <c r="H101" i="22"/>
  <c r="J101" i="22" s="1"/>
  <c r="H83" i="22"/>
  <c r="J83" i="22" s="1"/>
  <c r="H82" i="22"/>
  <c r="J82" i="22" s="1"/>
  <c r="H81" i="23"/>
  <c r="J81" i="23" s="1"/>
  <c r="H80" i="22"/>
  <c r="J80" i="22" s="1"/>
  <c r="H79" i="22"/>
  <c r="J79" i="22" s="1"/>
  <c r="H78" i="22"/>
  <c r="J78" i="22" s="1"/>
  <c r="H76" i="22"/>
  <c r="J76" i="22" s="1"/>
  <c r="H74" i="22"/>
  <c r="J74" i="22" s="1"/>
  <c r="H75" i="22"/>
  <c r="J75" i="22" s="1"/>
  <c r="H67" i="22"/>
  <c r="J67" i="22" s="1"/>
  <c r="H66" i="22"/>
  <c r="J66" i="22" s="1"/>
  <c r="H65" i="22"/>
  <c r="J65" i="22" s="1"/>
  <c r="H63" i="22"/>
  <c r="J63" i="22" s="1"/>
  <c r="H58" i="22"/>
  <c r="J58" i="22" s="1"/>
  <c r="H53" i="22"/>
  <c r="J53" i="22" s="1"/>
  <c r="H52" i="22"/>
  <c r="J52" i="22" s="1"/>
  <c r="H51" i="22"/>
  <c r="J51" i="22" s="1"/>
  <c r="H49" i="22"/>
  <c r="J49" i="22" s="1"/>
  <c r="H59" i="22"/>
  <c r="J59" i="22" s="1"/>
  <c r="H46" i="22"/>
  <c r="J46" i="22" s="1"/>
  <c r="H43" i="23"/>
  <c r="J43" i="23" s="1"/>
  <c r="H142" i="22"/>
  <c r="J142" i="22" s="1"/>
  <c r="H144" i="22"/>
  <c r="J144" i="22" s="1"/>
  <c r="H39" i="22"/>
  <c r="J39" i="22" s="1"/>
  <c r="H60" i="19"/>
  <c r="J60" i="19" s="1"/>
  <c r="H150" i="22"/>
  <c r="J150" i="22" s="1"/>
  <c r="H12" i="23"/>
  <c r="J12" i="23" s="1"/>
  <c r="H10" i="22"/>
  <c r="J10" i="22" s="1"/>
  <c r="H148" i="21" l="1"/>
  <c r="J148" i="21" s="1"/>
  <c r="H148" i="20"/>
  <c r="J148" i="20" s="1"/>
  <c r="H36" i="20"/>
  <c r="J36" i="20" s="1"/>
  <c r="H36" i="21"/>
  <c r="J36" i="21" s="1"/>
  <c r="H152" i="20"/>
  <c r="J152" i="20" s="1"/>
  <c r="H152" i="21"/>
  <c r="J152" i="21" s="1"/>
  <c r="H7" i="21"/>
  <c r="J7" i="21" s="1"/>
  <c r="H7" i="20"/>
  <c r="J7" i="20" s="1"/>
  <c r="H55" i="21"/>
  <c r="J55" i="21" s="1"/>
  <c r="H55" i="20"/>
  <c r="J55" i="20" s="1"/>
  <c r="H73" i="21"/>
  <c r="J73" i="21" s="1"/>
  <c r="H73" i="20"/>
  <c r="J73" i="20" s="1"/>
  <c r="H93" i="20"/>
  <c r="J93" i="20" s="1"/>
  <c r="H93" i="21"/>
  <c r="J93" i="21" s="1"/>
  <c r="H143" i="20"/>
  <c r="J143" i="20" s="1"/>
  <c r="H143" i="21"/>
  <c r="J143" i="21" s="1"/>
  <c r="H147" i="21"/>
  <c r="J147" i="21" s="1"/>
  <c r="H147" i="20"/>
  <c r="J147" i="20" s="1"/>
  <c r="H41" i="21"/>
  <c r="J41" i="21" s="1"/>
  <c r="H41" i="20"/>
  <c r="J41" i="20" s="1"/>
  <c r="H54" i="21"/>
  <c r="J54" i="21" s="1"/>
  <c r="H54" i="20"/>
  <c r="J54" i="20" s="1"/>
  <c r="H72" i="20"/>
  <c r="J72" i="20" s="1"/>
  <c r="H72" i="21"/>
  <c r="J72" i="21" s="1"/>
  <c r="H44" i="21"/>
  <c r="J44" i="21" s="1"/>
  <c r="H44" i="20"/>
  <c r="J44" i="20" s="1"/>
  <c r="H50" i="21"/>
  <c r="J50" i="21" s="1"/>
  <c r="H50" i="20"/>
  <c r="J50" i="20" s="1"/>
  <c r="H30" i="22"/>
  <c r="J30" i="22" s="1"/>
  <c r="H85" i="20"/>
  <c r="J85" i="20" s="1"/>
  <c r="H85" i="21"/>
  <c r="J85" i="21" s="1"/>
  <c r="H134" i="21"/>
  <c r="J134" i="21" s="1"/>
  <c r="H134" i="20"/>
  <c r="J134" i="20" s="1"/>
  <c r="H30" i="20"/>
  <c r="J30" i="20" s="1"/>
  <c r="H30" i="21"/>
  <c r="J30" i="21" s="1"/>
  <c r="H31" i="30"/>
  <c r="H149" i="20"/>
  <c r="J149" i="20" s="1"/>
  <c r="H149" i="21"/>
  <c r="J149" i="21" s="1"/>
  <c r="H13" i="20"/>
  <c r="J13" i="20" s="1"/>
  <c r="H13" i="21"/>
  <c r="J13" i="21" s="1"/>
  <c r="H133" i="25"/>
  <c r="J133" i="25" s="1"/>
  <c r="H139" i="21"/>
  <c r="J139" i="21" s="1"/>
  <c r="H139" i="20"/>
  <c r="J139" i="20" s="1"/>
  <c r="H29" i="21"/>
  <c r="J29" i="21" s="1"/>
  <c r="H29" i="20"/>
  <c r="J29" i="20" s="1"/>
  <c r="H69" i="20"/>
  <c r="J69" i="20" s="1"/>
  <c r="H69" i="21"/>
  <c r="J69" i="21" s="1"/>
  <c r="H84" i="20"/>
  <c r="J84" i="20" s="1"/>
  <c r="H84" i="21"/>
  <c r="J84" i="21" s="1"/>
  <c r="H37" i="20"/>
  <c r="J37" i="20" s="1"/>
  <c r="H37" i="21"/>
  <c r="J37" i="21" s="1"/>
  <c r="H145" i="20"/>
  <c r="J145" i="20" s="1"/>
  <c r="H145" i="21"/>
  <c r="J145" i="21" s="1"/>
  <c r="H15" i="20"/>
  <c r="J15" i="20" s="1"/>
  <c r="I16" i="20" s="1"/>
  <c r="H15" i="21"/>
  <c r="J15" i="21" s="1"/>
  <c r="I16" i="21" s="1"/>
  <c r="H146" i="21"/>
  <c r="J146" i="21" s="1"/>
  <c r="H146" i="20"/>
  <c r="J146" i="20" s="1"/>
  <c r="H68" i="24"/>
  <c r="J68" i="24" s="1"/>
  <c r="H68" i="23"/>
  <c r="J68" i="23" s="1"/>
  <c r="H56" i="20"/>
  <c r="J56" i="20" s="1"/>
  <c r="H56" i="21"/>
  <c r="J56" i="21" s="1"/>
  <c r="H151" i="21"/>
  <c r="J151" i="21" s="1"/>
  <c r="H151" i="20"/>
  <c r="J151" i="20" s="1"/>
  <c r="H42" i="20"/>
  <c r="J42" i="20" s="1"/>
  <c r="H42" i="21"/>
  <c r="J42" i="21" s="1"/>
  <c r="H95" i="20"/>
  <c r="J95" i="20" s="1"/>
  <c r="H95" i="21"/>
  <c r="J95" i="21" s="1"/>
  <c r="H152" i="22"/>
  <c r="J152" i="22" s="1"/>
  <c r="H29" i="22"/>
  <c r="J29" i="22" s="1"/>
  <c r="H28" i="24"/>
  <c r="J28" i="24" s="1"/>
  <c r="H27" i="23"/>
  <c r="J27" i="23" s="1"/>
  <c r="H23" i="23"/>
  <c r="J23" i="23" s="1"/>
  <c r="H94" i="24"/>
  <c r="J94" i="24" s="1"/>
  <c r="H18" i="23"/>
  <c r="J18" i="23" s="1"/>
  <c r="H56" i="22"/>
  <c r="J56" i="22" s="1"/>
  <c r="H130" i="23"/>
  <c r="J130" i="23" s="1"/>
  <c r="H131" i="24"/>
  <c r="J131" i="24" s="1"/>
  <c r="H137" i="23"/>
  <c r="J137" i="23" s="1"/>
  <c r="H136" i="23"/>
  <c r="J136" i="23" s="1"/>
  <c r="H92" i="23"/>
  <c r="J92" i="23" s="1"/>
  <c r="H77" i="24"/>
  <c r="J77" i="24" s="1"/>
  <c r="H64" i="23"/>
  <c r="J64" i="23" s="1"/>
  <c r="H62" i="23"/>
  <c r="J62" i="23" s="1"/>
  <c r="H57" i="24"/>
  <c r="J57" i="24" s="1"/>
  <c r="H50" i="22"/>
  <c r="J50" i="22" s="1"/>
  <c r="H37" i="22"/>
  <c r="J37" i="22" s="1"/>
  <c r="H36" i="22"/>
  <c r="J36" i="22" s="1"/>
  <c r="H40" i="23"/>
  <c r="J40" i="23" s="1"/>
  <c r="H35" i="23"/>
  <c r="J35" i="23" s="1"/>
  <c r="H38" i="23"/>
  <c r="J38" i="23" s="1"/>
  <c r="H44" i="22"/>
  <c r="J44" i="22" s="1"/>
  <c r="H45" i="24"/>
  <c r="J45" i="24" s="1"/>
  <c r="H9" i="23"/>
  <c r="J9" i="23" s="1"/>
  <c r="H11" i="24"/>
  <c r="J11" i="24" s="1"/>
  <c r="H19" i="24"/>
  <c r="J19" i="24" s="1"/>
  <c r="H139" i="22"/>
  <c r="J139" i="22" s="1"/>
  <c r="H135" i="23"/>
  <c r="J135" i="23" s="1"/>
  <c r="H134" i="22"/>
  <c r="J134" i="22" s="1"/>
  <c r="H132" i="23"/>
  <c r="J132" i="23" s="1"/>
  <c r="H125" i="23"/>
  <c r="J125" i="23" s="1"/>
  <c r="H127" i="23"/>
  <c r="J127" i="23" s="1"/>
  <c r="H126" i="23"/>
  <c r="J126" i="23" s="1"/>
  <c r="H124" i="23"/>
  <c r="J124" i="23" s="1"/>
  <c r="H123" i="23"/>
  <c r="J123" i="23" s="1"/>
  <c r="H100" i="23"/>
  <c r="J100" i="23" s="1"/>
  <c r="H99" i="23"/>
  <c r="J99" i="23" s="1"/>
  <c r="H98" i="23"/>
  <c r="J98" i="23" s="1"/>
  <c r="H97" i="23"/>
  <c r="J97" i="23" s="1"/>
  <c r="H96" i="23"/>
  <c r="J96" i="23" s="1"/>
  <c r="H101" i="23"/>
  <c r="J101" i="23" s="1"/>
  <c r="H95" i="22"/>
  <c r="J95" i="22" s="1"/>
  <c r="H93" i="22"/>
  <c r="J93" i="22" s="1"/>
  <c r="H85" i="22"/>
  <c r="J85" i="22" s="1"/>
  <c r="H84" i="22"/>
  <c r="J84" i="22" s="1"/>
  <c r="H83" i="23"/>
  <c r="J83" i="23" s="1"/>
  <c r="H82" i="23"/>
  <c r="J82" i="23" s="1"/>
  <c r="H81" i="24"/>
  <c r="J81" i="24" s="1"/>
  <c r="H80" i="23"/>
  <c r="J80" i="23" s="1"/>
  <c r="H79" i="23"/>
  <c r="J79" i="23" s="1"/>
  <c r="H78" i="23"/>
  <c r="J78" i="23" s="1"/>
  <c r="H76" i="23"/>
  <c r="J76" i="23" s="1"/>
  <c r="H74" i="23"/>
  <c r="J74" i="23" s="1"/>
  <c r="H75" i="23"/>
  <c r="J75" i="23" s="1"/>
  <c r="H72" i="22"/>
  <c r="J72" i="22" s="1"/>
  <c r="H73" i="22"/>
  <c r="J73" i="22" s="1"/>
  <c r="H67" i="23"/>
  <c r="J67" i="23" s="1"/>
  <c r="H66" i="23"/>
  <c r="J66" i="23" s="1"/>
  <c r="H65" i="23"/>
  <c r="J65" i="23" s="1"/>
  <c r="H63" i="23"/>
  <c r="J63" i="23" s="1"/>
  <c r="H58" i="23"/>
  <c r="J58" i="23" s="1"/>
  <c r="H55" i="22"/>
  <c r="J55" i="22" s="1"/>
  <c r="H54" i="22"/>
  <c r="J54" i="22" s="1"/>
  <c r="H53" i="23"/>
  <c r="J53" i="23" s="1"/>
  <c r="H148" i="22"/>
  <c r="J148" i="22" s="1"/>
  <c r="H52" i="23"/>
  <c r="J52" i="23" s="1"/>
  <c r="H51" i="23"/>
  <c r="J51" i="23" s="1"/>
  <c r="H49" i="23"/>
  <c r="J49" i="23" s="1"/>
  <c r="H59" i="23"/>
  <c r="J59" i="23" s="1"/>
  <c r="H46" i="23"/>
  <c r="J46" i="23" s="1"/>
  <c r="H43" i="24"/>
  <c r="J43" i="24" s="1"/>
  <c r="H142" i="23"/>
  <c r="J142" i="23" s="1"/>
  <c r="H42" i="22"/>
  <c r="J42" i="22" s="1"/>
  <c r="H144" i="23"/>
  <c r="J144" i="23" s="1"/>
  <c r="H41" i="22"/>
  <c r="J41" i="22" s="1"/>
  <c r="H146" i="22"/>
  <c r="J146" i="22" s="1"/>
  <c r="H39" i="23"/>
  <c r="J39" i="23" s="1"/>
  <c r="H150" i="23"/>
  <c r="J150" i="23" s="1"/>
  <c r="H15" i="22"/>
  <c r="J15" i="22" s="1"/>
  <c r="I16" i="22" s="1"/>
  <c r="H12" i="24"/>
  <c r="J12" i="24" s="1"/>
  <c r="H10" i="23"/>
  <c r="J10" i="23" s="1"/>
  <c r="H13" i="22"/>
  <c r="J13" i="22" s="1"/>
  <c r="H7" i="22"/>
  <c r="J7" i="22" s="1"/>
  <c r="H143" i="22"/>
  <c r="J143" i="22" s="1"/>
  <c r="H149" i="22"/>
  <c r="J149" i="22" s="1"/>
  <c r="H147" i="22"/>
  <c r="J147" i="22" s="1"/>
  <c r="H145" i="22"/>
  <c r="J145" i="22" s="1"/>
  <c r="H151" i="22" l="1"/>
  <c r="J151" i="22" s="1"/>
  <c r="H47" i="20"/>
  <c r="J47" i="20" s="1"/>
  <c r="H47" i="21"/>
  <c r="J47" i="21" s="1"/>
  <c r="H32" i="21"/>
  <c r="J32" i="21" s="1"/>
  <c r="H32" i="20"/>
  <c r="J32" i="20" s="1"/>
  <c r="H133" i="40"/>
  <c r="J133" i="40" s="1"/>
  <c r="H140" i="24"/>
  <c r="J140" i="24" s="1"/>
  <c r="H20" i="20"/>
  <c r="J20" i="20" s="1"/>
  <c r="I20" i="20" s="1"/>
  <c r="H20" i="21"/>
  <c r="J20" i="21" s="1"/>
  <c r="I20" i="21" s="1"/>
  <c r="H30" i="23"/>
  <c r="J30" i="23" s="1"/>
  <c r="H69" i="22"/>
  <c r="J69" i="22" s="1"/>
  <c r="H31" i="43"/>
  <c r="H31" i="31" s="1"/>
  <c r="H152" i="23"/>
  <c r="J152" i="23" s="1"/>
  <c r="H29" i="23"/>
  <c r="J29" i="23" s="1"/>
  <c r="H32" i="22"/>
  <c r="J32" i="22" s="1"/>
  <c r="H28" i="25"/>
  <c r="J28" i="25" s="1"/>
  <c r="H27" i="24"/>
  <c r="J27" i="24" s="1"/>
  <c r="H23" i="24"/>
  <c r="J23" i="24" s="1"/>
  <c r="H18" i="24"/>
  <c r="J18" i="24" s="1"/>
  <c r="H56" i="23"/>
  <c r="J56" i="23" s="1"/>
  <c r="H130" i="24"/>
  <c r="J130" i="24" s="1"/>
  <c r="H136" i="24"/>
  <c r="J136" i="24" s="1"/>
  <c r="H92" i="24"/>
  <c r="J92" i="24" s="1"/>
  <c r="H64" i="24"/>
  <c r="J64" i="24" s="1"/>
  <c r="H62" i="24"/>
  <c r="J62" i="24" s="1"/>
  <c r="H50" i="23"/>
  <c r="J50" i="23" s="1"/>
  <c r="H37" i="23"/>
  <c r="J37" i="23" s="1"/>
  <c r="H36" i="23"/>
  <c r="J36" i="23" s="1"/>
  <c r="H35" i="24"/>
  <c r="J35" i="24" s="1"/>
  <c r="H44" i="23"/>
  <c r="J44" i="23" s="1"/>
  <c r="H38" i="24"/>
  <c r="J38" i="24" s="1"/>
  <c r="H40" i="24"/>
  <c r="J40" i="24" s="1"/>
  <c r="H20" i="22"/>
  <c r="J20" i="22" s="1"/>
  <c r="I20" i="22" s="1"/>
  <c r="H9" i="24"/>
  <c r="J9" i="24" s="1"/>
  <c r="H139" i="23"/>
  <c r="J139" i="23" s="1"/>
  <c r="H134" i="23"/>
  <c r="J134" i="23" s="1"/>
  <c r="H133" i="27"/>
  <c r="J133" i="27" s="1"/>
  <c r="H132" i="24"/>
  <c r="J132" i="24" s="1"/>
  <c r="H125" i="24"/>
  <c r="J125" i="24" s="1"/>
  <c r="H127" i="24"/>
  <c r="J127" i="24" s="1"/>
  <c r="H126" i="24"/>
  <c r="J126" i="24" s="1"/>
  <c r="H124" i="24"/>
  <c r="J124" i="24" s="1"/>
  <c r="H123" i="24"/>
  <c r="J123" i="24" s="1"/>
  <c r="H100" i="24"/>
  <c r="J100" i="24" s="1"/>
  <c r="H99" i="24"/>
  <c r="J99" i="24" s="1"/>
  <c r="H98" i="24"/>
  <c r="J98" i="24" s="1"/>
  <c r="H97" i="24"/>
  <c r="J97" i="24" s="1"/>
  <c r="H96" i="24"/>
  <c r="J96" i="24" s="1"/>
  <c r="H95" i="23"/>
  <c r="J95" i="23" s="1"/>
  <c r="H101" i="24"/>
  <c r="J101" i="24" s="1"/>
  <c r="H93" i="23"/>
  <c r="J93" i="23" s="1"/>
  <c r="H84" i="23"/>
  <c r="J84" i="23" s="1"/>
  <c r="H85" i="23"/>
  <c r="J85" i="23" s="1"/>
  <c r="H83" i="24"/>
  <c r="J83" i="24" s="1"/>
  <c r="H82" i="24"/>
  <c r="J82" i="24" s="1"/>
  <c r="H80" i="24"/>
  <c r="J80" i="24" s="1"/>
  <c r="H79" i="24"/>
  <c r="J79" i="24" s="1"/>
  <c r="H78" i="24"/>
  <c r="J78" i="24" s="1"/>
  <c r="H76" i="24"/>
  <c r="J76" i="24" s="1"/>
  <c r="H74" i="24"/>
  <c r="J74" i="24" s="1"/>
  <c r="H75" i="24"/>
  <c r="J75" i="24" s="1"/>
  <c r="H72" i="23"/>
  <c r="J72" i="23" s="1"/>
  <c r="H73" i="23"/>
  <c r="J73" i="23" s="1"/>
  <c r="H67" i="24"/>
  <c r="J67" i="24" s="1"/>
  <c r="H66" i="24"/>
  <c r="J66" i="24" s="1"/>
  <c r="H65" i="24"/>
  <c r="J65" i="24" s="1"/>
  <c r="H63" i="24"/>
  <c r="J63" i="24" s="1"/>
  <c r="H58" i="24"/>
  <c r="J58" i="24" s="1"/>
  <c r="H55" i="23"/>
  <c r="J55" i="23" s="1"/>
  <c r="H54" i="23"/>
  <c r="J54" i="23" s="1"/>
  <c r="H53" i="24"/>
  <c r="J53" i="24" s="1"/>
  <c r="H52" i="24"/>
  <c r="J52" i="24" s="1"/>
  <c r="H148" i="23"/>
  <c r="J148" i="23" s="1"/>
  <c r="H51" i="24"/>
  <c r="J51" i="24" s="1"/>
  <c r="H49" i="24"/>
  <c r="J49" i="24" s="1"/>
  <c r="H59" i="24"/>
  <c r="J59" i="24" s="1"/>
  <c r="H46" i="24"/>
  <c r="J46" i="24" s="1"/>
  <c r="H142" i="24"/>
  <c r="J142" i="24" s="1"/>
  <c r="H42" i="23"/>
  <c r="J42" i="23" s="1"/>
  <c r="H144" i="24"/>
  <c r="J144" i="24" s="1"/>
  <c r="H41" i="23"/>
  <c r="J41" i="23" s="1"/>
  <c r="H47" i="22"/>
  <c r="J47" i="22" s="1"/>
  <c r="H146" i="23"/>
  <c r="J146" i="23" s="1"/>
  <c r="H39" i="24"/>
  <c r="J39" i="24" s="1"/>
  <c r="H150" i="24"/>
  <c r="J150" i="24" s="1"/>
  <c r="H15" i="23"/>
  <c r="J15" i="23" s="1"/>
  <c r="I16" i="23" s="1"/>
  <c r="H10" i="24"/>
  <c r="J10" i="24" s="1"/>
  <c r="H13" i="23"/>
  <c r="J13" i="23" s="1"/>
  <c r="H145" i="23"/>
  <c r="J145" i="23" s="1"/>
  <c r="H149" i="23"/>
  <c r="J149" i="23" s="1"/>
  <c r="H143" i="23"/>
  <c r="J143" i="23" s="1"/>
  <c r="H151" i="23"/>
  <c r="J151" i="23" s="1"/>
  <c r="H147" i="23"/>
  <c r="J147" i="23" s="1"/>
  <c r="H140" i="25" l="1"/>
  <c r="J140" i="25" s="1"/>
  <c r="H81" i="25"/>
  <c r="J81" i="25" s="1"/>
  <c r="H11" i="25"/>
  <c r="J11" i="25" s="1"/>
  <c r="H68" i="25"/>
  <c r="J68" i="25" s="1"/>
  <c r="H43" i="25"/>
  <c r="J43" i="25" s="1"/>
  <c r="H77" i="25"/>
  <c r="J77" i="25" s="1"/>
  <c r="H131" i="25"/>
  <c r="J131" i="25" s="1"/>
  <c r="H153" i="21"/>
  <c r="J153" i="21" s="1"/>
  <c r="H153" i="20"/>
  <c r="J153" i="20" s="1"/>
  <c r="H19" i="25"/>
  <c r="J19" i="25" s="1"/>
  <c r="H45" i="25"/>
  <c r="J45" i="25" s="1"/>
  <c r="H94" i="25"/>
  <c r="J94" i="25" s="1"/>
  <c r="H7" i="23"/>
  <c r="J7" i="23" s="1"/>
  <c r="H69" i="24"/>
  <c r="J69" i="24" s="1"/>
  <c r="H69" i="23"/>
  <c r="J69" i="23" s="1"/>
  <c r="H12" i="25"/>
  <c r="J12" i="25" s="1"/>
  <c r="H60" i="20"/>
  <c r="J60" i="20" s="1"/>
  <c r="H60" i="21"/>
  <c r="J60" i="21" s="1"/>
  <c r="H57" i="25"/>
  <c r="J57" i="25" s="1"/>
  <c r="H30" i="24"/>
  <c r="J30" i="24" s="1"/>
  <c r="H153" i="22"/>
  <c r="J153" i="22" s="1"/>
  <c r="H152" i="24"/>
  <c r="J152" i="24" s="1"/>
  <c r="H29" i="24"/>
  <c r="J29" i="24" s="1"/>
  <c r="H32" i="23"/>
  <c r="J32" i="23" s="1"/>
  <c r="H28" i="40"/>
  <c r="J28" i="40" s="1"/>
  <c r="H27" i="25"/>
  <c r="J27" i="25" s="1"/>
  <c r="H56" i="24"/>
  <c r="J56" i="24" s="1"/>
  <c r="H50" i="24"/>
  <c r="J50" i="24" s="1"/>
  <c r="H36" i="24"/>
  <c r="J36" i="24" s="1"/>
  <c r="H37" i="24"/>
  <c r="J37" i="24" s="1"/>
  <c r="H44" i="24"/>
  <c r="J44" i="24" s="1"/>
  <c r="H20" i="23"/>
  <c r="J20" i="23" s="1"/>
  <c r="I20" i="23" s="1"/>
  <c r="H139" i="24"/>
  <c r="J139" i="24" s="1"/>
  <c r="H133" i="28"/>
  <c r="J133" i="28" s="1"/>
  <c r="H127" i="25"/>
  <c r="J127" i="25" s="1"/>
  <c r="H95" i="24"/>
  <c r="J95" i="24" s="1"/>
  <c r="H93" i="24"/>
  <c r="J93" i="24" s="1"/>
  <c r="H84" i="24"/>
  <c r="J84" i="24" s="1"/>
  <c r="H85" i="24"/>
  <c r="J85" i="24" s="1"/>
  <c r="H72" i="24"/>
  <c r="J72" i="24" s="1"/>
  <c r="H73" i="24"/>
  <c r="J73" i="24" s="1"/>
  <c r="H55" i="24"/>
  <c r="J55" i="24" s="1"/>
  <c r="H54" i="24"/>
  <c r="J54" i="24" s="1"/>
  <c r="H148" i="24"/>
  <c r="J148" i="24" s="1"/>
  <c r="H42" i="24"/>
  <c r="J42" i="24" s="1"/>
  <c r="H41" i="24"/>
  <c r="J41" i="24" s="1"/>
  <c r="H47" i="23"/>
  <c r="J47" i="23" s="1"/>
  <c r="H60" i="22"/>
  <c r="J60" i="22" s="1"/>
  <c r="H146" i="24"/>
  <c r="J146" i="24" s="1"/>
  <c r="H15" i="24"/>
  <c r="J15" i="24" s="1"/>
  <c r="I16" i="24" s="1"/>
  <c r="H13" i="24"/>
  <c r="J13" i="24" s="1"/>
  <c r="H145" i="24"/>
  <c r="J145" i="24" s="1"/>
  <c r="H143" i="24"/>
  <c r="J143" i="24" s="1"/>
  <c r="H147" i="24"/>
  <c r="J147" i="24" s="1"/>
  <c r="H151" i="24"/>
  <c r="J151" i="24" s="1"/>
  <c r="H149" i="24"/>
  <c r="J149" i="24" s="1"/>
  <c r="H7" i="24"/>
  <c r="J7" i="24" s="1"/>
  <c r="H142" i="25" l="1"/>
  <c r="J142" i="25" s="1"/>
  <c r="H51" i="25"/>
  <c r="J51" i="25" s="1"/>
  <c r="H78" i="25"/>
  <c r="J78" i="25" s="1"/>
  <c r="H97" i="25"/>
  <c r="J97" i="25" s="1"/>
  <c r="H123" i="25"/>
  <c r="J123" i="25" s="1"/>
  <c r="H92" i="25"/>
  <c r="J92" i="25" s="1"/>
  <c r="H19" i="40"/>
  <c r="J19" i="40" s="1"/>
  <c r="H43" i="40"/>
  <c r="J43" i="40" s="1"/>
  <c r="H140" i="40"/>
  <c r="J140" i="40" s="1"/>
  <c r="H150" i="25"/>
  <c r="J150" i="25" s="1"/>
  <c r="H65" i="25"/>
  <c r="J65" i="25" s="1"/>
  <c r="H82" i="25"/>
  <c r="J82" i="25" s="1"/>
  <c r="H125" i="25"/>
  <c r="J125" i="25" s="1"/>
  <c r="H23" i="25"/>
  <c r="J23" i="25" s="1"/>
  <c r="H59" i="25"/>
  <c r="J59" i="25" s="1"/>
  <c r="H76" i="25"/>
  <c r="J76" i="25" s="1"/>
  <c r="H96" i="25"/>
  <c r="J96" i="25" s="1"/>
  <c r="H9" i="25"/>
  <c r="J9" i="25" s="1"/>
  <c r="H40" i="25"/>
  <c r="J40" i="25" s="1"/>
  <c r="H136" i="25"/>
  <c r="J136" i="25" s="1"/>
  <c r="H12" i="40"/>
  <c r="J12" i="40" s="1"/>
  <c r="H45" i="40"/>
  <c r="J45" i="40" s="1"/>
  <c r="H77" i="40"/>
  <c r="J77" i="40" s="1"/>
  <c r="H81" i="40"/>
  <c r="J81" i="40" s="1"/>
  <c r="H39" i="25"/>
  <c r="J39" i="25" s="1"/>
  <c r="H53" i="25"/>
  <c r="J53" i="25" s="1"/>
  <c r="H63" i="25"/>
  <c r="J63" i="25" s="1"/>
  <c r="H100" i="25"/>
  <c r="J100" i="25" s="1"/>
  <c r="H64" i="25"/>
  <c r="J64" i="25" s="1"/>
  <c r="H58" i="25"/>
  <c r="J58" i="25" s="1"/>
  <c r="H67" i="25"/>
  <c r="J67" i="25" s="1"/>
  <c r="H74" i="25"/>
  <c r="J74" i="25" s="1"/>
  <c r="H80" i="25"/>
  <c r="J80" i="25" s="1"/>
  <c r="H101" i="25"/>
  <c r="J101" i="25" s="1"/>
  <c r="H99" i="25"/>
  <c r="J99" i="25" s="1"/>
  <c r="H38" i="25"/>
  <c r="J38" i="25" s="1"/>
  <c r="H94" i="40"/>
  <c r="J94" i="40" s="1"/>
  <c r="H131" i="40"/>
  <c r="J131" i="40" s="1"/>
  <c r="H11" i="40"/>
  <c r="J11" i="40" s="1"/>
  <c r="H49" i="25"/>
  <c r="J49" i="25" s="1"/>
  <c r="H75" i="25"/>
  <c r="J75" i="25" s="1"/>
  <c r="H126" i="25"/>
  <c r="J126" i="25" s="1"/>
  <c r="H62" i="25"/>
  <c r="J62" i="25" s="1"/>
  <c r="H130" i="25"/>
  <c r="J130" i="25" s="1"/>
  <c r="H18" i="25"/>
  <c r="J18" i="25" s="1"/>
  <c r="H46" i="25"/>
  <c r="J46" i="25" s="1"/>
  <c r="H52" i="25"/>
  <c r="J52" i="25" s="1"/>
  <c r="H79" i="25"/>
  <c r="J79" i="25" s="1"/>
  <c r="H83" i="25"/>
  <c r="J83" i="25" s="1"/>
  <c r="H98" i="25"/>
  <c r="J98" i="25" s="1"/>
  <c r="H30" i="40"/>
  <c r="J30" i="40" s="1"/>
  <c r="H30" i="25"/>
  <c r="J30" i="25" s="1"/>
  <c r="H57" i="40"/>
  <c r="J57" i="40" s="1"/>
  <c r="H68" i="40"/>
  <c r="J68" i="40" s="1"/>
  <c r="H10" i="25"/>
  <c r="J10" i="25" s="1"/>
  <c r="H144" i="25"/>
  <c r="J144" i="25" s="1"/>
  <c r="H66" i="25"/>
  <c r="J66" i="25" s="1"/>
  <c r="H124" i="25"/>
  <c r="J124" i="25" s="1"/>
  <c r="H132" i="25"/>
  <c r="J132" i="25" s="1"/>
  <c r="H35" i="25"/>
  <c r="J35" i="25" s="1"/>
  <c r="H153" i="23"/>
  <c r="J153" i="23" s="1"/>
  <c r="H152" i="25"/>
  <c r="J152" i="25" s="1"/>
  <c r="H29" i="25"/>
  <c r="J29" i="25" s="1"/>
  <c r="H28" i="27"/>
  <c r="J28" i="27" s="1"/>
  <c r="H27" i="40"/>
  <c r="J27" i="40" s="1"/>
  <c r="H32" i="24"/>
  <c r="J32" i="24" s="1"/>
  <c r="H30" i="27"/>
  <c r="J30" i="27" s="1"/>
  <c r="H94" i="27"/>
  <c r="J94" i="27" s="1"/>
  <c r="H131" i="27"/>
  <c r="J131" i="27" s="1"/>
  <c r="H77" i="27"/>
  <c r="J77" i="27" s="1"/>
  <c r="H68" i="27"/>
  <c r="J68" i="27" s="1"/>
  <c r="H57" i="27"/>
  <c r="J57" i="27" s="1"/>
  <c r="H45" i="27"/>
  <c r="J45" i="27" s="1"/>
  <c r="H20" i="24"/>
  <c r="J20" i="24" s="1"/>
  <c r="I20" i="24" s="1"/>
  <c r="H11" i="27"/>
  <c r="J11" i="27" s="1"/>
  <c r="H19" i="27"/>
  <c r="J19" i="27" s="1"/>
  <c r="H140" i="27"/>
  <c r="J140" i="27" s="1"/>
  <c r="H139" i="25"/>
  <c r="J139" i="25" s="1"/>
  <c r="H133" i="29"/>
  <c r="J133" i="29" s="1"/>
  <c r="H81" i="27"/>
  <c r="J81" i="27" s="1"/>
  <c r="H43" i="27"/>
  <c r="J43" i="27" s="1"/>
  <c r="H60" i="23"/>
  <c r="J60" i="23" s="1"/>
  <c r="H47" i="24"/>
  <c r="J47" i="24" s="1"/>
  <c r="H12" i="27"/>
  <c r="J12" i="27" s="1"/>
  <c r="H7" i="25" l="1"/>
  <c r="J7" i="25" s="1"/>
  <c r="H42" i="25"/>
  <c r="J42" i="25" s="1"/>
  <c r="H148" i="25"/>
  <c r="J148" i="25" s="1"/>
  <c r="H93" i="25"/>
  <c r="J93" i="25" s="1"/>
  <c r="H124" i="40"/>
  <c r="J124" i="40" s="1"/>
  <c r="H83" i="40"/>
  <c r="J83" i="40" s="1"/>
  <c r="H18" i="40"/>
  <c r="J18" i="40" s="1"/>
  <c r="H75" i="40"/>
  <c r="J75" i="40" s="1"/>
  <c r="H80" i="40"/>
  <c r="J80" i="40" s="1"/>
  <c r="H64" i="40"/>
  <c r="J64" i="40" s="1"/>
  <c r="H39" i="40"/>
  <c r="J39" i="40" s="1"/>
  <c r="H96" i="40"/>
  <c r="J96" i="40" s="1"/>
  <c r="H125" i="40"/>
  <c r="J125" i="40" s="1"/>
  <c r="H123" i="40"/>
  <c r="J123" i="40" s="1"/>
  <c r="H142" i="40"/>
  <c r="J142" i="40" s="1"/>
  <c r="H72" i="25"/>
  <c r="J72" i="25" s="1"/>
  <c r="H149" i="25"/>
  <c r="J149" i="25" s="1"/>
  <c r="H50" i="25"/>
  <c r="J50" i="25" s="1"/>
  <c r="H132" i="40"/>
  <c r="J132" i="40" s="1"/>
  <c r="H10" i="40"/>
  <c r="J10" i="40" s="1"/>
  <c r="H98" i="40"/>
  <c r="J98" i="40" s="1"/>
  <c r="H46" i="40"/>
  <c r="J46" i="40" s="1"/>
  <c r="H126" i="40"/>
  <c r="J126" i="40" s="1"/>
  <c r="H101" i="40"/>
  <c r="J101" i="40" s="1"/>
  <c r="H58" i="40"/>
  <c r="J58" i="40" s="1"/>
  <c r="H53" i="40"/>
  <c r="J53" i="40" s="1"/>
  <c r="H9" i="40"/>
  <c r="J9" i="40" s="1"/>
  <c r="H23" i="40"/>
  <c r="J23" i="40" s="1"/>
  <c r="H150" i="40"/>
  <c r="J150" i="40" s="1"/>
  <c r="H92" i="40"/>
  <c r="J92" i="40" s="1"/>
  <c r="H51" i="40"/>
  <c r="J51" i="40" s="1"/>
  <c r="H13" i="25"/>
  <c r="J13" i="25" s="1"/>
  <c r="H147" i="25"/>
  <c r="J147" i="25" s="1"/>
  <c r="H41" i="25"/>
  <c r="J41" i="25" s="1"/>
  <c r="H85" i="25"/>
  <c r="J85" i="25" s="1"/>
  <c r="H44" i="25"/>
  <c r="J44" i="25" s="1"/>
  <c r="H69" i="25"/>
  <c r="J69" i="25" s="1"/>
  <c r="H35" i="40"/>
  <c r="J35" i="40" s="1"/>
  <c r="H144" i="40"/>
  <c r="J144" i="40" s="1"/>
  <c r="H52" i="40"/>
  <c r="J52" i="40" s="1"/>
  <c r="H62" i="40"/>
  <c r="J62" i="40" s="1"/>
  <c r="H99" i="40"/>
  <c r="J99" i="40" s="1"/>
  <c r="H67" i="40"/>
  <c r="J67" i="40" s="1"/>
  <c r="H63" i="40"/>
  <c r="J63" i="40" s="1"/>
  <c r="H40" i="40"/>
  <c r="J40" i="40" s="1"/>
  <c r="H59" i="40"/>
  <c r="J59" i="40" s="1"/>
  <c r="H65" i="40"/>
  <c r="J65" i="40" s="1"/>
  <c r="H78" i="40"/>
  <c r="J78" i="40" s="1"/>
  <c r="H151" i="25"/>
  <c r="J151" i="25" s="1"/>
  <c r="H55" i="25"/>
  <c r="J55" i="25" s="1"/>
  <c r="H145" i="25"/>
  <c r="J145" i="25" s="1"/>
  <c r="H54" i="25"/>
  <c r="J54" i="25" s="1"/>
  <c r="H84" i="25"/>
  <c r="J84" i="25" s="1"/>
  <c r="H37" i="25"/>
  <c r="J37" i="25" s="1"/>
  <c r="H127" i="40"/>
  <c r="J127" i="40" s="1"/>
  <c r="H143" i="25"/>
  <c r="J143" i="25" s="1"/>
  <c r="H15" i="25"/>
  <c r="J15" i="25" s="1"/>
  <c r="I16" i="25" s="1"/>
  <c r="H146" i="25"/>
  <c r="J146" i="25" s="1"/>
  <c r="H95" i="25"/>
  <c r="J95" i="25" s="1"/>
  <c r="H66" i="40"/>
  <c r="J66" i="40" s="1"/>
  <c r="H79" i="40"/>
  <c r="J79" i="40" s="1"/>
  <c r="H130" i="40"/>
  <c r="J130" i="40" s="1"/>
  <c r="H49" i="40"/>
  <c r="J49" i="40" s="1"/>
  <c r="H38" i="40"/>
  <c r="J38" i="40" s="1"/>
  <c r="H74" i="40"/>
  <c r="J74" i="40" s="1"/>
  <c r="H100" i="40"/>
  <c r="J100" i="40" s="1"/>
  <c r="H136" i="40"/>
  <c r="J136" i="40" s="1"/>
  <c r="H76" i="40"/>
  <c r="J76" i="40" s="1"/>
  <c r="H82" i="40"/>
  <c r="J82" i="40" s="1"/>
  <c r="H97" i="40"/>
  <c r="J97" i="40" s="1"/>
  <c r="H73" i="25"/>
  <c r="J73" i="25" s="1"/>
  <c r="H36" i="25"/>
  <c r="J36" i="25" s="1"/>
  <c r="H56" i="25"/>
  <c r="J56" i="25" s="1"/>
  <c r="H153" i="24"/>
  <c r="J153" i="24" s="1"/>
  <c r="H152" i="40"/>
  <c r="J152" i="40" s="1"/>
  <c r="H29" i="40"/>
  <c r="J29" i="40" s="1"/>
  <c r="H28" i="28"/>
  <c r="J28" i="28" s="1"/>
  <c r="H27" i="27"/>
  <c r="J27" i="27" s="1"/>
  <c r="H32" i="25"/>
  <c r="H30" i="28"/>
  <c r="J30" i="28" s="1"/>
  <c r="H139" i="40"/>
  <c r="J139" i="40" s="1"/>
  <c r="H23" i="27"/>
  <c r="J23" i="27" s="1"/>
  <c r="H94" i="28"/>
  <c r="J94" i="28" s="1"/>
  <c r="H18" i="27"/>
  <c r="J18" i="27" s="1"/>
  <c r="H136" i="27"/>
  <c r="J136" i="27" s="1"/>
  <c r="H130" i="27"/>
  <c r="J130" i="27" s="1"/>
  <c r="H131" i="28"/>
  <c r="J131" i="28" s="1"/>
  <c r="H92" i="27"/>
  <c r="J92" i="27" s="1"/>
  <c r="H77" i="28"/>
  <c r="J77" i="28" s="1"/>
  <c r="H62" i="27"/>
  <c r="J62" i="27" s="1"/>
  <c r="H68" i="28"/>
  <c r="J68" i="28" s="1"/>
  <c r="H64" i="27"/>
  <c r="J64" i="27" s="1"/>
  <c r="H57" i="28"/>
  <c r="J57" i="28" s="1"/>
  <c r="H35" i="27"/>
  <c r="J35" i="27" s="1"/>
  <c r="H38" i="27"/>
  <c r="J38" i="27" s="1"/>
  <c r="H40" i="27"/>
  <c r="J40" i="27" s="1"/>
  <c r="H45" i="28"/>
  <c r="J45" i="28" s="1"/>
  <c r="H9" i="27"/>
  <c r="J9" i="27" s="1"/>
  <c r="H11" i="28"/>
  <c r="J11" i="28" s="1"/>
  <c r="H19" i="28"/>
  <c r="J19" i="28" s="1"/>
  <c r="H140" i="28"/>
  <c r="J140" i="28" s="1"/>
  <c r="H133" i="30"/>
  <c r="H132" i="27"/>
  <c r="J132" i="27" s="1"/>
  <c r="H125" i="27"/>
  <c r="J125" i="27" s="1"/>
  <c r="H127" i="27"/>
  <c r="J127" i="27" s="1"/>
  <c r="H126" i="27"/>
  <c r="J126" i="27" s="1"/>
  <c r="H124" i="27"/>
  <c r="J124" i="27" s="1"/>
  <c r="H123" i="27"/>
  <c r="J123" i="27" s="1"/>
  <c r="H100" i="27"/>
  <c r="J100" i="27" s="1"/>
  <c r="H99" i="27"/>
  <c r="J99" i="27" s="1"/>
  <c r="H98" i="27"/>
  <c r="J98" i="27" s="1"/>
  <c r="H97" i="27"/>
  <c r="J97" i="27" s="1"/>
  <c r="H96" i="27"/>
  <c r="J96" i="27" s="1"/>
  <c r="H101" i="27"/>
  <c r="J101" i="27" s="1"/>
  <c r="H83" i="27"/>
  <c r="J83" i="27" s="1"/>
  <c r="H82" i="27"/>
  <c r="J82" i="27" s="1"/>
  <c r="H81" i="28"/>
  <c r="J81" i="28" s="1"/>
  <c r="H80" i="27"/>
  <c r="J80" i="27" s="1"/>
  <c r="H78" i="27"/>
  <c r="J78" i="27" s="1"/>
  <c r="H79" i="27"/>
  <c r="J79" i="27" s="1"/>
  <c r="H76" i="27"/>
  <c r="J76" i="27" s="1"/>
  <c r="H75" i="27"/>
  <c r="J75" i="27" s="1"/>
  <c r="H74" i="27"/>
  <c r="J74" i="27" s="1"/>
  <c r="H67" i="27"/>
  <c r="J67" i="27" s="1"/>
  <c r="H66" i="27"/>
  <c r="J66" i="27" s="1"/>
  <c r="H65" i="27"/>
  <c r="J65" i="27" s="1"/>
  <c r="H63" i="27"/>
  <c r="J63" i="27" s="1"/>
  <c r="H58" i="27"/>
  <c r="J58" i="27" s="1"/>
  <c r="H53" i="27"/>
  <c r="J53" i="27" s="1"/>
  <c r="H52" i="27"/>
  <c r="J52" i="27" s="1"/>
  <c r="H51" i="27"/>
  <c r="J51" i="27" s="1"/>
  <c r="H59" i="27"/>
  <c r="J59" i="27" s="1"/>
  <c r="H49" i="27"/>
  <c r="J49" i="27" s="1"/>
  <c r="H46" i="27"/>
  <c r="J46" i="27" s="1"/>
  <c r="H142" i="27"/>
  <c r="J142" i="27" s="1"/>
  <c r="H43" i="28"/>
  <c r="J43" i="28" s="1"/>
  <c r="H144" i="27"/>
  <c r="J144" i="27" s="1"/>
  <c r="H39" i="27"/>
  <c r="J39" i="27" s="1"/>
  <c r="H60" i="24"/>
  <c r="J60" i="24" s="1"/>
  <c r="H150" i="27"/>
  <c r="J150" i="27" s="1"/>
  <c r="H12" i="28"/>
  <c r="J12" i="28" s="1"/>
  <c r="H10" i="27"/>
  <c r="J10" i="27" s="1"/>
  <c r="J133" i="30" l="1"/>
  <c r="H119" i="42"/>
  <c r="J119" i="42" s="1"/>
  <c r="H56" i="40"/>
  <c r="J56" i="40" s="1"/>
  <c r="H15" i="40"/>
  <c r="J15" i="40" s="1"/>
  <c r="I16" i="40" s="1"/>
  <c r="H84" i="40"/>
  <c r="J84" i="40" s="1"/>
  <c r="H151" i="40"/>
  <c r="J151" i="40" s="1"/>
  <c r="H69" i="40"/>
  <c r="J69" i="40" s="1"/>
  <c r="H147" i="40"/>
  <c r="J147" i="40" s="1"/>
  <c r="H149" i="40"/>
  <c r="J149" i="40" s="1"/>
  <c r="H7" i="40"/>
  <c r="H20" i="25"/>
  <c r="J20" i="25" s="1"/>
  <c r="I20" i="25" s="1"/>
  <c r="H146" i="40"/>
  <c r="J146" i="40" s="1"/>
  <c r="H37" i="40"/>
  <c r="J37" i="40" s="1"/>
  <c r="H55" i="40"/>
  <c r="J55" i="40" s="1"/>
  <c r="H41" i="40"/>
  <c r="J41" i="40" s="1"/>
  <c r="H50" i="40"/>
  <c r="J50" i="40" s="1"/>
  <c r="H42" i="40"/>
  <c r="J42" i="40" s="1"/>
  <c r="H47" i="25"/>
  <c r="J47" i="25" s="1"/>
  <c r="H73" i="40"/>
  <c r="J73" i="40" s="1"/>
  <c r="H95" i="40"/>
  <c r="J95" i="40" s="1"/>
  <c r="H145" i="40"/>
  <c r="J145" i="40" s="1"/>
  <c r="H85" i="40"/>
  <c r="J85" i="40" s="1"/>
  <c r="H148" i="40"/>
  <c r="J148" i="40" s="1"/>
  <c r="H36" i="40"/>
  <c r="J36" i="40" s="1"/>
  <c r="H143" i="40"/>
  <c r="J143" i="40" s="1"/>
  <c r="H54" i="40"/>
  <c r="J54" i="40" s="1"/>
  <c r="H44" i="40"/>
  <c r="J44" i="40" s="1"/>
  <c r="H13" i="40"/>
  <c r="J13" i="40" s="1"/>
  <c r="H72" i="40"/>
  <c r="J72" i="40" s="1"/>
  <c r="H93" i="40"/>
  <c r="J93" i="40" s="1"/>
  <c r="H153" i="25"/>
  <c r="J153" i="25" s="1"/>
  <c r="H152" i="27"/>
  <c r="J152" i="27" s="1"/>
  <c r="H29" i="27"/>
  <c r="J29" i="27" s="1"/>
  <c r="H32" i="40"/>
  <c r="J32" i="40" s="1"/>
  <c r="H28" i="29"/>
  <c r="J28" i="29" s="1"/>
  <c r="H27" i="28"/>
  <c r="J27" i="28" s="1"/>
  <c r="H30" i="29"/>
  <c r="J30" i="29" s="1"/>
  <c r="H23" i="28"/>
  <c r="J23" i="28" s="1"/>
  <c r="H94" i="29"/>
  <c r="J94" i="29" s="1"/>
  <c r="H18" i="28"/>
  <c r="J18" i="28" s="1"/>
  <c r="H56" i="27"/>
  <c r="J56" i="27" s="1"/>
  <c r="H136" i="28"/>
  <c r="J136" i="28" s="1"/>
  <c r="H130" i="28"/>
  <c r="J130" i="28" s="1"/>
  <c r="H131" i="29"/>
  <c r="J131" i="29" s="1"/>
  <c r="H92" i="28"/>
  <c r="J92" i="28" s="1"/>
  <c r="H77" i="29"/>
  <c r="J77" i="29" s="1"/>
  <c r="H62" i="28"/>
  <c r="J62" i="28" s="1"/>
  <c r="H64" i="28"/>
  <c r="J64" i="28" s="1"/>
  <c r="H68" i="29"/>
  <c r="J68" i="29" s="1"/>
  <c r="H57" i="29"/>
  <c r="J57" i="29" s="1"/>
  <c r="H50" i="27"/>
  <c r="J50" i="27" s="1"/>
  <c r="H37" i="27"/>
  <c r="J37" i="27" s="1"/>
  <c r="H36" i="27"/>
  <c r="J36" i="27" s="1"/>
  <c r="H40" i="28"/>
  <c r="J40" i="28" s="1"/>
  <c r="H44" i="27"/>
  <c r="J44" i="27" s="1"/>
  <c r="H45" i="29"/>
  <c r="J45" i="29" s="1"/>
  <c r="H38" i="28"/>
  <c r="J38" i="28" s="1"/>
  <c r="H35" i="28"/>
  <c r="J35" i="28" s="1"/>
  <c r="H11" i="29"/>
  <c r="J11" i="29" s="1"/>
  <c r="H9" i="28"/>
  <c r="J9" i="28" s="1"/>
  <c r="H19" i="29"/>
  <c r="J19" i="29" s="1"/>
  <c r="H140" i="29"/>
  <c r="J140" i="29" s="1"/>
  <c r="H139" i="27"/>
  <c r="J139" i="27" s="1"/>
  <c r="H132" i="28"/>
  <c r="J132" i="28" s="1"/>
  <c r="H125" i="28"/>
  <c r="J125" i="28" s="1"/>
  <c r="H127" i="28"/>
  <c r="J127" i="28" s="1"/>
  <c r="H126" i="28"/>
  <c r="J126" i="28" s="1"/>
  <c r="H124" i="28"/>
  <c r="J124" i="28" s="1"/>
  <c r="H123" i="28"/>
  <c r="J123" i="28" s="1"/>
  <c r="H100" i="28"/>
  <c r="J100" i="28" s="1"/>
  <c r="H99" i="28"/>
  <c r="J99" i="28" s="1"/>
  <c r="H98" i="28"/>
  <c r="J98" i="28" s="1"/>
  <c r="H97" i="28"/>
  <c r="J97" i="28" s="1"/>
  <c r="H96" i="28"/>
  <c r="J96" i="28" s="1"/>
  <c r="H101" i="28"/>
  <c r="J101" i="28" s="1"/>
  <c r="H95" i="27"/>
  <c r="J95" i="27" s="1"/>
  <c r="H93" i="27"/>
  <c r="J93" i="27" s="1"/>
  <c r="H85" i="27"/>
  <c r="J85" i="27" s="1"/>
  <c r="H84" i="27"/>
  <c r="J84" i="27" s="1"/>
  <c r="H83" i="28"/>
  <c r="J83" i="28" s="1"/>
  <c r="H82" i="28"/>
  <c r="J82" i="28" s="1"/>
  <c r="H81" i="29"/>
  <c r="J81" i="29" s="1"/>
  <c r="H80" i="28"/>
  <c r="J80" i="28" s="1"/>
  <c r="H78" i="28"/>
  <c r="J78" i="28" s="1"/>
  <c r="H79" i="28"/>
  <c r="J79" i="28" s="1"/>
  <c r="H76" i="28"/>
  <c r="J76" i="28" s="1"/>
  <c r="H75" i="28"/>
  <c r="J75" i="28" s="1"/>
  <c r="H74" i="28"/>
  <c r="J74" i="28" s="1"/>
  <c r="H72" i="27"/>
  <c r="J72" i="27" s="1"/>
  <c r="H73" i="27"/>
  <c r="J73" i="27" s="1"/>
  <c r="H69" i="27"/>
  <c r="J69" i="27" s="1"/>
  <c r="H67" i="28"/>
  <c r="J67" i="28" s="1"/>
  <c r="H66" i="28"/>
  <c r="J66" i="28" s="1"/>
  <c r="H65" i="28"/>
  <c r="J65" i="28" s="1"/>
  <c r="H63" i="28"/>
  <c r="J63" i="28" s="1"/>
  <c r="H58" i="28"/>
  <c r="J58" i="28" s="1"/>
  <c r="H55" i="27"/>
  <c r="J55" i="27" s="1"/>
  <c r="H54" i="27"/>
  <c r="J54" i="27" s="1"/>
  <c r="H53" i="28"/>
  <c r="J53" i="28" s="1"/>
  <c r="H52" i="28"/>
  <c r="J52" i="28" s="1"/>
  <c r="H148" i="27"/>
  <c r="J148" i="27" s="1"/>
  <c r="H51" i="28"/>
  <c r="J51" i="28" s="1"/>
  <c r="H59" i="28"/>
  <c r="J59" i="28" s="1"/>
  <c r="H49" i="28"/>
  <c r="J49" i="28" s="1"/>
  <c r="H46" i="28"/>
  <c r="J46" i="28" s="1"/>
  <c r="H142" i="28"/>
  <c r="J142" i="28" s="1"/>
  <c r="H43" i="29"/>
  <c r="J43" i="29" s="1"/>
  <c r="H42" i="27"/>
  <c r="J42" i="27" s="1"/>
  <c r="H41" i="27"/>
  <c r="J41" i="27" s="1"/>
  <c r="H144" i="28"/>
  <c r="J144" i="28" s="1"/>
  <c r="H39" i="28"/>
  <c r="J39" i="28" s="1"/>
  <c r="H146" i="27"/>
  <c r="J146" i="27" s="1"/>
  <c r="H150" i="28"/>
  <c r="J150" i="28" s="1"/>
  <c r="H15" i="27"/>
  <c r="J15" i="27" s="1"/>
  <c r="I16" i="27" s="1"/>
  <c r="H12" i="29"/>
  <c r="J12" i="29" s="1"/>
  <c r="H10" i="28"/>
  <c r="J10" i="28" s="1"/>
  <c r="H13" i="27"/>
  <c r="J13" i="27" s="1"/>
  <c r="H149" i="27"/>
  <c r="J149" i="27" s="1"/>
  <c r="H145" i="27"/>
  <c r="J145" i="27" s="1"/>
  <c r="H147" i="27"/>
  <c r="J147" i="27" s="1"/>
  <c r="H151" i="27"/>
  <c r="J151" i="27" s="1"/>
  <c r="H143" i="27"/>
  <c r="J143" i="27" s="1"/>
  <c r="H47" i="40" l="1"/>
  <c r="J47" i="40" s="1"/>
  <c r="J7" i="40"/>
  <c r="L13" i="40"/>
  <c r="H60" i="25"/>
  <c r="J60" i="25" s="1"/>
  <c r="H20" i="40"/>
  <c r="J20" i="40" s="1"/>
  <c r="I20" i="40" s="1"/>
  <c r="H133" i="43"/>
  <c r="H7" i="27"/>
  <c r="J7" i="27" s="1"/>
  <c r="H153" i="40"/>
  <c r="J153" i="40" s="1"/>
  <c r="H152" i="28"/>
  <c r="J152" i="28" s="1"/>
  <c r="H29" i="28"/>
  <c r="J29" i="28" s="1"/>
  <c r="H32" i="27"/>
  <c r="J32" i="27" s="1"/>
  <c r="H27" i="29"/>
  <c r="J27" i="29" s="1"/>
  <c r="H28" i="30"/>
  <c r="J28" i="30" s="1"/>
  <c r="H30" i="30"/>
  <c r="J30" i="30" s="1"/>
  <c r="H23" i="29"/>
  <c r="J23" i="29" s="1"/>
  <c r="H94" i="30"/>
  <c r="H18" i="29"/>
  <c r="J18" i="29" s="1"/>
  <c r="H56" i="28"/>
  <c r="J56" i="28" s="1"/>
  <c r="H136" i="29"/>
  <c r="J136" i="29" s="1"/>
  <c r="H131" i="30"/>
  <c r="H130" i="29"/>
  <c r="J130" i="29" s="1"/>
  <c r="H92" i="29"/>
  <c r="J92" i="29" s="1"/>
  <c r="H77" i="30"/>
  <c r="H62" i="29"/>
  <c r="J62" i="29" s="1"/>
  <c r="H64" i="29"/>
  <c r="J64" i="29" s="1"/>
  <c r="H68" i="30"/>
  <c r="H57" i="30"/>
  <c r="H50" i="28"/>
  <c r="J50" i="28" s="1"/>
  <c r="H37" i="28"/>
  <c r="J37" i="28" s="1"/>
  <c r="H36" i="28"/>
  <c r="J36" i="28" s="1"/>
  <c r="H35" i="29"/>
  <c r="J35" i="29" s="1"/>
  <c r="H38" i="29"/>
  <c r="J38" i="29" s="1"/>
  <c r="H44" i="28"/>
  <c r="J44" i="28" s="1"/>
  <c r="H40" i="29"/>
  <c r="J40" i="29" s="1"/>
  <c r="H45" i="30"/>
  <c r="H20" i="27"/>
  <c r="J20" i="27" s="1"/>
  <c r="I20" i="27" s="1"/>
  <c r="H9" i="29"/>
  <c r="J9" i="29" s="1"/>
  <c r="H11" i="30"/>
  <c r="H19" i="30"/>
  <c r="H140" i="30"/>
  <c r="H139" i="28"/>
  <c r="J139" i="28" s="1"/>
  <c r="H132" i="29"/>
  <c r="J132" i="29" s="1"/>
  <c r="H125" i="29"/>
  <c r="J125" i="29" s="1"/>
  <c r="H127" i="29"/>
  <c r="J127" i="29" s="1"/>
  <c r="H126" i="29"/>
  <c r="J126" i="29" s="1"/>
  <c r="H124" i="29"/>
  <c r="J124" i="29" s="1"/>
  <c r="H123" i="29"/>
  <c r="J123" i="29" s="1"/>
  <c r="H100" i="29"/>
  <c r="J100" i="29" s="1"/>
  <c r="H99" i="29"/>
  <c r="J99" i="29" s="1"/>
  <c r="H98" i="29"/>
  <c r="J98" i="29" s="1"/>
  <c r="H97" i="29"/>
  <c r="J97" i="29" s="1"/>
  <c r="H96" i="29"/>
  <c r="J96" i="29" s="1"/>
  <c r="H95" i="28"/>
  <c r="J95" i="28" s="1"/>
  <c r="H101" i="29"/>
  <c r="J101" i="29" s="1"/>
  <c r="H93" i="28"/>
  <c r="J93" i="28" s="1"/>
  <c r="H84" i="28"/>
  <c r="J84" i="28" s="1"/>
  <c r="H85" i="28"/>
  <c r="J85" i="28" s="1"/>
  <c r="H83" i="29"/>
  <c r="J83" i="29" s="1"/>
  <c r="H82" i="29"/>
  <c r="J82" i="29" s="1"/>
  <c r="H81" i="30"/>
  <c r="H80" i="29"/>
  <c r="J80" i="29" s="1"/>
  <c r="H79" i="29"/>
  <c r="J79" i="29" s="1"/>
  <c r="H78" i="29"/>
  <c r="J78" i="29" s="1"/>
  <c r="H76" i="29"/>
  <c r="J76" i="29" s="1"/>
  <c r="H75" i="29"/>
  <c r="J75" i="29" s="1"/>
  <c r="H74" i="29"/>
  <c r="J74" i="29" s="1"/>
  <c r="H72" i="28"/>
  <c r="J72" i="28" s="1"/>
  <c r="H73" i="28"/>
  <c r="J73" i="28" s="1"/>
  <c r="H69" i="28"/>
  <c r="J69" i="28" s="1"/>
  <c r="H67" i="29"/>
  <c r="J67" i="29" s="1"/>
  <c r="H66" i="29"/>
  <c r="J66" i="29" s="1"/>
  <c r="H65" i="29"/>
  <c r="J65" i="29" s="1"/>
  <c r="H63" i="29"/>
  <c r="J63" i="29" s="1"/>
  <c r="H58" i="29"/>
  <c r="J58" i="29" s="1"/>
  <c r="H55" i="28"/>
  <c r="J55" i="28" s="1"/>
  <c r="H54" i="28"/>
  <c r="J54" i="28" s="1"/>
  <c r="H53" i="29"/>
  <c r="J53" i="29" s="1"/>
  <c r="H52" i="29"/>
  <c r="J52" i="29" s="1"/>
  <c r="H148" i="28"/>
  <c r="J148" i="28" s="1"/>
  <c r="H51" i="29"/>
  <c r="J51" i="29" s="1"/>
  <c r="H59" i="29"/>
  <c r="J59" i="29" s="1"/>
  <c r="H49" i="29"/>
  <c r="J49" i="29" s="1"/>
  <c r="H46" i="29"/>
  <c r="J46" i="29" s="1"/>
  <c r="H43" i="30"/>
  <c r="H142" i="29"/>
  <c r="J142" i="29" s="1"/>
  <c r="H42" i="28"/>
  <c r="J42" i="28" s="1"/>
  <c r="H144" i="29"/>
  <c r="J144" i="29" s="1"/>
  <c r="H41" i="28"/>
  <c r="J41" i="28" s="1"/>
  <c r="H47" i="27"/>
  <c r="J47" i="27" s="1"/>
  <c r="H146" i="28"/>
  <c r="J146" i="28" s="1"/>
  <c r="H39" i="29"/>
  <c r="J39" i="29" s="1"/>
  <c r="H150" i="29"/>
  <c r="J150" i="29" s="1"/>
  <c r="H15" i="28"/>
  <c r="J15" i="28" s="1"/>
  <c r="I16" i="28" s="1"/>
  <c r="H12" i="30"/>
  <c r="H10" i="29"/>
  <c r="J10" i="29" s="1"/>
  <c r="H13" i="28"/>
  <c r="J13" i="28" s="1"/>
  <c r="H7" i="28"/>
  <c r="J7" i="28" s="1"/>
  <c r="H149" i="28"/>
  <c r="J149" i="28" s="1"/>
  <c r="H145" i="28"/>
  <c r="J145" i="28" s="1"/>
  <c r="H143" i="28"/>
  <c r="J143" i="28" s="1"/>
  <c r="H147" i="28"/>
  <c r="J147" i="28" s="1"/>
  <c r="J19" i="30" l="1"/>
  <c r="H19" i="42"/>
  <c r="J19" i="42" s="1"/>
  <c r="J77" i="30"/>
  <c r="H76" i="42"/>
  <c r="J76" i="42" s="1"/>
  <c r="J140" i="30"/>
  <c r="H126" i="42"/>
  <c r="J126" i="42" s="1"/>
  <c r="J45" i="30"/>
  <c r="H44" i="42"/>
  <c r="J44" i="42" s="1"/>
  <c r="J57" i="30"/>
  <c r="H56" i="42"/>
  <c r="J56" i="42" s="1"/>
  <c r="J94" i="30"/>
  <c r="H88" i="42"/>
  <c r="J88" i="42" s="1"/>
  <c r="J133" i="43"/>
  <c r="H133" i="31"/>
  <c r="J133" i="31" s="1"/>
  <c r="J43" i="30"/>
  <c r="H42" i="42"/>
  <c r="J42" i="42" s="1"/>
  <c r="J131" i="30"/>
  <c r="H117" i="42"/>
  <c r="J117" i="42" s="1"/>
  <c r="J81" i="30"/>
  <c r="H80" i="42"/>
  <c r="J80" i="42" s="1"/>
  <c r="H60" i="40"/>
  <c r="J60" i="40" s="1"/>
  <c r="J11" i="30"/>
  <c r="H11" i="42"/>
  <c r="J11" i="42" s="1"/>
  <c r="J12" i="30"/>
  <c r="H12" i="42"/>
  <c r="J12" i="42" s="1"/>
  <c r="J68" i="30"/>
  <c r="H67" i="42"/>
  <c r="J67" i="42" s="1"/>
  <c r="H151" i="28"/>
  <c r="J151" i="28" s="1"/>
  <c r="H153" i="27"/>
  <c r="J153" i="27" s="1"/>
  <c r="H152" i="29"/>
  <c r="J152" i="29" s="1"/>
  <c r="H29" i="29"/>
  <c r="J29" i="29" s="1"/>
  <c r="H27" i="30"/>
  <c r="J27" i="30" s="1"/>
  <c r="H32" i="28"/>
  <c r="J32" i="28" s="1"/>
  <c r="H23" i="30"/>
  <c r="H56" i="29"/>
  <c r="J56" i="29" s="1"/>
  <c r="H130" i="30"/>
  <c r="H136" i="30"/>
  <c r="H92" i="30"/>
  <c r="H62" i="30"/>
  <c r="H64" i="30"/>
  <c r="H50" i="29"/>
  <c r="J50" i="29" s="1"/>
  <c r="H37" i="29"/>
  <c r="J37" i="29" s="1"/>
  <c r="H36" i="29"/>
  <c r="J36" i="29" s="1"/>
  <c r="H35" i="30"/>
  <c r="H40" i="30"/>
  <c r="H38" i="30"/>
  <c r="H44" i="29"/>
  <c r="J44" i="29" s="1"/>
  <c r="H20" i="28"/>
  <c r="J20" i="28" s="1"/>
  <c r="I20" i="28" s="1"/>
  <c r="H9" i="30"/>
  <c r="H139" i="29"/>
  <c r="J139" i="29" s="1"/>
  <c r="H132" i="30"/>
  <c r="H125" i="30"/>
  <c r="H127" i="30"/>
  <c r="H126" i="30"/>
  <c r="H124" i="30"/>
  <c r="H123" i="30"/>
  <c r="H100" i="30"/>
  <c r="H99" i="30"/>
  <c r="H98" i="30"/>
  <c r="H97" i="30"/>
  <c r="H96" i="30"/>
  <c r="H95" i="29"/>
  <c r="J95" i="29" s="1"/>
  <c r="H101" i="30"/>
  <c r="H93" i="29"/>
  <c r="J93" i="29" s="1"/>
  <c r="H84" i="29"/>
  <c r="J84" i="29" s="1"/>
  <c r="H85" i="29"/>
  <c r="J85" i="29" s="1"/>
  <c r="H83" i="30"/>
  <c r="H82" i="30"/>
  <c r="H80" i="30"/>
  <c r="H78" i="30"/>
  <c r="H79" i="30"/>
  <c r="H76" i="30"/>
  <c r="H74" i="30"/>
  <c r="H75" i="30"/>
  <c r="H72" i="29"/>
  <c r="J72" i="29" s="1"/>
  <c r="H73" i="29"/>
  <c r="J73" i="29" s="1"/>
  <c r="H69" i="29"/>
  <c r="J69" i="29" s="1"/>
  <c r="H67" i="30"/>
  <c r="H66" i="30"/>
  <c r="H65" i="30"/>
  <c r="H63" i="30"/>
  <c r="H58" i="30"/>
  <c r="H55" i="29"/>
  <c r="J55" i="29" s="1"/>
  <c r="H54" i="29"/>
  <c r="J54" i="29" s="1"/>
  <c r="H53" i="30"/>
  <c r="H52" i="30"/>
  <c r="H148" i="29"/>
  <c r="J148" i="29" s="1"/>
  <c r="H51" i="30"/>
  <c r="H49" i="30"/>
  <c r="H59" i="30"/>
  <c r="H46" i="30"/>
  <c r="H142" i="30"/>
  <c r="H42" i="29"/>
  <c r="J42" i="29" s="1"/>
  <c r="H41" i="29"/>
  <c r="J41" i="29" s="1"/>
  <c r="H144" i="30"/>
  <c r="H146" i="29"/>
  <c r="J146" i="29" s="1"/>
  <c r="H39" i="30"/>
  <c r="H60" i="27"/>
  <c r="J60" i="27" s="1"/>
  <c r="H47" i="28"/>
  <c r="J47" i="28" s="1"/>
  <c r="H150" i="30"/>
  <c r="H15" i="29"/>
  <c r="J15" i="29" s="1"/>
  <c r="I16" i="29" s="1"/>
  <c r="H10" i="30"/>
  <c r="H13" i="29"/>
  <c r="J13" i="29" s="1"/>
  <c r="H145" i="29"/>
  <c r="J145" i="29" s="1"/>
  <c r="H151" i="29"/>
  <c r="J151" i="29" s="1"/>
  <c r="H149" i="29"/>
  <c r="J149" i="29" s="1"/>
  <c r="H147" i="29"/>
  <c r="J147" i="29" s="1"/>
  <c r="H143" i="29"/>
  <c r="J143" i="29" s="1"/>
  <c r="H7" i="29"/>
  <c r="J7" i="29" s="1"/>
  <c r="H12" i="43" l="1"/>
  <c r="J39" i="30"/>
  <c r="H38" i="42"/>
  <c r="J38" i="42" s="1"/>
  <c r="J59" i="30"/>
  <c r="H58" i="42"/>
  <c r="J58" i="42" s="1"/>
  <c r="J52" i="30"/>
  <c r="H51" i="42"/>
  <c r="J51" i="42" s="1"/>
  <c r="J58" i="30"/>
  <c r="H57" i="42"/>
  <c r="J57" i="42" s="1"/>
  <c r="J67" i="30"/>
  <c r="H66" i="42"/>
  <c r="J66" i="42" s="1"/>
  <c r="J75" i="30"/>
  <c r="H74" i="42"/>
  <c r="J74" i="42" s="1"/>
  <c r="J78" i="30"/>
  <c r="H77" i="42"/>
  <c r="J77" i="42" s="1"/>
  <c r="J83" i="30"/>
  <c r="H82" i="42"/>
  <c r="J82" i="42" s="1"/>
  <c r="J101" i="30"/>
  <c r="H95" i="42"/>
  <c r="J95" i="42" s="1"/>
  <c r="J124" i="30"/>
  <c r="H98" i="42"/>
  <c r="J98" i="42" s="1"/>
  <c r="H68" i="43"/>
  <c r="J92" i="30"/>
  <c r="H86" i="42"/>
  <c r="J86" i="42" s="1"/>
  <c r="J125" i="30"/>
  <c r="H99" i="42"/>
  <c r="J99" i="42" s="1"/>
  <c r="J9" i="30"/>
  <c r="H9" i="42"/>
  <c r="J9" i="42" s="1"/>
  <c r="H28" i="43"/>
  <c r="J46" i="30"/>
  <c r="H45" i="42"/>
  <c r="J45" i="42" s="1"/>
  <c r="J66" i="30"/>
  <c r="H65" i="42"/>
  <c r="J65" i="42" s="1"/>
  <c r="J79" i="30"/>
  <c r="H78" i="42"/>
  <c r="J78" i="42" s="1"/>
  <c r="J82" i="30"/>
  <c r="H81" i="42"/>
  <c r="J81" i="42" s="1"/>
  <c r="J97" i="30"/>
  <c r="H91" i="42"/>
  <c r="J91" i="42" s="1"/>
  <c r="J123" i="30"/>
  <c r="H97" i="42"/>
  <c r="J97" i="42" s="1"/>
  <c r="H45" i="43"/>
  <c r="J35" i="30"/>
  <c r="H34" i="42"/>
  <c r="J34" i="42" s="1"/>
  <c r="H77" i="43"/>
  <c r="J130" i="30"/>
  <c r="H116" i="42"/>
  <c r="J116" i="42" s="1"/>
  <c r="J10" i="30"/>
  <c r="H10" i="42"/>
  <c r="J10" i="42" s="1"/>
  <c r="J65" i="30"/>
  <c r="H64" i="42"/>
  <c r="J64" i="42" s="1"/>
  <c r="J76" i="30"/>
  <c r="H75" i="42"/>
  <c r="J75" i="42" s="1"/>
  <c r="H81" i="43"/>
  <c r="J127" i="30"/>
  <c r="H101" i="42"/>
  <c r="J101" i="42" s="1"/>
  <c r="H19" i="43"/>
  <c r="H94" i="43"/>
  <c r="H30" i="43"/>
  <c r="J144" i="30"/>
  <c r="H105" i="42"/>
  <c r="J105" i="42" s="1"/>
  <c r="J142" i="30"/>
  <c r="H103" i="42"/>
  <c r="J103" i="42" s="1"/>
  <c r="J51" i="30"/>
  <c r="H50" i="42"/>
  <c r="J50" i="42" s="1"/>
  <c r="J96" i="30"/>
  <c r="H90" i="42"/>
  <c r="J90" i="42" s="1"/>
  <c r="J100" i="30"/>
  <c r="H94" i="42"/>
  <c r="J94" i="42" s="1"/>
  <c r="H131" i="43"/>
  <c r="J150" i="30"/>
  <c r="H111" i="42"/>
  <c r="J111" i="42" s="1"/>
  <c r="J80" i="30"/>
  <c r="H79" i="42"/>
  <c r="J79" i="42" s="1"/>
  <c r="H140" i="43"/>
  <c r="J40" i="30"/>
  <c r="H39" i="42"/>
  <c r="J39" i="42" s="1"/>
  <c r="H57" i="43"/>
  <c r="J62" i="30"/>
  <c r="H61" i="42"/>
  <c r="J61" i="42" s="1"/>
  <c r="H18" i="30"/>
  <c r="H43" i="43"/>
  <c r="J49" i="30"/>
  <c r="H48" i="42"/>
  <c r="J48" i="42" s="1"/>
  <c r="J53" i="30"/>
  <c r="H52" i="42"/>
  <c r="J52" i="42" s="1"/>
  <c r="J63" i="30"/>
  <c r="H62" i="42"/>
  <c r="J62" i="42" s="1"/>
  <c r="J74" i="30"/>
  <c r="H73" i="42"/>
  <c r="J73" i="42" s="1"/>
  <c r="J99" i="30"/>
  <c r="H93" i="42"/>
  <c r="J93" i="42" s="1"/>
  <c r="J126" i="30"/>
  <c r="H100" i="42"/>
  <c r="J100" i="42" s="1"/>
  <c r="H11" i="43"/>
  <c r="J38" i="30"/>
  <c r="H37" i="42"/>
  <c r="J37" i="42" s="1"/>
  <c r="J98" i="30"/>
  <c r="H92" i="42"/>
  <c r="J92" i="42" s="1"/>
  <c r="J132" i="30"/>
  <c r="H118" i="42"/>
  <c r="J118" i="42" s="1"/>
  <c r="J64" i="30"/>
  <c r="H63" i="42"/>
  <c r="J63" i="42" s="1"/>
  <c r="J136" i="30"/>
  <c r="H122" i="42"/>
  <c r="J122" i="42" s="1"/>
  <c r="J23" i="30"/>
  <c r="H23" i="42"/>
  <c r="J23" i="42" s="1"/>
  <c r="H153" i="28"/>
  <c r="J153" i="28" s="1"/>
  <c r="H152" i="30"/>
  <c r="H29" i="30"/>
  <c r="J29" i="30" s="1"/>
  <c r="H32" i="29"/>
  <c r="J32" i="29" s="1"/>
  <c r="H56" i="30"/>
  <c r="H50" i="30"/>
  <c r="H36" i="30"/>
  <c r="H37" i="30"/>
  <c r="H44" i="30"/>
  <c r="H20" i="29"/>
  <c r="J20" i="29" s="1"/>
  <c r="I20" i="29" s="1"/>
  <c r="H139" i="30"/>
  <c r="H95" i="30"/>
  <c r="H93" i="30"/>
  <c r="H85" i="30"/>
  <c r="H84" i="30"/>
  <c r="H72" i="30"/>
  <c r="H73" i="30"/>
  <c r="H69" i="30"/>
  <c r="H55" i="30"/>
  <c r="H54" i="30"/>
  <c r="H148" i="30"/>
  <c r="H42" i="30"/>
  <c r="H41" i="30"/>
  <c r="H60" i="28"/>
  <c r="J60" i="28" s="1"/>
  <c r="H146" i="30"/>
  <c r="H15" i="30"/>
  <c r="H13" i="30"/>
  <c r="H7" i="30"/>
  <c r="H149" i="30"/>
  <c r="H145" i="30"/>
  <c r="H143" i="30"/>
  <c r="H147" i="30"/>
  <c r="J147" i="30" l="1"/>
  <c r="H108" i="42"/>
  <c r="J108" i="42" s="1"/>
  <c r="J149" i="30"/>
  <c r="H110" i="42"/>
  <c r="J110" i="42" s="1"/>
  <c r="H51" i="43"/>
  <c r="H65" i="43"/>
  <c r="J73" i="30"/>
  <c r="H72" i="42"/>
  <c r="J72" i="42" s="1"/>
  <c r="H76" i="43"/>
  <c r="H35" i="43"/>
  <c r="J146" i="30"/>
  <c r="H107" i="42"/>
  <c r="J107" i="42" s="1"/>
  <c r="J41" i="30"/>
  <c r="H40" i="42"/>
  <c r="J40" i="42" s="1"/>
  <c r="H49" i="43"/>
  <c r="H63" i="43"/>
  <c r="J84" i="30"/>
  <c r="H83" i="42"/>
  <c r="J83" i="42" s="1"/>
  <c r="H101" i="43"/>
  <c r="H99" i="43"/>
  <c r="H126" i="43"/>
  <c r="H9" i="43"/>
  <c r="J57" i="43"/>
  <c r="H57" i="31"/>
  <c r="BH33" i="1"/>
  <c r="BH35" i="1" s="1"/>
  <c r="BP35" i="1" s="1"/>
  <c r="BQ35" i="1" s="1"/>
  <c r="J94" i="43"/>
  <c r="H94" i="31"/>
  <c r="J77" i="43"/>
  <c r="H77" i="31"/>
  <c r="J12" i="43"/>
  <c r="H12" i="31"/>
  <c r="J12" i="31" s="1"/>
  <c r="J145" i="30"/>
  <c r="H106" i="42"/>
  <c r="J106" i="42" s="1"/>
  <c r="H10" i="43"/>
  <c r="H47" i="30"/>
  <c r="H47" i="29"/>
  <c r="J47" i="29" s="1"/>
  <c r="H142" i="43"/>
  <c r="H53" i="43"/>
  <c r="J69" i="30"/>
  <c r="H68" i="42"/>
  <c r="J68" i="42" s="1"/>
  <c r="H74" i="43"/>
  <c r="H80" i="43"/>
  <c r="J95" i="30"/>
  <c r="H89" i="42"/>
  <c r="J89" i="42" s="1"/>
  <c r="H98" i="43"/>
  <c r="J139" i="30"/>
  <c r="H125" i="42"/>
  <c r="J125" i="42" s="1"/>
  <c r="H38" i="43"/>
  <c r="H136" i="43"/>
  <c r="J56" i="30"/>
  <c r="H55" i="42"/>
  <c r="J55" i="42" s="1"/>
  <c r="H150" i="43"/>
  <c r="H83" i="43"/>
  <c r="H124" i="43"/>
  <c r="H132" i="43"/>
  <c r="H40" i="43"/>
  <c r="J44" i="30"/>
  <c r="H43" i="42"/>
  <c r="J43" i="42" s="1"/>
  <c r="J30" i="43"/>
  <c r="H30" i="31"/>
  <c r="J30" i="31" s="1"/>
  <c r="J81" i="43"/>
  <c r="H81" i="31"/>
  <c r="H151" i="30"/>
  <c r="J13" i="30"/>
  <c r="H13" i="42"/>
  <c r="J13" i="42" s="1"/>
  <c r="H59" i="43"/>
  <c r="J148" i="30"/>
  <c r="H109" i="42"/>
  <c r="J109" i="42" s="1"/>
  <c r="H58" i="43"/>
  <c r="H67" i="43"/>
  <c r="H75" i="43"/>
  <c r="H78" i="43"/>
  <c r="J93" i="30"/>
  <c r="H87" i="42"/>
  <c r="J87" i="42" s="1"/>
  <c r="J50" i="30"/>
  <c r="H49" i="42"/>
  <c r="J49" i="42" s="1"/>
  <c r="H130" i="43"/>
  <c r="H23" i="43"/>
  <c r="H18" i="43"/>
  <c r="J15" i="30"/>
  <c r="I16" i="30" s="1"/>
  <c r="H15" i="42"/>
  <c r="J15" i="42" s="1"/>
  <c r="I16" i="42" s="1"/>
  <c r="H39" i="43"/>
  <c r="J42" i="30"/>
  <c r="H41" i="42"/>
  <c r="J41" i="42" s="1"/>
  <c r="J55" i="30"/>
  <c r="H54" i="42"/>
  <c r="J54" i="42" s="1"/>
  <c r="J72" i="30"/>
  <c r="H71" i="42"/>
  <c r="J71" i="42" s="1"/>
  <c r="H82" i="43"/>
  <c r="H97" i="43"/>
  <c r="H123" i="43"/>
  <c r="H125" i="43"/>
  <c r="H62" i="43"/>
  <c r="H92" i="43"/>
  <c r="J11" i="43"/>
  <c r="H11" i="31"/>
  <c r="J11" i="31" s="1"/>
  <c r="J18" i="30"/>
  <c r="H18" i="42"/>
  <c r="J18" i="42" s="1"/>
  <c r="J140" i="43"/>
  <c r="H140" i="31"/>
  <c r="J140" i="31" s="1"/>
  <c r="J45" i="43"/>
  <c r="H45" i="31"/>
  <c r="J143" i="30"/>
  <c r="H104" i="42"/>
  <c r="J104" i="42" s="1"/>
  <c r="J7" i="30"/>
  <c r="I9" i="30" s="1"/>
  <c r="H7" i="42"/>
  <c r="J7" i="42" s="1"/>
  <c r="I9" i="42" s="1"/>
  <c r="H46" i="43"/>
  <c r="H52" i="43"/>
  <c r="H66" i="43"/>
  <c r="H79" i="43"/>
  <c r="J36" i="30"/>
  <c r="H35" i="42"/>
  <c r="J35" i="42" s="1"/>
  <c r="H64" i="43"/>
  <c r="H144" i="43"/>
  <c r="J54" i="30"/>
  <c r="H53" i="42"/>
  <c r="J53" i="42" s="1"/>
  <c r="J85" i="30"/>
  <c r="H84" i="42"/>
  <c r="J84" i="42" s="1"/>
  <c r="H96" i="43"/>
  <c r="H100" i="43"/>
  <c r="H127" i="43"/>
  <c r="J37" i="30"/>
  <c r="H36" i="42"/>
  <c r="J36" i="42" s="1"/>
  <c r="H27" i="43"/>
  <c r="J152" i="30"/>
  <c r="H113" i="42"/>
  <c r="J113" i="42" s="1"/>
  <c r="J43" i="43"/>
  <c r="H43" i="31"/>
  <c r="J131" i="43"/>
  <c r="H131" i="31"/>
  <c r="J131" i="31" s="1"/>
  <c r="J19" i="43"/>
  <c r="H19" i="31"/>
  <c r="J19" i="31" s="1"/>
  <c r="J28" i="43"/>
  <c r="H28" i="31"/>
  <c r="J28" i="31" s="1"/>
  <c r="J68" i="43"/>
  <c r="H68" i="31"/>
  <c r="H153" i="29"/>
  <c r="J153" i="29" s="1"/>
  <c r="H32" i="30"/>
  <c r="J32" i="30" s="1"/>
  <c r="H20" i="30"/>
  <c r="H60" i="29"/>
  <c r="J60" i="29" s="1"/>
  <c r="H151" i="43"/>
  <c r="H7" i="43"/>
  <c r="H143" i="43" l="1"/>
  <c r="H146" i="43"/>
  <c r="H72" i="43"/>
  <c r="J20" i="30"/>
  <c r="I20" i="30" s="1"/>
  <c r="H20" i="42"/>
  <c r="J20" i="42" s="1"/>
  <c r="I20" i="42" s="1"/>
  <c r="N68" i="31"/>
  <c r="J68" i="31"/>
  <c r="N43" i="31"/>
  <c r="J43" i="31"/>
  <c r="J127" i="43"/>
  <c r="H127" i="31"/>
  <c r="J79" i="43"/>
  <c r="H79" i="31"/>
  <c r="J125" i="43"/>
  <c r="H125" i="31"/>
  <c r="J67" i="43"/>
  <c r="H67" i="31"/>
  <c r="J83" i="43"/>
  <c r="H83" i="31"/>
  <c r="J38" i="43"/>
  <c r="H38" i="31"/>
  <c r="J38" i="31" s="1"/>
  <c r="J80" i="43"/>
  <c r="H80" i="31"/>
  <c r="J142" i="43"/>
  <c r="H142" i="31"/>
  <c r="J142" i="31" s="1"/>
  <c r="H15" i="43"/>
  <c r="H148" i="43"/>
  <c r="H85" i="43"/>
  <c r="H139" i="43"/>
  <c r="H36" i="43"/>
  <c r="N57" i="31"/>
  <c r="J57" i="31"/>
  <c r="J101" i="43"/>
  <c r="H101" i="31"/>
  <c r="H147" i="43"/>
  <c r="H149" i="43"/>
  <c r="H69" i="43"/>
  <c r="H84" i="43"/>
  <c r="J46" i="43"/>
  <c r="H46" i="31"/>
  <c r="J62" i="43"/>
  <c r="H62" i="31"/>
  <c r="J82" i="43"/>
  <c r="H82" i="31"/>
  <c r="J39" i="43"/>
  <c r="H39" i="31"/>
  <c r="J39" i="31" s="1"/>
  <c r="J130" i="43"/>
  <c r="H130" i="31"/>
  <c r="J130" i="31" s="1"/>
  <c r="J75" i="43"/>
  <c r="H75" i="31"/>
  <c r="J59" i="43"/>
  <c r="H59" i="31"/>
  <c r="J124" i="43"/>
  <c r="H124" i="31"/>
  <c r="J136" i="43"/>
  <c r="H136" i="31"/>
  <c r="J136" i="31" s="1"/>
  <c r="J53" i="43"/>
  <c r="H53" i="31"/>
  <c r="BP33" i="1"/>
  <c r="BQ33" i="1" s="1"/>
  <c r="BL33" i="1"/>
  <c r="BL35" i="1" s="1"/>
  <c r="J151" i="43"/>
  <c r="H151" i="31"/>
  <c r="J151" i="31" s="1"/>
  <c r="H55" i="43"/>
  <c r="H44" i="43"/>
  <c r="H37" i="43"/>
  <c r="J99" i="43"/>
  <c r="H99" i="31"/>
  <c r="J49" i="43"/>
  <c r="H49" i="31"/>
  <c r="J76" i="43"/>
  <c r="H76" i="31"/>
  <c r="H145" i="43"/>
  <c r="H41" i="43"/>
  <c r="H152" i="43"/>
  <c r="J27" i="43"/>
  <c r="H27" i="31"/>
  <c r="J27" i="31" s="1"/>
  <c r="J96" i="43"/>
  <c r="H96" i="31"/>
  <c r="J64" i="43"/>
  <c r="H64" i="31"/>
  <c r="J52" i="43"/>
  <c r="H52" i="31"/>
  <c r="N45" i="31"/>
  <c r="J45" i="31"/>
  <c r="J92" i="43"/>
  <c r="H92" i="31"/>
  <c r="J97" i="43"/>
  <c r="H97" i="31"/>
  <c r="J23" i="43"/>
  <c r="H23" i="31"/>
  <c r="J23" i="31" s="1"/>
  <c r="J78" i="43"/>
  <c r="H78" i="31"/>
  <c r="N81" i="31"/>
  <c r="J81" i="31"/>
  <c r="J132" i="43"/>
  <c r="H132" i="31"/>
  <c r="J132" i="31" s="1"/>
  <c r="J98" i="43"/>
  <c r="H98" i="31"/>
  <c r="J10" i="43"/>
  <c r="H10" i="31"/>
  <c r="J10" i="31" s="1"/>
  <c r="N94" i="31"/>
  <c r="J94" i="31"/>
  <c r="H54" i="43"/>
  <c r="H95" i="43"/>
  <c r="H50" i="43"/>
  <c r="J47" i="30"/>
  <c r="H46" i="42"/>
  <c r="J46" i="42" s="1"/>
  <c r="J126" i="43"/>
  <c r="H126" i="31"/>
  <c r="J63" i="43"/>
  <c r="H63" i="31"/>
  <c r="J35" i="43"/>
  <c r="H35" i="31"/>
  <c r="J35" i="31" s="1"/>
  <c r="J51" i="43"/>
  <c r="H51" i="31"/>
  <c r="J7" i="43"/>
  <c r="I9" i="43" s="1"/>
  <c r="H7" i="31"/>
  <c r="J7" i="31" s="1"/>
  <c r="I9" i="31" s="1"/>
  <c r="H42" i="43"/>
  <c r="H73" i="43"/>
  <c r="J100" i="43"/>
  <c r="H100" i="31"/>
  <c r="J144" i="43"/>
  <c r="H144" i="31"/>
  <c r="J144" i="31" s="1"/>
  <c r="J66" i="43"/>
  <c r="H66" i="31"/>
  <c r="J123" i="43"/>
  <c r="H123" i="31"/>
  <c r="J18" i="43"/>
  <c r="H18" i="31"/>
  <c r="J18" i="31" s="1"/>
  <c r="J58" i="43"/>
  <c r="H58" i="31"/>
  <c r="J151" i="30"/>
  <c r="H112" i="42"/>
  <c r="J112" i="42" s="1"/>
  <c r="J40" i="43"/>
  <c r="H40" i="31"/>
  <c r="J40" i="31" s="1"/>
  <c r="J150" i="43"/>
  <c r="H150" i="31"/>
  <c r="J150" i="31" s="1"/>
  <c r="J74" i="43"/>
  <c r="H74" i="31"/>
  <c r="N77" i="31"/>
  <c r="J77" i="31"/>
  <c r="H13" i="43"/>
  <c r="H93" i="43"/>
  <c r="H56" i="43"/>
  <c r="H29" i="43"/>
  <c r="J9" i="43"/>
  <c r="H9" i="31"/>
  <c r="J9" i="31" s="1"/>
  <c r="J65" i="43"/>
  <c r="H65" i="31"/>
  <c r="H153" i="30"/>
  <c r="H20" i="43"/>
  <c r="H60" i="30"/>
  <c r="J20" i="43" l="1"/>
  <c r="I20" i="43" s="1"/>
  <c r="H20" i="31"/>
  <c r="J20" i="31" s="1"/>
  <c r="I20" i="31" s="1"/>
  <c r="J56" i="43"/>
  <c r="H56" i="31"/>
  <c r="N74" i="31"/>
  <c r="J74" i="31"/>
  <c r="N58" i="31"/>
  <c r="J58" i="31"/>
  <c r="N126" i="31"/>
  <c r="J126" i="31"/>
  <c r="J54" i="43"/>
  <c r="H54" i="31"/>
  <c r="N97" i="31"/>
  <c r="J97" i="31"/>
  <c r="N64" i="31"/>
  <c r="J64" i="31"/>
  <c r="J41" i="43"/>
  <c r="H41" i="31"/>
  <c r="N99" i="31"/>
  <c r="J99" i="31"/>
  <c r="N124" i="31"/>
  <c r="J124" i="31"/>
  <c r="J84" i="43"/>
  <c r="H84" i="31"/>
  <c r="N101" i="31"/>
  <c r="J101" i="31"/>
  <c r="J85" i="43"/>
  <c r="H85" i="31"/>
  <c r="N80" i="31"/>
  <c r="J80" i="31"/>
  <c r="N125" i="31"/>
  <c r="J125" i="31"/>
  <c r="J143" i="43"/>
  <c r="H143" i="31"/>
  <c r="J143" i="31" s="1"/>
  <c r="J29" i="43"/>
  <c r="H29" i="31"/>
  <c r="J29" i="31" s="1"/>
  <c r="N66" i="31"/>
  <c r="J66" i="31"/>
  <c r="J42" i="43"/>
  <c r="H42" i="31"/>
  <c r="N63" i="31"/>
  <c r="J63" i="31"/>
  <c r="J95" i="43"/>
  <c r="H95" i="31"/>
  <c r="N98" i="31"/>
  <c r="J98" i="31"/>
  <c r="N52" i="31"/>
  <c r="J52" i="31"/>
  <c r="J152" i="43"/>
  <c r="H152" i="31"/>
  <c r="J152" i="31" s="1"/>
  <c r="N49" i="31"/>
  <c r="J49" i="31"/>
  <c r="J55" i="43"/>
  <c r="H55" i="31"/>
  <c r="N46" i="31"/>
  <c r="J46" i="31"/>
  <c r="J147" i="43"/>
  <c r="H147" i="31"/>
  <c r="J147" i="31" s="1"/>
  <c r="J139" i="43"/>
  <c r="H139" i="31"/>
  <c r="J139" i="31" s="1"/>
  <c r="N67" i="31"/>
  <c r="J67" i="31"/>
  <c r="J146" i="43"/>
  <c r="H146" i="31"/>
  <c r="J146" i="31" s="1"/>
  <c r="H47" i="43"/>
  <c r="H32" i="43"/>
  <c r="J153" i="30"/>
  <c r="H114" i="42"/>
  <c r="J114" i="42" s="1"/>
  <c r="J13" i="43"/>
  <c r="H13" i="31"/>
  <c r="J13" i="31" s="1"/>
  <c r="N123" i="31"/>
  <c r="J123" i="31"/>
  <c r="J73" i="43"/>
  <c r="H73" i="31"/>
  <c r="J50" i="43"/>
  <c r="H50" i="31"/>
  <c r="N78" i="31"/>
  <c r="J78" i="31"/>
  <c r="N76" i="31"/>
  <c r="J76" i="31"/>
  <c r="J44" i="43"/>
  <c r="H44" i="31"/>
  <c r="N53" i="31"/>
  <c r="J53" i="31"/>
  <c r="N75" i="31"/>
  <c r="J75" i="31"/>
  <c r="N62" i="31"/>
  <c r="J62" i="31"/>
  <c r="J149" i="43"/>
  <c r="H149" i="31"/>
  <c r="J149" i="31" s="1"/>
  <c r="J36" i="43"/>
  <c r="H36" i="31"/>
  <c r="J36" i="31" s="1"/>
  <c r="J15" i="43"/>
  <c r="I16" i="43" s="1"/>
  <c r="H15" i="31"/>
  <c r="J15" i="31" s="1"/>
  <c r="I16" i="31" s="1"/>
  <c r="N83" i="31"/>
  <c r="J83" i="31"/>
  <c r="N127" i="31"/>
  <c r="J127" i="31"/>
  <c r="J72" i="43"/>
  <c r="H72" i="31"/>
  <c r="J60" i="30"/>
  <c r="H59" i="42"/>
  <c r="J59" i="42" s="1"/>
  <c r="N65" i="31"/>
  <c r="J65" i="31"/>
  <c r="J93" i="43"/>
  <c r="H93" i="31"/>
  <c r="N100" i="31"/>
  <c r="J100" i="31"/>
  <c r="N51" i="31"/>
  <c r="J51" i="31"/>
  <c r="N92" i="31"/>
  <c r="J92" i="31"/>
  <c r="N96" i="31"/>
  <c r="J96" i="31"/>
  <c r="J145" i="43"/>
  <c r="H145" i="31"/>
  <c r="J145" i="31" s="1"/>
  <c r="J37" i="43"/>
  <c r="H37" i="31"/>
  <c r="J37" i="31" s="1"/>
  <c r="N59" i="31"/>
  <c r="J59" i="31"/>
  <c r="N82" i="31"/>
  <c r="J82" i="31"/>
  <c r="J69" i="43"/>
  <c r="H69" i="31"/>
  <c r="J148" i="43"/>
  <c r="H148" i="31"/>
  <c r="J148" i="31" s="1"/>
  <c r="N79" i="31"/>
  <c r="J79" i="31"/>
  <c r="N42" i="31" l="1"/>
  <c r="J42" i="31"/>
  <c r="N84" i="31"/>
  <c r="J84" i="31"/>
  <c r="J47" i="43"/>
  <c r="H47" i="31"/>
  <c r="N41" i="31"/>
  <c r="J41" i="31"/>
  <c r="N56" i="31"/>
  <c r="J56" i="31"/>
  <c r="J93" i="31"/>
  <c r="N93" i="31"/>
  <c r="N44" i="31"/>
  <c r="J44" i="31"/>
  <c r="J73" i="31"/>
  <c r="N73" i="31"/>
  <c r="J32" i="43"/>
  <c r="H32" i="31"/>
  <c r="J32" i="31" s="1"/>
  <c r="N95" i="31"/>
  <c r="J95" i="31"/>
  <c r="J85" i="31"/>
  <c r="N85" i="31"/>
  <c r="N54" i="31"/>
  <c r="J54" i="31"/>
  <c r="H153" i="43"/>
  <c r="N69" i="31"/>
  <c r="J69" i="31"/>
  <c r="N72" i="31"/>
  <c r="J72" i="31"/>
  <c r="J50" i="31"/>
  <c r="N50" i="31"/>
  <c r="J55" i="31"/>
  <c r="N55" i="31"/>
  <c r="H60" i="43"/>
  <c r="J153" i="43" l="1"/>
  <c r="H153" i="31"/>
  <c r="J153" i="31" s="1"/>
  <c r="J60" i="43"/>
  <c r="H60" i="31"/>
  <c r="N47" i="31"/>
  <c r="J47" i="31"/>
  <c r="N60" i="31" l="1"/>
  <c r="J60" i="31"/>
  <c r="H8" i="12" l="1"/>
  <c r="J8" i="12" s="1"/>
  <c r="H8" i="11"/>
  <c r="J8" i="11" s="1"/>
  <c r="H8" i="13" l="1"/>
  <c r="J8" i="13" s="1"/>
  <c r="H8" i="14" l="1"/>
  <c r="J8" i="14" s="1"/>
  <c r="H8" i="15" l="1"/>
  <c r="J8" i="15" s="1"/>
  <c r="H8" i="16"/>
  <c r="J8" i="16" s="1"/>
  <c r="H8" i="17" l="1"/>
  <c r="J8" i="17" s="1"/>
  <c r="H8" i="18"/>
  <c r="J8" i="18" s="1"/>
  <c r="H8" i="19" l="1"/>
  <c r="J8" i="19" s="1"/>
  <c r="H8" i="21" l="1"/>
  <c r="J8" i="21" s="1"/>
  <c r="I9" i="21" s="1"/>
  <c r="H8" i="20"/>
  <c r="J8" i="20" s="1"/>
  <c r="I9" i="20" s="1"/>
  <c r="H8" i="22"/>
  <c r="J8" i="22" s="1"/>
  <c r="I9" i="22" s="1"/>
  <c r="H8" i="23" l="1"/>
  <c r="J8" i="23" s="1"/>
  <c r="I9" i="23" s="1"/>
  <c r="H8" i="24" l="1"/>
  <c r="J8" i="24" s="1"/>
  <c r="I9" i="24" s="1"/>
  <c r="H8" i="25" l="1"/>
  <c r="J8" i="25" s="1"/>
  <c r="I9" i="25" s="1"/>
  <c r="H8" i="40" l="1"/>
  <c r="J8" i="40" s="1"/>
  <c r="I9" i="40" s="1"/>
  <c r="H8" i="27" l="1"/>
  <c r="J8" i="27" s="1"/>
  <c r="I9" i="27" s="1"/>
  <c r="H8" i="28" l="1"/>
  <c r="J8" i="28" s="1"/>
  <c r="I9" i="28" s="1"/>
  <c r="H8" i="29" l="1"/>
  <c r="J8" i="29" s="1"/>
  <c r="I9" i="29" s="1"/>
  <c r="H8" i="30" l="1"/>
  <c r="J8" i="30" s="1"/>
  <c r="H8" i="43" l="1"/>
  <c r="J8" i="43" l="1"/>
  <c r="H8" i="31"/>
  <c r="J8" i="31" s="1"/>
</calcChain>
</file>

<file path=xl/comments1.xml><?xml version="1.0" encoding="utf-8"?>
<comments xmlns="http://schemas.openxmlformats.org/spreadsheetml/2006/main">
  <authors>
    <author>Aparna.dindore</author>
  </authors>
  <commentList>
    <comment ref="E160" authorId="0" shapeId="0">
      <text>
        <r>
          <rPr>
            <b/>
            <sz val="9"/>
            <color indexed="81"/>
            <rFont val="Tahoma"/>
            <family val="2"/>
          </rPr>
          <t>Aparna.dindore:</t>
        </r>
        <r>
          <rPr>
            <sz val="9"/>
            <color indexed="81"/>
            <rFont val="Tahoma"/>
            <family val="2"/>
          </rPr>
          <t xml:space="preserve">
reading taken at midnight post installation of new meter</t>
        </r>
      </text>
    </comment>
  </commentList>
</comments>
</file>

<file path=xl/sharedStrings.xml><?xml version="1.0" encoding="utf-8"?>
<sst xmlns="http://schemas.openxmlformats.org/spreadsheetml/2006/main" count="10240" uniqueCount="324">
  <si>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</si>
  <si>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</si>
  <si>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</si>
  <si>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</si>
  <si>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</si>
  <si>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</si>
  <si>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</si>
  <si>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</si>
  <si>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</si>
  <si>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</si>
  <si>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</si>
  <si>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</si>
  <si>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</si>
  <si>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</si>
  <si>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</si>
  <si>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</si>
  <si>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</si>
  <si>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</si>
  <si>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</si>
  <si>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</si>
  <si>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</si>
  <si>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</si>
  <si>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</si>
  <si>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</si>
  <si>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</si>
  <si>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</si>
  <si>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</si>
  <si>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</si>
  <si>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</si>
  <si>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</si>
  <si>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</si>
  <si>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</si>
  <si>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</si>
  <si>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</si>
  <si>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</si>
  <si>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</si>
  <si>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</si>
  <si>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</si>
  <si>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</si>
  <si>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</si>
  <si>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</si>
  <si>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</si>
  <si>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</si>
  <si>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</si>
  <si>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</si>
  <si>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</si>
  <si>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</si>
  <si>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</si>
  <si>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</si>
  <si>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</si>
  <si>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</si>
  <si>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</si>
  <si>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</si>
  <si>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</si>
  <si>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</si>
  <si>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</si>
  <si>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</si>
  <si>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</si>
  <si>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</si>
  <si>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</si>
  <si>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</si>
  <si>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</si>
  <si>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</si>
  <si>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</si>
  <si>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</si>
  <si>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</si>
  <si>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</si>
  <si>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</si>
  <si>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</si>
  <si>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</si>
  <si>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</si>
  <si>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</si>
  <si>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</si>
  <si>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</si>
  <si>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</si>
  <si>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</si>
  <si>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</si>
  <si>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</si>
  <si>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</si>
  <si>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</si>
  <si>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</si>
  <si>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</si>
  <si>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 xml:space="preserve">Total 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</si>
  <si>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</si>
  <si>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</si>
  <si>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</si>
  <si>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</si>
  <si>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</si>
  <si>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</si>
  <si>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</si>
  <si>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</si>
  <si>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</si>
  <si>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</si>
  <si>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</si>
  <si>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</si>
  <si>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</si>
  <si>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</si>
  <si>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</si>
  <si>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</si>
  <si>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</si>
  <si>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</si>
  <si>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</si>
  <si>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</si>
  <si>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</si>
  <si>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</si>
  <si>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</si>
  <si>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</si>
  <si>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</si>
  <si>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</si>
  <si>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</si>
  <si>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</si>
  <si>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</si>
  <si>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</si>
  <si>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</si>
  <si>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</si>
  <si>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</si>
  <si>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</si>
  <si>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</si>
  <si>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</si>
  <si>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</si>
  <si>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</si>
  <si>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</si>
  <si>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</si>
  <si>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</si>
  <si>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</si>
  <si>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</si>
  <si>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</si>
  <si>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</si>
  <si>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</si>
  <si>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</si>
  <si>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</si>
  <si>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</si>
  <si>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</si>
  <si>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</si>
  <si>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</si>
  <si>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</si>
  <si>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</si>
  <si>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</si>
  <si>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</si>
  <si>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</si>
  <si>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</si>
  <si>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</si>
  <si>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</si>
  <si>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 xml:space="preserve"> </t>
  </si>
  <si>
    <t>Prepaired by- Ramesh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</si>
  <si>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</si>
  <si>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</si>
  <si>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</si>
  <si>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</si>
  <si>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</si>
  <si>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</si>
  <si>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</si>
  <si>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</si>
  <si>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</si>
  <si>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</si>
  <si>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</si>
  <si>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</si>
  <si>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</si>
  <si>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</si>
  <si>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</si>
  <si>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</si>
  <si>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</si>
  <si>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</si>
  <si>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</si>
  <si>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</si>
  <si>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</si>
  <si>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</si>
  <si>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</si>
  <si>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</si>
  <si>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</si>
  <si>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</si>
  <si>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</si>
  <si>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</si>
  <si>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</si>
  <si>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</si>
  <si>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</si>
  <si>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</si>
  <si>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</si>
  <si>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</si>
  <si>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</si>
  <si>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</si>
  <si>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</si>
  <si>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</si>
  <si>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</si>
  <si>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</si>
  <si>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</si>
  <si>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</si>
  <si>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</si>
  <si>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</si>
  <si>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</si>
  <si>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</si>
  <si>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</si>
  <si>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</si>
  <si>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</si>
  <si>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</si>
  <si>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</si>
  <si>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</si>
  <si>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</si>
  <si>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</si>
  <si>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</si>
  <si>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</si>
  <si>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</si>
  <si>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</si>
  <si>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</si>
  <si>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</si>
  <si>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</si>
  <si>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</si>
  <si>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</si>
  <si>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</si>
  <si>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</si>
  <si>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</si>
  <si>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</si>
  <si>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</si>
  <si>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</si>
  <si>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</si>
  <si>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</si>
  <si>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</si>
  <si>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</si>
  <si>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</si>
  <si>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</si>
  <si>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</si>
  <si>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</si>
  <si>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</si>
  <si>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</si>
  <si>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</si>
  <si>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</si>
  <si>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</si>
  <si>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</si>
  <si>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</si>
  <si>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>Pinoor Legal- Power</t>
  </si>
  <si>
    <t>Pinoor Legal- Lighting</t>
  </si>
  <si>
    <t>WATER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</si>
  <si>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</si>
  <si>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</si>
  <si>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</si>
  <si>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</si>
  <si>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</si>
  <si>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</si>
  <si>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</si>
  <si>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</si>
  <si>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</si>
  <si>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</si>
  <si>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</si>
  <si>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</si>
  <si>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</si>
  <si>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</si>
  <si>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</si>
  <si>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</si>
  <si>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</si>
  <si>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</si>
  <si>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</si>
  <si>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</si>
  <si>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</si>
  <si>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</si>
  <si>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</si>
  <si>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</si>
  <si>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</si>
  <si>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</si>
  <si>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</si>
  <si>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</si>
  <si>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</si>
  <si>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</si>
  <si>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</si>
  <si>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</si>
  <si>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</si>
  <si>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</si>
  <si>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</si>
  <si>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</si>
  <si>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</si>
  <si>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</si>
  <si>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</si>
  <si>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</si>
  <si>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</si>
  <si>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</si>
  <si>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</si>
  <si>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</si>
  <si>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</si>
  <si>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</si>
  <si>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</si>
  <si>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</si>
  <si>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</si>
  <si>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</si>
  <si>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</si>
  <si>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</si>
  <si>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</si>
  <si>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</si>
  <si>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</si>
  <si>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</si>
  <si>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</si>
  <si>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</si>
  <si>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</si>
  <si>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</si>
  <si>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</si>
  <si>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Daily Utility Consumption Report</t>
  </si>
  <si>
    <t>Main Lighting &amp; Small power pannel  Sub meter</t>
  </si>
  <si>
    <t>Prepaired by--- Ramesh</t>
  </si>
  <si>
    <t>.</t>
  </si>
  <si>
    <t>Prepaired by--- Prakash</t>
  </si>
  <si>
    <t xml:space="preserve">Prepaired by--- Prakash </t>
  </si>
  <si>
    <t>*</t>
  </si>
  <si>
    <t>Prepaired by--- Nilesh</t>
  </si>
  <si>
    <t xml:space="preserve"> Daily Utility Consumption Report</t>
  </si>
  <si>
    <t xml:space="preserve">Prepaired by--- Devendra 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</si>
  <si>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</si>
  <si>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Prepaired by---Devendra </t>
  </si>
  <si>
    <t xml:space="preserve">         </t>
  </si>
  <si>
    <t xml:space="preserve">  </t>
  </si>
  <si>
    <t>Lighting</t>
  </si>
  <si>
    <t>\</t>
  </si>
  <si>
    <t>25th floor - 10075.91</t>
  </si>
  <si>
    <t>1643044-1655344</t>
  </si>
  <si>
    <t>2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</si>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</sst>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8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6"/>
      <name val="Arial"/>
      <family val="2"/>
    </font>
    <font>
      <sz val="16"/>
      <color theme="1"/>
      <name val="Cambria"/>
      <family val="2"/>
      <scheme val="major"/>
    </font>
    <font>
      <sz val="16"/>
      <name val="Arial"/>
      <family val="2"/>
    </font>
    <font>
      <i/>
      <sz val="16"/>
      <color theme="0"/>
      <name val="Arial"/>
      <family val="2"/>
    </font>
    <font>
      <sz val="16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93" fillId="0" borderId="0" applyNumberFormat="0" applyFill="0" applyBorder="0" applyAlignment="0" applyProtection="0"/>
    <xf numFmtId="0" fontId="1" fillId="0" borderId="0"/>
  </cellStyleXfs>
  <cellXfs count="1675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3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4" fillId="2" borderId="1" xfId="5" applyNumberFormat="1" applyFont="1" applyFill="1" applyBorder="1" applyAlignment="1">
      <alignment horizontal="center" vertical="center"/>
    </xf>
    <xf numFmtId="1" fontId="54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top" wrapText="1"/>
    </xf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left"/>
    </xf>
    <xf numFmtId="0" fontId="17" fillId="15" borderId="1" xfId="3" applyFont="1" applyFill="1" applyBorder="1" applyAlignment="1">
      <alignment horizontal="center" vertical="center"/>
    </xf>
    <xf numFmtId="0" fontId="17" fillId="15" borderId="1" xfId="3" applyFont="1" applyFill="1" applyBorder="1" applyAlignment="1">
      <alignment horizontal="center"/>
    </xf>
    <xf numFmtId="1" fontId="17" fillId="2" borderId="7" xfId="5" applyNumberFormat="1" applyFont="1" applyFill="1" applyBorder="1" applyAlignment="1">
      <alignment horizontal="center" vertical="center"/>
    </xf>
    <xf numFmtId="0" fontId="17" fillId="16" borderId="2" xfId="3" applyFont="1" applyFill="1" applyBorder="1" applyAlignment="1">
      <alignment horizontal="center"/>
    </xf>
    <xf numFmtId="0" fontId="17" fillId="16" borderId="3" xfId="3" applyFont="1" applyFill="1" applyBorder="1" applyAlignment="1">
      <alignment horizontal="center"/>
    </xf>
    <xf numFmtId="0" fontId="17" fillId="16" borderId="4" xfId="3" applyFont="1" applyFill="1" applyBorder="1" applyAlignment="1">
      <alignment horizontal="center"/>
    </xf>
    <xf numFmtId="0" fontId="27" fillId="15" borderId="1" xfId="3" applyFont="1" applyFill="1" applyBorder="1" applyAlignment="1">
      <alignment horizontal="center"/>
    </xf>
    <xf numFmtId="1" fontId="27" fillId="15" borderId="1" xfId="3" applyNumberFormat="1" applyFont="1" applyFill="1" applyBorder="1" applyAlignment="1">
      <alignment horizontal="center"/>
    </xf>
    <xf numFmtId="0" fontId="17" fillId="16" borderId="2" xfId="3" applyFont="1" applyFill="1" applyBorder="1" applyAlignment="1">
      <alignment horizontal="center" vertical="center"/>
    </xf>
    <xf numFmtId="0" fontId="17" fillId="16" borderId="3" xfId="3" applyFont="1" applyFill="1" applyBorder="1" applyAlignment="1">
      <alignment horizontal="center" vertical="center"/>
    </xf>
    <xf numFmtId="0" fontId="17" fillId="16" borderId="4" xfId="3" applyFont="1" applyFill="1" applyBorder="1" applyAlignment="1">
      <alignment horizontal="center" vertical="center"/>
    </xf>
    <xf numFmtId="0" fontId="18" fillId="15" borderId="1" xfId="3" applyFont="1" applyFill="1" applyBorder="1" applyAlignment="1"/>
    <xf numFmtId="0" fontId="18" fillId="15" borderId="2" xfId="3" applyFont="1" applyFill="1" applyBorder="1" applyAlignment="1"/>
    <xf numFmtId="0" fontId="18" fillId="15" borderId="3" xfId="3" applyFont="1" applyFill="1" applyBorder="1" applyAlignment="1"/>
    <xf numFmtId="0" fontId="17" fillId="15" borderId="3" xfId="3" applyFont="1" applyFill="1" applyBorder="1" applyAlignment="1"/>
    <xf numFmtId="0" fontId="17" fillId="15" borderId="4" xfId="3" applyFont="1" applyFill="1" applyBorder="1" applyAlignment="1">
      <alignment vertical="center"/>
    </xf>
    <xf numFmtId="0" fontId="16" fillId="15" borderId="1" xfId="3" applyFont="1" applyFill="1" applyBorder="1" applyAlignment="1"/>
    <xf numFmtId="0" fontId="18" fillId="2" borderId="1" xfId="4" applyFont="1" applyFill="1" applyBorder="1" applyAlignment="1"/>
    <xf numFmtId="0" fontId="23" fillId="16" borderId="1" xfId="4" applyFont="1" applyFill="1" applyBorder="1"/>
    <xf numFmtId="0" fontId="22" fillId="16" borderId="1" xfId="0" applyFont="1" applyFill="1" applyBorder="1"/>
    <xf numFmtId="1" fontId="16" fillId="8" borderId="1" xfId="3" applyNumberFormat="1" applyFont="1" applyFill="1" applyBorder="1" applyAlignment="1">
      <alignment horizontal="center"/>
    </xf>
    <xf numFmtId="0" fontId="17" fillId="15" borderId="3" xfId="3" applyFont="1" applyFill="1" applyBorder="1" applyAlignment="1">
      <alignment horizontal="center"/>
    </xf>
    <xf numFmtId="1" fontId="27" fillId="2" borderId="1" xfId="3" applyNumberFormat="1" applyFont="1" applyFill="1" applyBorder="1" applyAlignment="1">
      <alignment horizontal="center"/>
    </xf>
    <xf numFmtId="0" fontId="17" fillId="0" borderId="2" xfId="4" applyFont="1" applyBorder="1"/>
    <xf numFmtId="9" fontId="17" fillId="8" borderId="1" xfId="6" applyNumberFormat="1" applyFont="1" applyFill="1" applyBorder="1" applyAlignment="1">
      <alignment horizontal="center"/>
    </xf>
    <xf numFmtId="1" fontId="17" fillId="15" borderId="1" xfId="5" applyNumberFormat="1" applyFont="1" applyFill="1" applyBorder="1" applyAlignment="1">
      <alignment horizontal="center"/>
    </xf>
    <xf numFmtId="0" fontId="57" fillId="0" borderId="0" xfId="0" applyFont="1"/>
    <xf numFmtId="0" fontId="59" fillId="2" borderId="6" xfId="3" applyFont="1" applyFill="1" applyBorder="1" applyAlignment="1">
      <alignment horizontal="center" vertical="center"/>
    </xf>
    <xf numFmtId="0" fontId="57" fillId="0" borderId="0" xfId="0" applyFont="1" applyBorder="1"/>
    <xf numFmtId="164" fontId="59" fillId="2" borderId="6" xfId="3" applyNumberFormat="1" applyFont="1" applyFill="1" applyBorder="1" applyAlignment="1">
      <alignment horizontal="center"/>
    </xf>
    <xf numFmtId="164" fontId="56" fillId="2" borderId="6" xfId="3" applyNumberFormat="1" applyFont="1" applyFill="1" applyBorder="1" applyAlignment="1">
      <alignment horizontal="center" vertical="center" wrapText="1" shrinkToFit="1"/>
    </xf>
    <xf numFmtId="0" fontId="56" fillId="2" borderId="6" xfId="3" applyFont="1" applyFill="1" applyBorder="1" applyAlignment="1">
      <alignment horizontal="center" vertical="center"/>
    </xf>
    <xf numFmtId="1" fontId="56" fillId="2" borderId="6" xfId="5" applyNumberFormat="1" applyFont="1" applyFill="1" applyBorder="1" applyAlignment="1" applyProtection="1">
      <alignment horizontal="center"/>
    </xf>
    <xf numFmtId="0" fontId="56" fillId="2" borderId="6" xfId="3" applyFont="1" applyFill="1" applyBorder="1" applyAlignment="1">
      <alignment horizontal="center"/>
    </xf>
    <xf numFmtId="2" fontId="56" fillId="2" borderId="6" xfId="5" applyNumberFormat="1" applyFont="1" applyFill="1" applyBorder="1" applyAlignment="1" applyProtection="1">
      <alignment horizontal="center"/>
    </xf>
    <xf numFmtId="165" fontId="56" fillId="2" borderId="6" xfId="6" applyNumberFormat="1" applyFont="1" applyFill="1" applyBorder="1" applyAlignment="1">
      <alignment horizontal="center"/>
    </xf>
    <xf numFmtId="164" fontId="56" fillId="2" borderId="6" xfId="5" applyNumberFormat="1" applyFont="1" applyFill="1" applyBorder="1" applyAlignment="1" applyProtection="1">
      <alignment horizontal="center"/>
    </xf>
    <xf numFmtId="0" fontId="58" fillId="0" borderId="0" xfId="0" applyFont="1" applyBorder="1"/>
    <xf numFmtId="0" fontId="58" fillId="0" borderId="0" xfId="0" applyFont="1"/>
    <xf numFmtId="164" fontId="56" fillId="2" borderId="6" xfId="3" applyNumberFormat="1" applyFont="1" applyFill="1" applyBorder="1" applyAlignment="1">
      <alignment horizontal="center"/>
    </xf>
    <xf numFmtId="164" fontId="56" fillId="2" borderId="0" xfId="5" applyNumberFormat="1" applyFont="1" applyFill="1" applyBorder="1" applyAlignment="1" applyProtection="1">
      <alignment horizontal="center"/>
    </xf>
    <xf numFmtId="0" fontId="60" fillId="0" borderId="0" xfId="4" applyFont="1"/>
    <xf numFmtId="1" fontId="57" fillId="0" borderId="0" xfId="0" applyNumberFormat="1" applyFont="1" applyAlignment="1">
      <alignment horizontal="center"/>
    </xf>
    <xf numFmtId="1" fontId="57" fillId="0" borderId="0" xfId="0" applyNumberFormat="1" applyFont="1"/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left"/>
    </xf>
    <xf numFmtId="164" fontId="16" fillId="8" borderId="3" xfId="5" applyNumberFormat="1" applyFont="1" applyFill="1" applyBorder="1" applyAlignment="1" applyProtection="1">
      <alignment horizontal="center" vertical="top"/>
    </xf>
    <xf numFmtId="1" fontId="17" fillId="8" borderId="3" xfId="5" applyNumberFormat="1" applyFont="1" applyFill="1" applyBorder="1" applyAlignment="1" applyProtection="1">
      <alignment horizontal="center"/>
    </xf>
    <xf numFmtId="0" fontId="61" fillId="0" borderId="30" xfId="4" applyFont="1" applyBorder="1" applyAlignment="1">
      <alignment vertical="center" wrapText="1"/>
    </xf>
    <xf numFmtId="0" fontId="61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1" fontId="62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5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4" fillId="0" borderId="1" xfId="0" applyFont="1" applyFill="1" applyBorder="1"/>
    <xf numFmtId="0" fontId="65" fillId="0" borderId="0" xfId="0" applyFont="1" applyBorder="1"/>
    <xf numFmtId="0" fontId="65" fillId="0" borderId="1" xfId="0" applyFont="1" applyBorder="1" applyAlignment="1">
      <alignment horizontal="center"/>
    </xf>
    <xf numFmtId="1" fontId="65" fillId="0" borderId="1" xfId="0" applyNumberFormat="1" applyFont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5" fillId="0" borderId="1" xfId="0" applyNumberFormat="1" applyFont="1" applyFill="1" applyBorder="1" applyAlignment="1">
      <alignment horizont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0" borderId="0" xfId="0" applyFont="1" applyFill="1"/>
    <xf numFmtId="0" fontId="64" fillId="0" borderId="0" xfId="0" applyFont="1" applyFill="1"/>
    <xf numFmtId="1" fontId="64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5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4" fillId="0" borderId="1" xfId="0" applyNumberFormat="1" applyFont="1" applyFill="1" applyBorder="1" applyAlignment="1">
      <alignment horizontal="center"/>
    </xf>
    <xf numFmtId="0" fontId="65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5" fillId="0" borderId="4" xfId="0" applyFont="1" applyBorder="1" applyAlignment="1">
      <alignment horizontal="center"/>
    </xf>
    <xf numFmtId="0" fontId="64" fillId="0" borderId="4" xfId="0" applyFont="1" applyFill="1" applyBorder="1"/>
    <xf numFmtId="0" fontId="65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5" fillId="0" borderId="0" xfId="0" applyNumberFormat="1" applyFont="1" applyFill="1" applyAlignment="1">
      <alignment horizontal="center"/>
    </xf>
    <xf numFmtId="1" fontId="65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1" fontId="16" fillId="2" borderId="1" xfId="3" applyNumberFormat="1" applyFont="1" applyFill="1" applyBorder="1" applyAlignment="1">
      <alignment horizontal="center"/>
    </xf>
    <xf numFmtId="0" fontId="63" fillId="0" borderId="1" xfId="0" applyFont="1" applyBorder="1"/>
    <xf numFmtId="9" fontId="63" fillId="0" borderId="1" xfId="0" applyNumberFormat="1" applyFont="1" applyBorder="1"/>
    <xf numFmtId="1" fontId="63" fillId="0" borderId="1" xfId="0" applyNumberFormat="1" applyFont="1" applyBorder="1"/>
    <xf numFmtId="0" fontId="0" fillId="0" borderId="0" xfId="0" applyAlignment="1">
      <alignment vertical="center" wrapText="1"/>
    </xf>
    <xf numFmtId="0" fontId="63" fillId="0" borderId="1" xfId="0" applyFont="1" applyBorder="1" applyAlignment="1">
      <alignment vertical="center" wrapText="1"/>
    </xf>
    <xf numFmtId="0" fontId="66" fillId="15" borderId="1" xfId="3" applyFont="1" applyFill="1" applyBorder="1" applyAlignment="1"/>
    <xf numFmtId="0" fontId="72" fillId="0" borderId="0" xfId="0" applyFont="1"/>
    <xf numFmtId="2" fontId="73" fillId="8" borderId="1" xfId="3" applyNumberFormat="1" applyFont="1" applyFill="1" applyBorder="1" applyAlignment="1">
      <alignment horizontal="center"/>
    </xf>
    <xf numFmtId="0" fontId="76" fillId="0" borderId="0" xfId="0" applyFont="1"/>
    <xf numFmtId="0" fontId="74" fillId="0" borderId="0" xfId="0" applyFont="1"/>
    <xf numFmtId="0" fontId="66" fillId="15" borderId="1" xfId="3" applyFont="1" applyFill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/>
    </xf>
    <xf numFmtId="0" fontId="67" fillId="9" borderId="1" xfId="3" applyFont="1" applyFill="1" applyBorder="1" applyAlignment="1">
      <alignment horizontal="center" vertical="center"/>
    </xf>
    <xf numFmtId="10" fontId="67" fillId="9" borderId="1" xfId="3" applyNumberFormat="1" applyFont="1" applyFill="1" applyBorder="1" applyAlignment="1">
      <alignment horizontal="center"/>
    </xf>
    <xf numFmtId="1" fontId="67" fillId="9" borderId="1" xfId="3" applyNumberFormat="1" applyFont="1" applyFill="1" applyBorder="1" applyAlignment="1">
      <alignment horizontal="center"/>
    </xf>
    <xf numFmtId="2" fontId="67" fillId="9" borderId="1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center"/>
    </xf>
    <xf numFmtId="0" fontId="75" fillId="0" borderId="0" xfId="0" applyFont="1"/>
    <xf numFmtId="2" fontId="73" fillId="2" borderId="1" xfId="3" applyNumberFormat="1" applyFont="1" applyFill="1" applyBorder="1" applyAlignment="1">
      <alignment horizontal="center" vertical="center"/>
    </xf>
    <xf numFmtId="164" fontId="73" fillId="8" borderId="1" xfId="3" applyNumberFormat="1" applyFont="1" applyFill="1" applyBorder="1" applyAlignment="1">
      <alignment horizontal="center" wrapText="1" shrinkToFit="1"/>
    </xf>
    <xf numFmtId="2" fontId="73" fillId="8" borderId="1" xfId="3" applyNumberFormat="1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 vertical="center"/>
    </xf>
    <xf numFmtId="0" fontId="73" fillId="2" borderId="1" xfId="3" applyNumberFormat="1" applyFont="1" applyFill="1" applyBorder="1" applyAlignment="1">
      <alignment horizontal="center"/>
    </xf>
    <xf numFmtId="2" fontId="73" fillId="8" borderId="8" xfId="3" applyNumberFormat="1" applyFont="1" applyFill="1" applyBorder="1" applyAlignment="1">
      <alignment horizontal="center"/>
    </xf>
    <xf numFmtId="1" fontId="73" fillId="2" borderId="7" xfId="5" applyNumberFormat="1" applyFont="1" applyFill="1" applyBorder="1" applyAlignment="1">
      <alignment horizontal="center" vertical="center"/>
    </xf>
    <xf numFmtId="1" fontId="73" fillId="2" borderId="8" xfId="3" applyNumberFormat="1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3" fillId="8" borderId="1" xfId="5" applyNumberFormat="1" applyFont="1" applyFill="1" applyBorder="1" applyAlignment="1">
      <alignment horizontal="center" vertical="center"/>
    </xf>
    <xf numFmtId="2" fontId="73" fillId="2" borderId="1" xfId="3" applyNumberFormat="1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0" fontId="73" fillId="2" borderId="1" xfId="4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2" fontId="73" fillId="12" borderId="1" xfId="3" applyNumberFormat="1" applyFont="1" applyFill="1" applyBorder="1" applyAlignment="1">
      <alignment horizontal="center"/>
    </xf>
    <xf numFmtId="1" fontId="78" fillId="15" borderId="1" xfId="3" applyNumberFormat="1" applyFont="1" applyFill="1" applyBorder="1" applyAlignment="1">
      <alignment horizontal="center"/>
    </xf>
    <xf numFmtId="0" fontId="73" fillId="0" borderId="1" xfId="4" applyFont="1" applyBorder="1"/>
    <xf numFmtId="0" fontId="80" fillId="8" borderId="1" xfId="3" applyFont="1" applyFill="1" applyBorder="1" applyAlignment="1">
      <alignment horizontal="center"/>
    </xf>
    <xf numFmtId="164" fontId="80" fillId="8" borderId="1" xfId="5" applyNumberFormat="1" applyFont="1" applyFill="1" applyBorder="1" applyAlignment="1">
      <alignment horizontal="center" vertical="center"/>
    </xf>
    <xf numFmtId="1" fontId="73" fillId="12" borderId="1" xfId="5" applyNumberFormat="1" applyFont="1" applyFill="1" applyBorder="1" applyAlignment="1" applyProtection="1">
      <alignment horizontal="center"/>
    </xf>
    <xf numFmtId="0" fontId="80" fillId="2" borderId="1" xfId="4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2" fontId="82" fillId="8" borderId="1" xfId="3" applyNumberFormat="1" applyFont="1" applyFill="1" applyBorder="1" applyAlignment="1">
      <alignment horizontal="center"/>
    </xf>
    <xf numFmtId="164" fontId="78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2" fillId="8" borderId="1" xfId="5" applyNumberFormat="1" applyFont="1" applyFill="1" applyBorder="1" applyAlignment="1">
      <alignment horizontal="center" vertical="center"/>
    </xf>
    <xf numFmtId="2" fontId="73" fillId="8" borderId="1" xfId="9" applyNumberFormat="1" applyFont="1" applyFill="1" applyBorder="1" applyAlignment="1">
      <alignment horizontal="center"/>
    </xf>
    <xf numFmtId="168" fontId="78" fillId="8" borderId="1" xfId="5" applyNumberFormat="1" applyFont="1" applyFill="1" applyBorder="1" applyAlignment="1" applyProtection="1">
      <alignment horizontal="center" vertical="center"/>
    </xf>
    <xf numFmtId="164" fontId="81" fillId="8" borderId="1" xfId="5" applyNumberFormat="1" applyFont="1" applyFill="1" applyBorder="1" applyAlignment="1" applyProtection="1">
      <alignment horizontal="center"/>
    </xf>
    <xf numFmtId="1" fontId="82" fillId="0" borderId="1" xfId="4" applyNumberFormat="1" applyFont="1" applyBorder="1" applyAlignment="1">
      <alignment horizontal="center"/>
    </xf>
    <xf numFmtId="2" fontId="81" fillId="8" borderId="1" xfId="3" applyNumberFormat="1" applyFont="1" applyFill="1" applyBorder="1" applyAlignment="1">
      <alignment horizontal="right"/>
    </xf>
    <xf numFmtId="1" fontId="82" fillId="8" borderId="1" xfId="3" applyNumberFormat="1" applyFont="1" applyFill="1" applyBorder="1" applyAlignment="1">
      <alignment horizontal="center" vertical="center"/>
    </xf>
    <xf numFmtId="0" fontId="80" fillId="2" borderId="1" xfId="3" applyFont="1" applyFill="1" applyBorder="1" applyAlignment="1">
      <alignment horizontal="center"/>
    </xf>
    <xf numFmtId="169" fontId="80" fillId="8" borderId="1" xfId="5" applyNumberFormat="1" applyFont="1" applyFill="1" applyBorder="1" applyAlignment="1" applyProtection="1">
      <alignment horizontal="center" vertical="center"/>
    </xf>
    <xf numFmtId="1" fontId="80" fillId="2" borderId="1" xfId="3" applyNumberFormat="1" applyFont="1" applyFill="1" applyBorder="1" applyAlignment="1">
      <alignment horizontal="center" vertical="top"/>
    </xf>
    <xf numFmtId="0" fontId="73" fillId="0" borderId="1" xfId="4" applyFont="1" applyBorder="1" applyAlignment="1">
      <alignment horizontal="center" vertical="center"/>
    </xf>
    <xf numFmtId="0" fontId="73" fillId="8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vertical="center"/>
    </xf>
    <xf numFmtId="0" fontId="73" fillId="15" borderId="1" xfId="3" applyFont="1" applyFill="1" applyBorder="1" applyAlignment="1"/>
    <xf numFmtId="1" fontId="73" fillId="2" borderId="1" xfId="3" applyNumberFormat="1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 vertical="top"/>
    </xf>
    <xf numFmtId="0" fontId="73" fillId="2" borderId="1" xfId="4" applyFont="1" applyFill="1" applyBorder="1" applyAlignment="1">
      <alignment horizontal="left"/>
    </xf>
    <xf numFmtId="0" fontId="73" fillId="2" borderId="1" xfId="4" applyFont="1" applyFill="1" applyBorder="1" applyAlignment="1"/>
    <xf numFmtId="0" fontId="79" fillId="2" borderId="1" xfId="4" applyFont="1" applyFill="1" applyBorder="1" applyAlignment="1">
      <alignment horizontal="center" wrapText="1"/>
    </xf>
    <xf numFmtId="0" fontId="79" fillId="0" borderId="1" xfId="4" applyFont="1" applyFill="1" applyBorder="1" applyAlignment="1">
      <alignment horizontal="center" wrapText="1"/>
    </xf>
    <xf numFmtId="0" fontId="79" fillId="0" borderId="1" xfId="4" applyFont="1" applyBorder="1" applyAlignment="1">
      <alignment horizontal="center" wrapText="1"/>
    </xf>
    <xf numFmtId="0" fontId="79" fillId="2" borderId="1" xfId="4" applyFont="1" applyFill="1" applyBorder="1" applyAlignment="1">
      <alignment horizontal="center"/>
    </xf>
    <xf numFmtId="0" fontId="73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43" fontId="73" fillId="8" borderId="1" xfId="7" applyFont="1" applyFill="1" applyBorder="1" applyAlignment="1">
      <alignment horizontal="right" wrapText="1"/>
    </xf>
    <xf numFmtId="2" fontId="73" fillId="10" borderId="25" xfId="3" applyNumberFormat="1" applyFont="1" applyFill="1" applyBorder="1" applyAlignment="1">
      <alignment horizontal="center" vertical="center"/>
    </xf>
    <xf numFmtId="0" fontId="79" fillId="10" borderId="25" xfId="4" applyFont="1" applyFill="1" applyBorder="1" applyAlignment="1">
      <alignment horizontal="center" vertical="center"/>
    </xf>
    <xf numFmtId="1" fontId="73" fillId="10" borderId="25" xfId="5" applyNumberFormat="1" applyFont="1" applyFill="1" applyBorder="1" applyAlignment="1">
      <alignment horizontal="center" vertical="center"/>
    </xf>
    <xf numFmtId="1" fontId="73" fillId="10" borderId="25" xfId="3" applyNumberFormat="1" applyFont="1" applyFill="1" applyBorder="1" applyAlignment="1">
      <alignment horizontal="center" vertical="center"/>
    </xf>
    <xf numFmtId="0" fontId="78" fillId="10" borderId="0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/>
    </xf>
    <xf numFmtId="1" fontId="78" fillId="0" borderId="1" xfId="0" applyNumberFormat="1" applyFont="1" applyBorder="1" applyAlignment="1">
      <alignment horizontal="center"/>
    </xf>
    <xf numFmtId="0" fontId="78" fillId="0" borderId="1" xfId="0" applyFont="1" applyFill="1" applyBorder="1" applyAlignment="1">
      <alignment horizontal="center"/>
    </xf>
    <xf numFmtId="0" fontId="78" fillId="0" borderId="1" xfId="0" applyFont="1" applyFill="1" applyBorder="1"/>
    <xf numFmtId="1" fontId="78" fillId="0" borderId="1" xfId="0" applyNumberFormat="1" applyFont="1" applyFill="1" applyBorder="1" applyAlignment="1">
      <alignment horizontal="center"/>
    </xf>
    <xf numFmtId="1" fontId="73" fillId="0" borderId="1" xfId="5" applyNumberFormat="1" applyFont="1" applyFill="1" applyBorder="1" applyAlignment="1" applyProtection="1">
      <alignment horizontal="center"/>
    </xf>
    <xf numFmtId="0" fontId="78" fillId="0" borderId="0" xfId="0" applyFont="1"/>
    <xf numFmtId="1" fontId="78" fillId="0" borderId="0" xfId="0" applyNumberFormat="1" applyFont="1" applyAlignment="1">
      <alignment horizontal="center"/>
    </xf>
    <xf numFmtId="1" fontId="78" fillId="0" borderId="0" xfId="0" applyNumberFormat="1" applyFont="1"/>
    <xf numFmtId="1" fontId="73" fillId="15" borderId="1" xfId="5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78" fillId="0" borderId="1" xfId="0" applyFont="1" applyBorder="1"/>
    <xf numFmtId="9" fontId="73" fillId="8" borderId="1" xfId="6" applyNumberFormat="1" applyFont="1" applyFill="1" applyBorder="1" applyAlignment="1">
      <alignment horizontal="center"/>
    </xf>
    <xf numFmtId="165" fontId="73" fillId="0" borderId="1" xfId="6" applyNumberFormat="1" applyFont="1" applyFill="1" applyBorder="1" applyAlignment="1"/>
    <xf numFmtId="1" fontId="73" fillId="8" borderId="1" xfId="5" applyNumberFormat="1" applyFont="1" applyFill="1" applyBorder="1" applyAlignment="1">
      <alignment horizontal="right"/>
    </xf>
    <xf numFmtId="0" fontId="83" fillId="0" borderId="0" xfId="0" applyFont="1"/>
    <xf numFmtId="1" fontId="83" fillId="0" borderId="0" xfId="0" applyNumberFormat="1" applyFont="1" applyAlignment="1">
      <alignment horizontal="center"/>
    </xf>
    <xf numFmtId="1" fontId="83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73" fillId="8" borderId="15" xfId="3" applyNumberFormat="1" applyFont="1" applyFill="1" applyBorder="1" applyAlignment="1">
      <alignment horizontal="center" wrapText="1" shrinkToFit="1"/>
    </xf>
    <xf numFmtId="0" fontId="73" fillId="15" borderId="15" xfId="3" applyFont="1" applyFill="1" applyBorder="1" applyAlignment="1">
      <alignment horizontal="center"/>
    </xf>
    <xf numFmtId="1" fontId="73" fillId="8" borderId="15" xfId="5" applyNumberFormat="1" applyFont="1" applyFill="1" applyBorder="1" applyAlignment="1" applyProtection="1">
      <alignment horizontal="center"/>
    </xf>
    <xf numFmtId="1" fontId="73" fillId="2" borderId="15" xfId="5" applyNumberFormat="1" applyFont="1" applyFill="1" applyBorder="1" applyAlignment="1" applyProtection="1">
      <alignment horizontal="center"/>
    </xf>
    <xf numFmtId="1" fontId="73" fillId="15" borderId="15" xfId="3" applyNumberFormat="1" applyFont="1" applyFill="1" applyBorder="1" applyAlignment="1">
      <alignment horizontal="center" vertical="center"/>
    </xf>
    <xf numFmtId="0" fontId="73" fillId="15" borderId="15" xfId="3" applyFont="1" applyFill="1" applyBorder="1" applyAlignment="1"/>
    <xf numFmtId="0" fontId="73" fillId="2" borderId="15" xfId="4" applyFont="1" applyFill="1" applyBorder="1" applyAlignment="1"/>
    <xf numFmtId="1" fontId="73" fillId="10" borderId="31" xfId="5" applyNumberFormat="1" applyFont="1" applyFill="1" applyBorder="1" applyAlignment="1" applyProtection="1">
      <alignment horizontal="center" vertical="center"/>
    </xf>
    <xf numFmtId="1" fontId="78" fillId="0" borderId="15" xfId="0" applyNumberFormat="1" applyFont="1" applyBorder="1" applyAlignment="1">
      <alignment horizontal="center"/>
    </xf>
    <xf numFmtId="1" fontId="78" fillId="0" borderId="15" xfId="0" applyNumberFormat="1" applyFont="1" applyFill="1" applyBorder="1" applyAlignment="1">
      <alignment horizontal="center"/>
    </xf>
    <xf numFmtId="0" fontId="78" fillId="0" borderId="0" xfId="0" applyFont="1" applyBorder="1"/>
    <xf numFmtId="1" fontId="78" fillId="0" borderId="0" xfId="0" applyNumberFormat="1" applyFont="1" applyBorder="1" applyAlignment="1">
      <alignment horizontal="center"/>
    </xf>
    <xf numFmtId="1" fontId="78" fillId="0" borderId="35" xfId="0" applyNumberFormat="1" applyFont="1" applyBorder="1"/>
    <xf numFmtId="0" fontId="78" fillId="15" borderId="15" xfId="3" applyFont="1" applyFill="1" applyBorder="1" applyAlignment="1">
      <alignment horizontal="center"/>
    </xf>
    <xf numFmtId="1" fontId="73" fillId="15" borderId="15" xfId="5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center"/>
    </xf>
    <xf numFmtId="9" fontId="73" fillId="8" borderId="7" xfId="6" applyNumberFormat="1" applyFont="1" applyFill="1" applyBorder="1" applyAlignment="1">
      <alignment horizontal="center"/>
    </xf>
    <xf numFmtId="1" fontId="73" fillId="8" borderId="7" xfId="3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right"/>
    </xf>
    <xf numFmtId="1" fontId="73" fillId="8" borderId="23" xfId="5" applyNumberFormat="1" applyFont="1" applyFill="1" applyBorder="1" applyAlignment="1" applyProtection="1">
      <alignment horizontal="center"/>
    </xf>
    <xf numFmtId="9" fontId="67" fillId="9" borderId="21" xfId="3" applyNumberFormat="1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0" fillId="16" borderId="1" xfId="0" applyFont="1" applyFill="1" applyBorder="1"/>
    <xf numFmtId="0" fontId="72" fillId="0" borderId="0" xfId="0" applyFont="1" applyBorder="1"/>
    <xf numFmtId="0" fontId="75" fillId="0" borderId="1" xfId="0" applyFont="1" applyFill="1" applyBorder="1" applyAlignment="1">
      <alignment horizontal="left"/>
    </xf>
    <xf numFmtId="166" fontId="67" fillId="9" borderId="21" xfId="3" applyNumberFormat="1" applyFont="1" applyFill="1" applyBorder="1" applyAlignment="1">
      <alignment horizontal="left"/>
    </xf>
    <xf numFmtId="0" fontId="67" fillId="9" borderId="21" xfId="3" applyFont="1" applyFill="1" applyBorder="1"/>
    <xf numFmtId="0" fontId="67" fillId="8" borderId="21" xfId="3" applyFont="1" applyFill="1" applyBorder="1" applyAlignment="1">
      <alignment horizontal="center" vertical="center"/>
    </xf>
    <xf numFmtId="0" fontId="67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0" fontId="67" fillId="8" borderId="28" xfId="3" applyFont="1" applyFill="1" applyBorder="1" applyAlignment="1">
      <alignment horizontal="left" vertical="center"/>
    </xf>
    <xf numFmtId="0" fontId="67" fillId="8" borderId="5" xfId="3" applyFont="1" applyFill="1" applyBorder="1" applyAlignment="1">
      <alignment horizontal="left" vertical="center"/>
    </xf>
    <xf numFmtId="0" fontId="67" fillId="8" borderId="13" xfId="3" applyFont="1" applyFill="1" applyBorder="1" applyAlignment="1">
      <alignment horizontal="left" vertical="center"/>
    </xf>
    <xf numFmtId="167" fontId="67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0" fontId="67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0" fontId="67" fillId="2" borderId="21" xfId="3" applyFont="1" applyFill="1" applyBorder="1" applyAlignment="1">
      <alignment horizontal="left" vertical="center"/>
    </xf>
    <xf numFmtId="0" fontId="66" fillId="2" borderId="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/>
    </xf>
    <xf numFmtId="0" fontId="67" fillId="16" borderId="21" xfId="3" applyFont="1" applyFill="1" applyBorder="1" applyAlignment="1">
      <alignment horizontal="center" vertical="center"/>
    </xf>
    <xf numFmtId="0" fontId="66" fillId="16" borderId="1" xfId="3" applyFont="1" applyFill="1" applyBorder="1" applyAlignment="1">
      <alignment horizontal="center" vertical="center"/>
    </xf>
    <xf numFmtId="0" fontId="77" fillId="2" borderId="16" xfId="3" applyFont="1" applyFill="1" applyBorder="1" applyAlignment="1">
      <alignment horizontal="center"/>
    </xf>
    <xf numFmtId="0" fontId="77" fillId="2" borderId="3" xfId="3" applyFont="1" applyFill="1" applyBorder="1" applyAlignment="1">
      <alignment horizontal="center"/>
    </xf>
    <xf numFmtId="0" fontId="77" fillId="2" borderId="4" xfId="3" applyFont="1" applyFill="1" applyBorder="1" applyAlignment="1">
      <alignment horizontal="center"/>
    </xf>
    <xf numFmtId="0" fontId="77" fillId="16" borderId="16" xfId="3" applyFont="1" applyFill="1" applyBorder="1" applyAlignment="1">
      <alignment horizontal="center"/>
    </xf>
    <xf numFmtId="0" fontId="77" fillId="16" borderId="3" xfId="3" applyFont="1" applyFill="1" applyBorder="1" applyAlignment="1">
      <alignment horizontal="center"/>
    </xf>
    <xf numFmtId="0" fontId="77" fillId="16" borderId="4" xfId="3" applyFont="1" applyFill="1" applyBorder="1" applyAlignment="1">
      <alignment horizontal="center"/>
    </xf>
    <xf numFmtId="0" fontId="67" fillId="15" borderId="21" xfId="3" applyFont="1" applyFill="1" applyBorder="1" applyAlignment="1">
      <alignment horizontal="left"/>
    </xf>
    <xf numFmtId="2" fontId="67" fillId="8" borderId="21" xfId="3" applyNumberFormat="1" applyFont="1" applyFill="1" applyBorder="1" applyAlignment="1">
      <alignment horizontal="left" vertical="center"/>
    </xf>
    <xf numFmtId="2" fontId="66" fillId="8" borderId="1" xfId="3" applyNumberFormat="1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justify"/>
    </xf>
    <xf numFmtId="0" fontId="67" fillId="15" borderId="21" xfId="3" applyFont="1" applyFill="1" applyBorder="1" applyAlignment="1"/>
    <xf numFmtId="0" fontId="67" fillId="0" borderId="21" xfId="4" applyFont="1" applyBorder="1" applyAlignment="1">
      <alignment vertical="center"/>
    </xf>
    <xf numFmtId="0" fontId="66" fillId="0" borderId="1" xfId="4" applyFont="1" applyBorder="1" applyAlignment="1">
      <alignment vertical="center"/>
    </xf>
    <xf numFmtId="0" fontId="69" fillId="16" borderId="21" xfId="4" applyFont="1" applyFill="1" applyBorder="1"/>
    <xf numFmtId="0" fontId="67" fillId="15" borderId="21" xfId="3" applyFont="1" applyFill="1" applyBorder="1" applyAlignment="1">
      <alignment horizontal="center"/>
    </xf>
    <xf numFmtId="0" fontId="67" fillId="10" borderId="33" xfId="3" applyFont="1" applyFill="1" applyBorder="1" applyAlignment="1">
      <alignment horizontal="center" vertical="center"/>
    </xf>
    <xf numFmtId="0" fontId="67" fillId="10" borderId="0" xfId="3" applyFont="1" applyFill="1" applyBorder="1" applyAlignment="1">
      <alignment horizontal="center" vertical="center"/>
    </xf>
    <xf numFmtId="0" fontId="67" fillId="0" borderId="21" xfId="4" applyFont="1" applyBorder="1"/>
    <xf numFmtId="0" fontId="67" fillId="15" borderId="21" xfId="3" applyFont="1" applyFill="1" applyBorder="1" applyAlignment="1">
      <alignment horizontal="center" vertical="center"/>
    </xf>
    <xf numFmtId="9" fontId="73" fillId="9" borderId="1" xfId="4" applyNumberFormat="1" applyFont="1" applyFill="1" applyBorder="1"/>
    <xf numFmtId="0" fontId="73" fillId="9" borderId="1" xfId="3" applyFont="1" applyFill="1" applyBorder="1" applyAlignment="1"/>
    <xf numFmtId="1" fontId="67" fillId="9" borderId="15" xfId="3" applyNumberFormat="1" applyFont="1" applyFill="1" applyBorder="1" applyAlignment="1">
      <alignment horizontal="center" vertical="center"/>
    </xf>
    <xf numFmtId="0" fontId="67" fillId="9" borderId="1" xfId="3" applyFont="1" applyFill="1" applyBorder="1" applyAlignment="1">
      <alignment horizontal="left"/>
    </xf>
    <xf numFmtId="1" fontId="67" fillId="9" borderId="15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left"/>
    </xf>
    <xf numFmtId="0" fontId="73" fillId="8" borderId="8" xfId="3" applyFont="1" applyFill="1" applyBorder="1" applyAlignment="1">
      <alignment horizontal="center"/>
    </xf>
    <xf numFmtId="44" fontId="82" fillId="8" borderId="1" xfId="8" applyFont="1" applyFill="1" applyBorder="1" applyAlignment="1">
      <alignment horizontal="center"/>
    </xf>
    <xf numFmtId="0" fontId="82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 vertical="center"/>
    </xf>
    <xf numFmtId="0" fontId="73" fillId="10" borderId="32" xfId="3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/>
    </xf>
    <xf numFmtId="0" fontId="83" fillId="0" borderId="4" xfId="0" applyFont="1" applyFill="1" applyBorder="1"/>
    <xf numFmtId="0" fontId="78" fillId="0" borderId="4" xfId="0" applyFont="1" applyFill="1" applyBorder="1" applyAlignment="1">
      <alignment horizontal="center"/>
    </xf>
    <xf numFmtId="0" fontId="73" fillId="8" borderId="7" xfId="3" applyFont="1" applyFill="1" applyBorder="1" applyAlignment="1">
      <alignment horizontal="center"/>
    </xf>
    <xf numFmtId="0" fontId="73" fillId="12" borderId="1" xfId="4" applyFont="1" applyFill="1" applyBorder="1" applyAlignment="1">
      <alignment horizontal="center"/>
    </xf>
    <xf numFmtId="0" fontId="73" fillId="0" borderId="1" xfId="3" applyFont="1" applyFill="1" applyBorder="1" applyAlignment="1">
      <alignment horizontal="center"/>
    </xf>
    <xf numFmtId="1" fontId="87" fillId="12" borderId="0" xfId="0" applyNumberFormat="1" applyFont="1" applyFill="1"/>
    <xf numFmtId="1" fontId="87" fillId="0" borderId="0" xfId="0" applyNumberFormat="1" applyFont="1"/>
    <xf numFmtId="0" fontId="72" fillId="9" borderId="1" xfId="3" applyFont="1" applyFill="1" applyBorder="1" applyAlignment="1">
      <alignment horizontal="center" vertical="center"/>
    </xf>
    <xf numFmtId="2" fontId="72" fillId="9" borderId="1" xfId="3" applyNumberFormat="1" applyFont="1" applyFill="1" applyBorder="1" applyAlignment="1">
      <alignment horizont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2" fontId="78" fillId="8" borderId="8" xfId="3" applyNumberFormat="1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vertical="center"/>
    </xf>
    <xf numFmtId="0" fontId="78" fillId="2" borderId="1" xfId="4" applyFont="1" applyFill="1" applyBorder="1" applyAlignment="1"/>
    <xf numFmtId="0" fontId="78" fillId="0" borderId="1" xfId="3" applyFont="1" applyFill="1" applyBorder="1" applyAlignment="1">
      <alignment horizontal="center"/>
    </xf>
    <xf numFmtId="0" fontId="78" fillId="10" borderId="25" xfId="4" applyFont="1" applyFill="1" applyBorder="1" applyAlignment="1">
      <alignment horizontal="center" vertical="center"/>
    </xf>
    <xf numFmtId="0" fontId="78" fillId="12" borderId="1" xfId="4" applyFont="1" applyFill="1" applyBorder="1" applyAlignment="1">
      <alignment horizontal="center"/>
    </xf>
    <xf numFmtId="2" fontId="78" fillId="8" borderId="7" xfId="3" applyNumberFormat="1" applyFont="1" applyFill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" fontId="73" fillId="0" borderId="1" xfId="5" applyNumberFormat="1" applyFont="1" applyFill="1" applyBorder="1" applyAlignment="1">
      <alignment horizontal="center" vertical="center"/>
    </xf>
    <xf numFmtId="0" fontId="73" fillId="0" borderId="1" xfId="4" applyFont="1" applyFill="1" applyBorder="1" applyAlignment="1">
      <alignment horizontal="center" vertical="center"/>
    </xf>
    <xf numFmtId="0" fontId="73" fillId="2" borderId="1" xfId="4" applyFont="1" applyFill="1" applyBorder="1" applyAlignment="1">
      <alignment horizontal="center" wrapText="1"/>
    </xf>
    <xf numFmtId="0" fontId="73" fillId="0" borderId="1" xfId="4" applyFont="1" applyFill="1" applyBorder="1" applyAlignment="1">
      <alignment horizontal="center" wrapText="1"/>
    </xf>
    <xf numFmtId="0" fontId="73" fillId="0" borderId="1" xfId="4" applyFont="1" applyBorder="1" applyAlignment="1">
      <alignment horizontal="center" wrapText="1"/>
    </xf>
    <xf numFmtId="0" fontId="73" fillId="10" borderId="25" xfId="4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/>
    </xf>
    <xf numFmtId="0" fontId="73" fillId="0" borderId="1" xfId="0" applyFont="1" applyFill="1" applyBorder="1" applyAlignment="1">
      <alignment horizontal="center"/>
    </xf>
    <xf numFmtId="1" fontId="73" fillId="0" borderId="1" xfId="0" applyNumberFormat="1" applyFont="1" applyFill="1" applyBorder="1" applyAlignment="1">
      <alignment horizontal="center"/>
    </xf>
    <xf numFmtId="0" fontId="73" fillId="0" borderId="0" xfId="0" applyFont="1" applyBorder="1"/>
    <xf numFmtId="0" fontId="88" fillId="0" borderId="0" xfId="0" applyFont="1"/>
    <xf numFmtId="0" fontId="73" fillId="0" borderId="0" xfId="0" applyFont="1"/>
    <xf numFmtId="1" fontId="89" fillId="20" borderId="1" xfId="5" applyNumberFormat="1" applyFont="1" applyFill="1" applyBorder="1" applyAlignment="1">
      <alignment horizontal="center" vertical="center"/>
    </xf>
    <xf numFmtId="0" fontId="85" fillId="21" borderId="21" xfId="3" applyFont="1" applyFill="1" applyBorder="1" applyAlignment="1">
      <alignment horizontal="left"/>
    </xf>
    <xf numFmtId="0" fontId="84" fillId="21" borderId="1" xfId="3" applyFont="1" applyFill="1" applyBorder="1" applyAlignment="1">
      <alignment horizontal="left"/>
    </xf>
    <xf numFmtId="0" fontId="89" fillId="21" borderId="1" xfId="3" applyFont="1" applyFill="1" applyBorder="1" applyAlignment="1">
      <alignment horizontal="center"/>
    </xf>
    <xf numFmtId="0" fontId="89" fillId="21" borderId="1" xfId="4" applyFont="1" applyFill="1" applyBorder="1" applyAlignment="1">
      <alignment horizontal="center"/>
    </xf>
    <xf numFmtId="1" fontId="89" fillId="21" borderId="1" xfId="5" applyNumberFormat="1" applyFont="1" applyFill="1" applyBorder="1" applyAlignment="1">
      <alignment horizontal="center" vertical="center"/>
    </xf>
    <xf numFmtId="1" fontId="89" fillId="21" borderId="1" xfId="3" applyNumberFormat="1" applyFont="1" applyFill="1" applyBorder="1" applyAlignment="1">
      <alignment horizontal="center"/>
    </xf>
    <xf numFmtId="0" fontId="89" fillId="21" borderId="1" xfId="3" applyNumberFormat="1" applyFont="1" applyFill="1" applyBorder="1" applyAlignment="1">
      <alignment horizontal="center"/>
    </xf>
    <xf numFmtId="1" fontId="89" fillId="21" borderId="15" xfId="5" applyNumberFormat="1" applyFont="1" applyFill="1" applyBorder="1" applyAlignment="1" applyProtection="1">
      <alignment horizontal="center"/>
    </xf>
    <xf numFmtId="0" fontId="85" fillId="21" borderId="21" xfId="3" applyFont="1" applyFill="1" applyBorder="1" applyAlignment="1">
      <alignment horizontal="left" vertical="center"/>
    </xf>
    <xf numFmtId="0" fontId="84" fillId="21" borderId="1" xfId="3" applyFont="1" applyFill="1" applyBorder="1" applyAlignment="1">
      <alignment horizontal="left" vertical="center"/>
    </xf>
    <xf numFmtId="2" fontId="89" fillId="21" borderId="1" xfId="3" applyNumberFormat="1" applyFont="1" applyFill="1" applyBorder="1" applyAlignment="1">
      <alignment horizontal="center"/>
    </xf>
    <xf numFmtId="0" fontId="72" fillId="8" borderId="2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center"/>
    </xf>
    <xf numFmtId="1" fontId="78" fillId="20" borderId="1" xfId="5" applyNumberFormat="1" applyFont="1" applyFill="1" applyBorder="1" applyAlignment="1">
      <alignment horizontal="center" vertical="center"/>
    </xf>
    <xf numFmtId="1" fontId="78" fillId="8" borderId="1" xfId="3" applyNumberFormat="1" applyFont="1" applyFill="1" applyBorder="1" applyAlignment="1">
      <alignment horizontal="center"/>
    </xf>
    <xf numFmtId="0" fontId="78" fillId="2" borderId="1" xfId="3" applyNumberFormat="1" applyFont="1" applyFill="1" applyBorder="1" applyAlignment="1">
      <alignment horizontal="center"/>
    </xf>
    <xf numFmtId="1" fontId="78" fillId="8" borderId="15" xfId="5" applyNumberFormat="1" applyFont="1" applyFill="1" applyBorder="1" applyAlignment="1" applyProtection="1">
      <alignment horizontal="center"/>
    </xf>
    <xf numFmtId="0" fontId="72" fillId="8" borderId="28" xfId="3" applyFont="1" applyFill="1" applyBorder="1" applyAlignment="1">
      <alignment horizontal="left" vertical="center"/>
    </xf>
    <xf numFmtId="0" fontId="72" fillId="8" borderId="5" xfId="3" applyFont="1" applyFill="1" applyBorder="1" applyAlignment="1">
      <alignment horizontal="left" vertical="center"/>
    </xf>
    <xf numFmtId="0" fontId="72" fillId="8" borderId="13" xfId="3" applyFont="1" applyFill="1" applyBorder="1" applyAlignment="1">
      <alignment horizontal="left" vertical="center"/>
    </xf>
    <xf numFmtId="0" fontId="78" fillId="8" borderId="8" xfId="3" applyFont="1" applyFill="1" applyBorder="1" applyAlignment="1">
      <alignment horizontal="center"/>
    </xf>
    <xf numFmtId="1" fontId="78" fillId="2" borderId="8" xfId="3" applyNumberFormat="1" applyFont="1" applyFill="1" applyBorder="1" applyAlignment="1">
      <alignment horizontal="center"/>
    </xf>
    <xf numFmtId="167" fontId="72" fillId="8" borderId="21" xfId="3" applyNumberFormat="1" applyFont="1" applyFill="1" applyBorder="1" applyAlignment="1">
      <alignment vertical="center"/>
    </xf>
    <xf numFmtId="167" fontId="74" fillId="8" borderId="1" xfId="3" applyNumberFormat="1" applyFont="1" applyFill="1" applyBorder="1" applyAlignment="1">
      <alignment vertical="center"/>
    </xf>
    <xf numFmtId="1" fontId="78" fillId="2" borderId="1" xfId="5" applyNumberFormat="1" applyFont="1" applyFill="1" applyBorder="1" applyAlignment="1">
      <alignment horizontal="center" vertical="center"/>
    </xf>
    <xf numFmtId="1" fontId="78" fillId="12" borderId="1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0" fontId="72" fillId="16" borderId="21" xfId="3" applyFont="1" applyFill="1" applyBorder="1" applyAlignment="1">
      <alignment horizontal="center"/>
    </xf>
    <xf numFmtId="0" fontId="74" fillId="16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0" fontId="78" fillId="0" borderId="1" xfId="4" applyFont="1" applyBorder="1"/>
    <xf numFmtId="164" fontId="78" fillId="20" borderId="1" xfId="5" applyNumberFormat="1" applyFont="1" applyFill="1" applyBorder="1" applyAlignment="1">
      <alignment horizontal="center" vertical="center"/>
    </xf>
    <xf numFmtId="1" fontId="78" fillId="12" borderId="1" xfId="5" applyNumberFormat="1" applyFont="1" applyFill="1" applyBorder="1" applyAlignment="1" applyProtection="1">
      <alignment horizontal="center"/>
    </xf>
    <xf numFmtId="1" fontId="73" fillId="8" borderId="1" xfId="9" applyNumberFormat="1" applyFont="1" applyFill="1" applyBorder="1" applyAlignment="1">
      <alignment horizontal="center"/>
    </xf>
    <xf numFmtId="0" fontId="73" fillId="21" borderId="1" xfId="4" applyFont="1" applyFill="1" applyBorder="1" applyAlignment="1">
      <alignment horizontal="center"/>
    </xf>
    <xf numFmtId="0" fontId="79" fillId="12" borderId="1" xfId="4" applyFont="1" applyFill="1" applyBorder="1" applyAlignment="1">
      <alignment horizontal="center"/>
    </xf>
    <xf numFmtId="1" fontId="78" fillId="2" borderId="8" xfId="5" applyNumberFormat="1" applyFont="1" applyFill="1" applyBorder="1" applyAlignment="1">
      <alignment horizontal="center" vertical="center"/>
    </xf>
    <xf numFmtId="0" fontId="78" fillId="21" borderId="1" xfId="4" applyFont="1" applyFill="1" applyBorder="1" applyAlignment="1">
      <alignment horizontal="center"/>
    </xf>
    <xf numFmtId="171" fontId="50" fillId="0" borderId="0" xfId="0" applyNumberFormat="1" applyFont="1"/>
    <xf numFmtId="0" fontId="81" fillId="0" borderId="1" xfId="4" applyFont="1" applyBorder="1" applyAlignment="1">
      <alignment horizontal="center"/>
    </xf>
    <xf numFmtId="1" fontId="87" fillId="0" borderId="5" xfId="0" applyNumberFormat="1" applyFont="1" applyBorder="1"/>
    <xf numFmtId="0" fontId="81" fillId="0" borderId="1" xfId="0" applyFont="1" applyFill="1" applyBorder="1" applyAlignment="1">
      <alignment horizontal="center"/>
    </xf>
    <xf numFmtId="0" fontId="81" fillId="8" borderId="1" xfId="3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0" fontId="81" fillId="0" borderId="1" xfId="4" applyFont="1" applyBorder="1" applyAlignment="1">
      <alignment horizontal="center" wrapText="1"/>
    </xf>
    <xf numFmtId="2" fontId="81" fillId="8" borderId="1" xfId="3" applyNumberFormat="1" applyFont="1" applyFill="1" applyBorder="1" applyAlignment="1">
      <alignment horizontal="center"/>
    </xf>
    <xf numFmtId="2" fontId="81" fillId="8" borderId="8" xfId="3" applyNumberFormat="1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0" fontId="81" fillId="0" borderId="1" xfId="4" applyFont="1" applyBorder="1" applyAlignment="1">
      <alignment horizontal="center" vertical="center"/>
    </xf>
    <xf numFmtId="2" fontId="81" fillId="8" borderId="1" xfId="3" applyNumberFormat="1" applyFont="1" applyFill="1" applyBorder="1" applyAlignment="1">
      <alignment horizontal="center" vertical="center"/>
    </xf>
    <xf numFmtId="0" fontId="81" fillId="12" borderId="1" xfId="4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 vertical="center"/>
    </xf>
    <xf numFmtId="1" fontId="81" fillId="2" borderId="1" xfId="3" applyNumberFormat="1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/>
    </xf>
    <xf numFmtId="0" fontId="78" fillId="12" borderId="1" xfId="0" applyFont="1" applyFill="1" applyBorder="1" applyAlignment="1">
      <alignment horizontal="center"/>
    </xf>
    <xf numFmtId="0" fontId="81" fillId="0" borderId="1" xfId="3" applyFont="1" applyFill="1" applyBorder="1" applyAlignment="1">
      <alignment horizontal="center"/>
    </xf>
    <xf numFmtId="0" fontId="81" fillId="0" borderId="1" xfId="4" applyFont="1" applyFill="1" applyBorder="1" applyAlignment="1">
      <alignment horizontal="center" wrapText="1"/>
    </xf>
    <xf numFmtId="0" fontId="81" fillId="2" borderId="1" xfId="4" applyFont="1" applyFill="1" applyBorder="1" applyAlignment="1">
      <alignment horizontal="center" wrapText="1"/>
    </xf>
    <xf numFmtId="1" fontId="73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1" fontId="73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73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7" fillId="0" borderId="0" xfId="0" applyNumberFormat="1" applyFont="1" applyFill="1"/>
    <xf numFmtId="1" fontId="87" fillId="0" borderId="5" xfId="0" applyNumberFormat="1" applyFont="1" applyFill="1" applyBorder="1"/>
    <xf numFmtId="0" fontId="90" fillId="0" borderId="0" xfId="0" applyFont="1" applyFill="1" applyAlignment="1">
      <alignment horizontal="center"/>
    </xf>
    <xf numFmtId="0" fontId="91" fillId="0" borderId="0" xfId="0" applyFont="1" applyFill="1" applyAlignment="1">
      <alignment horizontal="center"/>
    </xf>
    <xf numFmtId="1" fontId="90" fillId="0" borderId="0" xfId="0" applyNumberFormat="1" applyFont="1" applyFill="1" applyAlignment="1">
      <alignment horizontal="center"/>
    </xf>
    <xf numFmtId="1" fontId="92" fillId="0" borderId="0" xfId="0" applyNumberFormat="1" applyFont="1" applyFill="1" applyAlignment="1">
      <alignment horizontal="center"/>
    </xf>
    <xf numFmtId="1" fontId="92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90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90" fillId="12" borderId="0" xfId="0" applyNumberFormat="1" applyFont="1" applyFill="1" applyAlignment="1">
      <alignment horizontal="center"/>
    </xf>
    <xf numFmtId="0" fontId="69" fillId="0" borderId="21" xfId="4" applyFont="1" applyFill="1" applyBorder="1"/>
    <xf numFmtId="0" fontId="70" fillId="0" borderId="1" xfId="0" applyFont="1" applyFill="1" applyBorder="1"/>
    <xf numFmtId="0" fontId="73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7" fillId="9" borderId="1" xfId="3" applyNumberFormat="1" applyFont="1" applyFill="1" applyBorder="1" applyAlignment="1">
      <alignment horizontal="center" vertical="center"/>
    </xf>
    <xf numFmtId="1" fontId="73" fillId="8" borderId="8" xfId="3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/>
    </xf>
    <xf numFmtId="1" fontId="73" fillId="15" borderId="1" xfId="3" applyNumberFormat="1" applyFont="1" applyFill="1" applyBorder="1" applyAlignment="1">
      <alignment horizontal="center"/>
    </xf>
    <xf numFmtId="1" fontId="73" fillId="21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 vertical="center"/>
    </xf>
    <xf numFmtId="1" fontId="73" fillId="0" borderId="1" xfId="4" applyNumberFormat="1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vertical="center"/>
    </xf>
    <xf numFmtId="1" fontId="73" fillId="0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/>
    <xf numFmtId="1" fontId="73" fillId="2" borderId="1" xfId="4" applyNumberFormat="1" applyFont="1" applyFill="1" applyBorder="1" applyAlignment="1">
      <alignment horizontal="center" wrapText="1"/>
    </xf>
    <xf numFmtId="1" fontId="73" fillId="0" borderId="1" xfId="4" applyNumberFormat="1" applyFont="1" applyFill="1" applyBorder="1" applyAlignment="1">
      <alignment horizontal="center" wrapText="1"/>
    </xf>
    <xf numFmtId="1" fontId="73" fillId="0" borderId="1" xfId="4" applyNumberFormat="1" applyFont="1" applyBorder="1" applyAlignment="1">
      <alignment horizontal="center" wrapText="1"/>
    </xf>
    <xf numFmtId="1" fontId="78" fillId="0" borderId="1" xfId="3" applyNumberFormat="1" applyFont="1" applyFill="1" applyBorder="1" applyAlignment="1">
      <alignment horizontal="center"/>
    </xf>
    <xf numFmtId="1" fontId="73" fillId="10" borderId="25" xfId="4" applyNumberFormat="1" applyFont="1" applyFill="1" applyBorder="1" applyAlignment="1">
      <alignment horizontal="center" vertical="center"/>
    </xf>
    <xf numFmtId="1" fontId="73" fillId="0" borderId="1" xfId="0" applyNumberFormat="1" applyFont="1" applyBorder="1" applyAlignment="1">
      <alignment horizontal="center"/>
    </xf>
    <xf numFmtId="1" fontId="73" fillId="0" borderId="0" xfId="0" applyNumberFormat="1" applyFont="1" applyBorder="1"/>
    <xf numFmtId="1" fontId="73" fillId="12" borderId="1" xfId="4" applyNumberFormat="1" applyFont="1" applyFill="1" applyBorder="1" applyAlignment="1">
      <alignment horizontal="center"/>
    </xf>
    <xf numFmtId="1" fontId="88" fillId="0" borderId="0" xfId="0" applyNumberFormat="1" applyFont="1"/>
    <xf numFmtId="1" fontId="73" fillId="0" borderId="0" xfId="0" applyNumberFormat="1" applyFont="1"/>
    <xf numFmtId="1" fontId="89" fillId="21" borderId="1" xfId="4" applyNumberFormat="1" applyFont="1" applyFill="1" applyBorder="1" applyAlignment="1">
      <alignment horizontal="center"/>
    </xf>
    <xf numFmtId="1" fontId="78" fillId="0" borderId="1" xfId="4" applyNumberFormat="1" applyFont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80" fillId="2" borderId="1" xfId="4" applyNumberFormat="1" applyFont="1" applyFill="1" applyBorder="1" applyAlignment="1">
      <alignment horizontal="center"/>
    </xf>
    <xf numFmtId="1" fontId="82" fillId="8" borderId="1" xfId="3" applyNumberFormat="1" applyFont="1" applyFill="1" applyBorder="1" applyAlignment="1">
      <alignment horizontal="center"/>
    </xf>
    <xf numFmtId="1" fontId="80" fillId="2" borderId="1" xfId="3" applyNumberFormat="1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 wrapText="1"/>
    </xf>
    <xf numFmtId="1" fontId="79" fillId="0" borderId="1" xfId="4" applyNumberFormat="1" applyFont="1" applyFill="1" applyBorder="1" applyAlignment="1">
      <alignment horizontal="center" wrapText="1"/>
    </xf>
    <xf numFmtId="1" fontId="79" fillId="0" borderId="1" xfId="4" applyNumberFormat="1" applyFont="1" applyBorder="1" applyAlignment="1">
      <alignment horizontal="center" wrapText="1"/>
    </xf>
    <xf numFmtId="1" fontId="79" fillId="2" borderId="1" xfId="4" applyNumberFormat="1" applyFont="1" applyFill="1" applyBorder="1" applyAlignment="1">
      <alignment horizontal="center"/>
    </xf>
    <xf numFmtId="1" fontId="79" fillId="10" borderId="25" xfId="4" applyNumberFormat="1" applyFont="1" applyFill="1" applyBorder="1" applyAlignment="1">
      <alignment horizontal="center" vertical="center"/>
    </xf>
    <xf numFmtId="1" fontId="78" fillId="0" borderId="0" xfId="0" applyNumberFormat="1" applyFont="1" applyBorder="1"/>
    <xf numFmtId="1" fontId="79" fillId="0" borderId="1" xfId="4" applyNumberFormat="1" applyFont="1" applyFill="1" applyBorder="1" applyAlignment="1">
      <alignment horizontal="center"/>
    </xf>
    <xf numFmtId="1" fontId="79" fillId="12" borderId="1" xfId="4" applyNumberFormat="1" applyFont="1" applyFill="1" applyBorder="1" applyAlignment="1">
      <alignment horizontal="center"/>
    </xf>
    <xf numFmtId="0" fontId="94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93" fillId="0" borderId="0" xfId="16" applyAlignment="1" applyProtection="1"/>
    <xf numFmtId="1" fontId="13" fillId="0" borderId="0" xfId="2" applyNumberFormat="1" applyAlignment="1" applyProtection="1"/>
    <xf numFmtId="1" fontId="73" fillId="12" borderId="1" xfId="5" applyNumberFormat="1" applyFont="1" applyFill="1" applyBorder="1" applyAlignment="1">
      <alignment horizontal="center" vertical="center"/>
    </xf>
    <xf numFmtId="1" fontId="73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7" fillId="12" borderId="21" xfId="3" applyFont="1" applyFill="1" applyBorder="1" applyAlignment="1">
      <alignment horizontal="left"/>
    </xf>
    <xf numFmtId="0" fontId="67" fillId="12" borderId="1" xfId="3" applyFont="1" applyFill="1" applyBorder="1" applyAlignment="1">
      <alignment horizontal="left"/>
    </xf>
    <xf numFmtId="2" fontId="73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4" fillId="0" borderId="0" xfId="0" applyNumberFormat="1" applyFont="1" applyFill="1"/>
    <xf numFmtId="1" fontId="81" fillId="12" borderId="1" xfId="5" applyNumberFormat="1" applyFont="1" applyFill="1" applyBorder="1" applyAlignment="1">
      <alignment horizontal="center" vertical="center"/>
    </xf>
    <xf numFmtId="0" fontId="78" fillId="0" borderId="4" xfId="0" applyFont="1" applyFill="1" applyBorder="1"/>
    <xf numFmtId="1" fontId="96" fillId="0" borderId="1" xfId="0" applyNumberFormat="1" applyFont="1" applyFill="1" applyBorder="1" applyAlignment="1">
      <alignment horizontal="center" wrapText="1"/>
    </xf>
    <xf numFmtId="0" fontId="73" fillId="12" borderId="1" xfId="0" applyFont="1" applyFill="1" applyBorder="1" applyAlignment="1">
      <alignment horizontal="center"/>
    </xf>
    <xf numFmtId="0" fontId="72" fillId="0" borderId="1" xfId="0" applyFont="1" applyBorder="1"/>
    <xf numFmtId="0" fontId="74" fillId="0" borderId="1" xfId="0" applyFont="1" applyBorder="1"/>
    <xf numFmtId="0" fontId="67" fillId="0" borderId="1" xfId="4" applyFont="1" applyBorder="1" applyAlignment="1">
      <alignment vertical="center"/>
    </xf>
    <xf numFmtId="0" fontId="84" fillId="2" borderId="1" xfId="3" applyFont="1" applyFill="1" applyBorder="1" applyAlignment="1">
      <alignment horizontal="left"/>
    </xf>
    <xf numFmtId="0" fontId="89" fillId="2" borderId="1" xfId="3" applyFont="1" applyFill="1" applyBorder="1" applyAlignment="1">
      <alignment horizontal="center"/>
    </xf>
    <xf numFmtId="0" fontId="89" fillId="2" borderId="1" xfId="4" applyFont="1" applyFill="1" applyBorder="1" applyAlignment="1">
      <alignment horizontal="center"/>
    </xf>
    <xf numFmtId="0" fontId="85" fillId="2" borderId="21" xfId="3" applyFont="1" applyFill="1" applyBorder="1" applyAlignment="1">
      <alignment horizontal="left" vertical="center"/>
    </xf>
    <xf numFmtId="0" fontId="84" fillId="2" borderId="1" xfId="3" applyFont="1" applyFill="1" applyBorder="1" applyAlignment="1">
      <alignment horizontal="left" vertical="center"/>
    </xf>
    <xf numFmtId="0" fontId="67" fillId="2" borderId="21" xfId="3" applyFont="1" applyFill="1" applyBorder="1" applyAlignment="1">
      <alignment horizontal="left"/>
    </xf>
    <xf numFmtId="0" fontId="66" fillId="2" borderId="1" xfId="3" applyFont="1" applyFill="1" applyBorder="1" applyAlignment="1">
      <alignment horizontal="left"/>
    </xf>
    <xf numFmtId="0" fontId="72" fillId="2" borderId="1" xfId="0" applyFont="1" applyFill="1" applyBorder="1"/>
    <xf numFmtId="0" fontId="74" fillId="2" borderId="1" xfId="0" applyFont="1" applyFill="1" applyBorder="1"/>
    <xf numFmtId="0" fontId="67" fillId="2" borderId="1" xfId="4" applyFont="1" applyFill="1" applyBorder="1" applyAlignment="1">
      <alignment vertical="center"/>
    </xf>
    <xf numFmtId="0" fontId="66" fillId="2" borderId="1" xfId="4" applyFont="1" applyFill="1" applyBorder="1" applyAlignment="1">
      <alignment vertical="center"/>
    </xf>
    <xf numFmtId="0" fontId="72" fillId="2" borderId="0" xfId="0" applyFont="1" applyFill="1"/>
    <xf numFmtId="0" fontId="74" fillId="2" borderId="0" xfId="0" applyFont="1" applyFill="1"/>
    <xf numFmtId="0" fontId="78" fillId="2" borderId="0" xfId="0" applyFont="1" applyFill="1"/>
    <xf numFmtId="0" fontId="73" fillId="2" borderId="0" xfId="0" applyFont="1" applyFill="1"/>
    <xf numFmtId="1" fontId="78" fillId="2" borderId="0" xfId="0" applyNumberFormat="1" applyFont="1" applyFill="1"/>
    <xf numFmtId="0" fontId="73" fillId="2" borderId="1" xfId="0" applyFont="1" applyFill="1" applyBorder="1" applyAlignment="1">
      <alignment horizontal="center"/>
    </xf>
    <xf numFmtId="1" fontId="65" fillId="0" borderId="1" xfId="0" applyNumberFormat="1" applyFont="1" applyFill="1" applyBorder="1"/>
    <xf numFmtId="0" fontId="65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100" fillId="0" borderId="0" xfId="0" applyFont="1"/>
    <xf numFmtId="166" fontId="101" fillId="9" borderId="21" xfId="3" applyNumberFormat="1" applyFont="1" applyFill="1" applyBorder="1" applyAlignment="1">
      <alignment horizontal="left"/>
    </xf>
    <xf numFmtId="0" fontId="101" fillId="9" borderId="1" xfId="3" applyFont="1" applyFill="1" applyBorder="1" applyAlignment="1">
      <alignment horizontal="center"/>
    </xf>
    <xf numFmtId="9" fontId="101" fillId="9" borderId="1" xfId="4" applyNumberFormat="1" applyFont="1" applyFill="1" applyBorder="1"/>
    <xf numFmtId="0" fontId="101" fillId="9" borderId="1" xfId="3" applyFont="1" applyFill="1" applyBorder="1" applyAlignment="1">
      <alignment horizontal="center" vertical="center"/>
    </xf>
    <xf numFmtId="1" fontId="101" fillId="9" borderId="15" xfId="3" applyNumberFormat="1" applyFont="1" applyFill="1" applyBorder="1" applyAlignment="1">
      <alignment horizontal="center" vertical="center"/>
    </xf>
    <xf numFmtId="9" fontId="101" fillId="9" borderId="21" xfId="3" applyNumberFormat="1" applyFont="1" applyFill="1" applyBorder="1" applyAlignment="1">
      <alignment horizontal="left"/>
    </xf>
    <xf numFmtId="0" fontId="101" fillId="9" borderId="1" xfId="3" applyFont="1" applyFill="1" applyBorder="1" applyAlignment="1">
      <alignment horizontal="left"/>
    </xf>
    <xf numFmtId="0" fontId="101" fillId="9" borderId="1" xfId="3" applyFont="1" applyFill="1" applyBorder="1" applyAlignment="1"/>
    <xf numFmtId="10" fontId="101" fillId="9" borderId="1" xfId="3" applyNumberFormat="1" applyFont="1" applyFill="1" applyBorder="1" applyAlignment="1">
      <alignment horizontal="center"/>
    </xf>
    <xf numFmtId="1" fontId="101" fillId="9" borderId="1" xfId="3" applyNumberFormat="1" applyFont="1" applyFill="1" applyBorder="1" applyAlignment="1">
      <alignment horizontal="center"/>
    </xf>
    <xf numFmtId="1" fontId="101" fillId="9" borderId="15" xfId="3" applyNumberFormat="1" applyFont="1" applyFill="1" applyBorder="1" applyAlignment="1">
      <alignment horizontal="center"/>
    </xf>
    <xf numFmtId="0" fontId="102" fillId="2" borderId="0" xfId="3" applyFont="1" applyFill="1" applyBorder="1" applyAlignment="1">
      <alignment horizontal="center" vertical="center"/>
    </xf>
    <xf numFmtId="0" fontId="100" fillId="0" borderId="0" xfId="0" applyFont="1" applyBorder="1"/>
    <xf numFmtId="0" fontId="101" fillId="9" borderId="21" xfId="3" applyFont="1" applyFill="1" applyBorder="1"/>
    <xf numFmtId="9" fontId="101" fillId="9" borderId="1" xfId="3" applyNumberFormat="1" applyFont="1" applyFill="1" applyBorder="1" applyAlignment="1">
      <alignment horizontal="left"/>
    </xf>
    <xf numFmtId="2" fontId="101" fillId="9" borderId="1" xfId="3" applyNumberFormat="1" applyFont="1" applyFill="1" applyBorder="1" applyAlignment="1">
      <alignment horizontal="center"/>
    </xf>
    <xf numFmtId="9" fontId="101" fillId="9" borderId="1" xfId="3" applyNumberFormat="1" applyFont="1" applyFill="1" applyBorder="1" applyAlignment="1">
      <alignment horizontal="center"/>
    </xf>
    <xf numFmtId="164" fontId="102" fillId="2" borderId="0" xfId="3" applyNumberFormat="1" applyFont="1" applyFill="1" applyBorder="1" applyAlignment="1">
      <alignment horizontal="center"/>
    </xf>
    <xf numFmtId="0" fontId="101" fillId="8" borderId="21" xfId="3" applyFont="1" applyFill="1" applyBorder="1" applyAlignment="1">
      <alignment horizontal="center" vertical="center"/>
    </xf>
    <xf numFmtId="0" fontId="101" fillId="8" borderId="1" xfId="3" applyFont="1" applyFill="1" applyBorder="1" applyAlignment="1">
      <alignment horizontal="center" vertical="center"/>
    </xf>
    <xf numFmtId="2" fontId="101" fillId="2" borderId="1" xfId="3" applyNumberFormat="1" applyFont="1" applyFill="1" applyBorder="1" applyAlignment="1">
      <alignment horizontal="center" vertical="center"/>
    </xf>
    <xf numFmtId="164" fontId="101" fillId="8" borderId="1" xfId="3" applyNumberFormat="1" applyFont="1" applyFill="1" applyBorder="1" applyAlignment="1">
      <alignment horizontal="center" wrapText="1" shrinkToFit="1"/>
    </xf>
    <xf numFmtId="2" fontId="101" fillId="8" borderId="1" xfId="3" applyNumberFormat="1" applyFont="1" applyFill="1" applyBorder="1" applyAlignment="1">
      <alignment horizontal="center" vertical="center"/>
    </xf>
    <xf numFmtId="1" fontId="101" fillId="8" borderId="1" xfId="3" applyNumberFormat="1" applyFont="1" applyFill="1" applyBorder="1" applyAlignment="1">
      <alignment horizontal="center" vertical="center"/>
    </xf>
    <xf numFmtId="164" fontId="101" fillId="8" borderId="15" xfId="3" applyNumberFormat="1" applyFont="1" applyFill="1" applyBorder="1" applyAlignment="1">
      <alignment horizontal="center" wrapText="1" shrinkToFit="1"/>
    </xf>
    <xf numFmtId="164" fontId="103" fillId="2" borderId="0" xfId="3" applyNumberFormat="1" applyFont="1" applyFill="1" applyBorder="1" applyAlignment="1">
      <alignment horizontal="center" vertical="center" wrapText="1" shrinkToFit="1"/>
    </xf>
    <xf numFmtId="0" fontId="101" fillId="15" borderId="1" xfId="3" applyFont="1" applyFill="1" applyBorder="1" applyAlignment="1">
      <alignment horizontal="center" vertical="center"/>
    </xf>
    <xf numFmtId="0" fontId="101" fillId="15" borderId="1" xfId="3" applyFont="1" applyFill="1" applyBorder="1" applyAlignment="1">
      <alignment horizontal="center"/>
    </xf>
    <xf numFmtId="0" fontId="101" fillId="15" borderId="15" xfId="3" applyFont="1" applyFill="1" applyBorder="1" applyAlignment="1">
      <alignment horizontal="center"/>
    </xf>
    <xf numFmtId="0" fontId="103" fillId="2" borderId="0" xfId="3" applyFont="1" applyFill="1" applyBorder="1" applyAlignment="1">
      <alignment horizontal="center" vertical="center"/>
    </xf>
    <xf numFmtId="0" fontId="101" fillId="8" borderId="21" xfId="3" applyFont="1" applyFill="1" applyBorder="1" applyAlignment="1">
      <alignment horizontal="left" vertical="center"/>
    </xf>
    <xf numFmtId="0" fontId="101" fillId="8" borderId="1" xfId="3" applyFont="1" applyFill="1" applyBorder="1" applyAlignment="1">
      <alignment horizontal="left" vertical="center"/>
    </xf>
    <xf numFmtId="0" fontId="101" fillId="8" borderId="1" xfId="3" applyFont="1" applyFill="1" applyBorder="1" applyAlignment="1">
      <alignment horizontal="center"/>
    </xf>
    <xf numFmtId="2" fontId="101" fillId="8" borderId="1" xfId="3" applyNumberFormat="1" applyFont="1" applyFill="1" applyBorder="1" applyAlignment="1">
      <alignment horizontal="center"/>
    </xf>
    <xf numFmtId="1" fontId="101" fillId="2" borderId="1" xfId="5" applyNumberFormat="1" applyFont="1" applyFill="1" applyBorder="1" applyAlignment="1">
      <alignment horizontal="center" vertical="center"/>
    </xf>
    <xf numFmtId="1" fontId="101" fillId="8" borderId="1" xfId="3" applyNumberFormat="1" applyFont="1" applyFill="1" applyBorder="1" applyAlignment="1">
      <alignment horizontal="center"/>
    </xf>
    <xf numFmtId="0" fontId="101" fillId="2" borderId="1" xfId="3" applyNumberFormat="1" applyFont="1" applyFill="1" applyBorder="1" applyAlignment="1">
      <alignment horizontal="center"/>
    </xf>
    <xf numFmtId="1" fontId="101" fillId="8" borderId="15" xfId="5" applyNumberFormat="1" applyFont="1" applyFill="1" applyBorder="1" applyAlignment="1" applyProtection="1">
      <alignment horizontal="center"/>
    </xf>
    <xf numFmtId="2" fontId="105" fillId="8" borderId="11" xfId="3" applyNumberFormat="1" applyFont="1" applyFill="1" applyBorder="1" applyAlignment="1">
      <alignment horizontal="center"/>
    </xf>
    <xf numFmtId="1" fontId="100" fillId="0" borderId="0" xfId="0" applyNumberFormat="1" applyFont="1"/>
    <xf numFmtId="0" fontId="101" fillId="8" borderId="28" xfId="3" applyFont="1" applyFill="1" applyBorder="1" applyAlignment="1">
      <alignment horizontal="left" vertical="center"/>
    </xf>
    <xf numFmtId="0" fontId="101" fillId="8" borderId="5" xfId="3" applyFont="1" applyFill="1" applyBorder="1" applyAlignment="1">
      <alignment horizontal="left" vertical="center"/>
    </xf>
    <xf numFmtId="0" fontId="101" fillId="8" borderId="13" xfId="3" applyFont="1" applyFill="1" applyBorder="1" applyAlignment="1">
      <alignment horizontal="left" vertical="center"/>
    </xf>
    <xf numFmtId="0" fontId="101" fillId="8" borderId="8" xfId="3" applyFont="1" applyFill="1" applyBorder="1" applyAlignment="1">
      <alignment horizontal="center"/>
    </xf>
    <xf numFmtId="2" fontId="101" fillId="8" borderId="8" xfId="3" applyNumberFormat="1" applyFont="1" applyFill="1" applyBorder="1" applyAlignment="1">
      <alignment horizontal="center"/>
    </xf>
    <xf numFmtId="1" fontId="101" fillId="2" borderId="7" xfId="5" applyNumberFormat="1" applyFont="1" applyFill="1" applyBorder="1" applyAlignment="1">
      <alignment horizontal="center" vertical="center"/>
    </xf>
    <xf numFmtId="1" fontId="101" fillId="2" borderId="8" xfId="3" applyNumberFormat="1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2" fontId="100" fillId="0" borderId="0" xfId="0" applyNumberFormat="1" applyFont="1"/>
    <xf numFmtId="167" fontId="101" fillId="8" borderId="21" xfId="3" applyNumberFormat="1" applyFont="1" applyFill="1" applyBorder="1" applyAlignment="1">
      <alignment vertical="center"/>
    </xf>
    <xf numFmtId="167" fontId="101" fillId="8" borderId="1" xfId="3" applyNumberFormat="1" applyFont="1" applyFill="1" applyBorder="1" applyAlignment="1">
      <alignment vertical="center"/>
    </xf>
    <xf numFmtId="0" fontId="101" fillId="0" borderId="1" xfId="4" applyFont="1" applyBorder="1" applyAlignment="1">
      <alignment horizontal="center"/>
    </xf>
    <xf numFmtId="1" fontId="101" fillId="12" borderId="1" xfId="3" applyNumberFormat="1" applyFont="1" applyFill="1" applyBorder="1" applyAlignment="1">
      <alignment horizontal="center"/>
    </xf>
    <xf numFmtId="1" fontId="103" fillId="2" borderId="0" xfId="5" applyNumberFormat="1" applyFont="1" applyFill="1" applyBorder="1" applyAlignment="1" applyProtection="1">
      <alignment horizontal="center"/>
    </xf>
    <xf numFmtId="2" fontId="101" fillId="8" borderId="1" xfId="3" applyNumberFormat="1" applyFont="1" applyFill="1" applyBorder="1" applyAlignment="1">
      <alignment horizontal="right"/>
    </xf>
    <xf numFmtId="0" fontId="101" fillId="16" borderId="21" xfId="3" applyFont="1" applyFill="1" applyBorder="1" applyAlignment="1">
      <alignment horizontal="center"/>
    </xf>
    <xf numFmtId="0" fontId="101" fillId="16" borderId="1" xfId="3" applyFont="1" applyFill="1" applyBorder="1" applyAlignment="1">
      <alignment horizontal="center"/>
    </xf>
    <xf numFmtId="1" fontId="101" fillId="8" borderId="1" xfId="5" applyNumberFormat="1" applyFont="1" applyFill="1" applyBorder="1" applyAlignment="1">
      <alignment horizontal="center" vertical="center"/>
    </xf>
    <xf numFmtId="2" fontId="101" fillId="2" borderId="1" xfId="3" applyNumberFormat="1" applyFont="1" applyFill="1" applyBorder="1" applyAlignment="1">
      <alignment horizontal="center"/>
    </xf>
    <xf numFmtId="0" fontId="106" fillId="15" borderId="1" xfId="3" applyFont="1" applyFill="1" applyBorder="1" applyAlignment="1">
      <alignment horizontal="center"/>
    </xf>
    <xf numFmtId="0" fontId="103" fillId="2" borderId="0" xfId="3" applyFont="1" applyFill="1" applyBorder="1" applyAlignment="1">
      <alignment horizontal="center"/>
    </xf>
    <xf numFmtId="0" fontId="101" fillId="8" borderId="21" xfId="3" applyFont="1" applyFill="1" applyBorder="1" applyAlignment="1">
      <alignment horizontal="left"/>
    </xf>
    <xf numFmtId="0" fontId="101" fillId="8" borderId="1" xfId="3" applyFont="1" applyFill="1" applyBorder="1" applyAlignment="1">
      <alignment horizontal="left"/>
    </xf>
    <xf numFmtId="0" fontId="107" fillId="0" borderId="1" xfId="4" applyFont="1" applyBorder="1" applyAlignment="1">
      <alignment horizontal="center"/>
    </xf>
    <xf numFmtId="0" fontId="101" fillId="2" borderId="21" xfId="3" applyFont="1" applyFill="1" applyBorder="1" applyAlignment="1">
      <alignment horizontal="left" vertical="center"/>
    </xf>
    <xf numFmtId="0" fontId="101" fillId="2" borderId="1" xfId="3" applyFont="1" applyFill="1" applyBorder="1" applyAlignment="1">
      <alignment horizontal="left" vertical="center"/>
    </xf>
    <xf numFmtId="0" fontId="101" fillId="2" borderId="1" xfId="3" applyFont="1" applyFill="1" applyBorder="1" applyAlignment="1">
      <alignment horizontal="center"/>
    </xf>
    <xf numFmtId="0" fontId="101" fillId="2" borderId="1" xfId="4" applyFont="1" applyFill="1" applyBorder="1" applyAlignment="1">
      <alignment horizontal="center"/>
    </xf>
    <xf numFmtId="1" fontId="101" fillId="2" borderId="1" xfId="3" applyNumberFormat="1" applyFont="1" applyFill="1" applyBorder="1" applyAlignment="1">
      <alignment horizontal="center"/>
    </xf>
    <xf numFmtId="2" fontId="101" fillId="12" borderId="1" xfId="3" applyNumberFormat="1" applyFont="1" applyFill="1" applyBorder="1" applyAlignment="1">
      <alignment horizontal="center"/>
    </xf>
    <xf numFmtId="1" fontId="101" fillId="2" borderId="15" xfId="5" applyNumberFormat="1" applyFont="1" applyFill="1" applyBorder="1" applyAlignment="1" applyProtection="1">
      <alignment horizontal="center"/>
    </xf>
    <xf numFmtId="1" fontId="106" fillId="15" borderId="1" xfId="3" applyNumberFormat="1" applyFont="1" applyFill="1" applyBorder="1" applyAlignment="1">
      <alignment horizontal="center"/>
    </xf>
    <xf numFmtId="0" fontId="101" fillId="0" borderId="1" xfId="4" applyFont="1" applyBorder="1"/>
    <xf numFmtId="0" fontId="108" fillId="8" borderId="1" xfId="3" applyFont="1" applyFill="1" applyBorder="1" applyAlignment="1">
      <alignment horizontal="center"/>
    </xf>
    <xf numFmtId="164" fontId="108" fillId="8" borderId="1" xfId="5" applyNumberFormat="1" applyFont="1" applyFill="1" applyBorder="1" applyAlignment="1">
      <alignment horizontal="center" vertical="center"/>
    </xf>
    <xf numFmtId="1" fontId="101" fillId="12" borderId="1" xfId="5" applyNumberFormat="1" applyFont="1" applyFill="1" applyBorder="1" applyAlignment="1" applyProtection="1">
      <alignment horizontal="center"/>
    </xf>
    <xf numFmtId="0" fontId="101" fillId="16" borderId="21" xfId="3" applyFont="1" applyFill="1" applyBorder="1" applyAlignment="1">
      <alignment horizontal="center" vertical="center"/>
    </xf>
    <xf numFmtId="0" fontId="101" fillId="16" borderId="1" xfId="3" applyFont="1" applyFill="1" applyBorder="1" applyAlignment="1">
      <alignment horizontal="center" vertical="center"/>
    </xf>
    <xf numFmtId="0" fontId="108" fillId="2" borderId="1" xfId="4" applyFont="1" applyFill="1" applyBorder="1" applyAlignment="1">
      <alignment horizontal="center"/>
    </xf>
    <xf numFmtId="0" fontId="106" fillId="15" borderId="1" xfId="3" applyFont="1" applyFill="1" applyBorder="1" applyAlignment="1">
      <alignment horizontal="center" vertical="center"/>
    </xf>
    <xf numFmtId="1" fontId="101" fillId="15" borderId="1" xfId="3" applyNumberFormat="1" applyFont="1" applyFill="1" applyBorder="1" applyAlignment="1">
      <alignment horizontal="center" vertical="center"/>
    </xf>
    <xf numFmtId="0" fontId="109" fillId="15" borderId="1" xfId="3" applyFont="1" applyFill="1" applyBorder="1" applyAlignment="1">
      <alignment horizontal="center" vertical="center"/>
    </xf>
    <xf numFmtId="1" fontId="101" fillId="15" borderId="15" xfId="3" applyNumberFormat="1" applyFont="1" applyFill="1" applyBorder="1" applyAlignment="1">
      <alignment horizontal="center" vertical="center"/>
    </xf>
    <xf numFmtId="0" fontId="110" fillId="0" borderId="0" xfId="0" applyFont="1" applyBorder="1"/>
    <xf numFmtId="0" fontId="110" fillId="0" borderId="0" xfId="0" applyFont="1"/>
    <xf numFmtId="0" fontId="111" fillId="2" borderId="16" xfId="3" applyFont="1" applyFill="1" applyBorder="1" applyAlignment="1">
      <alignment horizontal="center"/>
    </xf>
    <xf numFmtId="0" fontId="111" fillId="2" borderId="3" xfId="3" applyFont="1" applyFill="1" applyBorder="1" applyAlignment="1">
      <alignment horizontal="center"/>
    </xf>
    <xf numFmtId="0" fontId="111" fillId="2" borderId="4" xfId="3" applyFont="1" applyFill="1" applyBorder="1" applyAlignment="1">
      <alignment horizontal="center"/>
    </xf>
    <xf numFmtId="44" fontId="111" fillId="8" borderId="1" xfId="8" applyFont="1" applyFill="1" applyBorder="1" applyAlignment="1">
      <alignment horizontal="center"/>
    </xf>
    <xf numFmtId="2" fontId="111" fillId="8" borderId="1" xfId="3" applyNumberFormat="1" applyFont="1" applyFill="1" applyBorder="1" applyAlignment="1">
      <alignment horizontal="center"/>
    </xf>
    <xf numFmtId="164" fontId="106" fillId="8" borderId="1" xfId="3" applyNumberFormat="1" applyFont="1" applyFill="1" applyBorder="1" applyAlignment="1">
      <alignment horizontal="center"/>
    </xf>
    <xf numFmtId="1" fontId="109" fillId="8" borderId="1" xfId="3" applyNumberFormat="1" applyFont="1" applyFill="1" applyBorder="1" applyAlignment="1">
      <alignment horizontal="center"/>
    </xf>
    <xf numFmtId="0" fontId="111" fillId="8" borderId="1" xfId="3" applyFont="1" applyFill="1" applyBorder="1" applyAlignment="1">
      <alignment horizontal="center"/>
    </xf>
    <xf numFmtId="1" fontId="111" fillId="8" borderId="1" xfId="5" applyNumberFormat="1" applyFont="1" applyFill="1" applyBorder="1" applyAlignment="1">
      <alignment horizontal="center" vertical="center"/>
    </xf>
    <xf numFmtId="168" fontId="106" fillId="8" borderId="1" xfId="5" applyNumberFormat="1" applyFont="1" applyFill="1" applyBorder="1" applyAlignment="1" applyProtection="1">
      <alignment horizontal="center" vertical="center"/>
    </xf>
    <xf numFmtId="164" fontId="109" fillId="8" borderId="1" xfId="5" applyNumberFormat="1" applyFont="1" applyFill="1" applyBorder="1" applyAlignment="1" applyProtection="1">
      <alignment horizontal="center"/>
    </xf>
    <xf numFmtId="2" fontId="109" fillId="8" borderId="1" xfId="3" applyNumberFormat="1" applyFont="1" applyFill="1" applyBorder="1" applyAlignment="1">
      <alignment horizontal="right"/>
    </xf>
    <xf numFmtId="0" fontId="111" fillId="16" borderId="16" xfId="3" applyFont="1" applyFill="1" applyBorder="1" applyAlignment="1">
      <alignment horizontal="center"/>
    </xf>
    <xf numFmtId="0" fontId="111" fillId="16" borderId="3" xfId="3" applyFont="1" applyFill="1" applyBorder="1" applyAlignment="1">
      <alignment horizontal="center"/>
    </xf>
    <xf numFmtId="0" fontId="111" fillId="16" borderId="4" xfId="3" applyFont="1" applyFill="1" applyBorder="1" applyAlignment="1">
      <alignment horizontal="center"/>
    </xf>
    <xf numFmtId="0" fontId="108" fillId="2" borderId="1" xfId="3" applyFont="1" applyFill="1" applyBorder="1" applyAlignment="1">
      <alignment horizontal="center"/>
    </xf>
    <xf numFmtId="169" fontId="108" fillId="8" borderId="1" xfId="5" applyNumberFormat="1" applyFont="1" applyFill="1" applyBorder="1" applyAlignment="1" applyProtection="1">
      <alignment horizontal="center" vertical="center"/>
    </xf>
    <xf numFmtId="1" fontId="108" fillId="2" borderId="1" xfId="3" applyNumberFormat="1" applyFont="1" applyFill="1" applyBorder="1" applyAlignment="1">
      <alignment horizontal="center" vertical="top"/>
    </xf>
    <xf numFmtId="0" fontId="101" fillId="15" borderId="21" xfId="3" applyFont="1" applyFill="1" applyBorder="1" applyAlignment="1">
      <alignment horizontal="left"/>
    </xf>
    <xf numFmtId="0" fontId="101" fillId="15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 vertical="center"/>
    </xf>
    <xf numFmtId="2" fontId="101" fillId="8" borderId="21" xfId="3" applyNumberFormat="1" applyFont="1" applyFill="1" applyBorder="1" applyAlignment="1">
      <alignment horizontal="left" vertical="center"/>
    </xf>
    <xf numFmtId="2" fontId="101" fillId="8" borderId="1" xfId="3" applyNumberFormat="1" applyFont="1" applyFill="1" applyBorder="1" applyAlignment="1">
      <alignment horizontal="left" vertical="center"/>
    </xf>
    <xf numFmtId="0" fontId="101" fillId="8" borderId="1" xfId="3" applyFont="1" applyFill="1" applyBorder="1" applyAlignment="1">
      <alignment horizontal="left" vertical="justify"/>
    </xf>
    <xf numFmtId="0" fontId="101" fillId="15" borderId="21" xfId="3" applyFont="1" applyFill="1" applyBorder="1" applyAlignment="1"/>
    <xf numFmtId="0" fontId="101" fillId="15" borderId="1" xfId="3" applyFont="1" applyFill="1" applyBorder="1" applyAlignment="1"/>
    <xf numFmtId="0" fontId="101" fillId="15" borderId="1" xfId="3" applyFont="1" applyFill="1" applyBorder="1" applyAlignment="1">
      <alignment vertical="center"/>
    </xf>
    <xf numFmtId="0" fontId="101" fillId="15" borderId="15" xfId="3" applyFont="1" applyFill="1" applyBorder="1" applyAlignment="1"/>
    <xf numFmtId="0" fontId="101" fillId="0" borderId="21" xfId="4" applyFont="1" applyBorder="1" applyAlignment="1">
      <alignment vertical="center"/>
    </xf>
    <xf numFmtId="0" fontId="101" fillId="0" borderId="1" xfId="4" applyFont="1" applyBorder="1" applyAlignment="1">
      <alignment vertical="center"/>
    </xf>
    <xf numFmtId="1" fontId="101" fillId="2" borderId="1" xfId="3" applyNumberFormat="1" applyFont="1" applyFill="1" applyBorder="1" applyAlignment="1">
      <alignment horizontal="center" vertical="center"/>
    </xf>
    <xf numFmtId="164" fontId="101" fillId="2" borderId="1" xfId="5" applyNumberFormat="1" applyFont="1" applyFill="1" applyBorder="1" applyAlignment="1" applyProtection="1">
      <alignment horizontal="center" vertical="center"/>
    </xf>
    <xf numFmtId="164" fontId="101" fillId="8" borderId="1" xfId="5" applyNumberFormat="1" applyFont="1" applyFill="1" applyBorder="1" applyAlignment="1" applyProtection="1">
      <alignment horizontal="center" vertical="top"/>
    </xf>
    <xf numFmtId="2" fontId="103" fillId="2" borderId="0" xfId="5" applyNumberFormat="1" applyFont="1" applyFill="1" applyBorder="1" applyAlignment="1" applyProtection="1">
      <alignment horizontal="center"/>
    </xf>
    <xf numFmtId="165" fontId="103" fillId="2" borderId="0" xfId="6" applyNumberFormat="1" applyFont="1" applyFill="1" applyBorder="1" applyAlignment="1">
      <alignment horizontal="center"/>
    </xf>
    <xf numFmtId="0" fontId="101" fillId="2" borderId="1" xfId="4" applyFont="1" applyFill="1" applyBorder="1" applyAlignment="1"/>
    <xf numFmtId="0" fontId="101" fillId="2" borderId="15" xfId="4" applyFont="1" applyFill="1" applyBorder="1" applyAlignment="1"/>
    <xf numFmtId="0" fontId="107" fillId="2" borderId="1" xfId="4" applyFont="1" applyFill="1" applyBorder="1" applyAlignment="1">
      <alignment horizontal="center" wrapText="1"/>
    </xf>
    <xf numFmtId="0" fontId="107" fillId="0" borderId="1" xfId="4" applyFont="1" applyFill="1" applyBorder="1" applyAlignment="1">
      <alignment horizontal="center" wrapText="1"/>
    </xf>
    <xf numFmtId="0" fontId="107" fillId="0" borderId="1" xfId="4" applyFont="1" applyBorder="1" applyAlignment="1">
      <alignment horizontal="center" wrapText="1"/>
    </xf>
    <xf numFmtId="0" fontId="101" fillId="0" borderId="21" xfId="4" applyFont="1" applyBorder="1" applyAlignment="1">
      <alignment horizontal="left"/>
    </xf>
    <xf numFmtId="0" fontId="107" fillId="2" borderId="1" xfId="4" applyFont="1" applyFill="1" applyBorder="1" applyAlignment="1">
      <alignment horizontal="center"/>
    </xf>
    <xf numFmtId="0" fontId="101" fillId="2" borderId="1" xfId="3" applyFont="1" applyFill="1" applyBorder="1" applyAlignment="1">
      <alignment horizontal="center" vertical="center"/>
    </xf>
    <xf numFmtId="0" fontId="107" fillId="0" borderId="21" xfId="4" applyFont="1" applyBorder="1" applyAlignment="1">
      <alignment horizontal="left"/>
    </xf>
    <xf numFmtId="0" fontId="107" fillId="0" borderId="1" xfId="4" applyFont="1" applyBorder="1" applyAlignment="1">
      <alignment horizontal="left"/>
    </xf>
    <xf numFmtId="0" fontId="101" fillId="0" borderId="1" xfId="3" applyFont="1" applyFill="1" applyBorder="1" applyAlignment="1">
      <alignment horizontal="center"/>
    </xf>
    <xf numFmtId="164" fontId="103" fillId="2" borderId="0" xfId="5" applyNumberFormat="1" applyFont="1" applyFill="1" applyBorder="1" applyAlignment="1" applyProtection="1">
      <alignment horizontal="center"/>
    </xf>
    <xf numFmtId="0" fontId="109" fillId="16" borderId="21" xfId="4" applyFont="1" applyFill="1" applyBorder="1"/>
    <xf numFmtId="0" fontId="109" fillId="16" borderId="1" xfId="0" applyFont="1" applyFill="1" applyBorder="1"/>
    <xf numFmtId="0" fontId="105" fillId="0" borderId="0" xfId="0" applyFont="1" applyBorder="1"/>
    <xf numFmtId="0" fontId="105" fillId="0" borderId="0" xfId="0" applyFont="1"/>
    <xf numFmtId="0" fontId="109" fillId="0" borderId="21" xfId="4" applyFont="1" applyFill="1" applyBorder="1"/>
    <xf numFmtId="0" fontId="109" fillId="0" borderId="1" xfId="0" applyFont="1" applyFill="1" applyBorder="1"/>
    <xf numFmtId="0" fontId="101" fillId="0" borderId="1" xfId="4" applyFont="1" applyFill="1" applyBorder="1"/>
    <xf numFmtId="0" fontId="106" fillId="0" borderId="1" xfId="3" applyFont="1" applyFill="1" applyBorder="1" applyAlignment="1">
      <alignment horizontal="center"/>
    </xf>
    <xf numFmtId="1" fontId="101" fillId="0" borderId="1" xfId="3" applyNumberFormat="1" applyFont="1" applyFill="1" applyBorder="1" applyAlignment="1">
      <alignment horizontal="center"/>
    </xf>
    <xf numFmtId="1" fontId="101" fillId="0" borderId="1" xfId="5" applyNumberFormat="1" applyFont="1" applyFill="1" applyBorder="1" applyAlignment="1">
      <alignment horizontal="center" vertical="center"/>
    </xf>
    <xf numFmtId="1" fontId="101" fillId="0" borderId="15" xfId="5" applyNumberFormat="1" applyFont="1" applyFill="1" applyBorder="1" applyAlignment="1" applyProtection="1">
      <alignment horizontal="center"/>
    </xf>
    <xf numFmtId="164" fontId="103" fillId="0" borderId="0" xfId="5" applyNumberFormat="1" applyFont="1" applyFill="1" applyBorder="1" applyAlignment="1" applyProtection="1">
      <alignment horizontal="center"/>
    </xf>
    <xf numFmtId="0" fontId="105" fillId="0" borderId="0" xfId="0" applyFont="1" applyFill="1" applyBorder="1"/>
    <xf numFmtId="0" fontId="105" fillId="0" borderId="0" xfId="0" applyFont="1" applyFill="1"/>
    <xf numFmtId="0" fontId="101" fillId="15" borderId="21" xfId="3" applyFont="1" applyFill="1" applyBorder="1" applyAlignment="1">
      <alignment horizontal="center"/>
    </xf>
    <xf numFmtId="164" fontId="103" fillId="2" borderId="0" xfId="3" applyNumberFormat="1" applyFont="1" applyFill="1" applyBorder="1" applyAlignment="1">
      <alignment horizontal="center"/>
    </xf>
    <xf numFmtId="1" fontId="106" fillId="2" borderId="1" xfId="3" applyNumberFormat="1" applyFont="1" applyFill="1" applyBorder="1" applyAlignment="1">
      <alignment horizontal="center"/>
    </xf>
    <xf numFmtId="43" fontId="101" fillId="8" borderId="1" xfId="7" applyFont="1" applyFill="1" applyBorder="1" applyAlignment="1">
      <alignment horizontal="right" wrapText="1"/>
    </xf>
    <xf numFmtId="0" fontId="101" fillId="10" borderId="33" xfId="3" applyFont="1" applyFill="1" applyBorder="1" applyAlignment="1">
      <alignment horizontal="center" vertical="center"/>
    </xf>
    <xf numFmtId="0" fontId="101" fillId="10" borderId="0" xfId="3" applyFont="1" applyFill="1" applyBorder="1" applyAlignment="1">
      <alignment horizontal="center" vertical="center"/>
    </xf>
    <xf numFmtId="0" fontId="101" fillId="10" borderId="32" xfId="3" applyFont="1" applyFill="1" applyBorder="1" applyAlignment="1">
      <alignment horizontal="center" vertical="center"/>
    </xf>
    <xf numFmtId="2" fontId="101" fillId="10" borderId="25" xfId="3" applyNumberFormat="1" applyFont="1" applyFill="1" applyBorder="1" applyAlignment="1">
      <alignment horizontal="center" vertical="center"/>
    </xf>
    <xf numFmtId="0" fontId="107" fillId="10" borderId="25" xfId="4" applyFont="1" applyFill="1" applyBorder="1" applyAlignment="1">
      <alignment horizontal="center" vertical="center"/>
    </xf>
    <xf numFmtId="1" fontId="101" fillId="10" borderId="25" xfId="5" applyNumberFormat="1" applyFont="1" applyFill="1" applyBorder="1" applyAlignment="1">
      <alignment horizontal="center" vertical="center"/>
    </xf>
    <xf numFmtId="1" fontId="101" fillId="10" borderId="25" xfId="3" applyNumberFormat="1" applyFont="1" applyFill="1" applyBorder="1" applyAlignment="1">
      <alignment horizontal="center" vertical="center"/>
    </xf>
    <xf numFmtId="0" fontId="106" fillId="10" borderId="0" xfId="0" applyFont="1" applyFill="1" applyBorder="1" applyAlignment="1">
      <alignment horizontal="center" vertical="center"/>
    </xf>
    <xf numFmtId="1" fontId="101" fillId="10" borderId="31" xfId="5" applyNumberFormat="1" applyFont="1" applyFill="1" applyBorder="1" applyAlignment="1" applyProtection="1">
      <alignment horizontal="center" vertical="center"/>
    </xf>
    <xf numFmtId="0" fontId="106" fillId="0" borderId="0" xfId="0" applyFont="1" applyBorder="1"/>
    <xf numFmtId="0" fontId="106" fillId="0" borderId="4" xfId="0" applyFont="1" applyBorder="1" applyAlignment="1">
      <alignment horizontal="center"/>
    </xf>
    <xf numFmtId="0" fontId="106" fillId="0" borderId="1" xfId="0" applyFont="1" applyBorder="1" applyAlignment="1">
      <alignment horizontal="center"/>
    </xf>
    <xf numFmtId="1" fontId="106" fillId="0" borderId="1" xfId="0" applyNumberFormat="1" applyFont="1" applyBorder="1" applyAlignment="1">
      <alignment horizontal="center"/>
    </xf>
    <xf numFmtId="1" fontId="106" fillId="0" borderId="15" xfId="0" applyNumberFormat="1" applyFont="1" applyBorder="1" applyAlignment="1">
      <alignment horizontal="center"/>
    </xf>
    <xf numFmtId="0" fontId="106" fillId="0" borderId="1" xfId="0" applyFont="1" applyBorder="1" applyAlignment="1">
      <alignment horizontal="left"/>
    </xf>
    <xf numFmtId="0" fontId="106" fillId="0" borderId="1" xfId="0" applyFont="1" applyFill="1" applyBorder="1" applyAlignment="1">
      <alignment horizontal="center"/>
    </xf>
    <xf numFmtId="0" fontId="95" fillId="0" borderId="1" xfId="0" applyFont="1" applyFill="1" applyBorder="1" applyAlignment="1">
      <alignment horizontal="left"/>
    </xf>
    <xf numFmtId="0" fontId="95" fillId="0" borderId="4" xfId="0" applyFont="1" applyFill="1" applyBorder="1"/>
    <xf numFmtId="0" fontId="110" fillId="0" borderId="0" xfId="0" applyFont="1" applyFill="1"/>
    <xf numFmtId="0" fontId="106" fillId="0" borderId="1" xfId="0" applyFont="1" applyFill="1" applyBorder="1" applyAlignment="1">
      <alignment horizontal="left"/>
    </xf>
    <xf numFmtId="0" fontId="106" fillId="0" borderId="4" xfId="0" applyFont="1" applyFill="1" applyBorder="1" applyAlignment="1">
      <alignment horizontal="center"/>
    </xf>
    <xf numFmtId="0" fontId="106" fillId="0" borderId="1" xfId="0" applyFont="1" applyFill="1" applyBorder="1"/>
    <xf numFmtId="1" fontId="106" fillId="0" borderId="1" xfId="0" applyNumberFormat="1" applyFont="1" applyFill="1" applyBorder="1" applyAlignment="1">
      <alignment horizontal="center"/>
    </xf>
    <xf numFmtId="1" fontId="106" fillId="0" borderId="15" xfId="0" applyNumberFormat="1" applyFont="1" applyFill="1" applyBorder="1" applyAlignment="1">
      <alignment horizontal="center"/>
    </xf>
    <xf numFmtId="1" fontId="106" fillId="0" borderId="0" xfId="0" applyNumberFormat="1" applyFont="1" applyBorder="1" applyAlignment="1">
      <alignment horizontal="center"/>
    </xf>
    <xf numFmtId="1" fontId="106" fillId="0" borderId="35" xfId="0" applyNumberFormat="1" applyFont="1" applyBorder="1"/>
    <xf numFmtId="0" fontId="106" fillId="15" borderId="15" xfId="3" applyFont="1" applyFill="1" applyBorder="1" applyAlignment="1">
      <alignment horizontal="center"/>
    </xf>
    <xf numFmtId="0" fontId="101" fillId="12" borderId="1" xfId="4" applyFont="1" applyFill="1" applyBorder="1" applyAlignment="1">
      <alignment horizontal="center"/>
    </xf>
    <xf numFmtId="0" fontId="101" fillId="0" borderId="21" xfId="4" applyFont="1" applyBorder="1"/>
    <xf numFmtId="0" fontId="101" fillId="15" borderId="21" xfId="3" applyFont="1" applyFill="1" applyBorder="1" applyAlignment="1">
      <alignment horizontal="center" vertical="center"/>
    </xf>
    <xf numFmtId="1" fontId="101" fillId="15" borderId="1" xfId="5" applyNumberFormat="1" applyFont="1" applyFill="1" applyBorder="1" applyAlignment="1">
      <alignment horizontal="center"/>
    </xf>
    <xf numFmtId="1" fontId="101" fillId="15" borderId="15" xfId="5" applyNumberFormat="1" applyFont="1" applyFill="1" applyBorder="1" applyAlignment="1">
      <alignment horizontal="center"/>
    </xf>
    <xf numFmtId="0" fontId="107" fillId="0" borderId="1" xfId="4" applyFont="1" applyFill="1" applyBorder="1" applyAlignment="1">
      <alignment horizontal="center"/>
    </xf>
    <xf numFmtId="0" fontId="106" fillId="0" borderId="1" xfId="0" applyFont="1" applyBorder="1"/>
    <xf numFmtId="9" fontId="101" fillId="8" borderId="1" xfId="6" applyNumberFormat="1" applyFont="1" applyFill="1" applyBorder="1" applyAlignment="1">
      <alignment horizontal="center"/>
    </xf>
    <xf numFmtId="165" fontId="101" fillId="0" borderId="1" xfId="6" applyNumberFormat="1" applyFont="1" applyFill="1" applyBorder="1" applyAlignment="1"/>
    <xf numFmtId="1" fontId="101" fillId="8" borderId="1" xfId="5" applyNumberFormat="1" applyFont="1" applyFill="1" applyBorder="1" applyAlignment="1">
      <alignment horizontal="right"/>
    </xf>
    <xf numFmtId="0" fontId="113" fillId="0" borderId="0" xfId="4" applyFont="1"/>
    <xf numFmtId="0" fontId="101" fillId="8" borderId="7" xfId="3" applyFont="1" applyFill="1" applyBorder="1" applyAlignment="1">
      <alignment horizontal="center"/>
    </xf>
    <xf numFmtId="2" fontId="101" fillId="8" borderId="7" xfId="3" applyNumberFormat="1" applyFont="1" applyFill="1" applyBorder="1" applyAlignment="1">
      <alignment horizontal="center"/>
    </xf>
    <xf numFmtId="9" fontId="101" fillId="8" borderId="7" xfId="6" applyNumberFormat="1" applyFont="1" applyFill="1" applyBorder="1" applyAlignment="1">
      <alignment horizontal="center"/>
    </xf>
    <xf numFmtId="2" fontId="101" fillId="8" borderId="7" xfId="3" applyNumberFormat="1" applyFont="1" applyFill="1" applyBorder="1" applyAlignment="1">
      <alignment horizontal="right"/>
    </xf>
    <xf numFmtId="1" fontId="101" fillId="8" borderId="23" xfId="5" applyNumberFormat="1" applyFont="1" applyFill="1" applyBorder="1" applyAlignment="1" applyProtection="1">
      <alignment horizontal="center"/>
    </xf>
    <xf numFmtId="0" fontId="95" fillId="0" borderId="0" xfId="0" applyFont="1"/>
    <xf numFmtId="1" fontId="95" fillId="0" borderId="0" xfId="0" applyNumberFormat="1" applyFont="1" applyAlignment="1">
      <alignment horizontal="center"/>
    </xf>
    <xf numFmtId="1" fontId="95" fillId="0" borderId="0" xfId="0" applyNumberFormat="1" applyFont="1"/>
    <xf numFmtId="0" fontId="106" fillId="0" borderId="0" xfId="0" applyFont="1"/>
    <xf numFmtId="1" fontId="106" fillId="0" borderId="0" xfId="0" applyNumberFormat="1" applyFont="1" applyAlignment="1">
      <alignment horizontal="center"/>
    </xf>
    <xf numFmtId="1" fontId="106" fillId="0" borderId="0" xfId="0" applyNumberFormat="1" applyFont="1"/>
    <xf numFmtId="0" fontId="100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1" fontId="105" fillId="0" borderId="0" xfId="0" applyNumberFormat="1" applyFont="1" applyFill="1" applyAlignment="1">
      <alignment horizontal="center" vertical="center"/>
    </xf>
    <xf numFmtId="0" fontId="110" fillId="0" borderId="0" xfId="0" applyFont="1" applyFill="1" applyAlignment="1">
      <alignment horizontal="center" vertical="center"/>
    </xf>
    <xf numFmtId="0" fontId="94" fillId="0" borderId="0" xfId="0" applyFont="1" applyFill="1" applyAlignment="1">
      <alignment horizontal="center" vertical="center"/>
    </xf>
    <xf numFmtId="1" fontId="101" fillId="0" borderId="1" xfId="0" applyNumberFormat="1" applyFont="1" applyBorder="1" applyAlignment="1">
      <alignment horizontal="center"/>
    </xf>
    <xf numFmtId="1" fontId="101" fillId="12" borderId="1" xfId="5" applyNumberFormat="1" applyFont="1" applyFill="1" applyBorder="1" applyAlignment="1">
      <alignment horizontal="center" vertical="center"/>
    </xf>
    <xf numFmtId="174" fontId="105" fillId="0" borderId="0" xfId="0" applyNumberFormat="1" applyFont="1" applyFill="1" applyAlignment="1">
      <alignment horizontal="center" vertical="center"/>
    </xf>
    <xf numFmtId="171" fontId="100" fillId="0" borderId="0" xfId="0" applyNumberFormat="1" applyFont="1" applyAlignment="1">
      <alignment horizontal="center" vertical="center"/>
    </xf>
    <xf numFmtId="164" fontId="100" fillId="0" borderId="0" xfId="0" applyNumberFormat="1" applyFont="1" applyAlignment="1">
      <alignment horizontal="center" vertical="center"/>
    </xf>
    <xf numFmtId="9" fontId="101" fillId="9" borderId="1" xfId="4" applyNumberFormat="1" applyFont="1" applyFill="1" applyBorder="1" applyAlignment="1">
      <alignment horizontal="center"/>
    </xf>
    <xf numFmtId="164" fontId="80" fillId="12" borderId="1" xfId="5" applyNumberFormat="1" applyFont="1" applyFill="1" applyBorder="1" applyAlignment="1">
      <alignment horizontal="center" vertical="center"/>
    </xf>
    <xf numFmtId="2" fontId="78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8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3" fillId="12" borderId="1" xfId="0" applyFont="1" applyFill="1" applyBorder="1"/>
    <xf numFmtId="1" fontId="87" fillId="0" borderId="0" xfId="0" applyNumberFormat="1" applyFont="1" applyBorder="1"/>
    <xf numFmtId="1" fontId="73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15" fillId="9" borderId="1" xfId="3" applyNumberFormat="1" applyFont="1" applyFill="1" applyBorder="1" applyAlignment="1">
      <alignment horizontal="center"/>
    </xf>
    <xf numFmtId="0" fontId="73" fillId="2" borderId="1" xfId="4" applyFont="1" applyFill="1" applyBorder="1" applyAlignment="1">
      <alignment horizontal="center" vertical="center"/>
    </xf>
    <xf numFmtId="164" fontId="80" fillId="2" borderId="1" xfId="5" applyNumberFormat="1" applyFont="1" applyFill="1" applyBorder="1" applyAlignment="1">
      <alignment horizontal="center" vertical="center"/>
    </xf>
    <xf numFmtId="1" fontId="89" fillId="2" borderId="1" xfId="5" applyNumberFormat="1" applyFont="1" applyFill="1" applyBorder="1" applyAlignment="1">
      <alignment horizontal="center" vertical="center"/>
    </xf>
    <xf numFmtId="0" fontId="116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6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7" fillId="0" borderId="1" xfId="0" applyNumberFormat="1" applyFont="1" applyFill="1" applyBorder="1" applyAlignment="1">
      <alignment horizontal="center" wrapText="1"/>
    </xf>
    <xf numFmtId="1" fontId="116" fillId="0" borderId="0" xfId="0" applyNumberFormat="1" applyFont="1"/>
    <xf numFmtId="1" fontId="116" fillId="0" borderId="0" xfId="0" applyNumberFormat="1" applyFont="1" applyFill="1"/>
    <xf numFmtId="1" fontId="96" fillId="0" borderId="1" xfId="0" applyNumberFormat="1" applyFont="1" applyBorder="1" applyAlignment="1">
      <alignment horizontal="center" wrapText="1"/>
    </xf>
    <xf numFmtId="1" fontId="117" fillId="0" borderId="1" xfId="0" applyNumberFormat="1" applyFont="1" applyBorder="1" applyAlignment="1">
      <alignment horizontal="center" wrapText="1"/>
    </xf>
    <xf numFmtId="1" fontId="89" fillId="2" borderId="1" xfId="3" applyNumberFormat="1" applyFont="1" applyFill="1" applyBorder="1" applyAlignment="1">
      <alignment horizontal="center"/>
    </xf>
    <xf numFmtId="1" fontId="89" fillId="2" borderId="15" xfId="5" applyNumberFormat="1" applyFont="1" applyFill="1" applyBorder="1" applyAlignment="1" applyProtection="1">
      <alignment horizontal="center"/>
    </xf>
    <xf numFmtId="169" fontId="80" fillId="8" borderId="1" xfId="5" applyNumberFormat="1" applyFont="1" applyFill="1" applyBorder="1" applyAlignment="1" applyProtection="1">
      <alignment vertical="center"/>
    </xf>
    <xf numFmtId="1" fontId="73" fillId="22" borderId="1" xfId="5" applyNumberFormat="1" applyFont="1" applyFill="1" applyBorder="1" applyAlignment="1">
      <alignment horizontal="center" vertical="center"/>
    </xf>
    <xf numFmtId="0" fontId="73" fillId="12" borderId="1" xfId="4" applyFont="1" applyFill="1" applyBorder="1" applyAlignment="1">
      <alignment horizontal="center" vertical="center"/>
    </xf>
    <xf numFmtId="0" fontId="73" fillId="10" borderId="1" xfId="4" applyFont="1" applyFill="1" applyBorder="1" applyAlignment="1">
      <alignment horizontal="center"/>
    </xf>
    <xf numFmtId="1" fontId="73" fillId="10" borderId="1" xfId="5" applyNumberFormat="1" applyFont="1" applyFill="1" applyBorder="1" applyAlignment="1">
      <alignment horizontal="center" vertical="center"/>
    </xf>
    <xf numFmtId="1" fontId="73" fillId="17" borderId="1" xfId="5" applyNumberFormat="1" applyFont="1" applyFill="1" applyBorder="1" applyAlignment="1">
      <alignment horizontal="center" vertical="center"/>
    </xf>
    <xf numFmtId="0" fontId="79" fillId="10" borderId="1" xfId="4" applyFont="1" applyFill="1" applyBorder="1" applyAlignment="1">
      <alignment horizontal="center"/>
    </xf>
    <xf numFmtId="0" fontId="79" fillId="22" borderId="1" xfId="4" applyFont="1" applyFill="1" applyBorder="1" applyAlignment="1">
      <alignment horizontal="center"/>
    </xf>
    <xf numFmtId="0" fontId="73" fillId="22" borderId="1" xfId="4" applyFont="1" applyFill="1" applyBorder="1" applyAlignment="1">
      <alignment horizontal="center"/>
    </xf>
    <xf numFmtId="0" fontId="73" fillId="17" borderId="1" xfId="4" applyFont="1" applyFill="1" applyBorder="1" applyAlignment="1">
      <alignment horizontal="center"/>
    </xf>
    <xf numFmtId="0" fontId="66" fillId="2" borderId="1" xfId="3" applyFont="1" applyFill="1" applyBorder="1" applyAlignment="1">
      <alignment horizontal="left" vertical="justify"/>
    </xf>
    <xf numFmtId="0" fontId="73" fillId="12" borderId="1" xfId="3" applyNumberFormat="1" applyFont="1" applyFill="1" applyBorder="1" applyAlignment="1">
      <alignment horizontal="center"/>
    </xf>
    <xf numFmtId="1" fontId="96" fillId="2" borderId="1" xfId="0" applyNumberFormat="1" applyFont="1" applyFill="1" applyBorder="1" applyAlignment="1">
      <alignment horizontal="center" wrapText="1"/>
    </xf>
    <xf numFmtId="1" fontId="96" fillId="12" borderId="1" xfId="0" applyNumberFormat="1" applyFont="1" applyFill="1" applyBorder="1" applyAlignment="1">
      <alignment horizontal="center" wrapText="1"/>
    </xf>
    <xf numFmtId="0" fontId="63" fillId="0" borderId="1" xfId="0" applyFont="1" applyFill="1" applyBorder="1" applyAlignment="1">
      <alignment vertical="center" wrapText="1"/>
    </xf>
    <xf numFmtId="0" fontId="63" fillId="0" borderId="1" xfId="0" applyFont="1" applyFill="1" applyBorder="1"/>
    <xf numFmtId="9" fontId="17" fillId="9" borderId="1" xfId="4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 wrapText="1"/>
    </xf>
    <xf numFmtId="0" fontId="67" fillId="0" borderId="21" xfId="3" applyFont="1" applyFill="1" applyBorder="1" applyAlignment="1">
      <alignment horizontal="left"/>
    </xf>
    <xf numFmtId="0" fontId="67" fillId="0" borderId="1" xfId="3" applyFont="1" applyFill="1" applyBorder="1" applyAlignment="1">
      <alignment horizontal="left"/>
    </xf>
    <xf numFmtId="2" fontId="73" fillId="0" borderId="1" xfId="3" applyNumberFormat="1" applyFont="1" applyFill="1" applyBorder="1" applyAlignment="1">
      <alignment horizontal="right"/>
    </xf>
    <xf numFmtId="1" fontId="118" fillId="0" borderId="0" xfId="0" applyNumberFormat="1" applyFont="1"/>
    <xf numFmtId="1" fontId="119" fillId="0" borderId="0" xfId="0" applyNumberFormat="1" applyFont="1"/>
    <xf numFmtId="49" fontId="106" fillId="0" borderId="0" xfId="0" applyNumberFormat="1" applyFont="1"/>
    <xf numFmtId="1" fontId="120" fillId="0" borderId="1" xfId="0" applyNumberFormat="1" applyFont="1" applyFill="1" applyBorder="1" applyAlignment="1">
      <alignment horizontal="center" wrapText="1"/>
    </xf>
    <xf numFmtId="170" fontId="105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6" fillId="15" borderId="0" xfId="0" applyFont="1" applyFill="1"/>
    <xf numFmtId="1" fontId="116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6" fillId="0" borderId="0" xfId="0" applyFont="1" applyBorder="1"/>
    <xf numFmtId="0" fontId="122" fillId="0" borderId="1" xfId="0" applyFont="1" applyBorder="1"/>
    <xf numFmtId="0" fontId="116" fillId="0" borderId="1" xfId="0" applyFont="1" applyBorder="1"/>
    <xf numFmtId="0" fontId="116" fillId="22" borderId="1" xfId="0" applyFont="1" applyFill="1" applyBorder="1"/>
    <xf numFmtId="0" fontId="121" fillId="0" borderId="1" xfId="0" applyFont="1" applyBorder="1"/>
    <xf numFmtId="1" fontId="123" fillId="21" borderId="1" xfId="3" applyNumberFormat="1" applyFont="1" applyFill="1" applyBorder="1" applyAlignment="1">
      <alignment horizontal="center"/>
    </xf>
    <xf numFmtId="0" fontId="123" fillId="21" borderId="1" xfId="3" applyNumberFormat="1" applyFont="1" applyFill="1" applyBorder="1" applyAlignment="1">
      <alignment horizontal="center"/>
    </xf>
    <xf numFmtId="1" fontId="123" fillId="21" borderId="15" xfId="5" applyNumberFormat="1" applyFont="1" applyFill="1" applyBorder="1" applyAlignment="1" applyProtection="1">
      <alignment horizontal="center"/>
    </xf>
    <xf numFmtId="2" fontId="123" fillId="21" borderId="1" xfId="3" applyNumberFormat="1" applyFont="1" applyFill="1" applyBorder="1" applyAlignment="1">
      <alignment horizontal="center"/>
    </xf>
    <xf numFmtId="1" fontId="123" fillId="8" borderId="1" xfId="3" applyNumberFormat="1" applyFont="1" applyFill="1" applyBorder="1" applyAlignment="1">
      <alignment horizontal="center"/>
    </xf>
    <xf numFmtId="2" fontId="123" fillId="2" borderId="1" xfId="3" applyNumberFormat="1" applyFont="1" applyFill="1" applyBorder="1" applyAlignment="1">
      <alignment horizontal="center"/>
    </xf>
    <xf numFmtId="1" fontId="123" fillId="8" borderId="15" xfId="5" applyNumberFormat="1" applyFont="1" applyFill="1" applyBorder="1" applyAlignment="1" applyProtection="1">
      <alignment horizontal="center"/>
    </xf>
    <xf numFmtId="0" fontId="123" fillId="15" borderId="1" xfId="3" applyFont="1" applyFill="1" applyBorder="1" applyAlignment="1">
      <alignment horizontal="center"/>
    </xf>
    <xf numFmtId="0" fontId="123" fillId="15" borderId="15" xfId="3" applyFont="1" applyFill="1" applyBorder="1" applyAlignment="1">
      <alignment horizontal="center"/>
    </xf>
    <xf numFmtId="0" fontId="123" fillId="2" borderId="1" xfId="3" applyNumberFormat="1" applyFont="1" applyFill="1" applyBorder="1" applyAlignment="1">
      <alignment horizontal="center"/>
    </xf>
    <xf numFmtId="0" fontId="123" fillId="8" borderId="1" xfId="3" applyFont="1" applyFill="1" applyBorder="1" applyAlignment="1">
      <alignment horizontal="center"/>
    </xf>
    <xf numFmtId="1" fontId="123" fillId="15" borderId="1" xfId="3" applyNumberFormat="1" applyFont="1" applyFill="1" applyBorder="1" applyAlignment="1">
      <alignment horizontal="center"/>
    </xf>
    <xf numFmtId="0" fontId="123" fillId="21" borderId="1" xfId="3" applyFont="1" applyFill="1" applyBorder="1" applyAlignment="1">
      <alignment horizontal="center"/>
    </xf>
    <xf numFmtId="1" fontId="123" fillId="21" borderId="1" xfId="4" applyNumberFormat="1" applyFont="1" applyFill="1" applyBorder="1" applyAlignment="1">
      <alignment horizontal="center"/>
    </xf>
    <xf numFmtId="0" fontId="124" fillId="0" borderId="0" xfId="2" applyFont="1" applyAlignment="1" applyProtection="1"/>
    <xf numFmtId="2" fontId="124" fillId="0" borderId="0" xfId="2" applyNumberFormat="1" applyFont="1" applyAlignment="1" applyProtection="1"/>
    <xf numFmtId="0" fontId="67" fillId="0" borderId="21" xfId="3" applyFont="1" applyFill="1" applyBorder="1" applyAlignment="1">
      <alignment horizontal="left" vertical="center"/>
    </xf>
    <xf numFmtId="0" fontId="66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6" fillId="0" borderId="1" xfId="3" applyFont="1" applyFill="1" applyBorder="1" applyAlignment="1">
      <alignment horizontal="left" vertical="center"/>
    </xf>
    <xf numFmtId="1" fontId="73" fillId="0" borderId="1" xfId="3" applyNumberFormat="1" applyFont="1" applyFill="1" applyBorder="1" applyAlignment="1">
      <alignment horizontal="center" vertical="center"/>
    </xf>
    <xf numFmtId="2" fontId="67" fillId="0" borderId="21" xfId="3" applyNumberFormat="1" applyFont="1" applyFill="1" applyBorder="1" applyAlignment="1">
      <alignment horizontal="left" vertical="center"/>
    </xf>
    <xf numFmtId="2" fontId="66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125" fillId="0" borderId="36" xfId="17" applyFont="1" applyBorder="1" applyAlignment="1">
      <alignment horizontal="center"/>
    </xf>
    <xf numFmtId="0" fontId="126" fillId="0" borderId="36" xfId="17" applyFont="1" applyBorder="1" applyAlignment="1">
      <alignment horizontal="center"/>
    </xf>
    <xf numFmtId="1" fontId="126" fillId="0" borderId="36" xfId="17" applyNumberFormat="1" applyFont="1" applyBorder="1" applyAlignment="1">
      <alignment horizontal="center"/>
    </xf>
    <xf numFmtId="1" fontId="125" fillId="0" borderId="36" xfId="17" applyNumberFormat="1" applyFont="1" applyBorder="1" applyAlignment="1">
      <alignment horizontal="center" wrapText="1"/>
    </xf>
    <xf numFmtId="0" fontId="125" fillId="0" borderId="36" xfId="17" applyFont="1" applyBorder="1" applyAlignment="1">
      <alignment horizontal="center" wrapText="1"/>
    </xf>
    <xf numFmtId="0" fontId="125" fillId="0" borderId="0" xfId="17" applyFont="1" applyAlignment="1">
      <alignment wrapText="1"/>
    </xf>
    <xf numFmtId="0" fontId="125" fillId="0" borderId="0" xfId="17" applyFont="1"/>
    <xf numFmtId="0" fontId="15" fillId="0" borderId="0" xfId="17" applyFont="1" applyAlignment="1">
      <alignment horizontal="center"/>
    </xf>
    <xf numFmtId="0" fontId="96" fillId="0" borderId="0" xfId="17" applyFont="1" applyAlignment="1">
      <alignment horizontal="center"/>
    </xf>
    <xf numFmtId="1" fontId="96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164" fontId="73" fillId="0" borderId="1" xfId="5" applyNumberFormat="1" applyFont="1" applyFill="1" applyBorder="1" applyAlignment="1" applyProtection="1">
      <alignment horizontal="center" vertical="top"/>
    </xf>
    <xf numFmtId="0" fontId="73" fillId="0" borderId="1" xfId="4" applyFont="1" applyFill="1" applyBorder="1" applyAlignment="1"/>
    <xf numFmtId="0" fontId="73" fillId="0" borderId="15" xfId="4" applyFont="1" applyFill="1" applyBorder="1" applyAlignment="1"/>
    <xf numFmtId="2" fontId="81" fillId="0" borderId="1" xfId="3" applyNumberFormat="1" applyFont="1" applyFill="1" applyBorder="1" applyAlignment="1">
      <alignment horizontal="right"/>
    </xf>
    <xf numFmtId="0" fontId="67" fillId="0" borderId="21" xfId="4" applyFont="1" applyFill="1" applyBorder="1" applyAlignment="1">
      <alignment horizontal="left"/>
    </xf>
    <xf numFmtId="0" fontId="67" fillId="0" borderId="1" xfId="4" applyFont="1" applyFill="1" applyBorder="1" applyAlignment="1">
      <alignment horizontal="left"/>
    </xf>
    <xf numFmtId="0" fontId="73" fillId="0" borderId="1" xfId="3" applyFont="1" applyFill="1" applyBorder="1" applyAlignment="1">
      <alignment horizontal="center" vertical="center"/>
    </xf>
    <xf numFmtId="0" fontId="75" fillId="12" borderId="1" xfId="0" applyFont="1" applyFill="1" applyBorder="1" applyAlignment="1">
      <alignment horizontal="left"/>
    </xf>
    <xf numFmtId="0" fontId="78" fillId="12" borderId="4" xfId="0" applyFont="1" applyFill="1" applyBorder="1" applyAlignment="1">
      <alignment horizontal="center"/>
    </xf>
    <xf numFmtId="1" fontId="78" fillId="12" borderId="1" xfId="0" applyNumberFormat="1" applyFont="1" applyFill="1" applyBorder="1" applyAlignment="1">
      <alignment horizontal="center"/>
    </xf>
    <xf numFmtId="1" fontId="78" fillId="12" borderId="15" xfId="0" applyNumberFormat="1" applyFont="1" applyFill="1" applyBorder="1" applyAlignment="1">
      <alignment horizontal="center"/>
    </xf>
    <xf numFmtId="0" fontId="65" fillId="12" borderId="0" xfId="0" applyFont="1" applyFill="1"/>
    <xf numFmtId="0" fontId="81" fillId="12" borderId="1" xfId="4" applyFont="1" applyFill="1" applyBorder="1" applyAlignment="1">
      <alignment horizontal="center"/>
    </xf>
    <xf numFmtId="43" fontId="73" fillId="12" borderId="1" xfId="7" applyFont="1" applyFill="1" applyBorder="1" applyAlignment="1">
      <alignment horizontal="right" wrapText="1"/>
    </xf>
    <xf numFmtId="164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2" fontId="51" fillId="0" borderId="0" xfId="5" applyNumberFormat="1" applyFont="1" applyFill="1" applyBorder="1" applyAlignment="1" applyProtection="1">
      <alignment horizontal="center"/>
    </xf>
    <xf numFmtId="0" fontId="67" fillId="0" borderId="21" xfId="4" applyFont="1" applyFill="1" applyBorder="1"/>
    <xf numFmtId="1" fontId="78" fillId="21" borderId="15" xfId="5" applyNumberFormat="1" applyFont="1" applyFill="1" applyBorder="1" applyAlignment="1" applyProtection="1">
      <alignment horizontal="center"/>
    </xf>
    <xf numFmtId="0" fontId="67" fillId="12" borderId="21" xfId="3" applyFont="1" applyFill="1" applyBorder="1" applyAlignment="1">
      <alignment horizontal="left" vertical="center"/>
    </xf>
    <xf numFmtId="0" fontId="66" fillId="12" borderId="1" xfId="3" applyFont="1" applyFill="1" applyBorder="1" applyAlignment="1">
      <alignment horizontal="left" vertical="justify"/>
    </xf>
    <xf numFmtId="2" fontId="73" fillId="2" borderId="1" xfId="3" applyNumberFormat="1" applyFont="1" applyFill="1" applyBorder="1" applyAlignment="1">
      <alignment horizontal="right"/>
    </xf>
    <xf numFmtId="0" fontId="50" fillId="2" borderId="0" xfId="0" applyFont="1" applyFill="1" applyBorder="1"/>
    <xf numFmtId="0" fontId="50" fillId="2" borderId="0" xfId="0" applyFont="1" applyFill="1"/>
    <xf numFmtId="1" fontId="90" fillId="2" borderId="0" xfId="0" applyNumberFormat="1" applyFont="1" applyFill="1" applyAlignment="1">
      <alignment horizontal="center"/>
    </xf>
    <xf numFmtId="173" fontId="50" fillId="2" borderId="0" xfId="0" applyNumberFormat="1" applyFont="1" applyFill="1" applyAlignment="1">
      <alignment horizontal="center"/>
    </xf>
    <xf numFmtId="1" fontId="50" fillId="2" borderId="0" xfId="0" applyNumberFormat="1" applyFont="1" applyFill="1"/>
    <xf numFmtId="0" fontId="71" fillId="0" borderId="21" xfId="4" applyFont="1" applyFill="1" applyBorder="1" applyAlignment="1">
      <alignment horizontal="left"/>
    </xf>
    <xf numFmtId="0" fontId="68" fillId="0" borderId="1" xfId="4" applyFont="1" applyFill="1" applyBorder="1" applyAlignment="1">
      <alignment horizontal="left"/>
    </xf>
    <xf numFmtId="0" fontId="72" fillId="12" borderId="1" xfId="0" applyFont="1" applyFill="1" applyBorder="1"/>
    <xf numFmtId="0" fontId="74" fillId="12" borderId="1" xfId="0" applyFont="1" applyFill="1" applyBorder="1"/>
    <xf numFmtId="0" fontId="73" fillId="12" borderId="1" xfId="3" applyFont="1" applyFill="1" applyBorder="1" applyAlignment="1">
      <alignment horizontal="center" vertical="center"/>
    </xf>
    <xf numFmtId="1" fontId="78" fillId="12" borderId="0" xfId="0" applyNumberFormat="1" applyFont="1" applyFill="1" applyAlignment="1">
      <alignment horizontal="center"/>
    </xf>
    <xf numFmtId="0" fontId="78" fillId="12" borderId="0" xfId="0" applyFont="1" applyFill="1"/>
    <xf numFmtId="0" fontId="50" fillId="12" borderId="0" xfId="0" applyFont="1" applyFill="1" applyAlignment="1">
      <alignment horizontal="center"/>
    </xf>
    <xf numFmtId="0" fontId="16" fillId="12" borderId="1" xfId="4" applyFont="1" applyFill="1" applyBorder="1" applyAlignment="1">
      <alignment horizontal="center" vertical="center"/>
    </xf>
    <xf numFmtId="0" fontId="127" fillId="2" borderId="1" xfId="4" applyFont="1" applyFill="1" applyBorder="1" applyAlignment="1">
      <alignment horizontal="center" wrapText="1"/>
    </xf>
    <xf numFmtId="2" fontId="34" fillId="2" borderId="7" xfId="5" applyNumberFormat="1" applyFont="1" applyFill="1" applyBorder="1" applyAlignment="1">
      <alignment horizontal="center" vertical="center"/>
    </xf>
    <xf numFmtId="0" fontId="33" fillId="12" borderId="1" xfId="4" applyFont="1" applyFill="1" applyBorder="1" applyAlignment="1">
      <alignment horizontal="center" vertical="center"/>
    </xf>
    <xf numFmtId="0" fontId="106" fillId="2" borderId="1" xfId="0" applyFont="1" applyFill="1" applyBorder="1"/>
    <xf numFmtId="0" fontId="101" fillId="2" borderId="1" xfId="0" applyFont="1" applyFill="1" applyBorder="1" applyAlignment="1">
      <alignment horizontal="center"/>
    </xf>
    <xf numFmtId="0" fontId="101" fillId="2" borderId="1" xfId="4" applyFont="1" applyFill="1" applyBorder="1" applyAlignment="1">
      <alignment vertical="center"/>
    </xf>
    <xf numFmtId="0" fontId="106" fillId="2" borderId="0" xfId="0" applyFont="1" applyFill="1"/>
    <xf numFmtId="1" fontId="106" fillId="2" borderId="0" xfId="0" applyNumberFormat="1" applyFont="1" applyFill="1"/>
    <xf numFmtId="2" fontId="73" fillId="2" borderId="1" xfId="4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6" fillId="17" borderId="5" xfId="0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101" fillId="2" borderId="1" xfId="4" applyFont="1" applyFill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75" fillId="0" borderId="1" xfId="0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166" fontId="18" fillId="9" borderId="2" xfId="3" applyNumberFormat="1" applyFont="1" applyFill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1" fillId="0" borderId="5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1" fontId="1" fillId="0" borderId="0" xfId="1" applyNumberFormat="1" applyFont="1"/>
    <xf numFmtId="1" fontId="1" fillId="14" borderId="0" xfId="1" applyNumberFormat="1" applyFont="1" applyFill="1"/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 wrapText="1"/>
    </xf>
    <xf numFmtId="0" fontId="1" fillId="0" borderId="14" xfId="1" applyFont="1" applyFill="1" applyBorder="1" applyAlignment="1">
      <alignment horizontal="center" vertical="center" wrapText="1"/>
    </xf>
    <xf numFmtId="0" fontId="1" fillId="0" borderId="20" xfId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116" fillId="16" borderId="5" xfId="0" applyFont="1" applyFill="1" applyBorder="1" applyAlignment="1">
      <alignment horizontal="center"/>
    </xf>
    <xf numFmtId="0" fontId="116" fillId="17" borderId="5" xfId="0" applyFont="1" applyFill="1" applyBorder="1" applyAlignment="1">
      <alignment horizontal="center"/>
    </xf>
    <xf numFmtId="0" fontId="116" fillId="19" borderId="5" xfId="0" applyFont="1" applyFill="1" applyBorder="1" applyAlignment="1">
      <alignment horizontal="center"/>
    </xf>
    <xf numFmtId="0" fontId="66" fillId="15" borderId="16" xfId="3" applyFont="1" applyFill="1" applyBorder="1" applyAlignment="1">
      <alignment horizontal="left"/>
    </xf>
    <xf numFmtId="0" fontId="66" fillId="15" borderId="3" xfId="3" applyFont="1" applyFill="1" applyBorder="1" applyAlignment="1">
      <alignment horizontal="left"/>
    </xf>
    <xf numFmtId="0" fontId="66" fillId="15" borderId="4" xfId="3" applyFont="1" applyFill="1" applyBorder="1" applyAlignment="1">
      <alignment horizontal="left"/>
    </xf>
    <xf numFmtId="0" fontId="66" fillId="16" borderId="16" xfId="3" applyFont="1" applyFill="1" applyBorder="1" applyAlignment="1">
      <alignment horizontal="left"/>
    </xf>
    <xf numFmtId="0" fontId="66" fillId="16" borderId="3" xfId="3" applyFont="1" applyFill="1" applyBorder="1" applyAlignment="1">
      <alignment horizontal="left"/>
    </xf>
    <xf numFmtId="0" fontId="66" fillId="16" borderId="4" xfId="3" applyFont="1" applyFill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7" fillId="8" borderId="16" xfId="3" applyFont="1" applyFill="1" applyBorder="1" applyAlignment="1">
      <alignment horizontal="left"/>
    </xf>
    <xf numFmtId="0" fontId="67" fillId="8" borderId="3" xfId="3" applyFont="1" applyFill="1" applyBorder="1" applyAlignment="1">
      <alignment horizontal="left"/>
    </xf>
    <xf numFmtId="0" fontId="67" fillId="8" borderId="4" xfId="3" applyFont="1" applyFill="1" applyBorder="1" applyAlignment="1">
      <alignment horizontal="left"/>
    </xf>
    <xf numFmtId="0" fontId="67" fillId="0" borderId="16" xfId="4" applyFont="1" applyFill="1" applyBorder="1" applyAlignment="1">
      <alignment horizontal="left"/>
    </xf>
    <xf numFmtId="0" fontId="67" fillId="0" borderId="3" xfId="4" applyFont="1" applyFill="1" applyBorder="1" applyAlignment="1">
      <alignment horizontal="left"/>
    </xf>
    <xf numFmtId="0" fontId="67" fillId="0" borderId="4" xfId="4" applyFont="1" applyFill="1" applyBorder="1" applyAlignment="1">
      <alignment horizontal="left"/>
    </xf>
    <xf numFmtId="0" fontId="67" fillId="17" borderId="28" xfId="0" applyFont="1" applyFill="1" applyBorder="1" applyAlignment="1">
      <alignment horizontal="center"/>
    </xf>
    <xf numFmtId="0" fontId="67" fillId="17" borderId="5" xfId="0" applyFont="1" applyFill="1" applyBorder="1" applyAlignment="1">
      <alignment horizontal="center"/>
    </xf>
    <xf numFmtId="0" fontId="75" fillId="0" borderId="16" xfId="0" applyFont="1" applyBorder="1" applyAlignment="1">
      <alignment horizontal="left"/>
    </xf>
    <xf numFmtId="0" fontId="75" fillId="0" borderId="4" xfId="0" applyFont="1" applyBorder="1" applyAlignment="1">
      <alignment horizontal="left"/>
    </xf>
    <xf numFmtId="0" fontId="75" fillId="0" borderId="3" xfId="0" applyFont="1" applyBorder="1" applyAlignment="1">
      <alignment horizontal="left"/>
    </xf>
    <xf numFmtId="0" fontId="75" fillId="18" borderId="16" xfId="0" applyFont="1" applyFill="1" applyBorder="1" applyAlignment="1">
      <alignment horizontal="left"/>
    </xf>
    <xf numFmtId="0" fontId="75" fillId="18" borderId="4" xfId="0" applyFont="1" applyFill="1" applyBorder="1" applyAlignment="1">
      <alignment horizontal="left"/>
    </xf>
    <xf numFmtId="0" fontId="75" fillId="17" borderId="16" xfId="0" applyFont="1" applyFill="1" applyBorder="1" applyAlignment="1">
      <alignment horizontal="left"/>
    </xf>
    <xf numFmtId="0" fontId="75" fillId="17" borderId="4" xfId="0" applyFont="1" applyFill="1" applyBorder="1" applyAlignment="1">
      <alignment horizontal="left"/>
    </xf>
    <xf numFmtId="0" fontId="86" fillId="8" borderId="19" xfId="3" applyFont="1" applyFill="1" applyBorder="1" applyAlignment="1">
      <alignment horizontal="center"/>
    </xf>
    <xf numFmtId="0" fontId="86" fillId="8" borderId="14" xfId="3" applyFont="1" applyFill="1" applyBorder="1" applyAlignment="1">
      <alignment horizontal="center"/>
    </xf>
    <xf numFmtId="0" fontId="86" fillId="8" borderId="20" xfId="3" applyFont="1" applyFill="1" applyBorder="1" applyAlignment="1">
      <alignment horizontal="center"/>
    </xf>
    <xf numFmtId="0" fontId="84" fillId="15" borderId="16" xfId="3" applyFont="1" applyFill="1" applyBorder="1" applyAlignment="1">
      <alignment horizontal="center" vertical="center"/>
    </xf>
    <xf numFmtId="0" fontId="84" fillId="15" borderId="3" xfId="3" applyFont="1" applyFill="1" applyBorder="1" applyAlignment="1">
      <alignment horizontal="center" vertical="center"/>
    </xf>
    <xf numFmtId="0" fontId="84" fillId="15" borderId="4" xfId="3" applyFont="1" applyFill="1" applyBorder="1" applyAlignment="1">
      <alignment horizontal="center" vertical="center"/>
    </xf>
    <xf numFmtId="0" fontId="84" fillId="15" borderId="16" xfId="3" applyFont="1" applyFill="1" applyBorder="1" applyAlignment="1">
      <alignment horizontal="center"/>
    </xf>
    <xf numFmtId="0" fontId="84" fillId="15" borderId="3" xfId="3" applyFont="1" applyFill="1" applyBorder="1" applyAlignment="1">
      <alignment horizontal="center"/>
    </xf>
    <xf numFmtId="0" fontId="84" fillId="15" borderId="4" xfId="3" applyFont="1" applyFill="1" applyBorder="1" applyAlignment="1">
      <alignment horizontal="center"/>
    </xf>
    <xf numFmtId="0" fontId="67" fillId="9" borderId="2" xfId="3" applyFont="1" applyFill="1" applyBorder="1" applyAlignment="1">
      <alignment horizontal="center"/>
    </xf>
    <xf numFmtId="0" fontId="67" fillId="9" borderId="4" xfId="3" applyFont="1" applyFill="1" applyBorder="1" applyAlignment="1">
      <alignment horizontal="center"/>
    </xf>
    <xf numFmtId="0" fontId="85" fillId="15" borderId="16" xfId="3" applyFont="1" applyFill="1" applyBorder="1" applyAlignment="1">
      <alignment horizontal="center" vertical="center"/>
    </xf>
    <xf numFmtId="0" fontId="85" fillId="15" borderId="3" xfId="3" applyFont="1" applyFill="1" applyBorder="1" applyAlignment="1">
      <alignment horizontal="center" vertical="center"/>
    </xf>
    <xf numFmtId="0" fontId="85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7" fillId="8" borderId="27" xfId="3" applyFont="1" applyFill="1" applyBorder="1" applyAlignment="1">
      <alignment horizontal="left"/>
    </xf>
    <xf numFmtId="0" fontId="67" fillId="8" borderId="10" xfId="3" applyFont="1" applyFill="1" applyBorder="1" applyAlignment="1">
      <alignment horizontal="left"/>
    </xf>
    <xf numFmtId="0" fontId="67" fillId="8" borderId="11" xfId="3" applyFont="1" applyFill="1" applyBorder="1" applyAlignment="1">
      <alignment horizontal="left"/>
    </xf>
    <xf numFmtId="0" fontId="66" fillId="15" borderId="16" xfId="3" applyFont="1" applyFill="1" applyBorder="1" applyAlignment="1">
      <alignment horizontal="center"/>
    </xf>
    <xf numFmtId="0" fontId="66" fillId="15" borderId="4" xfId="3" applyFont="1" applyFill="1" applyBorder="1" applyAlignment="1">
      <alignment horizontal="center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2" fillId="0" borderId="16" xfId="0" applyFont="1" applyFill="1" applyBorder="1" applyAlignment="1">
      <alignment horizontal="left"/>
    </xf>
    <xf numFmtId="0" fontId="72" fillId="0" borderId="4" xfId="0" applyFont="1" applyFill="1" applyBorder="1" applyAlignment="1">
      <alignment horizontal="left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55" fillId="23" borderId="16" xfId="4" applyFont="1" applyFill="1" applyBorder="1" applyAlignment="1">
      <alignment horizontal="left"/>
    </xf>
    <xf numFmtId="0" fontId="55" fillId="23" borderId="3" xfId="4" applyFont="1" applyFill="1" applyBorder="1" applyAlignment="1">
      <alignment horizontal="left"/>
    </xf>
    <xf numFmtId="0" fontId="55" fillId="23" borderId="29" xfId="4" applyFont="1" applyFill="1" applyBorder="1" applyAlignment="1">
      <alignment horizontal="left"/>
    </xf>
    <xf numFmtId="0" fontId="71" fillId="0" borderId="16" xfId="4" applyFont="1" applyFill="1" applyBorder="1" applyAlignment="1">
      <alignment horizontal="left"/>
    </xf>
    <xf numFmtId="0" fontId="71" fillId="0" borderId="3" xfId="4" applyFont="1" applyFill="1" applyBorder="1" applyAlignment="1">
      <alignment horizontal="left"/>
    </xf>
    <xf numFmtId="0" fontId="71" fillId="0" borderId="4" xfId="4" applyFont="1" applyFill="1" applyBorder="1" applyAlignment="1">
      <alignment horizontal="left"/>
    </xf>
    <xf numFmtId="0" fontId="71" fillId="0" borderId="16" xfId="4" applyFont="1" applyBorder="1" applyAlignment="1">
      <alignment horizontal="left"/>
    </xf>
    <xf numFmtId="0" fontId="71" fillId="0" borderId="3" xfId="4" applyFont="1" applyBorder="1" applyAlignment="1">
      <alignment horizontal="left"/>
    </xf>
    <xf numFmtId="0" fontId="71" fillId="0" borderId="4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7" fillId="2" borderId="16" xfId="4" applyFont="1" applyFill="1" applyBorder="1" applyAlignment="1">
      <alignment horizontal="left"/>
    </xf>
    <xf numFmtId="0" fontId="67" fillId="2" borderId="3" xfId="4" applyFont="1" applyFill="1" applyBorder="1" applyAlignment="1">
      <alignment horizontal="left"/>
    </xf>
    <xf numFmtId="0" fontId="67" fillId="2" borderId="4" xfId="4" applyFont="1" applyFill="1" applyBorder="1" applyAlignment="1">
      <alignment horizontal="left"/>
    </xf>
    <xf numFmtId="0" fontId="55" fillId="15" borderId="16" xfId="4" applyFont="1" applyFill="1" applyBorder="1" applyAlignment="1">
      <alignment horizontal="left"/>
    </xf>
    <xf numFmtId="0" fontId="55" fillId="15" borderId="3" xfId="4" applyFont="1" applyFill="1" applyBorder="1" applyAlignment="1">
      <alignment horizontal="left"/>
    </xf>
    <xf numFmtId="0" fontId="55" fillId="15" borderId="29" xfId="4" applyFont="1" applyFill="1" applyBorder="1" applyAlignment="1">
      <alignment horizontal="left"/>
    </xf>
    <xf numFmtId="0" fontId="114" fillId="0" borderId="2" xfId="0" applyFont="1" applyBorder="1" applyAlignment="1">
      <alignment horizontal="center"/>
    </xf>
    <xf numFmtId="0" fontId="114" fillId="0" borderId="3" xfId="0" applyFont="1" applyBorder="1" applyAlignment="1">
      <alignment horizontal="center"/>
    </xf>
    <xf numFmtId="0" fontId="114" fillId="0" borderId="4" xfId="0" applyFont="1" applyBorder="1" applyAlignment="1">
      <alignment horizontal="center"/>
    </xf>
    <xf numFmtId="0" fontId="72" fillId="8" borderId="16" xfId="3" applyFont="1" applyFill="1" applyBorder="1" applyAlignment="1">
      <alignment horizontal="left"/>
    </xf>
    <xf numFmtId="0" fontId="72" fillId="8" borderId="3" xfId="3" applyFont="1" applyFill="1" applyBorder="1" applyAlignment="1">
      <alignment horizontal="left"/>
    </xf>
    <xf numFmtId="0" fontId="72" fillId="8" borderId="4" xfId="3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5" fillId="12" borderId="16" xfId="0" applyFont="1" applyFill="1" applyBorder="1" applyAlignment="1">
      <alignment horizontal="left"/>
    </xf>
    <xf numFmtId="0" fontId="75" fillId="12" borderId="4" xfId="0" applyFont="1" applyFill="1" applyBorder="1" applyAlignment="1">
      <alignment horizontal="left"/>
    </xf>
    <xf numFmtId="0" fontId="75" fillId="0" borderId="16" xfId="0" applyFont="1" applyFill="1" applyBorder="1" applyAlignment="1">
      <alignment horizontal="left"/>
    </xf>
    <xf numFmtId="0" fontId="75" fillId="0" borderId="4" xfId="0" applyFont="1" applyFill="1" applyBorder="1" applyAlignment="1">
      <alignment horizontal="left"/>
    </xf>
    <xf numFmtId="0" fontId="67" fillId="2" borderId="1" xfId="4" applyFont="1" applyFill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32" fillId="15" borderId="2" xfId="3" applyFont="1" applyFill="1" applyBorder="1" applyAlignment="1">
      <alignment horizontal="center"/>
    </xf>
    <xf numFmtId="0" fontId="32" fillId="15" borderId="3" xfId="3" applyFont="1" applyFill="1" applyBorder="1" applyAlignment="1">
      <alignment horizontal="center"/>
    </xf>
    <xf numFmtId="0" fontId="32" fillId="15" borderId="4" xfId="3" applyFont="1" applyFill="1" applyBorder="1" applyAlignment="1">
      <alignment horizontal="center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1" fillId="8" borderId="5" xfId="3" applyFont="1" applyFill="1" applyBorder="1" applyAlignment="1">
      <alignment horizontal="center"/>
    </xf>
    <xf numFmtId="0" fontId="32" fillId="15" borderId="17" xfId="3" applyFont="1" applyFill="1" applyBorder="1" applyAlignment="1">
      <alignment horizontal="center" vertical="center"/>
    </xf>
    <xf numFmtId="0" fontId="32" fillId="15" borderId="14" xfId="3" applyFont="1" applyFill="1" applyBorder="1" applyAlignment="1">
      <alignment horizontal="center" vertical="center"/>
    </xf>
    <xf numFmtId="0" fontId="32" fillId="15" borderId="18" xfId="3" applyFont="1" applyFill="1" applyBorder="1" applyAlignment="1">
      <alignment horizontal="center" vertical="center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18" fillId="15" borderId="2" xfId="4" applyFont="1" applyFill="1" applyBorder="1" applyAlignment="1">
      <alignment horizontal="left"/>
    </xf>
    <xf numFmtId="0" fontId="18" fillId="15" borderId="3" xfId="4" applyFont="1" applyFill="1" applyBorder="1" applyAlignment="1">
      <alignment horizontal="left"/>
    </xf>
    <xf numFmtId="0" fontId="18" fillId="15" borderId="4" xfId="4" applyFont="1" applyFill="1" applyBorder="1" applyAlignment="1">
      <alignment horizontal="left"/>
    </xf>
    <xf numFmtId="0" fontId="17" fillId="2" borderId="2" xfId="4" applyFont="1" applyFill="1" applyBorder="1" applyAlignment="1">
      <alignment horizontal="left"/>
    </xf>
    <xf numFmtId="0" fontId="17" fillId="2" borderId="3" xfId="4" applyFont="1" applyFill="1" applyBorder="1" applyAlignment="1">
      <alignment horizontal="left"/>
    </xf>
    <xf numFmtId="0" fontId="17" fillId="2" borderId="4" xfId="4" applyFont="1" applyFill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17" fillId="16" borderId="2" xfId="3" applyFont="1" applyFill="1" applyBorder="1" applyAlignment="1">
      <alignment horizontal="left"/>
    </xf>
    <xf numFmtId="0" fontId="17" fillId="16" borderId="3" xfId="3" applyFont="1" applyFill="1" applyBorder="1" applyAlignment="1">
      <alignment horizontal="left"/>
    </xf>
    <xf numFmtId="0" fontId="17" fillId="16" borderId="4" xfId="3" applyFont="1" applyFill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64" fillId="0" borderId="1" xfId="0" applyFont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64" fillId="17" borderId="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101" fillId="8" borderId="16" xfId="3" applyFont="1" applyFill="1" applyBorder="1" applyAlignment="1">
      <alignment horizontal="left"/>
    </xf>
    <xf numFmtId="0" fontId="101" fillId="8" borderId="3" xfId="3" applyFont="1" applyFill="1" applyBorder="1" applyAlignment="1">
      <alignment horizontal="left"/>
    </xf>
    <xf numFmtId="0" fontId="101" fillId="8" borderId="4" xfId="3" applyFont="1" applyFill="1" applyBorder="1" applyAlignment="1">
      <alignment horizontal="left"/>
    </xf>
    <xf numFmtId="0" fontId="104" fillId="15" borderId="16" xfId="3" applyFont="1" applyFill="1" applyBorder="1" applyAlignment="1">
      <alignment horizontal="center"/>
    </xf>
    <xf numFmtId="0" fontId="104" fillId="15" borderId="3" xfId="3" applyFont="1" applyFill="1" applyBorder="1" applyAlignment="1">
      <alignment horizontal="center"/>
    </xf>
    <xf numFmtId="0" fontId="104" fillId="15" borderId="4" xfId="3" applyFont="1" applyFill="1" applyBorder="1" applyAlignment="1">
      <alignment horizontal="center"/>
    </xf>
    <xf numFmtId="0" fontId="103" fillId="2" borderId="16" xfId="3" applyFont="1" applyFill="1" applyBorder="1" applyAlignment="1">
      <alignment horizontal="center" vertical="justify"/>
    </xf>
    <xf numFmtId="0" fontId="103" fillId="2" borderId="3" xfId="3" applyFont="1" applyFill="1" applyBorder="1" applyAlignment="1">
      <alignment horizontal="center" vertical="justify"/>
    </xf>
    <xf numFmtId="0" fontId="103" fillId="2" borderId="29" xfId="3" applyFont="1" applyFill="1" applyBorder="1" applyAlignment="1">
      <alignment horizontal="center" vertical="justify"/>
    </xf>
    <xf numFmtId="0" fontId="104" fillId="15" borderId="16" xfId="3" applyFont="1" applyFill="1" applyBorder="1" applyAlignment="1">
      <alignment horizontal="center" vertical="center"/>
    </xf>
    <xf numFmtId="0" fontId="104" fillId="15" borderId="3" xfId="3" applyFont="1" applyFill="1" applyBorder="1" applyAlignment="1">
      <alignment horizontal="center" vertical="center"/>
    </xf>
    <xf numFmtId="0" fontId="104" fillId="15" borderId="4" xfId="3" applyFont="1" applyFill="1" applyBorder="1" applyAlignment="1">
      <alignment horizontal="center" vertical="center"/>
    </xf>
    <xf numFmtId="0" fontId="99" fillId="8" borderId="19" xfId="3" applyFont="1" applyFill="1" applyBorder="1" applyAlignment="1">
      <alignment horizontal="center"/>
    </xf>
    <xf numFmtId="0" fontId="99" fillId="8" borderId="14" xfId="3" applyFont="1" applyFill="1" applyBorder="1" applyAlignment="1">
      <alignment horizontal="center"/>
    </xf>
    <xf numFmtId="0" fontId="99" fillId="8" borderId="20" xfId="3" applyFont="1" applyFill="1" applyBorder="1" applyAlignment="1">
      <alignment horizontal="center"/>
    </xf>
    <xf numFmtId="0" fontId="101" fillId="9" borderId="2" xfId="3" applyFont="1" applyFill="1" applyBorder="1" applyAlignment="1">
      <alignment horizontal="center"/>
    </xf>
    <xf numFmtId="0" fontId="101" fillId="9" borderId="4" xfId="3" applyFont="1" applyFill="1" applyBorder="1" applyAlignment="1">
      <alignment horizontal="center"/>
    </xf>
    <xf numFmtId="0" fontId="112" fillId="15" borderId="16" xfId="4" applyFont="1" applyFill="1" applyBorder="1" applyAlignment="1">
      <alignment horizontal="left"/>
    </xf>
    <xf numFmtId="0" fontId="112" fillId="15" borderId="3" xfId="4" applyFont="1" applyFill="1" applyBorder="1" applyAlignment="1">
      <alignment horizontal="left"/>
    </xf>
    <xf numFmtId="0" fontId="112" fillId="15" borderId="29" xfId="4" applyFont="1" applyFill="1" applyBorder="1" applyAlignment="1">
      <alignment horizontal="left"/>
    </xf>
    <xf numFmtId="0" fontId="101" fillId="2" borderId="16" xfId="4" applyFont="1" applyFill="1" applyBorder="1" applyAlignment="1">
      <alignment horizontal="left"/>
    </xf>
    <xf numFmtId="0" fontId="101" fillId="2" borderId="3" xfId="4" applyFont="1" applyFill="1" applyBorder="1" applyAlignment="1">
      <alignment horizontal="left"/>
    </xf>
    <xf numFmtId="0" fontId="101" fillId="2" borderId="4" xfId="4" applyFont="1" applyFill="1" applyBorder="1" applyAlignment="1">
      <alignment horizontal="left"/>
    </xf>
    <xf numFmtId="0" fontId="107" fillId="0" borderId="16" xfId="4" applyFont="1" applyBorder="1" applyAlignment="1">
      <alignment horizontal="left"/>
    </xf>
    <xf numFmtId="0" fontId="107" fillId="0" borderId="3" xfId="4" applyFont="1" applyBorder="1" applyAlignment="1">
      <alignment horizontal="left"/>
    </xf>
    <xf numFmtId="0" fontId="107" fillId="0" borderId="4" xfId="4" applyFont="1" applyBorder="1" applyAlignment="1">
      <alignment horizontal="left"/>
    </xf>
    <xf numFmtId="0" fontId="101" fillId="16" borderId="16" xfId="3" applyFont="1" applyFill="1" applyBorder="1" applyAlignment="1">
      <alignment horizontal="left"/>
    </xf>
    <xf numFmtId="0" fontId="101" fillId="16" borderId="3" xfId="3" applyFont="1" applyFill="1" applyBorder="1" applyAlignment="1">
      <alignment horizontal="left"/>
    </xf>
    <xf numFmtId="0" fontId="101" fillId="16" borderId="4" xfId="3" applyFont="1" applyFill="1" applyBorder="1" applyAlignment="1">
      <alignment horizontal="left"/>
    </xf>
    <xf numFmtId="0" fontId="101" fillId="15" borderId="16" xfId="3" applyFont="1" applyFill="1" applyBorder="1" applyAlignment="1">
      <alignment horizontal="left"/>
    </xf>
    <xf numFmtId="0" fontId="101" fillId="15" borderId="3" xfId="3" applyFont="1" applyFill="1" applyBorder="1" applyAlignment="1">
      <alignment horizontal="left"/>
    </xf>
    <xf numFmtId="0" fontId="101" fillId="15" borderId="4" xfId="3" applyFont="1" applyFill="1" applyBorder="1" applyAlignment="1">
      <alignment horizontal="left"/>
    </xf>
    <xf numFmtId="0" fontId="101" fillId="15" borderId="16" xfId="3" applyFont="1" applyFill="1" applyBorder="1" applyAlignment="1">
      <alignment horizontal="center"/>
    </xf>
    <xf numFmtId="0" fontId="101" fillId="15" borderId="4" xfId="3" applyFont="1" applyFill="1" applyBorder="1" applyAlignment="1">
      <alignment horizontal="center"/>
    </xf>
    <xf numFmtId="0" fontId="101" fillId="17" borderId="28" xfId="0" applyFont="1" applyFill="1" applyBorder="1" applyAlignment="1">
      <alignment horizontal="center"/>
    </xf>
    <xf numFmtId="0" fontId="101" fillId="17" borderId="5" xfId="0" applyFont="1" applyFill="1" applyBorder="1" applyAlignment="1">
      <alignment horizontal="center"/>
    </xf>
    <xf numFmtId="0" fontId="95" fillId="0" borderId="16" xfId="0" applyFont="1" applyBorder="1" applyAlignment="1">
      <alignment horizontal="left"/>
    </xf>
    <xf numFmtId="0" fontId="95" fillId="0" borderId="4" xfId="0" applyFont="1" applyBorder="1" applyAlignment="1">
      <alignment horizontal="left"/>
    </xf>
    <xf numFmtId="0" fontId="95" fillId="0" borderId="3" xfId="0" applyFont="1" applyBorder="1" applyAlignment="1">
      <alignment horizontal="left"/>
    </xf>
    <xf numFmtId="0" fontId="95" fillId="18" borderId="16" xfId="0" applyFont="1" applyFill="1" applyBorder="1" applyAlignment="1">
      <alignment horizontal="left"/>
    </xf>
    <xf numFmtId="0" fontId="95" fillId="18" borderId="4" xfId="0" applyFont="1" applyFill="1" applyBorder="1" applyAlignment="1">
      <alignment horizontal="left"/>
    </xf>
    <xf numFmtId="0" fontId="95" fillId="17" borderId="16" xfId="0" applyFont="1" applyFill="1" applyBorder="1" applyAlignment="1">
      <alignment horizontal="left"/>
    </xf>
    <xf numFmtId="0" fontId="95" fillId="17" borderId="4" xfId="0" applyFont="1" applyFill="1" applyBorder="1" applyAlignment="1">
      <alignment horizontal="left"/>
    </xf>
    <xf numFmtId="0" fontId="101" fillId="8" borderId="27" xfId="3" applyFont="1" applyFill="1" applyBorder="1" applyAlignment="1">
      <alignment horizontal="left"/>
    </xf>
    <xf numFmtId="0" fontId="101" fillId="8" borderId="10" xfId="3" applyFont="1" applyFill="1" applyBorder="1" applyAlignment="1">
      <alignment horizontal="left"/>
    </xf>
    <xf numFmtId="0" fontId="101" fillId="8" borderId="11" xfId="3" applyFont="1" applyFill="1" applyBorder="1" applyAlignment="1">
      <alignment horizontal="left"/>
    </xf>
    <xf numFmtId="0" fontId="106" fillId="18" borderId="16" xfId="0" applyFont="1" applyFill="1" applyBorder="1" applyAlignment="1">
      <alignment horizontal="left"/>
    </xf>
    <xf numFmtId="0" fontId="106" fillId="18" borderId="4" xfId="0" applyFont="1" applyFill="1" applyBorder="1" applyAlignment="1">
      <alignment horizontal="left"/>
    </xf>
    <xf numFmtId="0" fontId="106" fillId="0" borderId="16" xfId="0" applyFont="1" applyBorder="1" applyAlignment="1">
      <alignment horizontal="left"/>
    </xf>
    <xf numFmtId="0" fontId="106" fillId="0" borderId="4" xfId="0" applyFont="1" applyBorder="1" applyAlignment="1">
      <alignment horizontal="left"/>
    </xf>
    <xf numFmtId="0" fontId="106" fillId="0" borderId="16" xfId="0" applyFont="1" applyFill="1" applyBorder="1" applyAlignment="1">
      <alignment horizontal="left"/>
    </xf>
    <xf numFmtId="0" fontId="106" fillId="0" borderId="4" xfId="0" applyFont="1" applyFill="1" applyBorder="1" applyAlignment="1">
      <alignment horizontal="left"/>
    </xf>
    <xf numFmtId="0" fontId="101" fillId="2" borderId="1" xfId="4" applyFont="1" applyFill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67" fillId="8" borderId="22" xfId="3" applyFont="1" applyFill="1" applyBorder="1" applyAlignment="1">
      <alignment horizontal="left"/>
    </xf>
    <xf numFmtId="0" fontId="67" fillId="8" borderId="7" xfId="3" applyFont="1" applyFill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6" fillId="16" borderId="21" xfId="3" applyFont="1" applyFill="1" applyBorder="1" applyAlignment="1">
      <alignment horizontal="left"/>
    </xf>
    <xf numFmtId="0" fontId="66" fillId="16" borderId="1" xfId="3" applyFont="1" applyFill="1" applyBorder="1" applyAlignment="1">
      <alignment horizontal="left"/>
    </xf>
    <xf numFmtId="0" fontId="66" fillId="15" borderId="2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6" fillId="15" borderId="21" xfId="3" applyFont="1" applyFill="1" applyBorder="1" applyAlignment="1">
      <alignment horizontal="center"/>
    </xf>
    <xf numFmtId="0" fontId="66" fillId="15" borderId="1" xfId="3" applyFont="1" applyFill="1" applyBorder="1" applyAlignment="1">
      <alignment horizontal="center"/>
    </xf>
    <xf numFmtId="0" fontId="67" fillId="17" borderId="34" xfId="0" applyFont="1" applyFill="1" applyBorder="1" applyAlignment="1">
      <alignment horizontal="center"/>
    </xf>
    <xf numFmtId="0" fontId="67" fillId="17" borderId="0" xfId="0" applyFont="1" applyFill="1" applyBorder="1" applyAlignment="1">
      <alignment horizontal="center"/>
    </xf>
    <xf numFmtId="0" fontId="75" fillId="0" borderId="2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71" fillId="0" borderId="1" xfId="4" applyFont="1" applyBorder="1" applyAlignment="1">
      <alignment horizontal="left"/>
    </xf>
    <xf numFmtId="0" fontId="55" fillId="15" borderId="21" xfId="4" applyFont="1" applyFill="1" applyBorder="1" applyAlignment="1">
      <alignment horizontal="left"/>
    </xf>
    <xf numFmtId="0" fontId="55" fillId="15" borderId="1" xfId="4" applyFont="1" applyFill="1" applyBorder="1" applyAlignment="1">
      <alignment horizontal="left"/>
    </xf>
    <xf numFmtId="0" fontId="55" fillId="15" borderId="15" xfId="4" applyFont="1" applyFill="1" applyBorder="1" applyAlignment="1">
      <alignment horizontal="left"/>
    </xf>
    <xf numFmtId="0" fontId="84" fillId="15" borderId="21" xfId="3" applyFont="1" applyFill="1" applyBorder="1" applyAlignment="1">
      <alignment horizontal="center"/>
    </xf>
    <xf numFmtId="0" fontId="84" fillId="15" borderId="1" xfId="3" applyFont="1" applyFill="1" applyBorder="1" applyAlignment="1">
      <alignment horizontal="center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7" fillId="2" borderId="21" xfId="4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84" fillId="15" borderId="21" xfId="3" applyFont="1" applyFill="1" applyBorder="1" applyAlignment="1">
      <alignment horizontal="center" vertical="center"/>
    </xf>
    <xf numFmtId="0" fontId="84" fillId="15" borderId="1" xfId="3" applyFont="1" applyFill="1" applyBorder="1" applyAlignment="1">
      <alignment horizontal="center" vertical="center"/>
    </xf>
    <xf numFmtId="0" fontId="75" fillId="18" borderId="21" xfId="0" applyFont="1" applyFill="1" applyBorder="1" applyAlignment="1">
      <alignment horizontal="left"/>
    </xf>
    <xf numFmtId="0" fontId="75" fillId="18" borderId="1" xfId="0" applyFont="1" applyFill="1" applyBorder="1" applyAlignment="1">
      <alignment horizontal="left"/>
    </xf>
    <xf numFmtId="0" fontId="75" fillId="17" borderId="21" xfId="0" applyFont="1" applyFill="1" applyBorder="1" applyAlignment="1">
      <alignment horizontal="left"/>
    </xf>
    <xf numFmtId="0" fontId="75" fillId="17" borderId="1" xfId="0" applyFont="1" applyFill="1" applyBorder="1" applyAlignment="1">
      <alignment horizontal="left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2" fillId="0" borderId="21" xfId="0" applyFont="1" applyFill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24.020000000000437</c:v>
                </c:pt>
                <c:pt idx="1">
                  <c:v>23.549999999999272</c:v>
                </c:pt>
                <c:pt idx="2">
                  <c:v>24</c:v>
                </c:pt>
                <c:pt idx="3">
                  <c:v>24.3</c:v>
                </c:pt>
                <c:pt idx="4">
                  <c:v>23.7</c:v>
                </c:pt>
                <c:pt idx="5">
                  <c:v>24.269999999999996</c:v>
                </c:pt>
                <c:pt idx="6">
                  <c:v>24</c:v>
                </c:pt>
                <c:pt idx="7">
                  <c:v>23.950000000000003</c:v>
                </c:pt>
                <c:pt idx="8">
                  <c:v>23.860000000000014</c:v>
                </c:pt>
                <c:pt idx="9">
                  <c:v>27.340000000001453</c:v>
                </c:pt>
                <c:pt idx="10">
                  <c:v>27.340000000001453</c:v>
                </c:pt>
                <c:pt idx="11">
                  <c:v>24.090000000000003</c:v>
                </c:pt>
                <c:pt idx="12">
                  <c:v>23.879999999999995</c:v>
                </c:pt>
                <c:pt idx="13">
                  <c:v>23.78</c:v>
                </c:pt>
                <c:pt idx="14">
                  <c:v>24</c:v>
                </c:pt>
                <c:pt idx="15">
                  <c:v>23.759999999998399</c:v>
                </c:pt>
                <c:pt idx="16">
                  <c:v>24</c:v>
                </c:pt>
                <c:pt idx="17">
                  <c:v>24</c:v>
                </c:pt>
                <c:pt idx="18">
                  <c:v>23.75</c:v>
                </c:pt>
                <c:pt idx="19">
                  <c:v>23.75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23.580000000001746</c:v>
                </c:pt>
                <c:pt idx="25">
                  <c:v>24.489999999997963</c:v>
                </c:pt>
                <c:pt idx="26">
                  <c:v>24.080000000001746</c:v>
                </c:pt>
                <c:pt idx="27">
                  <c:v>24.029999999998836</c:v>
                </c:pt>
                <c:pt idx="28">
                  <c:v>24.079999999998108</c:v>
                </c:pt>
                <c:pt idx="29">
                  <c:v>24.210000000002765</c:v>
                </c:pt>
                <c:pt idx="30">
                  <c:v>23.919999999998254</c:v>
                </c:pt>
                <c:pt idx="31">
                  <c:v>749.73000000000036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-911598960"/>
        <c:axId val="-911602768"/>
      </c:lineChart>
      <c:catAx>
        <c:axId val="-91159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11602768"/>
        <c:crosses val="autoZero"/>
        <c:auto val="1"/>
        <c:lblAlgn val="ctr"/>
        <c:lblOffset val="100"/>
        <c:noMultiLvlLbl val="0"/>
      </c:catAx>
      <c:valAx>
        <c:axId val="-91160276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-911598960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8.0899999999965075</c:v>
                </c:pt>
                <c:pt idx="1">
                  <c:v>5.8099999999976717</c:v>
                </c:pt>
                <c:pt idx="2">
                  <c:v>9.0299999999951979</c:v>
                </c:pt>
                <c:pt idx="3">
                  <c:v>5.7799999999988358</c:v>
                </c:pt>
                <c:pt idx="4">
                  <c:v>7.4000000000050932</c:v>
                </c:pt>
                <c:pt idx="5">
                  <c:v>6.9799999999995634</c:v>
                </c:pt>
                <c:pt idx="6">
                  <c:v>10.349999999991269</c:v>
                </c:pt>
                <c:pt idx="7">
                  <c:v>9.2400000000016007</c:v>
                </c:pt>
                <c:pt idx="8">
                  <c:v>8.819999999999709</c:v>
                </c:pt>
                <c:pt idx="9">
                  <c:v>8.4100000000071304</c:v>
                </c:pt>
                <c:pt idx="10">
                  <c:v>8.4100000000071304</c:v>
                </c:pt>
                <c:pt idx="11">
                  <c:v>8.9800000000068394</c:v>
                </c:pt>
                <c:pt idx="12">
                  <c:v>8.069999999999709</c:v>
                </c:pt>
                <c:pt idx="13">
                  <c:v>8.7700000000004366</c:v>
                </c:pt>
                <c:pt idx="14">
                  <c:v>7.4899999999979627</c:v>
                </c:pt>
                <c:pt idx="15">
                  <c:v>5.0000000002910383E-2</c:v>
                </c:pt>
                <c:pt idx="16">
                  <c:v>10.520000000000437</c:v>
                </c:pt>
                <c:pt idx="17">
                  <c:v>6.0899999999965075</c:v>
                </c:pt>
                <c:pt idx="18">
                  <c:v>5.5099999999947613</c:v>
                </c:pt>
                <c:pt idx="19">
                  <c:v>5.5099999999947613</c:v>
                </c:pt>
                <c:pt idx="20">
                  <c:v>11.819999999999709</c:v>
                </c:pt>
                <c:pt idx="21">
                  <c:v>7.1100000000005821</c:v>
                </c:pt>
                <c:pt idx="22">
                  <c:v>8.0900000000001455</c:v>
                </c:pt>
                <c:pt idx="23">
                  <c:v>7.1999999999934516</c:v>
                </c:pt>
                <c:pt idx="24">
                  <c:v>7.1999999999934516</c:v>
                </c:pt>
                <c:pt idx="25">
                  <c:v>8.0599999999976717</c:v>
                </c:pt>
                <c:pt idx="26">
                  <c:v>6.1000000000021828</c:v>
                </c:pt>
                <c:pt idx="27">
                  <c:v>8.7399999999979627</c:v>
                </c:pt>
                <c:pt idx="28">
                  <c:v>5.819999999999709</c:v>
                </c:pt>
                <c:pt idx="29">
                  <c:v>7.7400000000016007</c:v>
                </c:pt>
                <c:pt idx="30">
                  <c:v>6.3300000000017462</c:v>
                </c:pt>
                <c:pt idx="31">
                  <c:v>233.51999999998225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911589168"/>
        <c:axId val="-911599504"/>
      </c:lineChart>
      <c:catAx>
        <c:axId val="-91158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11599504"/>
        <c:crosses val="autoZero"/>
        <c:auto val="1"/>
        <c:lblAlgn val="ctr"/>
        <c:lblOffset val="100"/>
        <c:noMultiLvlLbl val="0"/>
      </c:catAx>
      <c:valAx>
        <c:axId val="-911599504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1158916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495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223</c:v>
                </c:pt>
                <c:pt idx="1">
                  <c:v>133</c:v>
                </c:pt>
                <c:pt idx="2">
                  <c:v>133</c:v>
                </c:pt>
                <c:pt idx="3">
                  <c:v>153</c:v>
                </c:pt>
                <c:pt idx="4">
                  <c:v>172</c:v>
                </c:pt>
                <c:pt idx="5">
                  <c:v>168</c:v>
                </c:pt>
                <c:pt idx="6">
                  <c:v>137</c:v>
                </c:pt>
                <c:pt idx="7">
                  <c:v>213</c:v>
                </c:pt>
                <c:pt idx="8">
                  <c:v>212</c:v>
                </c:pt>
                <c:pt idx="9">
                  <c:v>253</c:v>
                </c:pt>
                <c:pt idx="10">
                  <c:v>253</c:v>
                </c:pt>
                <c:pt idx="11">
                  <c:v>276</c:v>
                </c:pt>
                <c:pt idx="12">
                  <c:v>236</c:v>
                </c:pt>
                <c:pt idx="13">
                  <c:v>179</c:v>
                </c:pt>
                <c:pt idx="14">
                  <c:v>196</c:v>
                </c:pt>
                <c:pt idx="15">
                  <c:v>155</c:v>
                </c:pt>
                <c:pt idx="16">
                  <c:v>198</c:v>
                </c:pt>
                <c:pt idx="17">
                  <c:v>175</c:v>
                </c:pt>
                <c:pt idx="18">
                  <c:v>194</c:v>
                </c:pt>
                <c:pt idx="19">
                  <c:v>194</c:v>
                </c:pt>
                <c:pt idx="20">
                  <c:v>175</c:v>
                </c:pt>
                <c:pt idx="21">
                  <c:v>155</c:v>
                </c:pt>
                <c:pt idx="22">
                  <c:v>169</c:v>
                </c:pt>
                <c:pt idx="23">
                  <c:v>214</c:v>
                </c:pt>
                <c:pt idx="24">
                  <c:v>174</c:v>
                </c:pt>
                <c:pt idx="25">
                  <c:v>275</c:v>
                </c:pt>
                <c:pt idx="26">
                  <c:v>185</c:v>
                </c:pt>
                <c:pt idx="27">
                  <c:v>216</c:v>
                </c:pt>
                <c:pt idx="28">
                  <c:v>165</c:v>
                </c:pt>
                <c:pt idx="29">
                  <c:v>174</c:v>
                </c:pt>
                <c:pt idx="30">
                  <c:v>184</c:v>
                </c:pt>
                <c:pt idx="31">
                  <c:v>5939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-911594064"/>
        <c:axId val="-911598416"/>
      </c:lineChart>
      <c:catAx>
        <c:axId val="-91159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11598416"/>
        <c:crosses val="autoZero"/>
        <c:auto val="1"/>
        <c:lblAlgn val="ctr"/>
        <c:lblOffset val="100"/>
        <c:noMultiLvlLbl val="0"/>
      </c:catAx>
      <c:valAx>
        <c:axId val="-91159841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1159406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4866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510.75699999998324</c:v>
                </c:pt>
                <c:pt idx="1">
                  <c:v>605.86199999996461</c:v>
                </c:pt>
                <c:pt idx="2">
                  <c:v>518.45100000011735</c:v>
                </c:pt>
                <c:pt idx="3">
                  <c:v>691.17599999997765</c:v>
                </c:pt>
                <c:pt idx="4">
                  <c:v>640.45600000000559</c:v>
                </c:pt>
                <c:pt idx="5">
                  <c:v>745.69699999992736</c:v>
                </c:pt>
                <c:pt idx="6">
                  <c:v>709</c:v>
                </c:pt>
                <c:pt idx="7">
                  <c:v>776.34000000008382</c:v>
                </c:pt>
                <c:pt idx="8">
                  <c:v>820.58999999985099</c:v>
                </c:pt>
                <c:pt idx="9">
                  <c:v>827.6500000001397</c:v>
                </c:pt>
                <c:pt idx="10">
                  <c:v>827.6500000001397</c:v>
                </c:pt>
                <c:pt idx="11">
                  <c:v>790.01000000000931</c:v>
                </c:pt>
                <c:pt idx="12">
                  <c:v>787</c:v>
                </c:pt>
                <c:pt idx="13">
                  <c:v>786</c:v>
                </c:pt>
                <c:pt idx="14">
                  <c:v>719</c:v>
                </c:pt>
                <c:pt idx="15">
                  <c:v>410</c:v>
                </c:pt>
                <c:pt idx="16">
                  <c:v>787</c:v>
                </c:pt>
                <c:pt idx="17">
                  <c:v>539</c:v>
                </c:pt>
                <c:pt idx="18">
                  <c:v>547.31000000005588</c:v>
                </c:pt>
                <c:pt idx="19">
                  <c:v>547.31000000005588</c:v>
                </c:pt>
                <c:pt idx="20">
                  <c:v>812</c:v>
                </c:pt>
                <c:pt idx="21">
                  <c:v>691</c:v>
                </c:pt>
                <c:pt idx="22">
                  <c:v>725</c:v>
                </c:pt>
                <c:pt idx="23">
                  <c:v>719</c:v>
                </c:pt>
                <c:pt idx="24">
                  <c:v>712.52000000001863</c:v>
                </c:pt>
                <c:pt idx="25">
                  <c:v>822.59000000008382</c:v>
                </c:pt>
                <c:pt idx="26">
                  <c:v>702.02999999979511</c:v>
                </c:pt>
                <c:pt idx="27">
                  <c:v>776.81000000005588</c:v>
                </c:pt>
                <c:pt idx="28">
                  <c:v>690.05000000004657</c:v>
                </c:pt>
                <c:pt idx="29">
                  <c:v>786</c:v>
                </c:pt>
                <c:pt idx="30">
                  <c:v>827.6500000001397</c:v>
                </c:pt>
                <c:pt idx="31">
                  <c:v>21850.909000000451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11593520"/>
        <c:axId val="-911592976"/>
      </c:lineChart>
      <c:catAx>
        <c:axId val="-91159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11592976"/>
        <c:crosses val="autoZero"/>
        <c:auto val="1"/>
        <c:lblAlgn val="ctr"/>
        <c:lblOffset val="100"/>
        <c:noMultiLvlLbl val="0"/>
      </c:catAx>
      <c:valAx>
        <c:axId val="-91159297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1159352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084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4233.7640000000029</c:v>
                </c:pt>
                <c:pt idx="1">
                  <c:v>4163.9559999999983</c:v>
                </c:pt>
                <c:pt idx="2">
                  <c:v>4015.398000000001</c:v>
                </c:pt>
                <c:pt idx="3">
                  <c:v>4209.5449999999983</c:v>
                </c:pt>
                <c:pt idx="4">
                  <c:v>4092.5250000000087</c:v>
                </c:pt>
                <c:pt idx="5">
                  <c:v>4280.1049999999959</c:v>
                </c:pt>
                <c:pt idx="6">
                  <c:v>4516.1699999999983</c:v>
                </c:pt>
                <c:pt idx="7">
                  <c:v>4105.0699999999924</c:v>
                </c:pt>
                <c:pt idx="8">
                  <c:v>4334.6399999999994</c:v>
                </c:pt>
                <c:pt idx="9">
                  <c:v>4326.1000000000058</c:v>
                </c:pt>
                <c:pt idx="10">
                  <c:v>4326.1000000000058</c:v>
                </c:pt>
                <c:pt idx="11">
                  <c:v>4438.8699999999953</c:v>
                </c:pt>
                <c:pt idx="12">
                  <c:v>4114.5500000000029</c:v>
                </c:pt>
                <c:pt idx="13">
                  <c:v>4090</c:v>
                </c:pt>
                <c:pt idx="14">
                  <c:v>4210</c:v>
                </c:pt>
                <c:pt idx="15">
                  <c:v>4203</c:v>
                </c:pt>
                <c:pt idx="16">
                  <c:v>4175</c:v>
                </c:pt>
                <c:pt idx="17">
                  <c:v>4194</c:v>
                </c:pt>
                <c:pt idx="18">
                  <c:v>4054</c:v>
                </c:pt>
                <c:pt idx="19">
                  <c:v>0</c:v>
                </c:pt>
                <c:pt idx="20">
                  <c:v>4396</c:v>
                </c:pt>
                <c:pt idx="21">
                  <c:v>4199</c:v>
                </c:pt>
                <c:pt idx="22">
                  <c:v>4188</c:v>
                </c:pt>
                <c:pt idx="23">
                  <c:v>4231</c:v>
                </c:pt>
                <c:pt idx="24">
                  <c:v>4052.4400000000023</c:v>
                </c:pt>
                <c:pt idx="25">
                  <c:v>4399.4599999999919</c:v>
                </c:pt>
                <c:pt idx="26">
                  <c:v>4508.8399999999965</c:v>
                </c:pt>
                <c:pt idx="27">
                  <c:v>4191.4200000000128</c:v>
                </c:pt>
                <c:pt idx="28">
                  <c:v>3995.2099999999919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-911591344"/>
        <c:axId val="-911590256"/>
      </c:lineChart>
      <c:catAx>
        <c:axId val="-91159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11590256"/>
        <c:crosses val="autoZero"/>
        <c:auto val="1"/>
        <c:lblAlgn val="ctr"/>
        <c:lblOffset val="100"/>
        <c:noMultiLvlLbl val="0"/>
      </c:catAx>
      <c:valAx>
        <c:axId val="-91159025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11591344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-0.40000000002328306</c:v>
                </c:pt>
                <c:pt idx="1">
                  <c:v>0.40000000002328306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04062672"/>
        <c:axId val="-904053424"/>
      </c:lineChart>
      <c:catAx>
        <c:axId val="-90406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53424"/>
        <c:crosses val="autoZero"/>
        <c:auto val="1"/>
        <c:lblAlgn val="ctr"/>
        <c:lblOffset val="100"/>
        <c:noMultiLvlLbl val="0"/>
      </c:catAx>
      <c:valAx>
        <c:axId val="-90405342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626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30">
                  <c:v>30</c:v>
                </c:pt>
                <c:pt idx="31">
                  <c:v>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04063216"/>
        <c:axId val="-904057776"/>
      </c:lineChart>
      <c:catAx>
        <c:axId val="-90406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57776"/>
        <c:crosses val="autoZero"/>
        <c:auto val="1"/>
        <c:lblAlgn val="ctr"/>
        <c:lblOffset val="100"/>
        <c:noMultiLvlLbl val="0"/>
      </c:catAx>
      <c:valAx>
        <c:axId val="-9040577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-9040632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469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469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469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19245</c:v>
                </c:pt>
                <c:pt idx="1">
                  <c:v>19450</c:v>
                </c:pt>
                <c:pt idx="2">
                  <c:v>18679</c:v>
                </c:pt>
                <c:pt idx="3">
                  <c:v>19611</c:v>
                </c:pt>
                <c:pt idx="4">
                  <c:v>19138</c:v>
                </c:pt>
                <c:pt idx="5">
                  <c:v>19631</c:v>
                </c:pt>
                <c:pt idx="6">
                  <c:v>21704</c:v>
                </c:pt>
                <c:pt idx="7">
                  <c:v>19409</c:v>
                </c:pt>
                <c:pt idx="8">
                  <c:v>21703</c:v>
                </c:pt>
                <c:pt idx="9">
                  <c:v>22555</c:v>
                </c:pt>
                <c:pt idx="10">
                  <c:v>22555</c:v>
                </c:pt>
                <c:pt idx="11">
                  <c:v>21691</c:v>
                </c:pt>
                <c:pt idx="12">
                  <c:v>19954</c:v>
                </c:pt>
                <c:pt idx="13">
                  <c:v>20124</c:v>
                </c:pt>
                <c:pt idx="14">
                  <c:v>19945</c:v>
                </c:pt>
                <c:pt idx="15">
                  <c:v>19650</c:v>
                </c:pt>
                <c:pt idx="16">
                  <c:v>19937</c:v>
                </c:pt>
                <c:pt idx="17">
                  <c:v>20158</c:v>
                </c:pt>
                <c:pt idx="18">
                  <c:v>19378</c:v>
                </c:pt>
                <c:pt idx="19">
                  <c:v>19378</c:v>
                </c:pt>
                <c:pt idx="20">
                  <c:v>18976</c:v>
                </c:pt>
                <c:pt idx="21">
                  <c:v>17828</c:v>
                </c:pt>
                <c:pt idx="22">
                  <c:v>18710</c:v>
                </c:pt>
                <c:pt idx="23">
                  <c:v>19068</c:v>
                </c:pt>
                <c:pt idx="24">
                  <c:v>20166</c:v>
                </c:pt>
                <c:pt idx="25">
                  <c:v>21593</c:v>
                </c:pt>
                <c:pt idx="26">
                  <c:v>22134</c:v>
                </c:pt>
                <c:pt idx="27">
                  <c:v>18760</c:v>
                </c:pt>
                <c:pt idx="28">
                  <c:v>17471</c:v>
                </c:pt>
                <c:pt idx="29">
                  <c:v>17884</c:v>
                </c:pt>
                <c:pt idx="30">
                  <c:v>19398</c:v>
                </c:pt>
                <c:pt idx="31">
                  <c:v>615883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904061584"/>
        <c:axId val="-904059408"/>
      </c:lineChart>
      <c:catAx>
        <c:axId val="-90406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59408"/>
        <c:crosses val="autoZero"/>
        <c:auto val="1"/>
        <c:lblAlgn val="ctr"/>
        <c:lblOffset val="100"/>
        <c:noMultiLvlLbl val="0"/>
      </c:catAx>
      <c:valAx>
        <c:axId val="-904059408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6158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5.8899999999999864</c:v>
                </c:pt>
                <c:pt idx="1">
                  <c:v>5.5299999999999727</c:v>
                </c:pt>
                <c:pt idx="2">
                  <c:v>5.32000000000005</c:v>
                </c:pt>
                <c:pt idx="3">
                  <c:v>6.3899999999999864</c:v>
                </c:pt>
                <c:pt idx="4">
                  <c:v>5.6699999999999591</c:v>
                </c:pt>
                <c:pt idx="5">
                  <c:v>5.7799999999999727</c:v>
                </c:pt>
                <c:pt idx="6">
                  <c:v>5.2000000000000455</c:v>
                </c:pt>
                <c:pt idx="7">
                  <c:v>5.3099999999999454</c:v>
                </c:pt>
                <c:pt idx="8">
                  <c:v>5.1900000000000546</c:v>
                </c:pt>
                <c:pt idx="9">
                  <c:v>6.0099999999999909</c:v>
                </c:pt>
                <c:pt idx="10">
                  <c:v>6.0099999999999909</c:v>
                </c:pt>
                <c:pt idx="11">
                  <c:v>5.6500000000000909</c:v>
                </c:pt>
                <c:pt idx="12">
                  <c:v>5.8899999999999864</c:v>
                </c:pt>
                <c:pt idx="13">
                  <c:v>5.9599999999999227</c:v>
                </c:pt>
                <c:pt idx="14">
                  <c:v>6.07000000000005</c:v>
                </c:pt>
                <c:pt idx="15">
                  <c:v>6.7100000000000364</c:v>
                </c:pt>
                <c:pt idx="16">
                  <c:v>5.3899999999998727</c:v>
                </c:pt>
                <c:pt idx="17">
                  <c:v>6.0800000000001546</c:v>
                </c:pt>
                <c:pt idx="18">
                  <c:v>5.9200000000000728</c:v>
                </c:pt>
                <c:pt idx="19">
                  <c:v>5.9200000000000728</c:v>
                </c:pt>
                <c:pt idx="20">
                  <c:v>6.1100000000001273</c:v>
                </c:pt>
                <c:pt idx="21">
                  <c:v>7.2800000000006548</c:v>
                </c:pt>
                <c:pt idx="22">
                  <c:v>6.5</c:v>
                </c:pt>
                <c:pt idx="23">
                  <c:v>7.1499999999996362</c:v>
                </c:pt>
                <c:pt idx="24">
                  <c:v>7.1499999999996362</c:v>
                </c:pt>
                <c:pt idx="25">
                  <c:v>7.4699999999993452</c:v>
                </c:pt>
                <c:pt idx="26">
                  <c:v>7.3500000000003638</c:v>
                </c:pt>
                <c:pt idx="27">
                  <c:v>7.2699999999995271</c:v>
                </c:pt>
                <c:pt idx="28">
                  <c:v>8.2000000000007276</c:v>
                </c:pt>
                <c:pt idx="29">
                  <c:v>8.7199999999993452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04065936"/>
        <c:axId val="-904064848"/>
      </c:lineChart>
      <c:catAx>
        <c:axId val="-90406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64848"/>
        <c:crosses val="autoZero"/>
        <c:auto val="1"/>
        <c:lblAlgn val="ctr"/>
        <c:lblOffset val="100"/>
        <c:noMultiLvlLbl val="0"/>
      </c:catAx>
      <c:valAx>
        <c:axId val="-904064848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659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3454E-2"/>
          <c:w val="0.84489954093854813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207.00600000005215</c:v>
                </c:pt>
                <c:pt idx="1">
                  <c:v>200.36499999999069</c:v>
                </c:pt>
                <c:pt idx="2">
                  <c:v>206.9890000000596</c:v>
                </c:pt>
                <c:pt idx="3">
                  <c:v>181.94999999995343</c:v>
                </c:pt>
                <c:pt idx="4">
                  <c:v>187.07999999995809</c:v>
                </c:pt>
                <c:pt idx="5">
                  <c:v>185.25</c:v>
                </c:pt>
                <c:pt idx="6">
                  <c:v>213.98999999999069</c:v>
                </c:pt>
                <c:pt idx="7">
                  <c:v>213.98999999999069</c:v>
                </c:pt>
                <c:pt idx="8">
                  <c:v>199.63000000000466</c:v>
                </c:pt>
                <c:pt idx="9">
                  <c:v>211.21999999997206</c:v>
                </c:pt>
                <c:pt idx="10">
                  <c:v>213</c:v>
                </c:pt>
                <c:pt idx="11">
                  <c:v>236</c:v>
                </c:pt>
                <c:pt idx="12">
                  <c:v>216</c:v>
                </c:pt>
                <c:pt idx="13">
                  <c:v>193</c:v>
                </c:pt>
                <c:pt idx="14">
                  <c:v>206</c:v>
                </c:pt>
                <c:pt idx="15">
                  <c:v>231</c:v>
                </c:pt>
                <c:pt idx="16">
                  <c:v>231</c:v>
                </c:pt>
                <c:pt idx="17">
                  <c:v>196</c:v>
                </c:pt>
                <c:pt idx="18">
                  <c:v>218</c:v>
                </c:pt>
                <c:pt idx="19">
                  <c:v>195</c:v>
                </c:pt>
                <c:pt idx="20">
                  <c:v>215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350.57999999992171</c:v>
                </c:pt>
                <c:pt idx="1">
                  <c:v>314.09100000002945</c:v>
                </c:pt>
                <c:pt idx="2">
                  <c:v>399.76799999986542</c:v>
                </c:pt>
                <c:pt idx="3">
                  <c:v>389.29000000003725</c:v>
                </c:pt>
                <c:pt idx="4">
                  <c:v>489.49000000011438</c:v>
                </c:pt>
                <c:pt idx="5">
                  <c:v>496.00999999984924</c:v>
                </c:pt>
                <c:pt idx="6">
                  <c:v>472.53000000015163</c:v>
                </c:pt>
                <c:pt idx="7">
                  <c:v>472.53000000015163</c:v>
                </c:pt>
                <c:pt idx="8">
                  <c:v>462.94000000001142</c:v>
                </c:pt>
                <c:pt idx="9">
                  <c:v>451.73000000003412</c:v>
                </c:pt>
                <c:pt idx="10">
                  <c:v>480</c:v>
                </c:pt>
                <c:pt idx="11">
                  <c:v>400</c:v>
                </c:pt>
                <c:pt idx="12">
                  <c:v>102.10000000000582</c:v>
                </c:pt>
                <c:pt idx="13">
                  <c:v>481</c:v>
                </c:pt>
                <c:pt idx="14">
                  <c:v>194</c:v>
                </c:pt>
                <c:pt idx="15">
                  <c:v>210.89000000004307</c:v>
                </c:pt>
                <c:pt idx="16">
                  <c:v>210.89000000004307</c:v>
                </c:pt>
                <c:pt idx="17">
                  <c:v>511</c:v>
                </c:pt>
                <c:pt idx="18">
                  <c:v>371</c:v>
                </c:pt>
                <c:pt idx="19">
                  <c:v>435</c:v>
                </c:pt>
                <c:pt idx="20">
                  <c:v>369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104.19000000000233</c:v>
                </c:pt>
                <c:pt idx="1">
                  <c:v>93.299999999988358</c:v>
                </c:pt>
                <c:pt idx="2">
                  <c:v>110.44000000000233</c:v>
                </c:pt>
                <c:pt idx="3">
                  <c:v>105.66000000000349</c:v>
                </c:pt>
                <c:pt idx="4">
                  <c:v>77.670000000012806</c:v>
                </c:pt>
                <c:pt idx="5">
                  <c:v>102.13000000000466</c:v>
                </c:pt>
                <c:pt idx="6">
                  <c:v>111.52999999999884</c:v>
                </c:pt>
                <c:pt idx="7">
                  <c:v>111.52999999999884</c:v>
                </c:pt>
                <c:pt idx="8">
                  <c:v>86.839999999996508</c:v>
                </c:pt>
                <c:pt idx="9">
                  <c:v>77.649999999994179</c:v>
                </c:pt>
                <c:pt idx="10">
                  <c:v>70</c:v>
                </c:pt>
                <c:pt idx="11">
                  <c:v>54</c:v>
                </c:pt>
                <c:pt idx="12">
                  <c:v>59</c:v>
                </c:pt>
                <c:pt idx="13">
                  <c:v>71</c:v>
                </c:pt>
                <c:pt idx="14">
                  <c:v>92</c:v>
                </c:pt>
                <c:pt idx="15">
                  <c:v>64.420000000012806</c:v>
                </c:pt>
                <c:pt idx="16">
                  <c:v>64.420000000012806</c:v>
                </c:pt>
                <c:pt idx="17">
                  <c:v>58</c:v>
                </c:pt>
                <c:pt idx="18">
                  <c:v>80</c:v>
                </c:pt>
                <c:pt idx="19">
                  <c:v>57</c:v>
                </c:pt>
                <c:pt idx="20">
                  <c:v>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04056688"/>
        <c:axId val="-904055056"/>
      </c:lineChart>
      <c:catAx>
        <c:axId val="-9040566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904055056"/>
        <c:crosses val="autoZero"/>
        <c:auto val="1"/>
        <c:lblAlgn val="ctr"/>
        <c:lblOffset val="100"/>
        <c:noMultiLvlLbl val="0"/>
      </c:catAx>
      <c:valAx>
        <c:axId val="-9040550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904056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487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33</c:v>
                </c:pt>
                <c:pt idx="1">
                  <c:v>59</c:v>
                </c:pt>
                <c:pt idx="2">
                  <c:v>45</c:v>
                </c:pt>
                <c:pt idx="3">
                  <c:v>59</c:v>
                </c:pt>
                <c:pt idx="4">
                  <c:v>0</c:v>
                </c:pt>
                <c:pt idx="5">
                  <c:v>57</c:v>
                </c:pt>
                <c:pt idx="6">
                  <c:v>76</c:v>
                </c:pt>
                <c:pt idx="7">
                  <c:v>70</c:v>
                </c:pt>
                <c:pt idx="8">
                  <c:v>54</c:v>
                </c:pt>
                <c:pt idx="9">
                  <c:v>140</c:v>
                </c:pt>
                <c:pt idx="10">
                  <c:v>140</c:v>
                </c:pt>
                <c:pt idx="11">
                  <c:v>75</c:v>
                </c:pt>
                <c:pt idx="12">
                  <c:v>71</c:v>
                </c:pt>
                <c:pt idx="13">
                  <c:v>62</c:v>
                </c:pt>
                <c:pt idx="14">
                  <c:v>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904054512"/>
        <c:axId val="-90406648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04064304"/>
        <c:axId val="-904062128"/>
      </c:lineChart>
      <c:catAx>
        <c:axId val="-90405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66480"/>
        <c:crosses val="autoZero"/>
        <c:auto val="1"/>
        <c:lblAlgn val="ctr"/>
        <c:lblOffset val="100"/>
        <c:noMultiLvlLbl val="0"/>
      </c:catAx>
      <c:valAx>
        <c:axId val="-90406648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54512"/>
        <c:crosses val="autoZero"/>
        <c:crossBetween val="between"/>
        <c:minorUnit val="50"/>
      </c:valAx>
      <c:catAx>
        <c:axId val="-904064304"/>
        <c:scaling>
          <c:orientation val="minMax"/>
        </c:scaling>
        <c:delete val="1"/>
        <c:axPos val="b"/>
        <c:majorTickMark val="out"/>
        <c:minorTickMark val="none"/>
        <c:tickLblPos val="none"/>
        <c:crossAx val="-904062128"/>
        <c:crosses val="autoZero"/>
        <c:auto val="1"/>
        <c:lblAlgn val="ctr"/>
        <c:lblOffset val="100"/>
        <c:noMultiLvlLbl val="0"/>
      </c:catAx>
      <c:valAx>
        <c:axId val="-9040621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904064304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9799808"/>
        <c:axId val="-899814496"/>
      </c:lineChart>
      <c:catAx>
        <c:axId val="-89979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814496"/>
        <c:crosses val="autoZero"/>
        <c:auto val="1"/>
        <c:lblAlgn val="ctr"/>
        <c:lblOffset val="100"/>
        <c:noMultiLvlLbl val="0"/>
      </c:catAx>
      <c:valAx>
        <c:axId val="-89981449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799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899808512"/>
        <c:axId val="-899803616"/>
      </c:lineChart>
      <c:catAx>
        <c:axId val="-89980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803616"/>
        <c:crosses val="autoZero"/>
        <c:auto val="1"/>
        <c:lblAlgn val="ctr"/>
        <c:lblOffset val="100"/>
        <c:noMultiLvlLbl val="0"/>
      </c:catAx>
      <c:valAx>
        <c:axId val="-89980361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8085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5784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8</c:v>
                </c:pt>
                <c:pt idx="6">
                  <c:v>16</c:v>
                </c:pt>
                <c:pt idx="7">
                  <c:v>75</c:v>
                </c:pt>
                <c:pt idx="8">
                  <c:v>72</c:v>
                </c:pt>
                <c:pt idx="9">
                  <c:v>190</c:v>
                </c:pt>
                <c:pt idx="10">
                  <c:v>190</c:v>
                </c:pt>
                <c:pt idx="11">
                  <c:v>140</c:v>
                </c:pt>
                <c:pt idx="12">
                  <c:v>85</c:v>
                </c:pt>
                <c:pt idx="13">
                  <c:v>75</c:v>
                </c:pt>
                <c:pt idx="14">
                  <c:v>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9800352"/>
        <c:axId val="-899802528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9810688"/>
        <c:axId val="-899801440"/>
      </c:lineChart>
      <c:catAx>
        <c:axId val="-89980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802528"/>
        <c:crosses val="autoZero"/>
        <c:auto val="1"/>
        <c:lblAlgn val="ctr"/>
        <c:lblOffset val="100"/>
        <c:noMultiLvlLbl val="0"/>
      </c:catAx>
      <c:valAx>
        <c:axId val="-899802528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800352"/>
        <c:crosses val="autoZero"/>
        <c:crossBetween val="between"/>
      </c:valAx>
      <c:catAx>
        <c:axId val="-899810688"/>
        <c:scaling>
          <c:orientation val="minMax"/>
        </c:scaling>
        <c:delete val="1"/>
        <c:axPos val="b"/>
        <c:majorTickMark val="out"/>
        <c:minorTickMark val="none"/>
        <c:tickLblPos val="none"/>
        <c:crossAx val="-899801440"/>
        <c:crosses val="autoZero"/>
        <c:auto val="1"/>
        <c:lblAlgn val="ctr"/>
        <c:lblOffset val="100"/>
        <c:noMultiLvlLbl val="0"/>
      </c:catAx>
      <c:valAx>
        <c:axId val="-89980144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810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672.82400000000052</c:v>
                </c:pt>
                <c:pt idx="1">
                  <c:v>664.5789999999979</c:v>
                </c:pt>
                <c:pt idx="2">
                  <c:v>660.53800000000047</c:v>
                </c:pt>
                <c:pt idx="3">
                  <c:v>644.03300000000309</c:v>
                </c:pt>
                <c:pt idx="4">
                  <c:v>0</c:v>
                </c:pt>
                <c:pt idx="5">
                  <c:v>665.38999999999942</c:v>
                </c:pt>
                <c:pt idx="6">
                  <c:v>655.51000000000204</c:v>
                </c:pt>
                <c:pt idx="7">
                  <c:v>612.97999999999593</c:v>
                </c:pt>
                <c:pt idx="8">
                  <c:v>634.33000000000175</c:v>
                </c:pt>
                <c:pt idx="9">
                  <c:v>649.23999999999796</c:v>
                </c:pt>
                <c:pt idx="10">
                  <c:v>649.23999999999796</c:v>
                </c:pt>
                <c:pt idx="11">
                  <c:v>660.26000000000204</c:v>
                </c:pt>
                <c:pt idx="12">
                  <c:v>628.29000000000087</c:v>
                </c:pt>
                <c:pt idx="13">
                  <c:v>623</c:v>
                </c:pt>
                <c:pt idx="14">
                  <c:v>653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9806880"/>
        <c:axId val="-89981286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899806336"/>
        <c:axId val="-899815040"/>
      </c:lineChart>
      <c:catAx>
        <c:axId val="-89980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812864"/>
        <c:crosses val="autoZero"/>
        <c:auto val="1"/>
        <c:lblAlgn val="ctr"/>
        <c:lblOffset val="100"/>
        <c:noMultiLvlLbl val="0"/>
      </c:catAx>
      <c:valAx>
        <c:axId val="-89981286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806880"/>
        <c:crosses val="autoZero"/>
        <c:crossBetween val="between"/>
        <c:majorUnit val="2"/>
      </c:valAx>
      <c:catAx>
        <c:axId val="-899806336"/>
        <c:scaling>
          <c:orientation val="minMax"/>
        </c:scaling>
        <c:delete val="1"/>
        <c:axPos val="b"/>
        <c:majorTickMark val="out"/>
        <c:minorTickMark val="none"/>
        <c:tickLblPos val="none"/>
        <c:crossAx val="-899815040"/>
        <c:crosses val="autoZero"/>
        <c:auto val="1"/>
        <c:lblAlgn val="ctr"/>
        <c:lblOffset val="100"/>
        <c:noMultiLvlLbl val="0"/>
      </c:catAx>
      <c:valAx>
        <c:axId val="-89981504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89980633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2%20DEC%20%20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0%20OCT%20%20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>
        <row r="7">
          <cell r="E7">
            <v>2668445</v>
          </cell>
          <cell r="F7">
            <v>2687690</v>
          </cell>
          <cell r="H7">
            <v>19245</v>
          </cell>
          <cell r="I7">
            <v>12000</v>
          </cell>
        </row>
        <row r="8">
          <cell r="E8">
            <v>2683039</v>
          </cell>
          <cell r="F8">
            <v>2702483</v>
          </cell>
          <cell r="H8">
            <v>19444</v>
          </cell>
          <cell r="I8">
            <v>12000</v>
          </cell>
        </row>
        <row r="9">
          <cell r="E9">
            <v>2257036.5</v>
          </cell>
          <cell r="F9">
            <v>2259471.2999999998</v>
          </cell>
          <cell r="H9">
            <v>2434.7999999998137</v>
          </cell>
        </row>
        <row r="10">
          <cell r="E10">
            <v>302950.28999999998</v>
          </cell>
          <cell r="F10">
            <v>319047.73</v>
          </cell>
          <cell r="H10">
            <v>16097.440000000002</v>
          </cell>
        </row>
        <row r="11">
          <cell r="E11">
            <v>35390</v>
          </cell>
          <cell r="F11">
            <v>35390</v>
          </cell>
          <cell r="H11">
            <v>0</v>
          </cell>
        </row>
        <row r="12">
          <cell r="E12">
            <v>37630</v>
          </cell>
          <cell r="F12">
            <v>37630</v>
          </cell>
          <cell r="H12">
            <v>0</v>
          </cell>
        </row>
        <row r="13">
          <cell r="H13">
            <v>18532.239999999816</v>
          </cell>
        </row>
        <row r="15">
          <cell r="E15">
            <v>1546897.601</v>
          </cell>
          <cell r="F15">
            <v>1547408.358</v>
          </cell>
          <cell r="H15">
            <v>510.75699999998324</v>
          </cell>
          <cell r="I15">
            <v>800</v>
          </cell>
        </row>
        <row r="18">
          <cell r="E18">
            <v>13</v>
          </cell>
          <cell r="F18">
            <v>17</v>
          </cell>
          <cell r="H18">
            <v>170</v>
          </cell>
          <cell r="I18">
            <v>65</v>
          </cell>
        </row>
        <row r="19">
          <cell r="E19">
            <v>129801</v>
          </cell>
          <cell r="F19">
            <v>129854</v>
          </cell>
          <cell r="H19">
            <v>53</v>
          </cell>
        </row>
        <row r="20">
          <cell r="H20">
            <v>223</v>
          </cell>
        </row>
        <row r="22">
          <cell r="E22">
            <v>2250</v>
          </cell>
          <cell r="F22">
            <v>2250</v>
          </cell>
          <cell r="H22">
            <v>0</v>
          </cell>
        </row>
        <row r="23">
          <cell r="E23">
            <v>2000</v>
          </cell>
          <cell r="F23">
            <v>2000</v>
          </cell>
          <cell r="H23">
            <v>0</v>
          </cell>
        </row>
        <row r="24">
          <cell r="E24">
            <v>4250</v>
          </cell>
          <cell r="F24">
            <v>4250</v>
          </cell>
        </row>
        <row r="27">
          <cell r="E27">
            <v>19444</v>
          </cell>
          <cell r="H27">
            <v>184718</v>
          </cell>
        </row>
        <row r="28">
          <cell r="E28">
            <v>510.75699999998324</v>
          </cell>
          <cell r="H28">
            <v>18642.630499999388</v>
          </cell>
        </row>
        <row r="29">
          <cell r="E29">
            <v>0</v>
          </cell>
          <cell r="H29">
            <v>0</v>
          </cell>
        </row>
        <row r="30">
          <cell r="E30">
            <v>53</v>
          </cell>
          <cell r="H30">
            <v>7685</v>
          </cell>
        </row>
        <row r="31">
          <cell r="E31">
            <v>170</v>
          </cell>
          <cell r="H31">
            <v>13600</v>
          </cell>
        </row>
        <row r="32">
          <cell r="H32">
            <v>224645.63049999939</v>
          </cell>
        </row>
        <row r="35">
          <cell r="E35">
            <v>629027.67000000004</v>
          </cell>
          <cell r="F35">
            <v>629027.27</v>
          </cell>
          <cell r="H35">
            <v>-0.40000000002328306</v>
          </cell>
        </row>
        <row r="36">
          <cell r="E36">
            <v>229085.73</v>
          </cell>
          <cell r="F36">
            <v>230636.93</v>
          </cell>
          <cell r="H36">
            <v>1551.1999999999825</v>
          </cell>
        </row>
        <row r="37">
          <cell r="E37">
            <v>415066</v>
          </cell>
          <cell r="F37">
            <v>415066</v>
          </cell>
          <cell r="H37">
            <v>0</v>
          </cell>
        </row>
        <row r="38">
          <cell r="E38">
            <v>150714</v>
          </cell>
          <cell r="F38">
            <v>150714</v>
          </cell>
          <cell r="H38">
            <v>0</v>
          </cell>
        </row>
        <row r="39">
          <cell r="E39">
            <v>912480</v>
          </cell>
          <cell r="F39">
            <v>912480</v>
          </cell>
          <cell r="H39">
            <v>0</v>
          </cell>
        </row>
        <row r="40">
          <cell r="E40">
            <v>0</v>
          </cell>
          <cell r="F40">
            <v>0</v>
          </cell>
          <cell r="H40">
            <v>0</v>
          </cell>
        </row>
        <row r="41">
          <cell r="E41">
            <v>300127.95</v>
          </cell>
          <cell r="F41">
            <v>300127.96999999997</v>
          </cell>
          <cell r="H41">
            <v>1.9999999960418791E-2</v>
          </cell>
        </row>
        <row r="42">
          <cell r="E42">
            <v>396198</v>
          </cell>
          <cell r="F42">
            <v>396198</v>
          </cell>
          <cell r="H42">
            <v>0</v>
          </cell>
        </row>
        <row r="43">
          <cell r="E43">
            <v>630749.31000000006</v>
          </cell>
          <cell r="F43">
            <v>632591.47</v>
          </cell>
          <cell r="H43">
            <v>1842.1599999999162</v>
          </cell>
        </row>
        <row r="44">
          <cell r="E44">
            <v>0</v>
          </cell>
          <cell r="F44">
            <v>0</v>
          </cell>
          <cell r="H44">
            <v>0</v>
          </cell>
        </row>
        <row r="45">
          <cell r="E45">
            <v>614.48</v>
          </cell>
          <cell r="F45">
            <v>614.48</v>
          </cell>
          <cell r="H45">
            <v>0</v>
          </cell>
        </row>
        <row r="46">
          <cell r="E46">
            <v>187.49</v>
          </cell>
          <cell r="F46">
            <v>187.49</v>
          </cell>
          <cell r="H46">
            <v>0</v>
          </cell>
        </row>
        <row r="47">
          <cell r="H47">
            <v>3392.9799999998359</v>
          </cell>
        </row>
        <row r="49">
          <cell r="E49">
            <v>61513.267</v>
          </cell>
          <cell r="F49">
            <v>64235.767</v>
          </cell>
          <cell r="H49">
            <v>2722.5</v>
          </cell>
        </row>
        <row r="50">
          <cell r="E50">
            <v>295969.09000000003</v>
          </cell>
          <cell r="F50">
            <v>297041.89</v>
          </cell>
          <cell r="H50">
            <v>1072.7999999999884</v>
          </cell>
        </row>
        <row r="51">
          <cell r="E51">
            <v>19320.487000000001</v>
          </cell>
          <cell r="F51">
            <v>20757.669000000002</v>
          </cell>
          <cell r="H51">
            <v>1437.1820000000007</v>
          </cell>
        </row>
        <row r="52">
          <cell r="E52">
            <v>371122.43</v>
          </cell>
          <cell r="F52">
            <v>373003.27</v>
          </cell>
          <cell r="H52">
            <v>1880.8400000000256</v>
          </cell>
        </row>
        <row r="53">
          <cell r="E53">
            <v>45416.006999999998</v>
          </cell>
          <cell r="F53">
            <v>49649.771000000001</v>
          </cell>
          <cell r="H53">
            <v>4233.7640000000029</v>
          </cell>
        </row>
        <row r="54">
          <cell r="E54">
            <v>2833</v>
          </cell>
          <cell r="F54">
            <v>2886.89</v>
          </cell>
          <cell r="H54">
            <v>53.889999999999873</v>
          </cell>
        </row>
        <row r="55">
          <cell r="E55">
            <v>158493</v>
          </cell>
          <cell r="F55">
            <v>158492.63</v>
          </cell>
          <cell r="H55">
            <v>-0.36999999999534339</v>
          </cell>
        </row>
        <row r="56">
          <cell r="E56">
            <v>435147.59</v>
          </cell>
          <cell r="F56">
            <v>439883.83</v>
          </cell>
          <cell r="H56">
            <v>4736.2399999999907</v>
          </cell>
        </row>
        <row r="57">
          <cell r="E57">
            <v>0</v>
          </cell>
          <cell r="F57">
            <v>0</v>
          </cell>
          <cell r="H57">
            <v>0</v>
          </cell>
        </row>
        <row r="58">
          <cell r="E58">
            <v>20231.043000000001</v>
          </cell>
          <cell r="F58">
            <v>20281.823</v>
          </cell>
          <cell r="H58">
            <v>50.779999999998836</v>
          </cell>
        </row>
        <row r="59">
          <cell r="H59">
            <v>16187.626000000011</v>
          </cell>
        </row>
        <row r="60">
          <cell r="H60">
            <v>19580.605999999847</v>
          </cell>
        </row>
        <row r="62">
          <cell r="E62">
            <v>20419.18</v>
          </cell>
          <cell r="F62">
            <v>20419.188999999998</v>
          </cell>
          <cell r="H62">
            <v>8.9999999981955625E-3</v>
          </cell>
        </row>
        <row r="63">
          <cell r="E63">
            <v>856.37</v>
          </cell>
          <cell r="F63">
            <v>872.779</v>
          </cell>
          <cell r="H63">
            <v>16.408999999999992</v>
          </cell>
        </row>
        <row r="64">
          <cell r="E64">
            <v>86739.095000000001</v>
          </cell>
          <cell r="F64">
            <v>87088.678</v>
          </cell>
          <cell r="H64">
            <v>349.58299999999872</v>
          </cell>
        </row>
        <row r="65">
          <cell r="E65">
            <v>96635.982999999993</v>
          </cell>
          <cell r="F65">
            <v>97027.407000000007</v>
          </cell>
          <cell r="H65">
            <v>391.42400000001362</v>
          </cell>
        </row>
        <row r="66">
          <cell r="E66">
            <v>90004.846999999994</v>
          </cell>
          <cell r="F66">
            <v>90408</v>
          </cell>
          <cell r="H66">
            <v>403.1530000000057</v>
          </cell>
        </row>
        <row r="67">
          <cell r="E67">
            <v>146042.04999999999</v>
          </cell>
          <cell r="F67">
            <v>146839.38</v>
          </cell>
          <cell r="H67">
            <v>797.3300000000163</v>
          </cell>
        </row>
        <row r="68">
          <cell r="E68">
            <v>43175.078999999998</v>
          </cell>
          <cell r="F68">
            <v>43557.631000000001</v>
          </cell>
          <cell r="H68">
            <v>382.55200000000332</v>
          </cell>
        </row>
        <row r="69">
          <cell r="E69">
            <v>37555.567000000003</v>
          </cell>
          <cell r="F69">
            <v>37845.839</v>
          </cell>
          <cell r="H69">
            <v>290.27199999999721</v>
          </cell>
        </row>
        <row r="72">
          <cell r="E72">
            <v>844177</v>
          </cell>
          <cell r="F72">
            <v>844185</v>
          </cell>
          <cell r="H72">
            <v>8</v>
          </cell>
        </row>
        <row r="73">
          <cell r="E73">
            <v>885310</v>
          </cell>
          <cell r="F73">
            <v>885311</v>
          </cell>
          <cell r="H73">
            <v>1</v>
          </cell>
        </row>
        <row r="74">
          <cell r="E74">
            <v>880227</v>
          </cell>
          <cell r="F74">
            <v>880250</v>
          </cell>
          <cell r="H74">
            <v>23</v>
          </cell>
        </row>
        <row r="75">
          <cell r="E75">
            <v>726180</v>
          </cell>
          <cell r="F75">
            <v>726345</v>
          </cell>
          <cell r="H75">
            <v>165</v>
          </cell>
        </row>
        <row r="76">
          <cell r="E76">
            <v>681676</v>
          </cell>
          <cell r="F76">
            <v>681733</v>
          </cell>
          <cell r="G76">
            <v>57</v>
          </cell>
          <cell r="H76">
            <v>57</v>
          </cell>
        </row>
        <row r="77">
          <cell r="E77">
            <v>693720</v>
          </cell>
          <cell r="F77">
            <v>693775</v>
          </cell>
          <cell r="G77">
            <v>55</v>
          </cell>
          <cell r="H77">
            <v>55</v>
          </cell>
        </row>
        <row r="78">
          <cell r="E78">
            <v>618253</v>
          </cell>
          <cell r="F78">
            <v>618733</v>
          </cell>
          <cell r="G78">
            <v>480</v>
          </cell>
          <cell r="H78">
            <v>480</v>
          </cell>
        </row>
        <row r="79">
          <cell r="E79">
            <v>797986</v>
          </cell>
          <cell r="F79">
            <v>798187</v>
          </cell>
          <cell r="G79">
            <v>201</v>
          </cell>
          <cell r="H79">
            <v>201</v>
          </cell>
        </row>
        <row r="80">
          <cell r="E80">
            <v>465497.88</v>
          </cell>
          <cell r="F80">
            <v>465809.27</v>
          </cell>
          <cell r="H80">
            <v>311.39000000001397</v>
          </cell>
        </row>
        <row r="81">
          <cell r="E81">
            <v>614388.52</v>
          </cell>
          <cell r="F81">
            <v>614541.80000000005</v>
          </cell>
          <cell r="G81">
            <v>153.28000000002794</v>
          </cell>
          <cell r="H81">
            <v>153.28000000002794</v>
          </cell>
        </row>
        <row r="82">
          <cell r="E82">
            <v>103529.65</v>
          </cell>
          <cell r="F82">
            <v>103550.41</v>
          </cell>
          <cell r="G82">
            <v>20.760000000009313</v>
          </cell>
          <cell r="H82">
            <v>20.760000000009313</v>
          </cell>
        </row>
        <row r="83">
          <cell r="E83">
            <v>962525</v>
          </cell>
          <cell r="F83">
            <v>962871</v>
          </cell>
          <cell r="G83">
            <v>346</v>
          </cell>
          <cell r="H83">
            <v>346</v>
          </cell>
        </row>
        <row r="84">
          <cell r="E84">
            <v>381356</v>
          </cell>
          <cell r="F84">
            <v>381920</v>
          </cell>
          <cell r="G84">
            <v>564</v>
          </cell>
          <cell r="H84">
            <v>564</v>
          </cell>
        </row>
        <row r="86">
          <cell r="E86">
            <v>440412.24</v>
          </cell>
          <cell r="F86">
            <v>440551.67</v>
          </cell>
        </row>
        <row r="87">
          <cell r="E87">
            <v>76901.3</v>
          </cell>
          <cell r="F87">
            <v>76936.5</v>
          </cell>
        </row>
        <row r="88">
          <cell r="E88">
            <v>142472.49</v>
          </cell>
          <cell r="F88">
            <v>142563.38</v>
          </cell>
        </row>
        <row r="89">
          <cell r="E89">
            <v>55725.1</v>
          </cell>
          <cell r="F89">
            <v>55777.2</v>
          </cell>
          <cell r="H89">
            <v>52.099999999998545</v>
          </cell>
        </row>
        <row r="90">
          <cell r="E90">
            <v>2888</v>
          </cell>
          <cell r="F90">
            <v>2890</v>
          </cell>
          <cell r="H90">
            <v>2</v>
          </cell>
        </row>
        <row r="92">
          <cell r="E92">
            <v>230975</v>
          </cell>
          <cell r="F92">
            <v>231087</v>
          </cell>
          <cell r="G92">
            <v>112</v>
          </cell>
          <cell r="H92">
            <v>112</v>
          </cell>
        </row>
        <row r="93">
          <cell r="E93">
            <v>162642</v>
          </cell>
          <cell r="F93">
            <v>162793</v>
          </cell>
          <cell r="G93">
            <v>151</v>
          </cell>
          <cell r="H93">
            <v>151</v>
          </cell>
        </row>
        <row r="95">
          <cell r="E95">
            <v>401565</v>
          </cell>
          <cell r="F95">
            <v>401612</v>
          </cell>
          <cell r="G95">
            <v>47</v>
          </cell>
          <cell r="H95">
            <v>47</v>
          </cell>
        </row>
        <row r="96">
          <cell r="E96">
            <v>99111</v>
          </cell>
          <cell r="F96">
            <v>99144</v>
          </cell>
          <cell r="G96">
            <v>33</v>
          </cell>
          <cell r="H96">
            <v>33</v>
          </cell>
        </row>
        <row r="97">
          <cell r="E97">
            <v>94272</v>
          </cell>
          <cell r="F97">
            <v>94307</v>
          </cell>
          <cell r="H97">
            <v>35</v>
          </cell>
        </row>
        <row r="98">
          <cell r="E98">
            <v>142146</v>
          </cell>
          <cell r="F98">
            <v>142213</v>
          </cell>
          <cell r="G98">
            <v>67</v>
          </cell>
          <cell r="H98">
            <v>67</v>
          </cell>
        </row>
        <row r="99">
          <cell r="E99">
            <v>4968</v>
          </cell>
          <cell r="F99">
            <v>4991</v>
          </cell>
          <cell r="H99">
            <v>23</v>
          </cell>
        </row>
        <row r="100">
          <cell r="E100">
            <v>3674</v>
          </cell>
          <cell r="F100">
            <v>3674</v>
          </cell>
          <cell r="G100">
            <v>0</v>
          </cell>
          <cell r="H100">
            <v>0</v>
          </cell>
        </row>
        <row r="101">
          <cell r="H101">
            <v>205</v>
          </cell>
        </row>
        <row r="104">
          <cell r="E104">
            <v>7010</v>
          </cell>
          <cell r="F104">
            <v>7010</v>
          </cell>
        </row>
        <row r="105">
          <cell r="E105">
            <v>34676</v>
          </cell>
          <cell r="F105">
            <v>34676</v>
          </cell>
        </row>
        <row r="106">
          <cell r="E106">
            <v>18740</v>
          </cell>
          <cell r="F106">
            <v>18743</v>
          </cell>
        </row>
        <row r="109">
          <cell r="E109">
            <v>51282</v>
          </cell>
          <cell r="F109">
            <v>51341</v>
          </cell>
        </row>
        <row r="110">
          <cell r="E110">
            <v>25329</v>
          </cell>
          <cell r="F110">
            <v>25400</v>
          </cell>
        </row>
        <row r="111">
          <cell r="E111">
            <v>3385</v>
          </cell>
          <cell r="F111">
            <v>3385</v>
          </cell>
        </row>
        <row r="114">
          <cell r="E114">
            <v>8601</v>
          </cell>
          <cell r="F114">
            <v>8628</v>
          </cell>
        </row>
        <row r="115">
          <cell r="E115">
            <v>6817</v>
          </cell>
          <cell r="F115">
            <v>6828</v>
          </cell>
        </row>
        <row r="118">
          <cell r="E118">
            <v>360941</v>
          </cell>
        </row>
        <row r="119">
          <cell r="E119">
            <v>603728</v>
          </cell>
        </row>
        <row r="120">
          <cell r="E120">
            <v>0</v>
          </cell>
        </row>
        <row r="121">
          <cell r="E121" t="str">
            <v xml:space="preserve"> </v>
          </cell>
        </row>
        <row r="123">
          <cell r="E123">
            <v>788831.07</v>
          </cell>
          <cell r="F123">
            <v>789043.76</v>
          </cell>
          <cell r="H123">
            <v>212.69000000006054</v>
          </cell>
        </row>
        <row r="124">
          <cell r="E124">
            <v>73582.2</v>
          </cell>
          <cell r="F124">
            <v>73582.2</v>
          </cell>
          <cell r="H124">
            <v>0</v>
          </cell>
        </row>
        <row r="125">
          <cell r="E125">
            <v>133122.88</v>
          </cell>
          <cell r="F125">
            <v>133190.19</v>
          </cell>
          <cell r="H125">
            <v>67.309999999997672</v>
          </cell>
        </row>
        <row r="126">
          <cell r="E126">
            <v>56348.2</v>
          </cell>
          <cell r="F126">
            <v>56376.7</v>
          </cell>
          <cell r="H126">
            <v>28.5</v>
          </cell>
        </row>
        <row r="127">
          <cell r="E127">
            <v>8640.1</v>
          </cell>
          <cell r="F127">
            <v>8640.1</v>
          </cell>
          <cell r="H127">
            <v>0</v>
          </cell>
        </row>
        <row r="128">
          <cell r="H128">
            <v>202.25699999992503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0</v>
          </cell>
        </row>
        <row r="135">
          <cell r="F135">
            <v>31740.45</v>
          </cell>
          <cell r="H135">
            <v>24.020000000000437</v>
          </cell>
        </row>
        <row r="136">
          <cell r="F136">
            <v>21674.720000000001</v>
          </cell>
          <cell r="H136">
            <v>0</v>
          </cell>
        </row>
        <row r="137">
          <cell r="F137">
            <v>24932.51</v>
          </cell>
          <cell r="H137">
            <v>0</v>
          </cell>
        </row>
        <row r="138">
          <cell r="F138">
            <v>69963.3</v>
          </cell>
          <cell r="H138">
            <v>8.0899999999965075</v>
          </cell>
        </row>
        <row r="139">
          <cell r="F139">
            <v>947.42</v>
          </cell>
          <cell r="H139">
            <v>5.8899999999999864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4564.2599999998929</v>
          </cell>
        </row>
        <row r="144">
          <cell r="H144">
            <v>4735.8899999999558</v>
          </cell>
        </row>
        <row r="145">
          <cell r="H145">
            <v>0.24608417770849342</v>
          </cell>
        </row>
        <row r="146">
          <cell r="H146">
            <v>4233.7640000000029</v>
          </cell>
        </row>
        <row r="147">
          <cell r="H147">
            <v>0.21999293322941038</v>
          </cell>
        </row>
        <row r="148">
          <cell r="H148">
            <v>1880.8400000000256</v>
          </cell>
        </row>
        <row r="149">
          <cell r="H149">
            <v>9.7731358794493406E-2</v>
          </cell>
        </row>
        <row r="150">
          <cell r="H150">
            <v>2623.9999999999709</v>
          </cell>
        </row>
        <row r="151">
          <cell r="H151">
            <v>0.13634710314367218</v>
          </cell>
        </row>
        <row r="152">
          <cell r="H152">
            <v>1437.1820000000007</v>
          </cell>
        </row>
        <row r="153">
          <cell r="H153">
            <v>7.4678202130423518E-2</v>
          </cell>
        </row>
        <row r="160">
          <cell r="F160">
            <v>23912.661</v>
          </cell>
        </row>
        <row r="161">
          <cell r="F161">
            <v>11099.74</v>
          </cell>
        </row>
        <row r="162">
          <cell r="F162">
            <v>37601.661</v>
          </cell>
        </row>
        <row r="163">
          <cell r="F163">
            <v>3520.02</v>
          </cell>
        </row>
        <row r="164">
          <cell r="F164">
            <v>20419.188999999998</v>
          </cell>
        </row>
        <row r="165">
          <cell r="F165">
            <v>872.779</v>
          </cell>
        </row>
        <row r="166">
          <cell r="F166">
            <v>87088.678</v>
          </cell>
        </row>
        <row r="167">
          <cell r="F167">
            <v>97027.407000000007</v>
          </cell>
        </row>
        <row r="168">
          <cell r="F168">
            <v>90408</v>
          </cell>
        </row>
        <row r="169">
          <cell r="F169">
            <v>146839.38</v>
          </cell>
        </row>
        <row r="170">
          <cell r="F170">
            <v>43557.631000000001</v>
          </cell>
        </row>
        <row r="171">
          <cell r="F171">
            <v>37845.839</v>
          </cell>
        </row>
      </sheetData>
      <sheetData sheetId="4">
        <row r="7">
          <cell r="F7">
            <v>2707140</v>
          </cell>
          <cell r="H7">
            <v>38695</v>
          </cell>
        </row>
        <row r="8">
          <cell r="F8">
            <v>2722171</v>
          </cell>
          <cell r="H8">
            <v>39132</v>
          </cell>
        </row>
        <row r="9">
          <cell r="F9">
            <v>2262232.5</v>
          </cell>
          <cell r="H9">
            <v>5196</v>
          </cell>
        </row>
        <row r="10">
          <cell r="F10">
            <v>335223</v>
          </cell>
          <cell r="H10">
            <v>32272.710000000021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37468.710000000021</v>
          </cell>
        </row>
        <row r="15">
          <cell r="F15">
            <v>1548014.22</v>
          </cell>
          <cell r="H15">
            <v>1116.6189999999478</v>
          </cell>
        </row>
        <row r="18">
          <cell r="F18">
            <v>8</v>
          </cell>
          <cell r="H18">
            <v>250</v>
          </cell>
        </row>
        <row r="19">
          <cell r="F19">
            <v>129907</v>
          </cell>
          <cell r="H19">
            <v>106</v>
          </cell>
        </row>
        <row r="20">
          <cell r="H20">
            <v>356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</row>
        <row r="27">
          <cell r="H27">
            <v>371754</v>
          </cell>
        </row>
        <row r="28">
          <cell r="H28">
            <v>40756.593499998096</v>
          </cell>
        </row>
        <row r="29">
          <cell r="H29">
            <v>0</v>
          </cell>
        </row>
        <row r="30">
          <cell r="H30">
            <v>15370</v>
          </cell>
        </row>
        <row r="31">
          <cell r="H31">
            <v>20000</v>
          </cell>
        </row>
        <row r="32">
          <cell r="H32">
            <v>447880.5934999981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231333.85</v>
          </cell>
          <cell r="H36">
            <v>2248.1199999999953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396198</v>
          </cell>
          <cell r="H42">
            <v>0</v>
          </cell>
        </row>
        <row r="43">
          <cell r="F43">
            <v>634757.15</v>
          </cell>
          <cell r="H43">
            <v>4007.8399999999674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6254.9399999999741</v>
          </cell>
        </row>
        <row r="49">
          <cell r="F49">
            <v>66938.23</v>
          </cell>
          <cell r="H49">
            <v>5424.9629999999961</v>
          </cell>
        </row>
        <row r="50">
          <cell r="F50">
            <v>298153.75</v>
          </cell>
          <cell r="H50">
            <v>2184.6599999999744</v>
          </cell>
        </row>
        <row r="51">
          <cell r="F51">
            <v>22152.21</v>
          </cell>
          <cell r="H51">
            <v>2831.7229999999981</v>
          </cell>
        </row>
        <row r="52">
          <cell r="F52">
            <v>374806.59</v>
          </cell>
          <cell r="H52">
            <v>3684.1600000000326</v>
          </cell>
        </row>
        <row r="53">
          <cell r="F53">
            <v>53813.726999999999</v>
          </cell>
          <cell r="H53">
            <v>8397.7200000000012</v>
          </cell>
        </row>
        <row r="54">
          <cell r="F54">
            <v>2945.98</v>
          </cell>
          <cell r="H54">
            <v>112.98000000000002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444564.95</v>
          </cell>
          <cell r="H56">
            <v>9417.359999999986</v>
          </cell>
        </row>
        <row r="57">
          <cell r="F57">
            <v>0</v>
          </cell>
          <cell r="H57">
            <v>0</v>
          </cell>
        </row>
        <row r="58">
          <cell r="F58">
            <v>20436.847000000002</v>
          </cell>
          <cell r="H58">
            <v>205.80400000000009</v>
          </cell>
        </row>
        <row r="59">
          <cell r="H59">
            <v>32259.1</v>
          </cell>
        </row>
        <row r="60">
          <cell r="H60">
            <v>38514.039999999972</v>
          </cell>
        </row>
        <row r="62">
          <cell r="F62">
            <v>20419.188999999998</v>
          </cell>
          <cell r="H62">
            <v>8.9999999981955625E-3</v>
          </cell>
        </row>
        <row r="63">
          <cell r="F63">
            <v>889.46</v>
          </cell>
          <cell r="H63">
            <v>33.090000000000032</v>
          </cell>
        </row>
        <row r="64">
          <cell r="F64">
            <v>87475.934999999998</v>
          </cell>
          <cell r="H64">
            <v>736.83999999999651</v>
          </cell>
        </row>
        <row r="65">
          <cell r="F65">
            <v>97435.25</v>
          </cell>
          <cell r="H65">
            <v>799.2670000000071</v>
          </cell>
        </row>
        <row r="66">
          <cell r="F66">
            <v>90800.53</v>
          </cell>
          <cell r="H66">
            <v>795.68300000000454</v>
          </cell>
        </row>
        <row r="67">
          <cell r="F67">
            <v>147553.99</v>
          </cell>
          <cell r="H67">
            <v>1511.9400000000023</v>
          </cell>
        </row>
        <row r="68">
          <cell r="F68">
            <v>43935.398999999998</v>
          </cell>
          <cell r="H68">
            <v>760.31999999999971</v>
          </cell>
        </row>
        <row r="69">
          <cell r="F69">
            <v>38132.65</v>
          </cell>
          <cell r="H69">
            <v>577.08299999999872</v>
          </cell>
        </row>
        <row r="72">
          <cell r="F72">
            <v>844194</v>
          </cell>
          <cell r="H72">
            <v>17</v>
          </cell>
        </row>
        <row r="73">
          <cell r="F73">
            <v>885313</v>
          </cell>
          <cell r="H73">
            <v>3</v>
          </cell>
        </row>
        <row r="74">
          <cell r="F74">
            <v>880267</v>
          </cell>
          <cell r="H74">
            <v>40</v>
          </cell>
        </row>
        <row r="75">
          <cell r="F75">
            <v>726510</v>
          </cell>
          <cell r="H75">
            <v>330</v>
          </cell>
        </row>
        <row r="76">
          <cell r="F76">
            <v>681794</v>
          </cell>
          <cell r="H76">
            <v>118</v>
          </cell>
        </row>
        <row r="77">
          <cell r="F77">
            <v>693828</v>
          </cell>
          <cell r="H77">
            <v>108</v>
          </cell>
        </row>
        <row r="78">
          <cell r="F78">
            <v>619100</v>
          </cell>
          <cell r="H78">
            <v>847</v>
          </cell>
        </row>
        <row r="79">
          <cell r="F79">
            <v>798382</v>
          </cell>
          <cell r="H79">
            <v>396</v>
          </cell>
        </row>
        <row r="80">
          <cell r="F80">
            <v>466093.44</v>
          </cell>
          <cell r="H80">
            <v>595.55999999999767</v>
          </cell>
        </row>
        <row r="81">
          <cell r="F81">
            <v>614706.80000000005</v>
          </cell>
          <cell r="H81">
            <v>318.28000000002794</v>
          </cell>
        </row>
        <row r="82">
          <cell r="F82">
            <v>103569.01</v>
          </cell>
          <cell r="H82">
            <v>39.360000000000582</v>
          </cell>
        </row>
        <row r="83">
          <cell r="F83">
            <v>963211</v>
          </cell>
          <cell r="H83">
            <v>686</v>
          </cell>
        </row>
        <row r="84">
          <cell r="F84">
            <v>382462</v>
          </cell>
          <cell r="H84">
            <v>1106</v>
          </cell>
        </row>
        <row r="85">
          <cell r="H85">
            <v>2782.769999999975</v>
          </cell>
        </row>
        <row r="86">
          <cell r="F86">
            <v>440742.44</v>
          </cell>
          <cell r="H86">
            <v>190.77000000001863</v>
          </cell>
        </row>
        <row r="87">
          <cell r="F87">
            <v>76967.899999999994</v>
          </cell>
          <cell r="H87">
            <v>31.399999999994179</v>
          </cell>
        </row>
        <row r="88">
          <cell r="F88">
            <v>142693.79</v>
          </cell>
          <cell r="H88">
            <v>130.41000000000349</v>
          </cell>
        </row>
        <row r="89">
          <cell r="F89">
            <v>55851.5</v>
          </cell>
          <cell r="H89">
            <v>126.40000000000146</v>
          </cell>
        </row>
        <row r="90">
          <cell r="F90">
            <v>2895.7</v>
          </cell>
          <cell r="H90">
            <v>7.6999999999998181</v>
          </cell>
        </row>
        <row r="92">
          <cell r="F92">
            <v>231176</v>
          </cell>
          <cell r="H92">
            <v>201</v>
          </cell>
        </row>
        <row r="93">
          <cell r="F93">
            <v>162931</v>
          </cell>
          <cell r="H93">
            <v>289</v>
          </cell>
        </row>
        <row r="94">
          <cell r="H94">
            <v>227</v>
          </cell>
        </row>
        <row r="95">
          <cell r="F95">
            <v>401671</v>
          </cell>
          <cell r="H95">
            <v>106</v>
          </cell>
        </row>
        <row r="96">
          <cell r="F96">
            <v>99175</v>
          </cell>
          <cell r="H96">
            <v>64</v>
          </cell>
        </row>
        <row r="97">
          <cell r="F97">
            <v>94321</v>
          </cell>
          <cell r="H97">
            <v>49</v>
          </cell>
        </row>
        <row r="98">
          <cell r="F98">
            <v>142253</v>
          </cell>
          <cell r="H98">
            <v>107</v>
          </cell>
        </row>
        <row r="99">
          <cell r="F99">
            <v>5015</v>
          </cell>
          <cell r="H99">
            <v>47</v>
          </cell>
        </row>
        <row r="100">
          <cell r="F100">
            <v>3674</v>
          </cell>
          <cell r="H100">
            <v>0</v>
          </cell>
        </row>
        <row r="101">
          <cell r="H101">
            <v>373</v>
          </cell>
        </row>
        <row r="104">
          <cell r="F104">
            <v>7010</v>
          </cell>
        </row>
        <row r="105">
          <cell r="F105">
            <v>34686</v>
          </cell>
        </row>
        <row r="106">
          <cell r="F106">
            <v>18748</v>
          </cell>
        </row>
        <row r="109">
          <cell r="F109">
            <v>51381</v>
          </cell>
        </row>
        <row r="110">
          <cell r="F110">
            <v>25440</v>
          </cell>
        </row>
        <row r="111">
          <cell r="F111">
            <v>3396</v>
          </cell>
        </row>
        <row r="114">
          <cell r="F114">
            <v>8657</v>
          </cell>
        </row>
        <row r="115">
          <cell r="F115">
            <v>6845</v>
          </cell>
        </row>
        <row r="123">
          <cell r="F123">
            <v>789238.41599999997</v>
          </cell>
          <cell r="H123">
            <v>407.34600000001956</v>
          </cell>
        </row>
        <row r="124">
          <cell r="F124">
            <v>73582.2</v>
          </cell>
          <cell r="H124">
            <v>0</v>
          </cell>
        </row>
        <row r="125">
          <cell r="F125">
            <v>133253.49</v>
          </cell>
          <cell r="H125">
            <v>130.60999999998603</v>
          </cell>
        </row>
        <row r="126">
          <cell r="F126">
            <v>56393.5</v>
          </cell>
          <cell r="H126">
            <v>45.30000000000291</v>
          </cell>
        </row>
        <row r="127">
          <cell r="F127">
            <v>8640.1</v>
          </cell>
          <cell r="H127">
            <v>0</v>
          </cell>
        </row>
        <row r="128">
          <cell r="H128">
            <v>533.36299999993935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0</v>
          </cell>
        </row>
        <row r="135">
          <cell r="F135">
            <v>31764</v>
          </cell>
          <cell r="H135">
            <v>47.569999999999709</v>
          </cell>
        </row>
        <row r="136">
          <cell r="F136">
            <v>21680.53</v>
          </cell>
          <cell r="H136">
            <v>5.8099999999976717</v>
          </cell>
        </row>
        <row r="137">
          <cell r="F137">
            <v>24932.51</v>
          </cell>
          <cell r="H137">
            <v>0</v>
          </cell>
        </row>
        <row r="138">
          <cell r="F138">
            <v>69963.3</v>
          </cell>
          <cell r="H138">
            <v>8.0899999999965075</v>
          </cell>
        </row>
        <row r="139">
          <cell r="F139">
            <v>952.87</v>
          </cell>
          <cell r="H139">
            <v>11.340000000000032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9432.8029999999635</v>
          </cell>
        </row>
        <row r="143">
          <cell r="H143">
            <v>0.32498889621783078</v>
          </cell>
        </row>
        <row r="144">
          <cell r="H144">
            <v>9417.0400000000081</v>
          </cell>
        </row>
        <row r="145">
          <cell r="H145">
            <v>0.48676027025348323</v>
          </cell>
        </row>
        <row r="146">
          <cell r="H146">
            <v>8397.7200000000012</v>
          </cell>
        </row>
        <row r="147">
          <cell r="H147">
            <v>0.43407807461758507</v>
          </cell>
        </row>
        <row r="148">
          <cell r="H148">
            <v>3684.1600000000326</v>
          </cell>
        </row>
        <row r="149">
          <cell r="H149">
            <v>0.19044704002842694</v>
          </cell>
        </row>
        <row r="150">
          <cell r="H150">
            <v>4432.7799999999697</v>
          </cell>
        </row>
        <row r="151">
          <cell r="H151">
            <v>0.22934350417194976</v>
          </cell>
        </row>
        <row r="152">
          <cell r="H152">
            <v>2831.7229999999981</v>
          </cell>
        </row>
        <row r="153">
          <cell r="H153">
            <v>0.14637696819726143</v>
          </cell>
        </row>
        <row r="160">
          <cell r="F160">
            <v>23986.06</v>
          </cell>
        </row>
        <row r="161">
          <cell r="F161">
            <v>11737.3</v>
          </cell>
        </row>
        <row r="162">
          <cell r="F162">
            <v>37831.682999999997</v>
          </cell>
        </row>
        <row r="163">
          <cell r="F163">
            <v>3549.61</v>
          </cell>
        </row>
        <row r="164">
          <cell r="F164">
            <v>20419.188999999998</v>
          </cell>
        </row>
        <row r="165">
          <cell r="F165">
            <v>889.46</v>
          </cell>
        </row>
        <row r="166">
          <cell r="F166">
            <v>87475.934999999998</v>
          </cell>
        </row>
        <row r="167">
          <cell r="F167">
            <v>97435.25</v>
          </cell>
        </row>
        <row r="168">
          <cell r="F168">
            <v>90800.53</v>
          </cell>
        </row>
        <row r="169">
          <cell r="F169">
            <v>147553.99</v>
          </cell>
        </row>
        <row r="170">
          <cell r="F170">
            <v>43935.398999999998</v>
          </cell>
        </row>
        <row r="171">
          <cell r="F171">
            <v>38132.65</v>
          </cell>
        </row>
      </sheetData>
      <sheetData sheetId="5">
        <row r="7">
          <cell r="F7">
            <v>2725819</v>
          </cell>
          <cell r="H7">
            <v>57374</v>
          </cell>
        </row>
        <row r="8">
          <cell r="F8">
            <v>2741079</v>
          </cell>
          <cell r="H8">
            <v>58040</v>
          </cell>
        </row>
        <row r="9">
          <cell r="F9">
            <v>2265063.5</v>
          </cell>
          <cell r="H9">
            <v>8027</v>
          </cell>
        </row>
        <row r="10">
          <cell r="F10">
            <v>350153.19</v>
          </cell>
          <cell r="H10">
            <v>47202.900000000023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55229.900000000023</v>
          </cell>
        </row>
        <row r="15">
          <cell r="F15">
            <v>1548532.6710000001</v>
          </cell>
          <cell r="H15">
            <v>1635.0700000000652</v>
          </cell>
        </row>
        <row r="18">
          <cell r="F18">
            <v>8</v>
          </cell>
          <cell r="H18">
            <v>330</v>
          </cell>
        </row>
        <row r="19">
          <cell r="F19">
            <v>129960</v>
          </cell>
          <cell r="H19">
            <v>159</v>
          </cell>
        </row>
        <row r="20">
          <cell r="H20">
            <v>489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551380</v>
          </cell>
        </row>
        <row r="28">
          <cell r="H28">
            <v>59680.05500000238</v>
          </cell>
        </row>
        <row r="29">
          <cell r="H29">
            <v>0</v>
          </cell>
        </row>
        <row r="30">
          <cell r="H30">
            <v>23055</v>
          </cell>
        </row>
        <row r="31">
          <cell r="F31">
            <v>80</v>
          </cell>
          <cell r="H31">
            <v>26400</v>
          </cell>
        </row>
        <row r="32">
          <cell r="H32">
            <v>660515.05500000238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232000.67</v>
          </cell>
          <cell r="H36">
            <v>2914.9400000000023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H42">
            <v>0</v>
          </cell>
        </row>
        <row r="43">
          <cell r="F43">
            <v>637061.27</v>
          </cell>
          <cell r="H43">
            <v>6311.9599999999627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9225.8799999999756</v>
          </cell>
        </row>
        <row r="49">
          <cell r="F49">
            <v>69649.638999999996</v>
          </cell>
          <cell r="H49">
            <v>8136.3719999999958</v>
          </cell>
        </row>
        <row r="50">
          <cell r="F50">
            <v>299242.78999999998</v>
          </cell>
          <cell r="H50">
            <v>3273.6999999999534</v>
          </cell>
        </row>
        <row r="51">
          <cell r="F51">
            <v>23524.379000000001</v>
          </cell>
          <cell r="H51">
            <v>4203.8919999999998</v>
          </cell>
        </row>
        <row r="52">
          <cell r="F52">
            <v>376534.27</v>
          </cell>
          <cell r="H52">
            <v>5411.8400000000256</v>
          </cell>
        </row>
        <row r="53">
          <cell r="F53">
            <v>57829.125</v>
          </cell>
          <cell r="H53">
            <v>12413.118000000002</v>
          </cell>
        </row>
        <row r="54">
          <cell r="F54">
            <v>2989.22</v>
          </cell>
          <cell r="H54">
            <v>156.2199999999998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448739.23</v>
          </cell>
          <cell r="H56">
            <v>13591.639999999956</v>
          </cell>
        </row>
        <row r="57">
          <cell r="F57">
            <v>0</v>
          </cell>
          <cell r="H57">
            <v>0</v>
          </cell>
        </row>
        <row r="58">
          <cell r="F58">
            <v>20507.785</v>
          </cell>
          <cell r="H58">
            <v>276.74199999999837</v>
          </cell>
        </row>
        <row r="59">
          <cell r="H59">
            <v>47463.253999999943</v>
          </cell>
        </row>
        <row r="60">
          <cell r="H60">
            <v>56689.133999999918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905.37</v>
          </cell>
          <cell r="H63">
            <v>49</v>
          </cell>
        </row>
        <row r="64">
          <cell r="F64">
            <v>87837.167499999996</v>
          </cell>
          <cell r="H64">
            <v>1098.0724999999948</v>
          </cell>
        </row>
        <row r="65">
          <cell r="F65">
            <v>97836.535000000003</v>
          </cell>
          <cell r="H65">
            <v>1200.5520000000106</v>
          </cell>
        </row>
        <row r="66">
          <cell r="F66">
            <v>91177.494999999995</v>
          </cell>
          <cell r="H66">
            <v>1172.648000000001</v>
          </cell>
        </row>
        <row r="67">
          <cell r="F67">
            <v>148230.29999999999</v>
          </cell>
          <cell r="H67">
            <v>2188.25</v>
          </cell>
        </row>
        <row r="68">
          <cell r="F68">
            <v>44295.247000000003</v>
          </cell>
          <cell r="H68">
            <v>1120.1680000000051</v>
          </cell>
        </row>
        <row r="69">
          <cell r="F69">
            <v>38416.834999999999</v>
          </cell>
          <cell r="H69">
            <v>861.26799999999639</v>
          </cell>
        </row>
        <row r="72">
          <cell r="F72">
            <v>844202</v>
          </cell>
          <cell r="H72">
            <v>25</v>
          </cell>
        </row>
        <row r="73">
          <cell r="F73">
            <v>885314</v>
          </cell>
          <cell r="H73">
            <v>4</v>
          </cell>
        </row>
        <row r="74">
          <cell r="F74">
            <v>880283</v>
          </cell>
          <cell r="H74">
            <v>56</v>
          </cell>
        </row>
        <row r="75">
          <cell r="F75">
            <v>726667</v>
          </cell>
          <cell r="H75">
            <v>487</v>
          </cell>
        </row>
        <row r="76">
          <cell r="F76">
            <v>681851</v>
          </cell>
          <cell r="H76">
            <v>175</v>
          </cell>
        </row>
        <row r="77">
          <cell r="F77">
            <v>693882</v>
          </cell>
          <cell r="H77">
            <v>162</v>
          </cell>
        </row>
        <row r="78">
          <cell r="F78">
            <v>619419</v>
          </cell>
          <cell r="H78">
            <v>1166</v>
          </cell>
        </row>
        <row r="79">
          <cell r="F79">
            <v>798569</v>
          </cell>
          <cell r="H79">
            <v>583</v>
          </cell>
        </row>
        <row r="80">
          <cell r="F80">
            <v>466391.32</v>
          </cell>
          <cell r="H80">
            <v>893.44000000000233</v>
          </cell>
        </row>
        <row r="81">
          <cell r="F81">
            <v>614852.52</v>
          </cell>
          <cell r="H81">
            <v>464</v>
          </cell>
        </row>
        <row r="82">
          <cell r="F82">
            <v>103587.19</v>
          </cell>
          <cell r="H82">
            <v>57.540000000008149</v>
          </cell>
        </row>
        <row r="83">
          <cell r="F83">
            <v>963541</v>
          </cell>
          <cell r="H83">
            <v>1016</v>
          </cell>
        </row>
        <row r="84">
          <cell r="F84">
            <v>383003</v>
          </cell>
          <cell r="H84">
            <v>1647</v>
          </cell>
        </row>
        <row r="85">
          <cell r="H85">
            <v>4914.5499999999593</v>
          </cell>
        </row>
        <row r="86">
          <cell r="F86">
            <v>440928.52</v>
          </cell>
          <cell r="H86">
            <v>376.85000000003492</v>
          </cell>
        </row>
        <row r="87">
          <cell r="F87">
            <v>76999</v>
          </cell>
          <cell r="H87">
            <v>62.5</v>
          </cell>
        </row>
        <row r="88">
          <cell r="F88">
            <v>142791.57</v>
          </cell>
          <cell r="H88">
            <v>228.19000000000233</v>
          </cell>
        </row>
        <row r="89">
          <cell r="F89">
            <v>55911.6</v>
          </cell>
          <cell r="H89">
            <v>186.5</v>
          </cell>
        </row>
        <row r="90">
          <cell r="F90">
            <v>2900.1</v>
          </cell>
          <cell r="H90">
            <v>12.099999999999909</v>
          </cell>
        </row>
        <row r="92">
          <cell r="F92">
            <v>231230</v>
          </cell>
          <cell r="H92">
            <v>255</v>
          </cell>
        </row>
        <row r="93">
          <cell r="F93">
            <v>163072</v>
          </cell>
          <cell r="H93">
            <v>430</v>
          </cell>
        </row>
        <row r="94">
          <cell r="H94">
            <v>422</v>
          </cell>
        </row>
        <row r="95">
          <cell r="F95">
            <v>401716</v>
          </cell>
          <cell r="H95">
            <v>151</v>
          </cell>
        </row>
        <row r="96">
          <cell r="F96">
            <v>99197</v>
          </cell>
          <cell r="H96">
            <v>86</v>
          </cell>
        </row>
        <row r="97">
          <cell r="F97">
            <v>94337</v>
          </cell>
          <cell r="H97">
            <v>65</v>
          </cell>
        </row>
        <row r="98">
          <cell r="F98">
            <v>142320</v>
          </cell>
          <cell r="H98">
            <v>174</v>
          </cell>
        </row>
        <row r="99">
          <cell r="F99">
            <v>5035</v>
          </cell>
          <cell r="H99">
            <v>67</v>
          </cell>
        </row>
        <row r="100">
          <cell r="F100">
            <v>3674</v>
          </cell>
          <cell r="H100">
            <v>0</v>
          </cell>
        </row>
        <row r="101">
          <cell r="H101">
            <v>543</v>
          </cell>
        </row>
        <row r="104">
          <cell r="F104">
            <v>7010</v>
          </cell>
          <cell r="H104">
            <v>57</v>
          </cell>
        </row>
        <row r="105">
          <cell r="F105">
            <v>34687</v>
          </cell>
          <cell r="H105">
            <v>56</v>
          </cell>
        </row>
        <row r="106">
          <cell r="F106">
            <v>18751</v>
          </cell>
          <cell r="H106">
            <v>483</v>
          </cell>
        </row>
        <row r="107">
          <cell r="F107" t="str">
            <v>.</v>
          </cell>
          <cell r="H107">
            <v>205</v>
          </cell>
        </row>
        <row r="109">
          <cell r="F109">
            <v>51440</v>
          </cell>
          <cell r="H109">
            <v>212.28000000002794</v>
          </cell>
        </row>
        <row r="110">
          <cell r="F110">
            <v>25494</v>
          </cell>
          <cell r="H110">
            <v>74.760000000009313</v>
          </cell>
        </row>
        <row r="111">
          <cell r="F111">
            <v>3398</v>
          </cell>
          <cell r="H111">
            <v>348</v>
          </cell>
        </row>
        <row r="112">
          <cell r="H112">
            <v>679</v>
          </cell>
        </row>
        <row r="114">
          <cell r="F114">
            <v>8681</v>
          </cell>
          <cell r="H114">
            <v>24</v>
          </cell>
        </row>
        <row r="115">
          <cell r="F115">
            <v>6849</v>
          </cell>
          <cell r="H115">
            <v>116</v>
          </cell>
        </row>
        <row r="116">
          <cell r="H116">
            <v>151</v>
          </cell>
        </row>
        <row r="117">
          <cell r="H117">
            <v>75</v>
          </cell>
        </row>
        <row r="118">
          <cell r="H118">
            <v>140</v>
          </cell>
        </row>
        <row r="119">
          <cell r="H119">
            <v>170</v>
          </cell>
        </row>
        <row r="120">
          <cell r="H120">
            <v>115</v>
          </cell>
        </row>
        <row r="123">
          <cell r="F123">
            <v>789450.19</v>
          </cell>
          <cell r="H123">
            <v>619.11999999999534</v>
          </cell>
        </row>
        <row r="124">
          <cell r="F124">
            <v>73582.2</v>
          </cell>
          <cell r="H124">
            <v>0</v>
          </cell>
        </row>
        <row r="125">
          <cell r="F125">
            <v>133310.78</v>
          </cell>
          <cell r="H125">
            <v>187.89999999999418</v>
          </cell>
        </row>
        <row r="126">
          <cell r="F126">
            <v>56419.4</v>
          </cell>
          <cell r="H126">
            <v>71.200000000004366</v>
          </cell>
        </row>
        <row r="127">
          <cell r="F127">
            <v>8640.1</v>
          </cell>
          <cell r="H127">
            <v>0</v>
          </cell>
        </row>
        <row r="128">
          <cell r="H128">
            <v>756.8500000000713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H133">
            <v>0</v>
          </cell>
        </row>
        <row r="134">
          <cell r="F134">
            <v>39735</v>
          </cell>
          <cell r="H134">
            <v>0</v>
          </cell>
        </row>
        <row r="135">
          <cell r="F135">
            <v>31788</v>
          </cell>
          <cell r="H135">
            <v>71.569999999999709</v>
          </cell>
        </row>
        <row r="136">
          <cell r="F136">
            <v>21680.53</v>
          </cell>
          <cell r="H136">
            <v>5.8099999999976717</v>
          </cell>
        </row>
        <row r="137">
          <cell r="F137">
            <v>24932.5</v>
          </cell>
          <cell r="H137">
            <v>-9.9999999983992893E-3</v>
          </cell>
        </row>
        <row r="138">
          <cell r="F138">
            <v>69972.34</v>
          </cell>
          <cell r="H138">
            <v>17.129999999990105</v>
          </cell>
        </row>
        <row r="139">
          <cell r="F139">
            <v>958.19</v>
          </cell>
          <cell r="H139">
            <v>16.660000000000082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14448.331999999958</v>
          </cell>
        </row>
        <row r="143">
          <cell r="H143">
            <v>0.59350054031012667</v>
          </cell>
        </row>
        <row r="144">
          <cell r="H144">
            <v>13591.319999999978</v>
          </cell>
        </row>
        <row r="145">
          <cell r="H145">
            <v>0.71023476032254318</v>
          </cell>
        </row>
        <row r="146">
          <cell r="H146">
            <v>12413.118000000002</v>
          </cell>
        </row>
        <row r="147">
          <cell r="H147">
            <v>0.64904664895239961</v>
          </cell>
        </row>
        <row r="148">
          <cell r="H148">
            <v>5411.8400000000256</v>
          </cell>
        </row>
        <row r="149">
          <cell r="H149">
            <v>0.28294021418121845</v>
          </cell>
        </row>
        <row r="150">
          <cell r="H150">
            <v>6188.6399999999558</v>
          </cell>
        </row>
        <row r="151">
          <cell r="H151">
            <v>0.32334532439787117</v>
          </cell>
        </row>
        <row r="152">
          <cell r="H152">
            <v>4203.8919999999998</v>
          </cell>
        </row>
        <row r="153">
          <cell r="H153">
            <v>0.21983748535556763</v>
          </cell>
        </row>
        <row r="160">
          <cell r="F160">
            <v>24058.050999999999</v>
          </cell>
        </row>
        <row r="161">
          <cell r="F161">
            <v>12376.206</v>
          </cell>
        </row>
        <row r="162">
          <cell r="F162">
            <v>38057.267999999996</v>
          </cell>
        </row>
        <row r="163">
          <cell r="F163">
            <v>3580.8</v>
          </cell>
        </row>
        <row r="164">
          <cell r="F164">
            <v>20419</v>
          </cell>
        </row>
        <row r="165">
          <cell r="F165">
            <v>905.37</v>
          </cell>
        </row>
        <row r="166">
          <cell r="F166">
            <v>87837.167499999996</v>
          </cell>
        </row>
        <row r="167">
          <cell r="F167">
            <v>97836.535000000003</v>
          </cell>
        </row>
        <row r="168">
          <cell r="F168">
            <v>91177.494999999995</v>
          </cell>
        </row>
        <row r="169">
          <cell r="F169">
            <v>148230.29999999999</v>
          </cell>
        </row>
        <row r="170">
          <cell r="F170">
            <v>44295.247000000003</v>
          </cell>
        </row>
        <row r="171">
          <cell r="F171">
            <v>38416.834999999999</v>
          </cell>
        </row>
      </sheetData>
      <sheetData sheetId="6">
        <row r="7">
          <cell r="F7">
            <v>2745430</v>
          </cell>
          <cell r="H7">
            <v>76985</v>
          </cell>
        </row>
        <row r="8">
          <cell r="F8">
            <v>2760925</v>
          </cell>
          <cell r="H8">
            <v>77886</v>
          </cell>
        </row>
        <row r="9">
          <cell r="F9">
            <v>2271725.5</v>
          </cell>
          <cell r="H9">
            <v>14689</v>
          </cell>
        </row>
        <row r="10">
          <cell r="F10">
            <v>362418.75</v>
          </cell>
          <cell r="H10">
            <v>59468.460000000021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74157.460000000021</v>
          </cell>
        </row>
        <row r="15">
          <cell r="F15">
            <v>1549223.8470000001</v>
          </cell>
          <cell r="H15">
            <v>2326.2460000000428</v>
          </cell>
        </row>
        <row r="18">
          <cell r="F18">
            <v>10</v>
          </cell>
          <cell r="H18">
            <v>430</v>
          </cell>
        </row>
        <row r="19">
          <cell r="F19">
            <v>130013</v>
          </cell>
          <cell r="H19">
            <v>212</v>
          </cell>
        </row>
        <row r="20">
          <cell r="H20">
            <v>642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739917</v>
          </cell>
        </row>
        <row r="28">
          <cell r="H28">
            <v>84907.979000001564</v>
          </cell>
        </row>
        <row r="29">
          <cell r="H29">
            <v>0</v>
          </cell>
        </row>
        <row r="30">
          <cell r="H30">
            <v>30740</v>
          </cell>
        </row>
        <row r="31">
          <cell r="H31">
            <v>32800</v>
          </cell>
        </row>
        <row r="32">
          <cell r="H32">
            <v>888364.97900000156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232736.23</v>
          </cell>
          <cell r="H36">
            <v>3650.5</v>
          </cell>
        </row>
        <row r="37">
          <cell r="F37">
            <v>415066</v>
          </cell>
          <cell r="H37">
            <v>0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3678.9</v>
          </cell>
          <cell r="H42">
            <v>3678.9</v>
          </cell>
        </row>
        <row r="43">
          <cell r="F43">
            <v>639436.18999999994</v>
          </cell>
          <cell r="H43">
            <v>8686.8799999998882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16015.45999999991</v>
          </cell>
        </row>
        <row r="49">
          <cell r="F49">
            <v>72497.08</v>
          </cell>
          <cell r="H49">
            <v>10983.813000000002</v>
          </cell>
        </row>
        <row r="50">
          <cell r="F50">
            <v>300451.19</v>
          </cell>
          <cell r="H50">
            <v>4482.0999999999767</v>
          </cell>
        </row>
        <row r="51">
          <cell r="F51">
            <v>24941.39</v>
          </cell>
          <cell r="H51">
            <v>5620.9029999999984</v>
          </cell>
        </row>
        <row r="52">
          <cell r="F52">
            <v>378351.19</v>
          </cell>
          <cell r="H52">
            <v>7228.7600000000093</v>
          </cell>
        </row>
        <row r="53">
          <cell r="F53">
            <v>62038.67</v>
          </cell>
          <cell r="H53">
            <v>16622.663</v>
          </cell>
        </row>
        <row r="54">
          <cell r="F54">
            <v>3034.18</v>
          </cell>
          <cell r="H54">
            <v>201.17999999999984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20705.63</v>
          </cell>
          <cell r="H58">
            <v>474.58699999999953</v>
          </cell>
        </row>
        <row r="59">
          <cell r="H59">
            <v>59789.815999999955</v>
          </cell>
        </row>
        <row r="60">
          <cell r="H60">
            <v>75805.275999999867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921.26</v>
          </cell>
          <cell r="H63">
            <v>64.889999999999986</v>
          </cell>
        </row>
        <row r="64">
          <cell r="F64">
            <v>88211.1</v>
          </cell>
          <cell r="H64">
            <v>1472.0050000000047</v>
          </cell>
        </row>
        <row r="65">
          <cell r="F65">
            <v>98242.43</v>
          </cell>
          <cell r="H65">
            <v>1606.4470000000001</v>
          </cell>
        </row>
        <row r="66">
          <cell r="F66">
            <v>91572.08</v>
          </cell>
          <cell r="H66">
            <v>1567.2330000000075</v>
          </cell>
        </row>
        <row r="67">
          <cell r="F67">
            <v>148984.41</v>
          </cell>
          <cell r="H67">
            <v>2942.3600000000151</v>
          </cell>
        </row>
        <row r="68">
          <cell r="F68">
            <v>44665.25</v>
          </cell>
          <cell r="H68">
            <v>1490.1710000000021</v>
          </cell>
        </row>
        <row r="69">
          <cell r="F69">
            <v>38707.370000000003</v>
          </cell>
          <cell r="H69">
            <v>1151.8029999999999</v>
          </cell>
        </row>
        <row r="72">
          <cell r="F72">
            <v>844210</v>
          </cell>
          <cell r="H72">
            <v>33</v>
          </cell>
        </row>
        <row r="73">
          <cell r="F73">
            <v>885315</v>
          </cell>
          <cell r="H73">
            <v>5</v>
          </cell>
        </row>
        <row r="74">
          <cell r="F74">
            <v>880300</v>
          </cell>
          <cell r="H74">
            <v>73</v>
          </cell>
        </row>
        <row r="75">
          <cell r="F75">
            <v>726853</v>
          </cell>
          <cell r="H75">
            <v>673</v>
          </cell>
        </row>
        <row r="76">
          <cell r="F76">
            <v>681909</v>
          </cell>
          <cell r="H76">
            <v>233</v>
          </cell>
        </row>
        <row r="77">
          <cell r="F77">
            <v>693927</v>
          </cell>
          <cell r="H77">
            <v>207</v>
          </cell>
        </row>
        <row r="78">
          <cell r="F78">
            <v>619781</v>
          </cell>
          <cell r="H78">
            <v>1528</v>
          </cell>
        </row>
        <row r="79">
          <cell r="F79">
            <v>798760</v>
          </cell>
          <cell r="H79">
            <v>774</v>
          </cell>
        </row>
        <row r="80">
          <cell r="F80">
            <v>466729.2</v>
          </cell>
          <cell r="H80">
            <v>1231.320000000007</v>
          </cell>
        </row>
        <row r="81">
          <cell r="F81">
            <v>615014.12</v>
          </cell>
          <cell r="H81">
            <v>625.59999999997672</v>
          </cell>
        </row>
        <row r="82">
          <cell r="F82">
            <v>103595.42</v>
          </cell>
          <cell r="H82">
            <v>65.770000000004075</v>
          </cell>
        </row>
        <row r="83">
          <cell r="F83">
            <v>963882</v>
          </cell>
          <cell r="H83">
            <v>1357</v>
          </cell>
        </row>
        <row r="84">
          <cell r="F84">
            <v>383508</v>
          </cell>
          <cell r="H84">
            <v>2152</v>
          </cell>
        </row>
        <row r="85">
          <cell r="H85">
            <v>7136.2599999999366</v>
          </cell>
        </row>
        <row r="86">
          <cell r="F86">
            <v>441134.52</v>
          </cell>
        </row>
        <row r="87">
          <cell r="F87">
            <v>77032.800000000003</v>
          </cell>
        </row>
        <row r="88">
          <cell r="F88">
            <v>142862.95000000001</v>
          </cell>
        </row>
        <row r="89">
          <cell r="F89">
            <v>55967.8</v>
          </cell>
        </row>
        <row r="90">
          <cell r="F90">
            <v>2905.4</v>
          </cell>
        </row>
        <row r="92">
          <cell r="F92">
            <v>231297</v>
          </cell>
          <cell r="H92">
            <v>322</v>
          </cell>
        </row>
        <row r="93">
          <cell r="F93">
            <v>163199</v>
          </cell>
          <cell r="H93">
            <v>557</v>
          </cell>
        </row>
        <row r="94">
          <cell r="H94">
            <v>616</v>
          </cell>
        </row>
        <row r="95">
          <cell r="F95">
            <v>401775</v>
          </cell>
          <cell r="H95">
            <v>210</v>
          </cell>
        </row>
        <row r="96">
          <cell r="F96">
            <v>99222</v>
          </cell>
          <cell r="H96">
            <v>111</v>
          </cell>
        </row>
        <row r="97">
          <cell r="F97">
            <v>94352</v>
          </cell>
          <cell r="H97">
            <v>80</v>
          </cell>
        </row>
        <row r="98">
          <cell r="F98">
            <v>142363</v>
          </cell>
          <cell r="H98">
            <v>217</v>
          </cell>
        </row>
        <row r="99">
          <cell r="F99">
            <v>5058</v>
          </cell>
          <cell r="H99">
            <v>90</v>
          </cell>
        </row>
        <row r="100">
          <cell r="F100">
            <v>3674</v>
          </cell>
          <cell r="H100">
            <v>0</v>
          </cell>
        </row>
        <row r="101">
          <cell r="H101">
            <v>708</v>
          </cell>
        </row>
        <row r="104">
          <cell r="F104">
            <v>7010</v>
          </cell>
        </row>
        <row r="105">
          <cell r="F105">
            <v>34695</v>
          </cell>
        </row>
        <row r="106">
          <cell r="F106">
            <v>18756</v>
          </cell>
        </row>
        <row r="107">
          <cell r="F107" t="str">
            <v>.</v>
          </cell>
        </row>
        <row r="109">
          <cell r="F109">
            <v>51440</v>
          </cell>
        </row>
        <row r="110">
          <cell r="F110">
            <v>25538</v>
          </cell>
        </row>
        <row r="111">
          <cell r="F111">
            <v>3398</v>
          </cell>
        </row>
        <row r="114">
          <cell r="F114">
            <v>8708</v>
          </cell>
        </row>
        <row r="115">
          <cell r="F115">
            <v>6855</v>
          </cell>
        </row>
        <row r="123">
          <cell r="F123">
            <v>789657.196</v>
          </cell>
          <cell r="H123">
            <v>826.1260000000475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133414.97</v>
          </cell>
          <cell r="H125">
            <v>292.08999999999651</v>
          </cell>
        </row>
        <row r="126">
          <cell r="F126">
            <v>56449</v>
          </cell>
          <cell r="H126">
            <v>100.80000000000291</v>
          </cell>
        </row>
        <row r="127">
          <cell r="F127">
            <v>8640.1</v>
          </cell>
          <cell r="H127">
            <v>0</v>
          </cell>
        </row>
        <row r="128">
          <cell r="H128">
            <v>1107.429999999993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20.3</v>
          </cell>
          <cell r="H133">
            <v>20.3</v>
          </cell>
        </row>
        <row r="134">
          <cell r="F134">
            <v>39735</v>
          </cell>
          <cell r="H134">
            <v>0</v>
          </cell>
        </row>
        <row r="135">
          <cell r="F135">
            <v>31792</v>
          </cell>
          <cell r="H135">
            <v>75.569999999999709</v>
          </cell>
        </row>
        <row r="136">
          <cell r="F136">
            <v>21686.3</v>
          </cell>
          <cell r="H136">
            <v>11.579999999998108</v>
          </cell>
        </row>
        <row r="137">
          <cell r="F137">
            <v>24932.51</v>
          </cell>
          <cell r="H137">
            <v>0</v>
          </cell>
        </row>
        <row r="138">
          <cell r="F138">
            <v>69972.34</v>
          </cell>
          <cell r="H138">
            <v>17.129999999990105</v>
          </cell>
        </row>
        <row r="139">
          <cell r="F139">
            <v>964.58</v>
          </cell>
          <cell r="H139">
            <v>23.050000000000068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19670.69299999989</v>
          </cell>
        </row>
        <row r="143">
          <cell r="H143">
            <v>0.85979807740665071</v>
          </cell>
        </row>
        <row r="144">
          <cell r="H144">
            <v>17854.659999999982</v>
          </cell>
        </row>
        <row r="145">
          <cell r="H145">
            <v>0.92763009967290788</v>
          </cell>
        </row>
        <row r="146">
          <cell r="H146">
            <v>16622.663</v>
          </cell>
        </row>
        <row r="147">
          <cell r="H147">
            <v>0.8636988849424051</v>
          </cell>
        </row>
        <row r="148">
          <cell r="H148">
            <v>7228.960000000021</v>
          </cell>
        </row>
        <row r="149">
          <cell r="H149">
            <v>0.37559841621069145</v>
          </cell>
        </row>
        <row r="150">
          <cell r="H150">
            <v>8132.5999999999767</v>
          </cell>
        </row>
        <row r="151">
          <cell r="H151">
            <v>0.42247132511175733</v>
          </cell>
        </row>
        <row r="152">
          <cell r="H152">
            <v>5620.9029999999984</v>
          </cell>
        </row>
        <row r="153">
          <cell r="H153">
            <v>0.29209341315119247</v>
          </cell>
        </row>
        <row r="160">
          <cell r="F160">
            <v>24131.62</v>
          </cell>
        </row>
        <row r="161">
          <cell r="F161">
            <v>13030.21</v>
          </cell>
        </row>
        <row r="162">
          <cell r="F162">
            <v>38288.870000000003</v>
          </cell>
        </row>
        <row r="163">
          <cell r="F163">
            <v>3615.86</v>
          </cell>
        </row>
        <row r="164">
          <cell r="F164">
            <v>20419</v>
          </cell>
        </row>
        <row r="165">
          <cell r="F165">
            <v>921.26</v>
          </cell>
        </row>
        <row r="166">
          <cell r="F166">
            <v>88211.1</v>
          </cell>
        </row>
        <row r="167">
          <cell r="F167">
            <v>98242.43</v>
          </cell>
        </row>
        <row r="168">
          <cell r="F168">
            <v>91572.08</v>
          </cell>
        </row>
        <row r="169">
          <cell r="F169">
            <v>148984.41</v>
          </cell>
        </row>
        <row r="170">
          <cell r="F170">
            <v>44665.25</v>
          </cell>
        </row>
        <row r="171">
          <cell r="F171">
            <v>38707.370000000003</v>
          </cell>
        </row>
      </sheetData>
      <sheetData sheetId="7">
        <row r="7">
          <cell r="F7">
            <v>2764568</v>
          </cell>
          <cell r="H7">
            <v>96123</v>
          </cell>
        </row>
        <row r="8">
          <cell r="F8">
            <v>2780265</v>
          </cell>
          <cell r="H8">
            <v>97226</v>
          </cell>
        </row>
        <row r="9">
          <cell r="F9">
            <v>2278678.7000000002</v>
          </cell>
          <cell r="H9">
            <v>21642.200000000186</v>
          </cell>
        </row>
        <row r="10">
          <cell r="F10">
            <v>373937.87</v>
          </cell>
          <cell r="H10">
            <v>70987.580000000016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92629.780000000203</v>
          </cell>
        </row>
        <row r="15">
          <cell r="F15">
            <v>1549864.3030000001</v>
          </cell>
          <cell r="H15">
            <v>2966.7020000000484</v>
          </cell>
        </row>
        <row r="18">
          <cell r="F18">
            <v>12</v>
          </cell>
          <cell r="H18">
            <v>550</v>
          </cell>
        </row>
        <row r="19">
          <cell r="F19">
            <v>130065</v>
          </cell>
          <cell r="H19">
            <v>264</v>
          </cell>
        </row>
        <row r="20">
          <cell r="H20">
            <v>814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923647</v>
          </cell>
        </row>
        <row r="28">
          <cell r="H28">
            <v>108284.62300000177</v>
          </cell>
        </row>
        <row r="29">
          <cell r="H29">
            <v>0</v>
          </cell>
        </row>
        <row r="30">
          <cell r="H30">
            <v>38280</v>
          </cell>
        </row>
        <row r="31">
          <cell r="H31">
            <v>42400</v>
          </cell>
        </row>
        <row r="32">
          <cell r="H32">
            <v>1112611.6230000018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233393.45</v>
          </cell>
          <cell r="H36">
            <v>4307.7200000000012</v>
          </cell>
        </row>
        <row r="37">
          <cell r="F37">
            <v>415066</v>
          </cell>
          <cell r="H37">
            <v>0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7805.77</v>
          </cell>
          <cell r="H42">
            <v>7805.77</v>
          </cell>
        </row>
        <row r="43">
          <cell r="F43">
            <v>641704.11</v>
          </cell>
          <cell r="H43">
            <v>10954.79999999993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23067.469999999954</v>
          </cell>
        </row>
        <row r="49">
          <cell r="F49">
            <v>75217.47</v>
          </cell>
          <cell r="H49">
            <v>13704.203000000001</v>
          </cell>
        </row>
        <row r="50">
          <cell r="F50">
            <v>301891.95</v>
          </cell>
          <cell r="H50">
            <v>5922.859999999986</v>
          </cell>
        </row>
        <row r="51">
          <cell r="F51">
            <v>26334.9</v>
          </cell>
          <cell r="H51">
            <v>7014.4130000000005</v>
          </cell>
        </row>
        <row r="52">
          <cell r="F52">
            <v>380176.95</v>
          </cell>
          <cell r="H52">
            <v>9054.5200000000186</v>
          </cell>
        </row>
        <row r="53">
          <cell r="F53">
            <v>66131.195000000007</v>
          </cell>
          <cell r="H53">
            <v>20715.188000000009</v>
          </cell>
        </row>
        <row r="54">
          <cell r="F54">
            <v>3105.86</v>
          </cell>
          <cell r="H54">
            <v>272.86000000000013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20775.55</v>
          </cell>
          <cell r="H58">
            <v>544.50699999999779</v>
          </cell>
        </row>
        <row r="59">
          <cell r="H59">
            <v>71404.360999999975</v>
          </cell>
        </row>
        <row r="60">
          <cell r="H60">
            <v>94471.830999999947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936.41</v>
          </cell>
          <cell r="H63">
            <v>80.039999999999964</v>
          </cell>
        </row>
        <row r="64">
          <cell r="F64">
            <v>88557.11</v>
          </cell>
          <cell r="H64">
            <v>1818.0149999999994</v>
          </cell>
        </row>
        <row r="65">
          <cell r="F65">
            <v>98627.43</v>
          </cell>
          <cell r="H65">
            <v>1991.4470000000001</v>
          </cell>
        </row>
        <row r="66">
          <cell r="F66">
            <v>91945.93</v>
          </cell>
          <cell r="H66">
            <v>1941.0829999999987</v>
          </cell>
        </row>
        <row r="67">
          <cell r="F67">
            <v>149652.07</v>
          </cell>
          <cell r="H67">
            <v>3610.0200000000186</v>
          </cell>
        </row>
        <row r="68">
          <cell r="F68">
            <v>45023.35</v>
          </cell>
          <cell r="H68">
            <v>1848.2710000000006</v>
          </cell>
        </row>
        <row r="69">
          <cell r="F69">
            <v>38992.93</v>
          </cell>
          <cell r="H69">
            <v>1437.3629999999976</v>
          </cell>
        </row>
        <row r="72">
          <cell r="F72">
            <v>844218</v>
          </cell>
          <cell r="H72">
            <v>41</v>
          </cell>
        </row>
        <row r="73">
          <cell r="F73">
            <v>885336</v>
          </cell>
          <cell r="H73">
            <v>26</v>
          </cell>
        </row>
        <row r="74">
          <cell r="F74">
            <v>880325</v>
          </cell>
          <cell r="H74">
            <v>98</v>
          </cell>
        </row>
        <row r="75">
          <cell r="F75">
            <v>727038</v>
          </cell>
          <cell r="H75">
            <v>858</v>
          </cell>
        </row>
        <row r="76">
          <cell r="F76">
            <v>681969</v>
          </cell>
          <cell r="H76">
            <v>293</v>
          </cell>
        </row>
        <row r="77">
          <cell r="F77">
            <v>693984</v>
          </cell>
          <cell r="H77">
            <v>264</v>
          </cell>
        </row>
        <row r="78">
          <cell r="F78">
            <v>620230</v>
          </cell>
          <cell r="H78">
            <v>1977</v>
          </cell>
        </row>
        <row r="79">
          <cell r="F79">
            <v>798952</v>
          </cell>
          <cell r="H79">
            <v>966</v>
          </cell>
        </row>
        <row r="80">
          <cell r="F80">
            <v>467087.48</v>
          </cell>
          <cell r="H80">
            <v>1589.5999999999767</v>
          </cell>
        </row>
        <row r="81">
          <cell r="F81">
            <v>615176.64</v>
          </cell>
          <cell r="H81">
            <v>788.11999999999534</v>
          </cell>
        </row>
        <row r="82">
          <cell r="F82">
            <v>103623.09</v>
          </cell>
          <cell r="H82">
            <v>93.440000000002328</v>
          </cell>
        </row>
        <row r="83">
          <cell r="F83">
            <v>964228</v>
          </cell>
          <cell r="H83">
            <v>1703</v>
          </cell>
        </row>
        <row r="84">
          <cell r="F84">
            <v>384119</v>
          </cell>
          <cell r="H84">
            <v>2763</v>
          </cell>
        </row>
        <row r="85">
          <cell r="H85">
            <v>9638.7299999999232</v>
          </cell>
        </row>
        <row r="86">
          <cell r="F86">
            <v>441332.84</v>
          </cell>
        </row>
        <row r="87">
          <cell r="F87">
            <v>77051.8</v>
          </cell>
        </row>
        <row r="88">
          <cell r="F88">
            <v>142905.76</v>
          </cell>
        </row>
        <row r="89">
          <cell r="F89">
            <v>56017.8</v>
          </cell>
        </row>
        <row r="90">
          <cell r="F90">
            <v>2909</v>
          </cell>
        </row>
        <row r="92">
          <cell r="F92">
            <v>231368</v>
          </cell>
          <cell r="H92">
            <v>393</v>
          </cell>
        </row>
        <row r="93">
          <cell r="F93">
            <v>163312</v>
          </cell>
          <cell r="H93">
            <v>670</v>
          </cell>
        </row>
        <row r="94">
          <cell r="H94">
            <v>800</v>
          </cell>
        </row>
        <row r="95">
          <cell r="F95">
            <v>401831</v>
          </cell>
          <cell r="H95">
            <v>266</v>
          </cell>
        </row>
        <row r="96">
          <cell r="F96">
            <v>99249</v>
          </cell>
          <cell r="H96">
            <v>138</v>
          </cell>
        </row>
        <row r="97">
          <cell r="F97">
            <v>94372</v>
          </cell>
          <cell r="H97">
            <v>100</v>
          </cell>
        </row>
        <row r="98">
          <cell r="F98">
            <v>142404</v>
          </cell>
          <cell r="H98">
            <v>258</v>
          </cell>
        </row>
        <row r="99">
          <cell r="F99">
            <v>5085</v>
          </cell>
          <cell r="H99">
            <v>117</v>
          </cell>
        </row>
        <row r="100">
          <cell r="F100">
            <v>3674</v>
          </cell>
          <cell r="H100">
            <v>0</v>
          </cell>
        </row>
        <row r="101">
          <cell r="H101">
            <v>879</v>
          </cell>
        </row>
        <row r="104">
          <cell r="F104">
            <v>7010</v>
          </cell>
        </row>
        <row r="105">
          <cell r="F105">
            <v>34697</v>
          </cell>
        </row>
        <row r="106">
          <cell r="F106">
            <v>18759</v>
          </cell>
        </row>
        <row r="109">
          <cell r="F109">
            <v>51543</v>
          </cell>
        </row>
        <row r="110">
          <cell r="F110">
            <v>25582</v>
          </cell>
        </row>
        <row r="111">
          <cell r="F111">
            <v>3412</v>
          </cell>
        </row>
        <row r="114">
          <cell r="F114">
            <v>8739</v>
          </cell>
        </row>
        <row r="115">
          <cell r="F115">
            <v>6859</v>
          </cell>
        </row>
        <row r="123">
          <cell r="F123">
            <v>789857.56099999999</v>
          </cell>
          <cell r="H123">
            <v>1026.4910000000382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133508.26999999999</v>
          </cell>
          <cell r="H125">
            <v>385.38999999998487</v>
          </cell>
        </row>
        <row r="126">
          <cell r="F126">
            <v>56481.7</v>
          </cell>
          <cell r="H126">
            <v>133.5</v>
          </cell>
        </row>
        <row r="127">
          <cell r="F127">
            <v>8640.1</v>
          </cell>
          <cell r="H127">
            <v>0</v>
          </cell>
        </row>
        <row r="128">
          <cell r="H128">
            <v>1421.5210000000225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44</v>
          </cell>
          <cell r="H133">
            <v>44</v>
          </cell>
        </row>
        <row r="134">
          <cell r="F134">
            <v>39735</v>
          </cell>
          <cell r="H134">
            <v>0</v>
          </cell>
        </row>
        <row r="135">
          <cell r="H135">
            <v>75.569999999999709</v>
          </cell>
        </row>
        <row r="136">
          <cell r="F136">
            <v>21689.57</v>
          </cell>
          <cell r="H136">
            <v>14.849999999998545</v>
          </cell>
        </row>
        <row r="137">
          <cell r="F137">
            <v>24932.51</v>
          </cell>
          <cell r="H137">
            <v>0</v>
          </cell>
        </row>
        <row r="138">
          <cell r="F138">
            <v>69976.47</v>
          </cell>
          <cell r="H138">
            <v>21.259999999994761</v>
          </cell>
        </row>
        <row r="139">
          <cell r="F139">
            <v>970.25</v>
          </cell>
          <cell r="H139">
            <v>28.720000000000027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24659.002999999931</v>
          </cell>
        </row>
        <row r="143">
          <cell r="H143">
            <v>1.1204475705616326</v>
          </cell>
        </row>
        <row r="144">
          <cell r="H144">
            <v>21981.529999999984</v>
          </cell>
        </row>
        <row r="145">
          <cell r="H145">
            <v>1.1432675748531775</v>
          </cell>
        </row>
        <row r="146">
          <cell r="H146">
            <v>20715.188000000009</v>
          </cell>
        </row>
        <row r="147">
          <cell r="H147">
            <v>1.0775417629860882</v>
          </cell>
        </row>
        <row r="148">
          <cell r="H148">
            <v>9054.7200000000303</v>
          </cell>
        </row>
        <row r="149">
          <cell r="H149">
            <v>0.47099814449995936</v>
          </cell>
        </row>
        <row r="150">
          <cell r="H150">
            <v>10230.579999999987</v>
          </cell>
        </row>
        <row r="151">
          <cell r="H151">
            <v>0.53209511025127088</v>
          </cell>
        </row>
        <row r="152">
          <cell r="H152">
            <v>7014.4130000000005</v>
          </cell>
        </row>
        <row r="153">
          <cell r="H153">
            <v>0.36490718679525153</v>
          </cell>
        </row>
        <row r="160">
          <cell r="F160">
            <v>24201.47</v>
          </cell>
        </row>
        <row r="161">
          <cell r="F161">
            <v>13708.94</v>
          </cell>
        </row>
        <row r="162">
          <cell r="F162">
            <v>38618.93</v>
          </cell>
        </row>
        <row r="163">
          <cell r="F163">
            <v>3650.63</v>
          </cell>
        </row>
        <row r="164">
          <cell r="F164">
            <v>20419</v>
          </cell>
        </row>
        <row r="165">
          <cell r="F165">
            <v>936.41</v>
          </cell>
        </row>
        <row r="166">
          <cell r="F166">
            <v>88557.11</v>
          </cell>
        </row>
        <row r="167">
          <cell r="F167">
            <v>98627.43</v>
          </cell>
        </row>
        <row r="168">
          <cell r="F168">
            <v>91945.93</v>
          </cell>
        </row>
        <row r="169">
          <cell r="F169">
            <v>149652.07</v>
          </cell>
        </row>
        <row r="170">
          <cell r="F170">
            <v>45023.35</v>
          </cell>
        </row>
        <row r="171">
          <cell r="F171">
            <v>38992.93</v>
          </cell>
        </row>
      </sheetData>
      <sheetData sheetId="8">
        <row r="7">
          <cell r="F7">
            <v>2784199</v>
          </cell>
          <cell r="H7">
            <v>115754</v>
          </cell>
        </row>
        <row r="8">
          <cell r="F8">
            <v>2800142</v>
          </cell>
          <cell r="H8">
            <v>117103</v>
          </cell>
        </row>
        <row r="9">
          <cell r="F9">
            <v>2285370</v>
          </cell>
          <cell r="H9">
            <v>28333.5</v>
          </cell>
        </row>
        <row r="10">
          <cell r="F10">
            <v>386184.55</v>
          </cell>
          <cell r="H10">
            <v>83234.260000000009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111567.76000000001</v>
          </cell>
        </row>
        <row r="15">
          <cell r="F15">
            <v>1550610</v>
          </cell>
          <cell r="H15">
            <v>3712.3989999999758</v>
          </cell>
        </row>
        <row r="18">
          <cell r="F18">
            <v>11</v>
          </cell>
          <cell r="H18">
            <v>660</v>
          </cell>
        </row>
        <row r="19">
          <cell r="F19">
            <v>130123</v>
          </cell>
          <cell r="H19">
            <v>322</v>
          </cell>
        </row>
        <row r="20">
          <cell r="H20">
            <v>982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1112478.5</v>
          </cell>
        </row>
        <row r="28">
          <cell r="H28">
            <v>135502.56349999912</v>
          </cell>
        </row>
        <row r="29">
          <cell r="H29">
            <v>0</v>
          </cell>
        </row>
        <row r="30">
          <cell r="H30">
            <v>46690</v>
          </cell>
        </row>
        <row r="31">
          <cell r="H31">
            <v>51200</v>
          </cell>
        </row>
        <row r="32">
          <cell r="H32">
            <v>1345871.0634999992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234045.77</v>
          </cell>
          <cell r="H36">
            <v>4960.039999999979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11603.86</v>
          </cell>
          <cell r="H42">
            <v>11603.86</v>
          </cell>
        </row>
        <row r="43">
          <cell r="F43">
            <v>644050.15</v>
          </cell>
          <cell r="H43">
            <v>13300.839999999967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29864.099999999962</v>
          </cell>
        </row>
        <row r="49">
          <cell r="F49">
            <v>78010.720000000001</v>
          </cell>
          <cell r="H49">
            <v>16497.453000000001</v>
          </cell>
        </row>
        <row r="50">
          <cell r="F50">
            <v>303513.39</v>
          </cell>
          <cell r="H50">
            <v>7544.2999999999884</v>
          </cell>
        </row>
        <row r="51">
          <cell r="F51">
            <v>27829.89</v>
          </cell>
          <cell r="H51">
            <v>8509.4029999999984</v>
          </cell>
        </row>
        <row r="52">
          <cell r="F52">
            <v>382126.43</v>
          </cell>
          <cell r="H52">
            <v>11004</v>
          </cell>
        </row>
        <row r="53">
          <cell r="F53">
            <v>70411.3</v>
          </cell>
          <cell r="H53">
            <v>24995.293000000005</v>
          </cell>
        </row>
        <row r="54">
          <cell r="F54">
            <v>3161.04</v>
          </cell>
          <cell r="H54">
            <v>328.03999999999996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20921.03</v>
          </cell>
          <cell r="H58">
            <v>689.98699999999735</v>
          </cell>
        </row>
        <row r="59">
          <cell r="H59">
            <v>83744.285999999949</v>
          </cell>
        </row>
        <row r="60">
          <cell r="H60">
            <v>113608.38599999994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952.16</v>
          </cell>
          <cell r="H63">
            <v>95.789999999999964</v>
          </cell>
        </row>
        <row r="64">
          <cell r="F64">
            <v>88907.15</v>
          </cell>
          <cell r="H64">
            <v>2168.054999999993</v>
          </cell>
        </row>
        <row r="65">
          <cell r="F65">
            <v>99026.240000000005</v>
          </cell>
          <cell r="H65">
            <v>2390.2570000000123</v>
          </cell>
        </row>
        <row r="66">
          <cell r="F66">
            <v>92339.94</v>
          </cell>
          <cell r="H66">
            <v>2335.093000000008</v>
          </cell>
        </row>
        <row r="67">
          <cell r="F67">
            <v>150353.44</v>
          </cell>
          <cell r="H67">
            <v>4311.390000000014</v>
          </cell>
        </row>
        <row r="68">
          <cell r="F68">
            <v>45390.720000000001</v>
          </cell>
          <cell r="H68">
            <v>2215.6410000000033</v>
          </cell>
        </row>
        <row r="69">
          <cell r="F69">
            <v>39290.949999999997</v>
          </cell>
          <cell r="H69">
            <v>1735.3829999999944</v>
          </cell>
        </row>
        <row r="72">
          <cell r="F72">
            <v>844226</v>
          </cell>
          <cell r="H72">
            <v>49</v>
          </cell>
        </row>
        <row r="73">
          <cell r="F73">
            <v>885357</v>
          </cell>
          <cell r="H73">
            <v>47</v>
          </cell>
        </row>
        <row r="74">
          <cell r="F74">
            <v>880345</v>
          </cell>
          <cell r="H74">
            <v>118</v>
          </cell>
        </row>
        <row r="75">
          <cell r="F75">
            <v>727220</v>
          </cell>
          <cell r="H75">
            <v>1040</v>
          </cell>
        </row>
        <row r="76">
          <cell r="F76">
            <v>682033</v>
          </cell>
          <cell r="H76">
            <v>357</v>
          </cell>
        </row>
        <row r="77">
          <cell r="F77">
            <v>694033</v>
          </cell>
          <cell r="H77">
            <v>313</v>
          </cell>
        </row>
        <row r="78">
          <cell r="F78">
            <v>620638</v>
          </cell>
          <cell r="H78">
            <v>2385</v>
          </cell>
        </row>
        <row r="79">
          <cell r="F79">
            <v>799143</v>
          </cell>
          <cell r="H79">
            <v>1157</v>
          </cell>
        </row>
        <row r="80">
          <cell r="F80">
            <v>467424</v>
          </cell>
          <cell r="H80">
            <v>1926.1199999999953</v>
          </cell>
        </row>
        <row r="81">
          <cell r="F81">
            <v>615339</v>
          </cell>
          <cell r="H81">
            <v>950.47999999998137</v>
          </cell>
        </row>
        <row r="82">
          <cell r="F82">
            <v>103632</v>
          </cell>
          <cell r="H82">
            <v>102.35000000000582</v>
          </cell>
        </row>
        <row r="83">
          <cell r="F83">
            <v>964555</v>
          </cell>
          <cell r="H83">
            <v>2030</v>
          </cell>
        </row>
        <row r="84">
          <cell r="F84">
            <v>384672</v>
          </cell>
          <cell r="H84">
            <v>3316</v>
          </cell>
        </row>
        <row r="85">
          <cell r="H85">
            <v>11969.519999999931</v>
          </cell>
        </row>
        <row r="86">
          <cell r="F86">
            <v>441467</v>
          </cell>
        </row>
        <row r="87">
          <cell r="F87">
            <v>77060.899999999994</v>
          </cell>
        </row>
        <row r="88">
          <cell r="F88">
            <v>142964.99</v>
          </cell>
        </row>
        <row r="89">
          <cell r="F89">
            <v>56071.9</v>
          </cell>
        </row>
        <row r="90">
          <cell r="F90">
            <v>2910.4</v>
          </cell>
        </row>
        <row r="92">
          <cell r="F92">
            <v>231484</v>
          </cell>
          <cell r="H92">
            <v>509</v>
          </cell>
        </row>
        <row r="93">
          <cell r="F93">
            <v>163454</v>
          </cell>
          <cell r="H93">
            <v>812</v>
          </cell>
        </row>
        <row r="94">
          <cell r="H94">
            <v>1058</v>
          </cell>
        </row>
        <row r="95">
          <cell r="F95">
            <v>401888</v>
          </cell>
          <cell r="H95">
            <v>323</v>
          </cell>
        </row>
        <row r="96">
          <cell r="F96">
            <v>99285</v>
          </cell>
          <cell r="H96">
            <v>174</v>
          </cell>
        </row>
        <row r="97">
          <cell r="F97">
            <v>94393</v>
          </cell>
          <cell r="H97">
            <v>121</v>
          </cell>
        </row>
        <row r="98">
          <cell r="F98">
            <v>142457</v>
          </cell>
          <cell r="H98">
            <v>311</v>
          </cell>
        </row>
        <row r="99">
          <cell r="F99">
            <v>5109</v>
          </cell>
          <cell r="H99">
            <v>141</v>
          </cell>
        </row>
        <row r="100">
          <cell r="F100">
            <v>3674</v>
          </cell>
          <cell r="H100">
            <v>0</v>
          </cell>
        </row>
        <row r="101">
          <cell r="H101">
            <v>1070</v>
          </cell>
        </row>
        <row r="104">
          <cell r="F104">
            <v>7010</v>
          </cell>
        </row>
        <row r="105">
          <cell r="F105">
            <v>34702</v>
          </cell>
        </row>
        <row r="106">
          <cell r="F106">
            <v>18764</v>
          </cell>
        </row>
        <row r="109">
          <cell r="F109">
            <v>51598</v>
          </cell>
        </row>
        <row r="110">
          <cell r="F110">
            <v>25629</v>
          </cell>
        </row>
        <row r="111">
          <cell r="F111">
            <v>3412</v>
          </cell>
        </row>
        <row r="114">
          <cell r="F114">
            <v>8767</v>
          </cell>
        </row>
        <row r="115">
          <cell r="F115">
            <v>6873</v>
          </cell>
        </row>
        <row r="123">
          <cell r="F123">
            <v>790064.55</v>
          </cell>
          <cell r="H123">
            <v>1233.4800000000978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133618.71</v>
          </cell>
          <cell r="H125">
            <v>495.82999999998719</v>
          </cell>
        </row>
        <row r="126">
          <cell r="F126">
            <v>56510.2</v>
          </cell>
          <cell r="H126">
            <v>162</v>
          </cell>
        </row>
        <row r="127">
          <cell r="F127">
            <v>8640.1</v>
          </cell>
          <cell r="H127">
            <v>0</v>
          </cell>
        </row>
        <row r="128">
          <cell r="H128">
            <v>1821.2889999998879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68.27</v>
          </cell>
          <cell r="H133">
            <v>68.27</v>
          </cell>
        </row>
        <row r="134">
          <cell r="F134">
            <v>39735</v>
          </cell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21696.55</v>
          </cell>
          <cell r="H136">
            <v>21.829999999998108</v>
          </cell>
        </row>
        <row r="137">
          <cell r="F137">
            <v>24932.51</v>
          </cell>
          <cell r="H137">
            <v>0</v>
          </cell>
        </row>
        <row r="138">
          <cell r="F138">
            <v>69976.47</v>
          </cell>
          <cell r="H138">
            <v>21.259999999994761</v>
          </cell>
        </row>
        <row r="139">
          <cell r="F139">
            <v>976.03</v>
          </cell>
          <cell r="H139">
            <v>34.5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29798.292999999969</v>
          </cell>
        </row>
        <row r="143">
          <cell r="H143">
            <v>1.3822421811265573</v>
          </cell>
        </row>
        <row r="144">
          <cell r="H144">
            <v>25779.619999999984</v>
          </cell>
        </row>
        <row r="145">
          <cell r="H145">
            <v>1.3367416719445127</v>
          </cell>
        </row>
        <row r="146">
          <cell r="H146">
            <v>24995.293000000005</v>
          </cell>
        </row>
        <row r="147">
          <cell r="H147">
            <v>1.2955696270785948</v>
          </cell>
        </row>
        <row r="148">
          <cell r="H148">
            <v>11004.380000000005</v>
          </cell>
        </row>
        <row r="149">
          <cell r="H149">
            <v>0.57031351304970079</v>
          </cell>
        </row>
        <row r="150">
          <cell r="H150">
            <v>12504.339999999967</v>
          </cell>
        </row>
        <row r="151">
          <cell r="H151">
            <v>0.64792008096086184</v>
          </cell>
        </row>
        <row r="152">
          <cell r="H152">
            <v>8509.4029999999984</v>
          </cell>
        </row>
        <row r="153">
          <cell r="H153">
            <v>0.44106173826995976</v>
          </cell>
        </row>
        <row r="160">
          <cell r="F160">
            <v>24276.09</v>
          </cell>
        </row>
        <row r="161">
          <cell r="F161">
            <v>14407.18</v>
          </cell>
        </row>
        <row r="162">
          <cell r="F162">
            <v>38976.61</v>
          </cell>
        </row>
        <row r="163">
          <cell r="F163">
            <v>3688.8</v>
          </cell>
        </row>
        <row r="164">
          <cell r="F164">
            <v>20419</v>
          </cell>
        </row>
        <row r="165">
          <cell r="F165">
            <v>952.16</v>
          </cell>
        </row>
        <row r="166">
          <cell r="F166">
            <v>88907.15</v>
          </cell>
        </row>
        <row r="167">
          <cell r="F167">
            <v>99026.240000000005</v>
          </cell>
        </row>
        <row r="168">
          <cell r="F168">
            <v>92339.94</v>
          </cell>
        </row>
        <row r="169">
          <cell r="F169">
            <v>150353.44</v>
          </cell>
        </row>
        <row r="170">
          <cell r="F170">
            <v>45390.720000000001</v>
          </cell>
        </row>
        <row r="171">
          <cell r="F171">
            <v>39290.949999999997</v>
          </cell>
        </row>
      </sheetData>
      <sheetData sheetId="9">
        <row r="24">
          <cell r="F24">
            <v>4250</v>
          </cell>
        </row>
      </sheetData>
      <sheetData sheetId="10">
        <row r="7">
          <cell r="F7">
            <v>2825312</v>
          </cell>
          <cell r="H7">
            <v>156867</v>
          </cell>
        </row>
        <row r="8">
          <cell r="F8">
            <v>2841620</v>
          </cell>
          <cell r="H8">
            <v>158581</v>
          </cell>
        </row>
        <row r="9">
          <cell r="F9">
            <v>2300274.9</v>
          </cell>
          <cell r="H9">
            <v>43238.399999999907</v>
          </cell>
        </row>
        <row r="10">
          <cell r="F10">
            <v>410971.63</v>
          </cell>
          <cell r="H10">
            <v>108021.34000000003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151259.73999999993</v>
          </cell>
        </row>
        <row r="15">
          <cell r="F15">
            <v>1552095.34</v>
          </cell>
          <cell r="H15">
            <v>5197.7390000000596</v>
          </cell>
        </row>
        <row r="18">
          <cell r="F18">
            <v>16</v>
          </cell>
          <cell r="H18">
            <v>900</v>
          </cell>
        </row>
        <row r="19">
          <cell r="F19">
            <v>130233</v>
          </cell>
          <cell r="H19">
            <v>432</v>
          </cell>
        </row>
        <row r="20">
          <cell r="H20">
            <v>1332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H24">
            <v>0</v>
          </cell>
        </row>
        <row r="27">
          <cell r="H27">
            <v>1506519.5</v>
          </cell>
        </row>
        <row r="28">
          <cell r="H28">
            <v>189717.47350000218</v>
          </cell>
        </row>
        <row r="29">
          <cell r="H29">
            <v>0</v>
          </cell>
        </row>
        <row r="30">
          <cell r="H30">
            <v>62640</v>
          </cell>
        </row>
        <row r="31">
          <cell r="H31">
            <v>70400</v>
          </cell>
        </row>
        <row r="32">
          <cell r="H32">
            <v>1829276.9735000022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235994.71</v>
          </cell>
          <cell r="H36">
            <v>6908.9799999999814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20102.580000000002</v>
          </cell>
          <cell r="H42">
            <v>20102.580000000002</v>
          </cell>
        </row>
        <row r="43">
          <cell r="F43">
            <v>648737.94999999995</v>
          </cell>
          <cell r="H43">
            <v>17988.639999999898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44999.179999999891</v>
          </cell>
        </row>
        <row r="49">
          <cell r="F49">
            <v>83614.55</v>
          </cell>
          <cell r="H49">
            <v>22101.283000000003</v>
          </cell>
        </row>
        <row r="50">
          <cell r="F50">
            <v>306564.46999999997</v>
          </cell>
          <cell r="H50">
            <v>10595.379999999946</v>
          </cell>
        </row>
        <row r="51">
          <cell r="F51">
            <v>30851.31</v>
          </cell>
          <cell r="H51">
            <v>11530.823</v>
          </cell>
        </row>
        <row r="52">
          <cell r="F52">
            <v>386340.99</v>
          </cell>
          <cell r="H52">
            <v>15218.559999999998</v>
          </cell>
        </row>
        <row r="53">
          <cell r="F53">
            <v>79032.539999999994</v>
          </cell>
          <cell r="H53">
            <v>33616.532999999996</v>
          </cell>
        </row>
        <row r="54">
          <cell r="F54">
            <v>3248.5</v>
          </cell>
          <cell r="H54">
            <v>415.5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21204.799999999999</v>
          </cell>
          <cell r="H58">
            <v>973.75699999999779</v>
          </cell>
        </row>
        <row r="59">
          <cell r="H59">
            <v>108627.64599999989</v>
          </cell>
        </row>
        <row r="60">
          <cell r="H60">
            <v>153626.82599999983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979.29</v>
          </cell>
          <cell r="H63">
            <v>122.91999999999996</v>
          </cell>
        </row>
        <row r="64">
          <cell r="F64">
            <v>89633.48</v>
          </cell>
          <cell r="H64">
            <v>2894.3849999999948</v>
          </cell>
        </row>
        <row r="65">
          <cell r="F65">
            <v>99819.76</v>
          </cell>
          <cell r="H65">
            <v>3183.7770000000019</v>
          </cell>
        </row>
        <row r="66">
          <cell r="F66">
            <v>93144.78</v>
          </cell>
          <cell r="H66">
            <v>3139.9330000000045</v>
          </cell>
        </row>
        <row r="67">
          <cell r="F67">
            <v>151852.29999999999</v>
          </cell>
          <cell r="H67">
            <v>5810.25</v>
          </cell>
        </row>
        <row r="68">
          <cell r="F68">
            <v>46071.49</v>
          </cell>
          <cell r="H68">
            <v>2896.4110000000001</v>
          </cell>
        </row>
        <row r="69">
          <cell r="F69">
            <v>39878.67</v>
          </cell>
          <cell r="H69">
            <v>2323.1029999999955</v>
          </cell>
        </row>
        <row r="72">
          <cell r="F72">
            <v>844317</v>
          </cell>
          <cell r="H72">
            <v>140</v>
          </cell>
        </row>
        <row r="73">
          <cell r="F73">
            <v>885409</v>
          </cell>
          <cell r="H73">
            <v>99</v>
          </cell>
        </row>
        <row r="74">
          <cell r="F74">
            <v>880480</v>
          </cell>
          <cell r="H74">
            <v>253</v>
          </cell>
        </row>
        <row r="75">
          <cell r="F75">
            <v>727580</v>
          </cell>
          <cell r="H75">
            <v>1400</v>
          </cell>
        </row>
        <row r="76">
          <cell r="F76">
            <v>682192</v>
          </cell>
          <cell r="H76">
            <v>516</v>
          </cell>
        </row>
        <row r="77">
          <cell r="F77">
            <v>694133</v>
          </cell>
          <cell r="H77">
            <v>413</v>
          </cell>
        </row>
        <row r="78">
          <cell r="F78">
            <v>621509</v>
          </cell>
          <cell r="H78">
            <v>3256</v>
          </cell>
        </row>
        <row r="79">
          <cell r="F79">
            <v>799519</v>
          </cell>
          <cell r="H79">
            <v>1533</v>
          </cell>
        </row>
        <row r="80">
          <cell r="F80">
            <v>468105.24</v>
          </cell>
          <cell r="H80">
            <v>2607.359999999986</v>
          </cell>
        </row>
        <row r="81">
          <cell r="F81">
            <v>615698.04</v>
          </cell>
          <cell r="H81">
            <v>1309.5200000000186</v>
          </cell>
        </row>
        <row r="82">
          <cell r="F82">
            <v>103701</v>
          </cell>
          <cell r="H82">
            <v>171.35000000000582</v>
          </cell>
        </row>
        <row r="83">
          <cell r="F83">
            <v>965274</v>
          </cell>
          <cell r="H83">
            <v>2749</v>
          </cell>
        </row>
        <row r="84">
          <cell r="F84">
            <v>385782</v>
          </cell>
          <cell r="H84">
            <v>4426</v>
          </cell>
        </row>
        <row r="85">
          <cell r="H85">
            <v>17051.799999999959</v>
          </cell>
        </row>
        <row r="86">
          <cell r="F86">
            <v>441845.56</v>
          </cell>
        </row>
        <row r="87">
          <cell r="F87">
            <v>77124.899999999994</v>
          </cell>
        </row>
        <row r="88">
          <cell r="F88">
            <v>143111</v>
          </cell>
        </row>
        <row r="89">
          <cell r="F89">
            <v>56185.7</v>
          </cell>
        </row>
        <row r="90">
          <cell r="F90">
            <v>2918</v>
          </cell>
        </row>
        <row r="92">
          <cell r="F92">
            <v>231722</v>
          </cell>
          <cell r="H92">
            <v>747</v>
          </cell>
        </row>
        <row r="93">
          <cell r="F93">
            <v>163744</v>
          </cell>
          <cell r="H93">
            <v>1102</v>
          </cell>
        </row>
        <row r="94">
          <cell r="H94">
            <v>1586</v>
          </cell>
        </row>
        <row r="95">
          <cell r="F95">
            <v>402034</v>
          </cell>
          <cell r="H95">
            <v>469</v>
          </cell>
        </row>
        <row r="96">
          <cell r="F96">
            <v>99353</v>
          </cell>
          <cell r="H96">
            <v>242</v>
          </cell>
        </row>
        <row r="97">
          <cell r="F97">
            <v>94446</v>
          </cell>
          <cell r="H97">
            <v>174</v>
          </cell>
        </row>
        <row r="98">
          <cell r="F98">
            <v>142541</v>
          </cell>
          <cell r="H98">
            <v>395</v>
          </cell>
        </row>
        <row r="99">
          <cell r="F99">
            <v>5158</v>
          </cell>
          <cell r="H99">
            <v>190</v>
          </cell>
        </row>
        <row r="100">
          <cell r="F100">
            <v>3674</v>
          </cell>
          <cell r="H100">
            <v>0</v>
          </cell>
        </row>
        <row r="101">
          <cell r="H101">
            <v>1470</v>
          </cell>
        </row>
        <row r="104">
          <cell r="F104">
            <v>7010</v>
          </cell>
        </row>
        <row r="105">
          <cell r="F105">
            <v>34714</v>
          </cell>
        </row>
        <row r="106">
          <cell r="F106">
            <v>18775</v>
          </cell>
        </row>
        <row r="109">
          <cell r="F109">
            <v>51719</v>
          </cell>
        </row>
        <row r="110">
          <cell r="F110">
            <v>25709</v>
          </cell>
        </row>
        <row r="111">
          <cell r="F111">
            <v>3434</v>
          </cell>
        </row>
        <row r="114">
          <cell r="F114">
            <v>8825</v>
          </cell>
        </row>
        <row r="115">
          <cell r="F115">
            <v>6919</v>
          </cell>
        </row>
        <row r="123">
          <cell r="F123">
            <v>790433.58</v>
          </cell>
          <cell r="H123">
            <v>1602.5100000000093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133802.04</v>
          </cell>
          <cell r="H125">
            <v>679.16000000000349</v>
          </cell>
        </row>
        <row r="126">
          <cell r="F126">
            <v>56564.4</v>
          </cell>
          <cell r="H126">
            <v>216.20000000000437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116.22</v>
          </cell>
          <cell r="H133">
            <v>116.22</v>
          </cell>
        </row>
        <row r="134"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21709.68</v>
          </cell>
          <cell r="H136">
            <v>34.959999999999127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69982.929999999993</v>
          </cell>
          <cell r="H138">
            <v>27.719999999986612</v>
          </cell>
        </row>
        <row r="139">
          <cell r="F139">
            <v>986.54</v>
          </cell>
          <cell r="H139">
            <v>45.009999999999991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40089.922999999901</v>
          </cell>
        </row>
        <row r="143">
          <cell r="H143">
            <v>1.8836504745040035</v>
          </cell>
        </row>
        <row r="144">
          <cell r="H144">
            <v>34278.339999999982</v>
          </cell>
        </row>
        <row r="145">
          <cell r="H145">
            <v>1.7498393382359116</v>
          </cell>
        </row>
        <row r="146">
          <cell r="H146">
            <v>33616.532999999996</v>
          </cell>
        </row>
        <row r="147">
          <cell r="H147">
            <v>1.7151531307292371</v>
          </cell>
        </row>
        <row r="148">
          <cell r="H148">
            <v>15218.559999999998</v>
          </cell>
        </row>
        <row r="149">
          <cell r="H149">
            <v>0.77613988198449158</v>
          </cell>
        </row>
        <row r="150">
          <cell r="H150">
            <v>17504.359999999928</v>
          </cell>
        </row>
        <row r="151">
          <cell r="H151">
            <v>0.88928164023079947</v>
          </cell>
        </row>
        <row r="152">
          <cell r="H152">
            <v>11530.823</v>
          </cell>
        </row>
        <row r="153">
          <cell r="H153">
            <v>0.58833625537860734</v>
          </cell>
        </row>
        <row r="160">
          <cell r="F160">
            <v>24419.75</v>
          </cell>
        </row>
        <row r="161">
          <cell r="F161">
            <v>15825.27</v>
          </cell>
        </row>
        <row r="162">
          <cell r="F162">
            <v>39642.68</v>
          </cell>
        </row>
        <row r="163">
          <cell r="F163">
            <v>3737.75</v>
          </cell>
        </row>
        <row r="164">
          <cell r="F164">
            <v>20419</v>
          </cell>
        </row>
        <row r="165">
          <cell r="F165">
            <v>979.29</v>
          </cell>
        </row>
        <row r="166">
          <cell r="F166">
            <v>89633.48</v>
          </cell>
        </row>
        <row r="167">
          <cell r="F167">
            <v>99819.76</v>
          </cell>
        </row>
        <row r="168">
          <cell r="F168">
            <v>93144.78</v>
          </cell>
        </row>
        <row r="169">
          <cell r="F169">
            <v>151852.29999999999</v>
          </cell>
        </row>
        <row r="170">
          <cell r="F170">
            <v>46071.49</v>
          </cell>
        </row>
        <row r="171">
          <cell r="F171">
            <v>39878.67</v>
          </cell>
        </row>
      </sheetData>
      <sheetData sheetId="11">
        <row r="7">
          <cell r="F7">
            <v>2847015</v>
          </cell>
          <cell r="H7">
            <v>178570</v>
          </cell>
        </row>
        <row r="8">
          <cell r="F8">
            <v>2863467</v>
          </cell>
          <cell r="H8">
            <v>180428</v>
          </cell>
        </row>
        <row r="9">
          <cell r="F9">
            <v>2308429.5</v>
          </cell>
          <cell r="H9">
            <v>51393</v>
          </cell>
        </row>
        <row r="10">
          <cell r="F10">
            <v>423712.19</v>
          </cell>
          <cell r="H10">
            <v>120761.90000000002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172154.90000000002</v>
          </cell>
        </row>
        <row r="15">
          <cell r="F15">
            <v>1552915.93</v>
          </cell>
          <cell r="H15">
            <v>6018.3289999999106</v>
          </cell>
        </row>
        <row r="18">
          <cell r="F18">
            <v>16</v>
          </cell>
          <cell r="H18">
            <v>1060</v>
          </cell>
        </row>
        <row r="19">
          <cell r="F19">
            <v>130285</v>
          </cell>
          <cell r="H19">
            <v>484</v>
          </cell>
        </row>
        <row r="20">
          <cell r="H20">
            <v>1544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1714066</v>
          </cell>
        </row>
        <row r="28">
          <cell r="H28">
            <v>219669.00849999674</v>
          </cell>
        </row>
        <row r="29">
          <cell r="H29">
            <v>0</v>
          </cell>
        </row>
        <row r="30">
          <cell r="H30">
            <v>70180</v>
          </cell>
        </row>
        <row r="31">
          <cell r="H31">
            <v>83200</v>
          </cell>
        </row>
        <row r="32">
          <cell r="H32">
            <v>2087115.0084999967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237132.13</v>
          </cell>
          <cell r="H36">
            <v>8046.3999999999942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24907.37</v>
          </cell>
          <cell r="H42">
            <v>24907.37</v>
          </cell>
        </row>
        <row r="43">
          <cell r="F43">
            <v>651056.23</v>
          </cell>
          <cell r="H43">
            <v>20306.919999999925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53259.669999999925</v>
          </cell>
        </row>
        <row r="49">
          <cell r="F49">
            <v>86665.54</v>
          </cell>
          <cell r="H49">
            <v>25152.272999999994</v>
          </cell>
        </row>
        <row r="50">
          <cell r="F50">
            <v>308122.17</v>
          </cell>
          <cell r="H50">
            <v>12153.079999999958</v>
          </cell>
        </row>
        <row r="51">
          <cell r="F51">
            <v>32429.51</v>
          </cell>
          <cell r="H51">
            <v>13109.022999999997</v>
          </cell>
        </row>
        <row r="52">
          <cell r="F52">
            <v>388432.35</v>
          </cell>
          <cell r="H52">
            <v>17309.919999999984</v>
          </cell>
        </row>
        <row r="53">
          <cell r="F53">
            <v>83367.179999999993</v>
          </cell>
          <cell r="H53">
            <v>37951.172999999995</v>
          </cell>
        </row>
        <row r="54">
          <cell r="F54">
            <v>3299.54</v>
          </cell>
          <cell r="H54">
            <v>466.53999999999996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21382.720000000001</v>
          </cell>
          <cell r="H58">
            <v>1151.6769999999997</v>
          </cell>
        </row>
        <row r="59">
          <cell r="H59">
            <v>121469.49599999988</v>
          </cell>
        </row>
        <row r="60">
          <cell r="H60">
            <v>174729.16599999985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991.71</v>
          </cell>
          <cell r="H63">
            <v>135.34000000000003</v>
          </cell>
        </row>
        <row r="64">
          <cell r="F64">
            <v>89996.55</v>
          </cell>
          <cell r="H64">
            <v>3257.4550000000017</v>
          </cell>
        </row>
        <row r="65">
          <cell r="F65">
            <v>100230.81</v>
          </cell>
          <cell r="H65">
            <v>3594.8270000000048</v>
          </cell>
        </row>
        <row r="66">
          <cell r="F66">
            <v>93543.8</v>
          </cell>
          <cell r="H66">
            <v>3538.9530000000086</v>
          </cell>
        </row>
        <row r="67">
          <cell r="F67">
            <v>152622.97</v>
          </cell>
          <cell r="H67">
            <v>6580.9200000000128</v>
          </cell>
        </row>
        <row r="68">
          <cell r="F68">
            <v>46408.79</v>
          </cell>
          <cell r="H68">
            <v>3233.711000000003</v>
          </cell>
        </row>
        <row r="69">
          <cell r="F69">
            <v>40175.699999999997</v>
          </cell>
          <cell r="H69">
            <v>2620.1329999999944</v>
          </cell>
        </row>
        <row r="72">
          <cell r="F72">
            <v>844389</v>
          </cell>
          <cell r="H72">
            <v>212</v>
          </cell>
        </row>
        <row r="73">
          <cell r="F73">
            <v>885412</v>
          </cell>
          <cell r="H73">
            <v>102</v>
          </cell>
        </row>
        <row r="74">
          <cell r="F74">
            <v>880509</v>
          </cell>
          <cell r="H74">
            <v>282</v>
          </cell>
        </row>
        <row r="75">
          <cell r="F75">
            <v>727756</v>
          </cell>
          <cell r="H75">
            <v>1576</v>
          </cell>
        </row>
        <row r="76">
          <cell r="F76">
            <v>682289</v>
          </cell>
          <cell r="G76">
            <v>97</v>
          </cell>
          <cell r="H76">
            <v>613</v>
          </cell>
        </row>
        <row r="77">
          <cell r="F77">
            <v>694184</v>
          </cell>
          <cell r="G77">
            <v>51</v>
          </cell>
          <cell r="H77">
            <v>464</v>
          </cell>
        </row>
        <row r="78">
          <cell r="F78">
            <v>621968</v>
          </cell>
          <cell r="G78">
            <v>459</v>
          </cell>
          <cell r="H78">
            <v>3715</v>
          </cell>
        </row>
        <row r="79">
          <cell r="F79">
            <v>799713</v>
          </cell>
          <cell r="G79">
            <v>194</v>
          </cell>
          <cell r="H79">
            <v>1727</v>
          </cell>
        </row>
        <row r="80">
          <cell r="F80">
            <v>468449.64</v>
          </cell>
          <cell r="H80">
            <v>2951.7600000000093</v>
          </cell>
        </row>
        <row r="81">
          <cell r="F81">
            <v>615893</v>
          </cell>
          <cell r="G81">
            <v>194.95999999996275</v>
          </cell>
          <cell r="H81">
            <v>1504.4799999999814</v>
          </cell>
        </row>
        <row r="82">
          <cell r="F82">
            <v>103744</v>
          </cell>
          <cell r="G82">
            <v>43</v>
          </cell>
          <cell r="H82">
            <v>214.35000000000582</v>
          </cell>
        </row>
        <row r="83">
          <cell r="F83">
            <v>965654</v>
          </cell>
          <cell r="G83">
            <v>380</v>
          </cell>
          <cell r="H83">
            <v>3129</v>
          </cell>
        </row>
        <row r="84">
          <cell r="F84">
            <v>386330</v>
          </cell>
          <cell r="G84">
            <v>548</v>
          </cell>
          <cell r="H84">
            <v>4974</v>
          </cell>
        </row>
        <row r="85">
          <cell r="H85">
            <v>19643.159999999945</v>
          </cell>
        </row>
        <row r="86">
          <cell r="F86">
            <v>442027.56</v>
          </cell>
        </row>
        <row r="87">
          <cell r="F87">
            <v>77156.2</v>
          </cell>
        </row>
        <row r="88">
          <cell r="F88">
            <v>143195</v>
          </cell>
        </row>
        <row r="89">
          <cell r="F89">
            <v>56235.4</v>
          </cell>
        </row>
        <row r="90">
          <cell r="F90">
            <v>2920.4</v>
          </cell>
        </row>
        <row r="92">
          <cell r="F92">
            <v>231813</v>
          </cell>
          <cell r="G92">
            <v>91</v>
          </cell>
          <cell r="H92">
            <v>838</v>
          </cell>
        </row>
        <row r="93">
          <cell r="F93">
            <v>163920</v>
          </cell>
          <cell r="G93">
            <v>176</v>
          </cell>
          <cell r="H93">
            <v>1278</v>
          </cell>
        </row>
        <row r="94">
          <cell r="G94">
            <v>267</v>
          </cell>
          <cell r="H94">
            <v>1853</v>
          </cell>
        </row>
        <row r="95">
          <cell r="F95">
            <v>402088</v>
          </cell>
          <cell r="G95">
            <v>54</v>
          </cell>
          <cell r="H95">
            <v>523</v>
          </cell>
        </row>
        <row r="96">
          <cell r="F96">
            <v>99378</v>
          </cell>
          <cell r="G96">
            <v>25</v>
          </cell>
          <cell r="H96">
            <v>267</v>
          </cell>
        </row>
        <row r="97">
          <cell r="F97">
            <v>94470</v>
          </cell>
          <cell r="G97">
            <v>24</v>
          </cell>
          <cell r="H97">
            <v>198</v>
          </cell>
        </row>
        <row r="98">
          <cell r="F98">
            <v>142591</v>
          </cell>
          <cell r="H98">
            <v>445</v>
          </cell>
        </row>
        <row r="99">
          <cell r="F99">
            <v>5174</v>
          </cell>
          <cell r="H99">
            <v>206</v>
          </cell>
        </row>
        <row r="100">
          <cell r="F100">
            <v>3674</v>
          </cell>
          <cell r="H100">
            <v>0</v>
          </cell>
        </row>
        <row r="101">
          <cell r="H101">
            <v>1639</v>
          </cell>
        </row>
        <row r="104">
          <cell r="F104">
            <v>7010</v>
          </cell>
        </row>
        <row r="105">
          <cell r="F105">
            <v>34719</v>
          </cell>
        </row>
        <row r="106">
          <cell r="F106">
            <v>18780</v>
          </cell>
        </row>
        <row r="109">
          <cell r="F109">
            <v>51838</v>
          </cell>
        </row>
        <row r="110">
          <cell r="F110">
            <v>25750</v>
          </cell>
        </row>
        <row r="111">
          <cell r="F111">
            <v>3434</v>
          </cell>
        </row>
        <row r="114">
          <cell r="F114">
            <v>8846</v>
          </cell>
        </row>
        <row r="115">
          <cell r="F115">
            <v>6926</v>
          </cell>
        </row>
        <row r="123">
          <cell r="F123">
            <v>790618.83</v>
          </cell>
          <cell r="H123">
            <v>1787.7600000000093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133904.17000000001</v>
          </cell>
          <cell r="H125">
            <v>781.29000000000815</v>
          </cell>
        </row>
        <row r="126">
          <cell r="F126">
            <v>56601.599999999999</v>
          </cell>
          <cell r="H126">
            <v>253.40000000000146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140.08000000000001</v>
          </cell>
          <cell r="H133">
            <v>140.08000000000001</v>
          </cell>
        </row>
        <row r="134">
          <cell r="F134">
            <v>39735</v>
          </cell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21718.5</v>
          </cell>
          <cell r="H136">
            <v>43.779999999998836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69982.929999999993</v>
          </cell>
          <cell r="H138">
            <v>27.719999999986612</v>
          </cell>
        </row>
        <row r="139">
          <cell r="F139">
            <v>991.73</v>
          </cell>
          <cell r="H139">
            <v>50.200000000000045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45459.192999999919</v>
          </cell>
        </row>
        <row r="143">
          <cell r="H143">
            <v>2.1310480693065661</v>
          </cell>
        </row>
        <row r="144">
          <cell r="H144">
            <v>39083.129999999976</v>
          </cell>
        </row>
        <row r="145">
          <cell r="H145">
            <v>1.9712276255694599</v>
          </cell>
        </row>
        <row r="146">
          <cell r="H146">
            <v>37951.172999999995</v>
          </cell>
        </row>
        <row r="147">
          <cell r="H147">
            <v>1.9148785143167595</v>
          </cell>
        </row>
        <row r="148">
          <cell r="H148">
            <v>17309.919999999984</v>
          </cell>
        </row>
        <row r="149">
          <cell r="H149">
            <v>0.87250259681654185</v>
          </cell>
        </row>
        <row r="150">
          <cell r="H150">
            <v>20199.479999999952</v>
          </cell>
        </row>
        <row r="151">
          <cell r="H151">
            <v>1.0134635505657774</v>
          </cell>
        </row>
        <row r="152">
          <cell r="H152">
            <v>13109.022999999997</v>
          </cell>
        </row>
        <row r="153">
          <cell r="H153">
            <v>0.66105431279002502</v>
          </cell>
        </row>
        <row r="162">
          <cell r="F162">
            <v>24492.61</v>
          </cell>
        </row>
        <row r="163">
          <cell r="F163">
            <v>16536.490000000002</v>
          </cell>
        </row>
        <row r="164">
          <cell r="F164">
            <v>39946.480000000003</v>
          </cell>
        </row>
        <row r="165">
          <cell r="F165">
            <v>3761.88</v>
          </cell>
        </row>
      </sheetData>
      <sheetData sheetId="12">
        <row r="15">
          <cell r="G15">
            <v>827.6500000001397</v>
          </cell>
        </row>
      </sheetData>
      <sheetData sheetId="13">
        <row r="7">
          <cell r="F7">
            <v>2892868</v>
          </cell>
          <cell r="H7">
            <v>224423</v>
          </cell>
        </row>
        <row r="8">
          <cell r="F8">
            <v>2909560</v>
          </cell>
          <cell r="H8">
            <v>226521</v>
          </cell>
        </row>
        <row r="9">
          <cell r="F9">
            <v>2326421.9</v>
          </cell>
          <cell r="H9">
            <v>69385.399999999907</v>
          </cell>
        </row>
        <row r="10">
          <cell r="F10">
            <v>450096.79</v>
          </cell>
          <cell r="H10">
            <v>147146.5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194672.58999999991</v>
          </cell>
        </row>
        <row r="15">
          <cell r="F15">
            <v>1554546.99</v>
          </cell>
          <cell r="H15">
            <v>7649.3889999999665</v>
          </cell>
        </row>
        <row r="18">
          <cell r="F18">
            <v>17</v>
          </cell>
          <cell r="H18">
            <v>1430</v>
          </cell>
        </row>
        <row r="19">
          <cell r="F19">
            <v>130393</v>
          </cell>
          <cell r="H19">
            <v>592</v>
          </cell>
        </row>
        <row r="20">
          <cell r="H20">
            <v>2022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2151949.5</v>
          </cell>
        </row>
        <row r="28">
          <cell r="H28">
            <v>279202.69849999878</v>
          </cell>
        </row>
        <row r="29">
          <cell r="H29">
            <v>0</v>
          </cell>
        </row>
        <row r="30">
          <cell r="H30">
            <v>85840</v>
          </cell>
        </row>
        <row r="31">
          <cell r="H31">
            <v>112800</v>
          </cell>
        </row>
        <row r="32">
          <cell r="H32">
            <v>2629792.198499999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239376.21</v>
          </cell>
          <cell r="H36">
            <v>10290.479999999981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35797.61</v>
          </cell>
          <cell r="H42">
            <v>35797.61</v>
          </cell>
        </row>
        <row r="43">
          <cell r="F43">
            <v>656165.55000000005</v>
          </cell>
          <cell r="H43">
            <v>25416.239999999991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71503.799999999974</v>
          </cell>
        </row>
        <row r="49">
          <cell r="F49">
            <v>92666.11</v>
          </cell>
          <cell r="H49">
            <v>28056.593000000001</v>
          </cell>
        </row>
        <row r="50">
          <cell r="F50">
            <v>311199.77</v>
          </cell>
          <cell r="H50">
            <v>13790.239999999991</v>
          </cell>
        </row>
        <row r="51">
          <cell r="F51">
            <v>35556.129999999997</v>
          </cell>
          <cell r="H51">
            <v>14689.162999999997</v>
          </cell>
        </row>
        <row r="52">
          <cell r="F52">
            <v>392869.39</v>
          </cell>
          <cell r="H52">
            <v>19513.599999999977</v>
          </cell>
        </row>
        <row r="53">
          <cell r="F53">
            <v>92086.58</v>
          </cell>
          <cell r="H53">
            <v>42344.472999999998</v>
          </cell>
        </row>
        <row r="54">
          <cell r="F54">
            <v>3397.18</v>
          </cell>
          <cell r="H54">
            <v>518.56999999999971</v>
          </cell>
        </row>
        <row r="55">
          <cell r="F55">
            <v>158493</v>
          </cell>
          <cell r="H55">
            <v>0</v>
          </cell>
        </row>
        <row r="56">
          <cell r="F56">
            <v>450017.11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21707.4</v>
          </cell>
          <cell r="H58">
            <v>1314.367000000002</v>
          </cell>
        </row>
        <row r="59">
          <cell r="H59">
            <v>134403.08599999989</v>
          </cell>
        </row>
        <row r="60">
          <cell r="H60">
            <v>219450.55599999998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1013.65</v>
          </cell>
          <cell r="H63">
            <v>157.27999999999997</v>
          </cell>
        </row>
        <row r="64">
          <cell r="F64">
            <v>90759.6</v>
          </cell>
          <cell r="H64">
            <v>4020.5050000000047</v>
          </cell>
        </row>
        <row r="65">
          <cell r="F65">
            <v>101060.87</v>
          </cell>
          <cell r="H65">
            <v>4424.8870000000024</v>
          </cell>
        </row>
        <row r="66">
          <cell r="F66">
            <v>94392.19</v>
          </cell>
          <cell r="H66">
            <v>4387.343000000008</v>
          </cell>
        </row>
        <row r="67">
          <cell r="F67">
            <v>154102.15</v>
          </cell>
          <cell r="H67">
            <v>8060.1000000000058</v>
          </cell>
        </row>
        <row r="68">
          <cell r="F68">
            <v>47122.6</v>
          </cell>
          <cell r="H68">
            <v>3947.5210000000006</v>
          </cell>
        </row>
        <row r="69">
          <cell r="F69">
            <v>40779.85</v>
          </cell>
          <cell r="H69">
            <v>3224.2829999999958</v>
          </cell>
        </row>
        <row r="70">
          <cell r="H70">
            <v>0</v>
          </cell>
        </row>
        <row r="72">
          <cell r="F72">
            <v>844716</v>
          </cell>
          <cell r="H72">
            <v>539</v>
          </cell>
        </row>
        <row r="73">
          <cell r="F73">
            <v>885416</v>
          </cell>
          <cell r="H73">
            <v>106</v>
          </cell>
        </row>
        <row r="74">
          <cell r="F74">
            <v>880564</v>
          </cell>
          <cell r="H74">
            <v>337</v>
          </cell>
        </row>
        <row r="75">
          <cell r="F75">
            <v>728129</v>
          </cell>
          <cell r="H75">
            <v>1949</v>
          </cell>
        </row>
        <row r="76">
          <cell r="F76">
            <v>682483</v>
          </cell>
          <cell r="H76">
            <v>807</v>
          </cell>
        </row>
        <row r="77">
          <cell r="F77">
            <v>694293</v>
          </cell>
          <cell r="H77">
            <v>573</v>
          </cell>
        </row>
        <row r="78">
          <cell r="F78">
            <v>622772</v>
          </cell>
          <cell r="H78">
            <v>4519</v>
          </cell>
        </row>
        <row r="79">
          <cell r="F79">
            <v>800131</v>
          </cell>
          <cell r="H79">
            <v>2145</v>
          </cell>
        </row>
        <row r="80">
          <cell r="F80">
            <v>469153</v>
          </cell>
          <cell r="H80">
            <v>3655.1199999999953</v>
          </cell>
        </row>
        <row r="81">
          <cell r="F81">
            <v>616267</v>
          </cell>
          <cell r="H81">
            <v>1878.4799999999814</v>
          </cell>
        </row>
        <row r="82">
          <cell r="F82">
            <v>103788</v>
          </cell>
          <cell r="H82">
            <v>258.35000000000582</v>
          </cell>
        </row>
        <row r="83">
          <cell r="F83">
            <v>966411</v>
          </cell>
          <cell r="H83">
            <v>3886</v>
          </cell>
        </row>
        <row r="84">
          <cell r="F84">
            <v>387434</v>
          </cell>
          <cell r="H84">
            <v>6078</v>
          </cell>
        </row>
        <row r="85">
          <cell r="H85">
            <v>24909.519999999931</v>
          </cell>
        </row>
        <row r="86">
          <cell r="F86">
            <v>442356</v>
          </cell>
        </row>
        <row r="87">
          <cell r="F87">
            <v>77224</v>
          </cell>
        </row>
        <row r="88">
          <cell r="F88">
            <v>143323</v>
          </cell>
        </row>
        <row r="89">
          <cell r="F89">
            <v>56347.199999999997</v>
          </cell>
        </row>
        <row r="90">
          <cell r="F90">
            <v>2928.7</v>
          </cell>
        </row>
        <row r="92">
          <cell r="F92">
            <v>232106</v>
          </cell>
          <cell r="H92">
            <v>1131</v>
          </cell>
        </row>
        <row r="93">
          <cell r="F93">
            <v>164233</v>
          </cell>
          <cell r="H93">
            <v>1591</v>
          </cell>
        </row>
        <row r="94">
          <cell r="H94">
            <v>2459</v>
          </cell>
        </row>
        <row r="95">
          <cell r="F95">
            <v>402308</v>
          </cell>
          <cell r="H95">
            <v>743</v>
          </cell>
        </row>
        <row r="96">
          <cell r="F96">
            <v>99444</v>
          </cell>
          <cell r="H96">
            <v>333</v>
          </cell>
        </row>
        <row r="97">
          <cell r="F97">
            <v>94528</v>
          </cell>
          <cell r="H97">
            <v>256</v>
          </cell>
        </row>
        <row r="98">
          <cell r="F98">
            <v>142756</v>
          </cell>
          <cell r="H98">
            <v>610</v>
          </cell>
        </row>
        <row r="99">
          <cell r="F99">
            <v>5215</v>
          </cell>
          <cell r="H99">
            <v>247</v>
          </cell>
        </row>
        <row r="100">
          <cell r="F100">
            <v>3674</v>
          </cell>
          <cell r="H100">
            <v>0</v>
          </cell>
        </row>
        <row r="101">
          <cell r="H101">
            <v>2189</v>
          </cell>
        </row>
        <row r="104">
          <cell r="F104">
            <v>7010</v>
          </cell>
        </row>
        <row r="105">
          <cell r="F105">
            <v>34771</v>
          </cell>
        </row>
        <row r="106">
          <cell r="F106">
            <v>18790</v>
          </cell>
        </row>
        <row r="109">
          <cell r="F109">
            <v>51958</v>
          </cell>
        </row>
        <row r="110">
          <cell r="F110">
            <v>25882</v>
          </cell>
        </row>
        <row r="111">
          <cell r="F111">
            <v>3448</v>
          </cell>
        </row>
        <row r="114">
          <cell r="F114">
            <v>8894</v>
          </cell>
        </row>
        <row r="115">
          <cell r="F115">
            <v>6954</v>
          </cell>
        </row>
        <row r="123">
          <cell r="F123">
            <v>791026.15</v>
          </cell>
          <cell r="H123">
            <v>2195.0800000000745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134126.51</v>
          </cell>
          <cell r="H125">
            <v>1003.6300000000047</v>
          </cell>
        </row>
        <row r="126">
          <cell r="F126">
            <v>56661.8</v>
          </cell>
          <cell r="H126">
            <v>313.60000000000582</v>
          </cell>
        </row>
        <row r="127">
          <cell r="F127">
            <v>8659.2000000000007</v>
          </cell>
          <cell r="H127">
            <v>19.100000000000364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188.25</v>
          </cell>
          <cell r="H133">
            <v>188.25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21734.55</v>
          </cell>
          <cell r="H136">
            <v>59.829999999998108</v>
          </cell>
        </row>
        <row r="137">
          <cell r="F137">
            <v>24932.51</v>
          </cell>
          <cell r="H137">
            <v>0</v>
          </cell>
        </row>
        <row r="138">
          <cell r="F138">
            <v>69984.14</v>
          </cell>
          <cell r="H138">
            <v>28.929999999993015</v>
          </cell>
        </row>
        <row r="139">
          <cell r="F139">
            <v>1003.17</v>
          </cell>
          <cell r="H139">
            <v>61.639999999999986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56569.082999999991</v>
          </cell>
        </row>
        <row r="143">
          <cell r="H143">
            <v>2.6158514945294375</v>
          </cell>
        </row>
        <row r="144">
          <cell r="H144">
            <v>50667.079999999973</v>
          </cell>
        </row>
        <row r="145">
          <cell r="H145">
            <v>2.4764737926490676</v>
          </cell>
        </row>
        <row r="146">
          <cell r="H146">
            <v>46670.573000000004</v>
          </cell>
        </row>
        <row r="147">
          <cell r="H147">
            <v>2.2952506097767391</v>
          </cell>
        </row>
        <row r="148">
          <cell r="H148">
            <v>21746.960000000021</v>
          </cell>
        </row>
        <row r="149">
          <cell r="H149">
            <v>1.0661076560836351</v>
          </cell>
        </row>
        <row r="150">
          <cell r="H150">
            <v>25521.159999999974</v>
          </cell>
        </row>
        <row r="151">
          <cell r="H151">
            <v>1.2452694385926786</v>
          </cell>
        </row>
        <row r="152">
          <cell r="H152">
            <v>16235.642999999996</v>
          </cell>
        </row>
        <row r="153">
          <cell r="H153">
            <v>0.79744214338636066</v>
          </cell>
        </row>
        <row r="160">
          <cell r="F160">
            <v>24639.81</v>
          </cell>
        </row>
        <row r="161">
          <cell r="F161">
            <v>17940.43</v>
          </cell>
        </row>
        <row r="162">
          <cell r="F162">
            <v>40502.370000000003</v>
          </cell>
        </row>
        <row r="163">
          <cell r="F163">
            <v>3796.96</v>
          </cell>
        </row>
      </sheetData>
      <sheetData sheetId="14">
        <row r="7">
          <cell r="F7">
            <v>2914559</v>
          </cell>
          <cell r="H7">
            <v>246114</v>
          </cell>
        </row>
        <row r="8">
          <cell r="F8">
            <v>2931360</v>
          </cell>
          <cell r="H8">
            <v>248321</v>
          </cell>
        </row>
        <row r="9">
          <cell r="F9">
            <v>2334906.5</v>
          </cell>
          <cell r="H9">
            <v>77870</v>
          </cell>
        </row>
        <row r="10">
          <cell r="F10">
            <v>462554.63</v>
          </cell>
          <cell r="H10">
            <v>159604.34000000003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215615.03000000003</v>
          </cell>
        </row>
        <row r="15">
          <cell r="F15">
            <v>1555337</v>
          </cell>
          <cell r="H15">
            <v>8439.3989999999758</v>
          </cell>
        </row>
        <row r="18">
          <cell r="F18">
            <v>22</v>
          </cell>
          <cell r="H18">
            <v>1650</v>
          </cell>
        </row>
        <row r="19">
          <cell r="F19">
            <v>130449</v>
          </cell>
          <cell r="H19">
            <v>648</v>
          </cell>
        </row>
        <row r="20">
          <cell r="H20">
            <v>2298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2359049.5</v>
          </cell>
        </row>
        <row r="28">
          <cell r="H28">
            <v>308038.06349999912</v>
          </cell>
        </row>
        <row r="29">
          <cell r="H29">
            <v>0</v>
          </cell>
        </row>
        <row r="30">
          <cell r="H30">
            <v>93960</v>
          </cell>
        </row>
        <row r="31">
          <cell r="H31">
            <v>130400</v>
          </cell>
        </row>
        <row r="32">
          <cell r="H32">
            <v>2891447.5634999992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240069.07</v>
          </cell>
          <cell r="H36">
            <v>10983.339999999997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41249.15</v>
          </cell>
          <cell r="H42">
            <v>41249.15</v>
          </cell>
        </row>
        <row r="43">
          <cell r="F43">
            <v>658621.59</v>
          </cell>
          <cell r="H43">
            <v>27872.279999999912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80104.239999999903</v>
          </cell>
        </row>
        <row r="49">
          <cell r="F49">
            <v>95516.13</v>
          </cell>
          <cell r="H49">
            <v>30906.613000000005</v>
          </cell>
        </row>
        <row r="50">
          <cell r="F50">
            <v>312351.78999999998</v>
          </cell>
          <cell r="H50">
            <v>14942.259999999951</v>
          </cell>
        </row>
        <row r="51">
          <cell r="F51">
            <v>37102.39</v>
          </cell>
          <cell r="H51">
            <v>16235.422999999999</v>
          </cell>
        </row>
        <row r="52">
          <cell r="F52">
            <v>395207.79</v>
          </cell>
          <cell r="H52">
            <v>21851.999999999942</v>
          </cell>
        </row>
        <row r="53">
          <cell r="F53">
            <v>96525.45</v>
          </cell>
          <cell r="H53">
            <v>46783.342999999993</v>
          </cell>
        </row>
        <row r="54">
          <cell r="F54">
            <v>3444.79</v>
          </cell>
          <cell r="H54">
            <v>566.17999999999984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450017.11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21855.91</v>
          </cell>
          <cell r="H58">
            <v>1462.8770000000004</v>
          </cell>
        </row>
        <row r="59">
          <cell r="H59">
            <v>146924.50599999982</v>
          </cell>
        </row>
        <row r="60">
          <cell r="H60">
            <v>240572.41599999985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1025.46</v>
          </cell>
          <cell r="H63">
            <v>169.09000000000003</v>
          </cell>
        </row>
        <row r="64">
          <cell r="F64">
            <v>91117.63</v>
          </cell>
          <cell r="H64">
            <v>4378.5350000000035</v>
          </cell>
        </row>
        <row r="65">
          <cell r="F65">
            <v>101479.63</v>
          </cell>
          <cell r="H65">
            <v>4843.6470000000118</v>
          </cell>
        </row>
        <row r="66">
          <cell r="F66">
            <v>94808.26</v>
          </cell>
          <cell r="H66">
            <v>4803.4130000000005</v>
          </cell>
        </row>
        <row r="67">
          <cell r="F67">
            <v>154843.32999999999</v>
          </cell>
          <cell r="H67">
            <v>8801.2799999999988</v>
          </cell>
        </row>
        <row r="68">
          <cell r="F68">
            <v>47483.27</v>
          </cell>
          <cell r="H68">
            <v>4308.1909999999989</v>
          </cell>
        </row>
        <row r="69">
          <cell r="F69">
            <v>41079.440000000002</v>
          </cell>
          <cell r="H69">
            <v>3523.8729999999996</v>
          </cell>
        </row>
        <row r="70">
          <cell r="H70">
            <v>0</v>
          </cell>
        </row>
        <row r="72">
          <cell r="F72">
            <v>844856</v>
          </cell>
          <cell r="H72">
            <v>679</v>
          </cell>
        </row>
        <row r="73">
          <cell r="F73">
            <v>885466</v>
          </cell>
          <cell r="H73">
            <v>156</v>
          </cell>
        </row>
        <row r="74">
          <cell r="F74">
            <v>880589</v>
          </cell>
          <cell r="H74">
            <v>362</v>
          </cell>
        </row>
        <row r="75">
          <cell r="F75">
            <v>728320</v>
          </cell>
          <cell r="H75">
            <v>2140</v>
          </cell>
        </row>
        <row r="76">
          <cell r="F76">
            <v>682599</v>
          </cell>
          <cell r="H76">
            <v>923</v>
          </cell>
        </row>
        <row r="77">
          <cell r="F77">
            <v>694352</v>
          </cell>
          <cell r="H77">
            <v>632</v>
          </cell>
        </row>
        <row r="78">
          <cell r="F78">
            <v>623140</v>
          </cell>
          <cell r="H78">
            <v>4887</v>
          </cell>
        </row>
        <row r="79">
          <cell r="F79">
            <v>800329</v>
          </cell>
          <cell r="H79">
            <v>2343</v>
          </cell>
        </row>
        <row r="80">
          <cell r="F80">
            <v>469510</v>
          </cell>
          <cell r="H80">
            <v>4012.1199999999953</v>
          </cell>
        </row>
        <row r="81">
          <cell r="F81">
            <v>616394</v>
          </cell>
          <cell r="H81">
            <v>2005.4799999999814</v>
          </cell>
        </row>
        <row r="82">
          <cell r="F82">
            <v>103866</v>
          </cell>
          <cell r="H82">
            <v>336.35000000000582</v>
          </cell>
        </row>
        <row r="83">
          <cell r="F83">
            <v>966791</v>
          </cell>
          <cell r="H83">
            <v>4266</v>
          </cell>
        </row>
        <row r="84">
          <cell r="F84">
            <v>387957</v>
          </cell>
          <cell r="H84">
            <v>6601</v>
          </cell>
        </row>
        <row r="85">
          <cell r="H85">
            <v>27521.519999999931</v>
          </cell>
        </row>
        <row r="86">
          <cell r="F86">
            <v>442452</v>
          </cell>
          <cell r="H86">
            <v>96</v>
          </cell>
        </row>
        <row r="87">
          <cell r="F87">
            <v>77254.100000000006</v>
          </cell>
          <cell r="H87">
            <v>30.100000000005821</v>
          </cell>
        </row>
        <row r="88">
          <cell r="F88">
            <v>143365</v>
          </cell>
          <cell r="H88">
            <v>42</v>
          </cell>
        </row>
        <row r="89">
          <cell r="F89">
            <v>56400.9</v>
          </cell>
          <cell r="H89">
            <v>53.700000000004366</v>
          </cell>
        </row>
        <row r="90">
          <cell r="F90">
            <v>2929.8</v>
          </cell>
          <cell r="H90">
            <v>1.1000000000003638</v>
          </cell>
        </row>
        <row r="92">
          <cell r="F92">
            <v>232237</v>
          </cell>
          <cell r="H92">
            <v>1262</v>
          </cell>
        </row>
        <row r="93">
          <cell r="F93">
            <v>164401</v>
          </cell>
          <cell r="H93">
            <v>1759</v>
          </cell>
        </row>
        <row r="94">
          <cell r="H94">
            <v>2758</v>
          </cell>
        </row>
        <row r="95">
          <cell r="F95">
            <v>402383</v>
          </cell>
          <cell r="H95">
            <v>818</v>
          </cell>
        </row>
        <row r="96">
          <cell r="F96">
            <v>99481</v>
          </cell>
          <cell r="H96">
            <v>370</v>
          </cell>
        </row>
        <row r="97">
          <cell r="F97">
            <v>94575</v>
          </cell>
          <cell r="H97">
            <v>303</v>
          </cell>
        </row>
        <row r="98">
          <cell r="F98">
            <v>142841</v>
          </cell>
          <cell r="H98">
            <v>695</v>
          </cell>
        </row>
        <row r="99">
          <cell r="F99">
            <v>5238</v>
          </cell>
          <cell r="H99">
            <v>270</v>
          </cell>
        </row>
        <row r="100">
          <cell r="F100">
            <v>3674</v>
          </cell>
          <cell r="H100">
            <v>0</v>
          </cell>
        </row>
        <row r="101">
          <cell r="H101">
            <v>2456</v>
          </cell>
        </row>
        <row r="104">
          <cell r="F104">
            <v>7010</v>
          </cell>
          <cell r="H104">
            <v>57</v>
          </cell>
        </row>
        <row r="105">
          <cell r="F105">
            <v>34779</v>
          </cell>
          <cell r="H105">
            <v>63</v>
          </cell>
        </row>
        <row r="106">
          <cell r="F106">
            <v>18795</v>
          </cell>
          <cell r="H106">
            <v>485</v>
          </cell>
        </row>
        <row r="107">
          <cell r="H107">
            <v>214</v>
          </cell>
        </row>
        <row r="109">
          <cell r="F109">
            <v>52012</v>
          </cell>
          <cell r="H109">
            <v>207.28000000002794</v>
          </cell>
        </row>
        <row r="110">
          <cell r="F110">
            <v>25963</v>
          </cell>
          <cell r="H110">
            <v>101.76000000000931</v>
          </cell>
        </row>
        <row r="111">
          <cell r="F111">
            <v>3458</v>
          </cell>
          <cell r="H111">
            <v>356</v>
          </cell>
        </row>
        <row r="112">
          <cell r="H112">
            <v>709</v>
          </cell>
        </row>
        <row r="114">
          <cell r="F114">
            <v>8920</v>
          </cell>
          <cell r="H114">
            <v>26</v>
          </cell>
        </row>
        <row r="115">
          <cell r="F115">
            <v>6965</v>
          </cell>
          <cell r="H115">
            <v>123</v>
          </cell>
        </row>
        <row r="116">
          <cell r="H116">
            <v>151</v>
          </cell>
        </row>
        <row r="117">
          <cell r="H117">
            <v>84</v>
          </cell>
        </row>
        <row r="118">
          <cell r="H118">
            <v>220</v>
          </cell>
        </row>
        <row r="119">
          <cell r="H119">
            <v>249</v>
          </cell>
        </row>
        <row r="120">
          <cell r="H120">
            <v>145</v>
          </cell>
        </row>
        <row r="123">
          <cell r="F123">
            <v>791225.78</v>
          </cell>
          <cell r="H123">
            <v>2394.7100000000792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134213.35</v>
          </cell>
          <cell r="H125">
            <v>1090.4700000000012</v>
          </cell>
        </row>
        <row r="126">
          <cell r="F126">
            <v>56699</v>
          </cell>
          <cell r="H126">
            <v>350.80000000000291</v>
          </cell>
        </row>
        <row r="127">
          <cell r="F127">
            <v>8662.6</v>
          </cell>
          <cell r="H127">
            <v>22.5</v>
          </cell>
        </row>
        <row r="128">
          <cell r="H128">
            <v>4581.1189999998896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212.34</v>
          </cell>
          <cell r="H133">
            <v>212.34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21742.65</v>
          </cell>
          <cell r="H136">
            <v>67.930000000000291</v>
          </cell>
        </row>
        <row r="137">
          <cell r="F137">
            <v>24932.51</v>
          </cell>
          <cell r="H137">
            <v>0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1008.82</v>
          </cell>
          <cell r="H139">
            <v>67.290000000000077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61875.142999999916</v>
          </cell>
        </row>
        <row r="143">
          <cell r="H143">
            <v>2.8604718439831247</v>
          </cell>
        </row>
        <row r="144">
          <cell r="H144">
            <v>56118.349999999984</v>
          </cell>
        </row>
        <row r="145">
          <cell r="H145">
            <v>2.7277886236849818</v>
          </cell>
        </row>
        <row r="146">
          <cell r="H146">
            <v>51109.442999999999</v>
          </cell>
        </row>
        <row r="147">
          <cell r="H147">
            <v>2.4998917051619216</v>
          </cell>
        </row>
        <row r="148">
          <cell r="H148">
            <v>24085.359999999986</v>
          </cell>
        </row>
        <row r="149">
          <cell r="H149">
            <v>1.1739127365317457</v>
          </cell>
        </row>
        <row r="150">
          <cell r="H150">
            <v>27366.03999999995</v>
          </cell>
        </row>
        <row r="151">
          <cell r="H151">
            <v>1.330322225462808</v>
          </cell>
        </row>
        <row r="152">
          <cell r="H152">
            <v>17781.902999999998</v>
          </cell>
        </row>
        <row r="153">
          <cell r="H153">
            <v>0.97968526622067054</v>
          </cell>
        </row>
        <row r="160">
          <cell r="F160">
            <v>24712.45</v>
          </cell>
        </row>
        <row r="161">
          <cell r="F161">
            <v>18633.84</v>
          </cell>
        </row>
        <row r="162">
          <cell r="F162">
            <v>40841.910000000003</v>
          </cell>
        </row>
        <row r="163">
          <cell r="F163">
            <v>3828.65</v>
          </cell>
        </row>
        <row r="164">
          <cell r="F164">
            <v>20419</v>
          </cell>
        </row>
        <row r="165">
          <cell r="F165">
            <v>1025.46</v>
          </cell>
        </row>
        <row r="166">
          <cell r="F166">
            <v>91117.63</v>
          </cell>
        </row>
        <row r="167">
          <cell r="F167">
            <v>101479.63</v>
          </cell>
        </row>
        <row r="168">
          <cell r="F168">
            <v>94808.26</v>
          </cell>
        </row>
        <row r="169">
          <cell r="F169">
            <v>154843.32999999999</v>
          </cell>
        </row>
        <row r="170">
          <cell r="F170">
            <v>47483.27</v>
          </cell>
        </row>
        <row r="171">
          <cell r="F171">
            <v>41079.440000000002</v>
          </cell>
        </row>
      </sheetData>
      <sheetData sheetId="15">
        <row r="7">
          <cell r="F7">
            <v>2934513</v>
          </cell>
          <cell r="H7">
            <v>266068</v>
          </cell>
        </row>
        <row r="8">
          <cell r="F8">
            <v>2951474</v>
          </cell>
          <cell r="H8">
            <v>268435</v>
          </cell>
        </row>
        <row r="9">
          <cell r="F9">
            <v>2342459</v>
          </cell>
          <cell r="H9">
            <v>85422.5</v>
          </cell>
        </row>
        <row r="10">
          <cell r="F10">
            <v>474270</v>
          </cell>
          <cell r="H10">
            <v>171319.71000000002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234882.90000000002</v>
          </cell>
        </row>
        <row r="15">
          <cell r="F15">
            <v>1556124</v>
          </cell>
          <cell r="H15">
            <v>9226.3989999999758</v>
          </cell>
        </row>
        <row r="18">
          <cell r="F18">
            <v>18</v>
          </cell>
          <cell r="H18">
            <v>1830</v>
          </cell>
        </row>
        <row r="19">
          <cell r="F19">
            <v>130505</v>
          </cell>
          <cell r="H19">
            <v>704</v>
          </cell>
        </row>
        <row r="20">
          <cell r="H20">
            <v>2534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2550132.5</v>
          </cell>
        </row>
        <row r="28">
          <cell r="H28">
            <v>336763.56349999912</v>
          </cell>
        </row>
        <row r="29">
          <cell r="H29">
            <v>0</v>
          </cell>
        </row>
        <row r="30">
          <cell r="H30">
            <v>102080</v>
          </cell>
        </row>
        <row r="31">
          <cell r="H31">
            <v>144800</v>
          </cell>
        </row>
        <row r="32">
          <cell r="H32">
            <v>3133776.0634999992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240701.63</v>
          </cell>
          <cell r="H36">
            <v>11615.899999999994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45867.48</v>
          </cell>
          <cell r="H42">
            <v>45867.48</v>
          </cell>
        </row>
        <row r="43">
          <cell r="F43">
            <v>661049.47</v>
          </cell>
          <cell r="H43">
            <v>30300.159999999916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87783.059999999896</v>
          </cell>
        </row>
        <row r="49">
          <cell r="F49">
            <v>98346</v>
          </cell>
          <cell r="H49">
            <v>33736.483</v>
          </cell>
        </row>
        <row r="50">
          <cell r="F50">
            <v>313423</v>
          </cell>
          <cell r="H50">
            <v>16013.469999999972</v>
          </cell>
        </row>
        <row r="51">
          <cell r="F51">
            <v>38547.57</v>
          </cell>
          <cell r="H51">
            <v>17680.602999999999</v>
          </cell>
        </row>
        <row r="52">
          <cell r="F52">
            <v>397341.91</v>
          </cell>
          <cell r="H52">
            <v>23986.119999999937</v>
          </cell>
        </row>
        <row r="53">
          <cell r="F53">
            <v>100640</v>
          </cell>
          <cell r="H53">
            <v>50897.892999999996</v>
          </cell>
        </row>
        <row r="54">
          <cell r="F54">
            <v>3482.54</v>
          </cell>
          <cell r="H54">
            <v>603.92999999999984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</v>
          </cell>
          <cell r="H56">
            <v>14175.969999999972</v>
          </cell>
        </row>
        <row r="57">
          <cell r="F57">
            <v>0</v>
          </cell>
          <cell r="H57">
            <v>0</v>
          </cell>
        </row>
        <row r="58">
          <cell r="F58">
            <v>21988</v>
          </cell>
          <cell r="H58">
            <v>1594.9670000000006</v>
          </cell>
        </row>
        <row r="59">
          <cell r="H59">
            <v>158689.16599999985</v>
          </cell>
        </row>
        <row r="60">
          <cell r="H60">
            <v>260015.89599999986</v>
          </cell>
        </row>
        <row r="62">
          <cell r="F62">
            <v>20419.18</v>
          </cell>
          <cell r="H62">
            <v>0</v>
          </cell>
        </row>
        <row r="63">
          <cell r="F63">
            <v>1034.52</v>
          </cell>
          <cell r="H63">
            <v>178.14999999999998</v>
          </cell>
        </row>
        <row r="64">
          <cell r="F64">
            <v>91476</v>
          </cell>
          <cell r="H64">
            <v>4736.9049999999988</v>
          </cell>
        </row>
        <row r="65">
          <cell r="F65">
            <v>101879</v>
          </cell>
          <cell r="H65">
            <v>5243.0170000000071</v>
          </cell>
        </row>
        <row r="66">
          <cell r="F66">
            <v>95215.88</v>
          </cell>
          <cell r="H66">
            <v>5211.0330000000104</v>
          </cell>
        </row>
        <row r="67">
          <cell r="F67">
            <v>155506</v>
          </cell>
          <cell r="H67">
            <v>9463.9500000000116</v>
          </cell>
        </row>
        <row r="68">
          <cell r="F68">
            <v>47818</v>
          </cell>
          <cell r="H68">
            <v>4642.9210000000021</v>
          </cell>
        </row>
        <row r="69">
          <cell r="F69">
            <v>41373</v>
          </cell>
          <cell r="H69">
            <v>3817.4329999999973</v>
          </cell>
        </row>
        <row r="70">
          <cell r="H70">
            <v>0</v>
          </cell>
        </row>
        <row r="72">
          <cell r="F72">
            <v>844941</v>
          </cell>
          <cell r="H72">
            <v>764</v>
          </cell>
        </row>
        <row r="73">
          <cell r="F73">
            <v>885468</v>
          </cell>
        </row>
        <row r="74">
          <cell r="F74">
            <v>880618</v>
          </cell>
          <cell r="H74">
            <v>391</v>
          </cell>
        </row>
        <row r="75">
          <cell r="F75">
            <v>728508</v>
          </cell>
          <cell r="H75">
            <v>2328</v>
          </cell>
        </row>
        <row r="76">
          <cell r="F76">
            <v>682698</v>
          </cell>
        </row>
        <row r="77">
          <cell r="F77">
            <v>694409</v>
          </cell>
          <cell r="H77">
            <v>689</v>
          </cell>
        </row>
        <row r="78">
          <cell r="F78">
            <v>623520</v>
          </cell>
          <cell r="H78">
            <v>5267</v>
          </cell>
        </row>
        <row r="79">
          <cell r="F79">
            <v>800519</v>
          </cell>
          <cell r="H79">
            <v>2533</v>
          </cell>
        </row>
        <row r="80">
          <cell r="F80">
            <v>469856.84</v>
          </cell>
        </row>
        <row r="81">
          <cell r="F81">
            <v>616548</v>
          </cell>
          <cell r="H81">
            <v>2159.4799999999814</v>
          </cell>
        </row>
        <row r="82">
          <cell r="F82">
            <v>103935.58</v>
          </cell>
          <cell r="H82">
            <v>405.93000000000757</v>
          </cell>
        </row>
        <row r="83">
          <cell r="F83">
            <v>967181</v>
          </cell>
          <cell r="H83">
            <v>4656</v>
          </cell>
        </row>
        <row r="84">
          <cell r="F84">
            <v>388507</v>
          </cell>
          <cell r="H84">
            <v>7151</v>
          </cell>
        </row>
        <row r="85">
          <cell r="H85">
            <v>30061.939999999959</v>
          </cell>
        </row>
        <row r="86">
          <cell r="F86">
            <v>442476.64</v>
          </cell>
        </row>
        <row r="87">
          <cell r="F87">
            <v>77276.899999999994</v>
          </cell>
        </row>
        <row r="88">
          <cell r="F88">
            <v>143397</v>
          </cell>
        </row>
        <row r="89">
          <cell r="F89">
            <v>56452</v>
          </cell>
        </row>
        <row r="90">
          <cell r="F90">
            <v>2930.7</v>
          </cell>
        </row>
        <row r="92">
          <cell r="F92">
            <v>232345</v>
          </cell>
          <cell r="H92">
            <v>1370</v>
          </cell>
        </row>
        <row r="93">
          <cell r="F93">
            <v>164571</v>
          </cell>
          <cell r="H93">
            <v>1929</v>
          </cell>
        </row>
        <row r="94">
          <cell r="H94">
            <v>3036</v>
          </cell>
        </row>
        <row r="95">
          <cell r="F95">
            <v>402454</v>
          </cell>
          <cell r="H95">
            <v>889</v>
          </cell>
        </row>
        <row r="96">
          <cell r="F96">
            <v>99520</v>
          </cell>
          <cell r="H96">
            <v>409</v>
          </cell>
        </row>
        <row r="97">
          <cell r="F97">
            <v>94611</v>
          </cell>
          <cell r="H97">
            <v>339</v>
          </cell>
        </row>
        <row r="98">
          <cell r="F98">
            <v>142900</v>
          </cell>
          <cell r="H98">
            <v>754</v>
          </cell>
        </row>
        <row r="99">
          <cell r="F99">
            <v>5252</v>
          </cell>
          <cell r="H99">
            <v>284</v>
          </cell>
        </row>
        <row r="100">
          <cell r="F100">
            <v>3674</v>
          </cell>
          <cell r="H100">
            <v>0</v>
          </cell>
        </row>
        <row r="101">
          <cell r="H101">
            <v>2675</v>
          </cell>
        </row>
        <row r="104">
          <cell r="F104">
            <v>7010</v>
          </cell>
        </row>
        <row r="105">
          <cell r="F105">
            <v>34788</v>
          </cell>
        </row>
        <row r="106">
          <cell r="F106">
            <v>18800</v>
          </cell>
        </row>
        <row r="109">
          <cell r="F109">
            <v>52082</v>
          </cell>
        </row>
        <row r="110">
          <cell r="F110">
            <v>26029</v>
          </cell>
        </row>
        <row r="111">
          <cell r="F111">
            <v>3458</v>
          </cell>
        </row>
        <row r="114">
          <cell r="F114">
            <v>8937</v>
          </cell>
        </row>
        <row r="115">
          <cell r="F115">
            <v>6981</v>
          </cell>
        </row>
        <row r="123">
          <cell r="F123">
            <v>791437</v>
          </cell>
          <cell r="H123">
            <v>2605.9300000000512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134291</v>
          </cell>
          <cell r="H125">
            <v>1168.1199999999953</v>
          </cell>
        </row>
        <row r="126">
          <cell r="F126">
            <v>56743</v>
          </cell>
          <cell r="H126">
            <v>394.80000000000291</v>
          </cell>
        </row>
        <row r="127">
          <cell r="F127">
            <v>8665</v>
          </cell>
          <cell r="H127">
            <v>24.899999999999636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236.22</v>
          </cell>
          <cell r="H133">
            <v>236.22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21750.720000000001</v>
          </cell>
          <cell r="H136">
            <v>76</v>
          </cell>
        </row>
        <row r="137">
          <cell r="F137">
            <v>24932.51</v>
          </cell>
          <cell r="H137">
            <v>0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1014.71</v>
          </cell>
          <cell r="H139">
            <v>73.180000000000064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67132.892999999924</v>
          </cell>
        </row>
        <row r="143">
          <cell r="H143">
            <v>3.1239653791139257</v>
          </cell>
        </row>
        <row r="144">
          <cell r="H144">
            <v>60736.619999999988</v>
          </cell>
        </row>
        <row r="145">
          <cell r="H145">
            <v>2.9592344490833984</v>
          </cell>
        </row>
        <row r="146">
          <cell r="H146">
            <v>55223.993000000002</v>
          </cell>
        </row>
        <row r="147">
          <cell r="H147">
            <v>2.7060934692192538</v>
          </cell>
        </row>
        <row r="148">
          <cell r="H148">
            <v>26219.479999999981</v>
          </cell>
        </row>
        <row r="149">
          <cell r="H149">
            <v>1.2808647261077704</v>
          </cell>
        </row>
        <row r="150">
          <cell r="H150">
            <v>29069.809999999969</v>
          </cell>
        </row>
        <row r="151">
          <cell r="H151">
            <v>1.4157071106988519</v>
          </cell>
        </row>
        <row r="152">
          <cell r="H152">
            <v>19227.082999999999</v>
          </cell>
        </row>
        <row r="153">
          <cell r="H153">
            <v>1.0521108450519825</v>
          </cell>
        </row>
        <row r="160">
          <cell r="F160">
            <v>24783.94</v>
          </cell>
        </row>
        <row r="161">
          <cell r="F161">
            <v>19290.330000000002</v>
          </cell>
        </row>
        <row r="162">
          <cell r="F162">
            <v>41186</v>
          </cell>
        </row>
        <row r="163">
          <cell r="F163">
            <v>3862.91</v>
          </cell>
        </row>
      </sheetData>
      <sheetData sheetId="16">
        <row r="7">
          <cell r="F7">
            <v>2954637</v>
          </cell>
          <cell r="H7">
            <v>286192</v>
          </cell>
        </row>
        <row r="8">
          <cell r="F8">
            <v>2971763</v>
          </cell>
          <cell r="H8">
            <v>288724</v>
          </cell>
        </row>
        <row r="9">
          <cell r="F9">
            <v>2350316</v>
          </cell>
          <cell r="H9">
            <v>93279.5</v>
          </cell>
        </row>
        <row r="10">
          <cell r="F10">
            <v>485859</v>
          </cell>
          <cell r="H10">
            <v>182908.71000000002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254328.90000000002</v>
          </cell>
        </row>
        <row r="15">
          <cell r="F15">
            <v>1556910</v>
          </cell>
          <cell r="H15">
            <v>10012.398999999976</v>
          </cell>
        </row>
        <row r="18">
          <cell r="F18">
            <v>12</v>
          </cell>
          <cell r="H18">
            <v>1950</v>
          </cell>
        </row>
        <row r="19">
          <cell r="F19">
            <v>130564</v>
          </cell>
          <cell r="H19">
            <v>763</v>
          </cell>
        </row>
        <row r="20">
          <cell r="H20">
            <v>2713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2742878</v>
          </cell>
        </row>
        <row r="28">
          <cell r="H28">
            <v>365452.56349999912</v>
          </cell>
        </row>
        <row r="29">
          <cell r="H29">
            <v>0</v>
          </cell>
        </row>
        <row r="30">
          <cell r="H30">
            <v>110635</v>
          </cell>
        </row>
        <row r="31">
          <cell r="H31">
            <v>154400</v>
          </cell>
        </row>
        <row r="32">
          <cell r="H32">
            <v>3373365.5634999992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241374</v>
          </cell>
          <cell r="H36">
            <v>12288.26999999999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50780</v>
          </cell>
          <cell r="H42">
            <v>50780</v>
          </cell>
        </row>
        <row r="43">
          <cell r="F43">
            <v>663441</v>
          </cell>
          <cell r="H43">
            <v>32691.689999999944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95759.479999999923</v>
          </cell>
        </row>
        <row r="49">
          <cell r="F49">
            <v>101018</v>
          </cell>
          <cell r="H49">
            <v>36408.483</v>
          </cell>
        </row>
        <row r="50">
          <cell r="F50">
            <v>314658</v>
          </cell>
          <cell r="H50">
            <v>17248.469999999972</v>
          </cell>
        </row>
        <row r="51">
          <cell r="F51">
            <v>39981</v>
          </cell>
          <cell r="H51">
            <v>19114.032999999999</v>
          </cell>
        </row>
        <row r="52">
          <cell r="F52">
            <v>399367</v>
          </cell>
          <cell r="H52">
            <v>26011.209999999963</v>
          </cell>
        </row>
        <row r="53">
          <cell r="F53">
            <v>104730</v>
          </cell>
          <cell r="H53">
            <v>54987.892999999996</v>
          </cell>
        </row>
        <row r="54">
          <cell r="F54">
            <v>3520</v>
          </cell>
          <cell r="H54">
            <v>641.38999999999987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</v>
          </cell>
          <cell r="H56">
            <v>14175.969999999972</v>
          </cell>
        </row>
        <row r="57">
          <cell r="F57">
            <v>0</v>
          </cell>
          <cell r="H57">
            <v>0</v>
          </cell>
        </row>
        <row r="58">
          <cell r="F58">
            <v>22133</v>
          </cell>
          <cell r="H58">
            <v>1739.9670000000006</v>
          </cell>
        </row>
        <row r="59">
          <cell r="H59">
            <v>170327.14599999989</v>
          </cell>
        </row>
        <row r="60">
          <cell r="H60">
            <v>279630.29599999991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1039</v>
          </cell>
          <cell r="H63">
            <v>182.63</v>
          </cell>
        </row>
        <row r="64">
          <cell r="F64">
            <v>91838</v>
          </cell>
          <cell r="H64">
            <v>5098.9049999999988</v>
          </cell>
        </row>
        <row r="65">
          <cell r="F65">
            <v>102275</v>
          </cell>
          <cell r="H65">
            <v>5639.0170000000071</v>
          </cell>
        </row>
        <row r="66">
          <cell r="F66">
            <v>95610</v>
          </cell>
          <cell r="H66">
            <v>5605.1530000000057</v>
          </cell>
        </row>
        <row r="67">
          <cell r="F67">
            <v>156203</v>
          </cell>
          <cell r="H67">
            <v>10160.950000000012</v>
          </cell>
        </row>
        <row r="68">
          <cell r="F68">
            <v>48159</v>
          </cell>
          <cell r="H68">
            <v>4983.9210000000021</v>
          </cell>
        </row>
        <row r="69">
          <cell r="F69">
            <v>41655</v>
          </cell>
          <cell r="H69">
            <v>4099.4329999999973</v>
          </cell>
        </row>
        <row r="72">
          <cell r="F72">
            <v>845015</v>
          </cell>
          <cell r="H72">
            <v>753</v>
          </cell>
        </row>
        <row r="73">
          <cell r="F73">
            <v>885469</v>
          </cell>
          <cell r="H73">
            <v>765</v>
          </cell>
        </row>
        <row r="74">
          <cell r="F74">
            <v>880647</v>
          </cell>
          <cell r="H74">
            <v>420</v>
          </cell>
        </row>
        <row r="75">
          <cell r="F75">
            <v>728686</v>
          </cell>
          <cell r="H75">
            <v>2506</v>
          </cell>
        </row>
        <row r="76">
          <cell r="F76">
            <v>682780</v>
          </cell>
          <cell r="H76">
            <v>2410</v>
          </cell>
        </row>
        <row r="77">
          <cell r="F77">
            <v>694461</v>
          </cell>
          <cell r="H77">
            <v>741</v>
          </cell>
        </row>
        <row r="78">
          <cell r="F78">
            <v>623872</v>
          </cell>
          <cell r="H78">
            <v>5619</v>
          </cell>
        </row>
        <row r="79">
          <cell r="F79">
            <v>800701</v>
          </cell>
          <cell r="H79">
            <v>5449</v>
          </cell>
        </row>
        <row r="80">
          <cell r="F80">
            <v>470187</v>
          </cell>
          <cell r="H80">
            <v>2863.1599999999744</v>
          </cell>
        </row>
        <row r="81">
          <cell r="F81">
            <v>616686</v>
          </cell>
          <cell r="H81">
            <v>2297.4799999999814</v>
          </cell>
        </row>
        <row r="82">
          <cell r="F82">
            <v>103981</v>
          </cell>
          <cell r="H82">
            <v>451.35000000000582</v>
          </cell>
        </row>
        <row r="83">
          <cell r="F83">
            <v>967556</v>
          </cell>
          <cell r="H83">
            <v>5031</v>
          </cell>
        </row>
        <row r="84">
          <cell r="F84">
            <v>389042</v>
          </cell>
          <cell r="H84">
            <v>7686</v>
          </cell>
        </row>
        <row r="85">
          <cell r="H85">
            <v>32435.519999999931</v>
          </cell>
        </row>
        <row r="86">
          <cell r="F86">
            <v>442567</v>
          </cell>
        </row>
        <row r="87">
          <cell r="F87">
            <v>77312</v>
          </cell>
        </row>
        <row r="88">
          <cell r="F88">
            <v>143471</v>
          </cell>
        </row>
        <row r="89">
          <cell r="F89">
            <v>56502</v>
          </cell>
        </row>
        <row r="90">
          <cell r="F90">
            <v>2931</v>
          </cell>
        </row>
        <row r="92">
          <cell r="F92">
            <v>232442</v>
          </cell>
          <cell r="H92">
            <v>1467</v>
          </cell>
        </row>
        <row r="93">
          <cell r="F93">
            <v>164758</v>
          </cell>
          <cell r="H93">
            <v>2116</v>
          </cell>
        </row>
        <row r="94">
          <cell r="H94">
            <v>3320</v>
          </cell>
        </row>
        <row r="95">
          <cell r="F95">
            <v>402516</v>
          </cell>
          <cell r="H95">
            <v>951</v>
          </cell>
        </row>
        <row r="96">
          <cell r="F96">
            <v>99543</v>
          </cell>
          <cell r="H96">
            <v>432</v>
          </cell>
        </row>
        <row r="97">
          <cell r="F97">
            <v>94636</v>
          </cell>
          <cell r="H97">
            <v>364</v>
          </cell>
        </row>
        <row r="98">
          <cell r="F98">
            <v>142960</v>
          </cell>
          <cell r="H98">
            <v>814</v>
          </cell>
        </row>
        <row r="99">
          <cell r="F99">
            <v>5265</v>
          </cell>
          <cell r="H99">
            <v>297</v>
          </cell>
        </row>
        <row r="100">
          <cell r="F100">
            <v>3674</v>
          </cell>
          <cell r="H100">
            <v>0</v>
          </cell>
        </row>
        <row r="101">
          <cell r="H101">
            <v>2858</v>
          </cell>
        </row>
        <row r="104">
          <cell r="F104">
            <v>7010</v>
          </cell>
        </row>
        <row r="105">
          <cell r="F105">
            <v>34795</v>
          </cell>
        </row>
        <row r="106">
          <cell r="F106">
            <v>18806</v>
          </cell>
        </row>
        <row r="109">
          <cell r="F109">
            <v>52123</v>
          </cell>
        </row>
        <row r="110">
          <cell r="F110">
            <v>26119</v>
          </cell>
        </row>
        <row r="111">
          <cell r="F111">
            <v>3458</v>
          </cell>
        </row>
        <row r="114">
          <cell r="F114">
            <v>8953</v>
          </cell>
        </row>
        <row r="115">
          <cell r="F115">
            <v>6989</v>
          </cell>
        </row>
        <row r="123">
          <cell r="F123">
            <v>791650</v>
          </cell>
          <cell r="H123">
            <v>2818.9300000000512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134361</v>
          </cell>
          <cell r="H125">
            <v>1238.1199999999953</v>
          </cell>
        </row>
        <row r="126">
          <cell r="F126">
            <v>56766</v>
          </cell>
          <cell r="H126">
            <v>417.80000000000291</v>
          </cell>
        </row>
        <row r="127">
          <cell r="F127">
            <v>8665</v>
          </cell>
          <cell r="H127">
            <v>24.899999999999636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260</v>
          </cell>
          <cell r="H133">
            <v>260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21759.43</v>
          </cell>
          <cell r="H136">
            <v>84.709999999999127</v>
          </cell>
        </row>
        <row r="137">
          <cell r="F137">
            <v>24932.57</v>
          </cell>
          <cell r="H137">
            <v>6.0000000001309672E-2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1020.67</v>
          </cell>
          <cell r="H139">
            <v>79.139999999999986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72196.422999999952</v>
          </cell>
        </row>
        <row r="143">
          <cell r="H143">
            <v>3.3755818569513352</v>
          </cell>
        </row>
        <row r="144">
          <cell r="H144">
            <v>65649.139999999985</v>
          </cell>
        </row>
        <row r="145">
          <cell r="H145">
            <v>3.2033469515679935</v>
          </cell>
        </row>
        <row r="146">
          <cell r="H146">
            <v>59313.993000000002</v>
          </cell>
        </row>
        <row r="147">
          <cell r="H147">
            <v>2.9093333817614919</v>
          </cell>
        </row>
        <row r="148">
          <cell r="H148">
            <v>28244.570000000007</v>
          </cell>
        </row>
        <row r="149">
          <cell r="H149">
            <v>1.3814953164476642</v>
          </cell>
        </row>
        <row r="150">
          <cell r="H150">
            <v>30977.179999999964</v>
          </cell>
        </row>
        <row r="151">
          <cell r="H151">
            <v>1.5104879693750592</v>
          </cell>
        </row>
        <row r="152">
          <cell r="H152">
            <v>20660.512999999999</v>
          </cell>
        </row>
        <row r="153">
          <cell r="H153">
            <v>1.1233407198283689</v>
          </cell>
        </row>
        <row r="160">
          <cell r="F160">
            <v>24859</v>
          </cell>
        </row>
        <row r="161">
          <cell r="F161">
            <v>19953</v>
          </cell>
        </row>
        <row r="162">
          <cell r="F162">
            <v>41474</v>
          </cell>
        </row>
        <row r="163">
          <cell r="F163">
            <v>3890</v>
          </cell>
        </row>
      </sheetData>
      <sheetData sheetId="17">
        <row r="7">
          <cell r="F7">
            <v>2974582</v>
          </cell>
          <cell r="H7">
            <v>306137</v>
          </cell>
        </row>
        <row r="8">
          <cell r="F8">
            <v>2991911</v>
          </cell>
          <cell r="H8">
            <v>308872</v>
          </cell>
        </row>
        <row r="9">
          <cell r="F9">
            <v>2358136</v>
          </cell>
          <cell r="H9">
            <v>101099.5</v>
          </cell>
        </row>
        <row r="10">
          <cell r="F10">
            <v>497310</v>
          </cell>
          <cell r="H10">
            <v>194359.71000000002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273599.90000000002</v>
          </cell>
        </row>
        <row r="15">
          <cell r="F15">
            <v>1557629</v>
          </cell>
          <cell r="H15">
            <v>10731.398999999976</v>
          </cell>
        </row>
        <row r="18">
          <cell r="F18">
            <v>14</v>
          </cell>
          <cell r="H18">
            <v>2090</v>
          </cell>
        </row>
        <row r="19">
          <cell r="F19">
            <v>130620</v>
          </cell>
          <cell r="H19">
            <v>819</v>
          </cell>
        </row>
        <row r="20">
          <cell r="H20">
            <v>2909</v>
          </cell>
        </row>
        <row r="22"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2934284</v>
          </cell>
        </row>
        <row r="28">
          <cell r="H28">
            <v>391696.06349999912</v>
          </cell>
        </row>
        <row r="29">
          <cell r="H29">
            <v>0</v>
          </cell>
        </row>
        <row r="30">
          <cell r="H30">
            <v>118755</v>
          </cell>
        </row>
        <row r="31">
          <cell r="H31">
            <v>165600</v>
          </cell>
        </row>
        <row r="32">
          <cell r="H32">
            <v>3610335.0634999992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242007</v>
          </cell>
          <cell r="H36">
            <v>12921.26999999999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55881</v>
          </cell>
          <cell r="H42">
            <v>55881</v>
          </cell>
        </row>
        <row r="43">
          <cell r="F43">
            <v>665672</v>
          </cell>
          <cell r="H43">
            <v>34922.689999999944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103724.47999999992</v>
          </cell>
        </row>
        <row r="49">
          <cell r="F49">
            <v>103757</v>
          </cell>
          <cell r="H49">
            <v>39147.483</v>
          </cell>
        </row>
        <row r="50">
          <cell r="F50">
            <v>315764</v>
          </cell>
          <cell r="H50">
            <v>18354.469999999972</v>
          </cell>
        </row>
        <row r="51">
          <cell r="F51">
            <v>41397</v>
          </cell>
          <cell r="H51">
            <v>20530.032999999999</v>
          </cell>
        </row>
        <row r="52">
          <cell r="F52">
            <v>401233</v>
          </cell>
          <cell r="H52">
            <v>27877.209999999963</v>
          </cell>
        </row>
        <row r="53">
          <cell r="F53">
            <v>108940</v>
          </cell>
          <cell r="H53">
            <v>59197.892999999996</v>
          </cell>
        </row>
        <row r="54">
          <cell r="F54">
            <v>3566</v>
          </cell>
          <cell r="H54">
            <v>687.38999999999987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</v>
          </cell>
          <cell r="H56">
            <v>14175.969999999972</v>
          </cell>
        </row>
        <row r="57">
          <cell r="F57">
            <v>0</v>
          </cell>
          <cell r="H57">
            <v>0</v>
          </cell>
        </row>
        <row r="58">
          <cell r="F58">
            <v>22268</v>
          </cell>
          <cell r="H58">
            <v>1874.9670000000006</v>
          </cell>
        </row>
        <row r="59">
          <cell r="H59">
            <v>181845.14599999989</v>
          </cell>
        </row>
        <row r="60">
          <cell r="H60">
            <v>299113.29599999991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1043</v>
          </cell>
          <cell r="H63">
            <v>186.63</v>
          </cell>
        </row>
        <row r="64">
          <cell r="F64">
            <v>92203</v>
          </cell>
          <cell r="H64">
            <v>5463.9049999999988</v>
          </cell>
        </row>
        <row r="65">
          <cell r="F65">
            <v>102657</v>
          </cell>
          <cell r="H65">
            <v>6021.0170000000071</v>
          </cell>
        </row>
        <row r="66">
          <cell r="F66">
            <v>96016</v>
          </cell>
          <cell r="H66">
            <v>6011.1530000000057</v>
          </cell>
        </row>
        <row r="67">
          <cell r="F67">
            <v>156945</v>
          </cell>
          <cell r="H67">
            <v>10902.950000000012</v>
          </cell>
        </row>
        <row r="68">
          <cell r="F68">
            <v>48521</v>
          </cell>
          <cell r="H68">
            <v>5345.9210000000021</v>
          </cell>
        </row>
        <row r="69">
          <cell r="F69">
            <v>41946</v>
          </cell>
          <cell r="H69">
            <v>4390.4329999999973</v>
          </cell>
        </row>
        <row r="72">
          <cell r="F72">
            <v>845090</v>
          </cell>
          <cell r="H72">
            <v>828</v>
          </cell>
        </row>
        <row r="73">
          <cell r="F73">
            <v>885470</v>
          </cell>
          <cell r="H73">
            <v>766</v>
          </cell>
        </row>
        <row r="74">
          <cell r="F74">
            <v>880677</v>
          </cell>
          <cell r="H74">
            <v>450</v>
          </cell>
        </row>
        <row r="75">
          <cell r="F75">
            <v>728857</v>
          </cell>
          <cell r="H75">
            <v>2677</v>
          </cell>
        </row>
        <row r="76">
          <cell r="F76">
            <v>682863</v>
          </cell>
          <cell r="H76">
            <v>2493</v>
          </cell>
        </row>
        <row r="77">
          <cell r="F77">
            <v>694514</v>
          </cell>
          <cell r="H77">
            <v>794</v>
          </cell>
        </row>
        <row r="78">
          <cell r="F78">
            <v>624331</v>
          </cell>
          <cell r="H78">
            <v>6078</v>
          </cell>
        </row>
        <row r="79">
          <cell r="F79">
            <v>800887</v>
          </cell>
          <cell r="H79">
            <v>5635</v>
          </cell>
        </row>
        <row r="80">
          <cell r="F80">
            <v>470543</v>
          </cell>
          <cell r="H80">
            <v>3219.1599999999744</v>
          </cell>
        </row>
        <row r="81">
          <cell r="F81">
            <v>616835</v>
          </cell>
          <cell r="H81">
            <v>2446.4799999999814</v>
          </cell>
        </row>
        <row r="82">
          <cell r="F82">
            <v>104025</v>
          </cell>
          <cell r="H82">
            <v>495.35000000000582</v>
          </cell>
        </row>
        <row r="83">
          <cell r="F83">
            <v>967912</v>
          </cell>
          <cell r="H83">
            <v>5387</v>
          </cell>
        </row>
        <row r="84">
          <cell r="F84">
            <v>389604</v>
          </cell>
          <cell r="H84">
            <v>8248</v>
          </cell>
        </row>
        <row r="85">
          <cell r="H85">
            <v>34960.519999999931</v>
          </cell>
        </row>
        <row r="86">
          <cell r="F86">
            <v>442706</v>
          </cell>
          <cell r="H86">
            <v>139</v>
          </cell>
        </row>
        <row r="87">
          <cell r="F87">
            <v>77349</v>
          </cell>
          <cell r="H87">
            <v>37</v>
          </cell>
        </row>
        <row r="88">
          <cell r="F88">
            <v>143555</v>
          </cell>
          <cell r="H88">
            <v>84</v>
          </cell>
        </row>
        <row r="89">
          <cell r="F89">
            <v>56561</v>
          </cell>
          <cell r="H89">
            <v>59</v>
          </cell>
        </row>
        <row r="90">
          <cell r="F90">
            <v>2934</v>
          </cell>
          <cell r="H90">
            <v>3</v>
          </cell>
        </row>
        <row r="92">
          <cell r="F92">
            <v>232467</v>
          </cell>
          <cell r="H92">
            <v>1492</v>
          </cell>
        </row>
        <row r="93">
          <cell r="F93">
            <v>164890</v>
          </cell>
          <cell r="H93">
            <v>2248</v>
          </cell>
        </row>
        <row r="94">
          <cell r="H94">
            <v>3477</v>
          </cell>
        </row>
        <row r="95">
          <cell r="F95">
            <v>402567</v>
          </cell>
          <cell r="H95">
            <v>1002</v>
          </cell>
        </row>
        <row r="96">
          <cell r="F96">
            <v>99560</v>
          </cell>
          <cell r="H96">
            <v>449</v>
          </cell>
        </row>
        <row r="97">
          <cell r="F97">
            <v>94662</v>
          </cell>
          <cell r="H97">
            <v>390</v>
          </cell>
        </row>
        <row r="98">
          <cell r="F98">
            <v>143046</v>
          </cell>
          <cell r="H98">
            <v>900</v>
          </cell>
        </row>
        <row r="99">
          <cell r="F99">
            <v>5276</v>
          </cell>
          <cell r="H99">
            <v>308</v>
          </cell>
        </row>
        <row r="100">
          <cell r="F100">
            <v>3674</v>
          </cell>
          <cell r="H100">
            <v>0</v>
          </cell>
        </row>
        <row r="101">
          <cell r="H101">
            <v>3049</v>
          </cell>
        </row>
        <row r="104">
          <cell r="F104">
            <v>7010</v>
          </cell>
        </row>
        <row r="105">
          <cell r="F105">
            <v>34800</v>
          </cell>
        </row>
        <row r="106">
          <cell r="F106">
            <v>18811</v>
          </cell>
        </row>
        <row r="109">
          <cell r="F109">
            <v>52183</v>
          </cell>
        </row>
        <row r="110">
          <cell r="F110">
            <v>26169</v>
          </cell>
        </row>
        <row r="111">
          <cell r="F111">
            <v>3458</v>
          </cell>
        </row>
        <row r="114">
          <cell r="F114">
            <v>8967</v>
          </cell>
        </row>
        <row r="115">
          <cell r="F115">
            <v>7007</v>
          </cell>
        </row>
        <row r="123">
          <cell r="F123">
            <v>791886</v>
          </cell>
          <cell r="H123">
            <v>3054.9300000000512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134415</v>
          </cell>
          <cell r="H125">
            <v>1292.1199999999953</v>
          </cell>
        </row>
        <row r="126">
          <cell r="F126">
            <v>56792</v>
          </cell>
          <cell r="H126">
            <v>443.80000000000291</v>
          </cell>
        </row>
        <row r="127">
          <cell r="F127">
            <v>8668</v>
          </cell>
          <cell r="H127">
            <v>27.899999999999636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284</v>
          </cell>
          <cell r="H133">
            <v>284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24932.57</v>
          </cell>
          <cell r="H137">
            <v>6.0000000001309672E-2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1026.74</v>
          </cell>
          <cell r="H139">
            <v>85.210000000000036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77166.422999999952</v>
          </cell>
        </row>
        <row r="143">
          <cell r="H143">
            <v>3.6247671164148598</v>
          </cell>
        </row>
        <row r="144">
          <cell r="H144">
            <v>70750.139999999985</v>
          </cell>
        </row>
        <row r="145">
          <cell r="H145">
            <v>3.4591002732024885</v>
          </cell>
        </row>
        <row r="146">
          <cell r="H146">
            <v>63523.993000000002</v>
          </cell>
        </row>
        <row r="147">
          <cell r="H147">
            <v>3.1204138530575563</v>
          </cell>
        </row>
        <row r="148">
          <cell r="H148">
            <v>30110.570000000007</v>
          </cell>
        </row>
        <row r="149">
          <cell r="H149">
            <v>1.4750525989746133</v>
          </cell>
        </row>
        <row r="150">
          <cell r="H150">
            <v>32716.179999999964</v>
          </cell>
        </row>
        <row r="151">
          <cell r="H151">
            <v>1.597677741247709</v>
          </cell>
        </row>
        <row r="152">
          <cell r="H152">
            <v>22076.512999999999</v>
          </cell>
        </row>
        <row r="153">
          <cell r="H153">
            <v>1.1943359567298479</v>
          </cell>
        </row>
        <row r="160">
          <cell r="F160">
            <v>24931</v>
          </cell>
        </row>
        <row r="161">
          <cell r="F161">
            <v>20604</v>
          </cell>
        </row>
        <row r="162">
          <cell r="F162">
            <v>41711</v>
          </cell>
        </row>
        <row r="163">
          <cell r="F163">
            <v>3932</v>
          </cell>
        </row>
      </sheetData>
      <sheetData sheetId="18">
        <row r="7">
          <cell r="F7">
            <v>2994232</v>
          </cell>
          <cell r="H7">
            <v>325787</v>
          </cell>
        </row>
        <row r="8">
          <cell r="F8">
            <v>3011741</v>
          </cell>
          <cell r="H8">
            <v>328702</v>
          </cell>
        </row>
        <row r="9">
          <cell r="F9">
            <v>2363878</v>
          </cell>
          <cell r="H9">
            <v>106841.5</v>
          </cell>
        </row>
        <row r="10">
          <cell r="F10">
            <v>510439</v>
          </cell>
          <cell r="H10">
            <v>207488.71000000002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292470.90000000002</v>
          </cell>
        </row>
        <row r="15">
          <cell r="F15">
            <v>1558039</v>
          </cell>
          <cell r="H15">
            <v>11141.398999999976</v>
          </cell>
        </row>
        <row r="18">
          <cell r="F18">
            <v>10</v>
          </cell>
          <cell r="H18">
            <v>2190</v>
          </cell>
        </row>
        <row r="19">
          <cell r="F19">
            <v>130675</v>
          </cell>
          <cell r="H19">
            <v>874</v>
          </cell>
        </row>
        <row r="20">
          <cell r="H20">
            <v>3064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</row>
        <row r="27">
          <cell r="H27">
            <v>3122669</v>
          </cell>
        </row>
        <row r="28">
          <cell r="H28">
            <v>406661.06349999912</v>
          </cell>
        </row>
        <row r="29">
          <cell r="H29">
            <v>0</v>
          </cell>
        </row>
        <row r="30">
          <cell r="H30">
            <v>126730</v>
          </cell>
        </row>
        <row r="31">
          <cell r="H31">
            <v>173600</v>
          </cell>
        </row>
        <row r="32">
          <cell r="H32">
            <v>3829660.0634999992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242635</v>
          </cell>
          <cell r="H36">
            <v>13549.26999999999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667826</v>
          </cell>
          <cell r="H43">
            <v>37076.689999999944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109551.47999999992</v>
          </cell>
        </row>
        <row r="49">
          <cell r="F49">
            <v>106384</v>
          </cell>
          <cell r="H49">
            <v>41774.483</v>
          </cell>
        </row>
        <row r="50">
          <cell r="F50">
            <v>316807</v>
          </cell>
          <cell r="H50">
            <v>19397.469999999972</v>
          </cell>
        </row>
        <row r="51">
          <cell r="H51">
            <v>21937.032999999999</v>
          </cell>
        </row>
        <row r="52">
          <cell r="F52">
            <v>402960</v>
          </cell>
          <cell r="H52">
            <v>29604.209999999963</v>
          </cell>
        </row>
        <row r="53">
          <cell r="H53">
            <v>63400.892999999996</v>
          </cell>
        </row>
        <row r="54">
          <cell r="F54">
            <v>3566</v>
          </cell>
          <cell r="H54">
            <v>687.38999999999987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452138</v>
          </cell>
          <cell r="H56">
            <v>16296.969999999972</v>
          </cell>
        </row>
        <row r="57">
          <cell r="F57">
            <v>0</v>
          </cell>
          <cell r="H57">
            <v>0</v>
          </cell>
        </row>
        <row r="58">
          <cell r="F58">
            <v>22296</v>
          </cell>
          <cell r="H58">
            <v>1902.9670000000006</v>
          </cell>
        </row>
        <row r="59">
          <cell r="H59">
            <v>195001.14599999989</v>
          </cell>
        </row>
        <row r="60">
          <cell r="H60">
            <v>318096.29599999991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1047</v>
          </cell>
          <cell r="H63">
            <v>190.63</v>
          </cell>
        </row>
        <row r="64">
          <cell r="F64">
            <v>92590</v>
          </cell>
          <cell r="H64">
            <v>5850.9049999999988</v>
          </cell>
        </row>
        <row r="65">
          <cell r="F65">
            <v>103044</v>
          </cell>
          <cell r="H65">
            <v>6408.0170000000071</v>
          </cell>
        </row>
        <row r="66">
          <cell r="F66">
            <v>96416</v>
          </cell>
          <cell r="H66">
            <v>6411.1530000000057</v>
          </cell>
        </row>
        <row r="67">
          <cell r="F67">
            <v>157677</v>
          </cell>
          <cell r="H67">
            <v>11634.950000000012</v>
          </cell>
        </row>
        <row r="68">
          <cell r="F68">
            <v>48887</v>
          </cell>
          <cell r="H68">
            <v>5711.9210000000021</v>
          </cell>
        </row>
        <row r="69">
          <cell r="F69">
            <v>42245</v>
          </cell>
          <cell r="H69">
            <v>4689.4329999999973</v>
          </cell>
        </row>
        <row r="72">
          <cell r="F72">
            <v>845170</v>
          </cell>
          <cell r="H72">
            <v>908</v>
          </cell>
        </row>
        <row r="73">
          <cell r="F73">
            <v>885473</v>
          </cell>
          <cell r="H73">
            <v>769</v>
          </cell>
        </row>
        <row r="74">
          <cell r="F74">
            <v>880701</v>
          </cell>
          <cell r="H74">
            <v>474</v>
          </cell>
        </row>
        <row r="75">
          <cell r="F75">
            <v>729033</v>
          </cell>
          <cell r="H75">
            <v>2853</v>
          </cell>
        </row>
        <row r="76">
          <cell r="F76">
            <v>682963</v>
          </cell>
          <cell r="H76">
            <v>2593</v>
          </cell>
        </row>
        <row r="77">
          <cell r="F77">
            <v>694568</v>
          </cell>
          <cell r="H77">
            <v>848</v>
          </cell>
        </row>
        <row r="78">
          <cell r="F78">
            <v>624743</v>
          </cell>
          <cell r="H78">
            <v>6490</v>
          </cell>
        </row>
        <row r="79">
          <cell r="F79">
            <v>801080</v>
          </cell>
          <cell r="H79">
            <v>5828</v>
          </cell>
        </row>
        <row r="80">
          <cell r="F80">
            <v>470814.4</v>
          </cell>
          <cell r="H80">
            <v>3490.5599999999977</v>
          </cell>
        </row>
        <row r="81">
          <cell r="F81">
            <v>616944.64000000001</v>
          </cell>
          <cell r="H81">
            <v>2556.1199999999953</v>
          </cell>
        </row>
        <row r="82">
          <cell r="F82">
            <v>104036</v>
          </cell>
          <cell r="H82">
            <v>506.35000000000582</v>
          </cell>
        </row>
        <row r="83">
          <cell r="F83">
            <v>968245</v>
          </cell>
          <cell r="H83">
            <v>5720</v>
          </cell>
        </row>
        <row r="84">
          <cell r="F84">
            <v>390051</v>
          </cell>
          <cell r="H84">
            <v>8695</v>
          </cell>
        </row>
        <row r="85">
          <cell r="H85">
            <v>37174.559999999969</v>
          </cell>
        </row>
        <row r="86">
          <cell r="F86">
            <v>442833</v>
          </cell>
        </row>
        <row r="87">
          <cell r="F87">
            <v>77382</v>
          </cell>
        </row>
        <row r="88">
          <cell r="F88">
            <v>143622</v>
          </cell>
        </row>
        <row r="89">
          <cell r="F89">
            <v>56638</v>
          </cell>
        </row>
        <row r="90">
          <cell r="F90">
            <v>2940</v>
          </cell>
        </row>
        <row r="92">
          <cell r="F92">
            <v>232496</v>
          </cell>
          <cell r="H92">
            <v>1521</v>
          </cell>
        </row>
        <row r="93">
          <cell r="F93">
            <v>164998</v>
          </cell>
          <cell r="H93">
            <v>2356</v>
          </cell>
        </row>
        <row r="94">
          <cell r="F94">
            <v>0</v>
          </cell>
          <cell r="H94">
            <v>3614</v>
          </cell>
        </row>
        <row r="95">
          <cell r="F95">
            <v>402605</v>
          </cell>
          <cell r="H95">
            <v>1040</v>
          </cell>
        </row>
        <row r="96">
          <cell r="F96">
            <v>99577</v>
          </cell>
          <cell r="H96">
            <v>466</v>
          </cell>
        </row>
        <row r="97">
          <cell r="F97">
            <v>94677</v>
          </cell>
          <cell r="H97">
            <v>405</v>
          </cell>
        </row>
        <row r="98">
          <cell r="F98">
            <v>143060</v>
          </cell>
          <cell r="H98">
            <v>914</v>
          </cell>
        </row>
        <row r="99">
          <cell r="F99">
            <v>5286</v>
          </cell>
          <cell r="H99">
            <v>318</v>
          </cell>
        </row>
        <row r="100">
          <cell r="H100">
            <v>0</v>
          </cell>
        </row>
        <row r="101">
          <cell r="H101">
            <v>3143</v>
          </cell>
        </row>
        <row r="104">
          <cell r="F104">
            <v>7010</v>
          </cell>
        </row>
        <row r="105">
          <cell r="F105">
            <v>34800</v>
          </cell>
        </row>
        <row r="106">
          <cell r="F106">
            <v>18811</v>
          </cell>
        </row>
        <row r="109">
          <cell r="F109">
            <v>52223</v>
          </cell>
        </row>
        <row r="110">
          <cell r="F110">
            <v>26182</v>
          </cell>
        </row>
        <row r="111">
          <cell r="F111">
            <v>3471</v>
          </cell>
        </row>
        <row r="114">
          <cell r="F114">
            <v>8980</v>
          </cell>
        </row>
        <row r="115">
          <cell r="F115">
            <v>7016</v>
          </cell>
        </row>
        <row r="123">
          <cell r="F123">
            <v>792102</v>
          </cell>
          <cell r="H123">
            <v>3270.9300000000512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134474</v>
          </cell>
          <cell r="H125">
            <v>1351.1199999999953</v>
          </cell>
        </row>
        <row r="126">
          <cell r="F126">
            <v>56825</v>
          </cell>
          <cell r="H126">
            <v>476.80000000000291</v>
          </cell>
        </row>
        <row r="127">
          <cell r="F127">
            <v>8668</v>
          </cell>
          <cell r="H127">
            <v>27.899999999999636</v>
          </cell>
        </row>
        <row r="128">
          <cell r="H128">
            <v>102.10000000000582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31805</v>
          </cell>
          <cell r="H135">
            <v>87.479999999999563</v>
          </cell>
        </row>
        <row r="136">
          <cell r="F136">
            <v>21766.97</v>
          </cell>
          <cell r="H136">
            <v>92.25</v>
          </cell>
        </row>
        <row r="137">
          <cell r="F137">
            <v>24932.57</v>
          </cell>
          <cell r="H137">
            <v>6.0000000001309672E-2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1033.45</v>
          </cell>
          <cell r="H139">
            <v>91.920000000000073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81947.422999999952</v>
          </cell>
        </row>
        <row r="143">
          <cell r="H143">
            <v>3.8680750044555721</v>
          </cell>
        </row>
        <row r="144">
          <cell r="H144">
            <v>75916.139999999985</v>
          </cell>
        </row>
        <row r="145">
          <cell r="H145">
            <v>3.722001036561267</v>
          </cell>
        </row>
        <row r="146">
          <cell r="H146">
            <v>67726.993000000002</v>
          </cell>
        </row>
        <row r="147">
          <cell r="H147">
            <v>3.3343069828285485</v>
          </cell>
        </row>
        <row r="148">
          <cell r="H148">
            <v>31837.570000000007</v>
          </cell>
        </row>
        <row r="149">
          <cell r="H149">
            <v>1.5629406396870815</v>
          </cell>
        </row>
        <row r="150">
          <cell r="H150">
            <v>34387.179999999964</v>
          </cell>
        </row>
        <row r="151">
          <cell r="H151">
            <v>1.6827159091866404</v>
          </cell>
        </row>
        <row r="152">
          <cell r="H152">
            <v>23483.512999999999</v>
          </cell>
        </row>
        <row r="153">
          <cell r="H153">
            <v>1.2659390101649624</v>
          </cell>
        </row>
        <row r="160">
          <cell r="F160">
            <v>25005</v>
          </cell>
        </row>
        <row r="161">
          <cell r="F161">
            <v>21257</v>
          </cell>
        </row>
        <row r="162">
          <cell r="F162">
            <v>42019</v>
          </cell>
        </row>
        <row r="163">
          <cell r="F163">
            <v>3967</v>
          </cell>
        </row>
      </sheetData>
      <sheetData sheetId="19">
        <row r="7">
          <cell r="F7">
            <v>3014169</v>
          </cell>
          <cell r="H7">
            <v>345724</v>
          </cell>
        </row>
        <row r="8">
          <cell r="F8">
            <v>3031842</v>
          </cell>
          <cell r="H8">
            <v>348803</v>
          </cell>
        </row>
        <row r="9">
          <cell r="F9">
            <v>2366724</v>
          </cell>
          <cell r="H9">
            <v>109687.5</v>
          </cell>
        </row>
        <row r="10">
          <cell r="F10">
            <v>526794</v>
          </cell>
          <cell r="H10">
            <v>223843.71000000002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311671.90000000002</v>
          </cell>
        </row>
        <row r="15">
          <cell r="F15">
            <v>1558826</v>
          </cell>
          <cell r="H15">
            <v>11928.398999999976</v>
          </cell>
        </row>
        <row r="18">
          <cell r="F18">
            <v>14</v>
          </cell>
          <cell r="H18">
            <v>2330</v>
          </cell>
        </row>
        <row r="19">
          <cell r="F19">
            <v>130733</v>
          </cell>
          <cell r="H19">
            <v>932</v>
          </cell>
        </row>
        <row r="20">
          <cell r="H20">
            <v>3262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3313628.5</v>
          </cell>
        </row>
        <row r="28">
          <cell r="H28">
            <v>435386.56349999912</v>
          </cell>
        </row>
        <row r="29">
          <cell r="H29">
            <v>0</v>
          </cell>
        </row>
        <row r="30">
          <cell r="H30">
            <v>135140</v>
          </cell>
        </row>
        <row r="31">
          <cell r="H31">
            <v>184800</v>
          </cell>
        </row>
        <row r="32">
          <cell r="H32">
            <v>4068955.0634999992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243499</v>
          </cell>
          <cell r="H36">
            <v>14413.26999999999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669928</v>
          </cell>
          <cell r="H43">
            <v>39178.689999999944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112517.47999999992</v>
          </cell>
        </row>
        <row r="49">
          <cell r="F49">
            <v>109182</v>
          </cell>
          <cell r="H49">
            <v>44572.483</v>
          </cell>
        </row>
        <row r="50">
          <cell r="F50">
            <v>317917</v>
          </cell>
          <cell r="H50">
            <v>20507.469999999972</v>
          </cell>
        </row>
        <row r="51">
          <cell r="F51">
            <v>44299</v>
          </cell>
          <cell r="H51">
            <v>23432.032999999999</v>
          </cell>
        </row>
        <row r="52">
          <cell r="F52">
            <v>404827</v>
          </cell>
          <cell r="H52">
            <v>31471.209999999963</v>
          </cell>
        </row>
        <row r="53">
          <cell r="F53">
            <v>117318</v>
          </cell>
          <cell r="H53">
            <v>67575.892999999996</v>
          </cell>
        </row>
        <row r="54">
          <cell r="F54">
            <v>3675</v>
          </cell>
          <cell r="H54">
            <v>796.38999999999987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456937</v>
          </cell>
          <cell r="H56">
            <v>21095.969999999972</v>
          </cell>
        </row>
        <row r="57">
          <cell r="F57">
            <v>0</v>
          </cell>
          <cell r="H57">
            <v>0</v>
          </cell>
        </row>
        <row r="58">
          <cell r="F58">
            <v>22448</v>
          </cell>
          <cell r="H58">
            <v>2054.9670000000006</v>
          </cell>
        </row>
        <row r="59">
          <cell r="H59">
            <v>211506.14599999989</v>
          </cell>
        </row>
        <row r="60">
          <cell r="H60">
            <v>337567.29599999991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1051</v>
          </cell>
          <cell r="H63">
            <v>194.63</v>
          </cell>
        </row>
        <row r="64">
          <cell r="F64">
            <v>92956</v>
          </cell>
          <cell r="H64">
            <v>6216.9049999999988</v>
          </cell>
        </row>
        <row r="65">
          <cell r="F65">
            <v>103420</v>
          </cell>
          <cell r="H65">
            <v>6784.0170000000071</v>
          </cell>
        </row>
        <row r="66">
          <cell r="F66">
            <v>96800</v>
          </cell>
          <cell r="H66">
            <v>6795.1530000000057</v>
          </cell>
        </row>
        <row r="67">
          <cell r="F67">
            <v>158388</v>
          </cell>
          <cell r="H67">
            <v>12345.950000000012</v>
          </cell>
        </row>
        <row r="68">
          <cell r="F68">
            <v>49246</v>
          </cell>
          <cell r="H68">
            <v>6070.9210000000021</v>
          </cell>
        </row>
        <row r="69">
          <cell r="F69">
            <v>42533</v>
          </cell>
          <cell r="H69">
            <v>4977.4329999999973</v>
          </cell>
        </row>
        <row r="72">
          <cell r="F72">
            <v>845244</v>
          </cell>
          <cell r="H72">
            <v>982</v>
          </cell>
        </row>
        <row r="73">
          <cell r="F73">
            <v>885474</v>
          </cell>
          <cell r="H73">
            <v>770</v>
          </cell>
        </row>
        <row r="74">
          <cell r="F74">
            <v>880728</v>
          </cell>
          <cell r="H74">
            <v>501</v>
          </cell>
        </row>
        <row r="75">
          <cell r="F75">
            <v>729198</v>
          </cell>
          <cell r="H75">
            <v>3018</v>
          </cell>
        </row>
        <row r="76">
          <cell r="F76">
            <v>683035</v>
          </cell>
          <cell r="H76">
            <v>2665</v>
          </cell>
        </row>
        <row r="77">
          <cell r="F77">
            <v>694628</v>
          </cell>
          <cell r="H77">
            <v>908</v>
          </cell>
        </row>
        <row r="78">
          <cell r="F78">
            <v>625143</v>
          </cell>
          <cell r="H78">
            <v>6890</v>
          </cell>
        </row>
        <row r="79">
          <cell r="F79">
            <v>801266</v>
          </cell>
          <cell r="H79">
            <v>6014</v>
          </cell>
        </row>
        <row r="80">
          <cell r="F80">
            <v>471127</v>
          </cell>
          <cell r="H80">
            <v>3803.1599999999744</v>
          </cell>
        </row>
        <row r="81">
          <cell r="F81">
            <v>617099</v>
          </cell>
          <cell r="H81">
            <v>2710.4799999999814</v>
          </cell>
        </row>
        <row r="82">
          <cell r="F82">
            <v>104095</v>
          </cell>
          <cell r="H82">
            <v>565.35000000000582</v>
          </cell>
        </row>
        <row r="83">
          <cell r="F83">
            <v>968586</v>
          </cell>
          <cell r="H83">
            <v>6061</v>
          </cell>
        </row>
        <row r="84">
          <cell r="F84">
            <v>390567</v>
          </cell>
          <cell r="H84">
            <v>9211</v>
          </cell>
        </row>
        <row r="85">
          <cell r="H85">
            <v>39542.519999999931</v>
          </cell>
        </row>
        <row r="86">
          <cell r="F86">
            <v>442966</v>
          </cell>
        </row>
        <row r="87">
          <cell r="F87">
            <v>77414</v>
          </cell>
        </row>
        <row r="88">
          <cell r="F88">
            <v>143695</v>
          </cell>
        </row>
        <row r="89">
          <cell r="F89">
            <v>56706</v>
          </cell>
        </row>
        <row r="90">
          <cell r="F90">
            <v>2943</v>
          </cell>
        </row>
        <row r="92">
          <cell r="F92">
            <v>232642</v>
          </cell>
          <cell r="H92">
            <v>1667</v>
          </cell>
        </row>
        <row r="93">
          <cell r="F93">
            <v>165084</v>
          </cell>
          <cell r="H93">
            <v>2442</v>
          </cell>
        </row>
        <row r="94">
          <cell r="H94">
            <v>3846</v>
          </cell>
        </row>
        <row r="95">
          <cell r="F95">
            <v>402668</v>
          </cell>
          <cell r="H95">
            <v>1103</v>
          </cell>
        </row>
        <row r="96">
          <cell r="F96">
            <v>99595</v>
          </cell>
          <cell r="H96">
            <v>484</v>
          </cell>
        </row>
        <row r="97">
          <cell r="F97">
            <v>94696</v>
          </cell>
          <cell r="H97">
            <v>424</v>
          </cell>
        </row>
        <row r="98">
          <cell r="F98">
            <v>143091</v>
          </cell>
          <cell r="H98">
            <v>945</v>
          </cell>
        </row>
        <row r="99">
          <cell r="F99">
            <v>5297</v>
          </cell>
          <cell r="H99">
            <v>329</v>
          </cell>
        </row>
        <row r="100">
          <cell r="F100">
            <v>3807</v>
          </cell>
          <cell r="H100">
            <v>11</v>
          </cell>
        </row>
        <row r="101">
          <cell r="H101">
            <v>3296</v>
          </cell>
        </row>
        <row r="104">
          <cell r="F104">
            <v>7010</v>
          </cell>
        </row>
        <row r="105">
          <cell r="F105">
            <v>34809</v>
          </cell>
        </row>
        <row r="106">
          <cell r="F106">
            <v>18817</v>
          </cell>
        </row>
        <row r="109">
          <cell r="F109">
            <v>52243</v>
          </cell>
        </row>
        <row r="110">
          <cell r="F110">
            <v>26206</v>
          </cell>
        </row>
        <row r="111">
          <cell r="F111">
            <v>3472</v>
          </cell>
        </row>
        <row r="114">
          <cell r="F114">
            <v>8993</v>
          </cell>
        </row>
        <row r="115">
          <cell r="F115">
            <v>7038</v>
          </cell>
        </row>
        <row r="123">
          <cell r="F123">
            <v>792295</v>
          </cell>
          <cell r="H123">
            <v>3463.9300000000512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134545</v>
          </cell>
          <cell r="H125">
            <v>1422.1199999999953</v>
          </cell>
        </row>
        <row r="126">
          <cell r="F126">
            <v>56863</v>
          </cell>
          <cell r="H126">
            <v>514.80000000000291</v>
          </cell>
        </row>
        <row r="127">
          <cell r="F127">
            <v>8672</v>
          </cell>
          <cell r="H127">
            <v>31.899999999999636</v>
          </cell>
        </row>
        <row r="128">
          <cell r="H128">
            <v>583.10000000000582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H135">
            <v>111.47999999999956</v>
          </cell>
        </row>
        <row r="136">
          <cell r="F136">
            <v>21766.97</v>
          </cell>
          <cell r="H136">
            <v>92.25</v>
          </cell>
        </row>
        <row r="137">
          <cell r="F137">
            <v>24940.76</v>
          </cell>
          <cell r="H137">
            <v>8.25</v>
          </cell>
        </row>
        <row r="138">
          <cell r="F138">
            <v>69987.350000000006</v>
          </cell>
          <cell r="H138">
            <v>32.139999999999418</v>
          </cell>
        </row>
        <row r="139">
          <cell r="F139">
            <v>1038.8399999999999</v>
          </cell>
          <cell r="H139">
            <v>97.309999999999945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85296.422999999952</v>
          </cell>
        </row>
        <row r="143">
          <cell r="H143">
            <v>4.0360541387285318</v>
          </cell>
        </row>
        <row r="144">
          <cell r="H144">
            <v>80715.139999999985</v>
          </cell>
        </row>
        <row r="145">
          <cell r="H145">
            <v>3.9627092674886883</v>
          </cell>
        </row>
        <row r="146">
          <cell r="H146">
            <v>71901.993000000002</v>
          </cell>
        </row>
        <row r="147">
          <cell r="H147">
            <v>3.5437166231957051</v>
          </cell>
        </row>
        <row r="148">
          <cell r="H148">
            <v>33704.570000000007</v>
          </cell>
        </row>
        <row r="149">
          <cell r="H149">
            <v>1.6565856213794123</v>
          </cell>
        </row>
        <row r="150">
          <cell r="H150">
            <v>36361.179999999964</v>
          </cell>
        </row>
        <row r="151">
          <cell r="H151">
            <v>1.7817277966320935</v>
          </cell>
        </row>
        <row r="152">
          <cell r="H152">
            <v>24978.512999999999</v>
          </cell>
        </row>
        <row r="153">
          <cell r="H153">
            <v>1.3409252167155969</v>
          </cell>
        </row>
        <row r="160">
          <cell r="F160">
            <v>25078</v>
          </cell>
        </row>
        <row r="161">
          <cell r="F161">
            <v>21925</v>
          </cell>
        </row>
        <row r="163">
          <cell r="F163">
            <v>3980</v>
          </cell>
        </row>
      </sheetData>
      <sheetData sheetId="20"/>
      <sheetData sheetId="21">
        <row r="7">
          <cell r="F7">
            <v>3055074</v>
          </cell>
          <cell r="H7">
            <v>386629</v>
          </cell>
        </row>
        <row r="8">
          <cell r="F8">
            <v>3073016</v>
          </cell>
          <cell r="H8">
            <v>389977</v>
          </cell>
        </row>
        <row r="9">
          <cell r="F9">
            <v>2372582</v>
          </cell>
          <cell r="H9">
            <v>115545.5</v>
          </cell>
        </row>
        <row r="10">
          <cell r="F10">
            <v>560383.82999999996</v>
          </cell>
          <cell r="H10">
            <v>257433.53999999998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351119.73</v>
          </cell>
        </row>
        <row r="15">
          <cell r="F15">
            <v>1560161.69</v>
          </cell>
          <cell r="H15">
            <v>13264.08899999992</v>
          </cell>
        </row>
        <row r="18">
          <cell r="F18">
            <v>15</v>
          </cell>
          <cell r="H18">
            <v>2600</v>
          </cell>
        </row>
        <row r="19">
          <cell r="F19">
            <v>130843</v>
          </cell>
          <cell r="H19">
            <v>1042</v>
          </cell>
        </row>
        <row r="20">
          <cell r="H20">
            <v>3642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3704781.5</v>
          </cell>
        </row>
        <row r="28">
          <cell r="H28">
            <v>484139.24849999708</v>
          </cell>
        </row>
        <row r="29">
          <cell r="H29">
            <v>0</v>
          </cell>
        </row>
        <row r="30">
          <cell r="H30">
            <v>151090</v>
          </cell>
        </row>
        <row r="31">
          <cell r="H31">
            <v>206400</v>
          </cell>
        </row>
        <row r="32">
          <cell r="H32">
            <v>4546410.748499997</v>
          </cell>
        </row>
        <row r="35">
          <cell r="F35">
            <v>629027</v>
          </cell>
          <cell r="H35">
            <v>0</v>
          </cell>
        </row>
        <row r="36">
          <cell r="F36">
            <v>245346</v>
          </cell>
          <cell r="H36">
            <v>16260.26999999999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674098</v>
          </cell>
          <cell r="H43">
            <v>43348.689999999944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118534.42999999992</v>
          </cell>
        </row>
        <row r="49">
          <cell r="F49">
            <v>114820</v>
          </cell>
          <cell r="H49">
            <v>50210.483</v>
          </cell>
        </row>
        <row r="50">
          <cell r="F50">
            <v>320574</v>
          </cell>
          <cell r="H50">
            <v>23164.469999999972</v>
          </cell>
        </row>
        <row r="51">
          <cell r="F51">
            <v>47294</v>
          </cell>
          <cell r="H51">
            <v>26427.032999999999</v>
          </cell>
        </row>
        <row r="52">
          <cell r="F52">
            <v>408933</v>
          </cell>
          <cell r="H52">
            <v>35577.209999999963</v>
          </cell>
        </row>
        <row r="53">
          <cell r="F53">
            <v>126046</v>
          </cell>
          <cell r="H53">
            <v>76303.892999999996</v>
          </cell>
        </row>
        <row r="54">
          <cell r="F54">
            <v>3804.25</v>
          </cell>
          <cell r="H54">
            <v>925.63999999999987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466233</v>
          </cell>
          <cell r="H56">
            <v>30391.969999999972</v>
          </cell>
        </row>
        <row r="57">
          <cell r="F57">
            <v>0</v>
          </cell>
          <cell r="H57">
            <v>0</v>
          </cell>
        </row>
        <row r="58">
          <cell r="F58">
            <v>22686</v>
          </cell>
          <cell r="H58">
            <v>2292.9670000000006</v>
          </cell>
        </row>
        <row r="59">
          <cell r="H59">
            <v>245293.39599999989</v>
          </cell>
        </row>
        <row r="60">
          <cell r="H60">
            <v>377371.49599999993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1059.72</v>
          </cell>
          <cell r="H63">
            <v>203.35000000000002</v>
          </cell>
        </row>
        <row r="64">
          <cell r="F64">
            <v>93681</v>
          </cell>
          <cell r="H64">
            <v>6941.9049999999988</v>
          </cell>
        </row>
        <row r="65">
          <cell r="F65">
            <v>104194</v>
          </cell>
          <cell r="H65">
            <v>7558.0170000000071</v>
          </cell>
        </row>
        <row r="66">
          <cell r="F66">
            <v>97596</v>
          </cell>
          <cell r="H66">
            <v>7591.1530000000057</v>
          </cell>
        </row>
        <row r="67">
          <cell r="F67">
            <v>159857</v>
          </cell>
          <cell r="H67">
            <v>13814.950000000012</v>
          </cell>
        </row>
        <row r="68">
          <cell r="F68">
            <v>49921</v>
          </cell>
          <cell r="H68">
            <v>6745.9210000000021</v>
          </cell>
        </row>
        <row r="69">
          <cell r="F69">
            <v>43107</v>
          </cell>
          <cell r="H69">
            <v>5551.4329999999973</v>
          </cell>
        </row>
        <row r="72">
          <cell r="F72">
            <v>845380</v>
          </cell>
          <cell r="H72">
            <v>1118</v>
          </cell>
        </row>
        <row r="73">
          <cell r="F73">
            <v>885611</v>
          </cell>
          <cell r="H73">
            <v>907</v>
          </cell>
        </row>
        <row r="74">
          <cell r="F74">
            <v>880809</v>
          </cell>
          <cell r="H74">
            <v>582</v>
          </cell>
        </row>
        <row r="75">
          <cell r="F75">
            <v>729551</v>
          </cell>
          <cell r="H75">
            <v>3371</v>
          </cell>
        </row>
        <row r="76">
          <cell r="F76">
            <v>683253</v>
          </cell>
          <cell r="H76">
            <v>2883</v>
          </cell>
        </row>
        <row r="77">
          <cell r="F77">
            <v>694731</v>
          </cell>
          <cell r="H77">
            <v>1011</v>
          </cell>
        </row>
        <row r="78">
          <cell r="F78">
            <v>626063</v>
          </cell>
          <cell r="H78">
            <v>7810</v>
          </cell>
        </row>
        <row r="79">
          <cell r="F79">
            <v>801640</v>
          </cell>
          <cell r="H79">
            <v>6388</v>
          </cell>
        </row>
        <row r="80">
          <cell r="F80">
            <v>471748</v>
          </cell>
          <cell r="H80">
            <v>4424.1599999999744</v>
          </cell>
        </row>
        <row r="81">
          <cell r="F81">
            <v>617444</v>
          </cell>
          <cell r="H81">
            <v>3055.4799999999814</v>
          </cell>
        </row>
        <row r="82">
          <cell r="F82">
            <v>104158.88</v>
          </cell>
          <cell r="H82">
            <v>629.23000000001048</v>
          </cell>
        </row>
        <row r="83">
          <cell r="F83">
            <v>969294</v>
          </cell>
          <cell r="H83">
            <v>6769</v>
          </cell>
        </row>
        <row r="84">
          <cell r="F84">
            <v>391529</v>
          </cell>
          <cell r="H84">
            <v>10173</v>
          </cell>
        </row>
        <row r="85">
          <cell r="H85">
            <v>44564.399999999936</v>
          </cell>
        </row>
        <row r="86">
          <cell r="F86">
            <v>443240</v>
          </cell>
        </row>
        <row r="87">
          <cell r="F87">
            <v>77467</v>
          </cell>
        </row>
        <row r="88">
          <cell r="F88">
            <v>143841</v>
          </cell>
        </row>
        <row r="89">
          <cell r="F89">
            <v>56827</v>
          </cell>
        </row>
        <row r="90">
          <cell r="F90">
            <v>2951</v>
          </cell>
        </row>
        <row r="92">
          <cell r="F92">
            <v>232848</v>
          </cell>
          <cell r="H92">
            <v>1873</v>
          </cell>
        </row>
        <row r="93">
          <cell r="F93">
            <v>165342</v>
          </cell>
          <cell r="H93">
            <v>2700</v>
          </cell>
        </row>
        <row r="94">
          <cell r="H94">
            <v>4310</v>
          </cell>
        </row>
        <row r="95">
          <cell r="F95">
            <v>402819</v>
          </cell>
          <cell r="H95">
            <v>1254</v>
          </cell>
        </row>
        <row r="96">
          <cell r="F96">
            <v>99638</v>
          </cell>
          <cell r="H96">
            <v>527</v>
          </cell>
        </row>
        <row r="97">
          <cell r="F97">
            <v>94747</v>
          </cell>
          <cell r="H97">
            <v>475</v>
          </cell>
        </row>
        <row r="98">
          <cell r="F98">
            <v>143176</v>
          </cell>
          <cell r="H98">
            <v>1030</v>
          </cell>
        </row>
        <row r="99">
          <cell r="F99">
            <v>5349</v>
          </cell>
          <cell r="H99">
            <v>381</v>
          </cell>
        </row>
        <row r="100">
          <cell r="F100">
            <v>3827</v>
          </cell>
          <cell r="H100">
            <v>31</v>
          </cell>
        </row>
        <row r="101">
          <cell r="H101">
            <v>3698</v>
          </cell>
        </row>
        <row r="104">
          <cell r="F104">
            <v>7010</v>
          </cell>
        </row>
        <row r="105">
          <cell r="F105">
            <v>34821</v>
          </cell>
        </row>
        <row r="106">
          <cell r="F106">
            <v>18827</v>
          </cell>
        </row>
        <row r="109">
          <cell r="F109">
            <v>52381</v>
          </cell>
        </row>
        <row r="110">
          <cell r="F110">
            <v>26325</v>
          </cell>
        </row>
        <row r="111">
          <cell r="F111">
            <v>3488</v>
          </cell>
        </row>
        <row r="114">
          <cell r="F114">
            <v>9054</v>
          </cell>
        </row>
        <row r="115">
          <cell r="F115">
            <v>7054</v>
          </cell>
        </row>
        <row r="123">
          <cell r="F123">
            <v>792714</v>
          </cell>
          <cell r="H123">
            <v>3882.9300000000512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134707.57999999999</v>
          </cell>
          <cell r="H125">
            <v>1584.6999999999825</v>
          </cell>
        </row>
        <row r="126">
          <cell r="F126">
            <v>56953</v>
          </cell>
          <cell r="H126">
            <v>604.80000000000291</v>
          </cell>
        </row>
        <row r="127">
          <cell r="F127">
            <v>8679</v>
          </cell>
          <cell r="H127">
            <v>38.899999999999636</v>
          </cell>
        </row>
        <row r="128">
          <cell r="H128">
            <v>1240.2099999999627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31877.25</v>
          </cell>
          <cell r="H135">
            <v>159.72999999999956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24949.13</v>
          </cell>
          <cell r="H137">
            <v>16.620000000002619</v>
          </cell>
        </row>
        <row r="138">
          <cell r="F138">
            <v>69993.490000000005</v>
          </cell>
          <cell r="H138">
            <v>38.279999999998836</v>
          </cell>
        </row>
        <row r="139">
          <cell r="F139">
            <v>1050.5999999999999</v>
          </cell>
          <cell r="H139">
            <v>109.06999999999994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95104.422999999952</v>
          </cell>
        </row>
        <row r="143">
          <cell r="H143">
            <v>4.5157178488719101</v>
          </cell>
        </row>
        <row r="144">
          <cell r="H144">
            <v>90011.139999999985</v>
          </cell>
        </row>
        <row r="145">
          <cell r="H145">
            <v>4.4175876758143975</v>
          </cell>
        </row>
        <row r="146">
          <cell r="H146">
            <v>80629.993000000002</v>
          </cell>
        </row>
        <row r="147">
          <cell r="H147">
            <v>3.9703105978896605</v>
          </cell>
        </row>
        <row r="148">
          <cell r="H148">
            <v>37810.570000000007</v>
          </cell>
        </row>
        <row r="149">
          <cell r="H149">
            <v>1.8570640029592633</v>
          </cell>
        </row>
        <row r="150">
          <cell r="H150">
            <v>40865.179999999964</v>
          </cell>
        </row>
        <row r="151">
          <cell r="H151">
            <v>2.0018164065859838</v>
          </cell>
        </row>
        <row r="152">
          <cell r="H152">
            <v>27973.512999999999</v>
          </cell>
        </row>
        <row r="153">
          <cell r="H153">
            <v>1.487407238511568</v>
          </cell>
        </row>
        <row r="160">
          <cell r="F160">
            <v>25221</v>
          </cell>
        </row>
        <row r="161">
          <cell r="F161">
            <v>22875.75</v>
          </cell>
        </row>
        <row r="162">
          <cell r="F162">
            <v>751</v>
          </cell>
        </row>
        <row r="163">
          <cell r="F163">
            <v>4006</v>
          </cell>
        </row>
      </sheetData>
      <sheetData sheetId="22">
        <row r="7">
          <cell r="F7">
            <v>3074452</v>
          </cell>
          <cell r="H7">
            <v>406007</v>
          </cell>
        </row>
        <row r="8">
          <cell r="F8">
            <v>3092523</v>
          </cell>
          <cell r="H8">
            <v>409484</v>
          </cell>
        </row>
        <row r="9">
          <cell r="F9">
            <v>2375370</v>
          </cell>
          <cell r="H9">
            <v>118333.5</v>
          </cell>
        </row>
        <row r="10">
          <cell r="F10">
            <v>576267</v>
          </cell>
          <cell r="H10">
            <v>273316.71000000002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369790.9</v>
          </cell>
        </row>
        <row r="15">
          <cell r="F15">
            <v>1560709</v>
          </cell>
          <cell r="H15">
            <v>13811.398999999976</v>
          </cell>
        </row>
        <row r="18">
          <cell r="F18">
            <v>14</v>
          </cell>
          <cell r="H18">
            <v>2740</v>
          </cell>
        </row>
        <row r="19">
          <cell r="F19">
            <v>130897</v>
          </cell>
          <cell r="H19">
            <v>1096</v>
          </cell>
        </row>
        <row r="20">
          <cell r="H20">
            <v>3836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3890098</v>
          </cell>
        </row>
        <row r="28">
          <cell r="H28">
            <v>504116.06349999912</v>
          </cell>
        </row>
        <row r="29">
          <cell r="H29">
            <v>0</v>
          </cell>
        </row>
        <row r="30">
          <cell r="H30">
            <v>158920</v>
          </cell>
        </row>
        <row r="31">
          <cell r="H31">
            <v>217600</v>
          </cell>
        </row>
        <row r="32">
          <cell r="H32">
            <v>4770734.0634999992</v>
          </cell>
        </row>
        <row r="35">
          <cell r="F35">
            <v>629027</v>
          </cell>
          <cell r="H35">
            <v>0</v>
          </cell>
        </row>
        <row r="36">
          <cell r="F36">
            <v>246202</v>
          </cell>
          <cell r="H36">
            <v>17116.26999999999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676119</v>
          </cell>
          <cell r="H43">
            <v>45369.689999999944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121411.42999999992</v>
          </cell>
        </row>
        <row r="49">
          <cell r="F49">
            <v>117846</v>
          </cell>
          <cell r="H49">
            <v>53236.483</v>
          </cell>
        </row>
        <row r="50">
          <cell r="F50">
            <v>321760</v>
          </cell>
          <cell r="H50">
            <v>24350.469999999972</v>
          </cell>
        </row>
        <row r="51">
          <cell r="F51">
            <v>48734</v>
          </cell>
          <cell r="H51">
            <v>27867.032999999999</v>
          </cell>
        </row>
        <row r="52">
          <cell r="F52">
            <v>410983</v>
          </cell>
          <cell r="H52">
            <v>37627.209999999963</v>
          </cell>
        </row>
        <row r="53">
          <cell r="F53">
            <v>130100</v>
          </cell>
          <cell r="H53">
            <v>80357.892999999996</v>
          </cell>
        </row>
        <row r="54">
          <cell r="F54">
            <v>3869</v>
          </cell>
          <cell r="H54">
            <v>990.38999999999987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470147</v>
          </cell>
          <cell r="H56">
            <v>34305.969999999972</v>
          </cell>
        </row>
        <row r="57">
          <cell r="F57">
            <v>0</v>
          </cell>
          <cell r="H57">
            <v>0</v>
          </cell>
        </row>
        <row r="58">
          <cell r="F58">
            <v>22766</v>
          </cell>
          <cell r="H58">
            <v>2372.9670000000006</v>
          </cell>
        </row>
        <row r="59">
          <cell r="H59">
            <v>261108.14599999989</v>
          </cell>
        </row>
        <row r="60">
          <cell r="H60">
            <v>396063.24599999993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1063</v>
          </cell>
          <cell r="H63">
            <v>206.63</v>
          </cell>
        </row>
        <row r="64">
          <cell r="F64">
            <v>94056</v>
          </cell>
          <cell r="H64">
            <v>7316.9049999999988</v>
          </cell>
        </row>
        <row r="65">
          <cell r="F65">
            <v>104578</v>
          </cell>
          <cell r="H65">
            <v>7942.0170000000071</v>
          </cell>
        </row>
        <row r="66">
          <cell r="F66">
            <v>98005</v>
          </cell>
          <cell r="H66">
            <v>8000.1530000000057</v>
          </cell>
        </row>
        <row r="67">
          <cell r="F67">
            <v>160500</v>
          </cell>
          <cell r="H67">
            <v>14457.950000000012</v>
          </cell>
        </row>
        <row r="68">
          <cell r="F68">
            <v>50248</v>
          </cell>
          <cell r="H68">
            <v>7072.9210000000021</v>
          </cell>
        </row>
        <row r="69">
          <cell r="F69">
            <v>43386</v>
          </cell>
          <cell r="H69">
            <v>5830.4329999999973</v>
          </cell>
        </row>
        <row r="70">
          <cell r="H70">
            <v>0</v>
          </cell>
        </row>
        <row r="72">
          <cell r="F72">
            <v>845458</v>
          </cell>
          <cell r="H72">
            <v>1196</v>
          </cell>
        </row>
        <row r="73">
          <cell r="F73">
            <v>885652</v>
          </cell>
          <cell r="H73">
            <v>948</v>
          </cell>
        </row>
        <row r="74">
          <cell r="F74">
            <v>880863</v>
          </cell>
          <cell r="H74">
            <v>636</v>
          </cell>
        </row>
        <row r="75">
          <cell r="F75">
            <v>729728</v>
          </cell>
          <cell r="H75">
            <v>3548</v>
          </cell>
        </row>
        <row r="76">
          <cell r="F76">
            <v>683336</v>
          </cell>
          <cell r="H76">
            <v>2966</v>
          </cell>
        </row>
        <row r="77">
          <cell r="F77">
            <v>694789</v>
          </cell>
          <cell r="H77">
            <v>1069</v>
          </cell>
        </row>
        <row r="78">
          <cell r="F78">
            <v>626508</v>
          </cell>
          <cell r="H78">
            <v>8255</v>
          </cell>
        </row>
        <row r="79">
          <cell r="F79">
            <v>801815</v>
          </cell>
          <cell r="H79">
            <v>6563</v>
          </cell>
        </row>
        <row r="80">
          <cell r="F80">
            <v>472052</v>
          </cell>
          <cell r="H80">
            <v>4728.1599999999744</v>
          </cell>
        </row>
        <row r="81">
          <cell r="F81">
            <v>617605</v>
          </cell>
          <cell r="H81">
            <v>3216.4799999999814</v>
          </cell>
        </row>
        <row r="82">
          <cell r="F82">
            <v>104191</v>
          </cell>
          <cell r="H82">
            <v>661.35000000000582</v>
          </cell>
        </row>
        <row r="83">
          <cell r="F83">
            <v>969670</v>
          </cell>
          <cell r="H83">
            <v>7145</v>
          </cell>
        </row>
        <row r="84">
          <cell r="F84">
            <v>391985</v>
          </cell>
          <cell r="H84">
            <v>10629</v>
          </cell>
        </row>
        <row r="85">
          <cell r="H85">
            <v>47004.519999999931</v>
          </cell>
        </row>
        <row r="86">
          <cell r="F86">
            <v>443318</v>
          </cell>
        </row>
        <row r="87">
          <cell r="F87">
            <v>77479</v>
          </cell>
        </row>
        <row r="88">
          <cell r="F88">
            <v>143869</v>
          </cell>
        </row>
        <row r="89">
          <cell r="F89">
            <v>56899</v>
          </cell>
        </row>
        <row r="90">
          <cell r="F90">
            <v>2952</v>
          </cell>
        </row>
        <row r="92">
          <cell r="F92">
            <v>232951</v>
          </cell>
          <cell r="H92">
            <v>1976</v>
          </cell>
        </row>
        <row r="93">
          <cell r="F93">
            <v>165485</v>
          </cell>
          <cell r="H93">
            <v>2843</v>
          </cell>
        </row>
        <row r="94">
          <cell r="H94">
            <v>4556</v>
          </cell>
        </row>
        <row r="95">
          <cell r="F95">
            <v>402874</v>
          </cell>
          <cell r="H95">
            <v>1309</v>
          </cell>
        </row>
        <row r="96">
          <cell r="F96">
            <v>99667</v>
          </cell>
          <cell r="H96">
            <v>556</v>
          </cell>
        </row>
        <row r="97">
          <cell r="F97">
            <v>94777</v>
          </cell>
          <cell r="H97">
            <v>505</v>
          </cell>
        </row>
        <row r="98">
          <cell r="F98">
            <v>143263</v>
          </cell>
          <cell r="H98">
            <v>1117</v>
          </cell>
        </row>
        <row r="99">
          <cell r="F99">
            <v>5374</v>
          </cell>
          <cell r="H99">
            <v>406</v>
          </cell>
        </row>
        <row r="100">
          <cell r="F100">
            <v>3845</v>
          </cell>
          <cell r="H100">
            <v>49</v>
          </cell>
        </row>
        <row r="101">
          <cell r="H101">
            <v>3942</v>
          </cell>
        </row>
        <row r="104">
          <cell r="F104">
            <v>7010</v>
          </cell>
        </row>
        <row r="105">
          <cell r="F105">
            <v>34821</v>
          </cell>
        </row>
        <row r="106">
          <cell r="F106">
            <v>18830</v>
          </cell>
        </row>
        <row r="109">
          <cell r="F109">
            <v>52434</v>
          </cell>
        </row>
        <row r="110">
          <cell r="F110">
            <v>26410</v>
          </cell>
        </row>
        <row r="111">
          <cell r="F111">
            <v>3490</v>
          </cell>
        </row>
        <row r="114">
          <cell r="F114">
            <v>9082</v>
          </cell>
        </row>
        <row r="115">
          <cell r="F115">
            <v>7071</v>
          </cell>
        </row>
        <row r="123">
          <cell r="F123">
            <v>792945</v>
          </cell>
          <cell r="H123">
            <v>4113.9300000000512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134772</v>
          </cell>
          <cell r="H125">
            <v>1649.1199999999953</v>
          </cell>
        </row>
        <row r="126">
          <cell r="F126">
            <v>56993</v>
          </cell>
          <cell r="H126">
            <v>644.80000000000291</v>
          </cell>
        </row>
        <row r="127">
          <cell r="F127">
            <v>8680</v>
          </cell>
          <cell r="H127">
            <v>39.899999999999636</v>
          </cell>
        </row>
        <row r="128">
          <cell r="H128">
            <v>1451.1000000000058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31901</v>
          </cell>
          <cell r="H135">
            <v>183.47999999999956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24949.13</v>
          </cell>
          <cell r="H137">
            <v>16.620000000002619</v>
          </cell>
        </row>
        <row r="138">
          <cell r="F138">
            <v>69999</v>
          </cell>
          <cell r="H138">
            <v>43.789999999993597</v>
          </cell>
        </row>
        <row r="139">
          <cell r="F139">
            <v>1056.52</v>
          </cell>
          <cell r="H139">
            <v>114.99000000000001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100151.42299999995</v>
          </cell>
        </row>
        <row r="143">
          <cell r="H143">
            <v>4.776167843711419</v>
          </cell>
        </row>
        <row r="144">
          <cell r="H144">
            <v>93925.139999999985</v>
          </cell>
        </row>
        <row r="145">
          <cell r="H145">
            <v>4.6195693044654451</v>
          </cell>
        </row>
        <row r="146">
          <cell r="H146">
            <v>84683.993000000002</v>
          </cell>
        </row>
        <row r="147">
          <cell r="H147">
            <v>4.1795169143309856</v>
          </cell>
        </row>
        <row r="148">
          <cell r="H148">
            <v>39860.570000000007</v>
          </cell>
        </row>
        <row r="149">
          <cell r="H149">
            <v>1.962854074174043</v>
          </cell>
        </row>
        <row r="150">
          <cell r="H150">
            <v>42907.179999999964</v>
          </cell>
        </row>
        <row r="151">
          <cell r="H151">
            <v>2.1071936384984618</v>
          </cell>
        </row>
        <row r="152">
          <cell r="H152">
            <v>29413.512999999999</v>
          </cell>
        </row>
        <row r="153">
          <cell r="H153">
            <v>1.5617183129258523</v>
          </cell>
        </row>
      </sheetData>
      <sheetData sheetId="23">
        <row r="7">
          <cell r="F7">
            <v>3093428</v>
          </cell>
          <cell r="H7">
            <v>424983</v>
          </cell>
        </row>
        <row r="8">
          <cell r="F8">
            <v>3111663</v>
          </cell>
          <cell r="H8">
            <v>428624</v>
          </cell>
        </row>
        <row r="9">
          <cell r="F9">
            <v>2378079</v>
          </cell>
          <cell r="H9">
            <v>121042.5</v>
          </cell>
        </row>
        <row r="10">
          <cell r="F10">
            <v>591824</v>
          </cell>
          <cell r="H10">
            <v>288873.71000000002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388056.9</v>
          </cell>
        </row>
        <row r="15">
          <cell r="F15">
            <v>1561521</v>
          </cell>
          <cell r="H15">
            <v>14623.398999999976</v>
          </cell>
        </row>
        <row r="18">
          <cell r="F18">
            <v>12</v>
          </cell>
          <cell r="H18">
            <v>2860</v>
          </cell>
        </row>
        <row r="19">
          <cell r="F19">
            <v>130952</v>
          </cell>
          <cell r="H19">
            <v>1151</v>
          </cell>
        </row>
        <row r="20">
          <cell r="H20">
            <v>4011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4071928</v>
          </cell>
        </row>
        <row r="28">
          <cell r="H28">
            <v>533754.06349999912</v>
          </cell>
        </row>
        <row r="29">
          <cell r="H29">
            <v>0</v>
          </cell>
        </row>
        <row r="30">
          <cell r="H30">
            <v>166895</v>
          </cell>
        </row>
        <row r="31">
          <cell r="H31">
            <v>227200</v>
          </cell>
        </row>
        <row r="32">
          <cell r="H32">
            <v>4999777.0634999992</v>
          </cell>
        </row>
        <row r="35">
          <cell r="F35">
            <v>629027</v>
          </cell>
          <cell r="H35">
            <v>0</v>
          </cell>
        </row>
        <row r="36">
          <cell r="F36">
            <v>246947</v>
          </cell>
          <cell r="H36">
            <v>17861.26999999999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678199</v>
          </cell>
          <cell r="H43">
            <v>47449.689999999944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124236.80999999992</v>
          </cell>
        </row>
        <row r="49">
          <cell r="F49">
            <v>120545</v>
          </cell>
          <cell r="H49">
            <v>55935.483</v>
          </cell>
        </row>
        <row r="50">
          <cell r="F50">
            <v>323283</v>
          </cell>
          <cell r="H50">
            <v>25873.469999999972</v>
          </cell>
        </row>
        <row r="51">
          <cell r="F51">
            <v>50155</v>
          </cell>
          <cell r="H51">
            <v>29288.032999999999</v>
          </cell>
        </row>
        <row r="52">
          <cell r="F52">
            <v>412823</v>
          </cell>
          <cell r="H52">
            <v>39467.209999999963</v>
          </cell>
        </row>
        <row r="53">
          <cell r="F53">
            <v>134496</v>
          </cell>
          <cell r="H53">
            <v>84753.892999999996</v>
          </cell>
        </row>
        <row r="54">
          <cell r="F54">
            <v>3869</v>
          </cell>
          <cell r="H54">
            <v>990.38999999999987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473718</v>
          </cell>
          <cell r="H56">
            <v>37876.969999999972</v>
          </cell>
        </row>
        <row r="57">
          <cell r="F57">
            <v>0</v>
          </cell>
          <cell r="H57">
            <v>0</v>
          </cell>
        </row>
        <row r="58">
          <cell r="F58">
            <v>23007</v>
          </cell>
          <cell r="H58">
            <v>2613.9670000000006</v>
          </cell>
        </row>
        <row r="59">
          <cell r="H59">
            <v>276799.14599999989</v>
          </cell>
        </row>
        <row r="60">
          <cell r="H60">
            <v>414579.62599999993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1068</v>
          </cell>
          <cell r="H63">
            <v>211.63</v>
          </cell>
        </row>
        <row r="64">
          <cell r="F64">
            <v>94451</v>
          </cell>
          <cell r="H64">
            <v>7711.9049999999988</v>
          </cell>
        </row>
        <row r="65">
          <cell r="F65">
            <v>104958</v>
          </cell>
          <cell r="H65">
            <v>8322.0170000000071</v>
          </cell>
        </row>
        <row r="66">
          <cell r="F66">
            <v>98413</v>
          </cell>
          <cell r="H66">
            <v>8408.1530000000057</v>
          </cell>
        </row>
        <row r="67">
          <cell r="F67">
            <v>161358</v>
          </cell>
          <cell r="H67">
            <v>15315.950000000012</v>
          </cell>
        </row>
        <row r="68">
          <cell r="F68">
            <v>50564</v>
          </cell>
          <cell r="H68">
            <v>7388.9210000000021</v>
          </cell>
        </row>
        <row r="69">
          <cell r="F69">
            <v>43668</v>
          </cell>
          <cell r="H69">
            <v>6112.4329999999973</v>
          </cell>
        </row>
        <row r="70">
          <cell r="H70">
            <v>0</v>
          </cell>
        </row>
        <row r="72">
          <cell r="F72">
            <v>845520</v>
          </cell>
          <cell r="H72">
            <v>1258</v>
          </cell>
        </row>
        <row r="73">
          <cell r="F73">
            <v>885654</v>
          </cell>
          <cell r="H73">
            <v>950</v>
          </cell>
        </row>
        <row r="74">
          <cell r="F74">
            <v>880903</v>
          </cell>
          <cell r="H74">
            <v>676</v>
          </cell>
        </row>
        <row r="75">
          <cell r="F75">
            <v>729900</v>
          </cell>
          <cell r="H75">
            <v>3720</v>
          </cell>
        </row>
        <row r="76">
          <cell r="F76">
            <v>683430</v>
          </cell>
          <cell r="H76">
            <v>3060</v>
          </cell>
        </row>
        <row r="77">
          <cell r="F77">
            <v>694843</v>
          </cell>
          <cell r="H77">
            <v>1123</v>
          </cell>
        </row>
        <row r="78">
          <cell r="F78">
            <v>626957</v>
          </cell>
          <cell r="H78">
            <v>8704</v>
          </cell>
        </row>
        <row r="79">
          <cell r="F79">
            <v>802000</v>
          </cell>
          <cell r="H79">
            <v>6748</v>
          </cell>
        </row>
        <row r="80">
          <cell r="F80">
            <v>472376</v>
          </cell>
          <cell r="H80">
            <v>5052.1599999999744</v>
          </cell>
        </row>
        <row r="81">
          <cell r="F81">
            <v>617783</v>
          </cell>
          <cell r="H81">
            <v>3394.4799999999814</v>
          </cell>
        </row>
        <row r="82">
          <cell r="F82">
            <v>104215</v>
          </cell>
          <cell r="H82">
            <v>685.35000000000582</v>
          </cell>
        </row>
        <row r="83">
          <cell r="F83">
            <v>970027</v>
          </cell>
          <cell r="H83">
            <v>7502</v>
          </cell>
        </row>
        <row r="84">
          <cell r="F84">
            <v>392489</v>
          </cell>
          <cell r="H84">
            <v>11133</v>
          </cell>
        </row>
        <row r="85">
          <cell r="H85">
            <v>49449.519999999931</v>
          </cell>
        </row>
        <row r="86">
          <cell r="F86">
            <v>443441</v>
          </cell>
        </row>
        <row r="87">
          <cell r="F87">
            <v>77511</v>
          </cell>
        </row>
        <row r="88">
          <cell r="F88">
            <v>143946</v>
          </cell>
        </row>
        <row r="89">
          <cell r="F89">
            <v>56966</v>
          </cell>
        </row>
        <row r="90">
          <cell r="F90">
            <v>2956</v>
          </cell>
        </row>
        <row r="92">
          <cell r="F92">
            <v>233015</v>
          </cell>
          <cell r="H92">
            <v>2040</v>
          </cell>
        </row>
        <row r="93">
          <cell r="F93">
            <v>165630</v>
          </cell>
          <cell r="H93">
            <v>2988</v>
          </cell>
        </row>
        <row r="94">
          <cell r="H94">
            <v>4765</v>
          </cell>
        </row>
        <row r="95">
          <cell r="F95">
            <v>402946</v>
          </cell>
          <cell r="H95">
            <v>1381</v>
          </cell>
        </row>
        <row r="96">
          <cell r="F96">
            <v>99684</v>
          </cell>
          <cell r="H96">
            <v>573</v>
          </cell>
        </row>
        <row r="97">
          <cell r="F97">
            <v>94795</v>
          </cell>
          <cell r="H97">
            <v>523</v>
          </cell>
        </row>
        <row r="98">
          <cell r="F98">
            <v>143318</v>
          </cell>
          <cell r="H98">
            <v>1172</v>
          </cell>
        </row>
        <row r="99">
          <cell r="F99">
            <v>5380</v>
          </cell>
          <cell r="H99">
            <v>412</v>
          </cell>
        </row>
        <row r="100">
          <cell r="F100">
            <v>3854</v>
          </cell>
          <cell r="H100">
            <v>58</v>
          </cell>
        </row>
        <row r="101">
          <cell r="H101">
            <v>4119</v>
          </cell>
        </row>
        <row r="104">
          <cell r="F104">
            <v>7010</v>
          </cell>
        </row>
        <row r="105">
          <cell r="F105">
            <v>34836</v>
          </cell>
        </row>
        <row r="106">
          <cell r="F106">
            <v>18836</v>
          </cell>
        </row>
        <row r="109">
          <cell r="F109">
            <v>52506</v>
          </cell>
        </row>
        <row r="110">
          <cell r="F110">
            <v>26463</v>
          </cell>
        </row>
        <row r="111">
          <cell r="F111">
            <v>3501</v>
          </cell>
        </row>
        <row r="114">
          <cell r="F114">
            <v>9091</v>
          </cell>
        </row>
        <row r="115">
          <cell r="F115">
            <v>7075</v>
          </cell>
        </row>
        <row r="123">
          <cell r="F123">
            <v>793141</v>
          </cell>
          <cell r="H123">
            <v>4309.9300000000512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134830</v>
          </cell>
          <cell r="H125">
            <v>1707.1199999999953</v>
          </cell>
        </row>
        <row r="126">
          <cell r="F126">
            <v>57038</v>
          </cell>
          <cell r="H126">
            <v>689.80000000000291</v>
          </cell>
        </row>
        <row r="127">
          <cell r="F127">
            <v>8682</v>
          </cell>
          <cell r="H127">
            <v>41.899999999999636</v>
          </cell>
        </row>
        <row r="128">
          <cell r="H128">
            <v>1962.1000000000058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31925</v>
          </cell>
          <cell r="H135">
            <v>207.47999999999956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24958.95</v>
          </cell>
          <cell r="H137">
            <v>26.440000000002328</v>
          </cell>
        </row>
        <row r="138">
          <cell r="F138">
            <v>70001</v>
          </cell>
          <cell r="H138">
            <v>45.789999999993597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104930.42299999995</v>
          </cell>
        </row>
        <row r="143">
          <cell r="H143">
            <v>5.0280122787873047</v>
          </cell>
        </row>
        <row r="144">
          <cell r="H144">
            <v>97496.139999999985</v>
          </cell>
        </row>
        <row r="145">
          <cell r="H145">
            <v>4.8077543803507741</v>
          </cell>
        </row>
        <row r="146">
          <cell r="H146">
            <v>89079.993000000002</v>
          </cell>
        </row>
        <row r="147">
          <cell r="H147">
            <v>4.411177959862183</v>
          </cell>
        </row>
        <row r="148">
          <cell r="H148">
            <v>41700.950000000012</v>
          </cell>
        </row>
        <row r="149">
          <cell r="H149">
            <v>2.0598386863156959</v>
          </cell>
        </row>
        <row r="150">
          <cell r="H150">
            <v>45175.179999999964</v>
          </cell>
        </row>
        <row r="151">
          <cell r="H151">
            <v>2.226713031415831</v>
          </cell>
        </row>
        <row r="152">
          <cell r="H152">
            <v>30834.512999999999</v>
          </cell>
        </row>
        <row r="153">
          <cell r="H153">
            <v>1.6366023770067966</v>
          </cell>
        </row>
        <row r="160">
          <cell r="F160">
            <v>25363</v>
          </cell>
        </row>
        <row r="161">
          <cell r="F161">
            <v>23766</v>
          </cell>
        </row>
        <row r="162">
          <cell r="F162">
            <v>1365</v>
          </cell>
        </row>
        <row r="163">
          <cell r="F163">
            <v>4055</v>
          </cell>
        </row>
      </sheetData>
      <sheetData sheetId="24">
        <row r="7">
          <cell r="F7">
            <v>3111256</v>
          </cell>
          <cell r="H7">
            <v>442811</v>
          </cell>
        </row>
        <row r="8">
          <cell r="F8">
            <v>3129722</v>
          </cell>
          <cell r="H8">
            <v>446683</v>
          </cell>
        </row>
        <row r="9">
          <cell r="F9">
            <v>2380742</v>
          </cell>
          <cell r="H9">
            <v>123705.5</v>
          </cell>
        </row>
        <row r="10">
          <cell r="F10">
            <v>606269</v>
          </cell>
          <cell r="H10">
            <v>303318.71000000002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405164.9</v>
          </cell>
        </row>
        <row r="15">
          <cell r="F15">
            <v>1562212</v>
          </cell>
          <cell r="H15">
            <v>15314.398999999976</v>
          </cell>
        </row>
        <row r="18">
          <cell r="F18">
            <v>10</v>
          </cell>
          <cell r="H18">
            <v>2960</v>
          </cell>
        </row>
        <row r="19">
          <cell r="F19">
            <v>131007</v>
          </cell>
          <cell r="H19">
            <v>1206</v>
          </cell>
        </row>
        <row r="20">
          <cell r="H20">
            <v>4166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4243488.5</v>
          </cell>
        </row>
        <row r="28">
          <cell r="H28">
            <v>558975.56349999912</v>
          </cell>
        </row>
        <row r="29">
          <cell r="H29">
            <v>0</v>
          </cell>
        </row>
        <row r="30">
          <cell r="H30">
            <v>174870</v>
          </cell>
        </row>
        <row r="31">
          <cell r="H31">
            <v>235200</v>
          </cell>
        </row>
        <row r="32">
          <cell r="H32">
            <v>5212534.0634999992</v>
          </cell>
        </row>
        <row r="35">
          <cell r="F35">
            <v>629027</v>
          </cell>
          <cell r="H35">
            <v>0</v>
          </cell>
        </row>
        <row r="36">
          <cell r="F36">
            <v>247672</v>
          </cell>
          <cell r="H36">
            <v>18586.26999999999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680253</v>
          </cell>
          <cell r="H43">
            <v>49503.689999999944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127015.36999999992</v>
          </cell>
        </row>
        <row r="49">
          <cell r="F49">
            <v>123180</v>
          </cell>
          <cell r="H49">
            <v>58570.483</v>
          </cell>
        </row>
        <row r="50">
          <cell r="F50">
            <v>324379</v>
          </cell>
          <cell r="H50">
            <v>26969.469999999972</v>
          </cell>
        </row>
        <row r="51">
          <cell r="F51">
            <v>51586</v>
          </cell>
          <cell r="H51">
            <v>30719.032999999999</v>
          </cell>
        </row>
        <row r="52">
          <cell r="F52">
            <v>414633</v>
          </cell>
          <cell r="H52">
            <v>41277.209999999963</v>
          </cell>
        </row>
        <row r="53">
          <cell r="F53">
            <v>138695</v>
          </cell>
          <cell r="H53">
            <v>88952.892999999996</v>
          </cell>
        </row>
        <row r="54">
          <cell r="F54">
            <v>3965</v>
          </cell>
          <cell r="H54">
            <v>1086.3899999999999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476824</v>
          </cell>
          <cell r="H56">
            <v>40982.969999999972</v>
          </cell>
        </row>
        <row r="57">
          <cell r="F57">
            <v>0</v>
          </cell>
          <cell r="H57">
            <v>0</v>
          </cell>
        </row>
        <row r="58">
          <cell r="F58">
            <v>23320</v>
          </cell>
          <cell r="H58">
            <v>2926.9670000000006</v>
          </cell>
        </row>
        <row r="59">
          <cell r="H59">
            <v>291485.14599999989</v>
          </cell>
        </row>
        <row r="60">
          <cell r="H60">
            <v>432044.18599999993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1072</v>
          </cell>
          <cell r="H63">
            <v>215.63</v>
          </cell>
        </row>
        <row r="64">
          <cell r="F64">
            <v>94892</v>
          </cell>
          <cell r="H64">
            <v>8152.9049999999988</v>
          </cell>
        </row>
        <row r="65">
          <cell r="F65">
            <v>105353</v>
          </cell>
          <cell r="H65">
            <v>8717.0170000000071</v>
          </cell>
        </row>
        <row r="66">
          <cell r="F66">
            <v>98837</v>
          </cell>
          <cell r="H66">
            <v>8832.1530000000057</v>
          </cell>
        </row>
        <row r="67">
          <cell r="F67">
            <v>162041</v>
          </cell>
          <cell r="H67">
            <v>15998.950000000012</v>
          </cell>
        </row>
        <row r="68">
          <cell r="F68">
            <v>50883</v>
          </cell>
          <cell r="H68">
            <v>7707.9210000000021</v>
          </cell>
        </row>
        <row r="69">
          <cell r="F69">
            <v>43956</v>
          </cell>
          <cell r="H69">
            <v>6400.4329999999973</v>
          </cell>
        </row>
        <row r="72">
          <cell r="F72">
            <v>845623</v>
          </cell>
          <cell r="H72">
            <v>1361</v>
          </cell>
        </row>
        <row r="73">
          <cell r="F73">
            <v>885655</v>
          </cell>
          <cell r="H73">
            <v>951</v>
          </cell>
        </row>
        <row r="74">
          <cell r="F74">
            <v>880943</v>
          </cell>
          <cell r="H74">
            <v>716</v>
          </cell>
        </row>
        <row r="75">
          <cell r="F75">
            <v>730060</v>
          </cell>
          <cell r="H75">
            <v>3880</v>
          </cell>
        </row>
        <row r="76">
          <cell r="F76">
            <v>683510</v>
          </cell>
          <cell r="H76">
            <v>3140</v>
          </cell>
        </row>
        <row r="77">
          <cell r="F77">
            <v>694893</v>
          </cell>
          <cell r="H77">
            <v>1173</v>
          </cell>
        </row>
        <row r="78">
          <cell r="F78">
            <v>627351</v>
          </cell>
          <cell r="H78">
            <v>9098</v>
          </cell>
        </row>
        <row r="79">
          <cell r="F79">
            <v>802186</v>
          </cell>
          <cell r="H79">
            <v>6934</v>
          </cell>
        </row>
        <row r="80">
          <cell r="F80">
            <v>472676</v>
          </cell>
          <cell r="H80">
            <v>5352.1599999999744</v>
          </cell>
        </row>
        <row r="81">
          <cell r="F81">
            <v>617940</v>
          </cell>
          <cell r="H81">
            <v>3551.4799999999814</v>
          </cell>
        </row>
        <row r="82">
          <cell r="F82">
            <v>104228</v>
          </cell>
          <cell r="H82">
            <v>698.35000000000582</v>
          </cell>
        </row>
        <row r="83">
          <cell r="F83">
            <v>970349</v>
          </cell>
          <cell r="H83">
            <v>7824</v>
          </cell>
        </row>
        <row r="84">
          <cell r="F84">
            <v>392999</v>
          </cell>
          <cell r="H84">
            <v>11643</v>
          </cell>
        </row>
        <row r="85">
          <cell r="H85">
            <v>51765.519999999931</v>
          </cell>
        </row>
        <row r="86">
          <cell r="F86">
            <v>443560</v>
          </cell>
        </row>
        <row r="87">
          <cell r="F87">
            <v>77548</v>
          </cell>
        </row>
        <row r="88">
          <cell r="F88">
            <v>144010</v>
          </cell>
        </row>
        <row r="89">
          <cell r="F89">
            <v>57089</v>
          </cell>
        </row>
        <row r="90">
          <cell r="F90">
            <v>2962</v>
          </cell>
        </row>
        <row r="92">
          <cell r="F92">
            <v>233069</v>
          </cell>
          <cell r="H92">
            <v>2094</v>
          </cell>
        </row>
        <row r="93">
          <cell r="F93">
            <v>165723</v>
          </cell>
          <cell r="H93">
            <v>3081</v>
          </cell>
        </row>
        <row r="94">
          <cell r="H94">
            <v>4912</v>
          </cell>
        </row>
        <row r="95">
          <cell r="F95">
            <v>403005</v>
          </cell>
          <cell r="H95">
            <v>1440</v>
          </cell>
        </row>
        <row r="96">
          <cell r="F96">
            <v>99703</v>
          </cell>
          <cell r="H96">
            <v>592</v>
          </cell>
        </row>
        <row r="97">
          <cell r="F97">
            <v>94814</v>
          </cell>
          <cell r="H97">
            <v>542</v>
          </cell>
        </row>
        <row r="98">
          <cell r="F98">
            <v>143342</v>
          </cell>
          <cell r="H98">
            <v>1196</v>
          </cell>
        </row>
        <row r="99">
          <cell r="F99">
            <v>5387</v>
          </cell>
          <cell r="H99">
            <v>419</v>
          </cell>
        </row>
        <row r="100">
          <cell r="F100">
            <v>3864</v>
          </cell>
          <cell r="H100">
            <v>68</v>
          </cell>
        </row>
        <row r="101">
          <cell r="H101">
            <v>4257</v>
          </cell>
        </row>
        <row r="104">
          <cell r="F104">
            <v>7010</v>
          </cell>
        </row>
        <row r="105">
          <cell r="F105">
            <v>34845</v>
          </cell>
        </row>
        <row r="106">
          <cell r="F106">
            <v>18842</v>
          </cell>
        </row>
        <row r="109">
          <cell r="F109">
            <v>52547</v>
          </cell>
        </row>
        <row r="110">
          <cell r="F110">
            <v>26478</v>
          </cell>
        </row>
        <row r="111">
          <cell r="F111">
            <v>3513</v>
          </cell>
        </row>
        <row r="114">
          <cell r="F114">
            <v>9099</v>
          </cell>
        </row>
        <row r="115">
          <cell r="F115">
            <v>7091</v>
          </cell>
        </row>
        <row r="123">
          <cell r="F123">
            <v>793359</v>
          </cell>
          <cell r="H123">
            <v>4527.9300000000512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134910</v>
          </cell>
          <cell r="H125">
            <v>1787.1199999999953</v>
          </cell>
        </row>
        <row r="126">
          <cell r="F126">
            <v>57059</v>
          </cell>
          <cell r="H126">
            <v>710.80000000000291</v>
          </cell>
        </row>
        <row r="127">
          <cell r="F127">
            <v>8683</v>
          </cell>
          <cell r="H127">
            <v>42.899999999999636</v>
          </cell>
        </row>
        <row r="128">
          <cell r="H128">
            <v>2333.1000000000058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</row>
        <row r="135">
          <cell r="F135">
            <v>31949</v>
          </cell>
        </row>
        <row r="136">
          <cell r="F136">
            <v>21774.04</v>
          </cell>
          <cell r="H136">
            <v>99.319999999999709</v>
          </cell>
        </row>
        <row r="137">
          <cell r="F137">
            <v>24958.94</v>
          </cell>
        </row>
        <row r="138">
          <cell r="F138">
            <v>70001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4164.18</v>
          </cell>
          <cell r="H140">
            <v>7.2800000000006548</v>
          </cell>
        </row>
        <row r="142">
          <cell r="H142">
            <v>109619.42299999995</v>
          </cell>
        </row>
        <row r="143">
          <cell r="H143">
            <v>5.2910255163910742</v>
          </cell>
        </row>
        <row r="144">
          <cell r="H144">
            <v>100602.13999999998</v>
          </cell>
        </row>
        <row r="145">
          <cell r="H145">
            <v>4.9819747079253762</v>
          </cell>
        </row>
        <row r="146">
          <cell r="H146">
            <v>93278.993000000002</v>
          </cell>
        </row>
        <row r="147">
          <cell r="H147">
            <v>4.6467063421821289</v>
          </cell>
        </row>
        <row r="148">
          <cell r="H148">
            <v>43510.950000000012</v>
          </cell>
        </row>
        <row r="149">
          <cell r="H149">
            <v>2.161364376241655</v>
          </cell>
        </row>
        <row r="150">
          <cell r="H150">
            <v>46996.179999999964</v>
          </cell>
        </row>
        <row r="151">
          <cell r="H151">
            <v>2.3288557282971412</v>
          </cell>
        </row>
        <row r="152">
          <cell r="H152">
            <v>32265.512999999999</v>
          </cell>
        </row>
        <row r="153">
          <cell r="H153">
            <v>1.7168693727438393</v>
          </cell>
        </row>
        <row r="160">
          <cell r="F160">
            <v>25436</v>
          </cell>
        </row>
        <row r="161">
          <cell r="F161">
            <v>24216</v>
          </cell>
        </row>
        <row r="162">
          <cell r="F162">
            <v>1627</v>
          </cell>
        </row>
        <row r="163">
          <cell r="F163">
            <v>4084</v>
          </cell>
        </row>
      </sheetData>
      <sheetData sheetId="25">
        <row r="7">
          <cell r="F7">
            <v>3129966</v>
          </cell>
          <cell r="H7">
            <v>461521</v>
          </cell>
        </row>
        <row r="8">
          <cell r="F8">
            <v>3148610</v>
          </cell>
          <cell r="H8">
            <v>465571</v>
          </cell>
        </row>
        <row r="9">
          <cell r="F9">
            <v>2383445</v>
          </cell>
          <cell r="H9">
            <v>126408.5</v>
          </cell>
        </row>
        <row r="10">
          <cell r="F10">
            <v>621625</v>
          </cell>
          <cell r="H10">
            <v>318674.71000000002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423223.9</v>
          </cell>
        </row>
        <row r="15">
          <cell r="F15">
            <v>1562937</v>
          </cell>
          <cell r="H15">
            <v>16039.398999999976</v>
          </cell>
        </row>
        <row r="18">
          <cell r="F18">
            <v>12</v>
          </cell>
          <cell r="H18">
            <v>3080</v>
          </cell>
        </row>
        <row r="19">
          <cell r="F19">
            <v>131056</v>
          </cell>
          <cell r="H19">
            <v>1255</v>
          </cell>
        </row>
        <row r="20">
          <cell r="H20">
            <v>4335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4422924.5</v>
          </cell>
        </row>
        <row r="28">
          <cell r="H28">
            <v>585438.06349999912</v>
          </cell>
        </row>
        <row r="29">
          <cell r="H29">
            <v>0</v>
          </cell>
        </row>
        <row r="30">
          <cell r="H30">
            <v>181975</v>
          </cell>
        </row>
        <row r="31">
          <cell r="H31">
            <v>244800</v>
          </cell>
        </row>
        <row r="32">
          <cell r="H32">
            <v>5435137.5634999992</v>
          </cell>
        </row>
        <row r="35">
          <cell r="F35">
            <v>629027</v>
          </cell>
          <cell r="H35">
            <v>0</v>
          </cell>
        </row>
        <row r="36">
          <cell r="F36">
            <v>248440</v>
          </cell>
          <cell r="H36">
            <v>19354.26999999999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682300</v>
          </cell>
          <cell r="H43">
            <v>51550.689999999944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129830.36999999992</v>
          </cell>
        </row>
        <row r="49">
          <cell r="F49">
            <v>125957</v>
          </cell>
          <cell r="H49">
            <v>61347.483</v>
          </cell>
        </row>
        <row r="50">
          <cell r="F50">
            <v>325548</v>
          </cell>
          <cell r="H50">
            <v>28138.469999999972</v>
          </cell>
        </row>
        <row r="51">
          <cell r="F51">
            <v>53054</v>
          </cell>
          <cell r="H51">
            <v>32187.032999999999</v>
          </cell>
        </row>
        <row r="52">
          <cell r="F52">
            <v>416612</v>
          </cell>
          <cell r="H52">
            <v>43256.209999999963</v>
          </cell>
        </row>
        <row r="53">
          <cell r="F53">
            <v>142883</v>
          </cell>
          <cell r="H53">
            <v>93140.892999999996</v>
          </cell>
        </row>
        <row r="54">
          <cell r="F54">
            <v>4022</v>
          </cell>
          <cell r="H54">
            <v>1143.3899999999999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480373</v>
          </cell>
          <cell r="H56">
            <v>44531.969999999972</v>
          </cell>
        </row>
        <row r="57">
          <cell r="F57">
            <v>0</v>
          </cell>
          <cell r="H57">
            <v>0</v>
          </cell>
        </row>
        <row r="58">
          <cell r="F58">
            <v>23582</v>
          </cell>
          <cell r="H58">
            <v>3188.9670000000006</v>
          </cell>
        </row>
        <row r="59">
          <cell r="H59">
            <v>306934.14599999989</v>
          </cell>
        </row>
        <row r="60">
          <cell r="H60">
            <v>450308.18599999993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1076</v>
          </cell>
          <cell r="H63">
            <v>219.63</v>
          </cell>
        </row>
        <row r="64">
          <cell r="F64">
            <v>95284</v>
          </cell>
          <cell r="H64">
            <v>8544.9049999999988</v>
          </cell>
        </row>
        <row r="65">
          <cell r="F65">
            <v>105754</v>
          </cell>
          <cell r="H65">
            <v>9118.0170000000071</v>
          </cell>
        </row>
        <row r="66">
          <cell r="F66">
            <v>99236</v>
          </cell>
          <cell r="H66">
            <v>9231.1530000000057</v>
          </cell>
        </row>
        <row r="67">
          <cell r="F67">
            <v>162735</v>
          </cell>
          <cell r="H67">
            <v>16692.950000000012</v>
          </cell>
        </row>
        <row r="68">
          <cell r="F68">
            <v>51207</v>
          </cell>
          <cell r="H68">
            <v>8031.9210000000021</v>
          </cell>
        </row>
        <row r="69">
          <cell r="F69">
            <v>44238</v>
          </cell>
          <cell r="H69">
            <v>6682.4329999999973</v>
          </cell>
        </row>
        <row r="70">
          <cell r="H70">
            <v>0</v>
          </cell>
        </row>
        <row r="72">
          <cell r="F72">
            <v>845688</v>
          </cell>
          <cell r="H72">
            <v>1426</v>
          </cell>
        </row>
        <row r="73">
          <cell r="F73">
            <v>885657</v>
          </cell>
          <cell r="H73">
            <v>953</v>
          </cell>
        </row>
        <row r="74">
          <cell r="F74">
            <v>880978</v>
          </cell>
          <cell r="H74">
            <v>751</v>
          </cell>
        </row>
        <row r="75">
          <cell r="F75">
            <v>730234</v>
          </cell>
          <cell r="H75">
            <v>4054</v>
          </cell>
        </row>
        <row r="76">
          <cell r="F76">
            <v>683591</v>
          </cell>
          <cell r="H76">
            <v>3221</v>
          </cell>
        </row>
        <row r="77">
          <cell r="F77">
            <v>694945</v>
          </cell>
          <cell r="H77">
            <v>1225</v>
          </cell>
        </row>
        <row r="78">
          <cell r="F78">
            <v>627714</v>
          </cell>
          <cell r="H78">
            <v>9461</v>
          </cell>
        </row>
        <row r="79">
          <cell r="F79">
            <v>802358</v>
          </cell>
          <cell r="H79">
            <v>7106</v>
          </cell>
        </row>
        <row r="80">
          <cell r="F80">
            <v>472961</v>
          </cell>
          <cell r="H80">
            <v>5637.1599999999744</v>
          </cell>
        </row>
        <row r="81">
          <cell r="F81">
            <v>618102</v>
          </cell>
          <cell r="H81">
            <v>3713.4799999999814</v>
          </cell>
        </row>
        <row r="82">
          <cell r="F82">
            <v>104259</v>
          </cell>
          <cell r="H82">
            <v>729.35000000000582</v>
          </cell>
        </row>
        <row r="83">
          <cell r="F83">
            <v>970685</v>
          </cell>
          <cell r="H83">
            <v>8160</v>
          </cell>
        </row>
        <row r="84">
          <cell r="F84">
            <v>393463</v>
          </cell>
          <cell r="H84">
            <v>12107</v>
          </cell>
        </row>
        <row r="85">
          <cell r="H85">
            <v>53987.519999999931</v>
          </cell>
        </row>
        <row r="86">
          <cell r="F86">
            <v>443678</v>
          </cell>
        </row>
        <row r="87">
          <cell r="F87">
            <v>77585</v>
          </cell>
        </row>
        <row r="88">
          <cell r="F88">
            <v>144101</v>
          </cell>
        </row>
        <row r="89">
          <cell r="F89">
            <v>57157</v>
          </cell>
        </row>
        <row r="90">
          <cell r="F90">
            <v>2966</v>
          </cell>
        </row>
        <row r="92">
          <cell r="F92">
            <v>233154</v>
          </cell>
          <cell r="H92">
            <v>2179</v>
          </cell>
        </row>
        <row r="93">
          <cell r="F93">
            <v>165826</v>
          </cell>
          <cell r="H93">
            <v>3184</v>
          </cell>
        </row>
        <row r="94">
          <cell r="H94">
            <v>5100</v>
          </cell>
        </row>
        <row r="95">
          <cell r="F95">
            <v>403067</v>
          </cell>
          <cell r="H95">
            <v>1502</v>
          </cell>
        </row>
        <row r="96">
          <cell r="F96">
            <v>99724</v>
          </cell>
          <cell r="H96">
            <v>613</v>
          </cell>
        </row>
        <row r="97">
          <cell r="F97">
            <v>94831</v>
          </cell>
          <cell r="H97">
            <v>559</v>
          </cell>
        </row>
        <row r="98">
          <cell r="F98">
            <v>143389</v>
          </cell>
          <cell r="H98">
            <v>1243</v>
          </cell>
        </row>
        <row r="99">
          <cell r="F99">
            <v>5394</v>
          </cell>
          <cell r="H99">
            <v>426</v>
          </cell>
        </row>
        <row r="100">
          <cell r="F100">
            <v>3871</v>
          </cell>
          <cell r="H100">
            <v>75</v>
          </cell>
        </row>
        <row r="101">
          <cell r="H101">
            <v>4418</v>
          </cell>
        </row>
        <row r="104">
          <cell r="F104">
            <v>7010</v>
          </cell>
        </row>
        <row r="105">
          <cell r="F105">
            <v>34852</v>
          </cell>
        </row>
        <row r="106">
          <cell r="F106">
            <v>18846</v>
          </cell>
        </row>
        <row r="109">
          <cell r="F109">
            <v>52602</v>
          </cell>
        </row>
        <row r="110">
          <cell r="F110">
            <v>26522</v>
          </cell>
        </row>
        <row r="111">
          <cell r="F111">
            <v>3513</v>
          </cell>
        </row>
        <row r="114">
          <cell r="F114">
            <v>9109</v>
          </cell>
        </row>
        <row r="115">
          <cell r="F115">
            <v>7108</v>
          </cell>
        </row>
        <row r="123">
          <cell r="F123">
            <v>793554</v>
          </cell>
          <cell r="H123">
            <v>4722.9300000000512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134967</v>
          </cell>
          <cell r="H125">
            <v>1844.1199999999953</v>
          </cell>
        </row>
        <row r="126">
          <cell r="F126">
            <v>57095</v>
          </cell>
          <cell r="H126">
            <v>746.80000000000291</v>
          </cell>
        </row>
        <row r="127">
          <cell r="F127">
            <v>8685</v>
          </cell>
          <cell r="H127">
            <v>44.899999999999636</v>
          </cell>
        </row>
        <row r="128">
          <cell r="H128">
            <v>2768.1000000000058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31973</v>
          </cell>
          <cell r="H135">
            <v>13</v>
          </cell>
        </row>
        <row r="136">
          <cell r="F136">
            <v>21774.04</v>
          </cell>
          <cell r="H136">
            <v>99.319999999999709</v>
          </cell>
        </row>
        <row r="137">
          <cell r="F137">
            <v>24967.03</v>
          </cell>
          <cell r="H137">
            <v>8</v>
          </cell>
        </row>
        <row r="138">
          <cell r="F138">
            <v>70001</v>
          </cell>
          <cell r="H138">
            <v>15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4170.68</v>
          </cell>
          <cell r="H140">
            <v>13.780000000000655</v>
          </cell>
        </row>
        <row r="142">
          <cell r="H142">
            <v>114443.42299999995</v>
          </cell>
        </row>
        <row r="143">
          <cell r="H143">
            <v>5.5488555538042226</v>
          </cell>
        </row>
        <row r="144">
          <cell r="H144">
            <v>104151.13999999998</v>
          </cell>
        </row>
        <row r="145">
          <cell r="H145">
            <v>5.1716593685346757</v>
          </cell>
        </row>
        <row r="146">
          <cell r="H146">
            <v>97466.993000000002</v>
          </cell>
        </row>
        <row r="147">
          <cell r="H147">
            <v>4.8705438622248867</v>
          </cell>
        </row>
        <row r="148">
          <cell r="H148">
            <v>45489.950000000012</v>
          </cell>
        </row>
        <row r="149">
          <cell r="H149">
            <v>2.2671366905120984</v>
          </cell>
        </row>
        <row r="150">
          <cell r="H150">
            <v>48933.179999999964</v>
          </cell>
        </row>
        <row r="151">
          <cell r="H151">
            <v>2.4323832536846344</v>
          </cell>
        </row>
        <row r="152">
          <cell r="H152">
            <v>33733.512999999999</v>
          </cell>
        </row>
        <row r="153">
          <cell r="H153">
            <v>1.7953300889383876</v>
          </cell>
        </row>
        <row r="160">
          <cell r="F160">
            <v>25507</v>
          </cell>
        </row>
        <row r="161">
          <cell r="F161">
            <v>24669</v>
          </cell>
        </row>
        <row r="162">
          <cell r="F162">
            <v>1894</v>
          </cell>
        </row>
        <row r="163">
          <cell r="F163">
            <v>4110</v>
          </cell>
        </row>
      </sheetData>
      <sheetData sheetId="26">
        <row r="7">
          <cell r="F7">
            <v>3149034</v>
          </cell>
          <cell r="H7">
            <v>480589</v>
          </cell>
        </row>
        <row r="8">
          <cell r="F8">
            <v>3167837</v>
          </cell>
          <cell r="H8">
            <v>484798</v>
          </cell>
        </row>
        <row r="9">
          <cell r="F9">
            <v>2386120</v>
          </cell>
          <cell r="H9">
            <v>129083.5</v>
          </cell>
        </row>
        <row r="10">
          <cell r="F10">
            <v>637312</v>
          </cell>
          <cell r="H10">
            <v>334361.71000000002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441585.9</v>
          </cell>
        </row>
        <row r="15">
          <cell r="F15">
            <v>1563656</v>
          </cell>
          <cell r="H15">
            <v>16758.398999999976</v>
          </cell>
        </row>
        <row r="18">
          <cell r="F18">
            <v>16</v>
          </cell>
          <cell r="H18">
            <v>3240</v>
          </cell>
        </row>
        <row r="19">
          <cell r="F19">
            <v>131110</v>
          </cell>
          <cell r="H19">
            <v>1309</v>
          </cell>
        </row>
        <row r="20">
          <cell r="H20">
            <v>4549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4605581</v>
          </cell>
        </row>
        <row r="28">
          <cell r="H28">
            <v>611681.56349999912</v>
          </cell>
        </row>
        <row r="29">
          <cell r="H29">
            <v>0</v>
          </cell>
        </row>
        <row r="30">
          <cell r="H30">
            <v>189805</v>
          </cell>
        </row>
        <row r="31">
          <cell r="H31">
            <v>257600</v>
          </cell>
        </row>
        <row r="32">
          <cell r="H32">
            <v>5664667.5634999992</v>
          </cell>
        </row>
        <row r="35">
          <cell r="F35">
            <v>629027</v>
          </cell>
          <cell r="H35">
            <v>0</v>
          </cell>
        </row>
        <row r="36">
          <cell r="F36">
            <v>249170</v>
          </cell>
          <cell r="H36">
            <v>20084.26999999999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684359</v>
          </cell>
          <cell r="H43">
            <v>53609.689999999944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132619.36999999994</v>
          </cell>
        </row>
        <row r="49">
          <cell r="F49">
            <v>128957</v>
          </cell>
          <cell r="H49">
            <v>64347.483</v>
          </cell>
        </row>
        <row r="50">
          <cell r="F50">
            <v>326668</v>
          </cell>
          <cell r="H50">
            <v>29258.469999999972</v>
          </cell>
        </row>
        <row r="51">
          <cell r="F51">
            <v>54519</v>
          </cell>
          <cell r="H51">
            <v>33652.032999999996</v>
          </cell>
        </row>
        <row r="52">
          <cell r="F52">
            <v>418560</v>
          </cell>
          <cell r="H52">
            <v>45204.209999999963</v>
          </cell>
        </row>
        <row r="53">
          <cell r="F53">
            <v>147114</v>
          </cell>
          <cell r="H53">
            <v>97371.892999999996</v>
          </cell>
        </row>
        <row r="54">
          <cell r="F54">
            <v>4090</v>
          </cell>
          <cell r="H54">
            <v>1211.3899999999999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484212</v>
          </cell>
          <cell r="H56">
            <v>48370.969999999972</v>
          </cell>
        </row>
        <row r="57">
          <cell r="F57">
            <v>0</v>
          </cell>
          <cell r="H57">
            <v>0</v>
          </cell>
        </row>
        <row r="58">
          <cell r="F58">
            <v>23779</v>
          </cell>
          <cell r="H58">
            <v>3385.9670000000006</v>
          </cell>
        </row>
        <row r="59">
          <cell r="H59">
            <v>322802.14599999989</v>
          </cell>
        </row>
        <row r="60">
          <cell r="H60">
            <v>468965.18599999993</v>
          </cell>
        </row>
        <row r="62">
          <cell r="F62">
            <v>20419.18</v>
          </cell>
          <cell r="H62">
            <v>0</v>
          </cell>
        </row>
        <row r="63">
          <cell r="F63">
            <v>1078</v>
          </cell>
          <cell r="H63">
            <v>221.63</v>
          </cell>
        </row>
        <row r="64">
          <cell r="F64">
            <v>95660</v>
          </cell>
          <cell r="H64">
            <v>8920.9049999999988</v>
          </cell>
        </row>
        <row r="65">
          <cell r="F65">
            <v>106159</v>
          </cell>
          <cell r="H65">
            <v>9523.0170000000071</v>
          </cell>
        </row>
        <row r="66">
          <cell r="F66">
            <v>99631</v>
          </cell>
          <cell r="H66">
            <v>9626.1530000000057</v>
          </cell>
        </row>
        <row r="67">
          <cell r="F67">
            <v>163431</v>
          </cell>
          <cell r="H67">
            <v>17388.950000000012</v>
          </cell>
        </row>
        <row r="68">
          <cell r="F68">
            <v>51536</v>
          </cell>
          <cell r="H68">
            <v>8360.9210000000021</v>
          </cell>
        </row>
        <row r="69">
          <cell r="F69">
            <v>44523</v>
          </cell>
          <cell r="H69">
            <v>6967.4329999999973</v>
          </cell>
        </row>
        <row r="72">
          <cell r="F72">
            <v>845747</v>
          </cell>
          <cell r="H72">
            <v>1485</v>
          </cell>
        </row>
        <row r="73">
          <cell r="F73">
            <v>885661</v>
          </cell>
          <cell r="H73">
            <v>957</v>
          </cell>
        </row>
        <row r="74">
          <cell r="F74">
            <v>881015</v>
          </cell>
          <cell r="H74">
            <v>788</v>
          </cell>
        </row>
        <row r="75">
          <cell r="F75">
            <v>730414</v>
          </cell>
          <cell r="H75">
            <v>4234</v>
          </cell>
        </row>
        <row r="76">
          <cell r="F76">
            <v>683669</v>
          </cell>
          <cell r="H76">
            <v>3299</v>
          </cell>
        </row>
        <row r="77">
          <cell r="F77">
            <v>694994</v>
          </cell>
          <cell r="H77">
            <v>1274</v>
          </cell>
        </row>
        <row r="78">
          <cell r="F78">
            <v>628068</v>
          </cell>
          <cell r="H78">
            <v>9815</v>
          </cell>
        </row>
        <row r="79">
          <cell r="F79">
            <v>802529</v>
          </cell>
          <cell r="H79">
            <v>7277</v>
          </cell>
        </row>
        <row r="80">
          <cell r="F80">
            <v>473242</v>
          </cell>
          <cell r="H80">
            <v>5918.1599999999744</v>
          </cell>
        </row>
        <row r="81">
          <cell r="F81">
            <v>618260</v>
          </cell>
          <cell r="H81">
            <v>3871.4799999999814</v>
          </cell>
        </row>
        <row r="82">
          <cell r="F82">
            <v>104275</v>
          </cell>
          <cell r="H82">
            <v>745.35000000000582</v>
          </cell>
        </row>
        <row r="83">
          <cell r="F83">
            <v>971015</v>
          </cell>
          <cell r="H83">
            <v>8490</v>
          </cell>
        </row>
        <row r="84">
          <cell r="F84">
            <v>393940</v>
          </cell>
          <cell r="H84">
            <v>12584</v>
          </cell>
        </row>
        <row r="85">
          <cell r="H85">
            <v>56181.519999999931</v>
          </cell>
        </row>
        <row r="86">
          <cell r="F86">
            <v>443785</v>
          </cell>
        </row>
        <row r="87">
          <cell r="F87">
            <v>77615</v>
          </cell>
        </row>
        <row r="88">
          <cell r="F88">
            <v>144201</v>
          </cell>
        </row>
        <row r="89">
          <cell r="F89">
            <v>57220</v>
          </cell>
        </row>
        <row r="90">
          <cell r="F90">
            <v>2969</v>
          </cell>
        </row>
        <row r="92">
          <cell r="F92">
            <v>233222</v>
          </cell>
          <cell r="H92">
            <v>2247</v>
          </cell>
        </row>
        <row r="93">
          <cell r="F93">
            <v>165959</v>
          </cell>
          <cell r="H93">
            <v>3317</v>
          </cell>
        </row>
        <row r="94">
          <cell r="H94">
            <v>5301</v>
          </cell>
        </row>
        <row r="95">
          <cell r="F95">
            <v>403131</v>
          </cell>
          <cell r="H95">
            <v>1566</v>
          </cell>
        </row>
        <row r="96">
          <cell r="F96">
            <v>99750</v>
          </cell>
          <cell r="H96">
            <v>639</v>
          </cell>
        </row>
        <row r="97">
          <cell r="F97">
            <v>94851</v>
          </cell>
          <cell r="H97">
            <v>579</v>
          </cell>
        </row>
        <row r="98">
          <cell r="F98">
            <v>143444</v>
          </cell>
          <cell r="H98">
            <v>1298</v>
          </cell>
        </row>
        <row r="99">
          <cell r="F99">
            <v>5404</v>
          </cell>
          <cell r="H99">
            <v>436</v>
          </cell>
        </row>
        <row r="100">
          <cell r="F100">
            <v>3879</v>
          </cell>
          <cell r="H100">
            <v>83</v>
          </cell>
        </row>
        <row r="101">
          <cell r="H101">
            <v>4601</v>
          </cell>
        </row>
        <row r="104">
          <cell r="F104">
            <v>7010</v>
          </cell>
        </row>
        <row r="105">
          <cell r="F105">
            <v>34860</v>
          </cell>
        </row>
        <row r="106">
          <cell r="F106">
            <v>18851</v>
          </cell>
        </row>
        <row r="109">
          <cell r="F109">
            <v>52646</v>
          </cell>
        </row>
        <row r="110">
          <cell r="F110">
            <v>26574</v>
          </cell>
        </row>
        <row r="111">
          <cell r="F111">
            <v>3524</v>
          </cell>
        </row>
        <row r="114">
          <cell r="F114">
            <v>9121</v>
          </cell>
        </row>
        <row r="115">
          <cell r="F115">
            <v>7114</v>
          </cell>
        </row>
        <row r="123">
          <cell r="F123">
            <v>793769</v>
          </cell>
          <cell r="H123">
            <v>4937.9300000000512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135060</v>
          </cell>
          <cell r="H125">
            <v>1937.1199999999953</v>
          </cell>
        </row>
        <row r="126">
          <cell r="F126">
            <v>57135</v>
          </cell>
          <cell r="H126">
            <v>786.80000000000291</v>
          </cell>
        </row>
        <row r="127">
          <cell r="F127">
            <v>8687</v>
          </cell>
          <cell r="H127">
            <v>46.899999999999636</v>
          </cell>
        </row>
        <row r="128">
          <cell r="H128">
            <v>3137.1000000000058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31997</v>
          </cell>
          <cell r="H135">
            <v>37</v>
          </cell>
        </row>
        <row r="136">
          <cell r="F136">
            <v>21777.09</v>
          </cell>
          <cell r="H136">
            <v>102.36999999999898</v>
          </cell>
        </row>
        <row r="137">
          <cell r="F137">
            <v>24968.03</v>
          </cell>
          <cell r="H137">
            <v>9</v>
          </cell>
        </row>
        <row r="138">
          <cell r="F138">
            <v>70004.149999999994</v>
          </cell>
          <cell r="H138">
            <v>18.149999999994179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4177.83</v>
          </cell>
          <cell r="H140">
            <v>20.930000000000291</v>
          </cell>
        </row>
        <row r="142">
          <cell r="H142">
            <v>119502.42299999995</v>
          </cell>
        </row>
        <row r="143">
          <cell r="H143">
            <v>5.8141691682367798</v>
          </cell>
        </row>
        <row r="144">
          <cell r="H144">
            <v>107990.13999999998</v>
          </cell>
        </row>
        <row r="145">
          <cell r="H145">
            <v>5.3729914432147678</v>
          </cell>
        </row>
        <row r="146">
          <cell r="H146">
            <v>101697.993</v>
          </cell>
        </row>
        <row r="147">
          <cell r="H147">
            <v>5.0924339398418361</v>
          </cell>
        </row>
        <row r="148">
          <cell r="H148">
            <v>47437.950000000012</v>
          </cell>
        </row>
        <row r="149">
          <cell r="H149">
            <v>2.3692973785758702</v>
          </cell>
        </row>
        <row r="150">
          <cell r="H150">
            <v>50783.179999999964</v>
          </cell>
        </row>
        <row r="151">
          <cell r="H151">
            <v>2.5294044410141918</v>
          </cell>
        </row>
        <row r="152">
          <cell r="H152">
            <v>35198.512999999999</v>
          </cell>
        </row>
        <row r="153">
          <cell r="H153">
            <v>1.8721603805263884</v>
          </cell>
        </row>
        <row r="160">
          <cell r="F160">
            <v>25579</v>
          </cell>
        </row>
        <row r="161">
          <cell r="F161">
            <v>25126</v>
          </cell>
        </row>
        <row r="162">
          <cell r="F162">
            <v>2154</v>
          </cell>
        </row>
        <row r="163">
          <cell r="F163">
            <v>4138</v>
          </cell>
        </row>
      </sheetData>
      <sheetData sheetId="27">
        <row r="7">
          <cell r="F7">
            <v>3169200</v>
          </cell>
          <cell r="H7">
            <v>500755</v>
          </cell>
        </row>
        <row r="8">
          <cell r="F8">
            <v>3188127</v>
          </cell>
          <cell r="H8">
            <v>505088</v>
          </cell>
        </row>
        <row r="9">
          <cell r="F9">
            <v>2388974.7000000002</v>
          </cell>
          <cell r="H9">
            <v>131938.20000000019</v>
          </cell>
        </row>
        <row r="10">
          <cell r="F10">
            <v>653892.91</v>
          </cell>
          <cell r="H10">
            <v>350942.62000000005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461021.51000000024</v>
          </cell>
        </row>
        <row r="15">
          <cell r="F15">
            <v>1564368.52</v>
          </cell>
          <cell r="H15">
            <v>17470.918999999994</v>
          </cell>
        </row>
        <row r="18">
          <cell r="F18">
            <v>12</v>
          </cell>
          <cell r="H18">
            <v>3360</v>
          </cell>
        </row>
        <row r="19">
          <cell r="F19">
            <v>131164</v>
          </cell>
          <cell r="H19">
            <v>1363</v>
          </cell>
        </row>
        <row r="20">
          <cell r="H20">
            <v>4723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4798336</v>
          </cell>
        </row>
        <row r="28">
          <cell r="H28">
            <v>637688.5434999998</v>
          </cell>
        </row>
        <row r="29">
          <cell r="H29">
            <v>0</v>
          </cell>
        </row>
        <row r="30">
          <cell r="H30">
            <v>197635</v>
          </cell>
        </row>
        <row r="31">
          <cell r="H31">
            <v>267200</v>
          </cell>
        </row>
        <row r="32">
          <cell r="H32">
            <v>5900859.5434999997</v>
          </cell>
        </row>
        <row r="35">
          <cell r="F35">
            <v>629027</v>
          </cell>
          <cell r="H35">
            <v>0</v>
          </cell>
        </row>
        <row r="36">
          <cell r="F36">
            <v>250133.05</v>
          </cell>
          <cell r="H36">
            <v>21047.319999999978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58926.09</v>
          </cell>
          <cell r="H42">
            <v>58926.09</v>
          </cell>
        </row>
        <row r="43">
          <cell r="F43">
            <v>686353.67</v>
          </cell>
          <cell r="H43">
            <v>55604.359999999986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135577.17999999996</v>
          </cell>
        </row>
        <row r="49">
          <cell r="F49">
            <v>132073.04</v>
          </cell>
          <cell r="H49">
            <v>67463.523000000016</v>
          </cell>
        </row>
        <row r="50">
          <cell r="F50">
            <v>327780.51</v>
          </cell>
          <cell r="H50">
            <v>30370.979999999981</v>
          </cell>
        </row>
        <row r="51">
          <cell r="F51">
            <v>56000.55</v>
          </cell>
          <cell r="H51">
            <v>35133.582999999999</v>
          </cell>
        </row>
        <row r="52">
          <cell r="F52">
            <v>420658.43</v>
          </cell>
          <cell r="H52">
            <v>47302.639999999956</v>
          </cell>
        </row>
        <row r="53">
          <cell r="F53">
            <v>151166.44</v>
          </cell>
          <cell r="H53">
            <v>101424.333</v>
          </cell>
        </row>
        <row r="54">
          <cell r="F54">
            <v>4161.91</v>
          </cell>
          <cell r="H54">
            <v>1283.2999999999997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488727.35</v>
          </cell>
          <cell r="H56">
            <v>52886.319999999949</v>
          </cell>
        </row>
        <row r="57">
          <cell r="F57">
            <v>0</v>
          </cell>
          <cell r="H57">
            <v>0</v>
          </cell>
        </row>
        <row r="58">
          <cell r="F58">
            <v>23935.49</v>
          </cell>
          <cell r="H58">
            <v>3542.4570000000022</v>
          </cell>
        </row>
        <row r="59">
          <cell r="H59">
            <v>339406.86599999986</v>
          </cell>
        </row>
        <row r="60">
          <cell r="H60">
            <v>488527.71599999996</v>
          </cell>
        </row>
        <row r="62">
          <cell r="F62">
            <v>20419.18</v>
          </cell>
          <cell r="H62">
            <v>0</v>
          </cell>
        </row>
        <row r="63">
          <cell r="F63">
            <v>1082.6400000000001</v>
          </cell>
          <cell r="H63">
            <v>226.2700000000001</v>
          </cell>
        </row>
        <row r="64">
          <cell r="F64">
            <v>96025.81</v>
          </cell>
          <cell r="H64">
            <v>9286.7149999999965</v>
          </cell>
        </row>
        <row r="65">
          <cell r="F65">
            <v>106568.01</v>
          </cell>
          <cell r="H65">
            <v>9932.0270000000019</v>
          </cell>
        </row>
        <row r="66">
          <cell r="H66">
            <v>10040.153000000006</v>
          </cell>
        </row>
        <row r="67">
          <cell r="F67">
            <v>164149.42000000001</v>
          </cell>
          <cell r="H67">
            <v>18107.370000000024</v>
          </cell>
        </row>
        <row r="68">
          <cell r="F68">
            <v>51832.913</v>
          </cell>
          <cell r="H68">
            <v>8657.8340000000026</v>
          </cell>
        </row>
        <row r="69">
          <cell r="F69">
            <v>44815.79</v>
          </cell>
          <cell r="H69">
            <v>7260.2229999999981</v>
          </cell>
        </row>
        <row r="72">
          <cell r="F72">
            <v>845857</v>
          </cell>
          <cell r="H72">
            <v>1595</v>
          </cell>
        </row>
        <row r="73">
          <cell r="F73">
            <v>885663</v>
          </cell>
          <cell r="H73">
            <v>959</v>
          </cell>
        </row>
        <row r="74">
          <cell r="F74">
            <v>881059</v>
          </cell>
          <cell r="H74">
            <v>832</v>
          </cell>
        </row>
        <row r="75">
          <cell r="F75">
            <v>730593</v>
          </cell>
          <cell r="H75">
            <v>4413</v>
          </cell>
        </row>
        <row r="76">
          <cell r="F76">
            <v>683750</v>
          </cell>
          <cell r="H76">
            <v>3380</v>
          </cell>
        </row>
        <row r="77">
          <cell r="F77">
            <v>695039</v>
          </cell>
          <cell r="H77">
            <v>1319</v>
          </cell>
        </row>
        <row r="78">
          <cell r="F78">
            <v>628442</v>
          </cell>
          <cell r="H78">
            <v>10189</v>
          </cell>
        </row>
        <row r="79">
          <cell r="F79">
            <v>802719</v>
          </cell>
          <cell r="H79">
            <v>7467</v>
          </cell>
        </row>
        <row r="80">
          <cell r="F80">
            <v>473596</v>
          </cell>
          <cell r="H80">
            <v>6272.1599999999744</v>
          </cell>
        </row>
        <row r="81">
          <cell r="F81">
            <v>618439</v>
          </cell>
          <cell r="H81">
            <v>4050.4799999999814</v>
          </cell>
        </row>
        <row r="82">
          <cell r="F82">
            <v>104294</v>
          </cell>
          <cell r="H82">
            <v>764.35000000000582</v>
          </cell>
        </row>
        <row r="83">
          <cell r="F83">
            <v>971376</v>
          </cell>
          <cell r="H83">
            <v>8851</v>
          </cell>
        </row>
        <row r="84">
          <cell r="F84">
            <v>394394</v>
          </cell>
          <cell r="H84">
            <v>13038</v>
          </cell>
        </row>
        <row r="85">
          <cell r="H85">
            <v>58573.519999999931</v>
          </cell>
        </row>
        <row r="86">
          <cell r="F86">
            <v>443827</v>
          </cell>
        </row>
        <row r="87">
          <cell r="F87">
            <v>77632</v>
          </cell>
        </row>
        <row r="88">
          <cell r="F88">
            <v>144233</v>
          </cell>
        </row>
        <row r="89">
          <cell r="F89">
            <v>57280</v>
          </cell>
        </row>
        <row r="90">
          <cell r="F90">
            <v>2970</v>
          </cell>
        </row>
        <row r="92">
          <cell r="F92">
            <v>233314</v>
          </cell>
          <cell r="H92">
            <v>2339</v>
          </cell>
        </row>
        <row r="93">
          <cell r="F93">
            <v>166106</v>
          </cell>
          <cell r="H93">
            <v>3464</v>
          </cell>
        </row>
        <row r="94">
          <cell r="H94">
            <v>5540</v>
          </cell>
        </row>
        <row r="95">
          <cell r="F95">
            <v>403206</v>
          </cell>
          <cell r="H95">
            <v>1641</v>
          </cell>
        </row>
        <row r="96">
          <cell r="F96">
            <v>99781</v>
          </cell>
          <cell r="H96">
            <v>670</v>
          </cell>
        </row>
        <row r="97">
          <cell r="F97">
            <v>94881</v>
          </cell>
          <cell r="H97">
            <v>609</v>
          </cell>
        </row>
        <row r="98">
          <cell r="F98">
            <v>143489</v>
          </cell>
          <cell r="H98">
            <v>1343</v>
          </cell>
        </row>
        <row r="99">
          <cell r="F99">
            <v>5418</v>
          </cell>
          <cell r="H99">
            <v>450</v>
          </cell>
        </row>
        <row r="100">
          <cell r="F100">
            <v>3888</v>
          </cell>
          <cell r="H100">
            <v>92</v>
          </cell>
        </row>
        <row r="101">
          <cell r="H101">
            <v>4805</v>
          </cell>
        </row>
        <row r="104">
          <cell r="F104">
            <v>7010</v>
          </cell>
        </row>
        <row r="105">
          <cell r="F105">
            <v>34864</v>
          </cell>
        </row>
        <row r="106">
          <cell r="F106">
            <v>18856</v>
          </cell>
        </row>
        <row r="109">
          <cell r="F109">
            <v>52689</v>
          </cell>
        </row>
        <row r="110">
          <cell r="F110">
            <v>26614</v>
          </cell>
        </row>
        <row r="111">
          <cell r="F111">
            <v>3524</v>
          </cell>
        </row>
        <row r="114">
          <cell r="F114">
            <v>9138</v>
          </cell>
        </row>
        <row r="115">
          <cell r="F115">
            <v>7122</v>
          </cell>
        </row>
        <row r="123">
          <cell r="F123">
            <v>794012.08</v>
          </cell>
          <cell r="H123">
            <v>5181.0100000000093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135151.66</v>
          </cell>
          <cell r="H125">
            <v>2028.7799999999988</v>
          </cell>
        </row>
        <row r="126">
          <cell r="F126">
            <v>57180.3</v>
          </cell>
          <cell r="H126">
            <v>832.10000000000582</v>
          </cell>
        </row>
        <row r="127">
          <cell r="F127">
            <v>8692.5</v>
          </cell>
          <cell r="H127">
            <v>52.399999999999636</v>
          </cell>
        </row>
        <row r="128">
          <cell r="H128">
            <v>3464.08000000006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H135">
            <v>60.580000000001746</v>
          </cell>
        </row>
        <row r="136">
          <cell r="F136">
            <v>21781.49</v>
          </cell>
          <cell r="H136">
            <v>106.77000000000044</v>
          </cell>
        </row>
        <row r="137">
          <cell r="F137">
            <v>24968.03</v>
          </cell>
          <cell r="H137">
            <v>9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4185.8500000000004</v>
          </cell>
          <cell r="H140">
            <v>28.950000000000728</v>
          </cell>
        </row>
        <row r="142">
          <cell r="H142">
            <v>124613.133</v>
          </cell>
        </row>
        <row r="143">
          <cell r="H143">
            <v>6.0676011825182457</v>
          </cell>
        </row>
        <row r="144">
          <cell r="H144">
            <v>112505.57999999996</v>
          </cell>
        </row>
        <row r="145">
          <cell r="H145">
            <v>5.5969049610170076</v>
          </cell>
        </row>
        <row r="146">
          <cell r="H146">
            <v>105750.433</v>
          </cell>
        </row>
        <row r="147">
          <cell r="H147">
            <v>5.2933880209684849</v>
          </cell>
        </row>
        <row r="148">
          <cell r="H148">
            <v>49536.380000000005</v>
          </cell>
        </row>
        <row r="149">
          <cell r="H149">
            <v>2.473355198669096</v>
          </cell>
        </row>
        <row r="150">
          <cell r="H150">
            <v>52858.739999999962</v>
          </cell>
        </row>
        <row r="151">
          <cell r="H151">
            <v>2.6323281740301594</v>
          </cell>
        </row>
        <row r="152">
          <cell r="H152">
            <v>36680.063000000002</v>
          </cell>
        </row>
        <row r="153">
          <cell r="H153">
            <v>1.9456280984674776</v>
          </cell>
        </row>
        <row r="160">
          <cell r="F160">
            <v>25651.03</v>
          </cell>
        </row>
        <row r="161">
          <cell r="F161">
            <v>25578.23</v>
          </cell>
        </row>
        <row r="162">
          <cell r="F162">
            <v>2415.17</v>
          </cell>
        </row>
        <row r="163">
          <cell r="F163">
            <v>4163.1000000000004</v>
          </cell>
        </row>
      </sheetData>
      <sheetData sheetId="28">
        <row r="7">
          <cell r="F7">
            <v>3190793</v>
          </cell>
          <cell r="H7">
            <v>522348</v>
          </cell>
        </row>
        <row r="8">
          <cell r="F8">
            <v>3209843</v>
          </cell>
          <cell r="H8">
            <v>526804</v>
          </cell>
        </row>
        <row r="9">
          <cell r="F9">
            <v>2392005.9</v>
          </cell>
          <cell r="H9">
            <v>134969.39999999991</v>
          </cell>
        </row>
        <row r="10">
          <cell r="F10">
            <v>671648.39</v>
          </cell>
          <cell r="H10">
            <v>368698.10000000003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481808.18999999994</v>
          </cell>
        </row>
        <row r="15">
          <cell r="F15">
            <v>1565191.11</v>
          </cell>
          <cell r="H15">
            <v>18293.509000000078</v>
          </cell>
        </row>
        <row r="18">
          <cell r="F18">
            <v>22</v>
          </cell>
          <cell r="H18">
            <v>3580</v>
          </cell>
        </row>
        <row r="19">
          <cell r="F19">
            <v>131219</v>
          </cell>
          <cell r="H19">
            <v>1418</v>
          </cell>
        </row>
        <row r="20">
          <cell r="H20">
            <v>4998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5004638</v>
          </cell>
        </row>
        <row r="28">
          <cell r="H28">
            <v>667713.07850000286</v>
          </cell>
        </row>
        <row r="29">
          <cell r="H29">
            <v>0</v>
          </cell>
        </row>
        <row r="30">
          <cell r="H30">
            <v>205610</v>
          </cell>
        </row>
        <row r="31">
          <cell r="H31">
            <v>284800</v>
          </cell>
        </row>
        <row r="32">
          <cell r="H32">
            <v>6162761.0785000026</v>
          </cell>
        </row>
        <row r="35">
          <cell r="F35">
            <v>629027</v>
          </cell>
          <cell r="H35">
            <v>0</v>
          </cell>
        </row>
        <row r="36">
          <cell r="F36">
            <v>251260.83</v>
          </cell>
          <cell r="H36">
            <v>22175.099999999977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58926.09</v>
          </cell>
          <cell r="H42">
            <v>58926.09</v>
          </cell>
        </row>
        <row r="43">
          <cell r="F43">
            <v>688342.63</v>
          </cell>
          <cell r="H43">
            <v>57593.319999999949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138693.53999999992</v>
          </cell>
        </row>
        <row r="49">
          <cell r="F49">
            <v>135068.54</v>
          </cell>
          <cell r="H49">
            <v>70459.023000000016</v>
          </cell>
        </row>
        <row r="50">
          <cell r="F50">
            <v>329378.27</v>
          </cell>
          <cell r="H50">
            <v>31968.739999999991</v>
          </cell>
        </row>
        <row r="51">
          <cell r="F51">
            <v>57515.35</v>
          </cell>
          <cell r="H51">
            <v>36648.382999999994</v>
          </cell>
        </row>
        <row r="52">
          <cell r="F52">
            <v>422969.19</v>
          </cell>
          <cell r="H52">
            <v>49613.399999999965</v>
          </cell>
        </row>
        <row r="53">
          <cell r="F53">
            <v>155565.9</v>
          </cell>
          <cell r="H53">
            <v>105823.79299999999</v>
          </cell>
        </row>
        <row r="54">
          <cell r="F54">
            <v>4229.0600000000004</v>
          </cell>
          <cell r="H54">
            <v>1350.4500000000003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493514.55</v>
          </cell>
          <cell r="H56">
            <v>57673.51999999996</v>
          </cell>
        </row>
        <row r="57">
          <cell r="F57">
            <v>0</v>
          </cell>
          <cell r="H57">
            <v>0</v>
          </cell>
        </row>
        <row r="58">
          <cell r="F58">
            <v>24118.98</v>
          </cell>
          <cell r="H58">
            <v>3725.9470000000001</v>
          </cell>
        </row>
        <row r="59">
          <cell r="H59">
            <v>357262.98599999986</v>
          </cell>
        </row>
        <row r="60">
          <cell r="H60">
            <v>509500.19599999994</v>
          </cell>
        </row>
        <row r="62">
          <cell r="F62">
            <v>20419.18</v>
          </cell>
          <cell r="H62">
            <v>0</v>
          </cell>
        </row>
        <row r="63">
          <cell r="F63">
            <v>1086.8499999999999</v>
          </cell>
          <cell r="H63">
            <v>230.4799999999999</v>
          </cell>
        </row>
        <row r="64">
          <cell r="F64">
            <v>96391.91</v>
          </cell>
          <cell r="H64">
            <v>9652.8150000000023</v>
          </cell>
        </row>
        <row r="65">
          <cell r="F65">
            <v>106990.06</v>
          </cell>
          <cell r="H65">
            <v>10354.077000000005</v>
          </cell>
        </row>
        <row r="66">
          <cell r="F66">
            <v>462</v>
          </cell>
          <cell r="H66">
            <v>10459.603000000006</v>
          </cell>
        </row>
        <row r="67">
          <cell r="F67">
            <v>164863.34</v>
          </cell>
          <cell r="H67">
            <v>18821.290000000008</v>
          </cell>
        </row>
        <row r="68">
          <cell r="F68">
            <v>52127.72</v>
          </cell>
          <cell r="H68">
            <v>8952.6410000000033</v>
          </cell>
        </row>
        <row r="69">
          <cell r="F69">
            <v>45099.48</v>
          </cell>
          <cell r="H69">
            <v>7543.9130000000005</v>
          </cell>
        </row>
        <row r="72">
          <cell r="F72">
            <v>845955</v>
          </cell>
          <cell r="H72">
            <v>1693</v>
          </cell>
        </row>
        <row r="73">
          <cell r="F73">
            <v>885666</v>
          </cell>
          <cell r="H73">
            <v>962</v>
          </cell>
        </row>
        <row r="74">
          <cell r="F74">
            <v>881104</v>
          </cell>
          <cell r="H74">
            <v>877</v>
          </cell>
        </row>
        <row r="75">
          <cell r="F75">
            <v>730774</v>
          </cell>
          <cell r="H75">
            <v>4594</v>
          </cell>
        </row>
        <row r="76">
          <cell r="F76">
            <v>683818</v>
          </cell>
          <cell r="H76">
            <v>3448</v>
          </cell>
        </row>
        <row r="77">
          <cell r="F77">
            <v>695108</v>
          </cell>
          <cell r="H77">
            <v>1388</v>
          </cell>
        </row>
        <row r="78">
          <cell r="F78">
            <v>628910</v>
          </cell>
          <cell r="H78">
            <v>10657</v>
          </cell>
        </row>
        <row r="79">
          <cell r="F79">
            <v>802909</v>
          </cell>
          <cell r="H79">
            <v>7657</v>
          </cell>
        </row>
        <row r="80">
          <cell r="F80">
            <v>473959.64</v>
          </cell>
          <cell r="H80">
            <v>6635.7999999999884</v>
          </cell>
        </row>
        <row r="81">
          <cell r="F81">
            <v>618611.64</v>
          </cell>
          <cell r="H81">
            <v>4223.1199999999953</v>
          </cell>
        </row>
        <row r="82">
          <cell r="F82">
            <v>104329.47</v>
          </cell>
          <cell r="H82">
            <v>799.82000000000698</v>
          </cell>
        </row>
        <row r="83">
          <cell r="F83">
            <v>971766</v>
          </cell>
          <cell r="H83">
            <v>9241</v>
          </cell>
        </row>
        <row r="84">
          <cell r="F84">
            <v>394909</v>
          </cell>
          <cell r="H84">
            <v>13553</v>
          </cell>
        </row>
        <row r="85">
          <cell r="H85">
            <v>61172.26999999996</v>
          </cell>
        </row>
        <row r="86">
          <cell r="F86">
            <v>443944</v>
          </cell>
        </row>
        <row r="87">
          <cell r="F87">
            <v>77643.199999999997</v>
          </cell>
        </row>
        <row r="88">
          <cell r="F88">
            <v>144292</v>
          </cell>
        </row>
        <row r="89">
          <cell r="F89">
            <v>57342</v>
          </cell>
        </row>
        <row r="90">
          <cell r="F90">
            <v>2971.2</v>
          </cell>
        </row>
        <row r="92">
          <cell r="F92">
            <v>233478</v>
          </cell>
          <cell r="H92">
            <v>2503</v>
          </cell>
        </row>
        <row r="93">
          <cell r="F93">
            <v>166264</v>
          </cell>
          <cell r="H93">
            <v>3622</v>
          </cell>
        </row>
        <row r="94">
          <cell r="H94">
            <v>5862</v>
          </cell>
        </row>
        <row r="95">
          <cell r="F95">
            <v>403299</v>
          </cell>
          <cell r="H95">
            <v>1734</v>
          </cell>
        </row>
        <row r="96">
          <cell r="F96">
            <v>99817</v>
          </cell>
          <cell r="H96">
            <v>706</v>
          </cell>
        </row>
        <row r="97">
          <cell r="F97">
            <v>94926</v>
          </cell>
          <cell r="H97">
            <v>654</v>
          </cell>
        </row>
        <row r="98">
          <cell r="F98">
            <v>143543</v>
          </cell>
          <cell r="H98">
            <v>1397</v>
          </cell>
        </row>
        <row r="99">
          <cell r="F99">
            <v>5454</v>
          </cell>
          <cell r="H99">
            <v>486</v>
          </cell>
        </row>
        <row r="100">
          <cell r="F100">
            <v>3902</v>
          </cell>
          <cell r="H100">
            <v>106</v>
          </cell>
        </row>
        <row r="101">
          <cell r="H101">
            <v>5083</v>
          </cell>
        </row>
        <row r="104">
          <cell r="F104">
            <v>7010</v>
          </cell>
        </row>
        <row r="105">
          <cell r="F105">
            <v>34874</v>
          </cell>
        </row>
        <row r="106">
          <cell r="F106">
            <v>18863</v>
          </cell>
        </row>
        <row r="109">
          <cell r="F109">
            <v>52781</v>
          </cell>
        </row>
        <row r="110">
          <cell r="F110">
            <v>26662</v>
          </cell>
        </row>
        <row r="111">
          <cell r="F111">
            <v>3540</v>
          </cell>
        </row>
        <row r="114">
          <cell r="F114">
            <v>9179</v>
          </cell>
        </row>
        <row r="115">
          <cell r="F115">
            <v>7134</v>
          </cell>
        </row>
        <row r="123">
          <cell r="F123">
            <v>794237.7</v>
          </cell>
          <cell r="H123">
            <v>5406.6300000000047</v>
          </cell>
        </row>
        <row r="124">
          <cell r="F124">
            <v>73582.2</v>
          </cell>
          <cell r="H124">
            <v>0</v>
          </cell>
        </row>
        <row r="125">
          <cell r="F125">
            <v>135241.01999999999</v>
          </cell>
          <cell r="H125">
            <v>2118.1399999999849</v>
          </cell>
        </row>
        <row r="126">
          <cell r="F126">
            <v>57217.7</v>
          </cell>
          <cell r="H126">
            <v>869.5</v>
          </cell>
        </row>
        <row r="127">
          <cell r="F127">
            <v>8694.2999999999993</v>
          </cell>
          <cell r="H127">
            <v>54.199999999998909</v>
          </cell>
        </row>
        <row r="128">
          <cell r="H128">
            <v>3932.190000000166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32047.07</v>
          </cell>
          <cell r="H135">
            <v>85.069999999999709</v>
          </cell>
        </row>
        <row r="136">
          <cell r="F136">
            <v>21789.55</v>
          </cell>
          <cell r="H136">
            <v>114.82999999999811</v>
          </cell>
        </row>
        <row r="137">
          <cell r="F137">
            <v>24968.03</v>
          </cell>
          <cell r="H137">
            <v>9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4193.32</v>
          </cell>
          <cell r="H140">
            <v>36.420000000000073</v>
          </cell>
        </row>
        <row r="142">
          <cell r="H142">
            <v>129597.59299999996</v>
          </cell>
        </row>
        <row r="143">
          <cell r="H143">
            <v>6.2984380277921757</v>
          </cell>
        </row>
        <row r="144">
          <cell r="H144">
            <v>117292.77999999997</v>
          </cell>
        </row>
        <row r="145">
          <cell r="H145">
            <v>5.8186064383476248</v>
          </cell>
        </row>
        <row r="146">
          <cell r="H146">
            <v>110149.893</v>
          </cell>
        </row>
        <row r="147">
          <cell r="H147">
            <v>5.4971327530575875</v>
          </cell>
        </row>
        <row r="148">
          <cell r="H148">
            <v>51846.760000000009</v>
          </cell>
        </row>
        <row r="149">
          <cell r="H149">
            <v>2.5803519105664705</v>
          </cell>
        </row>
        <row r="150">
          <cell r="H150">
            <v>55584.27999999997</v>
          </cell>
        </row>
        <row r="151">
          <cell r="H151">
            <v>2.75855148714089</v>
          </cell>
        </row>
        <row r="152">
          <cell r="H152">
            <v>38194.862999999998</v>
          </cell>
        </row>
        <row r="153">
          <cell r="H153">
            <v>2.0157804626595768</v>
          </cell>
        </row>
        <row r="160">
          <cell r="F160">
            <v>25722.400000000001</v>
          </cell>
        </row>
        <row r="161">
          <cell r="F161">
            <v>26083.01</v>
          </cell>
        </row>
        <row r="162">
          <cell r="F162">
            <v>2856.08</v>
          </cell>
        </row>
        <row r="163">
          <cell r="F163">
            <v>4189.7700000000004</v>
          </cell>
        </row>
      </sheetData>
      <sheetData sheetId="29">
        <row r="7">
          <cell r="F7">
            <v>3212927</v>
          </cell>
          <cell r="H7">
            <v>544482</v>
          </cell>
        </row>
        <row r="8">
          <cell r="F8">
            <v>3232082</v>
          </cell>
          <cell r="H8">
            <v>549043</v>
          </cell>
        </row>
        <row r="9">
          <cell r="F9">
            <v>2394997.9</v>
          </cell>
          <cell r="H9">
            <v>137961.39999999991</v>
          </cell>
        </row>
        <row r="10">
          <cell r="F10">
            <v>689980</v>
          </cell>
          <cell r="H10">
            <v>387029.71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503131.79999999993</v>
          </cell>
        </row>
        <row r="15">
          <cell r="F15">
            <v>1565893.14</v>
          </cell>
          <cell r="H15">
            <v>18995.538999999873</v>
          </cell>
        </row>
        <row r="18">
          <cell r="F18">
            <v>13</v>
          </cell>
          <cell r="H18">
            <v>3710</v>
          </cell>
        </row>
        <row r="19">
          <cell r="F19">
            <v>131274</v>
          </cell>
          <cell r="H19">
            <v>1473</v>
          </cell>
        </row>
        <row r="20">
          <cell r="H20">
            <v>5183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5215908.5</v>
          </cell>
        </row>
        <row r="28">
          <cell r="H28">
            <v>693337.17349999538</v>
          </cell>
        </row>
        <row r="29">
          <cell r="H29">
            <v>0</v>
          </cell>
        </row>
        <row r="30">
          <cell r="H30">
            <v>213585</v>
          </cell>
        </row>
        <row r="31">
          <cell r="H31">
            <v>295200</v>
          </cell>
        </row>
        <row r="32">
          <cell r="H32">
            <v>6418030.6734999949</v>
          </cell>
        </row>
        <row r="35">
          <cell r="F35">
            <v>629027</v>
          </cell>
          <cell r="H35">
            <v>0</v>
          </cell>
        </row>
        <row r="36">
          <cell r="F36">
            <v>252352.35</v>
          </cell>
          <cell r="H36">
            <v>23266.619999999995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58926.09</v>
          </cell>
          <cell r="H42">
            <v>58926.09</v>
          </cell>
        </row>
        <row r="43">
          <cell r="F43">
            <v>690339.27</v>
          </cell>
          <cell r="H43">
            <v>59589.959999999963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141781.69999999995</v>
          </cell>
        </row>
        <row r="49">
          <cell r="F49">
            <v>138268.94</v>
          </cell>
          <cell r="H49">
            <v>73659.42300000001</v>
          </cell>
        </row>
        <row r="50">
          <cell r="F50">
            <v>330777.31</v>
          </cell>
          <cell r="H50">
            <v>33367.77999999997</v>
          </cell>
        </row>
        <row r="51">
          <cell r="F51">
            <v>59032.62</v>
          </cell>
          <cell r="H51">
            <v>38165.652999999998</v>
          </cell>
        </row>
        <row r="52">
          <cell r="F52">
            <v>425220.75</v>
          </cell>
          <cell r="H52">
            <v>51864.959999999963</v>
          </cell>
        </row>
        <row r="53">
          <cell r="F53">
            <v>160074.74</v>
          </cell>
          <cell r="H53">
            <v>110332.63299999999</v>
          </cell>
        </row>
        <row r="54">
          <cell r="F54">
            <v>4299.55</v>
          </cell>
          <cell r="H54">
            <v>1420.94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498783.79</v>
          </cell>
          <cell r="H56">
            <v>62942.759999999951</v>
          </cell>
        </row>
        <row r="57">
          <cell r="F57">
            <v>0</v>
          </cell>
          <cell r="H57">
            <v>0</v>
          </cell>
        </row>
        <row r="58">
          <cell r="F58">
            <v>24340.07</v>
          </cell>
          <cell r="H58">
            <v>3947.0370000000003</v>
          </cell>
        </row>
        <row r="59">
          <cell r="H59">
            <v>375700.91599999979</v>
          </cell>
        </row>
        <row r="60">
          <cell r="H60">
            <v>531026.28599999996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1091</v>
          </cell>
          <cell r="H63">
            <v>234.63</v>
          </cell>
        </row>
        <row r="64">
          <cell r="F64">
            <v>96764.02</v>
          </cell>
          <cell r="H64">
            <v>10024.925000000003</v>
          </cell>
        </row>
        <row r="65">
          <cell r="F65">
            <v>107431.86</v>
          </cell>
          <cell r="H65">
            <v>10795.877000000008</v>
          </cell>
        </row>
        <row r="66">
          <cell r="F66">
            <v>876.4</v>
          </cell>
          <cell r="H66">
            <v>10874.003000000006</v>
          </cell>
        </row>
        <row r="67">
          <cell r="F67">
            <v>165626.29</v>
          </cell>
          <cell r="H67">
            <v>19584.24000000002</v>
          </cell>
        </row>
        <row r="68">
          <cell r="F68">
            <v>52430.87</v>
          </cell>
          <cell r="H68">
            <v>9255.7910000000047</v>
          </cell>
        </row>
        <row r="69">
          <cell r="F69">
            <v>45384.63</v>
          </cell>
          <cell r="H69">
            <v>7829.0629999999946</v>
          </cell>
        </row>
        <row r="72">
          <cell r="F72">
            <v>846066</v>
          </cell>
          <cell r="H72">
            <v>1804</v>
          </cell>
        </row>
        <row r="73">
          <cell r="F73">
            <v>885668</v>
          </cell>
          <cell r="H73">
            <v>964</v>
          </cell>
        </row>
        <row r="74">
          <cell r="F74">
            <v>881162</v>
          </cell>
          <cell r="H74">
            <v>935</v>
          </cell>
        </row>
        <row r="75">
          <cell r="F75">
            <v>730954</v>
          </cell>
          <cell r="H75">
            <v>4774</v>
          </cell>
        </row>
        <row r="76">
          <cell r="F76">
            <v>683874</v>
          </cell>
          <cell r="H76">
            <v>3504</v>
          </cell>
        </row>
        <row r="77">
          <cell r="F77">
            <v>695164</v>
          </cell>
          <cell r="H77">
            <v>1444</v>
          </cell>
        </row>
        <row r="78">
          <cell r="F78">
            <v>629345</v>
          </cell>
          <cell r="H78">
            <v>11092</v>
          </cell>
        </row>
        <row r="79">
          <cell r="F79">
            <v>803098</v>
          </cell>
          <cell r="H79">
            <v>7846</v>
          </cell>
        </row>
        <row r="80">
          <cell r="F80">
            <v>474292</v>
          </cell>
          <cell r="H80">
            <v>6968.1599999999744</v>
          </cell>
        </row>
        <row r="81">
          <cell r="F81">
            <v>618752</v>
          </cell>
          <cell r="H81">
            <v>4363.4799999999814</v>
          </cell>
        </row>
        <row r="82">
          <cell r="F82">
            <v>104337</v>
          </cell>
          <cell r="H82">
            <v>807.35000000000582</v>
          </cell>
        </row>
        <row r="83">
          <cell r="F83">
            <v>972129</v>
          </cell>
          <cell r="H83">
            <v>9604</v>
          </cell>
        </row>
        <row r="84">
          <cell r="F84">
            <v>395373</v>
          </cell>
          <cell r="H84">
            <v>14017</v>
          </cell>
        </row>
        <row r="85">
          <cell r="H85">
            <v>63566.519999999931</v>
          </cell>
        </row>
        <row r="86">
          <cell r="F86">
            <v>444009</v>
          </cell>
        </row>
        <row r="87">
          <cell r="F87">
            <v>77650.7</v>
          </cell>
        </row>
        <row r="88">
          <cell r="F88">
            <v>144325</v>
          </cell>
        </row>
        <row r="89">
          <cell r="F89">
            <v>57401</v>
          </cell>
        </row>
        <row r="90">
          <cell r="F90">
            <v>2972.1</v>
          </cell>
        </row>
        <row r="92">
          <cell r="F92">
            <v>233608</v>
          </cell>
          <cell r="H92">
            <v>2633</v>
          </cell>
        </row>
        <row r="93">
          <cell r="F93">
            <v>166414</v>
          </cell>
          <cell r="H93">
            <v>3772</v>
          </cell>
        </row>
        <row r="94">
          <cell r="H94">
            <v>6142</v>
          </cell>
        </row>
        <row r="95">
          <cell r="F95">
            <v>403374</v>
          </cell>
          <cell r="H95">
            <v>1809</v>
          </cell>
        </row>
        <row r="96">
          <cell r="F96">
            <v>99845</v>
          </cell>
          <cell r="H96">
            <v>734</v>
          </cell>
        </row>
        <row r="97">
          <cell r="F97">
            <v>94958</v>
          </cell>
          <cell r="H97">
            <v>686</v>
          </cell>
        </row>
        <row r="98">
          <cell r="F98">
            <v>143586</v>
          </cell>
          <cell r="H98">
            <v>1440</v>
          </cell>
        </row>
        <row r="99">
          <cell r="F99">
            <v>5465</v>
          </cell>
          <cell r="H99">
            <v>497</v>
          </cell>
        </row>
        <row r="100">
          <cell r="F100">
            <v>3926</v>
          </cell>
          <cell r="H100">
            <v>130</v>
          </cell>
        </row>
        <row r="101">
          <cell r="H101">
            <v>5296</v>
          </cell>
        </row>
        <row r="104">
          <cell r="F104">
            <v>7010</v>
          </cell>
        </row>
        <row r="105">
          <cell r="F105">
            <v>34885</v>
          </cell>
        </row>
        <row r="106">
          <cell r="F106">
            <v>18868</v>
          </cell>
        </row>
        <row r="109">
          <cell r="F109">
            <v>52832</v>
          </cell>
        </row>
        <row r="110">
          <cell r="F110">
            <v>26707</v>
          </cell>
        </row>
        <row r="111">
          <cell r="F111">
            <v>3540</v>
          </cell>
        </row>
        <row r="114">
          <cell r="F114">
            <v>9193</v>
          </cell>
        </row>
        <row r="115">
          <cell r="F115">
            <v>7152</v>
          </cell>
        </row>
        <row r="123">
          <cell r="F123">
            <v>794458.67</v>
          </cell>
          <cell r="H123">
            <v>5627.6000000000931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135326.82</v>
          </cell>
          <cell r="H125">
            <v>2203.9400000000023</v>
          </cell>
        </row>
        <row r="126">
          <cell r="F126">
            <v>57250.400000000001</v>
          </cell>
          <cell r="H126">
            <v>902.20000000000437</v>
          </cell>
        </row>
        <row r="127">
          <cell r="F127">
            <v>8698.4</v>
          </cell>
          <cell r="H127">
            <v>58.299999999999272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32071.15</v>
          </cell>
          <cell r="H135">
            <v>109.15000000000146</v>
          </cell>
        </row>
        <row r="136">
          <cell r="F136">
            <v>21789.55</v>
          </cell>
          <cell r="H136">
            <v>114.82999999999811</v>
          </cell>
        </row>
        <row r="137">
          <cell r="F137">
            <v>24974.13</v>
          </cell>
          <cell r="H137">
            <v>15.100000000002183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4200.67</v>
          </cell>
          <cell r="H140">
            <v>43.770000000000437</v>
          </cell>
        </row>
        <row r="142">
          <cell r="H142">
            <v>134794.63299999997</v>
          </cell>
        </row>
        <row r="143">
          <cell r="H143">
            <v>6.5332369796309759</v>
          </cell>
        </row>
        <row r="144">
          <cell r="H144">
            <v>122562.01999999996</v>
          </cell>
        </row>
        <row r="145">
          <cell r="H145">
            <v>6.0566673401276914</v>
          </cell>
        </row>
        <row r="146">
          <cell r="H146">
            <v>114658.73299999999</v>
          </cell>
        </row>
        <row r="147">
          <cell r="H147">
            <v>5.7008392679215971</v>
          </cell>
        </row>
        <row r="148">
          <cell r="H148">
            <v>54098.320000000007</v>
          </cell>
        </row>
        <row r="149">
          <cell r="H149">
            <v>2.6820759550229627</v>
          </cell>
        </row>
        <row r="150">
          <cell r="H150">
            <v>58074.839999999967</v>
          </cell>
        </row>
        <row r="151">
          <cell r="H151">
            <v>2.8710733991314927</v>
          </cell>
        </row>
        <row r="152">
          <cell r="H152">
            <v>39712.133000000002</v>
          </cell>
        </row>
        <row r="153">
          <cell r="H153">
            <v>2.0843297533435927</v>
          </cell>
        </row>
        <row r="160">
          <cell r="F160">
            <v>25794.86</v>
          </cell>
        </row>
        <row r="161">
          <cell r="F161">
            <v>26561.45</v>
          </cell>
        </row>
        <row r="162">
          <cell r="F162">
            <v>3316.57</v>
          </cell>
        </row>
        <row r="163">
          <cell r="F163">
            <v>4215.6400000000003</v>
          </cell>
        </row>
      </sheetData>
      <sheetData sheetId="30">
        <row r="7">
          <cell r="F7">
            <v>3231687</v>
          </cell>
          <cell r="H7">
            <v>563242</v>
          </cell>
        </row>
        <row r="8">
          <cell r="F8">
            <v>3250992</v>
          </cell>
          <cell r="H8">
            <v>567953</v>
          </cell>
        </row>
        <row r="9">
          <cell r="F9">
            <v>2397574.2999999998</v>
          </cell>
          <cell r="H9">
            <v>140537.79999999981</v>
          </cell>
        </row>
        <row r="10">
          <cell r="F10">
            <v>705459.51</v>
          </cell>
          <cell r="H10">
            <v>402509.22000000003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521187.70999999985</v>
          </cell>
        </row>
        <row r="15">
          <cell r="F15">
            <v>1566669.95</v>
          </cell>
          <cell r="H15">
            <v>19772.348999999929</v>
          </cell>
        </row>
        <row r="18">
          <cell r="F18">
            <v>16</v>
          </cell>
          <cell r="H18">
            <v>3870</v>
          </cell>
        </row>
        <row r="19">
          <cell r="F19">
            <v>131330</v>
          </cell>
          <cell r="H19">
            <v>1529</v>
          </cell>
        </row>
        <row r="20">
          <cell r="H20">
            <v>5399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5395553.5</v>
          </cell>
        </row>
        <row r="28">
          <cell r="H28">
            <v>721690.73849999742</v>
          </cell>
        </row>
        <row r="29">
          <cell r="H29">
            <v>0</v>
          </cell>
        </row>
        <row r="30">
          <cell r="H30">
            <v>221705</v>
          </cell>
        </row>
        <row r="31">
          <cell r="H31">
            <v>308000</v>
          </cell>
        </row>
        <row r="32">
          <cell r="H32">
            <v>6646949.2384999972</v>
          </cell>
        </row>
        <row r="35">
          <cell r="F35">
            <v>629027</v>
          </cell>
          <cell r="H35">
            <v>0</v>
          </cell>
        </row>
        <row r="36">
          <cell r="F36">
            <v>253054</v>
          </cell>
          <cell r="H36">
            <v>23968.26999999999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692321.83</v>
          </cell>
          <cell r="H43">
            <v>61572.519999999902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144465.81999999989</v>
          </cell>
        </row>
        <row r="49">
          <cell r="F49">
            <v>141171.66</v>
          </cell>
          <cell r="H49">
            <v>76562.143000000011</v>
          </cell>
        </row>
        <row r="50">
          <cell r="F50">
            <v>332003</v>
          </cell>
          <cell r="H50">
            <v>34593.469999999972</v>
          </cell>
        </row>
        <row r="51">
          <cell r="F51">
            <v>60468.99</v>
          </cell>
          <cell r="H51">
            <v>39602.022999999994</v>
          </cell>
        </row>
        <row r="52">
          <cell r="F52">
            <v>427322.31</v>
          </cell>
          <cell r="H52">
            <v>53966.51999999996</v>
          </cell>
        </row>
        <row r="53">
          <cell r="F53">
            <v>164266.16</v>
          </cell>
          <cell r="H53">
            <v>114524.053</v>
          </cell>
        </row>
        <row r="54">
          <cell r="F54">
            <v>4369.38</v>
          </cell>
          <cell r="H54">
            <v>1490.77</v>
          </cell>
        </row>
        <row r="55">
          <cell r="F55">
            <v>158493</v>
          </cell>
          <cell r="H55">
            <v>0</v>
          </cell>
        </row>
        <row r="56">
          <cell r="F56">
            <v>502226</v>
          </cell>
          <cell r="H56">
            <v>66384.969999999972</v>
          </cell>
        </row>
        <row r="57">
          <cell r="F57">
            <v>0</v>
          </cell>
          <cell r="H57">
            <v>0</v>
          </cell>
        </row>
        <row r="58">
          <cell r="F58">
            <v>24558.55</v>
          </cell>
          <cell r="H58">
            <v>4165.5169999999998</v>
          </cell>
        </row>
        <row r="59">
          <cell r="H59">
            <v>391289.46599999984</v>
          </cell>
        </row>
        <row r="60">
          <cell r="H60">
            <v>549298.95599999989</v>
          </cell>
        </row>
        <row r="62">
          <cell r="F62">
            <v>20419.187000000002</v>
          </cell>
          <cell r="H62">
            <v>7.0000000014260877E-3</v>
          </cell>
        </row>
        <row r="63">
          <cell r="F63">
            <v>1095.27</v>
          </cell>
          <cell r="H63">
            <v>238.89999999999998</v>
          </cell>
        </row>
        <row r="64">
          <cell r="F64">
            <v>97142.92</v>
          </cell>
          <cell r="H64">
            <v>10403.824999999997</v>
          </cell>
        </row>
        <row r="65">
          <cell r="F65">
            <v>107843.25</v>
          </cell>
          <cell r="H65">
            <v>11207.267000000007</v>
          </cell>
        </row>
        <row r="66">
          <cell r="F66">
            <v>1270.8699999999999</v>
          </cell>
          <cell r="H66">
            <v>11268.473000000005</v>
          </cell>
        </row>
        <row r="67">
          <cell r="F67">
            <v>166325.57</v>
          </cell>
          <cell r="H67">
            <v>20283.520000000019</v>
          </cell>
        </row>
        <row r="68">
          <cell r="F68">
            <v>52764.22</v>
          </cell>
          <cell r="H68">
            <v>9589.1410000000033</v>
          </cell>
        </row>
        <row r="69">
          <cell r="F69">
            <v>45673.45</v>
          </cell>
          <cell r="H69">
            <v>8117.8829999999944</v>
          </cell>
        </row>
        <row r="72">
          <cell r="F72">
            <v>846152</v>
          </cell>
          <cell r="H72">
            <v>1890</v>
          </cell>
        </row>
        <row r="73">
          <cell r="F73">
            <v>885670</v>
          </cell>
          <cell r="H73">
            <v>966</v>
          </cell>
        </row>
        <row r="74">
          <cell r="F74">
            <v>881197</v>
          </cell>
          <cell r="H74">
            <v>970</v>
          </cell>
        </row>
        <row r="75">
          <cell r="F75">
            <v>731134</v>
          </cell>
          <cell r="H75">
            <v>4954</v>
          </cell>
        </row>
        <row r="76">
          <cell r="F76">
            <v>683939</v>
          </cell>
          <cell r="H76">
            <v>3569</v>
          </cell>
        </row>
        <row r="77">
          <cell r="F77">
            <v>695225</v>
          </cell>
          <cell r="H77">
            <v>1505</v>
          </cell>
        </row>
        <row r="78">
          <cell r="F78">
            <v>629722</v>
          </cell>
          <cell r="H78">
            <v>11469</v>
          </cell>
        </row>
        <row r="79">
          <cell r="F79">
            <v>803282</v>
          </cell>
          <cell r="H79">
            <v>8030</v>
          </cell>
        </row>
        <row r="80">
          <cell r="F80">
            <v>474609</v>
          </cell>
          <cell r="H80">
            <v>7285.1599999999744</v>
          </cell>
        </row>
        <row r="81">
          <cell r="F81">
            <v>618889</v>
          </cell>
          <cell r="H81">
            <v>4500.4799999999814</v>
          </cell>
        </row>
        <row r="82">
          <cell r="F82">
            <v>104369</v>
          </cell>
          <cell r="H82">
            <v>839.35000000000582</v>
          </cell>
        </row>
        <row r="83">
          <cell r="F83">
            <v>972474</v>
          </cell>
          <cell r="H83">
            <v>9949</v>
          </cell>
        </row>
        <row r="84">
          <cell r="F84">
            <v>395855</v>
          </cell>
          <cell r="H84">
            <v>14499</v>
          </cell>
        </row>
        <row r="85">
          <cell r="H85">
            <v>65869.519999999931</v>
          </cell>
        </row>
        <row r="86">
          <cell r="F86">
            <v>444090</v>
          </cell>
        </row>
        <row r="87">
          <cell r="F87">
            <v>77674.7</v>
          </cell>
        </row>
        <row r="88">
          <cell r="F88">
            <v>144376</v>
          </cell>
        </row>
        <row r="89">
          <cell r="F89">
            <v>57460</v>
          </cell>
        </row>
        <row r="90">
          <cell r="F90">
            <v>2975.5</v>
          </cell>
        </row>
        <row r="92">
          <cell r="F92">
            <v>233730</v>
          </cell>
          <cell r="H92">
            <v>2755</v>
          </cell>
        </row>
        <row r="93">
          <cell r="F93">
            <v>166556</v>
          </cell>
          <cell r="H93">
            <v>3914</v>
          </cell>
        </row>
        <row r="94">
          <cell r="H94">
            <v>6406</v>
          </cell>
        </row>
        <row r="95">
          <cell r="F95">
            <v>403455</v>
          </cell>
          <cell r="H95">
            <v>1890</v>
          </cell>
        </row>
        <row r="96">
          <cell r="F96">
            <v>99878</v>
          </cell>
          <cell r="H96">
            <v>767</v>
          </cell>
        </row>
        <row r="97">
          <cell r="F97">
            <v>94989</v>
          </cell>
          <cell r="H97">
            <v>717</v>
          </cell>
        </row>
        <row r="98">
          <cell r="F98">
            <v>143644</v>
          </cell>
          <cell r="H98">
            <v>1498</v>
          </cell>
        </row>
        <row r="99">
          <cell r="F99">
            <v>5484</v>
          </cell>
          <cell r="H99">
            <v>516</v>
          </cell>
        </row>
        <row r="100">
          <cell r="F100">
            <v>3936</v>
          </cell>
          <cell r="H100">
            <v>140</v>
          </cell>
        </row>
        <row r="101">
          <cell r="H101">
            <v>5528</v>
          </cell>
        </row>
        <row r="104">
          <cell r="F104">
            <v>7010</v>
          </cell>
        </row>
        <row r="105">
          <cell r="F105">
            <v>34900</v>
          </cell>
        </row>
        <row r="106">
          <cell r="F106">
            <v>18873</v>
          </cell>
        </row>
        <row r="109">
          <cell r="F109">
            <v>52891</v>
          </cell>
        </row>
        <row r="110">
          <cell r="F110">
            <v>26759</v>
          </cell>
        </row>
        <row r="111">
          <cell r="F111">
            <v>3551</v>
          </cell>
        </row>
        <row r="114">
          <cell r="F114">
            <v>9217</v>
          </cell>
        </row>
        <row r="115">
          <cell r="F115">
            <v>7172</v>
          </cell>
        </row>
        <row r="123">
          <cell r="F123">
            <v>794669.43</v>
          </cell>
          <cell r="H123">
            <v>5838.3600000001024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135391.9</v>
          </cell>
          <cell r="H125">
            <v>2269.0199999999895</v>
          </cell>
        </row>
        <row r="126">
          <cell r="F126">
            <v>57258.1</v>
          </cell>
          <cell r="H126">
            <v>909.90000000000146</v>
          </cell>
        </row>
        <row r="127">
          <cell r="F127">
            <v>8699</v>
          </cell>
          <cell r="H127">
            <v>58.899999999999636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32095.18</v>
          </cell>
          <cell r="H135">
            <v>133.18000000000029</v>
          </cell>
        </row>
        <row r="136">
          <cell r="F136">
            <v>21789.55</v>
          </cell>
          <cell r="H136">
            <v>114.82999999999811</v>
          </cell>
        </row>
        <row r="137">
          <cell r="F137">
            <v>24982.87</v>
          </cell>
          <cell r="H137">
            <v>23.840000000000146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1063</v>
          </cell>
          <cell r="H139">
            <v>121.47000000000003</v>
          </cell>
        </row>
        <row r="140">
          <cell r="F140">
            <v>4207.57</v>
          </cell>
          <cell r="H140">
            <v>50.670000000000073</v>
          </cell>
        </row>
        <row r="142">
          <cell r="H142">
            <v>139679.91299999991</v>
          </cell>
        </row>
        <row r="143">
          <cell r="H143">
            <v>6.7936463612940861</v>
          </cell>
        </row>
        <row r="144">
          <cell r="H144">
            <v>126004.40999999997</v>
          </cell>
        </row>
        <row r="145">
          <cell r="H145">
            <v>6.2401636087844086</v>
          </cell>
        </row>
        <row r="146">
          <cell r="H146">
            <v>118850.15300000001</v>
          </cell>
        </row>
        <row r="147">
          <cell r="H147">
            <v>5.9242625088597638</v>
          </cell>
        </row>
        <row r="148">
          <cell r="H148">
            <v>56199.880000000005</v>
          </cell>
        </row>
        <row r="149">
          <cell r="H149">
            <v>2.794099409180745</v>
          </cell>
        </row>
        <row r="150">
          <cell r="H150">
            <v>60002.179999999964</v>
          </cell>
        </row>
        <row r="151">
          <cell r="H151">
            <v>2.9738100729054797</v>
          </cell>
        </row>
        <row r="152">
          <cell r="H152">
            <v>41148.502999999997</v>
          </cell>
        </row>
        <row r="153">
          <cell r="H153">
            <v>2.1608953183755752</v>
          </cell>
        </row>
        <row r="160">
          <cell r="F160">
            <v>25866.16</v>
          </cell>
        </row>
        <row r="161">
          <cell r="F161">
            <v>27044.51</v>
          </cell>
        </row>
        <row r="162">
          <cell r="F162">
            <v>3592.25</v>
          </cell>
        </row>
        <row r="163">
          <cell r="F163">
            <v>4241.54</v>
          </cell>
        </row>
      </sheetData>
      <sheetData sheetId="31">
        <row r="7">
          <cell r="F7">
            <v>3249158</v>
          </cell>
          <cell r="H7">
            <v>580713</v>
          </cell>
        </row>
        <row r="8">
          <cell r="F8">
            <v>3268685</v>
          </cell>
          <cell r="H8">
            <v>585646</v>
          </cell>
        </row>
        <row r="9">
          <cell r="F9">
            <v>2400101</v>
          </cell>
          <cell r="H9">
            <v>143064.5</v>
          </cell>
        </row>
        <row r="10">
          <cell r="F10">
            <v>719746.63</v>
          </cell>
          <cell r="H10">
            <v>416796.34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538001.53</v>
          </cell>
        </row>
        <row r="15">
          <cell r="F15">
            <v>1567360</v>
          </cell>
          <cell r="H15">
            <v>20462.398999999976</v>
          </cell>
        </row>
        <row r="18">
          <cell r="F18">
            <v>11</v>
          </cell>
          <cell r="H18">
            <v>3980</v>
          </cell>
        </row>
        <row r="19">
          <cell r="F19">
            <v>131385</v>
          </cell>
          <cell r="H19">
            <v>1584</v>
          </cell>
        </row>
        <row r="20">
          <cell r="H20">
            <v>5564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5563637</v>
          </cell>
        </row>
        <row r="28">
          <cell r="H28">
            <v>746877.56349999912</v>
          </cell>
        </row>
        <row r="29">
          <cell r="H29">
            <v>0</v>
          </cell>
        </row>
        <row r="30">
          <cell r="H30">
            <v>229680</v>
          </cell>
        </row>
        <row r="31">
          <cell r="H31">
            <v>316800</v>
          </cell>
        </row>
        <row r="32">
          <cell r="H32">
            <v>6856994.5634999992</v>
          </cell>
        </row>
        <row r="35">
          <cell r="F35">
            <v>629027</v>
          </cell>
          <cell r="H35">
            <v>0</v>
          </cell>
        </row>
        <row r="36">
          <cell r="F36">
            <v>253713.81</v>
          </cell>
          <cell r="H36">
            <v>24628.079999999987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694298.95</v>
          </cell>
          <cell r="H43">
            <v>63549.639999999898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</v>
          </cell>
        </row>
        <row r="46">
          <cell r="F46">
            <v>187.49</v>
          </cell>
          <cell r="H46">
            <v>0</v>
          </cell>
        </row>
        <row r="47">
          <cell r="H47">
            <v>147103.71999999988</v>
          </cell>
        </row>
        <row r="49">
          <cell r="F49">
            <v>143998.98000000001</v>
          </cell>
          <cell r="H49">
            <v>79389.463000000018</v>
          </cell>
        </row>
        <row r="50">
          <cell r="F50">
            <v>332937</v>
          </cell>
          <cell r="H50">
            <v>35527.469999999972</v>
          </cell>
        </row>
        <row r="51">
          <cell r="F51">
            <v>61837</v>
          </cell>
          <cell r="H51">
            <v>40970.032999999996</v>
          </cell>
        </row>
        <row r="52">
          <cell r="F52">
            <v>429182.87</v>
          </cell>
          <cell r="H52">
            <v>55827.079999999958</v>
          </cell>
        </row>
        <row r="53">
          <cell r="F53">
            <v>168261.37</v>
          </cell>
          <cell r="H53">
            <v>118519.26299999999</v>
          </cell>
        </row>
        <row r="54">
          <cell r="F54">
            <v>4438.3100000000004</v>
          </cell>
          <cell r="H54">
            <v>1559.7000000000003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505378.47</v>
          </cell>
          <cell r="H56">
            <v>69537.439999999944</v>
          </cell>
        </row>
        <row r="57">
          <cell r="F57">
            <v>0</v>
          </cell>
          <cell r="H57">
            <v>0</v>
          </cell>
        </row>
        <row r="58">
          <cell r="F58">
            <v>24747.07</v>
          </cell>
          <cell r="H58">
            <v>4354.0370000000003</v>
          </cell>
        </row>
        <row r="59">
          <cell r="H59">
            <v>405684.21599999984</v>
          </cell>
        </row>
        <row r="60">
          <cell r="H60">
            <v>566331.60599999991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1099</v>
          </cell>
          <cell r="H63">
            <v>242.63</v>
          </cell>
        </row>
        <row r="64">
          <cell r="F64">
            <v>97539.7</v>
          </cell>
          <cell r="H64">
            <v>10800.604999999996</v>
          </cell>
        </row>
        <row r="65">
          <cell r="F65">
            <v>108244</v>
          </cell>
          <cell r="H65">
            <v>11608.017000000007</v>
          </cell>
        </row>
        <row r="66">
          <cell r="F66">
            <v>1636</v>
          </cell>
          <cell r="H66">
            <v>11633.603000000006</v>
          </cell>
        </row>
        <row r="67">
          <cell r="F67">
            <v>166962</v>
          </cell>
          <cell r="H67">
            <v>20919.950000000012</v>
          </cell>
        </row>
        <row r="68">
          <cell r="F68">
            <v>53070</v>
          </cell>
          <cell r="H68">
            <v>9894.9210000000021</v>
          </cell>
        </row>
        <row r="69">
          <cell r="F69">
            <v>45958.9</v>
          </cell>
          <cell r="H69">
            <v>8403.3329999999987</v>
          </cell>
        </row>
        <row r="70">
          <cell r="H70">
            <v>0</v>
          </cell>
        </row>
        <row r="72">
          <cell r="F72">
            <v>846216</v>
          </cell>
          <cell r="H72">
            <v>1954</v>
          </cell>
        </row>
        <row r="73">
          <cell r="F73">
            <v>885671</v>
          </cell>
          <cell r="H73">
            <v>967</v>
          </cell>
        </row>
        <row r="74">
          <cell r="F74">
            <v>881231</v>
          </cell>
          <cell r="H74">
            <v>1004</v>
          </cell>
        </row>
        <row r="75">
          <cell r="F75">
            <v>731292</v>
          </cell>
          <cell r="H75">
            <v>5112</v>
          </cell>
        </row>
        <row r="76">
          <cell r="F76">
            <v>684042</v>
          </cell>
          <cell r="H76">
            <v>3672</v>
          </cell>
        </row>
        <row r="77">
          <cell r="F77">
            <v>695280</v>
          </cell>
          <cell r="H77">
            <v>1560</v>
          </cell>
        </row>
        <row r="78">
          <cell r="F78">
            <v>630081</v>
          </cell>
          <cell r="H78">
            <v>11828</v>
          </cell>
        </row>
        <row r="79">
          <cell r="F79">
            <v>803472</v>
          </cell>
          <cell r="H79">
            <v>8220</v>
          </cell>
        </row>
        <row r="80">
          <cell r="F80">
            <v>474910</v>
          </cell>
          <cell r="H80">
            <v>7586.1599999999744</v>
          </cell>
        </row>
        <row r="81">
          <cell r="F81">
            <v>619004</v>
          </cell>
          <cell r="H81">
            <v>4615.4799999999814</v>
          </cell>
        </row>
        <row r="82">
          <cell r="F82">
            <v>104378</v>
          </cell>
          <cell r="H82">
            <v>848.35000000000582</v>
          </cell>
        </row>
        <row r="83">
          <cell r="F83">
            <v>972812</v>
          </cell>
          <cell r="H83">
            <v>10287</v>
          </cell>
        </row>
        <row r="84">
          <cell r="F84">
            <v>396336</v>
          </cell>
          <cell r="H84">
            <v>14980</v>
          </cell>
        </row>
        <row r="85">
          <cell r="H85">
            <v>68077.519999999931</v>
          </cell>
        </row>
        <row r="86">
          <cell r="F86">
            <v>444169</v>
          </cell>
        </row>
        <row r="87">
          <cell r="F87">
            <v>77697.399999999994</v>
          </cell>
        </row>
        <row r="88">
          <cell r="F88">
            <v>144451</v>
          </cell>
        </row>
        <row r="89">
          <cell r="F89">
            <v>57531.8</v>
          </cell>
        </row>
        <row r="90">
          <cell r="F90">
            <v>2978.5</v>
          </cell>
        </row>
        <row r="92">
          <cell r="F92">
            <v>233788</v>
          </cell>
          <cell r="H92">
            <v>2813</v>
          </cell>
        </row>
        <row r="93">
          <cell r="F93">
            <v>166674</v>
          </cell>
          <cell r="H93">
            <v>4032</v>
          </cell>
        </row>
        <row r="94">
          <cell r="H94">
            <v>6582</v>
          </cell>
        </row>
        <row r="95">
          <cell r="F95">
            <v>403525</v>
          </cell>
          <cell r="H95">
            <v>1960</v>
          </cell>
        </row>
        <row r="96">
          <cell r="F96">
            <v>99893</v>
          </cell>
          <cell r="H96">
            <v>782</v>
          </cell>
        </row>
        <row r="97">
          <cell r="F97">
            <v>94995</v>
          </cell>
          <cell r="H97">
            <v>723</v>
          </cell>
        </row>
        <row r="98">
          <cell r="F98">
            <v>143697</v>
          </cell>
          <cell r="H98">
            <v>1551</v>
          </cell>
        </row>
        <row r="99">
          <cell r="F99">
            <v>5492</v>
          </cell>
          <cell r="H99">
            <v>524</v>
          </cell>
        </row>
        <row r="100">
          <cell r="F100">
            <v>3941</v>
          </cell>
          <cell r="H100">
            <v>145</v>
          </cell>
        </row>
        <row r="101">
          <cell r="H101">
            <v>5685</v>
          </cell>
        </row>
        <row r="104">
          <cell r="F104">
            <v>7010</v>
          </cell>
        </row>
        <row r="105">
          <cell r="F105">
            <v>34913</v>
          </cell>
        </row>
        <row r="106">
          <cell r="F106">
            <v>18878</v>
          </cell>
        </row>
        <row r="109">
          <cell r="F109">
            <v>52931</v>
          </cell>
        </row>
        <row r="110">
          <cell r="F110">
            <v>26801</v>
          </cell>
        </row>
        <row r="111">
          <cell r="F111">
            <v>3551</v>
          </cell>
        </row>
        <row r="114">
          <cell r="F114">
            <v>9226</v>
          </cell>
        </row>
        <row r="115">
          <cell r="F115">
            <v>7174</v>
          </cell>
        </row>
        <row r="123">
          <cell r="F123">
            <v>794918</v>
          </cell>
          <cell r="H123">
            <v>6086.9300000000512</v>
          </cell>
        </row>
        <row r="124">
          <cell r="F124">
            <v>73582.2</v>
          </cell>
          <cell r="H124">
            <v>0</v>
          </cell>
        </row>
        <row r="125">
          <cell r="F125">
            <v>135448</v>
          </cell>
          <cell r="H125">
            <v>2325.1199999999953</v>
          </cell>
        </row>
        <row r="126">
          <cell r="F126">
            <v>57308.800000000003</v>
          </cell>
          <cell r="H126">
            <v>960.60000000000582</v>
          </cell>
        </row>
        <row r="127">
          <cell r="F127">
            <v>8699</v>
          </cell>
          <cell r="H127">
            <v>58.899999999999636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32119.26</v>
          </cell>
          <cell r="H135">
            <v>157.2599999999984</v>
          </cell>
        </row>
        <row r="136">
          <cell r="F136">
            <v>21795.37</v>
          </cell>
          <cell r="H136">
            <v>120.64999999999782</v>
          </cell>
        </row>
        <row r="137">
          <cell r="F137">
            <v>24982.87</v>
          </cell>
          <cell r="H137">
            <v>23.840000000000146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1063</v>
          </cell>
          <cell r="H139">
            <v>121.47000000000003</v>
          </cell>
        </row>
        <row r="140">
          <cell r="F140">
            <v>4215.7700000000004</v>
          </cell>
          <cell r="H140">
            <v>58.8700000000008</v>
          </cell>
        </row>
        <row r="142">
          <cell r="H142">
            <v>144484.35299999992</v>
          </cell>
        </row>
        <row r="143">
          <cell r="H143">
            <v>7.0686414960888886</v>
          </cell>
        </row>
        <row r="144">
          <cell r="H144">
            <v>129156.60999999996</v>
          </cell>
        </row>
        <row r="145">
          <cell r="H145">
            <v>6.4205883125792678</v>
          </cell>
        </row>
        <row r="146">
          <cell r="H146">
            <v>122845.363</v>
          </cell>
        </row>
        <row r="147">
          <cell r="H147">
            <v>6.1529391730461294</v>
          </cell>
        </row>
        <row r="148">
          <cell r="H148">
            <v>58060.44</v>
          </cell>
        </row>
        <row r="149">
          <cell r="H149">
            <v>2.9005935995533623</v>
          </cell>
        </row>
        <row r="150">
          <cell r="H150">
            <v>61595.989999999962</v>
          </cell>
        </row>
        <row r="151">
          <cell r="H151">
            <v>3.06503610461517</v>
          </cell>
        </row>
        <row r="152">
          <cell r="H152">
            <v>42516.512999999999</v>
          </cell>
        </row>
        <row r="153">
          <cell r="H153">
            <v>2.2391970755732173</v>
          </cell>
        </row>
        <row r="160">
          <cell r="F160">
            <v>25936.87</v>
          </cell>
        </row>
        <row r="161">
          <cell r="F161">
            <v>27498.44</v>
          </cell>
        </row>
        <row r="162">
          <cell r="F162">
            <v>3859.73</v>
          </cell>
        </row>
        <row r="163">
          <cell r="F163">
            <v>4268.58</v>
          </cell>
        </row>
      </sheetData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aily HLP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7">
          <cell r="I7">
            <v>12000</v>
          </cell>
        </row>
        <row r="18">
          <cell r="I18">
            <v>65</v>
          </cell>
        </row>
        <row r="76">
          <cell r="G76">
            <v>57</v>
          </cell>
        </row>
        <row r="77">
          <cell r="G77">
            <v>55</v>
          </cell>
        </row>
        <row r="78">
          <cell r="G78">
            <v>480</v>
          </cell>
        </row>
        <row r="79">
          <cell r="G79">
            <v>201</v>
          </cell>
        </row>
        <row r="81">
          <cell r="G81">
            <v>153.28000000002794</v>
          </cell>
        </row>
        <row r="82">
          <cell r="G82">
            <v>20.760000000009313</v>
          </cell>
        </row>
        <row r="83">
          <cell r="G83">
            <v>346</v>
          </cell>
        </row>
        <row r="84">
          <cell r="G84">
            <v>564</v>
          </cell>
        </row>
        <row r="92">
          <cell r="G92">
            <v>112</v>
          </cell>
        </row>
        <row r="93">
          <cell r="G93">
            <v>151</v>
          </cell>
        </row>
        <row r="95">
          <cell r="G95">
            <v>47</v>
          </cell>
        </row>
        <row r="96">
          <cell r="G96">
            <v>33</v>
          </cell>
        </row>
        <row r="98">
          <cell r="G98">
            <v>67</v>
          </cell>
        </row>
        <row r="100">
          <cell r="G10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F7">
            <v>2805903</v>
          </cell>
          <cell r="H7">
            <v>137458</v>
          </cell>
        </row>
        <row r="8">
          <cell r="F8">
            <v>2822001</v>
          </cell>
          <cell r="H8">
            <v>138962</v>
          </cell>
        </row>
        <row r="9">
          <cell r="F9">
            <v>2293383.2999999998</v>
          </cell>
          <cell r="H9">
            <v>36346.799999999814</v>
          </cell>
        </row>
        <row r="10">
          <cell r="F10">
            <v>399129.19</v>
          </cell>
          <cell r="H10">
            <v>96178.900000000023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132525.69999999984</v>
          </cell>
        </row>
        <row r="15">
          <cell r="F15">
            <v>1551319</v>
          </cell>
          <cell r="H15">
            <v>4421.3989999999758</v>
          </cell>
        </row>
        <row r="18">
          <cell r="F18">
            <v>8</v>
          </cell>
          <cell r="H18">
            <v>740</v>
          </cell>
        </row>
        <row r="19">
          <cell r="F19">
            <v>130180</v>
          </cell>
          <cell r="H19">
            <v>379</v>
          </cell>
        </row>
        <row r="20">
          <cell r="H20">
            <v>1119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1320139</v>
          </cell>
        </row>
        <row r="28">
          <cell r="H28">
            <v>161381.06349999912</v>
          </cell>
        </row>
        <row r="29">
          <cell r="H29">
            <v>0</v>
          </cell>
        </row>
        <row r="30">
          <cell r="H30">
            <v>54955</v>
          </cell>
        </row>
        <row r="31">
          <cell r="H31">
            <v>57600</v>
          </cell>
        </row>
        <row r="32">
          <cell r="H32">
            <v>1594075.0634999992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235244.83</v>
          </cell>
          <cell r="H36">
            <v>6159.0999999999767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16151.84</v>
          </cell>
          <cell r="H42">
            <v>16151.84</v>
          </cell>
        </row>
        <row r="43">
          <cell r="F43">
            <v>646426.03</v>
          </cell>
          <cell r="H43">
            <v>15676.719999999972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37986.639999999956</v>
          </cell>
        </row>
        <row r="49">
          <cell r="F49">
            <v>80928.88</v>
          </cell>
          <cell r="H49">
            <v>19415.613000000005</v>
          </cell>
        </row>
        <row r="50">
          <cell r="F50">
            <v>305297.40999999997</v>
          </cell>
          <cell r="H50">
            <v>9328.3199999999488</v>
          </cell>
        </row>
        <row r="51">
          <cell r="F51">
            <v>29371.1</v>
          </cell>
          <cell r="H51">
            <v>10050.612999999998</v>
          </cell>
        </row>
        <row r="52">
          <cell r="F52">
            <v>384200.71</v>
          </cell>
          <cell r="H52">
            <v>13078.280000000028</v>
          </cell>
        </row>
        <row r="53">
          <cell r="F53">
            <v>74927.47</v>
          </cell>
          <cell r="H53">
            <v>29511.463000000003</v>
          </cell>
        </row>
        <row r="54">
          <cell r="F54">
            <v>3203.71</v>
          </cell>
          <cell r="H54">
            <v>370.71000000000004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21025.94</v>
          </cell>
          <cell r="H58">
            <v>794.89699999999721</v>
          </cell>
        </row>
        <row r="59">
          <cell r="H59">
            <v>96725.705999999933</v>
          </cell>
        </row>
        <row r="60">
          <cell r="H60">
            <v>134712.34599999993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966.57</v>
          </cell>
          <cell r="H63">
            <v>110.20000000000005</v>
          </cell>
        </row>
        <row r="64">
          <cell r="F64">
            <v>89266.99</v>
          </cell>
          <cell r="H64">
            <v>2527.8950000000041</v>
          </cell>
        </row>
        <row r="65">
          <cell r="F65">
            <v>99436.99</v>
          </cell>
          <cell r="H65">
            <v>2801.0070000000123</v>
          </cell>
        </row>
        <row r="66">
          <cell r="F66">
            <v>92743.51</v>
          </cell>
          <cell r="H66">
            <v>2738.6630000000005</v>
          </cell>
        </row>
        <row r="67">
          <cell r="F67">
            <v>151119.51</v>
          </cell>
          <cell r="H67">
            <v>5077.460000000021</v>
          </cell>
        </row>
        <row r="68">
          <cell r="F68">
            <v>45753.05</v>
          </cell>
          <cell r="H68">
            <v>2577.971000000005</v>
          </cell>
        </row>
        <row r="69">
          <cell r="F69">
            <v>39584.129999999997</v>
          </cell>
          <cell r="H69">
            <v>2028.5629999999946</v>
          </cell>
        </row>
        <row r="72">
          <cell r="F72">
            <v>844242</v>
          </cell>
          <cell r="H72">
            <v>65</v>
          </cell>
        </row>
        <row r="73">
          <cell r="F73">
            <v>885407</v>
          </cell>
          <cell r="H73">
            <v>97</v>
          </cell>
        </row>
        <row r="74">
          <cell r="F74">
            <v>880409</v>
          </cell>
          <cell r="H74">
            <v>182</v>
          </cell>
        </row>
        <row r="75">
          <cell r="F75">
            <v>727398</v>
          </cell>
          <cell r="H75">
            <v>1218</v>
          </cell>
        </row>
        <row r="76">
          <cell r="F76">
            <v>682117</v>
          </cell>
          <cell r="H76">
            <v>441</v>
          </cell>
        </row>
        <row r="77">
          <cell r="F77">
            <v>694081</v>
          </cell>
          <cell r="H77">
            <v>361</v>
          </cell>
        </row>
        <row r="78">
          <cell r="F78">
            <v>621072</v>
          </cell>
          <cell r="H78">
            <v>2819</v>
          </cell>
        </row>
        <row r="79">
          <cell r="F79">
            <v>799332</v>
          </cell>
          <cell r="H79">
            <v>1346</v>
          </cell>
        </row>
        <row r="80">
          <cell r="F80">
            <v>467780.92</v>
          </cell>
          <cell r="H80">
            <v>2283.039999999979</v>
          </cell>
        </row>
        <row r="81">
          <cell r="F81">
            <v>615534.24</v>
          </cell>
          <cell r="H81">
            <v>1145.7199999999721</v>
          </cell>
        </row>
        <row r="82">
          <cell r="F82">
            <v>103660</v>
          </cell>
          <cell r="H82">
            <v>130.35000000000582</v>
          </cell>
        </row>
        <row r="83">
          <cell r="F83">
            <v>964906</v>
          </cell>
          <cell r="H83">
            <v>2381</v>
          </cell>
        </row>
        <row r="84">
          <cell r="F84">
            <v>385203</v>
          </cell>
          <cell r="H84">
            <v>3847</v>
          </cell>
        </row>
        <row r="85">
          <cell r="H85">
            <v>14494.679999999906</v>
          </cell>
        </row>
        <row r="86">
          <cell r="F86">
            <v>441673.32</v>
          </cell>
        </row>
        <row r="87">
          <cell r="F87">
            <v>77090.2</v>
          </cell>
        </row>
        <row r="88">
          <cell r="F88">
            <v>143031.60999999999</v>
          </cell>
        </row>
        <row r="89">
          <cell r="F89">
            <v>56130.7</v>
          </cell>
        </row>
        <row r="90">
          <cell r="F90">
            <v>2913.4</v>
          </cell>
        </row>
        <row r="92">
          <cell r="F92">
            <v>231588</v>
          </cell>
          <cell r="H92">
            <v>613</v>
          </cell>
        </row>
        <row r="93">
          <cell r="F93">
            <v>163620</v>
          </cell>
          <cell r="H93">
            <v>978</v>
          </cell>
        </row>
        <row r="94">
          <cell r="H94">
            <v>1328</v>
          </cell>
        </row>
        <row r="95">
          <cell r="F95">
            <v>401964</v>
          </cell>
          <cell r="H95">
            <v>399</v>
          </cell>
        </row>
        <row r="96">
          <cell r="F96">
            <v>99320</v>
          </cell>
          <cell r="H96">
            <v>209</v>
          </cell>
        </row>
        <row r="97">
          <cell r="F97">
            <v>94416</v>
          </cell>
          <cell r="H97">
            <v>144</v>
          </cell>
        </row>
        <row r="98">
          <cell r="F98">
            <v>142506</v>
          </cell>
          <cell r="H98">
            <v>360</v>
          </cell>
        </row>
        <row r="99">
          <cell r="F99">
            <v>5135</v>
          </cell>
          <cell r="H99">
            <v>167</v>
          </cell>
        </row>
        <row r="100">
          <cell r="F100">
            <v>3674</v>
          </cell>
          <cell r="H100">
            <v>0</v>
          </cell>
        </row>
        <row r="101">
          <cell r="H101">
            <v>1279</v>
          </cell>
        </row>
        <row r="104">
          <cell r="F104">
            <v>7010</v>
          </cell>
        </row>
        <row r="105">
          <cell r="F105">
            <v>34707</v>
          </cell>
        </row>
        <row r="106">
          <cell r="F106">
            <v>18769</v>
          </cell>
        </row>
        <row r="109">
          <cell r="F109">
            <v>51659</v>
          </cell>
        </row>
        <row r="110">
          <cell r="F110">
            <v>25680</v>
          </cell>
        </row>
        <row r="111">
          <cell r="F111">
            <v>3427</v>
          </cell>
        </row>
        <row r="114">
          <cell r="F114">
            <v>8798</v>
          </cell>
        </row>
        <row r="115">
          <cell r="F115">
            <v>6887</v>
          </cell>
        </row>
        <row r="123">
          <cell r="F123">
            <v>790246.5</v>
          </cell>
          <cell r="H123">
            <v>1415.4300000000512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133724.37</v>
          </cell>
          <cell r="H125">
            <v>601.48999999999069</v>
          </cell>
        </row>
        <row r="126">
          <cell r="F126">
            <v>56542.3</v>
          </cell>
          <cell r="H126">
            <v>194.10000000000582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92.27</v>
          </cell>
          <cell r="H133">
            <v>92.27</v>
          </cell>
        </row>
        <row r="134">
          <cell r="F134">
            <v>39735</v>
          </cell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21700.44</v>
          </cell>
          <cell r="H136">
            <v>25.719999999997526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69982.929999999993</v>
          </cell>
          <cell r="H138">
            <v>27.719999999986612</v>
          </cell>
        </row>
        <row r="139">
          <cell r="F139">
            <v>981.23</v>
          </cell>
          <cell r="H139">
            <v>39.700000000000045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35092.332999999977</v>
          </cell>
        </row>
        <row r="143">
          <cell r="H143">
            <v>1.6261621958703838</v>
          </cell>
        </row>
        <row r="144">
          <cell r="H144">
            <v>30327.599999999984</v>
          </cell>
        </row>
        <row r="145">
          <cell r="H145">
            <v>1.5462873778051835</v>
          </cell>
        </row>
        <row r="146">
          <cell r="H146">
            <v>29511.463000000003</v>
          </cell>
        </row>
        <row r="147">
          <cell r="H147">
            <v>1.5036497044836814</v>
          </cell>
        </row>
        <row r="148">
          <cell r="H148">
            <v>13078.280000000028</v>
          </cell>
        </row>
        <row r="149">
          <cell r="H149">
            <v>0.66586732801468529</v>
          </cell>
        </row>
        <row r="150">
          <cell r="H150">
            <v>15487.419999999925</v>
          </cell>
        </row>
        <row r="151">
          <cell r="H151">
            <v>0.78536387012414777</v>
          </cell>
        </row>
        <row r="152">
          <cell r="H152">
            <v>10050.612999999998</v>
          </cell>
        </row>
        <row r="153">
          <cell r="H153">
            <v>0.51207215109708837</v>
          </cell>
        </row>
        <row r="160">
          <cell r="F160">
            <v>24349.35</v>
          </cell>
        </row>
        <row r="161">
          <cell r="F161">
            <v>15154.88</v>
          </cell>
        </row>
        <row r="162">
          <cell r="F162">
            <v>39410.160000000003</v>
          </cell>
        </row>
        <row r="163">
          <cell r="F163">
            <v>3714.4</v>
          </cell>
        </row>
        <row r="164">
          <cell r="F164">
            <v>20419</v>
          </cell>
        </row>
        <row r="165">
          <cell r="F165">
            <v>966.57</v>
          </cell>
        </row>
        <row r="166">
          <cell r="F166">
            <v>89266.99</v>
          </cell>
        </row>
        <row r="167">
          <cell r="F167">
            <v>99436.99</v>
          </cell>
        </row>
        <row r="168">
          <cell r="F168">
            <v>92743.51</v>
          </cell>
        </row>
        <row r="169">
          <cell r="F169">
            <v>151119.51</v>
          </cell>
        </row>
        <row r="170">
          <cell r="F170">
            <v>45753.05</v>
          </cell>
        </row>
        <row r="171">
          <cell r="F171">
            <v>39584.129999999997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7">
          <cell r="I7">
            <v>12000</v>
          </cell>
        </row>
        <row r="8">
          <cell r="I8">
            <v>12000</v>
          </cell>
        </row>
        <row r="18">
          <cell r="I18">
            <v>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S16" sqref="S16"/>
    </sheetView>
  </sheetViews>
  <sheetFormatPr defaultColWidth="9" defaultRowHeight="15" x14ac:dyDescent="0.25"/>
  <cols>
    <col min="1" max="1" width="9.6640625" style="1271" customWidth="1"/>
    <col min="2" max="3" width="9" style="1265"/>
    <col min="4" max="4" width="10.44140625" style="1266" customWidth="1"/>
    <col min="5" max="5" width="9.77734375" style="1267" customWidth="1"/>
    <col min="6" max="6" width="9.77734375" style="1271" customWidth="1"/>
    <col min="7" max="10" width="9" style="1271"/>
    <col min="11" max="12" width="9" style="1267"/>
    <col min="13" max="13" width="0" style="1270" hidden="1" customWidth="1"/>
    <col min="14" max="256" width="9" style="1270"/>
    <col min="257" max="257" width="9.6640625" style="1270" customWidth="1"/>
    <col min="258" max="259" width="9" style="1270"/>
    <col min="260" max="260" width="10.44140625" style="1270" customWidth="1"/>
    <col min="261" max="262" width="9.77734375" style="1270" customWidth="1"/>
    <col min="263" max="268" width="9" style="1270"/>
    <col min="269" max="269" width="0" style="1270" hidden="1" customWidth="1"/>
    <col min="270" max="512" width="9" style="1270"/>
    <col min="513" max="513" width="9.6640625" style="1270" customWidth="1"/>
    <col min="514" max="515" width="9" style="1270"/>
    <col min="516" max="516" width="10.44140625" style="1270" customWidth="1"/>
    <col min="517" max="518" width="9.77734375" style="1270" customWidth="1"/>
    <col min="519" max="524" width="9" style="1270"/>
    <col min="525" max="525" width="0" style="1270" hidden="1" customWidth="1"/>
    <col min="526" max="768" width="9" style="1270"/>
    <col min="769" max="769" width="9.6640625" style="1270" customWidth="1"/>
    <col min="770" max="771" width="9" style="1270"/>
    <col min="772" max="772" width="10.44140625" style="1270" customWidth="1"/>
    <col min="773" max="774" width="9.77734375" style="1270" customWidth="1"/>
    <col min="775" max="780" width="9" style="1270"/>
    <col min="781" max="781" width="0" style="1270" hidden="1" customWidth="1"/>
    <col min="782" max="1024" width="9" style="1270"/>
    <col min="1025" max="1025" width="9.6640625" style="1270" customWidth="1"/>
    <col min="1026" max="1027" width="9" style="1270"/>
    <col min="1028" max="1028" width="10.44140625" style="1270" customWidth="1"/>
    <col min="1029" max="1030" width="9.77734375" style="1270" customWidth="1"/>
    <col min="1031" max="1036" width="9" style="1270"/>
    <col min="1037" max="1037" width="0" style="1270" hidden="1" customWidth="1"/>
    <col min="1038" max="1280" width="9" style="1270"/>
    <col min="1281" max="1281" width="9.6640625" style="1270" customWidth="1"/>
    <col min="1282" max="1283" width="9" style="1270"/>
    <col min="1284" max="1284" width="10.44140625" style="1270" customWidth="1"/>
    <col min="1285" max="1286" width="9.77734375" style="1270" customWidth="1"/>
    <col min="1287" max="1292" width="9" style="1270"/>
    <col min="1293" max="1293" width="0" style="1270" hidden="1" customWidth="1"/>
    <col min="1294" max="1536" width="9" style="1270"/>
    <col min="1537" max="1537" width="9.6640625" style="1270" customWidth="1"/>
    <col min="1538" max="1539" width="9" style="1270"/>
    <col min="1540" max="1540" width="10.44140625" style="1270" customWidth="1"/>
    <col min="1541" max="1542" width="9.77734375" style="1270" customWidth="1"/>
    <col min="1543" max="1548" width="9" style="1270"/>
    <col min="1549" max="1549" width="0" style="1270" hidden="1" customWidth="1"/>
    <col min="1550" max="1792" width="9" style="1270"/>
    <col min="1793" max="1793" width="9.6640625" style="1270" customWidth="1"/>
    <col min="1794" max="1795" width="9" style="1270"/>
    <col min="1796" max="1796" width="10.44140625" style="1270" customWidth="1"/>
    <col min="1797" max="1798" width="9.77734375" style="1270" customWidth="1"/>
    <col min="1799" max="1804" width="9" style="1270"/>
    <col min="1805" max="1805" width="0" style="1270" hidden="1" customWidth="1"/>
    <col min="1806" max="2048" width="9" style="1270"/>
    <col min="2049" max="2049" width="9.6640625" style="1270" customWidth="1"/>
    <col min="2050" max="2051" width="9" style="1270"/>
    <col min="2052" max="2052" width="10.44140625" style="1270" customWidth="1"/>
    <col min="2053" max="2054" width="9.77734375" style="1270" customWidth="1"/>
    <col min="2055" max="2060" width="9" style="1270"/>
    <col min="2061" max="2061" width="0" style="1270" hidden="1" customWidth="1"/>
    <col min="2062" max="2304" width="9" style="1270"/>
    <col min="2305" max="2305" width="9.6640625" style="1270" customWidth="1"/>
    <col min="2306" max="2307" width="9" style="1270"/>
    <col min="2308" max="2308" width="10.44140625" style="1270" customWidth="1"/>
    <col min="2309" max="2310" width="9.77734375" style="1270" customWidth="1"/>
    <col min="2311" max="2316" width="9" style="1270"/>
    <col min="2317" max="2317" width="0" style="1270" hidden="1" customWidth="1"/>
    <col min="2318" max="2560" width="9" style="1270"/>
    <col min="2561" max="2561" width="9.6640625" style="1270" customWidth="1"/>
    <col min="2562" max="2563" width="9" style="1270"/>
    <col min="2564" max="2564" width="10.44140625" style="1270" customWidth="1"/>
    <col min="2565" max="2566" width="9.77734375" style="1270" customWidth="1"/>
    <col min="2567" max="2572" width="9" style="1270"/>
    <col min="2573" max="2573" width="0" style="1270" hidden="1" customWidth="1"/>
    <col min="2574" max="2816" width="9" style="1270"/>
    <col min="2817" max="2817" width="9.6640625" style="1270" customWidth="1"/>
    <col min="2818" max="2819" width="9" style="1270"/>
    <col min="2820" max="2820" width="10.44140625" style="1270" customWidth="1"/>
    <col min="2821" max="2822" width="9.77734375" style="1270" customWidth="1"/>
    <col min="2823" max="2828" width="9" style="1270"/>
    <col min="2829" max="2829" width="0" style="1270" hidden="1" customWidth="1"/>
    <col min="2830" max="3072" width="9" style="1270"/>
    <col min="3073" max="3073" width="9.6640625" style="1270" customWidth="1"/>
    <col min="3074" max="3075" width="9" style="1270"/>
    <col min="3076" max="3076" width="10.44140625" style="1270" customWidth="1"/>
    <col min="3077" max="3078" width="9.77734375" style="1270" customWidth="1"/>
    <col min="3079" max="3084" width="9" style="1270"/>
    <col min="3085" max="3085" width="0" style="1270" hidden="1" customWidth="1"/>
    <col min="3086" max="3328" width="9" style="1270"/>
    <col min="3329" max="3329" width="9.6640625" style="1270" customWidth="1"/>
    <col min="3330" max="3331" width="9" style="1270"/>
    <col min="3332" max="3332" width="10.44140625" style="1270" customWidth="1"/>
    <col min="3333" max="3334" width="9.77734375" style="1270" customWidth="1"/>
    <col min="3335" max="3340" width="9" style="1270"/>
    <col min="3341" max="3341" width="0" style="1270" hidden="1" customWidth="1"/>
    <col min="3342" max="3584" width="9" style="1270"/>
    <col min="3585" max="3585" width="9.6640625" style="1270" customWidth="1"/>
    <col min="3586" max="3587" width="9" style="1270"/>
    <col min="3588" max="3588" width="10.44140625" style="1270" customWidth="1"/>
    <col min="3589" max="3590" width="9.77734375" style="1270" customWidth="1"/>
    <col min="3591" max="3596" width="9" style="1270"/>
    <col min="3597" max="3597" width="0" style="1270" hidden="1" customWidth="1"/>
    <col min="3598" max="3840" width="9" style="1270"/>
    <col min="3841" max="3841" width="9.6640625" style="1270" customWidth="1"/>
    <col min="3842" max="3843" width="9" style="1270"/>
    <col min="3844" max="3844" width="10.44140625" style="1270" customWidth="1"/>
    <col min="3845" max="3846" width="9.77734375" style="1270" customWidth="1"/>
    <col min="3847" max="3852" width="9" style="1270"/>
    <col min="3853" max="3853" width="0" style="1270" hidden="1" customWidth="1"/>
    <col min="3854" max="4096" width="9" style="1270"/>
    <col min="4097" max="4097" width="9.6640625" style="1270" customWidth="1"/>
    <col min="4098" max="4099" width="9" style="1270"/>
    <col min="4100" max="4100" width="10.44140625" style="1270" customWidth="1"/>
    <col min="4101" max="4102" width="9.77734375" style="1270" customWidth="1"/>
    <col min="4103" max="4108" width="9" style="1270"/>
    <col min="4109" max="4109" width="0" style="1270" hidden="1" customWidth="1"/>
    <col min="4110" max="4352" width="9" style="1270"/>
    <col min="4353" max="4353" width="9.6640625" style="1270" customWidth="1"/>
    <col min="4354" max="4355" width="9" style="1270"/>
    <col min="4356" max="4356" width="10.44140625" style="1270" customWidth="1"/>
    <col min="4357" max="4358" width="9.77734375" style="1270" customWidth="1"/>
    <col min="4359" max="4364" width="9" style="1270"/>
    <col min="4365" max="4365" width="0" style="1270" hidden="1" customWidth="1"/>
    <col min="4366" max="4608" width="9" style="1270"/>
    <col min="4609" max="4609" width="9.6640625" style="1270" customWidth="1"/>
    <col min="4610" max="4611" width="9" style="1270"/>
    <col min="4612" max="4612" width="10.44140625" style="1270" customWidth="1"/>
    <col min="4613" max="4614" width="9.77734375" style="1270" customWidth="1"/>
    <col min="4615" max="4620" width="9" style="1270"/>
    <col min="4621" max="4621" width="0" style="1270" hidden="1" customWidth="1"/>
    <col min="4622" max="4864" width="9" style="1270"/>
    <col min="4865" max="4865" width="9.6640625" style="1270" customWidth="1"/>
    <col min="4866" max="4867" width="9" style="1270"/>
    <col min="4868" max="4868" width="10.44140625" style="1270" customWidth="1"/>
    <col min="4869" max="4870" width="9.77734375" style="1270" customWidth="1"/>
    <col min="4871" max="4876" width="9" style="1270"/>
    <col min="4877" max="4877" width="0" style="1270" hidden="1" customWidth="1"/>
    <col min="4878" max="5120" width="9" style="1270"/>
    <col min="5121" max="5121" width="9.6640625" style="1270" customWidth="1"/>
    <col min="5122" max="5123" width="9" style="1270"/>
    <col min="5124" max="5124" width="10.44140625" style="1270" customWidth="1"/>
    <col min="5125" max="5126" width="9.77734375" style="1270" customWidth="1"/>
    <col min="5127" max="5132" width="9" style="1270"/>
    <col min="5133" max="5133" width="0" style="1270" hidden="1" customWidth="1"/>
    <col min="5134" max="5376" width="9" style="1270"/>
    <col min="5377" max="5377" width="9.6640625" style="1270" customWidth="1"/>
    <col min="5378" max="5379" width="9" style="1270"/>
    <col min="5380" max="5380" width="10.44140625" style="1270" customWidth="1"/>
    <col min="5381" max="5382" width="9.77734375" style="1270" customWidth="1"/>
    <col min="5383" max="5388" width="9" style="1270"/>
    <col min="5389" max="5389" width="0" style="1270" hidden="1" customWidth="1"/>
    <col min="5390" max="5632" width="9" style="1270"/>
    <col min="5633" max="5633" width="9.6640625" style="1270" customWidth="1"/>
    <col min="5634" max="5635" width="9" style="1270"/>
    <col min="5636" max="5636" width="10.44140625" style="1270" customWidth="1"/>
    <col min="5637" max="5638" width="9.77734375" style="1270" customWidth="1"/>
    <col min="5639" max="5644" width="9" style="1270"/>
    <col min="5645" max="5645" width="0" style="1270" hidden="1" customWidth="1"/>
    <col min="5646" max="5888" width="9" style="1270"/>
    <col min="5889" max="5889" width="9.6640625" style="1270" customWidth="1"/>
    <col min="5890" max="5891" width="9" style="1270"/>
    <col min="5892" max="5892" width="10.44140625" style="1270" customWidth="1"/>
    <col min="5893" max="5894" width="9.77734375" style="1270" customWidth="1"/>
    <col min="5895" max="5900" width="9" style="1270"/>
    <col min="5901" max="5901" width="0" style="1270" hidden="1" customWidth="1"/>
    <col min="5902" max="6144" width="9" style="1270"/>
    <col min="6145" max="6145" width="9.6640625" style="1270" customWidth="1"/>
    <col min="6146" max="6147" width="9" style="1270"/>
    <col min="6148" max="6148" width="10.44140625" style="1270" customWidth="1"/>
    <col min="6149" max="6150" width="9.77734375" style="1270" customWidth="1"/>
    <col min="6151" max="6156" width="9" style="1270"/>
    <col min="6157" max="6157" width="0" style="1270" hidden="1" customWidth="1"/>
    <col min="6158" max="6400" width="9" style="1270"/>
    <col min="6401" max="6401" width="9.6640625" style="1270" customWidth="1"/>
    <col min="6402" max="6403" width="9" style="1270"/>
    <col min="6404" max="6404" width="10.44140625" style="1270" customWidth="1"/>
    <col min="6405" max="6406" width="9.77734375" style="1270" customWidth="1"/>
    <col min="6407" max="6412" width="9" style="1270"/>
    <col min="6413" max="6413" width="0" style="1270" hidden="1" customWidth="1"/>
    <col min="6414" max="6656" width="9" style="1270"/>
    <col min="6657" max="6657" width="9.6640625" style="1270" customWidth="1"/>
    <col min="6658" max="6659" width="9" style="1270"/>
    <col min="6660" max="6660" width="10.44140625" style="1270" customWidth="1"/>
    <col min="6661" max="6662" width="9.77734375" style="1270" customWidth="1"/>
    <col min="6663" max="6668" width="9" style="1270"/>
    <col min="6669" max="6669" width="0" style="1270" hidden="1" customWidth="1"/>
    <col min="6670" max="6912" width="9" style="1270"/>
    <col min="6913" max="6913" width="9.6640625" style="1270" customWidth="1"/>
    <col min="6914" max="6915" width="9" style="1270"/>
    <col min="6916" max="6916" width="10.44140625" style="1270" customWidth="1"/>
    <col min="6917" max="6918" width="9.77734375" style="1270" customWidth="1"/>
    <col min="6919" max="6924" width="9" style="1270"/>
    <col min="6925" max="6925" width="0" style="1270" hidden="1" customWidth="1"/>
    <col min="6926" max="7168" width="9" style="1270"/>
    <col min="7169" max="7169" width="9.6640625" style="1270" customWidth="1"/>
    <col min="7170" max="7171" width="9" style="1270"/>
    <col min="7172" max="7172" width="10.44140625" style="1270" customWidth="1"/>
    <col min="7173" max="7174" width="9.77734375" style="1270" customWidth="1"/>
    <col min="7175" max="7180" width="9" style="1270"/>
    <col min="7181" max="7181" width="0" style="1270" hidden="1" customWidth="1"/>
    <col min="7182" max="7424" width="9" style="1270"/>
    <col min="7425" max="7425" width="9.6640625" style="1270" customWidth="1"/>
    <col min="7426" max="7427" width="9" style="1270"/>
    <col min="7428" max="7428" width="10.44140625" style="1270" customWidth="1"/>
    <col min="7429" max="7430" width="9.77734375" style="1270" customWidth="1"/>
    <col min="7431" max="7436" width="9" style="1270"/>
    <col min="7437" max="7437" width="0" style="1270" hidden="1" customWidth="1"/>
    <col min="7438" max="7680" width="9" style="1270"/>
    <col min="7681" max="7681" width="9.6640625" style="1270" customWidth="1"/>
    <col min="7682" max="7683" width="9" style="1270"/>
    <col min="7684" max="7684" width="10.44140625" style="1270" customWidth="1"/>
    <col min="7685" max="7686" width="9.77734375" style="1270" customWidth="1"/>
    <col min="7687" max="7692" width="9" style="1270"/>
    <col min="7693" max="7693" width="0" style="1270" hidden="1" customWidth="1"/>
    <col min="7694" max="7936" width="9" style="1270"/>
    <col min="7937" max="7937" width="9.6640625" style="1270" customWidth="1"/>
    <col min="7938" max="7939" width="9" style="1270"/>
    <col min="7940" max="7940" width="10.44140625" style="1270" customWidth="1"/>
    <col min="7941" max="7942" width="9.77734375" style="1270" customWidth="1"/>
    <col min="7943" max="7948" width="9" style="1270"/>
    <col min="7949" max="7949" width="0" style="1270" hidden="1" customWidth="1"/>
    <col min="7950" max="8192" width="9" style="1270"/>
    <col min="8193" max="8193" width="9.6640625" style="1270" customWidth="1"/>
    <col min="8194" max="8195" width="9" style="1270"/>
    <col min="8196" max="8196" width="10.44140625" style="1270" customWidth="1"/>
    <col min="8197" max="8198" width="9.77734375" style="1270" customWidth="1"/>
    <col min="8199" max="8204" width="9" style="1270"/>
    <col min="8205" max="8205" width="0" style="1270" hidden="1" customWidth="1"/>
    <col min="8206" max="8448" width="9" style="1270"/>
    <col min="8449" max="8449" width="9.6640625" style="1270" customWidth="1"/>
    <col min="8450" max="8451" width="9" style="1270"/>
    <col min="8452" max="8452" width="10.44140625" style="1270" customWidth="1"/>
    <col min="8453" max="8454" width="9.77734375" style="1270" customWidth="1"/>
    <col min="8455" max="8460" width="9" style="1270"/>
    <col min="8461" max="8461" width="0" style="1270" hidden="1" customWidth="1"/>
    <col min="8462" max="8704" width="9" style="1270"/>
    <col min="8705" max="8705" width="9.6640625" style="1270" customWidth="1"/>
    <col min="8706" max="8707" width="9" style="1270"/>
    <col min="8708" max="8708" width="10.44140625" style="1270" customWidth="1"/>
    <col min="8709" max="8710" width="9.77734375" style="1270" customWidth="1"/>
    <col min="8711" max="8716" width="9" style="1270"/>
    <col min="8717" max="8717" width="0" style="1270" hidden="1" customWidth="1"/>
    <col min="8718" max="8960" width="9" style="1270"/>
    <col min="8961" max="8961" width="9.6640625" style="1270" customWidth="1"/>
    <col min="8962" max="8963" width="9" style="1270"/>
    <col min="8964" max="8964" width="10.44140625" style="1270" customWidth="1"/>
    <col min="8965" max="8966" width="9.77734375" style="1270" customWidth="1"/>
    <col min="8967" max="8972" width="9" style="1270"/>
    <col min="8973" max="8973" width="0" style="1270" hidden="1" customWidth="1"/>
    <col min="8974" max="9216" width="9" style="1270"/>
    <col min="9217" max="9217" width="9.6640625" style="1270" customWidth="1"/>
    <col min="9218" max="9219" width="9" style="1270"/>
    <col min="9220" max="9220" width="10.44140625" style="1270" customWidth="1"/>
    <col min="9221" max="9222" width="9.77734375" style="1270" customWidth="1"/>
    <col min="9223" max="9228" width="9" style="1270"/>
    <col min="9229" max="9229" width="0" style="1270" hidden="1" customWidth="1"/>
    <col min="9230" max="9472" width="9" style="1270"/>
    <col min="9473" max="9473" width="9.6640625" style="1270" customWidth="1"/>
    <col min="9474" max="9475" width="9" style="1270"/>
    <col min="9476" max="9476" width="10.44140625" style="1270" customWidth="1"/>
    <col min="9477" max="9478" width="9.77734375" style="1270" customWidth="1"/>
    <col min="9479" max="9484" width="9" style="1270"/>
    <col min="9485" max="9485" width="0" style="1270" hidden="1" customWidth="1"/>
    <col min="9486" max="9728" width="9" style="1270"/>
    <col min="9729" max="9729" width="9.6640625" style="1270" customWidth="1"/>
    <col min="9730" max="9731" width="9" style="1270"/>
    <col min="9732" max="9732" width="10.44140625" style="1270" customWidth="1"/>
    <col min="9733" max="9734" width="9.77734375" style="1270" customWidth="1"/>
    <col min="9735" max="9740" width="9" style="1270"/>
    <col min="9741" max="9741" width="0" style="1270" hidden="1" customWidth="1"/>
    <col min="9742" max="9984" width="9" style="1270"/>
    <col min="9985" max="9985" width="9.6640625" style="1270" customWidth="1"/>
    <col min="9986" max="9987" width="9" style="1270"/>
    <col min="9988" max="9988" width="10.44140625" style="1270" customWidth="1"/>
    <col min="9989" max="9990" width="9.77734375" style="1270" customWidth="1"/>
    <col min="9991" max="9996" width="9" style="1270"/>
    <col min="9997" max="9997" width="0" style="1270" hidden="1" customWidth="1"/>
    <col min="9998" max="10240" width="9" style="1270"/>
    <col min="10241" max="10241" width="9.6640625" style="1270" customWidth="1"/>
    <col min="10242" max="10243" width="9" style="1270"/>
    <col min="10244" max="10244" width="10.44140625" style="1270" customWidth="1"/>
    <col min="10245" max="10246" width="9.77734375" style="1270" customWidth="1"/>
    <col min="10247" max="10252" width="9" style="1270"/>
    <col min="10253" max="10253" width="0" style="1270" hidden="1" customWidth="1"/>
    <col min="10254" max="10496" width="9" style="1270"/>
    <col min="10497" max="10497" width="9.6640625" style="1270" customWidth="1"/>
    <col min="10498" max="10499" width="9" style="1270"/>
    <col min="10500" max="10500" width="10.44140625" style="1270" customWidth="1"/>
    <col min="10501" max="10502" width="9.77734375" style="1270" customWidth="1"/>
    <col min="10503" max="10508" width="9" style="1270"/>
    <col min="10509" max="10509" width="0" style="1270" hidden="1" customWidth="1"/>
    <col min="10510" max="10752" width="9" style="1270"/>
    <col min="10753" max="10753" width="9.6640625" style="1270" customWidth="1"/>
    <col min="10754" max="10755" width="9" style="1270"/>
    <col min="10756" max="10756" width="10.44140625" style="1270" customWidth="1"/>
    <col min="10757" max="10758" width="9.77734375" style="1270" customWidth="1"/>
    <col min="10759" max="10764" width="9" style="1270"/>
    <col min="10765" max="10765" width="0" style="1270" hidden="1" customWidth="1"/>
    <col min="10766" max="11008" width="9" style="1270"/>
    <col min="11009" max="11009" width="9.6640625" style="1270" customWidth="1"/>
    <col min="11010" max="11011" width="9" style="1270"/>
    <col min="11012" max="11012" width="10.44140625" style="1270" customWidth="1"/>
    <col min="11013" max="11014" width="9.77734375" style="1270" customWidth="1"/>
    <col min="11015" max="11020" width="9" style="1270"/>
    <col min="11021" max="11021" width="0" style="1270" hidden="1" customWidth="1"/>
    <col min="11022" max="11264" width="9" style="1270"/>
    <col min="11265" max="11265" width="9.6640625" style="1270" customWidth="1"/>
    <col min="11266" max="11267" width="9" style="1270"/>
    <col min="11268" max="11268" width="10.44140625" style="1270" customWidth="1"/>
    <col min="11269" max="11270" width="9.77734375" style="1270" customWidth="1"/>
    <col min="11271" max="11276" width="9" style="1270"/>
    <col min="11277" max="11277" width="0" style="1270" hidden="1" customWidth="1"/>
    <col min="11278" max="11520" width="9" style="1270"/>
    <col min="11521" max="11521" width="9.6640625" style="1270" customWidth="1"/>
    <col min="11522" max="11523" width="9" style="1270"/>
    <col min="11524" max="11524" width="10.44140625" style="1270" customWidth="1"/>
    <col min="11525" max="11526" width="9.77734375" style="1270" customWidth="1"/>
    <col min="11527" max="11532" width="9" style="1270"/>
    <col min="11533" max="11533" width="0" style="1270" hidden="1" customWidth="1"/>
    <col min="11534" max="11776" width="9" style="1270"/>
    <col min="11777" max="11777" width="9.6640625" style="1270" customWidth="1"/>
    <col min="11778" max="11779" width="9" style="1270"/>
    <col min="11780" max="11780" width="10.44140625" style="1270" customWidth="1"/>
    <col min="11781" max="11782" width="9.77734375" style="1270" customWidth="1"/>
    <col min="11783" max="11788" width="9" style="1270"/>
    <col min="11789" max="11789" width="0" style="1270" hidden="1" customWidth="1"/>
    <col min="11790" max="12032" width="9" style="1270"/>
    <col min="12033" max="12033" width="9.6640625" style="1270" customWidth="1"/>
    <col min="12034" max="12035" width="9" style="1270"/>
    <col min="12036" max="12036" width="10.44140625" style="1270" customWidth="1"/>
    <col min="12037" max="12038" width="9.77734375" style="1270" customWidth="1"/>
    <col min="12039" max="12044" width="9" style="1270"/>
    <col min="12045" max="12045" width="0" style="1270" hidden="1" customWidth="1"/>
    <col min="12046" max="12288" width="9" style="1270"/>
    <col min="12289" max="12289" width="9.6640625" style="1270" customWidth="1"/>
    <col min="12290" max="12291" width="9" style="1270"/>
    <col min="12292" max="12292" width="10.44140625" style="1270" customWidth="1"/>
    <col min="12293" max="12294" width="9.77734375" style="1270" customWidth="1"/>
    <col min="12295" max="12300" width="9" style="1270"/>
    <col min="12301" max="12301" width="0" style="1270" hidden="1" customWidth="1"/>
    <col min="12302" max="12544" width="9" style="1270"/>
    <col min="12545" max="12545" width="9.6640625" style="1270" customWidth="1"/>
    <col min="12546" max="12547" width="9" style="1270"/>
    <col min="12548" max="12548" width="10.44140625" style="1270" customWidth="1"/>
    <col min="12549" max="12550" width="9.77734375" style="1270" customWidth="1"/>
    <col min="12551" max="12556" width="9" style="1270"/>
    <col min="12557" max="12557" width="0" style="1270" hidden="1" customWidth="1"/>
    <col min="12558" max="12800" width="9" style="1270"/>
    <col min="12801" max="12801" width="9.6640625" style="1270" customWidth="1"/>
    <col min="12802" max="12803" width="9" style="1270"/>
    <col min="12804" max="12804" width="10.44140625" style="1270" customWidth="1"/>
    <col min="12805" max="12806" width="9.77734375" style="1270" customWidth="1"/>
    <col min="12807" max="12812" width="9" style="1270"/>
    <col min="12813" max="12813" width="0" style="1270" hidden="1" customWidth="1"/>
    <col min="12814" max="13056" width="9" style="1270"/>
    <col min="13057" max="13057" width="9.6640625" style="1270" customWidth="1"/>
    <col min="13058" max="13059" width="9" style="1270"/>
    <col min="13060" max="13060" width="10.44140625" style="1270" customWidth="1"/>
    <col min="13061" max="13062" width="9.77734375" style="1270" customWidth="1"/>
    <col min="13063" max="13068" width="9" style="1270"/>
    <col min="13069" max="13069" width="0" style="1270" hidden="1" customWidth="1"/>
    <col min="13070" max="13312" width="9" style="1270"/>
    <col min="13313" max="13313" width="9.6640625" style="1270" customWidth="1"/>
    <col min="13314" max="13315" width="9" style="1270"/>
    <col min="13316" max="13316" width="10.44140625" style="1270" customWidth="1"/>
    <col min="13317" max="13318" width="9.77734375" style="1270" customWidth="1"/>
    <col min="13319" max="13324" width="9" style="1270"/>
    <col min="13325" max="13325" width="0" style="1270" hidden="1" customWidth="1"/>
    <col min="13326" max="13568" width="9" style="1270"/>
    <col min="13569" max="13569" width="9.6640625" style="1270" customWidth="1"/>
    <col min="13570" max="13571" width="9" style="1270"/>
    <col min="13572" max="13572" width="10.44140625" style="1270" customWidth="1"/>
    <col min="13573" max="13574" width="9.77734375" style="1270" customWidth="1"/>
    <col min="13575" max="13580" width="9" style="1270"/>
    <col min="13581" max="13581" width="0" style="1270" hidden="1" customWidth="1"/>
    <col min="13582" max="13824" width="9" style="1270"/>
    <col min="13825" max="13825" width="9.6640625" style="1270" customWidth="1"/>
    <col min="13826" max="13827" width="9" style="1270"/>
    <col min="13828" max="13828" width="10.44140625" style="1270" customWidth="1"/>
    <col min="13829" max="13830" width="9.77734375" style="1270" customWidth="1"/>
    <col min="13831" max="13836" width="9" style="1270"/>
    <col min="13837" max="13837" width="0" style="1270" hidden="1" customWidth="1"/>
    <col min="13838" max="14080" width="9" style="1270"/>
    <col min="14081" max="14081" width="9.6640625" style="1270" customWidth="1"/>
    <col min="14082" max="14083" width="9" style="1270"/>
    <col min="14084" max="14084" width="10.44140625" style="1270" customWidth="1"/>
    <col min="14085" max="14086" width="9.77734375" style="1270" customWidth="1"/>
    <col min="14087" max="14092" width="9" style="1270"/>
    <col min="14093" max="14093" width="0" style="1270" hidden="1" customWidth="1"/>
    <col min="14094" max="14336" width="9" style="1270"/>
    <col min="14337" max="14337" width="9.6640625" style="1270" customWidth="1"/>
    <col min="14338" max="14339" width="9" style="1270"/>
    <col min="14340" max="14340" width="10.44140625" style="1270" customWidth="1"/>
    <col min="14341" max="14342" width="9.77734375" style="1270" customWidth="1"/>
    <col min="14343" max="14348" width="9" style="1270"/>
    <col min="14349" max="14349" width="0" style="1270" hidden="1" customWidth="1"/>
    <col min="14350" max="14592" width="9" style="1270"/>
    <col min="14593" max="14593" width="9.6640625" style="1270" customWidth="1"/>
    <col min="14594" max="14595" width="9" style="1270"/>
    <col min="14596" max="14596" width="10.44140625" style="1270" customWidth="1"/>
    <col min="14597" max="14598" width="9.77734375" style="1270" customWidth="1"/>
    <col min="14599" max="14604" width="9" style="1270"/>
    <col min="14605" max="14605" width="0" style="1270" hidden="1" customWidth="1"/>
    <col min="14606" max="14848" width="9" style="1270"/>
    <col min="14849" max="14849" width="9.6640625" style="1270" customWidth="1"/>
    <col min="14850" max="14851" width="9" style="1270"/>
    <col min="14852" max="14852" width="10.44140625" style="1270" customWidth="1"/>
    <col min="14853" max="14854" width="9.77734375" style="1270" customWidth="1"/>
    <col min="14855" max="14860" width="9" style="1270"/>
    <col min="14861" max="14861" width="0" style="1270" hidden="1" customWidth="1"/>
    <col min="14862" max="15104" width="9" style="1270"/>
    <col min="15105" max="15105" width="9.6640625" style="1270" customWidth="1"/>
    <col min="15106" max="15107" width="9" style="1270"/>
    <col min="15108" max="15108" width="10.44140625" style="1270" customWidth="1"/>
    <col min="15109" max="15110" width="9.77734375" style="1270" customWidth="1"/>
    <col min="15111" max="15116" width="9" style="1270"/>
    <col min="15117" max="15117" width="0" style="1270" hidden="1" customWidth="1"/>
    <col min="15118" max="15360" width="9" style="1270"/>
    <col min="15361" max="15361" width="9.6640625" style="1270" customWidth="1"/>
    <col min="15362" max="15363" width="9" style="1270"/>
    <col min="15364" max="15364" width="10.44140625" style="1270" customWidth="1"/>
    <col min="15365" max="15366" width="9.77734375" style="1270" customWidth="1"/>
    <col min="15367" max="15372" width="9" style="1270"/>
    <col min="15373" max="15373" width="0" style="1270" hidden="1" customWidth="1"/>
    <col min="15374" max="15616" width="9" style="1270"/>
    <col min="15617" max="15617" width="9.6640625" style="1270" customWidth="1"/>
    <col min="15618" max="15619" width="9" style="1270"/>
    <col min="15620" max="15620" width="10.44140625" style="1270" customWidth="1"/>
    <col min="15621" max="15622" width="9.77734375" style="1270" customWidth="1"/>
    <col min="15623" max="15628" width="9" style="1270"/>
    <col min="15629" max="15629" width="0" style="1270" hidden="1" customWidth="1"/>
    <col min="15630" max="15872" width="9" style="1270"/>
    <col min="15873" max="15873" width="9.6640625" style="1270" customWidth="1"/>
    <col min="15874" max="15875" width="9" style="1270"/>
    <col min="15876" max="15876" width="10.44140625" style="1270" customWidth="1"/>
    <col min="15877" max="15878" width="9.77734375" style="1270" customWidth="1"/>
    <col min="15879" max="15884" width="9" style="1270"/>
    <col min="15885" max="15885" width="0" style="1270" hidden="1" customWidth="1"/>
    <col min="15886" max="16128" width="9" style="1270"/>
    <col min="16129" max="16129" width="9.6640625" style="1270" customWidth="1"/>
    <col min="16130" max="16131" width="9" style="1270"/>
    <col min="16132" max="16132" width="10.44140625" style="1270" customWidth="1"/>
    <col min="16133" max="16134" width="9.77734375" style="1270" customWidth="1"/>
    <col min="16135" max="16140" width="9" style="1270"/>
    <col min="16141" max="16141" width="0" style="1270" hidden="1" customWidth="1"/>
    <col min="16142" max="16384" width="9" style="1270"/>
  </cols>
  <sheetData>
    <row r="1" spans="1:13" s="1263" customFormat="1" ht="60.75" thickBot="1" x14ac:dyDescent="0.3">
      <c r="A1" s="1257" t="s">
        <v>0</v>
      </c>
      <c r="B1" s="1258" t="s">
        <v>1</v>
      </c>
      <c r="C1" s="1258" t="s">
        <v>2</v>
      </c>
      <c r="D1" s="1259" t="s">
        <v>3</v>
      </c>
      <c r="E1" s="1260" t="s">
        <v>4</v>
      </c>
      <c r="F1" s="1261" t="s">
        <v>5</v>
      </c>
      <c r="G1" s="1260" t="s">
        <v>6</v>
      </c>
      <c r="H1" s="1261" t="s">
        <v>7</v>
      </c>
      <c r="I1" s="1261" t="s">
        <v>8</v>
      </c>
      <c r="J1" s="1261" t="s">
        <v>9</v>
      </c>
      <c r="K1" s="1260" t="s">
        <v>10</v>
      </c>
      <c r="L1" s="1260" t="s">
        <v>11</v>
      </c>
      <c r="M1" s="1262" t="s">
        <v>12</v>
      </c>
    </row>
    <row r="2" spans="1:13" x14ac:dyDescent="0.25">
      <c r="A2" s="1264" t="s">
        <v>13</v>
      </c>
      <c r="B2" s="1265">
        <v>1</v>
      </c>
      <c r="C2" s="1265">
        <v>5</v>
      </c>
      <c r="D2" s="1266">
        <v>2020</v>
      </c>
      <c r="E2" s="1267">
        <f>366799.64/31</f>
        <v>11832.246451612904</v>
      </c>
      <c r="F2" s="1268">
        <f>'Daily HLP'!J4</f>
        <v>9.5</v>
      </c>
      <c r="G2" s="1268">
        <f>8431/31</f>
        <v>271.96774193548384</v>
      </c>
      <c r="H2" s="1268">
        <v>28</v>
      </c>
      <c r="I2" s="1268">
        <f>1828/31</f>
        <v>58.967741935483872</v>
      </c>
      <c r="J2" s="1268">
        <v>129.27000000000001</v>
      </c>
      <c r="K2" s="1267">
        <f>3058/31</f>
        <v>98.645161290322577</v>
      </c>
      <c r="L2" s="1267">
        <v>0</v>
      </c>
      <c r="M2" s="1269" t="e">
        <f>E2*F2+G2*H2+#REF!*#REF!+I2*J2</f>
        <v>#REF!</v>
      </c>
    </row>
    <row r="3" spans="1:13" x14ac:dyDescent="0.25">
      <c r="A3" s="1264" t="s">
        <v>13</v>
      </c>
      <c r="B3" s="1265">
        <f>B2+1</f>
        <v>2</v>
      </c>
      <c r="C3" s="1265">
        <v>5</v>
      </c>
      <c r="D3" s="1266">
        <v>2020</v>
      </c>
      <c r="E3" s="1267">
        <f t="shared" ref="E3:E32" si="0">366799.64/31</f>
        <v>11832.246451612904</v>
      </c>
      <c r="F3" s="1268">
        <f>F2</f>
        <v>9.5</v>
      </c>
      <c r="G3" s="1268">
        <f t="shared" ref="G3:G32" si="1">8431/31</f>
        <v>271.96774193548384</v>
      </c>
      <c r="H3" s="1268">
        <v>28</v>
      </c>
      <c r="I3" s="1268">
        <f t="shared" ref="I3:I32" si="2">1828/31</f>
        <v>58.967741935483872</v>
      </c>
      <c r="J3" s="1268">
        <f>J2</f>
        <v>129.27000000000001</v>
      </c>
      <c r="K3" s="1267">
        <f t="shared" ref="K3:K32" si="3">3058/31</f>
        <v>98.645161290322577</v>
      </c>
      <c r="L3" s="1267">
        <v>0</v>
      </c>
      <c r="M3" s="1269" t="e">
        <f>E3*F3+G3*H3+#REF!*#REF!+I3*J3</f>
        <v>#REF!</v>
      </c>
    </row>
    <row r="4" spans="1:13" x14ac:dyDescent="0.25">
      <c r="A4" s="1264" t="s">
        <v>13</v>
      </c>
      <c r="B4" s="1265">
        <f t="shared" ref="B4:B32" si="4">B3+1</f>
        <v>3</v>
      </c>
      <c r="C4" s="1265">
        <v>5</v>
      </c>
      <c r="D4" s="1266">
        <v>2020</v>
      </c>
      <c r="E4" s="1267">
        <f t="shared" si="0"/>
        <v>11832.246451612904</v>
      </c>
      <c r="F4" s="1268">
        <f t="shared" ref="F4:F32" si="5">F3</f>
        <v>9.5</v>
      </c>
      <c r="G4" s="1268">
        <f t="shared" si="1"/>
        <v>271.96774193548384</v>
      </c>
      <c r="H4" s="1268">
        <v>28</v>
      </c>
      <c r="I4" s="1268">
        <f t="shared" si="2"/>
        <v>58.967741935483872</v>
      </c>
      <c r="J4" s="1268">
        <f t="shared" ref="J4:J32" si="6">J3</f>
        <v>129.27000000000001</v>
      </c>
      <c r="K4" s="1267">
        <f t="shared" si="3"/>
        <v>98.645161290322577</v>
      </c>
      <c r="L4" s="1267">
        <v>0</v>
      </c>
      <c r="M4" s="1269" t="e">
        <f>E4*F4+G4*H4+#REF!*#REF!+I4*J4</f>
        <v>#REF!</v>
      </c>
    </row>
    <row r="5" spans="1:13" x14ac:dyDescent="0.25">
      <c r="A5" s="1264" t="s">
        <v>13</v>
      </c>
      <c r="B5" s="1265">
        <f t="shared" si="4"/>
        <v>4</v>
      </c>
      <c r="C5" s="1265">
        <v>5</v>
      </c>
      <c r="D5" s="1266">
        <v>2020</v>
      </c>
      <c r="E5" s="1267">
        <f t="shared" si="0"/>
        <v>11832.246451612904</v>
      </c>
      <c r="F5" s="1268">
        <f t="shared" si="5"/>
        <v>9.5</v>
      </c>
      <c r="G5" s="1268">
        <f t="shared" si="1"/>
        <v>271.96774193548384</v>
      </c>
      <c r="H5" s="1268">
        <v>28</v>
      </c>
      <c r="I5" s="1268">
        <f t="shared" si="2"/>
        <v>58.967741935483872</v>
      </c>
      <c r="J5" s="1268">
        <f t="shared" si="6"/>
        <v>129.27000000000001</v>
      </c>
      <c r="K5" s="1267">
        <f t="shared" si="3"/>
        <v>98.645161290322577</v>
      </c>
      <c r="L5" s="1267">
        <v>0</v>
      </c>
      <c r="M5" s="1269" t="e">
        <f>E5*F5+G5*H5+#REF!*#REF!+I5*J5</f>
        <v>#REF!</v>
      </c>
    </row>
    <row r="6" spans="1:13" x14ac:dyDescent="0.25">
      <c r="A6" s="1264" t="s">
        <v>13</v>
      </c>
      <c r="B6" s="1265">
        <f t="shared" si="4"/>
        <v>5</v>
      </c>
      <c r="C6" s="1265">
        <v>5</v>
      </c>
      <c r="D6" s="1266">
        <v>2020</v>
      </c>
      <c r="E6" s="1267">
        <f t="shared" si="0"/>
        <v>11832.246451612904</v>
      </c>
      <c r="F6" s="1268">
        <f t="shared" si="5"/>
        <v>9.5</v>
      </c>
      <c r="G6" s="1268">
        <f t="shared" si="1"/>
        <v>271.96774193548384</v>
      </c>
      <c r="H6" s="1268">
        <v>28</v>
      </c>
      <c r="I6" s="1268">
        <f t="shared" si="2"/>
        <v>58.967741935483872</v>
      </c>
      <c r="J6" s="1268">
        <f t="shared" si="6"/>
        <v>129.27000000000001</v>
      </c>
      <c r="K6" s="1267">
        <f t="shared" si="3"/>
        <v>98.645161290322577</v>
      </c>
      <c r="L6" s="1267">
        <v>0</v>
      </c>
      <c r="M6" s="1269" t="e">
        <f>E6*F6+G6*H6+#REF!*#REF!+I6*J6</f>
        <v>#REF!</v>
      </c>
    </row>
    <row r="7" spans="1:13" x14ac:dyDescent="0.25">
      <c r="A7" s="1264" t="s">
        <v>13</v>
      </c>
      <c r="B7" s="1265">
        <f t="shared" si="4"/>
        <v>6</v>
      </c>
      <c r="C7" s="1265">
        <v>5</v>
      </c>
      <c r="D7" s="1266">
        <v>2020</v>
      </c>
      <c r="E7" s="1267">
        <f t="shared" si="0"/>
        <v>11832.246451612904</v>
      </c>
      <c r="F7" s="1268">
        <f t="shared" si="5"/>
        <v>9.5</v>
      </c>
      <c r="G7" s="1268">
        <f t="shared" si="1"/>
        <v>271.96774193548384</v>
      </c>
      <c r="H7" s="1268">
        <v>28</v>
      </c>
      <c r="I7" s="1268">
        <f t="shared" si="2"/>
        <v>58.967741935483872</v>
      </c>
      <c r="J7" s="1268">
        <f t="shared" si="6"/>
        <v>129.27000000000001</v>
      </c>
      <c r="K7" s="1267">
        <f t="shared" si="3"/>
        <v>98.645161290322577</v>
      </c>
      <c r="L7" s="1267">
        <v>0</v>
      </c>
      <c r="M7" s="1269" t="e">
        <f>E7*F7+G7*H7+#REF!*#REF!+I7*J7</f>
        <v>#REF!</v>
      </c>
    </row>
    <row r="8" spans="1:13" x14ac:dyDescent="0.25">
      <c r="A8" s="1264" t="s">
        <v>13</v>
      </c>
      <c r="B8" s="1265">
        <f t="shared" si="4"/>
        <v>7</v>
      </c>
      <c r="C8" s="1265">
        <v>5</v>
      </c>
      <c r="D8" s="1266">
        <v>2020</v>
      </c>
      <c r="E8" s="1267">
        <f t="shared" si="0"/>
        <v>11832.246451612904</v>
      </c>
      <c r="F8" s="1268">
        <f t="shared" si="5"/>
        <v>9.5</v>
      </c>
      <c r="G8" s="1268">
        <f t="shared" si="1"/>
        <v>271.96774193548384</v>
      </c>
      <c r="H8" s="1268">
        <v>28</v>
      </c>
      <c r="I8" s="1268">
        <f t="shared" si="2"/>
        <v>58.967741935483872</v>
      </c>
      <c r="J8" s="1268">
        <f t="shared" si="6"/>
        <v>129.27000000000001</v>
      </c>
      <c r="K8" s="1267">
        <f t="shared" si="3"/>
        <v>98.645161290322577</v>
      </c>
      <c r="L8" s="1267">
        <v>0</v>
      </c>
      <c r="M8" s="1269" t="e">
        <f>E8*F8+G8*H8+#REF!*#REF!+I8*J8</f>
        <v>#REF!</v>
      </c>
    </row>
    <row r="9" spans="1:13" x14ac:dyDescent="0.25">
      <c r="A9" s="1264" t="s">
        <v>13</v>
      </c>
      <c r="B9" s="1265">
        <f t="shared" si="4"/>
        <v>8</v>
      </c>
      <c r="C9" s="1265">
        <v>5</v>
      </c>
      <c r="D9" s="1266">
        <v>2020</v>
      </c>
      <c r="E9" s="1267">
        <f t="shared" si="0"/>
        <v>11832.246451612904</v>
      </c>
      <c r="F9" s="1268">
        <f t="shared" si="5"/>
        <v>9.5</v>
      </c>
      <c r="G9" s="1268">
        <f t="shared" si="1"/>
        <v>271.96774193548384</v>
      </c>
      <c r="H9" s="1268">
        <v>28</v>
      </c>
      <c r="I9" s="1268">
        <f t="shared" si="2"/>
        <v>58.967741935483872</v>
      </c>
      <c r="J9" s="1268">
        <f t="shared" si="6"/>
        <v>129.27000000000001</v>
      </c>
      <c r="K9" s="1267">
        <f t="shared" si="3"/>
        <v>98.645161290322577</v>
      </c>
      <c r="L9" s="1267">
        <v>0</v>
      </c>
      <c r="M9" s="1269" t="e">
        <f>E9*F9+G9*H9+#REF!*#REF!+I9*J9</f>
        <v>#REF!</v>
      </c>
    </row>
    <row r="10" spans="1:13" x14ac:dyDescent="0.25">
      <c r="A10" s="1264" t="s">
        <v>13</v>
      </c>
      <c r="B10" s="1265">
        <f t="shared" si="4"/>
        <v>9</v>
      </c>
      <c r="C10" s="1265">
        <v>5</v>
      </c>
      <c r="D10" s="1266">
        <v>2020</v>
      </c>
      <c r="E10" s="1267">
        <f t="shared" si="0"/>
        <v>11832.246451612904</v>
      </c>
      <c r="F10" s="1268">
        <f t="shared" si="5"/>
        <v>9.5</v>
      </c>
      <c r="G10" s="1268">
        <f t="shared" si="1"/>
        <v>271.96774193548384</v>
      </c>
      <c r="H10" s="1268">
        <v>28</v>
      </c>
      <c r="I10" s="1268">
        <f t="shared" si="2"/>
        <v>58.967741935483872</v>
      </c>
      <c r="J10" s="1268">
        <f t="shared" si="6"/>
        <v>129.27000000000001</v>
      </c>
      <c r="K10" s="1267">
        <f t="shared" si="3"/>
        <v>98.645161290322577</v>
      </c>
      <c r="L10" s="1267">
        <v>0</v>
      </c>
      <c r="M10" s="1269" t="e">
        <f>E10*F10+G10*H10+#REF!*#REF!+I10*J10</f>
        <v>#REF!</v>
      </c>
    </row>
    <row r="11" spans="1:13" x14ac:dyDescent="0.25">
      <c r="A11" s="1264" t="s">
        <v>13</v>
      </c>
      <c r="B11" s="1265">
        <f t="shared" si="4"/>
        <v>10</v>
      </c>
      <c r="C11" s="1265">
        <v>5</v>
      </c>
      <c r="D11" s="1266">
        <v>2020</v>
      </c>
      <c r="E11" s="1267">
        <f t="shared" si="0"/>
        <v>11832.246451612904</v>
      </c>
      <c r="F11" s="1268">
        <f t="shared" si="5"/>
        <v>9.5</v>
      </c>
      <c r="G11" s="1268">
        <f t="shared" si="1"/>
        <v>271.96774193548384</v>
      </c>
      <c r="H11" s="1268">
        <v>28</v>
      </c>
      <c r="I11" s="1268">
        <f t="shared" si="2"/>
        <v>58.967741935483872</v>
      </c>
      <c r="J11" s="1268">
        <f t="shared" si="6"/>
        <v>129.27000000000001</v>
      </c>
      <c r="K11" s="1267">
        <f t="shared" si="3"/>
        <v>98.645161290322577</v>
      </c>
      <c r="L11" s="1267">
        <v>0</v>
      </c>
      <c r="M11" s="1269" t="e">
        <f>E11*F11+G11*H11+#REF!*#REF!+I11*J11</f>
        <v>#REF!</v>
      </c>
    </row>
    <row r="12" spans="1:13" x14ac:dyDescent="0.25">
      <c r="A12" s="1264" t="s">
        <v>13</v>
      </c>
      <c r="B12" s="1265">
        <f t="shared" si="4"/>
        <v>11</v>
      </c>
      <c r="C12" s="1265">
        <v>5</v>
      </c>
      <c r="D12" s="1266">
        <v>2020</v>
      </c>
      <c r="E12" s="1267">
        <f t="shared" si="0"/>
        <v>11832.246451612904</v>
      </c>
      <c r="F12" s="1268">
        <f t="shared" si="5"/>
        <v>9.5</v>
      </c>
      <c r="G12" s="1268">
        <f t="shared" si="1"/>
        <v>271.96774193548384</v>
      </c>
      <c r="H12" s="1268">
        <v>28</v>
      </c>
      <c r="I12" s="1268">
        <f t="shared" si="2"/>
        <v>58.967741935483872</v>
      </c>
      <c r="J12" s="1268">
        <f t="shared" si="6"/>
        <v>129.27000000000001</v>
      </c>
      <c r="K12" s="1267">
        <f t="shared" si="3"/>
        <v>98.645161290322577</v>
      </c>
      <c r="L12" s="1267">
        <v>0</v>
      </c>
      <c r="M12" s="1269" t="e">
        <f>E12*F12+G12*H12+#REF!*#REF!+I12*J12</f>
        <v>#REF!</v>
      </c>
    </row>
    <row r="13" spans="1:13" x14ac:dyDescent="0.25">
      <c r="A13" s="1264" t="s">
        <v>13</v>
      </c>
      <c r="B13" s="1265">
        <f t="shared" si="4"/>
        <v>12</v>
      </c>
      <c r="C13" s="1265">
        <v>5</v>
      </c>
      <c r="D13" s="1266">
        <v>2020</v>
      </c>
      <c r="E13" s="1267">
        <f t="shared" si="0"/>
        <v>11832.246451612904</v>
      </c>
      <c r="F13" s="1268">
        <f t="shared" si="5"/>
        <v>9.5</v>
      </c>
      <c r="G13" s="1268">
        <f t="shared" si="1"/>
        <v>271.96774193548384</v>
      </c>
      <c r="H13" s="1268">
        <v>28</v>
      </c>
      <c r="I13" s="1268">
        <f t="shared" si="2"/>
        <v>58.967741935483872</v>
      </c>
      <c r="J13" s="1268">
        <f t="shared" si="6"/>
        <v>129.27000000000001</v>
      </c>
      <c r="K13" s="1267">
        <f t="shared" si="3"/>
        <v>98.645161290322577</v>
      </c>
      <c r="L13" s="1267">
        <v>0</v>
      </c>
      <c r="M13" s="1269" t="e">
        <f>E13*F13+G13*H13+#REF!*#REF!+I13*J13</f>
        <v>#REF!</v>
      </c>
    </row>
    <row r="14" spans="1:13" x14ac:dyDescent="0.25">
      <c r="A14" s="1264" t="s">
        <v>13</v>
      </c>
      <c r="B14" s="1265">
        <f t="shared" si="4"/>
        <v>13</v>
      </c>
      <c r="C14" s="1265">
        <v>5</v>
      </c>
      <c r="D14" s="1266">
        <v>2020</v>
      </c>
      <c r="E14" s="1267">
        <f t="shared" si="0"/>
        <v>11832.246451612904</v>
      </c>
      <c r="F14" s="1268">
        <f t="shared" si="5"/>
        <v>9.5</v>
      </c>
      <c r="G14" s="1268">
        <f t="shared" si="1"/>
        <v>271.96774193548384</v>
      </c>
      <c r="H14" s="1268">
        <v>28</v>
      </c>
      <c r="I14" s="1268">
        <f t="shared" si="2"/>
        <v>58.967741935483872</v>
      </c>
      <c r="J14" s="1268">
        <f t="shared" si="6"/>
        <v>129.27000000000001</v>
      </c>
      <c r="K14" s="1267">
        <f t="shared" si="3"/>
        <v>98.645161290322577</v>
      </c>
      <c r="L14" s="1267">
        <v>0</v>
      </c>
      <c r="M14" s="1269" t="e">
        <f>E14*F14+G14*H14+#REF!*#REF!+I14*J14</f>
        <v>#REF!</v>
      </c>
    </row>
    <row r="15" spans="1:13" x14ac:dyDescent="0.25">
      <c r="A15" s="1264" t="s">
        <v>13</v>
      </c>
      <c r="B15" s="1265">
        <f t="shared" si="4"/>
        <v>14</v>
      </c>
      <c r="C15" s="1265">
        <v>5</v>
      </c>
      <c r="D15" s="1266">
        <v>2020</v>
      </c>
      <c r="E15" s="1267">
        <f t="shared" si="0"/>
        <v>11832.246451612904</v>
      </c>
      <c r="F15" s="1268">
        <f t="shared" si="5"/>
        <v>9.5</v>
      </c>
      <c r="G15" s="1268">
        <f t="shared" si="1"/>
        <v>271.96774193548384</v>
      </c>
      <c r="H15" s="1268">
        <v>28</v>
      </c>
      <c r="I15" s="1268">
        <f t="shared" si="2"/>
        <v>58.967741935483872</v>
      </c>
      <c r="J15" s="1268">
        <f t="shared" si="6"/>
        <v>129.27000000000001</v>
      </c>
      <c r="K15" s="1267">
        <f t="shared" si="3"/>
        <v>98.645161290322577</v>
      </c>
      <c r="L15" s="1267">
        <v>0</v>
      </c>
      <c r="M15" s="1269" t="e">
        <f>E15*F15+G15*H15+#REF!*#REF!+I15*J15</f>
        <v>#REF!</v>
      </c>
    </row>
    <row r="16" spans="1:13" x14ac:dyDescent="0.25">
      <c r="A16" s="1264" t="s">
        <v>13</v>
      </c>
      <c r="B16" s="1265">
        <f t="shared" si="4"/>
        <v>15</v>
      </c>
      <c r="C16" s="1265">
        <v>5</v>
      </c>
      <c r="D16" s="1266">
        <v>2020</v>
      </c>
      <c r="E16" s="1267">
        <f t="shared" si="0"/>
        <v>11832.246451612904</v>
      </c>
      <c r="F16" s="1268">
        <f t="shared" si="5"/>
        <v>9.5</v>
      </c>
      <c r="G16" s="1268">
        <f t="shared" si="1"/>
        <v>271.96774193548384</v>
      </c>
      <c r="H16" s="1268">
        <v>28</v>
      </c>
      <c r="I16" s="1268">
        <f t="shared" si="2"/>
        <v>58.967741935483872</v>
      </c>
      <c r="J16" s="1268">
        <f t="shared" si="6"/>
        <v>129.27000000000001</v>
      </c>
      <c r="K16" s="1267">
        <f t="shared" si="3"/>
        <v>98.645161290322577</v>
      </c>
      <c r="L16" s="1267">
        <v>0</v>
      </c>
      <c r="M16" s="1269" t="e">
        <f>E16*F16+G16*H16+#REF!*#REF!+I16*J16</f>
        <v>#REF!</v>
      </c>
    </row>
    <row r="17" spans="1:13" x14ac:dyDescent="0.25">
      <c r="A17" s="1264" t="s">
        <v>13</v>
      </c>
      <c r="B17" s="1265">
        <f t="shared" si="4"/>
        <v>16</v>
      </c>
      <c r="C17" s="1265">
        <v>5</v>
      </c>
      <c r="D17" s="1266">
        <v>2020</v>
      </c>
      <c r="E17" s="1267">
        <f t="shared" si="0"/>
        <v>11832.246451612904</v>
      </c>
      <c r="F17" s="1268">
        <f t="shared" si="5"/>
        <v>9.5</v>
      </c>
      <c r="G17" s="1268">
        <f t="shared" si="1"/>
        <v>271.96774193548384</v>
      </c>
      <c r="H17" s="1268">
        <v>28</v>
      </c>
      <c r="I17" s="1268">
        <f t="shared" si="2"/>
        <v>58.967741935483872</v>
      </c>
      <c r="J17" s="1268">
        <f t="shared" si="6"/>
        <v>129.27000000000001</v>
      </c>
      <c r="K17" s="1267">
        <f t="shared" si="3"/>
        <v>98.645161290322577</v>
      </c>
      <c r="L17" s="1267">
        <v>0</v>
      </c>
      <c r="M17" s="1269" t="e">
        <f>E17*F17+G17*H17+#REF!*#REF!+I17*J17</f>
        <v>#REF!</v>
      </c>
    </row>
    <row r="18" spans="1:13" x14ac:dyDescent="0.25">
      <c r="A18" s="1264" t="s">
        <v>13</v>
      </c>
      <c r="B18" s="1265">
        <f t="shared" si="4"/>
        <v>17</v>
      </c>
      <c r="C18" s="1265">
        <v>5</v>
      </c>
      <c r="D18" s="1266">
        <v>2020</v>
      </c>
      <c r="E18" s="1267">
        <f t="shared" si="0"/>
        <v>11832.246451612904</v>
      </c>
      <c r="F18" s="1268">
        <f t="shared" si="5"/>
        <v>9.5</v>
      </c>
      <c r="G18" s="1268">
        <f t="shared" si="1"/>
        <v>271.96774193548384</v>
      </c>
      <c r="H18" s="1268">
        <v>28</v>
      </c>
      <c r="I18" s="1268">
        <f t="shared" si="2"/>
        <v>58.967741935483872</v>
      </c>
      <c r="J18" s="1268">
        <f t="shared" si="6"/>
        <v>129.27000000000001</v>
      </c>
      <c r="K18" s="1267">
        <f t="shared" si="3"/>
        <v>98.645161290322577</v>
      </c>
      <c r="L18" s="1267">
        <v>0</v>
      </c>
      <c r="M18" s="1269" t="e">
        <f>E18*F18+G18*H18+#REF!*#REF!+I18*J18</f>
        <v>#REF!</v>
      </c>
    </row>
    <row r="19" spans="1:13" x14ac:dyDescent="0.25">
      <c r="A19" s="1264" t="s">
        <v>13</v>
      </c>
      <c r="B19" s="1265">
        <f t="shared" si="4"/>
        <v>18</v>
      </c>
      <c r="C19" s="1265">
        <v>5</v>
      </c>
      <c r="D19" s="1266">
        <v>2020</v>
      </c>
      <c r="E19" s="1267">
        <f t="shared" si="0"/>
        <v>11832.246451612904</v>
      </c>
      <c r="F19" s="1268">
        <f t="shared" si="5"/>
        <v>9.5</v>
      </c>
      <c r="G19" s="1268">
        <f t="shared" si="1"/>
        <v>271.96774193548384</v>
      </c>
      <c r="H19" s="1268">
        <v>28</v>
      </c>
      <c r="I19" s="1268">
        <f t="shared" si="2"/>
        <v>58.967741935483872</v>
      </c>
      <c r="J19" s="1268">
        <f t="shared" si="6"/>
        <v>129.27000000000001</v>
      </c>
      <c r="K19" s="1267">
        <f t="shared" si="3"/>
        <v>98.645161290322577</v>
      </c>
      <c r="L19" s="1267">
        <v>0</v>
      </c>
      <c r="M19" s="1269" t="e">
        <f>E19*F19+G19*H19+#REF!*#REF!+I19*J19</f>
        <v>#REF!</v>
      </c>
    </row>
    <row r="20" spans="1:13" x14ac:dyDescent="0.25">
      <c r="A20" s="1264" t="s">
        <v>13</v>
      </c>
      <c r="B20" s="1265">
        <f t="shared" si="4"/>
        <v>19</v>
      </c>
      <c r="C20" s="1265">
        <v>5</v>
      </c>
      <c r="D20" s="1266">
        <v>2020</v>
      </c>
      <c r="E20" s="1267">
        <f t="shared" si="0"/>
        <v>11832.246451612904</v>
      </c>
      <c r="F20" s="1268">
        <f t="shared" si="5"/>
        <v>9.5</v>
      </c>
      <c r="G20" s="1268">
        <f t="shared" si="1"/>
        <v>271.96774193548384</v>
      </c>
      <c r="H20" s="1268">
        <v>28</v>
      </c>
      <c r="I20" s="1268">
        <f t="shared" si="2"/>
        <v>58.967741935483872</v>
      </c>
      <c r="J20" s="1268">
        <f t="shared" si="6"/>
        <v>129.27000000000001</v>
      </c>
      <c r="K20" s="1267">
        <f t="shared" si="3"/>
        <v>98.645161290322577</v>
      </c>
      <c r="L20" s="1267">
        <v>0</v>
      </c>
      <c r="M20" s="1269" t="e">
        <f>E20*F20+G20*H20+#REF!*#REF!+I20*J20</f>
        <v>#REF!</v>
      </c>
    </row>
    <row r="21" spans="1:13" x14ac:dyDescent="0.25">
      <c r="A21" s="1264" t="s">
        <v>13</v>
      </c>
      <c r="B21" s="1265">
        <f t="shared" si="4"/>
        <v>20</v>
      </c>
      <c r="C21" s="1265">
        <v>5</v>
      </c>
      <c r="D21" s="1266">
        <v>2020</v>
      </c>
      <c r="E21" s="1267">
        <f t="shared" si="0"/>
        <v>11832.246451612904</v>
      </c>
      <c r="F21" s="1268">
        <f t="shared" si="5"/>
        <v>9.5</v>
      </c>
      <c r="G21" s="1268">
        <f t="shared" si="1"/>
        <v>271.96774193548384</v>
      </c>
      <c r="H21" s="1268">
        <v>28</v>
      </c>
      <c r="I21" s="1268">
        <f t="shared" si="2"/>
        <v>58.967741935483872</v>
      </c>
      <c r="J21" s="1268">
        <f t="shared" si="6"/>
        <v>129.27000000000001</v>
      </c>
      <c r="K21" s="1267">
        <f t="shared" si="3"/>
        <v>98.645161290322577</v>
      </c>
      <c r="L21" s="1267">
        <v>0</v>
      </c>
      <c r="M21" s="1269" t="e">
        <f>E21*F21+G21*H21+#REF!*#REF!+I21*J21</f>
        <v>#REF!</v>
      </c>
    </row>
    <row r="22" spans="1:13" x14ac:dyDescent="0.25">
      <c r="A22" s="1264" t="s">
        <v>13</v>
      </c>
      <c r="B22" s="1265">
        <f t="shared" si="4"/>
        <v>21</v>
      </c>
      <c r="C22" s="1265">
        <v>5</v>
      </c>
      <c r="D22" s="1266">
        <v>2020</v>
      </c>
      <c r="E22" s="1267">
        <f t="shared" si="0"/>
        <v>11832.246451612904</v>
      </c>
      <c r="F22" s="1268">
        <f t="shared" si="5"/>
        <v>9.5</v>
      </c>
      <c r="G22" s="1268">
        <f t="shared" si="1"/>
        <v>271.96774193548384</v>
      </c>
      <c r="H22" s="1268">
        <v>28</v>
      </c>
      <c r="I22" s="1268">
        <f t="shared" si="2"/>
        <v>58.967741935483872</v>
      </c>
      <c r="J22" s="1268">
        <f t="shared" si="6"/>
        <v>129.27000000000001</v>
      </c>
      <c r="K22" s="1267">
        <f t="shared" si="3"/>
        <v>98.645161290322577</v>
      </c>
      <c r="L22" s="1267">
        <v>0</v>
      </c>
      <c r="M22" s="1269" t="e">
        <f>E22*F22+G22*H22+#REF!*#REF!+I22*J22</f>
        <v>#REF!</v>
      </c>
    </row>
    <row r="23" spans="1:13" x14ac:dyDescent="0.25">
      <c r="A23" s="1264" t="s">
        <v>13</v>
      </c>
      <c r="B23" s="1265">
        <f t="shared" si="4"/>
        <v>22</v>
      </c>
      <c r="C23" s="1265">
        <v>5</v>
      </c>
      <c r="D23" s="1266">
        <v>2020</v>
      </c>
      <c r="E23" s="1267">
        <f t="shared" si="0"/>
        <v>11832.246451612904</v>
      </c>
      <c r="F23" s="1268">
        <f t="shared" si="5"/>
        <v>9.5</v>
      </c>
      <c r="G23" s="1268">
        <f t="shared" si="1"/>
        <v>271.96774193548384</v>
      </c>
      <c r="H23" s="1268">
        <v>28</v>
      </c>
      <c r="I23" s="1268">
        <f t="shared" si="2"/>
        <v>58.967741935483872</v>
      </c>
      <c r="J23" s="1268">
        <f t="shared" si="6"/>
        <v>129.27000000000001</v>
      </c>
      <c r="K23" s="1267">
        <f t="shared" si="3"/>
        <v>98.645161290322577</v>
      </c>
      <c r="L23" s="1267">
        <v>0</v>
      </c>
      <c r="M23" s="1269" t="e">
        <f>E23*F23+G23*H23+#REF!*#REF!+I23*J23</f>
        <v>#REF!</v>
      </c>
    </row>
    <row r="24" spans="1:13" x14ac:dyDescent="0.25">
      <c r="A24" s="1264" t="s">
        <v>13</v>
      </c>
      <c r="B24" s="1265">
        <f t="shared" si="4"/>
        <v>23</v>
      </c>
      <c r="C24" s="1265">
        <v>5</v>
      </c>
      <c r="D24" s="1266">
        <v>2020</v>
      </c>
      <c r="E24" s="1267">
        <f t="shared" si="0"/>
        <v>11832.246451612904</v>
      </c>
      <c r="F24" s="1268">
        <f t="shared" si="5"/>
        <v>9.5</v>
      </c>
      <c r="G24" s="1268">
        <f t="shared" si="1"/>
        <v>271.96774193548384</v>
      </c>
      <c r="H24" s="1268">
        <v>28</v>
      </c>
      <c r="I24" s="1268">
        <f t="shared" si="2"/>
        <v>58.967741935483872</v>
      </c>
      <c r="J24" s="1268">
        <f t="shared" si="6"/>
        <v>129.27000000000001</v>
      </c>
      <c r="K24" s="1267">
        <f t="shared" si="3"/>
        <v>98.645161290322577</v>
      </c>
      <c r="L24" s="1267">
        <v>0</v>
      </c>
      <c r="M24" s="1269" t="e">
        <f>E24*F24+G24*H24+#REF!*#REF!+I24*J24</f>
        <v>#REF!</v>
      </c>
    </row>
    <row r="25" spans="1:13" x14ac:dyDescent="0.25">
      <c r="A25" s="1264" t="s">
        <v>13</v>
      </c>
      <c r="B25" s="1265">
        <f t="shared" si="4"/>
        <v>24</v>
      </c>
      <c r="C25" s="1265">
        <v>5</v>
      </c>
      <c r="D25" s="1266">
        <v>2020</v>
      </c>
      <c r="E25" s="1267">
        <f t="shared" si="0"/>
        <v>11832.246451612904</v>
      </c>
      <c r="F25" s="1268">
        <f t="shared" si="5"/>
        <v>9.5</v>
      </c>
      <c r="G25" s="1268">
        <f t="shared" si="1"/>
        <v>271.96774193548384</v>
      </c>
      <c r="H25" s="1268">
        <v>28</v>
      </c>
      <c r="I25" s="1268">
        <f t="shared" si="2"/>
        <v>58.967741935483872</v>
      </c>
      <c r="J25" s="1268">
        <f t="shared" si="6"/>
        <v>129.27000000000001</v>
      </c>
      <c r="K25" s="1267">
        <f t="shared" si="3"/>
        <v>98.645161290322577</v>
      </c>
      <c r="L25" s="1267">
        <v>0</v>
      </c>
      <c r="M25" s="1269" t="e">
        <f>E25*F25+G25*H25+#REF!*#REF!+I25*J25</f>
        <v>#REF!</v>
      </c>
    </row>
    <row r="26" spans="1:13" x14ac:dyDescent="0.25">
      <c r="A26" s="1264" t="s">
        <v>13</v>
      </c>
      <c r="B26" s="1265">
        <f>B25+1</f>
        <v>25</v>
      </c>
      <c r="C26" s="1265">
        <v>5</v>
      </c>
      <c r="D26" s="1266">
        <v>2020</v>
      </c>
      <c r="E26" s="1267">
        <f t="shared" si="0"/>
        <v>11832.246451612904</v>
      </c>
      <c r="F26" s="1268">
        <f t="shared" si="5"/>
        <v>9.5</v>
      </c>
      <c r="G26" s="1268">
        <f t="shared" si="1"/>
        <v>271.96774193548384</v>
      </c>
      <c r="H26" s="1268">
        <v>28</v>
      </c>
      <c r="I26" s="1268">
        <f t="shared" si="2"/>
        <v>58.967741935483872</v>
      </c>
      <c r="J26" s="1268">
        <f t="shared" si="6"/>
        <v>129.27000000000001</v>
      </c>
      <c r="K26" s="1267">
        <f t="shared" si="3"/>
        <v>98.645161290322577</v>
      </c>
      <c r="L26" s="1267">
        <v>0</v>
      </c>
      <c r="M26" s="1269" t="e">
        <f>E26*F26+G26*H26+#REF!*#REF!+I26*J26</f>
        <v>#REF!</v>
      </c>
    </row>
    <row r="27" spans="1:13" x14ac:dyDescent="0.25">
      <c r="A27" s="1264" t="s">
        <v>13</v>
      </c>
      <c r="B27" s="1265">
        <f t="shared" si="4"/>
        <v>26</v>
      </c>
      <c r="C27" s="1265">
        <v>5</v>
      </c>
      <c r="D27" s="1266">
        <v>2020</v>
      </c>
      <c r="E27" s="1267">
        <f t="shared" si="0"/>
        <v>11832.246451612904</v>
      </c>
      <c r="F27" s="1268">
        <f t="shared" si="5"/>
        <v>9.5</v>
      </c>
      <c r="G27" s="1268">
        <f t="shared" si="1"/>
        <v>271.96774193548384</v>
      </c>
      <c r="H27" s="1268">
        <v>28</v>
      </c>
      <c r="I27" s="1268">
        <f t="shared" si="2"/>
        <v>58.967741935483872</v>
      </c>
      <c r="J27" s="1268">
        <f t="shared" si="6"/>
        <v>129.27000000000001</v>
      </c>
      <c r="K27" s="1267">
        <f t="shared" si="3"/>
        <v>98.645161290322577</v>
      </c>
      <c r="L27" s="1267">
        <v>0</v>
      </c>
      <c r="M27" s="1269" t="e">
        <f>E27*F27+G27*H27+#REF!*#REF!+I27*J27</f>
        <v>#REF!</v>
      </c>
    </row>
    <row r="28" spans="1:13" x14ac:dyDescent="0.25">
      <c r="A28" s="1264" t="s">
        <v>13</v>
      </c>
      <c r="B28" s="1265">
        <f t="shared" si="4"/>
        <v>27</v>
      </c>
      <c r="C28" s="1265">
        <v>5</v>
      </c>
      <c r="D28" s="1266">
        <v>2020</v>
      </c>
      <c r="E28" s="1267">
        <f t="shared" si="0"/>
        <v>11832.246451612904</v>
      </c>
      <c r="F28" s="1268">
        <f t="shared" si="5"/>
        <v>9.5</v>
      </c>
      <c r="G28" s="1268">
        <f t="shared" si="1"/>
        <v>271.96774193548384</v>
      </c>
      <c r="H28" s="1268">
        <v>28</v>
      </c>
      <c r="I28" s="1268">
        <f t="shared" si="2"/>
        <v>58.967741935483872</v>
      </c>
      <c r="J28" s="1268">
        <f t="shared" si="6"/>
        <v>129.27000000000001</v>
      </c>
      <c r="K28" s="1267">
        <f t="shared" si="3"/>
        <v>98.645161290322577</v>
      </c>
      <c r="L28" s="1267">
        <v>0</v>
      </c>
      <c r="M28" s="1269" t="e">
        <f>E28*F28+G28*H28+#REF!*#REF!+I28*J28</f>
        <v>#REF!</v>
      </c>
    </row>
    <row r="29" spans="1:13" x14ac:dyDescent="0.25">
      <c r="A29" s="1264" t="s">
        <v>13</v>
      </c>
      <c r="B29" s="1265">
        <f t="shared" si="4"/>
        <v>28</v>
      </c>
      <c r="C29" s="1265">
        <v>5</v>
      </c>
      <c r="D29" s="1266">
        <v>2020</v>
      </c>
      <c r="E29" s="1267">
        <f t="shared" si="0"/>
        <v>11832.246451612904</v>
      </c>
      <c r="F29" s="1268">
        <f t="shared" si="5"/>
        <v>9.5</v>
      </c>
      <c r="G29" s="1268">
        <f t="shared" si="1"/>
        <v>271.96774193548384</v>
      </c>
      <c r="H29" s="1268">
        <v>28</v>
      </c>
      <c r="I29" s="1268">
        <f t="shared" si="2"/>
        <v>58.967741935483872</v>
      </c>
      <c r="J29" s="1268">
        <f t="shared" si="6"/>
        <v>129.27000000000001</v>
      </c>
      <c r="K29" s="1267">
        <f t="shared" si="3"/>
        <v>98.645161290322577</v>
      </c>
      <c r="L29" s="1267">
        <v>0</v>
      </c>
      <c r="M29" s="1269" t="e">
        <f>E29*F29+G29*H29+#REF!*#REF!+I29*J29</f>
        <v>#REF!</v>
      </c>
    </row>
    <row r="30" spans="1:13" x14ac:dyDescent="0.25">
      <c r="A30" s="1264" t="s">
        <v>13</v>
      </c>
      <c r="B30" s="1265">
        <f t="shared" si="4"/>
        <v>29</v>
      </c>
      <c r="C30" s="1265">
        <v>5</v>
      </c>
      <c r="D30" s="1266">
        <v>2020</v>
      </c>
      <c r="E30" s="1267">
        <f t="shared" si="0"/>
        <v>11832.246451612904</v>
      </c>
      <c r="F30" s="1268">
        <f t="shared" si="5"/>
        <v>9.5</v>
      </c>
      <c r="G30" s="1268">
        <f t="shared" si="1"/>
        <v>271.96774193548384</v>
      </c>
      <c r="H30" s="1268">
        <v>28</v>
      </c>
      <c r="I30" s="1268">
        <f t="shared" si="2"/>
        <v>58.967741935483872</v>
      </c>
      <c r="J30" s="1268">
        <f t="shared" si="6"/>
        <v>129.27000000000001</v>
      </c>
      <c r="K30" s="1267">
        <f t="shared" si="3"/>
        <v>98.645161290322577</v>
      </c>
      <c r="L30" s="1267">
        <v>0</v>
      </c>
      <c r="M30" s="1269" t="e">
        <f>E30*F30+G30*H30+#REF!*#REF!+I30*J30</f>
        <v>#REF!</v>
      </c>
    </row>
    <row r="31" spans="1:13" x14ac:dyDescent="0.25">
      <c r="A31" s="1264" t="s">
        <v>13</v>
      </c>
      <c r="B31" s="1265">
        <f t="shared" si="4"/>
        <v>30</v>
      </c>
      <c r="C31" s="1265">
        <v>5</v>
      </c>
      <c r="D31" s="1266">
        <v>2020</v>
      </c>
      <c r="E31" s="1267">
        <f t="shared" si="0"/>
        <v>11832.246451612904</v>
      </c>
      <c r="F31" s="1268">
        <f t="shared" si="5"/>
        <v>9.5</v>
      </c>
      <c r="G31" s="1268">
        <f t="shared" si="1"/>
        <v>271.96774193548384</v>
      </c>
      <c r="H31" s="1268">
        <v>28</v>
      </c>
      <c r="I31" s="1268">
        <f t="shared" si="2"/>
        <v>58.967741935483872</v>
      </c>
      <c r="J31" s="1268">
        <f t="shared" si="6"/>
        <v>129.27000000000001</v>
      </c>
      <c r="K31" s="1267">
        <f t="shared" si="3"/>
        <v>98.645161290322577</v>
      </c>
      <c r="L31" s="1267">
        <v>0</v>
      </c>
      <c r="M31" s="1269" t="e">
        <f>E31*F31+G31*H31+#REF!*#REF!+I31*J31</f>
        <v>#REF!</v>
      </c>
    </row>
    <row r="32" spans="1:13" s="1267" customFormat="1" x14ac:dyDescent="0.25">
      <c r="A32" s="1264" t="s">
        <v>13</v>
      </c>
      <c r="B32" s="1265">
        <f t="shared" si="4"/>
        <v>31</v>
      </c>
      <c r="C32" s="1265">
        <v>5</v>
      </c>
      <c r="D32" s="1266">
        <v>2020</v>
      </c>
      <c r="E32" s="1267">
        <f t="shared" si="0"/>
        <v>11832.246451612904</v>
      </c>
      <c r="F32" s="1268">
        <f t="shared" si="5"/>
        <v>9.5</v>
      </c>
      <c r="G32" s="1268">
        <f t="shared" si="1"/>
        <v>271.96774193548384</v>
      </c>
      <c r="H32" s="1268">
        <v>28</v>
      </c>
      <c r="I32" s="1268">
        <f t="shared" si="2"/>
        <v>58.967741935483872</v>
      </c>
      <c r="J32" s="1268">
        <f t="shared" si="6"/>
        <v>129.27000000000001</v>
      </c>
      <c r="K32" s="1267">
        <f t="shared" si="3"/>
        <v>98.645161290322577</v>
      </c>
      <c r="L32" s="1267">
        <v>0</v>
      </c>
      <c r="M32" s="1270"/>
    </row>
    <row r="33" spans="1:13" s="1267" customFormat="1" x14ac:dyDescent="0.25">
      <c r="A33" s="1271"/>
      <c r="B33" s="1265"/>
      <c r="C33" s="1265"/>
      <c r="D33" s="1266"/>
      <c r="F33" s="1268"/>
      <c r="G33" s="1268"/>
      <c r="H33" s="1268"/>
      <c r="I33" s="1268"/>
      <c r="J33" s="1268"/>
      <c r="M33" s="1270"/>
    </row>
    <row r="34" spans="1:13" s="1267" customFormat="1" x14ac:dyDescent="0.25">
      <c r="A34" s="1271"/>
      <c r="B34" s="1265"/>
      <c r="C34" s="1265"/>
      <c r="D34" s="1266"/>
      <c r="F34" s="1268"/>
      <c r="G34" s="1268"/>
      <c r="H34" s="1268"/>
      <c r="I34" s="1268"/>
      <c r="J34" s="1268"/>
      <c r="M34" s="1270"/>
    </row>
    <row r="35" spans="1:13" s="1267" customFormat="1" x14ac:dyDescent="0.25">
      <c r="A35" s="1271"/>
      <c r="B35" s="1265"/>
      <c r="C35" s="1265"/>
      <c r="D35" s="1266"/>
      <c r="F35" s="1268"/>
      <c r="G35" s="1268"/>
      <c r="H35" s="1268"/>
      <c r="I35" s="1268"/>
      <c r="J35" s="1268"/>
      <c r="M35" s="1270"/>
    </row>
    <row r="36" spans="1:13" s="1267" customFormat="1" x14ac:dyDescent="0.25">
      <c r="A36" s="1271"/>
      <c r="B36" s="1265"/>
      <c r="C36" s="1265"/>
      <c r="D36" s="1266"/>
      <c r="F36" s="1268"/>
      <c r="G36" s="1268"/>
      <c r="H36" s="1268"/>
      <c r="I36" s="1268"/>
      <c r="J36" s="1268"/>
      <c r="M36" s="1270"/>
    </row>
    <row r="37" spans="1:13" s="1267" customFormat="1" x14ac:dyDescent="0.25">
      <c r="A37" s="1271"/>
      <c r="B37" s="1265"/>
      <c r="C37" s="1265"/>
      <c r="D37" s="1266"/>
      <c r="F37" s="1268"/>
      <c r="G37" s="1268"/>
      <c r="H37" s="1268"/>
      <c r="I37" s="1268"/>
      <c r="J37" s="1268"/>
      <c r="M37" s="1270"/>
    </row>
    <row r="38" spans="1:13" s="1267" customFormat="1" x14ac:dyDescent="0.25">
      <c r="A38" s="1271"/>
      <c r="B38" s="1265"/>
      <c r="C38" s="1265"/>
      <c r="D38" s="1266"/>
      <c r="F38" s="1268"/>
      <c r="G38" s="1268"/>
      <c r="H38" s="1268"/>
      <c r="I38" s="1268"/>
      <c r="J38" s="1268"/>
      <c r="M38" s="12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A36" sqref="A36:XFD38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3" customWidth="1"/>
    <col min="12" max="12" width="6.88671875" style="233" customWidth="1"/>
    <col min="13" max="13" width="7.44140625" customWidth="1"/>
    <col min="14" max="14" width="6.109375" customWidth="1"/>
    <col min="15" max="15" width="8.6640625" style="233" customWidth="1"/>
    <col min="16" max="16" width="7.21875" customWidth="1"/>
    <col min="17" max="17" width="6.109375" customWidth="1"/>
    <col min="18" max="18" width="8.5546875" style="233" customWidth="1"/>
    <col min="19" max="19" width="11.5546875" style="233" customWidth="1"/>
    <col min="20" max="21" width="6.109375" customWidth="1"/>
    <col min="22" max="22" width="10.5546875" style="233" customWidth="1"/>
    <col min="23" max="23" width="7.77734375" style="36" customWidth="1"/>
    <col min="24" max="24" width="7" style="36" customWidth="1"/>
    <col min="25" max="25" width="7.44140625" style="36" customWidth="1"/>
    <col min="26" max="26" width="8.33203125" style="36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373"/>
      <c r="B1" s="1373"/>
      <c r="C1" s="1373"/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  <c r="P1" s="1373"/>
      <c r="Q1" s="1373"/>
      <c r="R1" s="1373"/>
      <c r="S1" s="1373"/>
      <c r="T1" s="1373"/>
      <c r="U1" s="1373"/>
      <c r="V1" s="1373"/>
      <c r="W1" s="1373"/>
      <c r="X1" s="1373"/>
      <c r="Y1" s="1373"/>
      <c r="Z1" s="1373"/>
      <c r="AA1" s="1373"/>
      <c r="AB1" s="1373"/>
      <c r="AC1" s="1373"/>
      <c r="AD1" s="1373"/>
      <c r="AE1" s="1373"/>
      <c r="AF1" s="1373"/>
      <c r="AG1" s="1373"/>
      <c r="AH1" s="1373"/>
      <c r="AI1" s="1373"/>
      <c r="AJ1" s="1373"/>
      <c r="AK1" s="1373"/>
      <c r="AL1" s="1373"/>
      <c r="AM1" s="1373"/>
      <c r="AN1" s="1373"/>
      <c r="AO1" s="1373"/>
      <c r="AP1" s="1373"/>
      <c r="AQ1" s="1373"/>
      <c r="AR1" s="1373"/>
      <c r="AS1" s="1373"/>
      <c r="AT1" s="1373"/>
      <c r="AU1" s="1373"/>
      <c r="AV1" s="1373"/>
      <c r="AW1" s="1373"/>
      <c r="AX1" s="1373"/>
      <c r="AY1" s="1373"/>
      <c r="AZ1" s="1373"/>
      <c r="BA1" s="1373"/>
      <c r="BB1" s="1373"/>
      <c r="BC1" s="1373"/>
      <c r="BD1" s="1373"/>
      <c r="BE1" s="1373"/>
      <c r="BF1" s="1373"/>
      <c r="BG1" s="1373"/>
      <c r="BH1" s="1373"/>
      <c r="BI1" s="1373"/>
      <c r="BJ1" s="1373"/>
      <c r="BK1" s="1373"/>
      <c r="BL1" s="1373"/>
      <c r="BM1" s="1373"/>
      <c r="BN1" s="1373"/>
      <c r="BO1" s="1373"/>
    </row>
    <row r="2" spans="1:70" ht="28.5" customHeight="1" x14ac:dyDescent="0.25">
      <c r="A2" s="1" t="s">
        <v>14</v>
      </c>
      <c r="B2" s="1" t="s">
        <v>14</v>
      </c>
      <c r="C2" s="1318" t="s">
        <v>15</v>
      </c>
      <c r="D2" s="2" t="s">
        <v>16</v>
      </c>
      <c r="E2" s="3" t="s">
        <v>17</v>
      </c>
      <c r="F2" s="520" t="s">
        <v>18</v>
      </c>
      <c r="G2" s="520" t="s">
        <v>19</v>
      </c>
      <c r="H2" s="520"/>
      <c r="I2" s="1374" t="s">
        <v>20</v>
      </c>
      <c r="J2" s="1374"/>
      <c r="K2" s="1374"/>
      <c r="L2" s="234"/>
      <c r="M2" s="1375" t="s">
        <v>21</v>
      </c>
      <c r="N2" s="1375"/>
      <c r="O2" s="1375"/>
      <c r="P2" s="1376" t="s">
        <v>22</v>
      </c>
      <c r="Q2" s="1376"/>
      <c r="R2" s="1376"/>
      <c r="S2" s="234" t="s">
        <v>23</v>
      </c>
      <c r="T2" s="1377" t="s">
        <v>24</v>
      </c>
      <c r="U2" s="1377"/>
      <c r="V2" s="1377"/>
      <c r="W2" s="1378" t="s">
        <v>25</v>
      </c>
      <c r="X2" s="1379"/>
      <c r="Y2" s="1380"/>
      <c r="Z2" s="1317"/>
      <c r="AA2" s="1381" t="s">
        <v>26</v>
      </c>
      <c r="AB2" s="1381"/>
      <c r="AC2" s="1381"/>
      <c r="AD2" s="1381"/>
      <c r="AE2" s="1318"/>
      <c r="AF2" s="1318" t="s">
        <v>27</v>
      </c>
      <c r="AG2" s="1318" t="s">
        <v>28</v>
      </c>
      <c r="AH2" s="1381" t="s">
        <v>29</v>
      </c>
      <c r="AI2" s="1381"/>
      <c r="AJ2" s="1381"/>
      <c r="AK2" s="1318" t="s">
        <v>30</v>
      </c>
      <c r="AL2" s="1381" t="s">
        <v>31</v>
      </c>
      <c r="AM2" s="1381"/>
      <c r="AN2" s="1381"/>
      <c r="AO2" s="1318" t="s">
        <v>32</v>
      </c>
      <c r="AP2" s="5" t="s">
        <v>33</v>
      </c>
      <c r="AQ2" s="1382" t="s">
        <v>34</v>
      </c>
      <c r="AR2" s="1383"/>
      <c r="AS2" s="1383"/>
      <c r="AT2" s="1383"/>
      <c r="AU2" s="1383"/>
      <c r="AV2" s="1383"/>
      <c r="AW2" s="1383"/>
      <c r="AX2" s="1383"/>
      <c r="AY2" s="1383"/>
      <c r="AZ2" s="1384"/>
      <c r="BA2" s="1382" t="s">
        <v>35</v>
      </c>
      <c r="BB2" s="1383"/>
      <c r="BC2" s="1383"/>
      <c r="BD2" s="1383"/>
      <c r="BE2" s="1383"/>
      <c r="BF2" s="1383"/>
      <c r="BG2" s="1383"/>
      <c r="BH2" s="1383"/>
      <c r="BI2" s="1383"/>
      <c r="BJ2" s="1368"/>
      <c r="BK2" s="1369"/>
      <c r="BL2" s="1370"/>
      <c r="BM2" s="1370"/>
      <c r="BN2" s="1370"/>
      <c r="BO2" s="1318" t="s">
        <v>36</v>
      </c>
      <c r="BQ2" t="s">
        <v>37</v>
      </c>
    </row>
    <row r="3" spans="1:70" s="15" customFormat="1" ht="45" x14ac:dyDescent="0.25">
      <c r="A3" s="6"/>
      <c r="B3" s="1"/>
      <c r="C3" s="7"/>
      <c r="D3" s="8"/>
      <c r="E3" s="9"/>
      <c r="F3" s="10" t="s">
        <v>38</v>
      </c>
      <c r="G3" s="10"/>
      <c r="H3" s="10" t="s">
        <v>39</v>
      </c>
      <c r="I3" s="11" t="s">
        <v>40</v>
      </c>
      <c r="J3" s="11" t="s">
        <v>41</v>
      </c>
      <c r="K3" s="231" t="s">
        <v>42</v>
      </c>
      <c r="L3" s="231" t="s">
        <v>43</v>
      </c>
      <c r="M3" s="11" t="s">
        <v>44</v>
      </c>
      <c r="N3" s="11" t="s">
        <v>41</v>
      </c>
      <c r="O3" s="231" t="s">
        <v>42</v>
      </c>
      <c r="P3" s="11" t="s">
        <v>45</v>
      </c>
      <c r="Q3" s="11" t="s">
        <v>41</v>
      </c>
      <c r="R3" s="231" t="s">
        <v>42</v>
      </c>
      <c r="S3" s="231"/>
      <c r="T3" s="7" t="s">
        <v>46</v>
      </c>
      <c r="U3" s="7" t="s">
        <v>41</v>
      </c>
      <c r="V3" s="231" t="s">
        <v>42</v>
      </c>
      <c r="W3" s="11" t="s">
        <v>47</v>
      </c>
      <c r="X3" s="11" t="s">
        <v>48</v>
      </c>
      <c r="Y3" s="11" t="s">
        <v>49</v>
      </c>
      <c r="Z3" s="11"/>
      <c r="AA3" s="12" t="s">
        <v>50</v>
      </c>
      <c r="AB3" s="12" t="s">
        <v>51</v>
      </c>
      <c r="AC3" s="12" t="s">
        <v>52</v>
      </c>
      <c r="AD3" s="12" t="s">
        <v>53</v>
      </c>
      <c r="AE3" s="12" t="s">
        <v>54</v>
      </c>
      <c r="AF3" s="12"/>
      <c r="AG3" s="12"/>
      <c r="AH3" s="12" t="s">
        <v>55</v>
      </c>
      <c r="AI3" s="12" t="s">
        <v>56</v>
      </c>
      <c r="AJ3" s="12" t="s">
        <v>57</v>
      </c>
      <c r="AK3" s="12"/>
      <c r="AL3" s="12" t="s">
        <v>58</v>
      </c>
      <c r="AM3" s="12" t="s">
        <v>59</v>
      </c>
      <c r="AN3" s="12"/>
      <c r="AO3" s="12"/>
      <c r="AP3" s="254"/>
      <c r="AQ3" s="256" t="s">
        <v>60</v>
      </c>
      <c r="AR3" s="13" t="s">
        <v>61</v>
      </c>
      <c r="AS3" s="13" t="s">
        <v>62</v>
      </c>
      <c r="AT3" s="13" t="s">
        <v>63</v>
      </c>
      <c r="AU3" s="13" t="s">
        <v>64</v>
      </c>
      <c r="AV3" s="13" t="s">
        <v>65</v>
      </c>
      <c r="AW3" s="13" t="s">
        <v>66</v>
      </c>
      <c r="AX3" s="13" t="s">
        <v>67</v>
      </c>
      <c r="AY3" s="13" t="s">
        <v>68</v>
      </c>
      <c r="AZ3" s="257" t="s">
        <v>69</v>
      </c>
      <c r="BA3" s="256" t="s">
        <v>70</v>
      </c>
      <c r="BB3" s="13" t="s">
        <v>71</v>
      </c>
      <c r="BC3" s="13" t="s">
        <v>62</v>
      </c>
      <c r="BD3" s="13" t="s">
        <v>72</v>
      </c>
      <c r="BE3" s="13" t="s">
        <v>73</v>
      </c>
      <c r="BF3" s="14" t="s">
        <v>74</v>
      </c>
      <c r="BG3" s="14" t="s">
        <v>75</v>
      </c>
      <c r="BH3" s="14" t="s">
        <v>67</v>
      </c>
      <c r="BI3" s="453" t="s">
        <v>76</v>
      </c>
      <c r="BJ3" s="453"/>
      <c r="BK3" s="14" t="s">
        <v>77</v>
      </c>
      <c r="BL3" s="14" t="s">
        <v>78</v>
      </c>
      <c r="BM3" s="14" t="s">
        <v>79</v>
      </c>
      <c r="BN3" s="14" t="s">
        <v>80</v>
      </c>
      <c r="BO3" s="12"/>
      <c r="BP3" s="15" t="s">
        <v>81</v>
      </c>
    </row>
    <row r="4" spans="1:70" x14ac:dyDescent="0.25">
      <c r="A4" s="16">
        <v>1</v>
      </c>
      <c r="B4" s="17">
        <v>1</v>
      </c>
      <c r="C4" s="18"/>
      <c r="D4" s="19">
        <f>'1'!D3</f>
        <v>30</v>
      </c>
      <c r="E4" s="253">
        <f>'1'!D4</f>
        <v>0.8</v>
      </c>
      <c r="F4" s="253"/>
      <c r="G4" s="19">
        <f>'1'!G8</f>
        <v>19444</v>
      </c>
      <c r="H4" s="19">
        <f>'1'!G8</f>
        <v>19444</v>
      </c>
      <c r="I4" s="19">
        <f>'1'!G7</f>
        <v>19245</v>
      </c>
      <c r="J4" s="19">
        <f>'1'!F27</f>
        <v>9.5</v>
      </c>
      <c r="K4" s="239">
        <f>H4*J4</f>
        <v>184718</v>
      </c>
      <c r="L4" s="235">
        <f>I4/202</f>
        <v>95.272277227722768</v>
      </c>
      <c r="M4" s="19">
        <f>'1'!G15</f>
        <v>510.75699999998324</v>
      </c>
      <c r="N4" s="19">
        <v>35</v>
      </c>
      <c r="O4" s="235">
        <f>M4*N4</f>
        <v>17876.494999999413</v>
      </c>
      <c r="P4" s="19">
        <f>'1'!G20</f>
        <v>223</v>
      </c>
      <c r="Q4" s="19">
        <v>134</v>
      </c>
      <c r="R4" s="236">
        <f t="shared" ref="R4:R34" si="0">P4*Q4</f>
        <v>29882</v>
      </c>
      <c r="S4" s="237" t="e">
        <f t="shared" ref="S4:S34" si="1">P4/(F4*202/100)</f>
        <v>#DIV/0!</v>
      </c>
      <c r="T4" s="19">
        <f>'1'!G24</f>
        <v>0</v>
      </c>
      <c r="U4" s="19">
        <v>69</v>
      </c>
      <c r="V4" s="238">
        <f>T4*U4</f>
        <v>0</v>
      </c>
      <c r="W4" s="22">
        <f>'1'!G95</f>
        <v>47</v>
      </c>
      <c r="X4" s="22">
        <f>'1'!G96</f>
        <v>33</v>
      </c>
      <c r="Y4" s="22">
        <f>'1'!G97</f>
        <v>35</v>
      </c>
      <c r="Z4" s="22">
        <f>W4+X4+Y4</f>
        <v>115</v>
      </c>
      <c r="AA4" s="19">
        <f>'1'!G132</f>
        <v>0</v>
      </c>
      <c r="AB4" s="19">
        <f>'1'!G133</f>
        <v>0</v>
      </c>
      <c r="AC4" s="19">
        <f>'1'!G134</f>
        <v>0</v>
      </c>
      <c r="AD4" s="19">
        <f>'1'!G135</f>
        <v>24.020000000000437</v>
      </c>
      <c r="AE4" s="19">
        <f>AA4+AB4+AC4+AD4</f>
        <v>24.020000000000437</v>
      </c>
      <c r="AF4" s="23">
        <f t="shared" ref="AF4:AF34" si="2">AV4+AW4+BF4+BG4</f>
        <v>4735.8899999999558</v>
      </c>
      <c r="AG4" s="23">
        <f>AF4/AE4</f>
        <v>197.16444629474896</v>
      </c>
      <c r="AH4" s="19">
        <f>'1'!G136</f>
        <v>0</v>
      </c>
      <c r="AI4" s="19">
        <f>'1'!G137</f>
        <v>0</v>
      </c>
      <c r="AJ4" s="19">
        <f>'1'!G138</f>
        <v>8.0899999999965075</v>
      </c>
      <c r="AK4" s="19">
        <f>AH4+AI4+AJ4</f>
        <v>8.0899999999965075</v>
      </c>
      <c r="AL4" s="19">
        <f>'1'!G139</f>
        <v>5.8899999999999864</v>
      </c>
      <c r="AM4" s="19">
        <f>'1'!G140</f>
        <v>0</v>
      </c>
      <c r="AN4" s="19"/>
      <c r="AO4" s="19">
        <f>AL4+AM4</f>
        <v>5.8899999999999864</v>
      </c>
      <c r="AP4" s="255">
        <f>'1'!G123</f>
        <v>212.69000000006054</v>
      </c>
      <c r="AQ4" s="258">
        <f>'1'!G35</f>
        <v>-0.40000000002328306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1.9999999960418791E-2</v>
      </c>
      <c r="AW4" s="19">
        <f>'1'!G42</f>
        <v>0</v>
      </c>
      <c r="AX4" s="19">
        <f>'1'!G43</f>
        <v>1842.1599999999162</v>
      </c>
      <c r="AY4" s="19">
        <f>'1'!G44</f>
        <v>0</v>
      </c>
      <c r="AZ4" s="259">
        <f>'1'!G36</f>
        <v>1551.1999999999825</v>
      </c>
      <c r="BA4" s="258">
        <f>'1'!G49</f>
        <v>2722.5</v>
      </c>
      <c r="BB4" s="19">
        <f>'1'!G51</f>
        <v>1437.1820000000007</v>
      </c>
      <c r="BC4" s="19">
        <f>'1'!G52</f>
        <v>1880.8400000000256</v>
      </c>
      <c r="BD4" s="19">
        <f>'1'!G53</f>
        <v>4233.7640000000029</v>
      </c>
      <c r="BE4" s="19">
        <f>'1'!G54</f>
        <v>53.889999999999873</v>
      </c>
      <c r="BF4" s="19">
        <f>'1'!G55</f>
        <v>-0.36999999999534339</v>
      </c>
      <c r="BG4" s="19">
        <f>'1'!G56</f>
        <v>4736.2399999999907</v>
      </c>
      <c r="BH4" s="19">
        <f>'1'!G57</f>
        <v>0</v>
      </c>
      <c r="BI4" s="259">
        <f>'1'!G50</f>
        <v>1072.7999999999884</v>
      </c>
      <c r="BJ4" s="398">
        <f>SUM(AV4,AW4,BF4,BG4)</f>
        <v>4735.8899999999558</v>
      </c>
      <c r="BK4" s="398">
        <f>'1'!G84</f>
        <v>564</v>
      </c>
      <c r="BL4" s="23">
        <f>SUM(AQ4,AV4,AW4,AX4,BA4,BF4,BG4,BH4)/I4%</f>
        <v>48.325019485579887</v>
      </c>
      <c r="BM4" s="23">
        <f>SUM(AT4,BD4)/I4%</f>
        <v>21.999293322941039</v>
      </c>
      <c r="BN4" s="24">
        <f>(AS4+BC4)/I4</f>
        <v>9.7731358794493406E-2</v>
      </c>
      <c r="BO4" s="25">
        <f>K4+O4+R4+V4</f>
        <v>232476.49499999941</v>
      </c>
      <c r="BP4" s="212">
        <f>SUM(AV4,AW4,AX4,BF4,BG4,BH4,BK4)</f>
        <v>7142.0499999998719</v>
      </c>
      <c r="BQ4">
        <f>BP4/(AE4*280)</f>
        <v>1.0619201260853668</v>
      </c>
      <c r="BR4" s="212">
        <f>SUM(AV4,AW4,BF4,BG4)/(AE4*400)</f>
        <v>0.49291111573687235</v>
      </c>
    </row>
    <row r="5" spans="1:70" x14ac:dyDescent="0.25">
      <c r="A5" s="16">
        <v>2</v>
      </c>
      <c r="B5" s="26">
        <v>2</v>
      </c>
      <c r="C5" s="26"/>
      <c r="D5" s="19">
        <f>'2'!D3</f>
        <v>30</v>
      </c>
      <c r="E5" s="253">
        <f>'2'!D4</f>
        <v>0.8</v>
      </c>
      <c r="F5" s="253"/>
      <c r="G5" s="19">
        <f>'2'!G8</f>
        <v>19688</v>
      </c>
      <c r="H5" s="19">
        <f>'2'!G8</f>
        <v>19688</v>
      </c>
      <c r="I5" s="19">
        <f>'2'!G7</f>
        <v>19450</v>
      </c>
      <c r="J5" s="19">
        <v>10</v>
      </c>
      <c r="K5" s="239">
        <f t="shared" ref="K5:K34" si="3">H5*J5</f>
        <v>196880</v>
      </c>
      <c r="L5" s="235">
        <f t="shared" ref="L5:L34" si="4">I5/202</f>
        <v>96.287128712871294</v>
      </c>
      <c r="M5" s="19">
        <f>'2'!G15</f>
        <v>605.86199999996461</v>
      </c>
      <c r="N5" s="19">
        <v>35</v>
      </c>
      <c r="O5" s="235">
        <f t="shared" ref="O5:O34" si="5">M5*N5</f>
        <v>21205.169999998761</v>
      </c>
      <c r="P5" s="19">
        <f>'2'!G20</f>
        <v>133</v>
      </c>
      <c r="Q5" s="19">
        <v>134</v>
      </c>
      <c r="R5" s="236">
        <f t="shared" si="0"/>
        <v>17822</v>
      </c>
      <c r="S5" s="237" t="e">
        <f t="shared" si="1"/>
        <v>#DIV/0!</v>
      </c>
      <c r="T5" s="19">
        <f>'2'!G24</f>
        <v>0</v>
      </c>
      <c r="U5" s="19">
        <v>69</v>
      </c>
      <c r="V5" s="238">
        <f t="shared" ref="V5:V34" si="6">T5*U5</f>
        <v>0</v>
      </c>
      <c r="W5" s="22">
        <f>'2'!G95</f>
        <v>59</v>
      </c>
      <c r="X5" s="22">
        <f>'2'!G96</f>
        <v>31</v>
      </c>
      <c r="Y5" s="22">
        <f>'2'!G97</f>
        <v>14</v>
      </c>
      <c r="Z5" s="22">
        <f t="shared" ref="Z5:Z34" si="7">W5+X5+Y5</f>
        <v>104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23.549999999999272</v>
      </c>
      <c r="AE5" s="19">
        <f t="shared" ref="AE5:AE34" si="8">AA5+AB5+AC5+AD5</f>
        <v>23.549999999999272</v>
      </c>
      <c r="AF5" s="23">
        <f t="shared" si="2"/>
        <v>4681.1500000000524</v>
      </c>
      <c r="AG5" s="23">
        <f t="shared" ref="AG5:AG34" si="9">AF5/AE5</f>
        <v>198.77494692145211</v>
      </c>
      <c r="AH5" s="19">
        <f>'2'!G136</f>
        <v>5.8099999999976717</v>
      </c>
      <c r="AI5" s="19">
        <f>'2'!G137</f>
        <v>0</v>
      </c>
      <c r="AJ5" s="19">
        <f>'2'!G138</f>
        <v>0</v>
      </c>
      <c r="AK5" s="19">
        <f t="shared" ref="AK5:AK34" si="10">AH5+AI5+AJ5</f>
        <v>5.8099999999976717</v>
      </c>
      <c r="AL5" s="19">
        <f>'2'!G139</f>
        <v>5.4500000000000455</v>
      </c>
      <c r="AM5" s="19">
        <f>'2'!G140</f>
        <v>7.999999999992724E-2</v>
      </c>
      <c r="AN5" s="19"/>
      <c r="AO5" s="19">
        <f t="shared" ref="AO5:AO34" si="11">AL5+AM5</f>
        <v>5.5299999999999727</v>
      </c>
      <c r="AP5" s="255">
        <f>'2'!G123</f>
        <v>194.65599999995902</v>
      </c>
      <c r="AQ5" s="258">
        <f>'2'!G35</f>
        <v>0.40000000002328306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2165.6800000000512</v>
      </c>
      <c r="AY5" s="19">
        <f>'2'!G44</f>
        <v>0</v>
      </c>
      <c r="AZ5" s="259">
        <f>'2'!G36</f>
        <v>696.92000000001281</v>
      </c>
      <c r="BA5" s="258">
        <f>'2'!G49</f>
        <v>2702.4629999999961</v>
      </c>
      <c r="BB5" s="19">
        <f>'2'!G51</f>
        <v>1394.5409999999974</v>
      </c>
      <c r="BC5" s="19">
        <f>'2'!G52</f>
        <v>1803.320000000007</v>
      </c>
      <c r="BD5" s="19">
        <f>'2'!G53</f>
        <v>4163.9559999999983</v>
      </c>
      <c r="BE5" s="19">
        <f>'2'!G54</f>
        <v>59.090000000000146</v>
      </c>
      <c r="BF5" s="19">
        <f>'2'!G55</f>
        <v>0.10000000000582077</v>
      </c>
      <c r="BG5" s="19">
        <f>'2'!G56</f>
        <v>4681.1199999999953</v>
      </c>
      <c r="BH5" s="19">
        <f>'2'!G57</f>
        <v>0</v>
      </c>
      <c r="BI5" s="259">
        <f>'2'!G50</f>
        <v>1111.859999999986</v>
      </c>
      <c r="BJ5" s="398">
        <f t="shared" ref="BJ5:BJ34" si="12">SUM(AV5,AW5,BF5,BG5)</f>
        <v>4681.1500000000524</v>
      </c>
      <c r="BK5" s="398">
        <f>'2'!G84</f>
        <v>542</v>
      </c>
      <c r="BL5" s="23">
        <f t="shared" ref="BL5:BL34" si="13">SUM(AQ5,AV5,AW5,AX5,BA5,BF5,BG5,BH5)/I5%</f>
        <v>49.09867866323971</v>
      </c>
      <c r="BM5" s="23">
        <f t="shared" ref="BM5:BM34" si="14">SUM(AT5,BD5)/I5%</f>
        <v>21.408514138817473</v>
      </c>
      <c r="BN5" s="24">
        <f t="shared" ref="BN5:BN34" si="15">(AS5+BC5)/I5</f>
        <v>9.271568123393352E-2</v>
      </c>
      <c r="BO5" s="25">
        <f t="shared" ref="BO5:BO34" si="16">K5+O5+R5+V5</f>
        <v>235907.16999999876</v>
      </c>
      <c r="BP5" s="212">
        <f t="shared" ref="BP5:BP35" si="17">SUM(AV5,AW5,AX5,BF5,BG5,BH5,BK5)</f>
        <v>7388.8300000001036</v>
      </c>
      <c r="BQ5">
        <f t="shared" ref="BQ5:BQ35" si="18">BP5/(AE5*280)</f>
        <v>1.1205383682135779</v>
      </c>
    </row>
    <row r="6" spans="1:70" x14ac:dyDescent="0.25">
      <c r="A6" s="16">
        <v>3</v>
      </c>
      <c r="B6" s="26">
        <v>3</v>
      </c>
      <c r="C6" s="26"/>
      <c r="D6" s="19">
        <f>'3'!D3</f>
        <v>31</v>
      </c>
      <c r="E6" s="253">
        <f>'3'!D4</f>
        <v>0.8</v>
      </c>
      <c r="F6" s="253"/>
      <c r="G6" s="19">
        <f>'3'!G8</f>
        <v>18908</v>
      </c>
      <c r="H6" s="19">
        <f>'3'!G8</f>
        <v>18908</v>
      </c>
      <c r="I6" s="19">
        <f>'3'!G7</f>
        <v>18679</v>
      </c>
      <c r="J6" s="19">
        <v>10</v>
      </c>
      <c r="K6" s="239">
        <f t="shared" si="3"/>
        <v>189080</v>
      </c>
      <c r="L6" s="235">
        <f t="shared" si="4"/>
        <v>92.470297029702976</v>
      </c>
      <c r="M6" s="19">
        <f>'3'!G15</f>
        <v>518.45100000011735</v>
      </c>
      <c r="N6" s="19">
        <v>35</v>
      </c>
      <c r="O6" s="235">
        <f t="shared" si="5"/>
        <v>18145.785000004107</v>
      </c>
      <c r="P6" s="19">
        <f>'3'!G20</f>
        <v>133</v>
      </c>
      <c r="Q6" s="19">
        <v>134</v>
      </c>
      <c r="R6" s="236">
        <f t="shared" si="0"/>
        <v>17822</v>
      </c>
      <c r="S6" s="237" t="e">
        <f t="shared" si="1"/>
        <v>#DIV/0!</v>
      </c>
      <c r="T6" s="19">
        <f>'3'!G24</f>
        <v>0</v>
      </c>
      <c r="U6" s="19">
        <v>69</v>
      </c>
      <c r="V6" s="238">
        <f t="shared" si="6"/>
        <v>0</v>
      </c>
      <c r="W6" s="22">
        <f>'3'!G95</f>
        <v>45</v>
      </c>
      <c r="X6" s="22">
        <f>'3'!G96</f>
        <v>22</v>
      </c>
      <c r="Y6" s="22">
        <f>'3'!G97</f>
        <v>16</v>
      </c>
      <c r="Z6" s="22">
        <f>W6+X6+Y6</f>
        <v>83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24</v>
      </c>
      <c r="AE6" s="19">
        <f t="shared" si="8"/>
        <v>24</v>
      </c>
      <c r="AF6" s="23">
        <f t="shared" si="2"/>
        <v>4174.2799999999697</v>
      </c>
      <c r="AG6" s="23">
        <f t="shared" si="9"/>
        <v>173.92833333333206</v>
      </c>
      <c r="AH6" s="19">
        <f>'3'!G136</f>
        <v>0</v>
      </c>
      <c r="AI6" s="19">
        <f>'3'!G137</f>
        <v>-9.9999999983992893E-3</v>
      </c>
      <c r="AJ6" s="19">
        <f>'3'!G138</f>
        <v>9.0399999999935972</v>
      </c>
      <c r="AK6" s="19">
        <f t="shared" si="10"/>
        <v>9.0299999999951979</v>
      </c>
      <c r="AL6" s="19">
        <f>'3'!G139</f>
        <v>5.32000000000005</v>
      </c>
      <c r="AM6" s="19">
        <f>'3'!G140</f>
        <v>0</v>
      </c>
      <c r="AN6" s="19"/>
      <c r="AO6" s="19">
        <f t="shared" si="11"/>
        <v>5.32000000000005</v>
      </c>
      <c r="AP6" s="255">
        <f>'3'!G123</f>
        <v>211.77399999997579</v>
      </c>
      <c r="AQ6" s="258">
        <f>'3'!G35</f>
        <v>0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2304.1199999999953</v>
      </c>
      <c r="AY6" s="19">
        <f>'3'!G44</f>
        <v>0</v>
      </c>
      <c r="AZ6" s="259">
        <f>'3'!G36</f>
        <v>666.82000000000698</v>
      </c>
      <c r="BA6" s="258">
        <f>'3'!G49</f>
        <v>2711.4089999999997</v>
      </c>
      <c r="BB6" s="19">
        <f>'3'!G51</f>
        <v>1372.1690000000017</v>
      </c>
      <c r="BC6" s="19">
        <f>'3'!G52</f>
        <v>1727.679999999993</v>
      </c>
      <c r="BD6" s="19">
        <f>'3'!G53</f>
        <v>4015.398000000001</v>
      </c>
      <c r="BE6" s="19">
        <f>'3'!G54</f>
        <v>43.239999999999782</v>
      </c>
      <c r="BF6" s="19">
        <f>'3'!G55</f>
        <v>0</v>
      </c>
      <c r="BG6" s="19">
        <f>'3'!G56</f>
        <v>4174.2799999999697</v>
      </c>
      <c r="BH6" s="19">
        <f>'3'!G57</f>
        <v>0</v>
      </c>
      <c r="BI6" s="259">
        <f>'3'!G50</f>
        <v>1089.039999999979</v>
      </c>
      <c r="BJ6" s="398">
        <f t="shared" si="12"/>
        <v>4174.2799999999697</v>
      </c>
      <c r="BK6" s="398">
        <f>'3'!G84</f>
        <v>541</v>
      </c>
      <c r="BL6" s="23">
        <f t="shared" si="13"/>
        <v>49.198613416135579</v>
      </c>
      <c r="BM6" s="23">
        <f t="shared" si="14"/>
        <v>21.496857433481456</v>
      </c>
      <c r="BN6" s="24">
        <f t="shared" si="15"/>
        <v>9.2493174152791527E-2</v>
      </c>
      <c r="BO6" s="25">
        <f t="shared" si="16"/>
        <v>225047.78500000411</v>
      </c>
      <c r="BP6" s="212">
        <f t="shared" si="17"/>
        <v>7019.3999999999651</v>
      </c>
      <c r="BQ6">
        <f t="shared" si="18"/>
        <v>1.0445535714285663</v>
      </c>
    </row>
    <row r="7" spans="1:70" x14ac:dyDescent="0.25">
      <c r="A7" s="16">
        <v>4</v>
      </c>
      <c r="B7" s="27">
        <v>4</v>
      </c>
      <c r="C7" s="27"/>
      <c r="D7" s="19">
        <f>'4'!D3</f>
        <v>31</v>
      </c>
      <c r="E7" s="253">
        <f>'4'!D4</f>
        <v>0.8</v>
      </c>
      <c r="F7" s="253"/>
      <c r="G7" s="19">
        <f>'4'!G8</f>
        <v>19846</v>
      </c>
      <c r="H7" s="19">
        <f>'4'!G8</f>
        <v>19846</v>
      </c>
      <c r="I7" s="19">
        <f>'4'!G7</f>
        <v>19611</v>
      </c>
      <c r="J7" s="19">
        <v>10</v>
      </c>
      <c r="K7" s="239">
        <f t="shared" si="3"/>
        <v>198460</v>
      </c>
      <c r="L7" s="235">
        <f t="shared" si="4"/>
        <v>97.084158415841586</v>
      </c>
      <c r="M7" s="19">
        <f>'4'!G15</f>
        <v>691.17599999997765</v>
      </c>
      <c r="N7" s="19">
        <v>35</v>
      </c>
      <c r="O7" s="235">
        <f t="shared" si="5"/>
        <v>24191.159999999218</v>
      </c>
      <c r="P7" s="19">
        <f>'4'!G20</f>
        <v>153</v>
      </c>
      <c r="Q7" s="19">
        <v>134</v>
      </c>
      <c r="R7" s="236">
        <f t="shared" si="0"/>
        <v>20502</v>
      </c>
      <c r="S7" s="237" t="e">
        <f t="shared" si="1"/>
        <v>#DIV/0!</v>
      </c>
      <c r="T7" s="19">
        <f>'4'!G24</f>
        <v>0</v>
      </c>
      <c r="U7" s="19">
        <v>69</v>
      </c>
      <c r="V7" s="238">
        <f t="shared" si="6"/>
        <v>0</v>
      </c>
      <c r="W7" s="22">
        <f>'4'!G95</f>
        <v>59</v>
      </c>
      <c r="X7" s="22">
        <f>'4'!G96</f>
        <v>25</v>
      </c>
      <c r="Y7" s="22">
        <f>'4'!G97</f>
        <v>15</v>
      </c>
      <c r="Z7" s="22">
        <f t="shared" si="7"/>
        <v>99</v>
      </c>
      <c r="AA7" s="19">
        <f>'4'!G132</f>
        <v>0</v>
      </c>
      <c r="AB7" s="19">
        <f>'4'!G133</f>
        <v>20.3</v>
      </c>
      <c r="AC7" s="19">
        <f>'4'!G134</f>
        <v>0</v>
      </c>
      <c r="AD7" s="19">
        <f>'4'!G135</f>
        <v>4</v>
      </c>
      <c r="AE7" s="19">
        <f t="shared" si="8"/>
        <v>24.3</v>
      </c>
      <c r="AF7" s="23">
        <f t="shared" si="2"/>
        <v>4263.340000000002</v>
      </c>
      <c r="AG7" s="23">
        <f t="shared" si="9"/>
        <v>175.4460905349795</v>
      </c>
      <c r="AH7" s="19">
        <f>'4'!G136</f>
        <v>5.7700000000004366</v>
      </c>
      <c r="AI7" s="19">
        <f>'4'!G137</f>
        <v>9.9999999983992893E-3</v>
      </c>
      <c r="AJ7" s="19">
        <f>'4'!G138</f>
        <v>0</v>
      </c>
      <c r="AK7" s="19">
        <f t="shared" si="10"/>
        <v>5.7799999999988358</v>
      </c>
      <c r="AL7" s="19">
        <f>'4'!G139</f>
        <v>6.3899999999999864</v>
      </c>
      <c r="AM7" s="19">
        <f>'4'!G140</f>
        <v>0</v>
      </c>
      <c r="AN7" s="19"/>
      <c r="AO7" s="19">
        <f t="shared" si="11"/>
        <v>6.3899999999999864</v>
      </c>
      <c r="AP7" s="255">
        <f>'4'!G123</f>
        <v>207.00600000005215</v>
      </c>
      <c r="AQ7" s="258">
        <f>'4'!G35</f>
        <v>0</v>
      </c>
      <c r="AR7" s="19">
        <f>'4'!G37</f>
        <v>0</v>
      </c>
      <c r="AS7" s="19">
        <f>'4'!G38</f>
        <v>0.20000000001164153</v>
      </c>
      <c r="AT7" s="19">
        <f>'4'!G39</f>
        <v>0</v>
      </c>
      <c r="AU7" s="19">
        <f>'4'!G40</f>
        <v>0</v>
      </c>
      <c r="AV7" s="19">
        <f>'4'!G41</f>
        <v>0</v>
      </c>
      <c r="AW7" s="19">
        <f>'4'!G42</f>
        <v>3678.9</v>
      </c>
      <c r="AX7" s="19">
        <f>'4'!G43</f>
        <v>2374.9199999999255</v>
      </c>
      <c r="AY7" s="19">
        <f>'4'!G44</f>
        <v>0</v>
      </c>
      <c r="AZ7" s="259">
        <f>'4'!G36</f>
        <v>735.55999999999767</v>
      </c>
      <c r="BA7" s="258">
        <f>'4'!G49</f>
        <v>2847.4410000000062</v>
      </c>
      <c r="BB7" s="19">
        <f>'4'!G51</f>
        <v>1417.0109999999986</v>
      </c>
      <c r="BC7" s="19">
        <f>'4'!G52</f>
        <v>1816.9199999999837</v>
      </c>
      <c r="BD7" s="19">
        <f>'4'!G53</f>
        <v>4209.5449999999983</v>
      </c>
      <c r="BE7" s="19">
        <f>'4'!G54</f>
        <v>44.960000000000036</v>
      </c>
      <c r="BF7" s="19">
        <f>'4'!G55</f>
        <v>0</v>
      </c>
      <c r="BG7" s="19">
        <f>'4'!G56</f>
        <v>584.44000000000233</v>
      </c>
      <c r="BH7" s="19">
        <f>'4'!G57</f>
        <v>0</v>
      </c>
      <c r="BI7" s="259">
        <f>'4'!G50</f>
        <v>1208.4000000000233</v>
      </c>
      <c r="BJ7" s="398">
        <f t="shared" si="12"/>
        <v>4263.340000000002</v>
      </c>
      <c r="BK7" s="398">
        <f>'3'!G84</f>
        <v>541</v>
      </c>
      <c r="BL7" s="23">
        <f t="shared" si="13"/>
        <v>48.36928764468886</v>
      </c>
      <c r="BM7" s="23">
        <f t="shared" si="14"/>
        <v>21.465223599000552</v>
      </c>
      <c r="BN7" s="24">
        <f t="shared" si="15"/>
        <v>9.2658202029473016E-2</v>
      </c>
      <c r="BO7" s="25">
        <f t="shared" si="16"/>
        <v>243153.15999999922</v>
      </c>
      <c r="BP7" s="212">
        <f t="shared" si="17"/>
        <v>7179.2599999999275</v>
      </c>
      <c r="BQ7">
        <f t="shared" si="18"/>
        <v>1.0551528512639516</v>
      </c>
    </row>
    <row r="8" spans="1:70" x14ac:dyDescent="0.25">
      <c r="A8" s="16">
        <v>5</v>
      </c>
      <c r="B8" s="27">
        <v>5</v>
      </c>
      <c r="C8" s="27"/>
      <c r="D8" s="19">
        <f>'5'!D3</f>
        <v>28</v>
      </c>
      <c r="E8" s="253">
        <f>'5'!D4</f>
        <v>0.76</v>
      </c>
      <c r="F8" s="253"/>
      <c r="G8" s="19">
        <f>'5'!G8</f>
        <v>19340</v>
      </c>
      <c r="H8" s="19">
        <f>'5'!G8</f>
        <v>19340</v>
      </c>
      <c r="I8" s="19">
        <f>'5'!G7</f>
        <v>19138</v>
      </c>
      <c r="J8" s="19">
        <v>10</v>
      </c>
      <c r="K8" s="239">
        <f t="shared" si="3"/>
        <v>193400</v>
      </c>
      <c r="L8" s="235">
        <f t="shared" si="4"/>
        <v>94.742574257425744</v>
      </c>
      <c r="M8" s="19">
        <f>'5'!G15</f>
        <v>640.45600000000559</v>
      </c>
      <c r="N8" s="19">
        <v>35</v>
      </c>
      <c r="O8" s="235">
        <f t="shared" si="5"/>
        <v>22415.960000000196</v>
      </c>
      <c r="P8" s="19">
        <f>'5'!G20</f>
        <v>172</v>
      </c>
      <c r="Q8" s="19">
        <v>134</v>
      </c>
      <c r="R8" s="236">
        <f t="shared" si="0"/>
        <v>23048</v>
      </c>
      <c r="S8" s="237" t="e">
        <f t="shared" si="1"/>
        <v>#DIV/0!</v>
      </c>
      <c r="T8" s="19">
        <f>'5'!G24</f>
        <v>0</v>
      </c>
      <c r="U8" s="19">
        <v>69</v>
      </c>
      <c r="V8" s="238">
        <f t="shared" si="6"/>
        <v>0</v>
      </c>
      <c r="W8" s="22">
        <f>'5'!G95</f>
        <v>56</v>
      </c>
      <c r="X8" s="22">
        <f>'5'!G96</f>
        <v>27</v>
      </c>
      <c r="Y8" s="22">
        <f>'5'!G97</f>
        <v>20</v>
      </c>
      <c r="Z8" s="22">
        <f t="shared" si="7"/>
        <v>103</v>
      </c>
      <c r="AA8" s="19">
        <f>'5'!G132</f>
        <v>0</v>
      </c>
      <c r="AB8" s="19">
        <f>'5'!G133</f>
        <v>23.7</v>
      </c>
      <c r="AC8" s="19">
        <f>'5'!G134</f>
        <v>0</v>
      </c>
      <c r="AD8" s="19">
        <f>'5'!G135</f>
        <v>0</v>
      </c>
      <c r="AE8" s="19">
        <f t="shared" si="8"/>
        <v>23.7</v>
      </c>
      <c r="AF8" s="23">
        <f t="shared" si="2"/>
        <v>4126.8700000000008</v>
      </c>
      <c r="AG8" s="23">
        <f t="shared" si="9"/>
        <v>174.12953586497895</v>
      </c>
      <c r="AH8" s="19">
        <f>'5'!G136</f>
        <v>3.2700000000004366</v>
      </c>
      <c r="AI8" s="19">
        <f>'5'!G137</f>
        <v>0</v>
      </c>
      <c r="AJ8" s="19">
        <f>'5'!G138</f>
        <v>4.1300000000046566</v>
      </c>
      <c r="AK8" s="19">
        <f t="shared" si="10"/>
        <v>7.4000000000050932</v>
      </c>
      <c r="AL8" s="19">
        <f>'5'!G139</f>
        <v>5.6699999999999591</v>
      </c>
      <c r="AM8" s="19">
        <f>'5'!G140</f>
        <v>0</v>
      </c>
      <c r="AN8" s="19"/>
      <c r="AO8" s="19">
        <f t="shared" si="11"/>
        <v>5.6699999999999591</v>
      </c>
      <c r="AP8" s="255">
        <f>'5'!G123</f>
        <v>200.36499999999069</v>
      </c>
      <c r="AQ8" s="258">
        <f>'5'!G35</f>
        <v>0</v>
      </c>
      <c r="AR8" s="19">
        <f>'5'!G37</f>
        <v>0</v>
      </c>
      <c r="AS8" s="19">
        <f>'5'!G38</f>
        <v>0</v>
      </c>
      <c r="AT8" s="19">
        <f>'5'!G39</f>
        <v>0</v>
      </c>
      <c r="AU8" s="19">
        <f>'5'!G40</f>
        <v>0</v>
      </c>
      <c r="AV8" s="19">
        <f>'5'!G41</f>
        <v>0</v>
      </c>
      <c r="AW8" s="19">
        <f>'5'!G42</f>
        <v>4126.8700000000008</v>
      </c>
      <c r="AX8" s="19">
        <f>'5'!G43</f>
        <v>2267.9200000000419</v>
      </c>
      <c r="AY8" s="19">
        <f>'5'!G44</f>
        <v>0</v>
      </c>
      <c r="AZ8" s="259">
        <f>'5'!G36</f>
        <v>657.22000000000116</v>
      </c>
      <c r="BA8" s="258">
        <f>'5'!G49</f>
        <v>2720.3899999999994</v>
      </c>
      <c r="BB8" s="19">
        <f>'5'!G51</f>
        <v>1393.510000000002</v>
      </c>
      <c r="BC8" s="19">
        <f>'5'!G52</f>
        <v>1825.7600000000093</v>
      </c>
      <c r="BD8" s="19">
        <f>'5'!G53</f>
        <v>4092.5250000000087</v>
      </c>
      <c r="BE8" s="19">
        <f>'5'!G54</f>
        <v>71.680000000000291</v>
      </c>
      <c r="BF8" s="19">
        <f>'5'!G55</f>
        <v>0</v>
      </c>
      <c r="BG8" s="19">
        <f>'5'!G56</f>
        <v>0</v>
      </c>
      <c r="BH8" s="19">
        <f>'5'!G57</f>
        <v>0</v>
      </c>
      <c r="BI8" s="259">
        <f>'5'!G50</f>
        <v>1440.7600000000093</v>
      </c>
      <c r="BJ8" s="398">
        <f t="shared" si="12"/>
        <v>4126.8700000000008</v>
      </c>
      <c r="BK8" s="398">
        <f>'5'!G84</f>
        <v>611</v>
      </c>
      <c r="BL8" s="23">
        <f t="shared" si="13"/>
        <v>47.628696833525147</v>
      </c>
      <c r="BM8" s="23">
        <f t="shared" si="14"/>
        <v>21.38428780436832</v>
      </c>
      <c r="BN8" s="24">
        <f t="shared" si="15"/>
        <v>9.5399728289267918E-2</v>
      </c>
      <c r="BO8" s="25">
        <f t="shared" si="16"/>
        <v>238863.9600000002</v>
      </c>
      <c r="BP8" s="212">
        <f t="shared" si="17"/>
        <v>7005.7900000000427</v>
      </c>
      <c r="BQ8">
        <f t="shared" si="18"/>
        <v>1.055724834237499</v>
      </c>
    </row>
    <row r="9" spans="1:70" x14ac:dyDescent="0.25">
      <c r="A9" s="16">
        <v>6</v>
      </c>
      <c r="B9" s="17">
        <v>6</v>
      </c>
      <c r="C9" s="26"/>
      <c r="D9" s="19">
        <f>'6'!D3</f>
        <v>35</v>
      </c>
      <c r="E9" s="253">
        <f>'6'!D4</f>
        <v>0.8</v>
      </c>
      <c r="F9" s="253"/>
      <c r="G9" s="19">
        <f>'6'!G8</f>
        <v>19877</v>
      </c>
      <c r="H9" s="19">
        <f>'6'!G8</f>
        <v>19877</v>
      </c>
      <c r="I9" s="19">
        <f>'6'!G7</f>
        <v>19631</v>
      </c>
      <c r="J9" s="19">
        <v>10</v>
      </c>
      <c r="K9" s="239">
        <f t="shared" si="3"/>
        <v>198770</v>
      </c>
      <c r="L9" s="235">
        <f t="shared" si="4"/>
        <v>97.183168316831683</v>
      </c>
      <c r="M9" s="19">
        <f>'6'!G15</f>
        <v>745.69699999992736</v>
      </c>
      <c r="N9" s="19">
        <v>35</v>
      </c>
      <c r="O9" s="235">
        <f t="shared" si="5"/>
        <v>26099.394999997457</v>
      </c>
      <c r="P9" s="19">
        <f>'6'!G20</f>
        <v>168</v>
      </c>
      <c r="Q9" s="19">
        <v>134</v>
      </c>
      <c r="R9" s="236">
        <f t="shared" si="0"/>
        <v>22512</v>
      </c>
      <c r="S9" s="237" t="e">
        <f t="shared" si="1"/>
        <v>#DIV/0!</v>
      </c>
      <c r="T9" s="19">
        <f>'6'!G24</f>
        <v>0</v>
      </c>
      <c r="U9" s="19">
        <v>69</v>
      </c>
      <c r="V9" s="238">
        <f t="shared" si="6"/>
        <v>0</v>
      </c>
      <c r="W9" s="22">
        <f>'6'!G95</f>
        <v>57</v>
      </c>
      <c r="X9" s="22">
        <f>'6'!G96</f>
        <v>36</v>
      </c>
      <c r="Y9" s="22">
        <f>'6'!G97</f>
        <v>21</v>
      </c>
      <c r="Z9" s="22">
        <f t="shared" si="7"/>
        <v>114</v>
      </c>
      <c r="AA9" s="19">
        <f>'6'!G132</f>
        <v>0</v>
      </c>
      <c r="AB9" s="19">
        <f>'6'!G133</f>
        <v>24.269999999999996</v>
      </c>
      <c r="AC9" s="19">
        <f>'6'!G134</f>
        <v>0</v>
      </c>
      <c r="AD9" s="19">
        <f>'6'!G135</f>
        <v>0</v>
      </c>
      <c r="AE9" s="19">
        <f t="shared" si="8"/>
        <v>24.269999999999996</v>
      </c>
      <c r="AF9" s="23">
        <f t="shared" si="2"/>
        <v>3798.09</v>
      </c>
      <c r="AG9" s="23">
        <f t="shared" si="9"/>
        <v>156.49320148331276</v>
      </c>
      <c r="AH9" s="19">
        <f>'6'!G136</f>
        <v>6.9799999999995634</v>
      </c>
      <c r="AI9" s="19">
        <f>'6'!G137</f>
        <v>0</v>
      </c>
      <c r="AJ9" s="19">
        <f>'6'!G138</f>
        <v>0</v>
      </c>
      <c r="AK9" s="19">
        <f t="shared" si="10"/>
        <v>6.9799999999995634</v>
      </c>
      <c r="AL9" s="19">
        <f>'6'!G139</f>
        <v>5.7799999999999727</v>
      </c>
      <c r="AM9" s="19">
        <f>'6'!G140</f>
        <v>0</v>
      </c>
      <c r="AN9" s="19"/>
      <c r="AO9" s="19">
        <f t="shared" si="11"/>
        <v>5.7799999999999727</v>
      </c>
      <c r="AP9" s="255">
        <f>'6'!G123</f>
        <v>206.9890000000596</v>
      </c>
      <c r="AQ9" s="258">
        <f>'6'!G35</f>
        <v>0</v>
      </c>
      <c r="AR9" s="19">
        <f>'6'!G37</f>
        <v>0</v>
      </c>
      <c r="AS9" s="19">
        <f>'6'!G38</f>
        <v>0.17999999999301508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3798.09</v>
      </c>
      <c r="AX9" s="19">
        <f>'6'!G43</f>
        <v>2346.0400000000373</v>
      </c>
      <c r="AY9" s="19">
        <f>'6'!G44</f>
        <v>0</v>
      </c>
      <c r="AZ9" s="259">
        <f>'6'!G36</f>
        <v>652.31999999997788</v>
      </c>
      <c r="BA9" s="258">
        <f>'6'!G49</f>
        <v>2793.25</v>
      </c>
      <c r="BB9" s="19">
        <f>'6'!G51</f>
        <v>1494.989999999998</v>
      </c>
      <c r="BC9" s="19">
        <f>'6'!G52</f>
        <v>1949.4799999999814</v>
      </c>
      <c r="BD9" s="19">
        <f>'6'!G53</f>
        <v>4280.1049999999959</v>
      </c>
      <c r="BE9" s="19">
        <f>'6'!G54</f>
        <v>55.179999999999836</v>
      </c>
      <c r="BF9" s="19">
        <f>'6'!G55</f>
        <v>0</v>
      </c>
      <c r="BG9" s="19">
        <f>'6'!G56</f>
        <v>0</v>
      </c>
      <c r="BH9" s="19">
        <f>'6'!G57</f>
        <v>0</v>
      </c>
      <c r="BI9" s="259">
        <f>'6'!G50</f>
        <v>1621.4400000000023</v>
      </c>
      <c r="BJ9" s="398">
        <f t="shared" si="12"/>
        <v>3798.09</v>
      </c>
      <c r="BK9" s="398">
        <f>'6'!G84</f>
        <v>553</v>
      </c>
      <c r="BL9" s="23">
        <f t="shared" si="13"/>
        <v>45.526870765625986</v>
      </c>
      <c r="BM9" s="23">
        <f t="shared" si="14"/>
        <v>21.802786409250654</v>
      </c>
      <c r="BN9" s="24">
        <f t="shared" si="15"/>
        <v>9.9315368549741448E-2</v>
      </c>
      <c r="BO9" s="25">
        <f t="shared" si="16"/>
        <v>247381.39499999746</v>
      </c>
      <c r="BP9" s="212">
        <f t="shared" si="17"/>
        <v>6697.1300000000374</v>
      </c>
      <c r="BQ9">
        <f t="shared" si="18"/>
        <v>0.98550974159751004</v>
      </c>
    </row>
    <row r="10" spans="1:70" x14ac:dyDescent="0.25">
      <c r="A10" s="16">
        <v>7</v>
      </c>
      <c r="B10" s="26">
        <v>7</v>
      </c>
      <c r="C10" s="27"/>
      <c r="D10" s="19">
        <f>'7'!D3</f>
        <v>28</v>
      </c>
      <c r="E10" s="253">
        <f>'7'!D4</f>
        <v>0.78</v>
      </c>
      <c r="F10" s="253"/>
      <c r="G10" s="19">
        <f>'7'!G8</f>
        <v>21859</v>
      </c>
      <c r="H10" s="19">
        <f>'7'!G8</f>
        <v>21859</v>
      </c>
      <c r="I10" s="19">
        <f>'7'!G7</f>
        <v>21704</v>
      </c>
      <c r="J10" s="19">
        <v>10</v>
      </c>
      <c r="K10" s="239">
        <f t="shared" si="3"/>
        <v>218590</v>
      </c>
      <c r="L10" s="235">
        <f t="shared" si="4"/>
        <v>107.44554455445545</v>
      </c>
      <c r="M10" s="19">
        <f>'7'!G15</f>
        <v>709</v>
      </c>
      <c r="N10" s="19">
        <v>35</v>
      </c>
      <c r="O10" s="235">
        <f t="shared" si="5"/>
        <v>24815</v>
      </c>
      <c r="P10" s="19">
        <f>'7'!G20</f>
        <v>137</v>
      </c>
      <c r="Q10" s="19">
        <v>134</v>
      </c>
      <c r="R10" s="236">
        <f t="shared" si="0"/>
        <v>18358</v>
      </c>
      <c r="S10" s="237" t="e">
        <f t="shared" si="1"/>
        <v>#DIV/0!</v>
      </c>
      <c r="T10" s="19">
        <f>'7'!G24</f>
        <v>0</v>
      </c>
      <c r="U10" s="19">
        <v>69</v>
      </c>
      <c r="V10" s="238">
        <f t="shared" si="6"/>
        <v>0</v>
      </c>
      <c r="W10" s="22">
        <f>'7'!G95</f>
        <v>76</v>
      </c>
      <c r="X10" s="22">
        <f>'7'!G96</f>
        <v>35</v>
      </c>
      <c r="Y10" s="22">
        <f>'7'!G97</f>
        <v>23</v>
      </c>
      <c r="Z10" s="22">
        <f t="shared" si="7"/>
        <v>134</v>
      </c>
      <c r="AA10" s="19">
        <f>'7'!G132</f>
        <v>0</v>
      </c>
      <c r="AB10" s="19">
        <f>'7'!G133</f>
        <v>24</v>
      </c>
      <c r="AC10" s="19">
        <f>'7'!G134</f>
        <v>0</v>
      </c>
      <c r="AD10" s="19">
        <f>'7'!G135</f>
        <v>0</v>
      </c>
      <c r="AE10" s="19">
        <f t="shared" si="8"/>
        <v>24</v>
      </c>
      <c r="AF10" s="23">
        <f t="shared" si="2"/>
        <v>4547.9799999999996</v>
      </c>
      <c r="AG10" s="23">
        <f t="shared" si="9"/>
        <v>189.49916666666664</v>
      </c>
      <c r="AH10" s="19">
        <f>'7'!G136</f>
        <v>3.8899999999994179</v>
      </c>
      <c r="AI10" s="19">
        <f>'7'!G137</f>
        <v>0</v>
      </c>
      <c r="AJ10" s="19">
        <f>'7'!G138</f>
        <v>6.4599999999918509</v>
      </c>
      <c r="AK10" s="19">
        <f t="shared" si="10"/>
        <v>10.349999999991269</v>
      </c>
      <c r="AL10" s="19">
        <f>'7'!G139</f>
        <v>5.2000000000000455</v>
      </c>
      <c r="AM10" s="19">
        <f>'7'!G140</f>
        <v>0</v>
      </c>
      <c r="AN10" s="19"/>
      <c r="AO10" s="19">
        <f t="shared" si="11"/>
        <v>5.2000000000000455</v>
      </c>
      <c r="AP10" s="255">
        <f>'7'!G123</f>
        <v>181.94999999995343</v>
      </c>
      <c r="AQ10" s="258">
        <f>'7'!G35</f>
        <v>0</v>
      </c>
      <c r="AR10" s="19">
        <f>'7'!G37</f>
        <v>0</v>
      </c>
      <c r="AS10" s="19">
        <f>'7'!G38</f>
        <v>-0.38000000000465661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4547.9799999999996</v>
      </c>
      <c r="AX10" s="19">
        <f>'7'!G43</f>
        <v>2375.8800000000047</v>
      </c>
      <c r="AY10" s="19">
        <f>'7'!G44</f>
        <v>0</v>
      </c>
      <c r="AZ10" s="259">
        <f>'7'!G36</f>
        <v>1199.0599999999977</v>
      </c>
      <c r="BA10" s="258">
        <f>'7'!G49</f>
        <v>2918.1600000000035</v>
      </c>
      <c r="BB10" s="19">
        <f>'7'!G51</f>
        <v>1541.2099999999991</v>
      </c>
      <c r="BC10" s="19">
        <f>'7'!G52</f>
        <v>2074.2800000000279</v>
      </c>
      <c r="BD10" s="19">
        <f>'7'!G53</f>
        <v>4516.1699999999983</v>
      </c>
      <c r="BE10" s="19">
        <f>'7'!G54</f>
        <v>42.670000000000073</v>
      </c>
      <c r="BF10" s="19">
        <f>'7'!G55</f>
        <v>0</v>
      </c>
      <c r="BG10" s="19">
        <f>'7'!G56</f>
        <v>0</v>
      </c>
      <c r="BH10" s="19">
        <f>'7'!G57</f>
        <v>0</v>
      </c>
      <c r="BI10" s="259">
        <f>'7'!G50</f>
        <v>1784.0199999999604</v>
      </c>
      <c r="BJ10" s="398">
        <f t="shared" si="12"/>
        <v>4547.9799999999996</v>
      </c>
      <c r="BK10" s="398">
        <f>'7'!G84</f>
        <v>531</v>
      </c>
      <c r="BL10" s="23">
        <f t="shared" si="13"/>
        <v>45.346572060449724</v>
      </c>
      <c r="BM10" s="23">
        <f t="shared" si="14"/>
        <v>20.808007740508653</v>
      </c>
      <c r="BN10" s="24">
        <f t="shared" si="15"/>
        <v>9.5553814964984482E-2</v>
      </c>
      <c r="BO10" s="25">
        <f t="shared" si="16"/>
        <v>261763</v>
      </c>
      <c r="BP10" s="212">
        <f t="shared" si="17"/>
        <v>7454.8600000000042</v>
      </c>
      <c r="BQ10">
        <f t="shared" si="18"/>
        <v>1.1093541666666673</v>
      </c>
    </row>
    <row r="11" spans="1:70" x14ac:dyDescent="0.25">
      <c r="A11" s="16">
        <v>8</v>
      </c>
      <c r="B11" s="26">
        <v>8</v>
      </c>
      <c r="C11" s="18"/>
      <c r="D11" s="19">
        <f>'8'!D3</f>
        <v>29</v>
      </c>
      <c r="E11" s="253">
        <f>'8'!D4</f>
        <v>0.79</v>
      </c>
      <c r="F11" s="253"/>
      <c r="G11" s="19">
        <f>'8'!G8</f>
        <v>19619</v>
      </c>
      <c r="H11" s="19">
        <f>'8'!G8</f>
        <v>19619</v>
      </c>
      <c r="I11" s="19">
        <f>'8'!G7</f>
        <v>19409</v>
      </c>
      <c r="J11" s="19">
        <v>10</v>
      </c>
      <c r="K11" s="239">
        <f t="shared" si="3"/>
        <v>196190</v>
      </c>
      <c r="L11" s="235">
        <f t="shared" si="4"/>
        <v>96.084158415841586</v>
      </c>
      <c r="M11" s="19">
        <f>'8'!G15</f>
        <v>776.34000000008382</v>
      </c>
      <c r="N11" s="19">
        <v>35</v>
      </c>
      <c r="O11" s="235">
        <f t="shared" si="5"/>
        <v>27171.900000002934</v>
      </c>
      <c r="P11" s="19">
        <f>'8'!G20</f>
        <v>213</v>
      </c>
      <c r="Q11" s="19">
        <v>134</v>
      </c>
      <c r="R11" s="236">
        <f t="shared" si="0"/>
        <v>28542</v>
      </c>
      <c r="S11" s="237" t="e">
        <f t="shared" si="1"/>
        <v>#DIV/0!</v>
      </c>
      <c r="T11" s="19">
        <f>'8'!G24</f>
        <v>0</v>
      </c>
      <c r="U11" s="19">
        <v>69</v>
      </c>
      <c r="V11" s="238">
        <f t="shared" si="6"/>
        <v>0</v>
      </c>
      <c r="W11" s="22">
        <f>'8'!G95</f>
        <v>70</v>
      </c>
      <c r="X11" s="22">
        <f>'8'!G96</f>
        <v>33</v>
      </c>
      <c r="Y11" s="22">
        <f>'8'!G97</f>
        <v>30</v>
      </c>
      <c r="Z11" s="22">
        <f t="shared" si="7"/>
        <v>133</v>
      </c>
      <c r="AA11" s="19">
        <f>'8'!G132</f>
        <v>0</v>
      </c>
      <c r="AB11" s="19">
        <f>'8'!G133</f>
        <v>23.950000000000003</v>
      </c>
      <c r="AC11" s="19">
        <f>'8'!G134</f>
        <v>0</v>
      </c>
      <c r="AD11" s="19">
        <f>'8'!G135</f>
        <v>0</v>
      </c>
      <c r="AE11" s="19">
        <f t="shared" si="8"/>
        <v>23.950000000000003</v>
      </c>
      <c r="AF11" s="23">
        <f t="shared" si="2"/>
        <v>3950.7400000000016</v>
      </c>
      <c r="AG11" s="23">
        <f t="shared" si="9"/>
        <v>164.95782881002091</v>
      </c>
      <c r="AH11" s="19">
        <f>'8'!G136</f>
        <v>9.2400000000016007</v>
      </c>
      <c r="AI11" s="19">
        <f>'8'!G137</f>
        <v>0</v>
      </c>
      <c r="AJ11" s="19">
        <f>'8'!G138</f>
        <v>0</v>
      </c>
      <c r="AK11" s="19">
        <f t="shared" si="10"/>
        <v>9.2400000000016007</v>
      </c>
      <c r="AL11" s="19">
        <f>'8'!G139</f>
        <v>5.3099999999999454</v>
      </c>
      <c r="AM11" s="19">
        <f>'8'!G140</f>
        <v>0</v>
      </c>
      <c r="AN11" s="19"/>
      <c r="AO11" s="19">
        <f t="shared" si="11"/>
        <v>5.3099999999999454</v>
      </c>
      <c r="AP11" s="255">
        <f>'8'!G123</f>
        <v>187.07999999995809</v>
      </c>
      <c r="AQ11" s="258">
        <f>'8'!G35</f>
        <v>0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0</v>
      </c>
      <c r="AW11" s="19">
        <f>'8'!G42</f>
        <v>3950.7400000000016</v>
      </c>
      <c r="AX11" s="19">
        <f>'8'!G43</f>
        <v>2311.9199999999255</v>
      </c>
      <c r="AY11" s="23">
        <f>'8'!G44</f>
        <v>0</v>
      </c>
      <c r="AZ11" s="259">
        <f>'8'!G36</f>
        <v>749.88000000000466</v>
      </c>
      <c r="BA11" s="258">
        <f>'8'!G49</f>
        <v>2685.6699999999983</v>
      </c>
      <c r="BB11" s="19">
        <f>'8'!G51</f>
        <v>1480.2100000000028</v>
      </c>
      <c r="BC11" s="19">
        <f>'8'!G52</f>
        <v>2140.2799999999697</v>
      </c>
      <c r="BD11" s="19">
        <f>'8'!G53</f>
        <v>4105.0699999999924</v>
      </c>
      <c r="BE11" s="19">
        <f>'8'!G54</f>
        <v>44.789999999999964</v>
      </c>
      <c r="BF11" s="19">
        <f>'8'!G55</f>
        <v>0</v>
      </c>
      <c r="BG11" s="19">
        <f>'8'!G56</f>
        <v>0</v>
      </c>
      <c r="BH11" s="19">
        <f>'8'!G57</f>
        <v>0</v>
      </c>
      <c r="BI11" s="259">
        <f>'8'!G50</f>
        <v>1267.0599999999977</v>
      </c>
      <c r="BJ11" s="398">
        <f t="shared" si="12"/>
        <v>3950.7400000000016</v>
      </c>
      <c r="BK11" s="398">
        <f>'8'!G84</f>
        <v>579</v>
      </c>
      <c r="BL11" s="23">
        <f t="shared" si="13"/>
        <v>46.104023906434776</v>
      </c>
      <c r="BM11" s="23">
        <f t="shared" si="14"/>
        <v>21.150342624555581</v>
      </c>
      <c r="BN11" s="24">
        <f t="shared" si="15"/>
        <v>0.11027255396980626</v>
      </c>
      <c r="BO11" s="25">
        <f t="shared" si="16"/>
        <v>251903.90000000293</v>
      </c>
      <c r="BP11" s="212">
        <f t="shared" si="17"/>
        <v>6841.6599999999271</v>
      </c>
      <c r="BQ11">
        <f t="shared" si="18"/>
        <v>1.0202296450939348</v>
      </c>
    </row>
    <row r="12" spans="1:70" x14ac:dyDescent="0.25">
      <c r="A12" s="16">
        <v>9</v>
      </c>
      <c r="B12" s="27">
        <v>9</v>
      </c>
      <c r="C12" s="26"/>
      <c r="D12" s="19">
        <f>'9'!D3</f>
        <v>30</v>
      </c>
      <c r="E12" s="253">
        <f>'9'!D4</f>
        <v>0.8</v>
      </c>
      <c r="F12" s="253"/>
      <c r="G12" s="19">
        <f>'9'!G8</f>
        <v>21847</v>
      </c>
      <c r="H12" s="19">
        <f>'9'!G8</f>
        <v>21847</v>
      </c>
      <c r="I12" s="19">
        <f>'9'!G7</f>
        <v>21703</v>
      </c>
      <c r="J12" s="19">
        <v>10</v>
      </c>
      <c r="K12" s="239">
        <f t="shared" si="3"/>
        <v>218470</v>
      </c>
      <c r="L12" s="235">
        <f t="shared" si="4"/>
        <v>107.44059405940594</v>
      </c>
      <c r="M12" s="19">
        <f>'9'!G15</f>
        <v>820.58999999985099</v>
      </c>
      <c r="N12" s="19">
        <v>35</v>
      </c>
      <c r="O12" s="235">
        <f t="shared" si="5"/>
        <v>28720.649999994785</v>
      </c>
      <c r="P12" s="19">
        <f>'9'!G20</f>
        <v>212</v>
      </c>
      <c r="Q12" s="19">
        <v>134</v>
      </c>
      <c r="R12" s="236">
        <f t="shared" si="0"/>
        <v>28408</v>
      </c>
      <c r="S12" s="237" t="e">
        <f t="shared" si="1"/>
        <v>#DIV/0!</v>
      </c>
      <c r="T12" s="19">
        <f>'9'!G24</f>
        <v>0</v>
      </c>
      <c r="U12" s="19">
        <v>69</v>
      </c>
      <c r="V12" s="238">
        <f t="shared" si="6"/>
        <v>0</v>
      </c>
      <c r="W12" s="22">
        <f>'9'!G95</f>
        <v>54</v>
      </c>
      <c r="X12" s="22">
        <f>'9'!G96</f>
        <v>25</v>
      </c>
      <c r="Y12" s="22">
        <f>'9'!G97</f>
        <v>24</v>
      </c>
      <c r="Z12" s="22">
        <f t="shared" si="7"/>
        <v>103</v>
      </c>
      <c r="AA12" s="19">
        <f>'9'!G132</f>
        <v>0</v>
      </c>
      <c r="AB12" s="19">
        <f>'9'!G133</f>
        <v>23.860000000000014</v>
      </c>
      <c r="AC12" s="19">
        <f>'9'!G134</f>
        <v>0</v>
      </c>
      <c r="AD12" s="19">
        <f>'9'!G135</f>
        <v>0</v>
      </c>
      <c r="AE12" s="19">
        <f t="shared" si="8"/>
        <v>23.860000000000014</v>
      </c>
      <c r="AF12" s="23">
        <f t="shared" si="2"/>
        <v>4804.7899999999972</v>
      </c>
      <c r="AG12" s="23">
        <f t="shared" si="9"/>
        <v>201.37426655490339</v>
      </c>
      <c r="AH12" s="19">
        <f>'9'!G136</f>
        <v>8.819999999999709</v>
      </c>
      <c r="AI12" s="19">
        <f>'9'!G137</f>
        <v>0</v>
      </c>
      <c r="AJ12" s="19">
        <f>'9'!G138</f>
        <v>0</v>
      </c>
      <c r="AK12" s="19">
        <f t="shared" si="10"/>
        <v>8.819999999999709</v>
      </c>
      <c r="AL12" s="19">
        <f>'9'!G139</f>
        <v>5.1900000000000546</v>
      </c>
      <c r="AM12" s="19">
        <f>'9'!G140</f>
        <v>0</v>
      </c>
      <c r="AN12" s="19"/>
      <c r="AO12" s="19">
        <f t="shared" si="11"/>
        <v>5.1900000000000546</v>
      </c>
      <c r="AP12" s="255">
        <f>'9'!G123</f>
        <v>185.25</v>
      </c>
      <c r="AQ12" s="258">
        <f>'9'!G35</f>
        <v>0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4804.7899999999972</v>
      </c>
      <c r="AX12" s="19">
        <f>'9'!G43</f>
        <v>2318.2800000000279</v>
      </c>
      <c r="AY12" s="23">
        <f>'9'!G44</f>
        <v>0</v>
      </c>
      <c r="AZ12" s="259">
        <f>'9'!G36</f>
        <v>1137.4200000000128</v>
      </c>
      <c r="BA12" s="258">
        <f>'9'!G49</f>
        <v>3050.9899999999907</v>
      </c>
      <c r="BB12" s="19">
        <f>'9'!G51</f>
        <v>1578.1999999999971</v>
      </c>
      <c r="BC12" s="19">
        <f>'9'!G52</f>
        <v>2091.359999999986</v>
      </c>
      <c r="BD12" s="19">
        <f>'9'!G53</f>
        <v>4334.6399999999994</v>
      </c>
      <c r="BE12" s="19">
        <f>'9'!G54</f>
        <v>51.039999999999964</v>
      </c>
      <c r="BF12" s="19">
        <f>'9'!G55</f>
        <v>0</v>
      </c>
      <c r="BG12" s="19">
        <f>'9'!G56</f>
        <v>0</v>
      </c>
      <c r="BH12" s="19">
        <f>'9'!G57</f>
        <v>0</v>
      </c>
      <c r="BI12" s="259">
        <f>'9'!G50</f>
        <v>1557.7000000000116</v>
      </c>
      <c r="BJ12" s="398">
        <f t="shared" si="12"/>
        <v>4804.7899999999972</v>
      </c>
      <c r="BK12" s="398">
        <f>'8'!G84</f>
        <v>579</v>
      </c>
      <c r="BL12" s="23">
        <f t="shared" si="13"/>
        <v>46.878588213611096</v>
      </c>
      <c r="BM12" s="23">
        <f t="shared" si="14"/>
        <v>19.972538358752242</v>
      </c>
      <c r="BN12" s="24">
        <f t="shared" si="15"/>
        <v>9.6362714832050222E-2</v>
      </c>
      <c r="BO12" s="25">
        <f t="shared" si="16"/>
        <v>275598.64999999478</v>
      </c>
      <c r="BP12" s="212">
        <f t="shared" si="17"/>
        <v>7702.0700000000252</v>
      </c>
      <c r="BQ12">
        <f t="shared" si="18"/>
        <v>1.1528664231828554</v>
      </c>
    </row>
    <row r="13" spans="1:70" x14ac:dyDescent="0.25">
      <c r="A13" s="16">
        <v>10</v>
      </c>
      <c r="B13" s="27">
        <v>10</v>
      </c>
      <c r="C13" s="26"/>
      <c r="D13" s="19">
        <f>'10'!D3</f>
        <v>31</v>
      </c>
      <c r="E13" s="253">
        <f>'10'!D4</f>
        <v>0.82</v>
      </c>
      <c r="F13" s="253"/>
      <c r="G13" s="19">
        <f>'10'!G8</f>
        <v>22721</v>
      </c>
      <c r="H13" s="19">
        <f>'10'!G8</f>
        <v>22721</v>
      </c>
      <c r="I13" s="19">
        <f>'10'!G7</f>
        <v>22555</v>
      </c>
      <c r="J13" s="19">
        <v>10</v>
      </c>
      <c r="K13" s="239">
        <f t="shared" si="3"/>
        <v>227210</v>
      </c>
      <c r="L13" s="235">
        <f t="shared" si="4"/>
        <v>111.65841584158416</v>
      </c>
      <c r="M13" s="19">
        <f>'10'!G15</f>
        <v>827.6500000001397</v>
      </c>
      <c r="N13" s="19">
        <v>35</v>
      </c>
      <c r="O13" s="235">
        <f t="shared" si="5"/>
        <v>28967.750000004889</v>
      </c>
      <c r="P13" s="19">
        <f>'10'!G20</f>
        <v>253</v>
      </c>
      <c r="Q13" s="19">
        <v>134</v>
      </c>
      <c r="R13" s="236">
        <f t="shared" si="0"/>
        <v>33902</v>
      </c>
      <c r="S13" s="237" t="e">
        <f t="shared" si="1"/>
        <v>#DIV/0!</v>
      </c>
      <c r="T13" s="19">
        <f>'10'!G24</f>
        <v>0</v>
      </c>
      <c r="U13" s="19">
        <v>69</v>
      </c>
      <c r="V13" s="238">
        <f t="shared" si="6"/>
        <v>0</v>
      </c>
      <c r="W13" s="22">
        <f>'10'!G95</f>
        <v>140</v>
      </c>
      <c r="X13" s="22">
        <f>'10'!G96</f>
        <v>37</v>
      </c>
      <c r="Y13" s="22">
        <f>'10'!G97</f>
        <v>20</v>
      </c>
      <c r="Z13" s="22">
        <f t="shared" si="7"/>
        <v>197</v>
      </c>
      <c r="AA13" s="19">
        <f>'10'!G132</f>
        <v>0</v>
      </c>
      <c r="AB13" s="19">
        <f>'10'!G133</f>
        <v>24.189999999999998</v>
      </c>
      <c r="AC13" s="19">
        <f>'10'!G134</f>
        <v>0</v>
      </c>
      <c r="AD13" s="19">
        <f>'10'!G135</f>
        <v>3.1500000000014552</v>
      </c>
      <c r="AE13" s="19">
        <f t="shared" si="8"/>
        <v>27.340000000001453</v>
      </c>
      <c r="AF13" s="23">
        <f t="shared" si="2"/>
        <v>5685.0500000000029</v>
      </c>
      <c r="AG13" s="23">
        <f t="shared" si="9"/>
        <v>207.93891733722387</v>
      </c>
      <c r="AH13" s="19">
        <f>'10'!G136</f>
        <v>8.3699999999989814</v>
      </c>
      <c r="AI13" s="19">
        <f>'10'!G137</f>
        <v>0</v>
      </c>
      <c r="AJ13" s="19">
        <f>'10'!G138</f>
        <v>4.0000000008149073E-2</v>
      </c>
      <c r="AK13" s="19">
        <f t="shared" si="10"/>
        <v>8.4100000000071304</v>
      </c>
      <c r="AL13" s="19">
        <f>'10'!G139</f>
        <v>6.0099999999999909</v>
      </c>
      <c r="AM13" s="19">
        <f>'10'!G140</f>
        <v>0</v>
      </c>
      <c r="AN13" s="19"/>
      <c r="AO13" s="19">
        <f t="shared" si="11"/>
        <v>6.0099999999999909</v>
      </c>
      <c r="AP13" s="255">
        <f>'10'!G123</f>
        <v>213.98999999999069</v>
      </c>
      <c r="AQ13" s="258">
        <f>'10'!G35</f>
        <v>0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4991.6100000000006</v>
      </c>
      <c r="AX13" s="19">
        <f>'10'!G43</f>
        <v>2521.5600000000559</v>
      </c>
      <c r="AY13" s="23">
        <f>'10'!G44</f>
        <v>0</v>
      </c>
      <c r="AZ13" s="259">
        <f>'10'!G36</f>
        <v>955.72000000000116</v>
      </c>
      <c r="BA13" s="258">
        <f>'10'!G49</f>
        <v>3096.25</v>
      </c>
      <c r="BB13" s="19">
        <f>'10'!G51</f>
        <v>1546.4799999999996</v>
      </c>
      <c r="BC13" s="19">
        <f>'10'!G52</f>
        <v>2233.3600000000442</v>
      </c>
      <c r="BD13" s="19">
        <f>'10'!G53</f>
        <v>4326.1000000000058</v>
      </c>
      <c r="BE13" s="19">
        <f>'10'!G54</f>
        <v>45.610000000000127</v>
      </c>
      <c r="BF13" s="19">
        <f>'10'!G55</f>
        <v>0</v>
      </c>
      <c r="BG13" s="19">
        <f>'10'!G56</f>
        <v>693.44000000000233</v>
      </c>
      <c r="BH13" s="19">
        <f>'10'!G57</f>
        <v>0</v>
      </c>
      <c r="BI13" s="259">
        <f>'10'!G50</f>
        <v>1440.4400000000023</v>
      </c>
      <c r="BJ13" s="398">
        <f t="shared" si="12"/>
        <v>5685.0500000000029</v>
      </c>
      <c r="BK13" s="398">
        <f>'8'!G84</f>
        <v>579</v>
      </c>
      <c r="BL13" s="23">
        <f t="shared" si="13"/>
        <v>50.112436266903387</v>
      </c>
      <c r="BM13" s="23">
        <f t="shared" si="14"/>
        <v>19.180226113943718</v>
      </c>
      <c r="BN13" s="24">
        <f t="shared" si="15"/>
        <v>9.9018399467969156E-2</v>
      </c>
      <c r="BO13" s="25">
        <f t="shared" si="16"/>
        <v>290079.75000000489</v>
      </c>
      <c r="BP13" s="212">
        <f t="shared" si="17"/>
        <v>8785.6100000000588</v>
      </c>
      <c r="BQ13">
        <f t="shared" si="18"/>
        <v>1.1476656390426889</v>
      </c>
    </row>
    <row r="14" spans="1:70" x14ac:dyDescent="0.25">
      <c r="A14" s="16">
        <v>11</v>
      </c>
      <c r="B14" s="17">
        <v>11</v>
      </c>
      <c r="C14" s="27"/>
      <c r="D14" s="19">
        <f>'11'!D3</f>
        <v>31</v>
      </c>
      <c r="E14" s="253">
        <f>'11'!D4</f>
        <v>0.82</v>
      </c>
      <c r="F14" s="253"/>
      <c r="G14" s="19">
        <f>'11'!G8</f>
        <v>22721</v>
      </c>
      <c r="H14" s="19">
        <f>'11'!G8</f>
        <v>22721</v>
      </c>
      <c r="I14" s="19">
        <f>'11'!G7</f>
        <v>22555</v>
      </c>
      <c r="J14" s="19">
        <v>10</v>
      </c>
      <c r="K14" s="239">
        <f t="shared" si="3"/>
        <v>227210</v>
      </c>
      <c r="L14" s="235">
        <f t="shared" si="4"/>
        <v>111.65841584158416</v>
      </c>
      <c r="M14" s="19">
        <f>'11'!G15</f>
        <v>827.6500000001397</v>
      </c>
      <c r="N14" s="19">
        <v>35</v>
      </c>
      <c r="O14" s="235">
        <f t="shared" si="5"/>
        <v>28967.750000004889</v>
      </c>
      <c r="P14" s="19">
        <f>'11'!G20</f>
        <v>253</v>
      </c>
      <c r="Q14" s="19">
        <v>134</v>
      </c>
      <c r="R14" s="236">
        <f t="shared" si="0"/>
        <v>33902</v>
      </c>
      <c r="S14" s="237" t="e">
        <f t="shared" si="1"/>
        <v>#DIV/0!</v>
      </c>
      <c r="T14" s="19">
        <f>'11'!G24</f>
        <v>0</v>
      </c>
      <c r="U14" s="19">
        <v>69</v>
      </c>
      <c r="V14" s="238">
        <f t="shared" si="6"/>
        <v>0</v>
      </c>
      <c r="W14" s="22">
        <f>'11'!G95</f>
        <v>140</v>
      </c>
      <c r="X14" s="22">
        <f>'11'!G96</f>
        <v>37</v>
      </c>
      <c r="Y14" s="22">
        <f>'11'!G97</f>
        <v>20</v>
      </c>
      <c r="Z14" s="22">
        <f t="shared" si="7"/>
        <v>197</v>
      </c>
      <c r="AA14" s="19">
        <f>'11'!G132</f>
        <v>0</v>
      </c>
      <c r="AB14" s="19">
        <f>'11'!G133</f>
        <v>24.189999999999998</v>
      </c>
      <c r="AC14" s="19">
        <f>'11'!G134</f>
        <v>0</v>
      </c>
      <c r="AD14" s="19">
        <f>'11'!G135</f>
        <v>3.1500000000014552</v>
      </c>
      <c r="AE14" s="19">
        <f t="shared" si="8"/>
        <v>27.340000000001453</v>
      </c>
      <c r="AF14" s="23">
        <f t="shared" si="2"/>
        <v>5685.0500000000029</v>
      </c>
      <c r="AG14" s="23">
        <f t="shared" si="9"/>
        <v>207.93891733722387</v>
      </c>
      <c r="AH14" s="19">
        <f>'11'!G136</f>
        <v>8.3699999999989814</v>
      </c>
      <c r="AI14" s="19">
        <f>'11'!G137</f>
        <v>0</v>
      </c>
      <c r="AJ14" s="19">
        <f>'11'!G138</f>
        <v>4.0000000008149073E-2</v>
      </c>
      <c r="AK14" s="19">
        <f t="shared" si="10"/>
        <v>8.4100000000071304</v>
      </c>
      <c r="AL14" s="19">
        <f>'11'!G139</f>
        <v>6.0099999999999909</v>
      </c>
      <c r="AM14" s="19">
        <f>'11'!G140</f>
        <v>0</v>
      </c>
      <c r="AN14" s="19"/>
      <c r="AO14" s="19">
        <f t="shared" si="11"/>
        <v>6.0099999999999909</v>
      </c>
      <c r="AP14" s="255">
        <f>'11'!G123</f>
        <v>213.98999999999069</v>
      </c>
      <c r="AQ14" s="258">
        <f>'11'!G35</f>
        <v>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4991.6100000000006</v>
      </c>
      <c r="AX14" s="19">
        <f>'11'!G43</f>
        <v>2521.5600000000559</v>
      </c>
      <c r="AY14" s="23">
        <f>'11'!G44</f>
        <v>0</v>
      </c>
      <c r="AZ14" s="259">
        <f>'11'!G36</f>
        <v>955.72000000000116</v>
      </c>
      <c r="BA14" s="258">
        <f>'11'!G49</f>
        <v>3096.25</v>
      </c>
      <c r="BB14" s="19">
        <f>'11'!G51</f>
        <v>1546.4799999999996</v>
      </c>
      <c r="BC14" s="19">
        <f>'11'!G52</f>
        <v>2233.3600000000442</v>
      </c>
      <c r="BD14" s="19">
        <f>'11'!G53</f>
        <v>4326.1000000000058</v>
      </c>
      <c r="BE14" s="19">
        <f>'11'!G54</f>
        <v>45.610000000000127</v>
      </c>
      <c r="BF14" s="19">
        <f>'11'!G55</f>
        <v>0</v>
      </c>
      <c r="BG14" s="19">
        <f>'11'!G56</f>
        <v>693.44000000000233</v>
      </c>
      <c r="BH14" s="19">
        <f>'11'!G57</f>
        <v>0</v>
      </c>
      <c r="BI14" s="259">
        <f>'11'!G50</f>
        <v>1440.4400000000023</v>
      </c>
      <c r="BJ14" s="398">
        <f t="shared" si="12"/>
        <v>5685.0500000000029</v>
      </c>
      <c r="BK14" s="398">
        <f>'11'!G84</f>
        <v>554</v>
      </c>
      <c r="BL14" s="23">
        <f t="shared" si="13"/>
        <v>50.112436266903387</v>
      </c>
      <c r="BM14" s="23">
        <f t="shared" si="14"/>
        <v>19.180226113943718</v>
      </c>
      <c r="BN14" s="24">
        <f t="shared" si="15"/>
        <v>9.9018399467969156E-2</v>
      </c>
      <c r="BO14" s="25">
        <f t="shared" si="16"/>
        <v>290079.75000000489</v>
      </c>
      <c r="BP14" s="212">
        <f t="shared" si="17"/>
        <v>8760.6100000000588</v>
      </c>
      <c r="BQ14">
        <f t="shared" si="18"/>
        <v>1.1443998850454062</v>
      </c>
    </row>
    <row r="15" spans="1:70" x14ac:dyDescent="0.25">
      <c r="A15" s="16">
        <v>12</v>
      </c>
      <c r="B15" s="26">
        <v>12</v>
      </c>
      <c r="C15" s="27"/>
      <c r="D15" s="19">
        <f>'12'!D3</f>
        <v>31</v>
      </c>
      <c r="E15" s="253">
        <f>'12'!D4</f>
        <v>0.82</v>
      </c>
      <c r="F15" s="253"/>
      <c r="G15" s="19">
        <f>'12'!G8</f>
        <v>21800</v>
      </c>
      <c r="H15" s="19">
        <f>'12'!G8</f>
        <v>21800</v>
      </c>
      <c r="I15" s="19">
        <f>'12'!G7</f>
        <v>21691</v>
      </c>
      <c r="J15" s="19">
        <v>10</v>
      </c>
      <c r="K15" s="239">
        <f t="shared" si="3"/>
        <v>218000</v>
      </c>
      <c r="L15" s="235">
        <f t="shared" si="4"/>
        <v>107.38118811881188</v>
      </c>
      <c r="M15" s="19">
        <f>'12'!G15</f>
        <v>790.01000000000931</v>
      </c>
      <c r="N15" s="19">
        <v>35</v>
      </c>
      <c r="O15" s="232">
        <f t="shared" si="5"/>
        <v>27650.350000000326</v>
      </c>
      <c r="P15" s="19">
        <f>'12'!G20</f>
        <v>276</v>
      </c>
      <c r="Q15" s="19">
        <v>134</v>
      </c>
      <c r="R15" s="236">
        <f t="shared" si="0"/>
        <v>36984</v>
      </c>
      <c r="S15" s="237" t="e">
        <f t="shared" si="1"/>
        <v>#DIV/0!</v>
      </c>
      <c r="T15" s="19">
        <f>'12'!G24</f>
        <v>0</v>
      </c>
      <c r="U15" s="19">
        <v>69</v>
      </c>
      <c r="V15" s="238">
        <f t="shared" si="6"/>
        <v>0</v>
      </c>
      <c r="W15" s="22">
        <f>'12'!G95</f>
        <v>75</v>
      </c>
      <c r="X15" s="22">
        <f>'12'!G96</f>
        <v>37</v>
      </c>
      <c r="Y15" s="22">
        <f>'12'!G97</f>
        <v>47</v>
      </c>
      <c r="Z15" s="22">
        <f t="shared" si="7"/>
        <v>159</v>
      </c>
      <c r="AA15" s="19">
        <f>'12'!G132</f>
        <v>0</v>
      </c>
      <c r="AB15" s="19">
        <f>'12'!G133</f>
        <v>24.090000000000003</v>
      </c>
      <c r="AC15" s="19">
        <f>'12'!G134</f>
        <v>0</v>
      </c>
      <c r="AD15" s="19">
        <f>'12'!G135</f>
        <v>0</v>
      </c>
      <c r="AE15" s="19">
        <f t="shared" si="8"/>
        <v>24.090000000000003</v>
      </c>
      <c r="AF15" s="23">
        <f t="shared" si="2"/>
        <v>5451.2700000000114</v>
      </c>
      <c r="AG15" s="23">
        <f t="shared" si="9"/>
        <v>226.28767123287716</v>
      </c>
      <c r="AH15" s="19">
        <f>'12'!G136</f>
        <v>8.1000000000021828</v>
      </c>
      <c r="AI15" s="19">
        <f>'12'!G137</f>
        <v>0</v>
      </c>
      <c r="AJ15" s="19">
        <f>'12'!G138</f>
        <v>0.88000000000465661</v>
      </c>
      <c r="AK15" s="19">
        <f t="shared" si="10"/>
        <v>8.9800000000068394</v>
      </c>
      <c r="AL15" s="19">
        <f>'12'!G139</f>
        <v>5.6500000000000909</v>
      </c>
      <c r="AM15" s="19">
        <f>'12'!G140</f>
        <v>0</v>
      </c>
      <c r="AN15" s="19"/>
      <c r="AO15" s="19">
        <f t="shared" si="11"/>
        <v>5.6500000000000909</v>
      </c>
      <c r="AP15" s="255">
        <f>'12'!G123</f>
        <v>199.63000000000466</v>
      </c>
      <c r="AQ15" s="258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5451.5400000000009</v>
      </c>
      <c r="AX15" s="19">
        <f>'12'!G43</f>
        <v>2456.0399999999208</v>
      </c>
      <c r="AY15" s="23">
        <f>'12'!G44</f>
        <v>0</v>
      </c>
      <c r="AZ15" s="259">
        <f>'12'!G36</f>
        <v>692.86000000001513</v>
      </c>
      <c r="BA15" s="258">
        <f>'12'!G49</f>
        <v>2850.0200000000041</v>
      </c>
      <c r="BB15" s="19">
        <f>'12'!G51</f>
        <v>1546.260000000002</v>
      </c>
      <c r="BC15" s="19">
        <f>'12'!G52</f>
        <v>2338.3999999999651</v>
      </c>
      <c r="BD15" s="19">
        <f>'12'!G53</f>
        <v>4438.8699999999953</v>
      </c>
      <c r="BE15" s="19">
        <f>'12'!G54</f>
        <v>47.610000000000127</v>
      </c>
      <c r="BF15" s="19">
        <f>'12'!G55</f>
        <v>-0.26999999998952262</v>
      </c>
      <c r="BG15" s="19">
        <f>'12'!G56</f>
        <v>0</v>
      </c>
      <c r="BH15" s="19">
        <f>'12'!G57</f>
        <v>0</v>
      </c>
      <c r="BI15" s="259">
        <f>'12'!G50</f>
        <v>1152.0199999999604</v>
      </c>
      <c r="BJ15" s="398">
        <f t="shared" si="12"/>
        <v>5451.2700000000114</v>
      </c>
      <c r="BK15" s="398">
        <f>'12'!G84</f>
        <v>523</v>
      </c>
      <c r="BL15" s="23">
        <f t="shared" si="13"/>
        <v>49.593518048960107</v>
      </c>
      <c r="BM15" s="23">
        <f t="shared" si="14"/>
        <v>20.464109538518258</v>
      </c>
      <c r="BN15" s="24">
        <f t="shared" si="15"/>
        <v>0.1078050804481105</v>
      </c>
      <c r="BO15" s="25">
        <f t="shared" si="16"/>
        <v>282634.35000000033</v>
      </c>
      <c r="BP15" s="212">
        <f t="shared" si="17"/>
        <v>8430.3099999999322</v>
      </c>
      <c r="BQ15">
        <f t="shared" si="18"/>
        <v>1.2498235782482257</v>
      </c>
    </row>
    <row r="16" spans="1:70" x14ac:dyDescent="0.25">
      <c r="A16" s="16">
        <v>13</v>
      </c>
      <c r="B16" s="26">
        <v>13</v>
      </c>
      <c r="C16" s="26"/>
      <c r="D16" s="19">
        <f>'13'!D3</f>
        <v>28</v>
      </c>
      <c r="E16" s="253">
        <f>'13'!D4</f>
        <v>0.78</v>
      </c>
      <c r="F16" s="253"/>
      <c r="G16" s="19">
        <f>'13'!G8</f>
        <v>20114</v>
      </c>
      <c r="H16" s="19">
        <f>'13'!G8</f>
        <v>20114</v>
      </c>
      <c r="I16" s="19">
        <f>'13'!G7</f>
        <v>19954</v>
      </c>
      <c r="J16" s="19">
        <v>10</v>
      </c>
      <c r="K16" s="239">
        <f t="shared" si="3"/>
        <v>201140</v>
      </c>
      <c r="L16" s="235">
        <f t="shared" si="4"/>
        <v>98.78217821782178</v>
      </c>
      <c r="M16" s="19">
        <f>'13'!G15</f>
        <v>787</v>
      </c>
      <c r="N16" s="19">
        <v>35</v>
      </c>
      <c r="O16" s="232">
        <f t="shared" si="5"/>
        <v>27545</v>
      </c>
      <c r="P16" s="19">
        <f>'13'!G20</f>
        <v>236</v>
      </c>
      <c r="Q16" s="19">
        <v>134</v>
      </c>
      <c r="R16" s="236">
        <f t="shared" si="0"/>
        <v>31624</v>
      </c>
      <c r="S16" s="237" t="e">
        <f t="shared" si="1"/>
        <v>#DIV/0!</v>
      </c>
      <c r="T16" s="19">
        <f>'13'!G24</f>
        <v>0</v>
      </c>
      <c r="U16" s="19">
        <v>69</v>
      </c>
      <c r="V16" s="238">
        <f t="shared" si="6"/>
        <v>0</v>
      </c>
      <c r="W16" s="22">
        <f>'13'!G95</f>
        <v>71</v>
      </c>
      <c r="X16" s="22">
        <f>'13'!G96</f>
        <v>39</v>
      </c>
      <c r="Y16" s="22">
        <f>'13'!G97</f>
        <v>36</v>
      </c>
      <c r="Z16" s="22">
        <f t="shared" si="7"/>
        <v>146</v>
      </c>
      <c r="AA16" s="19">
        <f>'13'!G132</f>
        <v>0</v>
      </c>
      <c r="AB16" s="19">
        <f>'13'!G133</f>
        <v>23.879999999999995</v>
      </c>
      <c r="AC16" s="19">
        <f>'13'!G134</f>
        <v>0</v>
      </c>
      <c r="AD16" s="19">
        <f>'13'!G135</f>
        <v>0</v>
      </c>
      <c r="AE16" s="19">
        <f t="shared" si="8"/>
        <v>23.879999999999995</v>
      </c>
      <c r="AF16" s="23">
        <f t="shared" si="2"/>
        <v>4618.2700000000041</v>
      </c>
      <c r="AG16" s="23">
        <f t="shared" si="9"/>
        <v>193.39489112227827</v>
      </c>
      <c r="AH16" s="19">
        <f>'13'!G136</f>
        <v>8.069999999999709</v>
      </c>
      <c r="AI16" s="19">
        <f>'13'!G137</f>
        <v>0</v>
      </c>
      <c r="AJ16" s="19">
        <f>'13'!G138</f>
        <v>0</v>
      </c>
      <c r="AK16" s="19">
        <f t="shared" si="10"/>
        <v>8.069999999999709</v>
      </c>
      <c r="AL16" s="19">
        <f>'13'!G139</f>
        <v>5.8899999999999864</v>
      </c>
      <c r="AM16" s="19">
        <f>'13'!G140</f>
        <v>0</v>
      </c>
      <c r="AN16" s="19"/>
      <c r="AO16" s="19">
        <f t="shared" si="11"/>
        <v>5.8899999999999864</v>
      </c>
      <c r="AP16" s="255">
        <f>'13'!G123</f>
        <v>211.21999999997206</v>
      </c>
      <c r="AQ16" s="258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4618.3300000000017</v>
      </c>
      <c r="AX16" s="19">
        <f>'13'!G43</f>
        <v>2427.8800000000047</v>
      </c>
      <c r="AY16" s="23">
        <f>'13'!G44</f>
        <v>0</v>
      </c>
      <c r="AZ16" s="259">
        <f>'13'!G36</f>
        <v>632.55999999999767</v>
      </c>
      <c r="BA16" s="258">
        <f>'13'!G49</f>
        <v>2829.8699999999953</v>
      </c>
      <c r="BB16" s="19">
        <f>'13'!G51</f>
        <v>1445.1800000000003</v>
      </c>
      <c r="BC16" s="19">
        <f>'13'!G52</f>
        <v>2134.1199999999953</v>
      </c>
      <c r="BD16" s="19">
        <f>'13'!G53</f>
        <v>4114.5500000000029</v>
      </c>
      <c r="BE16" s="19">
        <f>'13'!G54</f>
        <v>37.75</v>
      </c>
      <c r="BF16" s="19">
        <f>'13'!G55</f>
        <v>0</v>
      </c>
      <c r="BG16" s="19">
        <f>'13'!G56</f>
        <v>-0.10999999998603016</v>
      </c>
      <c r="BH16" s="19">
        <f>'13'!G57</f>
        <v>0</v>
      </c>
      <c r="BI16" s="259">
        <f>'13'!G50</f>
        <v>1071.210000000021</v>
      </c>
      <c r="BJ16" s="398">
        <f t="shared" si="12"/>
        <v>4618.2700000000041</v>
      </c>
      <c r="BK16" s="398">
        <f>'13'!G84</f>
        <v>550</v>
      </c>
      <c r="BL16" s="23">
        <f t="shared" si="13"/>
        <v>49.49393605292174</v>
      </c>
      <c r="BM16" s="23">
        <f t="shared" si="14"/>
        <v>20.620176405733201</v>
      </c>
      <c r="BN16" s="24">
        <f t="shared" si="15"/>
        <v>0.10695198957602463</v>
      </c>
      <c r="BO16" s="25">
        <f t="shared" si="16"/>
        <v>260309</v>
      </c>
      <c r="BP16" s="212">
        <f t="shared" si="17"/>
        <v>7596.1500000000087</v>
      </c>
      <c r="BQ16">
        <f t="shared" si="18"/>
        <v>1.1360597631012219</v>
      </c>
    </row>
    <row r="17" spans="1:69" x14ac:dyDescent="0.25">
      <c r="A17" s="16">
        <v>14</v>
      </c>
      <c r="B17" s="17">
        <v>14</v>
      </c>
      <c r="C17" s="27"/>
      <c r="D17" s="19">
        <f>'14'!D3</f>
        <v>28</v>
      </c>
      <c r="E17" s="253">
        <f>'14'!D4</f>
        <v>0.72</v>
      </c>
      <c r="F17" s="253"/>
      <c r="G17" s="19">
        <f>'14'!G8</f>
        <v>20289</v>
      </c>
      <c r="H17" s="19">
        <f>'14'!G8</f>
        <v>20289</v>
      </c>
      <c r="I17" s="19">
        <f>'14'!G7</f>
        <v>20124</v>
      </c>
      <c r="J17" s="19">
        <v>10</v>
      </c>
      <c r="K17" s="239">
        <f t="shared" si="3"/>
        <v>202890</v>
      </c>
      <c r="L17" s="235">
        <f t="shared" si="4"/>
        <v>99.623762376237622</v>
      </c>
      <c r="M17" s="19">
        <f>'14'!G15</f>
        <v>786</v>
      </c>
      <c r="N17" s="19">
        <v>35</v>
      </c>
      <c r="O17" s="232">
        <f t="shared" si="5"/>
        <v>27510</v>
      </c>
      <c r="P17" s="19">
        <f>'14'!G20</f>
        <v>179</v>
      </c>
      <c r="Q17" s="19">
        <v>134</v>
      </c>
      <c r="R17" s="236">
        <f t="shared" si="0"/>
        <v>23986</v>
      </c>
      <c r="S17" s="237" t="e">
        <f t="shared" si="1"/>
        <v>#DIV/0!</v>
      </c>
      <c r="T17" s="19">
        <f>'14'!G24</f>
        <v>0</v>
      </c>
      <c r="U17" s="19">
        <v>69</v>
      </c>
      <c r="V17" s="238">
        <f t="shared" si="6"/>
        <v>0</v>
      </c>
      <c r="W17" s="22">
        <f>'14'!G95</f>
        <v>62</v>
      </c>
      <c r="X17" s="22">
        <f>'14'!G96</f>
        <v>23</v>
      </c>
      <c r="Y17" s="22">
        <f>'14'!G97</f>
        <v>25</v>
      </c>
      <c r="Z17" s="22">
        <f>W17+X17+Y17</f>
        <v>110</v>
      </c>
      <c r="AA17" s="19">
        <f>'14'!G132</f>
        <v>0</v>
      </c>
      <c r="AB17" s="19">
        <f>'14'!G133</f>
        <v>23.78</v>
      </c>
      <c r="AC17" s="19">
        <f>'14'!G134</f>
        <v>0</v>
      </c>
      <c r="AD17" s="19">
        <f>'14'!G135</f>
        <v>0</v>
      </c>
      <c r="AE17" s="19">
        <f t="shared" si="8"/>
        <v>23.78</v>
      </c>
      <c r="AF17" s="23">
        <f t="shared" si="2"/>
        <v>4912.5199999999968</v>
      </c>
      <c r="AG17" s="23">
        <f t="shared" si="9"/>
        <v>206.58200168208563</v>
      </c>
      <c r="AH17" s="19">
        <f>'14'!G136</f>
        <v>8.7099999999991269</v>
      </c>
      <c r="AI17" s="19">
        <f>'14'!G137</f>
        <v>6.0000000001309672E-2</v>
      </c>
      <c r="AJ17" s="19">
        <f>'14'!G138</f>
        <v>0</v>
      </c>
      <c r="AK17" s="19">
        <f t="shared" si="10"/>
        <v>8.7700000000004366</v>
      </c>
      <c r="AL17" s="19">
        <f>'14'!G139</f>
        <v>5.9599999999999227</v>
      </c>
      <c r="AM17" s="19">
        <f>'14'!G140</f>
        <v>0</v>
      </c>
      <c r="AN17" s="19"/>
      <c r="AO17" s="19">
        <f t="shared" si="11"/>
        <v>5.9599999999999227</v>
      </c>
      <c r="AP17" s="255">
        <f>'14'!G123</f>
        <v>213</v>
      </c>
      <c r="AQ17" s="258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4912.5199999999968</v>
      </c>
      <c r="AX17" s="19">
        <f>'14'!G43</f>
        <v>2391.5300000000279</v>
      </c>
      <c r="AY17" s="23">
        <f>'14'!G44</f>
        <v>0</v>
      </c>
      <c r="AZ17" s="259">
        <f>'14'!G36</f>
        <v>672.36999999999534</v>
      </c>
      <c r="BA17" s="258">
        <f>'14'!G49</f>
        <v>2672</v>
      </c>
      <c r="BB17" s="19">
        <f>'14'!G51</f>
        <v>1433.4300000000003</v>
      </c>
      <c r="BC17" s="19">
        <f>'14'!G52</f>
        <v>2025.0900000000256</v>
      </c>
      <c r="BD17" s="19">
        <f>'14'!G53</f>
        <v>4090</v>
      </c>
      <c r="BE17" s="19">
        <f>'14'!G54</f>
        <v>37.460000000000036</v>
      </c>
      <c r="BF17" s="19">
        <f>'14'!G55</f>
        <v>0</v>
      </c>
      <c r="BG17" s="19">
        <f>'14'!G56</f>
        <v>0</v>
      </c>
      <c r="BH17" s="19">
        <f>'14'!G57</f>
        <v>0</v>
      </c>
      <c r="BI17" s="259">
        <f>'14'!G50</f>
        <v>1235</v>
      </c>
      <c r="BJ17" s="398">
        <f t="shared" si="12"/>
        <v>4912.5199999999968</v>
      </c>
      <c r="BK17" s="398">
        <f>'14'!G84</f>
        <v>535</v>
      </c>
      <c r="BL17" s="23">
        <f t="shared" si="13"/>
        <v>49.572898032200477</v>
      </c>
      <c r="BM17" s="23">
        <f t="shared" si="14"/>
        <v>20.323991254223813</v>
      </c>
      <c r="BN17" s="24">
        <f t="shared" si="15"/>
        <v>0.10063059033989394</v>
      </c>
      <c r="BO17" s="25">
        <f t="shared" si="16"/>
        <v>254386</v>
      </c>
      <c r="BP17" s="212">
        <f t="shared" si="17"/>
        <v>7839.0500000000247</v>
      </c>
      <c r="BQ17">
        <f t="shared" si="18"/>
        <v>1.1773173735431972</v>
      </c>
    </row>
    <row r="18" spans="1:69" x14ac:dyDescent="0.25">
      <c r="A18" s="16">
        <v>15</v>
      </c>
      <c r="B18" s="26">
        <v>15</v>
      </c>
      <c r="C18" s="18"/>
      <c r="D18" s="19">
        <f>'15'!D3</f>
        <v>29</v>
      </c>
      <c r="E18" s="253">
        <f>'15'!D4</f>
        <v>0.76</v>
      </c>
      <c r="F18" s="253"/>
      <c r="G18" s="19">
        <f>'15'!G8</f>
        <v>20148</v>
      </c>
      <c r="H18" s="19">
        <f>'15'!G8</f>
        <v>20148</v>
      </c>
      <c r="I18" s="19">
        <f>'15'!G7</f>
        <v>19945</v>
      </c>
      <c r="J18" s="19">
        <v>10</v>
      </c>
      <c r="K18" s="239">
        <f t="shared" si="3"/>
        <v>201480</v>
      </c>
      <c r="L18" s="235">
        <f t="shared" si="4"/>
        <v>98.737623762376231</v>
      </c>
      <c r="M18" s="19">
        <f>'15'!G15</f>
        <v>719</v>
      </c>
      <c r="N18" s="19">
        <v>35</v>
      </c>
      <c r="O18" s="232">
        <f t="shared" si="5"/>
        <v>25165</v>
      </c>
      <c r="P18" s="19">
        <f>'15'!G20</f>
        <v>196</v>
      </c>
      <c r="Q18" s="19">
        <v>134</v>
      </c>
      <c r="R18" s="236">
        <f t="shared" si="0"/>
        <v>26264</v>
      </c>
      <c r="S18" s="237" t="e">
        <f t="shared" si="1"/>
        <v>#DIV/0!</v>
      </c>
      <c r="T18" s="19">
        <f>'15'!G24</f>
        <v>0</v>
      </c>
      <c r="U18" s="19">
        <v>69</v>
      </c>
      <c r="V18" s="238">
        <f t="shared" si="6"/>
        <v>0</v>
      </c>
      <c r="W18" s="22">
        <f>'15'!G95</f>
        <v>51</v>
      </c>
      <c r="X18" s="22">
        <f>'15'!G96</f>
        <v>17</v>
      </c>
      <c r="Y18" s="22">
        <f>'15'!G97</f>
        <v>26</v>
      </c>
      <c r="Z18" s="22">
        <f t="shared" si="7"/>
        <v>94</v>
      </c>
      <c r="AA18" s="19">
        <f>'15'!G132</f>
        <v>0</v>
      </c>
      <c r="AB18" s="19">
        <f>'15'!G133</f>
        <v>24</v>
      </c>
      <c r="AC18" s="19">
        <f>'15'!G134</f>
        <v>0</v>
      </c>
      <c r="AD18" s="19">
        <f>'15'!G135</f>
        <v>0</v>
      </c>
      <c r="AE18" s="19">
        <f t="shared" si="8"/>
        <v>24</v>
      </c>
      <c r="AF18" s="23">
        <f t="shared" si="2"/>
        <v>5101</v>
      </c>
      <c r="AG18" s="23">
        <f t="shared" si="9"/>
        <v>212.54166666666666</v>
      </c>
      <c r="AH18" s="19">
        <f>'15'!G136</f>
        <v>7.4899999999979627</v>
      </c>
      <c r="AI18" s="19">
        <f>'15'!G137</f>
        <v>0</v>
      </c>
      <c r="AJ18" s="19">
        <f>'15'!G138</f>
        <v>0</v>
      </c>
      <c r="AK18" s="19">
        <f t="shared" si="10"/>
        <v>7.4899999999979627</v>
      </c>
      <c r="AL18" s="19">
        <f>'15'!G139</f>
        <v>6.07000000000005</v>
      </c>
      <c r="AM18" s="19">
        <f>'15'!G140</f>
        <v>0</v>
      </c>
      <c r="AN18" s="19"/>
      <c r="AO18" s="19">
        <f t="shared" si="11"/>
        <v>6.07000000000005</v>
      </c>
      <c r="AP18" s="255">
        <f>'15'!G123</f>
        <v>236</v>
      </c>
      <c r="AQ18" s="258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5101</v>
      </c>
      <c r="AX18" s="19">
        <f>'15'!G43</f>
        <v>2231</v>
      </c>
      <c r="AY18" s="23">
        <f>'15'!G44</f>
        <v>0</v>
      </c>
      <c r="AZ18" s="259">
        <f>'15'!G36</f>
        <v>633</v>
      </c>
      <c r="BA18" s="258">
        <f>'15'!G49</f>
        <v>2739</v>
      </c>
      <c r="BB18" s="19">
        <f>'15'!G51</f>
        <v>1416</v>
      </c>
      <c r="BC18" s="19">
        <f>'15'!G52</f>
        <v>1866</v>
      </c>
      <c r="BD18" s="19">
        <f>'15'!G53</f>
        <v>4210</v>
      </c>
      <c r="BE18" s="19">
        <f>'15'!G54</f>
        <v>46</v>
      </c>
      <c r="BF18" s="19">
        <f>'15'!G55</f>
        <v>0</v>
      </c>
      <c r="BG18" s="19">
        <f>'15'!G56</f>
        <v>0</v>
      </c>
      <c r="BH18" s="19">
        <f>'15'!G57</f>
        <v>0</v>
      </c>
      <c r="BI18" s="259">
        <f>'15'!G50</f>
        <v>1106</v>
      </c>
      <c r="BJ18" s="398">
        <f t="shared" si="12"/>
        <v>5101</v>
      </c>
      <c r="BK18" s="398">
        <f>'15'!G84</f>
        <v>562</v>
      </c>
      <c r="BL18" s="23">
        <f t="shared" si="13"/>
        <v>50.493858109801955</v>
      </c>
      <c r="BM18" s="23">
        <f t="shared" si="14"/>
        <v>21.108047129606419</v>
      </c>
      <c r="BN18" s="24">
        <f t="shared" si="15"/>
        <v>9.3557282526949115E-2</v>
      </c>
      <c r="BO18" s="25">
        <f t="shared" si="16"/>
        <v>252909</v>
      </c>
      <c r="BP18" s="212">
        <f t="shared" si="17"/>
        <v>7894</v>
      </c>
      <c r="BQ18">
        <f t="shared" si="18"/>
        <v>1.1747023809523809</v>
      </c>
    </row>
    <row r="19" spans="1:69" x14ac:dyDescent="0.25">
      <c r="A19" s="16">
        <v>16</v>
      </c>
      <c r="B19" s="26">
        <v>16</v>
      </c>
      <c r="C19" s="26"/>
      <c r="D19" s="19">
        <f>'16'!D3</f>
        <v>29</v>
      </c>
      <c r="E19" s="253">
        <f>'16'!D4</f>
        <v>0.76</v>
      </c>
      <c r="F19" s="253"/>
      <c r="G19" s="19">
        <f>'16'!G8</f>
        <v>19830</v>
      </c>
      <c r="H19" s="19">
        <f>'16'!G8</f>
        <v>19830</v>
      </c>
      <c r="I19" s="19">
        <f>'16'!G7</f>
        <v>19650</v>
      </c>
      <c r="J19" s="19">
        <v>10</v>
      </c>
      <c r="K19" s="239">
        <f t="shared" si="3"/>
        <v>198300</v>
      </c>
      <c r="L19" s="235">
        <f t="shared" si="4"/>
        <v>97.277227722772281</v>
      </c>
      <c r="M19" s="19">
        <f>'16'!G15</f>
        <v>410</v>
      </c>
      <c r="N19" s="19">
        <v>35</v>
      </c>
      <c r="O19" s="232">
        <f t="shared" si="5"/>
        <v>14350</v>
      </c>
      <c r="P19" s="19">
        <f>'16'!G20</f>
        <v>155</v>
      </c>
      <c r="Q19" s="19">
        <v>134</v>
      </c>
      <c r="R19" s="236">
        <f t="shared" si="0"/>
        <v>20770</v>
      </c>
      <c r="S19" s="237" t="e">
        <f t="shared" si="1"/>
        <v>#DIV/0!</v>
      </c>
      <c r="T19" s="19">
        <f>'16'!G24</f>
        <v>0</v>
      </c>
      <c r="U19" s="19">
        <v>69</v>
      </c>
      <c r="V19" s="238">
        <f t="shared" si="6"/>
        <v>0</v>
      </c>
      <c r="W19" s="22">
        <f>'16'!G95</f>
        <v>38</v>
      </c>
      <c r="X19" s="22">
        <f>'16'!G96</f>
        <v>17</v>
      </c>
      <c r="Y19" s="22">
        <f>'16'!G97</f>
        <v>15</v>
      </c>
      <c r="Z19" s="22">
        <f t="shared" si="7"/>
        <v>70</v>
      </c>
      <c r="AA19" s="19">
        <f>'16'!G132</f>
        <v>0</v>
      </c>
      <c r="AB19" s="19">
        <f>'16'!G133</f>
        <v>15</v>
      </c>
      <c r="AC19" s="19">
        <f>'16'!G134</f>
        <v>0</v>
      </c>
      <c r="AD19" s="19">
        <f>'16'!G135</f>
        <v>8.7599999999983993</v>
      </c>
      <c r="AE19" s="19">
        <f t="shared" si="8"/>
        <v>23.759999999998399</v>
      </c>
      <c r="AF19" s="23">
        <f t="shared" si="2"/>
        <v>5166</v>
      </c>
      <c r="AG19" s="23">
        <f t="shared" si="9"/>
        <v>217.42424242425707</v>
      </c>
      <c r="AH19" s="19">
        <f>'16'!G136</f>
        <v>5.0000000002910383E-2</v>
      </c>
      <c r="AI19" s="19">
        <f>'16'!G137</f>
        <v>0</v>
      </c>
      <c r="AJ19" s="19">
        <f>'16'!G138</f>
        <v>0</v>
      </c>
      <c r="AK19" s="19">
        <f t="shared" si="10"/>
        <v>5.0000000002910383E-2</v>
      </c>
      <c r="AL19" s="19">
        <f>'16'!G139</f>
        <v>6.7100000000000364</v>
      </c>
      <c r="AM19" s="19">
        <f>'16'!G140</f>
        <v>0</v>
      </c>
      <c r="AN19" s="19"/>
      <c r="AO19" s="19">
        <f t="shared" si="11"/>
        <v>6.7100000000000364</v>
      </c>
      <c r="AP19" s="255">
        <f>'16'!G123</f>
        <v>216</v>
      </c>
      <c r="AQ19" s="258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3045</v>
      </c>
      <c r="AX19" s="19">
        <f>'16'!G43</f>
        <v>2154</v>
      </c>
      <c r="AY19" s="23">
        <f>'16'!G44</f>
        <v>0</v>
      </c>
      <c r="AZ19" s="259">
        <f>'16'!G36</f>
        <v>628</v>
      </c>
      <c r="BA19" s="258">
        <f>'16'!G49</f>
        <v>2627</v>
      </c>
      <c r="BB19" s="19">
        <f>'16'!G51</f>
        <v>1407</v>
      </c>
      <c r="BC19" s="19">
        <f>'16'!G52</f>
        <v>1727</v>
      </c>
      <c r="BD19" s="19">
        <f>'16'!G53</f>
        <v>4203</v>
      </c>
      <c r="BE19" s="19">
        <f>'16'!G54</f>
        <v>0</v>
      </c>
      <c r="BF19" s="19">
        <f>'16'!G55</f>
        <v>0</v>
      </c>
      <c r="BG19" s="19">
        <f>'16'!G56</f>
        <v>2121</v>
      </c>
      <c r="BH19" s="19">
        <f>'16'!G57</f>
        <v>0</v>
      </c>
      <c r="BI19" s="259">
        <f>'16'!G50</f>
        <v>1043</v>
      </c>
      <c r="BJ19" s="398">
        <f t="shared" si="12"/>
        <v>5166</v>
      </c>
      <c r="BK19" s="398">
        <f>'16'!G84</f>
        <v>447</v>
      </c>
      <c r="BL19" s="23">
        <f t="shared" si="13"/>
        <v>50.62086513994911</v>
      </c>
      <c r="BM19" s="23">
        <f t="shared" si="14"/>
        <v>21.389312977099237</v>
      </c>
      <c r="BN19" s="24">
        <f t="shared" si="15"/>
        <v>8.7888040712468196E-2</v>
      </c>
      <c r="BO19" s="25">
        <f t="shared" si="16"/>
        <v>233420</v>
      </c>
      <c r="BP19" s="212">
        <f t="shared" si="17"/>
        <v>7767</v>
      </c>
      <c r="BQ19">
        <f t="shared" si="18"/>
        <v>1.1674783549784336</v>
      </c>
    </row>
    <row r="20" spans="1:69" x14ac:dyDescent="0.25">
      <c r="A20" s="16">
        <v>17</v>
      </c>
      <c r="B20" s="27">
        <v>17</v>
      </c>
      <c r="C20" s="26"/>
      <c r="D20" s="19">
        <f>'17'!D3</f>
        <v>28</v>
      </c>
      <c r="E20" s="253">
        <f>'17'!D4</f>
        <v>0.76</v>
      </c>
      <c r="F20" s="253"/>
      <c r="G20" s="19">
        <f>'17'!G8</f>
        <v>20101</v>
      </c>
      <c r="H20" s="19">
        <f>'17'!G8</f>
        <v>20101</v>
      </c>
      <c r="I20" s="19">
        <f>'17'!G7</f>
        <v>19937</v>
      </c>
      <c r="J20" s="19">
        <v>10</v>
      </c>
      <c r="K20" s="239">
        <f t="shared" si="3"/>
        <v>201010</v>
      </c>
      <c r="L20" s="235">
        <f t="shared" si="4"/>
        <v>98.698019801980195</v>
      </c>
      <c r="M20" s="19">
        <f>'17'!G15</f>
        <v>787</v>
      </c>
      <c r="N20" s="19">
        <v>35</v>
      </c>
      <c r="O20" s="232">
        <f t="shared" si="5"/>
        <v>27545</v>
      </c>
      <c r="P20" s="19">
        <f>'17'!G20</f>
        <v>198</v>
      </c>
      <c r="Q20" s="19">
        <v>134</v>
      </c>
      <c r="R20" s="236">
        <f t="shared" si="0"/>
        <v>26532</v>
      </c>
      <c r="S20" s="237" t="e">
        <f t="shared" si="1"/>
        <v>#DIV/0!</v>
      </c>
      <c r="T20" s="19">
        <f>'17'!G24</f>
        <v>0</v>
      </c>
      <c r="U20" s="19">
        <v>69</v>
      </c>
      <c r="V20" s="238">
        <f t="shared" si="6"/>
        <v>0</v>
      </c>
      <c r="W20" s="22">
        <f>'17'!G95</f>
        <v>63</v>
      </c>
      <c r="X20" s="22">
        <f>'17'!G96</f>
        <v>18</v>
      </c>
      <c r="Y20" s="22">
        <f>'17'!G97</f>
        <v>19</v>
      </c>
      <c r="Z20" s="22">
        <f t="shared" si="7"/>
        <v>100</v>
      </c>
      <c r="AA20" s="19">
        <f>'17'!G132</f>
        <v>0</v>
      </c>
      <c r="AB20" s="19">
        <f>'17'!G133</f>
        <v>0</v>
      </c>
      <c r="AC20" s="19">
        <f>'17'!G134</f>
        <v>0</v>
      </c>
      <c r="AD20" s="19">
        <f>'17'!G135</f>
        <v>24</v>
      </c>
      <c r="AE20" s="19">
        <f t="shared" si="8"/>
        <v>24</v>
      </c>
      <c r="AF20" s="23">
        <f t="shared" si="2"/>
        <v>4799</v>
      </c>
      <c r="AG20" s="23">
        <f t="shared" si="9"/>
        <v>199.95833333333334</v>
      </c>
      <c r="AH20" s="19">
        <f>'17'!G136</f>
        <v>0</v>
      </c>
      <c r="AI20" s="19">
        <f>'17'!G137</f>
        <v>8.1899999999986903</v>
      </c>
      <c r="AJ20" s="19">
        <f>'17'!G138</f>
        <v>2.3300000000017462</v>
      </c>
      <c r="AK20" s="19">
        <f t="shared" si="10"/>
        <v>10.520000000000437</v>
      </c>
      <c r="AL20" s="19">
        <f>'17'!G139</f>
        <v>5.3899999999998727</v>
      </c>
      <c r="AM20" s="19">
        <f>'17'!G140</f>
        <v>0</v>
      </c>
      <c r="AN20" s="19"/>
      <c r="AO20" s="19">
        <f t="shared" si="11"/>
        <v>5.3899999999998727</v>
      </c>
      <c r="AP20" s="255">
        <f>'17'!G123</f>
        <v>193</v>
      </c>
      <c r="AQ20" s="258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2102</v>
      </c>
      <c r="AY20" s="23">
        <f>'17'!G44</f>
        <v>0</v>
      </c>
      <c r="AZ20" s="259">
        <f>'17'!G36</f>
        <v>864</v>
      </c>
      <c r="BA20" s="258">
        <f>'17'!G49</f>
        <v>2798</v>
      </c>
      <c r="BB20" s="19">
        <f>'17'!G51</f>
        <v>1495</v>
      </c>
      <c r="BC20" s="19">
        <f>'17'!G52</f>
        <v>1867</v>
      </c>
      <c r="BD20" s="19">
        <f>'17'!G53</f>
        <v>4175</v>
      </c>
      <c r="BE20" s="19">
        <f>'17'!G54</f>
        <v>109</v>
      </c>
      <c r="BF20" s="19">
        <f>'17'!G55</f>
        <v>0</v>
      </c>
      <c r="BG20" s="19">
        <f>'17'!G56</f>
        <v>4799</v>
      </c>
      <c r="BH20" s="19">
        <f>'17'!G57</f>
        <v>0</v>
      </c>
      <c r="BI20" s="259">
        <f>'17'!G50</f>
        <v>1110</v>
      </c>
      <c r="BJ20" s="398">
        <f t="shared" si="12"/>
        <v>4799</v>
      </c>
      <c r="BK20" s="398">
        <f>'17'!G84</f>
        <v>516</v>
      </c>
      <c r="BL20" s="23">
        <f t="shared" si="13"/>
        <v>48.648241962180869</v>
      </c>
      <c r="BM20" s="23">
        <f t="shared" si="14"/>
        <v>20.940964036715656</v>
      </c>
      <c r="BN20" s="24">
        <f t="shared" si="15"/>
        <v>9.3644981692330848E-2</v>
      </c>
      <c r="BO20" s="25">
        <f t="shared" si="16"/>
        <v>255087</v>
      </c>
      <c r="BP20" s="212">
        <f t="shared" si="17"/>
        <v>7417</v>
      </c>
      <c r="BQ20">
        <f t="shared" si="18"/>
        <v>1.103720238095238</v>
      </c>
    </row>
    <row r="21" spans="1:69" x14ac:dyDescent="0.25">
      <c r="A21" s="16">
        <v>18</v>
      </c>
      <c r="B21" s="27">
        <v>18</v>
      </c>
      <c r="C21" s="27"/>
      <c r="D21" s="19">
        <f>'18'!D3</f>
        <v>28</v>
      </c>
      <c r="E21" s="253">
        <f>'18'!D4</f>
        <v>0.76</v>
      </c>
      <c r="F21" s="253"/>
      <c r="G21" s="19">
        <f>'18'!G8</f>
        <v>20294</v>
      </c>
      <c r="H21" s="19">
        <f>'18'!G8</f>
        <v>20294</v>
      </c>
      <c r="I21" s="19">
        <f>'18'!G7</f>
        <v>20158</v>
      </c>
      <c r="J21" s="19">
        <v>10</v>
      </c>
      <c r="K21" s="239">
        <f t="shared" si="3"/>
        <v>202940</v>
      </c>
      <c r="L21" s="235">
        <f t="shared" si="4"/>
        <v>99.792079207920793</v>
      </c>
      <c r="M21" s="19">
        <f>'18'!G15</f>
        <v>539</v>
      </c>
      <c r="N21" s="19">
        <v>35</v>
      </c>
      <c r="O21" s="232">
        <f t="shared" si="5"/>
        <v>18865</v>
      </c>
      <c r="P21" s="19">
        <f>'18'!G20</f>
        <v>175</v>
      </c>
      <c r="Q21" s="19">
        <v>134</v>
      </c>
      <c r="R21" s="236">
        <f t="shared" si="0"/>
        <v>23450</v>
      </c>
      <c r="S21" s="237" t="e">
        <f t="shared" si="1"/>
        <v>#DIV/0!</v>
      </c>
      <c r="T21" s="19">
        <f>'18'!G24</f>
        <v>0</v>
      </c>
      <c r="U21" s="19">
        <v>69</v>
      </c>
      <c r="V21" s="238">
        <f t="shared" si="6"/>
        <v>0</v>
      </c>
      <c r="W21" s="22">
        <f>'18'!G95</f>
        <v>68</v>
      </c>
      <c r="X21" s="22">
        <f>'18'!G96</f>
        <v>18</v>
      </c>
      <c r="Y21" s="22">
        <f>'18'!G97</f>
        <v>25</v>
      </c>
      <c r="Z21" s="22">
        <f t="shared" si="7"/>
        <v>111</v>
      </c>
      <c r="AA21" s="19">
        <f>'18'!G132</f>
        <v>0</v>
      </c>
      <c r="AB21" s="19">
        <f>'18'!G133</f>
        <v>0</v>
      </c>
      <c r="AC21" s="19">
        <f>'18'!G134</f>
        <v>0</v>
      </c>
      <c r="AD21" s="19">
        <f>'18'!G135</f>
        <v>24</v>
      </c>
      <c r="AE21" s="19">
        <f t="shared" si="8"/>
        <v>24</v>
      </c>
      <c r="AF21" s="23">
        <f t="shared" si="2"/>
        <v>4838</v>
      </c>
      <c r="AG21" s="23">
        <f t="shared" si="9"/>
        <v>201.58333333333334</v>
      </c>
      <c r="AH21" s="19">
        <f>'18'!G136</f>
        <v>-5.0000000002910383E-2</v>
      </c>
      <c r="AI21" s="19">
        <f>'18'!G137</f>
        <v>0</v>
      </c>
      <c r="AJ21" s="19">
        <f>'18'!G138</f>
        <v>6.1399999999994179</v>
      </c>
      <c r="AK21" s="19">
        <f t="shared" si="10"/>
        <v>6.0899999999965075</v>
      </c>
      <c r="AL21" s="19">
        <f>'18'!G139</f>
        <v>6.0800000000001546</v>
      </c>
      <c r="AM21" s="19">
        <f>'18'!G140</f>
        <v>0</v>
      </c>
      <c r="AN21" s="19"/>
      <c r="AO21" s="19">
        <f t="shared" si="11"/>
        <v>6.0800000000001546</v>
      </c>
      <c r="AP21" s="255">
        <f>'18'!G123</f>
        <v>206</v>
      </c>
      <c r="AQ21" s="258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2092</v>
      </c>
      <c r="AY21" s="23">
        <f>'18'!G44</f>
        <v>0</v>
      </c>
      <c r="AZ21" s="259">
        <f>'18'!G36</f>
        <v>944</v>
      </c>
      <c r="BA21" s="258">
        <f>'18'!G49</f>
        <v>2822</v>
      </c>
      <c r="BB21" s="19">
        <f>'18'!G51</f>
        <v>1508</v>
      </c>
      <c r="BC21" s="19">
        <f>'18'!G52</f>
        <v>1825</v>
      </c>
      <c r="BD21" s="19">
        <f>'18'!G53</f>
        <v>4194</v>
      </c>
      <c r="BE21" s="19">
        <f>'18'!G54</f>
        <v>65</v>
      </c>
      <c r="BF21" s="19">
        <f>'18'!G55</f>
        <v>0</v>
      </c>
      <c r="BG21" s="19">
        <f>'18'!G56</f>
        <v>4838</v>
      </c>
      <c r="BH21" s="19">
        <f>'18'!G57</f>
        <v>0</v>
      </c>
      <c r="BI21" s="259">
        <f>'18'!G50</f>
        <v>1184</v>
      </c>
      <c r="BJ21" s="398">
        <f t="shared" si="12"/>
        <v>4838</v>
      </c>
      <c r="BK21" s="398">
        <f>'18'!G84</f>
        <v>483</v>
      </c>
      <c r="BL21" s="23">
        <f t="shared" si="13"/>
        <v>48.377815259450337</v>
      </c>
      <c r="BM21" s="23">
        <f t="shared" si="14"/>
        <v>20.805635479710286</v>
      </c>
      <c r="BN21" s="24">
        <f t="shared" si="15"/>
        <v>9.0534775275324927E-2</v>
      </c>
      <c r="BO21" s="25">
        <f t="shared" si="16"/>
        <v>245255</v>
      </c>
      <c r="BP21" s="212">
        <f t="shared" si="17"/>
        <v>7413</v>
      </c>
      <c r="BQ21">
        <f t="shared" si="18"/>
        <v>1.1031249999999999</v>
      </c>
    </row>
    <row r="22" spans="1:69" x14ac:dyDescent="0.25">
      <c r="A22" s="16">
        <v>19</v>
      </c>
      <c r="B22" s="17">
        <v>19</v>
      </c>
      <c r="C22" s="27"/>
      <c r="D22" s="19">
        <f>'19'!D3</f>
        <v>29</v>
      </c>
      <c r="E22" s="253">
        <f>'19'!D4</f>
        <v>0.76</v>
      </c>
      <c r="F22" s="253"/>
      <c r="G22" s="19">
        <f>'19'!G8</f>
        <v>19507</v>
      </c>
      <c r="H22" s="19">
        <f>'19'!G8</f>
        <v>19507</v>
      </c>
      <c r="I22" s="19">
        <f>'19'!G7</f>
        <v>19378</v>
      </c>
      <c r="J22" s="19">
        <v>10</v>
      </c>
      <c r="K22" s="239">
        <f t="shared" si="3"/>
        <v>195070</v>
      </c>
      <c r="L22" s="235">
        <f t="shared" si="4"/>
        <v>95.930693069306926</v>
      </c>
      <c r="M22" s="19">
        <f>'19'!G15</f>
        <v>547.31000000005588</v>
      </c>
      <c r="N22" s="19">
        <v>35</v>
      </c>
      <c r="O22" s="232">
        <f t="shared" si="5"/>
        <v>19155.850000001956</v>
      </c>
      <c r="P22" s="19">
        <f>'19'!G20</f>
        <v>194</v>
      </c>
      <c r="Q22" s="19">
        <v>134</v>
      </c>
      <c r="R22" s="236">
        <f t="shared" si="0"/>
        <v>25996</v>
      </c>
      <c r="S22" s="237" t="e">
        <f t="shared" si="1"/>
        <v>#DIV/0!</v>
      </c>
      <c r="T22" s="19">
        <f>'19'!G24</f>
        <v>0</v>
      </c>
      <c r="U22" s="19">
        <v>69</v>
      </c>
      <c r="V22" s="238">
        <f t="shared" si="6"/>
        <v>0</v>
      </c>
      <c r="W22" s="22">
        <f>'19'!G95</f>
        <v>55</v>
      </c>
      <c r="X22" s="22">
        <f>'19'!G96</f>
        <v>29</v>
      </c>
      <c r="Y22" s="22">
        <f>'19'!G97</f>
        <v>30</v>
      </c>
      <c r="Z22" s="22">
        <f t="shared" si="7"/>
        <v>114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23.75</v>
      </c>
      <c r="AE22" s="19">
        <f t="shared" si="8"/>
        <v>23.75</v>
      </c>
      <c r="AF22" s="23">
        <f t="shared" si="2"/>
        <v>3914</v>
      </c>
      <c r="AG22" s="23">
        <f t="shared" si="9"/>
        <v>164.8</v>
      </c>
      <c r="AH22" s="19">
        <f>'19'!G136</f>
        <v>0</v>
      </c>
      <c r="AI22" s="19">
        <f>'19'!G137</f>
        <v>0</v>
      </c>
      <c r="AJ22" s="19">
        <f>'19'!G138</f>
        <v>5.5099999999947613</v>
      </c>
      <c r="AK22" s="19">
        <f t="shared" si="10"/>
        <v>5.5099999999947613</v>
      </c>
      <c r="AL22" s="19">
        <f>'19'!G139</f>
        <v>5.9200000000000728</v>
      </c>
      <c r="AM22" s="19">
        <f>'19'!G140</f>
        <v>0</v>
      </c>
      <c r="AN22" s="19"/>
      <c r="AO22" s="19">
        <f t="shared" si="11"/>
        <v>5.9200000000000728</v>
      </c>
      <c r="AP22" s="255">
        <f>'19'!G123</f>
        <v>231</v>
      </c>
      <c r="AQ22" s="258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2021</v>
      </c>
      <c r="AY22" s="23">
        <f>'19'!G44</f>
        <v>0</v>
      </c>
      <c r="AZ22" s="259">
        <f>'19'!G36</f>
        <v>856</v>
      </c>
      <c r="BA22" s="258">
        <f>'19'!G49</f>
        <v>3026</v>
      </c>
      <c r="BB22" s="19">
        <f>'19'!G51</f>
        <v>1440</v>
      </c>
      <c r="BC22" s="19">
        <f>'19'!G52</f>
        <v>2050</v>
      </c>
      <c r="BD22" s="19">
        <f>'19'!G53</f>
        <v>4054</v>
      </c>
      <c r="BE22" s="19">
        <f>'19'!G54</f>
        <v>64.75</v>
      </c>
      <c r="BF22" s="19">
        <f>'19'!G55</f>
        <v>0</v>
      </c>
      <c r="BG22" s="19">
        <f>'19'!G56</f>
        <v>3914</v>
      </c>
      <c r="BH22" s="19">
        <f>'19'!G57</f>
        <v>0</v>
      </c>
      <c r="BI22" s="259">
        <f>'19'!G50</f>
        <v>1186</v>
      </c>
      <c r="BJ22" s="398">
        <f t="shared" si="12"/>
        <v>3914</v>
      </c>
      <c r="BK22" s="398">
        <f>'19'!G84</f>
        <v>456</v>
      </c>
      <c r="BL22" s="23">
        <f t="shared" si="13"/>
        <v>46.243162349055631</v>
      </c>
      <c r="BM22" s="23">
        <f t="shared" si="14"/>
        <v>20.92063164413252</v>
      </c>
      <c r="BN22" s="24">
        <f t="shared" si="15"/>
        <v>0.10579007121477965</v>
      </c>
      <c r="BO22" s="25">
        <f t="shared" si="16"/>
        <v>240221.85000000196</v>
      </c>
      <c r="BP22" s="212">
        <f t="shared" si="17"/>
        <v>6391</v>
      </c>
      <c r="BQ22">
        <f t="shared" si="18"/>
        <v>0.96105263157894738</v>
      </c>
    </row>
    <row r="23" spans="1:69" x14ac:dyDescent="0.25">
      <c r="A23" s="16">
        <v>20</v>
      </c>
      <c r="B23" s="26">
        <v>20</v>
      </c>
      <c r="C23" s="26"/>
      <c r="D23" s="19">
        <f>'20'!D3</f>
        <v>29</v>
      </c>
      <c r="E23" s="253">
        <f>'20'!D4</f>
        <v>0.76</v>
      </c>
      <c r="F23" s="253"/>
      <c r="G23" s="19">
        <f>'20'!G8</f>
        <v>19507</v>
      </c>
      <c r="H23" s="19">
        <f>'20'!G8</f>
        <v>19507</v>
      </c>
      <c r="I23" s="19">
        <f>'20'!G7</f>
        <v>19378</v>
      </c>
      <c r="J23" s="19">
        <v>10</v>
      </c>
      <c r="K23" s="239">
        <f t="shared" si="3"/>
        <v>195070</v>
      </c>
      <c r="L23" s="235">
        <f t="shared" si="4"/>
        <v>95.930693069306926</v>
      </c>
      <c r="M23" s="19">
        <f>'20'!G15</f>
        <v>547.31000000005588</v>
      </c>
      <c r="N23" s="19">
        <v>35</v>
      </c>
      <c r="O23" s="232">
        <f t="shared" si="5"/>
        <v>19155.850000001956</v>
      </c>
      <c r="P23" s="19">
        <f>'20'!G20</f>
        <v>194</v>
      </c>
      <c r="Q23" s="19">
        <v>134</v>
      </c>
      <c r="R23" s="236">
        <f t="shared" si="0"/>
        <v>25996</v>
      </c>
      <c r="S23" s="237" t="e">
        <f t="shared" si="1"/>
        <v>#DIV/0!</v>
      </c>
      <c r="T23" s="19">
        <f>'20'!G24</f>
        <v>0</v>
      </c>
      <c r="U23" s="19">
        <v>69</v>
      </c>
      <c r="V23" s="238">
        <f t="shared" si="6"/>
        <v>0</v>
      </c>
      <c r="W23" s="22">
        <f>'20'!G95</f>
        <v>55</v>
      </c>
      <c r="X23" s="22">
        <f>'20'!G96</f>
        <v>29</v>
      </c>
      <c r="Y23" s="22">
        <f>'20'!G97</f>
        <v>30</v>
      </c>
      <c r="Z23" s="22">
        <f t="shared" si="7"/>
        <v>114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23.75</v>
      </c>
      <c r="AE23" s="19">
        <f t="shared" si="8"/>
        <v>23.75</v>
      </c>
      <c r="AF23" s="23">
        <f t="shared" si="2"/>
        <v>3914</v>
      </c>
      <c r="AG23" s="23">
        <f t="shared" si="9"/>
        <v>164.8</v>
      </c>
      <c r="AH23" s="19">
        <f>'20'!G136</f>
        <v>0</v>
      </c>
      <c r="AI23" s="19">
        <f>'20'!G137</f>
        <v>0</v>
      </c>
      <c r="AJ23" s="19">
        <f>'20'!G138</f>
        <v>5.5099999999947613</v>
      </c>
      <c r="AK23" s="19">
        <f t="shared" si="10"/>
        <v>5.5099999999947613</v>
      </c>
      <c r="AL23" s="19">
        <f>'20'!G139</f>
        <v>5.9200000000000728</v>
      </c>
      <c r="AM23" s="19">
        <f>'20'!G140</f>
        <v>0</v>
      </c>
      <c r="AN23" s="19"/>
      <c r="AO23" s="19">
        <f t="shared" si="11"/>
        <v>5.9200000000000728</v>
      </c>
      <c r="AP23" s="255">
        <f>'20'!G123</f>
        <v>231</v>
      </c>
      <c r="AQ23" s="258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2021</v>
      </c>
      <c r="AY23" s="23">
        <f>'20'!G44</f>
        <v>0</v>
      </c>
      <c r="AZ23" s="259">
        <f>'20'!G36</f>
        <v>856</v>
      </c>
      <c r="BA23" s="258">
        <f>'20'!G49</f>
        <v>3026</v>
      </c>
      <c r="BB23" s="19">
        <f>'20'!G51</f>
        <v>1440</v>
      </c>
      <c r="BC23" s="19">
        <f>'20'!G52</f>
        <v>2050</v>
      </c>
      <c r="BD23" s="19">
        <f>'20'!G576</f>
        <v>0</v>
      </c>
      <c r="BE23" s="19">
        <f>'20'!G54</f>
        <v>64.75</v>
      </c>
      <c r="BF23" s="19">
        <f>'20'!G55</f>
        <v>0</v>
      </c>
      <c r="BG23" s="19">
        <f>'20'!G56</f>
        <v>3914</v>
      </c>
      <c r="BH23" s="19">
        <f>'20'!G57</f>
        <v>0</v>
      </c>
      <c r="BI23" s="259">
        <f>'20'!G50</f>
        <v>1186</v>
      </c>
      <c r="BJ23" s="398">
        <f t="shared" si="12"/>
        <v>3914</v>
      </c>
      <c r="BK23" s="398">
        <f>'20'!G84</f>
        <v>456</v>
      </c>
      <c r="BL23" s="23">
        <f t="shared" si="13"/>
        <v>46.243162349055631</v>
      </c>
      <c r="BM23" s="23">
        <f t="shared" si="14"/>
        <v>0</v>
      </c>
      <c r="BN23" s="24">
        <f t="shared" si="15"/>
        <v>0.10579007121477965</v>
      </c>
      <c r="BO23" s="25">
        <f t="shared" si="16"/>
        <v>240221.85000000196</v>
      </c>
      <c r="BP23" s="212">
        <f t="shared" si="17"/>
        <v>6391</v>
      </c>
      <c r="BQ23">
        <f t="shared" si="18"/>
        <v>0.96105263157894738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253">
        <f>'21'!D4</f>
        <v>0.76</v>
      </c>
      <c r="F24" s="253"/>
      <c r="G24" s="19">
        <f>'21'!G8</f>
        <v>19140</v>
      </c>
      <c r="H24" s="19">
        <f>'21'!G8</f>
        <v>19140</v>
      </c>
      <c r="I24" s="19">
        <f>'21'!G7</f>
        <v>18976</v>
      </c>
      <c r="J24" s="19">
        <v>10</v>
      </c>
      <c r="K24" s="239">
        <f t="shared" si="3"/>
        <v>191400</v>
      </c>
      <c r="L24" s="235">
        <f t="shared" si="4"/>
        <v>93.940594059405939</v>
      </c>
      <c r="M24" s="19">
        <f>'21'!G15</f>
        <v>812</v>
      </c>
      <c r="N24" s="19">
        <v>35</v>
      </c>
      <c r="O24" s="232">
        <f t="shared" si="5"/>
        <v>28420</v>
      </c>
      <c r="P24" s="19">
        <f>'21'!G20</f>
        <v>175</v>
      </c>
      <c r="Q24" s="19">
        <v>134</v>
      </c>
      <c r="R24" s="236">
        <f t="shared" si="0"/>
        <v>23450</v>
      </c>
      <c r="S24" s="237" t="e">
        <f t="shared" si="1"/>
        <v>#DIV/0!</v>
      </c>
      <c r="T24" s="19">
        <f>'21'!G24</f>
        <v>0</v>
      </c>
      <c r="U24" s="19">
        <v>69</v>
      </c>
      <c r="V24" s="238">
        <f t="shared" si="6"/>
        <v>0</v>
      </c>
      <c r="W24" s="22">
        <f>'21'!G95</f>
        <v>72</v>
      </c>
      <c r="X24" s="22">
        <f>'21'!G96</f>
        <v>17</v>
      </c>
      <c r="Y24" s="22">
        <f>'21'!G97</f>
        <v>18</v>
      </c>
      <c r="Z24" s="22">
        <f t="shared" si="7"/>
        <v>107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</v>
      </c>
      <c r="AE24" s="19">
        <f t="shared" si="8"/>
        <v>24</v>
      </c>
      <c r="AF24" s="23">
        <f t="shared" si="2"/>
        <v>3571</v>
      </c>
      <c r="AG24" s="23">
        <f t="shared" si="9"/>
        <v>148.79166666666666</v>
      </c>
      <c r="AH24" s="19">
        <f>'21'!G136</f>
        <v>0</v>
      </c>
      <c r="AI24" s="19">
        <f>'21'!G137</f>
        <v>9.819999999999709</v>
      </c>
      <c r="AJ24" s="19">
        <f>'21'!G138</f>
        <v>2</v>
      </c>
      <c r="AK24" s="19">
        <f t="shared" si="10"/>
        <v>11.819999999999709</v>
      </c>
      <c r="AL24" s="19">
        <f>'21'!G139</f>
        <v>6.1100000000001273</v>
      </c>
      <c r="AM24" s="19">
        <f>'21'!G140</f>
        <v>0</v>
      </c>
      <c r="AN24" s="19"/>
      <c r="AO24" s="19">
        <f t="shared" si="11"/>
        <v>6.1100000000001273</v>
      </c>
      <c r="AP24" s="255">
        <f>'21'!G123</f>
        <v>196</v>
      </c>
      <c r="AQ24" s="258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2080</v>
      </c>
      <c r="AY24" s="23">
        <f>'21'!G44</f>
        <v>0</v>
      </c>
      <c r="AZ24" s="259">
        <f>'21'!G36</f>
        <v>745</v>
      </c>
      <c r="BA24" s="258">
        <f>'21'!G49</f>
        <v>2699</v>
      </c>
      <c r="BB24" s="19">
        <f>'21'!G51</f>
        <v>1421</v>
      </c>
      <c r="BC24" s="19">
        <f>'21'!G52</f>
        <v>1840</v>
      </c>
      <c r="BD24" s="19">
        <f>'21'!G53</f>
        <v>4396</v>
      </c>
      <c r="BE24" s="19">
        <f>'21'!G54</f>
        <v>0</v>
      </c>
      <c r="BF24" s="19">
        <f>'21'!G55</f>
        <v>0</v>
      </c>
      <c r="BG24" s="19">
        <f>'21'!G56</f>
        <v>3571</v>
      </c>
      <c r="BH24" s="19">
        <f>'21'!G57</f>
        <v>0</v>
      </c>
      <c r="BI24" s="259">
        <f>'21'!G50</f>
        <v>1523</v>
      </c>
      <c r="BJ24" s="398">
        <f t="shared" si="12"/>
        <v>3571</v>
      </c>
      <c r="BK24" s="398">
        <f>'21'!G84</f>
        <v>504</v>
      </c>
      <c r="BL24" s="23">
        <f t="shared" si="13"/>
        <v>44.002951096121421</v>
      </c>
      <c r="BM24" s="23">
        <f t="shared" si="14"/>
        <v>23.16610455311973</v>
      </c>
      <c r="BN24" s="24">
        <f t="shared" si="15"/>
        <v>9.6984612141652854E-2</v>
      </c>
      <c r="BO24" s="25">
        <f t="shared" si="16"/>
        <v>243270</v>
      </c>
      <c r="BP24" s="212">
        <f t="shared" si="17"/>
        <v>6155</v>
      </c>
      <c r="BQ24">
        <f t="shared" si="18"/>
        <v>0.91592261904761907</v>
      </c>
    </row>
    <row r="25" spans="1:69" x14ac:dyDescent="0.25">
      <c r="A25" s="16">
        <v>22</v>
      </c>
      <c r="B25" s="27">
        <v>22</v>
      </c>
      <c r="C25" s="28"/>
      <c r="D25" s="19">
        <f>'22'!D3</f>
        <v>29</v>
      </c>
      <c r="E25" s="253">
        <f>'22'!D4</f>
        <v>0.76</v>
      </c>
      <c r="F25" s="253"/>
      <c r="G25" s="19">
        <f>'22'!G8</f>
        <v>18059</v>
      </c>
      <c r="H25" s="19">
        <f>'22'!G8</f>
        <v>18059</v>
      </c>
      <c r="I25" s="19">
        <f>'22'!G7</f>
        <v>17828</v>
      </c>
      <c r="J25" s="19">
        <v>10</v>
      </c>
      <c r="K25" s="239">
        <f t="shared" si="3"/>
        <v>180590</v>
      </c>
      <c r="L25" s="235">
        <f t="shared" si="4"/>
        <v>88.257425742574256</v>
      </c>
      <c r="M25" s="19">
        <f>'22'!G15</f>
        <v>691</v>
      </c>
      <c r="N25" s="19">
        <v>35</v>
      </c>
      <c r="O25" s="232">
        <f t="shared" si="5"/>
        <v>24185</v>
      </c>
      <c r="P25" s="19">
        <f>'22'!G20</f>
        <v>155</v>
      </c>
      <c r="Q25" s="19">
        <v>134</v>
      </c>
      <c r="R25" s="236">
        <f t="shared" si="0"/>
        <v>20770</v>
      </c>
      <c r="S25" s="237" t="e">
        <f t="shared" si="1"/>
        <v>#DIV/0!</v>
      </c>
      <c r="T25" s="19">
        <f>'22'!G24</f>
        <v>0</v>
      </c>
      <c r="U25" s="19">
        <v>69</v>
      </c>
      <c r="V25" s="238">
        <f t="shared" si="6"/>
        <v>0</v>
      </c>
      <c r="W25" s="22">
        <f>'22'!G95</f>
        <v>59</v>
      </c>
      <c r="X25" s="22">
        <f>'22'!G96</f>
        <v>19</v>
      </c>
      <c r="Y25" s="22">
        <f>'22'!G97</f>
        <v>19</v>
      </c>
      <c r="Z25" s="22">
        <f t="shared" si="7"/>
        <v>97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</v>
      </c>
      <c r="AE25" s="19">
        <f t="shared" si="8"/>
        <v>24</v>
      </c>
      <c r="AF25" s="23">
        <f t="shared" si="2"/>
        <v>3106</v>
      </c>
      <c r="AG25" s="23">
        <f t="shared" si="9"/>
        <v>129.41666666666666</v>
      </c>
      <c r="AH25" s="19">
        <f>'22'!G136</f>
        <v>7.1200000000026193</v>
      </c>
      <c r="AI25" s="19">
        <f>'22'!G137</f>
        <v>-1.0000000002037268E-2</v>
      </c>
      <c r="AJ25" s="19">
        <f>'22'!G138</f>
        <v>0</v>
      </c>
      <c r="AK25" s="19">
        <f t="shared" si="10"/>
        <v>7.1100000000005821</v>
      </c>
      <c r="AL25" s="19">
        <f>'22'!G139</f>
        <v>0</v>
      </c>
      <c r="AM25" s="19">
        <f>'22'!G140</f>
        <v>7.2800000000006548</v>
      </c>
      <c r="AN25" s="19"/>
      <c r="AO25" s="19">
        <f t="shared" si="11"/>
        <v>7.2800000000006548</v>
      </c>
      <c r="AP25" s="255">
        <f>'22'!G123</f>
        <v>218</v>
      </c>
      <c r="AQ25" s="258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2054</v>
      </c>
      <c r="AY25" s="23">
        <f>'22'!G44</f>
        <v>0</v>
      </c>
      <c r="AZ25" s="259">
        <f>'22'!G36</f>
        <v>725</v>
      </c>
      <c r="BA25" s="258">
        <f>'22'!G49</f>
        <v>2635</v>
      </c>
      <c r="BB25" s="19">
        <f>'22'!G51</f>
        <v>1431</v>
      </c>
      <c r="BC25" s="19">
        <f>'22'!G52</f>
        <v>1810</v>
      </c>
      <c r="BD25" s="19">
        <f>'22'!G53</f>
        <v>4199</v>
      </c>
      <c r="BE25" s="19">
        <f>'22'!G54</f>
        <v>96</v>
      </c>
      <c r="BF25" s="19">
        <f>'22'!G55</f>
        <v>0</v>
      </c>
      <c r="BG25" s="19">
        <f>'22'!G56</f>
        <v>3106</v>
      </c>
      <c r="BH25" s="19">
        <f>'22'!G57</f>
        <v>0</v>
      </c>
      <c r="BI25" s="259">
        <f>'22'!G50</f>
        <v>1096</v>
      </c>
      <c r="BJ25" s="398">
        <f t="shared" si="12"/>
        <v>3106</v>
      </c>
      <c r="BK25" s="398">
        <f>'22'!G84</f>
        <v>510</v>
      </c>
      <c r="BL25" s="23">
        <f t="shared" si="13"/>
        <v>43.723356517837111</v>
      </c>
      <c r="BM25" s="23">
        <f t="shared" si="14"/>
        <v>23.552838231994617</v>
      </c>
      <c r="BN25" s="24">
        <f t="shared" si="15"/>
        <v>0.10152568992595916</v>
      </c>
      <c r="BO25" s="25">
        <f t="shared" si="16"/>
        <v>225545</v>
      </c>
      <c r="BP25" s="212">
        <f t="shared" si="17"/>
        <v>5670</v>
      </c>
      <c r="BQ25">
        <f t="shared" si="18"/>
        <v>0.84375</v>
      </c>
    </row>
    <row r="26" spans="1:69" x14ac:dyDescent="0.25">
      <c r="A26" s="16">
        <v>23</v>
      </c>
      <c r="B26" s="27">
        <v>23</v>
      </c>
      <c r="C26" s="28"/>
      <c r="D26" s="19">
        <f>'23'!D3</f>
        <v>29</v>
      </c>
      <c r="E26" s="253">
        <f>'23'!D4</f>
        <v>0.76</v>
      </c>
      <c r="F26" s="253"/>
      <c r="G26" s="19">
        <f>'23'!G8</f>
        <v>18888</v>
      </c>
      <c r="H26" s="19">
        <f>'23'!G8</f>
        <v>18888</v>
      </c>
      <c r="I26" s="19">
        <f>'23'!G7</f>
        <v>18710</v>
      </c>
      <c r="J26" s="19">
        <v>10</v>
      </c>
      <c r="K26" s="239">
        <f t="shared" si="3"/>
        <v>188880</v>
      </c>
      <c r="L26" s="235">
        <f t="shared" si="4"/>
        <v>92.623762376237622</v>
      </c>
      <c r="M26" s="19">
        <f>'23'!G15</f>
        <v>725</v>
      </c>
      <c r="N26" s="19">
        <v>35</v>
      </c>
      <c r="O26" s="232">
        <f t="shared" si="5"/>
        <v>25375</v>
      </c>
      <c r="P26" s="19">
        <f>'23'!G20</f>
        <v>169</v>
      </c>
      <c r="Q26" s="19">
        <v>134</v>
      </c>
      <c r="R26" s="236">
        <f t="shared" si="0"/>
        <v>22646</v>
      </c>
      <c r="S26" s="237" t="e">
        <f t="shared" si="1"/>
        <v>#DIV/0!</v>
      </c>
      <c r="T26" s="19">
        <f>'23'!G24</f>
        <v>0</v>
      </c>
      <c r="U26" s="19">
        <v>69</v>
      </c>
      <c r="V26" s="238">
        <f t="shared" si="6"/>
        <v>0</v>
      </c>
      <c r="W26" s="22">
        <f>'23'!G95</f>
        <v>62</v>
      </c>
      <c r="X26" s="22">
        <f>'23'!G96</f>
        <v>21</v>
      </c>
      <c r="Y26" s="22">
        <f>'23'!G97</f>
        <v>17</v>
      </c>
      <c r="Z26" s="22">
        <f t="shared" si="7"/>
        <v>100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</v>
      </c>
      <c r="AE26" s="19">
        <f t="shared" si="8"/>
        <v>24</v>
      </c>
      <c r="AF26" s="23">
        <f t="shared" si="2"/>
        <v>3549</v>
      </c>
      <c r="AG26" s="23">
        <f t="shared" si="9"/>
        <v>147.875</v>
      </c>
      <c r="AH26" s="19">
        <f>'23'!G136</f>
        <v>0</v>
      </c>
      <c r="AI26" s="19">
        <f>'23'!G137</f>
        <v>8.0900000000001455</v>
      </c>
      <c r="AJ26" s="19">
        <f>'23'!G138</f>
        <v>0</v>
      </c>
      <c r="AK26" s="19">
        <f t="shared" si="10"/>
        <v>8.0900000000001455</v>
      </c>
      <c r="AL26" s="19">
        <f>'23'!G139</f>
        <v>0</v>
      </c>
      <c r="AM26" s="19">
        <f>'23'!G140</f>
        <v>6.5</v>
      </c>
      <c r="AN26" s="19"/>
      <c r="AO26" s="19">
        <f t="shared" si="11"/>
        <v>6.5</v>
      </c>
      <c r="AP26" s="255">
        <f>'23'!G123</f>
        <v>195</v>
      </c>
      <c r="AQ26" s="258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2047</v>
      </c>
      <c r="AY26" s="23">
        <f>'23'!G44</f>
        <v>0</v>
      </c>
      <c r="AZ26" s="259">
        <f>'23'!G36</f>
        <v>768</v>
      </c>
      <c r="BA26" s="258">
        <f>'23'!G49</f>
        <v>2777</v>
      </c>
      <c r="BB26" s="19">
        <f>'23'!G51</f>
        <v>1468</v>
      </c>
      <c r="BC26" s="19">
        <f>'23'!G52</f>
        <v>1979</v>
      </c>
      <c r="BD26" s="19">
        <f>'23'!G53</f>
        <v>4188</v>
      </c>
      <c r="BE26" s="19">
        <f>'23'!G54</f>
        <v>57</v>
      </c>
      <c r="BF26" s="19">
        <f>'23'!G55</f>
        <v>0</v>
      </c>
      <c r="BG26" s="19">
        <f>'23'!G56</f>
        <v>3549</v>
      </c>
      <c r="BH26" s="19">
        <f>'23'!G57</f>
        <v>0</v>
      </c>
      <c r="BI26" s="259">
        <f>'23'!G50</f>
        <v>1169</v>
      </c>
      <c r="BJ26" s="398">
        <f t="shared" si="12"/>
        <v>3549</v>
      </c>
      <c r="BK26" s="398">
        <f>'23'!G84</f>
        <v>464</v>
      </c>
      <c r="BL26" s="23">
        <f t="shared" si="13"/>
        <v>44.751469802244792</v>
      </c>
      <c r="BM26" s="23">
        <f t="shared" si="14"/>
        <v>22.383752004275788</v>
      </c>
      <c r="BN26" s="24">
        <f t="shared" si="15"/>
        <v>0.10577231427044362</v>
      </c>
      <c r="BO26" s="25">
        <f t="shared" si="16"/>
        <v>236901</v>
      </c>
      <c r="BP26" s="212">
        <f t="shared" si="17"/>
        <v>6060</v>
      </c>
      <c r="BQ26">
        <f t="shared" si="18"/>
        <v>0.9017857142857143</v>
      </c>
    </row>
    <row r="27" spans="1:69" x14ac:dyDescent="0.25">
      <c r="A27" s="16">
        <v>24</v>
      </c>
      <c r="B27" s="17">
        <v>24</v>
      </c>
      <c r="C27" s="28"/>
      <c r="D27" s="19">
        <f>'24'!D3</f>
        <v>30</v>
      </c>
      <c r="E27" s="253">
        <f>'24'!D4</f>
        <v>0.76</v>
      </c>
      <c r="F27" s="253"/>
      <c r="G27" s="19">
        <f>'24'!G8</f>
        <v>19227</v>
      </c>
      <c r="H27" s="19">
        <f>'24'!G8</f>
        <v>19227</v>
      </c>
      <c r="I27" s="19">
        <f>'24'!G7</f>
        <v>19068</v>
      </c>
      <c r="J27" s="19">
        <v>10</v>
      </c>
      <c r="K27" s="239">
        <f t="shared" si="3"/>
        <v>192270</v>
      </c>
      <c r="L27" s="235">
        <f t="shared" si="4"/>
        <v>94.396039603960389</v>
      </c>
      <c r="M27" s="19">
        <f>'24'!G15</f>
        <v>719</v>
      </c>
      <c r="N27" s="19">
        <v>35</v>
      </c>
      <c r="O27" s="232">
        <f t="shared" si="5"/>
        <v>25165</v>
      </c>
      <c r="P27" s="19">
        <f>'24'!G20</f>
        <v>214</v>
      </c>
      <c r="Q27" s="19">
        <v>134</v>
      </c>
      <c r="R27" s="236">
        <f t="shared" si="0"/>
        <v>28676</v>
      </c>
      <c r="S27" s="237" t="e">
        <f t="shared" si="1"/>
        <v>#DIV/0!</v>
      </c>
      <c r="T27" s="19">
        <f>'24'!G24</f>
        <v>0</v>
      </c>
      <c r="U27" s="19">
        <v>69</v>
      </c>
      <c r="V27" s="238">
        <f t="shared" si="6"/>
        <v>0</v>
      </c>
      <c r="W27" s="22">
        <f>'24'!G95</f>
        <v>64</v>
      </c>
      <c r="X27" s="22">
        <f>'24'!G96</f>
        <v>26</v>
      </c>
      <c r="Y27" s="22">
        <f>'24'!G97</f>
        <v>20</v>
      </c>
      <c r="Z27" s="22">
        <f t="shared" si="7"/>
        <v>110</v>
      </c>
      <c r="AA27" s="19">
        <f>'24'!G132</f>
        <v>0</v>
      </c>
      <c r="AB27" s="19">
        <f>'24'!G133</f>
        <v>0</v>
      </c>
      <c r="AC27" s="19">
        <f>'24'!G134</f>
        <v>0</v>
      </c>
      <c r="AD27" s="19">
        <f>'24'!G135</f>
        <v>24</v>
      </c>
      <c r="AE27" s="19">
        <f t="shared" si="8"/>
        <v>24</v>
      </c>
      <c r="AF27" s="23">
        <f t="shared" si="2"/>
        <v>3839</v>
      </c>
      <c r="AG27" s="23">
        <f t="shared" si="9"/>
        <v>159.95833333333334</v>
      </c>
      <c r="AH27" s="19">
        <f>'24'!G136</f>
        <v>3.0499999999992724</v>
      </c>
      <c r="AI27" s="19">
        <f>'24'!G137</f>
        <v>1</v>
      </c>
      <c r="AJ27" s="19">
        <f>'24'!G138</f>
        <v>3.1499999999941792</v>
      </c>
      <c r="AK27" s="19">
        <f t="shared" si="10"/>
        <v>7.1999999999934516</v>
      </c>
      <c r="AL27" s="19">
        <f>'24'!G139</f>
        <v>0</v>
      </c>
      <c r="AM27" s="19">
        <f>'24'!G140</f>
        <v>7.1499999999996362</v>
      </c>
      <c r="AN27" s="19"/>
      <c r="AO27" s="19">
        <f t="shared" si="11"/>
        <v>7.1499999999996362</v>
      </c>
      <c r="AP27" s="255">
        <f>'24'!G123</f>
        <v>215</v>
      </c>
      <c r="AQ27" s="258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2059</v>
      </c>
      <c r="AY27" s="23">
        <f>'24'!G44</f>
        <v>0</v>
      </c>
      <c r="AZ27" s="259">
        <f>'24'!G36</f>
        <v>730</v>
      </c>
      <c r="BA27" s="258">
        <f>'24'!G49</f>
        <v>3000</v>
      </c>
      <c r="BB27" s="19">
        <f>'24'!G51</f>
        <v>1465</v>
      </c>
      <c r="BC27" s="19">
        <f>'24'!G52</f>
        <v>1948</v>
      </c>
      <c r="BD27" s="19">
        <f>'24'!G53</f>
        <v>4231</v>
      </c>
      <c r="BE27" s="19">
        <f>'24'!G54</f>
        <v>68</v>
      </c>
      <c r="BF27" s="19">
        <f>'24'!G55</f>
        <v>0</v>
      </c>
      <c r="BG27" s="19">
        <f>'24'!G56</f>
        <v>3839</v>
      </c>
      <c r="BH27" s="19">
        <f>'24'!G57</f>
        <v>0</v>
      </c>
      <c r="BI27" s="259">
        <f>'24'!G50</f>
        <v>1120</v>
      </c>
      <c r="BJ27" s="398">
        <f t="shared" si="12"/>
        <v>3839</v>
      </c>
      <c r="BK27" s="398">
        <f>'24'!G84</f>
        <v>477</v>
      </c>
      <c r="BL27" s="23">
        <f t="shared" si="13"/>
        <v>46.664568911264944</v>
      </c>
      <c r="BM27" s="23">
        <f t="shared" si="14"/>
        <v>22.189007761694985</v>
      </c>
      <c r="BN27" s="24">
        <f t="shared" si="15"/>
        <v>0.10216068806377177</v>
      </c>
      <c r="BO27" s="25">
        <f t="shared" si="16"/>
        <v>246111</v>
      </c>
      <c r="BP27" s="212">
        <f t="shared" si="17"/>
        <v>6375</v>
      </c>
      <c r="BQ27">
        <f t="shared" si="18"/>
        <v>0.9486607142857143</v>
      </c>
    </row>
    <row r="28" spans="1:69" x14ac:dyDescent="0.25">
      <c r="A28" s="16">
        <v>25</v>
      </c>
      <c r="B28" s="26">
        <v>25</v>
      </c>
      <c r="C28" s="28"/>
      <c r="D28" s="19">
        <f>'25'!D3</f>
        <v>31</v>
      </c>
      <c r="E28" s="253">
        <f>'25'!D4</f>
        <v>0.8</v>
      </c>
      <c r="F28" s="253"/>
      <c r="G28" s="19">
        <f>'25'!G8</f>
        <v>20290</v>
      </c>
      <c r="H28" s="19">
        <f>'25'!G8</f>
        <v>20290</v>
      </c>
      <c r="I28" s="19">
        <f>'25'!G7</f>
        <v>20166</v>
      </c>
      <c r="J28" s="19">
        <v>10</v>
      </c>
      <c r="K28" s="239">
        <f t="shared" si="3"/>
        <v>202900</v>
      </c>
      <c r="L28" s="235">
        <f t="shared" si="4"/>
        <v>99.831683168316829</v>
      </c>
      <c r="M28" s="19">
        <f>'25'!G15</f>
        <v>712.52000000001863</v>
      </c>
      <c r="N28" s="19">
        <v>35</v>
      </c>
      <c r="O28" s="232">
        <f t="shared" si="5"/>
        <v>24938.200000000652</v>
      </c>
      <c r="P28" s="19">
        <f>'25'!G20</f>
        <v>174</v>
      </c>
      <c r="Q28" s="19">
        <v>134</v>
      </c>
      <c r="R28" s="236">
        <f t="shared" si="0"/>
        <v>23316</v>
      </c>
      <c r="S28" s="237" t="e">
        <f t="shared" si="1"/>
        <v>#DIV/0!</v>
      </c>
      <c r="T28" s="19">
        <f>'25'!G24</f>
        <v>0</v>
      </c>
      <c r="U28" s="19">
        <v>69</v>
      </c>
      <c r="V28" s="238">
        <f t="shared" si="6"/>
        <v>0</v>
      </c>
      <c r="W28" s="22">
        <f>'25'!G95</f>
        <v>75</v>
      </c>
      <c r="X28" s="22">
        <f>'25'!G96</f>
        <v>31</v>
      </c>
      <c r="Y28" s="22">
        <f>'25'!G97</f>
        <v>30</v>
      </c>
      <c r="Z28" s="22">
        <f t="shared" si="7"/>
        <v>136</v>
      </c>
      <c r="AA28" s="19">
        <f>'25'!G132</f>
        <v>0</v>
      </c>
      <c r="AB28" s="19">
        <f>'25'!G133</f>
        <v>0</v>
      </c>
      <c r="AC28" s="19">
        <f>'25'!G134</f>
        <v>0</v>
      </c>
      <c r="AD28" s="19">
        <f>'25'!G135</f>
        <v>23.580000000001746</v>
      </c>
      <c r="AE28" s="19">
        <f t="shared" si="8"/>
        <v>23.580000000001746</v>
      </c>
      <c r="AF28" s="23">
        <f t="shared" si="2"/>
        <v>4515.3499999999767</v>
      </c>
      <c r="AG28" s="23">
        <f t="shared" si="9"/>
        <v>191.49067005935717</v>
      </c>
      <c r="AH28" s="19">
        <f>'24'!G136</f>
        <v>3.0499999999992724</v>
      </c>
      <c r="AI28" s="19">
        <f>'24'!G137</f>
        <v>1</v>
      </c>
      <c r="AJ28" s="19">
        <f>'24'!G138</f>
        <v>3.1499999999941792</v>
      </c>
      <c r="AK28" s="19">
        <f t="shared" si="10"/>
        <v>7.1999999999934516</v>
      </c>
      <c r="AL28" s="19">
        <f>'23'!G139</f>
        <v>0</v>
      </c>
      <c r="AM28" s="19">
        <f>'24'!G140</f>
        <v>7.1499999999996362</v>
      </c>
      <c r="AN28" s="19"/>
      <c r="AO28" s="19">
        <f t="shared" si="11"/>
        <v>7.1499999999996362</v>
      </c>
      <c r="AP28" s="255">
        <f>'25'!G123</f>
        <v>243.07999999995809</v>
      </c>
      <c r="AQ28" s="258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0</v>
      </c>
      <c r="AW28" s="19"/>
      <c r="AX28" s="19">
        <f>'25'!G43</f>
        <v>1994.6700000000419</v>
      </c>
      <c r="AY28" s="23">
        <f>'25'!G44</f>
        <v>0</v>
      </c>
      <c r="AZ28" s="259">
        <f>'25'!G36</f>
        <v>963.04999999998836</v>
      </c>
      <c r="BA28" s="258">
        <f>'25'!G49</f>
        <v>3116.0400000000081</v>
      </c>
      <c r="BB28" s="19">
        <f>'25'!G51</f>
        <v>1481.5500000000029</v>
      </c>
      <c r="BC28" s="19">
        <f>'25'!G52</f>
        <v>2098.429999999993</v>
      </c>
      <c r="BD28" s="19">
        <f>'25'!G53</f>
        <v>4052.4400000000023</v>
      </c>
      <c r="BE28" s="19">
        <f>'24'!G54</f>
        <v>68</v>
      </c>
      <c r="BF28" s="19">
        <f>'25'!G55</f>
        <v>0</v>
      </c>
      <c r="BG28" s="19">
        <f>'25'!G56</f>
        <v>4515.3499999999767</v>
      </c>
      <c r="BH28" s="19">
        <f>'25'!G57</f>
        <v>0</v>
      </c>
      <c r="BI28" s="259">
        <f>'25'!G50</f>
        <v>1112.5100000000093</v>
      </c>
      <c r="BJ28" s="398">
        <f t="shared" si="12"/>
        <v>4515.3499999999767</v>
      </c>
      <c r="BK28" s="398">
        <f>'25'!G84</f>
        <v>454</v>
      </c>
      <c r="BL28" s="23">
        <f t="shared" si="13"/>
        <v>47.734106912625343</v>
      </c>
      <c r="BM28" s="23">
        <f t="shared" si="14"/>
        <v>20.095408112664895</v>
      </c>
      <c r="BN28" s="24">
        <f t="shared" si="15"/>
        <v>0.10405782009322588</v>
      </c>
      <c r="BO28" s="25">
        <f t="shared" si="16"/>
        <v>251154.20000000065</v>
      </c>
      <c r="BP28" s="212">
        <f t="shared" si="17"/>
        <v>6964.0200000000186</v>
      </c>
      <c r="BQ28">
        <f t="shared" si="18"/>
        <v>1.0547709923663369</v>
      </c>
    </row>
    <row r="29" spans="1:69" x14ac:dyDescent="0.25">
      <c r="A29" s="16">
        <v>26</v>
      </c>
      <c r="B29" s="26">
        <v>26</v>
      </c>
      <c r="C29" s="29"/>
      <c r="D29" s="19">
        <f>'26'!D3</f>
        <v>28</v>
      </c>
      <c r="E29" s="253">
        <f>'26'!D4</f>
        <v>0.85</v>
      </c>
      <c r="F29" s="253"/>
      <c r="G29" s="19">
        <f>'26'!G8</f>
        <v>21716</v>
      </c>
      <c r="H29" s="19">
        <f>'26'!G8</f>
        <v>21716</v>
      </c>
      <c r="I29" s="19">
        <f>'26'!G7</f>
        <v>21593</v>
      </c>
      <c r="J29" s="19">
        <v>10</v>
      </c>
      <c r="K29" s="239">
        <f t="shared" si="3"/>
        <v>217160</v>
      </c>
      <c r="L29" s="235">
        <f t="shared" si="4"/>
        <v>106.89603960396039</v>
      </c>
      <c r="M29" s="19">
        <f>'26'!G15</f>
        <v>822.59000000008382</v>
      </c>
      <c r="N29" s="19">
        <v>35</v>
      </c>
      <c r="O29" s="232">
        <f t="shared" si="5"/>
        <v>28790.650000002934</v>
      </c>
      <c r="P29" s="19">
        <f>'26'!G20</f>
        <v>275</v>
      </c>
      <c r="Q29" s="19">
        <v>134</v>
      </c>
      <c r="R29" s="236">
        <f t="shared" si="0"/>
        <v>36850</v>
      </c>
      <c r="S29" s="237" t="e">
        <f t="shared" si="1"/>
        <v>#DIV/0!</v>
      </c>
      <c r="T29" s="19">
        <f>'26'!G24</f>
        <v>0</v>
      </c>
      <c r="U29" s="19">
        <v>69</v>
      </c>
      <c r="V29" s="238">
        <f t="shared" si="6"/>
        <v>0</v>
      </c>
      <c r="W29" s="22">
        <f>'26'!G95</f>
        <v>93</v>
      </c>
      <c r="X29" s="22">
        <f>'26'!G96</f>
        <v>36</v>
      </c>
      <c r="Y29" s="22">
        <f>'26'!G97</f>
        <v>45</v>
      </c>
      <c r="Z29" s="22">
        <f t="shared" si="7"/>
        <v>174</v>
      </c>
      <c r="AA29" s="19">
        <f>'26'!G132</f>
        <v>0</v>
      </c>
      <c r="AB29" s="19">
        <f>'26'!G133</f>
        <v>0</v>
      </c>
      <c r="AC29" s="19">
        <f>'26'!G134</f>
        <v>0</v>
      </c>
      <c r="AD29" s="19">
        <f>'26'!G135</f>
        <v>24.489999999997963</v>
      </c>
      <c r="AE29" s="19">
        <f t="shared" si="8"/>
        <v>24.489999999997963</v>
      </c>
      <c r="AF29" s="23">
        <f t="shared" si="2"/>
        <v>4787.2000000000116</v>
      </c>
      <c r="AG29" s="23">
        <f t="shared" si="9"/>
        <v>195.475704369147</v>
      </c>
      <c r="AH29" s="19">
        <f>'26'!G136</f>
        <v>8.0599999999976717</v>
      </c>
      <c r="AI29" s="19">
        <f>'26'!G137</f>
        <v>0</v>
      </c>
      <c r="AJ29" s="19">
        <f>'26'!G138</f>
        <v>0</v>
      </c>
      <c r="AK29" s="19">
        <f t="shared" si="10"/>
        <v>8.0599999999976717</v>
      </c>
      <c r="AL29" s="19">
        <f>'26'!G139</f>
        <v>0</v>
      </c>
      <c r="AM29" s="19">
        <f>'26'!G140</f>
        <v>7.4699999999993452</v>
      </c>
      <c r="AN29" s="19"/>
      <c r="AO29" s="19">
        <f t="shared" si="11"/>
        <v>7.4699999999993452</v>
      </c>
      <c r="AP29" s="255">
        <f>'26'!G123</f>
        <v>225.61999999999534</v>
      </c>
      <c r="AQ29" s="258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1988.9599999999627</v>
      </c>
      <c r="AY29" s="23">
        <f>'26'!G44</f>
        <v>0</v>
      </c>
      <c r="AZ29" s="259">
        <f>'26'!G36</f>
        <v>1127.7799999999988</v>
      </c>
      <c r="BA29" s="258">
        <f>'26'!G49</f>
        <v>2995.5</v>
      </c>
      <c r="BB29" s="19">
        <f>'26'!G51</f>
        <v>1514.7999999999956</v>
      </c>
      <c r="BC29" s="19">
        <f>'26'!G52</f>
        <v>2310.7600000000093</v>
      </c>
      <c r="BD29" s="19">
        <f>'26'!G53</f>
        <v>4399.4599999999919</v>
      </c>
      <c r="BE29" s="19">
        <f>'26'!G54</f>
        <v>67.150000000000546</v>
      </c>
      <c r="BF29" s="19">
        <f>'26'!G55</f>
        <v>0</v>
      </c>
      <c r="BG29" s="19">
        <f>'26'!G56</f>
        <v>4787.2000000000116</v>
      </c>
      <c r="BH29" s="19">
        <f>'26'!G57</f>
        <v>0</v>
      </c>
      <c r="BI29" s="259">
        <f>'26'!G50</f>
        <v>1597.7600000000093</v>
      </c>
      <c r="BJ29" s="398">
        <f t="shared" si="12"/>
        <v>4787.2000000000116</v>
      </c>
      <c r="BK29" s="398">
        <f>'26'!G84</f>
        <v>515</v>
      </c>
      <c r="BL29" s="23">
        <f t="shared" si="13"/>
        <v>45.253832260454658</v>
      </c>
      <c r="BM29" s="23">
        <f t="shared" si="14"/>
        <v>20.374473208910256</v>
      </c>
      <c r="BN29" s="24">
        <f t="shared" si="15"/>
        <v>0.10699671189737436</v>
      </c>
      <c r="BO29" s="25">
        <f t="shared" si="16"/>
        <v>282800.65000000293</v>
      </c>
      <c r="BP29" s="212">
        <f t="shared" si="17"/>
        <v>7291.1599999999744</v>
      </c>
      <c r="BQ29">
        <f t="shared" si="18"/>
        <v>1.0632853059558685</v>
      </c>
    </row>
    <row r="30" spans="1:69" x14ac:dyDescent="0.25">
      <c r="A30" s="16">
        <v>27</v>
      </c>
      <c r="B30" s="17">
        <v>27</v>
      </c>
      <c r="C30" s="28"/>
      <c r="D30" s="19">
        <f>'27'!D3</f>
        <v>28</v>
      </c>
      <c r="E30" s="253">
        <f>'27'!D4</f>
        <v>0.82</v>
      </c>
      <c r="F30" s="253"/>
      <c r="G30" s="19">
        <f>'27'!G8</f>
        <v>22239</v>
      </c>
      <c r="H30" s="19">
        <f>'27'!G8</f>
        <v>22239</v>
      </c>
      <c r="I30" s="19">
        <f>'27'!G7</f>
        <v>22134</v>
      </c>
      <c r="J30" s="19">
        <v>10</v>
      </c>
      <c r="K30" s="239">
        <f t="shared" si="3"/>
        <v>222390</v>
      </c>
      <c r="L30" s="235">
        <f t="shared" si="4"/>
        <v>109.57425742574257</v>
      </c>
      <c r="M30" s="19">
        <f>'27'!G15</f>
        <v>702.02999999979511</v>
      </c>
      <c r="N30" s="19">
        <v>35</v>
      </c>
      <c r="O30" s="232">
        <f t="shared" si="5"/>
        <v>24571.049999992829</v>
      </c>
      <c r="P30" s="19">
        <f>'27'!G20</f>
        <v>185</v>
      </c>
      <c r="Q30" s="19">
        <v>134</v>
      </c>
      <c r="R30" s="236">
        <f t="shared" si="0"/>
        <v>24790</v>
      </c>
      <c r="S30" s="237" t="e">
        <f t="shared" si="1"/>
        <v>#DIV/0!</v>
      </c>
      <c r="T30" s="19">
        <f>'27'!G24</f>
        <v>0</v>
      </c>
      <c r="U30" s="19">
        <v>69</v>
      </c>
      <c r="V30" s="238">
        <f t="shared" si="6"/>
        <v>0</v>
      </c>
      <c r="W30" s="22">
        <f>'27'!G95</f>
        <v>75</v>
      </c>
      <c r="X30" s="22">
        <f>'27'!G96</f>
        <v>28</v>
      </c>
      <c r="Y30" s="22">
        <f>'27'!G97</f>
        <v>32</v>
      </c>
      <c r="Z30" s="22">
        <f t="shared" si="7"/>
        <v>135</v>
      </c>
      <c r="AA30" s="19">
        <f>'27'!G132</f>
        <v>0</v>
      </c>
      <c r="AB30" s="19">
        <f>'27'!G133</f>
        <v>0</v>
      </c>
      <c r="AC30" s="19">
        <f>'27'!G134</f>
        <v>0</v>
      </c>
      <c r="AD30" s="19">
        <f>'27'!G135</f>
        <v>24.080000000001746</v>
      </c>
      <c r="AE30" s="19">
        <f t="shared" si="8"/>
        <v>24.080000000001746</v>
      </c>
      <c r="AF30" s="23">
        <f t="shared" si="2"/>
        <v>5269.2399999999907</v>
      </c>
      <c r="AG30" s="23">
        <f t="shared" si="9"/>
        <v>218.82225913619638</v>
      </c>
      <c r="AH30" s="19">
        <f>'27'!G136</f>
        <v>0</v>
      </c>
      <c r="AI30" s="19">
        <f>'27'!G137</f>
        <v>6.1000000000021828</v>
      </c>
      <c r="AJ30" s="19">
        <f>'27'!G138</f>
        <v>0</v>
      </c>
      <c r="AK30" s="19">
        <f t="shared" si="10"/>
        <v>6.1000000000021828</v>
      </c>
      <c r="AL30" s="19">
        <f>'27'!G139</f>
        <v>0</v>
      </c>
      <c r="AM30" s="19">
        <f>'27'!G140</f>
        <v>7.3500000000003638</v>
      </c>
      <c r="AN30" s="19"/>
      <c r="AO30" s="19">
        <f t="shared" si="11"/>
        <v>7.3500000000003638</v>
      </c>
      <c r="AP30" s="255">
        <f>'27'!G123</f>
        <v>220.97000000008848</v>
      </c>
      <c r="AQ30" s="258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1996.640000000014</v>
      </c>
      <c r="AY30" s="23">
        <f>'27'!G44</f>
        <v>0</v>
      </c>
      <c r="AZ30" s="259">
        <f>'27'!G36</f>
        <v>1091.5200000000186</v>
      </c>
      <c r="BA30" s="258">
        <f>'27'!G49</f>
        <v>3200.3999999999942</v>
      </c>
      <c r="BB30" s="19">
        <f>'27'!G51</f>
        <v>1517.2700000000041</v>
      </c>
      <c r="BC30" s="19">
        <f>'27'!G52</f>
        <v>2251.5599999999977</v>
      </c>
      <c r="BD30" s="19">
        <f>'27'!G53</f>
        <v>4508.8399999999965</v>
      </c>
      <c r="BE30" s="19">
        <f>'27'!G54</f>
        <v>70.489999999999782</v>
      </c>
      <c r="BF30" s="19">
        <f>'27'!G55</f>
        <v>0</v>
      </c>
      <c r="BG30" s="19">
        <f>'27'!G56</f>
        <v>5269.2399999999907</v>
      </c>
      <c r="BH30" s="19">
        <f>'27'!G57</f>
        <v>0</v>
      </c>
      <c r="BI30" s="259">
        <f>'27'!G50</f>
        <v>1399.039999999979</v>
      </c>
      <c r="BJ30" s="398">
        <f t="shared" si="12"/>
        <v>5269.2399999999907</v>
      </c>
      <c r="BK30" s="398">
        <f>'27'!G84</f>
        <v>464</v>
      </c>
      <c r="BL30" s="23">
        <f t="shared" si="13"/>
        <v>47.285985361886681</v>
      </c>
      <c r="BM30" s="23">
        <f t="shared" si="14"/>
        <v>20.370651486400995</v>
      </c>
      <c r="BN30" s="24">
        <f t="shared" si="15"/>
        <v>0.10172404445649216</v>
      </c>
      <c r="BO30" s="25">
        <f t="shared" si="16"/>
        <v>271751.04999999283</v>
      </c>
      <c r="BP30" s="212">
        <f t="shared" si="17"/>
        <v>7729.8800000000047</v>
      </c>
      <c r="BQ30">
        <f t="shared" si="18"/>
        <v>1.1464582344564909</v>
      </c>
    </row>
    <row r="31" spans="1:69" x14ac:dyDescent="0.25">
      <c r="A31" s="16">
        <v>28</v>
      </c>
      <c r="B31" s="26">
        <v>28</v>
      </c>
      <c r="C31" s="28"/>
      <c r="D31" s="19">
        <f>'28'!D3</f>
        <v>28</v>
      </c>
      <c r="E31" s="253">
        <f>'28'!D4</f>
        <v>0.82</v>
      </c>
      <c r="F31" s="253"/>
      <c r="G31" s="19">
        <f>'28'!G8</f>
        <v>18910</v>
      </c>
      <c r="H31" s="19">
        <f>'28'!G8</f>
        <v>18910</v>
      </c>
      <c r="I31" s="19">
        <f>'28'!G7</f>
        <v>18760</v>
      </c>
      <c r="J31" s="19">
        <v>10</v>
      </c>
      <c r="K31" s="239">
        <f t="shared" si="3"/>
        <v>189100</v>
      </c>
      <c r="L31" s="235">
        <f t="shared" si="4"/>
        <v>92.871287128712865</v>
      </c>
      <c r="M31" s="19">
        <f>'28'!G15</f>
        <v>776.81000000005588</v>
      </c>
      <c r="N31" s="19">
        <v>35</v>
      </c>
      <c r="O31" s="232">
        <f t="shared" si="5"/>
        <v>27188.350000001956</v>
      </c>
      <c r="P31" s="19">
        <f>'28'!G20</f>
        <v>216</v>
      </c>
      <c r="Q31" s="19">
        <v>134</v>
      </c>
      <c r="R31" s="236">
        <f t="shared" si="0"/>
        <v>28944</v>
      </c>
      <c r="S31" s="237" t="e">
        <f t="shared" si="1"/>
        <v>#DIV/0!</v>
      </c>
      <c r="T31" s="19">
        <f>'28'!G24</f>
        <v>0</v>
      </c>
      <c r="U31" s="19">
        <v>69</v>
      </c>
      <c r="V31" s="238">
        <f t="shared" si="6"/>
        <v>0</v>
      </c>
      <c r="W31" s="22">
        <f>'28'!G95</f>
        <v>81</v>
      </c>
      <c r="X31" s="22">
        <f>'28'!G96</f>
        <v>33</v>
      </c>
      <c r="Y31" s="22">
        <f>'28'!G97</f>
        <v>31</v>
      </c>
      <c r="Z31" s="22">
        <f t="shared" si="7"/>
        <v>145</v>
      </c>
      <c r="AA31" s="19">
        <f>'28'!G132</f>
        <v>0</v>
      </c>
      <c r="AB31" s="19">
        <f>'28'!G133</f>
        <v>0</v>
      </c>
      <c r="AC31" s="19">
        <f>'28'!G134</f>
        <v>0</v>
      </c>
      <c r="AD31" s="19">
        <f>'28'!G135</f>
        <v>24.029999999998836</v>
      </c>
      <c r="AE31" s="19">
        <f t="shared" si="8"/>
        <v>24.029999999998836</v>
      </c>
      <c r="AF31" s="23">
        <f t="shared" si="2"/>
        <v>3442.390000000014</v>
      </c>
      <c r="AG31" s="23">
        <f t="shared" si="9"/>
        <v>143.25384935498047</v>
      </c>
      <c r="AH31" s="19">
        <f>'28'!G136</f>
        <v>0</v>
      </c>
      <c r="AI31" s="19">
        <f>'28'!G137</f>
        <v>8.7399999999979627</v>
      </c>
      <c r="AJ31" s="19">
        <f>'28'!G138</f>
        <v>0</v>
      </c>
      <c r="AK31" s="19">
        <f t="shared" si="10"/>
        <v>8.7399999999979627</v>
      </c>
      <c r="AL31" s="19">
        <f>'28'!G139</f>
        <v>0.36999999999989086</v>
      </c>
      <c r="AM31" s="19">
        <f>'28'!G140</f>
        <v>6.8999999999996362</v>
      </c>
      <c r="AN31" s="19"/>
      <c r="AO31" s="19">
        <f t="shared" si="11"/>
        <v>7.2699999999995271</v>
      </c>
      <c r="AP31" s="255">
        <f>'28'!G123</f>
        <v>210.76000000000931</v>
      </c>
      <c r="AQ31" s="258">
        <f>'28'!G35</f>
        <v>0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0</v>
      </c>
      <c r="AW31" s="19">
        <f>'28'!G42</f>
        <v>-8.999999999650754E-2</v>
      </c>
      <c r="AX31" s="521">
        <f>'28'!G43</f>
        <v>1982.5599999999395</v>
      </c>
      <c r="AY31" s="23">
        <f>'28'!G44</f>
        <v>0</v>
      </c>
      <c r="AZ31" s="259">
        <f>'28'!G36</f>
        <v>701.64999999999418</v>
      </c>
      <c r="BA31" s="258">
        <f>'28'!G49</f>
        <v>2902.7200000000012</v>
      </c>
      <c r="BB31" s="19">
        <f>'28'!G51</f>
        <v>1436.3699999999953</v>
      </c>
      <c r="BC31" s="19">
        <f>'28'!G52</f>
        <v>2101.5599999999977</v>
      </c>
      <c r="BD31" s="19">
        <f>'28'!G53</f>
        <v>4191.4200000000128</v>
      </c>
      <c r="BE31" s="19">
        <f>'28'!G54</f>
        <v>69.829999999999927</v>
      </c>
      <c r="BF31" s="19">
        <f>'28'!G55</f>
        <v>0.26999999998952262</v>
      </c>
      <c r="BG31" s="19">
        <f>'28'!G56</f>
        <v>3442.210000000021</v>
      </c>
      <c r="BH31" s="19">
        <f>'28'!G57</f>
        <v>0</v>
      </c>
      <c r="BI31" s="259">
        <f>'28'!G50</f>
        <v>1225.6900000000023</v>
      </c>
      <c r="BJ31" s="398">
        <f t="shared" si="12"/>
        <v>3442.390000000014</v>
      </c>
      <c r="BK31" s="398">
        <f>'28'!G84</f>
        <v>482</v>
      </c>
      <c r="BL31" s="23">
        <f>SUM(AQ31,AV31,AW31,AX31,BA31,BF31,BG31,BH31)/I31%</f>
        <v>44.390565031982703</v>
      </c>
      <c r="BM31" s="23">
        <f t="shared" si="14"/>
        <v>22.3423240938167</v>
      </c>
      <c r="BN31" s="24">
        <f t="shared" si="15"/>
        <v>0.11202345415778239</v>
      </c>
      <c r="BO31" s="25">
        <f t="shared" si="16"/>
        <v>245232.35000000196</v>
      </c>
      <c r="BP31" s="212">
        <f t="shared" si="17"/>
        <v>5906.9499999999534</v>
      </c>
      <c r="BQ31">
        <f t="shared" si="18"/>
        <v>0.87791302538497107</v>
      </c>
    </row>
    <row r="32" spans="1:69" x14ac:dyDescent="0.25">
      <c r="A32" s="16">
        <v>29</v>
      </c>
      <c r="B32" s="26">
        <v>29</v>
      </c>
      <c r="C32" s="28"/>
      <c r="D32" s="19">
        <f>'29'!D3</f>
        <v>30</v>
      </c>
      <c r="E32" s="253">
        <f>'29'!D4</f>
        <v>0.8</v>
      </c>
      <c r="F32" s="253"/>
      <c r="G32" s="19">
        <f>'29'!G8</f>
        <v>17693</v>
      </c>
      <c r="H32" s="19">
        <f>'29'!G8</f>
        <v>17693</v>
      </c>
      <c r="I32" s="19">
        <f>'29'!G7</f>
        <v>17471</v>
      </c>
      <c r="J32" s="19">
        <v>10</v>
      </c>
      <c r="K32" s="239">
        <f t="shared" si="3"/>
        <v>176930</v>
      </c>
      <c r="L32" s="235">
        <f t="shared" si="4"/>
        <v>86.490099009900987</v>
      </c>
      <c r="M32" s="19">
        <f>'29'!G15</f>
        <v>690.05000000004657</v>
      </c>
      <c r="N32" s="19">
        <v>35</v>
      </c>
      <c r="O32" s="232">
        <f t="shared" si="5"/>
        <v>24151.75000000163</v>
      </c>
      <c r="P32" s="19">
        <f>'29'!G20</f>
        <v>165</v>
      </c>
      <c r="Q32" s="19">
        <v>134</v>
      </c>
      <c r="R32" s="236">
        <f t="shared" si="0"/>
        <v>22110</v>
      </c>
      <c r="S32" s="237" t="e">
        <f t="shared" si="1"/>
        <v>#DIV/0!</v>
      </c>
      <c r="T32" s="19">
        <f>'29'!G24</f>
        <v>0</v>
      </c>
      <c r="U32" s="19">
        <v>69</v>
      </c>
      <c r="V32" s="238">
        <f t="shared" si="6"/>
        <v>0</v>
      </c>
      <c r="W32" s="22">
        <f>'29'!G95</f>
        <v>70</v>
      </c>
      <c r="X32" s="22">
        <f>'29'!G96</f>
        <v>15</v>
      </c>
      <c r="Y32" s="22">
        <f>'29'!G97</f>
        <v>6</v>
      </c>
      <c r="Z32" s="22">
        <f t="shared" si="7"/>
        <v>91</v>
      </c>
      <c r="AA32" s="19">
        <f>'29'!G132</f>
        <v>0</v>
      </c>
      <c r="AB32" s="19">
        <f>'29'!G133</f>
        <v>0</v>
      </c>
      <c r="AC32" s="19">
        <f>'29'!G134</f>
        <v>0</v>
      </c>
      <c r="AD32" s="19">
        <f>'29'!G135</f>
        <v>24.079999999998108</v>
      </c>
      <c r="AE32" s="19">
        <f t="shared" si="8"/>
        <v>24.079999999998108</v>
      </c>
      <c r="AF32" s="23">
        <f t="shared" si="2"/>
        <v>3152.1999999999825</v>
      </c>
      <c r="AG32" s="23">
        <f t="shared" si="9"/>
        <v>130.90531561462751</v>
      </c>
      <c r="AH32" s="19">
        <f>'29'!G136</f>
        <v>5.819999999999709</v>
      </c>
      <c r="AI32" s="19">
        <f>'29'!G137</f>
        <v>0</v>
      </c>
      <c r="AJ32" s="19">
        <f>'29'!G138</f>
        <v>0</v>
      </c>
      <c r="AK32" s="19">
        <f t="shared" si="10"/>
        <v>5.819999999999709</v>
      </c>
      <c r="AL32" s="19">
        <f>'29'!G139</f>
        <v>0</v>
      </c>
      <c r="AM32" s="19">
        <f>'29'!G140</f>
        <v>8.2000000000007276</v>
      </c>
      <c r="AN32" s="19"/>
      <c r="AO32" s="19">
        <f t="shared" si="11"/>
        <v>8.2000000000007276</v>
      </c>
      <c r="AP32" s="255">
        <f>'29'!G123</f>
        <v>248.56999999994878</v>
      </c>
      <c r="AQ32" s="258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1977.1199999999953</v>
      </c>
      <c r="AY32" s="23">
        <f>'29'!G44</f>
        <v>0</v>
      </c>
      <c r="AZ32" s="259">
        <f>'29'!G36</f>
        <v>659.80999999999767</v>
      </c>
      <c r="BA32" s="258">
        <f>'29'!G49</f>
        <v>2827.320000000007</v>
      </c>
      <c r="BB32" s="19">
        <f>'29'!G51</f>
        <v>1368.010000000002</v>
      </c>
      <c r="BC32" s="19">
        <f>'29'!G52</f>
        <v>1860.5599999999977</v>
      </c>
      <c r="BD32" s="19">
        <f>'29'!G53</f>
        <v>3995.2099999999919</v>
      </c>
      <c r="BE32" s="19">
        <f>'29'!G54</f>
        <v>68.930000000000291</v>
      </c>
      <c r="BF32" s="19">
        <f>'29'!G55</f>
        <v>-0.26999999998952262</v>
      </c>
      <c r="BG32" s="19">
        <f>'29'!G56</f>
        <v>3152.4699999999721</v>
      </c>
      <c r="BH32" s="19">
        <f>'29'!G57</f>
        <v>0</v>
      </c>
      <c r="BI32" s="259">
        <f>'29'!G50</f>
        <v>934</v>
      </c>
      <c r="BJ32" s="398">
        <f t="shared" si="12"/>
        <v>3152.1999999999825</v>
      </c>
      <c r="BK32" s="398">
        <f>'29'!G84</f>
        <v>481</v>
      </c>
      <c r="BL32" s="23">
        <f t="shared" si="13"/>
        <v>45.541983858966198</v>
      </c>
      <c r="BM32" s="23">
        <f t="shared" si="14"/>
        <v>22.867666418636549</v>
      </c>
      <c r="BN32" s="24">
        <f t="shared" si="15"/>
        <v>0.10649419037261734</v>
      </c>
      <c r="BO32" s="25">
        <f t="shared" si="16"/>
        <v>223191.75000000163</v>
      </c>
      <c r="BP32" s="212">
        <f t="shared" si="17"/>
        <v>5610.3199999999779</v>
      </c>
      <c r="BQ32">
        <f t="shared" si="18"/>
        <v>0.83209539629811624</v>
      </c>
    </row>
    <row r="33" spans="1:69" x14ac:dyDescent="0.25">
      <c r="A33" s="16">
        <v>30</v>
      </c>
      <c r="B33" s="27">
        <v>30</v>
      </c>
      <c r="C33" s="28"/>
      <c r="D33" s="19">
        <f>'30'!D33</f>
        <v>0</v>
      </c>
      <c r="E33" s="253">
        <f>'30'!D4</f>
        <v>0.8</v>
      </c>
      <c r="F33" s="253"/>
      <c r="G33" s="19">
        <f>'30'!G8</f>
        <v>18092</v>
      </c>
      <c r="H33" s="19">
        <f>'30'!G8</f>
        <v>18092</v>
      </c>
      <c r="I33" s="19">
        <f>'30'!G7</f>
        <v>17884</v>
      </c>
      <c r="J33" s="19">
        <v>10</v>
      </c>
      <c r="K33" s="239">
        <f t="shared" si="3"/>
        <v>180920</v>
      </c>
      <c r="L33" s="235">
        <f t="shared" si="4"/>
        <v>88.534653465346537</v>
      </c>
      <c r="M33" s="19">
        <f>'30'!G15</f>
        <v>786</v>
      </c>
      <c r="N33" s="19">
        <v>35</v>
      </c>
      <c r="O33" s="232">
        <f t="shared" si="5"/>
        <v>27510</v>
      </c>
      <c r="P33" s="19">
        <f>'30'!G20</f>
        <v>174</v>
      </c>
      <c r="Q33" s="19">
        <v>134</v>
      </c>
      <c r="R33" s="236">
        <f t="shared" si="0"/>
        <v>23316</v>
      </c>
      <c r="S33" s="237" t="e">
        <f t="shared" si="1"/>
        <v>#DIV/0!</v>
      </c>
      <c r="T33" s="19">
        <f>'30'!G24</f>
        <v>0</v>
      </c>
      <c r="U33" s="19">
        <v>69</v>
      </c>
      <c r="V33" s="238">
        <f t="shared" si="6"/>
        <v>0</v>
      </c>
      <c r="W33" s="22">
        <f>'30'!G95</f>
        <v>77</v>
      </c>
      <c r="X33" s="22">
        <f>'30'!G96</f>
        <v>13</v>
      </c>
      <c r="Y33" s="22">
        <f>'30'!G97</f>
        <v>10</v>
      </c>
      <c r="Z33" s="22">
        <f t="shared" si="7"/>
        <v>100</v>
      </c>
      <c r="AA33" s="19">
        <f>'30'!G132</f>
        <v>0</v>
      </c>
      <c r="AB33" s="19">
        <f>'30'!G133</f>
        <v>0</v>
      </c>
      <c r="AC33" s="19">
        <f>'30'!G134</f>
        <v>0</v>
      </c>
      <c r="AD33" s="19">
        <f>'30'!G135</f>
        <v>24.210000000002765</v>
      </c>
      <c r="AE33" s="19">
        <f t="shared" si="8"/>
        <v>24.210000000002765</v>
      </c>
      <c r="AF33" s="23">
        <f t="shared" si="2"/>
        <v>0</v>
      </c>
      <c r="AG33" s="23">
        <f t="shared" si="9"/>
        <v>0</v>
      </c>
      <c r="AH33" s="19">
        <f>'30'!G136</f>
        <v>0</v>
      </c>
      <c r="AI33" s="19">
        <f>'30'!G137</f>
        <v>7.7400000000016007</v>
      </c>
      <c r="AJ33" s="19">
        <f>'30'!G138</f>
        <v>0</v>
      </c>
      <c r="AK33" s="19">
        <f t="shared" si="10"/>
        <v>7.7400000000016007</v>
      </c>
      <c r="AL33" s="19">
        <f>'30'!G139</f>
        <v>0</v>
      </c>
      <c r="AM33" s="19">
        <f>'30'!G140</f>
        <v>8.7199999999993452</v>
      </c>
      <c r="AN33" s="19"/>
      <c r="AO33" s="19">
        <f t="shared" si="11"/>
        <v>8.7199999999993452</v>
      </c>
      <c r="AP33" s="255">
        <f>'30'!G123</f>
        <v>264.69999999995343</v>
      </c>
      <c r="AQ33" s="258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1981.7600000000093</v>
      </c>
      <c r="AY33" s="23">
        <f>'30'!G44</f>
        <v>0</v>
      </c>
      <c r="AZ33" s="259">
        <f>'30'!G36</f>
        <v>708.67999999999302</v>
      </c>
      <c r="BA33" s="19">
        <f>'30'!BA33</f>
        <v>0</v>
      </c>
      <c r="BB33" s="253">
        <f>'30'!BA4</f>
        <v>0</v>
      </c>
      <c r="BC33" s="253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5">
        <f t="shared" ref="BI33" si="19">BF33/202</f>
        <v>0</v>
      </c>
      <c r="BJ33" s="398">
        <f t="shared" si="12"/>
        <v>0</v>
      </c>
      <c r="BK33" s="398">
        <f>'31'!G84</f>
        <v>-59904</v>
      </c>
      <c r="BL33" s="23">
        <f t="shared" si="13"/>
        <v>11.081189890404882</v>
      </c>
      <c r="BM33" s="23">
        <f t="shared" si="14"/>
        <v>0</v>
      </c>
      <c r="BN33" s="24">
        <f t="shared" si="15"/>
        <v>0</v>
      </c>
      <c r="BO33" s="25">
        <f t="shared" si="16"/>
        <v>231746</v>
      </c>
      <c r="BP33" s="212">
        <f t="shared" si="17"/>
        <v>-57922.239999999991</v>
      </c>
      <c r="BQ33">
        <f t="shared" si="18"/>
        <v>-8.5446155661759278</v>
      </c>
    </row>
    <row r="34" spans="1:69" x14ac:dyDescent="0.25">
      <c r="A34" s="16">
        <v>31</v>
      </c>
      <c r="B34" s="27">
        <v>31</v>
      </c>
      <c r="C34" s="28"/>
      <c r="D34" s="19">
        <f>'[1]30'!D34</f>
        <v>0</v>
      </c>
      <c r="E34" s="253" t="str">
        <f>'[1]31'!D5</f>
        <v>Unit</v>
      </c>
      <c r="F34" s="253">
        <f>'[1]31'!D3</f>
        <v>30</v>
      </c>
      <c r="G34" s="19">
        <f>'[1]31'!G8</f>
        <v>19595</v>
      </c>
      <c r="H34" s="19">
        <f>'[1]31'!G8</f>
        <v>19595</v>
      </c>
      <c r="I34" s="19">
        <f>'[1]31'!G7</f>
        <v>19398</v>
      </c>
      <c r="J34" s="19">
        <v>10</v>
      </c>
      <c r="K34" s="239">
        <f t="shared" si="3"/>
        <v>195950</v>
      </c>
      <c r="L34" s="235">
        <f t="shared" si="4"/>
        <v>96.029702970297024</v>
      </c>
      <c r="M34" s="19">
        <f>'[1]10'!G15</f>
        <v>827.6500000001397</v>
      </c>
      <c r="N34" s="19">
        <v>35</v>
      </c>
      <c r="O34" s="232">
        <f t="shared" si="5"/>
        <v>28967.750000004889</v>
      </c>
      <c r="P34" s="19">
        <f>'[1]31'!G20</f>
        <v>184</v>
      </c>
      <c r="Q34" s="19">
        <v>134</v>
      </c>
      <c r="R34" s="236">
        <f t="shared" si="0"/>
        <v>24656</v>
      </c>
      <c r="S34" s="237">
        <f t="shared" si="1"/>
        <v>3.0363036303630362</v>
      </c>
      <c r="T34" s="19">
        <f>'[1]31'!G24</f>
        <v>0</v>
      </c>
      <c r="U34" s="19">
        <v>69</v>
      </c>
      <c r="V34" s="238">
        <f t="shared" si="6"/>
        <v>0</v>
      </c>
      <c r="W34" s="22">
        <f>'[1]31'!G95</f>
        <v>63</v>
      </c>
      <c r="X34" s="22">
        <f>'[1]31'!G96</f>
        <v>15</v>
      </c>
      <c r="Y34" s="22">
        <f>'[1]31'!G97</f>
        <v>22</v>
      </c>
      <c r="Z34" s="22">
        <f t="shared" si="7"/>
        <v>100</v>
      </c>
      <c r="AA34" s="19">
        <f>'[1]31'!G132</f>
        <v>0</v>
      </c>
      <c r="AB34" s="19">
        <f>'[1]31'!G133</f>
        <v>0</v>
      </c>
      <c r="AC34" s="19">
        <f>'[1]31'!G134</f>
        <v>0</v>
      </c>
      <c r="AD34" s="19">
        <f>'[1]31'!G135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'[1]31'!G136</f>
        <v>6.3300000000017462</v>
      </c>
      <c r="AI34" s="19">
        <f>'[1]31'!G137</f>
        <v>0</v>
      </c>
      <c r="AJ34" s="19">
        <f>'[1]31'!G138</f>
        <v>0</v>
      </c>
      <c r="AK34" s="19">
        <f t="shared" si="10"/>
        <v>6.3300000000017462</v>
      </c>
      <c r="AL34" s="19">
        <f>'[1]31'!G139</f>
        <v>0</v>
      </c>
      <c r="AM34" s="19">
        <f>'[1]31'!G140</f>
        <v>7.9200000000000728</v>
      </c>
      <c r="AN34" s="19"/>
      <c r="AO34" s="19">
        <f t="shared" si="11"/>
        <v>7.9200000000000728</v>
      </c>
      <c r="AP34" s="255">
        <f>'[1]31'!G123</f>
        <v>241.35000000009313</v>
      </c>
      <c r="AQ34" s="258">
        <f>'[1]31'!G35</f>
        <v>0</v>
      </c>
      <c r="AR34" s="19">
        <f>'[1]31'!G37</f>
        <v>0</v>
      </c>
      <c r="AS34" s="19">
        <f>'[1]31'!G38</f>
        <v>0</v>
      </c>
      <c r="AT34" s="19">
        <f>'[1]31'!G39</f>
        <v>0</v>
      </c>
      <c r="AU34" s="19">
        <f>'[1]31'!G40</f>
        <v>0</v>
      </c>
      <c r="AV34" s="19">
        <f>'[1]31'!G41</f>
        <v>0</v>
      </c>
      <c r="AW34" s="19">
        <f>'[1]31'!G42</f>
        <v>8.999999999650754E-2</v>
      </c>
      <c r="AX34" s="19">
        <f>'[1]31'!G43</f>
        <v>1972.7200000000885</v>
      </c>
      <c r="AY34" s="23">
        <f>'[1]31'!G44</f>
        <v>0</v>
      </c>
      <c r="AZ34" s="259">
        <f>'[1]31'!G36</f>
        <v>668.5800000000163</v>
      </c>
      <c r="BA34" s="258">
        <f>'[1]31'!G49</f>
        <v>2791.390000000014</v>
      </c>
      <c r="BB34" s="19">
        <f>'[1]31'!G51</f>
        <v>1472.3400000000038</v>
      </c>
      <c r="BC34" s="19">
        <f>'[1]31'!G52</f>
        <v>2047.2800000000279</v>
      </c>
      <c r="BD34" s="19">
        <f>'[1]31'!G53</f>
        <v>4400.9700000000012</v>
      </c>
      <c r="BE34" s="19">
        <f>'[1]31'!G54</f>
        <v>79.989999999999782</v>
      </c>
      <c r="BF34" s="19">
        <f>'[1]31'!BD7</f>
        <v>0</v>
      </c>
      <c r="BG34" s="19">
        <f>'[1]31'!G56</f>
        <v>4263.1199999999953</v>
      </c>
      <c r="BH34" s="19">
        <f>'[1]31'!H57</f>
        <v>0</v>
      </c>
      <c r="BI34" s="259">
        <f>'[1]31'!G50</f>
        <v>1070.4400000000023</v>
      </c>
      <c r="BJ34" s="398">
        <f t="shared" si="12"/>
        <v>4263.2099999999919</v>
      </c>
      <c r="BK34" s="398">
        <f>'[1]31'!G84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2">
        <f t="shared" si="17"/>
        <v>6612.9300000000803</v>
      </c>
      <c r="BQ34">
        <f t="shared" si="18"/>
        <v>0.98735815814628569</v>
      </c>
    </row>
    <row r="35" spans="1:69" x14ac:dyDescent="0.25">
      <c r="A35" s="16" t="s">
        <v>82</v>
      </c>
      <c r="B35" s="30"/>
      <c r="C35" s="31"/>
      <c r="D35" s="32">
        <f>AVERAGE(D4:D34)</f>
        <v>27.322580645161292</v>
      </c>
      <c r="E35" s="33"/>
      <c r="F35" s="412">
        <f>AVERAGE(F4:F34)</f>
        <v>30</v>
      </c>
      <c r="G35" s="34">
        <f>SUM(G4:G34)</f>
        <v>621309</v>
      </c>
      <c r="H35" s="34">
        <f t="shared" ref="H35:BO35" si="20">SUM(H4:H34)</f>
        <v>621309</v>
      </c>
      <c r="I35" s="34">
        <f t="shared" si="20"/>
        <v>615883</v>
      </c>
      <c r="J35" s="34">
        <f t="shared" si="20"/>
        <v>309.5</v>
      </c>
      <c r="K35" s="34">
        <f t="shared" si="20"/>
        <v>6203368</v>
      </c>
      <c r="L35" s="34">
        <f t="shared" si="20"/>
        <v>3048.925742574258</v>
      </c>
      <c r="M35" s="34">
        <f t="shared" si="20"/>
        <v>21850.909000000451</v>
      </c>
      <c r="N35" s="34">
        <f t="shared" si="20"/>
        <v>1085</v>
      </c>
      <c r="O35" s="34">
        <f t="shared" si="20"/>
        <v>764781.81500001578</v>
      </c>
      <c r="P35" s="34">
        <f t="shared" si="20"/>
        <v>5939</v>
      </c>
      <c r="Q35" s="34">
        <f t="shared" si="20"/>
        <v>4154</v>
      </c>
      <c r="R35" s="34">
        <f t="shared" si="20"/>
        <v>795826</v>
      </c>
      <c r="S35" s="34" t="e">
        <f t="shared" si="20"/>
        <v>#DIV/0!</v>
      </c>
      <c r="T35" s="34">
        <f t="shared" si="20"/>
        <v>0</v>
      </c>
      <c r="U35" s="34">
        <f t="shared" si="20"/>
        <v>2139</v>
      </c>
      <c r="V35" s="34">
        <f t="shared" si="20"/>
        <v>0</v>
      </c>
      <c r="W35" s="34">
        <f t="shared" si="20"/>
        <v>2132</v>
      </c>
      <c r="X35" s="34">
        <f t="shared" si="20"/>
        <v>822</v>
      </c>
      <c r="Y35" s="34">
        <f t="shared" si="20"/>
        <v>741</v>
      </c>
      <c r="Z35" s="34">
        <f t="shared" si="20"/>
        <v>3695</v>
      </c>
      <c r="AA35" s="34">
        <f t="shared" si="20"/>
        <v>0</v>
      </c>
      <c r="AB35" s="34">
        <f t="shared" si="20"/>
        <v>299.21000000000004</v>
      </c>
      <c r="AC35" s="34">
        <f t="shared" si="20"/>
        <v>0</v>
      </c>
      <c r="AD35" s="34">
        <f t="shared" si="20"/>
        <v>450.52000000000044</v>
      </c>
      <c r="AE35" s="34">
        <f t="shared" si="20"/>
        <v>749.73000000000036</v>
      </c>
      <c r="AF35" s="34">
        <f t="shared" si="20"/>
        <v>132661.87999999995</v>
      </c>
      <c r="AG35" s="34">
        <f t="shared" si="20"/>
        <v>5479.2350989440265</v>
      </c>
      <c r="AH35" s="34">
        <f t="shared" si="20"/>
        <v>126.31999999999607</v>
      </c>
      <c r="AI35" s="34">
        <f t="shared" si="20"/>
        <v>50.729999999999563</v>
      </c>
      <c r="AJ35" s="34">
        <f t="shared" si="20"/>
        <v>56.469999999986612</v>
      </c>
      <c r="AK35" s="34">
        <f t="shared" si="20"/>
        <v>233.51999999998225</v>
      </c>
      <c r="AL35" s="34">
        <f t="shared" si="20"/>
        <v>122.2900000000003</v>
      </c>
      <c r="AM35" s="34">
        <f t="shared" si="20"/>
        <v>74.719999999999345</v>
      </c>
      <c r="AN35" s="34">
        <f t="shared" si="20"/>
        <v>0</v>
      </c>
      <c r="AO35" s="34">
        <f t="shared" si="20"/>
        <v>197.00999999999965</v>
      </c>
      <c r="AP35" s="34">
        <f t="shared" si="20"/>
        <v>6631.640000000014</v>
      </c>
      <c r="AQ35" s="34">
        <f t="shared" si="20"/>
        <v>0</v>
      </c>
      <c r="AR35" s="34">
        <f t="shared" si="20"/>
        <v>0</v>
      </c>
      <c r="AS35" s="34">
        <f t="shared" si="20"/>
        <v>0</v>
      </c>
      <c r="AT35" s="34">
        <f t="shared" si="20"/>
        <v>0</v>
      </c>
      <c r="AU35" s="34">
        <f t="shared" si="20"/>
        <v>0</v>
      </c>
      <c r="AV35" s="34">
        <f t="shared" si="20"/>
        <v>0</v>
      </c>
      <c r="AW35" s="34">
        <f t="shared" si="20"/>
        <v>58018.979999999996</v>
      </c>
      <c r="AX35" s="34">
        <f t="shared" si="20"/>
        <v>67380.920000000042</v>
      </c>
      <c r="AY35" s="34">
        <f t="shared" si="20"/>
        <v>0</v>
      </c>
      <c r="AZ35" s="34">
        <f t="shared" si="20"/>
        <v>25625.700000000012</v>
      </c>
      <c r="BA35" s="34">
        <f t="shared" si="20"/>
        <v>85679.033000000025</v>
      </c>
      <c r="BB35" s="34">
        <f t="shared" si="20"/>
        <v>43908.193000000007</v>
      </c>
      <c r="BC35" s="34">
        <f t="shared" si="20"/>
        <v>59906.400000000081</v>
      </c>
      <c r="BD35" s="34">
        <f t="shared" si="20"/>
        <v>122645.133</v>
      </c>
      <c r="BE35" s="34">
        <f t="shared" si="20"/>
        <v>1675.4700000000007</v>
      </c>
      <c r="BF35" s="34">
        <f t="shared" si="20"/>
        <v>-0.53999999997904524</v>
      </c>
      <c r="BG35" s="34">
        <f t="shared" si="20"/>
        <v>74643.439999999944</v>
      </c>
      <c r="BH35" s="34">
        <f t="shared" si="20"/>
        <v>0</v>
      </c>
      <c r="BI35" s="34">
        <f t="shared" si="20"/>
        <v>37554.629999999946</v>
      </c>
      <c r="BJ35" s="34">
        <f t="shared" si="20"/>
        <v>132661.87999999995</v>
      </c>
      <c r="BK35" s="34">
        <f t="shared" si="20"/>
        <v>-44474</v>
      </c>
      <c r="BL35" s="34">
        <f t="shared" si="20"/>
        <v>1432.9560654575748</v>
      </c>
      <c r="BM35" s="34">
        <f t="shared" si="20"/>
        <v>616.45114931138585</v>
      </c>
      <c r="BN35" s="34">
        <f t="shared" si="20"/>
        <v>3.0064125815321945</v>
      </c>
      <c r="BO35" s="34">
        <f t="shared" si="20"/>
        <v>7763975.8150000153</v>
      </c>
      <c r="BP35" s="212">
        <f t="shared" si="17"/>
        <v>155568.79999999999</v>
      </c>
      <c r="BQ35">
        <f t="shared" si="18"/>
        <v>0.74107059493798677</v>
      </c>
    </row>
    <row r="36" spans="1:69" x14ac:dyDescent="0.25">
      <c r="A36" s="1371"/>
      <c r="B36" s="1371">
        <f t="shared" ref="B36:F36" si="21">B18-B17</f>
        <v>1</v>
      </c>
      <c r="C36" s="1371">
        <f t="shared" si="21"/>
        <v>0</v>
      </c>
      <c r="D36" s="1371">
        <f t="shared" si="21"/>
        <v>1</v>
      </c>
      <c r="E36" s="1371">
        <f t="shared" si="21"/>
        <v>4.0000000000000036E-2</v>
      </c>
      <c r="F36" s="1371">
        <f t="shared" si="21"/>
        <v>0</v>
      </c>
      <c r="G36" s="1371"/>
      <c r="H36" s="1371"/>
      <c r="I36" s="1371">
        <f t="shared" ref="I36:AO36" si="22">I18-I17</f>
        <v>-179</v>
      </c>
      <c r="J36" s="1371">
        <f t="shared" si="22"/>
        <v>0</v>
      </c>
      <c r="K36" s="1372">
        <f t="shared" si="22"/>
        <v>-1410</v>
      </c>
      <c r="L36" s="1372">
        <f t="shared" si="22"/>
        <v>-0.88613861386139092</v>
      </c>
      <c r="M36" s="1371">
        <f t="shared" si="22"/>
        <v>-67</v>
      </c>
      <c r="N36" s="1371">
        <f t="shared" si="22"/>
        <v>0</v>
      </c>
      <c r="O36" s="1372">
        <f t="shared" si="22"/>
        <v>-2345</v>
      </c>
      <c r="P36" s="1371">
        <f t="shared" si="22"/>
        <v>17</v>
      </c>
      <c r="Q36" s="1371">
        <f t="shared" si="22"/>
        <v>0</v>
      </c>
      <c r="R36" s="1372">
        <f t="shared" si="22"/>
        <v>2278</v>
      </c>
      <c r="S36" s="1372" t="e">
        <f t="shared" si="22"/>
        <v>#DIV/0!</v>
      </c>
      <c r="T36" s="1371">
        <f t="shared" si="22"/>
        <v>0</v>
      </c>
      <c r="U36" s="1371">
        <f t="shared" si="22"/>
        <v>0</v>
      </c>
      <c r="V36" s="1372">
        <f t="shared" si="22"/>
        <v>0</v>
      </c>
      <c r="W36" s="1371">
        <f t="shared" si="22"/>
        <v>-11</v>
      </c>
      <c r="X36" s="1371">
        <f t="shared" si="22"/>
        <v>-6</v>
      </c>
      <c r="Y36" s="1371">
        <f t="shared" si="22"/>
        <v>1</v>
      </c>
      <c r="Z36" s="1371">
        <f t="shared" si="22"/>
        <v>-16</v>
      </c>
      <c r="AA36" s="1371">
        <f t="shared" si="22"/>
        <v>0</v>
      </c>
      <c r="AB36" s="1371">
        <f t="shared" si="22"/>
        <v>0.21999999999999886</v>
      </c>
      <c r="AC36" s="1371">
        <f t="shared" si="22"/>
        <v>0</v>
      </c>
      <c r="AD36" s="1371">
        <f t="shared" si="22"/>
        <v>0</v>
      </c>
      <c r="AE36" s="1371">
        <f t="shared" si="22"/>
        <v>0.21999999999999886</v>
      </c>
      <c r="AF36" s="1371">
        <f t="shared" si="22"/>
        <v>188.4800000000032</v>
      </c>
      <c r="AG36" s="1371">
        <f t="shared" si="22"/>
        <v>5.9596649845810248</v>
      </c>
      <c r="AH36" s="1371">
        <f t="shared" si="22"/>
        <v>-1.2200000000011642</v>
      </c>
      <c r="AI36" s="1371">
        <f t="shared" si="22"/>
        <v>-6.0000000001309672E-2</v>
      </c>
      <c r="AJ36" s="1371">
        <f t="shared" si="22"/>
        <v>0</v>
      </c>
      <c r="AK36" s="1371">
        <f t="shared" si="22"/>
        <v>-1.2800000000024738</v>
      </c>
      <c r="AL36" s="1371">
        <f t="shared" si="22"/>
        <v>0.11000000000012733</v>
      </c>
      <c r="AM36" s="1371">
        <f t="shared" si="22"/>
        <v>0</v>
      </c>
      <c r="AN36" s="1371">
        <f t="shared" si="22"/>
        <v>0</v>
      </c>
      <c r="AO36" s="1371">
        <f t="shared" si="22"/>
        <v>0.11000000000012733</v>
      </c>
      <c r="AP36" s="1371"/>
      <c r="AQ36" s="1371">
        <f t="shared" ref="AQ36:AX36" si="23">AQ18-AQ17</f>
        <v>0</v>
      </c>
      <c r="AR36" s="1371">
        <f t="shared" si="23"/>
        <v>0</v>
      </c>
      <c r="AS36" s="1371">
        <f t="shared" si="23"/>
        <v>0</v>
      </c>
      <c r="AT36" s="1371">
        <f t="shared" si="23"/>
        <v>0</v>
      </c>
      <c r="AU36" s="1371">
        <f t="shared" si="23"/>
        <v>0</v>
      </c>
      <c r="AV36" s="1371">
        <f t="shared" si="23"/>
        <v>0</v>
      </c>
      <c r="AW36" s="1371">
        <f t="shared" si="23"/>
        <v>188.4800000000032</v>
      </c>
      <c r="AX36" s="1371">
        <f t="shared" si="23"/>
        <v>-160.53000000002794</v>
      </c>
      <c r="AY36" s="1371"/>
      <c r="AZ36" s="1371"/>
      <c r="BA36" s="1371">
        <f t="shared" ref="BA36:BH36" si="24">BA18-BA17</f>
        <v>67</v>
      </c>
      <c r="BB36" s="1371">
        <f t="shared" si="24"/>
        <v>-17.430000000000291</v>
      </c>
      <c r="BC36" s="1371">
        <f t="shared" si="24"/>
        <v>-159.09000000002561</v>
      </c>
      <c r="BD36" s="1371">
        <f t="shared" si="24"/>
        <v>120</v>
      </c>
      <c r="BE36" s="1371">
        <f t="shared" si="24"/>
        <v>8.5399999999999636</v>
      </c>
      <c r="BF36" s="1371">
        <f t="shared" si="24"/>
        <v>0</v>
      </c>
      <c r="BG36" s="1371">
        <f t="shared" si="24"/>
        <v>0</v>
      </c>
      <c r="BH36" s="1371">
        <f t="shared" si="24"/>
        <v>0</v>
      </c>
      <c r="BI36" s="1371"/>
      <c r="BJ36" s="1371"/>
      <c r="BK36" s="1371"/>
      <c r="BL36" s="1371">
        <f>BL18-BL17</f>
        <v>0.92096007760147813</v>
      </c>
      <c r="BM36" s="1371">
        <f>BM18-BM17</f>
        <v>0.7840558753826059</v>
      </c>
      <c r="BN36" s="1371"/>
      <c r="BO36" s="1371">
        <f>BO18-BO17</f>
        <v>-1477</v>
      </c>
      <c r="BP36" s="1371">
        <f>BP18-BP17</f>
        <v>54.949999999975262</v>
      </c>
    </row>
    <row r="37" spans="1:69" x14ac:dyDescent="0.25">
      <c r="F37" s="212">
        <f>AVERAGE(F4:F35)</f>
        <v>30</v>
      </c>
      <c r="G37" s="212"/>
      <c r="H37" s="212"/>
      <c r="I37" s="212">
        <f>AVERAGE(I4:I35)</f>
        <v>38492.6875</v>
      </c>
    </row>
    <row r="38" spans="1:69" x14ac:dyDescent="0.25">
      <c r="B38" s="35" t="s">
        <v>83</v>
      </c>
      <c r="F38" s="411">
        <f>AVERAGE(F4:F35)</f>
        <v>30</v>
      </c>
      <c r="G38" s="411"/>
      <c r="H38" s="411"/>
    </row>
    <row r="41" spans="1:69" x14ac:dyDescent="0.25">
      <c r="BJ41">
        <f>(BJ31+BK31)/400</f>
        <v>9.8109750000000346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I30"/>
  <sheetViews>
    <sheetView topLeftCell="A16" zoomScale="90" zoomScaleNormal="90" workbookViewId="0">
      <selection activeCell="Q28" sqref="Q28"/>
    </sheetView>
  </sheetViews>
  <sheetFormatPr defaultRowHeight="15.75" x14ac:dyDescent="0.25"/>
  <cols>
    <col min="2" max="2" width="16.44140625" style="57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6" customFormat="1" x14ac:dyDescent="0.25">
      <c r="B3" s="1208"/>
      <c r="C3" s="1209" t="s">
        <v>14</v>
      </c>
      <c r="D3" s="1169">
        <v>1</v>
      </c>
      <c r="E3" s="1169">
        <v>2</v>
      </c>
      <c r="F3" s="1169">
        <v>3</v>
      </c>
      <c r="G3" s="1169">
        <v>4</v>
      </c>
      <c r="H3" s="1169">
        <v>5</v>
      </c>
      <c r="I3" s="1169">
        <v>6</v>
      </c>
      <c r="J3" s="1169">
        <v>7</v>
      </c>
      <c r="K3" s="1169">
        <v>8</v>
      </c>
      <c r="L3" s="1169">
        <v>9</v>
      </c>
      <c r="M3" s="1169">
        <v>10</v>
      </c>
      <c r="N3" s="1169">
        <v>11</v>
      </c>
      <c r="O3" s="1169">
        <v>12</v>
      </c>
      <c r="P3" s="1169">
        <v>13</v>
      </c>
      <c r="Q3" s="1169">
        <v>14</v>
      </c>
      <c r="R3" s="1209">
        <v>15</v>
      </c>
      <c r="S3" s="1209">
        <v>16</v>
      </c>
      <c r="T3" s="1209">
        <v>17</v>
      </c>
      <c r="U3" s="1209">
        <v>18</v>
      </c>
      <c r="V3" s="1209">
        <v>19</v>
      </c>
      <c r="W3" s="1209">
        <v>20</v>
      </c>
      <c r="X3" s="1209">
        <v>21</v>
      </c>
      <c r="Y3" s="1209">
        <v>22</v>
      </c>
      <c r="Z3" s="1209">
        <v>23</v>
      </c>
      <c r="AA3" s="1209">
        <v>24</v>
      </c>
      <c r="AB3" s="1209">
        <v>25</v>
      </c>
      <c r="AC3" s="1209">
        <v>26</v>
      </c>
      <c r="AD3" s="1209">
        <v>27</v>
      </c>
      <c r="AE3" s="1209">
        <v>28</v>
      </c>
      <c r="AF3" s="1209">
        <v>29</v>
      </c>
      <c r="AG3" s="1209">
        <v>30</v>
      </c>
      <c r="AH3" s="1209">
        <v>31</v>
      </c>
      <c r="AI3" s="1209"/>
    </row>
    <row r="4" spans="2:35" x14ac:dyDescent="0.25">
      <c r="B4" s="572"/>
      <c r="C4" s="568" t="s">
        <v>84</v>
      </c>
      <c r="D4" s="569">
        <f>'[2]1'!F3</f>
        <v>0.5</v>
      </c>
      <c r="E4" s="569">
        <f>'[2]2'!F3</f>
        <v>0.1</v>
      </c>
      <c r="F4" s="569">
        <f>'[2]3'!F3</f>
        <v>0.5</v>
      </c>
      <c r="G4" s="569"/>
      <c r="H4" s="569"/>
      <c r="I4" s="569"/>
      <c r="J4" s="569"/>
      <c r="K4" s="569"/>
      <c r="L4" s="569"/>
      <c r="M4" s="569"/>
      <c r="N4" s="569"/>
      <c r="O4" s="569"/>
      <c r="P4" s="569"/>
      <c r="Q4" s="569"/>
      <c r="R4" s="569"/>
      <c r="S4" s="569"/>
      <c r="T4" s="569"/>
      <c r="U4" s="569"/>
      <c r="V4" s="569"/>
      <c r="W4" s="569"/>
      <c r="X4" s="569"/>
      <c r="Y4" s="569"/>
      <c r="Z4" s="569"/>
      <c r="AA4" s="569"/>
      <c r="AB4" s="569"/>
      <c r="AC4" s="569"/>
      <c r="AD4" s="569"/>
      <c r="AE4" s="569"/>
      <c r="AF4" s="569"/>
      <c r="AG4" s="569"/>
      <c r="AH4" s="569"/>
      <c r="AI4" s="568"/>
    </row>
    <row r="5" spans="2:35" x14ac:dyDescent="0.25">
      <c r="B5" s="572"/>
      <c r="C5" s="568" t="s">
        <v>85</v>
      </c>
      <c r="D5" s="570">
        <f>'1'!G18</f>
        <v>170</v>
      </c>
      <c r="E5" s="570">
        <f>'2'!G18</f>
        <v>80</v>
      </c>
      <c r="F5" s="570">
        <f>'3'!G18</f>
        <v>80</v>
      </c>
      <c r="G5" s="570">
        <f>'4'!G18</f>
        <v>100</v>
      </c>
      <c r="H5" s="570">
        <f>'5'!G18</f>
        <v>120</v>
      </c>
      <c r="I5" s="570">
        <f>'6'!G18</f>
        <v>110</v>
      </c>
      <c r="J5" s="570">
        <f>'7'!G18</f>
        <v>80</v>
      </c>
      <c r="K5" s="570">
        <f>'8'!G18</f>
        <v>160</v>
      </c>
      <c r="L5" s="570">
        <f>'9'!G18</f>
        <v>160</v>
      </c>
      <c r="M5" s="570">
        <f>'10'!G18</f>
        <v>200</v>
      </c>
      <c r="N5" s="570">
        <f>'11'!G18</f>
        <v>200</v>
      </c>
      <c r="O5" s="570">
        <f>'12'!G18</f>
        <v>220</v>
      </c>
      <c r="P5" s="570">
        <f>'13'!G18</f>
        <v>180</v>
      </c>
      <c r="Q5" s="570">
        <f>'14'!G18</f>
        <v>120</v>
      </c>
      <c r="R5" s="570">
        <f>'15'!G18</f>
        <v>140</v>
      </c>
      <c r="S5" s="570">
        <f>'16'!G18</f>
        <v>100</v>
      </c>
      <c r="T5" s="570">
        <f>'17'!G18</f>
        <v>140</v>
      </c>
      <c r="U5" s="570">
        <f>'18'!G18</f>
        <v>120</v>
      </c>
      <c r="V5" s="570">
        <f>'19'!G18</f>
        <v>140</v>
      </c>
      <c r="W5" s="570">
        <f>'20'!G18</f>
        <v>140</v>
      </c>
      <c r="X5" s="570">
        <f>'21'!G18</f>
        <v>120</v>
      </c>
      <c r="Y5" s="570">
        <f>'22'!G18</f>
        <v>100</v>
      </c>
      <c r="Z5" s="570">
        <f>'23'!G18</f>
        <v>120</v>
      </c>
      <c r="AA5" s="570">
        <f>'24'!G18</f>
        <v>160</v>
      </c>
      <c r="AB5" s="570">
        <f>'25'!G18</f>
        <v>120</v>
      </c>
      <c r="AC5" s="570">
        <f>'26'!G18</f>
        <v>220</v>
      </c>
      <c r="AD5" s="570">
        <f>'27'!G18</f>
        <v>130</v>
      </c>
      <c r="AE5" s="570">
        <f>'28'!G18</f>
        <v>160</v>
      </c>
      <c r="AF5" s="570">
        <f>'29'!G18</f>
        <v>110</v>
      </c>
      <c r="AG5" s="570">
        <f>'30'!G18</f>
        <v>120</v>
      </c>
      <c r="AH5" s="570">
        <f>'31'!G18</f>
        <v>40</v>
      </c>
      <c r="AI5" s="568"/>
    </row>
    <row r="6" spans="2:35" x14ac:dyDescent="0.25">
      <c r="B6" s="572"/>
      <c r="C6" s="568" t="s">
        <v>86</v>
      </c>
      <c r="D6" s="570">
        <f>'1'!G19</f>
        <v>53</v>
      </c>
      <c r="E6" s="570">
        <f>'2'!G19</f>
        <v>53</v>
      </c>
      <c r="F6" s="570">
        <f>'3'!G19</f>
        <v>53</v>
      </c>
      <c r="G6" s="570">
        <f>'4'!G19</f>
        <v>53</v>
      </c>
      <c r="H6" s="570">
        <f>'5'!G19</f>
        <v>52</v>
      </c>
      <c r="I6" s="570">
        <f>'6'!G19</f>
        <v>58</v>
      </c>
      <c r="J6" s="570">
        <f>'7'!G19</f>
        <v>57</v>
      </c>
      <c r="K6" s="570">
        <f>'8'!G19</f>
        <v>53</v>
      </c>
      <c r="L6" s="570">
        <f>'9'!G19</f>
        <v>52</v>
      </c>
      <c r="M6" s="570">
        <f>'10'!G19</f>
        <v>53</v>
      </c>
      <c r="N6" s="570">
        <f>'11'!G19</f>
        <v>53</v>
      </c>
      <c r="O6" s="570">
        <f>'12'!G19</f>
        <v>56</v>
      </c>
      <c r="P6" s="570">
        <f>'13'!G19</f>
        <v>56</v>
      </c>
      <c r="Q6" s="570">
        <f>'14'!G19</f>
        <v>59</v>
      </c>
      <c r="R6" s="570">
        <f>'15'!G19</f>
        <v>56</v>
      </c>
      <c r="S6" s="570">
        <f>'16'!G19</f>
        <v>55</v>
      </c>
      <c r="T6" s="570">
        <f>'17'!G19</f>
        <v>58</v>
      </c>
      <c r="U6" s="570">
        <f>'18'!G19</f>
        <v>55</v>
      </c>
      <c r="V6" s="570">
        <f>'19'!G19</f>
        <v>54</v>
      </c>
      <c r="W6" s="570">
        <f>'20'!G19</f>
        <v>54</v>
      </c>
      <c r="X6" s="570">
        <f>'21'!G19</f>
        <v>55</v>
      </c>
      <c r="Y6" s="570">
        <f>'22'!G19</f>
        <v>55</v>
      </c>
      <c r="Z6" s="570">
        <f>'23'!G19</f>
        <v>49</v>
      </c>
      <c r="AA6" s="570">
        <f>'24'!G19</f>
        <v>54</v>
      </c>
      <c r="AB6" s="570">
        <f>'25'!G19</f>
        <v>54</v>
      </c>
      <c r="AC6" s="570">
        <f>'26'!G19</f>
        <v>55</v>
      </c>
      <c r="AD6" s="570">
        <f>'27'!G19</f>
        <v>55</v>
      </c>
      <c r="AE6" s="570">
        <f>'28'!G19</f>
        <v>56</v>
      </c>
      <c r="AF6" s="570">
        <f>'29'!G19</f>
        <v>55</v>
      </c>
      <c r="AG6" s="570">
        <f>'30'!G19</f>
        <v>54</v>
      </c>
      <c r="AH6" s="570">
        <f>'31'!G19</f>
        <v>-6614</v>
      </c>
      <c r="AI6" s="568"/>
    </row>
    <row r="7" spans="2:35" x14ac:dyDescent="0.25">
      <c r="B7" s="572"/>
      <c r="C7" s="568" t="s">
        <v>87</v>
      </c>
      <c r="D7" s="570">
        <f>'1'!G92</f>
        <v>112</v>
      </c>
      <c r="E7" s="570">
        <f>'2'!G92</f>
        <v>89</v>
      </c>
      <c r="F7" s="570">
        <f>'3'!G92</f>
        <v>54</v>
      </c>
      <c r="G7" s="570">
        <f>'4'!G92</f>
        <v>67</v>
      </c>
      <c r="H7" s="570">
        <f>'5'!G92</f>
        <v>71</v>
      </c>
      <c r="I7" s="570">
        <f>'6'!G92</f>
        <v>116</v>
      </c>
      <c r="J7" s="570">
        <f>'7'!G92</f>
        <v>104</v>
      </c>
      <c r="K7" s="570">
        <f>'8'!G92</f>
        <v>134</v>
      </c>
      <c r="L7" s="570">
        <f>'9'!G92</f>
        <v>91</v>
      </c>
      <c r="M7" s="570">
        <f>'10'!G92</f>
        <v>176</v>
      </c>
      <c r="N7" s="570">
        <f>'11'!G92</f>
        <v>176</v>
      </c>
      <c r="O7" s="570">
        <f>'12'!G92</f>
        <v>131</v>
      </c>
      <c r="P7" s="570">
        <f>'13'!G92</f>
        <v>108</v>
      </c>
      <c r="Q7" s="570">
        <f>'14'!G92</f>
        <v>97</v>
      </c>
      <c r="R7" s="570">
        <f>'15'!G92</f>
        <v>25</v>
      </c>
      <c r="S7" s="570">
        <f>'16'!G92</f>
        <v>29</v>
      </c>
      <c r="T7" s="570">
        <f>'17'!G92</f>
        <v>146</v>
      </c>
      <c r="U7" s="570">
        <f>'18'!G92</f>
        <v>92</v>
      </c>
      <c r="V7" s="570">
        <f>'19'!G92</f>
        <v>103</v>
      </c>
      <c r="W7" s="570">
        <f>'20'!G92</f>
        <v>103</v>
      </c>
      <c r="X7" s="570">
        <f>'21'!G92</f>
        <v>64</v>
      </c>
      <c r="Y7" s="570">
        <f>'22'!G92</f>
        <v>54</v>
      </c>
      <c r="Z7" s="570">
        <f>'23'!G92</f>
        <v>85</v>
      </c>
      <c r="AA7" s="570">
        <f>'24'!G92</f>
        <v>68</v>
      </c>
      <c r="AB7" s="570">
        <f>'25'!G92</f>
        <v>92</v>
      </c>
      <c r="AC7" s="570">
        <f>'26'!G92</f>
        <v>164</v>
      </c>
      <c r="AD7" s="570">
        <f>'27'!G92</f>
        <v>130</v>
      </c>
      <c r="AE7" s="570">
        <f>'28'!G92</f>
        <v>122</v>
      </c>
      <c r="AF7" s="570">
        <f>'29'!G92</f>
        <v>58</v>
      </c>
      <c r="AG7" s="570">
        <f>'30'!G92</f>
        <v>55</v>
      </c>
      <c r="AH7" s="570">
        <f>'31'!G92</f>
        <v>-7204</v>
      </c>
      <c r="AI7" s="568"/>
    </row>
    <row r="8" spans="2:35" x14ac:dyDescent="0.25">
      <c r="B8" s="1385" t="s">
        <v>88</v>
      </c>
      <c r="C8" s="568" t="s">
        <v>47</v>
      </c>
      <c r="D8" s="570">
        <f>'1'!G95</f>
        <v>47</v>
      </c>
      <c r="E8" s="570">
        <f>'2'!G95</f>
        <v>59</v>
      </c>
      <c r="F8" s="570">
        <f>'3'!G95</f>
        <v>45</v>
      </c>
      <c r="G8" s="570">
        <f>'4'!G95</f>
        <v>59</v>
      </c>
      <c r="H8" s="570">
        <f>'5'!G95</f>
        <v>56</v>
      </c>
      <c r="I8" s="570">
        <f>'6'!G95</f>
        <v>57</v>
      </c>
      <c r="J8" s="570">
        <f>'7'!G95</f>
        <v>76</v>
      </c>
      <c r="K8" s="570">
        <f>'8'!G95</f>
        <v>70</v>
      </c>
      <c r="L8" s="570">
        <f>'9'!G95</f>
        <v>54</v>
      </c>
      <c r="M8" s="570">
        <f>'10'!G95</f>
        <v>140</v>
      </c>
      <c r="N8" s="570">
        <f>'11'!G95</f>
        <v>140</v>
      </c>
      <c r="O8" s="570">
        <f>'12'!G95</f>
        <v>75</v>
      </c>
      <c r="P8" s="570">
        <f>'13'!G95</f>
        <v>71</v>
      </c>
      <c r="Q8" s="570">
        <f>'14'!G95</f>
        <v>62</v>
      </c>
      <c r="R8" s="570">
        <f>'15'!G95</f>
        <v>51</v>
      </c>
      <c r="S8" s="570">
        <f>'16'!G95</f>
        <v>38</v>
      </c>
      <c r="T8" s="570">
        <f>'17'!G95</f>
        <v>63</v>
      </c>
      <c r="U8" s="570">
        <f>'18'!G95</f>
        <v>68</v>
      </c>
      <c r="V8" s="570">
        <f>'19'!G95</f>
        <v>55</v>
      </c>
      <c r="W8" s="570">
        <f>'20'!G95</f>
        <v>55</v>
      </c>
      <c r="X8" s="570">
        <f>'21'!G95</f>
        <v>72</v>
      </c>
      <c r="Y8" s="570">
        <f>'22'!G95</f>
        <v>59</v>
      </c>
      <c r="Z8" s="570">
        <f>'23'!G95</f>
        <v>62</v>
      </c>
      <c r="AA8" s="570">
        <f>'24'!G95</f>
        <v>64</v>
      </c>
      <c r="AB8" s="570">
        <f>'25'!G95</f>
        <v>75</v>
      </c>
      <c r="AC8" s="570">
        <f>'26'!G95</f>
        <v>93</v>
      </c>
      <c r="AD8" s="570">
        <f>'27'!G95</f>
        <v>75</v>
      </c>
      <c r="AE8" s="570">
        <f>'28'!G95</f>
        <v>81</v>
      </c>
      <c r="AF8" s="570">
        <f>'29'!G95</f>
        <v>70</v>
      </c>
      <c r="AG8" s="570">
        <f>'30'!G95</f>
        <v>77</v>
      </c>
      <c r="AH8" s="570">
        <f>'31'!G95</f>
        <v>-6444</v>
      </c>
      <c r="AI8" s="568"/>
    </row>
    <row r="9" spans="2:35" x14ac:dyDescent="0.25">
      <c r="B9" s="1385"/>
      <c r="C9" s="568" t="s">
        <v>48</v>
      </c>
      <c r="D9" s="570">
        <f>'1'!G96</f>
        <v>33</v>
      </c>
      <c r="E9" s="570">
        <f>'2'!G96</f>
        <v>31</v>
      </c>
      <c r="F9" s="570">
        <f>'3'!G96</f>
        <v>22</v>
      </c>
      <c r="G9" s="570">
        <f>'4'!G96</f>
        <v>25</v>
      </c>
      <c r="H9" s="570">
        <f>'5'!G96</f>
        <v>27</v>
      </c>
      <c r="I9" s="570">
        <f>'6'!G96</f>
        <v>36</v>
      </c>
      <c r="J9" s="570">
        <f>'7'!G96</f>
        <v>35</v>
      </c>
      <c r="K9" s="570">
        <f>'8'!G96</f>
        <v>33</v>
      </c>
      <c r="L9" s="570">
        <f>'9'!G96</f>
        <v>25</v>
      </c>
      <c r="M9" s="570">
        <f>'10'!G96</f>
        <v>37</v>
      </c>
      <c r="N9" s="570">
        <f>'11'!G96</f>
        <v>37</v>
      </c>
      <c r="O9" s="570">
        <f>'12'!G96</f>
        <v>37</v>
      </c>
      <c r="P9" s="570">
        <f>'13'!G96</f>
        <v>39</v>
      </c>
      <c r="Q9" s="570">
        <f>'14'!G96</f>
        <v>23</v>
      </c>
      <c r="R9" s="570">
        <f>'15'!G96</f>
        <v>17</v>
      </c>
      <c r="S9" s="570">
        <f>'16'!G96</f>
        <v>17</v>
      </c>
      <c r="T9" s="570">
        <f>'17'!G96</f>
        <v>18</v>
      </c>
      <c r="U9" s="570">
        <f>'18'!G96</f>
        <v>18</v>
      </c>
      <c r="V9" s="570">
        <f>'19'!G96</f>
        <v>29</v>
      </c>
      <c r="W9" s="570">
        <f>'20'!G96</f>
        <v>29</v>
      </c>
      <c r="X9" s="570">
        <f>'21'!G96</f>
        <v>17</v>
      </c>
      <c r="Y9" s="570">
        <f>'22'!G96</f>
        <v>19</v>
      </c>
      <c r="Z9" s="570">
        <f>'23'!G96</f>
        <v>21</v>
      </c>
      <c r="AA9" s="570">
        <f>'24'!G96</f>
        <v>26</v>
      </c>
      <c r="AB9" s="570">
        <f>'25'!G96</f>
        <v>31</v>
      </c>
      <c r="AC9" s="570">
        <f>'26'!G96</f>
        <v>36</v>
      </c>
      <c r="AD9" s="570">
        <f>'27'!G96</f>
        <v>28</v>
      </c>
      <c r="AE9" s="570">
        <f>'28'!G96</f>
        <v>33</v>
      </c>
      <c r="AF9" s="570">
        <f>'29'!G96</f>
        <v>15</v>
      </c>
      <c r="AG9" s="570">
        <f>'30'!G96</f>
        <v>13</v>
      </c>
      <c r="AH9" s="570">
        <f>'31'!G96</f>
        <v>-2754</v>
      </c>
      <c r="AI9" s="568"/>
    </row>
    <row r="10" spans="2:35" x14ac:dyDescent="0.25">
      <c r="B10" s="1385"/>
      <c r="C10" s="568" t="s">
        <v>49</v>
      </c>
      <c r="D10" s="570">
        <f>'1'!G97</f>
        <v>35</v>
      </c>
      <c r="E10" s="570">
        <f>'2'!G97</f>
        <v>14</v>
      </c>
      <c r="F10" s="570">
        <f>'3'!G97</f>
        <v>16</v>
      </c>
      <c r="G10" s="570">
        <f>'4'!G97</f>
        <v>15</v>
      </c>
      <c r="H10" s="570">
        <f>'5'!G97</f>
        <v>20</v>
      </c>
      <c r="I10" s="570">
        <f>'6'!G97</f>
        <v>21</v>
      </c>
      <c r="J10" s="570">
        <f>'7'!G97</f>
        <v>23</v>
      </c>
      <c r="K10" s="570">
        <f>'8'!G97</f>
        <v>30</v>
      </c>
      <c r="L10" s="570">
        <f>'9'!G97</f>
        <v>24</v>
      </c>
      <c r="M10" s="570">
        <f>'10'!G97</f>
        <v>20</v>
      </c>
      <c r="N10" s="570">
        <f>'11'!G97</f>
        <v>20</v>
      </c>
      <c r="O10" s="570">
        <f>'12'!G97</f>
        <v>47</v>
      </c>
      <c r="P10" s="570">
        <f>'13'!G97</f>
        <v>36</v>
      </c>
      <c r="Q10" s="570">
        <f>'14'!G97</f>
        <v>25</v>
      </c>
      <c r="R10" s="570">
        <f>'15'!G97</f>
        <v>26</v>
      </c>
      <c r="S10" s="570">
        <f>'16'!G97</f>
        <v>15</v>
      </c>
      <c r="T10" s="570">
        <f>'17'!G97</f>
        <v>19</v>
      </c>
      <c r="U10" s="570">
        <f>'18'!G97</f>
        <v>25</v>
      </c>
      <c r="V10" s="570">
        <f>'19'!G97</f>
        <v>30</v>
      </c>
      <c r="W10" s="570">
        <f>'20'!G97</f>
        <v>30</v>
      </c>
      <c r="X10" s="570">
        <f>'21'!G97</f>
        <v>18</v>
      </c>
      <c r="Y10" s="570">
        <f>'22'!G97</f>
        <v>19</v>
      </c>
      <c r="Z10" s="570">
        <f>'23'!G97</f>
        <v>17</v>
      </c>
      <c r="AA10" s="570">
        <f>'24'!G97</f>
        <v>20</v>
      </c>
      <c r="AB10" s="570">
        <f>'25'!G97</f>
        <v>30</v>
      </c>
      <c r="AC10" s="570">
        <f>'26'!G97</f>
        <v>45</v>
      </c>
      <c r="AD10" s="570">
        <f>'27'!G97</f>
        <v>32</v>
      </c>
      <c r="AE10" s="570">
        <f>'28'!G97</f>
        <v>31</v>
      </c>
      <c r="AF10" s="570">
        <f>'29'!G97</f>
        <v>6</v>
      </c>
      <c r="AG10" s="570">
        <f>'30'!G97</f>
        <v>10</v>
      </c>
      <c r="AH10" s="570">
        <f>'31'!G97</f>
        <v>-2346</v>
      </c>
      <c r="AI10" s="568"/>
    </row>
    <row r="11" spans="2:35" x14ac:dyDescent="0.25">
      <c r="B11" s="572"/>
      <c r="C11" s="568"/>
      <c r="D11" s="568"/>
      <c r="E11" s="568"/>
      <c r="F11" s="568"/>
      <c r="G11" s="568"/>
      <c r="H11" s="568"/>
      <c r="I11" s="568"/>
      <c r="J11" s="568"/>
      <c r="K11" s="568"/>
      <c r="L11" s="568"/>
      <c r="M11" s="568"/>
      <c r="N11" s="568"/>
      <c r="O11" s="568"/>
      <c r="P11" s="568"/>
      <c r="Q11" s="568"/>
      <c r="R11" s="568"/>
      <c r="S11" s="568"/>
      <c r="T11" s="568"/>
      <c r="U11" s="568"/>
      <c r="V11" s="568"/>
      <c r="W11" s="568"/>
      <c r="X11" s="568"/>
      <c r="Y11" s="568"/>
      <c r="Z11" s="568"/>
      <c r="AA11" s="568"/>
      <c r="AB11" s="568"/>
      <c r="AC11" s="568"/>
      <c r="AD11" s="568"/>
      <c r="AE11" s="568"/>
      <c r="AF11" s="568"/>
      <c r="AG11" s="568"/>
      <c r="AH11" s="568"/>
      <c r="AI11" s="568"/>
    </row>
    <row r="12" spans="2:35" x14ac:dyDescent="0.25">
      <c r="B12" s="1385" t="s">
        <v>89</v>
      </c>
      <c r="C12" s="568" t="s">
        <v>47</v>
      </c>
      <c r="D12" s="570">
        <f>'1'!G98</f>
        <v>67</v>
      </c>
      <c r="E12" s="570">
        <f>'2'!G98</f>
        <v>40</v>
      </c>
      <c r="F12" s="570">
        <f>'3'!G98</f>
        <v>67</v>
      </c>
      <c r="G12" s="570">
        <f>'4'!G98</f>
        <v>43</v>
      </c>
      <c r="H12" s="570">
        <f>'5'!G98</f>
        <v>41</v>
      </c>
      <c r="I12" s="570">
        <f>'6'!G98</f>
        <v>53</v>
      </c>
      <c r="J12" s="570">
        <f>'7'!G98</f>
        <v>49</v>
      </c>
      <c r="K12" s="570">
        <f>'8'!G98</f>
        <v>35</v>
      </c>
      <c r="L12" s="570">
        <f>'9'!G98</f>
        <v>50</v>
      </c>
      <c r="M12" s="570">
        <f>'10'!G98</f>
        <v>91</v>
      </c>
      <c r="N12" s="570">
        <f>'11'!G98</f>
        <v>91</v>
      </c>
      <c r="O12" s="570">
        <f>'12'!G98</f>
        <v>85</v>
      </c>
      <c r="P12" s="570">
        <f>'13'!G98</f>
        <v>59</v>
      </c>
      <c r="Q12" s="570">
        <f>'14'!G98</f>
        <v>60</v>
      </c>
      <c r="R12" s="570">
        <f>'15'!G98</f>
        <v>86</v>
      </c>
      <c r="S12" s="570">
        <f>'16'!G98</f>
        <v>14</v>
      </c>
      <c r="T12" s="570">
        <f>'17'!G98</f>
        <v>31</v>
      </c>
      <c r="U12" s="570">
        <f>'18'!G98</f>
        <v>27</v>
      </c>
      <c r="V12" s="570">
        <f>'19'!G98</f>
        <v>87</v>
      </c>
      <c r="W12" s="570">
        <f>'20'!G98</f>
        <v>87</v>
      </c>
      <c r="X12" s="570">
        <f>'21'!G98</f>
        <v>55</v>
      </c>
      <c r="Y12" s="570">
        <f>'22'!G98</f>
        <v>24</v>
      </c>
      <c r="Z12" s="570">
        <f>'23'!G98</f>
        <v>47</v>
      </c>
      <c r="AA12" s="570">
        <f>'24'!G98</f>
        <v>55</v>
      </c>
      <c r="AB12" s="570">
        <f>'25'!G98</f>
        <v>45</v>
      </c>
      <c r="AC12" s="570">
        <f>'26'!G98</f>
        <v>54</v>
      </c>
      <c r="AD12" s="570">
        <f>'27'!G98</f>
        <v>43</v>
      </c>
      <c r="AE12" s="570">
        <f>'28'!G98</f>
        <v>58</v>
      </c>
      <c r="AF12" s="570">
        <f>'29'!G98</f>
        <v>53</v>
      </c>
      <c r="AG12" s="570">
        <f>'30'!G98</f>
        <v>60</v>
      </c>
      <c r="AH12" s="570">
        <f>'31'!G98</f>
        <v>-4179</v>
      </c>
      <c r="AI12" s="568"/>
    </row>
    <row r="13" spans="2:35" x14ac:dyDescent="0.25">
      <c r="B13" s="1385"/>
      <c r="C13" s="568" t="s">
        <v>48</v>
      </c>
      <c r="D13" s="570">
        <f>'1'!G114</f>
        <v>27</v>
      </c>
      <c r="E13" s="570">
        <f>'2'!G114</f>
        <v>29</v>
      </c>
      <c r="F13" s="570">
        <f>'3'!G114</f>
        <v>24</v>
      </c>
      <c r="G13" s="570">
        <f>'4'!G114</f>
        <v>27</v>
      </c>
      <c r="H13" s="570">
        <f>'5'!G114</f>
        <v>31</v>
      </c>
      <c r="I13" s="570">
        <f>'6'!G114</f>
        <v>28</v>
      </c>
      <c r="J13" s="570">
        <f>'7'!G114</f>
        <v>31</v>
      </c>
      <c r="K13" s="570">
        <f>'8'!G114</f>
        <v>27</v>
      </c>
      <c r="L13" s="570">
        <f>'9'!G114</f>
        <v>21</v>
      </c>
      <c r="M13" s="570">
        <f>'10'!G114</f>
        <v>31</v>
      </c>
      <c r="N13" s="570">
        <f>'11'!G114</f>
        <v>31</v>
      </c>
      <c r="O13" s="570">
        <f>'12'!G114</f>
        <v>26</v>
      </c>
      <c r="P13" s="570">
        <f>'13'!G114</f>
        <v>17</v>
      </c>
      <c r="Q13" s="570">
        <f>'14'!G114</f>
        <v>16</v>
      </c>
      <c r="R13" s="570">
        <f>'15'!G114</f>
        <v>14</v>
      </c>
      <c r="S13" s="570">
        <f>'16'!G114</f>
        <v>13</v>
      </c>
      <c r="T13" s="570">
        <f>'17'!G114</f>
        <v>13</v>
      </c>
      <c r="U13" s="570">
        <f>'18'!G114</f>
        <v>27</v>
      </c>
      <c r="V13" s="570">
        <f>'19'!G114</f>
        <v>28</v>
      </c>
      <c r="W13" s="570">
        <f>'20'!G114</f>
        <v>28</v>
      </c>
      <c r="X13" s="570">
        <f>'21'!G114</f>
        <v>9</v>
      </c>
      <c r="Y13" s="570">
        <f>'22'!G114</f>
        <v>8</v>
      </c>
      <c r="Z13" s="570">
        <f>'23'!G114</f>
        <v>10</v>
      </c>
      <c r="AA13" s="570">
        <f>'24'!G114</f>
        <v>12</v>
      </c>
      <c r="AB13" s="570">
        <f>'25'!G114</f>
        <v>17</v>
      </c>
      <c r="AC13" s="570">
        <f>'26'!G114</f>
        <v>41</v>
      </c>
      <c r="AD13" s="570">
        <f>'27'!G114</f>
        <v>14</v>
      </c>
      <c r="AE13" s="570">
        <f>'28'!G114</f>
        <v>24</v>
      </c>
      <c r="AF13" s="570">
        <f>'29'!G114</f>
        <v>9</v>
      </c>
      <c r="AG13" s="570">
        <f>'30'!G114</f>
        <v>7</v>
      </c>
      <c r="AH13" s="570">
        <f>'31'!G114</f>
        <v>-1499</v>
      </c>
      <c r="AI13" s="568"/>
    </row>
    <row r="14" spans="2:35" x14ac:dyDescent="0.25">
      <c r="B14" s="1385"/>
      <c r="C14" s="568" t="s">
        <v>49</v>
      </c>
      <c r="D14" s="570">
        <f>'1'!G115</f>
        <v>11</v>
      </c>
      <c r="E14" s="570">
        <f>'2'!G115</f>
        <v>17</v>
      </c>
      <c r="F14" s="570">
        <f>'3'!G115</f>
        <v>4</v>
      </c>
      <c r="G14" s="570">
        <f>'4'!G115</f>
        <v>6</v>
      </c>
      <c r="H14" s="570">
        <f>'5'!G115</f>
        <v>4</v>
      </c>
      <c r="I14" s="570">
        <f>'6'!G115</f>
        <v>14</v>
      </c>
      <c r="J14" s="570">
        <f>'7'!G115</f>
        <v>14</v>
      </c>
      <c r="K14" s="570">
        <f>'8'!G115</f>
        <v>32</v>
      </c>
      <c r="L14" s="570">
        <f>'9'!G115</f>
        <v>7</v>
      </c>
      <c r="M14" s="570">
        <f>'10'!G115</f>
        <v>10</v>
      </c>
      <c r="N14" s="570">
        <f>'11'!G115</f>
        <v>10</v>
      </c>
      <c r="O14" s="570">
        <f>'12'!G115</f>
        <v>11</v>
      </c>
      <c r="P14" s="570">
        <f>'13'!G115</f>
        <v>16</v>
      </c>
      <c r="Q14" s="570">
        <f>'14'!G115</f>
        <v>8</v>
      </c>
      <c r="R14" s="570">
        <f>'15'!G115</f>
        <v>18</v>
      </c>
      <c r="S14" s="570">
        <f>'16'!G115</f>
        <v>9</v>
      </c>
      <c r="T14" s="570">
        <f>'17'!G115</f>
        <v>22</v>
      </c>
      <c r="U14" s="570">
        <f>'18'!G115</f>
        <v>8</v>
      </c>
      <c r="V14" s="570">
        <f>'19'!G115</f>
        <v>17</v>
      </c>
      <c r="W14" s="570">
        <f>'20'!G115</f>
        <v>17</v>
      </c>
      <c r="X14" s="570">
        <f>'21'!G115</f>
        <v>4</v>
      </c>
      <c r="Y14" s="570">
        <f>'22'!G115</f>
        <v>16</v>
      </c>
      <c r="Z14" s="570">
        <f>'23'!G115</f>
        <v>17</v>
      </c>
      <c r="AA14" s="570">
        <f>'24'!G115</f>
        <v>6</v>
      </c>
      <c r="AB14" s="570">
        <f>'25'!G115</f>
        <v>8</v>
      </c>
      <c r="AC14" s="570">
        <f>'26'!G115</f>
        <v>12</v>
      </c>
      <c r="AD14" s="570">
        <f>'27'!G115</f>
        <v>18</v>
      </c>
      <c r="AE14" s="570">
        <f>'28'!G115</f>
        <v>20</v>
      </c>
      <c r="AF14" s="570">
        <f>'29'!G115</f>
        <v>2</v>
      </c>
      <c r="AG14" s="570">
        <f>'30'!G115</f>
        <v>4</v>
      </c>
      <c r="AH14" s="570">
        <f>'31'!G115</f>
        <v>-955</v>
      </c>
      <c r="AI14" s="568"/>
    </row>
    <row r="15" spans="2:35" x14ac:dyDescent="0.25">
      <c r="B15" s="572"/>
      <c r="C15" s="568"/>
      <c r="D15" s="568"/>
      <c r="E15" s="568"/>
      <c r="F15" s="568"/>
      <c r="G15" s="568"/>
      <c r="H15" s="568"/>
      <c r="I15" s="568"/>
      <c r="J15" s="568"/>
      <c r="K15" s="568"/>
      <c r="L15" s="568"/>
      <c r="M15" s="568"/>
      <c r="N15" s="568"/>
      <c r="O15" s="568"/>
      <c r="P15" s="568"/>
      <c r="Q15" s="568"/>
      <c r="R15" s="568"/>
      <c r="S15" s="568"/>
      <c r="T15" s="568"/>
      <c r="U15" s="568"/>
      <c r="V15" s="568"/>
      <c r="W15" s="568"/>
      <c r="X15" s="568"/>
      <c r="Y15" s="568"/>
      <c r="Z15" s="568"/>
      <c r="AA15" s="568"/>
      <c r="AB15" s="568"/>
      <c r="AC15" s="568"/>
      <c r="AD15" s="568"/>
      <c r="AE15" s="568"/>
      <c r="AF15" s="568"/>
      <c r="AG15" s="568"/>
      <c r="AH15" s="568"/>
      <c r="AI15" s="568"/>
    </row>
    <row r="16" spans="2:35" x14ac:dyDescent="0.25">
      <c r="B16" s="1385" t="s">
        <v>90</v>
      </c>
      <c r="C16" s="568" t="s">
        <v>91</v>
      </c>
      <c r="D16" s="568">
        <f>'1'!G104</f>
        <v>0</v>
      </c>
      <c r="E16" s="570">
        <f>'2'!G104</f>
        <v>0</v>
      </c>
      <c r="F16" s="570">
        <f>'3'!G104</f>
        <v>0</v>
      </c>
      <c r="G16" s="570">
        <f>'4'!G104</f>
        <v>0</v>
      </c>
      <c r="H16" s="570">
        <f>'5'!G104</f>
        <v>0</v>
      </c>
      <c r="I16" s="570">
        <f>'6'!G104</f>
        <v>0</v>
      </c>
      <c r="J16" s="570">
        <f>'7'!G104</f>
        <v>0</v>
      </c>
      <c r="K16" s="570">
        <f>'8'!G104</f>
        <v>0</v>
      </c>
      <c r="L16" s="570">
        <f>'9'!G104</f>
        <v>0</v>
      </c>
      <c r="M16" s="570">
        <f>'10'!G104</f>
        <v>0</v>
      </c>
      <c r="N16" s="570">
        <f>'11'!G104</f>
        <v>0</v>
      </c>
      <c r="O16" s="570">
        <f>'12'!G104</f>
        <v>0</v>
      </c>
      <c r="P16" s="570">
        <f>'13'!G104</f>
        <v>0</v>
      </c>
      <c r="Q16" s="570">
        <f>'14'!G104</f>
        <v>0</v>
      </c>
      <c r="R16" s="570">
        <f>'15'!G104</f>
        <v>0</v>
      </c>
      <c r="S16" s="570">
        <f>'16'!G104</f>
        <v>0</v>
      </c>
      <c r="T16" s="570">
        <f>'17'!G104</f>
        <v>0</v>
      </c>
      <c r="U16" s="570">
        <f>'18'!G104</f>
        <v>0</v>
      </c>
      <c r="V16" s="570">
        <f>'19'!G104</f>
        <v>0</v>
      </c>
      <c r="W16" s="570">
        <f>'20'!G104</f>
        <v>0</v>
      </c>
      <c r="X16" s="570">
        <f>'21'!G104</f>
        <v>0</v>
      </c>
      <c r="Y16" s="570">
        <f>'22'!G104</f>
        <v>0</v>
      </c>
      <c r="Z16" s="570">
        <f>'23'!G104</f>
        <v>0</v>
      </c>
      <c r="AA16" s="570">
        <f>'24'!G104</f>
        <v>0</v>
      </c>
      <c r="AB16" s="570">
        <f>'25'!G104</f>
        <v>0</v>
      </c>
      <c r="AC16" s="570">
        <f>'26'!G104</f>
        <v>0</v>
      </c>
      <c r="AD16" s="570">
        <f>'27'!G104</f>
        <v>0</v>
      </c>
      <c r="AE16" s="570">
        <f>'28'!G104</f>
        <v>0</v>
      </c>
      <c r="AF16" s="570">
        <f>'29'!G104</f>
        <v>0</v>
      </c>
      <c r="AG16" s="570">
        <f>'30'!G104</f>
        <v>0</v>
      </c>
      <c r="AH16" s="570">
        <f>'31'!G104</f>
        <v>0</v>
      </c>
      <c r="AI16" s="568"/>
    </row>
    <row r="17" spans="2:35" x14ac:dyDescent="0.25">
      <c r="B17" s="1385"/>
      <c r="C17" s="568" t="s">
        <v>92</v>
      </c>
      <c r="D17" s="568">
        <f>'1'!G105</f>
        <v>0</v>
      </c>
      <c r="E17" s="570">
        <f>'2'!G105</f>
        <v>10</v>
      </c>
      <c r="F17" s="570">
        <f>'3'!G105</f>
        <v>1</v>
      </c>
      <c r="G17" s="570">
        <f>'4'!G105</f>
        <v>8</v>
      </c>
      <c r="H17" s="570">
        <f>'5'!G105</f>
        <v>2</v>
      </c>
      <c r="I17" s="570">
        <f>'6'!G105</f>
        <v>5</v>
      </c>
      <c r="J17" s="570">
        <f>'7'!G105</f>
        <v>5</v>
      </c>
      <c r="K17" s="570">
        <f>'8'!G105</f>
        <v>7</v>
      </c>
      <c r="L17" s="570">
        <f>'9'!G105</f>
        <v>5</v>
      </c>
      <c r="M17" s="570">
        <f>'10'!G105</f>
        <v>48</v>
      </c>
      <c r="N17" s="570">
        <f>'11'!G105</f>
        <v>48</v>
      </c>
      <c r="O17" s="570">
        <f>'12'!G105</f>
        <v>8</v>
      </c>
      <c r="P17" s="570">
        <f>'13'!G105</f>
        <v>9</v>
      </c>
      <c r="Q17" s="570">
        <f>'14'!G105</f>
        <v>7</v>
      </c>
      <c r="R17" s="570">
        <f>'15'!G105</f>
        <v>5</v>
      </c>
      <c r="S17" s="570">
        <f>'16'!G105</f>
        <v>0</v>
      </c>
      <c r="T17" s="570">
        <f>'17'!G105</f>
        <v>9</v>
      </c>
      <c r="U17" s="570">
        <f>'18'!G105</f>
        <v>0</v>
      </c>
      <c r="V17" s="570">
        <f>'19'!G105</f>
        <v>0</v>
      </c>
      <c r="W17" s="570">
        <f>'20'!G105</f>
        <v>0</v>
      </c>
      <c r="X17" s="570">
        <f>'21'!G105</f>
        <v>15</v>
      </c>
      <c r="Y17" s="570">
        <f>'22'!G105</f>
        <v>9</v>
      </c>
      <c r="Z17" s="570">
        <f>'23'!G105</f>
        <v>7</v>
      </c>
      <c r="AA17" s="570">
        <f>'24'!G105</f>
        <v>8</v>
      </c>
      <c r="AB17" s="570">
        <f>'25'!G105</f>
        <v>4</v>
      </c>
      <c r="AC17" s="570">
        <f>'26'!G105</f>
        <v>10</v>
      </c>
      <c r="AD17" s="570">
        <f>'27'!G105</f>
        <v>11</v>
      </c>
      <c r="AE17" s="570">
        <f>'28'!G105</f>
        <v>15</v>
      </c>
      <c r="AF17" s="570">
        <f>'29'!G105</f>
        <v>13</v>
      </c>
      <c r="AG17" s="570">
        <f>'30'!G105</f>
        <v>7</v>
      </c>
      <c r="AH17" s="570">
        <f>'31'!G105</f>
        <v>-612</v>
      </c>
      <c r="AI17" s="568"/>
    </row>
    <row r="18" spans="2:35" x14ac:dyDescent="0.25">
      <c r="B18" s="1385"/>
      <c r="C18" s="568" t="s">
        <v>93</v>
      </c>
      <c r="D18" s="568">
        <f>'1'!G106</f>
        <v>3</v>
      </c>
      <c r="E18" s="570">
        <f>'2'!G106</f>
        <v>5</v>
      </c>
      <c r="F18" s="570">
        <f>'3'!G106</f>
        <v>3</v>
      </c>
      <c r="G18" s="570">
        <f>'4'!G106</f>
        <v>5</v>
      </c>
      <c r="H18" s="570">
        <f>'5'!G106</f>
        <v>3</v>
      </c>
      <c r="I18" s="570">
        <f>'6'!G106</f>
        <v>5</v>
      </c>
      <c r="J18" s="570">
        <f>'7'!G106</f>
        <v>5</v>
      </c>
      <c r="K18" s="570">
        <f>'8'!G106</f>
        <v>6</v>
      </c>
      <c r="L18" s="570">
        <f>'9'!G106</f>
        <v>5</v>
      </c>
      <c r="M18" s="570">
        <f>'10'!G106</f>
        <v>6</v>
      </c>
      <c r="N18" s="570">
        <f>'11'!G106</f>
        <v>6</v>
      </c>
      <c r="O18" s="570">
        <f>'12'!G106</f>
        <v>5</v>
      </c>
      <c r="P18" s="570">
        <f>'13'!G106</f>
        <v>5</v>
      </c>
      <c r="Q18" s="570">
        <f>'14'!G106</f>
        <v>6</v>
      </c>
      <c r="R18" s="570">
        <f>'15'!G106</f>
        <v>5</v>
      </c>
      <c r="S18" s="570">
        <f>'16'!G106</f>
        <v>0</v>
      </c>
      <c r="T18" s="570">
        <f>'17'!G106</f>
        <v>6</v>
      </c>
      <c r="U18" s="570">
        <f>'18'!G106</f>
        <v>5</v>
      </c>
      <c r="V18" s="570">
        <f>'19'!G106</f>
        <v>3</v>
      </c>
      <c r="W18" s="570">
        <f>'20'!G106</f>
        <v>3</v>
      </c>
      <c r="X18" s="570">
        <f>'21'!G106</f>
        <v>6</v>
      </c>
      <c r="Y18" s="570">
        <f>'22'!G106</f>
        <v>6</v>
      </c>
      <c r="Z18" s="570">
        <f>'23'!G106</f>
        <v>4</v>
      </c>
      <c r="AA18" s="570">
        <f>'24'!G106</f>
        <v>5</v>
      </c>
      <c r="AB18" s="570">
        <f>'25'!G106</f>
        <v>5</v>
      </c>
      <c r="AC18" s="570">
        <f>'26'!G106</f>
        <v>7</v>
      </c>
      <c r="AD18" s="570">
        <f>'27'!G106</f>
        <v>5</v>
      </c>
      <c r="AE18" s="570">
        <f>'28'!G106</f>
        <v>5</v>
      </c>
      <c r="AF18" s="570">
        <f>'29'!G106</f>
        <v>5</v>
      </c>
      <c r="AG18" s="570">
        <f>'30'!G106</f>
        <v>5</v>
      </c>
      <c r="AH18" s="570">
        <f>'31'!G106</f>
        <v>-439</v>
      </c>
      <c r="AI18" s="568"/>
    </row>
    <row r="19" spans="2:35" x14ac:dyDescent="0.25">
      <c r="B19" s="572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568"/>
      <c r="AB19" s="568"/>
      <c r="AC19" s="568"/>
      <c r="AD19" s="568"/>
      <c r="AE19" s="568"/>
      <c r="AF19" s="568"/>
      <c r="AG19" s="568"/>
      <c r="AH19" s="568"/>
      <c r="AI19" s="568"/>
    </row>
    <row r="20" spans="2:35" x14ac:dyDescent="0.25">
      <c r="B20" s="1385" t="s">
        <v>94</v>
      </c>
      <c r="C20" s="568" t="s">
        <v>95</v>
      </c>
      <c r="D20" s="568">
        <f>'1'!G109</f>
        <v>59</v>
      </c>
      <c r="E20" s="570">
        <f>'2'!G109</f>
        <v>40</v>
      </c>
      <c r="F20" s="570">
        <f>'3'!G109</f>
        <v>59</v>
      </c>
      <c r="G20" s="570">
        <f>'4'!G109</f>
        <v>0</v>
      </c>
      <c r="H20" s="570">
        <f>'5'!G109</f>
        <v>103</v>
      </c>
      <c r="I20" s="570">
        <f>'6'!G109</f>
        <v>55</v>
      </c>
      <c r="J20" s="570">
        <f>'7'!G109</f>
        <v>61</v>
      </c>
      <c r="K20" s="570">
        <f>'8'!G109</f>
        <v>60</v>
      </c>
      <c r="L20" s="570">
        <f>'9'!G109</f>
        <v>119</v>
      </c>
      <c r="M20" s="570">
        <f>'10'!G109</f>
        <v>39</v>
      </c>
      <c r="N20" s="570">
        <f>'11'!G109</f>
        <v>39</v>
      </c>
      <c r="O20" s="570">
        <f>'12'!G109</f>
        <v>54</v>
      </c>
      <c r="P20" s="570">
        <f>'13'!G109</f>
        <v>70</v>
      </c>
      <c r="Q20" s="570">
        <f>'14'!G109</f>
        <v>41</v>
      </c>
      <c r="R20" s="570">
        <f>'15'!G109</f>
        <v>60</v>
      </c>
      <c r="S20" s="570">
        <f>'16'!G109</f>
        <v>40</v>
      </c>
      <c r="T20" s="570">
        <f>'17'!G109</f>
        <v>20</v>
      </c>
      <c r="U20" s="570">
        <f>'18'!G109</f>
        <v>42</v>
      </c>
      <c r="V20" s="570">
        <f>'19'!G109</f>
        <v>53</v>
      </c>
      <c r="W20" s="570">
        <f>'20'!G109</f>
        <v>53</v>
      </c>
      <c r="X20" s="570">
        <f>'21'!G109</f>
        <v>72</v>
      </c>
      <c r="Y20" s="570">
        <f>'22'!G109</f>
        <v>41</v>
      </c>
      <c r="Z20" s="570">
        <f>'23'!G109</f>
        <v>55</v>
      </c>
      <c r="AA20" s="570">
        <f>'24'!G109</f>
        <v>44</v>
      </c>
      <c r="AB20" s="570">
        <f>'25'!G109</f>
        <v>43</v>
      </c>
      <c r="AC20" s="570">
        <f>'26'!G109</f>
        <v>92</v>
      </c>
      <c r="AD20" s="570">
        <f>'27'!G109</f>
        <v>51</v>
      </c>
      <c r="AE20" s="570">
        <f>'28'!G109</f>
        <v>59</v>
      </c>
      <c r="AF20" s="570">
        <f>'29'!G109</f>
        <v>40</v>
      </c>
      <c r="AG20" s="570">
        <f>'30'!G109</f>
        <v>40</v>
      </c>
      <c r="AH20" s="570">
        <f>'31'!G109</f>
        <v>-6335</v>
      </c>
      <c r="AI20" s="568"/>
    </row>
    <row r="21" spans="2:35" x14ac:dyDescent="0.25">
      <c r="B21" s="1385"/>
      <c r="C21" s="568" t="s">
        <v>96</v>
      </c>
      <c r="D21" s="568">
        <f>'1'!G110</f>
        <v>71</v>
      </c>
      <c r="E21" s="570">
        <f>'2'!G110</f>
        <v>40</v>
      </c>
      <c r="F21" s="570">
        <f>'3'!G110</f>
        <v>54</v>
      </c>
      <c r="G21" s="570">
        <f>'4'!G110</f>
        <v>44</v>
      </c>
      <c r="H21" s="570">
        <f>'5'!G110</f>
        <v>44</v>
      </c>
      <c r="I21" s="570">
        <f>'6'!G110</f>
        <v>47</v>
      </c>
      <c r="J21" s="570">
        <f>'7'!G110</f>
        <v>51</v>
      </c>
      <c r="K21" s="570">
        <f>'8'!G110</f>
        <v>29</v>
      </c>
      <c r="L21" s="570">
        <f>'9'!G110</f>
        <v>41</v>
      </c>
      <c r="M21" s="570">
        <f>'10'!G110</f>
        <v>83</v>
      </c>
      <c r="N21" s="570">
        <f>'11'!G110</f>
        <v>83</v>
      </c>
      <c r="O21" s="570">
        <f>'12'!G110</f>
        <v>81</v>
      </c>
      <c r="P21" s="570">
        <f>'13'!G110</f>
        <v>66</v>
      </c>
      <c r="Q21" s="570">
        <f>'14'!G110</f>
        <v>90</v>
      </c>
      <c r="R21" s="570">
        <f>'15'!G110</f>
        <v>50</v>
      </c>
      <c r="S21" s="570">
        <f>'16'!G110</f>
        <v>13</v>
      </c>
      <c r="T21" s="570">
        <f>'17'!G110</f>
        <v>24</v>
      </c>
      <c r="U21" s="570">
        <f>'18'!G110</f>
        <v>68</v>
      </c>
      <c r="V21" s="570">
        <f>'19'!G110</f>
        <v>85</v>
      </c>
      <c r="W21" s="570">
        <f>'20'!G110</f>
        <v>85</v>
      </c>
      <c r="X21" s="570">
        <f>'21'!G110</f>
        <v>53</v>
      </c>
      <c r="Y21" s="570">
        <f>'22'!G110</f>
        <v>15</v>
      </c>
      <c r="Z21" s="570">
        <f>'23'!G110</f>
        <v>44</v>
      </c>
      <c r="AA21" s="570">
        <f>'24'!G110</f>
        <v>52</v>
      </c>
      <c r="AB21" s="570">
        <f>'25'!G110</f>
        <v>40</v>
      </c>
      <c r="AC21" s="570">
        <f>'26'!G110</f>
        <v>48</v>
      </c>
      <c r="AD21" s="570">
        <f>'27'!G110</f>
        <v>45</v>
      </c>
      <c r="AE21" s="570">
        <f>'28'!G110</f>
        <v>52</v>
      </c>
      <c r="AF21" s="570">
        <f>'29'!G110</f>
        <v>42</v>
      </c>
      <c r="AG21" s="570">
        <f>'30'!G110</f>
        <v>46</v>
      </c>
      <c r="AH21" s="570">
        <f>'31'!G110</f>
        <v>-3988</v>
      </c>
      <c r="AI21" s="568"/>
    </row>
    <row r="22" spans="2:35" x14ac:dyDescent="0.25">
      <c r="B22" s="1385"/>
      <c r="C22" s="568" t="s">
        <v>97</v>
      </c>
      <c r="D22" s="568">
        <f>'1'!G111</f>
        <v>0</v>
      </c>
      <c r="E22" s="570">
        <f>'2'!G111</f>
        <v>11</v>
      </c>
      <c r="F22" s="570">
        <f>'3'!G111</f>
        <v>2</v>
      </c>
      <c r="G22" s="570">
        <f>'4'!G111</f>
        <v>0</v>
      </c>
      <c r="H22" s="570">
        <f>'5'!G111</f>
        <v>14</v>
      </c>
      <c r="I22" s="570">
        <f>'6'!G111</f>
        <v>0</v>
      </c>
      <c r="J22" s="570">
        <f>'7'!G111</f>
        <v>15</v>
      </c>
      <c r="K22" s="570">
        <f>'8'!G111</f>
        <v>7</v>
      </c>
      <c r="L22" s="570">
        <f>'9'!G111</f>
        <v>0</v>
      </c>
      <c r="M22" s="570">
        <f>'10'!G111</f>
        <v>14</v>
      </c>
      <c r="N22" s="570">
        <f>'11'!G111</f>
        <v>14</v>
      </c>
      <c r="O22" s="570">
        <f>'12'!G111</f>
        <v>10</v>
      </c>
      <c r="P22" s="570">
        <f>'13'!G111</f>
        <v>0</v>
      </c>
      <c r="Q22" s="570">
        <f>'14'!G111</f>
        <v>0</v>
      </c>
      <c r="R22" s="570">
        <f>'15'!G111</f>
        <v>0</v>
      </c>
      <c r="S22" s="570">
        <f>'16'!G111</f>
        <v>13</v>
      </c>
      <c r="T22" s="570">
        <f>'17'!G111</f>
        <v>1</v>
      </c>
      <c r="U22" s="570">
        <f>'18'!G111</f>
        <v>0</v>
      </c>
      <c r="V22" s="570">
        <f>'19'!G111</f>
        <v>2</v>
      </c>
      <c r="W22" s="570">
        <f>'20'!G111</f>
        <v>2</v>
      </c>
      <c r="X22" s="570">
        <f>'21'!G111</f>
        <v>11</v>
      </c>
      <c r="Y22" s="570">
        <f>'22'!G111</f>
        <v>12</v>
      </c>
      <c r="Z22" s="570">
        <f>'23'!G111</f>
        <v>0</v>
      </c>
      <c r="AA22" s="570">
        <f>'24'!G111</f>
        <v>11</v>
      </c>
      <c r="AB22" s="570">
        <f>'25'!G111</f>
        <v>0</v>
      </c>
      <c r="AC22" s="570">
        <f>'26'!G111</f>
        <v>16</v>
      </c>
      <c r="AD22" s="570">
        <f>'27'!G111</f>
        <v>0</v>
      </c>
      <c r="AE22" s="570">
        <f>'28'!G111</f>
        <v>11</v>
      </c>
      <c r="AF22" s="570">
        <f>'29'!G111</f>
        <v>0</v>
      </c>
      <c r="AG22" s="570">
        <f>'30'!G111</f>
        <v>16</v>
      </c>
      <c r="AH22" s="570">
        <f>'31'!G111</f>
        <v>-502</v>
      </c>
      <c r="AI22" s="568"/>
    </row>
    <row r="23" spans="2:35" x14ac:dyDescent="0.25">
      <c r="B23" s="572"/>
      <c r="C23" s="568"/>
      <c r="D23" s="568"/>
      <c r="E23" s="568"/>
      <c r="F23" s="568"/>
      <c r="G23" s="568"/>
      <c r="H23" s="568"/>
      <c r="I23" s="568"/>
      <c r="J23" s="568"/>
      <c r="K23" s="568"/>
      <c r="L23" s="568"/>
      <c r="M23" s="568"/>
      <c r="N23" s="568"/>
      <c r="O23" s="568"/>
      <c r="P23" s="568"/>
      <c r="Q23" s="568"/>
      <c r="R23" s="568"/>
      <c r="S23" s="568"/>
      <c r="T23" s="568"/>
      <c r="U23" s="568"/>
      <c r="V23" s="568"/>
      <c r="W23" s="568"/>
      <c r="X23" s="568"/>
      <c r="Y23" s="568"/>
      <c r="Z23" s="568"/>
      <c r="AA23" s="568"/>
      <c r="AB23" s="568"/>
      <c r="AC23" s="568"/>
      <c r="AD23" s="568"/>
      <c r="AE23" s="568"/>
      <c r="AF23" s="568"/>
      <c r="AG23" s="568"/>
      <c r="AH23" s="568"/>
      <c r="AI23" s="568"/>
    </row>
    <row r="24" spans="2:35" ht="30" x14ac:dyDescent="0.25">
      <c r="B24" s="572" t="s">
        <v>98</v>
      </c>
      <c r="C24" s="568"/>
      <c r="D24" s="570">
        <f>SUM(D8:D10,D13:D14,)</f>
        <v>153</v>
      </c>
      <c r="E24" s="570">
        <f t="shared" ref="E24:AI24" si="0">SUM(E8:E10,E13:E14,)</f>
        <v>150</v>
      </c>
      <c r="F24" s="570">
        <f t="shared" si="0"/>
        <v>111</v>
      </c>
      <c r="G24" s="570">
        <f t="shared" si="0"/>
        <v>132</v>
      </c>
      <c r="H24" s="570">
        <f t="shared" si="0"/>
        <v>138</v>
      </c>
      <c r="I24" s="570">
        <f t="shared" si="0"/>
        <v>156</v>
      </c>
      <c r="J24" s="570">
        <f t="shared" si="0"/>
        <v>179</v>
      </c>
      <c r="K24" s="570">
        <f t="shared" si="0"/>
        <v>192</v>
      </c>
      <c r="L24" s="570">
        <f t="shared" si="0"/>
        <v>131</v>
      </c>
      <c r="M24" s="570">
        <f t="shared" si="0"/>
        <v>238</v>
      </c>
      <c r="N24" s="570">
        <f t="shared" si="0"/>
        <v>238</v>
      </c>
      <c r="O24" s="570">
        <f t="shared" si="0"/>
        <v>196</v>
      </c>
      <c r="P24" s="570">
        <f t="shared" si="0"/>
        <v>179</v>
      </c>
      <c r="Q24" s="570">
        <f t="shared" si="0"/>
        <v>134</v>
      </c>
      <c r="R24" s="570">
        <f t="shared" si="0"/>
        <v>126</v>
      </c>
      <c r="S24" s="570">
        <f t="shared" si="0"/>
        <v>92</v>
      </c>
      <c r="T24" s="570">
        <f>SUM(T8:T10,T13:T14,)</f>
        <v>135</v>
      </c>
      <c r="U24" s="570">
        <f t="shared" si="0"/>
        <v>146</v>
      </c>
      <c r="V24" s="570">
        <f t="shared" si="0"/>
        <v>159</v>
      </c>
      <c r="W24" s="570">
        <f t="shared" si="0"/>
        <v>159</v>
      </c>
      <c r="X24" s="570">
        <f t="shared" si="0"/>
        <v>120</v>
      </c>
      <c r="Y24" s="570">
        <f t="shared" si="0"/>
        <v>121</v>
      </c>
      <c r="Z24" s="570">
        <f t="shared" si="0"/>
        <v>127</v>
      </c>
      <c r="AA24" s="570">
        <f t="shared" si="0"/>
        <v>128</v>
      </c>
      <c r="AB24" s="570">
        <f t="shared" si="0"/>
        <v>161</v>
      </c>
      <c r="AC24" s="570">
        <f t="shared" si="0"/>
        <v>227</v>
      </c>
      <c r="AD24" s="570">
        <f t="shared" si="0"/>
        <v>167</v>
      </c>
      <c r="AE24" s="570">
        <f t="shared" si="0"/>
        <v>189</v>
      </c>
      <c r="AF24" s="570">
        <f t="shared" si="0"/>
        <v>102</v>
      </c>
      <c r="AG24" s="570">
        <f t="shared" si="0"/>
        <v>111</v>
      </c>
      <c r="AH24" s="570">
        <f t="shared" si="0"/>
        <v>-13998</v>
      </c>
      <c r="AI24" s="570">
        <f t="shared" si="0"/>
        <v>0</v>
      </c>
    </row>
    <row r="25" spans="2:35" x14ac:dyDescent="0.25">
      <c r="B25" s="572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68"/>
      <c r="P25" s="568"/>
      <c r="Q25" s="568"/>
      <c r="R25" s="568"/>
      <c r="S25" s="568"/>
      <c r="T25" s="568"/>
      <c r="U25" s="568"/>
      <c r="V25" s="568"/>
      <c r="W25" s="568"/>
      <c r="X25" s="568"/>
      <c r="Y25" s="568"/>
      <c r="Z25" s="568"/>
      <c r="AA25" s="568"/>
      <c r="AB25" s="568"/>
      <c r="AC25" s="568"/>
      <c r="AD25" s="568"/>
      <c r="AE25" s="568"/>
      <c r="AF25" s="568"/>
      <c r="AG25" s="568"/>
      <c r="AH25" s="568"/>
      <c r="AI25" s="568"/>
    </row>
    <row r="26" spans="2:35" ht="30" x14ac:dyDescent="0.25">
      <c r="B26" s="572" t="s">
        <v>99</v>
      </c>
      <c r="C26" s="568"/>
      <c r="D26" s="570">
        <f>SUM(D12,D20,D22)</f>
        <v>126</v>
      </c>
      <c r="E26" s="570">
        <f t="shared" ref="E26:AH26" si="1">SUM(E12,E20,E22)</f>
        <v>91</v>
      </c>
      <c r="F26" s="570">
        <f>SUM(F12,F20,F22)</f>
        <v>128</v>
      </c>
      <c r="G26" s="570">
        <f t="shared" si="1"/>
        <v>43</v>
      </c>
      <c r="H26" s="570">
        <f t="shared" si="1"/>
        <v>158</v>
      </c>
      <c r="I26" s="570">
        <f t="shared" si="1"/>
        <v>108</v>
      </c>
      <c r="J26" s="570">
        <f t="shared" si="1"/>
        <v>125</v>
      </c>
      <c r="K26" s="570">
        <f t="shared" si="1"/>
        <v>102</v>
      </c>
      <c r="L26" s="570">
        <f t="shared" si="1"/>
        <v>169</v>
      </c>
      <c r="M26" s="570">
        <f t="shared" si="1"/>
        <v>144</v>
      </c>
      <c r="N26" s="570">
        <f t="shared" si="1"/>
        <v>144</v>
      </c>
      <c r="O26" s="570">
        <f t="shared" si="1"/>
        <v>149</v>
      </c>
      <c r="P26" s="570">
        <f t="shared" si="1"/>
        <v>129</v>
      </c>
      <c r="Q26" s="570">
        <f t="shared" si="1"/>
        <v>101</v>
      </c>
      <c r="R26" s="570">
        <f t="shared" si="1"/>
        <v>146</v>
      </c>
      <c r="S26" s="570">
        <f t="shared" si="1"/>
        <v>67</v>
      </c>
      <c r="T26" s="570">
        <f t="shared" si="1"/>
        <v>52</v>
      </c>
      <c r="U26" s="570">
        <f t="shared" si="1"/>
        <v>69</v>
      </c>
      <c r="V26" s="570">
        <f t="shared" si="1"/>
        <v>142</v>
      </c>
      <c r="W26" s="570">
        <f t="shared" si="1"/>
        <v>142</v>
      </c>
      <c r="X26" s="570">
        <f t="shared" si="1"/>
        <v>138</v>
      </c>
      <c r="Y26" s="570">
        <f t="shared" si="1"/>
        <v>77</v>
      </c>
      <c r="Z26" s="570">
        <f t="shared" si="1"/>
        <v>102</v>
      </c>
      <c r="AA26" s="570">
        <f t="shared" si="1"/>
        <v>110</v>
      </c>
      <c r="AB26" s="570">
        <f t="shared" si="1"/>
        <v>88</v>
      </c>
      <c r="AC26" s="570">
        <f t="shared" si="1"/>
        <v>162</v>
      </c>
      <c r="AD26" s="570">
        <f t="shared" si="1"/>
        <v>94</v>
      </c>
      <c r="AE26" s="570">
        <f t="shared" si="1"/>
        <v>128</v>
      </c>
      <c r="AF26" s="570">
        <f t="shared" si="1"/>
        <v>93</v>
      </c>
      <c r="AG26" s="570">
        <f t="shared" si="1"/>
        <v>116</v>
      </c>
      <c r="AH26" s="570">
        <f t="shared" si="1"/>
        <v>-11016</v>
      </c>
      <c r="AI26" s="570">
        <f t="shared" ref="AI26" si="2">SUM(AI12)</f>
        <v>0</v>
      </c>
    </row>
    <row r="27" spans="2:35" x14ac:dyDescent="0.25">
      <c r="B27" s="1166"/>
      <c r="C27" s="1167"/>
      <c r="D27" s="1167"/>
      <c r="E27" s="1167"/>
      <c r="F27" s="1167"/>
      <c r="G27" s="1167"/>
      <c r="H27" s="1167"/>
      <c r="I27" s="1167"/>
      <c r="J27" s="1167"/>
      <c r="K27" s="1167"/>
      <c r="L27" s="1167"/>
      <c r="M27" s="1167"/>
      <c r="N27" s="1167"/>
      <c r="O27" s="1167"/>
      <c r="P27" s="1167"/>
      <c r="Q27" s="1167"/>
      <c r="R27" s="1167"/>
      <c r="S27" s="1167"/>
      <c r="T27" s="1167"/>
      <c r="U27" s="1167"/>
      <c r="V27" s="1167"/>
      <c r="W27" s="1167"/>
      <c r="X27" s="1167"/>
      <c r="Y27" s="1167"/>
      <c r="Z27" s="1167"/>
      <c r="AA27" s="1167"/>
      <c r="AB27" s="1167"/>
      <c r="AC27" s="1167"/>
      <c r="AD27" s="1167"/>
      <c r="AE27" s="1167"/>
      <c r="AF27" s="1167"/>
      <c r="AG27" s="1167"/>
      <c r="AH27" s="1167"/>
      <c r="AI27" s="1167"/>
    </row>
    <row r="28" spans="2:35" x14ac:dyDescent="0.25">
      <c r="B28" s="1166" t="s">
        <v>100</v>
      </c>
      <c r="C28" s="1167"/>
      <c r="D28" s="1168">
        <f>D8</f>
        <v>47</v>
      </c>
      <c r="E28" s="1168">
        <f t="shared" ref="E28:AH28" si="3">E8</f>
        <v>59</v>
      </c>
      <c r="F28" s="1168">
        <f t="shared" si="3"/>
        <v>45</v>
      </c>
      <c r="G28" s="1168">
        <f t="shared" si="3"/>
        <v>59</v>
      </c>
      <c r="H28" s="1168">
        <f t="shared" si="3"/>
        <v>56</v>
      </c>
      <c r="I28" s="1168">
        <f t="shared" si="3"/>
        <v>57</v>
      </c>
      <c r="J28" s="1168">
        <f t="shared" si="3"/>
        <v>76</v>
      </c>
      <c r="K28" s="1168">
        <f t="shared" si="3"/>
        <v>70</v>
      </c>
      <c r="L28" s="1168">
        <f t="shared" si="3"/>
        <v>54</v>
      </c>
      <c r="M28" s="1168">
        <f t="shared" si="3"/>
        <v>140</v>
      </c>
      <c r="N28" s="1168">
        <f t="shared" si="3"/>
        <v>140</v>
      </c>
      <c r="O28" s="1168">
        <f t="shared" si="3"/>
        <v>75</v>
      </c>
      <c r="P28" s="1168">
        <f t="shared" si="3"/>
        <v>71</v>
      </c>
      <c r="Q28" s="1168">
        <f t="shared" si="3"/>
        <v>62</v>
      </c>
      <c r="R28" s="1168">
        <f t="shared" si="3"/>
        <v>51</v>
      </c>
      <c r="S28" s="1168">
        <f t="shared" si="3"/>
        <v>38</v>
      </c>
      <c r="T28" s="1168">
        <f t="shared" si="3"/>
        <v>63</v>
      </c>
      <c r="U28" s="1168">
        <f t="shared" si="3"/>
        <v>68</v>
      </c>
      <c r="V28" s="1168">
        <f t="shared" si="3"/>
        <v>55</v>
      </c>
      <c r="W28" s="1168">
        <f t="shared" si="3"/>
        <v>55</v>
      </c>
      <c r="X28" s="1168">
        <f t="shared" si="3"/>
        <v>72</v>
      </c>
      <c r="Y28" s="1168">
        <f t="shared" si="3"/>
        <v>59</v>
      </c>
      <c r="Z28" s="1168">
        <f t="shared" si="3"/>
        <v>62</v>
      </c>
      <c r="AA28" s="1168">
        <f t="shared" si="3"/>
        <v>64</v>
      </c>
      <c r="AB28" s="1168">
        <f t="shared" si="3"/>
        <v>75</v>
      </c>
      <c r="AC28" s="1168">
        <f t="shared" si="3"/>
        <v>93</v>
      </c>
      <c r="AD28" s="1168">
        <f t="shared" si="3"/>
        <v>75</v>
      </c>
      <c r="AE28" s="1168">
        <f t="shared" si="3"/>
        <v>81</v>
      </c>
      <c r="AF28" s="1168">
        <f t="shared" si="3"/>
        <v>70</v>
      </c>
      <c r="AG28" s="1168">
        <f t="shared" si="3"/>
        <v>77</v>
      </c>
      <c r="AH28" s="1168">
        <f t="shared" si="3"/>
        <v>-6444</v>
      </c>
      <c r="AI28" s="1167"/>
    </row>
    <row r="29" spans="2:35" x14ac:dyDescent="0.25">
      <c r="B29" s="1166" t="s">
        <v>101</v>
      </c>
      <c r="C29" s="1167"/>
      <c r="D29" s="1168">
        <f>SUM(D9:D10,D13:D14)</f>
        <v>106</v>
      </c>
      <c r="E29" s="1168">
        <f t="shared" ref="E29:AH29" si="4">SUM(E9:E10,E13:E14)</f>
        <v>91</v>
      </c>
      <c r="F29" s="1168">
        <f t="shared" si="4"/>
        <v>66</v>
      </c>
      <c r="G29" s="1168">
        <f t="shared" si="4"/>
        <v>73</v>
      </c>
      <c r="H29" s="1168">
        <f t="shared" si="4"/>
        <v>82</v>
      </c>
      <c r="I29" s="1168">
        <f t="shared" si="4"/>
        <v>99</v>
      </c>
      <c r="J29" s="1168">
        <f t="shared" si="4"/>
        <v>103</v>
      </c>
      <c r="K29" s="1168">
        <f t="shared" si="4"/>
        <v>122</v>
      </c>
      <c r="L29" s="1168">
        <f t="shared" si="4"/>
        <v>77</v>
      </c>
      <c r="M29" s="1168">
        <f t="shared" si="4"/>
        <v>98</v>
      </c>
      <c r="N29" s="1168">
        <f t="shared" si="4"/>
        <v>98</v>
      </c>
      <c r="O29" s="1168">
        <f t="shared" si="4"/>
        <v>121</v>
      </c>
      <c r="P29" s="1168">
        <f t="shared" si="4"/>
        <v>108</v>
      </c>
      <c r="Q29" s="1168">
        <f t="shared" si="4"/>
        <v>72</v>
      </c>
      <c r="R29" s="1168">
        <f t="shared" si="4"/>
        <v>75</v>
      </c>
      <c r="S29" s="1168">
        <f t="shared" si="4"/>
        <v>54</v>
      </c>
      <c r="T29" s="1168">
        <f t="shared" si="4"/>
        <v>72</v>
      </c>
      <c r="U29" s="1168">
        <f t="shared" si="4"/>
        <v>78</v>
      </c>
      <c r="V29" s="1168">
        <f t="shared" si="4"/>
        <v>104</v>
      </c>
      <c r="W29" s="1168">
        <f t="shared" si="4"/>
        <v>104</v>
      </c>
      <c r="X29" s="1168">
        <f t="shared" si="4"/>
        <v>48</v>
      </c>
      <c r="Y29" s="1168">
        <f t="shared" si="4"/>
        <v>62</v>
      </c>
      <c r="Z29" s="1168">
        <f t="shared" si="4"/>
        <v>65</v>
      </c>
      <c r="AA29" s="1168">
        <f t="shared" si="4"/>
        <v>64</v>
      </c>
      <c r="AB29" s="1168">
        <f t="shared" si="4"/>
        <v>86</v>
      </c>
      <c r="AC29" s="1168">
        <f t="shared" si="4"/>
        <v>134</v>
      </c>
      <c r="AD29" s="1168">
        <f t="shared" si="4"/>
        <v>92</v>
      </c>
      <c r="AE29" s="1168">
        <f t="shared" si="4"/>
        <v>108</v>
      </c>
      <c r="AF29" s="1168">
        <f t="shared" si="4"/>
        <v>32</v>
      </c>
      <c r="AG29" s="1168">
        <f t="shared" si="4"/>
        <v>34</v>
      </c>
      <c r="AH29" s="1168">
        <f t="shared" si="4"/>
        <v>-7554</v>
      </c>
      <c r="AI29" s="1167"/>
    </row>
    <row r="30" spans="2:35" x14ac:dyDescent="0.25">
      <c r="B30" s="1166" t="s">
        <v>102</v>
      </c>
      <c r="C30" s="1167"/>
      <c r="D30" s="1167">
        <f>D29/SUM(D28:D29)%</f>
        <v>69.281045751633982</v>
      </c>
      <c r="E30" s="1167">
        <f t="shared" ref="E30:AH30" si="5">E29/SUM(E28:E29)%</f>
        <v>60.666666666666664</v>
      </c>
      <c r="F30" s="1167">
        <f t="shared" si="5"/>
        <v>59.459459459459453</v>
      </c>
      <c r="G30" s="1167">
        <f t="shared" si="5"/>
        <v>55.303030303030297</v>
      </c>
      <c r="H30" s="1167">
        <f t="shared" si="5"/>
        <v>59.420289855072468</v>
      </c>
      <c r="I30" s="1167">
        <f t="shared" si="5"/>
        <v>63.46153846153846</v>
      </c>
      <c r="J30" s="1167">
        <f t="shared" si="5"/>
        <v>57.541899441340782</v>
      </c>
      <c r="K30" s="1167">
        <f t="shared" si="5"/>
        <v>63.541666666666671</v>
      </c>
      <c r="L30" s="1167">
        <f t="shared" si="5"/>
        <v>58.778625954198468</v>
      </c>
      <c r="M30" s="1167">
        <f t="shared" si="5"/>
        <v>41.176470588235297</v>
      </c>
      <c r="N30" s="1167">
        <f t="shared" si="5"/>
        <v>41.176470588235297</v>
      </c>
      <c r="O30" s="1167">
        <f t="shared" si="5"/>
        <v>61.734693877551024</v>
      </c>
      <c r="P30" s="1167">
        <f t="shared" si="5"/>
        <v>60.335195530726253</v>
      </c>
      <c r="Q30" s="1167">
        <f t="shared" si="5"/>
        <v>53.731343283582085</v>
      </c>
      <c r="R30" s="1167">
        <f t="shared" si="5"/>
        <v>59.523809523809526</v>
      </c>
      <c r="S30" s="1167">
        <f t="shared" si="5"/>
        <v>58.695652173913039</v>
      </c>
      <c r="T30" s="1167">
        <f t="shared" si="5"/>
        <v>53.333333333333329</v>
      </c>
      <c r="U30" s="1167">
        <f t="shared" si="5"/>
        <v>53.424657534246577</v>
      </c>
      <c r="V30" s="1167">
        <f t="shared" si="5"/>
        <v>65.408805031446533</v>
      </c>
      <c r="W30" s="1167">
        <f t="shared" si="5"/>
        <v>65.408805031446533</v>
      </c>
      <c r="X30" s="1167">
        <f t="shared" si="5"/>
        <v>40</v>
      </c>
      <c r="Y30" s="1167">
        <f t="shared" si="5"/>
        <v>51.239669421487605</v>
      </c>
      <c r="Z30" s="1167">
        <f t="shared" si="5"/>
        <v>51.181102362204726</v>
      </c>
      <c r="AA30" s="1167">
        <f t="shared" si="5"/>
        <v>50</v>
      </c>
      <c r="AB30" s="1167">
        <f t="shared" si="5"/>
        <v>53.41614906832298</v>
      </c>
      <c r="AC30" s="1167">
        <f t="shared" si="5"/>
        <v>59.030837004405285</v>
      </c>
      <c r="AD30" s="1167">
        <f t="shared" si="5"/>
        <v>55.08982035928144</v>
      </c>
      <c r="AE30" s="1167">
        <f t="shared" si="5"/>
        <v>57.142857142857146</v>
      </c>
      <c r="AF30" s="1167">
        <f t="shared" si="5"/>
        <v>31.372549019607842</v>
      </c>
      <c r="AG30" s="1167">
        <f t="shared" si="5"/>
        <v>30.630630630630627</v>
      </c>
      <c r="AH30" s="1167">
        <f t="shared" si="5"/>
        <v>53.964852121731681</v>
      </c>
      <c r="AI30" s="1167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89"/>
  <sheetViews>
    <sheetView topLeftCell="I3" zoomScale="85" zoomScaleNormal="85" workbookViewId="0">
      <pane ySplit="1" topLeftCell="A4" activePane="bottomLeft" state="frozen"/>
      <selection activeCell="A3" sqref="A3"/>
      <selection pane="bottomLeft" activeCell="AC3" sqref="AC3"/>
    </sheetView>
  </sheetViews>
  <sheetFormatPr defaultRowHeight="15.75" x14ac:dyDescent="0.25"/>
  <cols>
    <col min="1" max="1" width="8.88671875" style="1178"/>
    <col min="2" max="20" width="7.33203125" style="1178" customWidth="1"/>
    <col min="21" max="39" width="7" style="1178" customWidth="1"/>
    <col min="40" max="16384" width="8.88671875" style="1178"/>
  </cols>
  <sheetData>
    <row r="2" spans="1:41" x14ac:dyDescent="0.25">
      <c r="B2" s="1388" t="s">
        <v>103</v>
      </c>
      <c r="C2" s="1388"/>
      <c r="D2" s="1388"/>
      <c r="E2" s="1388"/>
      <c r="F2" s="1388"/>
      <c r="G2" s="1388"/>
      <c r="H2" s="1388"/>
      <c r="I2" s="1388"/>
      <c r="J2" s="1388"/>
      <c r="K2" s="1388"/>
      <c r="L2" s="1388"/>
      <c r="M2" s="1388"/>
      <c r="N2" s="1388"/>
      <c r="O2" s="1388"/>
      <c r="P2" s="1388"/>
      <c r="Q2" s="1388"/>
      <c r="R2" s="1388"/>
      <c r="S2" s="1388"/>
      <c r="T2" s="1388"/>
      <c r="U2" s="1388"/>
      <c r="V2" s="1388"/>
      <c r="W2" s="1388"/>
      <c r="X2" s="1388"/>
      <c r="Y2" s="1388"/>
      <c r="Z2" s="1388"/>
      <c r="AA2" s="1388"/>
      <c r="AB2" s="1387"/>
      <c r="AC2" s="1387"/>
      <c r="AD2" s="1387"/>
      <c r="AE2" s="1387"/>
      <c r="AF2" s="1387"/>
      <c r="AG2" s="1387"/>
      <c r="AH2" s="1387"/>
      <c r="AI2" s="1319"/>
      <c r="AJ2" s="1386" t="s">
        <v>104</v>
      </c>
      <c r="AK2" s="1386"/>
      <c r="AL2" s="1386"/>
      <c r="AM2" s="1386"/>
    </row>
    <row r="3" spans="1:41" ht="30" customHeight="1" x14ac:dyDescent="0.25">
      <c r="A3" s="1179"/>
      <c r="B3" s="1179" t="s">
        <v>105</v>
      </c>
      <c r="C3" s="1179" t="s">
        <v>106</v>
      </c>
      <c r="D3" s="1179" t="s">
        <v>107</v>
      </c>
      <c r="E3" s="1179" t="s">
        <v>108</v>
      </c>
      <c r="F3" s="1179" t="s">
        <v>109</v>
      </c>
      <c r="G3" s="1179" t="s">
        <v>110</v>
      </c>
      <c r="H3" s="1179" t="s">
        <v>111</v>
      </c>
      <c r="I3" s="1179" t="s">
        <v>112</v>
      </c>
      <c r="J3" s="1179" t="s">
        <v>113</v>
      </c>
      <c r="K3" s="1179" t="s">
        <v>114</v>
      </c>
      <c r="L3" s="1179" t="s">
        <v>115</v>
      </c>
      <c r="M3" s="1179" t="s">
        <v>92</v>
      </c>
      <c r="N3" s="1179" t="s">
        <v>116</v>
      </c>
      <c r="O3" s="1180" t="s">
        <v>117</v>
      </c>
      <c r="P3" s="1180" t="s">
        <v>118</v>
      </c>
      <c r="Q3" s="1180" t="s">
        <v>119</v>
      </c>
      <c r="R3" s="1180" t="s">
        <v>120</v>
      </c>
      <c r="S3" s="516" t="s">
        <v>121</v>
      </c>
      <c r="T3" s="517" t="s">
        <v>122</v>
      </c>
      <c r="U3" s="517" t="s">
        <v>122</v>
      </c>
      <c r="V3" s="517" t="s">
        <v>123</v>
      </c>
      <c r="W3" s="517" t="s">
        <v>124</v>
      </c>
      <c r="X3" s="517" t="s">
        <v>125</v>
      </c>
      <c r="Y3" s="517" t="s">
        <v>126</v>
      </c>
      <c r="Z3" s="517" t="s">
        <v>127</v>
      </c>
      <c r="AA3" s="1179" t="s">
        <v>128</v>
      </c>
      <c r="AB3" s="1179" t="s">
        <v>129</v>
      </c>
      <c r="AC3" s="1179" t="s">
        <v>130</v>
      </c>
      <c r="AD3" s="1179" t="s">
        <v>131</v>
      </c>
      <c r="AE3" s="1179" t="s">
        <v>132</v>
      </c>
      <c r="AF3" s="1179" t="s">
        <v>133</v>
      </c>
      <c r="AG3" s="1179" t="s">
        <v>134</v>
      </c>
      <c r="AH3" s="1179" t="s">
        <v>135</v>
      </c>
      <c r="AI3" s="1179" t="s">
        <v>130</v>
      </c>
      <c r="AJ3" s="1179" t="s">
        <v>55</v>
      </c>
      <c r="AK3" s="1179" t="s">
        <v>56</v>
      </c>
      <c r="AL3" s="1179" t="s">
        <v>57</v>
      </c>
      <c r="AM3" s="1179" t="s">
        <v>136</v>
      </c>
    </row>
    <row r="4" spans="1:41" x14ac:dyDescent="0.25">
      <c r="A4" s="1181">
        <v>44044</v>
      </c>
      <c r="B4" s="1182">
        <f>'1'!G72</f>
        <v>8</v>
      </c>
      <c r="C4" s="1182">
        <f>'1'!$G$73</f>
        <v>1</v>
      </c>
      <c r="D4" s="1182">
        <f>'1'!$G$74</f>
        <v>23</v>
      </c>
      <c r="E4" s="1182">
        <f>'1'!$G$75</f>
        <v>165</v>
      </c>
      <c r="F4" s="1182">
        <f>'1'!$G$76</f>
        <v>57</v>
      </c>
      <c r="G4" s="1182">
        <f>'1'!$G$77</f>
        <v>55</v>
      </c>
      <c r="H4" s="1182">
        <f>'1'!$G$78</f>
        <v>480</v>
      </c>
      <c r="I4" s="1182">
        <f>'1'!$G$79</f>
        <v>201</v>
      </c>
      <c r="J4" s="1182">
        <f>'1'!$G$80</f>
        <v>311.39000000001397</v>
      </c>
      <c r="K4" s="1182">
        <f>'1'!$G$81</f>
        <v>153.28000000002794</v>
      </c>
      <c r="L4" s="1182">
        <f>'1'!$G$82</f>
        <v>20.760000000009313</v>
      </c>
      <c r="M4" s="1182">
        <f>'1'!$G$58</f>
        <v>50.779999999998836</v>
      </c>
      <c r="N4" s="1182">
        <f>'1'!$G$83</f>
        <v>346</v>
      </c>
      <c r="O4" s="1182">
        <f>'1'!G86</f>
        <v>139.42999999999302</v>
      </c>
      <c r="P4" s="1182">
        <f>'1'!G87</f>
        <v>35.19999999999709</v>
      </c>
      <c r="Q4" s="1182">
        <f>'1'!G88</f>
        <v>90.89000000001397</v>
      </c>
      <c r="R4" s="1182">
        <f>'1'!G89+'1'!G90</f>
        <v>54.099999999998545</v>
      </c>
      <c r="S4" s="1182">
        <f>'1'!$G$62</f>
        <v>8.9999999981955625E-3</v>
      </c>
      <c r="T4" s="1182">
        <f>'1'!$G$63</f>
        <v>16.408999999999992</v>
      </c>
      <c r="U4" s="1182">
        <f>'1'!$G$64</f>
        <v>349.58299999999872</v>
      </c>
      <c r="V4" s="1182">
        <f>'1'!$G$65</f>
        <v>391.42400000001362</v>
      </c>
      <c r="W4" s="1182">
        <f>'1'!$G$66</f>
        <v>403.1530000000057</v>
      </c>
      <c r="X4" s="1182">
        <f>'1'!$G$67</f>
        <v>797.3300000000163</v>
      </c>
      <c r="Y4" s="1182">
        <f>'1'!$G$68</f>
        <v>382.55200000000332</v>
      </c>
      <c r="Z4" s="1182">
        <f>'1'!$G$69</f>
        <v>290.27199999999721</v>
      </c>
      <c r="AA4" s="1182">
        <f>'1'!$G$84</f>
        <v>564</v>
      </c>
      <c r="AB4" s="1182">
        <f>'1'!$G$15</f>
        <v>510.75699999998324</v>
      </c>
      <c r="AC4" s="1182">
        <f>'1'!$G$123</f>
        <v>212.69000000006054</v>
      </c>
      <c r="AD4" s="1182">
        <f>'1'!$G$124</f>
        <v>0</v>
      </c>
      <c r="AE4" s="1182">
        <f>'1'!$G$125</f>
        <v>67.309999999997672</v>
      </c>
      <c r="AF4" s="1182">
        <f>'1'!$G$126</f>
        <v>28.5</v>
      </c>
      <c r="AG4" s="1182">
        <f>'1'!$G$127</f>
        <v>0</v>
      </c>
      <c r="AH4" s="1182">
        <f>AB4-SUM(AC4:AG4)</f>
        <v>202.25699999992503</v>
      </c>
      <c r="AI4" s="1182">
        <f>'1'!G140</f>
        <v>0</v>
      </c>
      <c r="AJ4" s="1182">
        <f>'1'!$G$136</f>
        <v>0</v>
      </c>
      <c r="AK4" s="1182">
        <f>'1'!$G$137</f>
        <v>0</v>
      </c>
      <c r="AL4" s="1182">
        <f>'1'!$G$138</f>
        <v>8.0899999999965075</v>
      </c>
      <c r="AM4" s="1179">
        <f>SUM(AJ4:AL4)</f>
        <v>8.0899999999965075</v>
      </c>
    </row>
    <row r="5" spans="1:41" x14ac:dyDescent="0.25">
      <c r="A5" s="1181">
        <v>44045</v>
      </c>
      <c r="B5" s="1182">
        <f>'2'!G72</f>
        <v>9</v>
      </c>
      <c r="C5" s="1182">
        <f>'2'!$G$73</f>
        <v>2</v>
      </c>
      <c r="D5" s="1182">
        <f>'2'!$G$74</f>
        <v>17</v>
      </c>
      <c r="E5" s="1182">
        <f>'2'!$G$75</f>
        <v>165</v>
      </c>
      <c r="F5" s="1182">
        <f>'2'!$G$76</f>
        <v>61</v>
      </c>
      <c r="G5" s="1182">
        <f>'2'!$G$77</f>
        <v>53</v>
      </c>
      <c r="H5" s="1182">
        <f>'2'!$G$78</f>
        <v>367</v>
      </c>
      <c r="I5" s="1182">
        <f>'2'!$G$79</f>
        <v>195</v>
      </c>
      <c r="J5" s="1182">
        <f>'2'!$G$80</f>
        <v>284.1699999999837</v>
      </c>
      <c r="K5" s="1172">
        <f>'2'!$G$81</f>
        <v>165</v>
      </c>
      <c r="L5" s="1172">
        <f>'2'!$G$82</f>
        <v>18.599999999991269</v>
      </c>
      <c r="M5" s="1172">
        <f>'2'!$G$58</f>
        <v>155.02400000000125</v>
      </c>
      <c r="N5" s="1172">
        <f>'2'!$G$83</f>
        <v>340</v>
      </c>
      <c r="O5" s="1172">
        <f>'2'!G86</f>
        <v>190.77000000001863</v>
      </c>
      <c r="P5" s="1182">
        <f>'2'!G87</f>
        <v>31.399999999994179</v>
      </c>
      <c r="Q5" s="1182">
        <f>'2'!G88</f>
        <v>130.41000000000349</v>
      </c>
      <c r="R5" s="1182">
        <f>'2'!G89+'2'!G90</f>
        <v>80.000000000002728</v>
      </c>
      <c r="S5" s="1182">
        <f>'2'!$G$62</f>
        <v>0</v>
      </c>
      <c r="T5" s="1182">
        <f>'2'!$G$63</f>
        <v>16.68100000000004</v>
      </c>
      <c r="U5" s="1182">
        <f>'2'!$G$64</f>
        <v>387.25699999999779</v>
      </c>
      <c r="V5" s="1182">
        <f>'2'!$G$65</f>
        <v>407.84299999999348</v>
      </c>
      <c r="W5" s="1182">
        <f>'2'!$G$66</f>
        <v>392.52999999999884</v>
      </c>
      <c r="X5" s="1182">
        <f>'2'!$G$67</f>
        <v>714.60999999998603</v>
      </c>
      <c r="Y5" s="1182">
        <f>'2'!$G$68</f>
        <v>377.76799999999639</v>
      </c>
      <c r="Z5" s="1182">
        <f>'2'!$G$69</f>
        <v>286.81100000000151</v>
      </c>
      <c r="AA5" s="1182">
        <f>'2'!$G$84</f>
        <v>542</v>
      </c>
      <c r="AB5" s="1182">
        <f>'2'!$G$15</f>
        <v>605.86199999996461</v>
      </c>
      <c r="AC5" s="1182">
        <f>'2'!$G$123</f>
        <v>194.65599999995902</v>
      </c>
      <c r="AD5" s="1182">
        <f>'2'!$G$124</f>
        <v>0</v>
      </c>
      <c r="AE5" s="1182">
        <f>'2'!$G$125</f>
        <v>63.299999999988358</v>
      </c>
      <c r="AF5" s="1182">
        <f>'2'!$G$126</f>
        <v>16.80000000000291</v>
      </c>
      <c r="AG5" s="1182">
        <f>'2'!$G$127</f>
        <v>0</v>
      </c>
      <c r="AH5" s="1182">
        <f t="shared" ref="AH5:AH34" si="0">AB5-SUM(AC5:AG5)</f>
        <v>331.10600000001432</v>
      </c>
      <c r="AI5" s="1182">
        <f>'2'!$G$140</f>
        <v>7.999999999992724E-2</v>
      </c>
      <c r="AJ5" s="1182">
        <f>'2'!$G$136</f>
        <v>5.8099999999976717</v>
      </c>
      <c r="AK5" s="1182">
        <f>'2'!$G$137</f>
        <v>0</v>
      </c>
      <c r="AL5" s="1182">
        <f>'2'!$G$138</f>
        <v>0</v>
      </c>
      <c r="AM5" s="1179">
        <f t="shared" ref="AM5:AM34" si="1">SUM(AJ5:AL5)</f>
        <v>5.8099999999976717</v>
      </c>
    </row>
    <row r="6" spans="1:41" s="1185" customFormat="1" x14ac:dyDescent="0.25">
      <c r="A6" s="1183">
        <v>44046</v>
      </c>
      <c r="B6" s="1172">
        <f>'3'!G72</f>
        <v>8</v>
      </c>
      <c r="C6" s="1172">
        <f>'3'!$G$73</f>
        <v>1</v>
      </c>
      <c r="D6" s="1172">
        <f>'3'!$G$74</f>
        <v>16</v>
      </c>
      <c r="E6" s="1172">
        <f>'3'!$G$75</f>
        <v>157</v>
      </c>
      <c r="F6" s="1172">
        <f>'3'!$G$76</f>
        <v>57</v>
      </c>
      <c r="G6" s="1172">
        <f>'3'!$G$77</f>
        <v>54</v>
      </c>
      <c r="H6" s="1172">
        <f>'3'!$G$78</f>
        <v>319</v>
      </c>
      <c r="I6" s="1172">
        <f>'3'!$G$79</f>
        <v>187</v>
      </c>
      <c r="J6" s="1172">
        <f>'3'!$G$80</f>
        <v>297.88000000000466</v>
      </c>
      <c r="K6" s="1172">
        <f>'3'!$G$81</f>
        <v>145.71999999997206</v>
      </c>
      <c r="L6" s="1172">
        <f>'3'!$G$82</f>
        <v>18.180000000007567</v>
      </c>
      <c r="M6" s="1172">
        <f>'3'!$G$58</f>
        <v>70.937999999998283</v>
      </c>
      <c r="N6" s="1172">
        <f>'3'!$G$83</f>
        <v>330</v>
      </c>
      <c r="O6" s="1182">
        <f>'3'!G86</f>
        <v>186.0800000000163</v>
      </c>
      <c r="P6" s="1182">
        <f>'1'!G87</f>
        <v>35.19999999999709</v>
      </c>
      <c r="Q6" s="1182">
        <f>'3'!G88</f>
        <v>97.779999999998836</v>
      </c>
      <c r="R6" s="1182">
        <f>'3'!G89+'3'!G90</f>
        <v>64.499999999998636</v>
      </c>
      <c r="S6" s="1172">
        <f>'3'!$G$62</f>
        <v>-0.1889999999984866</v>
      </c>
      <c r="T6" s="1172">
        <f>'3'!$G$63</f>
        <v>15.909999999999968</v>
      </c>
      <c r="U6" s="1172">
        <f>'3'!$G$64</f>
        <v>361.23249999999825</v>
      </c>
      <c r="V6" s="1172">
        <f>'3'!$G$65</f>
        <v>401.28500000000349</v>
      </c>
      <c r="W6" s="1172">
        <f>'3'!$G$66</f>
        <v>376.96499999999651</v>
      </c>
      <c r="X6" s="923">
        <f>'3'!$G$67</f>
        <v>676.30999999999767</v>
      </c>
      <c r="Y6" s="923">
        <f>'3'!$G$68</f>
        <v>359.84800000000541</v>
      </c>
      <c r="Z6" s="1172">
        <f>'3'!$G$69</f>
        <v>284.18499999999767</v>
      </c>
      <c r="AA6" s="1172">
        <f>'3'!$G$84</f>
        <v>541</v>
      </c>
      <c r="AB6" s="1172">
        <f>'3'!$G$15</f>
        <v>518.45100000011735</v>
      </c>
      <c r="AC6" s="1172">
        <f>'3'!$G$123</f>
        <v>211.77399999997579</v>
      </c>
      <c r="AD6" s="1172">
        <f>'3'!$G$124</f>
        <v>0</v>
      </c>
      <c r="AE6" s="1172">
        <f>'3'!$G$125</f>
        <v>57.290000000008149</v>
      </c>
      <c r="AF6" s="1172">
        <f>'3'!$G$126</f>
        <v>25.900000000001455</v>
      </c>
      <c r="AG6" s="1172">
        <f>'3'!$G$127</f>
        <v>0</v>
      </c>
      <c r="AH6" s="1172">
        <f t="shared" si="0"/>
        <v>223.48700000013196</v>
      </c>
      <c r="AI6" s="1172">
        <f>'3'!$G$140</f>
        <v>0</v>
      </c>
      <c r="AJ6" s="1172">
        <f>'3'!$G$136</f>
        <v>0</v>
      </c>
      <c r="AK6" s="1172">
        <f>'3'!$G$137</f>
        <v>-9.9999999983992893E-3</v>
      </c>
      <c r="AL6" s="1172">
        <f>'3'!$G$138</f>
        <v>9.0399999999935972</v>
      </c>
      <c r="AM6" s="1184">
        <f t="shared" si="1"/>
        <v>9.0299999999951979</v>
      </c>
    </row>
    <row r="7" spans="1:41" x14ac:dyDescent="0.25">
      <c r="A7" s="1181">
        <v>44047</v>
      </c>
      <c r="B7" s="1182">
        <f>'4'!G72</f>
        <v>8</v>
      </c>
      <c r="C7" s="1182">
        <f>'4'!$G$73</f>
        <v>1</v>
      </c>
      <c r="D7" s="1182">
        <f>'4'!$G$74</f>
        <v>17</v>
      </c>
      <c r="E7" s="1182">
        <f>'4'!$G$74</f>
        <v>17</v>
      </c>
      <c r="F7" s="1182">
        <f>'4'!$G$76</f>
        <v>58</v>
      </c>
      <c r="G7" s="1182">
        <f>'4'!$G$77</f>
        <v>45</v>
      </c>
      <c r="H7" s="1182">
        <f>'4'!$G$78</f>
        <v>362</v>
      </c>
      <c r="I7" s="1182">
        <f>'4'!$G$79</f>
        <v>191</v>
      </c>
      <c r="J7" s="1172">
        <f>'4'!$G$80</f>
        <v>337.88000000000466</v>
      </c>
      <c r="K7" s="1172">
        <f>'4'!$G$81</f>
        <v>161.59999999997672</v>
      </c>
      <c r="L7" s="1182">
        <f>'4'!$G$82</f>
        <v>8.2299999999959255</v>
      </c>
      <c r="M7" s="1182">
        <f>'4'!$G$58</f>
        <v>197.84500000000116</v>
      </c>
      <c r="N7" s="1182">
        <f>'4'!$G$83</f>
        <v>341</v>
      </c>
      <c r="O7" s="1182">
        <f>'4'!G86</f>
        <v>206</v>
      </c>
      <c r="P7" s="1182">
        <f>'4'!G87</f>
        <v>33.80000000000291</v>
      </c>
      <c r="Q7" s="1182">
        <f>'4'!G88</f>
        <v>71.380000000004657</v>
      </c>
      <c r="R7" s="1182">
        <f>'4'!G89+'4'!G90</f>
        <v>61.500000000004547</v>
      </c>
      <c r="S7" s="1182">
        <f>'4'!$G$62</f>
        <v>0</v>
      </c>
      <c r="T7" s="1182">
        <f>'4'!$G$63</f>
        <v>15.889999999999986</v>
      </c>
      <c r="U7" s="1182">
        <f>'4'!$G$64</f>
        <v>373.9325000000099</v>
      </c>
      <c r="V7" s="1182">
        <f>'4'!$G$65</f>
        <v>405.89499999998952</v>
      </c>
      <c r="W7" s="1182">
        <f>'4'!$G$66</f>
        <v>394.5850000000064</v>
      </c>
      <c r="X7" s="1182">
        <f>'4'!$G$67</f>
        <v>754.11000000001513</v>
      </c>
      <c r="Y7" s="1182">
        <f>'4'!$G$68</f>
        <v>370.00299999999697</v>
      </c>
      <c r="Z7" s="1182">
        <f>'4'!$G$69</f>
        <v>290.53500000000349</v>
      </c>
      <c r="AA7" s="1182">
        <f>'4'!$G$84</f>
        <v>505</v>
      </c>
      <c r="AB7" s="1182">
        <f>'4'!$G$15</f>
        <v>691.17599999997765</v>
      </c>
      <c r="AC7" s="1182">
        <f>'4'!$G$123</f>
        <v>207.00600000005215</v>
      </c>
      <c r="AD7" s="1182">
        <f>'4'!$G$124</f>
        <v>-0.19999999999708962</v>
      </c>
      <c r="AE7" s="1182">
        <f>'4'!$G$125</f>
        <v>104.19000000000233</v>
      </c>
      <c r="AF7" s="1182">
        <f>'4'!$G$126</f>
        <v>29.599999999998545</v>
      </c>
      <c r="AG7" s="1182">
        <f>'4'!$G$127</f>
        <v>0</v>
      </c>
      <c r="AH7" s="1182">
        <f t="shared" si="0"/>
        <v>350.57999999992171</v>
      </c>
      <c r="AI7" s="1182">
        <f>'4'!$G$140</f>
        <v>0</v>
      </c>
      <c r="AJ7" s="1182">
        <f>'4'!$G$136</f>
        <v>5.7700000000004366</v>
      </c>
      <c r="AK7" s="1182">
        <f>'4'!$G$137</f>
        <v>9.9999999983992893E-3</v>
      </c>
      <c r="AL7" s="1182">
        <f>'4'!$G$138</f>
        <v>0</v>
      </c>
      <c r="AM7" s="1179">
        <f t="shared" si="1"/>
        <v>5.7799999999988358</v>
      </c>
    </row>
    <row r="8" spans="1:41" x14ac:dyDescent="0.25">
      <c r="A8" s="1181">
        <v>44048</v>
      </c>
      <c r="B8" s="1182">
        <f>'5'!G72</f>
        <v>8</v>
      </c>
      <c r="C8" s="1182">
        <f>'5'!$G$73</f>
        <v>21</v>
      </c>
      <c r="D8" s="1182">
        <f>'5'!$G$74</f>
        <v>25</v>
      </c>
      <c r="E8" s="1191">
        <f>'5'!$G$75</f>
        <v>185</v>
      </c>
      <c r="F8" s="1182">
        <f>'5'!$G$76</f>
        <v>60</v>
      </c>
      <c r="G8" s="1172">
        <f>'5'!$G$77</f>
        <v>57</v>
      </c>
      <c r="H8" s="1190">
        <f>'5'!$G$78</f>
        <v>449</v>
      </c>
      <c r="I8" s="1190">
        <f>'5'!$G$79</f>
        <v>192</v>
      </c>
      <c r="J8" s="1186">
        <f>'5'!$G$80</f>
        <v>358.27999999996973</v>
      </c>
      <c r="K8" s="1190">
        <f>'5'!$G$81</f>
        <v>162.52000000001863</v>
      </c>
      <c r="L8" s="1182">
        <f>'5'!$G$82</f>
        <v>27.669999999998254</v>
      </c>
      <c r="M8" s="1182">
        <f>'5'!$G$58</f>
        <v>69.919999999998254</v>
      </c>
      <c r="N8" s="1182">
        <f>'5'!$G$83</f>
        <v>346</v>
      </c>
      <c r="O8" s="1190">
        <f>'5'!G86</f>
        <v>198.32000000000698</v>
      </c>
      <c r="P8" s="1182">
        <f>'5'!G87</f>
        <v>19</v>
      </c>
      <c r="Q8" s="1182">
        <f>'5'!G88</f>
        <v>42.809999999997672</v>
      </c>
      <c r="R8" s="1182">
        <f>'5'!G89+'5'!G90</f>
        <v>53.599999999999909</v>
      </c>
      <c r="S8" s="1182">
        <f>'5'!$G$62</f>
        <v>0</v>
      </c>
      <c r="T8" s="1182">
        <f>'5'!$G$63</f>
        <v>15.149999999999977</v>
      </c>
      <c r="U8" s="1182">
        <f>'5'!$G$64</f>
        <v>346.00999999999476</v>
      </c>
      <c r="V8" s="1182">
        <f>'5'!$G$65</f>
        <v>385</v>
      </c>
      <c r="W8" s="1182">
        <f>'5'!$G$66</f>
        <v>373.84999999999127</v>
      </c>
      <c r="X8" s="1182">
        <f>'5'!$G$67</f>
        <v>667.66000000000349</v>
      </c>
      <c r="Y8" s="1182">
        <f>'5'!$G$68</f>
        <v>358.09999999999854</v>
      </c>
      <c r="Z8" s="1182">
        <f>'5'!$G$69</f>
        <v>285.55999999999767</v>
      </c>
      <c r="AA8" s="1182">
        <f>'5'!$G$84</f>
        <v>611</v>
      </c>
      <c r="AB8" s="1190">
        <f>'5'!$G$15</f>
        <v>640.45600000000559</v>
      </c>
      <c r="AC8" s="1182">
        <f>'5'!$G$123</f>
        <v>200.36499999999069</v>
      </c>
      <c r="AD8" s="1182">
        <f>'5'!$G$124</f>
        <v>0</v>
      </c>
      <c r="AE8" s="1182">
        <f>'5'!$G$125</f>
        <v>93.299999999988358</v>
      </c>
      <c r="AF8" s="1182">
        <f>'5'!$G$126</f>
        <v>32.69999999999709</v>
      </c>
      <c r="AG8" s="1182">
        <f>'5'!$G$127</f>
        <v>0</v>
      </c>
      <c r="AH8" s="1182">
        <f t="shared" si="0"/>
        <v>314.09100000002945</v>
      </c>
      <c r="AI8" s="1182">
        <f>'5'!$G$140</f>
        <v>0</v>
      </c>
      <c r="AJ8" s="1182">
        <f>'5'!$G$136</f>
        <v>3.2700000000004366</v>
      </c>
      <c r="AK8" s="1182">
        <f>'5'!$G$137</f>
        <v>0</v>
      </c>
      <c r="AL8" s="1182">
        <f>'5'!$G$138</f>
        <v>4.1300000000046566</v>
      </c>
      <c r="AM8" s="1179">
        <f t="shared" si="1"/>
        <v>7.4000000000050932</v>
      </c>
    </row>
    <row r="9" spans="1:41" x14ac:dyDescent="0.25">
      <c r="A9" s="1181">
        <v>44049</v>
      </c>
      <c r="B9" s="1182">
        <f>'6'!G72</f>
        <v>8</v>
      </c>
      <c r="C9" s="1182">
        <f>'6'!$G$73</f>
        <v>21</v>
      </c>
      <c r="D9" s="1182">
        <f>'6'!$G$74</f>
        <v>20</v>
      </c>
      <c r="E9" s="1182">
        <f>'6'!$G$75</f>
        <v>182</v>
      </c>
      <c r="F9" s="1182">
        <f>'6'!$G$76</f>
        <v>64</v>
      </c>
      <c r="G9" s="1182">
        <f>'6'!$G$77</f>
        <v>49</v>
      </c>
      <c r="H9" s="1172">
        <f>'6'!$G$78</f>
        <v>408</v>
      </c>
      <c r="I9" s="1172">
        <f>'6'!$G$79</f>
        <v>191</v>
      </c>
      <c r="J9" s="1172">
        <f>'6'!$G$80</f>
        <v>336.52000000001863</v>
      </c>
      <c r="K9" s="1172">
        <f>'6'!$G$81</f>
        <v>162.35999999998603</v>
      </c>
      <c r="L9" s="1172">
        <f>'6'!$G$82</f>
        <v>8.9100000000034925</v>
      </c>
      <c r="M9" s="1172">
        <f>'6'!$G$58</f>
        <v>145.47999999999956</v>
      </c>
      <c r="N9" s="1172">
        <f>'6'!$G$83</f>
        <v>327</v>
      </c>
      <c r="O9" s="1172">
        <f>'6'!G86</f>
        <v>134.15999999997439</v>
      </c>
      <c r="P9" s="1172">
        <f>'6'!G87</f>
        <v>9.0999999999912689</v>
      </c>
      <c r="Q9" s="1172">
        <f>'6'!G88</f>
        <v>59.229999999981374</v>
      </c>
      <c r="R9" s="1172">
        <f>'6'!G89+'6'!G90</f>
        <v>55.499999999998636</v>
      </c>
      <c r="S9" s="1182">
        <f>'6'!$G$62</f>
        <v>0</v>
      </c>
      <c r="T9" s="1182">
        <f>'6'!$G$63</f>
        <v>15.75</v>
      </c>
      <c r="U9" s="1182">
        <f>'6'!$G$64</f>
        <v>350.0399999999936</v>
      </c>
      <c r="V9" s="1182">
        <f>'6'!$G$65</f>
        <v>398.81000000001222</v>
      </c>
      <c r="W9" s="1182">
        <f>'6'!$G$66</f>
        <v>394.01000000000931</v>
      </c>
      <c r="X9" s="1182">
        <f>'6'!$G$67</f>
        <v>701.36999999999534</v>
      </c>
      <c r="Y9" s="1182">
        <f>'6'!$G$68</f>
        <v>367.37000000000262</v>
      </c>
      <c r="Z9" s="1182">
        <f>'6'!$G$69</f>
        <v>298.0199999999968</v>
      </c>
      <c r="AA9" s="1182">
        <f>'6'!$G$84</f>
        <v>553</v>
      </c>
      <c r="AB9" s="1182">
        <f>'6'!$G$15</f>
        <v>745.69699999992736</v>
      </c>
      <c r="AC9" s="1221">
        <f>'6'!$G$123</f>
        <v>206.9890000000596</v>
      </c>
      <c r="AD9" s="1182">
        <f>'6'!$G$124</f>
        <v>0</v>
      </c>
      <c r="AE9" s="1182">
        <f>'6'!$G$125</f>
        <v>110.44000000000233</v>
      </c>
      <c r="AF9" s="1182">
        <f>'6'!$G$126</f>
        <v>28.5</v>
      </c>
      <c r="AG9" s="1182">
        <f>'6'!$G$127</f>
        <v>0</v>
      </c>
      <c r="AH9" s="1182">
        <f t="shared" si="0"/>
        <v>399.76799999986542</v>
      </c>
      <c r="AI9" s="1182">
        <f>'6'!$G$140</f>
        <v>0</v>
      </c>
      <c r="AJ9" s="1182">
        <f>'6'!$G$136</f>
        <v>6.9799999999995634</v>
      </c>
      <c r="AK9" s="1182">
        <f>'6'!$G$137</f>
        <v>0</v>
      </c>
      <c r="AL9" s="1182">
        <f>'6'!$G$138</f>
        <v>0</v>
      </c>
      <c r="AM9" s="1179">
        <f t="shared" si="1"/>
        <v>6.9799999999995634</v>
      </c>
    </row>
    <row r="10" spans="1:41" x14ac:dyDescent="0.25">
      <c r="A10" s="1181">
        <v>44050</v>
      </c>
      <c r="B10" s="1182">
        <f>'7'!G72</f>
        <v>16</v>
      </c>
      <c r="C10" s="1182">
        <f>'7'!$G$73</f>
        <v>50</v>
      </c>
      <c r="D10" s="1182">
        <f>'7'!$G$74</f>
        <v>64</v>
      </c>
      <c r="E10" s="1182">
        <f>'7'!$G$75</f>
        <v>178</v>
      </c>
      <c r="F10" s="1182">
        <f>'7'!$G$76</f>
        <v>84</v>
      </c>
      <c r="G10" s="1182">
        <f>'7'!$G$77</f>
        <v>48</v>
      </c>
      <c r="H10" s="1172">
        <f>'7'!$G$78</f>
        <v>434</v>
      </c>
      <c r="I10" s="1172">
        <f>'7'!$G$79</f>
        <v>189</v>
      </c>
      <c r="J10" s="1172">
        <f>'7'!$G$80</f>
        <v>356.9199999999837</v>
      </c>
      <c r="K10" s="1172">
        <f>'7'!$G$81</f>
        <v>195.23999999999069</v>
      </c>
      <c r="L10" s="1172">
        <f>'7'!$G$82</f>
        <v>28</v>
      </c>
      <c r="M10" s="1172">
        <f>'7'!$G$58</f>
        <v>104.90999999999985</v>
      </c>
      <c r="N10" s="1186">
        <f>'7'!$G$83</f>
        <v>351</v>
      </c>
      <c r="O10" s="1206">
        <f>'7'!G86</f>
        <v>206.32000000000698</v>
      </c>
      <c r="P10" s="1172">
        <f>'7'!G87</f>
        <v>29.30000000000291</v>
      </c>
      <c r="Q10" s="1172">
        <f>'7'!G88</f>
        <v>66.619999999995343</v>
      </c>
      <c r="R10" s="1172">
        <f>'7'!G89+'7'!G90</f>
        <v>61.799999999995634</v>
      </c>
      <c r="S10" s="1182">
        <f>'7'!$G$62</f>
        <v>0</v>
      </c>
      <c r="T10" s="1182">
        <f>'7'!$G$63</f>
        <v>14.410000000000082</v>
      </c>
      <c r="U10" s="1182">
        <f>'7'!$G$64</f>
        <v>359.84000000001106</v>
      </c>
      <c r="V10" s="1182">
        <f>'7'!$G$65</f>
        <v>410.75</v>
      </c>
      <c r="W10" s="1182">
        <f>'7'!$G$66</f>
        <v>403.56999999999243</v>
      </c>
      <c r="X10" s="1182">
        <f>'7'!$G$67</f>
        <v>766.07000000000698</v>
      </c>
      <c r="Y10" s="1186">
        <f>'7'!$G$68</f>
        <v>362.33000000000175</v>
      </c>
      <c r="Z10" s="1182">
        <f>'7'!$G$69</f>
        <v>293.18000000000029</v>
      </c>
      <c r="AA10" s="1182">
        <f>'7'!$G$84</f>
        <v>531</v>
      </c>
      <c r="AB10" s="1182">
        <f>'7'!$G$15</f>
        <v>709</v>
      </c>
      <c r="AC10" s="1221">
        <f>'7'!$G$123</f>
        <v>181.94999999995343</v>
      </c>
      <c r="AD10" s="1182">
        <f>'7'!$G$124</f>
        <v>0</v>
      </c>
      <c r="AE10" s="1182">
        <f>'7'!$G$125</f>
        <v>105.66000000000349</v>
      </c>
      <c r="AF10" s="1182">
        <f>'7'!$G$126</f>
        <v>32.100000000005821</v>
      </c>
      <c r="AG10" s="1182">
        <f>'7'!$G$127</f>
        <v>0</v>
      </c>
      <c r="AH10" s="1182">
        <f t="shared" si="0"/>
        <v>389.29000000003725</v>
      </c>
      <c r="AI10" s="1182">
        <f>'7'!$G$140</f>
        <v>0</v>
      </c>
      <c r="AJ10" s="1182">
        <f>'7'!$G$136</f>
        <v>3.8899999999994179</v>
      </c>
      <c r="AK10" s="1182">
        <f>'7'!$G$137</f>
        <v>0</v>
      </c>
      <c r="AL10" s="1182">
        <f>'7'!$G$138</f>
        <v>6.4599999999918509</v>
      </c>
      <c r="AM10" s="1179">
        <f t="shared" si="1"/>
        <v>10.349999999991269</v>
      </c>
    </row>
    <row r="11" spans="1:41" x14ac:dyDescent="0.25">
      <c r="A11" s="1181">
        <v>44051</v>
      </c>
      <c r="B11" s="1182">
        <f>'8'!G72</f>
        <v>75</v>
      </c>
      <c r="C11" s="1182">
        <f>'8'!$G$73</f>
        <v>2</v>
      </c>
      <c r="D11" s="1182">
        <f>'8'!$G$74</f>
        <v>71</v>
      </c>
      <c r="E11" s="1182">
        <f>'8'!$G$75</f>
        <v>182</v>
      </c>
      <c r="F11" s="1182">
        <f>'8'!$G$76</f>
        <v>75</v>
      </c>
      <c r="G11" s="1182">
        <f>'8'!$G$77</f>
        <v>52</v>
      </c>
      <c r="H11" s="1172">
        <f>'8'!$G$78</f>
        <v>437</v>
      </c>
      <c r="I11" s="1172">
        <f>'8'!$G$79</f>
        <v>187</v>
      </c>
      <c r="J11" s="1172">
        <f>'8'!$G$80</f>
        <v>324.32000000000698</v>
      </c>
      <c r="K11" s="1172">
        <f>'8'!$G$81</f>
        <v>163.80000000004657</v>
      </c>
      <c r="L11" s="1172">
        <f>'8'!$G$82</f>
        <v>41</v>
      </c>
      <c r="M11" s="1172">
        <f>'8'!$G$58</f>
        <v>178.86000000000058</v>
      </c>
      <c r="N11" s="1172">
        <f>'8'!$G$83</f>
        <v>368</v>
      </c>
      <c r="O11" s="1172">
        <f>'8'!G86</f>
        <v>172.23999999999069</v>
      </c>
      <c r="P11" s="1172">
        <f>'8'!G87</f>
        <v>34.69999999999709</v>
      </c>
      <c r="Q11" s="1172">
        <f>'8'!G88</f>
        <v>79.39000000001397</v>
      </c>
      <c r="R11" s="1172">
        <f>'8'!G89+'8'!G90</f>
        <v>59.599999999999909</v>
      </c>
      <c r="S11" s="1182">
        <f>'8'!$G$62</f>
        <v>0</v>
      </c>
      <c r="T11" s="1182">
        <f>'8'!$G$63</f>
        <v>12.719999999999914</v>
      </c>
      <c r="U11" s="1182">
        <f>'8'!$G$64</f>
        <v>366.48999999999069</v>
      </c>
      <c r="V11" s="1182">
        <f>'8'!$G$65</f>
        <v>382.76999999998952</v>
      </c>
      <c r="W11" s="1182">
        <f>'8'!$G$66</f>
        <v>401.27000000000407</v>
      </c>
      <c r="X11" s="1182">
        <f>'8'!$G$67</f>
        <v>732.78999999997905</v>
      </c>
      <c r="Y11" s="1182">
        <f>'8'!$G$68</f>
        <v>318.43999999999505</v>
      </c>
      <c r="Z11" s="1182">
        <f>'8'!$G$69</f>
        <v>294.54000000000087</v>
      </c>
      <c r="AA11" s="1182">
        <f>'8'!$G$84</f>
        <v>579</v>
      </c>
      <c r="AB11" s="1182">
        <f>'8'!$G$15</f>
        <v>776.34000000008382</v>
      </c>
      <c r="AC11" s="1182">
        <f>'8'!$G$123</f>
        <v>187.07999999995809</v>
      </c>
      <c r="AD11" s="1182">
        <f>'8'!$G$124</f>
        <v>0</v>
      </c>
      <c r="AE11" s="1182">
        <f>'8'!$G$125</f>
        <v>77.670000000012806</v>
      </c>
      <c r="AF11" s="1182">
        <f>'8'!$G$126</f>
        <v>22.099999999998545</v>
      </c>
      <c r="AG11" s="1182">
        <f>'8'!$G$127</f>
        <v>0</v>
      </c>
      <c r="AH11" s="1182">
        <f t="shared" si="0"/>
        <v>489.49000000011438</v>
      </c>
      <c r="AI11" s="1182">
        <f>'8'!$G$140</f>
        <v>0</v>
      </c>
      <c r="AJ11" s="1182">
        <f>'8'!$G$136</f>
        <v>9.2400000000016007</v>
      </c>
      <c r="AK11" s="1182">
        <f>'8'!$G$137</f>
        <v>0</v>
      </c>
      <c r="AL11" s="1182">
        <f>'8'!$G$138</f>
        <v>0</v>
      </c>
      <c r="AM11" s="1179">
        <f t="shared" si="1"/>
        <v>9.2400000000016007</v>
      </c>
    </row>
    <row r="12" spans="1:41" x14ac:dyDescent="0.25">
      <c r="A12" s="1181">
        <v>44052</v>
      </c>
      <c r="B12" s="1182">
        <f>'9'!G72</f>
        <v>72</v>
      </c>
      <c r="C12" s="1182">
        <f>'9'!$G$73</f>
        <v>3</v>
      </c>
      <c r="D12" s="1182">
        <f>'9'!$G$74</f>
        <v>29</v>
      </c>
      <c r="E12" s="1182">
        <f>'9'!$G$75</f>
        <v>176</v>
      </c>
      <c r="F12" s="1182">
        <f>'9'!$G$76</f>
        <v>97</v>
      </c>
      <c r="G12" s="1182">
        <f>'9'!$G$77</f>
        <v>51</v>
      </c>
      <c r="H12" s="1172">
        <f>'9'!$G$78</f>
        <v>459</v>
      </c>
      <c r="I12" s="1172">
        <f>'9'!$G$79</f>
        <v>194</v>
      </c>
      <c r="J12" s="1172">
        <f>'9'!$G$80</f>
        <v>344.40000000002328</v>
      </c>
      <c r="K12" s="1172">
        <f>'9'!$G$81</f>
        <v>194.95999999996275</v>
      </c>
      <c r="L12" s="1172">
        <f>'9'!$G$82</f>
        <v>43</v>
      </c>
      <c r="M12" s="1172">
        <f>'9'!$G$58</f>
        <v>177.92000000000189</v>
      </c>
      <c r="N12" s="1172">
        <f>'9'!$G$83</f>
        <v>380</v>
      </c>
      <c r="O12" s="1172">
        <f>'9'!G86</f>
        <v>182</v>
      </c>
      <c r="P12" s="1172">
        <f>'9'!G87</f>
        <v>31.30000000000291</v>
      </c>
      <c r="Q12" s="1172">
        <f>'9'!G88</f>
        <v>84</v>
      </c>
      <c r="R12" s="1172">
        <f>'9'!G89+'9'!H90</f>
        <v>52.100000000004457</v>
      </c>
      <c r="S12" s="1182">
        <f>'9'!$G$62</f>
        <v>0</v>
      </c>
      <c r="T12" s="1182">
        <f>'9'!$G$63</f>
        <v>12.420000000000073</v>
      </c>
      <c r="U12" s="1182">
        <f>'9'!$G$64</f>
        <v>363.07000000000698</v>
      </c>
      <c r="V12" s="1190">
        <f>'9'!$G$65</f>
        <v>411.05000000000291</v>
      </c>
      <c r="W12" s="1190">
        <f>'9'!$G$66</f>
        <v>399.02000000000407</v>
      </c>
      <c r="X12" s="1182">
        <f>'9'!$G$67</f>
        <v>770.67000000001281</v>
      </c>
      <c r="Y12" s="1182">
        <f>'9'!$G$68</f>
        <v>337.30000000000291</v>
      </c>
      <c r="Z12" s="1182">
        <f>'9'!$G$69</f>
        <v>297.02999999999884</v>
      </c>
      <c r="AA12" s="1182">
        <f>'9'!$G$84</f>
        <v>548</v>
      </c>
      <c r="AB12" s="1182">
        <f>'9'!$G$15</f>
        <v>820.58999999985099</v>
      </c>
      <c r="AC12" s="1182">
        <f>'9'!$G$123</f>
        <v>185.25</v>
      </c>
      <c r="AD12" s="1182">
        <f>'9'!$G$124</f>
        <v>0</v>
      </c>
      <c r="AE12" s="1182">
        <f>'9'!$G$125</f>
        <v>102.13000000000466</v>
      </c>
      <c r="AF12" s="1182">
        <f>'9'!$G$126</f>
        <v>37.19999999999709</v>
      </c>
      <c r="AG12" s="1182">
        <f>'9'!$G$127</f>
        <v>0</v>
      </c>
      <c r="AH12" s="1182">
        <f t="shared" si="0"/>
        <v>496.00999999984924</v>
      </c>
      <c r="AI12" s="1182">
        <f>'9'!$G$140</f>
        <v>0</v>
      </c>
      <c r="AJ12" s="1182">
        <f>'9'!$G$136</f>
        <v>8.819999999999709</v>
      </c>
      <c r="AK12" s="1182">
        <f>'9'!$G$137</f>
        <v>0</v>
      </c>
      <c r="AL12" s="1182">
        <f>'9'!$G$138</f>
        <v>0</v>
      </c>
      <c r="AM12" s="1179">
        <f t="shared" si="1"/>
        <v>8.819999999999709</v>
      </c>
    </row>
    <row r="13" spans="1:41" x14ac:dyDescent="0.25">
      <c r="A13" s="1181">
        <v>44053</v>
      </c>
      <c r="B13" s="1182">
        <f>'10'!G72</f>
        <v>190</v>
      </c>
      <c r="C13" s="1182">
        <f>'10'!$G$73</f>
        <v>3</v>
      </c>
      <c r="D13" s="1182">
        <f>'10'!$G$74</f>
        <v>28</v>
      </c>
      <c r="E13" s="1182">
        <f>'10'!$G$75</f>
        <v>185</v>
      </c>
      <c r="F13" s="1182">
        <f>'10'!$G$76</f>
        <v>100</v>
      </c>
      <c r="G13" s="1182">
        <f>'10'!$G$77</f>
        <v>54</v>
      </c>
      <c r="H13" s="1172">
        <f>'10'!$G$78</f>
        <v>430</v>
      </c>
      <c r="I13" s="1172">
        <f>'10'!$G$79</f>
        <v>212</v>
      </c>
      <c r="J13" s="1187">
        <f>'10'!$G$80</f>
        <v>324.35999999998603</v>
      </c>
      <c r="K13" s="1187">
        <f>'10'!$G$81</f>
        <v>193</v>
      </c>
      <c r="L13" s="1172">
        <f>'10'!$G$82</f>
        <v>23</v>
      </c>
      <c r="M13" s="1172">
        <f>'10'!$G$58</f>
        <v>161.98999999999796</v>
      </c>
      <c r="N13" s="1172">
        <f>'10'!$G$83</f>
        <v>349</v>
      </c>
      <c r="O13" s="1172">
        <f>'10'!G86</f>
        <v>196.44000000000233</v>
      </c>
      <c r="P13" s="1172">
        <f>'10'!G87</f>
        <v>34.80000000000291</v>
      </c>
      <c r="Q13" s="1172">
        <f>'10'!G88</f>
        <v>69</v>
      </c>
      <c r="R13" s="1172">
        <f>'10'!G87+'10'!H90</f>
        <v>39.500000000002728</v>
      </c>
      <c r="S13" s="1182">
        <f>'10'!$G$62</f>
        <v>0</v>
      </c>
      <c r="T13" s="1182">
        <f>'10'!$G$63</f>
        <v>12.089999999999918</v>
      </c>
      <c r="U13" s="1182">
        <f>'10'!$G$64</f>
        <v>387.66999999999825</v>
      </c>
      <c r="V13" s="1182">
        <f>'10'!$G$65</f>
        <v>425.22999999999593</v>
      </c>
      <c r="W13" s="1182">
        <f>'10'!$G$66</f>
        <v>421.05000000000291</v>
      </c>
      <c r="X13" s="1182">
        <f>'10'!$G$67</f>
        <v>747.20000000001164</v>
      </c>
      <c r="Y13" s="1182">
        <f>'10'!$G$68</f>
        <v>345.90999999999622</v>
      </c>
      <c r="Z13" s="1182">
        <f>'10'!$G$69</f>
        <v>303.33000000000175</v>
      </c>
      <c r="AA13" s="1182">
        <f>'10'!$G$84</f>
        <v>554</v>
      </c>
      <c r="AB13" s="1182">
        <f>'10'!$G$15</f>
        <v>827.6500000001397</v>
      </c>
      <c r="AC13" s="1182">
        <f>'10'!$G$123</f>
        <v>213.98999999999069</v>
      </c>
      <c r="AD13" s="1182">
        <f>'10'!$G$124</f>
        <v>0</v>
      </c>
      <c r="AE13" s="1182">
        <f>'10'!$G$125</f>
        <v>111.52999999999884</v>
      </c>
      <c r="AF13" s="1182">
        <f>'10'!$G$126</f>
        <v>29.599999999998545</v>
      </c>
      <c r="AG13" s="1182">
        <f>'10'!$G$127</f>
        <v>0</v>
      </c>
      <c r="AH13" s="1182">
        <f t="shared" si="0"/>
        <v>472.53000000015163</v>
      </c>
      <c r="AI13" s="1182">
        <f>'10'!$G$140</f>
        <v>0</v>
      </c>
      <c r="AJ13" s="1182">
        <f>'10'!$G$136</f>
        <v>8.3699999999989814</v>
      </c>
      <c r="AK13" s="1182">
        <f>'10'!$G$137</f>
        <v>0</v>
      </c>
      <c r="AL13" s="1182">
        <f>'10'!$G$138</f>
        <v>4.0000000008149073E-2</v>
      </c>
      <c r="AM13" s="1179">
        <f t="shared" si="1"/>
        <v>8.4100000000071304</v>
      </c>
    </row>
    <row r="14" spans="1:41" x14ac:dyDescent="0.25">
      <c r="A14" s="1181">
        <v>44054</v>
      </c>
      <c r="B14" s="1182">
        <f>'11'!G72</f>
        <v>190</v>
      </c>
      <c r="C14" s="1182">
        <f>'11'!$G$73</f>
        <v>3</v>
      </c>
      <c r="D14" s="1182">
        <f>'11'!$G$74</f>
        <v>28</v>
      </c>
      <c r="E14" s="1182">
        <f>'11'!$G$75</f>
        <v>185</v>
      </c>
      <c r="F14" s="1182">
        <f>'11'!$G$76</f>
        <v>100</v>
      </c>
      <c r="G14" s="1182">
        <f>'11'!$G$77</f>
        <v>54</v>
      </c>
      <c r="H14" s="1172">
        <f>'11'!$G$78</f>
        <v>430</v>
      </c>
      <c r="I14" s="1172">
        <f>'11'!$G$79</f>
        <v>212</v>
      </c>
      <c r="J14" s="1172">
        <f>'11'!$G$80</f>
        <v>324.35999999998603</v>
      </c>
      <c r="K14" s="1172">
        <f>'11'!$G$81</f>
        <v>193</v>
      </c>
      <c r="L14" s="1172">
        <f>'11'!$G$82</f>
        <v>23</v>
      </c>
      <c r="M14" s="1172">
        <f>'11'!$G$58</f>
        <v>161.98999999999796</v>
      </c>
      <c r="N14" s="1172">
        <f>'11'!$G$83</f>
        <v>349</v>
      </c>
      <c r="O14" s="1172">
        <f>'11'!G86</f>
        <v>196.44000000000233</v>
      </c>
      <c r="P14" s="1172">
        <f>'11'!G87</f>
        <v>34.80000000000291</v>
      </c>
      <c r="Q14" s="1172">
        <f>'11'!G88</f>
        <v>69</v>
      </c>
      <c r="R14" s="1172">
        <f>'11'!G87+'11'!H90</f>
        <v>39.500000000002728</v>
      </c>
      <c r="S14" s="1182">
        <f>'11'!$G$62</f>
        <v>0</v>
      </c>
      <c r="T14" s="1182">
        <f>'11'!$G$63</f>
        <v>12.089999999999918</v>
      </c>
      <c r="U14" s="1182">
        <f>'11'!$G$64</f>
        <v>387.66999999999825</v>
      </c>
      <c r="V14" s="1182">
        <f>'11'!$G$65</f>
        <v>425.22999999999593</v>
      </c>
      <c r="W14" s="1182">
        <f>'11'!$G$66</f>
        <v>421.05000000000291</v>
      </c>
      <c r="X14" s="1182">
        <f>'11'!$G$67</f>
        <v>747.20000000001164</v>
      </c>
      <c r="Y14" s="1182">
        <f>'11'!$G$68</f>
        <v>345.90999999999622</v>
      </c>
      <c r="Z14" s="1182">
        <f>'11'!$G$69</f>
        <v>303.33000000000175</v>
      </c>
      <c r="AA14" s="1182">
        <f>'11'!$G$84</f>
        <v>554</v>
      </c>
      <c r="AB14" s="1182">
        <f>'11'!$G$15</f>
        <v>827.6500000001397</v>
      </c>
      <c r="AC14" s="1182">
        <f>'11'!$G$123</f>
        <v>213.98999999999069</v>
      </c>
      <c r="AD14" s="1182">
        <f>'11'!$G$124</f>
        <v>0</v>
      </c>
      <c r="AE14" s="1182">
        <f>'11'!$G$125</f>
        <v>111.52999999999884</v>
      </c>
      <c r="AF14" s="1182">
        <f>'11'!$G$126</f>
        <v>29.599999999998545</v>
      </c>
      <c r="AG14" s="1182">
        <f>'11'!$G$127</f>
        <v>0</v>
      </c>
      <c r="AH14" s="1182">
        <f t="shared" si="0"/>
        <v>472.53000000015163</v>
      </c>
      <c r="AI14" s="1182">
        <f>'11'!$G$140</f>
        <v>0</v>
      </c>
      <c r="AJ14" s="1182">
        <f>'11'!$G$136</f>
        <v>8.3699999999989814</v>
      </c>
      <c r="AK14" s="1182">
        <f>'11'!$G$137</f>
        <v>0</v>
      </c>
      <c r="AL14" s="1182">
        <f>'11'!$G$138</f>
        <v>4.0000000008149073E-2</v>
      </c>
      <c r="AM14" s="1179">
        <f t="shared" si="1"/>
        <v>8.4100000000071304</v>
      </c>
    </row>
    <row r="15" spans="1:41" x14ac:dyDescent="0.25">
      <c r="A15" s="1181">
        <v>44055</v>
      </c>
      <c r="B15" s="1182">
        <f>'12'!G72</f>
        <v>140</v>
      </c>
      <c r="C15" s="1182">
        <f>'12'!$G$73</f>
        <v>50</v>
      </c>
      <c r="D15" s="1182">
        <f>'12'!$G$74</f>
        <v>25</v>
      </c>
      <c r="E15" s="1182">
        <f>'12'!$G$75</f>
        <v>191</v>
      </c>
      <c r="F15" s="1182">
        <f>'12'!$G$76</f>
        <v>116</v>
      </c>
      <c r="G15" s="1182">
        <f>'12'!$G$77</f>
        <v>59</v>
      </c>
      <c r="H15" s="1172">
        <f>'12'!$G$78</f>
        <v>368</v>
      </c>
      <c r="I15" s="1172">
        <f>'12'!$G$79</f>
        <v>198</v>
      </c>
      <c r="J15" s="1172">
        <f>'12'!$G$80</f>
        <v>357</v>
      </c>
      <c r="K15" s="1172">
        <f>'12'!$G$81</f>
        <v>127</v>
      </c>
      <c r="L15" s="1172">
        <f>'12'!$G$82</f>
        <v>78</v>
      </c>
      <c r="M15" s="1172">
        <f>'12'!$G$58</f>
        <v>148.5099999999984</v>
      </c>
      <c r="N15" s="1172">
        <f>'12'!$G$83</f>
        <v>380</v>
      </c>
      <c r="O15" s="1172">
        <f>'12'!G86</f>
        <v>96</v>
      </c>
      <c r="P15" s="1172">
        <f>'12'!G87</f>
        <v>30.100000000005821</v>
      </c>
      <c r="Q15" s="1172">
        <f>'12'!G88</f>
        <v>42</v>
      </c>
      <c r="R15" s="1172">
        <f>'12'!G87+'12'!H90</f>
        <v>31.200000000006185</v>
      </c>
      <c r="S15" s="1182">
        <f>'12'!$G$62</f>
        <v>0</v>
      </c>
      <c r="T15" s="1182">
        <f>'12'!$G$63</f>
        <v>11.810000000000059</v>
      </c>
      <c r="U15" s="1182">
        <f>'12'!$G$64</f>
        <v>358.02999999999884</v>
      </c>
      <c r="V15" s="1182">
        <f>'12'!$G$65</f>
        <v>418.76000000000931</v>
      </c>
      <c r="W15" s="1182">
        <f>'12'!$G$66</f>
        <v>416.06999999999243</v>
      </c>
      <c r="X15" s="1182">
        <f>'12'!$G$67</f>
        <v>741.17999999999302</v>
      </c>
      <c r="Y15" s="1182">
        <f>'12'!$G$68</f>
        <v>360.66999999999825</v>
      </c>
      <c r="Z15" s="1182">
        <f>'12'!$G$69</f>
        <v>299.59000000000378</v>
      </c>
      <c r="AA15" s="1182">
        <f>'12'!$G$84</f>
        <v>523</v>
      </c>
      <c r="AB15" s="1182">
        <f>'12'!$G$15</f>
        <v>790.01000000000931</v>
      </c>
      <c r="AC15" s="1221">
        <f>'12'!$G$123</f>
        <v>199.63000000000466</v>
      </c>
      <c r="AD15" s="1182">
        <f>'12'!$G$124</f>
        <v>0</v>
      </c>
      <c r="AE15" s="1207">
        <f>'12'!$G$125</f>
        <v>86.839999999996508</v>
      </c>
      <c r="AF15" s="1182">
        <f>'12'!$G$126</f>
        <v>37.19999999999709</v>
      </c>
      <c r="AG15" s="1182">
        <f>'12'!$G$127</f>
        <v>3.3999999999996362</v>
      </c>
      <c r="AH15" s="1182">
        <f t="shared" si="0"/>
        <v>462.94000000001142</v>
      </c>
      <c r="AI15" s="1182">
        <f>'12'!$G$140</f>
        <v>0</v>
      </c>
      <c r="AJ15" s="1182">
        <f>'12'!$G$136</f>
        <v>8.1000000000021828</v>
      </c>
      <c r="AK15" s="1182">
        <f>'12'!$G$137</f>
        <v>0</v>
      </c>
      <c r="AL15" s="1182">
        <f>'12'!$G$138</f>
        <v>0.88000000000465661</v>
      </c>
      <c r="AM15" s="1179">
        <f t="shared" si="1"/>
        <v>8.9800000000068394</v>
      </c>
      <c r="AO15" s="1188">
        <f>AC15-AE15</f>
        <v>112.79000000000815</v>
      </c>
    </row>
    <row r="16" spans="1:41" x14ac:dyDescent="0.25">
      <c r="A16" s="1181">
        <v>44056</v>
      </c>
      <c r="B16" s="1182">
        <f>'13'!G72</f>
        <v>85</v>
      </c>
      <c r="C16" s="1182">
        <f>'13'!$G$73</f>
        <v>2</v>
      </c>
      <c r="D16" s="1182">
        <f>'13'!$G$74</f>
        <v>29</v>
      </c>
      <c r="E16" s="1182">
        <f>'13'!$G$75</f>
        <v>188</v>
      </c>
      <c r="F16" s="1182">
        <f>'13'!$G$76</f>
        <v>99</v>
      </c>
      <c r="G16" s="1182">
        <f>'13'!$G$77</f>
        <v>57</v>
      </c>
      <c r="H16" s="1172">
        <f>'13'!$G$78</f>
        <v>380</v>
      </c>
      <c r="I16" s="1172">
        <f>'13'!$G$79</f>
        <v>190</v>
      </c>
      <c r="J16" s="1172">
        <f>'13'!$G$80</f>
        <v>346.84000000002561</v>
      </c>
      <c r="K16" s="1172">
        <f>'13'!$G$81</f>
        <v>154</v>
      </c>
      <c r="L16" s="1172">
        <f>'13'!$G$82</f>
        <v>69.580000000001746</v>
      </c>
      <c r="M16" s="1172">
        <f>'13'!$G$58</f>
        <v>132.09000000000015</v>
      </c>
      <c r="N16" s="1172">
        <f>'13'!$G$83</f>
        <v>390</v>
      </c>
      <c r="O16" s="1172">
        <f>'13'!G86</f>
        <v>24.64000000001397</v>
      </c>
      <c r="P16" s="1172">
        <f>'13'!G87</f>
        <v>22.799999999988358</v>
      </c>
      <c r="Q16" s="1172">
        <f>'13'!G88</f>
        <v>32</v>
      </c>
      <c r="R16" s="1172">
        <f>'13'!G87+'13'!H90</f>
        <v>24.799999999988358</v>
      </c>
      <c r="S16" s="1182">
        <f>'13'!$G$62</f>
        <v>0.18000000000029104</v>
      </c>
      <c r="T16" s="1182">
        <f>'13'!$G$63</f>
        <v>9.0599999999999454</v>
      </c>
      <c r="U16" s="1182">
        <f>'13'!$G$64</f>
        <v>358.36999999999534</v>
      </c>
      <c r="V16" s="1182">
        <f>'13'!$G$65</f>
        <v>399.36999999999534</v>
      </c>
      <c r="W16" s="1182">
        <f>'13'!$G$66</f>
        <v>407.6200000000099</v>
      </c>
      <c r="X16" s="1182">
        <f>'13'!$G$67</f>
        <v>662.67000000001281</v>
      </c>
      <c r="Y16" s="1182">
        <f>'13'!$G$68</f>
        <v>334.7300000000032</v>
      </c>
      <c r="Z16" s="1182">
        <f>'13'!$G$69</f>
        <v>293.55999999999767</v>
      </c>
      <c r="AA16" s="1182">
        <f>'13'!$G$84</f>
        <v>550</v>
      </c>
      <c r="AB16" s="1182">
        <f>'13'!$G$15</f>
        <v>787</v>
      </c>
      <c r="AC16" s="1221">
        <f>'13'!$G$123</f>
        <v>211.21999999997206</v>
      </c>
      <c r="AD16" s="1182">
        <f>'13'!$G$124</f>
        <v>0</v>
      </c>
      <c r="AE16" s="1182">
        <f>'13'!$G$125</f>
        <v>77.649999999994179</v>
      </c>
      <c r="AF16" s="1182">
        <f>'13'!$G$126</f>
        <v>44</v>
      </c>
      <c r="AG16" s="1182">
        <f>'13'!$G$127</f>
        <v>2.3999999999996362</v>
      </c>
      <c r="AH16" s="1182">
        <f t="shared" si="0"/>
        <v>451.73000000003412</v>
      </c>
      <c r="AI16" s="1182">
        <f>'13'!$G$140</f>
        <v>0</v>
      </c>
      <c r="AJ16" s="1182">
        <f>'13'!$G$136</f>
        <v>8.069999999999709</v>
      </c>
      <c r="AK16" s="1182">
        <f>'13'!$G$137</f>
        <v>0</v>
      </c>
      <c r="AL16" s="1182">
        <f>'13'!$G$138</f>
        <v>0</v>
      </c>
      <c r="AM16" s="1179">
        <f t="shared" si="1"/>
        <v>8.069999999999709</v>
      </c>
      <c r="AO16" s="1188">
        <f t="shared" ref="AO16:AO34" si="2">AC16-AH16</f>
        <v>-240.51000000006206</v>
      </c>
    </row>
    <row r="17" spans="1:41" x14ac:dyDescent="0.25">
      <c r="A17" s="1181">
        <v>44057</v>
      </c>
      <c r="B17" s="1182">
        <f>'14'!G72</f>
        <v>74</v>
      </c>
      <c r="C17" s="1182">
        <f>'14'!$G$73</f>
        <v>1</v>
      </c>
      <c r="D17" s="1182">
        <f>'14'!$G$74</f>
        <v>29</v>
      </c>
      <c r="E17" s="1182">
        <f>'14'!$G$75</f>
        <v>178</v>
      </c>
      <c r="F17" s="1182">
        <f>'14'!$G$76</f>
        <v>82</v>
      </c>
      <c r="G17" s="1182">
        <f>'14'!$G$77</f>
        <v>52</v>
      </c>
      <c r="H17" s="1172">
        <f>'14'!$G$78</f>
        <v>352</v>
      </c>
      <c r="I17" s="1172">
        <f>'14'!$G$79</f>
        <v>182</v>
      </c>
      <c r="J17" s="1172">
        <f>'14'!$G$80</f>
        <v>330.15999999997439</v>
      </c>
      <c r="K17" s="1172">
        <f>'14'!$G$81</f>
        <v>138</v>
      </c>
      <c r="L17" s="1172">
        <f>'14'!$G$82</f>
        <v>45.419999999998254</v>
      </c>
      <c r="M17" s="1172">
        <f>'14'!$G$58</f>
        <v>145</v>
      </c>
      <c r="N17" s="1172">
        <f>'14'!$G$83</f>
        <v>375</v>
      </c>
      <c r="O17" s="1172">
        <f>'14'!G86</f>
        <v>90.35999999998603</v>
      </c>
      <c r="P17" s="1172">
        <f>'14'!G87</f>
        <v>35.100000000005821</v>
      </c>
      <c r="Q17" s="1172">
        <f>'14'!G88</f>
        <v>74</v>
      </c>
      <c r="R17" s="1172">
        <f>'14'!G87+'14'!H90</f>
        <v>35.400000000006003</v>
      </c>
      <c r="S17" s="1182">
        <f>'14'!$G$62</f>
        <v>0</v>
      </c>
      <c r="T17" s="1182">
        <f>'14'!$G$63</f>
        <v>4.4800000000000182</v>
      </c>
      <c r="U17" s="1182">
        <f>'14'!$G$64</f>
        <v>362</v>
      </c>
      <c r="V17" s="1182">
        <f>'14'!$G$65</f>
        <v>396</v>
      </c>
      <c r="W17" s="1182">
        <f>'14'!$G$66</f>
        <v>394.11999999999534</v>
      </c>
      <c r="X17" s="1182">
        <f>'14'!$G$67</f>
        <v>697</v>
      </c>
      <c r="Y17" s="1182">
        <f>'14'!$G$68</f>
        <v>341</v>
      </c>
      <c r="Z17" s="1182">
        <f>'14'!$G$69</f>
        <v>282</v>
      </c>
      <c r="AA17" s="1182">
        <f>'14'!$G$84</f>
        <v>535</v>
      </c>
      <c r="AB17" s="1182">
        <f>'14'!$G$15</f>
        <v>786</v>
      </c>
      <c r="AC17" s="1182">
        <f>'14'!$G$123</f>
        <v>213</v>
      </c>
      <c r="AD17" s="1182">
        <f>'14'!$G$124</f>
        <v>0</v>
      </c>
      <c r="AE17" s="1182">
        <f>'14'!$G$125</f>
        <v>70</v>
      </c>
      <c r="AF17" s="1182">
        <f>'14'!$G$126</f>
        <v>23</v>
      </c>
      <c r="AG17" s="1182">
        <f>'14'!$G$127</f>
        <v>0</v>
      </c>
      <c r="AH17" s="1182">
        <f t="shared" si="0"/>
        <v>480</v>
      </c>
      <c r="AI17" s="1182">
        <f>'14'!$G$140</f>
        <v>0</v>
      </c>
      <c r="AJ17" s="1182">
        <f>'14'!$G$136</f>
        <v>8.7099999999991269</v>
      </c>
      <c r="AK17" s="1182">
        <f>'14'!$G$137</f>
        <v>6.0000000001309672E-2</v>
      </c>
      <c r="AL17" s="1182">
        <f>'14'!$G$138</f>
        <v>0</v>
      </c>
      <c r="AM17" s="1179">
        <f t="shared" si="1"/>
        <v>8.7700000000004366</v>
      </c>
      <c r="AO17" s="1188">
        <f>AC17-AH17</f>
        <v>-267</v>
      </c>
    </row>
    <row r="18" spans="1:41" x14ac:dyDescent="0.25">
      <c r="A18" s="1181">
        <v>44058</v>
      </c>
      <c r="B18" s="1182">
        <f>'15'!G72</f>
        <v>75</v>
      </c>
      <c r="C18" s="1182">
        <f>'15'!$G$73</f>
        <v>1</v>
      </c>
      <c r="D18" s="1182">
        <f>'15'!$G$74</f>
        <v>30</v>
      </c>
      <c r="E18" s="1182">
        <f>'15'!$G$75</f>
        <v>171</v>
      </c>
      <c r="F18" s="1182">
        <f>'15'!$G$76</f>
        <v>83</v>
      </c>
      <c r="G18" s="1182">
        <f>'15'!$G$77</f>
        <v>53</v>
      </c>
      <c r="H18" s="1172">
        <f>'15'!$G$78</f>
        <v>459</v>
      </c>
      <c r="I18" s="1172">
        <f>'15'!$G$79</f>
        <v>186</v>
      </c>
      <c r="J18" s="1172">
        <f>'15'!$G$80</f>
        <v>356</v>
      </c>
      <c r="K18" s="1172">
        <f>'15'!$G$81</f>
        <v>149</v>
      </c>
      <c r="L18" s="1172">
        <f>'15'!$G$82</f>
        <v>44</v>
      </c>
      <c r="M18" s="1172">
        <f>'15'!$G$58</f>
        <v>135</v>
      </c>
      <c r="N18" s="1172">
        <f>'15'!$G$83</f>
        <v>356</v>
      </c>
      <c r="O18" s="1172">
        <f>'15'!G86</f>
        <v>139</v>
      </c>
      <c r="P18" s="1172">
        <f>'15'!G87</f>
        <v>37</v>
      </c>
      <c r="Q18" s="1172">
        <f>'15'!G88</f>
        <v>84</v>
      </c>
      <c r="R18" s="1172">
        <f>'15'!G87+'15'!H90</f>
        <v>40</v>
      </c>
      <c r="S18" s="1182">
        <f>'15'!$G$62</f>
        <v>0</v>
      </c>
      <c r="T18" s="1182">
        <f>'15'!$G$63</f>
        <v>4</v>
      </c>
      <c r="U18" s="1182">
        <f>'15'!$G$64</f>
        <v>365</v>
      </c>
      <c r="V18" s="1182">
        <f>'15'!$G$65</f>
        <v>382</v>
      </c>
      <c r="W18" s="1182">
        <f>'15'!$G$66</f>
        <v>406</v>
      </c>
      <c r="X18" s="1182">
        <f>'15'!$G$67</f>
        <v>742</v>
      </c>
      <c r="Y18" s="1182">
        <f>'15'!$G$68</f>
        <v>362</v>
      </c>
      <c r="Z18" s="1182">
        <f>'15'!$G$69</f>
        <v>291</v>
      </c>
      <c r="AA18" s="1182">
        <f>'15'!$G$84</f>
        <v>562</v>
      </c>
      <c r="AB18" s="1182">
        <f>'15'!$G$15</f>
        <v>719</v>
      </c>
      <c r="AC18" s="1182">
        <f>'15'!$G$123</f>
        <v>236</v>
      </c>
      <c r="AD18" s="1182">
        <f>'15'!$G$124</f>
        <v>0</v>
      </c>
      <c r="AE18" s="1182">
        <f>'15'!$G$125</f>
        <v>54</v>
      </c>
      <c r="AF18" s="1182">
        <f>'15'!$G$126</f>
        <v>26</v>
      </c>
      <c r="AG18" s="1182">
        <f>'15'!$G$127</f>
        <v>3</v>
      </c>
      <c r="AH18" s="1182">
        <f t="shared" si="0"/>
        <v>400</v>
      </c>
      <c r="AI18" s="1182">
        <f>'15'!$G$140</f>
        <v>0</v>
      </c>
      <c r="AJ18" s="1182">
        <f>'15'!$G$136</f>
        <v>7.4899999999979627</v>
      </c>
      <c r="AK18" s="1182">
        <f>'15'!$G$137</f>
        <v>0</v>
      </c>
      <c r="AL18" s="1182">
        <f>'15'!$G$138</f>
        <v>0</v>
      </c>
      <c r="AM18" s="1179">
        <f t="shared" si="1"/>
        <v>7.4899999999979627</v>
      </c>
      <c r="AO18" s="1188">
        <f t="shared" si="2"/>
        <v>-164</v>
      </c>
    </row>
    <row r="19" spans="1:41" x14ac:dyDescent="0.25">
      <c r="A19" s="1181">
        <v>44059</v>
      </c>
      <c r="B19" s="1182">
        <f>'16'!G72</f>
        <v>80</v>
      </c>
      <c r="C19" s="1182">
        <f>'16'!$G$73</f>
        <v>3</v>
      </c>
      <c r="D19" s="1182">
        <f>'16'!$G$74</f>
        <v>24</v>
      </c>
      <c r="E19" s="1182">
        <f>'16'!$G$75</f>
        <v>176</v>
      </c>
      <c r="F19" s="1182">
        <f>'16'!$G$76</f>
        <v>100</v>
      </c>
      <c r="G19" s="1182">
        <f>'16'!$G$77</f>
        <v>54</v>
      </c>
      <c r="H19" s="1172">
        <f>'16'!$G$78</f>
        <v>412</v>
      </c>
      <c r="I19" s="1172">
        <f>'16'!$G$79</f>
        <v>193</v>
      </c>
      <c r="J19" s="1172">
        <f>'16'!$G$80</f>
        <v>271.40000000002328</v>
      </c>
      <c r="K19" s="1172">
        <f>'16'!$G$81</f>
        <v>109.64000000001397</v>
      </c>
      <c r="L19" s="1172">
        <f>'16'!$G$82</f>
        <v>11</v>
      </c>
      <c r="M19" s="1172">
        <f>'16'!$G$58</f>
        <v>28</v>
      </c>
      <c r="N19" s="1172">
        <f>'16'!$G$83</f>
        <v>333</v>
      </c>
      <c r="O19" s="1172">
        <f>'16'!G86</f>
        <v>127</v>
      </c>
      <c r="P19" s="1172">
        <f>'16'!G87</f>
        <v>33</v>
      </c>
      <c r="Q19" s="1172">
        <f>'16'!G88</f>
        <v>67</v>
      </c>
      <c r="R19" s="1172">
        <f>'16'!G87+'16'!H90</f>
        <v>42</v>
      </c>
      <c r="S19" s="1182">
        <f>'16'!$G$62</f>
        <v>0</v>
      </c>
      <c r="T19" s="1182">
        <f>'16'!$G$63</f>
        <v>4</v>
      </c>
      <c r="U19" s="1182">
        <f>'16'!$G$64</f>
        <v>387</v>
      </c>
      <c r="V19" s="1182">
        <f>'16'!$G$65</f>
        <v>387</v>
      </c>
      <c r="W19" s="1182">
        <f>'16'!$G$66</f>
        <v>400</v>
      </c>
      <c r="X19" s="1182">
        <f>'16'!$G$67</f>
        <v>732</v>
      </c>
      <c r="Y19" s="1182">
        <f>'16'!$G$68</f>
        <v>366</v>
      </c>
      <c r="Z19" s="1182">
        <f>'16'!$G$69</f>
        <v>299</v>
      </c>
      <c r="AA19" s="1182">
        <f>'16'!$G$84</f>
        <v>447</v>
      </c>
      <c r="AB19" s="1182">
        <f>'16'!$G$15</f>
        <v>410</v>
      </c>
      <c r="AC19" s="1221">
        <f>'16'!$G$123</f>
        <v>216</v>
      </c>
      <c r="AD19" s="1182">
        <f>'16'!$G$124</f>
        <v>-0.10000000000582077</v>
      </c>
      <c r="AE19" s="1182">
        <f>'16'!$G$125</f>
        <v>59</v>
      </c>
      <c r="AF19" s="1182">
        <f>'16'!$G$126</f>
        <v>33</v>
      </c>
      <c r="AG19" s="1182">
        <f>'16'!$G$127</f>
        <v>0</v>
      </c>
      <c r="AH19" s="1182">
        <f t="shared" si="0"/>
        <v>102.10000000000582</v>
      </c>
      <c r="AI19" s="1182">
        <f>'16'!$G$140</f>
        <v>0</v>
      </c>
      <c r="AJ19" s="1182">
        <f>'16'!$G$136</f>
        <v>5.0000000002910383E-2</v>
      </c>
      <c r="AK19" s="1182">
        <f>'16'!$G$137</f>
        <v>0</v>
      </c>
      <c r="AL19" s="1182">
        <f>'16'!$G$138</f>
        <v>0</v>
      </c>
      <c r="AM19" s="1179">
        <f t="shared" si="1"/>
        <v>5.0000000002910383E-2</v>
      </c>
      <c r="AO19" s="1188">
        <f t="shared" si="2"/>
        <v>113.89999999999418</v>
      </c>
    </row>
    <row r="20" spans="1:41" x14ac:dyDescent="0.25">
      <c r="A20" s="1181">
        <v>44060</v>
      </c>
      <c r="B20" s="1182">
        <f>'18'!G72</f>
        <v>52</v>
      </c>
      <c r="C20" s="1182">
        <f>'17'!$G$73</f>
        <v>1</v>
      </c>
      <c r="D20" s="1182">
        <f>'17'!$G$74</f>
        <v>27</v>
      </c>
      <c r="E20" s="1182">
        <f>'17'!$G$75</f>
        <v>165</v>
      </c>
      <c r="F20" s="1182">
        <f>'17'!$G$76</f>
        <v>72</v>
      </c>
      <c r="G20" s="1182">
        <f>'17'!$G$77</f>
        <v>60</v>
      </c>
      <c r="H20" s="1172">
        <f>'17'!$G$78</f>
        <v>400</v>
      </c>
      <c r="I20" s="1172">
        <f>'17'!$G$79</f>
        <v>186</v>
      </c>
      <c r="J20" s="1172">
        <f>'17'!$G$80</f>
        <v>312.59999999997672</v>
      </c>
      <c r="K20" s="1172">
        <f>'17'!$G$81</f>
        <v>154.35999999998603</v>
      </c>
      <c r="L20" s="1172">
        <f>'17'!$G$82</f>
        <v>59</v>
      </c>
      <c r="M20" s="1172">
        <f>'17'!$G$58</f>
        <v>152</v>
      </c>
      <c r="N20" s="1172">
        <f>'17'!$G$83</f>
        <v>341</v>
      </c>
      <c r="O20" s="1172">
        <f>'17'!G86</f>
        <v>133</v>
      </c>
      <c r="P20" s="1172">
        <f>'17'!G87</f>
        <v>32</v>
      </c>
      <c r="Q20" s="1172">
        <f>'17'!G88</f>
        <v>73</v>
      </c>
      <c r="R20" s="1172">
        <f>'17'!G87+'17'!H90</f>
        <v>35</v>
      </c>
      <c r="S20" s="1182">
        <f>'17'!$G$62</f>
        <v>0</v>
      </c>
      <c r="T20" s="1182">
        <f>'17'!$G$63</f>
        <v>4</v>
      </c>
      <c r="U20" s="1182">
        <f>'17'!$G$64</f>
        <v>366</v>
      </c>
      <c r="V20" s="1182">
        <f>'17'!$G$65</f>
        <v>376</v>
      </c>
      <c r="W20" s="1182">
        <f>'17'!$G$66</f>
        <v>384</v>
      </c>
      <c r="X20" s="1182">
        <f>'17'!$G$67</f>
        <v>711</v>
      </c>
      <c r="Y20" s="1182">
        <f>'17'!$G$68</f>
        <v>359</v>
      </c>
      <c r="Z20" s="1182">
        <f>'17'!$G$69</f>
        <v>288</v>
      </c>
      <c r="AA20" s="1182">
        <f>'17'!$G$84</f>
        <v>516</v>
      </c>
      <c r="AB20" s="1182">
        <f>'17'!$G$15</f>
        <v>787</v>
      </c>
      <c r="AC20" s="1182">
        <f>'17'!$G$123</f>
        <v>193</v>
      </c>
      <c r="AD20" s="1182">
        <f>'17'!$G$124</f>
        <v>0</v>
      </c>
      <c r="AE20" s="1182">
        <f>'17'!$G$125</f>
        <v>71</v>
      </c>
      <c r="AF20" s="1182">
        <f>'17'!$G$126</f>
        <v>38</v>
      </c>
      <c r="AG20" s="1182">
        <f>'17'!$G$127</f>
        <v>4</v>
      </c>
      <c r="AH20" s="1182">
        <f t="shared" si="0"/>
        <v>481</v>
      </c>
      <c r="AI20" s="1182">
        <f>'17'!$G$140</f>
        <v>0</v>
      </c>
      <c r="AJ20" s="1182">
        <f>'17'!$G$136</f>
        <v>0</v>
      </c>
      <c r="AK20" s="1182">
        <f>'17'!$G$137</f>
        <v>8.1899999999986903</v>
      </c>
      <c r="AL20" s="1182">
        <f>'17'!$G$138</f>
        <v>2.3300000000017462</v>
      </c>
      <c r="AM20" s="1179">
        <f t="shared" si="1"/>
        <v>10.520000000000437</v>
      </c>
      <c r="AO20" s="1188">
        <f t="shared" si="2"/>
        <v>-288</v>
      </c>
    </row>
    <row r="21" spans="1:41" x14ac:dyDescent="0.25">
      <c r="A21" s="1181">
        <v>44061</v>
      </c>
      <c r="B21" s="1182">
        <f>'18'!G72</f>
        <v>52</v>
      </c>
      <c r="C21" s="1182">
        <f>'18'!$G$73</f>
        <v>2</v>
      </c>
      <c r="D21" s="1182">
        <f>'18'!$G$74</f>
        <v>27</v>
      </c>
      <c r="E21" s="1182">
        <f>'18'!$G$75</f>
        <v>175</v>
      </c>
      <c r="F21" s="1182">
        <f>'18'!$G$76</f>
        <v>111</v>
      </c>
      <c r="G21" s="1182">
        <f>'18'!$G$77</f>
        <v>50</v>
      </c>
      <c r="H21" s="1172">
        <f>'18'!$G$78</f>
        <v>440</v>
      </c>
      <c r="I21" s="1172">
        <f>'18'!$G$79</f>
        <v>184</v>
      </c>
      <c r="J21" s="1186">
        <f>'18'!$G$80</f>
        <v>292</v>
      </c>
      <c r="K21" s="1186">
        <f>'18'!$G$81</f>
        <v>172</v>
      </c>
      <c r="L21" s="1186">
        <f>'18'!$G$82</f>
        <v>25</v>
      </c>
      <c r="M21" s="1186">
        <f>'18'!$G$58</f>
        <v>25</v>
      </c>
      <c r="N21" s="1186">
        <f>'18'!$G$83</f>
        <v>306</v>
      </c>
      <c r="O21" s="1186">
        <f>'18'!G86</f>
        <v>145</v>
      </c>
      <c r="P21" s="1172">
        <f>'18'!G87</f>
        <v>35</v>
      </c>
      <c r="Q21" s="1172">
        <f>'18'!G88</f>
        <v>84</v>
      </c>
      <c r="R21" s="1172">
        <f>'18'!G87+'18'!H90</f>
        <v>41</v>
      </c>
      <c r="S21" s="1182">
        <f>'18'!$G$62</f>
        <v>0</v>
      </c>
      <c r="T21" s="1182">
        <f>'18'!$G$63</f>
        <v>4</v>
      </c>
      <c r="U21" s="1182">
        <f>'18'!$G$64</f>
        <v>366</v>
      </c>
      <c r="V21" s="1182">
        <f>'18'!$G$65</f>
        <v>378</v>
      </c>
      <c r="W21" s="1182">
        <f>'18'!$G$66</f>
        <v>390</v>
      </c>
      <c r="X21" s="1182">
        <f>'18'!$G$67</f>
        <v>728</v>
      </c>
      <c r="Y21" s="1182">
        <f>'18'!$G$68</f>
        <v>342</v>
      </c>
      <c r="Z21" s="1182">
        <f>'18'!$G$69</f>
        <v>288</v>
      </c>
      <c r="AA21" s="1182">
        <f>'18'!$G$84</f>
        <v>483</v>
      </c>
      <c r="AB21" s="1182">
        <f>'18'!$G$15</f>
        <v>539</v>
      </c>
      <c r="AC21" s="1182">
        <f>'18'!$G$123</f>
        <v>206</v>
      </c>
      <c r="AD21" s="1182">
        <f>'18'!$G$124</f>
        <v>0</v>
      </c>
      <c r="AE21" s="1182">
        <f>'18'!$G$125</f>
        <v>92</v>
      </c>
      <c r="AF21" s="1182">
        <f>'18'!$G$126</f>
        <v>42</v>
      </c>
      <c r="AG21" s="1182">
        <f>'18'!$G$127</f>
        <v>5</v>
      </c>
      <c r="AH21" s="1182">
        <f t="shared" si="0"/>
        <v>194</v>
      </c>
      <c r="AI21" s="1182">
        <f>'18'!$G$140</f>
        <v>0</v>
      </c>
      <c r="AJ21" s="1182">
        <f>'18'!$G$136</f>
        <v>-5.0000000002910383E-2</v>
      </c>
      <c r="AK21" s="1182">
        <f>'18'!$G$137</f>
        <v>0</v>
      </c>
      <c r="AL21" s="1182">
        <f>'18'!$G$138</f>
        <v>6.1399999999994179</v>
      </c>
      <c r="AM21" s="1179">
        <f t="shared" si="1"/>
        <v>6.0899999999965075</v>
      </c>
      <c r="AO21" s="1188">
        <f t="shared" si="2"/>
        <v>12</v>
      </c>
    </row>
    <row r="22" spans="1:41" s="1185" customFormat="1" x14ac:dyDescent="0.25">
      <c r="A22" s="1183">
        <v>44062</v>
      </c>
      <c r="B22" s="1172">
        <f>'19'!G72</f>
        <v>78</v>
      </c>
      <c r="C22" s="1172">
        <f>'19'!$G$73</f>
        <v>41</v>
      </c>
      <c r="D22" s="1172">
        <f>'19'!$G$74</f>
        <v>54</v>
      </c>
      <c r="E22" s="1172">
        <f>'19'!$G$75</f>
        <v>177</v>
      </c>
      <c r="F22" s="1172">
        <f>'19'!$G$76</f>
        <v>83</v>
      </c>
      <c r="G22" s="1172">
        <f>'19'!$G$77</f>
        <v>58</v>
      </c>
      <c r="H22" s="1172">
        <f>'19'!$G$78</f>
        <v>445</v>
      </c>
      <c r="I22" s="1172">
        <f>'19'!$G$79</f>
        <v>175</v>
      </c>
      <c r="J22" s="1172">
        <f>'19'!$G$80</f>
        <v>304</v>
      </c>
      <c r="K22" s="1172">
        <f>'19'!$G$81</f>
        <v>161</v>
      </c>
      <c r="L22" s="1172">
        <f>'19'!$G$82</f>
        <v>32.119999999995343</v>
      </c>
      <c r="M22" s="1172">
        <f>'19'!$G$58</f>
        <v>80</v>
      </c>
      <c r="N22" s="1172">
        <f>'19'!$G$83</f>
        <v>376</v>
      </c>
      <c r="O22" s="1172">
        <f>'19'!G86</f>
        <v>78</v>
      </c>
      <c r="P22" s="1172">
        <f>'19'!G87</f>
        <v>12</v>
      </c>
      <c r="Q22" s="1172">
        <f>'19'!G88</f>
        <v>28</v>
      </c>
      <c r="R22" s="1172">
        <f>'19'!G87+'19'!H90</f>
        <v>13</v>
      </c>
      <c r="S22" s="1172">
        <f>'19'!$G$62</f>
        <v>0</v>
      </c>
      <c r="T22" s="1172">
        <f>'19'!$G$63</f>
        <v>3.2799999999999727</v>
      </c>
      <c r="U22" s="1172">
        <f>'19'!$G$64</f>
        <v>375</v>
      </c>
      <c r="V22" s="1172">
        <f>'19'!$G$65</f>
        <v>384</v>
      </c>
      <c r="W22" s="1172">
        <f>'19'!$G$66</f>
        <v>409</v>
      </c>
      <c r="X22" s="1172">
        <f>'19'!$G$67</f>
        <v>643</v>
      </c>
      <c r="Y22" s="1172">
        <f>'19'!$G$68</f>
        <v>327</v>
      </c>
      <c r="Z22" s="1172">
        <f>'19'!$G$69</f>
        <v>279</v>
      </c>
      <c r="AA22" s="1172">
        <f>'19'!$G$84</f>
        <v>456</v>
      </c>
      <c r="AB22" s="1172">
        <f>'19'!$G$15</f>
        <v>547.31000000005588</v>
      </c>
      <c r="AC22" s="1172">
        <f>'19'!$G$123</f>
        <v>231</v>
      </c>
      <c r="AD22" s="1172">
        <f>'19'!$G$124</f>
        <v>0</v>
      </c>
      <c r="AE22" s="1172">
        <f>'19'!$G$125</f>
        <v>64.420000000012806</v>
      </c>
      <c r="AF22" s="1172">
        <f>'19'!$G$126</f>
        <v>40</v>
      </c>
      <c r="AG22" s="1172">
        <f>'19'!$G$127</f>
        <v>1</v>
      </c>
      <c r="AH22" s="1172">
        <f t="shared" si="0"/>
        <v>210.89000000004307</v>
      </c>
      <c r="AI22" s="1172">
        <f>'19'!$G$140</f>
        <v>0</v>
      </c>
      <c r="AJ22" s="1172">
        <f>'19'!$G$136</f>
        <v>0</v>
      </c>
      <c r="AK22" s="1172">
        <f>'19'!$G$137</f>
        <v>0</v>
      </c>
      <c r="AL22" s="1172">
        <f>'19'!$G$138</f>
        <v>5.5099999999947613</v>
      </c>
      <c r="AM22" s="1184">
        <f t="shared" si="1"/>
        <v>5.5099999999947613</v>
      </c>
      <c r="AO22" s="1189">
        <f t="shared" si="2"/>
        <v>20.109999999956926</v>
      </c>
    </row>
    <row r="23" spans="1:41" x14ac:dyDescent="0.25">
      <c r="A23" s="1181">
        <v>44063</v>
      </c>
      <c r="B23" s="1182">
        <f>'20'!G72</f>
        <v>78</v>
      </c>
      <c r="C23" s="1182">
        <f>'20'!$G$73</f>
        <v>41</v>
      </c>
      <c r="D23" s="1182">
        <f>'20'!$G$74</f>
        <v>54</v>
      </c>
      <c r="E23" s="1182">
        <f>'20'!$G$75</f>
        <v>177</v>
      </c>
      <c r="F23" s="1182">
        <f>'20'!$G$76</f>
        <v>83</v>
      </c>
      <c r="G23" s="1182">
        <f>'20'!$G$77</f>
        <v>58</v>
      </c>
      <c r="H23" s="1172">
        <f>'20'!$G$78</f>
        <v>445</v>
      </c>
      <c r="I23" s="1172">
        <f>'20'!$G$79</f>
        <v>175</v>
      </c>
      <c r="J23" s="1172">
        <f>'20'!$G$80</f>
        <v>304</v>
      </c>
      <c r="K23" s="1172">
        <f>'20'!$G$81</f>
        <v>161</v>
      </c>
      <c r="L23" s="1172">
        <f>'20'!$G$82</f>
        <v>32.119999999995343</v>
      </c>
      <c r="M23" s="1172">
        <f>'20'!$G$58</f>
        <v>80</v>
      </c>
      <c r="N23" s="1172">
        <f>'20'!$G$83</f>
        <v>376</v>
      </c>
      <c r="O23" s="1172">
        <f>'20'!G86</f>
        <v>78</v>
      </c>
      <c r="P23" s="1172">
        <f>'20'!G87</f>
        <v>12</v>
      </c>
      <c r="Q23" s="1172">
        <f>'20'!G88</f>
        <v>28</v>
      </c>
      <c r="R23" s="1172">
        <f>'20'!G87+'20'!H90</f>
        <v>13</v>
      </c>
      <c r="S23" s="1182">
        <f>'20'!$G$62</f>
        <v>0</v>
      </c>
      <c r="T23" s="1182">
        <f>'20'!$G$63</f>
        <v>3.2799999999999727</v>
      </c>
      <c r="U23" s="1182">
        <f>'20'!$G$64</f>
        <v>375</v>
      </c>
      <c r="V23" s="1182">
        <f>'20'!$G$65</f>
        <v>384</v>
      </c>
      <c r="W23" s="1182">
        <f>'20'!$G$66</f>
        <v>409</v>
      </c>
      <c r="X23" s="1182">
        <f>'20'!$G$67</f>
        <v>643</v>
      </c>
      <c r="Y23" s="1182">
        <f>'20'!$G$68</f>
        <v>327</v>
      </c>
      <c r="Z23" s="1182">
        <f>'20'!$G$69</f>
        <v>279</v>
      </c>
      <c r="AA23" s="1182">
        <f>'20'!$G$84</f>
        <v>456</v>
      </c>
      <c r="AB23" s="1182">
        <f>'20'!$G$15</f>
        <v>547.31000000005588</v>
      </c>
      <c r="AC23" s="1182">
        <f>'20'!$G$123</f>
        <v>231</v>
      </c>
      <c r="AD23" s="1182">
        <f>'20'!$G$124</f>
        <v>0</v>
      </c>
      <c r="AE23" s="1182">
        <f>'20'!$G$125</f>
        <v>64.420000000012806</v>
      </c>
      <c r="AF23" s="1182">
        <f>'20'!$G$126</f>
        <v>40</v>
      </c>
      <c r="AG23" s="1182">
        <f>'20'!$G$127</f>
        <v>1</v>
      </c>
      <c r="AH23" s="1182">
        <f t="shared" si="0"/>
        <v>210.89000000004307</v>
      </c>
      <c r="AI23" s="1182">
        <f>'20'!$G$140</f>
        <v>0</v>
      </c>
      <c r="AJ23" s="1182">
        <f>'20'!$G$136</f>
        <v>0</v>
      </c>
      <c r="AK23" s="1182">
        <f>'20'!$G$137</f>
        <v>0</v>
      </c>
      <c r="AL23" s="1182">
        <f>'20'!$G$138</f>
        <v>5.5099999999947613</v>
      </c>
      <c r="AM23" s="1179">
        <f t="shared" si="1"/>
        <v>5.5099999999947613</v>
      </c>
      <c r="AO23" s="1188">
        <f t="shared" si="2"/>
        <v>20.109999999956926</v>
      </c>
    </row>
    <row r="24" spans="1:41" x14ac:dyDescent="0.25">
      <c r="A24" s="1181">
        <v>44064</v>
      </c>
      <c r="B24" s="1182">
        <f>'21'!G72</f>
        <v>62</v>
      </c>
      <c r="C24" s="1182">
        <f>'21'!$G$73</f>
        <v>2</v>
      </c>
      <c r="D24" s="1182">
        <f>'21'!$G$74</f>
        <v>40</v>
      </c>
      <c r="E24" s="1182">
        <f>'21'!$G$75</f>
        <v>172</v>
      </c>
      <c r="F24" s="1182">
        <f>'21'!$G$76</f>
        <v>94</v>
      </c>
      <c r="G24" s="1182">
        <f>'21'!$G$77</f>
        <v>54</v>
      </c>
      <c r="H24" s="1172">
        <f>'21'!$G$78</f>
        <v>449</v>
      </c>
      <c r="I24" s="1172">
        <f>'21'!$G$79</f>
        <v>185</v>
      </c>
      <c r="J24" s="1172">
        <f>'21'!$G$80</f>
        <v>324</v>
      </c>
      <c r="K24" s="1172">
        <f>'21'!$G$81</f>
        <v>178</v>
      </c>
      <c r="L24" s="1172">
        <f>'21'!$G$82</f>
        <v>24</v>
      </c>
      <c r="M24" s="1172">
        <f>'21'!$G$58</f>
        <v>241</v>
      </c>
      <c r="N24" s="1172">
        <f>'21'!$G$83</f>
        <v>357</v>
      </c>
      <c r="O24" s="1172">
        <f>'21'!G86</f>
        <v>123</v>
      </c>
      <c r="P24" s="1172">
        <f>'21'!G87</f>
        <v>32</v>
      </c>
      <c r="Q24" s="1172">
        <f>'21'!G88</f>
        <v>77</v>
      </c>
      <c r="R24" s="1172">
        <f>'21'!G87+'21'!H90</f>
        <v>36</v>
      </c>
      <c r="S24" s="1182">
        <f>'21'!$G$62</f>
        <v>0</v>
      </c>
      <c r="T24" s="1182">
        <f>'21'!$G$63</f>
        <v>5</v>
      </c>
      <c r="U24" s="1182">
        <f>'21'!$G$64</f>
        <v>395</v>
      </c>
      <c r="V24" s="1182">
        <f>'21'!$G$65</f>
        <v>380</v>
      </c>
      <c r="W24" s="1182">
        <f>'21'!$G$66</f>
        <v>408</v>
      </c>
      <c r="X24" s="1182">
        <f>'21'!$G$67</f>
        <v>858</v>
      </c>
      <c r="Y24" s="1182">
        <f>'21'!$G$68</f>
        <v>316</v>
      </c>
      <c r="Z24" s="1182">
        <f>'21'!$G$69</f>
        <v>282</v>
      </c>
      <c r="AA24" s="1182">
        <f>'21'!$G$84</f>
        <v>504</v>
      </c>
      <c r="AB24" s="1182">
        <f>'21'!$G$15</f>
        <v>812</v>
      </c>
      <c r="AC24" s="1182">
        <f>'21'!$G$123</f>
        <v>196</v>
      </c>
      <c r="AD24" s="1182">
        <f>'21'!$G$124</f>
        <v>0</v>
      </c>
      <c r="AE24" s="1182">
        <f>'21'!$G$125</f>
        <v>58</v>
      </c>
      <c r="AF24" s="1182">
        <f>'21'!$G$126</f>
        <v>45</v>
      </c>
      <c r="AG24" s="1182">
        <f>'21'!$G$127</f>
        <v>2</v>
      </c>
      <c r="AH24" s="1182">
        <f t="shared" si="0"/>
        <v>511</v>
      </c>
      <c r="AI24" s="1182">
        <f>'21'!$G$140</f>
        <v>0</v>
      </c>
      <c r="AJ24" s="1182">
        <f>'21'!$G$136</f>
        <v>0</v>
      </c>
      <c r="AK24" s="1182">
        <f>'21'!$G$137</f>
        <v>9.819999999999709</v>
      </c>
      <c r="AL24" s="1182">
        <f>'21'!$G$138</f>
        <v>2</v>
      </c>
      <c r="AM24" s="1179">
        <f t="shared" si="1"/>
        <v>11.819999999999709</v>
      </c>
      <c r="AO24" s="1188">
        <f t="shared" si="2"/>
        <v>-315</v>
      </c>
    </row>
    <row r="25" spans="1:41" x14ac:dyDescent="0.25">
      <c r="A25" s="1181">
        <v>44065</v>
      </c>
      <c r="B25" s="1182">
        <f>'22'!G72</f>
        <v>103</v>
      </c>
      <c r="C25" s="1182">
        <f>'22'!$G$73</f>
        <v>1</v>
      </c>
      <c r="D25" s="1182">
        <f>'22'!$G$74</f>
        <v>40</v>
      </c>
      <c r="E25" s="1182">
        <f>'22'!$G$75</f>
        <v>160</v>
      </c>
      <c r="F25" s="1182">
        <f>'22'!$G$76</f>
        <v>80</v>
      </c>
      <c r="G25" s="1182">
        <f>'22'!$G$77</f>
        <v>50</v>
      </c>
      <c r="H25" s="1172">
        <f>'22'!$G$78</f>
        <v>394</v>
      </c>
      <c r="I25" s="1172">
        <f>'22'!$G$79</f>
        <v>186</v>
      </c>
      <c r="J25" s="1172">
        <f>'22'!$G$80</f>
        <v>300</v>
      </c>
      <c r="K25" s="1172">
        <f>'22'!$G$81</f>
        <v>157</v>
      </c>
      <c r="L25" s="1172">
        <f>'22'!$G$82</f>
        <v>13</v>
      </c>
      <c r="M25" s="1172">
        <f>'22'!$G$58</f>
        <v>313</v>
      </c>
      <c r="N25" s="1172">
        <f>'22'!$G$83</f>
        <v>322</v>
      </c>
      <c r="O25" s="1172">
        <f>'22'!G86</f>
        <v>119</v>
      </c>
      <c r="P25" s="1172">
        <f>'22'!G87</f>
        <v>37</v>
      </c>
      <c r="Q25" s="1172">
        <f>'22'!G88</f>
        <v>64</v>
      </c>
      <c r="R25" s="1172">
        <f>'22'!G87+'22'!H90</f>
        <v>43</v>
      </c>
      <c r="S25" s="1182">
        <f>'22'!$G$62</f>
        <v>0</v>
      </c>
      <c r="T25" s="1182">
        <f>'22'!$G$63</f>
        <v>4</v>
      </c>
      <c r="U25" s="1182">
        <f>'22'!$G$64</f>
        <v>441</v>
      </c>
      <c r="V25" s="1182">
        <f>'22'!$G$65</f>
        <v>395</v>
      </c>
      <c r="W25" s="1182">
        <f>'22'!$G$66</f>
        <v>424</v>
      </c>
      <c r="X25" s="1182">
        <f>'22'!$G$67</f>
        <v>683</v>
      </c>
      <c r="Y25" s="1182">
        <f>'22'!$G$68</f>
        <v>319</v>
      </c>
      <c r="Z25" s="1182">
        <f>'22'!$G$69</f>
        <v>288</v>
      </c>
      <c r="AA25" s="1182">
        <f>'22'!$G$84</f>
        <v>510</v>
      </c>
      <c r="AB25" s="1182">
        <f>'22'!$G$15</f>
        <v>691</v>
      </c>
      <c r="AC25" s="1221">
        <f>'22'!$G$123</f>
        <v>218</v>
      </c>
      <c r="AD25" s="1182">
        <f>'22'!$G$124</f>
        <v>0</v>
      </c>
      <c r="AE25" s="1182">
        <f>'22'!$G$125</f>
        <v>80</v>
      </c>
      <c r="AF25" s="1182">
        <f>'22'!$G$126</f>
        <v>21</v>
      </c>
      <c r="AG25" s="1182">
        <f>'22'!$G$127</f>
        <v>1</v>
      </c>
      <c r="AH25" s="1182">
        <f t="shared" si="0"/>
        <v>371</v>
      </c>
      <c r="AI25" s="1182">
        <f>'22'!$G$140</f>
        <v>7.2800000000006548</v>
      </c>
      <c r="AJ25" s="1182">
        <f>'22'!$G$136</f>
        <v>7.1200000000026193</v>
      </c>
      <c r="AK25" s="1182">
        <f>'22'!$G$137</f>
        <v>-1.0000000002037268E-2</v>
      </c>
      <c r="AL25" s="1182">
        <f>'22'!$G$138</f>
        <v>0</v>
      </c>
      <c r="AM25" s="1179">
        <f t="shared" si="1"/>
        <v>7.1100000000005821</v>
      </c>
      <c r="AO25" s="1188">
        <f t="shared" si="2"/>
        <v>-153</v>
      </c>
    </row>
    <row r="26" spans="1:41" x14ac:dyDescent="0.25">
      <c r="A26" s="1181">
        <v>44066</v>
      </c>
      <c r="B26" s="1182">
        <f>'23'!G72</f>
        <v>65</v>
      </c>
      <c r="C26" s="1182">
        <f>'23'!G72</f>
        <v>65</v>
      </c>
      <c r="D26" s="1182">
        <f>'23'!$G$74</f>
        <v>35</v>
      </c>
      <c r="E26" s="1182">
        <f>'23'!$G$75</f>
        <v>174</v>
      </c>
      <c r="F26" s="1182">
        <f>'23'!$G$76</f>
        <v>81</v>
      </c>
      <c r="G26" s="1182">
        <f>'23'!$G$77</f>
        <v>52</v>
      </c>
      <c r="H26" s="1172">
        <f>'23'!$G$78</f>
        <v>363</v>
      </c>
      <c r="I26" s="1172">
        <f>'23'!$G$79</f>
        <v>172</v>
      </c>
      <c r="J26" s="1172">
        <f>'23'!$G$80</f>
        <v>285</v>
      </c>
      <c r="K26" s="1172">
        <f>'23'!$G$81</f>
        <v>162</v>
      </c>
      <c r="L26" s="1172">
        <f>'23'!$G$82</f>
        <v>31</v>
      </c>
      <c r="M26" s="1172">
        <f>'23'!$G$58</f>
        <v>262</v>
      </c>
      <c r="N26" s="1219">
        <f>'23'!$G$83</f>
        <v>336</v>
      </c>
      <c r="O26" s="1172">
        <f>'23'!$G$86</f>
        <v>118</v>
      </c>
      <c r="P26" s="1172">
        <f>'23'!G87</f>
        <v>37</v>
      </c>
      <c r="Q26" s="1172">
        <f>'23'!G88</f>
        <v>91</v>
      </c>
      <c r="R26" s="1172">
        <f>'23'!G87+'23'!H90</f>
        <v>41</v>
      </c>
      <c r="S26" s="1182">
        <f>'23'!$G$62</f>
        <v>-0.2000000000007276</v>
      </c>
      <c r="T26" s="1182">
        <f>'23'!$G$63</f>
        <v>4</v>
      </c>
      <c r="U26" s="1182">
        <f>'23'!$G$64</f>
        <v>392</v>
      </c>
      <c r="V26" s="1182">
        <f>'23'!$G$65</f>
        <v>401</v>
      </c>
      <c r="W26" s="1182">
        <f>'23'!$G$66</f>
        <v>399</v>
      </c>
      <c r="X26" s="1182">
        <f>'23'!$G$67</f>
        <v>694</v>
      </c>
      <c r="Y26" s="1182">
        <f>'23'!$G$68</f>
        <v>324</v>
      </c>
      <c r="Z26" s="1182">
        <f>'23'!$G$69</f>
        <v>282</v>
      </c>
      <c r="AA26" s="1182">
        <f>'23'!$G$84</f>
        <v>464</v>
      </c>
      <c r="AB26" s="1182">
        <f>'23'!$G$15</f>
        <v>725</v>
      </c>
      <c r="AC26" s="1182">
        <f>'23'!$G$123</f>
        <v>195</v>
      </c>
      <c r="AD26" s="1182">
        <f>'23'!$G$124</f>
        <v>0</v>
      </c>
      <c r="AE26" s="1182">
        <f>'23'!$G$125</f>
        <v>57</v>
      </c>
      <c r="AF26" s="1182">
        <f>'23'!$G$126</f>
        <v>36</v>
      </c>
      <c r="AG26" s="1182">
        <f>'23'!$G$127</f>
        <v>2</v>
      </c>
      <c r="AH26" s="1182">
        <f t="shared" si="0"/>
        <v>435</v>
      </c>
      <c r="AI26" s="1182">
        <f>'23'!$G$140</f>
        <v>6.5</v>
      </c>
      <c r="AJ26" s="1182">
        <f>'23'!$G$136</f>
        <v>0</v>
      </c>
      <c r="AK26" s="1182">
        <f>'23'!$G$137</f>
        <v>8.0900000000001455</v>
      </c>
      <c r="AL26" s="1182">
        <f>'23'!$G$138</f>
        <v>0</v>
      </c>
      <c r="AM26" s="1179">
        <f t="shared" si="1"/>
        <v>8.0900000000001455</v>
      </c>
      <c r="AO26" s="1188">
        <f t="shared" si="2"/>
        <v>-240</v>
      </c>
    </row>
    <row r="27" spans="1:41" s="1222" customFormat="1" x14ac:dyDescent="0.25">
      <c r="A27" s="1183">
        <v>44067</v>
      </c>
      <c r="B27" s="1172">
        <f>'23'!G73</f>
        <v>2</v>
      </c>
      <c r="C27" s="1172">
        <f>'23'!G73</f>
        <v>2</v>
      </c>
      <c r="D27" s="1172">
        <f>'24'!$G$74</f>
        <v>37</v>
      </c>
      <c r="E27" s="1172">
        <f>'24'!$G$75</f>
        <v>180</v>
      </c>
      <c r="F27" s="1172">
        <f>'24'!$G$76</f>
        <v>78</v>
      </c>
      <c r="G27" s="1172">
        <f>'24'!$G$77</f>
        <v>49</v>
      </c>
      <c r="H27" s="1172">
        <f>'24'!$G$78</f>
        <v>354</v>
      </c>
      <c r="I27" s="1172">
        <f>'24'!$G$79</f>
        <v>171</v>
      </c>
      <c r="J27" s="1172">
        <f>'24'!$G$80</f>
        <v>281</v>
      </c>
      <c r="K27" s="1172">
        <f>'24'!$G$81</f>
        <v>158</v>
      </c>
      <c r="L27" s="1172">
        <f>'24'!$G$82</f>
        <v>16</v>
      </c>
      <c r="M27" s="1172">
        <f>'24'!$G$58</f>
        <v>197</v>
      </c>
      <c r="N27" s="1172">
        <f>'24'!$G$83</f>
        <v>330</v>
      </c>
      <c r="O27" s="1172">
        <f>'24'!G86</f>
        <v>107</v>
      </c>
      <c r="P27" s="1172">
        <f>'24'!G87</f>
        <v>30</v>
      </c>
      <c r="Q27" s="1172">
        <f>'24'!G88</f>
        <v>100</v>
      </c>
      <c r="R27" s="1172">
        <f>'24'!G87+'24'!H90</f>
        <v>33</v>
      </c>
      <c r="S27" s="1172">
        <f>'24'!$G$62</f>
        <v>0.18000000000029104</v>
      </c>
      <c r="T27" s="1172">
        <f>'24'!$G$63</f>
        <v>2</v>
      </c>
      <c r="U27" s="1172">
        <f>'24'!$G$64</f>
        <v>376</v>
      </c>
      <c r="V27" s="1172">
        <f>'24'!$G$65</f>
        <v>405</v>
      </c>
      <c r="W27" s="1172">
        <f>'24'!$G$66</f>
        <v>395</v>
      </c>
      <c r="X27" s="1172">
        <f>'24'!$G$67</f>
        <v>696</v>
      </c>
      <c r="Y27" s="1172">
        <f>'24'!$G$68</f>
        <v>329</v>
      </c>
      <c r="Z27" s="1172">
        <f>'24'!$G$69</f>
        <v>285</v>
      </c>
      <c r="AA27" s="1172">
        <f>'24'!$G$84</f>
        <v>477</v>
      </c>
      <c r="AB27" s="1172">
        <f>'24'!$G$15</f>
        <v>719</v>
      </c>
      <c r="AC27" s="1221">
        <f>'24'!$G$123</f>
        <v>215</v>
      </c>
      <c r="AD27" s="1221">
        <f>'24'!$G$124</f>
        <v>0</v>
      </c>
      <c r="AE27" s="1221">
        <f>'24'!$G$125</f>
        <v>93</v>
      </c>
      <c r="AF27" s="1172">
        <f>'24'!$G$126</f>
        <v>40</v>
      </c>
      <c r="AG27" s="1172">
        <f>'24'!$G$127</f>
        <v>2</v>
      </c>
      <c r="AH27" s="1221">
        <f>AB27-SUM(AC27:AG27)</f>
        <v>369</v>
      </c>
      <c r="AI27" s="1172">
        <f>'24'!$G$140</f>
        <v>7.1499999999996362</v>
      </c>
      <c r="AJ27" s="1172">
        <f>'24'!$G$136</f>
        <v>3.0499999999992724</v>
      </c>
      <c r="AK27" s="1172">
        <f>'24'!$G$137</f>
        <v>1</v>
      </c>
      <c r="AL27" s="1172">
        <f>'24'!$G$138</f>
        <v>3.1499999999941792</v>
      </c>
      <c r="AM27" s="1184">
        <f t="shared" si="1"/>
        <v>7.1999999999934516</v>
      </c>
      <c r="AO27" s="1223">
        <f t="shared" si="2"/>
        <v>-154</v>
      </c>
    </row>
    <row r="28" spans="1:41" x14ac:dyDescent="0.25">
      <c r="A28" s="1181">
        <v>44068</v>
      </c>
      <c r="B28" s="1182">
        <f>'25'!G72</f>
        <v>110</v>
      </c>
      <c r="C28" s="1182">
        <f>'25'!$G$73</f>
        <v>2</v>
      </c>
      <c r="D28" s="1182">
        <f>'25'!$G$74</f>
        <v>44</v>
      </c>
      <c r="E28" s="1182">
        <f>'25'!$G$75</f>
        <v>179</v>
      </c>
      <c r="F28" s="1182">
        <f>'25'!$G$76</f>
        <v>81</v>
      </c>
      <c r="G28" s="1182">
        <f>'25'!$G$77</f>
        <v>45</v>
      </c>
      <c r="H28" s="1172">
        <f>'25'!$G$78</f>
        <v>374</v>
      </c>
      <c r="I28" s="1172">
        <f>'25'!$G$79</f>
        <v>190</v>
      </c>
      <c r="J28" s="1172">
        <f>'25'!$G$80</f>
        <v>354</v>
      </c>
      <c r="K28" s="1172">
        <f>'25'!$G$81</f>
        <v>179</v>
      </c>
      <c r="L28" s="1172">
        <f>'25'!$G$82</f>
        <v>19</v>
      </c>
      <c r="M28" s="1172">
        <f>'25'!$G$58</f>
        <v>156.4900000000016</v>
      </c>
      <c r="N28" s="1172">
        <f>'25'!$G$83</f>
        <v>361</v>
      </c>
      <c r="O28" s="1172">
        <f>'25'!G86</f>
        <v>42</v>
      </c>
      <c r="P28" s="1172">
        <f>'25'!G87</f>
        <v>17</v>
      </c>
      <c r="Q28" s="1172">
        <f>'25'!G88</f>
        <v>32</v>
      </c>
      <c r="R28" s="1172">
        <f>'25'!G87+'25'!H90</f>
        <v>18</v>
      </c>
      <c r="S28" s="1182">
        <f>'25'!$G$62</f>
        <v>0</v>
      </c>
      <c r="T28" s="1182">
        <f>'25'!$G$63</f>
        <v>4.6400000000001</v>
      </c>
      <c r="U28" s="1182">
        <f>'25'!$G$64</f>
        <v>365.80999999999767</v>
      </c>
      <c r="V28" s="1182">
        <f>'25'!$G$65</f>
        <v>409.00999999999476</v>
      </c>
      <c r="W28" s="1182">
        <f>'25'!$G$66</f>
        <v>414</v>
      </c>
      <c r="X28" s="1182">
        <f>'25'!$G$67</f>
        <v>718.42000000001281</v>
      </c>
      <c r="Y28" s="1182">
        <f>'25'!$G$68</f>
        <v>296.91300000000047</v>
      </c>
      <c r="Z28" s="1182">
        <f>'25'!$G$69</f>
        <v>292.79000000000087</v>
      </c>
      <c r="AA28" s="1182">
        <f>'25'!$G$84</f>
        <v>454</v>
      </c>
      <c r="AB28" s="1182">
        <f>'25'!$G$15</f>
        <v>712.52000000001863</v>
      </c>
      <c r="AC28" s="1182">
        <f>'25'!$G$123</f>
        <v>243.07999999995809</v>
      </c>
      <c r="AD28" s="1182">
        <f>'25'!$G$124</f>
        <v>0</v>
      </c>
      <c r="AE28" s="1182">
        <f>'25'!$G$125</f>
        <v>91.660000000003492</v>
      </c>
      <c r="AF28" s="1182">
        <f>'25'!$G$126</f>
        <v>45.30000000000291</v>
      </c>
      <c r="AG28" s="1182">
        <f>'25'!$G$127</f>
        <v>5.5</v>
      </c>
      <c r="AH28" s="1182">
        <f t="shared" si="0"/>
        <v>326.98000000005413</v>
      </c>
      <c r="AI28" s="1182">
        <f>'25'!$G$140</f>
        <v>8.0200000000004366</v>
      </c>
      <c r="AJ28" s="1182">
        <f>'25'!$G$136</f>
        <v>4.4000000000014552</v>
      </c>
      <c r="AK28" s="1182">
        <f>'25'!$G$137</f>
        <v>0</v>
      </c>
      <c r="AL28" s="1182">
        <f>'25'!$G$138</f>
        <v>2.2200000000011642</v>
      </c>
      <c r="AM28" s="1179">
        <f t="shared" si="1"/>
        <v>6.6200000000026193</v>
      </c>
      <c r="AO28" s="1188">
        <f t="shared" si="2"/>
        <v>-83.900000000096043</v>
      </c>
    </row>
    <row r="29" spans="1:41" x14ac:dyDescent="0.25">
      <c r="A29" s="1181">
        <v>44069</v>
      </c>
      <c r="B29" s="1182">
        <f>'26'!G72</f>
        <v>98</v>
      </c>
      <c r="C29" s="1182">
        <f>'26'!$G$73</f>
        <v>3</v>
      </c>
      <c r="D29" s="1182">
        <f>'26'!$G$74</f>
        <v>45</v>
      </c>
      <c r="E29" s="1182">
        <f>'26'!$G$75</f>
        <v>181</v>
      </c>
      <c r="F29" s="1182">
        <f>'26'!$G$76</f>
        <v>68</v>
      </c>
      <c r="G29" s="1182">
        <f>'26'!$G$77</f>
        <v>69</v>
      </c>
      <c r="H29" s="1172">
        <f>'26'!$G$78</f>
        <v>468</v>
      </c>
      <c r="I29" s="1172">
        <f>'26'!$G$79</f>
        <v>190</v>
      </c>
      <c r="J29" s="1172">
        <f>'26'!$G$80</f>
        <v>363.64000000001397</v>
      </c>
      <c r="K29" s="1172">
        <f>'26'!$G$81</f>
        <v>172.64000000001397</v>
      </c>
      <c r="L29" s="1172">
        <f>'26'!$G$82</f>
        <v>35.470000000001164</v>
      </c>
      <c r="M29" s="1172">
        <f>'26'!$G$58</f>
        <v>183.48999999999796</v>
      </c>
      <c r="N29" s="1172">
        <f>'26'!$G$83</f>
        <v>390</v>
      </c>
      <c r="O29" s="1172">
        <f>'26'!G86</f>
        <v>117</v>
      </c>
      <c r="P29" s="1172">
        <f>'26'!G87</f>
        <v>11.19999999999709</v>
      </c>
      <c r="Q29" s="1172">
        <f>'26'!G88</f>
        <v>59</v>
      </c>
      <c r="R29" s="1172">
        <f>'26'!G87+'26'!H90</f>
        <v>12.399999999996908</v>
      </c>
      <c r="S29" s="1182">
        <f>'26'!$G$62</f>
        <v>0</v>
      </c>
      <c r="T29" s="1182">
        <f>'26'!$G$63</f>
        <v>4.209999999999809</v>
      </c>
      <c r="U29" s="1182">
        <f>'26'!$G$64</f>
        <v>366.10000000000582</v>
      </c>
      <c r="V29" s="1182">
        <f>'26'!$G$65</f>
        <v>422.05000000000291</v>
      </c>
      <c r="W29" s="1182">
        <f>'26'!$G$66</f>
        <v>419.45</v>
      </c>
      <c r="X29" s="1182">
        <f>'26'!$G$67</f>
        <v>713.9199999999837</v>
      </c>
      <c r="Y29" s="1182">
        <f>'26'!$G$68</f>
        <v>294.8070000000007</v>
      </c>
      <c r="Z29" s="1182">
        <f>'26'!$G$69</f>
        <v>283.69000000000233</v>
      </c>
      <c r="AA29" s="1182">
        <f>'26'!$G$84</f>
        <v>515</v>
      </c>
      <c r="AB29" s="1182">
        <f>'26'!$G$15</f>
        <v>822.59000000008382</v>
      </c>
      <c r="AC29" s="1182">
        <f>'26'!$G$123</f>
        <v>225.61999999999534</v>
      </c>
      <c r="AD29" s="1182">
        <f>'26'!$G$124</f>
        <v>0.30000000000291038</v>
      </c>
      <c r="AE29" s="1182">
        <f>'26'!$G$125</f>
        <v>89.35999999998603</v>
      </c>
      <c r="AF29" s="1182">
        <f>'26'!$G$126</f>
        <v>37.399999999994179</v>
      </c>
      <c r="AG29" s="1182">
        <f>'26'!$G$127</f>
        <v>1.7999999999992724</v>
      </c>
      <c r="AH29" s="1182">
        <f t="shared" si="0"/>
        <v>468.11000000010608</v>
      </c>
      <c r="AI29" s="1182">
        <f>'26'!$G$140</f>
        <v>7.4699999999993452</v>
      </c>
      <c r="AJ29" s="1182">
        <f>'26'!$G$136</f>
        <v>8.0599999999976717</v>
      </c>
      <c r="AK29" s="1182">
        <f>'26'!$G$137</f>
        <v>0</v>
      </c>
      <c r="AL29" s="1182">
        <f>'26'!$G$138</f>
        <v>0</v>
      </c>
      <c r="AM29" s="1179">
        <f t="shared" si="1"/>
        <v>8.0599999999976717</v>
      </c>
      <c r="AO29" s="1188">
        <f t="shared" si="2"/>
        <v>-242.49000000011074</v>
      </c>
    </row>
    <row r="30" spans="1:41" x14ac:dyDescent="0.25">
      <c r="A30" s="1181">
        <v>44070</v>
      </c>
      <c r="B30" s="1182">
        <f>'27'!G72</f>
        <v>111</v>
      </c>
      <c r="C30" s="1182">
        <f>'27'!$G$73</f>
        <v>2</v>
      </c>
      <c r="D30" s="1182">
        <f>'27'!$G$74</f>
        <v>58</v>
      </c>
      <c r="E30" s="1182">
        <f>'27'!$G$75</f>
        <v>180</v>
      </c>
      <c r="F30" s="1182">
        <f>'27'!$G$76</f>
        <v>56</v>
      </c>
      <c r="G30" s="1182">
        <f>'27'!$G$77</f>
        <v>56</v>
      </c>
      <c r="H30" s="1172">
        <f>'27'!$G$78</f>
        <v>435</v>
      </c>
      <c r="I30" s="1172">
        <f>'27'!$G$79</f>
        <v>189</v>
      </c>
      <c r="J30" s="1172">
        <f>'27'!$G$80</f>
        <v>332.35999999998603</v>
      </c>
      <c r="K30" s="1172">
        <f>'27'!$G$81</f>
        <v>140.35999999998603</v>
      </c>
      <c r="L30" s="1172">
        <f>'27'!$G$82</f>
        <v>7.5299999999988358</v>
      </c>
      <c r="M30" s="1172">
        <f>'27'!$G$58</f>
        <v>221.09000000000015</v>
      </c>
      <c r="N30" s="1172">
        <f>'27'!$G$83</f>
        <v>363</v>
      </c>
      <c r="O30" s="1172">
        <f>'27'!G86</f>
        <v>65</v>
      </c>
      <c r="P30" s="1172">
        <f>'27'!G87</f>
        <v>7.5</v>
      </c>
      <c r="Q30" s="1172">
        <f>'27'!G88</f>
        <v>33</v>
      </c>
      <c r="R30" s="1172">
        <f>'27'!G87+'27'!H90</f>
        <v>8.4000000000000909</v>
      </c>
      <c r="S30" s="1182">
        <f>'27'!$G$62</f>
        <v>-0.18000000000029104</v>
      </c>
      <c r="T30" s="1182">
        <f>'27'!$G$63</f>
        <v>4.1500000000000909</v>
      </c>
      <c r="U30" s="1182">
        <f>'27'!$G$64</f>
        <v>372.11000000000058</v>
      </c>
      <c r="V30" s="1182">
        <f>'27'!$G$65</f>
        <v>441.80000000000291</v>
      </c>
      <c r="W30" s="1182">
        <f>'27'!$G$66</f>
        <v>414.4</v>
      </c>
      <c r="X30" s="1182">
        <f>'27'!$G$67</f>
        <v>762.95000000001164</v>
      </c>
      <c r="Y30" s="1182">
        <f>'27'!$G$68</f>
        <v>303.15000000000146</v>
      </c>
      <c r="Z30" s="1182">
        <f>'27'!$G$69</f>
        <v>285.14999999999418</v>
      </c>
      <c r="AA30" s="1182">
        <f>'27'!$G$84</f>
        <v>464</v>
      </c>
      <c r="AB30" s="1182">
        <f>'27'!$G$15</f>
        <v>702.02999999979511</v>
      </c>
      <c r="AC30" s="1182">
        <f>'27'!$G$123</f>
        <v>220.97000000008848</v>
      </c>
      <c r="AD30" s="1182">
        <f>'27'!$G$124</f>
        <v>-0.30000000000291038</v>
      </c>
      <c r="AE30" s="1182">
        <f>'27'!$G$125</f>
        <v>85.800000000017462</v>
      </c>
      <c r="AF30" s="1182">
        <f>'27'!$G$126</f>
        <v>32.700000000004366</v>
      </c>
      <c r="AG30" s="1182">
        <f>'27'!$G$127</f>
        <v>4.1000000000003638</v>
      </c>
      <c r="AH30" s="1182">
        <f t="shared" si="0"/>
        <v>358.75999999968735</v>
      </c>
      <c r="AI30" s="1182">
        <f>'27'!$G$140</f>
        <v>7.3500000000003638</v>
      </c>
      <c r="AJ30" s="1182">
        <f>'27'!$G$136</f>
        <v>0</v>
      </c>
      <c r="AK30" s="1182">
        <f>'27'!$G$137</f>
        <v>6.1000000000021828</v>
      </c>
      <c r="AL30" s="1182">
        <f>'27'!$G$138</f>
        <v>0</v>
      </c>
      <c r="AM30" s="1179">
        <f t="shared" si="1"/>
        <v>6.1000000000021828</v>
      </c>
      <c r="AO30" s="1188">
        <f t="shared" si="2"/>
        <v>-137.78999999959888</v>
      </c>
    </row>
    <row r="31" spans="1:41" x14ac:dyDescent="0.25">
      <c r="A31" s="1181">
        <v>44071</v>
      </c>
      <c r="B31" s="1182">
        <f>'28'!G72</f>
        <v>86</v>
      </c>
      <c r="C31" s="1182">
        <f>'28'!$G$73</f>
        <v>2</v>
      </c>
      <c r="D31" s="1182">
        <f>'28'!$G$74</f>
        <v>35</v>
      </c>
      <c r="E31" s="1182">
        <f>'28'!$G$75</f>
        <v>180</v>
      </c>
      <c r="F31" s="1182">
        <f>'28'!$G$76</f>
        <v>65</v>
      </c>
      <c r="G31" s="1182">
        <f>'28'!$G$77</f>
        <v>61</v>
      </c>
      <c r="H31" s="1172">
        <f>'28'!$G$78</f>
        <v>377</v>
      </c>
      <c r="I31" s="1172">
        <f>'28'!$G$79</f>
        <v>184</v>
      </c>
      <c r="J31" s="1172">
        <f>'28'!$G$80</f>
        <v>317</v>
      </c>
      <c r="K31" s="1172">
        <f>'28'!$G$81</f>
        <v>137</v>
      </c>
      <c r="L31" s="1172">
        <f>'28'!$G$82</f>
        <v>32</v>
      </c>
      <c r="M31" s="1172">
        <f>'28'!$G$58</f>
        <v>218.47999999999956</v>
      </c>
      <c r="N31" s="1172">
        <f>'28'!$G$83</f>
        <v>345</v>
      </c>
      <c r="O31" s="1172">
        <f>'28'!G86</f>
        <v>81</v>
      </c>
      <c r="P31" s="1172">
        <f>'28'!G87</f>
        <v>24</v>
      </c>
      <c r="Q31" s="1172">
        <f>'28'!G88</f>
        <v>51</v>
      </c>
      <c r="R31" s="1172">
        <f>'28'!G87+'28'!H90</f>
        <v>27.400000000000091</v>
      </c>
      <c r="S31" s="1182">
        <f>'28'!$G$62</f>
        <v>0.18700000000171713</v>
      </c>
      <c r="T31" s="1182">
        <f>'28'!$G$63</f>
        <v>4.2699999999999818</v>
      </c>
      <c r="U31" s="1182">
        <f>'28'!$G$64</f>
        <v>378.89999999999418</v>
      </c>
      <c r="V31" s="1182">
        <f>'28'!$G$65</f>
        <v>411.38999999999942</v>
      </c>
      <c r="W31" s="1182">
        <f>'28'!$G$66</f>
        <v>394.46999999999991</v>
      </c>
      <c r="X31" s="1182">
        <f>'28'!$G$67</f>
        <v>699.27999999999884</v>
      </c>
      <c r="Y31" s="1182">
        <f>'28'!$G$68</f>
        <v>333.34999999999854</v>
      </c>
      <c r="Z31" s="1182">
        <f>'28'!$G$69</f>
        <v>288.81999999999971</v>
      </c>
      <c r="AA31" s="1182">
        <f>'28'!$G$84</f>
        <v>482</v>
      </c>
      <c r="AB31" s="1182">
        <f>'28'!$G$15</f>
        <v>776.81000000005588</v>
      </c>
      <c r="AC31" s="1182">
        <f>'28'!$G$123</f>
        <v>210.76000000000931</v>
      </c>
      <c r="AD31" s="1182">
        <f>'28'!$G$124</f>
        <v>0.10000000000582077</v>
      </c>
      <c r="AE31" s="1182">
        <f>'28'!$G$125</f>
        <v>65.079999999987194</v>
      </c>
      <c r="AF31" s="1182">
        <f>'28'!$G$126</f>
        <v>7.6999999999970896</v>
      </c>
      <c r="AG31" s="1182">
        <f>'28'!$G$127</f>
        <v>0.6000000000003638</v>
      </c>
      <c r="AH31" s="1182">
        <f t="shared" si="0"/>
        <v>492.5700000000561</v>
      </c>
      <c r="AI31" s="1182">
        <f>'28'!$G$140</f>
        <v>6.8999999999996362</v>
      </c>
      <c r="AJ31" s="1182">
        <f>'28'!$G$136</f>
        <v>0</v>
      </c>
      <c r="AK31" s="1182">
        <f>'28'!$G$137</f>
        <v>8.7399999999979627</v>
      </c>
      <c r="AL31" s="1182">
        <f>'28'!$G$138</f>
        <v>0</v>
      </c>
      <c r="AM31" s="1179">
        <f t="shared" si="1"/>
        <v>8.7399999999979627</v>
      </c>
      <c r="AO31" s="1188">
        <f t="shared" si="2"/>
        <v>-281.81000000004678</v>
      </c>
    </row>
    <row r="32" spans="1:41" x14ac:dyDescent="0.25">
      <c r="A32" s="1181">
        <v>44072</v>
      </c>
      <c r="B32" s="1182">
        <f>'29'!G72</f>
        <v>64</v>
      </c>
      <c r="C32" s="1182">
        <f>'29'!$G$73</f>
        <v>1</v>
      </c>
      <c r="D32" s="1182">
        <f>'29'!$G$74</f>
        <v>34</v>
      </c>
      <c r="E32" s="1182">
        <f>'29'!$G$75</f>
        <v>158</v>
      </c>
      <c r="F32" s="1182">
        <f>'29'!$G$76</f>
        <v>103</v>
      </c>
      <c r="G32" s="1182">
        <f>'29'!$G$77</f>
        <v>55</v>
      </c>
      <c r="H32" s="1182">
        <f>'29'!$G$78</f>
        <v>359</v>
      </c>
      <c r="I32" s="1182">
        <f>'29'!$G$79</f>
        <v>190</v>
      </c>
      <c r="J32" s="1182">
        <f>'29'!$G$80</f>
        <v>301</v>
      </c>
      <c r="K32" s="1182">
        <f>'29'!$G$81</f>
        <v>115</v>
      </c>
      <c r="L32" s="1182">
        <f>'29'!$G$82</f>
        <v>9</v>
      </c>
      <c r="M32" s="1182">
        <f>'29'!$G$58</f>
        <v>188.52000000000044</v>
      </c>
      <c r="N32" s="1182">
        <f>'29'!$G$83</f>
        <v>338</v>
      </c>
      <c r="O32" s="1182">
        <f>'29'!G86</f>
        <v>79</v>
      </c>
      <c r="P32" s="1182">
        <f>'29'!G87</f>
        <v>22.69999999999709</v>
      </c>
      <c r="Q32" s="1182">
        <f>'29'!G88</f>
        <v>75</v>
      </c>
      <c r="R32" s="1182">
        <f>'29'!G87+'29'!H90</f>
        <v>25.69999999999709</v>
      </c>
      <c r="S32" s="1182">
        <f>'29'!$G$62</f>
        <v>-7.0000000014260877E-3</v>
      </c>
      <c r="T32" s="1182">
        <f>'29'!$G$63</f>
        <v>3.7300000000000182</v>
      </c>
      <c r="U32" s="1182">
        <f>'29'!$G$64</f>
        <v>396.77999999999884</v>
      </c>
      <c r="V32" s="1182">
        <f>'29'!$G$65</f>
        <v>400.75</v>
      </c>
      <c r="W32" s="1182">
        <f>'29'!$G$66</f>
        <v>365.13000000000011</v>
      </c>
      <c r="X32" s="1182">
        <f>'29'!$G$67</f>
        <v>636.42999999999302</v>
      </c>
      <c r="Y32" s="1182">
        <f>'29'!$G$68</f>
        <v>305.77999999999884</v>
      </c>
      <c r="Z32" s="1182">
        <f>'29'!$G$69</f>
        <v>285.45000000000437</v>
      </c>
      <c r="AA32" s="1182">
        <f>'29'!$G$84</f>
        <v>481</v>
      </c>
      <c r="AB32" s="1182">
        <f>'29'!$G$15</f>
        <v>690.05000000004657</v>
      </c>
      <c r="AC32" s="1182">
        <f>'29'!$G$123</f>
        <v>248.56999999994878</v>
      </c>
      <c r="AD32" s="1182">
        <f>'29'!$G$124</f>
        <v>0.19999999999708962</v>
      </c>
      <c r="AE32" s="1182">
        <f>'29'!$G$125</f>
        <v>56.100000000005821</v>
      </c>
      <c r="AF32" s="1182">
        <f>'29'!$G$126</f>
        <v>50.700000000004366</v>
      </c>
      <c r="AG32" s="1182">
        <f>'29'!$G$127</f>
        <v>0</v>
      </c>
      <c r="AH32" s="1182">
        <f t="shared" si="0"/>
        <v>334.48000000009051</v>
      </c>
      <c r="AI32" s="1182">
        <f>'29'!$G$140</f>
        <v>8.2000000000007276</v>
      </c>
      <c r="AJ32" s="1182">
        <f>'29'!$G$136</f>
        <v>5.819999999999709</v>
      </c>
      <c r="AK32" s="1182">
        <f>'29'!$G$137</f>
        <v>0</v>
      </c>
      <c r="AL32" s="1182">
        <f>'29'!$G$138</f>
        <v>0</v>
      </c>
      <c r="AM32" s="1179">
        <f t="shared" si="1"/>
        <v>5.819999999999709</v>
      </c>
      <c r="AO32" s="1188">
        <f t="shared" si="2"/>
        <v>-85.910000000141736</v>
      </c>
    </row>
    <row r="33" spans="1:41" s="1185" customFormat="1" x14ac:dyDescent="0.25">
      <c r="A33" s="1181">
        <v>44073</v>
      </c>
      <c r="B33" s="1172">
        <f>'30'!G72</f>
        <v>94</v>
      </c>
      <c r="C33" s="1172">
        <f>'30'!$G$73</f>
        <v>2</v>
      </c>
      <c r="D33" s="1172">
        <f>'30'!$G$74</f>
        <v>31</v>
      </c>
      <c r="E33" s="1172">
        <f>'30'!$G$75</f>
        <v>160</v>
      </c>
      <c r="F33" s="1172">
        <f>'30'!$G$76</f>
        <v>115</v>
      </c>
      <c r="G33" s="1172">
        <f>'30'!$G$77</f>
        <v>57</v>
      </c>
      <c r="H33" s="1172">
        <f>'30'!$G$78</f>
        <v>325</v>
      </c>
      <c r="I33" s="1172">
        <f>'30'!$G$79</f>
        <v>177</v>
      </c>
      <c r="J33" s="1172">
        <f>'30'!$G$80</f>
        <v>313.88000000000466</v>
      </c>
      <c r="K33" s="1172">
        <f>'30'!$G$81</f>
        <v>124.04000000003725</v>
      </c>
      <c r="L33" s="1172">
        <f>'30'!$G$82</f>
        <v>35</v>
      </c>
      <c r="M33" s="1172">
        <f>'30'!$G$58</f>
        <v>159.06000000000131</v>
      </c>
      <c r="N33" s="1172">
        <f>'30'!$G$83</f>
        <v>313</v>
      </c>
      <c r="O33" s="1172">
        <f>'30'!G86</f>
        <v>41.840000000025611</v>
      </c>
      <c r="P33" s="1172">
        <f>'30'!G87</f>
        <v>24.900000000008731</v>
      </c>
      <c r="Q33" s="1172">
        <f>'30'!G88</f>
        <v>61.529999999998836</v>
      </c>
      <c r="R33" s="1172">
        <f>'30'!G87+'30'!H90</f>
        <v>27.900000000008731</v>
      </c>
      <c r="S33" s="1172">
        <f>'30'!$G$62</f>
        <v>0</v>
      </c>
      <c r="T33" s="1172">
        <f>'30'!$G$63</f>
        <v>4.7300000000000182</v>
      </c>
      <c r="U33" s="1172">
        <f>'30'!$G$64</f>
        <v>454.74000000000524</v>
      </c>
      <c r="V33" s="1172">
        <f>'30'!$G$65</f>
        <v>398.86000000000058</v>
      </c>
      <c r="W33" s="1172">
        <f>'30'!$G$66</f>
        <v>371.08999999999992</v>
      </c>
      <c r="X33" s="1172">
        <f>'30'!$G$67</f>
        <v>598.61999999999534</v>
      </c>
      <c r="Y33" s="1172">
        <f>'30'!$G$68</f>
        <v>261.81999999999971</v>
      </c>
      <c r="Z33" s="1172">
        <f>'30'!$G$69</f>
        <v>276.54000000000087</v>
      </c>
      <c r="AA33" s="1172">
        <f>'30'!$G$84</f>
        <v>483</v>
      </c>
      <c r="AB33" s="1172">
        <f>'30'!$G$15</f>
        <v>786</v>
      </c>
      <c r="AC33" s="1172">
        <f>'30'!$G$123</f>
        <v>264.69999999995343</v>
      </c>
      <c r="AD33" s="1172">
        <f>'30'!$G$124</f>
        <v>0</v>
      </c>
      <c r="AE33" s="1172">
        <f>'30'!$G$125</f>
        <v>64</v>
      </c>
      <c r="AF33" s="1172">
        <f>'30'!$G$126</f>
        <v>30.5</v>
      </c>
      <c r="AG33" s="1172">
        <f>'30'!$G$127</f>
        <v>2</v>
      </c>
      <c r="AH33" s="1172">
        <f t="shared" si="0"/>
        <v>424.80000000004657</v>
      </c>
      <c r="AI33" s="1172">
        <f>'30'!$G$140</f>
        <v>8.7199999999993452</v>
      </c>
      <c r="AJ33" s="1172">
        <f>'30'!$G$136</f>
        <v>0</v>
      </c>
      <c r="AK33" s="1172">
        <f>'30'!$G$137</f>
        <v>7.7400000000016007</v>
      </c>
      <c r="AL33" s="1172">
        <f>'30'!$G$138</f>
        <v>0</v>
      </c>
      <c r="AM33" s="1184">
        <f t="shared" si="1"/>
        <v>7.7400000000016007</v>
      </c>
      <c r="AO33" s="1189">
        <f t="shared" si="2"/>
        <v>-160.10000000009313</v>
      </c>
    </row>
    <row r="34" spans="1:41" x14ac:dyDescent="0.25">
      <c r="A34" s="1181">
        <v>44074</v>
      </c>
      <c r="B34" s="1182">
        <f>'31'!G72</f>
        <v>-3044</v>
      </c>
      <c r="C34" s="1182">
        <f>'31'!$G$73</f>
        <v>-528</v>
      </c>
      <c r="D34" s="1182">
        <f>'31'!$G$74</f>
        <v>-2595</v>
      </c>
      <c r="E34" s="1182">
        <f>'31'!$G$74</f>
        <v>-2595</v>
      </c>
      <c r="F34" s="1182">
        <f>'31'!$G$76</f>
        <v>-6201</v>
      </c>
      <c r="G34" s="1172">
        <f>'31'!$G$77</f>
        <v>-5796</v>
      </c>
      <c r="H34" s="1172">
        <f>'31'!$G$78</f>
        <v>-30669</v>
      </c>
      <c r="I34" s="1172">
        <f>'31'!$G$79</f>
        <v>-19453</v>
      </c>
      <c r="J34" s="1172">
        <f>'31'!$G$80</f>
        <v>-33223.880000000005</v>
      </c>
      <c r="K34" s="1172">
        <f>'31'!$G$81</f>
        <v>-15275.040000000037</v>
      </c>
      <c r="L34" s="1172">
        <f>'31'!$G$82</f>
        <v>-2587</v>
      </c>
      <c r="M34" s="1172">
        <f>'31'!$G$58</f>
        <v>-11016.76</v>
      </c>
      <c r="N34" s="1172">
        <f>'31'!$G$83</f>
        <v>-35382</v>
      </c>
      <c r="O34" s="1172">
        <f>'31'!G86</f>
        <v>-17204</v>
      </c>
      <c r="P34" s="1172">
        <f>'31'!G88</f>
        <v>-9209.5299999999988</v>
      </c>
      <c r="Q34" s="1172">
        <f>'31'!G89</f>
        <v>-7642.9000000000015</v>
      </c>
      <c r="R34" s="1172">
        <f>'31'!G87+'31'!H90</f>
        <v>-3583.299999999997</v>
      </c>
      <c r="S34" s="1182">
        <f>'31'!$G$62</f>
        <v>8.9999999981955625E-3</v>
      </c>
      <c r="T34" s="1182">
        <f>'31'!$G$63</f>
        <v>13056.75</v>
      </c>
      <c r="U34" s="1182">
        <f>'31'!$G$64</f>
        <v>-38976.54</v>
      </c>
      <c r="V34" s="1182">
        <f>'31'!$G$65</f>
        <v>-46632.5</v>
      </c>
      <c r="W34" s="1182">
        <f>'31'!$G$66</f>
        <v>53840.380000000005</v>
      </c>
      <c r="X34" s="1182">
        <f>'31'!$G$67</f>
        <v>-70946.649999999994</v>
      </c>
      <c r="Y34" s="1182">
        <f>'31'!$G$68</f>
        <v>-36681.31</v>
      </c>
      <c r="Z34" s="1182">
        <f>'31'!$G$69</f>
        <v>-23836.730000000003</v>
      </c>
      <c r="AA34" s="1182">
        <f>'31'!$G$84</f>
        <v>-59904</v>
      </c>
      <c r="AB34" s="1182">
        <f>'31'!$G$15</f>
        <v>-65260.939999999944</v>
      </c>
      <c r="AC34" s="1182">
        <f>'31'!$G$123</f>
        <v>-22557.279999999912</v>
      </c>
      <c r="AD34" s="1182">
        <f>'31'!$G$124</f>
        <v>-1.1999999999970896</v>
      </c>
      <c r="AE34" s="1182">
        <f>'31'!$G$125</f>
        <v>-8505</v>
      </c>
      <c r="AF34" s="1182">
        <f>'31'!$G$126</f>
        <v>-2439.3000000000029</v>
      </c>
      <c r="AG34" s="1182">
        <f>'31'!$G$127</f>
        <v>-62</v>
      </c>
      <c r="AH34" s="1182">
        <f t="shared" si="0"/>
        <v>-31696.160000000033</v>
      </c>
      <c r="AI34" s="1182">
        <f>'31'!$G$140</f>
        <v>-111.40999999999985</v>
      </c>
      <c r="AJ34" s="1182">
        <f>'31'!$G$136</f>
        <v>-273.0099999999984</v>
      </c>
      <c r="AK34" s="1182">
        <f>'31'!$G$137</f>
        <v>-152.04999999999927</v>
      </c>
      <c r="AL34" s="1182">
        <f>'31'!$G$138</f>
        <v>-288.15999999998894</v>
      </c>
      <c r="AM34" s="1179">
        <f t="shared" si="1"/>
        <v>-713.21999999998661</v>
      </c>
      <c r="AO34" s="1188">
        <f t="shared" si="2"/>
        <v>9138.8800000001211</v>
      </c>
    </row>
    <row r="35" spans="1:41" x14ac:dyDescent="0.25">
      <c r="A35" s="1224"/>
      <c r="G35" s="1185"/>
      <c r="H35" s="1185"/>
      <c r="I35" s="1185"/>
      <c r="J35" s="1185"/>
      <c r="K35" s="1185"/>
      <c r="L35" s="1185"/>
      <c r="M35" s="1185"/>
      <c r="N35" s="1185"/>
      <c r="O35" s="1185"/>
      <c r="P35" s="1185"/>
      <c r="Q35" s="1185"/>
      <c r="R35" s="1185"/>
    </row>
    <row r="36" spans="1:41" x14ac:dyDescent="0.25">
      <c r="A36" s="1225"/>
      <c r="AC36" s="1227" t="s">
        <v>137</v>
      </c>
      <c r="AD36" s="1228">
        <v>191</v>
      </c>
      <c r="AE36" s="1228"/>
      <c r="AF36" s="1228"/>
    </row>
    <row r="37" spans="1:41" x14ac:dyDescent="0.25">
      <c r="A37" s="1225"/>
      <c r="AC37" s="1228"/>
      <c r="AD37" s="1228">
        <v>88</v>
      </c>
      <c r="AE37" s="1228"/>
      <c r="AF37" s="1228"/>
    </row>
    <row r="38" spans="1:41" x14ac:dyDescent="0.25">
      <c r="A38" s="1225"/>
      <c r="AC38" s="1228"/>
      <c r="AD38" s="1229">
        <f>SUM(AD36:AD37)</f>
        <v>279</v>
      </c>
      <c r="AE38" s="1230" t="s">
        <v>138</v>
      </c>
      <c r="AF38" s="1230">
        <v>335</v>
      </c>
    </row>
    <row r="39" spans="1:41" x14ac:dyDescent="0.25">
      <c r="A39" s="1225"/>
      <c r="AC39" s="1228"/>
      <c r="AD39" s="1228"/>
      <c r="AE39" s="1228"/>
      <c r="AF39" s="1228"/>
    </row>
    <row r="40" spans="1:41" x14ac:dyDescent="0.25">
      <c r="A40" s="1225"/>
      <c r="B40" s="1188"/>
      <c r="C40" s="1188"/>
      <c r="D40" s="1188"/>
      <c r="E40" s="1188"/>
      <c r="F40" s="1188"/>
      <c r="G40" s="1188"/>
      <c r="H40" s="1188"/>
      <c r="I40" s="1188"/>
      <c r="J40" s="1188"/>
      <c r="K40" s="1188"/>
      <c r="L40" s="1188"/>
      <c r="M40" s="1188"/>
      <c r="N40" s="1188"/>
      <c r="O40" s="1188"/>
      <c r="P40" s="1188"/>
      <c r="Q40" s="1188"/>
      <c r="R40" s="1188"/>
      <c r="S40" s="1188"/>
      <c r="T40" s="1188"/>
      <c r="U40" s="1188"/>
      <c r="V40" s="1188"/>
      <c r="W40" s="1188"/>
      <c r="X40" s="1188"/>
      <c r="Y40" s="1188"/>
      <c r="Z40" s="1188"/>
      <c r="AB40" s="1188"/>
      <c r="AC40" s="1227" t="s">
        <v>139</v>
      </c>
      <c r="AD40" s="1229">
        <v>168</v>
      </c>
      <c r="AE40" s="1228"/>
      <c r="AF40" s="1228"/>
    </row>
    <row r="41" spans="1:41" x14ac:dyDescent="0.25">
      <c r="A41" s="1225"/>
      <c r="AC41" s="1228"/>
      <c r="AD41" s="1228"/>
      <c r="AE41" s="1230" t="s">
        <v>140</v>
      </c>
      <c r="AF41" s="1228"/>
    </row>
    <row r="42" spans="1:41" x14ac:dyDescent="0.25">
      <c r="A42" s="1225"/>
      <c r="AC42" s="1228" t="s">
        <v>141</v>
      </c>
      <c r="AD42" s="1228">
        <f>20*38.68</f>
        <v>773.6</v>
      </c>
      <c r="AE42" s="1228" t="s">
        <v>142</v>
      </c>
      <c r="AF42" s="1228"/>
    </row>
    <row r="43" spans="1:41" x14ac:dyDescent="0.25">
      <c r="A43" s="1225"/>
    </row>
    <row r="44" spans="1:41" x14ac:dyDescent="0.25">
      <c r="A44" s="1225"/>
    </row>
    <row r="45" spans="1:41" x14ac:dyDescent="0.25">
      <c r="A45" s="1225"/>
    </row>
    <row r="46" spans="1:41" x14ac:dyDescent="0.25">
      <c r="A46" s="1225"/>
    </row>
    <row r="47" spans="1:41" x14ac:dyDescent="0.25">
      <c r="A47" s="1225"/>
    </row>
    <row r="48" spans="1:41" x14ac:dyDescent="0.25">
      <c r="A48" s="1225"/>
    </row>
    <row r="49" spans="1:1" x14ac:dyDescent="0.25">
      <c r="A49" s="1225"/>
    </row>
    <row r="50" spans="1:1" x14ac:dyDescent="0.25">
      <c r="A50" s="1225"/>
    </row>
    <row r="51" spans="1:1" x14ac:dyDescent="0.25">
      <c r="A51" s="1225"/>
    </row>
    <row r="52" spans="1:1" x14ac:dyDescent="0.25">
      <c r="A52" s="1225"/>
    </row>
    <row r="53" spans="1:1" x14ac:dyDescent="0.25">
      <c r="A53" s="1225"/>
    </row>
    <row r="54" spans="1:1" x14ac:dyDescent="0.25">
      <c r="A54" s="1225"/>
    </row>
    <row r="55" spans="1:1" x14ac:dyDescent="0.25">
      <c r="A55" s="1225"/>
    </row>
    <row r="56" spans="1:1" x14ac:dyDescent="0.25">
      <c r="A56" s="1225"/>
    </row>
    <row r="57" spans="1:1" x14ac:dyDescent="0.25">
      <c r="A57" s="1225"/>
    </row>
    <row r="58" spans="1:1" x14ac:dyDescent="0.25">
      <c r="A58" s="1225"/>
    </row>
    <row r="59" spans="1:1" x14ac:dyDescent="0.25">
      <c r="A59" s="1225"/>
    </row>
    <row r="60" spans="1:1" x14ac:dyDescent="0.25">
      <c r="A60" s="1225"/>
    </row>
    <row r="61" spans="1:1" x14ac:dyDescent="0.25">
      <c r="A61" s="1225"/>
    </row>
    <row r="62" spans="1:1" x14ac:dyDescent="0.25">
      <c r="A62" s="1225"/>
    </row>
    <row r="63" spans="1:1" x14ac:dyDescent="0.25">
      <c r="A63" s="1225"/>
    </row>
    <row r="64" spans="1:1" x14ac:dyDescent="0.25">
      <c r="A64" s="1225"/>
    </row>
    <row r="65" spans="1:1" x14ac:dyDescent="0.25">
      <c r="A65" s="1225"/>
    </row>
    <row r="66" spans="1:1" x14ac:dyDescent="0.25">
      <c r="A66" s="1225"/>
    </row>
    <row r="67" spans="1:1" x14ac:dyDescent="0.25">
      <c r="A67" s="1225"/>
    </row>
    <row r="68" spans="1:1" x14ac:dyDescent="0.25">
      <c r="A68" s="1225"/>
    </row>
    <row r="69" spans="1:1" x14ac:dyDescent="0.25">
      <c r="A69" s="1225"/>
    </row>
    <row r="70" spans="1:1" x14ac:dyDescent="0.25">
      <c r="A70" s="1225"/>
    </row>
    <row r="71" spans="1:1" x14ac:dyDescent="0.25">
      <c r="A71" s="1225"/>
    </row>
    <row r="72" spans="1:1" x14ac:dyDescent="0.25">
      <c r="A72" s="1225"/>
    </row>
    <row r="73" spans="1:1" x14ac:dyDescent="0.25">
      <c r="A73" s="1225"/>
    </row>
    <row r="74" spans="1:1" x14ac:dyDescent="0.25">
      <c r="A74" s="1225"/>
    </row>
    <row r="75" spans="1:1" x14ac:dyDescent="0.25">
      <c r="A75" s="1225"/>
    </row>
    <row r="76" spans="1:1" x14ac:dyDescent="0.25">
      <c r="A76" s="1225"/>
    </row>
    <row r="77" spans="1:1" x14ac:dyDescent="0.25">
      <c r="A77" s="1225"/>
    </row>
    <row r="78" spans="1:1" x14ac:dyDescent="0.25">
      <c r="A78" s="1225"/>
    </row>
    <row r="79" spans="1:1" x14ac:dyDescent="0.25">
      <c r="A79" s="1225"/>
    </row>
    <row r="80" spans="1:1" x14ac:dyDescent="0.25">
      <c r="A80" s="1225"/>
    </row>
    <row r="81" spans="1:1" x14ac:dyDescent="0.25">
      <c r="A81" s="1225"/>
    </row>
    <row r="82" spans="1:1" x14ac:dyDescent="0.25">
      <c r="A82" s="1225"/>
    </row>
    <row r="83" spans="1:1" x14ac:dyDescent="0.25">
      <c r="A83" s="1225"/>
    </row>
    <row r="84" spans="1:1" x14ac:dyDescent="0.25">
      <c r="A84" s="1225"/>
    </row>
    <row r="85" spans="1:1" x14ac:dyDescent="0.25">
      <c r="A85" s="1225"/>
    </row>
    <row r="86" spans="1:1" x14ac:dyDescent="0.25">
      <c r="A86" s="1226"/>
    </row>
    <row r="87" spans="1:1" x14ac:dyDescent="0.25">
      <c r="A87" s="1226"/>
    </row>
    <row r="88" spans="1:1" x14ac:dyDescent="0.25">
      <c r="A88" s="1226"/>
    </row>
    <row r="89" spans="1:1" x14ac:dyDescent="0.25">
      <c r="A89" s="1226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1"/>
  <sheetViews>
    <sheetView view="pageBreakPreview" zoomScale="61" zoomScaleNormal="61" zoomScaleSheetLayoutView="61" zoomScalePageLayoutView="70" workbookViewId="0">
      <selection sqref="A1:XFD1048576"/>
    </sheetView>
  </sheetViews>
  <sheetFormatPr defaultColWidth="22.33203125" defaultRowHeight="29.25" x14ac:dyDescent="0.5"/>
  <cols>
    <col min="1" max="1" width="48.44140625" style="574" customWidth="1"/>
    <col min="2" max="2" width="30.77734375" style="577" customWidth="1"/>
    <col min="3" max="3" width="15.88671875" style="577" customWidth="1"/>
    <col min="4" max="4" width="13.6640625" style="658" customWidth="1"/>
    <col min="5" max="5" width="21.88671875" style="658" customWidth="1"/>
    <col min="6" max="6" width="30" style="658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109375" style="404" customWidth="1"/>
    <col min="15" max="16384" width="22.33203125" style="404"/>
  </cols>
  <sheetData>
    <row r="1" spans="1:15" ht="33.75" x14ac:dyDescent="0.65">
      <c r="A1" s="1413" t="s">
        <v>143</v>
      </c>
      <c r="B1" s="1414"/>
      <c r="C1" s="1414"/>
      <c r="D1" s="1414"/>
      <c r="E1" s="1414"/>
      <c r="F1" s="1414"/>
      <c r="G1" s="1414"/>
      <c r="H1" s="1414"/>
      <c r="I1" s="1414"/>
      <c r="J1" s="1415"/>
      <c r="N1" s="404">
        <v>16121.41</v>
      </c>
    </row>
    <row r="2" spans="1:15" s="278" customFormat="1" ht="27" x14ac:dyDescent="0.5">
      <c r="A2" s="696" t="s">
        <v>144</v>
      </c>
      <c r="B2" s="1173">
        <v>44166</v>
      </c>
      <c r="C2" s="1361" t="s">
        <v>84</v>
      </c>
      <c r="D2" s="732">
        <v>0.3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30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0.8</v>
      </c>
      <c r="E4" s="584"/>
      <c r="F4" s="584"/>
      <c r="G4" s="584"/>
      <c r="H4" s="584"/>
      <c r="I4" s="585"/>
      <c r="J4" s="736"/>
      <c r="K4" s="400"/>
      <c r="L4" s="290"/>
    </row>
    <row r="5" spans="1:15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5" ht="30" thickBot="1" x14ac:dyDescent="0.45">
      <c r="A7" s="699" t="s">
        <v>158</v>
      </c>
      <c r="B7" s="700"/>
      <c r="C7" s="700"/>
      <c r="D7" s="643" t="s">
        <v>159</v>
      </c>
      <c r="E7" s="575">
        <v>2668445</v>
      </c>
      <c r="F7" s="575">
        <v>2687690</v>
      </c>
      <c r="G7" s="593">
        <f>F7-E7</f>
        <v>19245</v>
      </c>
      <c r="H7" s="580">
        <f>G7</f>
        <v>19245</v>
      </c>
      <c r="I7" s="594">
        <v>12000</v>
      </c>
      <c r="J7" s="673">
        <f>H7/DAY(B2)</f>
        <v>19245</v>
      </c>
      <c r="K7" s="670"/>
      <c r="L7" s="405"/>
      <c r="N7" s="410"/>
      <c r="O7" s="410"/>
    </row>
    <row r="8" spans="1:15" ht="27.75" thickBot="1" x14ac:dyDescent="0.45">
      <c r="A8" s="701" t="s">
        <v>160</v>
      </c>
      <c r="B8" s="702"/>
      <c r="C8" s="703"/>
      <c r="D8" s="738" t="s">
        <v>39</v>
      </c>
      <c r="E8" s="595">
        <v>2683039</v>
      </c>
      <c r="F8" s="595">
        <v>2702483</v>
      </c>
      <c r="G8" s="596">
        <f>F8-E8</f>
        <v>19444</v>
      </c>
      <c r="H8" s="580">
        <f>G8</f>
        <v>19444</v>
      </c>
      <c r="I8" s="597">
        <v>12000</v>
      </c>
      <c r="J8" s="673">
        <f>H8/DAY(B2)</f>
        <v>19444</v>
      </c>
      <c r="K8" s="670"/>
      <c r="L8" s="460"/>
      <c r="M8" s="522"/>
      <c r="N8" s="410"/>
      <c r="O8" s="410"/>
    </row>
    <row r="9" spans="1:15" x14ac:dyDescent="0.4">
      <c r="A9" s="704" t="s">
        <v>161</v>
      </c>
      <c r="B9" s="705"/>
      <c r="C9" s="705"/>
      <c r="D9" s="643" t="s">
        <v>159</v>
      </c>
      <c r="E9" s="598">
        <v>2257036.5</v>
      </c>
      <c r="F9" s="598">
        <v>2259471.2999999998</v>
      </c>
      <c r="G9" s="593">
        <f>F9-E9</f>
        <v>2434.7999999998137</v>
      </c>
      <c r="H9" s="580">
        <f t="shared" ref="H9:H13" si="0">G9</f>
        <v>2434.7999999998137</v>
      </c>
      <c r="I9" s="599">
        <f>I8-J8</f>
        <v>-7444</v>
      </c>
      <c r="J9" s="673">
        <f>H9/DAY(B2)</f>
        <v>2434.7999999998137</v>
      </c>
      <c r="K9" s="508"/>
      <c r="L9" s="405"/>
      <c r="N9" s="410"/>
      <c r="O9" s="410"/>
    </row>
    <row r="10" spans="1:15" x14ac:dyDescent="0.4">
      <c r="A10" s="699" t="s">
        <v>162</v>
      </c>
      <c r="B10" s="700"/>
      <c r="C10" s="700"/>
      <c r="D10" s="643" t="s">
        <v>159</v>
      </c>
      <c r="E10" s="598">
        <v>302950.28999999998</v>
      </c>
      <c r="F10" s="598">
        <v>319047.73</v>
      </c>
      <c r="G10" s="593">
        <f t="shared" ref="G10:G12" si="1">F10-E10</f>
        <v>16097.440000000002</v>
      </c>
      <c r="H10" s="580">
        <f t="shared" si="0"/>
        <v>16097.440000000002</v>
      </c>
      <c r="I10" s="600"/>
      <c r="J10" s="673">
        <f>H10/DAY(B2)</f>
        <v>16097.440000000002</v>
      </c>
      <c r="K10" s="508"/>
      <c r="L10" s="405"/>
      <c r="N10" s="410"/>
      <c r="O10" s="410"/>
    </row>
    <row r="11" spans="1:15" x14ac:dyDescent="0.4">
      <c r="A11" s="699" t="s">
        <v>163</v>
      </c>
      <c r="B11" s="700"/>
      <c r="C11" s="700"/>
      <c r="D11" s="643" t="s">
        <v>159</v>
      </c>
      <c r="E11" s="575">
        <v>35390</v>
      </c>
      <c r="F11" s="575">
        <v>35390</v>
      </c>
      <c r="G11" s="593">
        <f t="shared" si="1"/>
        <v>0</v>
      </c>
      <c r="H11" s="580">
        <f t="shared" si="0"/>
        <v>0</v>
      </c>
      <c r="I11" s="600"/>
      <c r="J11" s="673">
        <f>H11/DAY(B2)</f>
        <v>0</v>
      </c>
      <c r="K11" s="508"/>
      <c r="L11" s="405"/>
      <c r="N11" s="410"/>
      <c r="O11" s="410"/>
    </row>
    <row r="12" spans="1:15" x14ac:dyDescent="0.4">
      <c r="A12" s="699" t="s">
        <v>164</v>
      </c>
      <c r="B12" s="700"/>
      <c r="C12" s="700"/>
      <c r="D12" s="643" t="s">
        <v>159</v>
      </c>
      <c r="E12" s="598">
        <v>37630</v>
      </c>
      <c r="F12" s="598">
        <v>37630</v>
      </c>
      <c r="G12" s="593">
        <f t="shared" si="1"/>
        <v>0</v>
      </c>
      <c r="H12" s="580">
        <f t="shared" si="0"/>
        <v>0</v>
      </c>
      <c r="I12" s="600"/>
      <c r="J12" s="673">
        <f>H12/DAY(B2)</f>
        <v>0</v>
      </c>
      <c r="K12" s="508"/>
      <c r="L12" s="405"/>
      <c r="N12" s="410"/>
      <c r="O12" s="410"/>
    </row>
    <row r="13" spans="1:15" x14ac:dyDescent="0.5">
      <c r="A13" s="706" t="s">
        <v>165</v>
      </c>
      <c r="B13" s="707"/>
      <c r="C13" s="707"/>
      <c r="D13" s="643"/>
      <c r="E13" s="575"/>
      <c r="F13" s="575"/>
      <c r="G13" s="601">
        <f>G9+G10+G11+G12</f>
        <v>18532.239999999816</v>
      </c>
      <c r="H13" s="580">
        <f t="shared" si="0"/>
        <v>18532.239999999816</v>
      </c>
      <c r="I13" s="602">
        <f>G7-G13</f>
        <v>712.76000000018394</v>
      </c>
      <c r="J13" s="673">
        <f>H13/DAY(B2)</f>
        <v>18532.239999999816</v>
      </c>
      <c r="K13" s="508"/>
      <c r="L13" s="405"/>
      <c r="N13" s="410"/>
      <c r="O13" s="410"/>
    </row>
    <row r="14" spans="1:15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410"/>
      <c r="O14" s="410"/>
    </row>
    <row r="15" spans="1:15" x14ac:dyDescent="0.5">
      <c r="A15" s="1354" t="s">
        <v>167</v>
      </c>
      <c r="B15" s="710"/>
      <c r="C15" s="710"/>
      <c r="D15" s="643" t="s">
        <v>168</v>
      </c>
      <c r="E15" s="604">
        <v>1546897.601</v>
      </c>
      <c r="F15" s="604">
        <v>1547408.358</v>
      </c>
      <c r="G15" s="921">
        <f>(F15-E15)</f>
        <v>510.75699999998324</v>
      </c>
      <c r="H15" s="580">
        <f>G15</f>
        <v>510.75699999998324</v>
      </c>
      <c r="I15" s="594">
        <v>800</v>
      </c>
      <c r="J15" s="673">
        <f>H15/DAY(B2)</f>
        <v>510.75699999998324</v>
      </c>
      <c r="K15" s="508"/>
      <c r="L15" s="405"/>
      <c r="N15" s="410"/>
      <c r="O15" s="857"/>
    </row>
    <row r="16" spans="1:15" x14ac:dyDescent="0.4">
      <c r="A16" s="708"/>
      <c r="B16" s="709"/>
      <c r="C16" s="709"/>
      <c r="D16" s="644"/>
      <c r="E16" s="605"/>
      <c r="F16" s="605"/>
      <c r="G16" s="593"/>
      <c r="H16" s="606"/>
      <c r="I16" s="607">
        <f>I15-J15</f>
        <v>289.24300000001676</v>
      </c>
      <c r="J16" s="674"/>
      <c r="K16" s="508"/>
      <c r="L16" s="405"/>
      <c r="N16" s="410"/>
      <c r="O16" s="410"/>
    </row>
    <row r="17" spans="1:15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410"/>
      <c r="O17" s="410"/>
    </row>
    <row r="18" spans="1:15" ht="27.75" x14ac:dyDescent="0.5">
      <c r="A18" s="1398" t="s">
        <v>170</v>
      </c>
      <c r="B18" s="1399"/>
      <c r="C18" s="1400"/>
      <c r="D18" s="643" t="s">
        <v>171</v>
      </c>
      <c r="E18" s="604">
        <v>13</v>
      </c>
      <c r="F18" s="604">
        <v>17</v>
      </c>
      <c r="G18" s="601">
        <f>F18*10</f>
        <v>170</v>
      </c>
      <c r="H18" s="580">
        <f>G18</f>
        <v>170</v>
      </c>
      <c r="I18" s="594">
        <v>65</v>
      </c>
      <c r="J18" s="673">
        <f>H18/DAY(B2)</f>
        <v>170</v>
      </c>
      <c r="K18" s="508"/>
      <c r="L18" s="405"/>
      <c r="N18" s="410"/>
      <c r="O18" s="410"/>
    </row>
    <row r="19" spans="1:15" ht="27.75" x14ac:dyDescent="0.5">
      <c r="A19" s="1398" t="s">
        <v>86</v>
      </c>
      <c r="B19" s="1399"/>
      <c r="C19" s="1400"/>
      <c r="D19" s="643" t="s">
        <v>171</v>
      </c>
      <c r="E19" s="604">
        <v>129801</v>
      </c>
      <c r="F19" s="604">
        <v>129854</v>
      </c>
      <c r="G19" s="593">
        <f t="shared" ref="G19" si="2">F19-E19</f>
        <v>53</v>
      </c>
      <c r="H19" s="580">
        <f t="shared" ref="H19" si="3">G19</f>
        <v>53</v>
      </c>
      <c r="I19" s="609"/>
      <c r="J19" s="673">
        <f>H19/DAY(B2)</f>
        <v>53</v>
      </c>
      <c r="K19" s="508"/>
      <c r="L19" s="405"/>
      <c r="N19" s="410"/>
      <c r="O19" s="410"/>
    </row>
    <row r="20" spans="1:15" x14ac:dyDescent="0.5">
      <c r="A20" s="706" t="s">
        <v>172</v>
      </c>
      <c r="B20" s="707"/>
      <c r="C20" s="707"/>
      <c r="D20" s="610"/>
      <c r="E20" s="610"/>
      <c r="F20" s="610"/>
      <c r="G20" s="611">
        <f>G18+G19</f>
        <v>223</v>
      </c>
      <c r="H20" s="580">
        <f>G20</f>
        <v>223</v>
      </c>
      <c r="I20" s="612">
        <f>I18-J20</f>
        <v>-158</v>
      </c>
      <c r="J20" s="673">
        <f>H20/DAY(B2)</f>
        <v>223</v>
      </c>
      <c r="K20" s="508"/>
      <c r="L20" s="405"/>
      <c r="N20" s="410"/>
      <c r="O20" s="410"/>
    </row>
    <row r="21" spans="1:15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410"/>
      <c r="O21" s="410"/>
    </row>
    <row r="22" spans="1:15" x14ac:dyDescent="0.5">
      <c r="A22" s="1354" t="s">
        <v>174</v>
      </c>
      <c r="B22" s="710"/>
      <c r="C22" s="710"/>
      <c r="D22" s="643" t="s">
        <v>175</v>
      </c>
      <c r="E22" s="604">
        <v>2250</v>
      </c>
      <c r="F22" s="604">
        <v>2250</v>
      </c>
      <c r="G22" s="601">
        <f t="shared" ref="G22" si="4">(F22-E22)</f>
        <v>0</v>
      </c>
      <c r="H22" s="580">
        <f>G22</f>
        <v>0</v>
      </c>
      <c r="I22" s="600"/>
      <c r="J22" s="673">
        <f>H22/DAY(B2)</f>
        <v>0</v>
      </c>
      <c r="K22" s="508"/>
      <c r="L22" s="405"/>
      <c r="N22" s="410"/>
      <c r="O22" s="410"/>
    </row>
    <row r="23" spans="1:15" x14ac:dyDescent="0.5">
      <c r="A23" s="1354" t="s">
        <v>176</v>
      </c>
      <c r="B23" s="710"/>
      <c r="C23" s="710"/>
      <c r="D23" s="643" t="s">
        <v>175</v>
      </c>
      <c r="E23" s="604">
        <v>2000</v>
      </c>
      <c r="F23" s="604">
        <v>2000</v>
      </c>
      <c r="G23" s="601">
        <v>0</v>
      </c>
      <c r="H23" s="580">
        <f t="shared" ref="H23:H24" si="5">G23</f>
        <v>0</v>
      </c>
      <c r="I23" s="600"/>
      <c r="J23" s="673">
        <f>H23/DAY(B2)</f>
        <v>0</v>
      </c>
      <c r="K23" s="508"/>
      <c r="L23" s="405"/>
      <c r="N23" s="410"/>
      <c r="O23" s="410"/>
    </row>
    <row r="24" spans="1:15" x14ac:dyDescent="0.4">
      <c r="A24" s="711" t="s">
        <v>177</v>
      </c>
      <c r="B24" s="712"/>
      <c r="C24" s="712"/>
      <c r="D24" s="631" t="s">
        <v>175</v>
      </c>
      <c r="E24" s="613">
        <v>4250</v>
      </c>
      <c r="F24" s="613">
        <v>4250</v>
      </c>
      <c r="G24" s="601">
        <f>SUM(G22:G23)</f>
        <v>0</v>
      </c>
      <c r="H24" s="580">
        <f t="shared" si="5"/>
        <v>0</v>
      </c>
      <c r="I24" s="600"/>
      <c r="J24" s="673">
        <f>H24/DAY(B2)</f>
        <v>0</v>
      </c>
      <c r="K24" s="508"/>
      <c r="L24" s="405"/>
      <c r="N24" s="410"/>
      <c r="O24" s="410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536"/>
      <c r="O25" s="410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617"/>
      <c r="G26" s="618"/>
      <c r="H26" s="580"/>
      <c r="I26" s="619"/>
      <c r="J26" s="673"/>
      <c r="K26" s="402"/>
      <c r="L26" s="527"/>
      <c r="N26" s="536"/>
      <c r="O26" s="410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621">
        <f>G8</f>
        <v>19444</v>
      </c>
      <c r="F27" s="621">
        <v>9.5</v>
      </c>
      <c r="G27" s="622">
        <f>E27*F27</f>
        <v>184718</v>
      </c>
      <c r="H27" s="580">
        <f>G27</f>
        <v>184718</v>
      </c>
      <c r="I27" s="623"/>
      <c r="J27" s="673">
        <f>H27/DAY(B2)</f>
        <v>184718</v>
      </c>
      <c r="K27" s="401"/>
      <c r="L27" s="527"/>
      <c r="N27" s="536"/>
      <c r="O27" s="410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621">
        <f>G15</f>
        <v>510.75699999998324</v>
      </c>
      <c r="F28" s="621">
        <v>36.5</v>
      </c>
      <c r="G28" s="622">
        <f>E28*F28</f>
        <v>18642.630499999388</v>
      </c>
      <c r="H28" s="580">
        <f>G28</f>
        <v>18642.630499999388</v>
      </c>
      <c r="I28" s="625"/>
      <c r="J28" s="673">
        <f>H28/DAY(B2)</f>
        <v>18642.630499999388</v>
      </c>
      <c r="K28" s="401"/>
      <c r="L28" s="527"/>
      <c r="N28" s="536"/>
      <c r="O28" s="410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621">
        <f>G24</f>
        <v>0</v>
      </c>
      <c r="F29" s="621">
        <v>69</v>
      </c>
      <c r="G29" s="622">
        <f>E29*F29</f>
        <v>0</v>
      </c>
      <c r="H29" s="580">
        <f>G29</f>
        <v>0</v>
      </c>
      <c r="I29" s="625"/>
      <c r="J29" s="673">
        <f>H29/DAY(B2)</f>
        <v>0</v>
      </c>
      <c r="K29" s="401"/>
      <c r="L29" s="527"/>
      <c r="N29" s="536"/>
      <c r="O29" s="410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621">
        <f>G19</f>
        <v>53</v>
      </c>
      <c r="F30" s="621">
        <v>145</v>
      </c>
      <c r="G30" s="622">
        <f>E30*F30</f>
        <v>7685</v>
      </c>
      <c r="H30" s="580">
        <f>G30</f>
        <v>7685</v>
      </c>
      <c r="I30" s="625"/>
      <c r="J30" s="673">
        <f>H30/DAY(B2)</f>
        <v>7685</v>
      </c>
      <c r="K30" s="401"/>
      <c r="L30" s="527"/>
      <c r="N30" s="536"/>
      <c r="O30" s="410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621">
        <f>G18</f>
        <v>170</v>
      </c>
      <c r="F31" s="621">
        <v>80</v>
      </c>
      <c r="G31" s="622">
        <f>E31*F31</f>
        <v>13600</v>
      </c>
      <c r="H31" s="580">
        <f>G31</f>
        <v>13600</v>
      </c>
      <c r="I31" s="625"/>
      <c r="J31" s="673"/>
      <c r="K31" s="401"/>
      <c r="L31" s="527"/>
      <c r="N31" s="536"/>
      <c r="O31" s="410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627"/>
      <c r="G32" s="628">
        <f>G27+G28+G29+G30+G31</f>
        <v>224645.63049999939</v>
      </c>
      <c r="H32" s="580">
        <f t="shared" ref="H32" si="6">G32</f>
        <v>224645.63049999939</v>
      </c>
      <c r="I32" s="629"/>
      <c r="J32" s="673">
        <f>H32/DAY(B2)</f>
        <v>224645.63049999939</v>
      </c>
      <c r="K32" s="401"/>
      <c r="L32" s="527"/>
      <c r="N32" s="536"/>
      <c r="O32" s="410"/>
    </row>
    <row r="33" spans="1:15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  <c r="O33" s="410"/>
    </row>
    <row r="34" spans="1:15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410"/>
      <c r="O34" s="410"/>
    </row>
    <row r="35" spans="1:15" x14ac:dyDescent="0.4">
      <c r="A35" s="699" t="s">
        <v>191</v>
      </c>
      <c r="B35" s="700"/>
      <c r="C35" s="700"/>
      <c r="D35" s="643" t="s">
        <v>159</v>
      </c>
      <c r="E35" s="630">
        <v>629027.67000000004</v>
      </c>
      <c r="F35" s="630">
        <v>629027.27</v>
      </c>
      <c r="G35" s="593">
        <f>F35-E35</f>
        <v>-0.40000000002328306</v>
      </c>
      <c r="H35" s="580">
        <f>G35</f>
        <v>-0.40000000002328306</v>
      </c>
      <c r="I35" s="575"/>
      <c r="J35" s="673">
        <f>H35/DAY(B2)</f>
        <v>-0.40000000002328306</v>
      </c>
      <c r="K35" s="508"/>
      <c r="L35" s="405"/>
      <c r="N35" s="410"/>
      <c r="O35" s="749"/>
    </row>
    <row r="36" spans="1:15" x14ac:dyDescent="0.4">
      <c r="A36" s="699" t="s">
        <v>192</v>
      </c>
      <c r="B36" s="700"/>
      <c r="C36" s="700"/>
      <c r="D36" s="643" t="s">
        <v>159</v>
      </c>
      <c r="E36" s="630">
        <v>229085.73</v>
      </c>
      <c r="F36" s="630">
        <v>230636.93</v>
      </c>
      <c r="G36" s="593">
        <f t="shared" ref="G36:G46" si="7">F36-E36</f>
        <v>1551.1999999999825</v>
      </c>
      <c r="H36" s="580">
        <f t="shared" ref="H36:H47" si="8">G36</f>
        <v>1551.1999999999825</v>
      </c>
      <c r="I36" s="575"/>
      <c r="J36" s="673">
        <f>H36/DAY(B2)</f>
        <v>1551.1999999999825</v>
      </c>
      <c r="K36" s="508"/>
      <c r="L36" s="405"/>
      <c r="N36" s="410"/>
      <c r="O36" s="749"/>
    </row>
    <row r="37" spans="1:15" x14ac:dyDescent="0.4">
      <c r="A37" s="699" t="s">
        <v>193</v>
      </c>
      <c r="B37" s="700"/>
      <c r="C37" s="700"/>
      <c r="D37" s="643" t="s">
        <v>159</v>
      </c>
      <c r="E37" s="630">
        <v>415066</v>
      </c>
      <c r="F37" s="630">
        <v>415066</v>
      </c>
      <c r="G37" s="593">
        <f t="shared" si="7"/>
        <v>0</v>
      </c>
      <c r="H37" s="580">
        <f t="shared" si="8"/>
        <v>0</v>
      </c>
      <c r="I37" s="575"/>
      <c r="J37" s="673">
        <f>H37/DAY(B2)</f>
        <v>0</v>
      </c>
      <c r="K37" s="508"/>
      <c r="L37" s="405"/>
      <c r="N37" s="410"/>
      <c r="O37" s="410"/>
    </row>
    <row r="38" spans="1:15" x14ac:dyDescent="0.4">
      <c r="A38" s="699" t="s">
        <v>194</v>
      </c>
      <c r="B38" s="700"/>
      <c r="C38" s="700"/>
      <c r="D38" s="643" t="s">
        <v>159</v>
      </c>
      <c r="E38" s="589">
        <v>150714</v>
      </c>
      <c r="F38" s="589">
        <v>150714</v>
      </c>
      <c r="G38" s="593">
        <f t="shared" si="7"/>
        <v>0</v>
      </c>
      <c r="H38" s="580">
        <f t="shared" si="8"/>
        <v>0</v>
      </c>
      <c r="I38" s="575"/>
      <c r="J38" s="673">
        <f>H38/DAY(B2)</f>
        <v>0</v>
      </c>
      <c r="K38" s="508"/>
      <c r="L38" s="405"/>
      <c r="N38" s="410"/>
      <c r="O38" s="410"/>
    </row>
    <row r="39" spans="1:15" x14ac:dyDescent="0.4">
      <c r="A39" s="699" t="s">
        <v>195</v>
      </c>
      <c r="B39" s="700"/>
      <c r="C39" s="700"/>
      <c r="D39" s="643" t="s">
        <v>159</v>
      </c>
      <c r="E39" s="630">
        <v>912480</v>
      </c>
      <c r="F39" s="630">
        <v>912480</v>
      </c>
      <c r="G39" s="593">
        <f t="shared" si="7"/>
        <v>0</v>
      </c>
      <c r="H39" s="580">
        <f t="shared" si="8"/>
        <v>0</v>
      </c>
      <c r="I39" s="575"/>
      <c r="J39" s="673">
        <f>H39/DAY(B2)</f>
        <v>0</v>
      </c>
      <c r="K39" s="508"/>
      <c r="L39" s="405"/>
      <c r="N39" s="410"/>
      <c r="O39" s="410"/>
    </row>
    <row r="40" spans="1:15" x14ac:dyDescent="0.4">
      <c r="A40" s="720" t="s">
        <v>196</v>
      </c>
      <c r="B40" s="721"/>
      <c r="C40" s="721"/>
      <c r="D40" s="643" t="s">
        <v>159</v>
      </c>
      <c r="E40" s="630">
        <v>0</v>
      </c>
      <c r="F40" s="630">
        <v>0</v>
      </c>
      <c r="G40" s="593">
        <f t="shared" si="7"/>
        <v>0</v>
      </c>
      <c r="H40" s="580">
        <f t="shared" si="8"/>
        <v>0</v>
      </c>
      <c r="I40" s="575"/>
      <c r="J40" s="673">
        <f>H40/DAY(B2)</f>
        <v>0</v>
      </c>
      <c r="K40" s="509"/>
      <c r="L40" s="405"/>
      <c r="N40" s="410"/>
      <c r="O40" s="410"/>
    </row>
    <row r="41" spans="1:15" x14ac:dyDescent="0.4">
      <c r="A41" s="699" t="s">
        <v>197</v>
      </c>
      <c r="B41" s="700"/>
      <c r="C41" s="700"/>
      <c r="D41" s="643" t="s">
        <v>159</v>
      </c>
      <c r="E41" s="630">
        <v>300127.95</v>
      </c>
      <c r="F41" s="630">
        <v>300127.96999999997</v>
      </c>
      <c r="G41" s="593">
        <f t="shared" si="7"/>
        <v>1.9999999960418791E-2</v>
      </c>
      <c r="H41" s="580">
        <f t="shared" si="8"/>
        <v>1.9999999960418791E-2</v>
      </c>
      <c r="I41" s="575"/>
      <c r="J41" s="673">
        <f>H41/DAY(B2)</f>
        <v>1.9999999960418791E-2</v>
      </c>
      <c r="K41" s="508"/>
      <c r="L41" s="405"/>
      <c r="N41" s="410"/>
      <c r="O41" s="857"/>
    </row>
    <row r="42" spans="1:15" x14ac:dyDescent="0.4">
      <c r="A42" s="699" t="s">
        <v>198</v>
      </c>
      <c r="B42" s="700"/>
      <c r="C42" s="700"/>
      <c r="D42" s="643" t="s">
        <v>159</v>
      </c>
      <c r="E42" s="630">
        <v>396198</v>
      </c>
      <c r="F42" s="630">
        <v>396198</v>
      </c>
      <c r="G42" s="593">
        <f t="shared" si="7"/>
        <v>0</v>
      </c>
      <c r="H42" s="580">
        <f t="shared" si="8"/>
        <v>0</v>
      </c>
      <c r="I42" s="575"/>
      <c r="J42" s="673">
        <f>H42/DAY(B2)</f>
        <v>0</v>
      </c>
      <c r="K42" s="508"/>
      <c r="L42" s="405"/>
      <c r="N42" s="410"/>
      <c r="O42" s="410"/>
    </row>
    <row r="43" spans="1:15" x14ac:dyDescent="0.4">
      <c r="A43" s="699" t="s">
        <v>199</v>
      </c>
      <c r="B43" s="700"/>
      <c r="C43" s="700"/>
      <c r="D43" s="643" t="s">
        <v>159</v>
      </c>
      <c r="E43" s="630">
        <v>630749.31000000006</v>
      </c>
      <c r="F43" s="630">
        <v>632591.47</v>
      </c>
      <c r="G43" s="593">
        <f t="shared" si="7"/>
        <v>1842.1599999999162</v>
      </c>
      <c r="H43" s="580">
        <f t="shared" si="8"/>
        <v>1842.1599999999162</v>
      </c>
      <c r="I43" s="575"/>
      <c r="J43" s="673">
        <f>H43/DAY(B2)</f>
        <v>1842.1599999999162</v>
      </c>
      <c r="K43" s="508"/>
      <c r="L43" s="405"/>
      <c r="N43" s="410"/>
      <c r="O43" s="410"/>
    </row>
    <row r="44" spans="1:15" x14ac:dyDescent="0.4">
      <c r="A44" s="699" t="s">
        <v>200</v>
      </c>
      <c r="B44" s="700"/>
      <c r="C44" s="700"/>
      <c r="D44" s="643" t="s">
        <v>159</v>
      </c>
      <c r="E44" s="630">
        <v>0</v>
      </c>
      <c r="F44" s="630">
        <v>0</v>
      </c>
      <c r="G44" s="593">
        <f t="shared" si="7"/>
        <v>0</v>
      </c>
      <c r="H44" s="580">
        <f t="shared" si="8"/>
        <v>0</v>
      </c>
      <c r="I44" s="575"/>
      <c r="J44" s="673">
        <f>H44/DAY(B2)</f>
        <v>0</v>
      </c>
      <c r="K44" s="508"/>
      <c r="L44" s="405"/>
      <c r="N44" s="410"/>
      <c r="O44" s="410"/>
    </row>
    <row r="45" spans="1:15" x14ac:dyDescent="0.4">
      <c r="A45" s="699" t="s">
        <v>201</v>
      </c>
      <c r="B45" s="700"/>
      <c r="C45" s="700"/>
      <c r="D45" s="643" t="s">
        <v>159</v>
      </c>
      <c r="E45" s="630">
        <v>614.48</v>
      </c>
      <c r="F45" s="630">
        <v>614.48</v>
      </c>
      <c r="G45" s="593">
        <f t="shared" si="7"/>
        <v>0</v>
      </c>
      <c r="H45" s="580">
        <f t="shared" si="8"/>
        <v>0</v>
      </c>
      <c r="I45" s="575"/>
      <c r="J45" s="673">
        <f>H45/DAY(B2)</f>
        <v>0</v>
      </c>
      <c r="K45" s="508"/>
      <c r="L45" s="405"/>
      <c r="N45" s="410"/>
      <c r="O45" s="410"/>
    </row>
    <row r="46" spans="1:15" x14ac:dyDescent="0.4">
      <c r="A46" s="699" t="s">
        <v>202</v>
      </c>
      <c r="B46" s="700"/>
      <c r="C46" s="700"/>
      <c r="D46" s="643" t="s">
        <v>159</v>
      </c>
      <c r="E46" s="630">
        <v>187.49</v>
      </c>
      <c r="F46" s="630">
        <v>187.49</v>
      </c>
      <c r="G46" s="593">
        <f t="shared" si="7"/>
        <v>0</v>
      </c>
      <c r="H46" s="580">
        <f t="shared" si="8"/>
        <v>0</v>
      </c>
      <c r="I46" s="575"/>
      <c r="J46" s="673">
        <f>H46/DAY(B2)</f>
        <v>0</v>
      </c>
      <c r="K46" s="508"/>
      <c r="L46" s="405"/>
      <c r="N46" s="410"/>
      <c r="O46" s="410"/>
    </row>
    <row r="47" spans="1:15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3392.9799999998359</v>
      </c>
      <c r="H47" s="580">
        <f t="shared" si="8"/>
        <v>3392.9799999998359</v>
      </c>
      <c r="I47" s="575"/>
      <c r="J47" s="673">
        <f>H47/DAY(B2)</f>
        <v>3392.9799999998359</v>
      </c>
      <c r="K47" s="508"/>
      <c r="L47" s="405"/>
      <c r="N47" s="410"/>
      <c r="O47" s="410"/>
    </row>
    <row r="48" spans="1:15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410"/>
      <c r="O48" s="410"/>
    </row>
    <row r="49" spans="1:15" x14ac:dyDescent="0.4">
      <c r="A49" s="699" t="s">
        <v>191</v>
      </c>
      <c r="B49" s="722"/>
      <c r="C49" s="722"/>
      <c r="D49" s="643" t="s">
        <v>159</v>
      </c>
      <c r="E49" s="630">
        <v>61513.267</v>
      </c>
      <c r="F49" s="630">
        <v>64235.767</v>
      </c>
      <c r="G49" s="593">
        <f t="shared" ref="G49:G58" si="9">F49-E49</f>
        <v>2722.5</v>
      </c>
      <c r="H49" s="580">
        <f>G49</f>
        <v>2722.5</v>
      </c>
      <c r="I49" s="575"/>
      <c r="J49" s="673">
        <f>H49/DAY(B2)</f>
        <v>2722.5</v>
      </c>
      <c r="K49" s="508"/>
      <c r="L49" s="405"/>
      <c r="N49" s="410"/>
      <c r="O49" s="410"/>
    </row>
    <row r="50" spans="1:15" x14ac:dyDescent="0.4">
      <c r="A50" s="699" t="s">
        <v>205</v>
      </c>
      <c r="B50" s="722"/>
      <c r="C50" s="722"/>
      <c r="D50" s="643" t="s">
        <v>159</v>
      </c>
      <c r="E50" s="630">
        <v>295969.09000000003</v>
      </c>
      <c r="F50" s="630">
        <v>297041.89</v>
      </c>
      <c r="G50" s="593">
        <f t="shared" si="9"/>
        <v>1072.7999999999884</v>
      </c>
      <c r="H50" s="580">
        <f t="shared" ref="H50:H60" si="10">G50</f>
        <v>1072.7999999999884</v>
      </c>
      <c r="I50" s="575"/>
      <c r="J50" s="673">
        <f>H50/DAY(B2)</f>
        <v>1072.7999999999884</v>
      </c>
      <c r="K50" s="508"/>
      <c r="L50" s="405"/>
      <c r="N50" s="410"/>
      <c r="O50" s="410"/>
    </row>
    <row r="51" spans="1:15" x14ac:dyDescent="0.4">
      <c r="A51" s="699" t="s">
        <v>193</v>
      </c>
      <c r="B51" s="722"/>
      <c r="C51" s="722"/>
      <c r="D51" s="643" t="s">
        <v>159</v>
      </c>
      <c r="E51" s="630">
        <v>19320.487000000001</v>
      </c>
      <c r="F51" s="630">
        <v>20757.669000000002</v>
      </c>
      <c r="G51" s="593">
        <f t="shared" si="9"/>
        <v>1437.1820000000007</v>
      </c>
      <c r="H51" s="580">
        <f t="shared" si="10"/>
        <v>1437.1820000000007</v>
      </c>
      <c r="I51" s="575"/>
      <c r="J51" s="673">
        <f>H51/DAY(B2)</f>
        <v>1437.1820000000007</v>
      </c>
      <c r="K51" s="508"/>
      <c r="L51" s="405"/>
      <c r="N51" s="410"/>
      <c r="O51" s="410"/>
    </row>
    <row r="52" spans="1:15" x14ac:dyDescent="0.4">
      <c r="A52" s="699" t="s">
        <v>206</v>
      </c>
      <c r="B52" s="722"/>
      <c r="C52" s="722"/>
      <c r="D52" s="643" t="s">
        <v>159</v>
      </c>
      <c r="E52" s="630">
        <v>371122.43</v>
      </c>
      <c r="F52" s="630">
        <v>373003.27</v>
      </c>
      <c r="G52" s="593">
        <f t="shared" si="9"/>
        <v>1880.8400000000256</v>
      </c>
      <c r="H52" s="580">
        <f t="shared" si="10"/>
        <v>1880.8400000000256</v>
      </c>
      <c r="I52" s="575"/>
      <c r="J52" s="673">
        <f>H52/DAY(B2)</f>
        <v>1880.8400000000256</v>
      </c>
      <c r="K52" s="508"/>
      <c r="L52" s="405"/>
      <c r="N52" s="410"/>
      <c r="O52" s="857"/>
    </row>
    <row r="53" spans="1:15" x14ac:dyDescent="0.4">
      <c r="A53" s="699" t="s">
        <v>195</v>
      </c>
      <c r="B53" s="722"/>
      <c r="C53" s="722"/>
      <c r="D53" s="643" t="s">
        <v>159</v>
      </c>
      <c r="E53" s="630">
        <v>45416.006999999998</v>
      </c>
      <c r="F53" s="630">
        <v>49649.771000000001</v>
      </c>
      <c r="G53" s="593">
        <f t="shared" si="9"/>
        <v>4233.7640000000029</v>
      </c>
      <c r="H53" s="580">
        <f t="shared" si="10"/>
        <v>4233.7640000000029</v>
      </c>
      <c r="I53" s="575"/>
      <c r="J53" s="673">
        <f>H53/DAY(B2)</f>
        <v>4233.7640000000029</v>
      </c>
      <c r="K53" s="508"/>
      <c r="L53" s="405"/>
      <c r="N53" s="410"/>
      <c r="O53" s="410"/>
    </row>
    <row r="54" spans="1:15" x14ac:dyDescent="0.4">
      <c r="A54" s="699" t="s">
        <v>207</v>
      </c>
      <c r="B54" s="722"/>
      <c r="C54" s="722"/>
      <c r="D54" s="643" t="s">
        <v>159</v>
      </c>
      <c r="E54" s="630">
        <v>2833</v>
      </c>
      <c r="F54" s="630">
        <v>2886.89</v>
      </c>
      <c r="G54" s="593">
        <f t="shared" si="9"/>
        <v>53.889999999999873</v>
      </c>
      <c r="H54" s="580">
        <f t="shared" si="10"/>
        <v>53.889999999999873</v>
      </c>
      <c r="I54" s="575"/>
      <c r="J54" s="673">
        <f>H54/DAY(B2)</f>
        <v>53.889999999999873</v>
      </c>
      <c r="K54" s="508"/>
      <c r="L54" s="405"/>
      <c r="N54" s="410"/>
      <c r="O54" s="410"/>
    </row>
    <row r="55" spans="1:15" x14ac:dyDescent="0.4">
      <c r="A55" s="699" t="s">
        <v>208</v>
      </c>
      <c r="B55" s="722"/>
      <c r="C55" s="722"/>
      <c r="D55" s="643" t="s">
        <v>159</v>
      </c>
      <c r="E55" s="630">
        <v>158493</v>
      </c>
      <c r="F55" s="630">
        <v>158492.63</v>
      </c>
      <c r="G55" s="593">
        <f t="shared" si="9"/>
        <v>-0.36999999999534339</v>
      </c>
      <c r="H55" s="580">
        <f t="shared" si="10"/>
        <v>-0.36999999999534339</v>
      </c>
      <c r="I55" s="575"/>
      <c r="J55" s="673">
        <f>H55/DAY(B2)</f>
        <v>-0.36999999999534339</v>
      </c>
      <c r="K55" s="508"/>
      <c r="L55" s="405"/>
      <c r="N55" s="410"/>
      <c r="O55" s="410"/>
    </row>
    <row r="56" spans="1:15" x14ac:dyDescent="0.4">
      <c r="A56" s="699" t="s">
        <v>209</v>
      </c>
      <c r="B56" s="722"/>
      <c r="C56" s="722"/>
      <c r="D56" s="643" t="s">
        <v>210</v>
      </c>
      <c r="E56" s="630">
        <v>435147.59</v>
      </c>
      <c r="F56" s="630">
        <v>439883.83</v>
      </c>
      <c r="G56" s="593">
        <f t="shared" si="9"/>
        <v>4736.2399999999907</v>
      </c>
      <c r="H56" s="580">
        <f t="shared" si="10"/>
        <v>4736.2399999999907</v>
      </c>
      <c r="I56" s="575"/>
      <c r="J56" s="673">
        <f>H56/DAY(B2)</f>
        <v>4736.2399999999907</v>
      </c>
      <c r="K56" s="507"/>
      <c r="L56" s="405"/>
      <c r="N56" s="410"/>
      <c r="O56" s="410"/>
    </row>
    <row r="57" spans="1:15" x14ac:dyDescent="0.4">
      <c r="A57" s="699" t="s">
        <v>199</v>
      </c>
      <c r="B57" s="722"/>
      <c r="C57" s="722"/>
      <c r="D57" s="643" t="s">
        <v>159</v>
      </c>
      <c r="E57" s="630">
        <v>0</v>
      </c>
      <c r="F57" s="630">
        <v>0</v>
      </c>
      <c r="G57" s="593">
        <f t="shared" si="9"/>
        <v>0</v>
      </c>
      <c r="H57" s="580">
        <f t="shared" si="10"/>
        <v>0</v>
      </c>
      <c r="I57" s="575"/>
      <c r="J57" s="673">
        <f>H57/DAY(B2)</f>
        <v>0</v>
      </c>
      <c r="K57" s="508"/>
      <c r="L57" s="405"/>
      <c r="N57" s="410"/>
      <c r="O57" s="410"/>
    </row>
    <row r="58" spans="1:15" x14ac:dyDescent="0.4">
      <c r="A58" s="699" t="s">
        <v>211</v>
      </c>
      <c r="B58" s="722"/>
      <c r="C58" s="722"/>
      <c r="D58" s="643" t="s">
        <v>159</v>
      </c>
      <c r="E58" s="630">
        <v>20231.043000000001</v>
      </c>
      <c r="F58" s="630">
        <v>20281.823</v>
      </c>
      <c r="G58" s="593">
        <f t="shared" si="9"/>
        <v>50.779999999998836</v>
      </c>
      <c r="H58" s="580">
        <f t="shared" si="10"/>
        <v>50.779999999998836</v>
      </c>
      <c r="I58" s="575"/>
      <c r="J58" s="673">
        <f>H58/DAY(B2)</f>
        <v>50.779999999998836</v>
      </c>
      <c r="K58" s="508"/>
      <c r="L58" s="405"/>
      <c r="N58" s="410"/>
      <c r="O58" s="410"/>
    </row>
    <row r="59" spans="1:15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16187.626000000011</v>
      </c>
      <c r="H59" s="580">
        <f t="shared" si="10"/>
        <v>16187.626000000011</v>
      </c>
      <c r="I59" s="575">
        <f>G7-G60</f>
        <v>-335.60599999984697</v>
      </c>
      <c r="J59" s="673">
        <f>H59/DAY(B2)</f>
        <v>16187.626000000011</v>
      </c>
      <c r="K59" s="508"/>
      <c r="L59" s="405"/>
      <c r="N59" s="410"/>
      <c r="O59" s="410"/>
    </row>
    <row r="60" spans="1:15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19580.605999999847</v>
      </c>
      <c r="H60" s="580">
        <f t="shared" si="10"/>
        <v>19580.605999999847</v>
      </c>
      <c r="I60" s="575">
        <f>G13-G60</f>
        <v>-1048.3660000000309</v>
      </c>
      <c r="J60" s="673">
        <f>H60/DAY(B2)</f>
        <v>19580.605999999847</v>
      </c>
      <c r="K60" s="508"/>
      <c r="L60" s="405"/>
      <c r="N60" s="410"/>
      <c r="O60" s="410"/>
    </row>
    <row r="61" spans="1:15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410"/>
      <c r="O61" s="410"/>
    </row>
    <row r="62" spans="1:15" x14ac:dyDescent="0.4">
      <c r="A62" s="724" t="s">
        <v>121</v>
      </c>
      <c r="B62" s="725"/>
      <c r="C62" s="725"/>
      <c r="D62" s="631" t="s">
        <v>214</v>
      </c>
      <c r="E62" s="634">
        <v>20419.18</v>
      </c>
      <c r="F62" s="634">
        <v>20419.188999999998</v>
      </c>
      <c r="G62" s="593">
        <f t="shared" ref="G62:G69" si="11">F62-E62</f>
        <v>8.9999999981955625E-3</v>
      </c>
      <c r="H62" s="580">
        <f>G62</f>
        <v>8.9999999981955625E-3</v>
      </c>
      <c r="I62" s="635"/>
      <c r="J62" s="673">
        <f>H62/DAY(B2)</f>
        <v>8.9999999981955625E-3</v>
      </c>
      <c r="K62" s="508"/>
      <c r="L62" s="405"/>
      <c r="N62" s="410"/>
      <c r="O62" s="410"/>
    </row>
    <row r="63" spans="1:15" x14ac:dyDescent="0.4">
      <c r="A63" s="724" t="s">
        <v>215</v>
      </c>
      <c r="B63" s="725"/>
      <c r="C63" s="725"/>
      <c r="D63" s="631" t="s">
        <v>214</v>
      </c>
      <c r="E63" s="634">
        <v>856.37</v>
      </c>
      <c r="F63" s="634">
        <v>872.779</v>
      </c>
      <c r="G63" s="593">
        <f t="shared" si="11"/>
        <v>16.408999999999992</v>
      </c>
      <c r="H63" s="580">
        <f t="shared" ref="H63:H70" si="12">G63</f>
        <v>16.408999999999992</v>
      </c>
      <c r="I63" s="635"/>
      <c r="J63" s="673">
        <f>H63/DAY(B2)</f>
        <v>16.408999999999992</v>
      </c>
      <c r="K63" s="508"/>
      <c r="L63" s="405"/>
      <c r="N63" s="410"/>
      <c r="O63" s="410"/>
    </row>
    <row r="64" spans="1:15" ht="27.75" x14ac:dyDescent="0.5">
      <c r="A64" s="1395" t="s">
        <v>122</v>
      </c>
      <c r="B64" s="1396"/>
      <c r="C64" s="1397"/>
      <c r="D64" s="643" t="s">
        <v>214</v>
      </c>
      <c r="E64" s="604">
        <v>86739.095000000001</v>
      </c>
      <c r="F64" s="604">
        <v>87088.678</v>
      </c>
      <c r="G64" s="593">
        <f t="shared" si="11"/>
        <v>349.58299999999872</v>
      </c>
      <c r="H64" s="580">
        <f t="shared" si="12"/>
        <v>349.58299999999872</v>
      </c>
      <c r="I64" s="600"/>
      <c r="J64" s="673">
        <f>H64/DAY(B2)</f>
        <v>349.58299999999872</v>
      </c>
      <c r="K64" s="508"/>
      <c r="L64" s="405"/>
      <c r="N64" s="410"/>
      <c r="O64" s="410"/>
    </row>
    <row r="65" spans="1:15" ht="27.75" x14ac:dyDescent="0.5">
      <c r="A65" s="1395" t="s">
        <v>123</v>
      </c>
      <c r="B65" s="1396"/>
      <c r="C65" s="1397"/>
      <c r="D65" s="643" t="s">
        <v>214</v>
      </c>
      <c r="E65" s="604">
        <v>96635.982999999993</v>
      </c>
      <c r="F65" s="604">
        <v>97027.407000000007</v>
      </c>
      <c r="G65" s="593">
        <f t="shared" si="11"/>
        <v>391.42400000001362</v>
      </c>
      <c r="H65" s="580">
        <f t="shared" si="12"/>
        <v>391.42400000001362</v>
      </c>
      <c r="I65" s="609"/>
      <c r="J65" s="673">
        <f>H65/DAY(B2)</f>
        <v>391.42400000001362</v>
      </c>
      <c r="K65" s="508"/>
      <c r="L65" s="405"/>
      <c r="N65" s="410"/>
      <c r="O65" s="410"/>
    </row>
    <row r="66" spans="1:15" ht="27.75" x14ac:dyDescent="0.5">
      <c r="A66" s="1395" t="s">
        <v>124</v>
      </c>
      <c r="B66" s="1396"/>
      <c r="C66" s="1397"/>
      <c r="D66" s="643" t="s">
        <v>214</v>
      </c>
      <c r="E66" s="604">
        <v>90004.846999999994</v>
      </c>
      <c r="F66" s="604">
        <v>90408</v>
      </c>
      <c r="G66" s="593">
        <f t="shared" si="11"/>
        <v>403.1530000000057</v>
      </c>
      <c r="H66" s="580">
        <f t="shared" si="12"/>
        <v>403.1530000000057</v>
      </c>
      <c r="I66" s="600"/>
      <c r="J66" s="673">
        <f>H66/DAY(B2)</f>
        <v>403.1530000000057</v>
      </c>
      <c r="K66" s="508"/>
      <c r="L66" s="405"/>
      <c r="N66" s="410"/>
      <c r="O66" s="410"/>
    </row>
    <row r="67" spans="1:15" ht="27.75" x14ac:dyDescent="0.5">
      <c r="A67" s="1395" t="s">
        <v>125</v>
      </c>
      <c r="B67" s="1396"/>
      <c r="C67" s="1397"/>
      <c r="D67" s="643" t="s">
        <v>214</v>
      </c>
      <c r="E67" s="604">
        <v>146042.04999999999</v>
      </c>
      <c r="F67" s="604">
        <v>146839.38</v>
      </c>
      <c r="G67" s="593">
        <f t="shared" si="11"/>
        <v>797.3300000000163</v>
      </c>
      <c r="H67" s="580">
        <f t="shared" si="12"/>
        <v>797.3300000000163</v>
      </c>
      <c r="I67" s="609"/>
      <c r="J67" s="673">
        <f>H67/DAY(B2)</f>
        <v>797.3300000000163</v>
      </c>
      <c r="K67" s="509"/>
      <c r="L67" s="405"/>
      <c r="N67" s="410"/>
      <c r="O67" s="410"/>
    </row>
    <row r="68" spans="1:15" ht="27.75" x14ac:dyDescent="0.5">
      <c r="A68" s="1401" t="s">
        <v>126</v>
      </c>
      <c r="B68" s="1402"/>
      <c r="C68" s="1403"/>
      <c r="D68" s="748" t="s">
        <v>214</v>
      </c>
      <c r="E68" s="604">
        <v>43175.078999999998</v>
      </c>
      <c r="F68" s="662">
        <v>43557.631000000001</v>
      </c>
      <c r="G68" s="769">
        <f t="shared" si="11"/>
        <v>382.55200000000332</v>
      </c>
      <c r="H68" s="841">
        <f t="shared" si="12"/>
        <v>382.55200000000332</v>
      </c>
      <c r="I68" s="1272"/>
      <c r="J68" s="843">
        <f>H68/DAY(B2)</f>
        <v>382.55200000000332</v>
      </c>
      <c r="K68" s="510"/>
      <c r="L68" s="405"/>
      <c r="N68" s="410"/>
      <c r="O68" s="410"/>
    </row>
    <row r="69" spans="1:15" ht="27.75" x14ac:dyDescent="0.5">
      <c r="A69" s="1401" t="s">
        <v>127</v>
      </c>
      <c r="B69" s="1402"/>
      <c r="C69" s="1403"/>
      <c r="D69" s="748" t="s">
        <v>214</v>
      </c>
      <c r="E69" s="604">
        <v>37555.567000000003</v>
      </c>
      <c r="F69" s="662">
        <v>37845.839</v>
      </c>
      <c r="G69" s="769">
        <f t="shared" si="11"/>
        <v>290.27199999999721</v>
      </c>
      <c r="H69" s="841">
        <f t="shared" si="12"/>
        <v>290.27199999999721</v>
      </c>
      <c r="I69" s="1272"/>
      <c r="J69" s="843">
        <f>H69/DAY(B2)</f>
        <v>290.27199999999721</v>
      </c>
      <c r="K69" s="511"/>
      <c r="L69" s="405"/>
      <c r="N69" s="410"/>
      <c r="O69" s="410"/>
    </row>
    <row r="70" spans="1:15" ht="27.75" x14ac:dyDescent="0.5">
      <c r="A70" s="1401" t="s">
        <v>216</v>
      </c>
      <c r="B70" s="1402"/>
      <c r="C70" s="1403"/>
      <c r="D70" s="748" t="s">
        <v>214</v>
      </c>
      <c r="E70" s="638"/>
      <c r="F70" s="1273"/>
      <c r="G70" s="1273"/>
      <c r="H70" s="841">
        <f t="shared" si="12"/>
        <v>0</v>
      </c>
      <c r="I70" s="1273"/>
      <c r="J70" s="1274">
        <f>H70/DAY(B2)</f>
        <v>0</v>
      </c>
      <c r="K70" s="511"/>
      <c r="L70" s="405"/>
      <c r="N70" s="410"/>
      <c r="O70" s="410"/>
    </row>
    <row r="71" spans="1:15" ht="31.5" x14ac:dyDescent="0.6">
      <c r="A71" s="1441" t="s">
        <v>217</v>
      </c>
      <c r="B71" s="1442"/>
      <c r="C71" s="1442"/>
      <c r="D71" s="1442"/>
      <c r="E71" s="1442"/>
      <c r="F71" s="1442"/>
      <c r="G71" s="1442"/>
      <c r="H71" s="1442"/>
      <c r="I71" s="1442"/>
      <c r="J71" s="1443"/>
      <c r="K71" s="510"/>
      <c r="L71" s="405"/>
      <c r="N71" s="410"/>
      <c r="O71" s="410"/>
    </row>
    <row r="72" spans="1:15" ht="27.75" x14ac:dyDescent="0.5">
      <c r="A72" s="1401" t="s">
        <v>218</v>
      </c>
      <c r="B72" s="1402"/>
      <c r="C72" s="1403"/>
      <c r="D72" s="748" t="s">
        <v>214</v>
      </c>
      <c r="E72" s="639">
        <v>844177</v>
      </c>
      <c r="F72" s="640">
        <v>844185</v>
      </c>
      <c r="G72" s="769">
        <f t="shared" ref="G72:G84" si="13">F72-E72</f>
        <v>8</v>
      </c>
      <c r="H72" s="841">
        <f>G72</f>
        <v>8</v>
      </c>
      <c r="I72" s="1215"/>
      <c r="J72" s="843">
        <f>H72/DAY(B2)</f>
        <v>8</v>
      </c>
      <c r="K72" s="511"/>
      <c r="L72" s="405"/>
      <c r="N72" s="410"/>
      <c r="O72" s="410"/>
    </row>
    <row r="73" spans="1:15" ht="27.75" x14ac:dyDescent="0.5">
      <c r="A73" s="1401" t="s">
        <v>219</v>
      </c>
      <c r="B73" s="1402"/>
      <c r="C73" s="1403"/>
      <c r="D73" s="748" t="s">
        <v>214</v>
      </c>
      <c r="E73" s="640">
        <v>885310</v>
      </c>
      <c r="F73" s="640">
        <v>885311</v>
      </c>
      <c r="G73" s="769">
        <f t="shared" si="13"/>
        <v>1</v>
      </c>
      <c r="H73" s="841">
        <f t="shared" ref="H73:H88" si="14">G73</f>
        <v>1</v>
      </c>
      <c r="I73" s="1215"/>
      <c r="J73" s="843">
        <f>H73/DAY(B2)</f>
        <v>1</v>
      </c>
      <c r="K73" s="510"/>
      <c r="L73" s="405"/>
      <c r="N73" s="410"/>
      <c r="O73" s="410"/>
    </row>
    <row r="74" spans="1:15" ht="27.75" x14ac:dyDescent="0.5">
      <c r="A74" s="1401" t="s">
        <v>220</v>
      </c>
      <c r="B74" s="1402"/>
      <c r="C74" s="1403"/>
      <c r="D74" s="748" t="s">
        <v>214</v>
      </c>
      <c r="E74" s="641">
        <v>880227</v>
      </c>
      <c r="F74" s="640">
        <v>880250</v>
      </c>
      <c r="G74" s="769">
        <f t="shared" si="13"/>
        <v>23</v>
      </c>
      <c r="H74" s="841">
        <f t="shared" si="14"/>
        <v>23</v>
      </c>
      <c r="I74" s="1215"/>
      <c r="J74" s="843">
        <f>H74/DAY(B2)</f>
        <v>23</v>
      </c>
      <c r="K74" s="511"/>
      <c r="L74" s="405"/>
      <c r="N74" s="410"/>
      <c r="O74" s="410"/>
    </row>
    <row r="75" spans="1:15" ht="27.75" x14ac:dyDescent="0.5">
      <c r="A75" s="1444" t="s">
        <v>221</v>
      </c>
      <c r="B75" s="1445"/>
      <c r="C75" s="1446"/>
      <c r="D75" s="748" t="s">
        <v>214</v>
      </c>
      <c r="E75" s="640">
        <v>726180</v>
      </c>
      <c r="F75" s="640">
        <v>726345</v>
      </c>
      <c r="G75" s="769">
        <f t="shared" si="13"/>
        <v>165</v>
      </c>
      <c r="H75" s="841">
        <f t="shared" si="14"/>
        <v>165</v>
      </c>
      <c r="I75" s="1215"/>
      <c r="J75" s="843">
        <f>H75/DAY(B2)</f>
        <v>165</v>
      </c>
      <c r="K75" s="510"/>
      <c r="L75" s="405"/>
      <c r="N75" s="410"/>
      <c r="O75" s="410"/>
    </row>
    <row r="76" spans="1:15" ht="27.75" x14ac:dyDescent="0.5">
      <c r="A76" s="1444" t="s">
        <v>222</v>
      </c>
      <c r="B76" s="1445"/>
      <c r="C76" s="1446"/>
      <c r="D76" s="748" t="s">
        <v>214</v>
      </c>
      <c r="E76" s="640">
        <v>681676</v>
      </c>
      <c r="F76" s="640">
        <v>681733</v>
      </c>
      <c r="G76" s="769">
        <f t="shared" si="13"/>
        <v>57</v>
      </c>
      <c r="H76" s="841">
        <f t="shared" si="14"/>
        <v>57</v>
      </c>
      <c r="I76" s="1275"/>
      <c r="J76" s="843">
        <f>H76/DAY(B2)</f>
        <v>57</v>
      </c>
      <c r="K76" s="510"/>
      <c r="L76" s="405"/>
      <c r="N76" s="410"/>
      <c r="O76" s="410"/>
    </row>
    <row r="77" spans="1:15" ht="27.75" x14ac:dyDescent="0.5">
      <c r="A77" s="1401" t="s">
        <v>223</v>
      </c>
      <c r="B77" s="1402"/>
      <c r="C77" s="1403"/>
      <c r="D77" s="748" t="s">
        <v>214</v>
      </c>
      <c r="E77" s="641">
        <v>693720</v>
      </c>
      <c r="F77" s="640">
        <v>693775</v>
      </c>
      <c r="G77" s="769">
        <f t="shared" si="13"/>
        <v>55</v>
      </c>
      <c r="H77" s="841">
        <f t="shared" si="14"/>
        <v>55</v>
      </c>
      <c r="I77" s="1275"/>
      <c r="J77" s="843">
        <f>H77/DAY(B2)</f>
        <v>55</v>
      </c>
      <c r="K77" s="510"/>
      <c r="L77" s="405"/>
      <c r="N77" s="410"/>
      <c r="O77" s="410"/>
    </row>
    <row r="78" spans="1:15" ht="27.75" x14ac:dyDescent="0.5">
      <c r="A78" s="1276" t="s">
        <v>224</v>
      </c>
      <c r="B78" s="1277"/>
      <c r="C78" s="1277"/>
      <c r="D78" s="748" t="s">
        <v>214</v>
      </c>
      <c r="E78" s="641">
        <v>618253</v>
      </c>
      <c r="F78" s="640">
        <v>618733</v>
      </c>
      <c r="G78" s="769">
        <f t="shared" si="13"/>
        <v>480</v>
      </c>
      <c r="H78" s="841">
        <f t="shared" si="14"/>
        <v>480</v>
      </c>
      <c r="I78" s="1275"/>
      <c r="J78" s="843">
        <f>H78/DAY(B2)</f>
        <v>480</v>
      </c>
      <c r="K78" s="510"/>
      <c r="L78" s="405"/>
      <c r="N78" s="410"/>
      <c r="O78" s="410"/>
    </row>
    <row r="79" spans="1:15" ht="27.75" x14ac:dyDescent="0.5">
      <c r="A79" s="1444" t="s">
        <v>112</v>
      </c>
      <c r="B79" s="1445"/>
      <c r="C79" s="1446"/>
      <c r="D79" s="748" t="s">
        <v>214</v>
      </c>
      <c r="E79" s="640">
        <v>797986</v>
      </c>
      <c r="F79" s="640">
        <v>798187</v>
      </c>
      <c r="G79" s="769">
        <f t="shared" si="13"/>
        <v>201</v>
      </c>
      <c r="H79" s="841">
        <f t="shared" si="14"/>
        <v>201</v>
      </c>
      <c r="I79" s="1275"/>
      <c r="J79" s="843">
        <f>H79/DAY(B2)</f>
        <v>201</v>
      </c>
      <c r="K79" s="510"/>
      <c r="L79" s="405"/>
      <c r="N79" s="410"/>
      <c r="O79" s="410"/>
    </row>
    <row r="80" spans="1:15" ht="27.75" x14ac:dyDescent="0.5">
      <c r="A80" s="1444" t="s">
        <v>225</v>
      </c>
      <c r="B80" s="1445"/>
      <c r="C80" s="1446"/>
      <c r="D80" s="748" t="s">
        <v>214</v>
      </c>
      <c r="E80" s="640">
        <v>465497.88</v>
      </c>
      <c r="F80" s="640">
        <v>465809.27</v>
      </c>
      <c r="G80" s="769">
        <f t="shared" si="13"/>
        <v>311.39000000001397</v>
      </c>
      <c r="H80" s="841">
        <f t="shared" si="14"/>
        <v>311.39000000001397</v>
      </c>
      <c r="I80" s="1275"/>
      <c r="J80" s="843">
        <f>H80/DAY(B2)</f>
        <v>311.39000000001397</v>
      </c>
      <c r="K80" s="510"/>
      <c r="L80" s="405"/>
      <c r="N80" s="410"/>
      <c r="O80" s="410"/>
    </row>
    <row r="81" spans="1:15" ht="27.75" x14ac:dyDescent="0.5">
      <c r="A81" s="1444" t="s">
        <v>226</v>
      </c>
      <c r="B81" s="1445"/>
      <c r="C81" s="1446"/>
      <c r="D81" s="748" t="s">
        <v>214</v>
      </c>
      <c r="E81" s="640">
        <v>614388.52</v>
      </c>
      <c r="F81" s="640">
        <v>614541.80000000005</v>
      </c>
      <c r="G81" s="769">
        <f t="shared" si="13"/>
        <v>153.28000000002794</v>
      </c>
      <c r="H81" s="841">
        <f t="shared" si="14"/>
        <v>153.28000000002794</v>
      </c>
      <c r="I81" s="1275"/>
      <c r="J81" s="843">
        <f>H81/DAY(B2)</f>
        <v>153.28000000002794</v>
      </c>
      <c r="K81" s="510"/>
      <c r="L81" s="405"/>
      <c r="N81" s="410"/>
      <c r="O81" s="410"/>
    </row>
    <row r="82" spans="1:15" ht="27.75" x14ac:dyDescent="0.5">
      <c r="A82" s="1444" t="s">
        <v>115</v>
      </c>
      <c r="B82" s="1445"/>
      <c r="C82" s="1446"/>
      <c r="D82" s="768" t="s">
        <v>159</v>
      </c>
      <c r="E82" s="642">
        <v>103529.65</v>
      </c>
      <c r="F82" s="662">
        <v>103550.41</v>
      </c>
      <c r="G82" s="769">
        <f t="shared" si="13"/>
        <v>20.760000000009313</v>
      </c>
      <c r="H82" s="841">
        <f t="shared" si="14"/>
        <v>20.760000000009313</v>
      </c>
      <c r="I82" s="841"/>
      <c r="J82" s="843">
        <f>H82/DAY(B2)</f>
        <v>20.760000000009313</v>
      </c>
      <c r="K82" s="510"/>
      <c r="L82" s="405"/>
      <c r="N82" s="410"/>
      <c r="O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1278">
        <v>962525</v>
      </c>
      <c r="F83" s="631">
        <v>962871</v>
      </c>
      <c r="G83" s="593">
        <f t="shared" si="13"/>
        <v>346</v>
      </c>
      <c r="H83" s="580">
        <f t="shared" si="14"/>
        <v>346</v>
      </c>
      <c r="I83" s="601"/>
      <c r="J83" s="673">
        <f>H83/DAY(B2)</f>
        <v>346</v>
      </c>
      <c r="K83" s="509"/>
      <c r="L83" s="405"/>
      <c r="N83" s="410"/>
      <c r="O83" s="857"/>
    </row>
    <row r="84" spans="1:15" x14ac:dyDescent="0.5">
      <c r="A84" s="1360" t="s">
        <v>228</v>
      </c>
      <c r="B84" s="692"/>
      <c r="C84" s="692"/>
      <c r="D84" s="598" t="s">
        <v>159</v>
      </c>
      <c r="E84" s="643">
        <v>381356</v>
      </c>
      <c r="F84" s="748">
        <v>381920</v>
      </c>
      <c r="G84" s="593">
        <f t="shared" si="13"/>
        <v>564</v>
      </c>
      <c r="H84" s="580">
        <f t="shared" si="14"/>
        <v>564</v>
      </c>
      <c r="I84" s="601"/>
      <c r="J84" s="673">
        <f>H84/DAY(B2)</f>
        <v>564</v>
      </c>
      <c r="K84" s="408"/>
      <c r="L84" s="405"/>
      <c r="N84" s="410"/>
      <c r="O84" s="410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2385.4300000000512</v>
      </c>
      <c r="H85" s="580">
        <f t="shared" si="14"/>
        <v>2385.4300000000512</v>
      </c>
      <c r="I85" s="601"/>
      <c r="J85" s="673">
        <f>H85/DAY(B2)</f>
        <v>2385.4300000000512</v>
      </c>
      <c r="K85" s="408"/>
      <c r="L85" s="406"/>
      <c r="N85" s="918"/>
      <c r="O85" s="857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64">
        <v>440412.24</v>
      </c>
      <c r="F86" s="764">
        <v>440551.67</v>
      </c>
      <c r="G86" s="841">
        <f t="shared" ref="G86:G90" si="15">F86-E86</f>
        <v>139.42999999999302</v>
      </c>
      <c r="H86" s="841">
        <f t="shared" si="14"/>
        <v>139.42999999999302</v>
      </c>
      <c r="I86" s="769"/>
      <c r="J86" s="843">
        <f>H86/DAY(B2)</f>
        <v>139.42999999999302</v>
      </c>
      <c r="K86" s="869"/>
      <c r="L86" s="870"/>
      <c r="N86" s="919"/>
      <c r="O86" s="410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64">
        <v>76901.3</v>
      </c>
      <c r="F87" s="764">
        <v>76936.5</v>
      </c>
      <c r="G87" s="841">
        <f t="shared" si="15"/>
        <v>35.19999999999709</v>
      </c>
      <c r="H87" s="841">
        <f t="shared" si="14"/>
        <v>35.19999999999709</v>
      </c>
      <c r="I87" s="769"/>
      <c r="J87" s="843">
        <f>H87/DAY(B2)</f>
        <v>35.19999999999709</v>
      </c>
      <c r="K87" s="869"/>
      <c r="L87" s="870"/>
      <c r="N87" s="919"/>
      <c r="O87" s="410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64">
        <v>142472.49</v>
      </c>
      <c r="F88" s="764">
        <v>142563.38</v>
      </c>
      <c r="G88" s="841">
        <f t="shared" si="15"/>
        <v>90.89000000001397</v>
      </c>
      <c r="H88" s="841">
        <f t="shared" si="14"/>
        <v>90.89000000001397</v>
      </c>
      <c r="I88" s="769"/>
      <c r="J88" s="843">
        <f>H88/DAY(B2)</f>
        <v>90.89000000001397</v>
      </c>
      <c r="K88" s="869"/>
      <c r="L88" s="870"/>
      <c r="N88" s="919"/>
      <c r="O88" s="410"/>
    </row>
    <row r="89" spans="1:15" s="871" customFormat="1" x14ac:dyDescent="0.5">
      <c r="A89" s="866" t="s">
        <v>229</v>
      </c>
      <c r="B89" s="867"/>
      <c r="C89" s="867"/>
      <c r="D89" s="868" t="s">
        <v>210</v>
      </c>
      <c r="E89" s="764">
        <v>55725.1</v>
      </c>
      <c r="F89" s="764">
        <v>55777.2</v>
      </c>
      <c r="G89" s="841">
        <f t="shared" si="15"/>
        <v>52.099999999998545</v>
      </c>
      <c r="H89" s="841">
        <f>G89</f>
        <v>52.099999999998545</v>
      </c>
      <c r="I89" s="769"/>
      <c r="J89" s="843">
        <f>H89/DAY(B2)</f>
        <v>52.099999999998545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64">
        <v>2888</v>
      </c>
      <c r="F90" s="764">
        <v>2890</v>
      </c>
      <c r="G90" s="841">
        <f t="shared" si="15"/>
        <v>2</v>
      </c>
      <c r="H90" s="841">
        <f>G90</f>
        <v>2</v>
      </c>
      <c r="I90" s="769"/>
      <c r="J90" s="843">
        <f>H90/DAY(B2)</f>
        <v>2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 t="s">
        <v>232</v>
      </c>
      <c r="G91" s="608"/>
      <c r="H91" s="592"/>
      <c r="I91" s="592"/>
      <c r="J91" s="672"/>
      <c r="K91" s="408"/>
      <c r="L91" s="406"/>
      <c r="N91" s="918"/>
      <c r="O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v>230975</v>
      </c>
      <c r="F92" s="604">
        <v>231087</v>
      </c>
      <c r="G92" s="593">
        <f t="shared" ref="G92:G93" si="16">F92-E92</f>
        <v>112</v>
      </c>
      <c r="H92" s="580">
        <f t="shared" ref="H92" si="17">G92</f>
        <v>112</v>
      </c>
      <c r="I92" s="600"/>
      <c r="J92" s="673">
        <f>H92/DAY(B2)</f>
        <v>112</v>
      </c>
      <c r="K92" s="509"/>
      <c r="L92" s="405"/>
      <c r="N92" s="410"/>
      <c r="O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62">
        <v>162642</v>
      </c>
      <c r="F93" s="604">
        <v>162793</v>
      </c>
      <c r="G93" s="593">
        <f t="shared" si="16"/>
        <v>151</v>
      </c>
      <c r="H93" s="580">
        <f>G93</f>
        <v>151</v>
      </c>
      <c r="I93" s="600"/>
      <c r="J93" s="673">
        <f>H93/DAY(B2)</f>
        <v>151</v>
      </c>
      <c r="K93" s="408"/>
      <c r="L93" s="405"/>
      <c r="N93" s="410"/>
      <c r="O93" s="410"/>
    </row>
    <row r="94" spans="1:15" x14ac:dyDescent="0.5">
      <c r="A94" s="1392" t="s">
        <v>235</v>
      </c>
      <c r="B94" s="1393"/>
      <c r="C94" s="1394"/>
      <c r="D94" s="643"/>
      <c r="E94" s="604"/>
      <c r="F94" s="604"/>
      <c r="G94" s="593">
        <f>G92+G93</f>
        <v>263</v>
      </c>
      <c r="H94" s="580"/>
      <c r="I94" s="600"/>
      <c r="J94" s="673"/>
      <c r="K94" s="408"/>
      <c r="L94" s="405"/>
      <c r="N94" s="410"/>
      <c r="O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v>401565</v>
      </c>
      <c r="F95" s="604">
        <v>401612</v>
      </c>
      <c r="G95" s="593">
        <f t="shared" ref="G95:G100" si="18">F95-E95</f>
        <v>47</v>
      </c>
      <c r="H95" s="580">
        <f t="shared" ref="H95:H101" si="19">G95</f>
        <v>47</v>
      </c>
      <c r="I95" s="600"/>
      <c r="J95" s="673">
        <f>H95/DAY(B2)</f>
        <v>47</v>
      </c>
      <c r="K95" s="408"/>
      <c r="L95" s="405"/>
      <c r="N95" s="410"/>
      <c r="O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v>99111</v>
      </c>
      <c r="F96" s="604">
        <v>99144</v>
      </c>
      <c r="G96" s="593">
        <f t="shared" si="18"/>
        <v>33</v>
      </c>
      <c r="H96" s="580">
        <f t="shared" si="19"/>
        <v>33</v>
      </c>
      <c r="I96" s="600"/>
      <c r="J96" s="673">
        <f>H96/DAY(B2)</f>
        <v>33</v>
      </c>
      <c r="K96" s="507"/>
      <c r="L96" s="405"/>
      <c r="N96" s="410"/>
      <c r="O96" s="410"/>
    </row>
    <row r="97" spans="1:15" ht="27.75" x14ac:dyDescent="0.5">
      <c r="A97" s="1354" t="s">
        <v>238</v>
      </c>
      <c r="B97" s="1355"/>
      <c r="C97" s="1355"/>
      <c r="D97" s="643" t="s">
        <v>171</v>
      </c>
      <c r="E97" s="604">
        <v>94272</v>
      </c>
      <c r="F97" s="604">
        <v>94307</v>
      </c>
      <c r="G97" s="593">
        <f t="shared" si="18"/>
        <v>35</v>
      </c>
      <c r="H97" s="580">
        <f t="shared" si="19"/>
        <v>35</v>
      </c>
      <c r="I97" s="600"/>
      <c r="J97" s="673">
        <f>H97/DAY(B2)</f>
        <v>35</v>
      </c>
      <c r="K97" s="512"/>
      <c r="L97" s="405"/>
      <c r="N97" s="410"/>
      <c r="O97" s="410"/>
    </row>
    <row r="98" spans="1:15" ht="27.75" x14ac:dyDescent="0.5">
      <c r="A98" s="1354" t="s">
        <v>239</v>
      </c>
      <c r="B98" s="1355"/>
      <c r="C98" s="1355"/>
      <c r="D98" s="643" t="s">
        <v>171</v>
      </c>
      <c r="E98" s="604">
        <v>142146</v>
      </c>
      <c r="F98" s="604">
        <v>142213</v>
      </c>
      <c r="G98" s="593">
        <f t="shared" si="18"/>
        <v>67</v>
      </c>
      <c r="H98" s="580">
        <f t="shared" si="19"/>
        <v>67</v>
      </c>
      <c r="I98" s="600"/>
      <c r="J98" s="673">
        <f>H98/DAY(B2)</f>
        <v>67</v>
      </c>
      <c r="K98" s="408"/>
      <c r="L98" s="405"/>
      <c r="N98" s="410"/>
      <c r="O98" s="410"/>
    </row>
    <row r="99" spans="1:15" ht="27.75" x14ac:dyDescent="0.5">
      <c r="A99" s="1354" t="s">
        <v>240</v>
      </c>
      <c r="B99" s="1355"/>
      <c r="C99" s="1355"/>
      <c r="D99" s="643" t="s">
        <v>171</v>
      </c>
      <c r="E99" s="604">
        <v>4968</v>
      </c>
      <c r="F99" s="604">
        <v>4991</v>
      </c>
      <c r="G99" s="593">
        <f t="shared" si="18"/>
        <v>23</v>
      </c>
      <c r="H99" s="580">
        <f t="shared" si="19"/>
        <v>23</v>
      </c>
      <c r="I99" s="600"/>
      <c r="J99" s="673">
        <f>H99/DAY(B2)</f>
        <v>23</v>
      </c>
      <c r="K99" s="408"/>
      <c r="L99" s="405"/>
      <c r="N99" s="410"/>
      <c r="O99" s="410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604">
        <v>3674</v>
      </c>
      <c r="F100" s="604">
        <v>3674</v>
      </c>
      <c r="G100" s="593">
        <f t="shared" si="18"/>
        <v>0</v>
      </c>
      <c r="H100" s="580">
        <f t="shared" si="19"/>
        <v>0</v>
      </c>
      <c r="I100" s="600" t="s">
        <v>143</v>
      </c>
      <c r="J100" s="673">
        <f>H100/DAY(B2)</f>
        <v>0</v>
      </c>
      <c r="K100" s="408"/>
      <c r="L100" s="405"/>
      <c r="N100" s="410"/>
      <c r="O100" s="410"/>
    </row>
    <row r="101" spans="1:15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205</v>
      </c>
      <c r="H101" s="580">
        <f t="shared" si="19"/>
        <v>205</v>
      </c>
      <c r="I101" s="646"/>
      <c r="J101" s="673">
        <f>H101/DAY(B2)</f>
        <v>205</v>
      </c>
      <c r="K101" s="408"/>
      <c r="L101" s="405"/>
      <c r="N101" s="410"/>
      <c r="O101" s="410"/>
    </row>
    <row r="102" spans="1:15" s="524" customFormat="1" ht="27" x14ac:dyDescent="0.35">
      <c r="A102" s="728" t="s">
        <v>243</v>
      </c>
      <c r="B102" s="729"/>
      <c r="C102" s="729"/>
      <c r="D102" s="742"/>
      <c r="E102" s="648"/>
      <c r="F102" s="648"/>
      <c r="G102" s="649"/>
      <c r="H102" s="650"/>
      <c r="I102" s="651"/>
      <c r="J102" s="678"/>
      <c r="N102" s="536"/>
      <c r="O102" s="410"/>
    </row>
    <row r="103" spans="1:15" s="524" customFormat="1" ht="27.75" x14ac:dyDescent="0.5">
      <c r="A103" s="1404" t="s">
        <v>244</v>
      </c>
      <c r="B103" s="1405"/>
      <c r="C103" s="694"/>
      <c r="D103" s="743"/>
      <c r="E103" s="652"/>
      <c r="F103" s="652"/>
      <c r="G103" s="652"/>
      <c r="H103" s="653"/>
      <c r="I103" s="652"/>
      <c r="J103" s="679"/>
      <c r="N103" s="536"/>
      <c r="O103" s="410"/>
    </row>
    <row r="104" spans="1:15" s="524" customFormat="1" ht="27.75" x14ac:dyDescent="0.5">
      <c r="A104" s="1406" t="s">
        <v>245</v>
      </c>
      <c r="B104" s="1407"/>
      <c r="C104" s="1363"/>
      <c r="D104" s="743" t="s">
        <v>171</v>
      </c>
      <c r="E104" s="652">
        <v>7010</v>
      </c>
      <c r="F104" s="652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57</v>
      </c>
      <c r="N104" s="536"/>
      <c r="O104" s="410"/>
    </row>
    <row r="105" spans="1:15" s="524" customFormat="1" ht="27.75" x14ac:dyDescent="0.5">
      <c r="A105" s="1406" t="s">
        <v>92</v>
      </c>
      <c r="B105" s="1407"/>
      <c r="C105" s="1363"/>
      <c r="D105" s="743" t="s">
        <v>171</v>
      </c>
      <c r="E105" s="654">
        <v>34676</v>
      </c>
      <c r="F105" s="654">
        <v>34676</v>
      </c>
      <c r="G105" s="652">
        <f t="shared" ref="G105:G106" si="20">F105-E105</f>
        <v>0</v>
      </c>
      <c r="H105" s="653">
        <f>SUM(G105+'[1]1'!G77)</f>
        <v>55</v>
      </c>
      <c r="I105" s="652"/>
      <c r="J105" s="679">
        <f>H105/DAY(B2)</f>
        <v>55</v>
      </c>
      <c r="N105" s="536"/>
      <c r="O105" s="410"/>
    </row>
    <row r="106" spans="1:15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v>18740</v>
      </c>
      <c r="F106" s="652">
        <v>18743</v>
      </c>
      <c r="G106" s="652">
        <f t="shared" si="20"/>
        <v>3</v>
      </c>
      <c r="H106" s="653">
        <f>SUM(G106+'[1]1'!G78)</f>
        <v>483</v>
      </c>
      <c r="I106" s="652"/>
      <c r="J106" s="679">
        <f>H106/DAY(B2)</f>
        <v>483</v>
      </c>
      <c r="N106" s="536"/>
      <c r="O106" s="410"/>
    </row>
    <row r="107" spans="1:15" s="524" customFormat="1" ht="27.75" x14ac:dyDescent="0.5">
      <c r="A107" s="1409" t="s">
        <v>82</v>
      </c>
      <c r="B107" s="1410"/>
      <c r="C107" s="1363"/>
      <c r="D107" s="743"/>
      <c r="E107" s="652"/>
      <c r="F107" s="652"/>
      <c r="G107" s="652">
        <f>SUM(G104:G106)</f>
        <v>3</v>
      </c>
      <c r="H107" s="653">
        <f>SUM(G107+'[1]1'!G79)</f>
        <v>204</v>
      </c>
      <c r="I107" s="652"/>
      <c r="J107" s="679">
        <f>H107/DAY(B2)</f>
        <v>204</v>
      </c>
      <c r="N107" s="536"/>
      <c r="O107" s="410"/>
    </row>
    <row r="108" spans="1:15" s="524" customFormat="1" ht="27.75" x14ac:dyDescent="0.5">
      <c r="A108" s="1411" t="s">
        <v>94</v>
      </c>
      <c r="B108" s="1412"/>
      <c r="C108" s="1363"/>
      <c r="D108" s="743" t="s">
        <v>171</v>
      </c>
      <c r="E108" s="652"/>
      <c r="F108" s="652"/>
      <c r="G108" s="652"/>
      <c r="H108" s="653"/>
      <c r="I108" s="652"/>
      <c r="J108" s="679"/>
      <c r="N108" s="536"/>
      <c r="O108" s="410"/>
    </row>
    <row r="109" spans="1:15" s="524" customFormat="1" ht="27.75" x14ac:dyDescent="0.5">
      <c r="A109" s="1406" t="s">
        <v>246</v>
      </c>
      <c r="B109" s="1407"/>
      <c r="C109" s="1363"/>
      <c r="D109" s="743" t="s">
        <v>171</v>
      </c>
      <c r="E109" s="652">
        <v>51282</v>
      </c>
      <c r="F109" s="652">
        <v>51341</v>
      </c>
      <c r="G109" s="652">
        <f>F109-E109</f>
        <v>59</v>
      </c>
      <c r="H109" s="653">
        <f>SUM(G109+'[1]1'!G81)</f>
        <v>212.28000000002794</v>
      </c>
      <c r="I109" s="652"/>
      <c r="J109" s="679">
        <f>H109/DAY(B2)</f>
        <v>212.28000000002794</v>
      </c>
      <c r="N109" s="536"/>
      <c r="O109" s="410"/>
    </row>
    <row r="110" spans="1:15" s="524" customFormat="1" ht="27.75" x14ac:dyDescent="0.5">
      <c r="A110" s="1406" t="s">
        <v>247</v>
      </c>
      <c r="B110" s="1407"/>
      <c r="C110" s="1363"/>
      <c r="D110" s="743" t="s">
        <v>171</v>
      </c>
      <c r="E110" s="654">
        <v>25329</v>
      </c>
      <c r="F110" s="652">
        <v>25400</v>
      </c>
      <c r="G110" s="652">
        <f>F110-E110</f>
        <v>71</v>
      </c>
      <c r="H110" s="653">
        <f>SUM(G110+'[1]1'!G82)</f>
        <v>91.760000000009313</v>
      </c>
      <c r="I110" s="652"/>
      <c r="J110" s="679">
        <f>H110/DAY(B2)</f>
        <v>91.760000000009313</v>
      </c>
      <c r="N110" s="536"/>
      <c r="O110" s="410"/>
    </row>
    <row r="111" spans="1:15" s="524" customFormat="1" ht="27.75" x14ac:dyDescent="0.5">
      <c r="A111" s="1406" t="s">
        <v>248</v>
      </c>
      <c r="B111" s="1407"/>
      <c r="C111" s="1363"/>
      <c r="D111" s="743" t="s">
        <v>171</v>
      </c>
      <c r="E111" s="654">
        <v>3385</v>
      </c>
      <c r="F111" s="652">
        <v>3385</v>
      </c>
      <c r="G111" s="652">
        <f>F111-E111</f>
        <v>0</v>
      </c>
      <c r="H111" s="653">
        <f>SUM(G111+'[1]1'!G83)</f>
        <v>346</v>
      </c>
      <c r="I111" s="652"/>
      <c r="J111" s="679">
        <f>H111/DAY(B2)</f>
        <v>346</v>
      </c>
      <c r="N111" s="536"/>
      <c r="O111" s="410"/>
    </row>
    <row r="112" spans="1:15" s="524" customFormat="1" ht="27.75" x14ac:dyDescent="0.5">
      <c r="A112" s="1435" t="s">
        <v>136</v>
      </c>
      <c r="B112" s="1436"/>
      <c r="C112" s="1363"/>
      <c r="D112" s="743"/>
      <c r="E112" s="652"/>
      <c r="F112" s="652"/>
      <c r="G112" s="652">
        <f>SUM(G109:G111)</f>
        <v>130</v>
      </c>
      <c r="H112" s="653">
        <f>SUM(G112+'[1]1'!G84)</f>
        <v>694</v>
      </c>
      <c r="I112" s="652"/>
      <c r="J112" s="679">
        <f>H112/DAY(B2)</f>
        <v>694</v>
      </c>
      <c r="N112" s="536"/>
      <c r="O112" s="410"/>
    </row>
    <row r="113" spans="1:15" s="524" customFormat="1" ht="27.75" x14ac:dyDescent="0.5">
      <c r="A113" s="1411" t="s">
        <v>249</v>
      </c>
      <c r="B113" s="1412"/>
      <c r="C113" s="1363"/>
      <c r="D113" s="743"/>
      <c r="E113" s="652"/>
      <c r="F113" s="652"/>
      <c r="G113" s="652"/>
      <c r="H113" s="653"/>
      <c r="I113" s="652"/>
      <c r="J113" s="679">
        <f>H113/DAY(B2)</f>
        <v>0</v>
      </c>
      <c r="N113" s="536"/>
      <c r="O113" s="410"/>
    </row>
    <row r="114" spans="1:15" s="524" customFormat="1" ht="27.75" x14ac:dyDescent="0.5">
      <c r="A114" s="1406" t="s">
        <v>250</v>
      </c>
      <c r="B114" s="1407"/>
      <c r="C114" s="695"/>
      <c r="D114" s="743" t="s">
        <v>171</v>
      </c>
      <c r="E114" s="654">
        <v>8601</v>
      </c>
      <c r="F114" s="654">
        <v>8628</v>
      </c>
      <c r="G114" s="654">
        <f>F114-E114</f>
        <v>27</v>
      </c>
      <c r="H114" s="653">
        <f>SUM(G114+'[1]1'!G91)</f>
        <v>27</v>
      </c>
      <c r="I114" s="652"/>
      <c r="J114" s="679">
        <f>H114/DAY(B2)</f>
        <v>27</v>
      </c>
      <c r="N114" s="536"/>
      <c r="O114" s="410"/>
    </row>
    <row r="115" spans="1:15" s="524" customFormat="1" ht="27.75" x14ac:dyDescent="0.5">
      <c r="A115" s="1406" t="s">
        <v>251</v>
      </c>
      <c r="B115" s="1407"/>
      <c r="C115" s="695"/>
      <c r="D115" s="743" t="s">
        <v>171</v>
      </c>
      <c r="E115" s="654">
        <v>6817</v>
      </c>
      <c r="F115" s="654">
        <v>6828</v>
      </c>
      <c r="G115" s="654">
        <f t="shared" ref="G115:G116" si="21">F115-E115</f>
        <v>11</v>
      </c>
      <c r="H115" s="653">
        <f>SUM(G115+'[1]1'!G92)</f>
        <v>123</v>
      </c>
      <c r="I115" s="652"/>
      <c r="J115" s="679">
        <f>H115/DAY(B2)</f>
        <v>123</v>
      </c>
      <c r="N115" s="536"/>
      <c r="O115" s="410"/>
    </row>
    <row r="116" spans="1:15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654"/>
      <c r="G116" s="654">
        <f t="shared" si="21"/>
        <v>0</v>
      </c>
      <c r="H116" s="653">
        <f>SUM(G116+'[1]1'!G93)</f>
        <v>151</v>
      </c>
      <c r="I116" s="652"/>
      <c r="J116" s="679">
        <f>H116/DAY(B2)</f>
        <v>151</v>
      </c>
      <c r="N116" s="536"/>
      <c r="O116" s="410"/>
    </row>
    <row r="117" spans="1:15" s="537" customFormat="1" ht="27.75" x14ac:dyDescent="0.5">
      <c r="A117" s="1409" t="s">
        <v>82</v>
      </c>
      <c r="B117" s="1410"/>
      <c r="C117" s="695"/>
      <c r="D117" s="744"/>
      <c r="E117" s="654"/>
      <c r="F117" s="654"/>
      <c r="G117" s="654">
        <f>SUM(G114:G116)</f>
        <v>38</v>
      </c>
      <c r="H117" s="653">
        <f>SUM(G117+'[1]1'!G95)</f>
        <v>85</v>
      </c>
      <c r="I117" s="654"/>
      <c r="J117" s="679">
        <f>H117/DAY(B2)</f>
        <v>85</v>
      </c>
      <c r="N117" s="565"/>
      <c r="O117" s="410"/>
    </row>
    <row r="118" spans="1:15" s="538" customFormat="1" ht="27.75" x14ac:dyDescent="0.5">
      <c r="A118" s="1437" t="s">
        <v>253</v>
      </c>
      <c r="B118" s="1438"/>
      <c r="C118" s="1362"/>
      <c r="D118" s="745" t="s">
        <v>171</v>
      </c>
      <c r="E118" s="656">
        <f>SUM(F19+F92)</f>
        <v>360941</v>
      </c>
      <c r="F118" s="656">
        <f>SUM(G19+G92)</f>
        <v>165</v>
      </c>
      <c r="G118" s="656">
        <f>SUM(G19+G92)</f>
        <v>165</v>
      </c>
      <c r="H118" s="653">
        <f>SUM(G118+'[1]1'!G96)</f>
        <v>198</v>
      </c>
      <c r="I118" s="655"/>
      <c r="J118" s="680">
        <f>H118/DAY(B2)</f>
        <v>198</v>
      </c>
      <c r="N118" s="920"/>
      <c r="O118" s="410"/>
    </row>
    <row r="119" spans="1:15" s="538" customFormat="1" ht="27.75" x14ac:dyDescent="0.5">
      <c r="A119" s="1437" t="s">
        <v>254</v>
      </c>
      <c r="B119" s="1438"/>
      <c r="C119" s="1362"/>
      <c r="D119" s="745" t="s">
        <v>171</v>
      </c>
      <c r="E119" s="656">
        <f>SUM(F95,F96,F97,F99,F100)</f>
        <v>603728</v>
      </c>
      <c r="F119" s="656">
        <f>SUM(G95,G96,G97,G99,G100)</f>
        <v>138</v>
      </c>
      <c r="G119" s="656">
        <f>SUM(G95,G96,G97,G99,G100)</f>
        <v>138</v>
      </c>
      <c r="H119" s="653">
        <f>SUM(G119+'[1]1'!G98)</f>
        <v>205</v>
      </c>
      <c r="I119" s="655"/>
      <c r="J119" s="680">
        <f>H119/DAY(B2)</f>
        <v>205</v>
      </c>
      <c r="N119" s="920"/>
      <c r="O119" s="410"/>
    </row>
    <row r="120" spans="1:15" s="538" customFormat="1" ht="27.75" x14ac:dyDescent="0.5">
      <c r="A120" s="1437" t="s">
        <v>255</v>
      </c>
      <c r="B120" s="1438"/>
      <c r="C120" s="1362"/>
      <c r="D120" s="745" t="s">
        <v>171</v>
      </c>
      <c r="E120" s="654">
        <f>SUM(F112)</f>
        <v>0</v>
      </c>
      <c r="F120" s="654">
        <f>SUM(G112)</f>
        <v>130</v>
      </c>
      <c r="G120" s="654">
        <f>SUM(G112)</f>
        <v>130</v>
      </c>
      <c r="H120" s="653">
        <f>SUM(G120+'[1]1'!G100)</f>
        <v>130</v>
      </c>
      <c r="I120" s="655"/>
      <c r="J120" s="680">
        <f>H120/DAY(B2)</f>
        <v>130</v>
      </c>
      <c r="N120" s="920"/>
      <c r="O120" s="410"/>
    </row>
    <row r="121" spans="1:15" s="524" customFormat="1" ht="27.75" x14ac:dyDescent="0.5">
      <c r="A121" s="1439"/>
      <c r="B121" s="1440"/>
      <c r="C121" s="1363"/>
      <c r="D121" s="681"/>
      <c r="E121" s="681" t="s">
        <v>143</v>
      </c>
      <c r="F121" s="681" t="s">
        <v>143</v>
      </c>
      <c r="G121" s="681"/>
      <c r="H121" s="682"/>
      <c r="I121" s="681"/>
      <c r="J121" s="683"/>
      <c r="N121" s="536"/>
      <c r="O121" s="410"/>
    </row>
    <row r="122" spans="1:15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410"/>
      <c r="O122" s="410"/>
    </row>
    <row r="123" spans="1:15" ht="27.75" x14ac:dyDescent="0.5">
      <c r="A123" s="1354" t="s">
        <v>257</v>
      </c>
      <c r="B123" s="1355"/>
      <c r="C123" s="1355"/>
      <c r="D123" s="643" t="s">
        <v>168</v>
      </c>
      <c r="E123" s="598">
        <v>788831.07</v>
      </c>
      <c r="F123" s="598">
        <v>789043.76</v>
      </c>
      <c r="G123" s="593">
        <f>F123-E123</f>
        <v>212.69000000006054</v>
      </c>
      <c r="H123" s="580">
        <f>G123</f>
        <v>212.69000000006054</v>
      </c>
      <c r="I123" s="646"/>
      <c r="J123" s="673">
        <f>H123/DAY(B2)</f>
        <v>212.69000000006054</v>
      </c>
      <c r="K123" s="408"/>
      <c r="L123" s="405"/>
      <c r="N123" s="410"/>
      <c r="O123" s="410"/>
    </row>
    <row r="124" spans="1:15" ht="27.75" x14ac:dyDescent="0.5">
      <c r="A124" s="1354" t="s">
        <v>258</v>
      </c>
      <c r="B124" s="1355"/>
      <c r="C124" s="1355"/>
      <c r="D124" s="643" t="s">
        <v>168</v>
      </c>
      <c r="E124" s="598">
        <v>73582.2</v>
      </c>
      <c r="F124" s="747">
        <v>73582.2</v>
      </c>
      <c r="G124" s="593">
        <f t="shared" ref="G124:G127" si="22">F124-E124</f>
        <v>0</v>
      </c>
      <c r="H124" s="580">
        <f t="shared" ref="H124:H128" si="23">G124</f>
        <v>0</v>
      </c>
      <c r="I124" s="646"/>
      <c r="J124" s="673">
        <f>H124/DAY(B2)</f>
        <v>0</v>
      </c>
      <c r="K124" s="408"/>
      <c r="L124" s="405"/>
      <c r="N124" s="410"/>
      <c r="O124" s="410"/>
    </row>
    <row r="125" spans="1:15" ht="27.75" x14ac:dyDescent="0.5">
      <c r="A125" s="1395" t="s">
        <v>259</v>
      </c>
      <c r="B125" s="1396"/>
      <c r="C125" s="1397"/>
      <c r="D125" s="643" t="s">
        <v>168</v>
      </c>
      <c r="E125" s="768">
        <v>133122.88</v>
      </c>
      <c r="F125" s="598">
        <v>133190.19</v>
      </c>
      <c r="G125" s="593">
        <f t="shared" si="22"/>
        <v>67.309999999997672</v>
      </c>
      <c r="H125" s="580">
        <f t="shared" si="23"/>
        <v>67.309999999997672</v>
      </c>
      <c r="I125" s="646"/>
      <c r="J125" s="673">
        <f>H125/DAY(B2)</f>
        <v>67.309999999997672</v>
      </c>
      <c r="K125" s="408"/>
      <c r="L125" s="405"/>
      <c r="N125" s="410"/>
      <c r="O125" s="410"/>
    </row>
    <row r="126" spans="1:15" ht="27.75" x14ac:dyDescent="0.5">
      <c r="A126" s="730" t="s">
        <v>260</v>
      </c>
      <c r="B126" s="1355"/>
      <c r="C126" s="1355"/>
      <c r="D126" s="643" t="s">
        <v>168</v>
      </c>
      <c r="E126" s="598">
        <v>56348.2</v>
      </c>
      <c r="F126" s="747">
        <v>56376.7</v>
      </c>
      <c r="G126" s="593">
        <f t="shared" si="22"/>
        <v>28.5</v>
      </c>
      <c r="H126" s="580">
        <f t="shared" si="23"/>
        <v>28.5</v>
      </c>
      <c r="I126" s="646"/>
      <c r="J126" s="673">
        <f>H126/DAY(B2)</f>
        <v>28.5</v>
      </c>
      <c r="K126" s="408"/>
      <c r="L126" s="405"/>
      <c r="N126" s="410"/>
      <c r="O126" s="410"/>
    </row>
    <row r="127" spans="1:15" ht="27.75" x14ac:dyDescent="0.5">
      <c r="A127" s="730" t="s">
        <v>261</v>
      </c>
      <c r="B127" s="1355"/>
      <c r="C127" s="1355"/>
      <c r="D127" s="643" t="s">
        <v>168</v>
      </c>
      <c r="E127" s="598">
        <v>8640.1</v>
      </c>
      <c r="F127" s="747">
        <v>8640.1</v>
      </c>
      <c r="G127" s="593">
        <f t="shared" si="22"/>
        <v>0</v>
      </c>
      <c r="H127" s="580">
        <f t="shared" si="23"/>
        <v>0</v>
      </c>
      <c r="I127" s="600"/>
      <c r="J127" s="673">
        <f>H127/DAY(B2)</f>
        <v>0</v>
      </c>
      <c r="K127" s="408"/>
      <c r="L127" s="405"/>
      <c r="N127" s="410"/>
      <c r="O127" s="410"/>
    </row>
    <row r="128" spans="1:15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202.25699999992503</v>
      </c>
      <c r="H128" s="580">
        <f t="shared" si="23"/>
        <v>202.25699999992503</v>
      </c>
      <c r="I128" s="600"/>
      <c r="J128" s="673">
        <f>H128/DAY(B2)</f>
        <v>202.25699999992503</v>
      </c>
      <c r="K128" s="388"/>
      <c r="L128" s="290"/>
      <c r="N128" s="392"/>
      <c r="O128" s="410"/>
    </row>
    <row r="129" spans="1:15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410"/>
      <c r="O129" s="410"/>
    </row>
    <row r="130" spans="1:15" ht="27.75" x14ac:dyDescent="0.5">
      <c r="A130" s="1354" t="s">
        <v>264</v>
      </c>
      <c r="B130" s="1355"/>
      <c r="C130" s="1355"/>
      <c r="D130" s="643" t="s">
        <v>265</v>
      </c>
      <c r="E130" s="604">
        <v>0</v>
      </c>
      <c r="F130" s="604">
        <v>0</v>
      </c>
      <c r="G130" s="593">
        <f t="shared" ref="G130:G140" si="24">F130-E130</f>
        <v>0</v>
      </c>
      <c r="H130" s="580">
        <f>G130</f>
        <v>0</v>
      </c>
      <c r="I130" s="600"/>
      <c r="J130" s="673">
        <f>H130/DAY(B2)</f>
        <v>0</v>
      </c>
      <c r="N130" s="410"/>
      <c r="O130" s="410"/>
    </row>
    <row r="131" spans="1:15" ht="27.75" x14ac:dyDescent="0.5">
      <c r="A131" s="1354" t="s">
        <v>266</v>
      </c>
      <c r="B131" s="1355"/>
      <c r="C131" s="1355"/>
      <c r="D131" s="643" t="s">
        <v>265</v>
      </c>
      <c r="E131" s="604">
        <v>0</v>
      </c>
      <c r="F131" s="604">
        <v>0</v>
      </c>
      <c r="G131" s="593">
        <f t="shared" si="24"/>
        <v>0</v>
      </c>
      <c r="H131" s="580">
        <f t="shared" ref="H131:H140" si="25">G131</f>
        <v>0</v>
      </c>
      <c r="I131" s="600"/>
      <c r="J131" s="673">
        <f>H131/DAY(B2)</f>
        <v>0</v>
      </c>
      <c r="N131" s="410"/>
      <c r="O131" s="410"/>
    </row>
    <row r="132" spans="1:15" ht="27.75" x14ac:dyDescent="0.5">
      <c r="A132" s="1354" t="s">
        <v>267</v>
      </c>
      <c r="B132" s="1355"/>
      <c r="C132" s="1355"/>
      <c r="D132" s="643" t="s">
        <v>265</v>
      </c>
      <c r="E132" s="662">
        <v>38877</v>
      </c>
      <c r="F132" s="662">
        <v>38877</v>
      </c>
      <c r="G132" s="593">
        <f t="shared" si="24"/>
        <v>0</v>
      </c>
      <c r="H132" s="580">
        <f t="shared" si="25"/>
        <v>0</v>
      </c>
      <c r="I132" s="600"/>
      <c r="J132" s="673">
        <f>H132/DAY(B2)</f>
        <v>0</v>
      </c>
      <c r="N132" s="410"/>
      <c r="O132" s="410"/>
    </row>
    <row r="133" spans="1:15" s="914" customFormat="1" ht="27.75" x14ac:dyDescent="0.5">
      <c r="A133" s="915" t="s">
        <v>268</v>
      </c>
      <c r="B133" s="916"/>
      <c r="C133" s="916"/>
      <c r="D133" s="845" t="s">
        <v>265</v>
      </c>
      <c r="E133" s="662">
        <v>34948</v>
      </c>
      <c r="F133" s="662">
        <v>34948</v>
      </c>
      <c r="G133" s="912">
        <f t="shared" si="24"/>
        <v>0</v>
      </c>
      <c r="H133" s="599">
        <f t="shared" si="25"/>
        <v>0</v>
      </c>
      <c r="I133" s="917"/>
      <c r="J133" s="913">
        <f>H133/DAY(B2)</f>
        <v>0</v>
      </c>
      <c r="N133" s="857"/>
      <c r="O133" s="410"/>
    </row>
    <row r="134" spans="1:15" ht="27.75" x14ac:dyDescent="0.5">
      <c r="A134" s="1354" t="s">
        <v>269</v>
      </c>
      <c r="B134" s="1355"/>
      <c r="C134" s="1355"/>
      <c r="D134" s="643" t="s">
        <v>265</v>
      </c>
      <c r="E134" s="662">
        <v>39735</v>
      </c>
      <c r="F134" s="662">
        <v>39735</v>
      </c>
      <c r="G134" s="593">
        <f t="shared" si="24"/>
        <v>0</v>
      </c>
      <c r="H134" s="580">
        <f t="shared" si="25"/>
        <v>0</v>
      </c>
      <c r="I134" s="600"/>
      <c r="J134" s="673">
        <f>H134/DAY(B2)</f>
        <v>0</v>
      </c>
      <c r="N134" s="410"/>
      <c r="O134" s="410"/>
    </row>
    <row r="135" spans="1:15" ht="27.75" x14ac:dyDescent="0.5">
      <c r="A135" s="1354" t="s">
        <v>270</v>
      </c>
      <c r="B135" s="1355"/>
      <c r="C135" s="1355"/>
      <c r="D135" s="643" t="s">
        <v>265</v>
      </c>
      <c r="E135" s="662">
        <v>31716.43</v>
      </c>
      <c r="F135" s="662">
        <v>31740.45</v>
      </c>
      <c r="G135" s="593">
        <f t="shared" si="24"/>
        <v>24.020000000000437</v>
      </c>
      <c r="H135" s="580">
        <f t="shared" si="25"/>
        <v>24.020000000000437</v>
      </c>
      <c r="I135" s="600">
        <f>G132+G133+G134+G135</f>
        <v>24.020000000000437</v>
      </c>
      <c r="J135" s="673">
        <f>H135/DAY(B2)</f>
        <v>24.020000000000437</v>
      </c>
      <c r="N135" s="410"/>
      <c r="O135" s="410"/>
    </row>
    <row r="136" spans="1:15" ht="27.75" x14ac:dyDescent="0.5">
      <c r="A136" s="1354" t="s">
        <v>271</v>
      </c>
      <c r="B136" s="1355"/>
      <c r="C136" s="1355"/>
      <c r="D136" s="643" t="s">
        <v>265</v>
      </c>
      <c r="E136" s="662">
        <v>21674.720000000001</v>
      </c>
      <c r="F136" s="662">
        <v>21674.720000000001</v>
      </c>
      <c r="G136" s="593">
        <f t="shared" si="24"/>
        <v>0</v>
      </c>
      <c r="H136" s="580">
        <f t="shared" si="25"/>
        <v>0</v>
      </c>
      <c r="I136" s="600"/>
      <c r="J136" s="673">
        <f>H136/DAY(B2)</f>
        <v>0</v>
      </c>
      <c r="N136" s="410"/>
      <c r="O136" s="410"/>
    </row>
    <row r="137" spans="1:15" ht="27.75" x14ac:dyDescent="0.5">
      <c r="A137" s="1354" t="s">
        <v>272</v>
      </c>
      <c r="B137" s="1355"/>
      <c r="C137" s="1355"/>
      <c r="D137" s="643" t="s">
        <v>265</v>
      </c>
      <c r="E137" s="662">
        <v>24932.51</v>
      </c>
      <c r="F137" s="662">
        <v>24932.51</v>
      </c>
      <c r="G137" s="593">
        <f t="shared" si="24"/>
        <v>0</v>
      </c>
      <c r="H137" s="580">
        <f t="shared" si="25"/>
        <v>0</v>
      </c>
      <c r="I137" s="600"/>
      <c r="J137" s="673">
        <f>H137/DAY(B2)</f>
        <v>0</v>
      </c>
      <c r="N137" s="410"/>
      <c r="O137" s="410"/>
    </row>
    <row r="138" spans="1:15" ht="27.75" x14ac:dyDescent="0.5">
      <c r="A138" s="1354" t="s">
        <v>273</v>
      </c>
      <c r="B138" s="1355"/>
      <c r="C138" s="1355"/>
      <c r="D138" s="643" t="s">
        <v>265</v>
      </c>
      <c r="E138" s="662">
        <v>69955.210000000006</v>
      </c>
      <c r="F138" s="662">
        <v>69963.3</v>
      </c>
      <c r="G138" s="593">
        <f t="shared" si="24"/>
        <v>8.0899999999965075</v>
      </c>
      <c r="H138" s="580">
        <f t="shared" si="25"/>
        <v>8.0899999999965075</v>
      </c>
      <c r="I138" s="600">
        <f>G136+G137+G138</f>
        <v>8.0899999999965075</v>
      </c>
      <c r="J138" s="673">
        <f>H138/DAY(B2)</f>
        <v>8.0899999999965075</v>
      </c>
      <c r="N138" s="410"/>
      <c r="O138" s="410"/>
    </row>
    <row r="139" spans="1:15" ht="27.75" x14ac:dyDescent="0.5">
      <c r="A139" s="1354" t="s">
        <v>274</v>
      </c>
      <c r="B139" s="1355"/>
      <c r="C139" s="1355"/>
      <c r="D139" s="643" t="s">
        <v>265</v>
      </c>
      <c r="E139" s="604">
        <v>941.53</v>
      </c>
      <c r="F139" s="604">
        <v>947.42</v>
      </c>
      <c r="G139" s="593">
        <f t="shared" si="24"/>
        <v>5.8899999999999864</v>
      </c>
      <c r="H139" s="580">
        <f t="shared" si="25"/>
        <v>5.8899999999999864</v>
      </c>
      <c r="I139" s="663"/>
      <c r="J139" s="673">
        <f>H139/DAY(B2)</f>
        <v>5.8899999999999864</v>
      </c>
      <c r="N139" s="410"/>
      <c r="O139" s="410"/>
    </row>
    <row r="140" spans="1:15" ht="27.75" x14ac:dyDescent="0.5">
      <c r="A140" s="1354" t="s">
        <v>275</v>
      </c>
      <c r="B140" s="1355"/>
      <c r="C140" s="1355"/>
      <c r="D140" s="643" t="s">
        <v>265</v>
      </c>
      <c r="E140" s="818">
        <v>4156.8999999999996</v>
      </c>
      <c r="F140" s="604">
        <v>4156.8999999999996</v>
      </c>
      <c r="G140" s="593">
        <f t="shared" si="24"/>
        <v>0</v>
      </c>
      <c r="H140" s="580">
        <f t="shared" si="25"/>
        <v>0</v>
      </c>
      <c r="I140" s="663">
        <f>G139+G140</f>
        <v>5.8899999999999864</v>
      </c>
      <c r="J140" s="673">
        <f>H140/DAY(B2)</f>
        <v>0</v>
      </c>
      <c r="N140" s="410"/>
      <c r="O140" s="410"/>
    </row>
    <row r="141" spans="1:15" x14ac:dyDescent="0.5">
      <c r="A141" s="1433" t="s">
        <v>276</v>
      </c>
      <c r="B141" s="1434"/>
      <c r="C141" s="1358"/>
      <c r="D141" s="592"/>
      <c r="E141" s="845"/>
      <c r="F141" s="592"/>
      <c r="G141" s="603"/>
      <c r="H141" s="603"/>
      <c r="I141" s="603"/>
      <c r="J141" s="684"/>
      <c r="K141" s="408"/>
      <c r="L141" s="405"/>
      <c r="N141" s="410"/>
      <c r="O141" s="410"/>
    </row>
    <row r="142" spans="1:15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4564.2599999998929</v>
      </c>
      <c r="H142" s="580">
        <f>G142</f>
        <v>4564.2599999998929</v>
      </c>
      <c r="I142" s="600"/>
      <c r="J142" s="673">
        <f>H142/DAY(B2)</f>
        <v>4564.2599999998929</v>
      </c>
      <c r="K142" s="408"/>
      <c r="L142" s="405"/>
      <c r="N142" s="410"/>
      <c r="O142" s="410"/>
    </row>
    <row r="143" spans="1:15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0.23716601714730542</v>
      </c>
      <c r="H143" s="580">
        <f t="shared" ref="H143:H153" si="26">G143</f>
        <v>0.23716601714730542</v>
      </c>
      <c r="I143" s="665"/>
      <c r="J143" s="673">
        <f>H143/DAY(B2)</f>
        <v>0.23716601714730542</v>
      </c>
      <c r="K143" s="408"/>
      <c r="L143" s="405"/>
      <c r="N143" s="410"/>
      <c r="O143" s="410"/>
    </row>
    <row r="144" spans="1:15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4735.8899999999558</v>
      </c>
      <c r="H144" s="580">
        <f t="shared" si="26"/>
        <v>4735.8899999999558</v>
      </c>
      <c r="I144" s="600"/>
      <c r="J144" s="673">
        <f>H144/DAY(B2)</f>
        <v>4735.8899999999558</v>
      </c>
      <c r="K144" s="408"/>
      <c r="L144" s="405"/>
      <c r="N144" s="410"/>
      <c r="O144" s="410"/>
    </row>
    <row r="145" spans="1:15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0.24608417770849342</v>
      </c>
      <c r="H145" s="580">
        <f t="shared" si="26"/>
        <v>0.24608417770849342</v>
      </c>
      <c r="I145" s="665"/>
      <c r="J145" s="673">
        <f>H145/DAY(B2)</f>
        <v>0.24608417770849342</v>
      </c>
      <c r="K145" s="408"/>
      <c r="L145" s="405"/>
      <c r="N145" s="410"/>
      <c r="O145" s="410"/>
    </row>
    <row r="146" spans="1:15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4233.7640000000029</v>
      </c>
      <c r="H146" s="580">
        <f t="shared" si="26"/>
        <v>4233.7640000000029</v>
      </c>
      <c r="I146" s="666"/>
      <c r="J146" s="673">
        <f>H146/DAY(B2)</f>
        <v>4233.7640000000029</v>
      </c>
      <c r="K146" s="408"/>
      <c r="L146" s="405"/>
      <c r="N146" s="410"/>
      <c r="O146" s="410"/>
    </row>
    <row r="147" spans="1:15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0.21999293322941038</v>
      </c>
      <c r="H147" s="580">
        <f t="shared" si="26"/>
        <v>0.21999293322941038</v>
      </c>
      <c r="I147" s="666"/>
      <c r="J147" s="673">
        <f>H147/DAY(B2)</f>
        <v>0.21999293322941038</v>
      </c>
      <c r="N147" s="410"/>
      <c r="O147" s="410"/>
    </row>
    <row r="148" spans="1:15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1880.8400000000256</v>
      </c>
      <c r="H148" s="580">
        <f t="shared" si="26"/>
        <v>1880.8400000000256</v>
      </c>
      <c r="I148" s="600"/>
      <c r="J148" s="673">
        <f>H148/DAY(B2)</f>
        <v>1880.8400000000256</v>
      </c>
      <c r="K148" s="409"/>
      <c r="N148" s="410"/>
      <c r="O148" s="410"/>
    </row>
    <row r="149" spans="1:15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9.7731358794493406E-2</v>
      </c>
      <c r="H149" s="580">
        <f t="shared" si="26"/>
        <v>9.7731358794493406E-2</v>
      </c>
      <c r="I149" s="666"/>
      <c r="J149" s="673">
        <f>H149/DAY(B2)</f>
        <v>9.7731358794493406E-2</v>
      </c>
      <c r="N149" s="410"/>
      <c r="O149" s="410"/>
    </row>
    <row r="150" spans="1:15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2623.9999999999709</v>
      </c>
      <c r="H150" s="580">
        <f t="shared" si="26"/>
        <v>2623.9999999999709</v>
      </c>
      <c r="I150" s="666"/>
      <c r="J150" s="673">
        <f>H150/DAY(B2)</f>
        <v>2623.9999999999709</v>
      </c>
      <c r="N150" s="410"/>
      <c r="O150" s="410"/>
    </row>
    <row r="151" spans="1:15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0.13634710314367218</v>
      </c>
      <c r="H151" s="580">
        <f t="shared" si="26"/>
        <v>0.13634710314367218</v>
      </c>
      <c r="I151" s="600"/>
      <c r="J151" s="673">
        <f>H151/DAY(B2)</f>
        <v>0.13634710314367218</v>
      </c>
      <c r="N151" s="410"/>
      <c r="O151" s="410"/>
    </row>
    <row r="152" spans="1:15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1437.1820000000007</v>
      </c>
      <c r="H152" s="580">
        <f t="shared" si="26"/>
        <v>1437.1820000000007</v>
      </c>
      <c r="I152" s="600"/>
      <c r="J152" s="673">
        <f>H152/DAY(B2)</f>
        <v>1437.1820000000007</v>
      </c>
      <c r="N152" s="410"/>
      <c r="O152" s="410"/>
    </row>
    <row r="153" spans="1:15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7.4678202130423518E-2</v>
      </c>
      <c r="H153" s="580">
        <f t="shared" si="26"/>
        <v>7.4678202130423518E-2</v>
      </c>
      <c r="I153" s="689"/>
      <c r="J153" s="690">
        <f>H153/DAY(B2)</f>
        <v>7.4678202130423518E-2</v>
      </c>
      <c r="N153" s="410"/>
      <c r="O153" s="410"/>
    </row>
    <row r="154" spans="1:15" x14ac:dyDescent="0.5">
      <c r="A154" s="586"/>
      <c r="B154" s="576"/>
      <c r="C154" s="576"/>
      <c r="D154" s="667"/>
      <c r="E154" s="667"/>
      <c r="F154" s="667"/>
      <c r="G154" s="667"/>
      <c r="H154" s="668"/>
      <c r="I154" s="667"/>
      <c r="J154" s="669"/>
      <c r="O154" s="410"/>
    </row>
    <row r="160" spans="1:15" x14ac:dyDescent="0.5">
      <c r="A160" s="925" t="s">
        <v>289</v>
      </c>
      <c r="B160" s="926"/>
      <c r="C160" s="926"/>
      <c r="D160" s="631" t="s">
        <v>214</v>
      </c>
      <c r="E160" s="775">
        <v>23840.938999999998</v>
      </c>
      <c r="F160" s="775">
        <v>23912.661</v>
      </c>
      <c r="G160" s="593">
        <f t="shared" ref="G160:G171" si="27">F160-E160</f>
        <v>71.722000000001572</v>
      </c>
    </row>
    <row r="161" spans="1:7" x14ac:dyDescent="0.5">
      <c r="A161" s="925" t="s">
        <v>290</v>
      </c>
      <c r="B161" s="926"/>
      <c r="C161" s="926"/>
      <c r="D161" s="631" t="s">
        <v>214</v>
      </c>
      <c r="E161" s="775">
        <v>10456.816999999999</v>
      </c>
      <c r="F161" s="775">
        <v>11099.74</v>
      </c>
      <c r="G161" s="593">
        <f t="shared" si="27"/>
        <v>642.92300000000068</v>
      </c>
    </row>
    <row r="162" spans="1:7" x14ac:dyDescent="0.5">
      <c r="A162" s="925" t="s">
        <v>291</v>
      </c>
      <c r="B162" s="926"/>
      <c r="C162" s="926"/>
      <c r="D162" s="631" t="s">
        <v>214</v>
      </c>
      <c r="E162" s="775">
        <v>37377.730000000003</v>
      </c>
      <c r="F162" s="775">
        <v>37601.661</v>
      </c>
      <c r="G162" s="593">
        <f t="shared" si="27"/>
        <v>223.93099999999686</v>
      </c>
    </row>
    <row r="163" spans="1:7" x14ac:dyDescent="0.5">
      <c r="A163" s="925" t="s">
        <v>292</v>
      </c>
      <c r="B163" s="926"/>
      <c r="C163" s="926"/>
      <c r="D163" s="631" t="s">
        <v>214</v>
      </c>
      <c r="E163" s="775">
        <v>3495.39</v>
      </c>
      <c r="F163" s="775">
        <v>3520.02</v>
      </c>
      <c r="G163" s="593">
        <f t="shared" si="27"/>
        <v>24.630000000000109</v>
      </c>
    </row>
    <row r="164" spans="1:7" x14ac:dyDescent="0.4">
      <c r="A164" s="927" t="s">
        <v>121</v>
      </c>
      <c r="B164" s="725"/>
      <c r="C164" s="725"/>
      <c r="D164" s="631" t="s">
        <v>214</v>
      </c>
      <c r="E164" s="634">
        <f>E62</f>
        <v>20419.18</v>
      </c>
      <c r="F164" s="634">
        <f>F62</f>
        <v>20419.188999999998</v>
      </c>
      <c r="G164" s="593">
        <f t="shared" si="27"/>
        <v>8.9999999981955625E-3</v>
      </c>
    </row>
    <row r="165" spans="1:7" x14ac:dyDescent="0.4">
      <c r="A165" s="927" t="s">
        <v>215</v>
      </c>
      <c r="B165" s="725"/>
      <c r="C165" s="725"/>
      <c r="D165" s="631" t="s">
        <v>214</v>
      </c>
      <c r="E165" s="634">
        <f t="shared" ref="E165:F171" si="28">E63</f>
        <v>856.37</v>
      </c>
      <c r="F165" s="634">
        <f t="shared" si="28"/>
        <v>872.779</v>
      </c>
      <c r="G165" s="593">
        <f t="shared" si="27"/>
        <v>16.408999999999992</v>
      </c>
    </row>
    <row r="166" spans="1:7" ht="27.75" x14ac:dyDescent="0.5">
      <c r="A166" s="1450" t="s">
        <v>122</v>
      </c>
      <c r="B166" s="1450"/>
      <c r="C166" s="1450"/>
      <c r="D166" s="643" t="s">
        <v>214</v>
      </c>
      <c r="E166" s="634">
        <f t="shared" si="28"/>
        <v>86739.095000000001</v>
      </c>
      <c r="F166" s="634">
        <f t="shared" si="28"/>
        <v>87088.678</v>
      </c>
      <c r="G166" s="593">
        <f t="shared" si="27"/>
        <v>349.58299999999872</v>
      </c>
    </row>
    <row r="167" spans="1:7" ht="27.75" x14ac:dyDescent="0.5">
      <c r="A167" s="1450" t="s">
        <v>123</v>
      </c>
      <c r="B167" s="1450"/>
      <c r="C167" s="1450"/>
      <c r="D167" s="643" t="s">
        <v>214</v>
      </c>
      <c r="E167" s="634">
        <f t="shared" si="28"/>
        <v>96635.982999999993</v>
      </c>
      <c r="F167" s="634">
        <f t="shared" si="28"/>
        <v>97027.407000000007</v>
      </c>
      <c r="G167" s="593">
        <f t="shared" si="27"/>
        <v>391.42400000001362</v>
      </c>
    </row>
    <row r="168" spans="1:7" ht="27.75" x14ac:dyDescent="0.5">
      <c r="A168" s="1450" t="s">
        <v>124</v>
      </c>
      <c r="B168" s="1450"/>
      <c r="C168" s="1450"/>
      <c r="D168" s="643" t="s">
        <v>214</v>
      </c>
      <c r="E168" s="634">
        <f t="shared" si="28"/>
        <v>90004.846999999994</v>
      </c>
      <c r="F168" s="634">
        <f t="shared" si="28"/>
        <v>90408</v>
      </c>
      <c r="G168" s="593">
        <f t="shared" si="27"/>
        <v>403.1530000000057</v>
      </c>
    </row>
    <row r="169" spans="1:7" ht="27.75" x14ac:dyDescent="0.5">
      <c r="A169" s="1450" t="s">
        <v>125</v>
      </c>
      <c r="B169" s="1450"/>
      <c r="C169" s="1450"/>
      <c r="D169" s="643" t="s">
        <v>214</v>
      </c>
      <c r="E169" s="634">
        <f t="shared" si="28"/>
        <v>146042.04999999999</v>
      </c>
      <c r="F169" s="634">
        <f t="shared" si="28"/>
        <v>146839.38</v>
      </c>
      <c r="G169" s="593">
        <f t="shared" si="27"/>
        <v>797.3300000000163</v>
      </c>
    </row>
    <row r="170" spans="1:7" ht="27.75" x14ac:dyDescent="0.5">
      <c r="A170" s="1450" t="s">
        <v>126</v>
      </c>
      <c r="B170" s="1450"/>
      <c r="C170" s="1450"/>
      <c r="D170" s="643" t="s">
        <v>214</v>
      </c>
      <c r="E170" s="634">
        <f t="shared" si="28"/>
        <v>43175.078999999998</v>
      </c>
      <c r="F170" s="634">
        <f t="shared" si="28"/>
        <v>43557.631000000001</v>
      </c>
      <c r="G170" s="593">
        <f t="shared" si="27"/>
        <v>382.55200000000332</v>
      </c>
    </row>
    <row r="171" spans="1:7" ht="27.75" x14ac:dyDescent="0.5">
      <c r="A171" s="1450" t="s">
        <v>127</v>
      </c>
      <c r="B171" s="1450"/>
      <c r="C171" s="1450"/>
      <c r="D171" s="643" t="s">
        <v>214</v>
      </c>
      <c r="E171" s="634">
        <f t="shared" si="28"/>
        <v>37555.567000000003</v>
      </c>
      <c r="F171" s="634">
        <f t="shared" si="28"/>
        <v>37845.839</v>
      </c>
      <c r="G171" s="593">
        <f t="shared" si="27"/>
        <v>290.27199999999721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zoomScale="50" zoomScaleSheetLayoutView="50" workbookViewId="0">
      <selection sqref="A1:XFD1048576"/>
    </sheetView>
  </sheetViews>
  <sheetFormatPr defaultColWidth="22.33203125" defaultRowHeight="29.25" x14ac:dyDescent="0.5"/>
  <cols>
    <col min="1" max="1" width="41.88671875" style="574" customWidth="1"/>
    <col min="2" max="2" width="28.6640625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109375" style="404" customWidth="1"/>
    <col min="15" max="15" width="3.88671875" style="404" customWidth="1"/>
    <col min="16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144</v>
      </c>
      <c r="B2" s="1173">
        <v>44167</v>
      </c>
      <c r="C2" s="1361" t="s">
        <v>84</v>
      </c>
      <c r="D2" s="732">
        <v>0.3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30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0.8</v>
      </c>
      <c r="E4" s="584"/>
      <c r="F4" s="584"/>
      <c r="G4" s="584"/>
      <c r="H4" s="584"/>
      <c r="I4" s="585"/>
      <c r="J4" s="736"/>
      <c r="K4" s="400"/>
      <c r="L4" s="290"/>
    </row>
    <row r="5" spans="1:15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5" ht="30" thickBot="1" x14ac:dyDescent="0.45">
      <c r="A7" s="699" t="s">
        <v>158</v>
      </c>
      <c r="B7" s="700"/>
      <c r="C7" s="700"/>
      <c r="D7" s="643" t="s">
        <v>159</v>
      </c>
      <c r="E7" s="595">
        <f>'[1]1'!F7</f>
        <v>2687690</v>
      </c>
      <c r="F7" s="575">
        <v>2707140</v>
      </c>
      <c r="G7" s="593">
        <f>F7-E7</f>
        <v>19450</v>
      </c>
      <c r="H7" s="580">
        <f>G7+'[1]1'!H7</f>
        <v>38695</v>
      </c>
      <c r="I7" s="594">
        <f>'[1]1'!I7</f>
        <v>12000</v>
      </c>
      <c r="J7" s="673">
        <f>H7/DAY(B2)</f>
        <v>19347.5</v>
      </c>
      <c r="K7" s="670"/>
      <c r="L7" s="405"/>
      <c r="O7" s="410"/>
    </row>
    <row r="8" spans="1:15" ht="27.75" thickBot="1" x14ac:dyDescent="0.45">
      <c r="A8" s="701" t="s">
        <v>160</v>
      </c>
      <c r="B8" s="702"/>
      <c r="C8" s="703"/>
      <c r="D8" s="738" t="s">
        <v>39</v>
      </c>
      <c r="E8" s="595">
        <f>'[1]1'!F8</f>
        <v>2702483</v>
      </c>
      <c r="F8" s="595">
        <v>2722171</v>
      </c>
      <c r="G8" s="596">
        <f>F8-E8</f>
        <v>19688</v>
      </c>
      <c r="H8" s="580">
        <f>G8+'[1]1'!H8</f>
        <v>39132</v>
      </c>
      <c r="I8" s="597">
        <v>12000</v>
      </c>
      <c r="J8" s="673">
        <f>H8/DAY(B2)</f>
        <v>19566</v>
      </c>
      <c r="K8" s="670"/>
      <c r="L8" s="460"/>
      <c r="M8" s="522"/>
      <c r="O8" s="410"/>
    </row>
    <row r="9" spans="1:15" x14ac:dyDescent="0.4">
      <c r="A9" s="704" t="s">
        <v>161</v>
      </c>
      <c r="B9" s="705"/>
      <c r="C9" s="705"/>
      <c r="D9" s="643" t="s">
        <v>159</v>
      </c>
      <c r="E9" s="598">
        <f>'[1]1'!F9</f>
        <v>2259471.2999999998</v>
      </c>
      <c r="F9" s="598">
        <v>2262232.5</v>
      </c>
      <c r="G9" s="593">
        <f t="shared" ref="G9:G11" si="0">F9-E9</f>
        <v>2761.2000000001863</v>
      </c>
      <c r="H9" s="580">
        <f>G9+'[1]1'!H9</f>
        <v>5196</v>
      </c>
      <c r="I9" s="599">
        <f>I8-J8</f>
        <v>-7566</v>
      </c>
      <c r="J9" s="673">
        <f>H9/DAY(B2)</f>
        <v>2598</v>
      </c>
      <c r="K9" s="508"/>
      <c r="L9" s="405"/>
      <c r="O9" s="410"/>
    </row>
    <row r="10" spans="1:15" x14ac:dyDescent="0.4">
      <c r="A10" s="699" t="s">
        <v>162</v>
      </c>
      <c r="B10" s="700"/>
      <c r="C10" s="700"/>
      <c r="D10" s="643" t="s">
        <v>159</v>
      </c>
      <c r="E10" s="598">
        <f>'[1]1'!F10</f>
        <v>319047.73</v>
      </c>
      <c r="F10" s="598">
        <v>335223</v>
      </c>
      <c r="G10" s="593">
        <f t="shared" si="0"/>
        <v>16175.270000000019</v>
      </c>
      <c r="H10" s="580">
        <f>G10+'[1]1'!H10</f>
        <v>32272.710000000021</v>
      </c>
      <c r="I10" s="600"/>
      <c r="J10" s="673">
        <f>H10/DAY(B2)</f>
        <v>16136.35500000001</v>
      </c>
      <c r="K10" s="508"/>
      <c r="L10" s="405"/>
      <c r="O10" s="410"/>
    </row>
    <row r="11" spans="1:15" x14ac:dyDescent="0.4">
      <c r="A11" s="699" t="s">
        <v>163</v>
      </c>
      <c r="B11" s="700"/>
      <c r="C11" s="700"/>
      <c r="D11" s="643" t="s">
        <v>159</v>
      </c>
      <c r="E11" s="575">
        <f>'[1]1'!F11</f>
        <v>35390</v>
      </c>
      <c r="F11" s="575">
        <v>35390</v>
      </c>
      <c r="G11" s="593">
        <f t="shared" si="0"/>
        <v>0</v>
      </c>
      <c r="H11" s="580">
        <f>G11+'[1]1'!H11</f>
        <v>0</v>
      </c>
      <c r="I11" s="600"/>
      <c r="J11" s="673">
        <f>H11/DAY(B2)</f>
        <v>0</v>
      </c>
      <c r="K11" s="508"/>
      <c r="L11" s="405"/>
      <c r="O11" s="410"/>
    </row>
    <row r="12" spans="1:15" x14ac:dyDescent="0.4">
      <c r="A12" s="699" t="s">
        <v>164</v>
      </c>
      <c r="B12" s="700"/>
      <c r="C12" s="700"/>
      <c r="D12" s="643" t="s">
        <v>159</v>
      </c>
      <c r="E12" s="598">
        <f>'[1]1'!F12</f>
        <v>37630</v>
      </c>
      <c r="F12" s="598">
        <v>37630</v>
      </c>
      <c r="G12" s="593">
        <v>0</v>
      </c>
      <c r="H12" s="580">
        <f>G12+'[1]1'!H12</f>
        <v>0</v>
      </c>
      <c r="I12" s="600"/>
      <c r="J12" s="673">
        <f>H12/DAY(B2)</f>
        <v>0</v>
      </c>
      <c r="K12" s="508"/>
      <c r="L12" s="405"/>
      <c r="O12" s="410"/>
    </row>
    <row r="13" spans="1:15" x14ac:dyDescent="0.5">
      <c r="A13" s="706" t="s">
        <v>165</v>
      </c>
      <c r="B13" s="707"/>
      <c r="C13" s="707"/>
      <c r="D13" s="643"/>
      <c r="E13" s="575"/>
      <c r="F13" s="575"/>
      <c r="G13" s="601">
        <f>G9+G10+G11+G12</f>
        <v>18936.470000000205</v>
      </c>
      <c r="H13" s="580">
        <f>G13+'[1]1'!H13</f>
        <v>37468.710000000021</v>
      </c>
      <c r="I13" s="602">
        <f>G7-G13</f>
        <v>513.52999999979511</v>
      </c>
      <c r="J13" s="673">
        <f>H13/DAY(B2)</f>
        <v>18734.35500000001</v>
      </c>
      <c r="K13" s="508"/>
      <c r="L13" s="405"/>
      <c r="O13" s="410"/>
    </row>
    <row r="14" spans="1:15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O14" s="410"/>
    </row>
    <row r="15" spans="1:15" x14ac:dyDescent="0.5">
      <c r="A15" s="1354" t="s">
        <v>167</v>
      </c>
      <c r="B15" s="710"/>
      <c r="C15" s="710"/>
      <c r="D15" s="643" t="s">
        <v>168</v>
      </c>
      <c r="E15" s="604">
        <f>'[1]1'!F15</f>
        <v>1547408.358</v>
      </c>
      <c r="F15" s="768">
        <v>1548014.22</v>
      </c>
      <c r="G15" s="921">
        <f>(F15-E15)</f>
        <v>605.86199999996461</v>
      </c>
      <c r="H15" s="580">
        <f>G15+'[1]1'!H15</f>
        <v>1116.6189999999478</v>
      </c>
      <c r="I15" s="594">
        <v>800</v>
      </c>
      <c r="J15" s="673">
        <f>H15/DAY(B2)</f>
        <v>558.30949999997392</v>
      </c>
      <c r="K15" s="508"/>
      <c r="L15" s="405"/>
      <c r="O15" s="410"/>
    </row>
    <row r="16" spans="1:15" x14ac:dyDescent="0.4">
      <c r="A16" s="708"/>
      <c r="B16" s="709"/>
      <c r="C16" s="709"/>
      <c r="D16" s="644"/>
      <c r="E16" s="605"/>
      <c r="F16" s="605"/>
      <c r="G16" s="593"/>
      <c r="H16" s="606"/>
      <c r="I16" s="607">
        <f>I15-J15</f>
        <v>241.69050000002608</v>
      </c>
      <c r="J16" s="674"/>
      <c r="K16" s="508"/>
      <c r="L16" s="405"/>
      <c r="O16" s="410">
        <f>G15-150</f>
        <v>455.86199999996461</v>
      </c>
    </row>
    <row r="17" spans="1:15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O17" s="410"/>
    </row>
    <row r="18" spans="1:15" ht="27.75" x14ac:dyDescent="0.5">
      <c r="A18" s="1398" t="s">
        <v>170</v>
      </c>
      <c r="B18" s="1399"/>
      <c r="C18" s="1400"/>
      <c r="D18" s="643" t="s">
        <v>171</v>
      </c>
      <c r="E18" s="604">
        <f>'[1]1'!F18</f>
        <v>17</v>
      </c>
      <c r="F18" s="598">
        <v>8</v>
      </c>
      <c r="G18" s="601">
        <f>F18*10</f>
        <v>80</v>
      </c>
      <c r="H18" s="580">
        <f>G18+'[1]1'!H18</f>
        <v>250</v>
      </c>
      <c r="I18" s="594">
        <f>'[1]1'!I18</f>
        <v>65</v>
      </c>
      <c r="J18" s="673">
        <f>H18/DAY(B2)</f>
        <v>125</v>
      </c>
      <c r="K18" s="508"/>
      <c r="L18" s="405"/>
      <c r="O18" s="410"/>
    </row>
    <row r="19" spans="1:15" ht="27.75" x14ac:dyDescent="0.5">
      <c r="A19" s="1398" t="s">
        <v>86</v>
      </c>
      <c r="B19" s="1399"/>
      <c r="C19" s="1400"/>
      <c r="D19" s="643" t="s">
        <v>171</v>
      </c>
      <c r="E19" s="604">
        <f>'[1]1'!F19</f>
        <v>129854</v>
      </c>
      <c r="F19" s="598">
        <v>129907</v>
      </c>
      <c r="G19" s="593">
        <f>F19-E19</f>
        <v>53</v>
      </c>
      <c r="H19" s="580">
        <f>G19+'[1]1'!H19</f>
        <v>106</v>
      </c>
      <c r="I19" s="609"/>
      <c r="J19" s="673">
        <f>H19/DAY(B2)</f>
        <v>53</v>
      </c>
      <c r="K19" s="508"/>
      <c r="L19" s="405"/>
      <c r="O19" s="410"/>
    </row>
    <row r="20" spans="1:15" x14ac:dyDescent="0.5">
      <c r="A20" s="706" t="s">
        <v>172</v>
      </c>
      <c r="B20" s="707"/>
      <c r="C20" s="707"/>
      <c r="D20" s="610"/>
      <c r="E20" s="610"/>
      <c r="F20" s="643"/>
      <c r="G20" s="1176">
        <f>G18+G19</f>
        <v>133</v>
      </c>
      <c r="H20" s="580">
        <f>G20+'[1]1'!H20</f>
        <v>356</v>
      </c>
      <c r="I20" s="612">
        <f>I18-J20</f>
        <v>-113</v>
      </c>
      <c r="J20" s="673">
        <f>H20/DAY(B2)</f>
        <v>178</v>
      </c>
      <c r="K20" s="508"/>
      <c r="L20" s="405"/>
      <c r="O20" s="410"/>
    </row>
    <row r="21" spans="1:15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O21" s="410"/>
    </row>
    <row r="22" spans="1:15" x14ac:dyDescent="0.5">
      <c r="A22" s="1354" t="s">
        <v>174</v>
      </c>
      <c r="B22" s="710"/>
      <c r="C22" s="710"/>
      <c r="D22" s="643" t="s">
        <v>175</v>
      </c>
      <c r="E22" s="604">
        <f>'[1]1'!F22</f>
        <v>2250</v>
      </c>
      <c r="F22" s="598">
        <v>2250</v>
      </c>
      <c r="G22" s="601">
        <f t="shared" ref="G22" si="1">(F22-E22)</f>
        <v>0</v>
      </c>
      <c r="H22" s="580">
        <f>G22+'[1]1'!H22</f>
        <v>0</v>
      </c>
      <c r="I22" s="600"/>
      <c r="J22" s="673">
        <f>H22/DAY(B2)</f>
        <v>0</v>
      </c>
      <c r="K22" s="508"/>
      <c r="L22" s="405"/>
      <c r="O22" s="410"/>
    </row>
    <row r="23" spans="1:15" x14ac:dyDescent="0.5">
      <c r="A23" s="1354" t="s">
        <v>176</v>
      </c>
      <c r="B23" s="710"/>
      <c r="C23" s="710"/>
      <c r="D23" s="643" t="s">
        <v>175</v>
      </c>
      <c r="E23" s="604">
        <f>'[1]1'!F23</f>
        <v>2000</v>
      </c>
      <c r="F23" s="598">
        <v>2000</v>
      </c>
      <c r="G23" s="601">
        <v>0</v>
      </c>
      <c r="H23" s="580">
        <f>G23+'[1]1'!H23</f>
        <v>0</v>
      </c>
      <c r="I23" s="600"/>
      <c r="J23" s="673">
        <f>H23/DAY(B2)</f>
        <v>0</v>
      </c>
      <c r="K23" s="508"/>
      <c r="L23" s="405"/>
      <c r="O23" s="410"/>
    </row>
    <row r="24" spans="1:15" x14ac:dyDescent="0.4">
      <c r="A24" s="711" t="s">
        <v>177</v>
      </c>
      <c r="B24" s="712"/>
      <c r="C24" s="712"/>
      <c r="D24" s="631" t="s">
        <v>175</v>
      </c>
      <c r="E24" s="604">
        <f>'[1]1'!F24</f>
        <v>4250</v>
      </c>
      <c r="F24" s="605">
        <v>4250</v>
      </c>
      <c r="G24" s="601">
        <v>0</v>
      </c>
      <c r="H24" s="580">
        <f>G24</f>
        <v>0</v>
      </c>
      <c r="I24" s="600"/>
      <c r="J24" s="673">
        <f>H24/DAY(B2)</f>
        <v>0</v>
      </c>
      <c r="K24" s="508"/>
      <c r="L24" s="405"/>
      <c r="O24" s="410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O25" s="410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O26" s="410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621">
        <f>G8</f>
        <v>19688</v>
      </c>
      <c r="F27" s="621">
        <v>9.5</v>
      </c>
      <c r="G27" s="622">
        <f>E27*F27</f>
        <v>187036</v>
      </c>
      <c r="H27" s="580">
        <f>G27+'[1]1'!H27</f>
        <v>371754</v>
      </c>
      <c r="I27" s="623"/>
      <c r="J27" s="673">
        <f>H27/DAY(B2)</f>
        <v>185877</v>
      </c>
      <c r="K27" s="401"/>
      <c r="L27" s="527"/>
      <c r="O27" s="410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621">
        <f>G15</f>
        <v>605.86199999996461</v>
      </c>
      <c r="F28" s="621">
        <v>36.5</v>
      </c>
      <c r="G28" s="622">
        <f t="shared" ref="G28:G31" si="2">E28*F28</f>
        <v>22113.962999998708</v>
      </c>
      <c r="H28" s="580">
        <f>G28+'[1]1'!H28</f>
        <v>40756.593499998096</v>
      </c>
      <c r="I28" s="625"/>
      <c r="J28" s="673">
        <f>H28/DAY(B2)</f>
        <v>20378.296749999048</v>
      </c>
      <c r="K28" s="401"/>
      <c r="L28" s="527"/>
      <c r="O28" s="410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621">
        <f>G24</f>
        <v>0</v>
      </c>
      <c r="F29" s="621">
        <v>69</v>
      </c>
      <c r="G29" s="622">
        <f t="shared" si="2"/>
        <v>0</v>
      </c>
      <c r="H29" s="580">
        <f>G29+'[1]1'!H29</f>
        <v>0</v>
      </c>
      <c r="I29" s="625"/>
      <c r="J29" s="673">
        <f>H29/DAY(B2)</f>
        <v>0</v>
      </c>
      <c r="K29" s="401"/>
      <c r="L29" s="527"/>
      <c r="O29" s="410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621">
        <f>G19</f>
        <v>53</v>
      </c>
      <c r="F30" s="621">
        <v>145</v>
      </c>
      <c r="G30" s="622">
        <f t="shared" si="2"/>
        <v>7685</v>
      </c>
      <c r="H30" s="580">
        <f>G30+'[1]1'!H30</f>
        <v>15370</v>
      </c>
      <c r="I30" s="625"/>
      <c r="J30" s="673">
        <f>H30/DAY(B2)</f>
        <v>7685</v>
      </c>
      <c r="K30" s="401"/>
      <c r="L30" s="527"/>
      <c r="O30" s="410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621">
        <f>G18</f>
        <v>80</v>
      </c>
      <c r="F31" s="621">
        <v>80</v>
      </c>
      <c r="G31" s="622">
        <f t="shared" si="2"/>
        <v>6400</v>
      </c>
      <c r="H31" s="580">
        <f>G31+'[1]1'!H31</f>
        <v>20000</v>
      </c>
      <c r="I31" s="625"/>
      <c r="J31" s="673">
        <f>H31/DAY(B2)</f>
        <v>10000</v>
      </c>
      <c r="K31" s="401"/>
      <c r="L31" s="527"/>
      <c r="O31" s="410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223234.96299999871</v>
      </c>
      <c r="H32" s="580">
        <f>G32+'[1]1'!H32</f>
        <v>447880.5934999981</v>
      </c>
      <c r="I32" s="629"/>
      <c r="J32" s="673">
        <f>H32/DAY(B2)</f>
        <v>223940.29674999905</v>
      </c>
      <c r="K32" s="401"/>
      <c r="L32" s="527"/>
      <c r="O32" s="410"/>
    </row>
    <row r="33" spans="1:15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O33" s="410"/>
    </row>
    <row r="34" spans="1:15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O34" s="410"/>
    </row>
    <row r="35" spans="1:15" x14ac:dyDescent="0.4">
      <c r="A35" s="699" t="s">
        <v>191</v>
      </c>
      <c r="B35" s="700"/>
      <c r="C35" s="700"/>
      <c r="D35" s="643" t="s">
        <v>159</v>
      </c>
      <c r="E35" s="630">
        <f>'[1]1'!F35</f>
        <v>629027.27</v>
      </c>
      <c r="F35" s="630">
        <v>629027.67000000004</v>
      </c>
      <c r="G35" s="593">
        <f t="shared" ref="G35:G46" si="3">F35-E35</f>
        <v>0.40000000002328306</v>
      </c>
      <c r="H35" s="580">
        <f>G35+'[1]1'!H35</f>
        <v>0</v>
      </c>
      <c r="I35" s="575"/>
      <c r="J35" s="673">
        <f>H35/DAY(B2)</f>
        <v>0</v>
      </c>
      <c r="K35" s="508"/>
      <c r="L35" s="405"/>
      <c r="O35" s="410"/>
    </row>
    <row r="36" spans="1:15" x14ac:dyDescent="0.4">
      <c r="A36" s="699" t="s">
        <v>192</v>
      </c>
      <c r="B36" s="700"/>
      <c r="C36" s="700"/>
      <c r="D36" s="643" t="s">
        <v>159</v>
      </c>
      <c r="E36" s="630">
        <f>'[1]1'!F36</f>
        <v>230636.93</v>
      </c>
      <c r="F36" s="630">
        <v>231333.85</v>
      </c>
      <c r="G36" s="593">
        <f t="shared" si="3"/>
        <v>696.92000000001281</v>
      </c>
      <c r="H36" s="580">
        <f>G36+'[1]1'!H36</f>
        <v>2248.1199999999953</v>
      </c>
      <c r="I36" s="575"/>
      <c r="J36" s="673">
        <f>H36/DAY(B2)</f>
        <v>1124.0599999999977</v>
      </c>
      <c r="K36" s="508"/>
      <c r="L36" s="405"/>
      <c r="O36" s="749"/>
    </row>
    <row r="37" spans="1:15" x14ac:dyDescent="0.4">
      <c r="A37" s="699" t="s">
        <v>193</v>
      </c>
      <c r="B37" s="700"/>
      <c r="C37" s="700"/>
      <c r="D37" s="643" t="s">
        <v>159</v>
      </c>
      <c r="E37" s="630">
        <f>'[1]1'!F37</f>
        <v>415066</v>
      </c>
      <c r="F37" s="630">
        <v>415066</v>
      </c>
      <c r="G37" s="593">
        <f t="shared" si="3"/>
        <v>0</v>
      </c>
      <c r="H37" s="580">
        <f>G37+'[1]1'!H37</f>
        <v>0</v>
      </c>
      <c r="I37" s="575"/>
      <c r="J37" s="673">
        <f>H37/DAY(B2)</f>
        <v>0</v>
      </c>
      <c r="K37" s="508"/>
      <c r="L37" s="405"/>
      <c r="O37" s="750"/>
    </row>
    <row r="38" spans="1:15" x14ac:dyDescent="0.4">
      <c r="A38" s="699" t="s">
        <v>194</v>
      </c>
      <c r="B38" s="700"/>
      <c r="C38" s="700"/>
      <c r="D38" s="643" t="s">
        <v>159</v>
      </c>
      <c r="E38" s="589">
        <f>'[1]1'!F38</f>
        <v>150714</v>
      </c>
      <c r="F38" s="589">
        <v>150714</v>
      </c>
      <c r="G38" s="593">
        <f t="shared" si="3"/>
        <v>0</v>
      </c>
      <c r="H38" s="580">
        <f>G38+'[1]1'!H38</f>
        <v>0</v>
      </c>
      <c r="I38" s="575"/>
      <c r="J38" s="673">
        <f>H38/DAY(B2)</f>
        <v>0</v>
      </c>
      <c r="K38" s="508"/>
      <c r="L38" s="405"/>
      <c r="O38" s="410"/>
    </row>
    <row r="39" spans="1:15" x14ac:dyDescent="0.4">
      <c r="A39" s="699" t="s">
        <v>195</v>
      </c>
      <c r="B39" s="700"/>
      <c r="C39" s="700"/>
      <c r="D39" s="643" t="s">
        <v>159</v>
      </c>
      <c r="E39" s="630">
        <f>'[1]1'!F39</f>
        <v>912480</v>
      </c>
      <c r="F39" s="630">
        <v>912480</v>
      </c>
      <c r="G39" s="593">
        <f t="shared" si="3"/>
        <v>0</v>
      </c>
      <c r="H39" s="580">
        <f>G39+'[1]1'!H39</f>
        <v>0</v>
      </c>
      <c r="I39" s="575"/>
      <c r="J39" s="673">
        <f>H39/DAY(B2)</f>
        <v>0</v>
      </c>
      <c r="K39" s="508"/>
      <c r="L39" s="405"/>
      <c r="O39" s="410"/>
    </row>
    <row r="40" spans="1:15" x14ac:dyDescent="0.4">
      <c r="A40" s="720" t="s">
        <v>196</v>
      </c>
      <c r="B40" s="721"/>
      <c r="C40" s="721"/>
      <c r="D40" s="643" t="s">
        <v>159</v>
      </c>
      <c r="E40" s="630">
        <f>'[1]1'!F40</f>
        <v>0</v>
      </c>
      <c r="F40" s="630">
        <v>0</v>
      </c>
      <c r="G40" s="593">
        <f t="shared" si="3"/>
        <v>0</v>
      </c>
      <c r="H40" s="580">
        <f>G40+'[1]1'!H40</f>
        <v>0</v>
      </c>
      <c r="I40" s="575"/>
      <c r="J40" s="673">
        <f>H40/DAY(B2)</f>
        <v>0</v>
      </c>
      <c r="K40" s="509"/>
      <c r="L40" s="405"/>
      <c r="O40" s="410"/>
    </row>
    <row r="41" spans="1:15" x14ac:dyDescent="0.4">
      <c r="A41" s="699" t="s">
        <v>197</v>
      </c>
      <c r="B41" s="700"/>
      <c r="C41" s="700"/>
      <c r="D41" s="643" t="s">
        <v>159</v>
      </c>
      <c r="E41" s="630">
        <f>'[1]1'!F41</f>
        <v>300127.96999999997</v>
      </c>
      <c r="F41" s="630">
        <v>300127.90000000002</v>
      </c>
      <c r="G41" s="593">
        <f t="shared" si="3"/>
        <v>-6.9999999948777258E-2</v>
      </c>
      <c r="H41" s="580">
        <f>G41+'[1]1'!H41</f>
        <v>-4.9999999988358468E-2</v>
      </c>
      <c r="I41" s="575"/>
      <c r="J41" s="673">
        <f>H41/DAY(B2)</f>
        <v>-2.4999999994179234E-2</v>
      </c>
      <c r="K41" s="508"/>
      <c r="L41" s="405"/>
      <c r="O41" s="410"/>
    </row>
    <row r="42" spans="1:15" x14ac:dyDescent="0.4">
      <c r="A42" s="699" t="s">
        <v>198</v>
      </c>
      <c r="B42" s="700"/>
      <c r="C42" s="700"/>
      <c r="D42" s="643" t="s">
        <v>159</v>
      </c>
      <c r="E42" s="630">
        <f>'[1]1'!F42</f>
        <v>396198</v>
      </c>
      <c r="F42" s="630">
        <v>396198</v>
      </c>
      <c r="G42" s="593">
        <f t="shared" si="3"/>
        <v>0</v>
      </c>
      <c r="H42" s="580">
        <f>G42+'[1]1'!H42</f>
        <v>0</v>
      </c>
      <c r="I42" s="575"/>
      <c r="J42" s="673">
        <f>H42/DAY(B2)</f>
        <v>0</v>
      </c>
      <c r="K42" s="508"/>
      <c r="L42" s="405"/>
      <c r="O42" s="410"/>
    </row>
    <row r="43" spans="1:15" x14ac:dyDescent="0.4">
      <c r="A43" s="699" t="s">
        <v>199</v>
      </c>
      <c r="B43" s="700"/>
      <c r="C43" s="700"/>
      <c r="D43" s="643" t="s">
        <v>159</v>
      </c>
      <c r="E43" s="630">
        <f>'[1]1'!F43</f>
        <v>632591.47</v>
      </c>
      <c r="F43" s="630">
        <v>634757.15</v>
      </c>
      <c r="G43" s="593">
        <f t="shared" si="3"/>
        <v>2165.6800000000512</v>
      </c>
      <c r="H43" s="580">
        <f>G43+'[1]1'!H43</f>
        <v>4007.8399999999674</v>
      </c>
      <c r="I43" s="575"/>
      <c r="J43" s="673">
        <f>H43/DAY(B2)</f>
        <v>2003.9199999999837</v>
      </c>
      <c r="K43" s="508"/>
      <c r="L43" s="405"/>
      <c r="O43" s="410"/>
    </row>
    <row r="44" spans="1:15" x14ac:dyDescent="0.4">
      <c r="A44" s="699" t="s">
        <v>200</v>
      </c>
      <c r="B44" s="700"/>
      <c r="C44" s="700"/>
      <c r="D44" s="643" t="s">
        <v>159</v>
      </c>
      <c r="E44" s="630">
        <f>'[1]1'!F44</f>
        <v>0</v>
      </c>
      <c r="F44" s="630">
        <v>0</v>
      </c>
      <c r="G44" s="593">
        <f t="shared" si="3"/>
        <v>0</v>
      </c>
      <c r="H44" s="580">
        <f>G44+'[1]1'!H44</f>
        <v>0</v>
      </c>
      <c r="I44" s="575"/>
      <c r="J44" s="673">
        <f>H44/DAY(B2)</f>
        <v>0</v>
      </c>
      <c r="K44" s="508"/>
      <c r="L44" s="405"/>
      <c r="O44" s="410"/>
    </row>
    <row r="45" spans="1:15" x14ac:dyDescent="0.4">
      <c r="A45" s="699" t="s">
        <v>201</v>
      </c>
      <c r="B45" s="700"/>
      <c r="C45" s="700"/>
      <c r="D45" s="643" t="s">
        <v>159</v>
      </c>
      <c r="E45" s="630">
        <f>'[1]1'!F45</f>
        <v>614.48</v>
      </c>
      <c r="F45" s="630">
        <v>614</v>
      </c>
      <c r="G45" s="593">
        <f t="shared" si="3"/>
        <v>-0.48000000000001819</v>
      </c>
      <c r="H45" s="580">
        <f>G45+'[1]1'!H45</f>
        <v>-0.48000000000001819</v>
      </c>
      <c r="I45" s="575"/>
      <c r="J45" s="673">
        <f>H45/DAY(B2)</f>
        <v>-0.24000000000000909</v>
      </c>
      <c r="K45" s="508"/>
      <c r="L45" s="405"/>
      <c r="O45" s="410"/>
    </row>
    <row r="46" spans="1:15" x14ac:dyDescent="0.4">
      <c r="A46" s="699" t="s">
        <v>202</v>
      </c>
      <c r="B46" s="700"/>
      <c r="C46" s="700"/>
      <c r="D46" s="643" t="s">
        <v>159</v>
      </c>
      <c r="E46" s="630">
        <f>'[1]1'!F46</f>
        <v>187.49</v>
      </c>
      <c r="F46" s="630">
        <v>187</v>
      </c>
      <c r="G46" s="593">
        <f t="shared" si="3"/>
        <v>-0.49000000000000909</v>
      </c>
      <c r="H46" s="580">
        <f>G46+'[1]1'!H46</f>
        <v>-0.49000000000000909</v>
      </c>
      <c r="I46" s="575"/>
      <c r="J46" s="673">
        <f>H46/DAY(B2)</f>
        <v>-0.24500000000000455</v>
      </c>
      <c r="K46" s="508"/>
      <c r="L46" s="405"/>
      <c r="O46" s="410"/>
    </row>
    <row r="47" spans="1:15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2861.9600000001383</v>
      </c>
      <c r="H47" s="580">
        <f>G47+'[1]1'!H47</f>
        <v>6254.9399999999741</v>
      </c>
      <c r="I47" s="575"/>
      <c r="J47" s="673">
        <f>H47/DAY(B2)</f>
        <v>3127.4699999999871</v>
      </c>
      <c r="K47" s="508"/>
      <c r="L47" s="405"/>
      <c r="N47" s="410"/>
      <c r="O47" s="410"/>
    </row>
    <row r="48" spans="1:15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O48" s="410"/>
    </row>
    <row r="49" spans="1:15" x14ac:dyDescent="0.4">
      <c r="A49" s="699" t="s">
        <v>191</v>
      </c>
      <c r="B49" s="722"/>
      <c r="C49" s="722"/>
      <c r="D49" s="643" t="s">
        <v>159</v>
      </c>
      <c r="E49" s="630">
        <f>'[1]1'!F49</f>
        <v>64235.767</v>
      </c>
      <c r="F49" s="630">
        <v>66938.23</v>
      </c>
      <c r="G49" s="593">
        <f t="shared" ref="G49:G58" si="4">F49-E49</f>
        <v>2702.4629999999961</v>
      </c>
      <c r="H49" s="580">
        <f>G49+'[1]1'!H49</f>
        <v>5424.9629999999961</v>
      </c>
      <c r="I49" s="575"/>
      <c r="J49" s="673">
        <f>H49/DAY(B2)</f>
        <v>2712.4814999999981</v>
      </c>
      <c r="K49" s="508"/>
      <c r="L49" s="405"/>
      <c r="O49" s="410"/>
    </row>
    <row r="50" spans="1:15" x14ac:dyDescent="0.4">
      <c r="A50" s="699" t="s">
        <v>205</v>
      </c>
      <c r="B50" s="722"/>
      <c r="C50" s="722"/>
      <c r="D50" s="643" t="s">
        <v>159</v>
      </c>
      <c r="E50" s="630">
        <f>'[1]1'!F50</f>
        <v>297041.89</v>
      </c>
      <c r="F50" s="630">
        <v>298153.75</v>
      </c>
      <c r="G50" s="593">
        <f t="shared" si="4"/>
        <v>1111.859999999986</v>
      </c>
      <c r="H50" s="580">
        <f>G50+'[1]1'!H50</f>
        <v>2184.6599999999744</v>
      </c>
      <c r="I50" s="575"/>
      <c r="J50" s="673">
        <f>H50/DAY(B2)</f>
        <v>1092.3299999999872</v>
      </c>
      <c r="K50" s="508"/>
      <c r="L50" s="405"/>
      <c r="O50" s="410"/>
    </row>
    <row r="51" spans="1:15" x14ac:dyDescent="0.4">
      <c r="A51" s="699" t="s">
        <v>193</v>
      </c>
      <c r="B51" s="722"/>
      <c r="C51" s="722"/>
      <c r="D51" s="643" t="s">
        <v>159</v>
      </c>
      <c r="E51" s="630">
        <f>'[1]1'!F51</f>
        <v>20757.669000000002</v>
      </c>
      <c r="F51" s="630">
        <v>22152.21</v>
      </c>
      <c r="G51" s="593">
        <f t="shared" si="4"/>
        <v>1394.5409999999974</v>
      </c>
      <c r="H51" s="580">
        <f>G51+'[1]1'!H51</f>
        <v>2831.7229999999981</v>
      </c>
      <c r="I51" s="575"/>
      <c r="J51" s="673">
        <f>H51/DAY(B2)</f>
        <v>1415.8614999999991</v>
      </c>
      <c r="K51" s="508"/>
      <c r="L51" s="405"/>
      <c r="O51" s="410"/>
    </row>
    <row r="52" spans="1:15" x14ac:dyDescent="0.4">
      <c r="A52" s="699" t="s">
        <v>206</v>
      </c>
      <c r="B52" s="722"/>
      <c r="C52" s="722"/>
      <c r="D52" s="643" t="s">
        <v>159</v>
      </c>
      <c r="E52" s="630">
        <f>'[1]1'!F52</f>
        <v>373003.27</v>
      </c>
      <c r="F52" s="630">
        <v>374806.59</v>
      </c>
      <c r="G52" s="593">
        <f t="shared" si="4"/>
        <v>1803.320000000007</v>
      </c>
      <c r="H52" s="580">
        <f>G52+'[1]1'!H52</f>
        <v>3684.1600000000326</v>
      </c>
      <c r="I52" s="575"/>
      <c r="J52" s="673">
        <f>H52/DAY(B2)</f>
        <v>1842.0800000000163</v>
      </c>
      <c r="K52" s="508"/>
      <c r="L52" s="405"/>
      <c r="O52" s="410"/>
    </row>
    <row r="53" spans="1:15" x14ac:dyDescent="0.4">
      <c r="A53" s="699" t="s">
        <v>195</v>
      </c>
      <c r="B53" s="722"/>
      <c r="C53" s="722"/>
      <c r="D53" s="643" t="s">
        <v>159</v>
      </c>
      <c r="E53" s="630">
        <f>'[1]1'!F53</f>
        <v>49649.771000000001</v>
      </c>
      <c r="F53" s="630">
        <v>53813.726999999999</v>
      </c>
      <c r="G53" s="593">
        <f t="shared" si="4"/>
        <v>4163.9559999999983</v>
      </c>
      <c r="H53" s="580">
        <f>G53+'[1]1'!H53</f>
        <v>8397.7200000000012</v>
      </c>
      <c r="I53" s="575"/>
      <c r="J53" s="673">
        <f>H53/DAY(B2)</f>
        <v>4198.8600000000006</v>
      </c>
      <c r="K53" s="508"/>
      <c r="L53" s="405"/>
      <c r="O53" s="410"/>
    </row>
    <row r="54" spans="1:15" x14ac:dyDescent="0.4">
      <c r="A54" s="699" t="s">
        <v>207</v>
      </c>
      <c r="B54" s="722"/>
      <c r="C54" s="722"/>
      <c r="D54" s="643" t="s">
        <v>159</v>
      </c>
      <c r="E54" s="630">
        <f>'[1]1'!F54</f>
        <v>2886.89</v>
      </c>
      <c r="F54" s="630">
        <v>2945.98</v>
      </c>
      <c r="G54" s="593">
        <f t="shared" si="4"/>
        <v>59.090000000000146</v>
      </c>
      <c r="H54" s="580">
        <f>G54+'[1]1'!H54</f>
        <v>112.98000000000002</v>
      </c>
      <c r="I54" s="575"/>
      <c r="J54" s="673">
        <f>H54/DAY(B2)</f>
        <v>56.490000000000009</v>
      </c>
      <c r="K54" s="508"/>
      <c r="L54" s="405"/>
      <c r="O54" s="410"/>
    </row>
    <row r="55" spans="1:15" x14ac:dyDescent="0.4">
      <c r="A55" s="699" t="s">
        <v>208</v>
      </c>
      <c r="B55" s="722"/>
      <c r="C55" s="722"/>
      <c r="D55" s="643" t="s">
        <v>159</v>
      </c>
      <c r="E55" s="630">
        <f>'[1]1'!F55</f>
        <v>158492.63</v>
      </c>
      <c r="F55" s="1175">
        <v>158492.73000000001</v>
      </c>
      <c r="G55" s="593">
        <f t="shared" si="4"/>
        <v>0.10000000000582077</v>
      </c>
      <c r="H55" s="580">
        <f>G55+'[1]1'!H55</f>
        <v>-0.26999999998952262</v>
      </c>
      <c r="I55" s="575"/>
      <c r="J55" s="673">
        <f>H55/DAY(B2)</f>
        <v>-0.13499999999476131</v>
      </c>
      <c r="K55" s="508"/>
      <c r="L55" s="405"/>
      <c r="O55" s="410"/>
    </row>
    <row r="56" spans="1:15" x14ac:dyDescent="0.4">
      <c r="A56" s="699" t="s">
        <v>209</v>
      </c>
      <c r="B56" s="722"/>
      <c r="C56" s="722"/>
      <c r="D56" s="643" t="s">
        <v>210</v>
      </c>
      <c r="E56" s="630">
        <f>'[1]1'!F56</f>
        <v>439883.83</v>
      </c>
      <c r="F56" s="1175">
        <v>444564.95</v>
      </c>
      <c r="G56" s="593">
        <f t="shared" si="4"/>
        <v>4681.1199999999953</v>
      </c>
      <c r="H56" s="580">
        <f>G56+'[1]1'!H56</f>
        <v>9417.359999999986</v>
      </c>
      <c r="I56" s="575"/>
      <c r="J56" s="673">
        <f>H56/DAY(B2)</f>
        <v>4708.679999999993</v>
      </c>
      <c r="K56" s="507"/>
      <c r="L56" s="405"/>
      <c r="O56" s="410"/>
    </row>
    <row r="57" spans="1:15" x14ac:dyDescent="0.4">
      <c r="A57" s="699" t="s">
        <v>199</v>
      </c>
      <c r="B57" s="722"/>
      <c r="C57" s="722"/>
      <c r="D57" s="643" t="s">
        <v>159</v>
      </c>
      <c r="E57" s="630">
        <f>'[1]1'!F57</f>
        <v>0</v>
      </c>
      <c r="F57" s="630">
        <v>0</v>
      </c>
      <c r="G57" s="593">
        <f t="shared" si="4"/>
        <v>0</v>
      </c>
      <c r="H57" s="580">
        <f>G57+'[1]1'!H57</f>
        <v>0</v>
      </c>
      <c r="I57" s="575"/>
      <c r="J57" s="673">
        <f>H57/DAY(B2)</f>
        <v>0</v>
      </c>
      <c r="K57" s="508"/>
      <c r="L57" s="405"/>
      <c r="O57" s="410"/>
    </row>
    <row r="58" spans="1:15" x14ac:dyDescent="0.4">
      <c r="A58" s="699" t="s">
        <v>211</v>
      </c>
      <c r="B58" s="722"/>
      <c r="C58" s="722"/>
      <c r="D58" s="643" t="s">
        <v>159</v>
      </c>
      <c r="E58" s="630">
        <f>'[1]1'!F58</f>
        <v>20281.823</v>
      </c>
      <c r="F58" s="770">
        <v>20436.847000000002</v>
      </c>
      <c r="G58" s="593">
        <f t="shared" si="4"/>
        <v>155.02400000000125</v>
      </c>
      <c r="H58" s="580">
        <f>G58+'[1]1'!H58</f>
        <v>205.80400000000009</v>
      </c>
      <c r="I58" s="575"/>
      <c r="J58" s="673">
        <f>H58/DAY(B2)</f>
        <v>102.90200000000004</v>
      </c>
      <c r="K58" s="508"/>
      <c r="L58" s="405"/>
      <c r="O58" s="410"/>
    </row>
    <row r="59" spans="1:15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16071.473999999987</v>
      </c>
      <c r="H59" s="580">
        <f>G59+'[1]1'!H59</f>
        <v>32259.1</v>
      </c>
      <c r="I59" s="575">
        <f>G7-G60</f>
        <v>516.5659999998752</v>
      </c>
      <c r="J59" s="673">
        <f>H59/DAY(B2)</f>
        <v>16129.55</v>
      </c>
      <c r="K59" s="508"/>
      <c r="L59" s="405"/>
      <c r="O59" s="410"/>
    </row>
    <row r="60" spans="1:15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18933.434000000125</v>
      </c>
      <c r="H60" s="580">
        <f>G60+'[1]1'!H60</f>
        <v>38514.039999999972</v>
      </c>
      <c r="I60" s="575">
        <f>G13-G60</f>
        <v>3.0360000000800937</v>
      </c>
      <c r="J60" s="673">
        <f>H60/DAY(B2)</f>
        <v>19257.019999999986</v>
      </c>
      <c r="K60" s="508"/>
      <c r="L60" s="405"/>
      <c r="O60" s="410"/>
    </row>
    <row r="61" spans="1:15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O61" s="410"/>
    </row>
    <row r="62" spans="1:15" x14ac:dyDescent="0.4">
      <c r="A62" s="724" t="s">
        <v>121</v>
      </c>
      <c r="B62" s="725"/>
      <c r="C62" s="725"/>
      <c r="D62" s="631" t="s">
        <v>214</v>
      </c>
      <c r="E62" s="634">
        <f>'[1]1'!F62</f>
        <v>20419.188999999998</v>
      </c>
      <c r="F62" s="634">
        <v>20419.188999999998</v>
      </c>
      <c r="G62" s="593">
        <f t="shared" ref="G62:G69" si="5">F62-E62</f>
        <v>0</v>
      </c>
      <c r="H62" s="580">
        <f>G62+'[1]1'!H62</f>
        <v>8.9999999981955625E-3</v>
      </c>
      <c r="I62" s="635"/>
      <c r="J62" s="673">
        <f>H62/DAY(B2)</f>
        <v>4.4999999990977813E-3</v>
      </c>
      <c r="K62" s="508"/>
      <c r="L62" s="405"/>
      <c r="O62" s="410"/>
    </row>
    <row r="63" spans="1:15" x14ac:dyDescent="0.4">
      <c r="A63" s="724" t="s">
        <v>215</v>
      </c>
      <c r="B63" s="725"/>
      <c r="C63" s="725"/>
      <c r="D63" s="631" t="s">
        <v>214</v>
      </c>
      <c r="E63" s="634">
        <f>'[1]1'!F63</f>
        <v>872.779</v>
      </c>
      <c r="F63" s="634">
        <v>889.46</v>
      </c>
      <c r="G63" s="593">
        <f t="shared" si="5"/>
        <v>16.68100000000004</v>
      </c>
      <c r="H63" s="580">
        <f>G63+'[1]1'!H63</f>
        <v>33.090000000000032</v>
      </c>
      <c r="I63" s="635"/>
      <c r="J63" s="673">
        <f>H63/DAY(B2)</f>
        <v>16.545000000000016</v>
      </c>
      <c r="K63" s="508"/>
      <c r="L63" s="405"/>
      <c r="O63" s="410"/>
    </row>
    <row r="64" spans="1:15" ht="27.75" x14ac:dyDescent="0.5">
      <c r="A64" s="1395" t="s">
        <v>122</v>
      </c>
      <c r="B64" s="1396"/>
      <c r="C64" s="1397"/>
      <c r="D64" s="643" t="s">
        <v>214</v>
      </c>
      <c r="E64" s="604">
        <f>'[1]1'!F64</f>
        <v>87088.678</v>
      </c>
      <c r="F64" s="598">
        <v>87475.934999999998</v>
      </c>
      <c r="G64" s="593">
        <f t="shared" si="5"/>
        <v>387.25699999999779</v>
      </c>
      <c r="H64" s="580">
        <f>G64+'[1]1'!H64</f>
        <v>736.83999999999651</v>
      </c>
      <c r="I64" s="600"/>
      <c r="J64" s="673">
        <f>H64/DAY(B2)</f>
        <v>368.41999999999825</v>
      </c>
      <c r="K64" s="508"/>
      <c r="L64" s="405"/>
      <c r="O64" s="410"/>
    </row>
    <row r="65" spans="1:15" ht="27.75" x14ac:dyDescent="0.5">
      <c r="A65" s="1395" t="s">
        <v>123</v>
      </c>
      <c r="B65" s="1396"/>
      <c r="C65" s="1397"/>
      <c r="D65" s="643" t="s">
        <v>214</v>
      </c>
      <c r="E65" s="604">
        <f>'[1]1'!F65</f>
        <v>97027.407000000007</v>
      </c>
      <c r="F65" s="768">
        <v>97435.25</v>
      </c>
      <c r="G65" s="593">
        <f t="shared" si="5"/>
        <v>407.84299999999348</v>
      </c>
      <c r="H65" s="580">
        <f>G65+'[1]1'!H65</f>
        <v>799.2670000000071</v>
      </c>
      <c r="I65" s="609"/>
      <c r="J65" s="673">
        <f>H65/DAY(B2)</f>
        <v>399.63350000000355</v>
      </c>
      <c r="K65" s="508"/>
      <c r="L65" s="405"/>
      <c r="O65" s="410"/>
    </row>
    <row r="66" spans="1:15" ht="27.75" x14ac:dyDescent="0.5">
      <c r="A66" s="1395" t="s">
        <v>124</v>
      </c>
      <c r="B66" s="1396"/>
      <c r="C66" s="1397"/>
      <c r="D66" s="643" t="s">
        <v>214</v>
      </c>
      <c r="E66" s="604">
        <f>'[1]1'!F66</f>
        <v>90408</v>
      </c>
      <c r="F66" s="598">
        <v>90800.53</v>
      </c>
      <c r="G66" s="593">
        <f t="shared" si="5"/>
        <v>392.52999999999884</v>
      </c>
      <c r="H66" s="580">
        <f>G66+'[1]1'!H66</f>
        <v>795.68300000000454</v>
      </c>
      <c r="I66" s="600"/>
      <c r="J66" s="673">
        <f>H66/DAY(B2)</f>
        <v>397.84150000000227</v>
      </c>
      <c r="K66" s="508"/>
      <c r="L66" s="405"/>
      <c r="O66" s="410"/>
    </row>
    <row r="67" spans="1:15" ht="27.75" x14ac:dyDescent="0.5">
      <c r="A67" s="1395" t="s">
        <v>125</v>
      </c>
      <c r="B67" s="1396"/>
      <c r="C67" s="1397"/>
      <c r="D67" s="643" t="s">
        <v>214</v>
      </c>
      <c r="E67" s="604">
        <f>'[1]1'!F67</f>
        <v>146839.38</v>
      </c>
      <c r="F67" s="598">
        <v>147553.99</v>
      </c>
      <c r="G67" s="593">
        <f t="shared" si="5"/>
        <v>714.60999999998603</v>
      </c>
      <c r="H67" s="580">
        <f>G67+'[1]1'!H67</f>
        <v>1511.9400000000023</v>
      </c>
      <c r="I67" s="609"/>
      <c r="J67" s="673">
        <f>H67/DAY(B2)</f>
        <v>755.97000000000116</v>
      </c>
      <c r="K67" s="509"/>
      <c r="L67" s="405"/>
      <c r="O67" s="410"/>
    </row>
    <row r="68" spans="1:15" ht="27.75" x14ac:dyDescent="0.5">
      <c r="A68" s="1395" t="s">
        <v>126</v>
      </c>
      <c r="B68" s="1396"/>
      <c r="C68" s="1397"/>
      <c r="D68" s="643" t="s">
        <v>214</v>
      </c>
      <c r="E68" s="604">
        <f>'[1]1'!F68</f>
        <v>43557.631000000001</v>
      </c>
      <c r="F68" s="598">
        <v>43935.398999999998</v>
      </c>
      <c r="G68" s="593">
        <f t="shared" si="5"/>
        <v>377.76799999999639</v>
      </c>
      <c r="H68" s="580">
        <f>G68+'[1]1'!H68</f>
        <v>760.31999999999971</v>
      </c>
      <c r="I68" s="636"/>
      <c r="J68" s="673">
        <f>H68/DAY(B2)</f>
        <v>380.15999999999985</v>
      </c>
      <c r="K68" s="510"/>
      <c r="L68" s="405"/>
      <c r="O68" s="410"/>
    </row>
    <row r="69" spans="1:15" ht="27.75" x14ac:dyDescent="0.5">
      <c r="A69" s="1395" t="s">
        <v>127</v>
      </c>
      <c r="B69" s="1396"/>
      <c r="C69" s="1397"/>
      <c r="D69" s="643" t="s">
        <v>214</v>
      </c>
      <c r="E69" s="604">
        <f>'[1]1'!F69</f>
        <v>37845.839</v>
      </c>
      <c r="F69" s="598">
        <v>38132.65</v>
      </c>
      <c r="G69" s="593">
        <f t="shared" si="5"/>
        <v>286.81100000000151</v>
      </c>
      <c r="H69" s="580">
        <f>G69+'[1]1'!H69</f>
        <v>577.08299999999872</v>
      </c>
      <c r="I69" s="636"/>
      <c r="J69" s="673">
        <f>H69/DAY(B2)</f>
        <v>288.54149999999936</v>
      </c>
      <c r="K69" s="511"/>
      <c r="L69" s="405"/>
      <c r="O69" s="410"/>
    </row>
    <row r="70" spans="1:15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/>
      <c r="I70" s="638"/>
      <c r="J70" s="677"/>
      <c r="K70" s="511"/>
      <c r="L70" s="405"/>
      <c r="O70" s="410"/>
    </row>
    <row r="71" spans="1:15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O71" s="410"/>
    </row>
    <row r="72" spans="1:15" ht="27.75" x14ac:dyDescent="0.5">
      <c r="A72" s="1395" t="s">
        <v>218</v>
      </c>
      <c r="B72" s="1396"/>
      <c r="C72" s="1397"/>
      <c r="D72" s="643" t="s">
        <v>214</v>
      </c>
      <c r="E72" s="639">
        <f>'[1]1'!F72</f>
        <v>844185</v>
      </c>
      <c r="F72" s="772">
        <v>844194</v>
      </c>
      <c r="G72" s="593">
        <f t="shared" ref="G72:G84" si="6">F72-E72</f>
        <v>9</v>
      </c>
      <c r="H72" s="580">
        <f>G72+'[1]1'!H72</f>
        <v>17</v>
      </c>
      <c r="I72" s="600"/>
      <c r="J72" s="673">
        <f>H72/DAY(B2)</f>
        <v>8.5</v>
      </c>
      <c r="K72" s="511"/>
      <c r="L72" s="405"/>
      <c r="O72" s="410"/>
    </row>
    <row r="73" spans="1:15" ht="27.75" x14ac:dyDescent="0.5">
      <c r="A73" s="1395" t="s">
        <v>219</v>
      </c>
      <c r="B73" s="1396"/>
      <c r="C73" s="1397"/>
      <c r="D73" s="643" t="s">
        <v>214</v>
      </c>
      <c r="E73" s="640">
        <f>'[1]1'!F73</f>
        <v>885311</v>
      </c>
      <c r="F73" s="772">
        <v>885313</v>
      </c>
      <c r="G73" s="769">
        <f t="shared" si="6"/>
        <v>2</v>
      </c>
      <c r="H73" s="580">
        <f>G73+'[1]1'!H73</f>
        <v>3</v>
      </c>
      <c r="I73" s="600"/>
      <c r="J73" s="673">
        <f>H73/DAY(B2)</f>
        <v>1.5</v>
      </c>
      <c r="K73" s="510"/>
      <c r="L73" s="405"/>
      <c r="O73" s="410"/>
    </row>
    <row r="74" spans="1:15" ht="27.75" x14ac:dyDescent="0.5">
      <c r="A74" s="1395" t="s">
        <v>220</v>
      </c>
      <c r="B74" s="1396"/>
      <c r="C74" s="1397"/>
      <c r="D74" s="643" t="s">
        <v>214</v>
      </c>
      <c r="E74" s="641">
        <f>'[1]1'!F74</f>
        <v>880250</v>
      </c>
      <c r="F74" s="772">
        <v>880267</v>
      </c>
      <c r="G74" s="593">
        <f t="shared" si="6"/>
        <v>17</v>
      </c>
      <c r="H74" s="580">
        <f>G74+'[1]1'!H74</f>
        <v>40</v>
      </c>
      <c r="I74" s="600"/>
      <c r="J74" s="673">
        <f>H74/DAY(B2)</f>
        <v>20</v>
      </c>
      <c r="K74" s="511"/>
      <c r="L74" s="405"/>
      <c r="O74" s="410"/>
    </row>
    <row r="75" spans="1:15" ht="27.75" x14ac:dyDescent="0.5">
      <c r="A75" s="1447" t="s">
        <v>221</v>
      </c>
      <c r="B75" s="1448"/>
      <c r="C75" s="1449"/>
      <c r="D75" s="643" t="s">
        <v>214</v>
      </c>
      <c r="E75" s="641">
        <f>'[1]1'!F75</f>
        <v>726345</v>
      </c>
      <c r="F75" s="772">
        <v>726510</v>
      </c>
      <c r="G75" s="593">
        <f t="shared" si="6"/>
        <v>165</v>
      </c>
      <c r="H75" s="580">
        <f>G75+'[1]1'!H75</f>
        <v>330</v>
      </c>
      <c r="I75" s="600"/>
      <c r="J75" s="673">
        <f>H75/DAY(B2)</f>
        <v>165</v>
      </c>
      <c r="K75" s="510"/>
      <c r="L75" s="405"/>
      <c r="O75" s="410"/>
    </row>
    <row r="76" spans="1:15" ht="27.75" x14ac:dyDescent="0.5">
      <c r="A76" s="1447" t="s">
        <v>222</v>
      </c>
      <c r="B76" s="1448"/>
      <c r="C76" s="1449"/>
      <c r="D76" s="643" t="s">
        <v>214</v>
      </c>
      <c r="E76" s="640">
        <f>'[1]1'!F76</f>
        <v>681733</v>
      </c>
      <c r="F76" s="772">
        <v>681794</v>
      </c>
      <c r="G76" s="593">
        <f t="shared" si="6"/>
        <v>61</v>
      </c>
      <c r="H76" s="580">
        <f>G76+'[1]1'!H76</f>
        <v>118</v>
      </c>
      <c r="I76" s="625"/>
      <c r="J76" s="673">
        <f>H76/DAY(B2)</f>
        <v>59</v>
      </c>
      <c r="K76" s="510"/>
      <c r="L76" s="405"/>
      <c r="O76" s="410"/>
    </row>
    <row r="77" spans="1:15" ht="27.75" x14ac:dyDescent="0.5">
      <c r="A77" s="1395" t="s">
        <v>223</v>
      </c>
      <c r="B77" s="1396"/>
      <c r="C77" s="1397"/>
      <c r="D77" s="643" t="s">
        <v>214</v>
      </c>
      <c r="E77" s="640">
        <f>'[1]1'!F77</f>
        <v>693775</v>
      </c>
      <c r="F77" s="772">
        <v>693828</v>
      </c>
      <c r="G77" s="769">
        <f t="shared" si="6"/>
        <v>53</v>
      </c>
      <c r="H77" s="580">
        <f>G77+'[1]1'!H77</f>
        <v>108</v>
      </c>
      <c r="I77" s="625"/>
      <c r="J77" s="673">
        <f>H77/DAY(B2)</f>
        <v>54</v>
      </c>
      <c r="K77" s="510"/>
      <c r="L77" s="405"/>
      <c r="O77" s="410"/>
    </row>
    <row r="78" spans="1:15" ht="27.75" x14ac:dyDescent="0.5">
      <c r="A78" s="1357" t="s">
        <v>224</v>
      </c>
      <c r="B78" s="1320"/>
      <c r="C78" s="1320"/>
      <c r="D78" s="643" t="s">
        <v>214</v>
      </c>
      <c r="E78" s="641">
        <f>'[1]1'!F78</f>
        <v>618733</v>
      </c>
      <c r="F78" s="772">
        <v>619100</v>
      </c>
      <c r="G78" s="593">
        <f t="shared" si="6"/>
        <v>367</v>
      </c>
      <c r="H78" s="580">
        <f>G78+'[1]1'!H78</f>
        <v>847</v>
      </c>
      <c r="I78" s="625"/>
      <c r="J78" s="673">
        <f>H78/DAY(B2)</f>
        <v>423.5</v>
      </c>
      <c r="K78" s="510"/>
      <c r="L78" s="405"/>
      <c r="O78" s="410"/>
    </row>
    <row r="79" spans="1:15" ht="27.75" x14ac:dyDescent="0.5">
      <c r="A79" s="1447" t="s">
        <v>112</v>
      </c>
      <c r="B79" s="1448"/>
      <c r="C79" s="1449"/>
      <c r="D79" s="644" t="s">
        <v>214</v>
      </c>
      <c r="E79" s="641">
        <f>'[1]1'!F79</f>
        <v>798187</v>
      </c>
      <c r="F79" s="773">
        <v>798382</v>
      </c>
      <c r="G79" s="593">
        <f t="shared" si="6"/>
        <v>195</v>
      </c>
      <c r="H79" s="580">
        <f>G79+'[1]1'!H79</f>
        <v>396</v>
      </c>
      <c r="I79" s="625"/>
      <c r="J79" s="673">
        <f>H79/DAY(B2)</f>
        <v>198</v>
      </c>
      <c r="K79" s="510"/>
      <c r="L79" s="405"/>
      <c r="O79" s="410"/>
    </row>
    <row r="80" spans="1:15" ht="27.75" x14ac:dyDescent="0.5">
      <c r="A80" s="1447" t="s">
        <v>225</v>
      </c>
      <c r="B80" s="1448"/>
      <c r="C80" s="1449"/>
      <c r="D80" s="644" t="s">
        <v>214</v>
      </c>
      <c r="E80" s="640">
        <f>'[1]1'!F80</f>
        <v>465809.27</v>
      </c>
      <c r="F80" s="772">
        <v>466093.44</v>
      </c>
      <c r="G80" s="593">
        <f t="shared" si="6"/>
        <v>284.1699999999837</v>
      </c>
      <c r="H80" s="580">
        <f>G80+'[1]1'!H80</f>
        <v>595.55999999999767</v>
      </c>
      <c r="I80" s="625"/>
      <c r="J80" s="673">
        <f>H80/DAY(B2)</f>
        <v>297.77999999999884</v>
      </c>
      <c r="K80" s="510"/>
      <c r="L80" s="405"/>
      <c r="O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'[1]1'!F81</f>
        <v>614541.80000000005</v>
      </c>
      <c r="F81" s="772">
        <v>614706.80000000005</v>
      </c>
      <c r="G81" s="593">
        <f t="shared" si="6"/>
        <v>165</v>
      </c>
      <c r="H81" s="580">
        <f>G81+'[1]1'!H81</f>
        <v>318.28000000002794</v>
      </c>
      <c r="I81" s="625"/>
      <c r="J81" s="673">
        <f>H81/DAY(B2)</f>
        <v>159.14000000001397</v>
      </c>
      <c r="K81" s="510"/>
      <c r="L81" s="405"/>
      <c r="O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0">
        <f>'[1]1'!F82</f>
        <v>103550.41</v>
      </c>
      <c r="F82" s="768">
        <v>103569.01</v>
      </c>
      <c r="G82" s="593">
        <f t="shared" si="6"/>
        <v>18.599999999991269</v>
      </c>
      <c r="H82" s="580">
        <f>G82+'[1]1'!H82</f>
        <v>39.360000000000582</v>
      </c>
      <c r="I82" s="606"/>
      <c r="J82" s="673">
        <f>H82/DAY(B2)</f>
        <v>19.680000000000291</v>
      </c>
      <c r="K82" s="510"/>
      <c r="L82" s="405"/>
      <c r="O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1">
        <f>'[1]1'!F83</f>
        <v>962871</v>
      </c>
      <c r="F83" s="631">
        <v>963211</v>
      </c>
      <c r="G83" s="593">
        <f t="shared" si="6"/>
        <v>340</v>
      </c>
      <c r="H83" s="580">
        <f>G83+'[1]1'!H83</f>
        <v>686</v>
      </c>
      <c r="I83" s="601"/>
      <c r="J83" s="673">
        <f>H83/DAY(B2)</f>
        <v>343</v>
      </c>
      <c r="K83" s="509"/>
      <c r="L83" s="405"/>
      <c r="O83" s="410"/>
    </row>
    <row r="84" spans="1:15" x14ac:dyDescent="0.5">
      <c r="A84" s="1360" t="s">
        <v>228</v>
      </c>
      <c r="B84" s="692"/>
      <c r="C84" s="692"/>
      <c r="D84" s="598" t="s">
        <v>159</v>
      </c>
      <c r="E84" s="631">
        <f>'[1]1'!F84</f>
        <v>381920</v>
      </c>
      <c r="F84" s="748">
        <v>382462</v>
      </c>
      <c r="G84" s="593">
        <f t="shared" si="6"/>
        <v>542</v>
      </c>
      <c r="H84" s="580">
        <f>G84+'[1]1'!H84</f>
        <v>1106</v>
      </c>
      <c r="I84" s="601"/>
      <c r="J84" s="673">
        <f>H84/DAY(B2)</f>
        <v>553</v>
      </c>
      <c r="K84" s="408"/>
      <c r="L84" s="405"/>
      <c r="O84" s="410"/>
    </row>
    <row r="85" spans="1:15" s="407" customFormat="1" x14ac:dyDescent="0.5">
      <c r="A85" s="726" t="s">
        <v>82</v>
      </c>
      <c r="B85" s="693"/>
      <c r="C85" s="693"/>
      <c r="D85" s="609"/>
      <c r="E85" s="631">
        <f>'[1]1'!F85</f>
        <v>0</v>
      </c>
      <c r="F85" s="643"/>
      <c r="G85" s="580">
        <f xml:space="preserve"> SUM(G71:G84)</f>
        <v>2218.769999999975</v>
      </c>
      <c r="H85" s="580">
        <f>G85+'[1]1'!H84</f>
        <v>2782.769999999975</v>
      </c>
      <c r="I85" s="601"/>
      <c r="J85" s="673">
        <f>H85/DAY(B2)</f>
        <v>1391.3849999999875</v>
      </c>
      <c r="K85" s="408"/>
      <c r="L85" s="406"/>
      <c r="O85" s="410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631">
        <f>'[1]1'!F86</f>
        <v>440551.67</v>
      </c>
      <c r="F86" s="764">
        <v>440742.44</v>
      </c>
      <c r="G86" s="841">
        <f t="shared" ref="G86:G90" si="7">F86-E86</f>
        <v>190.77000000001863</v>
      </c>
      <c r="H86" s="841">
        <f t="shared" ref="H86:H88" si="8">G86</f>
        <v>190.77000000001863</v>
      </c>
      <c r="I86" s="769"/>
      <c r="J86" s="843">
        <f>H86/DAY(B2)</f>
        <v>95.385000000009313</v>
      </c>
      <c r="K86" s="869"/>
      <c r="L86" s="870"/>
      <c r="O86" s="849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631">
        <f>'[1]1'!F87</f>
        <v>76936.5</v>
      </c>
      <c r="F87" s="764">
        <v>76967.899999999994</v>
      </c>
      <c r="G87" s="841">
        <f t="shared" si="7"/>
        <v>31.399999999994179</v>
      </c>
      <c r="H87" s="841">
        <f t="shared" si="8"/>
        <v>31.399999999994179</v>
      </c>
      <c r="I87" s="769"/>
      <c r="J87" s="843">
        <f>H87/DAY(B2)</f>
        <v>15.69999999999709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631">
        <f>'[1]1'!F88</f>
        <v>142563.38</v>
      </c>
      <c r="F88" s="764">
        <v>142693.79</v>
      </c>
      <c r="G88" s="841">
        <f t="shared" si="7"/>
        <v>130.41000000000349</v>
      </c>
      <c r="H88" s="841">
        <f t="shared" si="8"/>
        <v>130.41000000000349</v>
      </c>
      <c r="I88" s="769"/>
      <c r="J88" s="843">
        <f>H88/DAY(B2)</f>
        <v>65.205000000001746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631">
        <f>'[1]1'!F89</f>
        <v>55777.2</v>
      </c>
      <c r="F89" s="764">
        <v>55851.5</v>
      </c>
      <c r="G89" s="841">
        <f t="shared" si="7"/>
        <v>74.30000000000291</v>
      </c>
      <c r="H89" s="841">
        <f>G89+'[1]1'!H89</f>
        <v>126.40000000000146</v>
      </c>
      <c r="I89" s="769"/>
      <c r="J89" s="843">
        <f>H89/DAY(B2)</f>
        <v>63.200000000000728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631">
        <f>'[1]1'!F90</f>
        <v>2890</v>
      </c>
      <c r="F90" s="764">
        <v>2895.7</v>
      </c>
      <c r="G90" s="841">
        <f t="shared" si="7"/>
        <v>5.6999999999998181</v>
      </c>
      <c r="H90" s="841">
        <f>G90+'[1]1'!H90</f>
        <v>7.6999999999998181</v>
      </c>
      <c r="I90" s="769"/>
      <c r="J90" s="843">
        <f>H90/DAY(B2)</f>
        <v>3.8499999999999091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O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'[1]1'!F92</f>
        <v>231087</v>
      </c>
      <c r="F92" s="598">
        <v>231176</v>
      </c>
      <c r="G92" s="593">
        <f t="shared" ref="G92:G93" si="9">F92-E92</f>
        <v>89</v>
      </c>
      <c r="H92" s="580">
        <f>G92+'[1]1'!H92</f>
        <v>201</v>
      </c>
      <c r="I92" s="600"/>
      <c r="J92" s="673">
        <f>H92/DAY(B2)</f>
        <v>100.5</v>
      </c>
      <c r="K92" s="509"/>
      <c r="L92" s="405"/>
      <c r="O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'[1]1'!F93</f>
        <v>162793</v>
      </c>
      <c r="F93" s="598">
        <v>162931</v>
      </c>
      <c r="G93" s="593">
        <f t="shared" si="9"/>
        <v>138</v>
      </c>
      <c r="H93" s="580">
        <f>G93+'[1]1'!H93</f>
        <v>289</v>
      </c>
      <c r="I93" s="600"/>
      <c r="J93" s="673">
        <f>H93/DAY(B2)</f>
        <v>144.5</v>
      </c>
      <c r="K93" s="408"/>
      <c r="L93" s="405"/>
      <c r="O93" s="410"/>
    </row>
    <row r="94" spans="1:15" x14ac:dyDescent="0.5">
      <c r="A94" s="1392" t="s">
        <v>235</v>
      </c>
      <c r="B94" s="1393"/>
      <c r="C94" s="1394"/>
      <c r="D94" s="643"/>
      <c r="E94" s="604"/>
      <c r="F94" s="598"/>
      <c r="G94" s="593">
        <f>G92+G93</f>
        <v>227</v>
      </c>
      <c r="H94" s="580">
        <f>G94+'[1]1'!H94</f>
        <v>227</v>
      </c>
      <c r="I94" s="600"/>
      <c r="J94" s="673">
        <f>H94/DAY(B2)</f>
        <v>113.5</v>
      </c>
      <c r="K94" s="408"/>
      <c r="L94" s="405"/>
      <c r="O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'[1]1'!F95</f>
        <v>401612</v>
      </c>
      <c r="F95" s="598">
        <v>401671</v>
      </c>
      <c r="G95" s="593">
        <f t="shared" ref="G95:G100" si="10">F95-E95</f>
        <v>59</v>
      </c>
      <c r="H95" s="580">
        <f>G95+'[1]1'!H95</f>
        <v>106</v>
      </c>
      <c r="I95" s="600"/>
      <c r="J95" s="673">
        <f>H95/DAY(B2)</f>
        <v>53</v>
      </c>
      <c r="K95" s="408"/>
      <c r="L95" s="405"/>
      <c r="O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'[1]1'!F96</f>
        <v>99144</v>
      </c>
      <c r="F96" s="598">
        <v>99175</v>
      </c>
      <c r="G96" s="593">
        <f t="shared" si="10"/>
        <v>31</v>
      </c>
      <c r="H96" s="580">
        <f>G96+'[1]1'!H96</f>
        <v>64</v>
      </c>
      <c r="I96" s="600"/>
      <c r="J96" s="673">
        <f>H96/DAY(B2)</f>
        <v>32</v>
      </c>
      <c r="K96" s="507"/>
      <c r="L96" s="405"/>
      <c r="O96" s="410"/>
    </row>
    <row r="97" spans="1:15" ht="27.75" x14ac:dyDescent="0.5">
      <c r="A97" s="1354" t="s">
        <v>238</v>
      </c>
      <c r="B97" s="1355"/>
      <c r="C97" s="1355"/>
      <c r="D97" s="643" t="s">
        <v>171</v>
      </c>
      <c r="E97" s="604">
        <f>'[1]1'!F97</f>
        <v>94307</v>
      </c>
      <c r="F97" s="598">
        <v>94321</v>
      </c>
      <c r="G97" s="593">
        <f t="shared" si="10"/>
        <v>14</v>
      </c>
      <c r="H97" s="580">
        <f>G97+'[1]1'!H97</f>
        <v>49</v>
      </c>
      <c r="I97" s="600"/>
      <c r="J97" s="673">
        <f>H97/DAY(B2)</f>
        <v>24.5</v>
      </c>
      <c r="K97" s="512"/>
      <c r="L97" s="405"/>
      <c r="O97" s="410"/>
    </row>
    <row r="98" spans="1:15" ht="27.75" x14ac:dyDescent="0.5">
      <c r="A98" s="1354" t="s">
        <v>239</v>
      </c>
      <c r="B98" s="1355"/>
      <c r="C98" s="1355"/>
      <c r="D98" s="643" t="s">
        <v>171</v>
      </c>
      <c r="E98" s="604">
        <f>'[1]1'!F98</f>
        <v>142213</v>
      </c>
      <c r="F98" s="598">
        <v>142253</v>
      </c>
      <c r="G98" s="593">
        <f t="shared" si="10"/>
        <v>40</v>
      </c>
      <c r="H98" s="580">
        <f>G98+'[1]1'!H98</f>
        <v>107</v>
      </c>
      <c r="I98" s="600"/>
      <c r="J98" s="673">
        <f>H98/DAY(B2)</f>
        <v>53.5</v>
      </c>
      <c r="K98" s="408"/>
      <c r="L98" s="405"/>
      <c r="O98" s="410"/>
    </row>
    <row r="99" spans="1:15" ht="27.75" x14ac:dyDescent="0.5">
      <c r="A99" s="1354" t="s">
        <v>240</v>
      </c>
      <c r="B99" s="1355"/>
      <c r="C99" s="1355"/>
      <c r="D99" s="643" t="s">
        <v>171</v>
      </c>
      <c r="E99" s="604">
        <f>'[1]1'!F99</f>
        <v>4991</v>
      </c>
      <c r="F99" s="598">
        <v>5015</v>
      </c>
      <c r="G99" s="593">
        <f t="shared" si="10"/>
        <v>24</v>
      </c>
      <c r="H99" s="580">
        <f>G99+'[1]1'!H99</f>
        <v>47</v>
      </c>
      <c r="I99" s="600"/>
      <c r="J99" s="673">
        <f>H99/DAY(B2)</f>
        <v>23.5</v>
      </c>
      <c r="K99" s="408"/>
      <c r="L99" s="405"/>
      <c r="O99" s="410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604">
        <f>'[1]1'!F100</f>
        <v>3674</v>
      </c>
      <c r="F100" s="598">
        <v>3674</v>
      </c>
      <c r="G100" s="593">
        <f t="shared" si="10"/>
        <v>0</v>
      </c>
      <c r="H100" s="580">
        <f>G100+'[1]1'!H100</f>
        <v>0</v>
      </c>
      <c r="I100" s="600"/>
      <c r="J100" s="673">
        <f>H100/DAY(B2)</f>
        <v>0</v>
      </c>
      <c r="K100" s="408"/>
      <c r="L100" s="405"/>
      <c r="O100" s="410"/>
    </row>
    <row r="101" spans="1:15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168</v>
      </c>
      <c r="H101" s="580">
        <f>G101+'[1]1'!H101</f>
        <v>373</v>
      </c>
      <c r="I101" s="646"/>
      <c r="J101" s="673">
        <f>H101/DAY(B2)</f>
        <v>186.5</v>
      </c>
      <c r="K101" s="408"/>
      <c r="L101" s="405"/>
      <c r="O101" s="410"/>
    </row>
    <row r="102" spans="1:15" s="524" customFormat="1" ht="27" x14ac:dyDescent="0.35">
      <c r="A102" s="728" t="s">
        <v>243</v>
      </c>
      <c r="B102" s="729"/>
      <c r="C102" s="729"/>
      <c r="D102" s="742"/>
      <c r="E102" s="648"/>
      <c r="F102" s="774"/>
      <c r="G102" s="649"/>
      <c r="H102" s="650"/>
      <c r="I102" s="651"/>
      <c r="J102" s="678"/>
      <c r="O102" s="410"/>
    </row>
    <row r="103" spans="1:15" s="524" customFormat="1" ht="27.75" x14ac:dyDescent="0.5">
      <c r="A103" s="1404" t="s">
        <v>244</v>
      </c>
      <c r="B103" s="1405"/>
      <c r="C103" s="694"/>
      <c r="D103" s="743"/>
      <c r="E103" s="652"/>
      <c r="F103" s="775"/>
      <c r="G103" s="652"/>
      <c r="H103" s="653"/>
      <c r="I103" s="652"/>
      <c r="J103" s="679"/>
      <c r="O103" s="410"/>
    </row>
    <row r="104" spans="1:15" s="524" customFormat="1" ht="27.75" x14ac:dyDescent="0.5">
      <c r="A104" s="1406" t="s">
        <v>245</v>
      </c>
      <c r="B104" s="1407"/>
      <c r="C104" s="1363"/>
      <c r="D104" s="743" t="s">
        <v>171</v>
      </c>
      <c r="E104" s="652">
        <f>'[1]1'!F104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28.5</v>
      </c>
      <c r="O104" s="410"/>
    </row>
    <row r="105" spans="1:15" s="524" customFormat="1" ht="27.75" x14ac:dyDescent="0.5">
      <c r="A105" s="1406" t="s">
        <v>92</v>
      </c>
      <c r="B105" s="1407"/>
      <c r="C105" s="1363"/>
      <c r="D105" s="743" t="s">
        <v>171</v>
      </c>
      <c r="E105" s="654">
        <f>'[1]1'!F105</f>
        <v>34676</v>
      </c>
      <c r="F105" s="776">
        <v>34686</v>
      </c>
      <c r="G105" s="652">
        <f t="shared" ref="G105:G106" si="11">F105-E105</f>
        <v>10</v>
      </c>
      <c r="H105" s="653">
        <f>SUM(G105+'[1]1'!G77)</f>
        <v>65</v>
      </c>
      <c r="I105" s="652"/>
      <c r="J105" s="679">
        <f>H105/DAY(B2)</f>
        <v>32.5</v>
      </c>
      <c r="O105" s="410"/>
    </row>
    <row r="106" spans="1:15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'[1]1'!F106</f>
        <v>18743</v>
      </c>
      <c r="F106" s="775">
        <v>18748</v>
      </c>
      <c r="G106" s="652">
        <f t="shared" si="11"/>
        <v>5</v>
      </c>
      <c r="H106" s="653">
        <f>SUM(G106+'[1]1'!G78)</f>
        <v>485</v>
      </c>
      <c r="I106" s="652"/>
      <c r="J106" s="679">
        <f>H106/DAY(B2)</f>
        <v>242.5</v>
      </c>
      <c r="O106" s="410"/>
    </row>
    <row r="107" spans="1:15" s="524" customFormat="1" ht="27.75" x14ac:dyDescent="0.5">
      <c r="A107" s="1409" t="s">
        <v>82</v>
      </c>
      <c r="B107" s="1410"/>
      <c r="C107" s="1363"/>
      <c r="D107" s="743"/>
      <c r="E107" s="652"/>
      <c r="F107" s="775"/>
      <c r="G107" s="652">
        <f>SUM(G104:G106)</f>
        <v>15</v>
      </c>
      <c r="H107" s="653">
        <f>SUM(G107+'[1]1'!G79)</f>
        <v>216</v>
      </c>
      <c r="I107" s="652"/>
      <c r="J107" s="679">
        <f>H107/DAY(B2)</f>
        <v>108</v>
      </c>
      <c r="O107" s="410"/>
    </row>
    <row r="108" spans="1:15" s="524" customFormat="1" ht="27.75" x14ac:dyDescent="0.5">
      <c r="A108" s="1411" t="s">
        <v>94</v>
      </c>
      <c r="B108" s="1412"/>
      <c r="C108" s="1363"/>
      <c r="D108" s="743" t="s">
        <v>171</v>
      </c>
      <c r="E108" s="652"/>
      <c r="F108" s="775"/>
      <c r="G108" s="652"/>
      <c r="H108" s="653"/>
      <c r="I108" s="652"/>
      <c r="J108" s="679"/>
      <c r="O108" s="410"/>
    </row>
    <row r="109" spans="1:15" s="524" customFormat="1" ht="27.75" x14ac:dyDescent="0.5">
      <c r="A109" s="1406" t="s">
        <v>246</v>
      </c>
      <c r="B109" s="1407"/>
      <c r="C109" s="1363"/>
      <c r="D109" s="743" t="s">
        <v>171</v>
      </c>
      <c r="E109" s="652">
        <f>'[1]1'!F109</f>
        <v>51341</v>
      </c>
      <c r="F109" s="775">
        <v>51381</v>
      </c>
      <c r="G109" s="652">
        <f>F109-E109</f>
        <v>40</v>
      </c>
      <c r="H109" s="653">
        <f>SUM(G109+'[1]1'!G81)</f>
        <v>193.28000000002794</v>
      </c>
      <c r="I109" s="652"/>
      <c r="J109" s="679">
        <f>H109/DAY(B2)</f>
        <v>96.64000000001397</v>
      </c>
      <c r="O109" s="410"/>
    </row>
    <row r="110" spans="1:15" s="524" customFormat="1" ht="27.75" x14ac:dyDescent="0.5">
      <c r="A110" s="1406" t="s">
        <v>247</v>
      </c>
      <c r="B110" s="1407"/>
      <c r="C110" s="1363"/>
      <c r="D110" s="743" t="s">
        <v>171</v>
      </c>
      <c r="E110" s="652">
        <f>'[1]1'!F110</f>
        <v>25400</v>
      </c>
      <c r="F110" s="775">
        <v>25440</v>
      </c>
      <c r="G110" s="652">
        <f t="shared" ref="G110:G111" si="12">F110-E110</f>
        <v>40</v>
      </c>
      <c r="H110" s="653">
        <f>SUM(G110+'[1]1'!G82)</f>
        <v>60.760000000009313</v>
      </c>
      <c r="I110" s="652"/>
      <c r="J110" s="679">
        <f>H110/DAY(B2)</f>
        <v>30.380000000004657</v>
      </c>
      <c r="O110" s="410"/>
    </row>
    <row r="111" spans="1:15" s="524" customFormat="1" ht="27.75" x14ac:dyDescent="0.5">
      <c r="A111" s="1406" t="s">
        <v>248</v>
      </c>
      <c r="B111" s="1407"/>
      <c r="C111" s="1363"/>
      <c r="D111" s="743" t="s">
        <v>171</v>
      </c>
      <c r="E111" s="652">
        <f>'[1]1'!F111</f>
        <v>3385</v>
      </c>
      <c r="F111" s="775">
        <v>3396</v>
      </c>
      <c r="G111" s="652">
        <f t="shared" si="12"/>
        <v>11</v>
      </c>
      <c r="H111" s="653">
        <f>SUM(G111+'[1]1'!G83)</f>
        <v>357</v>
      </c>
      <c r="I111" s="652"/>
      <c r="J111" s="679">
        <f>H111/DAY(B2)</f>
        <v>178.5</v>
      </c>
      <c r="O111" s="410"/>
    </row>
    <row r="112" spans="1:15" s="524" customFormat="1" ht="27.75" x14ac:dyDescent="0.5">
      <c r="A112" s="1435" t="s">
        <v>136</v>
      </c>
      <c r="B112" s="1436"/>
      <c r="C112" s="1363"/>
      <c r="D112" s="743"/>
      <c r="E112" s="652"/>
      <c r="F112" s="775"/>
      <c r="G112" s="652">
        <f>SUM(G109:G111)</f>
        <v>91</v>
      </c>
      <c r="H112" s="653">
        <f>SUM(G112+'[1]1'!G84)</f>
        <v>655</v>
      </c>
      <c r="I112" s="652"/>
      <c r="J112" s="679">
        <f>H112/DAY(B2)</f>
        <v>327.5</v>
      </c>
      <c r="O112" s="410"/>
    </row>
    <row r="113" spans="1:15" s="524" customFormat="1" ht="27.75" x14ac:dyDescent="0.5">
      <c r="A113" s="1411" t="s">
        <v>249</v>
      </c>
      <c r="B113" s="1412"/>
      <c r="C113" s="1363"/>
      <c r="D113" s="743"/>
      <c r="E113" s="652"/>
      <c r="F113" s="775"/>
      <c r="G113" s="652"/>
      <c r="H113" s="653"/>
      <c r="I113" s="652"/>
      <c r="J113" s="679">
        <f>H113/DAY(B2)</f>
        <v>0</v>
      </c>
      <c r="O113" s="410"/>
    </row>
    <row r="114" spans="1:15" s="524" customFormat="1" ht="27.75" x14ac:dyDescent="0.5">
      <c r="A114" s="1406" t="s">
        <v>250</v>
      </c>
      <c r="B114" s="1407"/>
      <c r="C114" s="695"/>
      <c r="D114" s="743" t="s">
        <v>171</v>
      </c>
      <c r="E114" s="654">
        <f>'[1]1'!F114</f>
        <v>8628</v>
      </c>
      <c r="F114" s="776">
        <v>8657</v>
      </c>
      <c r="G114" s="654">
        <f>F114-E114</f>
        <v>29</v>
      </c>
      <c r="H114" s="653">
        <f>SUM(G114+'[1]1'!G91)</f>
        <v>29</v>
      </c>
      <c r="I114" s="652"/>
      <c r="J114" s="679">
        <f>H114/DAY(B2)</f>
        <v>14.5</v>
      </c>
      <c r="O114" s="410"/>
    </row>
    <row r="115" spans="1:15" s="524" customFormat="1" ht="27.75" x14ac:dyDescent="0.5">
      <c r="A115" s="1406" t="s">
        <v>251</v>
      </c>
      <c r="B115" s="1407"/>
      <c r="C115" s="695"/>
      <c r="D115" s="743" t="s">
        <v>171</v>
      </c>
      <c r="E115" s="654">
        <f>'[1]1'!F115</f>
        <v>6828</v>
      </c>
      <c r="F115" s="776">
        <v>6845</v>
      </c>
      <c r="G115" s="654">
        <f t="shared" ref="G115:G116" si="13">F115-E115</f>
        <v>17</v>
      </c>
      <c r="H115" s="653">
        <f>SUM(G115+'[1]1'!G92)</f>
        <v>129</v>
      </c>
      <c r="I115" s="652"/>
      <c r="J115" s="679">
        <f>H115/DAY(B2)</f>
        <v>64.5</v>
      </c>
      <c r="O115" s="410"/>
    </row>
    <row r="116" spans="1:15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776"/>
      <c r="G116" s="654">
        <f t="shared" si="13"/>
        <v>0</v>
      </c>
      <c r="H116" s="653">
        <f>SUM(G116+'[1]1'!G93)</f>
        <v>151</v>
      </c>
      <c r="I116" s="652"/>
      <c r="J116" s="679">
        <f>H116/DAY(B2)</f>
        <v>75.5</v>
      </c>
      <c r="O116" s="410"/>
    </row>
    <row r="117" spans="1:15" s="537" customFormat="1" ht="27.75" x14ac:dyDescent="0.5">
      <c r="A117" s="1409" t="s">
        <v>82</v>
      </c>
      <c r="B117" s="1410"/>
      <c r="C117" s="695"/>
      <c r="D117" s="744"/>
      <c r="E117" s="654"/>
      <c r="F117" s="776"/>
      <c r="G117" s="654">
        <f>SUM(G114:G116)</f>
        <v>46</v>
      </c>
      <c r="H117" s="653">
        <f>SUM(G117+'[1]1'!G95)</f>
        <v>93</v>
      </c>
      <c r="I117" s="654"/>
      <c r="J117" s="679">
        <f>H117/DAY(B2)</f>
        <v>46.5</v>
      </c>
      <c r="O117" s="410"/>
    </row>
    <row r="118" spans="1:15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142</v>
      </c>
      <c r="G118" s="656">
        <f>SUM(G19+G92)</f>
        <v>142</v>
      </c>
      <c r="H118" s="653">
        <f>SUM(G118+'[1]1'!G96)</f>
        <v>175</v>
      </c>
      <c r="I118" s="655"/>
      <c r="J118" s="680">
        <f>H118/DAY(B2)</f>
        <v>87.5</v>
      </c>
      <c r="O118" s="410"/>
    </row>
    <row r="119" spans="1:15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128</v>
      </c>
      <c r="G119" s="656">
        <f>SUM(G95,G96,G97,G99,G100)</f>
        <v>128</v>
      </c>
      <c r="H119" s="653">
        <f>SUM(G119+'[1]1'!G98)</f>
        <v>195</v>
      </c>
      <c r="I119" s="655"/>
      <c r="J119" s="680">
        <f>H119/DAY(B2)</f>
        <v>97.5</v>
      </c>
      <c r="O119" s="410"/>
    </row>
    <row r="120" spans="1:15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91</v>
      </c>
      <c r="G120" s="654">
        <f>SUM(G112)</f>
        <v>91</v>
      </c>
      <c r="H120" s="653">
        <f>SUM(G120+'[1]1'!G100)</f>
        <v>91</v>
      </c>
      <c r="I120" s="655"/>
      <c r="J120" s="680">
        <f>H120/DAY(B2)</f>
        <v>45.5</v>
      </c>
      <c r="O120" s="410"/>
    </row>
    <row r="121" spans="1:15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O121" s="410"/>
    </row>
    <row r="122" spans="1:15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O122" s="410"/>
    </row>
    <row r="123" spans="1:15" ht="27.75" x14ac:dyDescent="0.5">
      <c r="A123" s="1354" t="s">
        <v>257</v>
      </c>
      <c r="B123" s="1355"/>
      <c r="C123" s="1355"/>
      <c r="D123" s="643" t="s">
        <v>168</v>
      </c>
      <c r="E123" s="598">
        <f>'[1]1'!F123</f>
        <v>789043.76</v>
      </c>
      <c r="F123" s="598">
        <v>789238.41599999997</v>
      </c>
      <c r="G123" s="593">
        <f t="shared" ref="G123:G127" si="14">F123-E123</f>
        <v>194.65599999995902</v>
      </c>
      <c r="H123" s="580">
        <f>G123+'[1]1'!H123</f>
        <v>407.34600000001956</v>
      </c>
      <c r="I123" s="646"/>
      <c r="J123" s="673">
        <f>H123/DAY(B2)</f>
        <v>203.67300000000978</v>
      </c>
      <c r="K123" s="408"/>
      <c r="L123" s="405"/>
      <c r="O123" s="410"/>
    </row>
    <row r="124" spans="1:15" ht="27.75" x14ac:dyDescent="0.5">
      <c r="A124" s="1354" t="s">
        <v>258</v>
      </c>
      <c r="B124" s="1355"/>
      <c r="C124" s="1355"/>
      <c r="D124" s="643" t="s">
        <v>168</v>
      </c>
      <c r="E124" s="747">
        <f>'[1]1'!F124</f>
        <v>73582.2</v>
      </c>
      <c r="F124" s="747">
        <v>73582.2</v>
      </c>
      <c r="G124" s="593">
        <f t="shared" si="14"/>
        <v>0</v>
      </c>
      <c r="H124" s="580">
        <f>G124+'[1]1'!H124</f>
        <v>0</v>
      </c>
      <c r="I124" s="646"/>
      <c r="J124" s="673">
        <f>H124/DAY(B2)</f>
        <v>0</v>
      </c>
      <c r="K124" s="408"/>
      <c r="L124" s="405"/>
      <c r="O124" s="410"/>
    </row>
    <row r="125" spans="1:15" ht="27.75" x14ac:dyDescent="0.5">
      <c r="A125" s="1395" t="s">
        <v>259</v>
      </c>
      <c r="B125" s="1396"/>
      <c r="C125" s="1397"/>
      <c r="D125" s="643" t="s">
        <v>168</v>
      </c>
      <c r="E125" s="598">
        <f>'[1]1'!F125</f>
        <v>133190.19</v>
      </c>
      <c r="F125" s="598">
        <v>133253.49</v>
      </c>
      <c r="G125" s="593">
        <f t="shared" si="14"/>
        <v>63.299999999988358</v>
      </c>
      <c r="H125" s="580">
        <f>G125+'[1]1'!H125</f>
        <v>130.60999999998603</v>
      </c>
      <c r="I125" s="646"/>
      <c r="J125" s="673">
        <f>H125/DAY(B2)</f>
        <v>65.304999999993015</v>
      </c>
      <c r="K125" s="408"/>
      <c r="L125" s="405"/>
      <c r="O125" s="410"/>
    </row>
    <row r="126" spans="1:15" ht="27.75" x14ac:dyDescent="0.5">
      <c r="A126" s="730" t="s">
        <v>260</v>
      </c>
      <c r="B126" s="1355"/>
      <c r="C126" s="1355"/>
      <c r="D126" s="643" t="s">
        <v>168</v>
      </c>
      <c r="E126" s="747">
        <f>'[1]1'!F126</f>
        <v>56376.7</v>
      </c>
      <c r="F126" s="747">
        <v>56393.5</v>
      </c>
      <c r="G126" s="593">
        <f t="shared" si="14"/>
        <v>16.80000000000291</v>
      </c>
      <c r="H126" s="580">
        <f>G126+'[1]1'!H126</f>
        <v>45.30000000000291</v>
      </c>
      <c r="I126" s="646"/>
      <c r="J126" s="673">
        <f>H126/DAY(B2)</f>
        <v>22.650000000001455</v>
      </c>
      <c r="K126" s="408"/>
      <c r="L126" s="405"/>
      <c r="O126" s="410"/>
    </row>
    <row r="127" spans="1:15" ht="27.75" x14ac:dyDescent="0.5">
      <c r="A127" s="730" t="s">
        <v>261</v>
      </c>
      <c r="B127" s="1355"/>
      <c r="C127" s="1355"/>
      <c r="D127" s="643" t="s">
        <v>168</v>
      </c>
      <c r="E127" s="747">
        <f>'[1]1'!F127</f>
        <v>8640.1</v>
      </c>
      <c r="F127" s="747">
        <v>8640.1</v>
      </c>
      <c r="G127" s="593">
        <f t="shared" si="14"/>
        <v>0</v>
      </c>
      <c r="H127" s="580">
        <f>G127+'[1]1'!H127</f>
        <v>0</v>
      </c>
      <c r="I127" s="600"/>
      <c r="J127" s="673">
        <f>H127/DAY(B2)</f>
        <v>0</v>
      </c>
      <c r="K127" s="408"/>
      <c r="L127" s="405"/>
      <c r="O127" s="410"/>
    </row>
    <row r="128" spans="1:15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331.10600000001432</v>
      </c>
      <c r="H128" s="580">
        <f>G128+'[1]1'!H128</f>
        <v>533.36299999993935</v>
      </c>
      <c r="I128" s="600"/>
      <c r="J128" s="673">
        <f>H128/DAY(B2)</f>
        <v>266.68149999996967</v>
      </c>
      <c r="K128" s="388"/>
      <c r="L128" s="290"/>
      <c r="O128" s="410"/>
    </row>
    <row r="129" spans="1:15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O129" s="410"/>
    </row>
    <row r="130" spans="1:15" ht="27.75" x14ac:dyDescent="0.5">
      <c r="A130" s="1354" t="s">
        <v>264</v>
      </c>
      <c r="B130" s="1355"/>
      <c r="C130" s="1355"/>
      <c r="D130" s="643" t="s">
        <v>265</v>
      </c>
      <c r="E130" s="604">
        <f>'[1]1'!F130</f>
        <v>0</v>
      </c>
      <c r="F130" s="598">
        <v>0</v>
      </c>
      <c r="G130" s="593">
        <f t="shared" ref="G130:G140" si="15">F130-E130</f>
        <v>0</v>
      </c>
      <c r="H130" s="580">
        <f>G130+'[1]1'!H130</f>
        <v>0</v>
      </c>
      <c r="I130" s="600"/>
      <c r="J130" s="673">
        <f>H130/DAY(B2)</f>
        <v>0</v>
      </c>
      <c r="O130" s="410"/>
    </row>
    <row r="131" spans="1:15" ht="27.75" x14ac:dyDescent="0.5">
      <c r="A131" s="1354" t="s">
        <v>266</v>
      </c>
      <c r="B131" s="1355"/>
      <c r="C131" s="1355"/>
      <c r="D131" s="643" t="s">
        <v>265</v>
      </c>
      <c r="E131" s="604">
        <f>'[1]1'!F131</f>
        <v>0</v>
      </c>
      <c r="F131" s="598">
        <v>0</v>
      </c>
      <c r="G131" s="593">
        <f t="shared" si="15"/>
        <v>0</v>
      </c>
      <c r="H131" s="580">
        <f>G131+'[1]1'!H131</f>
        <v>0</v>
      </c>
      <c r="I131" s="600"/>
      <c r="J131" s="673">
        <f>H131/DAY(B2)</f>
        <v>0</v>
      </c>
      <c r="O131" s="410"/>
    </row>
    <row r="132" spans="1:15" ht="27.75" x14ac:dyDescent="0.5">
      <c r="A132" s="1354" t="s">
        <v>267</v>
      </c>
      <c r="B132" s="1355"/>
      <c r="C132" s="1355"/>
      <c r="D132" s="643" t="s">
        <v>265</v>
      </c>
      <c r="E132" s="662">
        <f>'[1]1'!F132</f>
        <v>38877</v>
      </c>
      <c r="F132" s="768">
        <v>38877</v>
      </c>
      <c r="G132" s="593">
        <f t="shared" si="15"/>
        <v>0</v>
      </c>
      <c r="H132" s="580">
        <f>G132+'[1]1'!H132</f>
        <v>0</v>
      </c>
      <c r="I132" s="600"/>
      <c r="J132" s="673">
        <f>H132/DAY(B2)</f>
        <v>0</v>
      </c>
      <c r="O132" s="410"/>
    </row>
    <row r="133" spans="1:15" ht="27.75" x14ac:dyDescent="0.5">
      <c r="A133" s="1354" t="s">
        <v>268</v>
      </c>
      <c r="B133" s="1355"/>
      <c r="C133" s="1355"/>
      <c r="D133" s="643" t="s">
        <v>265</v>
      </c>
      <c r="E133" s="662">
        <f>'[1]1'!F133</f>
        <v>34948</v>
      </c>
      <c r="F133" s="768">
        <v>34948</v>
      </c>
      <c r="G133" s="593">
        <f t="shared" si="15"/>
        <v>0</v>
      </c>
      <c r="H133" s="580">
        <f>G133+'[1]1'!H133</f>
        <v>0</v>
      </c>
      <c r="I133" s="600">
        <f>G132+G133+G134+G135</f>
        <v>23.549999999999272</v>
      </c>
      <c r="J133" s="673">
        <f>H133/DAY(B2)</f>
        <v>0</v>
      </c>
      <c r="O133" s="410"/>
    </row>
    <row r="134" spans="1:15" ht="27.75" x14ac:dyDescent="0.5">
      <c r="A134" s="1354" t="s">
        <v>269</v>
      </c>
      <c r="B134" s="1355"/>
      <c r="C134" s="1355"/>
      <c r="D134" s="643" t="s">
        <v>265</v>
      </c>
      <c r="E134" s="662">
        <f>'[1]1'!F134</f>
        <v>39735</v>
      </c>
      <c r="F134" s="768">
        <v>39735</v>
      </c>
      <c r="G134" s="593">
        <f t="shared" si="15"/>
        <v>0</v>
      </c>
      <c r="H134" s="580">
        <f>G134+'[1]1'!H134</f>
        <v>0</v>
      </c>
      <c r="I134" s="600"/>
      <c r="J134" s="673">
        <f>H134/DAY(B2)</f>
        <v>0</v>
      </c>
      <c r="O134" s="410"/>
    </row>
    <row r="135" spans="1:15" ht="27.75" x14ac:dyDescent="0.5">
      <c r="A135" s="1354" t="s">
        <v>270</v>
      </c>
      <c r="B135" s="1355"/>
      <c r="C135" s="1355"/>
      <c r="D135" s="643" t="s">
        <v>265</v>
      </c>
      <c r="E135" s="662">
        <f>'[1]1'!F135</f>
        <v>31740.45</v>
      </c>
      <c r="F135" s="768">
        <v>31764</v>
      </c>
      <c r="G135" s="593">
        <f t="shared" si="15"/>
        <v>23.549999999999272</v>
      </c>
      <c r="H135" s="580">
        <f>G135+'[1]1'!H135</f>
        <v>47.569999999999709</v>
      </c>
      <c r="I135" s="600"/>
      <c r="J135" s="673">
        <f>H135/DAY(B2)</f>
        <v>23.784999999999854</v>
      </c>
      <c r="O135" s="410"/>
    </row>
    <row r="136" spans="1:15" ht="27.75" x14ac:dyDescent="0.5">
      <c r="A136" s="1354" t="s">
        <v>271</v>
      </c>
      <c r="B136" s="1355"/>
      <c r="C136" s="1355"/>
      <c r="D136" s="643" t="s">
        <v>265</v>
      </c>
      <c r="E136" s="662">
        <f>'[1]1'!F136</f>
        <v>21674.720000000001</v>
      </c>
      <c r="F136" s="768">
        <v>21680.53</v>
      </c>
      <c r="G136" s="593">
        <f t="shared" si="15"/>
        <v>5.8099999999976717</v>
      </c>
      <c r="H136" s="580">
        <f>G136+'[1]1'!H136</f>
        <v>5.8099999999976717</v>
      </c>
      <c r="I136" s="600"/>
      <c r="J136" s="673">
        <f>H136/DAY(B2)</f>
        <v>2.9049999999988358</v>
      </c>
      <c r="O136" s="410"/>
    </row>
    <row r="137" spans="1:15" ht="27.75" x14ac:dyDescent="0.5">
      <c r="A137" s="1354" t="s">
        <v>272</v>
      </c>
      <c r="B137" s="1355"/>
      <c r="C137" s="1355"/>
      <c r="D137" s="643" t="s">
        <v>265</v>
      </c>
      <c r="E137" s="662">
        <f>'[1]1'!F137</f>
        <v>24932.51</v>
      </c>
      <c r="F137" s="768">
        <v>24932.51</v>
      </c>
      <c r="G137" s="593">
        <f t="shared" si="15"/>
        <v>0</v>
      </c>
      <c r="H137" s="580">
        <f>G137+'[1]1'!H137</f>
        <v>0</v>
      </c>
      <c r="I137" s="600"/>
      <c r="J137" s="673">
        <f>H137/DAY(B2)</f>
        <v>0</v>
      </c>
      <c r="O137" s="410"/>
    </row>
    <row r="138" spans="1:15" ht="27.75" x14ac:dyDescent="0.5">
      <c r="A138" s="1354" t="s">
        <v>273</v>
      </c>
      <c r="B138" s="1355"/>
      <c r="C138" s="1355"/>
      <c r="D138" s="643" t="s">
        <v>265</v>
      </c>
      <c r="E138" s="662">
        <f>'[1]1'!F138</f>
        <v>69963.3</v>
      </c>
      <c r="F138" s="768">
        <v>69963.3</v>
      </c>
      <c r="G138" s="593">
        <f t="shared" si="15"/>
        <v>0</v>
      </c>
      <c r="H138" s="580">
        <f>G138+'[1]1'!H138</f>
        <v>8.0899999999965075</v>
      </c>
      <c r="I138" s="600">
        <f>G136+G137+G138</f>
        <v>5.8099999999976717</v>
      </c>
      <c r="J138" s="673">
        <f>H138/DAY(B2)</f>
        <v>4.0449999999982538</v>
      </c>
      <c r="O138" s="410"/>
    </row>
    <row r="139" spans="1:15" ht="27.75" x14ac:dyDescent="0.5">
      <c r="A139" s="1354" t="s">
        <v>274</v>
      </c>
      <c r="B139" s="1355"/>
      <c r="C139" s="1355"/>
      <c r="D139" s="643" t="s">
        <v>265</v>
      </c>
      <c r="E139" s="604">
        <f>'[1]1'!F139</f>
        <v>947.42</v>
      </c>
      <c r="F139" s="598">
        <v>952.87</v>
      </c>
      <c r="G139" s="593">
        <f t="shared" si="15"/>
        <v>5.4500000000000455</v>
      </c>
      <c r="H139" s="580">
        <f>G139+'[1]1'!H139</f>
        <v>11.340000000000032</v>
      </c>
      <c r="I139" s="663"/>
      <c r="J139" s="673">
        <f>H139/DAY(B2)</f>
        <v>5.6700000000000159</v>
      </c>
      <c r="O139" s="410"/>
    </row>
    <row r="140" spans="1:15" ht="27.75" x14ac:dyDescent="0.5">
      <c r="A140" s="1354" t="s">
        <v>275</v>
      </c>
      <c r="B140" s="1355"/>
      <c r="C140" s="1355"/>
      <c r="D140" s="643" t="s">
        <v>265</v>
      </c>
      <c r="E140" s="604">
        <f>'[1]1'!F140</f>
        <v>4156.8999999999996</v>
      </c>
      <c r="F140" s="598">
        <v>4156.9799999999996</v>
      </c>
      <c r="G140" s="593">
        <f t="shared" si="15"/>
        <v>7.999999999992724E-2</v>
      </c>
      <c r="H140" s="580">
        <f>G140+'[1]1'!H140</f>
        <v>7.999999999992724E-2</v>
      </c>
      <c r="I140" s="663">
        <f>G139+G140</f>
        <v>5.5299999999999727</v>
      </c>
      <c r="J140" s="673">
        <f>H140/DAY(B2)</f>
        <v>3.999999999996362E-2</v>
      </c>
      <c r="O140" s="410"/>
    </row>
    <row r="141" spans="1:15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O141" s="410"/>
    </row>
    <row r="142" spans="1:15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4868.5430000000706</v>
      </c>
      <c r="H142" s="580">
        <f>G142+'[1]1'!H142</f>
        <v>9432.8029999999635</v>
      </c>
      <c r="I142" s="600"/>
      <c r="J142" s="673">
        <f>H142/DAY(B2)</f>
        <v>4716.4014999999818</v>
      </c>
      <c r="K142" s="408"/>
      <c r="L142" s="405"/>
      <c r="O142" s="410"/>
    </row>
    <row r="143" spans="1:15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0.25031069408740725</v>
      </c>
      <c r="H143" s="580">
        <f>G143+'[1]1'!H153</f>
        <v>0.32498889621783078</v>
      </c>
      <c r="I143" s="665"/>
      <c r="J143" s="673">
        <f>H143/DAY(B2)</f>
        <v>0.16249444810891539</v>
      </c>
      <c r="K143" s="408"/>
      <c r="L143" s="405"/>
      <c r="O143" s="410"/>
    </row>
    <row r="144" spans="1:15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4681.1500000000524</v>
      </c>
      <c r="H144" s="580">
        <f>G144+'[1]1'!H144</f>
        <v>9417.0400000000081</v>
      </c>
      <c r="I144" s="600"/>
      <c r="J144" s="673">
        <f>H144/DAY(B2)</f>
        <v>4708.5200000000041</v>
      </c>
      <c r="K144" s="408"/>
      <c r="L144" s="405"/>
      <c r="O144" s="410"/>
    </row>
    <row r="145" spans="1:15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0.24067609254498984</v>
      </c>
      <c r="H145" s="580">
        <f>G145+'[1]1'!H145</f>
        <v>0.48676027025348323</v>
      </c>
      <c r="I145" s="665"/>
      <c r="J145" s="673">
        <f>H145/DAY(B2)</f>
        <v>0.24338013512674161</v>
      </c>
      <c r="K145" s="408"/>
      <c r="L145" s="405"/>
      <c r="O145" s="410"/>
    </row>
    <row r="146" spans="1:15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4163.9559999999983</v>
      </c>
      <c r="H146" s="580">
        <f>G146+'[1]1'!H146</f>
        <v>8397.7200000000012</v>
      </c>
      <c r="I146" s="666"/>
      <c r="J146" s="673">
        <f>H146/DAY(B2)</f>
        <v>4198.8600000000006</v>
      </c>
      <c r="K146" s="408"/>
      <c r="L146" s="405"/>
      <c r="O146" s="410"/>
    </row>
    <row r="147" spans="1:15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0.21408514138817472</v>
      </c>
      <c r="H147" s="580">
        <f>G147+'[1]1'!H147</f>
        <v>0.43407807461758507</v>
      </c>
      <c r="I147" s="666"/>
      <c r="J147" s="673">
        <f>H147/DAY(B2)</f>
        <v>0.21703903730879254</v>
      </c>
      <c r="O147" s="410"/>
    </row>
    <row r="148" spans="1:15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1803.320000000007</v>
      </c>
      <c r="H148" s="580">
        <f>G148+'[1]1'!H148</f>
        <v>3684.1600000000326</v>
      </c>
      <c r="I148" s="600"/>
      <c r="J148" s="673">
        <f>H148/DAY(B2)</f>
        <v>1842.0800000000163</v>
      </c>
      <c r="K148" s="409"/>
      <c r="O148" s="410"/>
    </row>
    <row r="149" spans="1:15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9.271568123393352E-2</v>
      </c>
      <c r="H149" s="580">
        <f>G149+'[1]1'!H149</f>
        <v>0.19044704002842694</v>
      </c>
      <c r="I149" s="666"/>
      <c r="J149" s="673">
        <f>H149/DAY(B2)</f>
        <v>9.522352001421347E-2</v>
      </c>
      <c r="O149" s="410"/>
    </row>
    <row r="150" spans="1:15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1808.7799999999988</v>
      </c>
      <c r="H150" s="580">
        <f>G150+'[1]1'!H150</f>
        <v>4432.7799999999697</v>
      </c>
      <c r="I150" s="666"/>
      <c r="J150" s="673">
        <f>H150/DAY(B2)</f>
        <v>2216.3899999999849</v>
      </c>
      <c r="O150" s="410"/>
    </row>
    <row r="151" spans="1:15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9.2996401028277581E-2</v>
      </c>
      <c r="H151" s="580">
        <f>G151+'[1]1'!H151</f>
        <v>0.22934350417194976</v>
      </c>
      <c r="I151" s="600"/>
      <c r="J151" s="673">
        <f>H151/DAY(B2)</f>
        <v>0.11467175208597488</v>
      </c>
      <c r="O151" s="410"/>
    </row>
    <row r="152" spans="1:15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1394.5409999999974</v>
      </c>
      <c r="H152" s="580">
        <f>G152+'[1]1'!H152</f>
        <v>2831.7229999999981</v>
      </c>
      <c r="I152" s="600"/>
      <c r="J152" s="673">
        <f>H152/DAY(B2)</f>
        <v>1415.8614999999991</v>
      </c>
      <c r="O152" s="410"/>
    </row>
    <row r="153" spans="1:15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7.1698766066837921E-2</v>
      </c>
      <c r="H153" s="580">
        <f>G153+'[1]1'!H153</f>
        <v>0.14637696819726143</v>
      </c>
      <c r="I153" s="689"/>
      <c r="J153" s="690">
        <f>H153/DAY(B2)</f>
        <v>7.3188484098630713E-2</v>
      </c>
      <c r="O153" s="410"/>
    </row>
    <row r="154" spans="1:15" x14ac:dyDescent="0.5">
      <c r="A154" s="586"/>
      <c r="B154" s="576"/>
      <c r="C154" s="576"/>
      <c r="D154" s="667"/>
      <c r="E154" s="667"/>
      <c r="F154" s="779"/>
      <c r="G154" s="667"/>
      <c r="H154" s="668"/>
      <c r="I154" s="667"/>
      <c r="J154" s="669"/>
      <c r="O154" s="410"/>
    </row>
    <row r="157" spans="1:15" ht="29.25" customHeight="1" x14ac:dyDescent="0.5">
      <c r="A157" s="1457" t="s">
        <v>294</v>
      </c>
      <c r="B157" s="1458"/>
      <c r="C157" s="1458"/>
      <c r="D157" s="1458"/>
      <c r="E157" s="1458"/>
      <c r="F157" s="1458"/>
      <c r="G157" s="1459"/>
    </row>
    <row r="158" spans="1:15" x14ac:dyDescent="0.5">
      <c r="A158" s="925"/>
      <c r="B158" s="926"/>
      <c r="C158" s="926"/>
      <c r="D158" s="631"/>
      <c r="E158" s="575"/>
      <c r="F158" s="775"/>
      <c r="G158" s="593"/>
    </row>
    <row r="159" spans="1:15" x14ac:dyDescent="0.5">
      <c r="A159" s="925"/>
      <c r="B159" s="926"/>
      <c r="C159" s="926"/>
      <c r="D159" s="631"/>
      <c r="E159" s="575"/>
      <c r="F159" s="775"/>
      <c r="G159" s="593"/>
    </row>
    <row r="160" spans="1:15" x14ac:dyDescent="0.5">
      <c r="A160" s="925" t="s">
        <v>289</v>
      </c>
      <c r="B160" s="926"/>
      <c r="C160" s="926"/>
      <c r="D160" s="631" t="s">
        <v>214</v>
      </c>
      <c r="E160" s="775">
        <f>'[1]1'!F160</f>
        <v>23912.661</v>
      </c>
      <c r="F160" s="775">
        <v>23986.06</v>
      </c>
      <c r="G160" s="593">
        <f t="shared" ref="G160:G171" si="16">F160-E160</f>
        <v>73.399000000001251</v>
      </c>
    </row>
    <row r="161" spans="1:7" x14ac:dyDescent="0.5">
      <c r="A161" s="925" t="s">
        <v>290</v>
      </c>
      <c r="B161" s="926"/>
      <c r="C161" s="926"/>
      <c r="D161" s="631" t="s">
        <v>214</v>
      </c>
      <c r="E161" s="775">
        <f>'[1]1'!F161</f>
        <v>11099.74</v>
      </c>
      <c r="F161" s="775">
        <v>11737.3</v>
      </c>
      <c r="G161" s="593">
        <f>F161-E161</f>
        <v>637.55999999999949</v>
      </c>
    </row>
    <row r="162" spans="1:7" x14ac:dyDescent="0.5">
      <c r="A162" s="925" t="s">
        <v>291</v>
      </c>
      <c r="B162" s="926"/>
      <c r="C162" s="926"/>
      <c r="D162" s="631" t="s">
        <v>214</v>
      </c>
      <c r="E162" s="775">
        <f>'[1]1'!F162</f>
        <v>37601.661</v>
      </c>
      <c r="F162" s="775">
        <v>37831.682999999997</v>
      </c>
      <c r="G162" s="593">
        <f t="shared" si="16"/>
        <v>230.02199999999721</v>
      </c>
    </row>
    <row r="163" spans="1:7" x14ac:dyDescent="0.5">
      <c r="A163" s="925" t="s">
        <v>292</v>
      </c>
      <c r="B163" s="926"/>
      <c r="C163" s="926"/>
      <c r="D163" s="631" t="s">
        <v>214</v>
      </c>
      <c r="E163" s="775">
        <f>'[1]1'!F163</f>
        <v>3520.02</v>
      </c>
      <c r="F163" s="775">
        <v>3549.61</v>
      </c>
      <c r="G163" s="593">
        <f t="shared" si="16"/>
        <v>29.590000000000146</v>
      </c>
    </row>
    <row r="164" spans="1:7" x14ac:dyDescent="0.4">
      <c r="A164" s="927" t="s">
        <v>121</v>
      </c>
      <c r="B164" s="725"/>
      <c r="C164" s="725"/>
      <c r="D164" s="631" t="s">
        <v>214</v>
      </c>
      <c r="E164" s="775">
        <f>'[1]1'!F164</f>
        <v>20419.188999999998</v>
      </c>
      <c r="F164" s="634">
        <f>F62</f>
        <v>20419.188999999998</v>
      </c>
      <c r="G164" s="593">
        <f t="shared" si="16"/>
        <v>0</v>
      </c>
    </row>
    <row r="165" spans="1:7" x14ac:dyDescent="0.4">
      <c r="A165" s="927" t="s">
        <v>215</v>
      </c>
      <c r="B165" s="725"/>
      <c r="C165" s="725"/>
      <c r="D165" s="631" t="s">
        <v>214</v>
      </c>
      <c r="E165" s="775">
        <f>'[1]1'!F165</f>
        <v>872.779</v>
      </c>
      <c r="F165" s="634">
        <f t="shared" ref="F165:F171" si="17">F63</f>
        <v>889.46</v>
      </c>
      <c r="G165" s="593">
        <f t="shared" si="16"/>
        <v>16.68100000000004</v>
      </c>
    </row>
    <row r="166" spans="1:7" ht="27.75" x14ac:dyDescent="0.5">
      <c r="A166" s="1320" t="s">
        <v>122</v>
      </c>
      <c r="B166" s="1320"/>
      <c r="C166" s="1320"/>
      <c r="D166" s="643" t="s">
        <v>214</v>
      </c>
      <c r="E166" s="775">
        <f>'[1]1'!F166</f>
        <v>87088.678</v>
      </c>
      <c r="F166" s="634">
        <f>F64</f>
        <v>87475.934999999998</v>
      </c>
      <c r="G166" s="593">
        <f t="shared" si="16"/>
        <v>387.25699999999779</v>
      </c>
    </row>
    <row r="167" spans="1:7" ht="27.75" x14ac:dyDescent="0.5">
      <c r="A167" s="1320" t="s">
        <v>123</v>
      </c>
      <c r="B167" s="1320"/>
      <c r="C167" s="1320"/>
      <c r="D167" s="643" t="s">
        <v>214</v>
      </c>
      <c r="E167" s="775">
        <f>'[1]1'!F167</f>
        <v>97027.407000000007</v>
      </c>
      <c r="F167" s="634">
        <f t="shared" si="17"/>
        <v>97435.25</v>
      </c>
      <c r="G167" s="593">
        <f t="shared" si="16"/>
        <v>407.84299999999348</v>
      </c>
    </row>
    <row r="168" spans="1:7" ht="27.75" x14ac:dyDescent="0.5">
      <c r="A168" s="1320" t="s">
        <v>124</v>
      </c>
      <c r="B168" s="1320"/>
      <c r="C168" s="1320"/>
      <c r="D168" s="643" t="s">
        <v>214</v>
      </c>
      <c r="E168" s="775">
        <f>'[1]1'!F168</f>
        <v>90408</v>
      </c>
      <c r="F168" s="634">
        <f t="shared" si="17"/>
        <v>90800.53</v>
      </c>
      <c r="G168" s="593">
        <f t="shared" si="16"/>
        <v>392.52999999999884</v>
      </c>
    </row>
    <row r="169" spans="1:7" ht="27.75" x14ac:dyDescent="0.5">
      <c r="A169" s="1320" t="s">
        <v>125</v>
      </c>
      <c r="B169" s="1320"/>
      <c r="C169" s="1320"/>
      <c r="D169" s="643" t="s">
        <v>214</v>
      </c>
      <c r="E169" s="775">
        <f>'[1]1'!F169</f>
        <v>146839.38</v>
      </c>
      <c r="F169" s="634">
        <f t="shared" si="17"/>
        <v>147553.99</v>
      </c>
      <c r="G169" s="593">
        <f t="shared" si="16"/>
        <v>714.60999999998603</v>
      </c>
    </row>
    <row r="170" spans="1:7" ht="27.75" x14ac:dyDescent="0.5">
      <c r="A170" s="1320" t="s">
        <v>126</v>
      </c>
      <c r="B170" s="1320"/>
      <c r="C170" s="1320"/>
      <c r="D170" s="643" t="s">
        <v>214</v>
      </c>
      <c r="E170" s="775">
        <f>'[1]1'!F170</f>
        <v>43557.631000000001</v>
      </c>
      <c r="F170" s="634">
        <f t="shared" si="17"/>
        <v>43935.398999999998</v>
      </c>
      <c r="G170" s="593">
        <f t="shared" si="16"/>
        <v>377.76799999999639</v>
      </c>
    </row>
    <row r="171" spans="1:7" ht="27.75" x14ac:dyDescent="0.5">
      <c r="A171" s="1320" t="s">
        <v>127</v>
      </c>
      <c r="B171" s="1320"/>
      <c r="C171" s="1320"/>
      <c r="D171" s="643" t="s">
        <v>214</v>
      </c>
      <c r="E171" s="775">
        <f>'[1]1'!F171</f>
        <v>37845.839</v>
      </c>
      <c r="F171" s="634">
        <f t="shared" si="17"/>
        <v>38132.65</v>
      </c>
      <c r="G171" s="593">
        <f t="shared" si="16"/>
        <v>286.81100000000151</v>
      </c>
    </row>
    <row r="172" spans="1:7" ht="18.75" customHeight="1" x14ac:dyDescent="0.5"/>
    <row r="173" spans="1:7" ht="18.75" customHeight="1" x14ac:dyDescent="0.5"/>
    <row r="174" spans="1:7" ht="18.75" customHeight="1" x14ac:dyDescent="0.5"/>
    <row r="175" spans="1:7" ht="18.75" customHeight="1" x14ac:dyDescent="0.5"/>
    <row r="176" spans="1:7" ht="18.75" customHeight="1" x14ac:dyDescent="0.5"/>
  </sheetData>
  <mergeCells count="69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zoomScale="55" zoomScaleSheetLayoutView="55" workbookViewId="0">
      <selection sqref="A1:XFD1048576"/>
    </sheetView>
  </sheetViews>
  <sheetFormatPr defaultColWidth="22.33203125" defaultRowHeight="29.25" x14ac:dyDescent="0.5"/>
  <cols>
    <col min="1" max="1" width="40.109375" style="574" customWidth="1"/>
    <col min="2" max="2" width="29.77734375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109375" style="404" customWidth="1"/>
    <col min="15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295</v>
      </c>
      <c r="B2" s="1173">
        <v>44168</v>
      </c>
      <c r="C2" s="1361" t="s">
        <v>84</v>
      </c>
      <c r="D2" s="732">
        <v>0.3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31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0.8</v>
      </c>
      <c r="E4" s="584"/>
      <c r="F4" s="584"/>
      <c r="G4" s="584"/>
      <c r="H4" s="584"/>
      <c r="I4" s="585"/>
      <c r="J4" s="736"/>
      <c r="K4" s="400"/>
      <c r="L4" s="290"/>
    </row>
    <row r="5" spans="1:15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5" ht="30" thickBot="1" x14ac:dyDescent="0.45">
      <c r="A7" s="793" t="s">
        <v>158</v>
      </c>
      <c r="B7" s="794"/>
      <c r="C7" s="794"/>
      <c r="D7" s="759" t="s">
        <v>159</v>
      </c>
      <c r="E7" s="754">
        <f>'[1]2'!F7</f>
        <v>2707140</v>
      </c>
      <c r="F7" s="575">
        <v>2725819</v>
      </c>
      <c r="G7" s="806">
        <f>F7-E7</f>
        <v>18679</v>
      </c>
      <c r="H7" s="796">
        <f>G7+'[1]2'!H7</f>
        <v>57374</v>
      </c>
      <c r="I7" s="797">
        <f>'[1]1'!I7</f>
        <v>12000</v>
      </c>
      <c r="J7" s="798">
        <f>H7/DAY(B2)</f>
        <v>19124.666666666668</v>
      </c>
      <c r="K7" s="670"/>
      <c r="L7" s="405"/>
      <c r="N7" s="404">
        <v>15154</v>
      </c>
      <c r="O7" s="410"/>
    </row>
    <row r="8" spans="1:15" ht="27.75" thickBot="1" x14ac:dyDescent="0.45">
      <c r="A8" s="799" t="s">
        <v>160</v>
      </c>
      <c r="B8" s="800"/>
      <c r="C8" s="801"/>
      <c r="D8" s="802" t="s">
        <v>39</v>
      </c>
      <c r="E8" s="755">
        <f>'[1]2'!F8</f>
        <v>2722171</v>
      </c>
      <c r="F8" s="595">
        <v>2741079</v>
      </c>
      <c r="G8" s="806">
        <f>F8-E8</f>
        <v>18908</v>
      </c>
      <c r="H8" s="796">
        <f>G8+'[1]2'!H8</f>
        <v>58040</v>
      </c>
      <c r="I8" s="803">
        <v>12000</v>
      </c>
      <c r="J8" s="798">
        <f>H8/DAY(B2)</f>
        <v>19346.666666666668</v>
      </c>
      <c r="K8" s="670"/>
      <c r="L8" s="460"/>
      <c r="M8" s="522"/>
      <c r="N8" s="404">
        <v>15258</v>
      </c>
      <c r="O8" s="410"/>
    </row>
    <row r="9" spans="1:15" x14ac:dyDescent="0.4">
      <c r="A9" s="804" t="s">
        <v>161</v>
      </c>
      <c r="B9" s="805"/>
      <c r="C9" s="805"/>
      <c r="D9" s="759" t="s">
        <v>159</v>
      </c>
      <c r="E9" s="756">
        <f>'[1]2'!F9</f>
        <v>2262232.5</v>
      </c>
      <c r="F9" s="598">
        <v>2265063.5</v>
      </c>
      <c r="G9" s="819">
        <f t="shared" ref="G9:G12" si="0">F9-E9</f>
        <v>2831</v>
      </c>
      <c r="H9" s="796">
        <f>G9+'[1]2'!H9</f>
        <v>8027</v>
      </c>
      <c r="I9" s="807">
        <f>I8-J8</f>
        <v>-7346.6666666666679</v>
      </c>
      <c r="J9" s="798">
        <f>H9/DAY(B2)</f>
        <v>2675.6666666666665</v>
      </c>
      <c r="K9" s="508"/>
      <c r="L9" s="405"/>
      <c r="N9" s="404">
        <v>14616.899999999907</v>
      </c>
      <c r="O9" s="410"/>
    </row>
    <row r="10" spans="1:15" x14ac:dyDescent="0.4">
      <c r="A10" s="793" t="s">
        <v>162</v>
      </c>
      <c r="B10" s="794"/>
      <c r="C10" s="794"/>
      <c r="D10" s="759" t="s">
        <v>159</v>
      </c>
      <c r="E10" s="756">
        <f>'[1]2'!F10</f>
        <v>335223</v>
      </c>
      <c r="F10" s="598">
        <v>350153.19</v>
      </c>
      <c r="G10" s="806">
        <f t="shared" si="0"/>
        <v>14930.190000000002</v>
      </c>
      <c r="H10" s="796">
        <f>G10+'[1]2'!H10</f>
        <v>47202.900000000023</v>
      </c>
      <c r="I10" s="808"/>
      <c r="J10" s="798">
        <f>H10/DAY(B2)</f>
        <v>15734.300000000008</v>
      </c>
      <c r="K10" s="508"/>
      <c r="L10" s="405"/>
      <c r="O10" s="410"/>
    </row>
    <row r="11" spans="1:15" x14ac:dyDescent="0.4">
      <c r="A11" s="793" t="s">
        <v>163</v>
      </c>
      <c r="B11" s="794"/>
      <c r="C11" s="794"/>
      <c r="D11" s="759" t="s">
        <v>159</v>
      </c>
      <c r="E11" s="754">
        <f>'[1]2'!F11</f>
        <v>35390</v>
      </c>
      <c r="F11" s="575">
        <v>35390</v>
      </c>
      <c r="G11" s="806">
        <f t="shared" si="0"/>
        <v>0</v>
      </c>
      <c r="H11" s="796">
        <f>G11+'[1]2'!H11</f>
        <v>0</v>
      </c>
      <c r="I11" s="808"/>
      <c r="J11" s="798">
        <f>H11/DAY(B2)</f>
        <v>0</v>
      </c>
      <c r="K11" s="508"/>
      <c r="L11" s="405"/>
      <c r="O11" s="410"/>
    </row>
    <row r="12" spans="1:15" x14ac:dyDescent="0.4">
      <c r="A12" s="793" t="s">
        <v>164</v>
      </c>
      <c r="B12" s="794"/>
      <c r="C12" s="794"/>
      <c r="D12" s="759" t="s">
        <v>159</v>
      </c>
      <c r="E12" s="756">
        <f>'[1]2'!F12</f>
        <v>37630</v>
      </c>
      <c r="F12" s="598">
        <v>37630</v>
      </c>
      <c r="G12" s="806">
        <f t="shared" si="0"/>
        <v>0</v>
      </c>
      <c r="H12" s="796">
        <f>G12+'[1]2'!H12</f>
        <v>0</v>
      </c>
      <c r="I12" s="808"/>
      <c r="J12" s="798">
        <f>H12/DAY(B2)</f>
        <v>0</v>
      </c>
      <c r="K12" s="508"/>
      <c r="L12" s="405"/>
      <c r="O12" s="410"/>
    </row>
    <row r="13" spans="1:15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17761.190000000002</v>
      </c>
      <c r="H13" s="796">
        <f>G13+'[1]2'!H13</f>
        <v>55229.900000000023</v>
      </c>
      <c r="I13" s="812">
        <f>G7-G13</f>
        <v>917.80999999999767</v>
      </c>
      <c r="J13" s="798">
        <f>H13/DAY(B2)</f>
        <v>18409.966666666674</v>
      </c>
      <c r="K13" s="508"/>
      <c r="L13" s="405"/>
      <c r="O13" s="410"/>
    </row>
    <row r="14" spans="1:15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O14" s="410"/>
    </row>
    <row r="15" spans="1:15" x14ac:dyDescent="0.5">
      <c r="A15" s="933" t="s">
        <v>167</v>
      </c>
      <c r="B15" s="928"/>
      <c r="C15" s="928"/>
      <c r="D15" s="644" t="s">
        <v>168</v>
      </c>
      <c r="E15" s="605">
        <f>'[1]2'!F15</f>
        <v>1548014.22</v>
      </c>
      <c r="F15" s="605">
        <v>1548532.6710000001</v>
      </c>
      <c r="G15" s="921">
        <f>F15-E15</f>
        <v>518.45100000011735</v>
      </c>
      <c r="H15" s="606">
        <f>G15+'[1]2'!H15</f>
        <v>1635.0700000000652</v>
      </c>
      <c r="I15" s="594">
        <v>800</v>
      </c>
      <c r="J15" s="674">
        <f>H15/DAY(B2)</f>
        <v>545.02333333335503</v>
      </c>
      <c r="K15" s="508"/>
      <c r="L15" s="405"/>
      <c r="O15" s="410"/>
    </row>
    <row r="16" spans="1:15" x14ac:dyDescent="0.4">
      <c r="A16" s="931"/>
      <c r="B16" s="932"/>
      <c r="C16" s="932"/>
      <c r="D16" s="929"/>
      <c r="E16" s="930"/>
      <c r="F16" s="605"/>
      <c r="G16" s="1177"/>
      <c r="H16" s="606"/>
      <c r="I16" s="607">
        <f>I15-J15</f>
        <v>254.97666666664497</v>
      </c>
      <c r="J16" s="674"/>
      <c r="K16" s="508"/>
      <c r="L16" s="405"/>
      <c r="O16" s="410"/>
    </row>
    <row r="17" spans="1:15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O17" s="410"/>
    </row>
    <row r="18" spans="1:15" ht="27.75" x14ac:dyDescent="0.5">
      <c r="A18" s="1460" t="s">
        <v>170</v>
      </c>
      <c r="B18" s="1461"/>
      <c r="C18" s="1462"/>
      <c r="D18" s="759" t="s">
        <v>171</v>
      </c>
      <c r="E18" s="756">
        <f>'[1]2'!F18</f>
        <v>8</v>
      </c>
      <c r="F18" s="598">
        <v>8</v>
      </c>
      <c r="G18" s="811">
        <f>F18*10</f>
        <v>80</v>
      </c>
      <c r="H18" s="796">
        <f>G18+'[1]2'!H18</f>
        <v>330</v>
      </c>
      <c r="I18" s="797">
        <f>'[1]1'!I18</f>
        <v>65</v>
      </c>
      <c r="J18" s="798">
        <f>H18/DAY(B2)</f>
        <v>110</v>
      </c>
      <c r="K18" s="508"/>
      <c r="L18" s="405"/>
      <c r="O18" s="410"/>
    </row>
    <row r="19" spans="1:15" ht="27.75" x14ac:dyDescent="0.5">
      <c r="A19" s="1460" t="s">
        <v>86</v>
      </c>
      <c r="B19" s="1461"/>
      <c r="C19" s="1462"/>
      <c r="D19" s="759" t="s">
        <v>171</v>
      </c>
      <c r="E19" s="756">
        <f>'[1]2'!F19</f>
        <v>129907</v>
      </c>
      <c r="F19" s="598">
        <v>129960</v>
      </c>
      <c r="G19" s="806">
        <f t="shared" ref="G19" si="1">F19-E19</f>
        <v>53</v>
      </c>
      <c r="H19" s="796">
        <f>G19+'[1]2'!H19</f>
        <v>159</v>
      </c>
      <c r="I19" s="813"/>
      <c r="J19" s="798">
        <f>H19/DAY(B2)</f>
        <v>53</v>
      </c>
      <c r="K19" s="508"/>
      <c r="L19" s="405"/>
      <c r="O19" s="410"/>
    </row>
    <row r="20" spans="1:15" x14ac:dyDescent="0.5">
      <c r="A20" s="809" t="s">
        <v>172</v>
      </c>
      <c r="B20" s="810"/>
      <c r="C20" s="810"/>
      <c r="D20" s="759"/>
      <c r="E20" s="759"/>
      <c r="F20" s="643"/>
      <c r="G20" s="1176">
        <f>G18+G19</f>
        <v>133</v>
      </c>
      <c r="H20" s="796">
        <f>G20+'[1]2'!H20</f>
        <v>489</v>
      </c>
      <c r="I20" s="815">
        <f>I18-J20</f>
        <v>-98</v>
      </c>
      <c r="J20" s="798">
        <f>H20/DAY(B2)</f>
        <v>163</v>
      </c>
      <c r="K20" s="508"/>
      <c r="L20" s="405"/>
      <c r="O20" s="410"/>
    </row>
    <row r="21" spans="1:15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O21" s="410"/>
    </row>
    <row r="22" spans="1:15" x14ac:dyDescent="0.5">
      <c r="A22" s="1354" t="s">
        <v>174</v>
      </c>
      <c r="B22" s="710"/>
      <c r="C22" s="710"/>
      <c r="D22" s="643" t="s">
        <v>175</v>
      </c>
      <c r="E22" s="756">
        <f>'[1]2'!F22</f>
        <v>2250</v>
      </c>
      <c r="F22" s="598">
        <v>2250</v>
      </c>
      <c r="G22" s="601">
        <f t="shared" ref="G22" si="2">(F22-E22)</f>
        <v>0</v>
      </c>
      <c r="H22" s="580">
        <f>G22+'[1]2'!H22</f>
        <v>0</v>
      </c>
      <c r="I22" s="600"/>
      <c r="J22" s="673">
        <f>H22/DAY(B2)</f>
        <v>0</v>
      </c>
      <c r="K22" s="508"/>
      <c r="L22" s="405"/>
      <c r="O22" s="410"/>
    </row>
    <row r="23" spans="1:15" x14ac:dyDescent="0.5">
      <c r="A23" s="1354" t="s">
        <v>176</v>
      </c>
      <c r="B23" s="710"/>
      <c r="C23" s="710"/>
      <c r="D23" s="643" t="s">
        <v>175</v>
      </c>
      <c r="E23" s="756">
        <f>'[1]2'!F23</f>
        <v>2000</v>
      </c>
      <c r="F23" s="598">
        <v>2000</v>
      </c>
      <c r="G23" s="601">
        <v>0</v>
      </c>
      <c r="H23" s="580">
        <f>G23+'[1]2'!H23</f>
        <v>0</v>
      </c>
      <c r="I23" s="600"/>
      <c r="J23" s="673">
        <f>H23/DAY(B2)</f>
        <v>0</v>
      </c>
      <c r="K23" s="508"/>
      <c r="L23" s="405"/>
      <c r="O23" s="410"/>
    </row>
    <row r="24" spans="1:15" x14ac:dyDescent="0.4">
      <c r="A24" s="711" t="s">
        <v>177</v>
      </c>
      <c r="B24" s="712"/>
      <c r="C24" s="712"/>
      <c r="D24" s="631" t="s">
        <v>175</v>
      </c>
      <c r="E24" s="756">
        <f>'[1]2'!F24</f>
        <v>4250</v>
      </c>
      <c r="F24" s="605">
        <v>4250</v>
      </c>
      <c r="G24" s="601">
        <v>0</v>
      </c>
      <c r="H24" s="580">
        <f>G24</f>
        <v>0</v>
      </c>
      <c r="I24" s="600"/>
      <c r="J24" s="673">
        <f>H24/DAY(B2)</f>
        <v>0</v>
      </c>
      <c r="K24" s="508"/>
      <c r="L24" s="405"/>
      <c r="O24" s="410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O25" s="410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O26" s="410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18908</v>
      </c>
      <c r="F27" s="621">
        <v>9.5</v>
      </c>
      <c r="G27" s="622">
        <f>E27*F27</f>
        <v>179626</v>
      </c>
      <c r="H27" s="580">
        <f>G27+'[1]2'!H27</f>
        <v>551380</v>
      </c>
      <c r="I27" s="623"/>
      <c r="J27" s="673">
        <f>H27/DAY(B2)</f>
        <v>183793.33333333334</v>
      </c>
      <c r="K27" s="401"/>
      <c r="L27" s="527"/>
      <c r="O27" s="410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518.45100000011735</v>
      </c>
      <c r="F28" s="621">
        <v>36.5</v>
      </c>
      <c r="G28" s="622">
        <f>E28*F28</f>
        <v>18923.461500004283</v>
      </c>
      <c r="H28" s="580">
        <f>G28+'[1]2'!H28</f>
        <v>59680.05500000238</v>
      </c>
      <c r="I28" s="625"/>
      <c r="J28" s="673">
        <f>H28/DAY(B2)</f>
        <v>19893.351666667459</v>
      </c>
      <c r="K28" s="401"/>
      <c r="L28" s="527"/>
      <c r="O28" s="410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G29+'[1]2'!H29</f>
        <v>0</v>
      </c>
      <c r="I29" s="625"/>
      <c r="J29" s="673">
        <f>H29/DAY(B2)</f>
        <v>0</v>
      </c>
      <c r="K29" s="401"/>
      <c r="L29" s="527"/>
      <c r="O29" s="410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53</v>
      </c>
      <c r="F30" s="621">
        <v>145</v>
      </c>
      <c r="G30" s="622">
        <f>E30*F30</f>
        <v>7685</v>
      </c>
      <c r="H30" s="580">
        <f>G30+'[1]2'!H30</f>
        <v>23055</v>
      </c>
      <c r="I30" s="625"/>
      <c r="J30" s="673">
        <f>H30/DAY(B2)</f>
        <v>7685</v>
      </c>
      <c r="K30" s="401"/>
      <c r="L30" s="527"/>
      <c r="O30" s="410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80</v>
      </c>
      <c r="F31" s="621">
        <v>80</v>
      </c>
      <c r="G31" s="622">
        <f>E31*F31</f>
        <v>6400</v>
      </c>
      <c r="H31" s="580">
        <f>G31+'[1]2'!H31</f>
        <v>26400</v>
      </c>
      <c r="I31" s="625"/>
      <c r="J31" s="673">
        <f>H31/DAY(B2)</f>
        <v>8800</v>
      </c>
      <c r="K31" s="401"/>
      <c r="L31" s="527"/>
      <c r="O31" s="410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212634.46150000428</v>
      </c>
      <c r="H32" s="580">
        <f>G32+'[1]2'!H32</f>
        <v>660515.05500000238</v>
      </c>
      <c r="I32" s="629"/>
      <c r="J32" s="673">
        <f>H32/DAY(B2)</f>
        <v>220171.68500000078</v>
      </c>
      <c r="K32" s="401"/>
      <c r="L32" s="527"/>
      <c r="O32" s="410"/>
    </row>
    <row r="33" spans="1:15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O33" s="410"/>
    </row>
    <row r="34" spans="1:15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O34" s="410"/>
    </row>
    <row r="35" spans="1:15" x14ac:dyDescent="0.4">
      <c r="A35" s="699" t="s">
        <v>191</v>
      </c>
      <c r="B35" s="700"/>
      <c r="C35" s="700"/>
      <c r="D35" s="643" t="s">
        <v>159</v>
      </c>
      <c r="E35" s="630">
        <f>'[1]2'!F35</f>
        <v>629027.67000000004</v>
      </c>
      <c r="F35" s="630">
        <v>629027.67000000004</v>
      </c>
      <c r="G35" s="593">
        <f t="shared" ref="G35:G46" si="3">F35-E35</f>
        <v>0</v>
      </c>
      <c r="H35" s="580">
        <f>G35+'[1]2'!H35</f>
        <v>0</v>
      </c>
      <c r="I35" s="575"/>
      <c r="J35" s="673">
        <f>H35/DAY(B2)</f>
        <v>0</v>
      </c>
      <c r="K35" s="508"/>
      <c r="L35" s="405"/>
      <c r="N35" s="410">
        <v>1574.640000000014</v>
      </c>
      <c r="O35" s="410">
        <f>G35-N35</f>
        <v>-1574.640000000014</v>
      </c>
    </row>
    <row r="36" spans="1:15" x14ac:dyDescent="0.4">
      <c r="A36" s="699" t="s">
        <v>192</v>
      </c>
      <c r="B36" s="700"/>
      <c r="C36" s="700"/>
      <c r="D36" s="643" t="s">
        <v>159</v>
      </c>
      <c r="E36" s="630">
        <f>'[1]2'!F36</f>
        <v>231333.85</v>
      </c>
      <c r="F36" s="630">
        <v>232000.67</v>
      </c>
      <c r="G36" s="593">
        <f t="shared" si="3"/>
        <v>666.82000000000698</v>
      </c>
      <c r="H36" s="580">
        <f>G36+'[1]2'!H36</f>
        <v>2914.9400000000023</v>
      </c>
      <c r="I36" s="575"/>
      <c r="J36" s="673">
        <f>H36/DAY(B2)</f>
        <v>971.64666666666744</v>
      </c>
      <c r="K36" s="508"/>
      <c r="L36" s="405"/>
      <c r="N36" s="410">
        <v>644.26000000000931</v>
      </c>
      <c r="O36" s="749"/>
    </row>
    <row r="37" spans="1:15" x14ac:dyDescent="0.4">
      <c r="A37" s="699" t="s">
        <v>193</v>
      </c>
      <c r="B37" s="700"/>
      <c r="C37" s="700"/>
      <c r="D37" s="643" t="s">
        <v>159</v>
      </c>
      <c r="E37" s="630">
        <f>'[1]2'!F37</f>
        <v>415066</v>
      </c>
      <c r="F37" s="630">
        <v>415066</v>
      </c>
      <c r="G37" s="593">
        <f t="shared" si="3"/>
        <v>0</v>
      </c>
      <c r="H37" s="580">
        <f>G37+'[1]2'!H37</f>
        <v>0</v>
      </c>
      <c r="I37" s="575"/>
      <c r="J37" s="673">
        <f>H37/DAY(B2)</f>
        <v>0</v>
      </c>
      <c r="K37" s="508"/>
      <c r="L37" s="405"/>
      <c r="N37" s="410">
        <v>1333.5200000000186</v>
      </c>
      <c r="O37" s="410">
        <f t="shared" ref="O37:O60" si="4">G37-N37</f>
        <v>-1333.5200000000186</v>
      </c>
    </row>
    <row r="38" spans="1:15" x14ac:dyDescent="0.4">
      <c r="A38" s="699" t="s">
        <v>194</v>
      </c>
      <c r="B38" s="700"/>
      <c r="C38" s="700"/>
      <c r="D38" s="643" t="s">
        <v>159</v>
      </c>
      <c r="E38" s="589">
        <f>'[1]2'!F38</f>
        <v>150714</v>
      </c>
      <c r="F38" s="589">
        <v>150714</v>
      </c>
      <c r="G38" s="593">
        <f t="shared" si="3"/>
        <v>0</v>
      </c>
      <c r="H38" s="580">
        <f>G38+'[1]2'!H38</f>
        <v>0</v>
      </c>
      <c r="I38" s="575"/>
      <c r="J38" s="673">
        <f>H38/DAY(B2)</f>
        <v>0</v>
      </c>
      <c r="K38" s="508"/>
      <c r="L38" s="405"/>
      <c r="N38" s="410">
        <v>0</v>
      </c>
      <c r="O38" s="410">
        <f t="shared" si="4"/>
        <v>0</v>
      </c>
    </row>
    <row r="39" spans="1:15" x14ac:dyDescent="0.4">
      <c r="A39" s="699" t="s">
        <v>195</v>
      </c>
      <c r="B39" s="700"/>
      <c r="C39" s="700"/>
      <c r="D39" s="643" t="s">
        <v>159</v>
      </c>
      <c r="E39" s="630">
        <f>'[1]2'!F39</f>
        <v>912480</v>
      </c>
      <c r="F39" s="630">
        <v>912480</v>
      </c>
      <c r="G39" s="593">
        <f t="shared" si="3"/>
        <v>0</v>
      </c>
      <c r="H39" s="580">
        <f>G39+'[1]2'!H39</f>
        <v>0</v>
      </c>
      <c r="I39" s="575"/>
      <c r="J39" s="673">
        <f>H39/DAY(B2)</f>
        <v>0</v>
      </c>
      <c r="K39" s="508"/>
      <c r="L39" s="405"/>
      <c r="N39" s="410">
        <v>3225.2000000000698</v>
      </c>
      <c r="O39" s="410">
        <f t="shared" si="4"/>
        <v>-3225.2000000000698</v>
      </c>
    </row>
    <row r="40" spans="1:15" x14ac:dyDescent="0.4">
      <c r="A40" s="720" t="s">
        <v>196</v>
      </c>
      <c r="B40" s="721"/>
      <c r="C40" s="721"/>
      <c r="D40" s="643" t="s">
        <v>159</v>
      </c>
      <c r="E40" s="630">
        <v>0.17</v>
      </c>
      <c r="F40" s="630">
        <v>0.17</v>
      </c>
      <c r="G40" s="593">
        <f t="shared" si="3"/>
        <v>0</v>
      </c>
      <c r="H40" s="580">
        <f>G40+'[1]2'!H40</f>
        <v>0</v>
      </c>
      <c r="I40" s="575"/>
      <c r="J40" s="673">
        <f>H40/DAY(B2)</f>
        <v>0</v>
      </c>
      <c r="K40" s="509"/>
      <c r="L40" s="405"/>
      <c r="N40" s="410">
        <v>0</v>
      </c>
      <c r="O40" s="410">
        <f t="shared" si="4"/>
        <v>0</v>
      </c>
    </row>
    <row r="41" spans="1:15" x14ac:dyDescent="0.4">
      <c r="A41" s="699" t="s">
        <v>197</v>
      </c>
      <c r="B41" s="700"/>
      <c r="C41" s="700"/>
      <c r="D41" s="643" t="s">
        <v>159</v>
      </c>
      <c r="E41" s="630">
        <f>'[1]2'!F41</f>
        <v>300127.90000000002</v>
      </c>
      <c r="F41" s="630">
        <v>300127.90000000002</v>
      </c>
      <c r="G41" s="593">
        <f t="shared" si="3"/>
        <v>0</v>
      </c>
      <c r="H41" s="580">
        <f>G41+'[1]2'!H41</f>
        <v>-4.9999999988358468E-2</v>
      </c>
      <c r="I41" s="575"/>
      <c r="J41" s="673">
        <f>H41/DAY(B2)</f>
        <v>-1.6666666662786156E-2</v>
      </c>
      <c r="K41" s="508"/>
      <c r="L41" s="405"/>
      <c r="N41" s="410">
        <v>-6.9999999948777258E-2</v>
      </c>
      <c r="O41" s="410">
        <f t="shared" si="4"/>
        <v>6.9999999948777258E-2</v>
      </c>
    </row>
    <row r="42" spans="1:15" x14ac:dyDescent="0.4">
      <c r="A42" s="699" t="s">
        <v>198</v>
      </c>
      <c r="B42" s="700"/>
      <c r="C42" s="700"/>
      <c r="D42" s="643" t="s">
        <v>159</v>
      </c>
      <c r="E42" s="630">
        <f>'[1]2'!F42</f>
        <v>396198</v>
      </c>
      <c r="F42" s="1196">
        <v>396198</v>
      </c>
      <c r="G42" s="593">
        <f>F42-E42</f>
        <v>0</v>
      </c>
      <c r="H42" s="580">
        <f>G42+'[1]2'!H42</f>
        <v>0</v>
      </c>
      <c r="I42" s="575"/>
      <c r="J42" s="673">
        <f>H42/DAY(B2)</f>
        <v>0</v>
      </c>
      <c r="K42" s="508"/>
      <c r="L42" s="405"/>
      <c r="N42" s="410">
        <v>3723.6800000000221</v>
      </c>
      <c r="O42" s="410">
        <f t="shared" si="4"/>
        <v>-3723.6800000000221</v>
      </c>
    </row>
    <row r="43" spans="1:15" x14ac:dyDescent="0.4">
      <c r="A43" s="699" t="s">
        <v>199</v>
      </c>
      <c r="B43" s="700"/>
      <c r="C43" s="700"/>
      <c r="D43" s="643" t="s">
        <v>159</v>
      </c>
      <c r="E43" s="630">
        <f>'[1]2'!F43</f>
        <v>634757.15</v>
      </c>
      <c r="F43" s="630">
        <v>637061.27</v>
      </c>
      <c r="G43" s="593">
        <f t="shared" si="3"/>
        <v>2304.1199999999953</v>
      </c>
      <c r="H43" s="580">
        <f>G43+'[1]2'!H43</f>
        <v>6311.9599999999627</v>
      </c>
      <c r="I43" s="575"/>
      <c r="J43" s="673">
        <f>H43/DAY(B2)</f>
        <v>2103.9866666666544</v>
      </c>
      <c r="K43" s="508"/>
      <c r="L43" s="405"/>
      <c r="N43" s="410">
        <v>2005.3199999999488</v>
      </c>
      <c r="O43" s="410">
        <f>G43-N43</f>
        <v>298.80000000004657</v>
      </c>
    </row>
    <row r="44" spans="1:15" x14ac:dyDescent="0.4">
      <c r="A44" s="699" t="s">
        <v>200</v>
      </c>
      <c r="B44" s="700"/>
      <c r="C44" s="700"/>
      <c r="D44" s="643" t="s">
        <v>159</v>
      </c>
      <c r="E44" s="630">
        <f>'[1]2'!F44</f>
        <v>0</v>
      </c>
      <c r="F44" s="630">
        <v>0</v>
      </c>
      <c r="G44" s="593">
        <f t="shared" si="3"/>
        <v>0</v>
      </c>
      <c r="H44" s="580">
        <f>G44+'[1]2'!H44</f>
        <v>0</v>
      </c>
      <c r="I44" s="575"/>
      <c r="J44" s="673">
        <f>H44/DAY(B2)</f>
        <v>0</v>
      </c>
      <c r="K44" s="508"/>
      <c r="L44" s="405"/>
      <c r="N44" s="410">
        <v>0</v>
      </c>
      <c r="O44" s="410">
        <f t="shared" si="4"/>
        <v>0</v>
      </c>
    </row>
    <row r="45" spans="1:15" x14ac:dyDescent="0.4">
      <c r="A45" s="699" t="s">
        <v>201</v>
      </c>
      <c r="B45" s="700"/>
      <c r="C45" s="700"/>
      <c r="D45" s="643" t="s">
        <v>159</v>
      </c>
      <c r="E45" s="630">
        <f>'[1]2'!F45</f>
        <v>614</v>
      </c>
      <c r="F45" s="630">
        <v>614</v>
      </c>
      <c r="G45" s="593">
        <f t="shared" si="3"/>
        <v>0</v>
      </c>
      <c r="H45" s="580">
        <f>G45+'[1]2'!H45</f>
        <v>-0.48000000000001819</v>
      </c>
      <c r="I45" s="575"/>
      <c r="J45" s="673">
        <f>H45/DAY(B2)</f>
        <v>-0.16000000000000605</v>
      </c>
      <c r="K45" s="508"/>
      <c r="L45" s="405"/>
      <c r="N45" s="410">
        <v>-0.48000000000001819</v>
      </c>
      <c r="O45" s="410">
        <f t="shared" si="4"/>
        <v>0.48000000000001819</v>
      </c>
    </row>
    <row r="46" spans="1:15" x14ac:dyDescent="0.4">
      <c r="A46" s="699" t="s">
        <v>202</v>
      </c>
      <c r="B46" s="700"/>
      <c r="C46" s="700"/>
      <c r="D46" s="643" t="s">
        <v>159</v>
      </c>
      <c r="E46" s="630">
        <f>'[1]2'!F46</f>
        <v>187</v>
      </c>
      <c r="F46" s="630">
        <v>187</v>
      </c>
      <c r="G46" s="593">
        <f t="shared" si="3"/>
        <v>0</v>
      </c>
      <c r="H46" s="580">
        <f>G46+'[1]2'!H46</f>
        <v>-0.49000000000000909</v>
      </c>
      <c r="I46" s="575"/>
      <c r="J46" s="673">
        <f>H46/DAY(B2)</f>
        <v>-0.16333333333333636</v>
      </c>
      <c r="K46" s="508"/>
      <c r="L46" s="405"/>
      <c r="N46" s="410">
        <v>-0.49000000000000909</v>
      </c>
      <c r="O46" s="410">
        <f t="shared" si="4"/>
        <v>0.49000000000000909</v>
      </c>
    </row>
    <row r="47" spans="1:15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2970.9400000000023</v>
      </c>
      <c r="H47" s="580">
        <f>G47+'[1]2'!H47</f>
        <v>9225.8799999999756</v>
      </c>
      <c r="I47" s="575"/>
      <c r="J47" s="673">
        <f>H47/DAY(B2)</f>
        <v>3075.2933333333253</v>
      </c>
      <c r="K47" s="508"/>
      <c r="L47" s="405"/>
      <c r="N47" s="410">
        <v>12505.580000000135</v>
      </c>
      <c r="O47" s="410"/>
    </row>
    <row r="48" spans="1:15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410"/>
      <c r="O48" s="410">
        <f t="shared" si="4"/>
        <v>0</v>
      </c>
    </row>
    <row r="49" spans="1:15" x14ac:dyDescent="0.4">
      <c r="A49" s="699" t="s">
        <v>191</v>
      </c>
      <c r="B49" s="722"/>
      <c r="C49" s="722"/>
      <c r="D49" s="643" t="s">
        <v>159</v>
      </c>
      <c r="E49" s="630">
        <f>'[1]2'!F49</f>
        <v>66938.23</v>
      </c>
      <c r="F49" s="630">
        <v>69649.638999999996</v>
      </c>
      <c r="G49" s="593">
        <f t="shared" ref="G49:G58" si="5">F49-E49</f>
        <v>2711.4089999999997</v>
      </c>
      <c r="H49" s="580">
        <f>G49+'[1]2'!H49</f>
        <v>8136.3719999999958</v>
      </c>
      <c r="I49" s="575"/>
      <c r="J49" s="673">
        <f>H49/DAY(B2)</f>
        <v>2712.1239999999984</v>
      </c>
      <c r="K49" s="508"/>
      <c r="L49" s="405"/>
      <c r="N49" s="410">
        <v>0</v>
      </c>
      <c r="O49" s="410">
        <f t="shared" si="4"/>
        <v>2711.4089999999997</v>
      </c>
    </row>
    <row r="50" spans="1:15" x14ac:dyDescent="0.4">
      <c r="A50" s="699" t="s">
        <v>205</v>
      </c>
      <c r="B50" s="722"/>
      <c r="C50" s="722"/>
      <c r="D50" s="643" t="s">
        <v>159</v>
      </c>
      <c r="E50" s="630">
        <f>'[1]2'!F50</f>
        <v>298153.75</v>
      </c>
      <c r="F50" s="1196">
        <v>299242.78999999998</v>
      </c>
      <c r="G50" s="593">
        <f t="shared" si="5"/>
        <v>1089.039999999979</v>
      </c>
      <c r="H50" s="580">
        <f>G50+'[1]2'!H50</f>
        <v>3273.6999999999534</v>
      </c>
      <c r="I50" s="575"/>
      <c r="J50" s="673">
        <f>H50/DAY(B2)</f>
        <v>1091.2333333333179</v>
      </c>
      <c r="K50" s="508"/>
      <c r="L50" s="405"/>
      <c r="N50" s="410">
        <v>859.42000000001281</v>
      </c>
      <c r="O50" s="410">
        <f t="shared" si="4"/>
        <v>229.61999999996624</v>
      </c>
    </row>
    <row r="51" spans="1:15" x14ac:dyDescent="0.4">
      <c r="A51" s="699" t="s">
        <v>193</v>
      </c>
      <c r="B51" s="722"/>
      <c r="C51" s="722"/>
      <c r="D51" s="643" t="s">
        <v>159</v>
      </c>
      <c r="E51" s="630">
        <f>'[1]2'!F51</f>
        <v>22152.21</v>
      </c>
      <c r="F51" s="630">
        <v>23524.379000000001</v>
      </c>
      <c r="G51" s="593">
        <f t="shared" si="5"/>
        <v>1372.1690000000017</v>
      </c>
      <c r="H51" s="580">
        <f>G51+'[1]2'!H51</f>
        <v>4203.8919999999998</v>
      </c>
      <c r="I51" s="575"/>
      <c r="J51" s="673">
        <f>H51/DAY(B2)</f>
        <v>1401.2973333333332</v>
      </c>
      <c r="K51" s="508"/>
      <c r="L51" s="405"/>
      <c r="N51" s="410">
        <v>0</v>
      </c>
      <c r="O51" s="410">
        <f t="shared" si="4"/>
        <v>1372.1690000000017</v>
      </c>
    </row>
    <row r="52" spans="1:15" x14ac:dyDescent="0.4">
      <c r="A52" s="699" t="s">
        <v>206</v>
      </c>
      <c r="B52" s="722"/>
      <c r="C52" s="722"/>
      <c r="D52" s="643" t="s">
        <v>159</v>
      </c>
      <c r="E52" s="630">
        <f>'[1]2'!F52</f>
        <v>374806.59</v>
      </c>
      <c r="F52" s="630">
        <v>376534.27</v>
      </c>
      <c r="G52" s="593">
        <f>F52-E52</f>
        <v>1727.679999999993</v>
      </c>
      <c r="H52" s="580">
        <f>G52+'[1]2'!H52</f>
        <v>5411.8400000000256</v>
      </c>
      <c r="I52" s="575"/>
      <c r="J52" s="673">
        <f>H52/DAY(B2)</f>
        <v>1803.9466666666751</v>
      </c>
      <c r="K52" s="508"/>
      <c r="L52" s="405"/>
      <c r="N52" s="410">
        <v>1313.4799999999814</v>
      </c>
      <c r="O52" s="410">
        <f t="shared" si="4"/>
        <v>414.20000000001164</v>
      </c>
    </row>
    <row r="53" spans="1:15" x14ac:dyDescent="0.4">
      <c r="A53" s="699" t="s">
        <v>195</v>
      </c>
      <c r="B53" s="722"/>
      <c r="C53" s="722"/>
      <c r="D53" s="643" t="s">
        <v>159</v>
      </c>
      <c r="E53" s="630">
        <f>'[1]2'!F53</f>
        <v>53813.726999999999</v>
      </c>
      <c r="F53" s="630">
        <v>57829.125</v>
      </c>
      <c r="G53" s="593">
        <f t="shared" si="5"/>
        <v>4015.398000000001</v>
      </c>
      <c r="H53" s="580">
        <f>G53+'[1]2'!H53</f>
        <v>12413.118000000002</v>
      </c>
      <c r="I53" s="575"/>
      <c r="J53" s="673">
        <f>H53/DAY(B2)</f>
        <v>4137.706000000001</v>
      </c>
      <c r="K53" s="508"/>
      <c r="L53" s="405"/>
      <c r="N53" s="410">
        <v>0</v>
      </c>
      <c r="O53" s="410">
        <f t="shared" si="4"/>
        <v>4015.398000000001</v>
      </c>
    </row>
    <row r="54" spans="1:15" x14ac:dyDescent="0.4">
      <c r="A54" s="699" t="s">
        <v>207</v>
      </c>
      <c r="B54" s="722"/>
      <c r="C54" s="722"/>
      <c r="D54" s="643" t="s">
        <v>159</v>
      </c>
      <c r="E54" s="630">
        <f>'[1]2'!F54</f>
        <v>2945.98</v>
      </c>
      <c r="F54" s="770">
        <v>2989.22</v>
      </c>
      <c r="G54" s="593">
        <f t="shared" si="5"/>
        <v>43.239999999999782</v>
      </c>
      <c r="H54" s="580">
        <f>G54+'[1]2'!H54</f>
        <v>156.2199999999998</v>
      </c>
      <c r="I54" s="575"/>
      <c r="J54" s="673">
        <f>H54/DAY(B2)</f>
        <v>52.073333333333267</v>
      </c>
      <c r="K54" s="508"/>
      <c r="L54" s="405"/>
      <c r="N54" s="410">
        <v>0</v>
      </c>
      <c r="O54" s="410">
        <f t="shared" si="4"/>
        <v>43.239999999999782</v>
      </c>
    </row>
    <row r="55" spans="1:15" x14ac:dyDescent="0.4">
      <c r="A55" s="699" t="s">
        <v>208</v>
      </c>
      <c r="B55" s="722"/>
      <c r="C55" s="722"/>
      <c r="D55" s="643" t="s">
        <v>159</v>
      </c>
      <c r="E55" s="630">
        <f>'[1]2'!F55</f>
        <v>158492.73000000001</v>
      </c>
      <c r="F55" s="770">
        <v>158492.73000000001</v>
      </c>
      <c r="G55" s="593">
        <f t="shared" si="5"/>
        <v>0</v>
      </c>
      <c r="H55" s="580">
        <f>G55+'[1]2'!H55</f>
        <v>-0.26999999998952262</v>
      </c>
      <c r="I55" s="575"/>
      <c r="J55" s="673">
        <f>H55/DAY(B2)</f>
        <v>-8.999999999650754E-2</v>
      </c>
      <c r="K55" s="508"/>
      <c r="L55" s="405"/>
      <c r="N55" s="410">
        <v>0.10000000000582077</v>
      </c>
      <c r="O55" s="410">
        <f t="shared" si="4"/>
        <v>-0.10000000000582077</v>
      </c>
    </row>
    <row r="56" spans="1:15" x14ac:dyDescent="0.4">
      <c r="A56" s="699" t="s">
        <v>209</v>
      </c>
      <c r="B56" s="722"/>
      <c r="C56" s="722"/>
      <c r="D56" s="643" t="s">
        <v>210</v>
      </c>
      <c r="E56" s="630">
        <f>'[1]2'!F56</f>
        <v>444564.95</v>
      </c>
      <c r="F56" s="770">
        <v>448739.23</v>
      </c>
      <c r="G56" s="593">
        <f t="shared" si="5"/>
        <v>4174.2799999999697</v>
      </c>
      <c r="H56" s="580">
        <f>G56+'[1]2'!H56</f>
        <v>13591.639999999956</v>
      </c>
      <c r="I56" s="575"/>
      <c r="J56" s="673">
        <f>H56/DAY(B2)</f>
        <v>4530.5466666666516</v>
      </c>
      <c r="K56" s="507"/>
      <c r="L56" s="405"/>
      <c r="N56" s="410">
        <v>0</v>
      </c>
      <c r="O56" s="410">
        <f t="shared" si="4"/>
        <v>4174.2799999999697</v>
      </c>
    </row>
    <row r="57" spans="1:15" x14ac:dyDescent="0.4">
      <c r="A57" s="699" t="s">
        <v>199</v>
      </c>
      <c r="B57" s="722"/>
      <c r="C57" s="722"/>
      <c r="D57" s="643" t="s">
        <v>159</v>
      </c>
      <c r="E57" s="630">
        <f>'[1]2'!F57</f>
        <v>0</v>
      </c>
      <c r="F57" s="770">
        <v>0</v>
      </c>
      <c r="G57" s="593">
        <f t="shared" si="5"/>
        <v>0</v>
      </c>
      <c r="H57" s="580">
        <f>G57+'[1]2'!H57</f>
        <v>0</v>
      </c>
      <c r="I57" s="575"/>
      <c r="J57" s="673">
        <f>H57/DAY(B2)</f>
        <v>0</v>
      </c>
      <c r="K57" s="508"/>
      <c r="L57" s="405"/>
      <c r="N57" s="410">
        <v>0</v>
      </c>
      <c r="O57" s="410">
        <f t="shared" si="4"/>
        <v>0</v>
      </c>
    </row>
    <row r="58" spans="1:15" x14ac:dyDescent="0.4">
      <c r="A58" s="699" t="s">
        <v>211</v>
      </c>
      <c r="B58" s="722"/>
      <c r="C58" s="722"/>
      <c r="D58" s="643" t="s">
        <v>159</v>
      </c>
      <c r="E58" s="630">
        <f>'[1]2'!F58</f>
        <v>20436.847000000002</v>
      </c>
      <c r="F58" s="770">
        <v>20507.785</v>
      </c>
      <c r="G58" s="593">
        <f t="shared" si="5"/>
        <v>70.937999999998283</v>
      </c>
      <c r="H58" s="580">
        <f>G58+'[1]2'!H58</f>
        <v>276.74199999999837</v>
      </c>
      <c r="I58" s="575"/>
      <c r="J58" s="673">
        <f>H58/DAY(B2)</f>
        <v>92.24733333333279</v>
      </c>
      <c r="K58" s="508"/>
      <c r="L58" s="405"/>
      <c r="N58" s="410">
        <v>43.554000000000087</v>
      </c>
      <c r="O58" s="410">
        <f t="shared" si="4"/>
        <v>27.383999999998196</v>
      </c>
    </row>
    <row r="59" spans="1:15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15204.153999999942</v>
      </c>
      <c r="H59" s="580">
        <f>G59+'[1]2'!H59</f>
        <v>47463.253999999943</v>
      </c>
      <c r="I59" s="575">
        <f>G7-G60</f>
        <v>503.90600000005361</v>
      </c>
      <c r="J59" s="673">
        <f>H59/DAY(B2)</f>
        <v>15821.084666666648</v>
      </c>
      <c r="K59" s="508"/>
      <c r="L59" s="405"/>
      <c r="N59" s="410">
        <v>2216.5540000000001</v>
      </c>
      <c r="O59" s="410">
        <f>SUM(O35:O58)</f>
        <v>3430.3999999998123</v>
      </c>
    </row>
    <row r="60" spans="1:15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18175.093999999946</v>
      </c>
      <c r="H60" s="580">
        <f>G60+'[1]2'!H60</f>
        <v>56689.133999999918</v>
      </c>
      <c r="I60" s="575">
        <f>G13-G60</f>
        <v>-413.90399999994406</v>
      </c>
      <c r="J60" s="673">
        <f>H60/DAY(B2)</f>
        <v>18896.377999999972</v>
      </c>
      <c r="K60" s="508"/>
      <c r="L60" s="405"/>
      <c r="N60" s="410">
        <v>14722.134000000135</v>
      </c>
      <c r="O60" s="410">
        <f t="shared" si="4"/>
        <v>3452.9599999998118</v>
      </c>
    </row>
    <row r="61" spans="1:15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O61" s="410"/>
    </row>
    <row r="62" spans="1:15" x14ac:dyDescent="0.4">
      <c r="A62" s="724" t="s">
        <v>121</v>
      </c>
      <c r="B62" s="725"/>
      <c r="C62" s="725"/>
      <c r="D62" s="631" t="s">
        <v>214</v>
      </c>
      <c r="E62" s="634">
        <f>'[1]2'!F62</f>
        <v>20419.188999999998</v>
      </c>
      <c r="F62" s="634">
        <v>20419</v>
      </c>
      <c r="G62" s="593">
        <f t="shared" ref="G62:G69" si="6">F62-E62</f>
        <v>-0.1889999999984866</v>
      </c>
      <c r="H62" s="580">
        <f>G62+'[1]2'!H62</f>
        <v>-0.18000000000029104</v>
      </c>
      <c r="I62" s="635"/>
      <c r="J62" s="673">
        <f>H62/DAY(B2)</f>
        <v>-6.000000000009701E-2</v>
      </c>
      <c r="K62" s="508"/>
      <c r="L62" s="405"/>
      <c r="O62" s="410"/>
    </row>
    <row r="63" spans="1:15" x14ac:dyDescent="0.4">
      <c r="A63" s="724" t="s">
        <v>215</v>
      </c>
      <c r="B63" s="725"/>
      <c r="C63" s="725"/>
      <c r="D63" s="631" t="s">
        <v>214</v>
      </c>
      <c r="E63" s="634">
        <f>'[1]2'!F63</f>
        <v>889.46</v>
      </c>
      <c r="F63" s="634">
        <v>905.37</v>
      </c>
      <c r="G63" s="593">
        <f t="shared" si="6"/>
        <v>15.909999999999968</v>
      </c>
      <c r="H63" s="580">
        <f>G63+'[1]2'!H63</f>
        <v>49</v>
      </c>
      <c r="I63" s="635"/>
      <c r="J63" s="673">
        <f>H63/DAY(B2)</f>
        <v>16.333333333333332</v>
      </c>
      <c r="K63" s="508"/>
      <c r="L63" s="405"/>
      <c r="O63" s="410"/>
    </row>
    <row r="64" spans="1:15" ht="27.75" x14ac:dyDescent="0.5">
      <c r="A64" s="1395" t="s">
        <v>122</v>
      </c>
      <c r="B64" s="1396"/>
      <c r="C64" s="1397"/>
      <c r="D64" s="643" t="s">
        <v>214</v>
      </c>
      <c r="E64" s="604">
        <f>'[1]2'!F64</f>
        <v>87475.934999999998</v>
      </c>
      <c r="F64" s="598">
        <v>87837.167499999996</v>
      </c>
      <c r="G64" s="593">
        <f t="shared" si="6"/>
        <v>361.23249999999825</v>
      </c>
      <c r="H64" s="580">
        <f>G64+'[1]2'!H64</f>
        <v>1098.0724999999948</v>
      </c>
      <c r="I64" s="600"/>
      <c r="J64" s="673">
        <f>H64/DAY(B2)</f>
        <v>366.02416666666494</v>
      </c>
      <c r="K64" s="508"/>
      <c r="L64" s="405"/>
      <c r="O64" s="410"/>
    </row>
    <row r="65" spans="1:15" ht="27.75" x14ac:dyDescent="0.5">
      <c r="A65" s="1395" t="s">
        <v>123</v>
      </c>
      <c r="B65" s="1396"/>
      <c r="C65" s="1397"/>
      <c r="D65" s="643" t="s">
        <v>214</v>
      </c>
      <c r="E65" s="604">
        <f>'[1]2'!F65</f>
        <v>97435.25</v>
      </c>
      <c r="F65" s="768">
        <v>97836.535000000003</v>
      </c>
      <c r="G65" s="593">
        <f t="shared" si="6"/>
        <v>401.28500000000349</v>
      </c>
      <c r="H65" s="580">
        <f>G65+'[1]2'!H65</f>
        <v>1200.5520000000106</v>
      </c>
      <c r="I65" s="609"/>
      <c r="J65" s="673">
        <f>H65/DAY(B2)</f>
        <v>400.18400000000355</v>
      </c>
      <c r="K65" s="508"/>
      <c r="L65" s="405"/>
      <c r="O65" s="410"/>
    </row>
    <row r="66" spans="1:15" ht="27.75" x14ac:dyDescent="0.5">
      <c r="A66" s="1395" t="s">
        <v>124</v>
      </c>
      <c r="B66" s="1396"/>
      <c r="C66" s="1397"/>
      <c r="D66" s="643" t="s">
        <v>214</v>
      </c>
      <c r="E66" s="604">
        <f>'[1]2'!F66</f>
        <v>90800.53</v>
      </c>
      <c r="F66" s="598">
        <v>91177.494999999995</v>
      </c>
      <c r="G66" s="593">
        <f t="shared" si="6"/>
        <v>376.96499999999651</v>
      </c>
      <c r="H66" s="580">
        <f>G66+'[1]2'!H66</f>
        <v>1172.648000000001</v>
      </c>
      <c r="I66" s="600"/>
      <c r="J66" s="673">
        <f>H66/DAY(B2)</f>
        <v>390.88266666666703</v>
      </c>
      <c r="K66" s="508"/>
      <c r="L66" s="405"/>
      <c r="O66" s="410"/>
    </row>
    <row r="67" spans="1:15" ht="27.75" x14ac:dyDescent="0.5">
      <c r="A67" s="1395" t="s">
        <v>125</v>
      </c>
      <c r="B67" s="1396"/>
      <c r="C67" s="1397"/>
      <c r="D67" s="643" t="s">
        <v>214</v>
      </c>
      <c r="E67" s="604">
        <f>'[1]2'!F67</f>
        <v>147553.99</v>
      </c>
      <c r="F67" s="598">
        <v>148230.29999999999</v>
      </c>
      <c r="G67" s="593">
        <f t="shared" si="6"/>
        <v>676.30999999999767</v>
      </c>
      <c r="H67" s="580">
        <f>G67+'[1]2'!H67</f>
        <v>2188.25</v>
      </c>
      <c r="I67" s="609"/>
      <c r="J67" s="673">
        <f>H67/DAY(B2)</f>
        <v>729.41666666666663</v>
      </c>
      <c r="K67" s="509"/>
      <c r="L67" s="405"/>
      <c r="O67" s="410"/>
    </row>
    <row r="68" spans="1:15" ht="27.75" x14ac:dyDescent="0.5">
      <c r="A68" s="1395" t="s">
        <v>126</v>
      </c>
      <c r="B68" s="1396"/>
      <c r="C68" s="1397"/>
      <c r="D68" s="643" t="s">
        <v>214</v>
      </c>
      <c r="E68" s="604">
        <f>'[1]2'!F68</f>
        <v>43935.398999999998</v>
      </c>
      <c r="F68" s="598">
        <v>44295.247000000003</v>
      </c>
      <c r="G68" s="593">
        <f t="shared" si="6"/>
        <v>359.84800000000541</v>
      </c>
      <c r="H68" s="580">
        <f>G68+'[1]2'!H68</f>
        <v>1120.1680000000051</v>
      </c>
      <c r="I68" s="636"/>
      <c r="J68" s="673">
        <f>H68/DAY(B2)</f>
        <v>373.38933333333506</v>
      </c>
      <c r="K68" s="510"/>
      <c r="L68" s="405"/>
      <c r="O68" s="410"/>
    </row>
    <row r="69" spans="1:15" ht="27.75" x14ac:dyDescent="0.5">
      <c r="A69" s="1395" t="s">
        <v>127</v>
      </c>
      <c r="B69" s="1396"/>
      <c r="C69" s="1397"/>
      <c r="D69" s="643" t="s">
        <v>214</v>
      </c>
      <c r="E69" s="604">
        <f>'[1]2'!F69</f>
        <v>38132.65</v>
      </c>
      <c r="F69" s="598">
        <v>38416.834999999999</v>
      </c>
      <c r="G69" s="593">
        <f t="shared" si="6"/>
        <v>284.18499999999767</v>
      </c>
      <c r="H69" s="580">
        <f>G69+'[1]2'!H69</f>
        <v>861.26799999999639</v>
      </c>
      <c r="I69" s="636"/>
      <c r="J69" s="673">
        <f>H69/DAY(B2)</f>
        <v>287.08933333333215</v>
      </c>
      <c r="K69" s="511"/>
      <c r="L69" s="405"/>
      <c r="O69" s="410"/>
    </row>
    <row r="70" spans="1:15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/>
      <c r="I70" s="638"/>
      <c r="J70" s="677"/>
      <c r="K70" s="511"/>
      <c r="L70" s="405"/>
      <c r="O70" s="410"/>
    </row>
    <row r="71" spans="1:15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O71" s="410"/>
    </row>
    <row r="72" spans="1:15" ht="27.75" x14ac:dyDescent="0.5">
      <c r="A72" s="1395" t="s">
        <v>218</v>
      </c>
      <c r="B72" s="1396"/>
      <c r="C72" s="1397"/>
      <c r="D72" s="643" t="s">
        <v>214</v>
      </c>
      <c r="E72" s="639">
        <f>'[1]2'!F72</f>
        <v>844194</v>
      </c>
      <c r="F72" s="771">
        <v>844202</v>
      </c>
      <c r="G72" s="593">
        <f t="shared" ref="G72:G84" si="7">F72-E72</f>
        <v>8</v>
      </c>
      <c r="H72" s="580">
        <f>G72+'[1]2'!H72</f>
        <v>25</v>
      </c>
      <c r="I72" s="600"/>
      <c r="J72" s="673">
        <f>H72/DAY(B2)</f>
        <v>8.3333333333333339</v>
      </c>
      <c r="K72" s="511"/>
      <c r="L72" s="405"/>
      <c r="O72" s="410"/>
    </row>
    <row r="73" spans="1:15" ht="27.75" x14ac:dyDescent="0.5">
      <c r="A73" s="1395" t="s">
        <v>219</v>
      </c>
      <c r="B73" s="1396"/>
      <c r="C73" s="1397"/>
      <c r="D73" s="643" t="s">
        <v>214</v>
      </c>
      <c r="E73" s="640">
        <f>'[1]2'!F73</f>
        <v>885313</v>
      </c>
      <c r="F73" s="772">
        <v>885314</v>
      </c>
      <c r="G73" s="593">
        <f t="shared" si="7"/>
        <v>1</v>
      </c>
      <c r="H73" s="580">
        <f>G73+'[1]2'!H73</f>
        <v>4</v>
      </c>
      <c r="I73" s="600"/>
      <c r="J73" s="673">
        <f>H73/DAY(B2)</f>
        <v>1.3333333333333333</v>
      </c>
      <c r="K73" s="510"/>
      <c r="L73" s="405"/>
      <c r="O73" s="410"/>
    </row>
    <row r="74" spans="1:15" ht="27.75" x14ac:dyDescent="0.5">
      <c r="A74" s="1395" t="s">
        <v>220</v>
      </c>
      <c r="B74" s="1396"/>
      <c r="C74" s="1397"/>
      <c r="D74" s="643" t="s">
        <v>214</v>
      </c>
      <c r="E74" s="641">
        <f>'[1]2'!F74</f>
        <v>880267</v>
      </c>
      <c r="F74" s="773">
        <v>880283</v>
      </c>
      <c r="G74" s="593">
        <f t="shared" si="7"/>
        <v>16</v>
      </c>
      <c r="H74" s="580">
        <f>G74+'[1]2'!H74</f>
        <v>56</v>
      </c>
      <c r="I74" s="600"/>
      <c r="J74" s="673">
        <f>H74/DAY(B2)</f>
        <v>18.666666666666668</v>
      </c>
      <c r="K74" s="511"/>
      <c r="L74" s="405"/>
      <c r="O74" s="410"/>
    </row>
    <row r="75" spans="1:15" ht="27.75" x14ac:dyDescent="0.5">
      <c r="A75" s="1447" t="s">
        <v>221</v>
      </c>
      <c r="B75" s="1448"/>
      <c r="C75" s="1449"/>
      <c r="D75" s="643" t="s">
        <v>214</v>
      </c>
      <c r="E75" s="641">
        <f>'[1]2'!F75</f>
        <v>726510</v>
      </c>
      <c r="F75" s="773">
        <v>726667</v>
      </c>
      <c r="G75" s="593">
        <f t="shared" si="7"/>
        <v>157</v>
      </c>
      <c r="H75" s="580">
        <f>G75+'[1]2'!H75</f>
        <v>487</v>
      </c>
      <c r="I75" s="600"/>
      <c r="J75" s="673">
        <f>H75/DAY(B2)</f>
        <v>162.33333333333334</v>
      </c>
      <c r="K75" s="510"/>
      <c r="L75" s="405"/>
      <c r="O75" s="410"/>
    </row>
    <row r="76" spans="1:15" ht="27.75" x14ac:dyDescent="0.5">
      <c r="A76" s="1447" t="s">
        <v>222</v>
      </c>
      <c r="B76" s="1448"/>
      <c r="C76" s="1449"/>
      <c r="D76" s="643" t="s">
        <v>214</v>
      </c>
      <c r="E76" s="640">
        <f>'[1]2'!F76</f>
        <v>681794</v>
      </c>
      <c r="F76" s="772">
        <v>681851</v>
      </c>
      <c r="G76" s="593">
        <f t="shared" si="7"/>
        <v>57</v>
      </c>
      <c r="H76" s="580">
        <f>G76+'[1]2'!H76</f>
        <v>175</v>
      </c>
      <c r="I76" s="625"/>
      <c r="J76" s="673">
        <f>H76/DAY(B2)</f>
        <v>58.333333333333336</v>
      </c>
      <c r="K76" s="510"/>
      <c r="L76" s="405"/>
      <c r="O76" s="410"/>
    </row>
    <row r="77" spans="1:15" ht="27.75" x14ac:dyDescent="0.5">
      <c r="A77" s="1395" t="s">
        <v>223</v>
      </c>
      <c r="B77" s="1396"/>
      <c r="C77" s="1397"/>
      <c r="D77" s="643" t="s">
        <v>214</v>
      </c>
      <c r="E77" s="640">
        <f>'[1]2'!F77</f>
        <v>693828</v>
      </c>
      <c r="F77" s="771">
        <v>693882</v>
      </c>
      <c r="G77" s="593">
        <f t="shared" si="7"/>
        <v>54</v>
      </c>
      <c r="H77" s="580">
        <f>G77+'[1]2'!H77</f>
        <v>162</v>
      </c>
      <c r="I77" s="625"/>
      <c r="J77" s="673">
        <f>H77/DAY(B2)</f>
        <v>54</v>
      </c>
      <c r="K77" s="510"/>
      <c r="L77" s="405"/>
      <c r="O77" s="410"/>
    </row>
    <row r="78" spans="1:15" ht="27.75" x14ac:dyDescent="0.5">
      <c r="A78" s="1357" t="s">
        <v>224</v>
      </c>
      <c r="B78" s="1320"/>
      <c r="C78" s="1320"/>
      <c r="D78" s="643" t="s">
        <v>214</v>
      </c>
      <c r="E78" s="641">
        <f>'[1]2'!F78</f>
        <v>619100</v>
      </c>
      <c r="F78" s="773">
        <v>619419</v>
      </c>
      <c r="G78" s="593">
        <f t="shared" si="7"/>
        <v>319</v>
      </c>
      <c r="H78" s="580">
        <f>G78+'[1]2'!H78</f>
        <v>1166</v>
      </c>
      <c r="I78" s="625"/>
      <c r="J78" s="673">
        <f>H78/DAY(B2)</f>
        <v>388.66666666666669</v>
      </c>
      <c r="K78" s="510"/>
      <c r="L78" s="405"/>
      <c r="O78" s="410"/>
    </row>
    <row r="79" spans="1:15" ht="27.75" x14ac:dyDescent="0.5">
      <c r="A79" s="1447" t="s">
        <v>112</v>
      </c>
      <c r="B79" s="1448"/>
      <c r="C79" s="1449"/>
      <c r="D79" s="644" t="s">
        <v>214</v>
      </c>
      <c r="E79" s="641">
        <f>'[1]2'!F79</f>
        <v>798382</v>
      </c>
      <c r="F79" s="773">
        <v>798569</v>
      </c>
      <c r="G79" s="593">
        <f t="shared" si="7"/>
        <v>187</v>
      </c>
      <c r="H79" s="580">
        <f>G79+'[1]2'!H79</f>
        <v>583</v>
      </c>
      <c r="I79" s="625"/>
      <c r="J79" s="673">
        <f>H79/DAY(B2)</f>
        <v>194.33333333333334</v>
      </c>
      <c r="K79" s="510"/>
      <c r="L79" s="405"/>
      <c r="O79" s="410"/>
    </row>
    <row r="80" spans="1:15" ht="27.75" x14ac:dyDescent="0.5">
      <c r="A80" s="1447" t="s">
        <v>225</v>
      </c>
      <c r="B80" s="1448"/>
      <c r="C80" s="1449"/>
      <c r="D80" s="644" t="s">
        <v>214</v>
      </c>
      <c r="E80" s="640">
        <f>'[1]2'!F80</f>
        <v>466093.44</v>
      </c>
      <c r="F80" s="771">
        <v>466391.32</v>
      </c>
      <c r="G80" s="593">
        <f t="shared" si="7"/>
        <v>297.88000000000466</v>
      </c>
      <c r="H80" s="580">
        <f>G80+'[1]2'!H80</f>
        <v>893.44000000000233</v>
      </c>
      <c r="I80" s="625"/>
      <c r="J80" s="673">
        <f>H80/DAY(B2)</f>
        <v>297.81333333333413</v>
      </c>
      <c r="K80" s="510"/>
      <c r="L80" s="405"/>
      <c r="O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'[1]2'!F81</f>
        <v>614706.80000000005</v>
      </c>
      <c r="F81" s="772">
        <v>614852.52</v>
      </c>
      <c r="G81" s="593">
        <f t="shared" si="7"/>
        <v>145.71999999997206</v>
      </c>
      <c r="H81" s="580">
        <f>G81+'[1]2'!H81</f>
        <v>464</v>
      </c>
      <c r="I81" s="625"/>
      <c r="J81" s="673">
        <f>H81/DAY(B2)</f>
        <v>154.66666666666666</v>
      </c>
      <c r="K81" s="510"/>
      <c r="L81" s="405"/>
      <c r="O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0">
        <f>'[1]2'!F82</f>
        <v>103569.01</v>
      </c>
      <c r="F82" s="768">
        <v>103587.19</v>
      </c>
      <c r="G82" s="593">
        <f t="shared" si="7"/>
        <v>18.180000000007567</v>
      </c>
      <c r="H82" s="580">
        <f>G82+'[1]2'!H82</f>
        <v>57.540000000008149</v>
      </c>
      <c r="I82" s="606"/>
      <c r="J82" s="673">
        <f>H82/DAY(B2)</f>
        <v>19.180000000002718</v>
      </c>
      <c r="K82" s="510"/>
      <c r="L82" s="405"/>
      <c r="O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1">
        <f>'[1]2'!F83</f>
        <v>963211</v>
      </c>
      <c r="F83" s="631">
        <v>963541</v>
      </c>
      <c r="G83" s="593">
        <f t="shared" si="7"/>
        <v>330</v>
      </c>
      <c r="H83" s="580">
        <f>G83+'[1]2'!H83</f>
        <v>1016</v>
      </c>
      <c r="I83" s="601"/>
      <c r="J83" s="673">
        <f>H83/DAY(B2)</f>
        <v>338.66666666666669</v>
      </c>
      <c r="K83" s="509"/>
      <c r="L83" s="405"/>
      <c r="O83" s="410"/>
    </row>
    <row r="84" spans="1:15" x14ac:dyDescent="0.5">
      <c r="A84" s="1360" t="s">
        <v>228</v>
      </c>
      <c r="B84" s="692"/>
      <c r="C84" s="692"/>
      <c r="D84" s="598" t="s">
        <v>159</v>
      </c>
      <c r="E84" s="748">
        <f>'[1]2'!F84</f>
        <v>382462</v>
      </c>
      <c r="F84" s="748">
        <v>383003</v>
      </c>
      <c r="G84" s="593">
        <f t="shared" si="7"/>
        <v>541</v>
      </c>
      <c r="H84" s="580">
        <f>G84+'[1]2'!H84</f>
        <v>1647</v>
      </c>
      <c r="I84" s="601"/>
      <c r="J84" s="673">
        <f>H84/DAY(B2)</f>
        <v>549</v>
      </c>
      <c r="K84" s="408"/>
      <c r="L84" s="405"/>
      <c r="O84" s="410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2131.7799999999843</v>
      </c>
      <c r="H85" s="580">
        <f>G85+'[1]2'!H85</f>
        <v>4914.5499999999593</v>
      </c>
      <c r="I85" s="601"/>
      <c r="J85" s="673">
        <f>H85/DAY(B2)</f>
        <v>1638.1833333333198</v>
      </c>
      <c r="K85" s="408"/>
      <c r="L85" s="406"/>
      <c r="O85" s="410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48">
        <f>'[1]2'!F86</f>
        <v>440742.44</v>
      </c>
      <c r="F86" s="764">
        <v>440928.52</v>
      </c>
      <c r="G86" s="841">
        <f t="shared" ref="G86:G90" si="8">F86-E86</f>
        <v>186.0800000000163</v>
      </c>
      <c r="H86" s="580">
        <f>G86+'[1]2'!H86</f>
        <v>376.85000000003492</v>
      </c>
      <c r="I86" s="769"/>
      <c r="J86" s="843">
        <f>H86/DAY(B2)</f>
        <v>125.61666666667831</v>
      </c>
      <c r="K86" s="869"/>
      <c r="L86" s="870"/>
      <c r="O86" s="849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48">
        <f>'[1]2'!F87</f>
        <v>76967.899999999994</v>
      </c>
      <c r="F87" s="764">
        <v>76999</v>
      </c>
      <c r="G87" s="841">
        <f t="shared" si="8"/>
        <v>31.100000000005821</v>
      </c>
      <c r="H87" s="580">
        <f>G87+'[1]2'!H87</f>
        <v>62.5</v>
      </c>
      <c r="I87" s="769"/>
      <c r="J87" s="843">
        <f>H87/DAY(B2)</f>
        <v>20.833333333333332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48">
        <f>'[1]2'!F88</f>
        <v>142693.79</v>
      </c>
      <c r="F88" s="764">
        <v>142791.57</v>
      </c>
      <c r="G88" s="841">
        <f t="shared" si="8"/>
        <v>97.779999999998836</v>
      </c>
      <c r="H88" s="580">
        <f>G88+'[1]2'!H88</f>
        <v>228.19000000000233</v>
      </c>
      <c r="I88" s="769"/>
      <c r="J88" s="843">
        <f>H88/DAY(B2)</f>
        <v>76.063333333334114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48">
        <f>'[1]2'!F89</f>
        <v>55851.5</v>
      </c>
      <c r="F89" s="764">
        <v>55911.6</v>
      </c>
      <c r="G89" s="841">
        <f t="shared" si="8"/>
        <v>60.099999999998545</v>
      </c>
      <c r="H89" s="580">
        <f>G89+'[1]2'!H89</f>
        <v>186.5</v>
      </c>
      <c r="I89" s="769">
        <f>H89+'[1]1'!I89</f>
        <v>186.5</v>
      </c>
      <c r="J89" s="843">
        <f>H89/DAY(B2)</f>
        <v>62.166666666666664</v>
      </c>
      <c r="K89" s="869" t="e">
        <f t="shared" ref="K89:K90" si="9">I89/DAY(C3)</f>
        <v>#VALUE!</v>
      </c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48">
        <f>'[1]2'!F90</f>
        <v>2895.7</v>
      </c>
      <c r="F90" s="764">
        <v>2900.1</v>
      </c>
      <c r="G90" s="841">
        <f t="shared" si="8"/>
        <v>4.4000000000000909</v>
      </c>
      <c r="H90" s="580">
        <f>G90+'[1]2'!H90</f>
        <v>12.099999999999909</v>
      </c>
      <c r="I90" s="769">
        <f>H90+'[1]1'!I90</f>
        <v>12.099999999999909</v>
      </c>
      <c r="J90" s="843">
        <f>H90/DAY(B2)</f>
        <v>4.033333333333303</v>
      </c>
      <c r="K90" s="869" t="e">
        <f t="shared" si="9"/>
        <v>#VALUE!</v>
      </c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O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'[1]2'!F92</f>
        <v>231176</v>
      </c>
      <c r="F92" s="598">
        <v>231230</v>
      </c>
      <c r="G92" s="593">
        <f t="shared" ref="G92:G93" si="10">F92-E92</f>
        <v>54</v>
      </c>
      <c r="H92" s="580">
        <f>G92+'[1]2'!H92</f>
        <v>255</v>
      </c>
      <c r="I92" s="600"/>
      <c r="J92" s="673">
        <f>H92/DAY(B2)</f>
        <v>85</v>
      </c>
      <c r="K92" s="509"/>
      <c r="L92" s="405"/>
      <c r="O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'[1]2'!F93</f>
        <v>162931</v>
      </c>
      <c r="F93" s="598">
        <v>163072</v>
      </c>
      <c r="G93" s="593">
        <f t="shared" si="10"/>
        <v>141</v>
      </c>
      <c r="H93" s="580">
        <f>G93+'[1]2'!H93</f>
        <v>430</v>
      </c>
      <c r="I93" s="600"/>
      <c r="J93" s="673">
        <f>H93/DAY(B2)</f>
        <v>143.33333333333334</v>
      </c>
      <c r="K93" s="408"/>
      <c r="L93" s="405"/>
      <c r="O93" s="410"/>
    </row>
    <row r="94" spans="1:15" x14ac:dyDescent="0.5">
      <c r="A94" s="1392" t="s">
        <v>235</v>
      </c>
      <c r="B94" s="1393"/>
      <c r="C94" s="1394"/>
      <c r="D94" s="643"/>
      <c r="E94" s="604"/>
      <c r="F94" s="598"/>
      <c r="G94" s="593">
        <f>G92+G93</f>
        <v>195</v>
      </c>
      <c r="H94" s="580">
        <f>G94+'[1]2'!H94</f>
        <v>422</v>
      </c>
      <c r="I94" s="600"/>
      <c r="J94" s="673">
        <f>H94/DAY(B2)</f>
        <v>140.66666666666666</v>
      </c>
      <c r="K94" s="408"/>
      <c r="L94" s="405"/>
      <c r="O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'[1]2'!F95</f>
        <v>401671</v>
      </c>
      <c r="F95" s="598">
        <v>401716</v>
      </c>
      <c r="G95" s="593">
        <f t="shared" ref="G95:G100" si="11">F95-E95</f>
        <v>45</v>
      </c>
      <c r="H95" s="580">
        <f>G95+'[1]2'!H95</f>
        <v>151</v>
      </c>
      <c r="I95" s="600"/>
      <c r="J95" s="673">
        <f>H95/DAY(B2)</f>
        <v>50.333333333333336</v>
      </c>
      <c r="K95" s="408"/>
      <c r="L95" s="405"/>
      <c r="O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'[1]2'!F96</f>
        <v>99175</v>
      </c>
      <c r="F96" s="598">
        <v>99197</v>
      </c>
      <c r="G96" s="593">
        <f t="shared" si="11"/>
        <v>22</v>
      </c>
      <c r="H96" s="580">
        <f>G96+'[1]2'!H96</f>
        <v>86</v>
      </c>
      <c r="I96" s="600"/>
      <c r="J96" s="673">
        <f>H96/DAY(B2)</f>
        <v>28.666666666666668</v>
      </c>
      <c r="K96" s="507"/>
      <c r="L96" s="405"/>
      <c r="O96" s="410"/>
    </row>
    <row r="97" spans="1:15" ht="27.75" x14ac:dyDescent="0.5">
      <c r="A97" s="1354" t="s">
        <v>238</v>
      </c>
      <c r="B97" s="1355"/>
      <c r="C97" s="1355"/>
      <c r="D97" s="643" t="s">
        <v>171</v>
      </c>
      <c r="E97" s="604">
        <f>'[1]2'!F97</f>
        <v>94321</v>
      </c>
      <c r="F97" s="598">
        <v>94337</v>
      </c>
      <c r="G97" s="593">
        <f t="shared" si="11"/>
        <v>16</v>
      </c>
      <c r="H97" s="580">
        <f>G97+'[1]2'!H97</f>
        <v>65</v>
      </c>
      <c r="I97" s="600"/>
      <c r="J97" s="673">
        <f>H97/DAY(B2)</f>
        <v>21.666666666666668</v>
      </c>
      <c r="K97" s="512"/>
      <c r="L97" s="405"/>
      <c r="O97" s="410"/>
    </row>
    <row r="98" spans="1:15" ht="27.75" x14ac:dyDescent="0.5">
      <c r="A98" s="1354" t="s">
        <v>239</v>
      </c>
      <c r="B98" s="1355"/>
      <c r="C98" s="1355"/>
      <c r="D98" s="643" t="s">
        <v>171</v>
      </c>
      <c r="E98" s="604">
        <f>'[1]2'!F98</f>
        <v>142253</v>
      </c>
      <c r="F98" s="598">
        <v>142320</v>
      </c>
      <c r="G98" s="593">
        <f t="shared" si="11"/>
        <v>67</v>
      </c>
      <c r="H98" s="580">
        <f>G98+'[1]2'!H98</f>
        <v>174</v>
      </c>
      <c r="I98" s="600"/>
      <c r="J98" s="673">
        <f>H98/DAY(B2)</f>
        <v>58</v>
      </c>
      <c r="K98" s="408"/>
      <c r="L98" s="405"/>
      <c r="O98" s="410"/>
    </row>
    <row r="99" spans="1:15" ht="27.75" x14ac:dyDescent="0.5">
      <c r="A99" s="1354" t="s">
        <v>240</v>
      </c>
      <c r="B99" s="1355"/>
      <c r="C99" s="1355"/>
      <c r="D99" s="643" t="s">
        <v>171</v>
      </c>
      <c r="E99" s="604">
        <f>'[1]2'!F99</f>
        <v>5015</v>
      </c>
      <c r="F99" s="598">
        <v>5035</v>
      </c>
      <c r="G99" s="593">
        <f t="shared" si="11"/>
        <v>20</v>
      </c>
      <c r="H99" s="580">
        <f>G99+'[1]2'!H99</f>
        <v>67</v>
      </c>
      <c r="I99" s="600"/>
      <c r="J99" s="673">
        <f>H99/DAY(B2)</f>
        <v>22.333333333333332</v>
      </c>
      <c r="K99" s="408"/>
      <c r="L99" s="405"/>
      <c r="O99" s="410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604">
        <f>'[1]2'!F100</f>
        <v>3674</v>
      </c>
      <c r="F100" s="598">
        <v>3674</v>
      </c>
      <c r="G100" s="593">
        <f t="shared" si="11"/>
        <v>0</v>
      </c>
      <c r="H100" s="580">
        <f>G100+'[1]2'!H100</f>
        <v>0</v>
      </c>
      <c r="I100" s="600"/>
      <c r="J100" s="673">
        <f>H100/DAY(B2)</f>
        <v>0</v>
      </c>
      <c r="K100" s="408"/>
      <c r="L100" s="405"/>
      <c r="O100" s="410"/>
    </row>
    <row r="101" spans="1:15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170</v>
      </c>
      <c r="H101" s="580">
        <f>G101+'[1]2'!H101</f>
        <v>543</v>
      </c>
      <c r="I101" s="646"/>
      <c r="J101" s="673">
        <f>H101/DAY(B2)</f>
        <v>181</v>
      </c>
      <c r="K101" s="408"/>
      <c r="L101" s="405"/>
      <c r="O101" s="410"/>
    </row>
    <row r="102" spans="1:15" s="524" customFormat="1" ht="27" x14ac:dyDescent="0.35">
      <c r="A102" s="728" t="s">
        <v>243</v>
      </c>
      <c r="B102" s="729"/>
      <c r="C102" s="729"/>
      <c r="D102" s="742"/>
      <c r="E102" s="648"/>
      <c r="F102" s="774"/>
      <c r="G102" s="649"/>
      <c r="H102" s="650"/>
      <c r="I102" s="651"/>
      <c r="J102" s="678"/>
      <c r="O102" s="410"/>
    </row>
    <row r="103" spans="1:15" s="524" customFormat="1" ht="27.75" x14ac:dyDescent="0.5">
      <c r="A103" s="1404" t="s">
        <v>244</v>
      </c>
      <c r="B103" s="1405"/>
      <c r="C103" s="694"/>
      <c r="D103" s="743"/>
      <c r="E103" s="652"/>
      <c r="F103" s="775"/>
      <c r="G103" s="652"/>
      <c r="H103" s="653"/>
      <c r="I103" s="652"/>
      <c r="J103" s="679"/>
      <c r="O103" s="410"/>
    </row>
    <row r="104" spans="1:15" s="524" customFormat="1" ht="27.75" x14ac:dyDescent="0.5">
      <c r="A104" s="1439" t="s">
        <v>245</v>
      </c>
      <c r="B104" s="1440"/>
      <c r="C104" s="1363"/>
      <c r="D104" s="743" t="s">
        <v>171</v>
      </c>
      <c r="E104" s="652">
        <f>'[1]2'!F104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19</v>
      </c>
      <c r="O104" s="410"/>
    </row>
    <row r="105" spans="1:15" s="524" customFormat="1" ht="27.75" x14ac:dyDescent="0.5">
      <c r="A105" s="1439" t="s">
        <v>92</v>
      </c>
      <c r="B105" s="1440"/>
      <c r="C105" s="1363"/>
      <c r="D105" s="743" t="s">
        <v>171</v>
      </c>
      <c r="E105" s="654">
        <f>'[1]2'!F105</f>
        <v>34686</v>
      </c>
      <c r="F105" s="776">
        <v>34687</v>
      </c>
      <c r="G105" s="652">
        <f t="shared" ref="G105:G106" si="12">F105-E105</f>
        <v>1</v>
      </c>
      <c r="H105" s="653">
        <f>SUM(G105+'[1]1'!G77)</f>
        <v>56</v>
      </c>
      <c r="I105" s="652"/>
      <c r="J105" s="679">
        <f>H105/DAY(B2)</f>
        <v>18.666666666666668</v>
      </c>
      <c r="O105" s="410"/>
    </row>
    <row r="106" spans="1:15" s="524" customFormat="1" ht="27.75" x14ac:dyDescent="0.5">
      <c r="A106" s="1439" t="s">
        <v>93</v>
      </c>
      <c r="B106" s="1465"/>
      <c r="C106" s="1440"/>
      <c r="D106" s="743" t="s">
        <v>171</v>
      </c>
      <c r="E106" s="652">
        <f>'[1]2'!F106</f>
        <v>18748</v>
      </c>
      <c r="F106" s="775">
        <v>18751</v>
      </c>
      <c r="G106" s="652">
        <f t="shared" si="12"/>
        <v>3</v>
      </c>
      <c r="H106" s="653">
        <f>SUM(G106+'[1]1'!G78)</f>
        <v>483</v>
      </c>
      <c r="I106" s="652"/>
      <c r="J106" s="679">
        <f>H106/DAY(B2)</f>
        <v>161</v>
      </c>
      <c r="O106" s="410"/>
    </row>
    <row r="107" spans="1:15" s="524" customFormat="1" ht="27.75" x14ac:dyDescent="0.5">
      <c r="A107" s="1435" t="s">
        <v>82</v>
      </c>
      <c r="B107" s="1436"/>
      <c r="C107" s="1363"/>
      <c r="D107" s="743"/>
      <c r="E107" s="652"/>
      <c r="F107" s="775" t="s">
        <v>296</v>
      </c>
      <c r="G107" s="652">
        <f>SUM(G104:G106)</f>
        <v>4</v>
      </c>
      <c r="H107" s="653">
        <f>SUM(G107+'[1]1'!G79)</f>
        <v>205</v>
      </c>
      <c r="I107" s="652"/>
      <c r="J107" s="679">
        <f>H107/DAY(B2)</f>
        <v>68.333333333333329</v>
      </c>
      <c r="O107" s="410"/>
    </row>
    <row r="108" spans="1:15" s="524" customFormat="1" ht="27.75" x14ac:dyDescent="0.5">
      <c r="A108" s="1463" t="s">
        <v>94</v>
      </c>
      <c r="B108" s="1464"/>
      <c r="C108" s="1363"/>
      <c r="D108" s="743" t="s">
        <v>171</v>
      </c>
      <c r="E108" s="652"/>
      <c r="F108" s="775"/>
      <c r="G108" s="652"/>
      <c r="H108" s="653"/>
      <c r="I108" s="652"/>
      <c r="J108" s="679"/>
      <c r="O108" s="410"/>
    </row>
    <row r="109" spans="1:15" s="524" customFormat="1" ht="27.75" x14ac:dyDescent="0.5">
      <c r="A109" s="1439" t="s">
        <v>246</v>
      </c>
      <c r="B109" s="1440"/>
      <c r="C109" s="1363"/>
      <c r="D109" s="743" t="s">
        <v>171</v>
      </c>
      <c r="E109" s="652">
        <f>'[1]2'!F109</f>
        <v>51381</v>
      </c>
      <c r="F109" s="775">
        <v>51440</v>
      </c>
      <c r="G109" s="652">
        <f>F109-E109</f>
        <v>59</v>
      </c>
      <c r="H109" s="653">
        <f>SUM(G109+'[1]1'!G81)</f>
        <v>212.28000000002794</v>
      </c>
      <c r="I109" s="652"/>
      <c r="J109" s="679">
        <f>H109/DAY(B2)</f>
        <v>70.760000000009313</v>
      </c>
      <c r="O109" s="410"/>
    </row>
    <row r="110" spans="1:15" s="524" customFormat="1" ht="27.75" x14ac:dyDescent="0.5">
      <c r="A110" s="1439" t="s">
        <v>247</v>
      </c>
      <c r="B110" s="1440"/>
      <c r="C110" s="1363"/>
      <c r="D110" s="743" t="s">
        <v>171</v>
      </c>
      <c r="E110" s="652">
        <f>'[1]2'!F110</f>
        <v>25440</v>
      </c>
      <c r="F110" s="775">
        <v>25494</v>
      </c>
      <c r="G110" s="652">
        <f t="shared" ref="G110:G111" si="13">F110-E110</f>
        <v>54</v>
      </c>
      <c r="H110" s="653">
        <f>SUM(G110+'[1]1'!G82)</f>
        <v>74.760000000009313</v>
      </c>
      <c r="I110" s="652"/>
      <c r="J110" s="679">
        <f>H110/DAY(B2)</f>
        <v>24.920000000003103</v>
      </c>
      <c r="O110" s="410"/>
    </row>
    <row r="111" spans="1:15" s="524" customFormat="1" ht="27.75" x14ac:dyDescent="0.5">
      <c r="A111" s="1439" t="s">
        <v>248</v>
      </c>
      <c r="B111" s="1440"/>
      <c r="C111" s="1363"/>
      <c r="D111" s="743" t="s">
        <v>171</v>
      </c>
      <c r="E111" s="652">
        <f>'[1]2'!F111</f>
        <v>3396</v>
      </c>
      <c r="F111" s="775">
        <v>3398</v>
      </c>
      <c r="G111" s="652">
        <f t="shared" si="13"/>
        <v>2</v>
      </c>
      <c r="H111" s="653">
        <f>SUM(G111+'[1]1'!G83)</f>
        <v>348</v>
      </c>
      <c r="I111" s="652"/>
      <c r="J111" s="679">
        <f>H111/DAY(B2)</f>
        <v>116</v>
      </c>
      <c r="O111" s="410"/>
    </row>
    <row r="112" spans="1:15" s="524" customFormat="1" ht="27.75" x14ac:dyDescent="0.5">
      <c r="A112" s="1435" t="s">
        <v>136</v>
      </c>
      <c r="B112" s="1436"/>
      <c r="C112" s="1363"/>
      <c r="D112" s="743"/>
      <c r="E112" s="652"/>
      <c r="F112" s="775"/>
      <c r="G112" s="652">
        <f>SUM(G109:G111)</f>
        <v>115</v>
      </c>
      <c r="H112" s="653">
        <f>SUM(G112+'[1]1'!G84)</f>
        <v>679</v>
      </c>
      <c r="I112" s="652"/>
      <c r="J112" s="679">
        <f>H112/DAY(B2)</f>
        <v>226.33333333333334</v>
      </c>
      <c r="O112" s="410"/>
    </row>
    <row r="113" spans="1:15" s="524" customFormat="1" ht="27.75" x14ac:dyDescent="0.5">
      <c r="A113" s="1463" t="s">
        <v>249</v>
      </c>
      <c r="B113" s="1464"/>
      <c r="C113" s="1363"/>
      <c r="D113" s="743"/>
      <c r="E113" s="652"/>
      <c r="F113" s="775"/>
      <c r="G113" s="652"/>
      <c r="H113" s="653"/>
      <c r="I113" s="652"/>
      <c r="J113" s="679">
        <f>H113/DAY(B2)</f>
        <v>0</v>
      </c>
      <c r="O113" s="410"/>
    </row>
    <row r="114" spans="1:15" s="524" customFormat="1" ht="27.75" x14ac:dyDescent="0.5">
      <c r="A114" s="1439" t="s">
        <v>250</v>
      </c>
      <c r="B114" s="1440"/>
      <c r="C114" s="1362"/>
      <c r="D114" s="743" t="s">
        <v>171</v>
      </c>
      <c r="E114" s="654">
        <f>'[1]2'!F114</f>
        <v>8657</v>
      </c>
      <c r="F114" s="776">
        <v>8681</v>
      </c>
      <c r="G114" s="654">
        <f>F114-E114</f>
        <v>24</v>
      </c>
      <c r="H114" s="653">
        <f>SUM(G114+'[1]1'!G91)</f>
        <v>24</v>
      </c>
      <c r="I114" s="652"/>
      <c r="J114" s="679">
        <f>H114/DAY(B2)</f>
        <v>8</v>
      </c>
      <c r="O114" s="410"/>
    </row>
    <row r="115" spans="1:15" s="524" customFormat="1" ht="27.75" x14ac:dyDescent="0.5">
      <c r="A115" s="1439" t="s">
        <v>251</v>
      </c>
      <c r="B115" s="1440"/>
      <c r="C115" s="1362"/>
      <c r="D115" s="743" t="s">
        <v>171</v>
      </c>
      <c r="E115" s="654">
        <f>'[1]2'!F115</f>
        <v>6845</v>
      </c>
      <c r="F115" s="776">
        <v>6849</v>
      </c>
      <c r="G115" s="654">
        <f t="shared" ref="G115:G116" si="14">F115-E115</f>
        <v>4</v>
      </c>
      <c r="H115" s="653">
        <f>SUM(G115+'[1]1'!G92)</f>
        <v>116</v>
      </c>
      <c r="I115" s="652"/>
      <c r="J115" s="679">
        <f>H115/DAY(B2)</f>
        <v>38.666666666666664</v>
      </c>
      <c r="O115" s="410"/>
    </row>
    <row r="116" spans="1:15" s="524" customFormat="1" ht="27.75" x14ac:dyDescent="0.5">
      <c r="A116" s="1439" t="s">
        <v>252</v>
      </c>
      <c r="B116" s="1440"/>
      <c r="C116" s="1362"/>
      <c r="D116" s="743" t="s">
        <v>171</v>
      </c>
      <c r="E116" s="654"/>
      <c r="F116" s="776"/>
      <c r="G116" s="654">
        <f t="shared" si="14"/>
        <v>0</v>
      </c>
      <c r="H116" s="653">
        <f>SUM(G116+'[1]1'!G93)</f>
        <v>151</v>
      </c>
      <c r="I116" s="652"/>
      <c r="J116" s="679">
        <f>H116/DAY(B2)</f>
        <v>50.333333333333336</v>
      </c>
      <c r="O116" s="410"/>
    </row>
    <row r="117" spans="1:15" s="537" customFormat="1" ht="27.75" x14ac:dyDescent="0.5">
      <c r="A117" s="1435" t="s">
        <v>82</v>
      </c>
      <c r="B117" s="1436"/>
      <c r="C117" s="1362"/>
      <c r="D117" s="922"/>
      <c r="E117" s="654"/>
      <c r="F117" s="776"/>
      <c r="G117" s="654">
        <f>SUM(G114:G116)</f>
        <v>28</v>
      </c>
      <c r="H117" s="653">
        <f>SUM(G117+'[1]1'!G95)</f>
        <v>75</v>
      </c>
      <c r="I117" s="654"/>
      <c r="J117" s="679">
        <f>H117/DAY(B2)</f>
        <v>25</v>
      </c>
      <c r="O117" s="410"/>
    </row>
    <row r="118" spans="1:15" s="537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107</v>
      </c>
      <c r="G118" s="656">
        <f>SUM(G19+G92)</f>
        <v>107</v>
      </c>
      <c r="H118" s="653">
        <f>SUM(G118+'[1]1'!G96)</f>
        <v>140</v>
      </c>
      <c r="I118" s="655"/>
      <c r="J118" s="680">
        <f>H118/DAY(B2)</f>
        <v>46.666666666666664</v>
      </c>
      <c r="O118" s="410"/>
    </row>
    <row r="119" spans="1:15" s="537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103</v>
      </c>
      <c r="G119" s="656">
        <f>SUM(G95,G96,G97,G99,G100)</f>
        <v>103</v>
      </c>
      <c r="H119" s="653">
        <f>SUM(G119+'[1]1'!G98)</f>
        <v>170</v>
      </c>
      <c r="I119" s="655"/>
      <c r="J119" s="680">
        <f>H119/DAY(B2)</f>
        <v>56.666666666666664</v>
      </c>
      <c r="O119" s="410"/>
    </row>
    <row r="120" spans="1:15" s="537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115</v>
      </c>
      <c r="G120" s="654">
        <f>SUM(G112)</f>
        <v>115</v>
      </c>
      <c r="H120" s="653">
        <f>SUM(G120+'[1]1'!G100)</f>
        <v>115</v>
      </c>
      <c r="I120" s="655"/>
      <c r="J120" s="680">
        <f>H120/DAY(B2)</f>
        <v>38.333333333333336</v>
      </c>
      <c r="O120" s="410"/>
    </row>
    <row r="121" spans="1:15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O121" s="410"/>
    </row>
    <row r="122" spans="1:15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O122" s="410"/>
    </row>
    <row r="123" spans="1:15" ht="27.75" x14ac:dyDescent="0.5">
      <c r="A123" s="1354" t="s">
        <v>257</v>
      </c>
      <c r="B123" s="1355"/>
      <c r="C123" s="1355"/>
      <c r="D123" s="643" t="s">
        <v>168</v>
      </c>
      <c r="E123" s="598">
        <f>'[1]2'!F123</f>
        <v>789238.41599999997</v>
      </c>
      <c r="F123" s="598">
        <v>789450.19</v>
      </c>
      <c r="G123" s="593">
        <f t="shared" ref="G123:G127" si="15">F123-E123</f>
        <v>211.77399999997579</v>
      </c>
      <c r="H123" s="580">
        <f>G123+'[1]2'!H123</f>
        <v>619.11999999999534</v>
      </c>
      <c r="I123" s="646"/>
      <c r="J123" s="673">
        <f>H123/DAY(B2)</f>
        <v>206.37333333333177</v>
      </c>
      <c r="K123" s="408"/>
      <c r="L123" s="405"/>
      <c r="O123" s="410"/>
    </row>
    <row r="124" spans="1:15" ht="27.75" x14ac:dyDescent="0.5">
      <c r="A124" s="1354" t="s">
        <v>258</v>
      </c>
      <c r="B124" s="1355"/>
      <c r="C124" s="1355"/>
      <c r="D124" s="643" t="s">
        <v>168</v>
      </c>
      <c r="E124" s="747">
        <f>'[1]2'!F124</f>
        <v>73582.2</v>
      </c>
      <c r="F124" s="747">
        <v>73582.2</v>
      </c>
      <c r="G124" s="593">
        <f t="shared" si="15"/>
        <v>0</v>
      </c>
      <c r="H124" s="580">
        <f>G124+'[1]2'!H124</f>
        <v>0</v>
      </c>
      <c r="I124" s="646"/>
      <c r="J124" s="673">
        <f>H124/DAY(B2)</f>
        <v>0</v>
      </c>
      <c r="K124" s="408"/>
      <c r="L124" s="405"/>
      <c r="O124" s="410"/>
    </row>
    <row r="125" spans="1:15" ht="27.75" x14ac:dyDescent="0.5">
      <c r="A125" s="1395" t="s">
        <v>259</v>
      </c>
      <c r="B125" s="1396"/>
      <c r="C125" s="1397"/>
      <c r="D125" s="643" t="s">
        <v>168</v>
      </c>
      <c r="E125" s="598">
        <f>'[1]2'!F125</f>
        <v>133253.49</v>
      </c>
      <c r="F125" s="598">
        <v>133310.78</v>
      </c>
      <c r="G125" s="593">
        <f t="shared" si="15"/>
        <v>57.290000000008149</v>
      </c>
      <c r="H125" s="580">
        <f>G125+'[1]2'!H125</f>
        <v>187.89999999999418</v>
      </c>
      <c r="I125" s="646"/>
      <c r="J125" s="673">
        <f>H125/DAY(B2)</f>
        <v>62.633333333331393</v>
      </c>
      <c r="K125" s="408"/>
      <c r="L125" s="405"/>
      <c r="O125" s="410"/>
    </row>
    <row r="126" spans="1:15" ht="27.75" x14ac:dyDescent="0.5">
      <c r="A126" s="730" t="s">
        <v>260</v>
      </c>
      <c r="B126" s="1355"/>
      <c r="C126" s="1355"/>
      <c r="D126" s="643" t="s">
        <v>168</v>
      </c>
      <c r="E126" s="747">
        <f>'[1]2'!F126</f>
        <v>56393.5</v>
      </c>
      <c r="F126" s="747">
        <v>56419.4</v>
      </c>
      <c r="G126" s="593">
        <f t="shared" si="15"/>
        <v>25.900000000001455</v>
      </c>
      <c r="H126" s="580">
        <f>G126+'[1]2'!H126</f>
        <v>71.200000000004366</v>
      </c>
      <c r="I126" s="646"/>
      <c r="J126" s="673">
        <f>H126/DAY(B2)</f>
        <v>23.733333333334787</v>
      </c>
      <c r="K126" s="408"/>
      <c r="L126" s="405"/>
      <c r="O126" s="410"/>
    </row>
    <row r="127" spans="1:15" ht="27.75" x14ac:dyDescent="0.5">
      <c r="A127" s="730" t="s">
        <v>261</v>
      </c>
      <c r="B127" s="1355"/>
      <c r="C127" s="1355"/>
      <c r="D127" s="643" t="s">
        <v>168</v>
      </c>
      <c r="E127" s="747">
        <f>'[1]2'!F127</f>
        <v>8640.1</v>
      </c>
      <c r="F127" s="747">
        <v>8640.1</v>
      </c>
      <c r="G127" s="593">
        <f t="shared" si="15"/>
        <v>0</v>
      </c>
      <c r="H127" s="580">
        <f>G127+'[1]2'!H127</f>
        <v>0</v>
      </c>
      <c r="I127" s="600"/>
      <c r="J127" s="673">
        <f>H127/DAY(B2)</f>
        <v>0</v>
      </c>
      <c r="K127" s="408"/>
      <c r="L127" s="405"/>
      <c r="O127" s="410"/>
    </row>
    <row r="128" spans="1:15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223.48700000013196</v>
      </c>
      <c r="H128" s="580">
        <f>G128+'[1]2'!H128</f>
        <v>756.8500000000713</v>
      </c>
      <c r="I128" s="600"/>
      <c r="J128" s="673">
        <f>H128/DAY(B2)</f>
        <v>252.28333333335709</v>
      </c>
      <c r="K128" s="388"/>
      <c r="L128" s="290"/>
      <c r="O128" s="410"/>
    </row>
    <row r="129" spans="1:15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O129" s="410"/>
    </row>
    <row r="130" spans="1:15" ht="27.75" x14ac:dyDescent="0.5">
      <c r="A130" s="1354" t="s">
        <v>264</v>
      </c>
      <c r="B130" s="1355"/>
      <c r="C130" s="1355"/>
      <c r="D130" s="643" t="s">
        <v>265</v>
      </c>
      <c r="E130" s="604">
        <f>'[1]2'!F130</f>
        <v>0</v>
      </c>
      <c r="F130" s="598">
        <v>0</v>
      </c>
      <c r="G130" s="593">
        <f t="shared" ref="G130:G140" si="16">F130-E130</f>
        <v>0</v>
      </c>
      <c r="H130" s="580">
        <f>G130+'[1]2'!H130</f>
        <v>0</v>
      </c>
      <c r="I130" s="600"/>
      <c r="J130" s="673">
        <f>H130/DAY(B2)</f>
        <v>0</v>
      </c>
      <c r="O130" s="410"/>
    </row>
    <row r="131" spans="1:15" ht="27.75" x14ac:dyDescent="0.5">
      <c r="A131" s="1354" t="s">
        <v>266</v>
      </c>
      <c r="B131" s="1355"/>
      <c r="C131" s="1355"/>
      <c r="D131" s="643" t="s">
        <v>265</v>
      </c>
      <c r="E131" s="604">
        <f>'[1]2'!F131</f>
        <v>0</v>
      </c>
      <c r="F131" s="598">
        <v>0</v>
      </c>
      <c r="G131" s="593">
        <f t="shared" si="16"/>
        <v>0</v>
      </c>
      <c r="H131" s="580">
        <f>G131+'[1]2'!H131</f>
        <v>0</v>
      </c>
      <c r="I131" s="600"/>
      <c r="J131" s="673">
        <f>H131/DAY(B2)</f>
        <v>0</v>
      </c>
      <c r="O131" s="410"/>
    </row>
    <row r="132" spans="1:15" ht="27.75" x14ac:dyDescent="0.5">
      <c r="A132" s="1354" t="s">
        <v>267</v>
      </c>
      <c r="B132" s="1355"/>
      <c r="C132" s="1355"/>
      <c r="D132" s="643" t="s">
        <v>265</v>
      </c>
      <c r="E132" s="662">
        <f>'[1]2'!F132</f>
        <v>38877</v>
      </c>
      <c r="F132" s="768">
        <v>38877</v>
      </c>
      <c r="G132" s="593">
        <f t="shared" si="16"/>
        <v>0</v>
      </c>
      <c r="H132" s="580">
        <f>G132+'[1]2'!H132</f>
        <v>0</v>
      </c>
      <c r="I132" s="600"/>
      <c r="J132" s="673">
        <f>H132/DAY(B2)</f>
        <v>0</v>
      </c>
      <c r="O132" s="410"/>
    </row>
    <row r="133" spans="1:15" ht="27.75" x14ac:dyDescent="0.5">
      <c r="A133" s="1354" t="s">
        <v>268</v>
      </c>
      <c r="B133" s="1355"/>
      <c r="C133" s="1355"/>
      <c r="D133" s="643" t="s">
        <v>265</v>
      </c>
      <c r="E133" s="662">
        <f>'[1]2'!F133</f>
        <v>34948</v>
      </c>
      <c r="F133" s="605">
        <v>34948</v>
      </c>
      <c r="G133" s="593">
        <f t="shared" si="16"/>
        <v>0</v>
      </c>
      <c r="H133" s="580">
        <f>G133+'[1]2'!H133</f>
        <v>0</v>
      </c>
      <c r="I133" s="600"/>
      <c r="J133" s="673">
        <f>H133/DAY(B2)</f>
        <v>0</v>
      </c>
      <c r="O133" s="410"/>
    </row>
    <row r="134" spans="1:15" ht="27.75" x14ac:dyDescent="0.5">
      <c r="A134" s="1354" t="s">
        <v>269</v>
      </c>
      <c r="B134" s="1355"/>
      <c r="C134" s="1355"/>
      <c r="D134" s="643" t="s">
        <v>265</v>
      </c>
      <c r="E134" s="662">
        <f>'[1]2'!F134</f>
        <v>39735</v>
      </c>
      <c r="F134" s="605">
        <v>39735</v>
      </c>
      <c r="G134" s="593">
        <f t="shared" si="16"/>
        <v>0</v>
      </c>
      <c r="H134" s="580">
        <f>G134+'[1]2'!H134</f>
        <v>0</v>
      </c>
      <c r="I134" s="600"/>
      <c r="J134" s="673">
        <f>H134/DAY(B2)</f>
        <v>0</v>
      </c>
      <c r="O134" s="410"/>
    </row>
    <row r="135" spans="1:15" ht="27.75" x14ac:dyDescent="0.5">
      <c r="A135" s="1354" t="s">
        <v>270</v>
      </c>
      <c r="B135" s="1355"/>
      <c r="C135" s="1355"/>
      <c r="D135" s="643" t="s">
        <v>265</v>
      </c>
      <c r="E135" s="662">
        <f>'[1]2'!F135</f>
        <v>31764</v>
      </c>
      <c r="F135" s="605">
        <v>31788</v>
      </c>
      <c r="G135" s="593">
        <f t="shared" si="16"/>
        <v>24</v>
      </c>
      <c r="H135" s="580">
        <f>G135+'[1]2'!H135</f>
        <v>71.569999999999709</v>
      </c>
      <c r="I135" s="600">
        <f t="shared" ref="I135" si="17">G132+G133+G134+G135</f>
        <v>24</v>
      </c>
      <c r="J135" s="673">
        <f>H135/DAY(B2)</f>
        <v>23.85666666666657</v>
      </c>
      <c r="O135" s="410"/>
    </row>
    <row r="136" spans="1:15" ht="27.75" x14ac:dyDescent="0.5">
      <c r="A136" s="1354" t="s">
        <v>271</v>
      </c>
      <c r="B136" s="1355"/>
      <c r="C136" s="1355"/>
      <c r="D136" s="643" t="s">
        <v>265</v>
      </c>
      <c r="E136" s="662">
        <f>'[1]2'!F136</f>
        <v>21680.53</v>
      </c>
      <c r="F136" s="768">
        <v>21680.53</v>
      </c>
      <c r="G136" s="593">
        <f t="shared" si="16"/>
        <v>0</v>
      </c>
      <c r="H136" s="580">
        <f>G136+'[1]2'!H136</f>
        <v>5.8099999999976717</v>
      </c>
      <c r="I136" s="600"/>
      <c r="J136" s="673">
        <f>H136/DAY(B2)</f>
        <v>1.9366666666658905</v>
      </c>
      <c r="O136" s="410"/>
    </row>
    <row r="137" spans="1:15" ht="27.75" x14ac:dyDescent="0.5">
      <c r="A137" s="1354" t="s">
        <v>272</v>
      </c>
      <c r="B137" s="1355"/>
      <c r="C137" s="1355"/>
      <c r="D137" s="643" t="s">
        <v>265</v>
      </c>
      <c r="E137" s="662">
        <f>'[1]2'!F137</f>
        <v>24932.51</v>
      </c>
      <c r="F137" s="768">
        <v>24932.5</v>
      </c>
      <c r="G137" s="593">
        <f t="shared" si="16"/>
        <v>-9.9999999983992893E-3</v>
      </c>
      <c r="H137" s="580">
        <f>G137+'[1]2'!H137</f>
        <v>-9.9999999983992893E-3</v>
      </c>
      <c r="I137" s="600"/>
      <c r="J137" s="673">
        <f>H137/DAY(B2)</f>
        <v>-3.333333332799763E-3</v>
      </c>
      <c r="O137" s="410"/>
    </row>
    <row r="138" spans="1:15" ht="27.75" x14ac:dyDescent="0.5">
      <c r="A138" s="1354" t="s">
        <v>273</v>
      </c>
      <c r="B138" s="1355"/>
      <c r="C138" s="1355"/>
      <c r="D138" s="643" t="s">
        <v>265</v>
      </c>
      <c r="E138" s="662">
        <f>'[1]2'!F138</f>
        <v>69963.3</v>
      </c>
      <c r="F138" s="768">
        <v>69972.34</v>
      </c>
      <c r="G138" s="593">
        <f t="shared" si="16"/>
        <v>9.0399999999935972</v>
      </c>
      <c r="H138" s="580">
        <f>G138+'[1]2'!H138</f>
        <v>17.129999999990105</v>
      </c>
      <c r="I138" s="600">
        <f>G136+G137+G138</f>
        <v>9.0299999999951979</v>
      </c>
      <c r="J138" s="673">
        <f>H138/DAY(B2)</f>
        <v>5.7099999999967013</v>
      </c>
      <c r="O138" s="410"/>
    </row>
    <row r="139" spans="1:15" ht="27.75" x14ac:dyDescent="0.5">
      <c r="A139" s="1354" t="s">
        <v>274</v>
      </c>
      <c r="B139" s="1355"/>
      <c r="C139" s="1355"/>
      <c r="D139" s="643" t="s">
        <v>265</v>
      </c>
      <c r="E139" s="662">
        <f>'[1]2'!F139</f>
        <v>952.87</v>
      </c>
      <c r="F139" s="605">
        <v>958.19</v>
      </c>
      <c r="G139" s="593">
        <f t="shared" si="16"/>
        <v>5.32000000000005</v>
      </c>
      <c r="H139" s="580">
        <f>G139+'[1]2'!H139</f>
        <v>16.660000000000082</v>
      </c>
      <c r="I139" s="663"/>
      <c r="J139" s="673">
        <f>H139/DAY(B2)</f>
        <v>5.5533333333333603</v>
      </c>
      <c r="O139" s="410"/>
    </row>
    <row r="140" spans="1:15" ht="27.75" x14ac:dyDescent="0.5">
      <c r="A140" s="1354" t="s">
        <v>275</v>
      </c>
      <c r="B140" s="1355"/>
      <c r="C140" s="1355"/>
      <c r="D140" s="643" t="s">
        <v>265</v>
      </c>
      <c r="E140" s="662">
        <f>'[1]2'!F140</f>
        <v>4156.9799999999996</v>
      </c>
      <c r="F140" s="598">
        <v>4156.9799999999996</v>
      </c>
      <c r="G140" s="593">
        <f t="shared" si="16"/>
        <v>0</v>
      </c>
      <c r="H140" s="580">
        <f>G140+'[1]2'!H140</f>
        <v>7.999999999992724E-2</v>
      </c>
      <c r="I140" s="663">
        <f>G140+G177</f>
        <v>0</v>
      </c>
      <c r="J140" s="673">
        <f>H140/DAY(B2)</f>
        <v>2.6666666666642413E-2</v>
      </c>
      <c r="O140" s="410"/>
    </row>
    <row r="141" spans="1:15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O141" s="410"/>
    </row>
    <row r="142" spans="1:15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5015.528999999995</v>
      </c>
      <c r="H142" s="580">
        <f>G142+'[1]2'!H142</f>
        <v>14448.331999999958</v>
      </c>
      <c r="I142" s="600"/>
      <c r="J142" s="673">
        <f>H142/DAY(B2)</f>
        <v>4816.1106666666528</v>
      </c>
      <c r="K142" s="408"/>
      <c r="L142" s="405"/>
      <c r="O142" s="410"/>
    </row>
    <row r="143" spans="1:15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0.26851164409229589</v>
      </c>
      <c r="H143" s="580">
        <f>G143+'[1]2'!H143</f>
        <v>0.59350054031012667</v>
      </c>
      <c r="I143" s="665"/>
      <c r="J143" s="673">
        <f>H143/DAY(B2)</f>
        <v>0.19783351343670888</v>
      </c>
      <c r="K143" s="408"/>
      <c r="L143" s="405"/>
      <c r="O143" s="410"/>
    </row>
    <row r="144" spans="1:15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4174.2799999999697</v>
      </c>
      <c r="H144" s="580">
        <f>G144+'[1]2'!H144</f>
        <v>13591.319999999978</v>
      </c>
      <c r="I144" s="600"/>
      <c r="J144" s="673">
        <f>H144/DAY(B2)</f>
        <v>4530.4399999999923</v>
      </c>
      <c r="K144" s="408"/>
      <c r="L144" s="405"/>
      <c r="O144" s="410"/>
    </row>
    <row r="145" spans="1:15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0.22347449006905989</v>
      </c>
      <c r="H145" s="580">
        <f>G145+'[1]2'!H145</f>
        <v>0.71023476032254318</v>
      </c>
      <c r="I145" s="665"/>
      <c r="J145" s="673">
        <f>H145/DAY(B2)</f>
        <v>0.23674492010751438</v>
      </c>
      <c r="K145" s="408"/>
      <c r="L145" s="405"/>
      <c r="O145" s="410"/>
    </row>
    <row r="146" spans="1:15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4015.398000000001</v>
      </c>
      <c r="H146" s="580">
        <f>G146+'[1]2'!H146</f>
        <v>12413.118000000002</v>
      </c>
      <c r="I146" s="666"/>
      <c r="J146" s="673">
        <f>H146/DAY(B2)</f>
        <v>4137.706000000001</v>
      </c>
      <c r="K146" s="408"/>
      <c r="L146" s="405"/>
      <c r="O146" s="410"/>
    </row>
    <row r="147" spans="1:15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0.21496857433481456</v>
      </c>
      <c r="H147" s="580">
        <f>G147+'[1]2'!H147</f>
        <v>0.64904664895239961</v>
      </c>
      <c r="I147" s="666"/>
      <c r="J147" s="673">
        <f>H147/DAY(B2)</f>
        <v>0.21634888298413321</v>
      </c>
      <c r="O147" s="410"/>
    </row>
    <row r="148" spans="1:15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1727.679999999993</v>
      </c>
      <c r="H148" s="580">
        <f>G148+'[1]2'!H148</f>
        <v>5411.8400000000256</v>
      </c>
      <c r="I148" s="600"/>
      <c r="J148" s="673">
        <f>H148/DAY(B2)</f>
        <v>1803.9466666666751</v>
      </c>
      <c r="K148" s="409"/>
      <c r="O148" s="410"/>
    </row>
    <row r="149" spans="1:15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9.2493174152791527E-2</v>
      </c>
      <c r="H149" s="580">
        <f>G149+'[1]2'!H149</f>
        <v>0.28294021418121845</v>
      </c>
      <c r="I149" s="666"/>
      <c r="J149" s="673">
        <f>H149/DAY(B2)</f>
        <v>9.4313404727072822E-2</v>
      </c>
      <c r="O149" s="410"/>
    </row>
    <row r="150" spans="1:15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1755.859999999986</v>
      </c>
      <c r="H150" s="580">
        <f>G150+'[1]2'!H150</f>
        <v>6188.6399999999558</v>
      </c>
      <c r="I150" s="666"/>
      <c r="J150" s="673">
        <f>H150/DAY(B2)</f>
        <v>2062.8799999999851</v>
      </c>
      <c r="O150" s="410"/>
    </row>
    <row r="151" spans="1:15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9.4001820225921406E-2</v>
      </c>
      <c r="H151" s="580">
        <f>G151+'[1]2'!H151</f>
        <v>0.32334532439787117</v>
      </c>
      <c r="I151" s="600"/>
      <c r="J151" s="673">
        <f>H151/DAY(B2)</f>
        <v>0.10778177479929039</v>
      </c>
      <c r="O151" s="410"/>
    </row>
    <row r="152" spans="1:15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1372.1690000000017</v>
      </c>
      <c r="H152" s="580">
        <f>G152+'[1]2'!H152</f>
        <v>4203.8919999999998</v>
      </c>
      <c r="I152" s="600"/>
      <c r="J152" s="673">
        <f>H152/DAY(B2)</f>
        <v>1401.2973333333332</v>
      </c>
      <c r="O152" s="410"/>
    </row>
    <row r="153" spans="1:15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7.3460517158306204E-2</v>
      </c>
      <c r="H153" s="580">
        <f>G153+'[1]2'!H153</f>
        <v>0.21983748535556763</v>
      </c>
      <c r="I153" s="689"/>
      <c r="J153" s="690">
        <f>H153/DAY(B2)</f>
        <v>7.3279161785189215E-2</v>
      </c>
      <c r="O153" s="410"/>
    </row>
    <row r="154" spans="1:15" x14ac:dyDescent="0.5">
      <c r="O154" s="410"/>
    </row>
    <row r="156" spans="1:15" ht="24" customHeight="1" x14ac:dyDescent="0.5"/>
    <row r="157" spans="1:15" ht="29.25" customHeight="1" x14ac:dyDescent="0.5">
      <c r="A157" s="1457" t="s">
        <v>294</v>
      </c>
      <c r="B157" s="1458"/>
      <c r="C157" s="1458"/>
      <c r="D157" s="1458"/>
      <c r="E157" s="1458"/>
      <c r="F157" s="1458"/>
      <c r="G157" s="1459"/>
    </row>
    <row r="158" spans="1:15" x14ac:dyDescent="0.5">
      <c r="A158" s="925"/>
      <c r="B158" s="926"/>
      <c r="C158" s="926"/>
      <c r="D158" s="631"/>
      <c r="E158" s="575"/>
      <c r="F158" s="775"/>
      <c r="G158" s="593"/>
    </row>
    <row r="159" spans="1:15" x14ac:dyDescent="0.5">
      <c r="A159" s="925"/>
      <c r="B159" s="926"/>
      <c r="C159" s="926"/>
      <c r="D159" s="631"/>
      <c r="E159" s="575"/>
      <c r="F159" s="775"/>
      <c r="G159" s="593"/>
    </row>
    <row r="160" spans="1:15" x14ac:dyDescent="0.5">
      <c r="A160" s="925" t="s">
        <v>289</v>
      </c>
      <c r="B160" s="926"/>
      <c r="C160" s="926"/>
      <c r="D160" s="631" t="s">
        <v>214</v>
      </c>
      <c r="E160" s="775">
        <f>'[1]2'!F160</f>
        <v>23986.06</v>
      </c>
      <c r="F160" s="775">
        <v>24058.050999999999</v>
      </c>
      <c r="G160" s="593">
        <f t="shared" ref="G160:G171" si="18">F160-E160</f>
        <v>71.990999999998166</v>
      </c>
      <c r="H160" s="659">
        <v>72.86699999999837</v>
      </c>
      <c r="I160" s="660">
        <f>G160-H160</f>
        <v>-0.87600000000020373</v>
      </c>
    </row>
    <row r="161" spans="1:9" x14ac:dyDescent="0.5">
      <c r="A161" s="925" t="s">
        <v>290</v>
      </c>
      <c r="B161" s="926"/>
      <c r="C161" s="926"/>
      <c r="D161" s="631" t="s">
        <v>214</v>
      </c>
      <c r="E161" s="775">
        <f>'[1]2'!F161</f>
        <v>11737.3</v>
      </c>
      <c r="F161" s="775">
        <v>12376.206</v>
      </c>
      <c r="G161" s="593">
        <f t="shared" si="18"/>
        <v>638.90600000000086</v>
      </c>
      <c r="H161" s="659">
        <v>115.86999999999898</v>
      </c>
      <c r="I161" s="660">
        <f t="shared" ref="I161:I171" si="19">G161-H161</f>
        <v>523.03600000000188</v>
      </c>
    </row>
    <row r="162" spans="1:9" x14ac:dyDescent="0.5">
      <c r="A162" s="925" t="s">
        <v>291</v>
      </c>
      <c r="B162" s="926"/>
      <c r="C162" s="926"/>
      <c r="D162" s="631" t="s">
        <v>214</v>
      </c>
      <c r="E162" s="775">
        <f>'[1]2'!F162</f>
        <v>37831.682999999997</v>
      </c>
      <c r="F162" s="775">
        <v>38057.267999999996</v>
      </c>
      <c r="G162" s="593">
        <f t="shared" si="18"/>
        <v>225.58499999999913</v>
      </c>
      <c r="H162" s="659">
        <v>184.81999999999971</v>
      </c>
      <c r="I162" s="660">
        <f t="shared" si="19"/>
        <v>40.764999999999418</v>
      </c>
    </row>
    <row r="163" spans="1:9" x14ac:dyDescent="0.5">
      <c r="A163" s="925" t="s">
        <v>292</v>
      </c>
      <c r="B163" s="926"/>
      <c r="C163" s="926"/>
      <c r="D163" s="631" t="s">
        <v>214</v>
      </c>
      <c r="E163" s="775">
        <f>'[1]2'!F163</f>
        <v>3549.61</v>
      </c>
      <c r="F163" s="775">
        <v>3580.8</v>
      </c>
      <c r="G163" s="593">
        <f t="shared" si="18"/>
        <v>31.190000000000055</v>
      </c>
      <c r="H163" s="659">
        <v>17.309999999999945</v>
      </c>
      <c r="I163" s="660">
        <f t="shared" si="19"/>
        <v>13.880000000000109</v>
      </c>
    </row>
    <row r="164" spans="1:9" x14ac:dyDescent="0.4">
      <c r="A164" s="927" t="s">
        <v>121</v>
      </c>
      <c r="B164" s="725"/>
      <c r="C164" s="725"/>
      <c r="D164" s="631" t="s">
        <v>214</v>
      </c>
      <c r="E164" s="775">
        <f>'[1]2'!F164</f>
        <v>20419.188999999998</v>
      </c>
      <c r="F164" s="634">
        <f>F62</f>
        <v>20419</v>
      </c>
      <c r="G164" s="593">
        <f t="shared" si="18"/>
        <v>-0.1889999999984866</v>
      </c>
      <c r="H164" s="659">
        <v>0</v>
      </c>
      <c r="I164" s="660">
        <f t="shared" si="19"/>
        <v>-0.1889999999984866</v>
      </c>
    </row>
    <row r="165" spans="1:9" x14ac:dyDescent="0.4">
      <c r="A165" s="927" t="s">
        <v>215</v>
      </c>
      <c r="B165" s="725"/>
      <c r="C165" s="725"/>
      <c r="D165" s="631" t="s">
        <v>214</v>
      </c>
      <c r="E165" s="775">
        <f>'[1]2'!F165</f>
        <v>889.46</v>
      </c>
      <c r="F165" s="634">
        <f t="shared" ref="F165:F171" si="20">F63</f>
        <v>905.37</v>
      </c>
      <c r="G165" s="593">
        <f t="shared" si="18"/>
        <v>15.909999999999968</v>
      </c>
      <c r="H165" s="659">
        <v>-0.47999999999956344</v>
      </c>
      <c r="I165" s="660">
        <f t="shared" si="19"/>
        <v>16.389999999999532</v>
      </c>
    </row>
    <row r="166" spans="1:9" ht="21.75" customHeight="1" x14ac:dyDescent="0.5">
      <c r="A166" s="1320" t="s">
        <v>122</v>
      </c>
      <c r="B166" s="1320"/>
      <c r="C166" s="1320"/>
      <c r="D166" s="643" t="s">
        <v>214</v>
      </c>
      <c r="E166" s="775">
        <f>'[1]2'!F166</f>
        <v>87475.934999999998</v>
      </c>
      <c r="F166" s="634">
        <f t="shared" si="20"/>
        <v>87837.167499999996</v>
      </c>
      <c r="G166" s="593">
        <f t="shared" si="18"/>
        <v>361.23249999999825</v>
      </c>
      <c r="H166" s="659">
        <v>271.15200000000186</v>
      </c>
      <c r="I166" s="660">
        <f t="shared" si="19"/>
        <v>90.080499999996391</v>
      </c>
    </row>
    <row r="167" spans="1:9" ht="21.75" customHeight="1" x14ac:dyDescent="0.5">
      <c r="A167" s="1320" t="s">
        <v>123</v>
      </c>
      <c r="B167" s="1320"/>
      <c r="C167" s="1320"/>
      <c r="D167" s="643" t="s">
        <v>214</v>
      </c>
      <c r="E167" s="775">
        <f>'[1]2'!F167</f>
        <v>97435.25</v>
      </c>
      <c r="F167" s="634">
        <f t="shared" si="20"/>
        <v>97836.535000000003</v>
      </c>
      <c r="G167" s="593">
        <f t="shared" si="18"/>
        <v>401.28500000000349</v>
      </c>
      <c r="H167" s="659">
        <v>372.92000000001281</v>
      </c>
      <c r="I167" s="660">
        <f t="shared" si="19"/>
        <v>28.364999999990687</v>
      </c>
    </row>
    <row r="168" spans="1:9" ht="21.75" customHeight="1" x14ac:dyDescent="0.5">
      <c r="A168" s="1320" t="s">
        <v>124</v>
      </c>
      <c r="B168" s="1320"/>
      <c r="C168" s="1320"/>
      <c r="D168" s="643" t="s">
        <v>214</v>
      </c>
      <c r="E168" s="775">
        <f>'[1]2'!F168</f>
        <v>90800.53</v>
      </c>
      <c r="F168" s="634">
        <f t="shared" si="20"/>
        <v>91177.494999999995</v>
      </c>
      <c r="G168" s="593">
        <f t="shared" si="18"/>
        <v>376.96499999999651</v>
      </c>
      <c r="H168" s="659">
        <v>384.8520000000135</v>
      </c>
      <c r="I168" s="660">
        <f>G168-H168</f>
        <v>-7.8870000000169966</v>
      </c>
    </row>
    <row r="169" spans="1:9" ht="12.75" customHeight="1" x14ac:dyDescent="0.5">
      <c r="A169" s="1320" t="s">
        <v>125</v>
      </c>
      <c r="B169" s="1320"/>
      <c r="C169" s="1320"/>
      <c r="D169" s="643" t="s">
        <v>214</v>
      </c>
      <c r="E169" s="775">
        <f>'[1]2'!F169</f>
        <v>147553.99</v>
      </c>
      <c r="F169" s="634">
        <f t="shared" si="20"/>
        <v>148230.29999999999</v>
      </c>
      <c r="G169" s="593">
        <f t="shared" si="18"/>
        <v>676.30999999999767</v>
      </c>
      <c r="H169" s="659">
        <v>451.52000000000407</v>
      </c>
      <c r="I169" s="660">
        <f t="shared" si="19"/>
        <v>224.7899999999936</v>
      </c>
    </row>
    <row r="170" spans="1:9" ht="24" customHeight="1" x14ac:dyDescent="0.5">
      <c r="A170" s="1320" t="s">
        <v>126</v>
      </c>
      <c r="B170" s="1320"/>
      <c r="C170" s="1320"/>
      <c r="D170" s="643" t="s">
        <v>214</v>
      </c>
      <c r="E170" s="775">
        <f>'[1]2'!F170</f>
        <v>43935.398999999998</v>
      </c>
      <c r="F170" s="634">
        <f t="shared" si="20"/>
        <v>44295.247000000003</v>
      </c>
      <c r="G170" s="593">
        <f t="shared" si="18"/>
        <v>359.84800000000541</v>
      </c>
      <c r="H170" s="659">
        <v>264.56499999999869</v>
      </c>
      <c r="I170" s="660">
        <f t="shared" si="19"/>
        <v>95.283000000006723</v>
      </c>
    </row>
    <row r="171" spans="1:9" ht="27.75" x14ac:dyDescent="0.5">
      <c r="A171" s="1320" t="s">
        <v>127</v>
      </c>
      <c r="B171" s="1320"/>
      <c r="C171" s="1320"/>
      <c r="D171" s="643" t="s">
        <v>214</v>
      </c>
      <c r="E171" s="775">
        <f>'[1]2'!F171</f>
        <v>38132.65</v>
      </c>
      <c r="F171" s="634">
        <f t="shared" si="20"/>
        <v>38416.834999999999</v>
      </c>
      <c r="G171" s="593">
        <f t="shared" si="18"/>
        <v>284.18499999999767</v>
      </c>
      <c r="H171" s="659">
        <v>137.0779999999977</v>
      </c>
      <c r="I171" s="660">
        <f t="shared" si="19"/>
        <v>147.10699999999997</v>
      </c>
    </row>
    <row r="172" spans="1:9" ht="27.75" x14ac:dyDescent="0.5">
      <c r="A172" s="1450"/>
      <c r="B172" s="1450"/>
      <c r="C172" s="1450"/>
      <c r="D172" s="643"/>
      <c r="E172" s="634"/>
      <c r="F172" s="634"/>
      <c r="G172" s="593"/>
      <c r="I172" s="660">
        <f>SUM(I160:I171)</f>
        <v>1170.7444999999725</v>
      </c>
    </row>
    <row r="176" spans="1:9" ht="18.75" customHeight="1" x14ac:dyDescent="0.5"/>
    <row r="184" ht="29.25" customHeight="1" x14ac:dyDescent="0.5"/>
    <row r="185" ht="29.25" customHeight="1" x14ac:dyDescent="0.5"/>
    <row r="186" ht="29.25" customHeight="1" x14ac:dyDescent="0.5"/>
    <row r="187" ht="29.25" customHeight="1" x14ac:dyDescent="0.5"/>
    <row r="188" ht="29.25" customHeight="1" x14ac:dyDescent="0.5"/>
    <row r="189" ht="29.25" customHeight="1" x14ac:dyDescent="0.5"/>
    <row r="190" ht="29.25" customHeight="1" x14ac:dyDescent="0.5"/>
  </sheetData>
  <mergeCells count="70">
    <mergeCell ref="A157:G157"/>
    <mergeCell ref="A172:C172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zoomScale="55" zoomScaleNormal="48" zoomScaleSheetLayoutView="55" workbookViewId="0">
      <selection activeCell="E15" sqref="E15"/>
    </sheetView>
  </sheetViews>
  <sheetFormatPr defaultColWidth="22.33203125" defaultRowHeight="29.25" x14ac:dyDescent="0.5"/>
  <cols>
    <col min="1" max="1" width="40.109375" style="574" customWidth="1"/>
    <col min="2" max="2" width="29.77734375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6.1093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109375" style="404" customWidth="1"/>
    <col min="15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295</v>
      </c>
      <c r="B2" s="1173">
        <v>44169</v>
      </c>
      <c r="C2" s="1361" t="s">
        <v>84</v>
      </c>
      <c r="D2" s="732">
        <v>0.3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31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0.8</v>
      </c>
      <c r="E4" s="584"/>
      <c r="F4" s="584"/>
      <c r="G4" s="584"/>
      <c r="H4" s="584"/>
      <c r="I4" s="585"/>
      <c r="J4" s="736"/>
      <c r="K4" s="400"/>
      <c r="L4" s="290"/>
    </row>
    <row r="5" spans="1:15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5" ht="30" thickBot="1" x14ac:dyDescent="0.45">
      <c r="A7" s="793" t="s">
        <v>158</v>
      </c>
      <c r="B7" s="794"/>
      <c r="C7" s="794"/>
      <c r="D7" s="759" t="s">
        <v>159</v>
      </c>
      <c r="E7" s="575">
        <f>'[1]3'!F7</f>
        <v>2725819</v>
      </c>
      <c r="F7" s="575">
        <v>2745430</v>
      </c>
      <c r="G7" s="806">
        <f>F7-E7</f>
        <v>19611</v>
      </c>
      <c r="H7" s="796">
        <f>G7+'[1]3'!H7</f>
        <v>76985</v>
      </c>
      <c r="I7" s="797">
        <f>'[1]1'!I7</f>
        <v>12000</v>
      </c>
      <c r="J7" s="798">
        <f>H7/DAY(B2)</f>
        <v>19246.25</v>
      </c>
      <c r="K7" s="670"/>
      <c r="L7" s="405"/>
      <c r="N7" s="404">
        <v>15154</v>
      </c>
      <c r="O7" s="410"/>
    </row>
    <row r="8" spans="1:15" ht="27.75" thickBot="1" x14ac:dyDescent="0.45">
      <c r="A8" s="799" t="s">
        <v>160</v>
      </c>
      <c r="B8" s="800"/>
      <c r="C8" s="801"/>
      <c r="D8" s="802" t="s">
        <v>39</v>
      </c>
      <c r="E8" s="575">
        <f>'[1]3'!F8</f>
        <v>2741079</v>
      </c>
      <c r="F8" s="595">
        <v>2760925</v>
      </c>
      <c r="G8" s="806">
        <f>F8-E8</f>
        <v>19846</v>
      </c>
      <c r="H8" s="796">
        <f>G8+'[1]3'!H8</f>
        <v>77886</v>
      </c>
      <c r="I8" s="803">
        <v>12000</v>
      </c>
      <c r="J8" s="798">
        <f>H8/DAY(B2)</f>
        <v>19471.5</v>
      </c>
      <c r="K8" s="670"/>
      <c r="L8" s="460"/>
      <c r="M8" s="522"/>
      <c r="N8" s="404">
        <v>15258</v>
      </c>
      <c r="O8" s="410"/>
    </row>
    <row r="9" spans="1:15" x14ac:dyDescent="0.4">
      <c r="A9" s="804" t="s">
        <v>161</v>
      </c>
      <c r="B9" s="805"/>
      <c r="C9" s="805"/>
      <c r="D9" s="759" t="s">
        <v>159</v>
      </c>
      <c r="E9" s="575">
        <f>'[1]3'!F9</f>
        <v>2265063.5</v>
      </c>
      <c r="F9" s="598">
        <v>2271725.5</v>
      </c>
      <c r="G9" s="819">
        <f t="shared" ref="G9:G12" si="0">F9-E9</f>
        <v>6662</v>
      </c>
      <c r="H9" s="796">
        <f>G9+'[1]3'!H9</f>
        <v>14689</v>
      </c>
      <c r="I9" s="807">
        <f>I8-J8</f>
        <v>-7471.5</v>
      </c>
      <c r="J9" s="798">
        <f>H9/DAY(B2)</f>
        <v>3672.25</v>
      </c>
      <c r="K9" s="508"/>
      <c r="L9" s="405"/>
      <c r="N9" s="404">
        <v>14616.899999999907</v>
      </c>
      <c r="O9" s="410"/>
    </row>
    <row r="10" spans="1:15" x14ac:dyDescent="0.4">
      <c r="A10" s="793" t="s">
        <v>162</v>
      </c>
      <c r="B10" s="794"/>
      <c r="C10" s="794"/>
      <c r="D10" s="759" t="s">
        <v>159</v>
      </c>
      <c r="E10" s="575">
        <f>'[1]3'!F10</f>
        <v>350153.19</v>
      </c>
      <c r="F10" s="598">
        <v>362418.75</v>
      </c>
      <c r="G10" s="806">
        <f t="shared" si="0"/>
        <v>12265.559999999998</v>
      </c>
      <c r="H10" s="796">
        <f>G10+'[1]3'!H10</f>
        <v>59468.460000000021</v>
      </c>
      <c r="I10" s="808"/>
      <c r="J10" s="798">
        <f>H10/DAY(B2)</f>
        <v>14867.115000000005</v>
      </c>
      <c r="K10" s="508"/>
      <c r="L10" s="405"/>
      <c r="O10" s="410"/>
    </row>
    <row r="11" spans="1:15" x14ac:dyDescent="0.4">
      <c r="A11" s="793" t="s">
        <v>163</v>
      </c>
      <c r="B11" s="794"/>
      <c r="C11" s="794"/>
      <c r="D11" s="759" t="s">
        <v>159</v>
      </c>
      <c r="E11" s="575">
        <f>'[1]3'!F11</f>
        <v>35390</v>
      </c>
      <c r="F11" s="575">
        <v>35390</v>
      </c>
      <c r="G11" s="806">
        <f t="shared" si="0"/>
        <v>0</v>
      </c>
      <c r="H11" s="796">
        <f>G11+'[1]3'!H11</f>
        <v>0</v>
      </c>
      <c r="I11" s="808"/>
      <c r="J11" s="798">
        <f>H11/DAY(B2)</f>
        <v>0</v>
      </c>
      <c r="K11" s="508"/>
      <c r="L11" s="405"/>
      <c r="O11" s="410"/>
    </row>
    <row r="12" spans="1:15" x14ac:dyDescent="0.4">
      <c r="A12" s="793" t="s">
        <v>164</v>
      </c>
      <c r="B12" s="794"/>
      <c r="C12" s="794"/>
      <c r="D12" s="759" t="s">
        <v>159</v>
      </c>
      <c r="E12" s="575">
        <f>'[1]3'!F12</f>
        <v>37630</v>
      </c>
      <c r="F12" s="598">
        <v>37630</v>
      </c>
      <c r="G12" s="806">
        <f t="shared" si="0"/>
        <v>0</v>
      </c>
      <c r="H12" s="796">
        <f>G12+'[1]3'!H12</f>
        <v>0</v>
      </c>
      <c r="I12" s="808"/>
      <c r="J12" s="798">
        <f>H12/DAY(B2)</f>
        <v>0</v>
      </c>
      <c r="K12" s="508"/>
      <c r="L12" s="405"/>
      <c r="O12" s="410"/>
    </row>
    <row r="13" spans="1:15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18927.559999999998</v>
      </c>
      <c r="H13" s="796">
        <f>G13+'[1]3'!H13</f>
        <v>74157.460000000021</v>
      </c>
      <c r="I13" s="812">
        <f>G7-G13</f>
        <v>683.44000000000233</v>
      </c>
      <c r="J13" s="798">
        <f>H13/DAY(B2)</f>
        <v>18539.365000000005</v>
      </c>
      <c r="K13" s="508"/>
      <c r="L13" s="405"/>
      <c r="O13" s="410"/>
    </row>
    <row r="14" spans="1:15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O14" s="410"/>
    </row>
    <row r="15" spans="1:15" x14ac:dyDescent="0.5">
      <c r="A15" s="933" t="s">
        <v>167</v>
      </c>
      <c r="B15" s="928"/>
      <c r="C15" s="928"/>
      <c r="D15" s="644" t="s">
        <v>168</v>
      </c>
      <c r="E15" s="575">
        <f>'[1]3'!F15</f>
        <v>1548532.6710000001</v>
      </c>
      <c r="F15" s="605">
        <v>1549223.8470000001</v>
      </c>
      <c r="G15" s="921">
        <f>F15-E15</f>
        <v>691.17599999997765</v>
      </c>
      <c r="H15" s="796">
        <f>G15+'[1]3'!H15</f>
        <v>2326.2460000000428</v>
      </c>
      <c r="I15" s="594">
        <v>800</v>
      </c>
      <c r="J15" s="674">
        <f>H15/DAY(B2)</f>
        <v>581.56150000001071</v>
      </c>
      <c r="K15" s="508"/>
      <c r="L15" s="405"/>
      <c r="O15" s="410"/>
    </row>
    <row r="16" spans="1:15" x14ac:dyDescent="0.4">
      <c r="A16" s="931"/>
      <c r="B16" s="932"/>
      <c r="C16" s="932"/>
      <c r="D16" s="929"/>
      <c r="E16" s="930"/>
      <c r="F16" s="605"/>
      <c r="G16" s="1177"/>
      <c r="H16" s="606"/>
      <c r="I16" s="607">
        <f>I15-J15</f>
        <v>218.43849999998929</v>
      </c>
      <c r="J16" s="674"/>
      <c r="K16" s="508"/>
      <c r="L16" s="405"/>
      <c r="O16" s="410"/>
    </row>
    <row r="17" spans="1:15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O17" s="410"/>
    </row>
    <row r="18" spans="1:15" ht="27.75" x14ac:dyDescent="0.5">
      <c r="A18" s="1460" t="s">
        <v>170</v>
      </c>
      <c r="B18" s="1461"/>
      <c r="C18" s="1462"/>
      <c r="D18" s="759" t="s">
        <v>171</v>
      </c>
      <c r="E18" s="575">
        <f>'[1]3'!F18</f>
        <v>8</v>
      </c>
      <c r="F18" s="598">
        <v>10</v>
      </c>
      <c r="G18" s="811">
        <f>F18*10</f>
        <v>100</v>
      </c>
      <c r="H18" s="796">
        <f>G18+'[1]3'!H18</f>
        <v>430</v>
      </c>
      <c r="I18" s="797">
        <f>'[1]1'!I18</f>
        <v>65</v>
      </c>
      <c r="J18" s="798">
        <f>H18/DAY(B2)</f>
        <v>107.5</v>
      </c>
      <c r="K18" s="508"/>
      <c r="L18" s="405"/>
      <c r="O18" s="410"/>
    </row>
    <row r="19" spans="1:15" ht="27.75" x14ac:dyDescent="0.5">
      <c r="A19" s="1460" t="s">
        <v>86</v>
      </c>
      <c r="B19" s="1461"/>
      <c r="C19" s="1462"/>
      <c r="D19" s="759" t="s">
        <v>171</v>
      </c>
      <c r="E19" s="575">
        <f>'[1]3'!F19</f>
        <v>129960</v>
      </c>
      <c r="F19" s="598">
        <v>130013</v>
      </c>
      <c r="G19" s="806">
        <f t="shared" ref="G19" si="1">F19-E19</f>
        <v>53</v>
      </c>
      <c r="H19" s="796">
        <f>G19+'[1]3'!H19</f>
        <v>212</v>
      </c>
      <c r="I19" s="813"/>
      <c r="J19" s="798">
        <f>H19/DAY(B2)</f>
        <v>53</v>
      </c>
      <c r="K19" s="508"/>
      <c r="L19" s="405"/>
      <c r="O19" s="410"/>
    </row>
    <row r="20" spans="1:15" x14ac:dyDescent="0.5">
      <c r="A20" s="809" t="s">
        <v>172</v>
      </c>
      <c r="B20" s="810"/>
      <c r="C20" s="810"/>
      <c r="D20" s="759"/>
      <c r="E20" s="759"/>
      <c r="F20" s="643"/>
      <c r="G20" s="1176">
        <f>G18+G19</f>
        <v>153</v>
      </c>
      <c r="H20" s="796">
        <f>G20+'[1]3'!H20</f>
        <v>642</v>
      </c>
      <c r="I20" s="815">
        <f>I18-J20</f>
        <v>-95.5</v>
      </c>
      <c r="J20" s="798">
        <f>H20/DAY(B2)</f>
        <v>160.5</v>
      </c>
      <c r="K20" s="508"/>
      <c r="L20" s="405"/>
      <c r="O20" s="410"/>
    </row>
    <row r="21" spans="1:15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O21" s="410"/>
    </row>
    <row r="22" spans="1:15" x14ac:dyDescent="0.5">
      <c r="A22" s="1354" t="s">
        <v>174</v>
      </c>
      <c r="B22" s="710"/>
      <c r="C22" s="710"/>
      <c r="D22" s="643" t="s">
        <v>175</v>
      </c>
      <c r="E22" s="575">
        <f>'[1]3'!F22</f>
        <v>2250</v>
      </c>
      <c r="F22" s="598">
        <v>2250</v>
      </c>
      <c r="G22" s="601">
        <f t="shared" ref="G22" si="2">(F22-E22)</f>
        <v>0</v>
      </c>
      <c r="H22" s="796">
        <f>G22+'[1]3'!H22</f>
        <v>0</v>
      </c>
      <c r="I22" s="600"/>
      <c r="J22" s="673">
        <f>H22/DAY(B2)</f>
        <v>0</v>
      </c>
      <c r="K22" s="508"/>
      <c r="L22" s="405"/>
      <c r="O22" s="410"/>
    </row>
    <row r="23" spans="1:15" x14ac:dyDescent="0.5">
      <c r="A23" s="1354" t="s">
        <v>176</v>
      </c>
      <c r="B23" s="710"/>
      <c r="C23" s="710"/>
      <c r="D23" s="643" t="s">
        <v>175</v>
      </c>
      <c r="E23" s="575">
        <f>'[1]3'!F23</f>
        <v>2000</v>
      </c>
      <c r="F23" s="598">
        <v>2000</v>
      </c>
      <c r="G23" s="601">
        <v>0</v>
      </c>
      <c r="H23" s="796">
        <f>G23+'[1]3'!H23</f>
        <v>0</v>
      </c>
      <c r="I23" s="600"/>
      <c r="J23" s="673">
        <f>H23/DAY(B2)</f>
        <v>0</v>
      </c>
      <c r="K23" s="508"/>
      <c r="L23" s="405"/>
      <c r="O23" s="410"/>
    </row>
    <row r="24" spans="1:15" x14ac:dyDescent="0.4">
      <c r="A24" s="711" t="s">
        <v>177</v>
      </c>
      <c r="B24" s="712"/>
      <c r="C24" s="712"/>
      <c r="D24" s="631" t="s">
        <v>175</v>
      </c>
      <c r="E24" s="575">
        <f>'[1]3'!F24</f>
        <v>4250</v>
      </c>
      <c r="F24" s="605">
        <v>4250</v>
      </c>
      <c r="G24" s="601">
        <v>0</v>
      </c>
      <c r="H24" s="796">
        <f>G24+'[1]3'!H24</f>
        <v>0</v>
      </c>
      <c r="I24" s="600"/>
      <c r="J24" s="673">
        <f>H24/DAY(B2)</f>
        <v>0</v>
      </c>
      <c r="K24" s="508"/>
      <c r="L24" s="405"/>
      <c r="O24" s="410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O25" s="410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O26" s="410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19846</v>
      </c>
      <c r="F27" s="621">
        <v>9.5</v>
      </c>
      <c r="G27" s="622">
        <f>E27*F27</f>
        <v>188537</v>
      </c>
      <c r="H27" s="796">
        <f>G27+'[1]3'!H27</f>
        <v>739917</v>
      </c>
      <c r="I27" s="623"/>
      <c r="J27" s="673">
        <f>H27/DAY(B2)</f>
        <v>184979.25</v>
      </c>
      <c r="K27" s="401"/>
      <c r="L27" s="527"/>
      <c r="O27" s="410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691.17599999997765</v>
      </c>
      <c r="F28" s="621">
        <v>36.5</v>
      </c>
      <c r="G28" s="622">
        <f>E28*F28</f>
        <v>25227.923999999184</v>
      </c>
      <c r="H28" s="796">
        <f>G28+'[1]3'!H28</f>
        <v>84907.979000001564</v>
      </c>
      <c r="I28" s="625"/>
      <c r="J28" s="673">
        <f>H28/DAY(B2)</f>
        <v>21226.994750000391</v>
      </c>
      <c r="K28" s="401"/>
      <c r="L28" s="527"/>
      <c r="O28" s="410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796">
        <f>G29+'[1]3'!H29</f>
        <v>0</v>
      </c>
      <c r="I29" s="625"/>
      <c r="J29" s="673">
        <f>H29/DAY(B2)</f>
        <v>0</v>
      </c>
      <c r="K29" s="401"/>
      <c r="L29" s="527"/>
      <c r="O29" s="410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53</v>
      </c>
      <c r="F30" s="621">
        <v>145</v>
      </c>
      <c r="G30" s="622">
        <f>E30*F30</f>
        <v>7685</v>
      </c>
      <c r="H30" s="796">
        <f>G30+'[1]3'!H30</f>
        <v>30740</v>
      </c>
      <c r="I30" s="625"/>
      <c r="J30" s="673">
        <f>H30/DAY(B2)</f>
        <v>7685</v>
      </c>
      <c r="K30" s="401"/>
      <c r="L30" s="527"/>
      <c r="O30" s="410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575">
        <f>'[1]3'!F31</f>
        <v>80</v>
      </c>
      <c r="F31" s="621">
        <v>80</v>
      </c>
      <c r="G31" s="622">
        <f>E31*F31</f>
        <v>6400</v>
      </c>
      <c r="H31" s="796">
        <f>G31+'[1]3'!H31</f>
        <v>32800</v>
      </c>
      <c r="I31" s="625"/>
      <c r="J31" s="673">
        <f>H31/DAY(B2)</f>
        <v>8200</v>
      </c>
      <c r="K31" s="401"/>
      <c r="L31" s="527"/>
      <c r="O31" s="410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227849.92399999918</v>
      </c>
      <c r="H32" s="796">
        <f>G32+'[1]3'!H32</f>
        <v>888364.97900000156</v>
      </c>
      <c r="I32" s="629"/>
      <c r="J32" s="673">
        <f>H32/DAY(B2)</f>
        <v>222091.24475000039</v>
      </c>
      <c r="K32" s="401"/>
      <c r="L32" s="527"/>
      <c r="O32" s="410"/>
    </row>
    <row r="33" spans="1:15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O33" s="410"/>
    </row>
    <row r="34" spans="1:15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O34" s="410"/>
    </row>
    <row r="35" spans="1:15" x14ac:dyDescent="0.4">
      <c r="A35" s="699" t="s">
        <v>191</v>
      </c>
      <c r="B35" s="700"/>
      <c r="C35" s="700"/>
      <c r="D35" s="643" t="s">
        <v>159</v>
      </c>
      <c r="E35" s="575">
        <f>'[1]3'!F35</f>
        <v>629027.67000000004</v>
      </c>
      <c r="F35" s="630">
        <v>629027.67000000004</v>
      </c>
      <c r="G35" s="593">
        <f t="shared" ref="G35:G46" si="3">F35-E35</f>
        <v>0</v>
      </c>
      <c r="H35" s="796">
        <f>G35+'[1]3'!H35</f>
        <v>0</v>
      </c>
      <c r="I35" s="575"/>
      <c r="J35" s="673">
        <f>H35/DAY(B2)</f>
        <v>0</v>
      </c>
      <c r="K35" s="508"/>
      <c r="L35" s="405"/>
      <c r="N35" s="410">
        <v>1574.640000000014</v>
      </c>
      <c r="O35" s="410">
        <f>G35-N35</f>
        <v>-1574.640000000014</v>
      </c>
    </row>
    <row r="36" spans="1:15" x14ac:dyDescent="0.4">
      <c r="A36" s="699" t="s">
        <v>192</v>
      </c>
      <c r="B36" s="700"/>
      <c r="C36" s="700"/>
      <c r="D36" s="643" t="s">
        <v>159</v>
      </c>
      <c r="E36" s="575">
        <f>'[1]3'!F36</f>
        <v>232000.67</v>
      </c>
      <c r="F36" s="630">
        <v>232736.23</v>
      </c>
      <c r="G36" s="593">
        <f t="shared" si="3"/>
        <v>735.55999999999767</v>
      </c>
      <c r="H36" s="796">
        <f>G36+'[1]3'!H36</f>
        <v>3650.5</v>
      </c>
      <c r="I36" s="575"/>
      <c r="J36" s="673">
        <f>H36/DAY(B2)</f>
        <v>912.625</v>
      </c>
      <c r="K36" s="508"/>
      <c r="L36" s="405"/>
      <c r="N36" s="410">
        <v>644.26000000000931</v>
      </c>
      <c r="O36" s="749"/>
    </row>
    <row r="37" spans="1:15" x14ac:dyDescent="0.4">
      <c r="A37" s="699" t="s">
        <v>193</v>
      </c>
      <c r="B37" s="700"/>
      <c r="C37" s="700"/>
      <c r="D37" s="643" t="s">
        <v>159</v>
      </c>
      <c r="E37" s="575">
        <f>'[1]3'!F37</f>
        <v>415066</v>
      </c>
      <c r="F37" s="630">
        <v>415066</v>
      </c>
      <c r="G37" s="593">
        <f t="shared" si="3"/>
        <v>0</v>
      </c>
      <c r="H37" s="796">
        <f>G37+'[1]3'!H37</f>
        <v>0</v>
      </c>
      <c r="I37" s="575"/>
      <c r="J37" s="673">
        <f>H37/DAY(B2)</f>
        <v>0</v>
      </c>
      <c r="K37" s="508"/>
      <c r="L37" s="405"/>
      <c r="N37" s="410">
        <v>1333.5200000000186</v>
      </c>
      <c r="O37" s="410">
        <f t="shared" ref="O37:O60" si="4">G37-N37</f>
        <v>-1333.5200000000186</v>
      </c>
    </row>
    <row r="38" spans="1:15" x14ac:dyDescent="0.4">
      <c r="A38" s="699" t="s">
        <v>194</v>
      </c>
      <c r="B38" s="700"/>
      <c r="C38" s="700"/>
      <c r="D38" s="643" t="s">
        <v>159</v>
      </c>
      <c r="E38" s="575">
        <f>'[1]3'!F38</f>
        <v>150714</v>
      </c>
      <c r="F38" s="589">
        <v>150714.20000000001</v>
      </c>
      <c r="G38" s="593">
        <f t="shared" si="3"/>
        <v>0.20000000001164153</v>
      </c>
      <c r="H38" s="796">
        <f>G38+'[1]3'!H38</f>
        <v>0.20000000001164153</v>
      </c>
      <c r="I38" s="575"/>
      <c r="J38" s="673">
        <f>H38/DAY(B2)</f>
        <v>5.0000000002910383E-2</v>
      </c>
      <c r="K38" s="508"/>
      <c r="L38" s="405"/>
      <c r="N38" s="410">
        <v>0</v>
      </c>
      <c r="O38" s="410">
        <f t="shared" si="4"/>
        <v>0.20000000001164153</v>
      </c>
    </row>
    <row r="39" spans="1:15" x14ac:dyDescent="0.4">
      <c r="A39" s="699" t="s">
        <v>195</v>
      </c>
      <c r="B39" s="700"/>
      <c r="C39" s="700"/>
      <c r="D39" s="643" t="s">
        <v>159</v>
      </c>
      <c r="E39" s="575">
        <f>'[1]3'!F39</f>
        <v>912480</v>
      </c>
      <c r="F39" s="630">
        <v>912480</v>
      </c>
      <c r="G39" s="593">
        <f t="shared" si="3"/>
        <v>0</v>
      </c>
      <c r="H39" s="796">
        <f>G39+'[1]3'!H39</f>
        <v>0</v>
      </c>
      <c r="I39" s="575"/>
      <c r="J39" s="673">
        <f>H39/DAY(B2)</f>
        <v>0</v>
      </c>
      <c r="K39" s="508"/>
      <c r="L39" s="405"/>
      <c r="N39" s="410">
        <v>3225.2000000000698</v>
      </c>
      <c r="O39" s="410">
        <f t="shared" si="4"/>
        <v>-3225.2000000000698</v>
      </c>
    </row>
    <row r="40" spans="1:15" x14ac:dyDescent="0.4">
      <c r="A40" s="720" t="s">
        <v>196</v>
      </c>
      <c r="B40" s="721"/>
      <c r="C40" s="721"/>
      <c r="D40" s="643" t="s">
        <v>159</v>
      </c>
      <c r="E40" s="575">
        <f>'[1]3'!F40</f>
        <v>0.17</v>
      </c>
      <c r="F40" s="630">
        <v>0.17</v>
      </c>
      <c r="G40" s="593">
        <f t="shared" si="3"/>
        <v>0</v>
      </c>
      <c r="H40" s="796">
        <f>G40+'[1]3'!H40</f>
        <v>0</v>
      </c>
      <c r="I40" s="575"/>
      <c r="J40" s="673">
        <f>H40/DAY(B2)</f>
        <v>0</v>
      </c>
      <c r="K40" s="509"/>
      <c r="L40" s="405"/>
      <c r="N40" s="410">
        <v>0</v>
      </c>
      <c r="O40" s="410">
        <f t="shared" si="4"/>
        <v>0</v>
      </c>
    </row>
    <row r="41" spans="1:15" x14ac:dyDescent="0.4">
      <c r="A41" s="699" t="s">
        <v>197</v>
      </c>
      <c r="B41" s="700"/>
      <c r="C41" s="700"/>
      <c r="D41" s="643" t="s">
        <v>159</v>
      </c>
      <c r="E41" s="575">
        <f>'[1]3'!F41</f>
        <v>300127.90000000002</v>
      </c>
      <c r="F41" s="630">
        <v>300127.90000000002</v>
      </c>
      <c r="G41" s="593">
        <f t="shared" si="3"/>
        <v>0</v>
      </c>
      <c r="H41" s="796">
        <f>G41+'[1]3'!H41</f>
        <v>-4.9999999988358468E-2</v>
      </c>
      <c r="I41" s="575"/>
      <c r="J41" s="673">
        <f>H41/DAY(B2)</f>
        <v>-1.2499999997089617E-2</v>
      </c>
      <c r="K41" s="508"/>
      <c r="L41" s="405"/>
      <c r="N41" s="410">
        <v>-6.9999999948777258E-2</v>
      </c>
      <c r="O41" s="410">
        <f t="shared" si="4"/>
        <v>6.9999999948777258E-2</v>
      </c>
    </row>
    <row r="42" spans="1:15" x14ac:dyDescent="0.4">
      <c r="A42" s="699" t="s">
        <v>198</v>
      </c>
      <c r="B42" s="700"/>
      <c r="C42" s="700"/>
      <c r="D42" s="643" t="s">
        <v>159</v>
      </c>
      <c r="E42" s="575">
        <v>0</v>
      </c>
      <c r="F42" s="1196">
        <v>3678.9</v>
      </c>
      <c r="G42" s="593">
        <f>F42-E42</f>
        <v>3678.9</v>
      </c>
      <c r="H42" s="796">
        <f>G42+'[1]3'!H42</f>
        <v>3678.9</v>
      </c>
      <c r="I42" s="575"/>
      <c r="J42" s="673">
        <f>H42/DAY(B2)</f>
        <v>919.72500000000002</v>
      </c>
      <c r="K42" s="508"/>
      <c r="L42" s="405"/>
      <c r="N42" s="410">
        <v>3723.6800000000221</v>
      </c>
      <c r="O42" s="410">
        <f t="shared" si="4"/>
        <v>-44.780000000022028</v>
      </c>
    </row>
    <row r="43" spans="1:15" x14ac:dyDescent="0.4">
      <c r="A43" s="699" t="s">
        <v>199</v>
      </c>
      <c r="B43" s="700"/>
      <c r="C43" s="700"/>
      <c r="D43" s="643" t="s">
        <v>159</v>
      </c>
      <c r="E43" s="575">
        <f>'[1]3'!F43</f>
        <v>637061.27</v>
      </c>
      <c r="F43" s="630">
        <v>639436.18999999994</v>
      </c>
      <c r="G43" s="593">
        <f t="shared" si="3"/>
        <v>2374.9199999999255</v>
      </c>
      <c r="H43" s="796">
        <f>G43+'[1]3'!H43</f>
        <v>8686.8799999998882</v>
      </c>
      <c r="I43" s="575"/>
      <c r="J43" s="673">
        <f>H43/DAY(B2)</f>
        <v>2171.7199999999721</v>
      </c>
      <c r="K43" s="508"/>
      <c r="L43" s="405"/>
      <c r="N43" s="410">
        <v>2005.3199999999488</v>
      </c>
      <c r="O43" s="410">
        <f>G43-N43</f>
        <v>369.59999999997672</v>
      </c>
    </row>
    <row r="44" spans="1:15" x14ac:dyDescent="0.4">
      <c r="A44" s="699" t="s">
        <v>200</v>
      </c>
      <c r="B44" s="700"/>
      <c r="C44" s="700"/>
      <c r="D44" s="643" t="s">
        <v>159</v>
      </c>
      <c r="E44" s="575">
        <f>'[1]3'!F44</f>
        <v>0</v>
      </c>
      <c r="F44" s="630">
        <v>0</v>
      </c>
      <c r="G44" s="593">
        <f t="shared" si="3"/>
        <v>0</v>
      </c>
      <c r="H44" s="796">
        <f>G44+'[1]3'!H44</f>
        <v>0</v>
      </c>
      <c r="I44" s="575"/>
      <c r="J44" s="673">
        <f>H44/DAY(B2)</f>
        <v>0</v>
      </c>
      <c r="K44" s="508"/>
      <c r="L44" s="405"/>
      <c r="N44" s="410">
        <v>0</v>
      </c>
      <c r="O44" s="410">
        <f t="shared" si="4"/>
        <v>0</v>
      </c>
    </row>
    <row r="45" spans="1:15" x14ac:dyDescent="0.4">
      <c r="A45" s="699" t="s">
        <v>201</v>
      </c>
      <c r="B45" s="700"/>
      <c r="C45" s="700"/>
      <c r="D45" s="643" t="s">
        <v>159</v>
      </c>
      <c r="E45" s="575">
        <f>'[1]3'!F45</f>
        <v>614</v>
      </c>
      <c r="F45" s="630">
        <v>614</v>
      </c>
      <c r="G45" s="593">
        <f t="shared" si="3"/>
        <v>0</v>
      </c>
      <c r="H45" s="796">
        <f>G45+'[1]3'!H45</f>
        <v>-0.48000000000001819</v>
      </c>
      <c r="I45" s="575"/>
      <c r="J45" s="673">
        <f>H45/DAY(B2)</f>
        <v>-0.12000000000000455</v>
      </c>
      <c r="K45" s="508"/>
      <c r="L45" s="405"/>
      <c r="N45" s="410">
        <v>-0.48000000000001819</v>
      </c>
      <c r="O45" s="410">
        <f t="shared" si="4"/>
        <v>0.48000000000001819</v>
      </c>
    </row>
    <row r="46" spans="1:15" x14ac:dyDescent="0.4">
      <c r="A46" s="699" t="s">
        <v>202</v>
      </c>
      <c r="B46" s="700"/>
      <c r="C46" s="700"/>
      <c r="D46" s="643" t="s">
        <v>159</v>
      </c>
      <c r="E46" s="575">
        <f>'[1]3'!F46</f>
        <v>187</v>
      </c>
      <c r="F46" s="630">
        <v>187</v>
      </c>
      <c r="G46" s="593">
        <f t="shared" si="3"/>
        <v>0</v>
      </c>
      <c r="H46" s="796">
        <f>G46+'[1]3'!H46</f>
        <v>-0.49000000000000909</v>
      </c>
      <c r="I46" s="575"/>
      <c r="J46" s="673">
        <f>H46/DAY(B2)</f>
        <v>-0.12250000000000227</v>
      </c>
      <c r="K46" s="508"/>
      <c r="L46" s="405"/>
      <c r="N46" s="410">
        <v>-0.49000000000000909</v>
      </c>
      <c r="O46" s="410">
        <f t="shared" si="4"/>
        <v>0.49000000000000909</v>
      </c>
    </row>
    <row r="47" spans="1:15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6789.5799999999344</v>
      </c>
      <c r="H47" s="796">
        <f>G47+'[1]3'!H47</f>
        <v>16015.45999999991</v>
      </c>
      <c r="I47" s="575"/>
      <c r="J47" s="673">
        <f>H47/DAY(B2)</f>
        <v>4003.8649999999775</v>
      </c>
      <c r="K47" s="508"/>
      <c r="L47" s="405"/>
      <c r="N47" s="410">
        <v>12505.580000000135</v>
      </c>
      <c r="O47" s="410"/>
    </row>
    <row r="48" spans="1:15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410"/>
      <c r="O48" s="410">
        <f t="shared" si="4"/>
        <v>0</v>
      </c>
    </row>
    <row r="49" spans="1:15" x14ac:dyDescent="0.4">
      <c r="A49" s="699" t="s">
        <v>191</v>
      </c>
      <c r="B49" s="722"/>
      <c r="C49" s="722"/>
      <c r="D49" s="643" t="s">
        <v>159</v>
      </c>
      <c r="E49" s="575">
        <f>'[1]3'!F49</f>
        <v>69649.638999999996</v>
      </c>
      <c r="F49" s="630">
        <v>72497.08</v>
      </c>
      <c r="G49" s="593">
        <f t="shared" ref="G49:G58" si="5">F49-E49</f>
        <v>2847.4410000000062</v>
      </c>
      <c r="H49" s="796">
        <f>G49+'[1]3'!H49</f>
        <v>10983.813000000002</v>
      </c>
      <c r="I49" s="575"/>
      <c r="J49" s="673">
        <f>H49/DAY(B2)</f>
        <v>2745.9532500000005</v>
      </c>
      <c r="K49" s="508"/>
      <c r="L49" s="405"/>
      <c r="N49" s="410">
        <v>0</v>
      </c>
      <c r="O49" s="410">
        <f t="shared" si="4"/>
        <v>2847.4410000000062</v>
      </c>
    </row>
    <row r="50" spans="1:15" x14ac:dyDescent="0.4">
      <c r="A50" s="699" t="s">
        <v>205</v>
      </c>
      <c r="B50" s="722"/>
      <c r="C50" s="722"/>
      <c r="D50" s="643" t="s">
        <v>159</v>
      </c>
      <c r="E50" s="575">
        <f>'[1]3'!F50</f>
        <v>299242.78999999998</v>
      </c>
      <c r="F50" s="1196">
        <v>300451.19</v>
      </c>
      <c r="G50" s="593">
        <f t="shared" si="5"/>
        <v>1208.4000000000233</v>
      </c>
      <c r="H50" s="796">
        <f>G50+'[1]3'!H50</f>
        <v>4482.0999999999767</v>
      </c>
      <c r="I50" s="575"/>
      <c r="J50" s="673">
        <f>H50/DAY(B2)</f>
        <v>1120.5249999999942</v>
      </c>
      <c r="K50" s="508"/>
      <c r="L50" s="405"/>
      <c r="N50" s="410">
        <v>859.42000000001281</v>
      </c>
      <c r="O50" s="410">
        <f t="shared" si="4"/>
        <v>348.98000000001048</v>
      </c>
    </row>
    <row r="51" spans="1:15" x14ac:dyDescent="0.4">
      <c r="A51" s="699" t="s">
        <v>193</v>
      </c>
      <c r="B51" s="722"/>
      <c r="C51" s="722"/>
      <c r="D51" s="643" t="s">
        <v>159</v>
      </c>
      <c r="E51" s="575">
        <f>'[1]3'!F51</f>
        <v>23524.379000000001</v>
      </c>
      <c r="F51" s="630">
        <v>24941.39</v>
      </c>
      <c r="G51" s="593">
        <f t="shared" si="5"/>
        <v>1417.0109999999986</v>
      </c>
      <c r="H51" s="796">
        <f>G51+'[1]3'!H51</f>
        <v>5620.9029999999984</v>
      </c>
      <c r="I51" s="575"/>
      <c r="J51" s="673">
        <f>H51/DAY(B2)</f>
        <v>1405.2257499999996</v>
      </c>
      <c r="K51" s="508"/>
      <c r="L51" s="405"/>
      <c r="N51" s="410">
        <v>0</v>
      </c>
      <c r="O51" s="410">
        <f t="shared" si="4"/>
        <v>1417.0109999999986</v>
      </c>
    </row>
    <row r="52" spans="1:15" x14ac:dyDescent="0.4">
      <c r="A52" s="699" t="s">
        <v>206</v>
      </c>
      <c r="B52" s="722"/>
      <c r="C52" s="722"/>
      <c r="D52" s="643" t="s">
        <v>159</v>
      </c>
      <c r="E52" s="575">
        <f>'[1]3'!F52</f>
        <v>376534.27</v>
      </c>
      <c r="F52" s="630">
        <v>378351.19</v>
      </c>
      <c r="G52" s="593">
        <f>F52-E52</f>
        <v>1816.9199999999837</v>
      </c>
      <c r="H52" s="796">
        <f>G52+'[1]3'!H52</f>
        <v>7228.7600000000093</v>
      </c>
      <c r="I52" s="575"/>
      <c r="J52" s="673">
        <f>H52/DAY(B2)</f>
        <v>1807.1900000000023</v>
      </c>
      <c r="K52" s="508"/>
      <c r="L52" s="405"/>
      <c r="N52" s="410">
        <v>1313.4799999999814</v>
      </c>
      <c r="O52" s="410">
        <f t="shared" si="4"/>
        <v>503.44000000000233</v>
      </c>
    </row>
    <row r="53" spans="1:15" x14ac:dyDescent="0.4">
      <c r="A53" s="699" t="s">
        <v>195</v>
      </c>
      <c r="B53" s="722"/>
      <c r="C53" s="722"/>
      <c r="D53" s="643" t="s">
        <v>159</v>
      </c>
      <c r="E53" s="575">
        <f>'[1]3'!F53</f>
        <v>57829.125</v>
      </c>
      <c r="F53" s="630">
        <v>62038.67</v>
      </c>
      <c r="G53" s="593">
        <f t="shared" si="5"/>
        <v>4209.5449999999983</v>
      </c>
      <c r="H53" s="796">
        <f>G53+'[1]3'!H53</f>
        <v>16622.663</v>
      </c>
      <c r="I53" s="575"/>
      <c r="J53" s="673">
        <f>H53/DAY(B2)</f>
        <v>4155.6657500000001</v>
      </c>
      <c r="K53" s="508"/>
      <c r="L53" s="405"/>
      <c r="N53" s="410">
        <v>0</v>
      </c>
      <c r="O53" s="410">
        <f t="shared" si="4"/>
        <v>4209.5449999999983</v>
      </c>
    </row>
    <row r="54" spans="1:15" x14ac:dyDescent="0.4">
      <c r="A54" s="699" t="s">
        <v>207</v>
      </c>
      <c r="B54" s="722"/>
      <c r="C54" s="722"/>
      <c r="D54" s="643" t="s">
        <v>159</v>
      </c>
      <c r="E54" s="575">
        <f>'[1]3'!F54</f>
        <v>2989.22</v>
      </c>
      <c r="F54" s="770">
        <v>3034.18</v>
      </c>
      <c r="G54" s="593">
        <f t="shared" si="5"/>
        <v>44.960000000000036</v>
      </c>
      <c r="H54" s="796">
        <f>G54+'[1]3'!H54</f>
        <v>201.17999999999984</v>
      </c>
      <c r="I54" s="575"/>
      <c r="J54" s="673">
        <f>H54/DAY(B2)</f>
        <v>50.294999999999959</v>
      </c>
      <c r="K54" s="508"/>
      <c r="L54" s="405"/>
      <c r="N54" s="410">
        <v>0</v>
      </c>
      <c r="O54" s="410">
        <f t="shared" si="4"/>
        <v>44.960000000000036</v>
      </c>
    </row>
    <row r="55" spans="1:15" x14ac:dyDescent="0.4">
      <c r="A55" s="699" t="s">
        <v>208</v>
      </c>
      <c r="B55" s="722"/>
      <c r="C55" s="722"/>
      <c r="D55" s="643" t="s">
        <v>159</v>
      </c>
      <c r="E55" s="575">
        <f>'[1]3'!F55</f>
        <v>158492.73000000001</v>
      </c>
      <c r="F55" s="770">
        <v>158492.73000000001</v>
      </c>
      <c r="G55" s="593">
        <f t="shared" si="5"/>
        <v>0</v>
      </c>
      <c r="H55" s="796">
        <f>G55+'[1]3'!H55</f>
        <v>-0.26999999998952262</v>
      </c>
      <c r="I55" s="575"/>
      <c r="J55" s="673">
        <f>H55/DAY(B2)</f>
        <v>-6.7499999997380655E-2</v>
      </c>
      <c r="K55" s="508"/>
      <c r="L55" s="405"/>
      <c r="N55" s="410">
        <v>0.10000000000582077</v>
      </c>
      <c r="O55" s="410">
        <f t="shared" si="4"/>
        <v>-0.10000000000582077</v>
      </c>
    </row>
    <row r="56" spans="1:15" x14ac:dyDescent="0.4">
      <c r="A56" s="699" t="s">
        <v>209</v>
      </c>
      <c r="B56" s="722"/>
      <c r="C56" s="722"/>
      <c r="D56" s="643" t="s">
        <v>210</v>
      </c>
      <c r="E56" s="575">
        <f>'[1]3'!F56</f>
        <v>448739.23</v>
      </c>
      <c r="F56" s="770">
        <v>449323.67</v>
      </c>
      <c r="G56" s="593">
        <f t="shared" si="5"/>
        <v>584.44000000000233</v>
      </c>
      <c r="H56" s="796">
        <f>G56+'[1]3'!H56</f>
        <v>14176.079999999958</v>
      </c>
      <c r="I56" s="575"/>
      <c r="J56" s="673">
        <f>H56/DAY(B2)</f>
        <v>3544.0199999999895</v>
      </c>
      <c r="K56" s="507"/>
      <c r="L56" s="405"/>
      <c r="N56" s="410">
        <v>0</v>
      </c>
      <c r="O56" s="410">
        <f t="shared" si="4"/>
        <v>584.44000000000233</v>
      </c>
    </row>
    <row r="57" spans="1:15" x14ac:dyDescent="0.4">
      <c r="A57" s="699" t="s">
        <v>199</v>
      </c>
      <c r="B57" s="722"/>
      <c r="C57" s="722"/>
      <c r="D57" s="643" t="s">
        <v>159</v>
      </c>
      <c r="E57" s="575">
        <f>'[1]3'!F57</f>
        <v>0</v>
      </c>
      <c r="F57" s="770">
        <v>0</v>
      </c>
      <c r="G57" s="593">
        <f t="shared" si="5"/>
        <v>0</v>
      </c>
      <c r="H57" s="796">
        <f>G57+'[1]3'!H57</f>
        <v>0</v>
      </c>
      <c r="I57" s="575"/>
      <c r="J57" s="673">
        <f>H57/DAY(B2)</f>
        <v>0</v>
      </c>
      <c r="K57" s="508"/>
      <c r="L57" s="405"/>
      <c r="N57" s="410">
        <v>0</v>
      </c>
      <c r="O57" s="410">
        <f t="shared" si="4"/>
        <v>0</v>
      </c>
    </row>
    <row r="58" spans="1:15" x14ac:dyDescent="0.4">
      <c r="A58" s="699" t="s">
        <v>211</v>
      </c>
      <c r="B58" s="722"/>
      <c r="C58" s="722"/>
      <c r="D58" s="643" t="s">
        <v>159</v>
      </c>
      <c r="E58" s="575">
        <f>'[1]3'!F58</f>
        <v>20507.785</v>
      </c>
      <c r="F58" s="770">
        <v>20705.63</v>
      </c>
      <c r="G58" s="593">
        <f t="shared" si="5"/>
        <v>197.84500000000116</v>
      </c>
      <c r="H58" s="796">
        <f>G58+'[1]3'!H58</f>
        <v>474.58699999999953</v>
      </c>
      <c r="I58" s="575"/>
      <c r="J58" s="673">
        <f>H58/DAY(B2)</f>
        <v>118.64674999999988</v>
      </c>
      <c r="K58" s="508"/>
      <c r="L58" s="405"/>
      <c r="N58" s="410">
        <v>43.554000000000087</v>
      </c>
      <c r="O58" s="410">
        <f t="shared" si="4"/>
        <v>154.29100000000108</v>
      </c>
    </row>
    <row r="59" spans="1:15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12326.562000000013</v>
      </c>
      <c r="H59" s="796">
        <f>G59+'[1]3'!H59</f>
        <v>59789.815999999955</v>
      </c>
      <c r="I59" s="575">
        <f>G7-G60</f>
        <v>494.85800000005111</v>
      </c>
      <c r="J59" s="673">
        <f>H59/DAY(B2)</f>
        <v>14947.453999999989</v>
      </c>
      <c r="K59" s="508"/>
      <c r="L59" s="405"/>
      <c r="N59" s="410">
        <v>2216.5540000000001</v>
      </c>
      <c r="O59" s="410">
        <f>SUM(O35:O58)</f>
        <v>4302.707999999825</v>
      </c>
    </row>
    <row r="60" spans="1:15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19116.141999999949</v>
      </c>
      <c r="H60" s="796">
        <f>G60+'[1]3'!H60</f>
        <v>75805.275999999867</v>
      </c>
      <c r="I60" s="575">
        <f>G13-G60</f>
        <v>-188.58199999995122</v>
      </c>
      <c r="J60" s="673">
        <f>H60/DAY(B2)</f>
        <v>18951.318999999967</v>
      </c>
      <c r="K60" s="508"/>
      <c r="L60" s="405"/>
      <c r="N60" s="410">
        <v>14722.134000000135</v>
      </c>
      <c r="O60" s="410">
        <f t="shared" si="4"/>
        <v>4394.0079999998143</v>
      </c>
    </row>
    <row r="61" spans="1:15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O61" s="410"/>
    </row>
    <row r="62" spans="1:15" x14ac:dyDescent="0.4">
      <c r="A62" s="724" t="s">
        <v>121</v>
      </c>
      <c r="B62" s="725"/>
      <c r="C62" s="725"/>
      <c r="D62" s="631" t="s">
        <v>214</v>
      </c>
      <c r="E62" s="575">
        <f>'[1]3'!F62</f>
        <v>20419</v>
      </c>
      <c r="F62" s="634">
        <v>20419</v>
      </c>
      <c r="G62" s="593">
        <f t="shared" ref="G62:G69" si="6">F62-E62</f>
        <v>0</v>
      </c>
      <c r="H62" s="796">
        <f>G62+'[1]3'!H62</f>
        <v>-0.18000000000029104</v>
      </c>
      <c r="I62" s="635"/>
      <c r="J62" s="673">
        <f>H62/DAY(B2)</f>
        <v>-4.500000000007276E-2</v>
      </c>
      <c r="K62" s="508"/>
      <c r="L62" s="405"/>
      <c r="O62" s="410"/>
    </row>
    <row r="63" spans="1:15" x14ac:dyDescent="0.4">
      <c r="A63" s="724" t="s">
        <v>215</v>
      </c>
      <c r="B63" s="725"/>
      <c r="C63" s="725"/>
      <c r="D63" s="631" t="s">
        <v>214</v>
      </c>
      <c r="E63" s="575">
        <f>'[1]3'!F63</f>
        <v>905.37</v>
      </c>
      <c r="F63" s="634">
        <v>921.26</v>
      </c>
      <c r="G63" s="593">
        <f t="shared" si="6"/>
        <v>15.889999999999986</v>
      </c>
      <c r="H63" s="796">
        <f>G63+'[1]3'!H63</f>
        <v>64.889999999999986</v>
      </c>
      <c r="I63" s="635"/>
      <c r="J63" s="673">
        <f>H63/DAY(B2)</f>
        <v>16.222499999999997</v>
      </c>
      <c r="K63" s="508"/>
      <c r="L63" s="405"/>
      <c r="O63" s="410"/>
    </row>
    <row r="64" spans="1:15" ht="27.75" x14ac:dyDescent="0.5">
      <c r="A64" s="1395" t="s">
        <v>122</v>
      </c>
      <c r="B64" s="1396"/>
      <c r="C64" s="1397"/>
      <c r="D64" s="643" t="s">
        <v>214</v>
      </c>
      <c r="E64" s="575">
        <f>'[1]3'!F64</f>
        <v>87837.167499999996</v>
      </c>
      <c r="F64" s="598">
        <v>88211.1</v>
      </c>
      <c r="G64" s="593">
        <f t="shared" si="6"/>
        <v>373.9325000000099</v>
      </c>
      <c r="H64" s="796">
        <f>G64+'[1]3'!H64</f>
        <v>1472.0050000000047</v>
      </c>
      <c r="I64" s="600"/>
      <c r="J64" s="673">
        <f>H64/DAY(B2)</f>
        <v>368.00125000000116</v>
      </c>
      <c r="K64" s="508"/>
      <c r="L64" s="405"/>
      <c r="O64" s="410"/>
    </row>
    <row r="65" spans="1:15" ht="27.75" x14ac:dyDescent="0.5">
      <c r="A65" s="1395" t="s">
        <v>123</v>
      </c>
      <c r="B65" s="1396"/>
      <c r="C65" s="1397"/>
      <c r="D65" s="643" t="s">
        <v>214</v>
      </c>
      <c r="E65" s="575">
        <f>'[1]3'!F65</f>
        <v>97836.535000000003</v>
      </c>
      <c r="F65" s="768">
        <v>98242.43</v>
      </c>
      <c r="G65" s="593">
        <f t="shared" si="6"/>
        <v>405.89499999998952</v>
      </c>
      <c r="H65" s="796">
        <f>G65+'[1]3'!H65</f>
        <v>1606.4470000000001</v>
      </c>
      <c r="I65" s="609"/>
      <c r="J65" s="673">
        <f>H65/DAY(B2)</f>
        <v>401.61175000000003</v>
      </c>
      <c r="K65" s="508"/>
      <c r="L65" s="405"/>
      <c r="O65" s="410"/>
    </row>
    <row r="66" spans="1:15" ht="27.75" x14ac:dyDescent="0.5">
      <c r="A66" s="1395" t="s">
        <v>124</v>
      </c>
      <c r="B66" s="1396"/>
      <c r="C66" s="1397"/>
      <c r="D66" s="643" t="s">
        <v>214</v>
      </c>
      <c r="E66" s="575">
        <f>'[1]3'!F66</f>
        <v>91177.494999999995</v>
      </c>
      <c r="F66" s="598">
        <v>91572.08</v>
      </c>
      <c r="G66" s="593">
        <f t="shared" si="6"/>
        <v>394.5850000000064</v>
      </c>
      <c r="H66" s="796">
        <f>G66+'[1]3'!H66</f>
        <v>1567.2330000000075</v>
      </c>
      <c r="I66" s="600"/>
      <c r="J66" s="673">
        <f>H66/DAY(B2)</f>
        <v>391.80825000000186</v>
      </c>
      <c r="K66" s="508"/>
      <c r="L66" s="405"/>
      <c r="O66" s="410"/>
    </row>
    <row r="67" spans="1:15" ht="27.75" x14ac:dyDescent="0.5">
      <c r="A67" s="1395" t="s">
        <v>125</v>
      </c>
      <c r="B67" s="1396"/>
      <c r="C67" s="1397"/>
      <c r="D67" s="643" t="s">
        <v>214</v>
      </c>
      <c r="E67" s="575">
        <f>'[1]3'!F67</f>
        <v>148230.29999999999</v>
      </c>
      <c r="F67" s="598">
        <v>148984.41</v>
      </c>
      <c r="G67" s="593">
        <f t="shared" si="6"/>
        <v>754.11000000001513</v>
      </c>
      <c r="H67" s="796">
        <f>G67+'[1]3'!H67</f>
        <v>2942.3600000000151</v>
      </c>
      <c r="I67" s="609"/>
      <c r="J67" s="673">
        <f>H67/DAY(B2)</f>
        <v>735.59000000000378</v>
      </c>
      <c r="K67" s="509"/>
      <c r="L67" s="405"/>
      <c r="O67" s="410"/>
    </row>
    <row r="68" spans="1:15" ht="27.75" x14ac:dyDescent="0.5">
      <c r="A68" s="1395" t="s">
        <v>126</v>
      </c>
      <c r="B68" s="1396"/>
      <c r="C68" s="1397"/>
      <c r="D68" s="643" t="s">
        <v>214</v>
      </c>
      <c r="E68" s="575">
        <f>'[1]3'!F68</f>
        <v>44295.247000000003</v>
      </c>
      <c r="F68" s="598">
        <v>44665.25</v>
      </c>
      <c r="G68" s="593">
        <f t="shared" si="6"/>
        <v>370.00299999999697</v>
      </c>
      <c r="H68" s="796">
        <f>G68+'[1]3'!H68</f>
        <v>1490.1710000000021</v>
      </c>
      <c r="I68" s="636"/>
      <c r="J68" s="673">
        <f>H68/DAY(B2)</f>
        <v>372.54275000000052</v>
      </c>
      <c r="K68" s="510"/>
      <c r="L68" s="405"/>
      <c r="O68" s="410"/>
    </row>
    <row r="69" spans="1:15" ht="27.75" x14ac:dyDescent="0.5">
      <c r="A69" s="1395" t="s">
        <v>127</v>
      </c>
      <c r="B69" s="1396"/>
      <c r="C69" s="1397"/>
      <c r="D69" s="643" t="s">
        <v>214</v>
      </c>
      <c r="E69" s="575">
        <f>'[1]3'!F69</f>
        <v>38416.834999999999</v>
      </c>
      <c r="F69" s="598">
        <v>38707.370000000003</v>
      </c>
      <c r="G69" s="593">
        <f t="shared" si="6"/>
        <v>290.53500000000349</v>
      </c>
      <c r="H69" s="796">
        <f>G69+'[1]3'!H69</f>
        <v>1151.8029999999999</v>
      </c>
      <c r="I69" s="636"/>
      <c r="J69" s="673">
        <f>H69/DAY(B2)</f>
        <v>287.95074999999997</v>
      </c>
      <c r="K69" s="511"/>
      <c r="L69" s="405"/>
      <c r="O69" s="410"/>
    </row>
    <row r="70" spans="1:15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/>
      <c r="I70" s="638"/>
      <c r="J70" s="677"/>
      <c r="K70" s="511"/>
      <c r="L70" s="405"/>
      <c r="O70" s="410"/>
    </row>
    <row r="71" spans="1:15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O71" s="410"/>
    </row>
    <row r="72" spans="1:15" ht="27.75" x14ac:dyDescent="0.5">
      <c r="A72" s="1395" t="s">
        <v>218</v>
      </c>
      <c r="B72" s="1396"/>
      <c r="C72" s="1397"/>
      <c r="D72" s="643" t="s">
        <v>214</v>
      </c>
      <c r="E72" s="575">
        <f>'[1]3'!F72</f>
        <v>844202</v>
      </c>
      <c r="F72" s="771">
        <v>844210</v>
      </c>
      <c r="G72" s="593">
        <f t="shared" ref="G72:G84" si="7">F72-E72</f>
        <v>8</v>
      </c>
      <c r="H72" s="796">
        <f>G72+'[1]3'!H72</f>
        <v>33</v>
      </c>
      <c r="I72" s="600"/>
      <c r="J72" s="673">
        <f>H72/DAY(B2)</f>
        <v>8.25</v>
      </c>
      <c r="K72" s="511"/>
      <c r="L72" s="405"/>
      <c r="O72" s="410"/>
    </row>
    <row r="73" spans="1:15" ht="27.75" x14ac:dyDescent="0.5">
      <c r="A73" s="1395" t="s">
        <v>219</v>
      </c>
      <c r="B73" s="1396"/>
      <c r="C73" s="1397"/>
      <c r="D73" s="643" t="s">
        <v>214</v>
      </c>
      <c r="E73" s="575">
        <f>'[1]3'!F73</f>
        <v>885314</v>
      </c>
      <c r="F73" s="772">
        <v>885315</v>
      </c>
      <c r="G73" s="593">
        <f t="shared" si="7"/>
        <v>1</v>
      </c>
      <c r="H73" s="796">
        <f>G73+'[1]3'!H73</f>
        <v>5</v>
      </c>
      <c r="I73" s="600"/>
      <c r="J73" s="673">
        <f>H73/DAY(B2)</f>
        <v>1.25</v>
      </c>
      <c r="K73" s="510"/>
      <c r="L73" s="405"/>
      <c r="O73" s="410"/>
    </row>
    <row r="74" spans="1:15" ht="27.75" x14ac:dyDescent="0.5">
      <c r="A74" s="1395" t="s">
        <v>220</v>
      </c>
      <c r="B74" s="1396"/>
      <c r="C74" s="1397"/>
      <c r="D74" s="643" t="s">
        <v>214</v>
      </c>
      <c r="E74" s="575">
        <f>'[1]3'!F74</f>
        <v>880283</v>
      </c>
      <c r="F74" s="773">
        <v>880300</v>
      </c>
      <c r="G74" s="593">
        <f t="shared" si="7"/>
        <v>17</v>
      </c>
      <c r="H74" s="796">
        <f>G74+'[1]3'!H74</f>
        <v>73</v>
      </c>
      <c r="I74" s="600"/>
      <c r="J74" s="673">
        <f>H74/DAY(B2)</f>
        <v>18.25</v>
      </c>
      <c r="K74" s="511"/>
      <c r="L74" s="405"/>
      <c r="O74" s="410"/>
    </row>
    <row r="75" spans="1:15" ht="27.75" x14ac:dyDescent="0.5">
      <c r="A75" s="1447" t="s">
        <v>221</v>
      </c>
      <c r="B75" s="1448"/>
      <c r="C75" s="1449"/>
      <c r="D75" s="643" t="s">
        <v>214</v>
      </c>
      <c r="E75" s="575">
        <f>'[1]3'!F75</f>
        <v>726667</v>
      </c>
      <c r="F75" s="773">
        <v>726853</v>
      </c>
      <c r="G75" s="593">
        <f t="shared" si="7"/>
        <v>186</v>
      </c>
      <c r="H75" s="796">
        <f>G75+'[1]3'!H75</f>
        <v>673</v>
      </c>
      <c r="I75" s="600"/>
      <c r="J75" s="673">
        <f>H75/DAY(B2)</f>
        <v>168.25</v>
      </c>
      <c r="K75" s="510"/>
      <c r="L75" s="405"/>
      <c r="O75" s="410"/>
    </row>
    <row r="76" spans="1:15" ht="27.75" x14ac:dyDescent="0.5">
      <c r="A76" s="1447" t="s">
        <v>222</v>
      </c>
      <c r="B76" s="1448"/>
      <c r="C76" s="1449"/>
      <c r="D76" s="643" t="s">
        <v>214</v>
      </c>
      <c r="E76" s="575">
        <f>'[1]3'!F76</f>
        <v>681851</v>
      </c>
      <c r="F76" s="772">
        <v>681909</v>
      </c>
      <c r="G76" s="593">
        <f t="shared" si="7"/>
        <v>58</v>
      </c>
      <c r="H76" s="796">
        <f>G76+'[1]3'!H76</f>
        <v>233</v>
      </c>
      <c r="I76" s="625"/>
      <c r="J76" s="673">
        <f>H76/DAY(B2)</f>
        <v>58.25</v>
      </c>
      <c r="K76" s="510"/>
      <c r="L76" s="405"/>
      <c r="O76" s="410"/>
    </row>
    <row r="77" spans="1:15" ht="27.75" x14ac:dyDescent="0.5">
      <c r="A77" s="1395" t="s">
        <v>223</v>
      </c>
      <c r="B77" s="1396"/>
      <c r="C77" s="1397"/>
      <c r="D77" s="643" t="s">
        <v>214</v>
      </c>
      <c r="E77" s="575">
        <f>'[1]3'!F77</f>
        <v>693882</v>
      </c>
      <c r="F77" s="771">
        <v>693927</v>
      </c>
      <c r="G77" s="593">
        <f t="shared" si="7"/>
        <v>45</v>
      </c>
      <c r="H77" s="796">
        <f>G77+'[1]3'!H77</f>
        <v>207</v>
      </c>
      <c r="I77" s="625"/>
      <c r="J77" s="673">
        <f>H77/DAY(B2)</f>
        <v>51.75</v>
      </c>
      <c r="K77" s="510"/>
      <c r="L77" s="405"/>
      <c r="O77" s="410"/>
    </row>
    <row r="78" spans="1:15" ht="27.75" x14ac:dyDescent="0.5">
      <c r="A78" s="1357" t="s">
        <v>224</v>
      </c>
      <c r="B78" s="1320"/>
      <c r="C78" s="1320"/>
      <c r="D78" s="643" t="s">
        <v>214</v>
      </c>
      <c r="E78" s="575">
        <f>'[1]3'!F78</f>
        <v>619419</v>
      </c>
      <c r="F78" s="773">
        <v>619781</v>
      </c>
      <c r="G78" s="593">
        <f t="shared" si="7"/>
        <v>362</v>
      </c>
      <c r="H78" s="796">
        <f>G78+'[1]3'!H78</f>
        <v>1528</v>
      </c>
      <c r="I78" s="625"/>
      <c r="J78" s="673">
        <f>H78/DAY(B2)</f>
        <v>382</v>
      </c>
      <c r="K78" s="510"/>
      <c r="L78" s="405"/>
      <c r="O78" s="410"/>
    </row>
    <row r="79" spans="1:15" ht="27.75" x14ac:dyDescent="0.5">
      <c r="A79" s="1447" t="s">
        <v>112</v>
      </c>
      <c r="B79" s="1448"/>
      <c r="C79" s="1449"/>
      <c r="D79" s="644" t="s">
        <v>214</v>
      </c>
      <c r="E79" s="575">
        <f>'[1]3'!F79</f>
        <v>798569</v>
      </c>
      <c r="F79" s="773">
        <v>798760</v>
      </c>
      <c r="G79" s="593">
        <f t="shared" si="7"/>
        <v>191</v>
      </c>
      <c r="H79" s="796">
        <f>G79+'[1]3'!H79</f>
        <v>774</v>
      </c>
      <c r="I79" s="625"/>
      <c r="J79" s="673">
        <f>H79/DAY(B2)</f>
        <v>193.5</v>
      </c>
      <c r="K79" s="510"/>
      <c r="L79" s="405"/>
      <c r="O79" s="410"/>
    </row>
    <row r="80" spans="1:15" ht="27.75" x14ac:dyDescent="0.5">
      <c r="A80" s="1447" t="s">
        <v>225</v>
      </c>
      <c r="B80" s="1448"/>
      <c r="C80" s="1449"/>
      <c r="D80" s="644" t="s">
        <v>214</v>
      </c>
      <c r="E80" s="575">
        <f>'[1]3'!F80</f>
        <v>466391.32</v>
      </c>
      <c r="F80" s="771">
        <v>466729.2</v>
      </c>
      <c r="G80" s="593">
        <f t="shared" si="7"/>
        <v>337.88000000000466</v>
      </c>
      <c r="H80" s="796">
        <f>G80+'[1]3'!H80</f>
        <v>1231.320000000007</v>
      </c>
      <c r="I80" s="625"/>
      <c r="J80" s="673">
        <f>H80/DAY(B2)</f>
        <v>307.83000000000175</v>
      </c>
      <c r="K80" s="510"/>
      <c r="L80" s="405"/>
      <c r="O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575">
        <f>'[1]3'!F81</f>
        <v>614852.52</v>
      </c>
      <c r="F81" s="772">
        <v>615014.12</v>
      </c>
      <c r="G81" s="593">
        <f t="shared" si="7"/>
        <v>161.59999999997672</v>
      </c>
      <c r="H81" s="796">
        <f>G81+'[1]3'!H81</f>
        <v>625.59999999997672</v>
      </c>
      <c r="I81" s="625"/>
      <c r="J81" s="673">
        <f>H81/DAY(B2)</f>
        <v>156.39999999999418</v>
      </c>
      <c r="K81" s="510"/>
      <c r="L81" s="405"/>
      <c r="O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575">
        <f>'[1]3'!F82</f>
        <v>103587.19</v>
      </c>
      <c r="F82" s="768">
        <v>103595.42</v>
      </c>
      <c r="G82" s="593">
        <f t="shared" si="7"/>
        <v>8.2299999999959255</v>
      </c>
      <c r="H82" s="796">
        <f>G82+'[1]3'!H82</f>
        <v>65.770000000004075</v>
      </c>
      <c r="I82" s="606"/>
      <c r="J82" s="673">
        <f>H82/DAY(B2)</f>
        <v>16.442500000001019</v>
      </c>
      <c r="K82" s="510"/>
      <c r="L82" s="405"/>
      <c r="O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575">
        <f>'[1]3'!F83</f>
        <v>963541</v>
      </c>
      <c r="F83" s="631">
        <v>963882</v>
      </c>
      <c r="G83" s="593">
        <f t="shared" si="7"/>
        <v>341</v>
      </c>
      <c r="H83" s="796">
        <f>G83+'[1]3'!H83</f>
        <v>1357</v>
      </c>
      <c r="I83" s="601"/>
      <c r="J83" s="673">
        <f>H83/DAY(B2)</f>
        <v>339.25</v>
      </c>
      <c r="K83" s="509"/>
      <c r="L83" s="405"/>
      <c r="O83" s="410"/>
    </row>
    <row r="84" spans="1:15" x14ac:dyDescent="0.5">
      <c r="A84" s="1360" t="s">
        <v>228</v>
      </c>
      <c r="B84" s="692"/>
      <c r="C84" s="692"/>
      <c r="D84" s="598" t="s">
        <v>159</v>
      </c>
      <c r="E84" s="575">
        <f>'[1]3'!F84</f>
        <v>383003</v>
      </c>
      <c r="F84" s="748">
        <v>383508</v>
      </c>
      <c r="G84" s="593">
        <f t="shared" si="7"/>
        <v>505</v>
      </c>
      <c r="H84" s="796">
        <f>G84+'[1]3'!H84</f>
        <v>2152</v>
      </c>
      <c r="I84" s="601"/>
      <c r="J84" s="673">
        <f>H84/DAY(B2)</f>
        <v>538</v>
      </c>
      <c r="K84" s="408"/>
      <c r="L84" s="405"/>
      <c r="O84" s="410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2221.7099999999773</v>
      </c>
      <c r="H85" s="796">
        <f>G85+'[1]3'!H85</f>
        <v>7136.2599999999366</v>
      </c>
      <c r="I85" s="601"/>
      <c r="J85" s="673">
        <f>H85/DAY(B2)</f>
        <v>1784.0649999999841</v>
      </c>
      <c r="K85" s="408"/>
      <c r="L85" s="406"/>
      <c r="O85" s="410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575">
        <f>'[1]3'!F86</f>
        <v>440928.52</v>
      </c>
      <c r="F86" s="764">
        <v>441134.52</v>
      </c>
      <c r="G86" s="841">
        <f t="shared" ref="G86:G90" si="8">F86-E86</f>
        <v>206</v>
      </c>
      <c r="H86" s="796">
        <f>G86+'[1]3'!H86</f>
        <v>582.85000000003492</v>
      </c>
      <c r="I86" s="769"/>
      <c r="J86" s="843">
        <f>H86/DAY(B2)</f>
        <v>145.71250000000873</v>
      </c>
      <c r="K86" s="869"/>
      <c r="L86" s="870"/>
      <c r="O86" s="849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575">
        <f>'[1]3'!F87</f>
        <v>76999</v>
      </c>
      <c r="F87" s="764">
        <v>77032.800000000003</v>
      </c>
      <c r="G87" s="841">
        <f t="shared" si="8"/>
        <v>33.80000000000291</v>
      </c>
      <c r="H87" s="796">
        <f>G87+'[1]3'!H87</f>
        <v>96.30000000000291</v>
      </c>
      <c r="I87" s="769"/>
      <c r="J87" s="843">
        <f>H87/DAY(B2)</f>
        <v>24.075000000000728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575">
        <f>'[1]3'!F88</f>
        <v>142791.57</v>
      </c>
      <c r="F88" s="764">
        <v>142862.95000000001</v>
      </c>
      <c r="G88" s="841">
        <f t="shared" si="8"/>
        <v>71.380000000004657</v>
      </c>
      <c r="H88" s="796">
        <f>G88+'[1]3'!H88</f>
        <v>299.57000000000698</v>
      </c>
      <c r="I88" s="769"/>
      <c r="J88" s="843">
        <f>H88/DAY(B2)</f>
        <v>74.892500000001746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575">
        <f>'[1]3'!F89</f>
        <v>55911.6</v>
      </c>
      <c r="F89" s="764">
        <v>55967.8</v>
      </c>
      <c r="G89" s="841">
        <f t="shared" si="8"/>
        <v>56.200000000004366</v>
      </c>
      <c r="H89" s="796">
        <f>G89+'[1]3'!H89</f>
        <v>242.70000000000437</v>
      </c>
      <c r="I89" s="769">
        <f>H89+'[1]1'!I89</f>
        <v>242.70000000000437</v>
      </c>
      <c r="J89" s="843">
        <f>H89/DAY(B2)</f>
        <v>60.675000000001091</v>
      </c>
      <c r="K89" s="869" t="e">
        <f t="shared" ref="K89:K90" si="9">I89/DAY(C3)</f>
        <v>#VALUE!</v>
      </c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575">
        <f>'[1]3'!F90</f>
        <v>2900.1</v>
      </c>
      <c r="F90" s="764">
        <v>2905.4</v>
      </c>
      <c r="G90" s="841">
        <f t="shared" si="8"/>
        <v>5.3000000000001819</v>
      </c>
      <c r="H90" s="796">
        <f>G90+'[1]3'!H90</f>
        <v>17.400000000000091</v>
      </c>
      <c r="I90" s="769">
        <f>H90+'[1]1'!I90</f>
        <v>17.400000000000091</v>
      </c>
      <c r="J90" s="843">
        <f>H90/DAY(B2)</f>
        <v>4.3500000000000227</v>
      </c>
      <c r="K90" s="869" t="e">
        <f t="shared" si="9"/>
        <v>#VALUE!</v>
      </c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O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575">
        <f>'[1]3'!F92</f>
        <v>231230</v>
      </c>
      <c r="F92" s="598">
        <v>231297</v>
      </c>
      <c r="G92" s="593">
        <f t="shared" ref="G92:G93" si="10">F92-E92</f>
        <v>67</v>
      </c>
      <c r="H92" s="796">
        <f>G92+'[1]3'!H92</f>
        <v>322</v>
      </c>
      <c r="I92" s="600"/>
      <c r="J92" s="673">
        <f>H92/DAY(B2)</f>
        <v>80.5</v>
      </c>
      <c r="K92" s="509"/>
      <c r="L92" s="405"/>
      <c r="O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575">
        <f>'[1]3'!F93</f>
        <v>163072</v>
      </c>
      <c r="F93" s="598">
        <v>163199</v>
      </c>
      <c r="G93" s="593">
        <f t="shared" si="10"/>
        <v>127</v>
      </c>
      <c r="H93" s="796">
        <f>G93+'[1]3'!H93</f>
        <v>557</v>
      </c>
      <c r="I93" s="600"/>
      <c r="J93" s="673">
        <f>H93/DAY(B2)</f>
        <v>139.25</v>
      </c>
      <c r="K93" s="408"/>
      <c r="L93" s="405"/>
      <c r="O93" s="410"/>
    </row>
    <row r="94" spans="1:15" x14ac:dyDescent="0.5">
      <c r="A94" s="1392" t="s">
        <v>235</v>
      </c>
      <c r="B94" s="1393"/>
      <c r="C94" s="1394"/>
      <c r="D94" s="643"/>
      <c r="E94" s="575">
        <f>'[1]3'!F94</f>
        <v>0</v>
      </c>
      <c r="F94" s="598"/>
      <c r="G94" s="593">
        <f>G92+G93</f>
        <v>194</v>
      </c>
      <c r="H94" s="796">
        <f>G94+'[1]3'!H94</f>
        <v>616</v>
      </c>
      <c r="I94" s="600"/>
      <c r="J94" s="673">
        <f>H94/DAY(B2)</f>
        <v>154</v>
      </c>
      <c r="K94" s="408"/>
      <c r="L94" s="405"/>
      <c r="O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575">
        <f>'[1]3'!F95</f>
        <v>401716</v>
      </c>
      <c r="F95" s="598">
        <v>401775</v>
      </c>
      <c r="G95" s="593">
        <f t="shared" ref="G95:G100" si="11">F95-E95</f>
        <v>59</v>
      </c>
      <c r="H95" s="796">
        <f>G95+'[1]3'!H95</f>
        <v>210</v>
      </c>
      <c r="I95" s="600"/>
      <c r="J95" s="673">
        <f>H95/DAY(B2)</f>
        <v>52.5</v>
      </c>
      <c r="K95" s="408"/>
      <c r="L95" s="405"/>
      <c r="O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575">
        <f>'[1]3'!F96</f>
        <v>99197</v>
      </c>
      <c r="F96" s="598">
        <v>99222</v>
      </c>
      <c r="G96" s="593">
        <f t="shared" si="11"/>
        <v>25</v>
      </c>
      <c r="H96" s="796">
        <f>G96+'[1]3'!H96</f>
        <v>111</v>
      </c>
      <c r="I96" s="600"/>
      <c r="J96" s="673">
        <f>H96/DAY(B2)</f>
        <v>27.75</v>
      </c>
      <c r="K96" s="507"/>
      <c r="L96" s="405"/>
      <c r="O96" s="410"/>
    </row>
    <row r="97" spans="1:15" ht="27.75" x14ac:dyDescent="0.5">
      <c r="A97" s="1354" t="s">
        <v>238</v>
      </c>
      <c r="B97" s="1355"/>
      <c r="C97" s="1355"/>
      <c r="D97" s="643" t="s">
        <v>171</v>
      </c>
      <c r="E97" s="575">
        <f>'[1]3'!F97</f>
        <v>94337</v>
      </c>
      <c r="F97" s="598">
        <v>94352</v>
      </c>
      <c r="G97" s="593">
        <f t="shared" si="11"/>
        <v>15</v>
      </c>
      <c r="H97" s="796">
        <f>G97+'[1]3'!H97</f>
        <v>80</v>
      </c>
      <c r="I97" s="600"/>
      <c r="J97" s="673">
        <f>H97/DAY(B2)</f>
        <v>20</v>
      </c>
      <c r="K97" s="512"/>
      <c r="L97" s="405"/>
      <c r="O97" s="410"/>
    </row>
    <row r="98" spans="1:15" ht="27.75" x14ac:dyDescent="0.5">
      <c r="A98" s="1354" t="s">
        <v>239</v>
      </c>
      <c r="B98" s="1355"/>
      <c r="C98" s="1355"/>
      <c r="D98" s="643" t="s">
        <v>171</v>
      </c>
      <c r="E98" s="575">
        <f>'[1]3'!F98</f>
        <v>142320</v>
      </c>
      <c r="F98" s="598">
        <v>142363</v>
      </c>
      <c r="G98" s="593">
        <f t="shared" si="11"/>
        <v>43</v>
      </c>
      <c r="H98" s="796">
        <f>G98+'[1]3'!H98</f>
        <v>217</v>
      </c>
      <c r="I98" s="600"/>
      <c r="J98" s="673">
        <f>H98/DAY(B2)</f>
        <v>54.25</v>
      </c>
      <c r="K98" s="408"/>
      <c r="L98" s="405"/>
      <c r="O98" s="410"/>
    </row>
    <row r="99" spans="1:15" ht="27.75" x14ac:dyDescent="0.5">
      <c r="A99" s="1354" t="s">
        <v>240</v>
      </c>
      <c r="B99" s="1355"/>
      <c r="C99" s="1355"/>
      <c r="D99" s="643" t="s">
        <v>171</v>
      </c>
      <c r="E99" s="575">
        <f>'[1]3'!F99</f>
        <v>5035</v>
      </c>
      <c r="F99" s="598">
        <v>5058</v>
      </c>
      <c r="G99" s="593">
        <f t="shared" si="11"/>
        <v>23</v>
      </c>
      <c r="H99" s="796">
        <f>G99+'[1]3'!H99</f>
        <v>90</v>
      </c>
      <c r="I99" s="600"/>
      <c r="J99" s="673">
        <f>H99/DAY(B2)</f>
        <v>22.5</v>
      </c>
      <c r="K99" s="408"/>
      <c r="L99" s="405"/>
      <c r="O99" s="410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575">
        <f>'[1]3'!F100</f>
        <v>3674</v>
      </c>
      <c r="F100" s="598">
        <v>3674</v>
      </c>
      <c r="G100" s="593">
        <f t="shared" si="11"/>
        <v>0</v>
      </c>
      <c r="H100" s="796">
        <f>G100+'[1]3'!H100</f>
        <v>0</v>
      </c>
      <c r="I100" s="600"/>
      <c r="J100" s="673">
        <f>H100/DAY(B2)</f>
        <v>0</v>
      </c>
      <c r="K100" s="408"/>
      <c r="L100" s="405"/>
      <c r="O100" s="410"/>
    </row>
    <row r="101" spans="1:15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165</v>
      </c>
      <c r="H101" s="796">
        <f>G101+'[1]3'!H101</f>
        <v>708</v>
      </c>
      <c r="I101" s="646"/>
      <c r="J101" s="673">
        <f>H101/DAY(B2)</f>
        <v>177</v>
      </c>
      <c r="K101" s="408"/>
      <c r="L101" s="405"/>
      <c r="O101" s="410"/>
    </row>
    <row r="102" spans="1:15" s="524" customFormat="1" ht="27" x14ac:dyDescent="0.35">
      <c r="A102" s="728" t="s">
        <v>243</v>
      </c>
      <c r="B102" s="729"/>
      <c r="C102" s="729"/>
      <c r="D102" s="742"/>
      <c r="E102" s="648"/>
      <c r="F102" s="774"/>
      <c r="G102" s="649"/>
      <c r="H102" s="650"/>
      <c r="I102" s="651"/>
      <c r="J102" s="678"/>
      <c r="O102" s="410"/>
    </row>
    <row r="103" spans="1:15" s="524" customFormat="1" ht="27.75" x14ac:dyDescent="0.5">
      <c r="A103" s="1404" t="s">
        <v>244</v>
      </c>
      <c r="B103" s="1405"/>
      <c r="C103" s="694"/>
      <c r="D103" s="743"/>
      <c r="E103" s="652"/>
      <c r="F103" s="775"/>
      <c r="G103" s="652"/>
      <c r="H103" s="653"/>
      <c r="I103" s="652"/>
      <c r="J103" s="679"/>
      <c r="O103" s="410"/>
    </row>
    <row r="104" spans="1:15" s="524" customFormat="1" ht="27.75" x14ac:dyDescent="0.5">
      <c r="A104" s="1439" t="s">
        <v>245</v>
      </c>
      <c r="B104" s="1440"/>
      <c r="C104" s="1363"/>
      <c r="D104" s="743" t="s">
        <v>171</v>
      </c>
      <c r="E104" s="575">
        <f>'[1]3'!F104</f>
        <v>7010</v>
      </c>
      <c r="F104" s="775">
        <v>7010</v>
      </c>
      <c r="G104" s="652">
        <f>F104-E104</f>
        <v>0</v>
      </c>
      <c r="H104" s="796">
        <f>G104+'[1]3'!H104</f>
        <v>57</v>
      </c>
      <c r="I104" s="652"/>
      <c r="J104" s="679">
        <f>H104/DAY(B2)</f>
        <v>14.25</v>
      </c>
      <c r="O104" s="410"/>
    </row>
    <row r="105" spans="1:15" s="524" customFormat="1" ht="27.75" x14ac:dyDescent="0.5">
      <c r="A105" s="1439" t="s">
        <v>92</v>
      </c>
      <c r="B105" s="1440"/>
      <c r="C105" s="1363"/>
      <c r="D105" s="743" t="s">
        <v>171</v>
      </c>
      <c r="E105" s="575">
        <f>'[1]3'!F105</f>
        <v>34687</v>
      </c>
      <c r="F105" s="776">
        <v>34695</v>
      </c>
      <c r="G105" s="652">
        <f t="shared" ref="G105:G106" si="12">F105-E105</f>
        <v>8</v>
      </c>
      <c r="H105" s="796">
        <f>G105+'[1]3'!H105</f>
        <v>64</v>
      </c>
      <c r="I105" s="652"/>
      <c r="J105" s="679">
        <f>H105/DAY(B2)</f>
        <v>16</v>
      </c>
      <c r="O105" s="410"/>
    </row>
    <row r="106" spans="1:15" s="524" customFormat="1" ht="27.75" x14ac:dyDescent="0.5">
      <c r="A106" s="1439" t="s">
        <v>93</v>
      </c>
      <c r="B106" s="1465"/>
      <c r="C106" s="1440"/>
      <c r="D106" s="743" t="s">
        <v>171</v>
      </c>
      <c r="E106" s="575">
        <f>'[1]3'!F106</f>
        <v>18751</v>
      </c>
      <c r="F106" s="775">
        <v>18756</v>
      </c>
      <c r="G106" s="652">
        <f t="shared" si="12"/>
        <v>5</v>
      </c>
      <c r="H106" s="796">
        <f>G106+'[1]3'!H106</f>
        <v>488</v>
      </c>
      <c r="I106" s="652"/>
      <c r="J106" s="679">
        <f>H106/DAY(B2)</f>
        <v>122</v>
      </c>
      <c r="O106" s="410"/>
    </row>
    <row r="107" spans="1:15" s="524" customFormat="1" ht="27.75" x14ac:dyDescent="0.5">
      <c r="A107" s="1435" t="s">
        <v>82</v>
      </c>
      <c r="B107" s="1436"/>
      <c r="C107" s="1363"/>
      <c r="D107" s="743"/>
      <c r="E107" s="575" t="str">
        <f>'[1]3'!F107</f>
        <v>.</v>
      </c>
      <c r="F107" s="775" t="s">
        <v>296</v>
      </c>
      <c r="G107" s="652">
        <f>SUM(G104:G106)</f>
        <v>13</v>
      </c>
      <c r="H107" s="796">
        <f>G107+'[1]3'!H107</f>
        <v>218</v>
      </c>
      <c r="I107" s="652"/>
      <c r="J107" s="679">
        <f>H107/DAY(B2)</f>
        <v>54.5</v>
      </c>
      <c r="O107" s="410"/>
    </row>
    <row r="108" spans="1:15" s="524" customFormat="1" ht="27.75" x14ac:dyDescent="0.5">
      <c r="A108" s="1463" t="s">
        <v>94</v>
      </c>
      <c r="B108" s="1464"/>
      <c r="C108" s="1363"/>
      <c r="D108" s="743" t="s">
        <v>171</v>
      </c>
      <c r="E108" s="575">
        <f>'[1]3'!F108</f>
        <v>0</v>
      </c>
      <c r="F108" s="775"/>
      <c r="G108" s="652"/>
      <c r="H108" s="796">
        <f>G108+'[1]3'!H108</f>
        <v>0</v>
      </c>
      <c r="I108" s="652"/>
      <c r="J108" s="679"/>
      <c r="O108" s="410"/>
    </row>
    <row r="109" spans="1:15" s="524" customFormat="1" ht="27.75" x14ac:dyDescent="0.5">
      <c r="A109" s="1439" t="s">
        <v>246</v>
      </c>
      <c r="B109" s="1440"/>
      <c r="C109" s="1363"/>
      <c r="D109" s="743" t="s">
        <v>171</v>
      </c>
      <c r="E109" s="575">
        <f>'[1]3'!F109</f>
        <v>51440</v>
      </c>
      <c r="F109" s="775">
        <v>51440</v>
      </c>
      <c r="G109" s="652">
        <f>F109-E109</f>
        <v>0</v>
      </c>
      <c r="H109" s="796">
        <f>G109+'[1]3'!H109</f>
        <v>212.28000000002794</v>
      </c>
      <c r="I109" s="652"/>
      <c r="J109" s="679">
        <f>H109/DAY(B2)</f>
        <v>53.070000000006985</v>
      </c>
      <c r="O109" s="410"/>
    </row>
    <row r="110" spans="1:15" s="524" customFormat="1" ht="27.75" x14ac:dyDescent="0.5">
      <c r="A110" s="1439" t="s">
        <v>247</v>
      </c>
      <c r="B110" s="1440"/>
      <c r="C110" s="1363"/>
      <c r="D110" s="743" t="s">
        <v>171</v>
      </c>
      <c r="E110" s="575">
        <f>'[1]3'!F110</f>
        <v>25494</v>
      </c>
      <c r="F110" s="775">
        <v>25538</v>
      </c>
      <c r="G110" s="652">
        <f t="shared" ref="G110:G111" si="13">F110-E110</f>
        <v>44</v>
      </c>
      <c r="H110" s="796">
        <f>G110+'[1]3'!H110</f>
        <v>118.76000000000931</v>
      </c>
      <c r="I110" s="652"/>
      <c r="J110" s="679">
        <f>H110/DAY(B2)</f>
        <v>29.690000000002328</v>
      </c>
      <c r="O110" s="410"/>
    </row>
    <row r="111" spans="1:15" s="524" customFormat="1" ht="27.75" x14ac:dyDescent="0.5">
      <c r="A111" s="1439" t="s">
        <v>248</v>
      </c>
      <c r="B111" s="1440"/>
      <c r="C111" s="1363"/>
      <c r="D111" s="743" t="s">
        <v>171</v>
      </c>
      <c r="E111" s="575">
        <f>'[1]3'!F111</f>
        <v>3398</v>
      </c>
      <c r="F111" s="775">
        <v>3398</v>
      </c>
      <c r="G111" s="652">
        <f t="shared" si="13"/>
        <v>0</v>
      </c>
      <c r="H111" s="796">
        <f>G111+'[1]3'!H111</f>
        <v>348</v>
      </c>
      <c r="I111" s="652"/>
      <c r="J111" s="679">
        <f>H111/DAY(B2)</f>
        <v>87</v>
      </c>
      <c r="O111" s="410"/>
    </row>
    <row r="112" spans="1:15" s="524" customFormat="1" ht="27.75" x14ac:dyDescent="0.5">
      <c r="A112" s="1435" t="s">
        <v>136</v>
      </c>
      <c r="B112" s="1436"/>
      <c r="C112" s="1363"/>
      <c r="D112" s="743"/>
      <c r="E112" s="575">
        <f>'[1]3'!F112</f>
        <v>0</v>
      </c>
      <c r="F112" s="775"/>
      <c r="G112" s="652">
        <f>SUM(G109:G111)</f>
        <v>44</v>
      </c>
      <c r="H112" s="796">
        <f>G112+'[1]3'!H112</f>
        <v>723</v>
      </c>
      <c r="I112" s="652"/>
      <c r="J112" s="679">
        <f>H112/DAY(B2)</f>
        <v>180.75</v>
      </c>
      <c r="O112" s="410"/>
    </row>
    <row r="113" spans="1:15" s="524" customFormat="1" ht="27.75" x14ac:dyDescent="0.5">
      <c r="A113" s="1463" t="s">
        <v>249</v>
      </c>
      <c r="B113" s="1464"/>
      <c r="C113" s="1363"/>
      <c r="D113" s="743"/>
      <c r="E113" s="575">
        <f>'[1]3'!F113</f>
        <v>0</v>
      </c>
      <c r="F113" s="775"/>
      <c r="G113" s="652"/>
      <c r="H113" s="796">
        <f>G113+'[1]3'!H113</f>
        <v>0</v>
      </c>
      <c r="I113" s="652"/>
      <c r="J113" s="679">
        <f>H113/DAY(B2)</f>
        <v>0</v>
      </c>
      <c r="O113" s="410"/>
    </row>
    <row r="114" spans="1:15" s="524" customFormat="1" ht="27.75" x14ac:dyDescent="0.5">
      <c r="A114" s="1439" t="s">
        <v>250</v>
      </c>
      <c r="B114" s="1440"/>
      <c r="C114" s="1362"/>
      <c r="D114" s="743" t="s">
        <v>171</v>
      </c>
      <c r="E114" s="575">
        <f>'[1]3'!F114</f>
        <v>8681</v>
      </c>
      <c r="F114" s="776">
        <v>8708</v>
      </c>
      <c r="G114" s="654">
        <f>F114-E114</f>
        <v>27</v>
      </c>
      <c r="H114" s="796">
        <f>G114+'[1]3'!H114</f>
        <v>51</v>
      </c>
      <c r="I114" s="652"/>
      <c r="J114" s="679">
        <f>H114/DAY(B2)</f>
        <v>12.75</v>
      </c>
      <c r="O114" s="410"/>
    </row>
    <row r="115" spans="1:15" s="524" customFormat="1" ht="27.75" x14ac:dyDescent="0.5">
      <c r="A115" s="1439" t="s">
        <v>251</v>
      </c>
      <c r="B115" s="1440"/>
      <c r="C115" s="1362"/>
      <c r="D115" s="743" t="s">
        <v>171</v>
      </c>
      <c r="E115" s="575">
        <f>'[1]3'!F115</f>
        <v>6849</v>
      </c>
      <c r="F115" s="776">
        <v>6855</v>
      </c>
      <c r="G115" s="654">
        <f t="shared" ref="G115:G116" si="14">F115-E115</f>
        <v>6</v>
      </c>
      <c r="H115" s="796">
        <f>G115+'[1]3'!H115</f>
        <v>122</v>
      </c>
      <c r="I115" s="652"/>
      <c r="J115" s="679">
        <f>H115/DAY(B2)</f>
        <v>30.5</v>
      </c>
      <c r="O115" s="410"/>
    </row>
    <row r="116" spans="1:15" s="524" customFormat="1" ht="27.75" x14ac:dyDescent="0.5">
      <c r="A116" s="1439" t="s">
        <v>252</v>
      </c>
      <c r="B116" s="1440"/>
      <c r="C116" s="1362"/>
      <c r="D116" s="743" t="s">
        <v>171</v>
      </c>
      <c r="E116" s="654"/>
      <c r="F116" s="776"/>
      <c r="G116" s="654">
        <f t="shared" si="14"/>
        <v>0</v>
      </c>
      <c r="H116" s="796">
        <f>G116+'[1]3'!H116</f>
        <v>151</v>
      </c>
      <c r="I116" s="652"/>
      <c r="J116" s="679">
        <f>H116/DAY(B2)</f>
        <v>37.75</v>
      </c>
      <c r="O116" s="410"/>
    </row>
    <row r="117" spans="1:15" s="537" customFormat="1" ht="27.75" x14ac:dyDescent="0.5">
      <c r="A117" s="1435" t="s">
        <v>82</v>
      </c>
      <c r="B117" s="1436"/>
      <c r="C117" s="1362"/>
      <c r="D117" s="922"/>
      <c r="E117" s="654"/>
      <c r="F117" s="776"/>
      <c r="G117" s="654">
        <f>SUM(G114:G116)</f>
        <v>33</v>
      </c>
      <c r="H117" s="796">
        <f>G117+'[1]3'!H117</f>
        <v>108</v>
      </c>
      <c r="I117" s="654"/>
      <c r="J117" s="679">
        <f>H117/DAY(B2)</f>
        <v>27</v>
      </c>
      <c r="O117" s="410"/>
    </row>
    <row r="118" spans="1:15" s="537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120</v>
      </c>
      <c r="G118" s="656">
        <f>SUM(G19+G92)</f>
        <v>120</v>
      </c>
      <c r="H118" s="796">
        <f>G118+'[1]3'!H118</f>
        <v>260</v>
      </c>
      <c r="I118" s="655"/>
      <c r="J118" s="680">
        <f>H118/DAY(B2)</f>
        <v>65</v>
      </c>
      <c r="O118" s="410"/>
    </row>
    <row r="119" spans="1:15" s="537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122</v>
      </c>
      <c r="G119" s="656">
        <f>SUM(G95,G96,G97,G99,G100)</f>
        <v>122</v>
      </c>
      <c r="H119" s="796">
        <f>G119+'[1]3'!H119</f>
        <v>292</v>
      </c>
      <c r="I119" s="655"/>
      <c r="J119" s="680">
        <f>H119/DAY(B2)</f>
        <v>73</v>
      </c>
      <c r="O119" s="410"/>
    </row>
    <row r="120" spans="1:15" s="537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44</v>
      </c>
      <c r="G120" s="654">
        <f>SUM(G112)</f>
        <v>44</v>
      </c>
      <c r="H120" s="796">
        <f>G120+'[1]3'!H120</f>
        <v>159</v>
      </c>
      <c r="I120" s="655"/>
      <c r="J120" s="680">
        <f>H120/DAY(B2)</f>
        <v>39.75</v>
      </c>
      <c r="O120" s="410"/>
    </row>
    <row r="121" spans="1:15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O121" s="410"/>
    </row>
    <row r="122" spans="1:15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O122" s="410"/>
    </row>
    <row r="123" spans="1:15" ht="27.75" x14ac:dyDescent="0.5">
      <c r="A123" s="1354" t="s">
        <v>257</v>
      </c>
      <c r="B123" s="1355"/>
      <c r="C123" s="1355"/>
      <c r="D123" s="643" t="s">
        <v>168</v>
      </c>
      <c r="E123" s="575">
        <f>'[1]3'!F123</f>
        <v>789450.19</v>
      </c>
      <c r="F123" s="598">
        <v>789657.196</v>
      </c>
      <c r="G123" s="593">
        <f t="shared" ref="G123:G127" si="15">F123-E123</f>
        <v>207.00600000005215</v>
      </c>
      <c r="H123" s="796">
        <f>G123+'[1]3'!H123</f>
        <v>826.1260000000475</v>
      </c>
      <c r="I123" s="646"/>
      <c r="J123" s="673">
        <f>H123/DAY(B2)</f>
        <v>206.53150000001187</v>
      </c>
      <c r="K123" s="408"/>
      <c r="L123" s="405"/>
      <c r="O123" s="410"/>
    </row>
    <row r="124" spans="1:15" ht="27.75" x14ac:dyDescent="0.5">
      <c r="A124" s="1354" t="s">
        <v>258</v>
      </c>
      <c r="B124" s="1355"/>
      <c r="C124" s="1355"/>
      <c r="D124" s="643" t="s">
        <v>168</v>
      </c>
      <c r="E124" s="575">
        <f>'[1]3'!F124</f>
        <v>73582.2</v>
      </c>
      <c r="F124" s="747">
        <v>73582</v>
      </c>
      <c r="G124" s="593">
        <f t="shared" si="15"/>
        <v>-0.19999999999708962</v>
      </c>
      <c r="H124" s="796">
        <f>G124+'[1]3'!H124</f>
        <v>-0.19999999999708962</v>
      </c>
      <c r="I124" s="646"/>
      <c r="J124" s="673">
        <f>H124/DAY(B2)</f>
        <v>-4.9999999999272404E-2</v>
      </c>
      <c r="K124" s="408"/>
      <c r="L124" s="405"/>
      <c r="O124" s="410"/>
    </row>
    <row r="125" spans="1:15" ht="27.75" x14ac:dyDescent="0.5">
      <c r="A125" s="1395" t="s">
        <v>259</v>
      </c>
      <c r="B125" s="1396"/>
      <c r="C125" s="1397"/>
      <c r="D125" s="643" t="s">
        <v>168</v>
      </c>
      <c r="E125" s="575">
        <f>'[1]3'!F125</f>
        <v>133310.78</v>
      </c>
      <c r="F125" s="598">
        <v>133414.97</v>
      </c>
      <c r="G125" s="593">
        <f t="shared" si="15"/>
        <v>104.19000000000233</v>
      </c>
      <c r="H125" s="796">
        <f>G125+'[1]3'!H125</f>
        <v>292.08999999999651</v>
      </c>
      <c r="I125" s="646"/>
      <c r="J125" s="673">
        <f>H125/DAY(B2)</f>
        <v>73.022499999999127</v>
      </c>
      <c r="K125" s="408"/>
      <c r="L125" s="405"/>
      <c r="O125" s="410"/>
    </row>
    <row r="126" spans="1:15" ht="27.75" x14ac:dyDescent="0.5">
      <c r="A126" s="730" t="s">
        <v>260</v>
      </c>
      <c r="B126" s="1355"/>
      <c r="C126" s="1355"/>
      <c r="D126" s="643" t="s">
        <v>168</v>
      </c>
      <c r="E126" s="575">
        <f>'[1]3'!F126</f>
        <v>56419.4</v>
      </c>
      <c r="F126" s="747">
        <v>56449</v>
      </c>
      <c r="G126" s="593">
        <f t="shared" si="15"/>
        <v>29.599999999998545</v>
      </c>
      <c r="H126" s="796">
        <f>G126+'[1]3'!H126</f>
        <v>100.80000000000291</v>
      </c>
      <c r="I126" s="646"/>
      <c r="J126" s="673">
        <f>H126/DAY(B2)</f>
        <v>25.200000000000728</v>
      </c>
      <c r="K126" s="408"/>
      <c r="L126" s="405"/>
      <c r="O126" s="410"/>
    </row>
    <row r="127" spans="1:15" ht="27.75" x14ac:dyDescent="0.5">
      <c r="A127" s="730" t="s">
        <v>261</v>
      </c>
      <c r="B127" s="1355"/>
      <c r="C127" s="1355"/>
      <c r="D127" s="643" t="s">
        <v>168</v>
      </c>
      <c r="E127" s="575">
        <f>'[1]3'!F127</f>
        <v>8640.1</v>
      </c>
      <c r="F127" s="747">
        <v>8640.1</v>
      </c>
      <c r="G127" s="593">
        <f t="shared" si="15"/>
        <v>0</v>
      </c>
      <c r="H127" s="796">
        <f>G127+'[1]3'!H127</f>
        <v>0</v>
      </c>
      <c r="I127" s="600"/>
      <c r="J127" s="673">
        <f>H127/DAY(B2)</f>
        <v>0</v>
      </c>
      <c r="K127" s="408"/>
      <c r="L127" s="405"/>
      <c r="O127" s="410"/>
    </row>
    <row r="128" spans="1:15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350.57999999992171</v>
      </c>
      <c r="H128" s="796">
        <f>G128+'[1]3'!H128</f>
        <v>1107.429999999993</v>
      </c>
      <c r="I128" s="600"/>
      <c r="J128" s="673">
        <f>H128/DAY(B2)</f>
        <v>276.85749999999825</v>
      </c>
      <c r="K128" s="388"/>
      <c r="L128" s="290"/>
      <c r="O128" s="410"/>
    </row>
    <row r="129" spans="1:15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O129" s="410"/>
    </row>
    <row r="130" spans="1:15" ht="27.75" x14ac:dyDescent="0.5">
      <c r="A130" s="1354" t="s">
        <v>264</v>
      </c>
      <c r="B130" s="1355"/>
      <c r="C130" s="1355"/>
      <c r="D130" s="643" t="s">
        <v>265</v>
      </c>
      <c r="E130" s="575">
        <f>'[1]3'!F130</f>
        <v>0</v>
      </c>
      <c r="F130" s="598">
        <v>0</v>
      </c>
      <c r="G130" s="593">
        <f t="shared" ref="G130:G140" si="16">F130-E130</f>
        <v>0</v>
      </c>
      <c r="H130" s="796">
        <f>G130+'[1]3'!H130</f>
        <v>0</v>
      </c>
      <c r="I130" s="600"/>
      <c r="J130" s="673">
        <f>H130/DAY(B2)</f>
        <v>0</v>
      </c>
      <c r="O130" s="410"/>
    </row>
    <row r="131" spans="1:15" ht="27.75" x14ac:dyDescent="0.5">
      <c r="A131" s="1354" t="s">
        <v>266</v>
      </c>
      <c r="B131" s="1355"/>
      <c r="C131" s="1355"/>
      <c r="D131" s="643" t="s">
        <v>265</v>
      </c>
      <c r="E131" s="575">
        <f>'[1]3'!F131</f>
        <v>0</v>
      </c>
      <c r="F131" s="598">
        <v>0</v>
      </c>
      <c r="G131" s="593">
        <f t="shared" si="16"/>
        <v>0</v>
      </c>
      <c r="H131" s="796">
        <f>G131+'[1]3'!H131</f>
        <v>0</v>
      </c>
      <c r="I131" s="600"/>
      <c r="J131" s="673">
        <f>H131/DAY(B2)</f>
        <v>0</v>
      </c>
      <c r="O131" s="410"/>
    </row>
    <row r="132" spans="1:15" ht="27.75" x14ac:dyDescent="0.5">
      <c r="A132" s="1354" t="s">
        <v>267</v>
      </c>
      <c r="B132" s="1355"/>
      <c r="C132" s="1355"/>
      <c r="D132" s="643" t="s">
        <v>265</v>
      </c>
      <c r="E132" s="575">
        <f>'[1]3'!F132</f>
        <v>38877</v>
      </c>
      <c r="F132" s="768">
        <v>38877</v>
      </c>
      <c r="G132" s="593">
        <f t="shared" si="16"/>
        <v>0</v>
      </c>
      <c r="H132" s="796">
        <f>G132+'[1]3'!H132</f>
        <v>0</v>
      </c>
      <c r="I132" s="600"/>
      <c r="J132" s="673">
        <f>H132/DAY(B2)</f>
        <v>0</v>
      </c>
      <c r="O132" s="410"/>
    </row>
    <row r="133" spans="1:15" ht="27.75" x14ac:dyDescent="0.5">
      <c r="A133" s="1354" t="s">
        <v>268</v>
      </c>
      <c r="B133" s="1355"/>
      <c r="C133" s="1355"/>
      <c r="D133" s="643" t="s">
        <v>265</v>
      </c>
      <c r="E133" s="575">
        <v>0</v>
      </c>
      <c r="F133" s="605">
        <v>20.3</v>
      </c>
      <c r="G133" s="593">
        <f t="shared" si="16"/>
        <v>20.3</v>
      </c>
      <c r="H133" s="796">
        <f>G133+'[1]3'!H133</f>
        <v>20.3</v>
      </c>
      <c r="I133" s="600"/>
      <c r="J133" s="673">
        <f>H133/DAY(B2)</f>
        <v>5.0750000000000002</v>
      </c>
      <c r="O133" s="410"/>
    </row>
    <row r="134" spans="1:15" ht="27.75" x14ac:dyDescent="0.5">
      <c r="A134" s="1354" t="s">
        <v>269</v>
      </c>
      <c r="B134" s="1355"/>
      <c r="C134" s="1355"/>
      <c r="D134" s="643" t="s">
        <v>265</v>
      </c>
      <c r="E134" s="575">
        <f>'[1]3'!F134</f>
        <v>39735</v>
      </c>
      <c r="F134" s="605">
        <v>39735</v>
      </c>
      <c r="G134" s="593">
        <f t="shared" si="16"/>
        <v>0</v>
      </c>
      <c r="H134" s="796">
        <f>G134+'[1]3'!H134</f>
        <v>0</v>
      </c>
      <c r="I134" s="600"/>
      <c r="J134" s="673">
        <f>H134/DAY(B2)</f>
        <v>0</v>
      </c>
      <c r="O134" s="410"/>
    </row>
    <row r="135" spans="1:15" ht="27.75" x14ac:dyDescent="0.5">
      <c r="A135" s="1354" t="s">
        <v>270</v>
      </c>
      <c r="B135" s="1355"/>
      <c r="C135" s="1355"/>
      <c r="D135" s="643" t="s">
        <v>265</v>
      </c>
      <c r="E135" s="575">
        <f>'[1]3'!F135</f>
        <v>31788</v>
      </c>
      <c r="F135" s="605">
        <v>31792</v>
      </c>
      <c r="G135" s="593">
        <f t="shared" si="16"/>
        <v>4</v>
      </c>
      <c r="H135" s="796">
        <f>G135+'[1]3'!H135</f>
        <v>75.569999999999709</v>
      </c>
      <c r="I135" s="600">
        <f>G132+G133+G134+G135</f>
        <v>24.3</v>
      </c>
      <c r="J135" s="673">
        <f>H135/DAY(B2)</f>
        <v>18.892499999999927</v>
      </c>
      <c r="O135" s="410"/>
    </row>
    <row r="136" spans="1:15" ht="27.75" x14ac:dyDescent="0.5">
      <c r="A136" s="1354" t="s">
        <v>271</v>
      </c>
      <c r="B136" s="1355"/>
      <c r="C136" s="1355"/>
      <c r="D136" s="643" t="s">
        <v>265</v>
      </c>
      <c r="E136" s="575">
        <f>'[1]3'!F136</f>
        <v>21680.53</v>
      </c>
      <c r="F136" s="768">
        <v>21686.3</v>
      </c>
      <c r="G136" s="593">
        <f t="shared" si="16"/>
        <v>5.7700000000004366</v>
      </c>
      <c r="H136" s="796">
        <f>G136+'[1]3'!H136</f>
        <v>11.579999999998108</v>
      </c>
      <c r="I136" s="600"/>
      <c r="J136" s="673">
        <f>H136/DAY(B2)</f>
        <v>2.8949999999995271</v>
      </c>
      <c r="O136" s="410"/>
    </row>
    <row r="137" spans="1:15" ht="27.75" x14ac:dyDescent="0.5">
      <c r="A137" s="1354" t="s">
        <v>272</v>
      </c>
      <c r="B137" s="1355"/>
      <c r="C137" s="1355"/>
      <c r="D137" s="643" t="s">
        <v>265</v>
      </c>
      <c r="E137" s="575">
        <f>'[1]3'!F137</f>
        <v>24932.5</v>
      </c>
      <c r="F137" s="768">
        <v>24932.51</v>
      </c>
      <c r="G137" s="593">
        <f t="shared" si="16"/>
        <v>9.9999999983992893E-3</v>
      </c>
      <c r="H137" s="796">
        <f>G137+'[1]3'!H137</f>
        <v>0</v>
      </c>
      <c r="I137" s="600"/>
      <c r="J137" s="673">
        <f>H137/DAY(B2)</f>
        <v>0</v>
      </c>
      <c r="O137" s="410"/>
    </row>
    <row r="138" spans="1:15" ht="27.75" x14ac:dyDescent="0.5">
      <c r="A138" s="1354" t="s">
        <v>273</v>
      </c>
      <c r="B138" s="1355"/>
      <c r="C138" s="1355"/>
      <c r="D138" s="643" t="s">
        <v>265</v>
      </c>
      <c r="E138" s="575">
        <f>'[1]3'!F138</f>
        <v>69972.34</v>
      </c>
      <c r="F138" s="768">
        <v>69972.34</v>
      </c>
      <c r="G138" s="593">
        <f t="shared" si="16"/>
        <v>0</v>
      </c>
      <c r="H138" s="796">
        <f>G138+'[1]3'!H138</f>
        <v>17.129999999990105</v>
      </c>
      <c r="I138" s="600">
        <f>G136+G137+G138</f>
        <v>5.7799999999988358</v>
      </c>
      <c r="J138" s="673">
        <f>H138/DAY(B2)</f>
        <v>4.2824999999975262</v>
      </c>
      <c r="O138" s="410"/>
    </row>
    <row r="139" spans="1:15" ht="27.75" x14ac:dyDescent="0.5">
      <c r="A139" s="1354" t="s">
        <v>274</v>
      </c>
      <c r="B139" s="1355"/>
      <c r="C139" s="1355"/>
      <c r="D139" s="643" t="s">
        <v>265</v>
      </c>
      <c r="E139" s="575">
        <f>'[1]3'!F139</f>
        <v>958.19</v>
      </c>
      <c r="F139" s="605">
        <v>964.58</v>
      </c>
      <c r="G139" s="593">
        <f t="shared" si="16"/>
        <v>6.3899999999999864</v>
      </c>
      <c r="H139" s="796">
        <f>G139+'[1]3'!H139</f>
        <v>23.050000000000068</v>
      </c>
      <c r="I139" s="663"/>
      <c r="J139" s="673">
        <f>H139/DAY(B2)</f>
        <v>5.7625000000000171</v>
      </c>
      <c r="O139" s="410"/>
    </row>
    <row r="140" spans="1:15" ht="27.75" x14ac:dyDescent="0.5">
      <c r="A140" s="1354" t="s">
        <v>275</v>
      </c>
      <c r="B140" s="1355"/>
      <c r="C140" s="1355"/>
      <c r="D140" s="643" t="s">
        <v>265</v>
      </c>
      <c r="E140" s="575">
        <f>'[1]3'!F140</f>
        <v>4156.9799999999996</v>
      </c>
      <c r="F140" s="598">
        <v>4156.9799999999996</v>
      </c>
      <c r="G140" s="593">
        <f t="shared" si="16"/>
        <v>0</v>
      </c>
      <c r="H140" s="796">
        <f>G140+'[1]3'!H140</f>
        <v>7.999999999992724E-2</v>
      </c>
      <c r="I140" s="663">
        <f>G140+G177</f>
        <v>0</v>
      </c>
      <c r="J140" s="673">
        <f>H140/DAY(B2)</f>
        <v>1.999999999998181E-2</v>
      </c>
      <c r="O140" s="410"/>
    </row>
    <row r="141" spans="1:15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O141" s="410"/>
    </row>
    <row r="142" spans="1:15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5222.3609999999317</v>
      </c>
      <c r="H142" s="796">
        <f>G142+'[1]3'!H142</f>
        <v>19670.69299999989</v>
      </c>
      <c r="I142" s="600"/>
      <c r="J142" s="673">
        <f>H142/DAY(B2)</f>
        <v>4917.6732499999725</v>
      </c>
      <c r="K142" s="408"/>
      <c r="L142" s="405"/>
      <c r="O142" s="410"/>
    </row>
    <row r="143" spans="1:15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0.26629753709652398</v>
      </c>
      <c r="H143" s="796">
        <f>G143+'[1]3'!H143</f>
        <v>0.85979807740665071</v>
      </c>
      <c r="I143" s="665"/>
      <c r="J143" s="673">
        <f>H143/DAY(B2)</f>
        <v>0.21494951935166268</v>
      </c>
      <c r="K143" s="408"/>
      <c r="L143" s="405"/>
      <c r="O143" s="410"/>
    </row>
    <row r="144" spans="1:15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4263.340000000002</v>
      </c>
      <c r="H144" s="796">
        <f>G144+'[1]3'!H144</f>
        <v>17854.659999999982</v>
      </c>
      <c r="I144" s="600"/>
      <c r="J144" s="673">
        <f>H144/DAY(B2)</f>
        <v>4463.6649999999954</v>
      </c>
      <c r="K144" s="408"/>
      <c r="L144" s="405"/>
      <c r="O144" s="410"/>
    </row>
    <row r="145" spans="1:15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0.2173953393503647</v>
      </c>
      <c r="H145" s="796">
        <f>G145+'[1]3'!H145</f>
        <v>0.92763009967290788</v>
      </c>
      <c r="I145" s="665"/>
      <c r="J145" s="673">
        <f>H145/DAY(B2)</f>
        <v>0.23190752491822697</v>
      </c>
      <c r="K145" s="408"/>
      <c r="L145" s="405"/>
      <c r="O145" s="410"/>
    </row>
    <row r="146" spans="1:15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4209.5449999999983</v>
      </c>
      <c r="H146" s="796">
        <f>G146+'[1]3'!H146</f>
        <v>16622.663</v>
      </c>
      <c r="I146" s="666"/>
      <c r="J146" s="673">
        <f>H146/DAY(B2)</f>
        <v>4155.6657500000001</v>
      </c>
      <c r="K146" s="408"/>
      <c r="L146" s="405"/>
      <c r="O146" s="410"/>
    </row>
    <row r="147" spans="1:15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0.21465223599000552</v>
      </c>
      <c r="H147" s="796">
        <f>G147+'[1]3'!H147</f>
        <v>0.8636988849424051</v>
      </c>
      <c r="I147" s="666"/>
      <c r="J147" s="673">
        <f>H147/DAY(B2)</f>
        <v>0.21592472123560127</v>
      </c>
      <c r="O147" s="410"/>
    </row>
    <row r="148" spans="1:15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1817.1199999999953</v>
      </c>
      <c r="H148" s="796">
        <f>G148+'[1]3'!H148</f>
        <v>7228.960000000021</v>
      </c>
      <c r="I148" s="600"/>
      <c r="J148" s="673">
        <f>H148/DAY(B2)</f>
        <v>1807.2400000000052</v>
      </c>
      <c r="K148" s="409"/>
      <c r="O148" s="410"/>
    </row>
    <row r="149" spans="1:15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9.2658202029473016E-2</v>
      </c>
      <c r="H149" s="796">
        <f>G149+'[1]3'!H149</f>
        <v>0.37559841621069145</v>
      </c>
      <c r="I149" s="666"/>
      <c r="J149" s="673">
        <f>H149/DAY(B2)</f>
        <v>9.3899604052672864E-2</v>
      </c>
      <c r="O149" s="410"/>
    </row>
    <row r="150" spans="1:15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1943.960000000021</v>
      </c>
      <c r="H150" s="796">
        <f>G150+'[1]3'!H150</f>
        <v>8132.5999999999767</v>
      </c>
      <c r="I150" s="666"/>
      <c r="J150" s="673">
        <f>H150/DAY(B2)</f>
        <v>2033.1499999999942</v>
      </c>
      <c r="O150" s="410"/>
    </row>
    <row r="151" spans="1:15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9.9126000713886137E-2</v>
      </c>
      <c r="H151" s="796">
        <f>G151+'[1]3'!H151</f>
        <v>0.42247132511175733</v>
      </c>
      <c r="I151" s="600"/>
      <c r="J151" s="673">
        <f>H151/DAY(B2)</f>
        <v>0.10561783127793933</v>
      </c>
      <c r="O151" s="410"/>
    </row>
    <row r="152" spans="1:15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1417.0109999999986</v>
      </c>
      <c r="H152" s="796">
        <f>G152+'[1]3'!H152</f>
        <v>5620.9029999999984</v>
      </c>
      <c r="I152" s="600"/>
      <c r="J152" s="673">
        <f>H152/DAY(B2)</f>
        <v>1405.2257499999996</v>
      </c>
      <c r="O152" s="410"/>
    </row>
    <row r="153" spans="1:15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7.2255927795624827E-2</v>
      </c>
      <c r="H153" s="796">
        <f>G153+'[1]3'!H153</f>
        <v>0.29209341315119247</v>
      </c>
      <c r="I153" s="689"/>
      <c r="J153" s="690">
        <f>H153/DAY(B2)</f>
        <v>7.3023353287798118E-2</v>
      </c>
      <c r="O153" s="410"/>
    </row>
    <row r="154" spans="1:15" x14ac:dyDescent="0.5">
      <c r="O154" s="410"/>
    </row>
    <row r="156" spans="1:15" ht="24" customHeight="1" x14ac:dyDescent="0.5"/>
    <row r="157" spans="1:15" ht="29.25" customHeight="1" x14ac:dyDescent="0.5">
      <c r="A157" s="1457" t="s">
        <v>294</v>
      </c>
      <c r="B157" s="1458"/>
      <c r="C157" s="1458"/>
      <c r="D157" s="1458"/>
      <c r="E157" s="1458"/>
      <c r="F157" s="1458"/>
      <c r="G157" s="1459"/>
    </row>
    <row r="158" spans="1:15" x14ac:dyDescent="0.5">
      <c r="A158" s="925"/>
      <c r="B158" s="926"/>
      <c r="C158" s="926"/>
      <c r="D158" s="631"/>
      <c r="E158" s="575"/>
      <c r="F158" s="775"/>
      <c r="G158" s="593"/>
    </row>
    <row r="159" spans="1:15" x14ac:dyDescent="0.5">
      <c r="A159" s="925"/>
      <c r="B159" s="926"/>
      <c r="C159" s="926"/>
      <c r="D159" s="631"/>
      <c r="E159" s="575"/>
      <c r="F159" s="775"/>
      <c r="G159" s="593"/>
    </row>
    <row r="160" spans="1:15" x14ac:dyDescent="0.5">
      <c r="A160" s="925" t="s">
        <v>289</v>
      </c>
      <c r="B160" s="926"/>
      <c r="C160" s="926"/>
      <c r="D160" s="631" t="s">
        <v>214</v>
      </c>
      <c r="E160" s="775">
        <f>'[1]3'!F160</f>
        <v>24058.050999999999</v>
      </c>
      <c r="F160" s="775">
        <v>24131.62</v>
      </c>
      <c r="G160" s="593">
        <f t="shared" ref="G160:G171" si="17">F160-E160</f>
        <v>73.568999999999505</v>
      </c>
      <c r="H160" s="659">
        <v>72.86699999999837</v>
      </c>
      <c r="I160" s="660">
        <f>G160-H160</f>
        <v>0.70200000000113505</v>
      </c>
    </row>
    <row r="161" spans="1:9" x14ac:dyDescent="0.5">
      <c r="A161" s="925" t="s">
        <v>290</v>
      </c>
      <c r="B161" s="926"/>
      <c r="C161" s="926"/>
      <c r="D161" s="631" t="s">
        <v>214</v>
      </c>
      <c r="E161" s="775">
        <f>'[1]3'!F161</f>
        <v>12376.206</v>
      </c>
      <c r="F161" s="775">
        <v>13030.21</v>
      </c>
      <c r="G161" s="593">
        <f t="shared" si="17"/>
        <v>654.003999999999</v>
      </c>
      <c r="H161" s="659">
        <v>115.86999999999898</v>
      </c>
      <c r="I161" s="660">
        <f t="shared" ref="I161:I171" si="18">G161-H161</f>
        <v>538.13400000000001</v>
      </c>
    </row>
    <row r="162" spans="1:9" x14ac:dyDescent="0.5">
      <c r="A162" s="925" t="s">
        <v>291</v>
      </c>
      <c r="B162" s="926"/>
      <c r="C162" s="926"/>
      <c r="D162" s="631" t="s">
        <v>214</v>
      </c>
      <c r="E162" s="775">
        <f>'[1]3'!F162</f>
        <v>38057.267999999996</v>
      </c>
      <c r="F162" s="775">
        <v>38288.870000000003</v>
      </c>
      <c r="G162" s="593">
        <f t="shared" si="17"/>
        <v>231.60200000000623</v>
      </c>
      <c r="H162" s="659">
        <v>184.81999999999971</v>
      </c>
      <c r="I162" s="660">
        <f t="shared" si="18"/>
        <v>46.782000000006519</v>
      </c>
    </row>
    <row r="163" spans="1:9" x14ac:dyDescent="0.5">
      <c r="A163" s="925" t="s">
        <v>292</v>
      </c>
      <c r="B163" s="926"/>
      <c r="C163" s="926"/>
      <c r="D163" s="631" t="s">
        <v>214</v>
      </c>
      <c r="E163" s="775">
        <f>'[1]3'!F163</f>
        <v>3580.8</v>
      </c>
      <c r="F163" s="775">
        <v>3615.86</v>
      </c>
      <c r="G163" s="593">
        <f t="shared" si="17"/>
        <v>35.059999999999945</v>
      </c>
      <c r="H163" s="659">
        <v>17.309999999999945</v>
      </c>
      <c r="I163" s="660">
        <f t="shared" si="18"/>
        <v>17.75</v>
      </c>
    </row>
    <row r="164" spans="1:9" x14ac:dyDescent="0.4">
      <c r="A164" s="927" t="s">
        <v>121</v>
      </c>
      <c r="B164" s="725"/>
      <c r="C164" s="725"/>
      <c r="D164" s="631" t="s">
        <v>214</v>
      </c>
      <c r="E164" s="775">
        <f>'[1]3'!F164</f>
        <v>20419</v>
      </c>
      <c r="F164" s="634">
        <f>F62</f>
        <v>20419</v>
      </c>
      <c r="G164" s="593">
        <f t="shared" si="17"/>
        <v>0</v>
      </c>
      <c r="H164" s="659">
        <v>0</v>
      </c>
      <c r="I164" s="660">
        <f t="shared" si="18"/>
        <v>0</v>
      </c>
    </row>
    <row r="165" spans="1:9" x14ac:dyDescent="0.4">
      <c r="A165" s="927" t="s">
        <v>215</v>
      </c>
      <c r="B165" s="725"/>
      <c r="C165" s="725"/>
      <c r="D165" s="631" t="s">
        <v>214</v>
      </c>
      <c r="E165" s="775">
        <f>'[1]3'!F165</f>
        <v>905.37</v>
      </c>
      <c r="F165" s="634">
        <f t="shared" ref="F165:F171" si="19">F63</f>
        <v>921.26</v>
      </c>
      <c r="G165" s="593">
        <f t="shared" si="17"/>
        <v>15.889999999999986</v>
      </c>
      <c r="H165" s="659">
        <v>-0.47999999999956344</v>
      </c>
      <c r="I165" s="660">
        <f t="shared" si="18"/>
        <v>16.36999999999955</v>
      </c>
    </row>
    <row r="166" spans="1:9" ht="21.75" customHeight="1" x14ac:dyDescent="0.5">
      <c r="A166" s="1320" t="s">
        <v>122</v>
      </c>
      <c r="B166" s="1320"/>
      <c r="C166" s="1320"/>
      <c r="D166" s="643" t="s">
        <v>214</v>
      </c>
      <c r="E166" s="775">
        <f>'[1]3'!F166</f>
        <v>87837.167499999996</v>
      </c>
      <c r="F166" s="634">
        <f>F64</f>
        <v>88211.1</v>
      </c>
      <c r="G166" s="593">
        <f t="shared" si="17"/>
        <v>373.9325000000099</v>
      </c>
      <c r="H166" s="659">
        <v>271.15200000000186</v>
      </c>
      <c r="I166" s="660">
        <f t="shared" si="18"/>
        <v>102.78050000000803</v>
      </c>
    </row>
    <row r="167" spans="1:9" ht="21.75" customHeight="1" x14ac:dyDescent="0.5">
      <c r="A167" s="1320" t="s">
        <v>123</v>
      </c>
      <c r="B167" s="1320"/>
      <c r="C167" s="1320"/>
      <c r="D167" s="643" t="s">
        <v>214</v>
      </c>
      <c r="E167" s="775">
        <f>'[1]3'!F167</f>
        <v>97836.535000000003</v>
      </c>
      <c r="F167" s="634">
        <f t="shared" si="19"/>
        <v>98242.43</v>
      </c>
      <c r="G167" s="593">
        <f t="shared" si="17"/>
        <v>405.89499999998952</v>
      </c>
      <c r="H167" s="659">
        <v>372.92000000001281</v>
      </c>
      <c r="I167" s="660">
        <f t="shared" si="18"/>
        <v>32.974999999976717</v>
      </c>
    </row>
    <row r="168" spans="1:9" ht="21.75" customHeight="1" x14ac:dyDescent="0.5">
      <c r="A168" s="1320" t="s">
        <v>124</v>
      </c>
      <c r="B168" s="1320"/>
      <c r="C168" s="1320"/>
      <c r="D168" s="643" t="s">
        <v>214</v>
      </c>
      <c r="E168" s="775">
        <f>'[1]3'!F168</f>
        <v>91177.494999999995</v>
      </c>
      <c r="F168" s="634">
        <f t="shared" si="19"/>
        <v>91572.08</v>
      </c>
      <c r="G168" s="593">
        <f t="shared" si="17"/>
        <v>394.5850000000064</v>
      </c>
      <c r="H168" s="659">
        <v>384.8520000000135</v>
      </c>
      <c r="I168" s="660">
        <f>G168-H168</f>
        <v>9.7329999999928987</v>
      </c>
    </row>
    <row r="169" spans="1:9" ht="12.75" customHeight="1" x14ac:dyDescent="0.5">
      <c r="A169" s="1320" t="s">
        <v>125</v>
      </c>
      <c r="B169" s="1320"/>
      <c r="C169" s="1320"/>
      <c r="D169" s="643" t="s">
        <v>214</v>
      </c>
      <c r="E169" s="775">
        <f>'[1]3'!F169</f>
        <v>148230.29999999999</v>
      </c>
      <c r="F169" s="634">
        <f t="shared" si="19"/>
        <v>148984.41</v>
      </c>
      <c r="G169" s="593">
        <f t="shared" si="17"/>
        <v>754.11000000001513</v>
      </c>
      <c r="H169" s="659">
        <v>451.52000000000407</v>
      </c>
      <c r="I169" s="660">
        <f t="shared" si="18"/>
        <v>302.59000000001106</v>
      </c>
    </row>
    <row r="170" spans="1:9" ht="24" customHeight="1" x14ac:dyDescent="0.5">
      <c r="A170" s="1320" t="s">
        <v>126</v>
      </c>
      <c r="B170" s="1320"/>
      <c r="C170" s="1320"/>
      <c r="D170" s="643" t="s">
        <v>214</v>
      </c>
      <c r="E170" s="775">
        <f>'[1]3'!F170</f>
        <v>44295.247000000003</v>
      </c>
      <c r="F170" s="634">
        <f t="shared" si="19"/>
        <v>44665.25</v>
      </c>
      <c r="G170" s="593">
        <f t="shared" si="17"/>
        <v>370.00299999999697</v>
      </c>
      <c r="H170" s="659">
        <v>264.56499999999869</v>
      </c>
      <c r="I170" s="660">
        <f t="shared" si="18"/>
        <v>105.43799999999828</v>
      </c>
    </row>
    <row r="171" spans="1:9" ht="27.75" x14ac:dyDescent="0.5">
      <c r="A171" s="1320" t="s">
        <v>127</v>
      </c>
      <c r="B171" s="1320"/>
      <c r="C171" s="1320"/>
      <c r="D171" s="643" t="s">
        <v>214</v>
      </c>
      <c r="E171" s="775">
        <f>'[1]3'!F171</f>
        <v>38416.834999999999</v>
      </c>
      <c r="F171" s="634">
        <f t="shared" si="19"/>
        <v>38707.370000000003</v>
      </c>
      <c r="G171" s="593">
        <f t="shared" si="17"/>
        <v>290.53500000000349</v>
      </c>
      <c r="H171" s="659">
        <v>137.0779999999977</v>
      </c>
      <c r="I171" s="660">
        <f t="shared" si="18"/>
        <v>153.45700000000579</v>
      </c>
    </row>
    <row r="172" spans="1:9" ht="27.75" x14ac:dyDescent="0.5">
      <c r="A172" s="1450"/>
      <c r="B172" s="1450"/>
      <c r="C172" s="1450"/>
      <c r="D172" s="643"/>
      <c r="E172" s="634"/>
      <c r="F172" s="634"/>
      <c r="G172" s="593"/>
      <c r="I172" s="660">
        <f>SUM(I160:I171)</f>
        <v>1326.7114999999999</v>
      </c>
    </row>
    <row r="176" spans="1:9" ht="18.75" customHeight="1" x14ac:dyDescent="0.5"/>
    <row r="184" ht="18.75" customHeight="1" x14ac:dyDescent="0.5"/>
    <row r="185" ht="18.75" customHeight="1" x14ac:dyDescent="0.5"/>
    <row r="186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</sheetData>
  <mergeCells count="70">
    <mergeCell ref="A157:G157"/>
    <mergeCell ref="A172:C172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1"/>
  <sheetViews>
    <sheetView view="pageBreakPreview" topLeftCell="A11" zoomScale="55" zoomScaleNormal="48" zoomScaleSheetLayoutView="55" workbookViewId="0">
      <selection activeCell="A11" sqref="A1:XFD1048576"/>
    </sheetView>
  </sheetViews>
  <sheetFormatPr defaultColWidth="22.33203125" defaultRowHeight="29.25" x14ac:dyDescent="0.5"/>
  <cols>
    <col min="1" max="1" width="41.33203125" style="574" customWidth="1"/>
    <col min="2" max="2" width="27.109375" style="577" customWidth="1"/>
    <col min="3" max="3" width="15.88671875" style="577" customWidth="1"/>
    <col min="4" max="4" width="13.6640625" style="658" customWidth="1"/>
    <col min="5" max="6" width="30" style="658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5546875" style="404" customWidth="1"/>
    <col min="15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295</v>
      </c>
      <c r="B2" s="1173">
        <v>44170</v>
      </c>
      <c r="C2" s="1361" t="s">
        <v>84</v>
      </c>
      <c r="D2" s="732">
        <v>0.25</v>
      </c>
      <c r="E2" s="581"/>
      <c r="F2" s="75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28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0.76</v>
      </c>
      <c r="E4" s="584"/>
      <c r="F4" s="752"/>
      <c r="G4" s="584"/>
      <c r="H4" s="584"/>
      <c r="I4" s="585"/>
      <c r="J4" s="736"/>
      <c r="K4" s="400"/>
      <c r="L4" s="290"/>
    </row>
    <row r="5" spans="1:15" x14ac:dyDescent="0.4">
      <c r="A5" s="698" t="s">
        <v>150</v>
      </c>
      <c r="B5" s="579"/>
      <c r="C5" s="579"/>
      <c r="D5" s="631" t="s">
        <v>151</v>
      </c>
      <c r="E5" s="587" t="s">
        <v>152</v>
      </c>
      <c r="F5" s="753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x14ac:dyDescent="0.4">
      <c r="A6" s="1416" t="s">
        <v>157</v>
      </c>
      <c r="B6" s="1417"/>
      <c r="C6" s="1418"/>
      <c r="D6" s="591"/>
      <c r="E6" s="591"/>
      <c r="F6" s="614"/>
      <c r="G6" s="591"/>
      <c r="H6" s="592"/>
      <c r="I6" s="592"/>
      <c r="J6" s="672"/>
      <c r="K6" s="507"/>
      <c r="L6" s="405"/>
    </row>
    <row r="7" spans="1:15" ht="30" thickBot="1" x14ac:dyDescent="0.45">
      <c r="A7" s="793" t="s">
        <v>158</v>
      </c>
      <c r="B7" s="794"/>
      <c r="C7" s="794"/>
      <c r="D7" s="759" t="s">
        <v>159</v>
      </c>
      <c r="E7" s="754">
        <f>'[1]4'!F7</f>
        <v>2745430</v>
      </c>
      <c r="F7" s="828">
        <v>2764568</v>
      </c>
      <c r="G7" s="795">
        <f>F7-E7</f>
        <v>19138</v>
      </c>
      <c r="H7" s="796">
        <f>G7+'[1]4'!H7</f>
        <v>96123</v>
      </c>
      <c r="I7" s="797">
        <f>'[1]1'!I7</f>
        <v>12000</v>
      </c>
      <c r="J7" s="798">
        <f>H7/DAY(B2)</f>
        <v>19224.599999999999</v>
      </c>
      <c r="K7" s="670"/>
      <c r="L7" s="405"/>
      <c r="N7" s="410"/>
      <c r="O7" s="410"/>
    </row>
    <row r="8" spans="1:15" ht="27.75" thickBot="1" x14ac:dyDescent="0.45">
      <c r="A8" s="799" t="s">
        <v>160</v>
      </c>
      <c r="B8" s="800"/>
      <c r="C8" s="801"/>
      <c r="D8" s="802" t="s">
        <v>39</v>
      </c>
      <c r="E8" s="754">
        <f>'[1]4'!F8</f>
        <v>2760925</v>
      </c>
      <c r="F8" s="829">
        <v>2780265</v>
      </c>
      <c r="G8" s="806">
        <f t="shared" ref="G8:G9" si="0">F8-E8</f>
        <v>19340</v>
      </c>
      <c r="H8" s="796">
        <f>G8+'[1]4'!H8</f>
        <v>97226</v>
      </c>
      <c r="I8" s="803">
        <v>12000</v>
      </c>
      <c r="J8" s="798">
        <f>H8/DAY(B2)</f>
        <v>19445.2</v>
      </c>
      <c r="K8" s="670"/>
      <c r="L8" s="460"/>
      <c r="M8" s="522"/>
      <c r="N8" s="821"/>
      <c r="O8" s="410"/>
    </row>
    <row r="9" spans="1:15" x14ac:dyDescent="0.4">
      <c r="A9" s="804" t="s">
        <v>161</v>
      </c>
      <c r="B9" s="805"/>
      <c r="C9" s="805"/>
      <c r="D9" s="759" t="s">
        <v>159</v>
      </c>
      <c r="E9" s="756">
        <f>'[1]4'!F9</f>
        <v>2271725.5</v>
      </c>
      <c r="F9" s="822">
        <v>2278678.7000000002</v>
      </c>
      <c r="G9" s="806">
        <f t="shared" si="0"/>
        <v>6953.2000000001863</v>
      </c>
      <c r="H9" s="796">
        <f>G9+'[1]4'!H9</f>
        <v>21642.200000000186</v>
      </c>
      <c r="I9" s="807">
        <f>I8-J8</f>
        <v>-7445.2000000000007</v>
      </c>
      <c r="J9" s="798">
        <f>H9/DAY(B2)</f>
        <v>4328.4400000000369</v>
      </c>
      <c r="K9" s="508"/>
      <c r="L9" s="405"/>
      <c r="N9" s="410"/>
      <c r="O9" s="410"/>
    </row>
    <row r="10" spans="1:15" x14ac:dyDescent="0.4">
      <c r="A10" s="793" t="s">
        <v>162</v>
      </c>
      <c r="B10" s="794"/>
      <c r="C10" s="794"/>
      <c r="D10" s="759" t="s">
        <v>159</v>
      </c>
      <c r="E10" s="756">
        <f>'[1]4'!F10</f>
        <v>362418.75</v>
      </c>
      <c r="F10" s="822">
        <v>373937.87</v>
      </c>
      <c r="G10" s="806">
        <f>F10-E10</f>
        <v>11519.119999999995</v>
      </c>
      <c r="H10" s="796">
        <f>G10+'[1]4'!H10</f>
        <v>70987.580000000016</v>
      </c>
      <c r="I10" s="808"/>
      <c r="J10" s="798">
        <f>H10/DAY(B2)</f>
        <v>14197.516000000003</v>
      </c>
      <c r="K10" s="508"/>
      <c r="L10" s="405"/>
      <c r="N10" s="410">
        <v>108</v>
      </c>
      <c r="O10" s="410"/>
    </row>
    <row r="11" spans="1:15" x14ac:dyDescent="0.4">
      <c r="A11" s="793" t="s">
        <v>163</v>
      </c>
      <c r="B11" s="794"/>
      <c r="C11" s="794"/>
      <c r="D11" s="759" t="s">
        <v>159</v>
      </c>
      <c r="E11" s="754">
        <f>'[1]4'!F11</f>
        <v>35390</v>
      </c>
      <c r="F11" s="828">
        <v>35390</v>
      </c>
      <c r="G11" s="806">
        <f>F11-E11</f>
        <v>0</v>
      </c>
      <c r="H11" s="796">
        <f>G11+'[1]4'!H11</f>
        <v>0</v>
      </c>
      <c r="I11" s="808"/>
      <c r="J11" s="798">
        <f>H11/DAY(B2)</f>
        <v>0</v>
      </c>
      <c r="K11" s="508"/>
      <c r="L11" s="405"/>
      <c r="N11" s="410">
        <v>28</v>
      </c>
      <c r="O11" s="410"/>
    </row>
    <row r="12" spans="1:15" x14ac:dyDescent="0.4">
      <c r="A12" s="793" t="s">
        <v>164</v>
      </c>
      <c r="B12" s="794"/>
      <c r="C12" s="794"/>
      <c r="D12" s="759" t="s">
        <v>159</v>
      </c>
      <c r="E12" s="756">
        <f>'[1]4'!F12</f>
        <v>37630</v>
      </c>
      <c r="F12" s="822">
        <v>37630</v>
      </c>
      <c r="G12" s="806">
        <f t="shared" ref="G12" si="1">F12-E12</f>
        <v>0</v>
      </c>
      <c r="H12" s="796">
        <f>G12+'[1]4'!H12</f>
        <v>0</v>
      </c>
      <c r="I12" s="808"/>
      <c r="J12" s="798">
        <f>H12/DAY(B2)</f>
        <v>0</v>
      </c>
      <c r="K12" s="508"/>
      <c r="L12" s="405"/>
      <c r="N12" s="410">
        <v>342</v>
      </c>
      <c r="O12" s="410"/>
    </row>
    <row r="13" spans="1:15" x14ac:dyDescent="0.5">
      <c r="A13" s="809" t="s">
        <v>165</v>
      </c>
      <c r="B13" s="810"/>
      <c r="C13" s="810"/>
      <c r="D13" s="759"/>
      <c r="E13" s="754"/>
      <c r="F13" s="754"/>
      <c r="G13" s="811">
        <f>G9+G10+G11+G12</f>
        <v>18472.320000000182</v>
      </c>
      <c r="H13" s="796">
        <f>G13+'[1]4'!H13</f>
        <v>92629.780000000203</v>
      </c>
      <c r="I13" s="812">
        <f>G7-G13</f>
        <v>665.67999999981839</v>
      </c>
      <c r="J13" s="798">
        <f>H13/DAY(B2)</f>
        <v>18525.956000000042</v>
      </c>
      <c r="K13" s="508"/>
      <c r="L13" s="405"/>
      <c r="N13" s="410">
        <v>349</v>
      </c>
      <c r="O13" s="410"/>
    </row>
    <row r="14" spans="1:15" x14ac:dyDescent="0.5">
      <c r="A14" s="1419" t="s">
        <v>166</v>
      </c>
      <c r="B14" s="1420"/>
      <c r="C14" s="1421"/>
      <c r="D14" s="592"/>
      <c r="E14" s="592"/>
      <c r="F14" s="603"/>
      <c r="G14" s="603"/>
      <c r="H14" s="592"/>
      <c r="I14" s="592"/>
      <c r="J14" s="672"/>
      <c r="K14" s="509"/>
      <c r="L14" s="405"/>
      <c r="N14" s="410">
        <v>432</v>
      </c>
      <c r="O14" s="410"/>
    </row>
    <row r="15" spans="1:15" x14ac:dyDescent="0.5">
      <c r="A15" s="782" t="s">
        <v>167</v>
      </c>
      <c r="B15" s="783"/>
      <c r="C15" s="783"/>
      <c r="D15" s="784" t="s">
        <v>168</v>
      </c>
      <c r="E15" s="785">
        <f>'[1]4'!F15</f>
        <v>1549223.8470000001</v>
      </c>
      <c r="F15" s="830">
        <v>1549864.3030000001</v>
      </c>
      <c r="G15" s="781">
        <f t="shared" ref="G15" si="2">F15-E15</f>
        <v>640.45600000000559</v>
      </c>
      <c r="H15" s="787">
        <f>G15+'[1]4'!H15</f>
        <v>2966.7020000000484</v>
      </c>
      <c r="I15" s="788">
        <v>800</v>
      </c>
      <c r="J15" s="789">
        <f>H15/DAY(B2)</f>
        <v>593.34040000000971</v>
      </c>
      <c r="K15" s="508"/>
      <c r="L15" s="405"/>
      <c r="N15" s="410"/>
      <c r="O15" s="410"/>
    </row>
    <row r="16" spans="1:15" x14ac:dyDescent="0.4">
      <c r="A16" s="790"/>
      <c r="B16" s="791"/>
      <c r="C16" s="791"/>
      <c r="D16" s="784"/>
      <c r="E16" s="785"/>
      <c r="F16" s="820"/>
      <c r="G16" s="786"/>
      <c r="H16" s="787"/>
      <c r="I16" s="792">
        <f>I15-J15</f>
        <v>206.65959999999029</v>
      </c>
      <c r="J16" s="789"/>
      <c r="K16" s="508"/>
      <c r="L16" s="405"/>
      <c r="N16" s="410"/>
      <c r="O16" s="410"/>
    </row>
    <row r="17" spans="1:15" x14ac:dyDescent="0.5">
      <c r="A17" s="1419" t="s">
        <v>169</v>
      </c>
      <c r="B17" s="1420"/>
      <c r="C17" s="1421"/>
      <c r="D17" s="592"/>
      <c r="E17" s="592"/>
      <c r="F17" s="603"/>
      <c r="G17" s="608"/>
      <c r="H17" s="592"/>
      <c r="I17" s="592"/>
      <c r="J17" s="672"/>
      <c r="K17" s="508"/>
      <c r="L17" s="405"/>
      <c r="N17" s="410"/>
      <c r="O17" s="410"/>
    </row>
    <row r="18" spans="1:15" ht="27.75" x14ac:dyDescent="0.5">
      <c r="A18" s="1460" t="s">
        <v>170</v>
      </c>
      <c r="B18" s="1461"/>
      <c r="C18" s="1462"/>
      <c r="D18" s="759" t="s">
        <v>171</v>
      </c>
      <c r="E18" s="756">
        <f>'[1]4'!F18</f>
        <v>10</v>
      </c>
      <c r="F18" s="756">
        <v>12</v>
      </c>
      <c r="G18" s="811">
        <f>F18*10</f>
        <v>120</v>
      </c>
      <c r="H18" s="796">
        <f>G18+'[1]4'!H18</f>
        <v>550</v>
      </c>
      <c r="I18" s="797">
        <f>'[1]1'!I18</f>
        <v>65</v>
      </c>
      <c r="J18" s="798">
        <f>H18/DAY(B2)</f>
        <v>110</v>
      </c>
      <c r="K18" s="508"/>
      <c r="L18" s="405"/>
      <c r="N18" s="410"/>
      <c r="O18" s="410"/>
    </row>
    <row r="19" spans="1:15" ht="27.75" x14ac:dyDescent="0.5">
      <c r="A19" s="1460" t="s">
        <v>86</v>
      </c>
      <c r="B19" s="1461"/>
      <c r="C19" s="1462"/>
      <c r="D19" s="759" t="s">
        <v>171</v>
      </c>
      <c r="E19" s="756">
        <f>'[1]4'!F19</f>
        <v>130013</v>
      </c>
      <c r="F19" s="822">
        <v>130065</v>
      </c>
      <c r="G19" s="806">
        <f t="shared" ref="G19" si="3">F19-E19</f>
        <v>52</v>
      </c>
      <c r="H19" s="796">
        <f>G19+'[1]4'!H19</f>
        <v>264</v>
      </c>
      <c r="I19" s="813"/>
      <c r="J19" s="798">
        <f>H19/DAY(B2)</f>
        <v>52.8</v>
      </c>
      <c r="K19" s="508"/>
      <c r="L19" s="405"/>
      <c r="N19" s="410"/>
      <c r="O19" s="410"/>
    </row>
    <row r="20" spans="1:15" x14ac:dyDescent="0.5">
      <c r="A20" s="809" t="s">
        <v>172</v>
      </c>
      <c r="B20" s="810"/>
      <c r="C20" s="810"/>
      <c r="D20" s="759"/>
      <c r="E20" s="759"/>
      <c r="F20" s="759"/>
      <c r="G20" s="814">
        <f>G18+G19</f>
        <v>172</v>
      </c>
      <c r="H20" s="796">
        <f>G20+'[1]4'!H20</f>
        <v>814</v>
      </c>
      <c r="I20" s="815">
        <f>I18-J20</f>
        <v>-97.800000000000011</v>
      </c>
      <c r="J20" s="798">
        <f>H20/DAY(B2)</f>
        <v>162.80000000000001</v>
      </c>
      <c r="K20" s="508"/>
      <c r="L20" s="405"/>
      <c r="N20" s="410"/>
      <c r="O20" s="410"/>
    </row>
    <row r="21" spans="1:15" x14ac:dyDescent="0.5">
      <c r="A21" s="1419" t="s">
        <v>173</v>
      </c>
      <c r="B21" s="1420"/>
      <c r="C21" s="1421"/>
      <c r="D21" s="592"/>
      <c r="E21" s="592"/>
      <c r="F21" s="603"/>
      <c r="G21" s="603"/>
      <c r="H21" s="592"/>
      <c r="I21" s="592"/>
      <c r="J21" s="672"/>
      <c r="K21" s="508"/>
      <c r="L21" s="405"/>
      <c r="N21" s="410"/>
      <c r="O21" s="410"/>
    </row>
    <row r="22" spans="1:15" x14ac:dyDescent="0.5">
      <c r="A22" s="1354" t="s">
        <v>174</v>
      </c>
      <c r="B22" s="710"/>
      <c r="C22" s="710"/>
      <c r="D22" s="643" t="s">
        <v>175</v>
      </c>
      <c r="E22" s="756">
        <f>'[1]4'!F22</f>
        <v>2250</v>
      </c>
      <c r="F22" s="756">
        <v>2250</v>
      </c>
      <c r="G22" s="601">
        <f t="shared" ref="G22" si="4">(F22-E22)</f>
        <v>0</v>
      </c>
      <c r="H22" s="580">
        <f>G22+'[1]4'!H22</f>
        <v>0</v>
      </c>
      <c r="I22" s="600"/>
      <c r="J22" s="673">
        <f>H22/DAY(B2)</f>
        <v>0</v>
      </c>
      <c r="K22" s="508"/>
      <c r="L22" s="405"/>
      <c r="N22" s="410"/>
      <c r="O22" s="410"/>
    </row>
    <row r="23" spans="1:15" x14ac:dyDescent="0.5">
      <c r="A23" s="1354" t="s">
        <v>176</v>
      </c>
      <c r="B23" s="710"/>
      <c r="C23" s="710"/>
      <c r="D23" s="643" t="s">
        <v>175</v>
      </c>
      <c r="E23" s="756">
        <f>'[1]4'!F23</f>
        <v>2000</v>
      </c>
      <c r="F23" s="756">
        <v>2000</v>
      </c>
      <c r="G23" s="601">
        <v>0</v>
      </c>
      <c r="H23" s="580">
        <f>G23+'[1]4'!H23</f>
        <v>0</v>
      </c>
      <c r="I23" s="600"/>
      <c r="J23" s="673">
        <f>H23/DAY(B2)</f>
        <v>0</v>
      </c>
      <c r="K23" s="508"/>
      <c r="L23" s="405"/>
      <c r="N23" s="410"/>
      <c r="O23" s="410"/>
    </row>
    <row r="24" spans="1:15" x14ac:dyDescent="0.4">
      <c r="A24" s="711" t="s">
        <v>177</v>
      </c>
      <c r="B24" s="712"/>
      <c r="C24" s="712"/>
      <c r="D24" s="631" t="s">
        <v>175</v>
      </c>
      <c r="E24" s="756">
        <f>'[1]4'!F24</f>
        <v>4250</v>
      </c>
      <c r="F24" s="758">
        <v>4250</v>
      </c>
      <c r="G24" s="601">
        <v>0</v>
      </c>
      <c r="H24" s="580">
        <f>G24+'[1]4'!H24</f>
        <v>0</v>
      </c>
      <c r="I24" s="600"/>
      <c r="J24" s="673">
        <f>H24/DAY(B2)</f>
        <v>0</v>
      </c>
      <c r="K24" s="508"/>
      <c r="L24" s="405"/>
      <c r="N24" s="410"/>
      <c r="O24" s="410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614"/>
      <c r="G25" s="614"/>
      <c r="H25" s="615"/>
      <c r="I25" s="616"/>
      <c r="J25" s="675"/>
      <c r="K25" s="401"/>
      <c r="L25" s="527"/>
      <c r="N25" s="410"/>
      <c r="O25" s="410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754"/>
      <c r="G26" s="618"/>
      <c r="H26" s="580"/>
      <c r="I26" s="619"/>
      <c r="J26" s="673"/>
      <c r="K26" s="402"/>
      <c r="L26" s="527"/>
      <c r="N26" s="410"/>
      <c r="O26" s="410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19340</v>
      </c>
      <c r="F27" s="621">
        <v>9.5</v>
      </c>
      <c r="G27" s="622">
        <f>E27*F27</f>
        <v>183730</v>
      </c>
      <c r="H27" s="580">
        <f>G27+'[1]4'!H27</f>
        <v>923647</v>
      </c>
      <c r="I27" s="623"/>
      <c r="J27" s="673">
        <f>H27/DAY(B2)</f>
        <v>184729.4</v>
      </c>
      <c r="K27" s="401"/>
      <c r="L27" s="527"/>
      <c r="N27" s="410"/>
      <c r="O27" s="410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640.45600000000559</v>
      </c>
      <c r="F28" s="621">
        <v>36.5</v>
      </c>
      <c r="G28" s="622">
        <f>E28*F28</f>
        <v>23376.644000000204</v>
      </c>
      <c r="H28" s="580">
        <f>G28+'[1]4'!H28</f>
        <v>108284.62300000177</v>
      </c>
      <c r="I28" s="625"/>
      <c r="J28" s="673">
        <f>H28/DAY(B2)</f>
        <v>21656.924600000355</v>
      </c>
      <c r="K28" s="401"/>
      <c r="L28" s="527"/>
      <c r="N28" s="410"/>
      <c r="O28" s="410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G29+'[1]4'!H29</f>
        <v>0</v>
      </c>
      <c r="I29" s="625"/>
      <c r="J29" s="673">
        <f>H29/DAY(B2)</f>
        <v>0</v>
      </c>
      <c r="K29" s="401"/>
      <c r="L29" s="527"/>
      <c r="N29" s="410"/>
      <c r="O29" s="410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52</v>
      </c>
      <c r="F30" s="621">
        <v>145</v>
      </c>
      <c r="G30" s="622">
        <f>E30*F30</f>
        <v>7540</v>
      </c>
      <c r="H30" s="580">
        <f>G30+'[1]4'!H30</f>
        <v>38280</v>
      </c>
      <c r="I30" s="625"/>
      <c r="J30" s="673">
        <f>H30/DAY(B2)</f>
        <v>7656</v>
      </c>
      <c r="K30" s="401"/>
      <c r="L30" s="527"/>
      <c r="N30" s="410"/>
      <c r="O30" s="410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120</v>
      </c>
      <c r="F31" s="621">
        <v>80</v>
      </c>
      <c r="G31" s="622">
        <f>E31*F31</f>
        <v>9600</v>
      </c>
      <c r="H31" s="580">
        <f>G31+'[1]4'!H31</f>
        <v>42400</v>
      </c>
      <c r="I31" s="625"/>
      <c r="J31" s="673"/>
      <c r="K31" s="401"/>
      <c r="L31" s="527"/>
      <c r="N31" s="410"/>
      <c r="O31" s="410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760"/>
      <c r="G32" s="628">
        <f>G27+G28+G29+G30+G31</f>
        <v>224246.6440000002</v>
      </c>
      <c r="H32" s="580">
        <f>G32+'[1]4'!H32</f>
        <v>1112611.6230000018</v>
      </c>
      <c r="I32" s="629"/>
      <c r="J32" s="673">
        <f>H32/DAY(B2)</f>
        <v>222522.32460000034</v>
      </c>
      <c r="K32" s="401"/>
      <c r="L32" s="527"/>
      <c r="N32" s="410"/>
      <c r="O32" s="410"/>
    </row>
    <row r="33" spans="1:15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  <c r="O33" s="410"/>
    </row>
    <row r="34" spans="1:15" x14ac:dyDescent="0.5">
      <c r="A34" s="719" t="s">
        <v>190</v>
      </c>
      <c r="B34" s="1356"/>
      <c r="C34" s="1356"/>
      <c r="D34" s="592"/>
      <c r="E34" s="591"/>
      <c r="F34" s="614"/>
      <c r="G34" s="592"/>
      <c r="H34" s="592"/>
      <c r="I34" s="592"/>
      <c r="J34" s="672"/>
      <c r="K34" s="508"/>
      <c r="L34" s="405"/>
      <c r="N34" s="410"/>
      <c r="O34" s="410"/>
    </row>
    <row r="35" spans="1:15" x14ac:dyDescent="0.4">
      <c r="A35" s="699" t="s">
        <v>191</v>
      </c>
      <c r="B35" s="700"/>
      <c r="C35" s="700"/>
      <c r="D35" s="643" t="s">
        <v>159</v>
      </c>
      <c r="E35" s="630">
        <f>'[1]4'!F35</f>
        <v>629027.67000000004</v>
      </c>
      <c r="F35" s="831">
        <v>629027.67000000004</v>
      </c>
      <c r="G35" s="593">
        <f t="shared" ref="G35:G46" si="5">F35-E35</f>
        <v>0</v>
      </c>
      <c r="H35" s="580">
        <f>G35+'[1]4'!H35</f>
        <v>0</v>
      </c>
      <c r="I35" s="575"/>
      <c r="J35" s="673">
        <f>H35/DAY(B2)</f>
        <v>0</v>
      </c>
      <c r="K35" s="508"/>
      <c r="L35" s="405"/>
      <c r="N35" s="410"/>
      <c r="O35" s="410"/>
    </row>
    <row r="36" spans="1:15" x14ac:dyDescent="0.4">
      <c r="A36" s="699" t="s">
        <v>192</v>
      </c>
      <c r="B36" s="700"/>
      <c r="C36" s="700"/>
      <c r="D36" s="643" t="s">
        <v>159</v>
      </c>
      <c r="E36" s="630">
        <f>'[1]4'!F36</f>
        <v>232736.23</v>
      </c>
      <c r="F36" s="831">
        <v>233393.45</v>
      </c>
      <c r="G36" s="593">
        <f t="shared" si="5"/>
        <v>657.22000000000116</v>
      </c>
      <c r="H36" s="580">
        <f>G36+'[1]4'!H36</f>
        <v>4307.7200000000012</v>
      </c>
      <c r="I36" s="575"/>
      <c r="J36" s="673">
        <f>H36/DAY(B2)</f>
        <v>861.54400000000021</v>
      </c>
      <c r="K36" s="508"/>
      <c r="L36" s="405"/>
      <c r="N36" s="749"/>
      <c r="O36" s="410"/>
    </row>
    <row r="37" spans="1:15" x14ac:dyDescent="0.4">
      <c r="A37" s="699" t="s">
        <v>193</v>
      </c>
      <c r="B37" s="700"/>
      <c r="C37" s="700"/>
      <c r="D37" s="643" t="s">
        <v>159</v>
      </c>
      <c r="E37" s="630">
        <f>'[1]4'!F37</f>
        <v>415066</v>
      </c>
      <c r="F37" s="831">
        <v>415066</v>
      </c>
      <c r="G37" s="593">
        <f t="shared" si="5"/>
        <v>0</v>
      </c>
      <c r="H37" s="580">
        <f>G37+'[1]4'!H37</f>
        <v>0</v>
      </c>
      <c r="I37" s="575"/>
      <c r="J37" s="673">
        <f>H37/DAY(B2)</f>
        <v>0</v>
      </c>
      <c r="K37" s="508"/>
      <c r="L37" s="405"/>
      <c r="N37" s="750"/>
      <c r="O37" s="410"/>
    </row>
    <row r="38" spans="1:15" x14ac:dyDescent="0.4">
      <c r="A38" s="699" t="s">
        <v>194</v>
      </c>
      <c r="B38" s="700"/>
      <c r="C38" s="700"/>
      <c r="D38" s="643" t="s">
        <v>159</v>
      </c>
      <c r="E38" s="589">
        <f>'[1]4'!F38</f>
        <v>150714.20000000001</v>
      </c>
      <c r="F38" s="832">
        <v>150714.20000000001</v>
      </c>
      <c r="G38" s="593">
        <f t="shared" si="5"/>
        <v>0</v>
      </c>
      <c r="H38" s="580">
        <f>G38+'[1]4'!H38</f>
        <v>0.20000000001164153</v>
      </c>
      <c r="I38" s="575"/>
      <c r="J38" s="673">
        <f>H38/DAY(B2)</f>
        <v>4.0000000002328305E-2</v>
      </c>
      <c r="K38" s="508"/>
      <c r="L38" s="405"/>
      <c r="N38" s="410"/>
      <c r="O38" s="410"/>
    </row>
    <row r="39" spans="1:15" x14ac:dyDescent="0.4">
      <c r="A39" s="699" t="s">
        <v>195</v>
      </c>
      <c r="B39" s="700"/>
      <c r="C39" s="700"/>
      <c r="D39" s="643" t="s">
        <v>159</v>
      </c>
      <c r="E39" s="630">
        <f>'[1]4'!F39</f>
        <v>912480</v>
      </c>
      <c r="F39" s="831">
        <v>912480</v>
      </c>
      <c r="G39" s="593">
        <f t="shared" si="5"/>
        <v>0</v>
      </c>
      <c r="H39" s="580">
        <f>G39+'[1]4'!H39</f>
        <v>0</v>
      </c>
      <c r="I39" s="575"/>
      <c r="J39" s="673">
        <f>H39/DAY(B2)</f>
        <v>0</v>
      </c>
      <c r="K39" s="508"/>
      <c r="L39" s="405"/>
      <c r="N39" s="410"/>
      <c r="O39" s="410"/>
    </row>
    <row r="40" spans="1:15" x14ac:dyDescent="0.4">
      <c r="A40" s="720" t="s">
        <v>196</v>
      </c>
      <c r="B40" s="721"/>
      <c r="C40" s="721"/>
      <c r="D40" s="643" t="s">
        <v>159</v>
      </c>
      <c r="E40" s="630">
        <f>'[1]4'!F40</f>
        <v>0.17</v>
      </c>
      <c r="F40" s="831">
        <v>0.17</v>
      </c>
      <c r="G40" s="593">
        <f t="shared" si="5"/>
        <v>0</v>
      </c>
      <c r="H40" s="580">
        <f>G40+'[1]4'!H40</f>
        <v>0</v>
      </c>
      <c r="I40" s="575"/>
      <c r="J40" s="673">
        <f>H40/DAY(B2)</f>
        <v>0</v>
      </c>
      <c r="K40" s="509"/>
      <c r="L40" s="405"/>
      <c r="N40" s="410"/>
      <c r="O40" s="410"/>
    </row>
    <row r="41" spans="1:15" x14ac:dyDescent="0.4">
      <c r="A41" s="699" t="s">
        <v>197</v>
      </c>
      <c r="B41" s="700"/>
      <c r="C41" s="700"/>
      <c r="D41" s="643" t="s">
        <v>159</v>
      </c>
      <c r="E41" s="630">
        <f>'[1]4'!F41</f>
        <v>300127.90000000002</v>
      </c>
      <c r="F41" s="831">
        <v>300127.90000000002</v>
      </c>
      <c r="G41" s="593">
        <f t="shared" si="5"/>
        <v>0</v>
      </c>
      <c r="H41" s="580">
        <f>G41+'[1]4'!H41</f>
        <v>-4.9999999988358468E-2</v>
      </c>
      <c r="I41" s="575"/>
      <c r="J41" s="673">
        <f>H41/DAY(B2)</f>
        <v>-9.9999999976716943E-3</v>
      </c>
      <c r="K41" s="508"/>
      <c r="L41" s="405"/>
      <c r="N41" s="410"/>
      <c r="O41" s="410"/>
    </row>
    <row r="42" spans="1:15" x14ac:dyDescent="0.4">
      <c r="A42" s="699" t="s">
        <v>198</v>
      </c>
      <c r="B42" s="700"/>
      <c r="C42" s="700"/>
      <c r="D42" s="643" t="s">
        <v>159</v>
      </c>
      <c r="E42" s="630">
        <f>'[1]4'!F42</f>
        <v>3678.9</v>
      </c>
      <c r="F42" s="831">
        <v>7805.77</v>
      </c>
      <c r="G42" s="593">
        <f t="shared" si="5"/>
        <v>4126.8700000000008</v>
      </c>
      <c r="H42" s="580">
        <f>G42+'[1]4'!H42</f>
        <v>7805.77</v>
      </c>
      <c r="I42" s="575"/>
      <c r="J42" s="673">
        <f>H42/DAY(B2)</f>
        <v>1561.154</v>
      </c>
      <c r="K42" s="508"/>
      <c r="L42" s="405"/>
      <c r="N42" s="410"/>
      <c r="O42" s="410"/>
    </row>
    <row r="43" spans="1:15" x14ac:dyDescent="0.4">
      <c r="A43" s="699" t="s">
        <v>199</v>
      </c>
      <c r="B43" s="700"/>
      <c r="C43" s="700"/>
      <c r="D43" s="643" t="s">
        <v>159</v>
      </c>
      <c r="E43" s="630">
        <f>'[1]4'!F43</f>
        <v>639436.18999999994</v>
      </c>
      <c r="F43" s="831">
        <v>641704.11</v>
      </c>
      <c r="G43" s="593">
        <f t="shared" si="5"/>
        <v>2267.9200000000419</v>
      </c>
      <c r="H43" s="580">
        <f>G43+'[1]4'!H43</f>
        <v>10954.79999999993</v>
      </c>
      <c r="I43" s="575"/>
      <c r="J43" s="673">
        <f>H43/DAY(B2)</f>
        <v>2190.9599999999859</v>
      </c>
      <c r="K43" s="508"/>
      <c r="L43" s="405"/>
      <c r="N43" s="410"/>
      <c r="O43" s="410"/>
    </row>
    <row r="44" spans="1:15" x14ac:dyDescent="0.4">
      <c r="A44" s="699" t="s">
        <v>200</v>
      </c>
      <c r="B44" s="700"/>
      <c r="C44" s="700"/>
      <c r="D44" s="643" t="s">
        <v>159</v>
      </c>
      <c r="E44" s="630">
        <f>'[1]4'!F44</f>
        <v>0</v>
      </c>
      <c r="F44" s="831">
        <v>0</v>
      </c>
      <c r="G44" s="593">
        <f t="shared" si="5"/>
        <v>0</v>
      </c>
      <c r="H44" s="580">
        <f>G44+'[1]4'!H44</f>
        <v>0</v>
      </c>
      <c r="I44" s="575"/>
      <c r="J44" s="673">
        <f>H44/DAY(B2)</f>
        <v>0</v>
      </c>
      <c r="K44" s="508"/>
      <c r="L44" s="405"/>
      <c r="N44" s="410"/>
      <c r="O44" s="410"/>
    </row>
    <row r="45" spans="1:15" x14ac:dyDescent="0.4">
      <c r="A45" s="699" t="s">
        <v>201</v>
      </c>
      <c r="B45" s="700"/>
      <c r="C45" s="700"/>
      <c r="D45" s="643" t="s">
        <v>159</v>
      </c>
      <c r="E45" s="630">
        <f>'[1]4'!F45</f>
        <v>614</v>
      </c>
      <c r="F45" s="831">
        <v>614</v>
      </c>
      <c r="G45" s="593">
        <f t="shared" si="5"/>
        <v>0</v>
      </c>
      <c r="H45" s="580">
        <f>G45+'[1]4'!H45</f>
        <v>-0.48000000000001819</v>
      </c>
      <c r="I45" s="575"/>
      <c r="J45" s="673">
        <f>H45/DAY(B2)</f>
        <v>-9.6000000000003638E-2</v>
      </c>
      <c r="K45" s="508"/>
      <c r="L45" s="405"/>
      <c r="N45" s="410"/>
      <c r="O45" s="410"/>
    </row>
    <row r="46" spans="1:15" x14ac:dyDescent="0.4">
      <c r="A46" s="699" t="s">
        <v>202</v>
      </c>
      <c r="B46" s="700"/>
      <c r="C46" s="700"/>
      <c r="D46" s="643" t="s">
        <v>159</v>
      </c>
      <c r="E46" s="630">
        <f>'[1]4'!F46</f>
        <v>187</v>
      </c>
      <c r="F46" s="831">
        <v>187</v>
      </c>
      <c r="G46" s="593">
        <f t="shared" si="5"/>
        <v>0</v>
      </c>
      <c r="H46" s="580">
        <f>G46+'[1]4'!H46</f>
        <v>-0.49000000000000909</v>
      </c>
      <c r="I46" s="575"/>
      <c r="J46" s="673">
        <f>H46/DAY(B2)</f>
        <v>-9.8000000000001822E-2</v>
      </c>
      <c r="K46" s="508"/>
      <c r="L46" s="405"/>
      <c r="N46" s="410"/>
      <c r="O46" s="410"/>
    </row>
    <row r="47" spans="1:15" x14ac:dyDescent="0.5">
      <c r="A47" s="706" t="s">
        <v>203</v>
      </c>
      <c r="B47" s="707"/>
      <c r="C47" s="707"/>
      <c r="D47" s="590"/>
      <c r="E47" s="631"/>
      <c r="F47" s="761"/>
      <c r="G47" s="601">
        <f>G35+G36+G37+G38+G39+G40+G41+G42+G43+G44+G45+G46</f>
        <v>7052.0100000000439</v>
      </c>
      <c r="H47" s="580">
        <f>G47+'[1]4'!H47</f>
        <v>23067.469999999954</v>
      </c>
      <c r="I47" s="575"/>
      <c r="J47" s="673">
        <f>H47/DAY(B2)</f>
        <v>4613.4939999999906</v>
      </c>
      <c r="K47" s="508"/>
      <c r="L47" s="405"/>
      <c r="N47" s="410"/>
      <c r="O47" s="410"/>
    </row>
    <row r="48" spans="1:15" x14ac:dyDescent="0.5">
      <c r="A48" s="719" t="s">
        <v>204</v>
      </c>
      <c r="B48" s="1356"/>
      <c r="C48" s="1356"/>
      <c r="D48" s="592"/>
      <c r="E48" s="591"/>
      <c r="F48" s="614"/>
      <c r="G48" s="592"/>
      <c r="H48" s="592"/>
      <c r="I48" s="592"/>
      <c r="J48" s="672"/>
      <c r="K48" s="508"/>
      <c r="L48" s="405"/>
      <c r="N48" s="410"/>
      <c r="O48" s="410"/>
    </row>
    <row r="49" spans="1:15" x14ac:dyDescent="0.4">
      <c r="A49" s="699" t="s">
        <v>191</v>
      </c>
      <c r="B49" s="722"/>
      <c r="C49" s="722"/>
      <c r="D49" s="643" t="s">
        <v>159</v>
      </c>
      <c r="E49" s="630">
        <f>'[1]4'!F49</f>
        <v>72497.08</v>
      </c>
      <c r="F49" s="831">
        <v>75217.47</v>
      </c>
      <c r="G49" s="593">
        <f t="shared" ref="G49:G58" si="6">F49-E49</f>
        <v>2720.3899999999994</v>
      </c>
      <c r="H49" s="580">
        <f>G49+'[1]4'!H49</f>
        <v>13704.203000000001</v>
      </c>
      <c r="I49" s="575"/>
      <c r="J49" s="673">
        <f>H49/DAY(B2)</f>
        <v>2740.8406000000004</v>
      </c>
      <c r="K49" s="508"/>
      <c r="L49" s="405"/>
      <c r="N49" s="410"/>
      <c r="O49" s="410"/>
    </row>
    <row r="50" spans="1:15" x14ac:dyDescent="0.4">
      <c r="A50" s="699" t="s">
        <v>205</v>
      </c>
      <c r="B50" s="722"/>
      <c r="C50" s="722"/>
      <c r="D50" s="643" t="s">
        <v>159</v>
      </c>
      <c r="E50" s="630">
        <f>'[1]4'!F50</f>
        <v>300451.19</v>
      </c>
      <c r="F50" s="831">
        <v>301891.95</v>
      </c>
      <c r="G50" s="593">
        <f t="shared" si="6"/>
        <v>1440.7600000000093</v>
      </c>
      <c r="H50" s="580">
        <f>G50+'[1]4'!H50</f>
        <v>5922.859999999986</v>
      </c>
      <c r="I50" s="575"/>
      <c r="J50" s="673">
        <f>H50/DAY(B2)</f>
        <v>1184.5719999999972</v>
      </c>
      <c r="K50" s="508"/>
      <c r="L50" s="405"/>
      <c r="N50" s="410"/>
      <c r="O50" s="410"/>
    </row>
    <row r="51" spans="1:15" x14ac:dyDescent="0.4">
      <c r="A51" s="699" t="s">
        <v>193</v>
      </c>
      <c r="B51" s="722"/>
      <c r="C51" s="722"/>
      <c r="D51" s="643" t="s">
        <v>159</v>
      </c>
      <c r="E51" s="630">
        <f>'[1]4'!F51</f>
        <v>24941.39</v>
      </c>
      <c r="F51" s="831">
        <v>26334.9</v>
      </c>
      <c r="G51" s="593">
        <f t="shared" si="6"/>
        <v>1393.510000000002</v>
      </c>
      <c r="H51" s="580">
        <f>G51+'[1]4'!H51</f>
        <v>7014.4130000000005</v>
      </c>
      <c r="I51" s="575"/>
      <c r="J51" s="673">
        <f>H51/DAY(B2)</f>
        <v>1402.8826000000001</v>
      </c>
      <c r="K51" s="508"/>
      <c r="L51" s="405"/>
      <c r="N51" s="410"/>
      <c r="O51" s="410"/>
    </row>
    <row r="52" spans="1:15" x14ac:dyDescent="0.4">
      <c r="A52" s="699" t="s">
        <v>206</v>
      </c>
      <c r="B52" s="722"/>
      <c r="C52" s="722"/>
      <c r="D52" s="643" t="s">
        <v>159</v>
      </c>
      <c r="E52" s="630">
        <f>'[1]4'!F52</f>
        <v>378351.19</v>
      </c>
      <c r="F52" s="831">
        <v>380176.95</v>
      </c>
      <c r="G52" s="593">
        <f t="shared" si="6"/>
        <v>1825.7600000000093</v>
      </c>
      <c r="H52" s="580">
        <f>G52+'[1]4'!H52</f>
        <v>9054.5200000000186</v>
      </c>
      <c r="I52" s="575"/>
      <c r="J52" s="673">
        <f>H52/DAY(B2)</f>
        <v>1810.9040000000036</v>
      </c>
      <c r="K52" s="508"/>
      <c r="L52" s="405"/>
      <c r="N52" s="410"/>
      <c r="O52" s="410"/>
    </row>
    <row r="53" spans="1:15" x14ac:dyDescent="0.4">
      <c r="A53" s="699" t="s">
        <v>195</v>
      </c>
      <c r="B53" s="722"/>
      <c r="C53" s="722"/>
      <c r="D53" s="643" t="s">
        <v>159</v>
      </c>
      <c r="E53" s="630">
        <f>'[1]4'!F53</f>
        <v>62038.67</v>
      </c>
      <c r="F53" s="831">
        <v>66131.195000000007</v>
      </c>
      <c r="G53" s="593">
        <f t="shared" si="6"/>
        <v>4092.5250000000087</v>
      </c>
      <c r="H53" s="580">
        <f>G53+'[1]4'!H53</f>
        <v>20715.188000000009</v>
      </c>
      <c r="I53" s="575"/>
      <c r="J53" s="673">
        <f>H53/DAY(B2)</f>
        <v>4143.0376000000015</v>
      </c>
      <c r="K53" s="508"/>
      <c r="L53" s="405"/>
      <c r="N53" s="410"/>
      <c r="O53" s="410"/>
    </row>
    <row r="54" spans="1:15" x14ac:dyDescent="0.4">
      <c r="A54" s="699" t="s">
        <v>207</v>
      </c>
      <c r="B54" s="722"/>
      <c r="C54" s="722"/>
      <c r="D54" s="643" t="s">
        <v>159</v>
      </c>
      <c r="E54" s="630">
        <f>'[1]4'!F54</f>
        <v>3034.18</v>
      </c>
      <c r="F54" s="831">
        <v>3105.86</v>
      </c>
      <c r="G54" s="593">
        <f t="shared" si="6"/>
        <v>71.680000000000291</v>
      </c>
      <c r="H54" s="580">
        <f>G54+'[1]4'!H54</f>
        <v>272.86000000000013</v>
      </c>
      <c r="I54" s="575"/>
      <c r="J54" s="673">
        <f>H54/DAY(B2)</f>
        <v>54.572000000000024</v>
      </c>
      <c r="K54" s="508"/>
      <c r="L54" s="405"/>
      <c r="N54" s="410"/>
      <c r="O54" s="410"/>
    </row>
    <row r="55" spans="1:15" x14ac:dyDescent="0.4">
      <c r="A55" s="699" t="s">
        <v>208</v>
      </c>
      <c r="B55" s="722"/>
      <c r="C55" s="722"/>
      <c r="D55" s="643" t="s">
        <v>159</v>
      </c>
      <c r="E55" s="630">
        <f>'[1]4'!F55</f>
        <v>158492.73000000001</v>
      </c>
      <c r="F55" s="833">
        <v>158492.73000000001</v>
      </c>
      <c r="G55" s="593">
        <f t="shared" si="6"/>
        <v>0</v>
      </c>
      <c r="H55" s="580">
        <f>G55+'[1]4'!H55</f>
        <v>-0.26999999998952262</v>
      </c>
      <c r="I55" s="575"/>
      <c r="J55" s="673">
        <f>H55/DAY(B2)</f>
        <v>-5.3999999997904523E-2</v>
      </c>
      <c r="K55" s="508"/>
      <c r="L55" s="405"/>
      <c r="N55" s="410"/>
      <c r="O55" s="410"/>
    </row>
    <row r="56" spans="1:15" x14ac:dyDescent="0.4">
      <c r="A56" s="699" t="s">
        <v>209</v>
      </c>
      <c r="B56" s="722"/>
      <c r="C56" s="722"/>
      <c r="D56" s="643" t="s">
        <v>210</v>
      </c>
      <c r="E56" s="630">
        <f>'[1]4'!F56</f>
        <v>449323.67</v>
      </c>
      <c r="F56" s="833">
        <v>449323.67</v>
      </c>
      <c r="G56" s="593">
        <f t="shared" si="6"/>
        <v>0</v>
      </c>
      <c r="H56" s="580">
        <f>G56+'[1]4'!H56</f>
        <v>14176.079999999958</v>
      </c>
      <c r="I56" s="575"/>
      <c r="J56" s="673">
        <f>H56/DAY(B2)</f>
        <v>2835.2159999999917</v>
      </c>
      <c r="K56" s="507"/>
      <c r="L56" s="405"/>
      <c r="N56" s="410"/>
      <c r="O56" s="410"/>
    </row>
    <row r="57" spans="1:15" x14ac:dyDescent="0.4">
      <c r="A57" s="699" t="s">
        <v>199</v>
      </c>
      <c r="B57" s="722"/>
      <c r="C57" s="722"/>
      <c r="D57" s="643" t="s">
        <v>159</v>
      </c>
      <c r="E57" s="630">
        <f>'[1]4'!F57</f>
        <v>0</v>
      </c>
      <c r="F57" s="831">
        <v>0</v>
      </c>
      <c r="G57" s="593">
        <f t="shared" si="6"/>
        <v>0</v>
      </c>
      <c r="H57" s="580">
        <f>G57+'[1]4'!H57</f>
        <v>0</v>
      </c>
      <c r="I57" s="575"/>
      <c r="J57" s="673">
        <f>H57/DAY(B2)</f>
        <v>0</v>
      </c>
      <c r="K57" s="508"/>
      <c r="L57" s="405"/>
      <c r="N57" s="410"/>
      <c r="O57" s="410"/>
    </row>
    <row r="58" spans="1:15" x14ac:dyDescent="0.4">
      <c r="A58" s="699" t="s">
        <v>211</v>
      </c>
      <c r="B58" s="722"/>
      <c r="C58" s="722"/>
      <c r="D58" s="643" t="s">
        <v>159</v>
      </c>
      <c r="E58" s="630">
        <f>'[1]4'!F58</f>
        <v>20705.63</v>
      </c>
      <c r="F58" s="834">
        <v>20775.55</v>
      </c>
      <c r="G58" s="593">
        <f t="shared" si="6"/>
        <v>69.919999999998254</v>
      </c>
      <c r="H58" s="580">
        <f>G58+'[1]4'!H58</f>
        <v>544.50699999999779</v>
      </c>
      <c r="I58" s="575"/>
      <c r="J58" s="673">
        <f>H58/DAY(B2)</f>
        <v>108.90139999999955</v>
      </c>
      <c r="K58" s="508"/>
      <c r="L58" s="405"/>
      <c r="N58" s="410"/>
      <c r="O58" s="410"/>
    </row>
    <row r="59" spans="1:15" x14ac:dyDescent="0.5">
      <c r="A59" s="706" t="s">
        <v>203</v>
      </c>
      <c r="B59" s="707"/>
      <c r="C59" s="707"/>
      <c r="D59" s="631"/>
      <c r="E59" s="631"/>
      <c r="F59" s="825"/>
      <c r="G59" s="601">
        <f>G49+G50+G51+G52+G53+G54+G55+G56+G57+G58</f>
        <v>11614.545000000027</v>
      </c>
      <c r="H59" s="580">
        <f>G59+'[1]4'!H59</f>
        <v>71404.360999999975</v>
      </c>
      <c r="I59" s="575">
        <f>G7-G60</f>
        <v>471.44499999992695</v>
      </c>
      <c r="J59" s="673">
        <f>H59/DAY(B2)</f>
        <v>14280.872199999994</v>
      </c>
      <c r="K59" s="508"/>
      <c r="L59" s="405"/>
      <c r="N59" s="410"/>
      <c r="O59" s="410"/>
    </row>
    <row r="60" spans="1:15" x14ac:dyDescent="0.4">
      <c r="A60" s="699"/>
      <c r="B60" s="700"/>
      <c r="C60" s="700"/>
      <c r="D60" s="631" t="s">
        <v>212</v>
      </c>
      <c r="E60" s="631"/>
      <c r="F60" s="761"/>
      <c r="G60" s="601">
        <f>G47+G59</f>
        <v>18666.555000000073</v>
      </c>
      <c r="H60" s="580">
        <f>G60+'[1]4'!H60</f>
        <v>94471.830999999947</v>
      </c>
      <c r="I60" s="575">
        <f>G13-G60</f>
        <v>-194.23499999989144</v>
      </c>
      <c r="J60" s="673">
        <f>H60/DAY(B2)</f>
        <v>18894.366199999989</v>
      </c>
      <c r="K60" s="508"/>
      <c r="L60" s="405"/>
      <c r="N60" s="410"/>
      <c r="O60" s="410"/>
    </row>
    <row r="61" spans="1:15" x14ac:dyDescent="0.5">
      <c r="A61" s="723" t="s">
        <v>213</v>
      </c>
      <c r="B61" s="573"/>
      <c r="C61" s="573"/>
      <c r="D61" s="633"/>
      <c r="E61" s="632"/>
      <c r="F61" s="762"/>
      <c r="G61" s="633"/>
      <c r="H61" s="633"/>
      <c r="I61" s="633"/>
      <c r="J61" s="676"/>
      <c r="K61" s="508"/>
      <c r="L61" s="405"/>
      <c r="N61" s="410"/>
      <c r="O61" s="410"/>
    </row>
    <row r="62" spans="1:15" x14ac:dyDescent="0.4">
      <c r="A62" s="724" t="s">
        <v>121</v>
      </c>
      <c r="B62" s="725"/>
      <c r="C62" s="725"/>
      <c r="D62" s="631" t="s">
        <v>214</v>
      </c>
      <c r="E62" s="634">
        <f>'[1]4'!F62</f>
        <v>20419</v>
      </c>
      <c r="F62" s="835">
        <v>20419</v>
      </c>
      <c r="G62" s="593">
        <f t="shared" ref="G62:G69" si="7">F62-E62</f>
        <v>0</v>
      </c>
      <c r="H62" s="580">
        <f>G62+'[1]4'!H62</f>
        <v>-0.18000000000029104</v>
      </c>
      <c r="I62" s="635"/>
      <c r="J62" s="673">
        <f>H62/DAY(B2)</f>
        <v>-3.6000000000058208E-2</v>
      </c>
      <c r="K62" s="508"/>
      <c r="L62" s="405"/>
      <c r="N62" s="410"/>
      <c r="O62" s="410"/>
    </row>
    <row r="63" spans="1:15" x14ac:dyDescent="0.4">
      <c r="A63" s="724" t="s">
        <v>215</v>
      </c>
      <c r="B63" s="725"/>
      <c r="C63" s="725"/>
      <c r="D63" s="631" t="s">
        <v>214</v>
      </c>
      <c r="E63" s="634">
        <f>'[1]4'!F63</f>
        <v>921.26</v>
      </c>
      <c r="F63" s="835">
        <v>936.41</v>
      </c>
      <c r="G63" s="593">
        <f t="shared" si="7"/>
        <v>15.149999999999977</v>
      </c>
      <c r="H63" s="580">
        <f>G63+'[1]4'!H63</f>
        <v>80.039999999999964</v>
      </c>
      <c r="I63" s="635"/>
      <c r="J63" s="673">
        <f>H63/DAY(B2)</f>
        <v>16.007999999999992</v>
      </c>
      <c r="K63" s="508"/>
      <c r="L63" s="405"/>
      <c r="N63" s="410"/>
      <c r="O63" s="410"/>
    </row>
    <row r="64" spans="1:15" ht="27.75" x14ac:dyDescent="0.5">
      <c r="A64" s="1395" t="s">
        <v>122</v>
      </c>
      <c r="B64" s="1396"/>
      <c r="C64" s="1397"/>
      <c r="D64" s="643" t="s">
        <v>214</v>
      </c>
      <c r="E64" s="604">
        <f>'[1]4'!F64</f>
        <v>88211.1</v>
      </c>
      <c r="F64" s="822">
        <v>88557.11</v>
      </c>
      <c r="G64" s="593">
        <f t="shared" si="7"/>
        <v>346.00999999999476</v>
      </c>
      <c r="H64" s="580">
        <f>G64+'[1]4'!H64</f>
        <v>1818.0149999999994</v>
      </c>
      <c r="I64" s="600"/>
      <c r="J64" s="673">
        <f>H64/DAY(B2)</f>
        <v>363.60299999999989</v>
      </c>
      <c r="K64" s="508"/>
      <c r="L64" s="405"/>
      <c r="N64" s="410"/>
      <c r="O64" s="410"/>
    </row>
    <row r="65" spans="1:15" ht="27.75" x14ac:dyDescent="0.5">
      <c r="A65" s="1395" t="s">
        <v>123</v>
      </c>
      <c r="B65" s="1396"/>
      <c r="C65" s="1397"/>
      <c r="D65" s="643" t="s">
        <v>214</v>
      </c>
      <c r="E65" s="604">
        <f>'[1]4'!F65</f>
        <v>98242.43</v>
      </c>
      <c r="F65" s="836">
        <v>98627.43</v>
      </c>
      <c r="G65" s="593">
        <f t="shared" si="7"/>
        <v>385</v>
      </c>
      <c r="H65" s="580">
        <f>G65+'[1]4'!H65</f>
        <v>1991.4470000000001</v>
      </c>
      <c r="I65" s="609"/>
      <c r="J65" s="673">
        <f>H65/DAY(B2)</f>
        <v>398.2894</v>
      </c>
      <c r="K65" s="508"/>
      <c r="L65" s="405"/>
      <c r="N65" s="410"/>
      <c r="O65" s="410"/>
    </row>
    <row r="66" spans="1:15" ht="27.75" x14ac:dyDescent="0.5">
      <c r="A66" s="1395" t="s">
        <v>124</v>
      </c>
      <c r="B66" s="1396"/>
      <c r="C66" s="1397"/>
      <c r="D66" s="643" t="s">
        <v>214</v>
      </c>
      <c r="E66" s="604">
        <f>'[1]4'!F66</f>
        <v>91572.08</v>
      </c>
      <c r="F66" s="822">
        <v>91945.93</v>
      </c>
      <c r="G66" s="593">
        <f t="shared" si="7"/>
        <v>373.84999999999127</v>
      </c>
      <c r="H66" s="580">
        <f>G66+'[1]4'!H66</f>
        <v>1941.0829999999987</v>
      </c>
      <c r="I66" s="600"/>
      <c r="J66" s="673">
        <f>H66/DAY(B2)</f>
        <v>388.21659999999974</v>
      </c>
      <c r="K66" s="508"/>
      <c r="L66" s="405"/>
      <c r="N66" s="410"/>
      <c r="O66" s="410"/>
    </row>
    <row r="67" spans="1:15" ht="27.75" x14ac:dyDescent="0.5">
      <c r="A67" s="1395" t="s">
        <v>125</v>
      </c>
      <c r="B67" s="1396"/>
      <c r="C67" s="1397"/>
      <c r="D67" s="643" t="s">
        <v>214</v>
      </c>
      <c r="E67" s="604">
        <f>'[1]4'!F67</f>
        <v>148984.41</v>
      </c>
      <c r="F67" s="822">
        <v>149652.07</v>
      </c>
      <c r="G67" s="593">
        <f t="shared" si="7"/>
        <v>667.66000000000349</v>
      </c>
      <c r="H67" s="580">
        <f>G67+'[1]4'!H67</f>
        <v>3610.0200000000186</v>
      </c>
      <c r="I67" s="609"/>
      <c r="J67" s="673">
        <f>H67/DAY(B2)</f>
        <v>722.00400000000377</v>
      </c>
      <c r="K67" s="509"/>
      <c r="L67" s="405"/>
      <c r="N67" s="410"/>
      <c r="O67" s="410"/>
    </row>
    <row r="68" spans="1:15" ht="27.75" x14ac:dyDescent="0.5">
      <c r="A68" s="1395" t="s">
        <v>126</v>
      </c>
      <c r="B68" s="1396"/>
      <c r="C68" s="1397"/>
      <c r="D68" s="643" t="s">
        <v>214</v>
      </c>
      <c r="E68" s="604">
        <f>'[1]4'!F68</f>
        <v>44665.25</v>
      </c>
      <c r="F68" s="822">
        <v>45023.35</v>
      </c>
      <c r="G68" s="593">
        <f t="shared" si="7"/>
        <v>358.09999999999854</v>
      </c>
      <c r="H68" s="580">
        <f>G68+'[1]4'!H68</f>
        <v>1848.2710000000006</v>
      </c>
      <c r="I68" s="636"/>
      <c r="J68" s="673">
        <f>H68/DAY(B2)</f>
        <v>369.65420000000012</v>
      </c>
      <c r="K68" s="510"/>
      <c r="L68" s="405"/>
      <c r="N68" s="410"/>
      <c r="O68" s="410"/>
    </row>
    <row r="69" spans="1:15" ht="27.75" x14ac:dyDescent="0.5">
      <c r="A69" s="1395" t="s">
        <v>127</v>
      </c>
      <c r="B69" s="1396"/>
      <c r="C69" s="1397"/>
      <c r="D69" s="643" t="s">
        <v>214</v>
      </c>
      <c r="E69" s="604">
        <f>'[1]4'!F69</f>
        <v>38707.370000000003</v>
      </c>
      <c r="F69" s="822">
        <v>38992.93</v>
      </c>
      <c r="G69" s="593">
        <f t="shared" si="7"/>
        <v>285.55999999999767</v>
      </c>
      <c r="H69" s="580">
        <f>G69+'[1]4'!H69</f>
        <v>1437.3629999999976</v>
      </c>
      <c r="I69" s="636"/>
      <c r="J69" s="673">
        <f>H69/DAY(B2)</f>
        <v>287.47259999999949</v>
      </c>
      <c r="K69" s="511"/>
      <c r="L69" s="405"/>
      <c r="N69" s="410"/>
      <c r="O69" s="410"/>
    </row>
    <row r="70" spans="1:15" ht="27.75" x14ac:dyDescent="0.5">
      <c r="A70" s="1451" t="s">
        <v>216</v>
      </c>
      <c r="B70" s="1452"/>
      <c r="C70" s="1453"/>
      <c r="D70" s="643" t="s">
        <v>214</v>
      </c>
      <c r="E70" s="638"/>
      <c r="F70" s="763"/>
      <c r="G70" s="638"/>
      <c r="H70" s="580"/>
      <c r="I70" s="638"/>
      <c r="J70" s="677"/>
      <c r="K70" s="511"/>
      <c r="L70" s="405"/>
      <c r="N70" s="410"/>
      <c r="O70" s="410"/>
    </row>
    <row r="71" spans="1:15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410"/>
      <c r="O71" s="410"/>
    </row>
    <row r="72" spans="1:15" ht="27.75" x14ac:dyDescent="0.5">
      <c r="A72" s="1395" t="s">
        <v>218</v>
      </c>
      <c r="B72" s="1396"/>
      <c r="C72" s="1397"/>
      <c r="D72" s="643" t="s">
        <v>214</v>
      </c>
      <c r="E72" s="639">
        <f>'[1]4'!F72</f>
        <v>844210</v>
      </c>
      <c r="F72" s="840">
        <v>844218</v>
      </c>
      <c r="G72" s="593">
        <f t="shared" ref="G72:G84" si="8">F72-E72</f>
        <v>8</v>
      </c>
      <c r="H72" s="580">
        <f>G72+'[1]4'!H72</f>
        <v>41</v>
      </c>
      <c r="I72" s="600"/>
      <c r="J72" s="673">
        <f>H72/DAY(B2)</f>
        <v>8.1999999999999993</v>
      </c>
      <c r="K72" s="511"/>
      <c r="L72" s="405"/>
      <c r="N72" s="410"/>
      <c r="O72" s="410"/>
    </row>
    <row r="73" spans="1:15" ht="27.75" x14ac:dyDescent="0.5">
      <c r="A73" s="1395" t="s">
        <v>219</v>
      </c>
      <c r="B73" s="1396"/>
      <c r="C73" s="1397"/>
      <c r="D73" s="643" t="s">
        <v>214</v>
      </c>
      <c r="E73" s="640">
        <f>'[1]4'!F73</f>
        <v>885315</v>
      </c>
      <c r="F73" s="839">
        <v>885336</v>
      </c>
      <c r="G73" s="769">
        <f t="shared" si="8"/>
        <v>21</v>
      </c>
      <c r="H73" s="580">
        <f>G73+'[1]4'!H73</f>
        <v>26</v>
      </c>
      <c r="I73" s="600"/>
      <c r="J73" s="673">
        <f>H73/DAY(B2)</f>
        <v>5.2</v>
      </c>
      <c r="K73" s="510"/>
      <c r="L73" s="405"/>
      <c r="N73" s="410"/>
      <c r="O73" s="410"/>
    </row>
    <row r="74" spans="1:15" ht="27.75" x14ac:dyDescent="0.5">
      <c r="A74" s="1395" t="s">
        <v>220</v>
      </c>
      <c r="B74" s="1396"/>
      <c r="C74" s="1397"/>
      <c r="D74" s="643" t="s">
        <v>214</v>
      </c>
      <c r="E74" s="641">
        <f>'[1]4'!F74</f>
        <v>880300</v>
      </c>
      <c r="F74" s="839">
        <v>880325</v>
      </c>
      <c r="G74" s="769">
        <f t="shared" si="8"/>
        <v>25</v>
      </c>
      <c r="H74" s="580">
        <f>G74+'[1]4'!H74</f>
        <v>98</v>
      </c>
      <c r="I74" s="600"/>
      <c r="J74" s="673">
        <f>H74/DAY(B2)</f>
        <v>19.600000000000001</v>
      </c>
      <c r="K74" s="511"/>
      <c r="L74" s="405"/>
      <c r="N74" s="410"/>
      <c r="O74" s="410"/>
    </row>
    <row r="75" spans="1:15" ht="27.75" x14ac:dyDescent="0.5">
      <c r="A75" s="1447" t="s">
        <v>221</v>
      </c>
      <c r="B75" s="1448"/>
      <c r="C75" s="1449"/>
      <c r="D75" s="643" t="s">
        <v>214</v>
      </c>
      <c r="E75" s="641">
        <f>'[1]4'!F75</f>
        <v>726853</v>
      </c>
      <c r="F75" s="827">
        <v>727038</v>
      </c>
      <c r="G75" s="593">
        <f t="shared" si="8"/>
        <v>185</v>
      </c>
      <c r="H75" s="580">
        <f>G75+'[1]4'!H75</f>
        <v>858</v>
      </c>
      <c r="I75" s="600"/>
      <c r="J75" s="673">
        <f>H75/DAY(B2)</f>
        <v>171.6</v>
      </c>
      <c r="K75" s="510"/>
      <c r="L75" s="405"/>
      <c r="N75" s="410"/>
      <c r="O75" s="410"/>
    </row>
    <row r="76" spans="1:15" ht="27.75" x14ac:dyDescent="0.5">
      <c r="A76" s="1447" t="s">
        <v>222</v>
      </c>
      <c r="B76" s="1448"/>
      <c r="C76" s="1449"/>
      <c r="D76" s="643" t="s">
        <v>214</v>
      </c>
      <c r="E76" s="640">
        <f>'[1]4'!F76</f>
        <v>681909</v>
      </c>
      <c r="F76" s="839">
        <v>681969</v>
      </c>
      <c r="G76" s="593">
        <f t="shared" si="8"/>
        <v>60</v>
      </c>
      <c r="H76" s="580">
        <f>G76+'[1]4'!H76</f>
        <v>293</v>
      </c>
      <c r="I76" s="625"/>
      <c r="J76" s="673">
        <f>H76/DAY(B2)</f>
        <v>58.6</v>
      </c>
      <c r="K76" s="510"/>
      <c r="L76" s="405"/>
      <c r="N76" s="410"/>
      <c r="O76" s="410"/>
    </row>
    <row r="77" spans="1:15" ht="27.75" x14ac:dyDescent="0.5">
      <c r="A77" s="1395" t="s">
        <v>223</v>
      </c>
      <c r="B77" s="1396"/>
      <c r="C77" s="1397"/>
      <c r="D77" s="643" t="s">
        <v>214</v>
      </c>
      <c r="E77" s="640">
        <f>'[1]4'!F77</f>
        <v>693927</v>
      </c>
      <c r="F77" s="839">
        <v>693984</v>
      </c>
      <c r="G77" s="769">
        <f t="shared" si="8"/>
        <v>57</v>
      </c>
      <c r="H77" s="580">
        <f>G77+'[1]4'!H77</f>
        <v>264</v>
      </c>
      <c r="I77" s="625"/>
      <c r="J77" s="673">
        <f>H77/DAY(B2)</f>
        <v>52.8</v>
      </c>
      <c r="K77" s="510"/>
      <c r="L77" s="405"/>
      <c r="N77" s="410"/>
      <c r="O77" s="410"/>
    </row>
    <row r="78" spans="1:15" ht="27.75" x14ac:dyDescent="0.5">
      <c r="A78" s="1357" t="s">
        <v>224</v>
      </c>
      <c r="B78" s="1320"/>
      <c r="C78" s="1320"/>
      <c r="D78" s="643" t="s">
        <v>214</v>
      </c>
      <c r="E78" s="640">
        <f>'[1]4'!F78</f>
        <v>619781</v>
      </c>
      <c r="F78" s="827">
        <v>620230</v>
      </c>
      <c r="G78" s="593">
        <f t="shared" si="8"/>
        <v>449</v>
      </c>
      <c r="H78" s="580">
        <f>G78+'[1]4'!H78</f>
        <v>1977</v>
      </c>
      <c r="I78" s="625"/>
      <c r="J78" s="673">
        <f>H78/DAY(B2)</f>
        <v>395.4</v>
      </c>
      <c r="K78" s="510"/>
      <c r="L78" s="405"/>
      <c r="N78" s="410"/>
      <c r="O78" s="410"/>
    </row>
    <row r="79" spans="1:15" ht="27.75" x14ac:dyDescent="0.5">
      <c r="A79" s="1447" t="s">
        <v>112</v>
      </c>
      <c r="B79" s="1448"/>
      <c r="C79" s="1449"/>
      <c r="D79" s="644" t="s">
        <v>214</v>
      </c>
      <c r="E79" s="640">
        <f>'[1]4'!F79</f>
        <v>798760</v>
      </c>
      <c r="F79" s="827">
        <v>798952</v>
      </c>
      <c r="G79" s="593">
        <f t="shared" si="8"/>
        <v>192</v>
      </c>
      <c r="H79" s="580">
        <f>G79+'[1]4'!H79</f>
        <v>966</v>
      </c>
      <c r="I79" s="625"/>
      <c r="J79" s="673">
        <f>H79/DAY(B2)</f>
        <v>193.2</v>
      </c>
      <c r="K79" s="510"/>
      <c r="L79" s="405"/>
      <c r="N79" s="410"/>
      <c r="O79" s="410"/>
    </row>
    <row r="80" spans="1:15" ht="27.75" x14ac:dyDescent="0.5">
      <c r="A80" s="1447" t="s">
        <v>225</v>
      </c>
      <c r="B80" s="1448"/>
      <c r="C80" s="1449"/>
      <c r="D80" s="644" t="s">
        <v>214</v>
      </c>
      <c r="E80" s="640">
        <f>'[1]4'!F80</f>
        <v>466729.2</v>
      </c>
      <c r="F80" s="839">
        <v>467087.48</v>
      </c>
      <c r="G80" s="593">
        <f t="shared" si="8"/>
        <v>358.27999999996973</v>
      </c>
      <c r="H80" s="580">
        <f>G80+'[1]4'!H80</f>
        <v>1589.5999999999767</v>
      </c>
      <c r="I80" s="625"/>
      <c r="J80" s="673">
        <f>H80/DAY(B2)</f>
        <v>317.91999999999535</v>
      </c>
      <c r="K80" s="510"/>
      <c r="L80" s="405"/>
      <c r="N80" s="410"/>
      <c r="O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'[1]4'!F81</f>
        <v>615014.12</v>
      </c>
      <c r="F81" s="839">
        <v>615176.64</v>
      </c>
      <c r="G81" s="593">
        <f t="shared" si="8"/>
        <v>162.52000000001863</v>
      </c>
      <c r="H81" s="580">
        <f>G81+'[1]4'!H81</f>
        <v>788.11999999999534</v>
      </c>
      <c r="I81" s="625"/>
      <c r="J81" s="673">
        <f>H81/DAY(B2)</f>
        <v>157.62399999999906</v>
      </c>
      <c r="K81" s="510"/>
      <c r="L81" s="405"/>
      <c r="N81" s="410"/>
      <c r="O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0">
        <f>'[1]4'!F82</f>
        <v>103595.42</v>
      </c>
      <c r="F82" s="836">
        <v>103623.09</v>
      </c>
      <c r="G82" s="593">
        <f t="shared" si="8"/>
        <v>27.669999999998254</v>
      </c>
      <c r="H82" s="580">
        <f>G82+'[1]4'!H82</f>
        <v>93.440000000002328</v>
      </c>
      <c r="I82" s="606"/>
      <c r="J82" s="673">
        <f>H82/DAY(B2)</f>
        <v>18.688000000000464</v>
      </c>
      <c r="K82" s="510"/>
      <c r="L82" s="405"/>
      <c r="N82" s="410"/>
      <c r="O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40">
        <f>'[1]4'!F83</f>
        <v>963882</v>
      </c>
      <c r="F83" s="825">
        <v>964228</v>
      </c>
      <c r="G83" s="593">
        <f t="shared" si="8"/>
        <v>346</v>
      </c>
      <c r="H83" s="580">
        <f>G83+'[1]4'!H83</f>
        <v>1703</v>
      </c>
      <c r="I83" s="601"/>
      <c r="J83" s="673">
        <f>H83/DAY(B2)</f>
        <v>340.6</v>
      </c>
      <c r="K83" s="509"/>
      <c r="L83" s="405"/>
      <c r="N83" s="410"/>
      <c r="O83" s="410"/>
    </row>
    <row r="84" spans="1:15" x14ac:dyDescent="0.5">
      <c r="A84" s="1360" t="s">
        <v>228</v>
      </c>
      <c r="B84" s="692"/>
      <c r="C84" s="692"/>
      <c r="D84" s="598" t="s">
        <v>159</v>
      </c>
      <c r="E84" s="640">
        <f>'[1]4'!F84</f>
        <v>383508</v>
      </c>
      <c r="F84" s="838">
        <v>384119</v>
      </c>
      <c r="G84" s="593">
        <f t="shared" si="8"/>
        <v>611</v>
      </c>
      <c r="H84" s="580">
        <f>G84+'[1]4'!H84</f>
        <v>2763</v>
      </c>
      <c r="I84" s="601"/>
      <c r="J84" s="673">
        <f>H84/DAY(B2)</f>
        <v>552.6</v>
      </c>
      <c r="K84" s="408"/>
      <c r="L84" s="405"/>
      <c r="N84" s="410"/>
      <c r="O84" s="410"/>
    </row>
    <row r="85" spans="1:15" s="407" customFormat="1" x14ac:dyDescent="0.5">
      <c r="A85" s="726" t="s">
        <v>82</v>
      </c>
      <c r="B85" s="693"/>
      <c r="C85" s="693"/>
      <c r="D85" s="609"/>
      <c r="E85" s="640">
        <f>'[1]4'!F85</f>
        <v>0</v>
      </c>
      <c r="F85" s="759"/>
      <c r="G85" s="580">
        <f xml:space="preserve"> SUM(G71:G84)</f>
        <v>2502.4699999999866</v>
      </c>
      <c r="H85" s="580">
        <f>G85+'[1]4'!H85</f>
        <v>9638.7299999999232</v>
      </c>
      <c r="I85" s="601"/>
      <c r="J85" s="673">
        <f>H85/DAY(B2)</f>
        <v>1927.7459999999846</v>
      </c>
      <c r="K85" s="408"/>
      <c r="L85" s="406"/>
      <c r="N85" s="410"/>
      <c r="O85" s="410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640">
        <f>'[1]4'!F86</f>
        <v>441134.52</v>
      </c>
      <c r="F86" s="764">
        <v>441332.84</v>
      </c>
      <c r="G86" s="841">
        <f t="shared" ref="G86:G90" si="9">F86-E86</f>
        <v>198.32000000000698</v>
      </c>
      <c r="H86" s="841">
        <f t="shared" ref="H86:H88" si="10">G86</f>
        <v>198.32000000000698</v>
      </c>
      <c r="I86" s="769"/>
      <c r="J86" s="843">
        <f>H86/DAY(B2)</f>
        <v>39.664000000001394</v>
      </c>
      <c r="K86" s="869"/>
      <c r="L86" s="870"/>
      <c r="N86" s="919">
        <f>G86-173</f>
        <v>25.320000000006985</v>
      </c>
      <c r="O86" s="410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640">
        <f>'[1]4'!F87</f>
        <v>77032.800000000003</v>
      </c>
      <c r="F87" s="764">
        <v>77051.8</v>
      </c>
      <c r="G87" s="841">
        <f t="shared" si="9"/>
        <v>19</v>
      </c>
      <c r="H87" s="841">
        <f t="shared" si="10"/>
        <v>19</v>
      </c>
      <c r="I87" s="769"/>
      <c r="J87" s="843">
        <f>H87/DAY(B2)</f>
        <v>3.8</v>
      </c>
      <c r="K87" s="869"/>
      <c r="L87" s="870"/>
      <c r="N87" s="871">
        <v>108</v>
      </c>
      <c r="O87" s="410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640">
        <f>'[1]4'!F88</f>
        <v>142862.95000000001</v>
      </c>
      <c r="F88" s="764">
        <v>142905.76</v>
      </c>
      <c r="G88" s="841">
        <f>F88-E88</f>
        <v>42.809999999997672</v>
      </c>
      <c r="H88" s="841">
        <f t="shared" si="10"/>
        <v>42.809999999997672</v>
      </c>
      <c r="I88" s="769"/>
      <c r="J88" s="843">
        <f>H88/DAY(B2)</f>
        <v>8.561999999999534</v>
      </c>
      <c r="K88" s="869"/>
      <c r="L88" s="870"/>
      <c r="N88" s="871">
        <v>28</v>
      </c>
      <c r="O88" s="410"/>
    </row>
    <row r="89" spans="1:15" s="871" customFormat="1" x14ac:dyDescent="0.5">
      <c r="A89" s="866" t="s">
        <v>229</v>
      </c>
      <c r="B89" s="867"/>
      <c r="C89" s="867"/>
      <c r="D89" s="868" t="s">
        <v>210</v>
      </c>
      <c r="E89" s="640">
        <f>'[1]4'!F89</f>
        <v>55967.8</v>
      </c>
      <c r="F89" s="764">
        <f>55967.8+50</f>
        <v>56017.8</v>
      </c>
      <c r="G89" s="841">
        <f t="shared" si="9"/>
        <v>50</v>
      </c>
      <c r="H89" s="841">
        <f>G89</f>
        <v>50</v>
      </c>
      <c r="I89" s="769"/>
      <c r="J89" s="843">
        <f>H89/DAY(B2)</f>
        <v>10</v>
      </c>
      <c r="K89" s="869"/>
      <c r="L89" s="870"/>
      <c r="N89" s="919">
        <v>342</v>
      </c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640">
        <f>'[1]4'!F90</f>
        <v>2905.4</v>
      </c>
      <c r="F90" s="764">
        <v>2909</v>
      </c>
      <c r="G90" s="841">
        <f t="shared" si="9"/>
        <v>3.5999999999999091</v>
      </c>
      <c r="H90" s="841">
        <f>G90</f>
        <v>3.5999999999999091</v>
      </c>
      <c r="I90" s="769"/>
      <c r="J90" s="843">
        <f>H90/DAY(B2)</f>
        <v>0.71999999999998177</v>
      </c>
      <c r="K90" s="869"/>
      <c r="L90" s="870"/>
      <c r="N90" s="919">
        <v>349</v>
      </c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603"/>
      <c r="G91" s="608"/>
      <c r="H91" s="592"/>
      <c r="I91" s="592"/>
      <c r="J91" s="672"/>
      <c r="K91" s="408"/>
      <c r="L91" s="406"/>
      <c r="N91" s="410"/>
      <c r="O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'[1]4'!F92</f>
        <v>231297</v>
      </c>
      <c r="F92" s="822">
        <v>231368</v>
      </c>
      <c r="G92" s="593">
        <f t="shared" ref="G92:G93" si="11">F92-E92</f>
        <v>71</v>
      </c>
      <c r="H92" s="580">
        <f>G92+'[1]4'!H92</f>
        <v>393</v>
      </c>
      <c r="I92" s="600"/>
      <c r="J92" s="673">
        <f>H92/DAY(B2)</f>
        <v>78.599999999999994</v>
      </c>
      <c r="K92" s="509"/>
      <c r="L92" s="405"/>
      <c r="N92" s="410"/>
      <c r="O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'[1]4'!F93</f>
        <v>163199</v>
      </c>
      <c r="F93" s="822">
        <v>163312</v>
      </c>
      <c r="G93" s="593">
        <f t="shared" si="11"/>
        <v>113</v>
      </c>
      <c r="H93" s="580">
        <f>G93+'[1]4'!H93</f>
        <v>670</v>
      </c>
      <c r="I93" s="600"/>
      <c r="J93" s="673">
        <f>H93/DAY(B2)</f>
        <v>134</v>
      </c>
      <c r="K93" s="408"/>
      <c r="L93" s="405"/>
      <c r="N93" s="410"/>
      <c r="O93" s="410"/>
    </row>
    <row r="94" spans="1:15" x14ac:dyDescent="0.5">
      <c r="A94" s="1392" t="s">
        <v>235</v>
      </c>
      <c r="B94" s="1393"/>
      <c r="C94" s="1394"/>
      <c r="D94" s="643"/>
      <c r="E94" s="604"/>
      <c r="F94" s="756"/>
      <c r="G94" s="593">
        <f>G92+G93</f>
        <v>184</v>
      </c>
      <c r="H94" s="580">
        <f>G94+'[1]4'!H94</f>
        <v>800</v>
      </c>
      <c r="I94" s="600"/>
      <c r="J94" s="673">
        <f>H94/DAY(B2)</f>
        <v>160</v>
      </c>
      <c r="K94" s="408"/>
      <c r="L94" s="405"/>
      <c r="N94" s="410"/>
      <c r="O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'[1]4'!F95</f>
        <v>401775</v>
      </c>
      <c r="F95" s="822">
        <v>401831</v>
      </c>
      <c r="G95" s="593">
        <f t="shared" ref="G95:G100" si="12">F95-E95</f>
        <v>56</v>
      </c>
      <c r="H95" s="580">
        <f>G95+'[1]4'!H95</f>
        <v>266</v>
      </c>
      <c r="I95" s="600"/>
      <c r="J95" s="673">
        <f>H95/DAY(B2)</f>
        <v>53.2</v>
      </c>
      <c r="K95" s="408"/>
      <c r="L95" s="405"/>
      <c r="N95" s="410"/>
      <c r="O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'[1]4'!F96</f>
        <v>99222</v>
      </c>
      <c r="F96" s="822">
        <v>99249</v>
      </c>
      <c r="G96" s="593">
        <f t="shared" si="12"/>
        <v>27</v>
      </c>
      <c r="H96" s="580">
        <f>G96+'[1]4'!H96</f>
        <v>138</v>
      </c>
      <c r="I96" s="600"/>
      <c r="J96" s="673">
        <f>H96/DAY(B2)</f>
        <v>27.6</v>
      </c>
      <c r="K96" s="507"/>
      <c r="L96" s="405"/>
      <c r="N96" s="410"/>
      <c r="O96" s="410"/>
    </row>
    <row r="97" spans="1:15" ht="27.75" x14ac:dyDescent="0.5">
      <c r="A97" s="1354" t="s">
        <v>238</v>
      </c>
      <c r="B97" s="1355"/>
      <c r="C97" s="1355"/>
      <c r="D97" s="643" t="s">
        <v>171</v>
      </c>
      <c r="E97" s="604">
        <f>'[1]4'!F97</f>
        <v>94352</v>
      </c>
      <c r="F97" s="822">
        <v>94372</v>
      </c>
      <c r="G97" s="593">
        <f t="shared" si="12"/>
        <v>20</v>
      </c>
      <c r="H97" s="580">
        <f>G97+'[1]4'!H97</f>
        <v>100</v>
      </c>
      <c r="I97" s="600"/>
      <c r="J97" s="673">
        <f>H97/DAY(B2)</f>
        <v>20</v>
      </c>
      <c r="K97" s="512"/>
      <c r="L97" s="405"/>
      <c r="N97" s="410"/>
      <c r="O97" s="410"/>
    </row>
    <row r="98" spans="1:15" ht="27.75" x14ac:dyDescent="0.5">
      <c r="A98" s="1354" t="s">
        <v>239</v>
      </c>
      <c r="B98" s="1355"/>
      <c r="C98" s="1355"/>
      <c r="D98" s="643" t="s">
        <v>171</v>
      </c>
      <c r="E98" s="604">
        <f>'[1]4'!F98</f>
        <v>142363</v>
      </c>
      <c r="F98" s="822">
        <v>142404</v>
      </c>
      <c r="G98" s="593">
        <f t="shared" si="12"/>
        <v>41</v>
      </c>
      <c r="H98" s="580">
        <f>G98+'[1]4'!H98</f>
        <v>258</v>
      </c>
      <c r="I98" s="600"/>
      <c r="J98" s="673">
        <f>H98/DAY(B2)</f>
        <v>51.6</v>
      </c>
      <c r="K98" s="408"/>
      <c r="L98" s="405"/>
      <c r="N98" s="823"/>
      <c r="O98" s="410"/>
    </row>
    <row r="99" spans="1:15" ht="27.75" x14ac:dyDescent="0.5">
      <c r="A99" s="1354" t="s">
        <v>240</v>
      </c>
      <c r="B99" s="1355"/>
      <c r="C99" s="1355"/>
      <c r="D99" s="643" t="s">
        <v>171</v>
      </c>
      <c r="E99" s="604">
        <f>'[1]4'!F99</f>
        <v>5058</v>
      </c>
      <c r="F99" s="822">
        <v>5085</v>
      </c>
      <c r="G99" s="593">
        <f t="shared" si="12"/>
        <v>27</v>
      </c>
      <c r="H99" s="580">
        <f>G99+'[1]4'!H99</f>
        <v>117</v>
      </c>
      <c r="I99" s="600"/>
      <c r="J99" s="673">
        <f>H99/DAY(B2)</f>
        <v>23.4</v>
      </c>
      <c r="K99" s="408"/>
      <c r="L99" s="405"/>
      <c r="N99" s="410"/>
      <c r="O99" s="410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604">
        <f>'[1]4'!F100</f>
        <v>3674</v>
      </c>
      <c r="F100" s="822">
        <v>3674</v>
      </c>
      <c r="G100" s="593">
        <f t="shared" si="12"/>
        <v>0</v>
      </c>
      <c r="H100" s="580">
        <f>G100+'[1]4'!H100</f>
        <v>0</v>
      </c>
      <c r="I100" s="600"/>
      <c r="J100" s="673">
        <f>H100/DAY(B2)</f>
        <v>0</v>
      </c>
      <c r="K100" s="408"/>
      <c r="L100" s="405"/>
      <c r="N100" s="410"/>
      <c r="O100" s="410"/>
    </row>
    <row r="101" spans="1:15" x14ac:dyDescent="0.5">
      <c r="A101" s="1392" t="s">
        <v>242</v>
      </c>
      <c r="B101" s="1393"/>
      <c r="C101" s="1394"/>
      <c r="D101" s="644"/>
      <c r="E101" s="644"/>
      <c r="F101" s="760"/>
      <c r="G101" s="645">
        <f>SUM(G95:G100)</f>
        <v>171</v>
      </c>
      <c r="H101" s="580">
        <f>G101+'[1]4'!H101</f>
        <v>879</v>
      </c>
      <c r="I101" s="646"/>
      <c r="J101" s="673">
        <f>H101/DAY(B2)</f>
        <v>175.8</v>
      </c>
      <c r="K101" s="408"/>
      <c r="L101" s="405"/>
      <c r="N101" s="410"/>
      <c r="O101" s="410"/>
    </row>
    <row r="102" spans="1:15" s="524" customFormat="1" ht="27" x14ac:dyDescent="0.35">
      <c r="A102" s="728" t="s">
        <v>243</v>
      </c>
      <c r="B102" s="729"/>
      <c r="C102" s="729"/>
      <c r="D102" s="742"/>
      <c r="E102" s="648"/>
      <c r="F102" s="765"/>
      <c r="G102" s="649"/>
      <c r="H102" s="650"/>
      <c r="I102" s="651"/>
      <c r="J102" s="678"/>
      <c r="N102" s="410"/>
      <c r="O102" s="410"/>
    </row>
    <row r="103" spans="1:15" s="524" customFormat="1" ht="27.75" x14ac:dyDescent="0.5">
      <c r="A103" s="1404" t="s">
        <v>244</v>
      </c>
      <c r="B103" s="1405"/>
      <c r="C103" s="694"/>
      <c r="D103" s="743"/>
      <c r="E103" s="652"/>
      <c r="F103" s="652"/>
      <c r="G103" s="652"/>
      <c r="H103" s="653"/>
      <c r="I103" s="652"/>
      <c r="J103" s="679"/>
      <c r="N103" s="410"/>
      <c r="O103" s="410"/>
    </row>
    <row r="104" spans="1:15" s="524" customFormat="1" ht="27.75" x14ac:dyDescent="0.5">
      <c r="A104" s="1406" t="s">
        <v>245</v>
      </c>
      <c r="B104" s="1407"/>
      <c r="C104" s="1359"/>
      <c r="D104" s="743" t="s">
        <v>171</v>
      </c>
      <c r="E104" s="652">
        <f>'[1]4'!F104</f>
        <v>7010</v>
      </c>
      <c r="F104" s="826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11.4</v>
      </c>
      <c r="N104" s="410"/>
      <c r="O104" s="410"/>
    </row>
    <row r="105" spans="1:15" s="1283" customFormat="1" ht="27.75" x14ac:dyDescent="0.5">
      <c r="A105" s="1466" t="s">
        <v>92</v>
      </c>
      <c r="B105" s="1467"/>
      <c r="C105" s="1279"/>
      <c r="D105" s="1280" t="s">
        <v>171</v>
      </c>
      <c r="E105" s="652">
        <f>'[1]4'!F105</f>
        <v>34695</v>
      </c>
      <c r="F105" s="837">
        <v>34697</v>
      </c>
      <c r="G105" s="837">
        <f t="shared" ref="G105:G106" si="13">F105-E105</f>
        <v>2</v>
      </c>
      <c r="H105" s="1281">
        <f>SUM(G105+'[1]1'!G77)</f>
        <v>57</v>
      </c>
      <c r="I105" s="837"/>
      <c r="J105" s="1282">
        <f>H105/DAY(B2)</f>
        <v>11.4</v>
      </c>
      <c r="N105" s="857"/>
      <c r="O105" s="857"/>
    </row>
    <row r="106" spans="1:15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'[1]4'!F106</f>
        <v>18756</v>
      </c>
      <c r="F106" s="826">
        <v>18759</v>
      </c>
      <c r="G106" s="652">
        <f t="shared" si="13"/>
        <v>3</v>
      </c>
      <c r="H106" s="653">
        <f>SUM(G106+'[1]1'!G78)</f>
        <v>483</v>
      </c>
      <c r="I106" s="652"/>
      <c r="J106" s="679">
        <f>H106/DAY(B2)</f>
        <v>96.6</v>
      </c>
      <c r="N106" s="410"/>
      <c r="O106" s="410"/>
    </row>
    <row r="107" spans="1:15" s="524" customFormat="1" ht="27.75" x14ac:dyDescent="0.5">
      <c r="A107" s="1409" t="s">
        <v>82</v>
      </c>
      <c r="B107" s="1410"/>
      <c r="C107" s="1359"/>
      <c r="D107" s="743"/>
      <c r="E107" s="652" t="str">
        <f>'[1]4'!F107</f>
        <v>.</v>
      </c>
      <c r="F107" s="652"/>
      <c r="G107" s="652">
        <f>SUM(G104:G106)</f>
        <v>5</v>
      </c>
      <c r="H107" s="653">
        <f>SUM(G107+'[1]1'!G79)</f>
        <v>206</v>
      </c>
      <c r="I107" s="652"/>
      <c r="J107" s="679">
        <f>H107/DAY(B2)</f>
        <v>41.2</v>
      </c>
      <c r="N107" s="410"/>
      <c r="O107" s="410"/>
    </row>
    <row r="108" spans="1:15" s="524" customFormat="1" ht="27.75" x14ac:dyDescent="0.5">
      <c r="A108" s="1411" t="s">
        <v>94</v>
      </c>
      <c r="B108" s="1412"/>
      <c r="C108" s="1359"/>
      <c r="D108" s="743" t="s">
        <v>171</v>
      </c>
      <c r="E108" s="652">
        <f>'[1]4'!F108</f>
        <v>0</v>
      </c>
      <c r="F108" s="652"/>
      <c r="G108" s="652"/>
      <c r="H108" s="653"/>
      <c r="I108" s="652"/>
      <c r="J108" s="679"/>
      <c r="N108" s="410"/>
      <c r="O108" s="410"/>
    </row>
    <row r="109" spans="1:15" s="524" customFormat="1" ht="27.75" x14ac:dyDescent="0.5">
      <c r="A109" s="1406" t="s">
        <v>246</v>
      </c>
      <c r="B109" s="1407"/>
      <c r="C109" s="1359"/>
      <c r="D109" s="743" t="s">
        <v>171</v>
      </c>
      <c r="E109" s="652">
        <f>'[1]4'!F109</f>
        <v>51440</v>
      </c>
      <c r="F109" s="826">
        <v>51543</v>
      </c>
      <c r="G109" s="652">
        <f>F109-E109</f>
        <v>103</v>
      </c>
      <c r="H109" s="653">
        <f>SUM(G109+'[1]1'!G81)</f>
        <v>256.28000000002794</v>
      </c>
      <c r="I109" s="652"/>
      <c r="J109" s="679">
        <f>H109/DAY(B2)</f>
        <v>51.256000000005585</v>
      </c>
      <c r="N109" s="410"/>
    </row>
    <row r="110" spans="1:15" s="524" customFormat="1" ht="27.75" x14ac:dyDescent="0.5">
      <c r="A110" s="1406" t="s">
        <v>247</v>
      </c>
      <c r="B110" s="1407"/>
      <c r="C110" s="1359"/>
      <c r="D110" s="743" t="s">
        <v>171</v>
      </c>
      <c r="E110" s="652">
        <f>'[1]4'!F110</f>
        <v>25538</v>
      </c>
      <c r="F110" s="826">
        <v>25582</v>
      </c>
      <c r="G110" s="652">
        <f t="shared" ref="G110:G111" si="14">F110-E110</f>
        <v>44</v>
      </c>
      <c r="H110" s="653">
        <f>SUM(G110+'[1]1'!G82)</f>
        <v>64.760000000009313</v>
      </c>
      <c r="I110" s="652"/>
      <c r="J110" s="679">
        <f>H110/DAY(B2)</f>
        <v>12.952000000001863</v>
      </c>
      <c r="N110" s="410"/>
    </row>
    <row r="111" spans="1:15" s="524" customFormat="1" ht="27.75" x14ac:dyDescent="0.5">
      <c r="A111" s="1406" t="s">
        <v>248</v>
      </c>
      <c r="B111" s="1407"/>
      <c r="C111" s="1359"/>
      <c r="D111" s="743" t="s">
        <v>171</v>
      </c>
      <c r="E111" s="652">
        <f>'[1]4'!F111</f>
        <v>3398</v>
      </c>
      <c r="F111" s="826">
        <v>3412</v>
      </c>
      <c r="G111" s="652">
        <f t="shared" si="14"/>
        <v>14</v>
      </c>
      <c r="H111" s="653">
        <f>SUM(G111+'[1]1'!G83)</f>
        <v>360</v>
      </c>
      <c r="I111" s="652"/>
      <c r="J111" s="679">
        <f>H111/DAY(B2)</f>
        <v>72</v>
      </c>
      <c r="N111" s="410"/>
    </row>
    <row r="112" spans="1:15" s="524" customFormat="1" ht="27.75" x14ac:dyDescent="0.5">
      <c r="A112" s="1409" t="s">
        <v>136</v>
      </c>
      <c r="B112" s="1410"/>
      <c r="C112" s="1359"/>
      <c r="D112" s="743"/>
      <c r="E112" s="652">
        <f>'[1]4'!F112</f>
        <v>0</v>
      </c>
      <c r="F112" s="652"/>
      <c r="G112" s="652">
        <f>SUM(G109:G111)</f>
        <v>161</v>
      </c>
      <c r="H112" s="653">
        <f>SUM(G112+'[1]1'!G84)</f>
        <v>725</v>
      </c>
      <c r="I112" s="652"/>
      <c r="J112" s="679">
        <f>H112/DAY(B2)</f>
        <v>145</v>
      </c>
      <c r="N112" s="410"/>
    </row>
    <row r="113" spans="1:14" s="524" customFormat="1" ht="27.75" x14ac:dyDescent="0.5">
      <c r="A113" s="1411" t="s">
        <v>249</v>
      </c>
      <c r="B113" s="1412"/>
      <c r="C113" s="1359"/>
      <c r="D113" s="743"/>
      <c r="E113" s="652">
        <f>'[1]4'!F113</f>
        <v>0</v>
      </c>
      <c r="F113" s="652"/>
      <c r="G113" s="652"/>
      <c r="H113" s="653"/>
      <c r="I113" s="652"/>
      <c r="J113" s="679">
        <f>H113/DAY(B2)</f>
        <v>0</v>
      </c>
      <c r="N113" s="410"/>
    </row>
    <row r="114" spans="1:14" s="524" customFormat="1" ht="27.75" x14ac:dyDescent="0.5">
      <c r="A114" s="1406" t="s">
        <v>250</v>
      </c>
      <c r="B114" s="1407"/>
      <c r="C114" s="695"/>
      <c r="D114" s="743" t="s">
        <v>171</v>
      </c>
      <c r="E114" s="652">
        <f>'[1]4'!F114</f>
        <v>8708</v>
      </c>
      <c r="F114" s="824">
        <v>8739</v>
      </c>
      <c r="G114" s="654">
        <f>F114-E114</f>
        <v>31</v>
      </c>
      <c r="H114" s="653">
        <f>SUM(G114+'[1]1'!G91)</f>
        <v>31</v>
      </c>
      <c r="I114" s="652"/>
      <c r="J114" s="679">
        <f>H114/DAY(B2)</f>
        <v>6.2</v>
      </c>
      <c r="N114" s="410"/>
    </row>
    <row r="115" spans="1:14" s="524" customFormat="1" ht="27.75" x14ac:dyDescent="0.5">
      <c r="A115" s="1406" t="s">
        <v>251</v>
      </c>
      <c r="B115" s="1407"/>
      <c r="C115" s="695"/>
      <c r="D115" s="743" t="s">
        <v>171</v>
      </c>
      <c r="E115" s="652">
        <f>'[1]4'!F115</f>
        <v>6855</v>
      </c>
      <c r="F115" s="824">
        <v>6859</v>
      </c>
      <c r="G115" s="654">
        <f t="shared" ref="G115:G116" si="15">F115-E115</f>
        <v>4</v>
      </c>
      <c r="H115" s="653">
        <f>SUM(G115+'[1]1'!G92)</f>
        <v>116</v>
      </c>
      <c r="I115" s="652"/>
      <c r="J115" s="679">
        <f>H115/DAY(B2)</f>
        <v>23.2</v>
      </c>
      <c r="N115" s="410"/>
    </row>
    <row r="116" spans="1:14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654"/>
      <c r="G116" s="654">
        <f t="shared" si="15"/>
        <v>0</v>
      </c>
      <c r="H116" s="653">
        <f>SUM(G116+'[1]1'!G93)</f>
        <v>151</v>
      </c>
      <c r="I116" s="652"/>
      <c r="J116" s="679">
        <f>H116/DAY(B2)</f>
        <v>30.2</v>
      </c>
      <c r="N116" s="410"/>
    </row>
    <row r="117" spans="1:14" s="537" customFormat="1" ht="27.75" x14ac:dyDescent="0.5">
      <c r="A117" s="1409" t="s">
        <v>82</v>
      </c>
      <c r="B117" s="1410"/>
      <c r="C117" s="695"/>
      <c r="D117" s="744"/>
      <c r="E117" s="654"/>
      <c r="F117" s="654"/>
      <c r="G117" s="654">
        <f>SUM(G114:G116)</f>
        <v>35</v>
      </c>
      <c r="H117" s="653">
        <f>SUM(G117+'[1]1'!G95)</f>
        <v>82</v>
      </c>
      <c r="I117" s="654"/>
      <c r="J117" s="679">
        <f>H117/DAY(B2)</f>
        <v>16.399999999999999</v>
      </c>
      <c r="N117" s="410"/>
    </row>
    <row r="118" spans="1:14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656">
        <f>SUM(G19+G92)</f>
        <v>123</v>
      </c>
      <c r="G118" s="656">
        <f>SUM(G19+G92)</f>
        <v>123</v>
      </c>
      <c r="H118" s="653">
        <f>SUM(G118+'[1]1'!G96)</f>
        <v>156</v>
      </c>
      <c r="I118" s="655"/>
      <c r="J118" s="680">
        <f>H118/DAY(B2)</f>
        <v>31.2</v>
      </c>
      <c r="N118" s="410"/>
    </row>
    <row r="119" spans="1:14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656">
        <f>SUM(G95,G96,G97,G99,G100)</f>
        <v>130</v>
      </c>
      <c r="G119" s="656">
        <f>SUM(G95,G96,G97,G99,G100)</f>
        <v>130</v>
      </c>
      <c r="H119" s="653">
        <f>SUM(G119+'[1]1'!G98)</f>
        <v>197</v>
      </c>
      <c r="I119" s="655"/>
      <c r="J119" s="680">
        <f>H119/DAY(B2)</f>
        <v>39.4</v>
      </c>
      <c r="N119" s="410"/>
    </row>
    <row r="120" spans="1:14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654">
        <f>SUM(G112)</f>
        <v>161</v>
      </c>
      <c r="G120" s="654">
        <f>SUM(G112)</f>
        <v>161</v>
      </c>
      <c r="H120" s="653">
        <f>SUM(G120+'[1]1'!G100)</f>
        <v>161</v>
      </c>
      <c r="I120" s="655"/>
      <c r="J120" s="680">
        <f>H120/DAY(B2)</f>
        <v>32.200000000000003</v>
      </c>
      <c r="N120" s="410"/>
    </row>
    <row r="121" spans="1:14" s="524" customFormat="1" ht="27.75" x14ac:dyDescent="0.5">
      <c r="A121" s="1439"/>
      <c r="B121" s="1440"/>
      <c r="C121" s="1363"/>
      <c r="D121" s="681"/>
      <c r="E121" s="681"/>
      <c r="F121" s="681" t="s">
        <v>143</v>
      </c>
      <c r="G121" s="681"/>
      <c r="H121" s="682"/>
      <c r="I121" s="681"/>
      <c r="J121" s="683"/>
      <c r="N121" s="410"/>
    </row>
    <row r="122" spans="1:14" x14ac:dyDescent="0.5">
      <c r="A122" s="1389" t="s">
        <v>256</v>
      </c>
      <c r="B122" s="1390"/>
      <c r="C122" s="1391"/>
      <c r="D122" s="592"/>
      <c r="E122" s="592"/>
      <c r="F122" s="603"/>
      <c r="G122" s="603"/>
      <c r="H122" s="603"/>
      <c r="I122" s="603"/>
      <c r="J122" s="684"/>
      <c r="K122" s="408"/>
      <c r="L122" s="405"/>
      <c r="N122" s="410"/>
    </row>
    <row r="123" spans="1:14" s="914" customFormat="1" ht="27.75" x14ac:dyDescent="0.5">
      <c r="A123" s="915" t="s">
        <v>257</v>
      </c>
      <c r="B123" s="916"/>
      <c r="C123" s="916"/>
      <c r="D123" s="845" t="s">
        <v>168</v>
      </c>
      <c r="E123" s="747">
        <f>'[1]4'!F123</f>
        <v>789657.196</v>
      </c>
      <c r="F123" s="1284">
        <v>789857.56099999999</v>
      </c>
      <c r="G123" s="912">
        <f t="shared" ref="G123:G127" si="16">F123-E123</f>
        <v>200.36499999999069</v>
      </c>
      <c r="H123" s="599">
        <f>G123+'[1]4'!H123</f>
        <v>1026.4910000000382</v>
      </c>
      <c r="I123" s="1285"/>
      <c r="J123" s="913">
        <f>H123/DAY(B2)</f>
        <v>205.29820000000763</v>
      </c>
      <c r="K123" s="1286"/>
      <c r="L123" s="1287"/>
      <c r="N123" s="857"/>
    </row>
    <row r="124" spans="1:14" ht="27.75" x14ac:dyDescent="0.5">
      <c r="A124" s="1354" t="s">
        <v>258</v>
      </c>
      <c r="B124" s="1355"/>
      <c r="C124" s="1355"/>
      <c r="D124" s="643" t="s">
        <v>168</v>
      </c>
      <c r="E124" s="747">
        <f>'[1]4'!F124</f>
        <v>73582</v>
      </c>
      <c r="F124" s="766">
        <v>73582</v>
      </c>
      <c r="G124" s="593">
        <f t="shared" si="16"/>
        <v>0</v>
      </c>
      <c r="H124" s="580">
        <f>G124+'[1]4'!H124</f>
        <v>-0.19999999999708962</v>
      </c>
      <c r="I124" s="646"/>
      <c r="J124" s="673">
        <f>H124/DAY(B2)</f>
        <v>-3.9999999999417925E-2</v>
      </c>
      <c r="K124" s="408"/>
      <c r="L124" s="405"/>
      <c r="N124" s="410"/>
    </row>
    <row r="125" spans="1:14" ht="27.75" x14ac:dyDescent="0.5">
      <c r="A125" s="1395" t="s">
        <v>259</v>
      </c>
      <c r="B125" s="1396"/>
      <c r="C125" s="1397"/>
      <c r="D125" s="643" t="s">
        <v>168</v>
      </c>
      <c r="E125" s="747">
        <f>'[1]4'!F125</f>
        <v>133414.97</v>
      </c>
      <c r="F125" s="822">
        <v>133508.26999999999</v>
      </c>
      <c r="G125" s="593">
        <f t="shared" si="16"/>
        <v>93.299999999988358</v>
      </c>
      <c r="H125" s="580">
        <f>G125+'[1]4'!H125</f>
        <v>385.38999999998487</v>
      </c>
      <c r="I125" s="646"/>
      <c r="J125" s="673">
        <f>H125/DAY(B2)</f>
        <v>77.077999999996976</v>
      </c>
      <c r="K125" s="408"/>
      <c r="L125" s="405"/>
      <c r="N125" s="410"/>
    </row>
    <row r="126" spans="1:14" ht="27.75" x14ac:dyDescent="0.5">
      <c r="A126" s="730" t="s">
        <v>260</v>
      </c>
      <c r="B126" s="1355"/>
      <c r="C126" s="1355"/>
      <c r="D126" s="643" t="s">
        <v>168</v>
      </c>
      <c r="E126" s="747">
        <f>'[1]4'!F126</f>
        <v>56449</v>
      </c>
      <c r="F126" s="758">
        <v>56481.7</v>
      </c>
      <c r="G126" s="593">
        <f t="shared" si="16"/>
        <v>32.69999999999709</v>
      </c>
      <c r="H126" s="580">
        <f>G126+'[1]4'!H126</f>
        <v>133.5</v>
      </c>
      <c r="I126" s="646"/>
      <c r="J126" s="673">
        <f>H126/DAY(B2)</f>
        <v>26.7</v>
      </c>
      <c r="K126" s="408"/>
      <c r="L126" s="405"/>
      <c r="N126" s="410"/>
    </row>
    <row r="127" spans="1:14" ht="27.75" x14ac:dyDescent="0.5">
      <c r="A127" s="730" t="s">
        <v>261</v>
      </c>
      <c r="B127" s="1355"/>
      <c r="C127" s="1355"/>
      <c r="D127" s="643" t="s">
        <v>168</v>
      </c>
      <c r="E127" s="747">
        <f>'[1]4'!F127</f>
        <v>8640.1</v>
      </c>
      <c r="F127" s="766">
        <v>8640.1</v>
      </c>
      <c r="G127" s="593">
        <f t="shared" si="16"/>
        <v>0</v>
      </c>
      <c r="H127" s="580">
        <f>G127+'[1]4'!H127</f>
        <v>0</v>
      </c>
      <c r="I127" s="600"/>
      <c r="J127" s="673">
        <f>H127/DAY(B2)</f>
        <v>0</v>
      </c>
      <c r="K127" s="408"/>
      <c r="L127" s="405"/>
      <c r="N127" s="410"/>
    </row>
    <row r="128" spans="1:14" s="278" customFormat="1" ht="27.75" x14ac:dyDescent="0.5">
      <c r="A128" s="730" t="s">
        <v>262</v>
      </c>
      <c r="B128" s="1355"/>
      <c r="C128" s="1355"/>
      <c r="D128" s="643"/>
      <c r="E128" s="598"/>
      <c r="F128" s="756"/>
      <c r="G128" s="593">
        <f>G15-SUM(G123:G127)</f>
        <v>314.09100000002945</v>
      </c>
      <c r="H128" s="580">
        <f>G128+'[1]4'!H128</f>
        <v>1421.5210000000225</v>
      </c>
      <c r="I128" s="600"/>
      <c r="J128" s="673">
        <f>H128/DAY(B2)</f>
        <v>284.30420000000447</v>
      </c>
      <c r="K128" s="388"/>
      <c r="L128" s="290"/>
      <c r="N128" s="410"/>
    </row>
    <row r="129" spans="1:14" x14ac:dyDescent="0.4">
      <c r="A129" s="731" t="s">
        <v>263</v>
      </c>
      <c r="B129" s="578"/>
      <c r="C129" s="578"/>
      <c r="D129" s="591"/>
      <c r="E129" s="591"/>
      <c r="F129" s="614"/>
      <c r="G129" s="661"/>
      <c r="H129" s="661"/>
      <c r="I129" s="661"/>
      <c r="J129" s="685"/>
      <c r="N129" s="410"/>
    </row>
    <row r="130" spans="1:14" ht="27.75" x14ac:dyDescent="0.5">
      <c r="A130" s="1354" t="s">
        <v>264</v>
      </c>
      <c r="B130" s="1355"/>
      <c r="C130" s="1355"/>
      <c r="D130" s="643" t="s">
        <v>265</v>
      </c>
      <c r="E130" s="604">
        <f>'[1]4'!F130</f>
        <v>0</v>
      </c>
      <c r="F130" s="756">
        <v>0</v>
      </c>
      <c r="G130" s="593">
        <f t="shared" ref="G130:G140" si="17">F130-E130</f>
        <v>0</v>
      </c>
      <c r="H130" s="580">
        <f>G130+'[1]4'!H130</f>
        <v>0</v>
      </c>
      <c r="I130" s="600"/>
      <c r="J130" s="673">
        <f>H130/DAY(B2)</f>
        <v>0</v>
      </c>
      <c r="N130" s="410"/>
    </row>
    <row r="131" spans="1:14" ht="27.75" x14ac:dyDescent="0.5">
      <c r="A131" s="1354" t="s">
        <v>266</v>
      </c>
      <c r="B131" s="1355"/>
      <c r="C131" s="1355"/>
      <c r="D131" s="643" t="s">
        <v>265</v>
      </c>
      <c r="E131" s="604">
        <f>'[1]4'!F131</f>
        <v>0</v>
      </c>
      <c r="F131" s="756">
        <v>0</v>
      </c>
      <c r="G131" s="593">
        <f t="shared" si="17"/>
        <v>0</v>
      </c>
      <c r="H131" s="580">
        <f>G131+'[1]4'!H131</f>
        <v>0</v>
      </c>
      <c r="I131" s="600"/>
      <c r="J131" s="673">
        <f>H131/DAY(B2)</f>
        <v>0</v>
      </c>
      <c r="N131" s="410"/>
    </row>
    <row r="132" spans="1:14" ht="27.75" x14ac:dyDescent="0.5">
      <c r="A132" s="1354" t="s">
        <v>267</v>
      </c>
      <c r="B132" s="1355"/>
      <c r="C132" s="1355"/>
      <c r="D132" s="643" t="s">
        <v>265</v>
      </c>
      <c r="E132" s="662">
        <f>'[1]4'!F132</f>
        <v>38877</v>
      </c>
      <c r="F132" s="757">
        <v>38877</v>
      </c>
      <c r="G132" s="593">
        <f t="shared" si="17"/>
        <v>0</v>
      </c>
      <c r="H132" s="580">
        <f>G132+'[1]4'!H132</f>
        <v>0</v>
      </c>
      <c r="I132" s="600"/>
      <c r="J132" s="673">
        <f>H132/DAY(B2)</f>
        <v>0</v>
      </c>
      <c r="N132" s="410"/>
    </row>
    <row r="133" spans="1:14" ht="27.75" x14ac:dyDescent="0.5">
      <c r="A133" s="1354" t="s">
        <v>268</v>
      </c>
      <c r="B133" s="1355"/>
      <c r="C133" s="1355"/>
      <c r="D133" s="643" t="s">
        <v>265</v>
      </c>
      <c r="E133" s="662">
        <f>'[1]4'!F133</f>
        <v>20.3</v>
      </c>
      <c r="F133" s="757">
        <v>44</v>
      </c>
      <c r="G133" s="593">
        <f t="shared" si="17"/>
        <v>23.7</v>
      </c>
      <c r="H133" s="580">
        <f>G133+'[1]4'!H133</f>
        <v>44</v>
      </c>
      <c r="I133" s="600">
        <f>G132+G133+G134+G135</f>
        <v>23.7</v>
      </c>
      <c r="J133" s="673">
        <f>H133/DAY(B2)</f>
        <v>8.8000000000000007</v>
      </c>
      <c r="N133" s="410"/>
    </row>
    <row r="134" spans="1:14" ht="27.75" x14ac:dyDescent="0.5">
      <c r="A134" s="1354" t="s">
        <v>269</v>
      </c>
      <c r="B134" s="1355"/>
      <c r="C134" s="1355"/>
      <c r="D134" s="643" t="s">
        <v>265</v>
      </c>
      <c r="E134" s="662">
        <f>'[1]4'!F134</f>
        <v>39735</v>
      </c>
      <c r="F134" s="757">
        <v>39735</v>
      </c>
      <c r="G134" s="593">
        <f t="shared" si="17"/>
        <v>0</v>
      </c>
      <c r="H134" s="580">
        <f>G134+'[1]4'!H134</f>
        <v>0</v>
      </c>
      <c r="I134" s="600"/>
      <c r="J134" s="673">
        <f>H134/DAY(B2)</f>
        <v>0</v>
      </c>
      <c r="N134" s="410"/>
    </row>
    <row r="135" spans="1:14" ht="27.75" x14ac:dyDescent="0.5">
      <c r="A135" s="1354" t="s">
        <v>270</v>
      </c>
      <c r="B135" s="1355"/>
      <c r="C135" s="1355"/>
      <c r="D135" s="643" t="s">
        <v>265</v>
      </c>
      <c r="E135" s="662">
        <f>'[1]4'!F135</f>
        <v>31792</v>
      </c>
      <c r="F135" s="757">
        <v>31792</v>
      </c>
      <c r="G135" s="593">
        <f t="shared" si="17"/>
        <v>0</v>
      </c>
      <c r="H135" s="580">
        <f>G135+'[1]4'!H135</f>
        <v>75.569999999999709</v>
      </c>
      <c r="I135" s="600"/>
      <c r="J135" s="673">
        <f>H135/DAY(B2)</f>
        <v>15.113999999999942</v>
      </c>
      <c r="N135" s="410"/>
    </row>
    <row r="136" spans="1:14" ht="27.75" x14ac:dyDescent="0.5">
      <c r="A136" s="1354" t="s">
        <v>271</v>
      </c>
      <c r="B136" s="1355"/>
      <c r="C136" s="1355"/>
      <c r="D136" s="643" t="s">
        <v>265</v>
      </c>
      <c r="E136" s="662">
        <f>'[1]4'!F136</f>
        <v>21686.3</v>
      </c>
      <c r="F136" s="757">
        <v>21689.57</v>
      </c>
      <c r="G136" s="593">
        <f t="shared" si="17"/>
        <v>3.2700000000004366</v>
      </c>
      <c r="H136" s="580">
        <f>G136+'[1]4'!H136</f>
        <v>14.849999999998545</v>
      </c>
      <c r="I136" s="600">
        <f>G136+G137+G138</f>
        <v>7.4000000000050932</v>
      </c>
      <c r="J136" s="673">
        <f>H136/DAY(B2)</f>
        <v>2.9699999999997089</v>
      </c>
      <c r="N136" s="410"/>
    </row>
    <row r="137" spans="1:14" ht="27.75" x14ac:dyDescent="0.5">
      <c r="A137" s="1354" t="s">
        <v>272</v>
      </c>
      <c r="B137" s="1355"/>
      <c r="C137" s="1355"/>
      <c r="D137" s="643" t="s">
        <v>265</v>
      </c>
      <c r="E137" s="662">
        <f>'[1]4'!F137</f>
        <v>24932.51</v>
      </c>
      <c r="F137" s="757">
        <v>24932.51</v>
      </c>
      <c r="G137" s="593">
        <f t="shared" si="17"/>
        <v>0</v>
      </c>
      <c r="H137" s="580">
        <f>G137+'[1]4'!H137</f>
        <v>0</v>
      </c>
      <c r="I137" s="600"/>
      <c r="J137" s="673">
        <f>H137/DAY(B2)</f>
        <v>0</v>
      </c>
      <c r="N137" s="410"/>
    </row>
    <row r="138" spans="1:14" ht="27.75" x14ac:dyDescent="0.5">
      <c r="A138" s="1354" t="s">
        <v>273</v>
      </c>
      <c r="B138" s="1355"/>
      <c r="C138" s="1355"/>
      <c r="D138" s="643" t="s">
        <v>265</v>
      </c>
      <c r="E138" s="662">
        <f>'[1]4'!F138</f>
        <v>69972.34</v>
      </c>
      <c r="F138" s="757">
        <v>69976.47</v>
      </c>
      <c r="G138" s="593">
        <f t="shared" si="17"/>
        <v>4.1300000000046566</v>
      </c>
      <c r="H138" s="580">
        <f>G138+'[1]4'!H138</f>
        <v>21.259999999994761</v>
      </c>
      <c r="I138" s="600"/>
      <c r="J138" s="673">
        <f>H138/DAY(B2)</f>
        <v>4.2519999999989526</v>
      </c>
      <c r="N138" s="410"/>
    </row>
    <row r="139" spans="1:14" ht="27.75" x14ac:dyDescent="0.5">
      <c r="A139" s="1354" t="s">
        <v>274</v>
      </c>
      <c r="B139" s="1355"/>
      <c r="C139" s="1355"/>
      <c r="D139" s="643" t="s">
        <v>265</v>
      </c>
      <c r="E139" s="662">
        <f>'[1]4'!F139</f>
        <v>964.58</v>
      </c>
      <c r="F139" s="758">
        <v>970.25</v>
      </c>
      <c r="G139" s="593">
        <f t="shared" si="17"/>
        <v>5.6699999999999591</v>
      </c>
      <c r="H139" s="580">
        <f>G139+'[1]4'!H139</f>
        <v>28.720000000000027</v>
      </c>
      <c r="I139" s="663">
        <f>G139+G140</f>
        <v>5.6699999999999591</v>
      </c>
      <c r="J139" s="673">
        <f>H139/DAY(B2)</f>
        <v>5.7440000000000051</v>
      </c>
      <c r="N139" s="410"/>
    </row>
    <row r="140" spans="1:14" ht="27.75" x14ac:dyDescent="0.5">
      <c r="A140" s="1354" t="s">
        <v>275</v>
      </c>
      <c r="B140" s="1355"/>
      <c r="C140" s="1355"/>
      <c r="D140" s="643" t="s">
        <v>265</v>
      </c>
      <c r="E140" s="662">
        <f>'[1]4'!F140</f>
        <v>4156.9799999999996</v>
      </c>
      <c r="F140" s="766">
        <v>4156.9799999999996</v>
      </c>
      <c r="G140" s="593">
        <f t="shared" si="17"/>
        <v>0</v>
      </c>
      <c r="H140" s="580">
        <f>G140+'[1]4'!H140</f>
        <v>7.999999999992724E-2</v>
      </c>
      <c r="I140" s="663"/>
      <c r="J140" s="673">
        <f>H140/DAY(B2)</f>
        <v>1.5999999999985449E-2</v>
      </c>
      <c r="N140" s="410"/>
    </row>
    <row r="141" spans="1:14" x14ac:dyDescent="0.5">
      <c r="A141" s="1433" t="s">
        <v>276</v>
      </c>
      <c r="B141" s="1434"/>
      <c r="C141" s="1358"/>
      <c r="D141" s="592"/>
      <c r="E141" s="592"/>
      <c r="F141" s="603"/>
      <c r="G141" s="603"/>
      <c r="H141" s="603"/>
      <c r="I141" s="603"/>
      <c r="J141" s="684"/>
      <c r="K141" s="408"/>
      <c r="L141" s="405"/>
      <c r="N141" s="410"/>
    </row>
    <row r="142" spans="1:14" ht="27.75" x14ac:dyDescent="0.5">
      <c r="A142" s="1398" t="s">
        <v>277</v>
      </c>
      <c r="B142" s="1399"/>
      <c r="C142" s="1400"/>
      <c r="D142" s="643" t="s">
        <v>159</v>
      </c>
      <c r="E142" s="643"/>
      <c r="F142" s="759"/>
      <c r="G142" s="580">
        <f>G35+G43+G49+G57</f>
        <v>4988.3100000000413</v>
      </c>
      <c r="H142" s="580">
        <f>G142+'[1]4'!H142</f>
        <v>24659.002999999931</v>
      </c>
      <c r="I142" s="600"/>
      <c r="J142" s="673">
        <f>H142/DAY(B2)</f>
        <v>4931.8005999999859</v>
      </c>
      <c r="K142" s="408"/>
      <c r="L142" s="405"/>
      <c r="N142" s="410"/>
    </row>
    <row r="143" spans="1:14" ht="27.75" x14ac:dyDescent="0.5">
      <c r="A143" s="1398" t="s">
        <v>278</v>
      </c>
      <c r="B143" s="1399"/>
      <c r="C143" s="1400"/>
      <c r="D143" s="643" t="s">
        <v>38</v>
      </c>
      <c r="E143" s="631"/>
      <c r="F143" s="761"/>
      <c r="G143" s="664">
        <f>G142/G7</f>
        <v>0.26064949315498176</v>
      </c>
      <c r="H143" s="580">
        <f>G143+'[1]4'!H143</f>
        <v>1.1204475705616326</v>
      </c>
      <c r="I143" s="665"/>
      <c r="J143" s="673">
        <f>H143/DAY(B2)</f>
        <v>0.22408951411232653</v>
      </c>
      <c r="K143" s="408"/>
      <c r="L143" s="405"/>
      <c r="N143" s="410"/>
    </row>
    <row r="144" spans="1:14" ht="27.75" x14ac:dyDescent="0.5">
      <c r="A144" s="1398" t="s">
        <v>279</v>
      </c>
      <c r="B144" s="1399"/>
      <c r="C144" s="1400"/>
      <c r="D144" s="643" t="s">
        <v>159</v>
      </c>
      <c r="E144" s="575"/>
      <c r="F144" s="754"/>
      <c r="G144" s="580">
        <f>G41+G42+G55+G56</f>
        <v>4126.8700000000008</v>
      </c>
      <c r="H144" s="580">
        <f>G144+'[1]4'!H144</f>
        <v>21981.529999999984</v>
      </c>
      <c r="I144" s="600"/>
      <c r="J144" s="673">
        <f>H144/DAY(B2)</f>
        <v>4396.3059999999969</v>
      </c>
      <c r="K144" s="408"/>
      <c r="L144" s="405"/>
      <c r="N144" s="410"/>
    </row>
    <row r="145" spans="1:14" ht="27.75" x14ac:dyDescent="0.5">
      <c r="A145" s="1398" t="s">
        <v>280</v>
      </c>
      <c r="B145" s="1399"/>
      <c r="C145" s="1400"/>
      <c r="D145" s="643" t="s">
        <v>38</v>
      </c>
      <c r="E145" s="575"/>
      <c r="F145" s="754"/>
      <c r="G145" s="664">
        <f>G144/G7</f>
        <v>0.21563747518026966</v>
      </c>
      <c r="H145" s="580">
        <f>G145+'[1]4'!H145</f>
        <v>1.1432675748531775</v>
      </c>
      <c r="I145" s="665"/>
      <c r="J145" s="673">
        <f>H145/DAY(B2)</f>
        <v>0.22865351497063552</v>
      </c>
      <c r="K145" s="408"/>
      <c r="L145" s="405"/>
      <c r="N145" s="410"/>
    </row>
    <row r="146" spans="1:14" ht="27.75" x14ac:dyDescent="0.5">
      <c r="A146" s="1398" t="s">
        <v>281</v>
      </c>
      <c r="B146" s="1399"/>
      <c r="C146" s="1400"/>
      <c r="D146" s="643" t="s">
        <v>159</v>
      </c>
      <c r="E146" s="575"/>
      <c r="F146" s="754"/>
      <c r="G146" s="580">
        <f>G39+G53</f>
        <v>4092.5250000000087</v>
      </c>
      <c r="H146" s="580">
        <f>G146+'[1]4'!H146</f>
        <v>20715.188000000009</v>
      </c>
      <c r="I146" s="666"/>
      <c r="J146" s="673">
        <f>H146/DAY(B2)</f>
        <v>4143.0376000000015</v>
      </c>
      <c r="K146" s="408"/>
      <c r="L146" s="405"/>
      <c r="N146" s="410"/>
    </row>
    <row r="147" spans="1:14" ht="27.75" x14ac:dyDescent="0.5">
      <c r="A147" s="1398" t="s">
        <v>282</v>
      </c>
      <c r="B147" s="1399"/>
      <c r="C147" s="1400"/>
      <c r="D147" s="643" t="s">
        <v>38</v>
      </c>
      <c r="E147" s="575"/>
      <c r="F147" s="754"/>
      <c r="G147" s="664">
        <f>G146/G7</f>
        <v>0.21384287804368318</v>
      </c>
      <c r="H147" s="580">
        <f>G147+'[1]4'!H147</f>
        <v>1.0775417629860882</v>
      </c>
      <c r="I147" s="666"/>
      <c r="J147" s="673">
        <f>H147/DAY(B2)</f>
        <v>0.21550835259721762</v>
      </c>
      <c r="N147" s="410"/>
    </row>
    <row r="148" spans="1:14" ht="27.75" x14ac:dyDescent="0.5">
      <c r="A148" s="1398" t="s">
        <v>283</v>
      </c>
      <c r="B148" s="1399"/>
      <c r="C148" s="1400"/>
      <c r="D148" s="643" t="s">
        <v>210</v>
      </c>
      <c r="E148" s="575"/>
      <c r="F148" s="754"/>
      <c r="G148" s="580">
        <f>G38+G52</f>
        <v>1825.7600000000093</v>
      </c>
      <c r="H148" s="580">
        <f>G148+'[1]4'!H148</f>
        <v>9054.7200000000303</v>
      </c>
      <c r="I148" s="600"/>
      <c r="J148" s="673">
        <f>H148/DAY(B2)</f>
        <v>1810.9440000000061</v>
      </c>
      <c r="K148" s="409"/>
      <c r="N148" s="410"/>
    </row>
    <row r="149" spans="1:14" ht="27.75" x14ac:dyDescent="0.5">
      <c r="A149" s="1398" t="s">
        <v>284</v>
      </c>
      <c r="B149" s="1399"/>
      <c r="C149" s="1400"/>
      <c r="D149" s="643" t="s">
        <v>38</v>
      </c>
      <c r="E149" s="575"/>
      <c r="F149" s="754"/>
      <c r="G149" s="664">
        <f>G148/G7</f>
        <v>9.5399728289267918E-2</v>
      </c>
      <c r="H149" s="580">
        <f>G149+'[1]4'!H149</f>
        <v>0.47099814449995936</v>
      </c>
      <c r="I149" s="666"/>
      <c r="J149" s="673">
        <f>H149/DAY(B2)</f>
        <v>9.4199628899991866E-2</v>
      </c>
      <c r="N149" s="410"/>
    </row>
    <row r="150" spans="1:14" ht="27.75" x14ac:dyDescent="0.5">
      <c r="A150" s="1398" t="s">
        <v>285</v>
      </c>
      <c r="B150" s="1399"/>
      <c r="C150" s="1400"/>
      <c r="D150" s="643" t="s">
        <v>210</v>
      </c>
      <c r="E150" s="575"/>
      <c r="F150" s="754"/>
      <c r="G150" s="580">
        <f>G36+G50</f>
        <v>2097.9800000000105</v>
      </c>
      <c r="H150" s="580">
        <f>G150+'[1]4'!H150</f>
        <v>10230.579999999987</v>
      </c>
      <c r="I150" s="666"/>
      <c r="J150" s="673">
        <f>H150/DAY(B2)</f>
        <v>2046.1159999999975</v>
      </c>
      <c r="N150" s="410"/>
    </row>
    <row r="151" spans="1:14" ht="27.75" x14ac:dyDescent="0.5">
      <c r="A151" s="1398" t="s">
        <v>286</v>
      </c>
      <c r="B151" s="1399"/>
      <c r="C151" s="1400"/>
      <c r="D151" s="643" t="s">
        <v>38</v>
      </c>
      <c r="E151" s="575"/>
      <c r="F151" s="754"/>
      <c r="G151" s="664">
        <f>G150/G7</f>
        <v>0.10962378513951355</v>
      </c>
      <c r="H151" s="580">
        <f>G151+'[1]4'!H151</f>
        <v>0.53209511025127088</v>
      </c>
      <c r="I151" s="600"/>
      <c r="J151" s="673">
        <f>H151/DAY(B2)</f>
        <v>0.10641902205025418</v>
      </c>
      <c r="N151" s="410"/>
    </row>
    <row r="152" spans="1:14" ht="27.75" x14ac:dyDescent="0.5">
      <c r="A152" s="1398" t="s">
        <v>287</v>
      </c>
      <c r="B152" s="1399"/>
      <c r="C152" s="1400"/>
      <c r="D152" s="643" t="s">
        <v>210</v>
      </c>
      <c r="E152" s="575"/>
      <c r="F152" s="754"/>
      <c r="G152" s="580">
        <f>G37+G51</f>
        <v>1393.510000000002</v>
      </c>
      <c r="H152" s="580">
        <f>G152+'[1]4'!H152</f>
        <v>7014.4130000000005</v>
      </c>
      <c r="I152" s="600"/>
      <c r="J152" s="673">
        <f>H152/DAY(B2)</f>
        <v>1402.8826000000001</v>
      </c>
      <c r="N152" s="410"/>
    </row>
    <row r="153" spans="1:14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767"/>
      <c r="G153" s="687">
        <f>G152/G7</f>
        <v>7.2813773644059041E-2</v>
      </c>
      <c r="H153" s="580">
        <f>G153+'[1]4'!H153</f>
        <v>0.36490718679525153</v>
      </c>
      <c r="I153" s="689"/>
      <c r="J153" s="690">
        <f>H153/DAY(B2)</f>
        <v>7.29814373590503E-2</v>
      </c>
      <c r="N153" s="410"/>
    </row>
    <row r="154" spans="1:14" x14ac:dyDescent="0.5">
      <c r="A154" s="586"/>
      <c r="B154" s="576"/>
      <c r="C154" s="576"/>
      <c r="D154" s="667"/>
      <c r="E154" s="667"/>
      <c r="F154" s="667"/>
      <c r="G154" s="667"/>
      <c r="H154" s="668"/>
      <c r="I154" s="667"/>
      <c r="J154" s="669"/>
      <c r="N154" s="410"/>
    </row>
    <row r="157" spans="1:14" ht="27.75" x14ac:dyDescent="0.5">
      <c r="A157" s="1457" t="s">
        <v>294</v>
      </c>
      <c r="B157" s="1458"/>
      <c r="C157" s="1458"/>
      <c r="D157" s="1458"/>
      <c r="E157" s="1458"/>
      <c r="F157" s="1458"/>
      <c r="G157" s="1459"/>
    </row>
    <row r="158" spans="1:14" x14ac:dyDescent="0.5">
      <c r="A158" s="925"/>
      <c r="B158" s="926"/>
      <c r="C158" s="926"/>
      <c r="D158" s="631"/>
      <c r="E158" s="575"/>
      <c r="F158" s="775"/>
      <c r="G158" s="593"/>
    </row>
    <row r="159" spans="1:14" x14ac:dyDescent="0.5">
      <c r="A159" s="925"/>
      <c r="B159" s="926"/>
      <c r="C159" s="926"/>
      <c r="D159" s="631"/>
      <c r="E159" s="575"/>
      <c r="F159" s="775"/>
      <c r="G159" s="593"/>
    </row>
    <row r="160" spans="1:14" x14ac:dyDescent="0.5">
      <c r="A160" s="925" t="s">
        <v>289</v>
      </c>
      <c r="B160" s="926"/>
      <c r="C160" s="926"/>
      <c r="D160" s="631" t="s">
        <v>214</v>
      </c>
      <c r="E160" s="775">
        <f>'[1]4'!F160</f>
        <v>24131.62</v>
      </c>
      <c r="F160" s="775">
        <v>24201.47</v>
      </c>
      <c r="G160" s="593">
        <f t="shared" ref="G160:G171" si="18">F160-E160</f>
        <v>69.850000000002183</v>
      </c>
      <c r="H160" s="659">
        <v>72.86699999999837</v>
      </c>
      <c r="I160" s="660">
        <f>G160-H160</f>
        <v>-3.0169999999961874</v>
      </c>
    </row>
    <row r="161" spans="1:9" x14ac:dyDescent="0.5">
      <c r="A161" s="925" t="s">
        <v>290</v>
      </c>
      <c r="B161" s="926"/>
      <c r="C161" s="926"/>
      <c r="D161" s="631" t="s">
        <v>214</v>
      </c>
      <c r="E161" s="775">
        <f>'[1]4'!F161</f>
        <v>13030.21</v>
      </c>
      <c r="F161" s="775">
        <v>13708.94</v>
      </c>
      <c r="G161" s="593">
        <f t="shared" si="18"/>
        <v>678.73000000000138</v>
      </c>
      <c r="H161" s="659">
        <v>115.86999999999898</v>
      </c>
      <c r="I161" s="660">
        <f t="shared" ref="I161:I171" si="19">G161-H161</f>
        <v>562.8600000000024</v>
      </c>
    </row>
    <row r="162" spans="1:9" x14ac:dyDescent="0.5">
      <c r="A162" s="925" t="s">
        <v>291</v>
      </c>
      <c r="B162" s="926"/>
      <c r="C162" s="926"/>
      <c r="D162" s="631" t="s">
        <v>214</v>
      </c>
      <c r="E162" s="775">
        <f>'[1]4'!F162</f>
        <v>38288.870000000003</v>
      </c>
      <c r="F162" s="775">
        <v>38618.93</v>
      </c>
      <c r="G162" s="593">
        <f t="shared" si="18"/>
        <v>330.05999999999767</v>
      </c>
      <c r="H162" s="659">
        <v>184.81999999999971</v>
      </c>
      <c r="I162" s="660">
        <f t="shared" si="19"/>
        <v>145.23999999999796</v>
      </c>
    </row>
    <row r="163" spans="1:9" x14ac:dyDescent="0.5">
      <c r="A163" s="925" t="s">
        <v>292</v>
      </c>
      <c r="B163" s="926"/>
      <c r="C163" s="926"/>
      <c r="D163" s="631" t="s">
        <v>214</v>
      </c>
      <c r="E163" s="775">
        <f>'[1]4'!F163</f>
        <v>3615.86</v>
      </c>
      <c r="F163" s="775">
        <v>3650.63</v>
      </c>
      <c r="G163" s="593">
        <f t="shared" si="18"/>
        <v>34.769999999999982</v>
      </c>
      <c r="H163" s="659">
        <v>17.309999999999945</v>
      </c>
      <c r="I163" s="660">
        <f t="shared" si="19"/>
        <v>17.460000000000036</v>
      </c>
    </row>
    <row r="164" spans="1:9" x14ac:dyDescent="0.4">
      <c r="A164" s="927" t="s">
        <v>121</v>
      </c>
      <c r="B164" s="725"/>
      <c r="C164" s="725"/>
      <c r="D164" s="631" t="s">
        <v>214</v>
      </c>
      <c r="E164" s="775">
        <f>'[1]4'!F164</f>
        <v>20419</v>
      </c>
      <c r="F164" s="634">
        <f>F62</f>
        <v>20419</v>
      </c>
      <c r="G164" s="593">
        <f t="shared" si="18"/>
        <v>0</v>
      </c>
      <c r="H164" s="659">
        <v>0</v>
      </c>
      <c r="I164" s="660">
        <f t="shared" si="19"/>
        <v>0</v>
      </c>
    </row>
    <row r="165" spans="1:9" x14ac:dyDescent="0.4">
      <c r="A165" s="927" t="s">
        <v>215</v>
      </c>
      <c r="B165" s="725"/>
      <c r="C165" s="725"/>
      <c r="D165" s="631" t="s">
        <v>214</v>
      </c>
      <c r="E165" s="775">
        <f>'[1]4'!F165</f>
        <v>921.26</v>
      </c>
      <c r="F165" s="634">
        <f t="shared" ref="F165" si="20">F63</f>
        <v>936.41</v>
      </c>
      <c r="G165" s="593">
        <f t="shared" si="18"/>
        <v>15.149999999999977</v>
      </c>
      <c r="H165" s="659">
        <v>-0.47999999999956344</v>
      </c>
      <c r="I165" s="660">
        <f t="shared" si="19"/>
        <v>15.629999999999541</v>
      </c>
    </row>
    <row r="166" spans="1:9" ht="27.75" x14ac:dyDescent="0.5">
      <c r="A166" s="1320" t="s">
        <v>122</v>
      </c>
      <c r="B166" s="1320"/>
      <c r="C166" s="1320"/>
      <c r="D166" s="643" t="s">
        <v>214</v>
      </c>
      <c r="E166" s="775">
        <f>'[1]4'!F166</f>
        <v>88211.1</v>
      </c>
      <c r="F166" s="634">
        <f>F64</f>
        <v>88557.11</v>
      </c>
      <c r="G166" s="593">
        <f t="shared" si="18"/>
        <v>346.00999999999476</v>
      </c>
      <c r="H166" s="659">
        <v>271.15200000000186</v>
      </c>
      <c r="I166" s="660">
        <f t="shared" si="19"/>
        <v>74.857999999992899</v>
      </c>
    </row>
    <row r="167" spans="1:9" ht="27.75" x14ac:dyDescent="0.5">
      <c r="A167" s="1320" t="s">
        <v>123</v>
      </c>
      <c r="B167" s="1320"/>
      <c r="C167" s="1320"/>
      <c r="D167" s="643" t="s">
        <v>214</v>
      </c>
      <c r="E167" s="775">
        <f>'[1]4'!F167</f>
        <v>98242.43</v>
      </c>
      <c r="F167" s="634">
        <f t="shared" ref="F167:F171" si="21">F65</f>
        <v>98627.43</v>
      </c>
      <c r="G167" s="593">
        <f t="shared" si="18"/>
        <v>385</v>
      </c>
      <c r="H167" s="659">
        <v>372.92000000001281</v>
      </c>
      <c r="I167" s="660">
        <f t="shared" si="19"/>
        <v>12.079999999987194</v>
      </c>
    </row>
    <row r="168" spans="1:9" ht="27.75" x14ac:dyDescent="0.5">
      <c r="A168" s="1320" t="s">
        <v>124</v>
      </c>
      <c r="B168" s="1320"/>
      <c r="C168" s="1320"/>
      <c r="D168" s="643" t="s">
        <v>214</v>
      </c>
      <c r="E168" s="775">
        <f>'[1]4'!F168</f>
        <v>91572.08</v>
      </c>
      <c r="F168" s="634">
        <f t="shared" si="21"/>
        <v>91945.93</v>
      </c>
      <c r="G168" s="593">
        <f t="shared" si="18"/>
        <v>373.84999999999127</v>
      </c>
      <c r="H168" s="659">
        <v>384.8520000000135</v>
      </c>
      <c r="I168" s="660">
        <f>G168-H168</f>
        <v>-11.002000000022235</v>
      </c>
    </row>
    <row r="169" spans="1:9" ht="27.75" x14ac:dyDescent="0.5">
      <c r="A169" s="1320" t="s">
        <v>125</v>
      </c>
      <c r="B169" s="1320"/>
      <c r="C169" s="1320"/>
      <c r="D169" s="643" t="s">
        <v>214</v>
      </c>
      <c r="E169" s="775">
        <f>'[1]4'!F169</f>
        <v>148984.41</v>
      </c>
      <c r="F169" s="634">
        <f t="shared" si="21"/>
        <v>149652.07</v>
      </c>
      <c r="G169" s="593">
        <f t="shared" si="18"/>
        <v>667.66000000000349</v>
      </c>
      <c r="H169" s="659">
        <v>451.52000000000407</v>
      </c>
      <c r="I169" s="660">
        <f t="shared" si="19"/>
        <v>216.13999999999942</v>
      </c>
    </row>
    <row r="170" spans="1:9" ht="27.75" x14ac:dyDescent="0.5">
      <c r="A170" s="1320" t="s">
        <v>126</v>
      </c>
      <c r="B170" s="1320"/>
      <c r="C170" s="1320"/>
      <c r="D170" s="643" t="s">
        <v>214</v>
      </c>
      <c r="E170" s="775">
        <f>'[1]4'!F170</f>
        <v>44665.25</v>
      </c>
      <c r="F170" s="634">
        <f t="shared" si="21"/>
        <v>45023.35</v>
      </c>
      <c r="G170" s="593">
        <f t="shared" si="18"/>
        <v>358.09999999999854</v>
      </c>
      <c r="H170" s="659">
        <v>264.56499999999869</v>
      </c>
      <c r="I170" s="660">
        <f t="shared" si="19"/>
        <v>93.534999999999854</v>
      </c>
    </row>
    <row r="171" spans="1:9" ht="27.75" x14ac:dyDescent="0.5">
      <c r="A171" s="1320" t="s">
        <v>127</v>
      </c>
      <c r="B171" s="1320"/>
      <c r="C171" s="1320"/>
      <c r="D171" s="643" t="s">
        <v>214</v>
      </c>
      <c r="E171" s="775">
        <f>'[1]4'!F171</f>
        <v>38707.370000000003</v>
      </c>
      <c r="F171" s="634">
        <f t="shared" si="21"/>
        <v>38992.93</v>
      </c>
      <c r="G171" s="593">
        <f t="shared" si="18"/>
        <v>285.55999999999767</v>
      </c>
      <c r="H171" s="659">
        <v>137.0779999999977</v>
      </c>
      <c r="I171" s="660">
        <f t="shared" si="19"/>
        <v>148.48199999999997</v>
      </c>
    </row>
  </sheetData>
  <mergeCells count="69">
    <mergeCell ref="A157:G157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1"/>
  <sheetViews>
    <sheetView view="pageBreakPreview" topLeftCell="A94" zoomScale="55" zoomScaleSheetLayoutView="55" workbookViewId="0">
      <selection activeCell="A94" sqref="A1:XFD1048576"/>
    </sheetView>
  </sheetViews>
  <sheetFormatPr defaultColWidth="22.33203125" defaultRowHeight="29.25" x14ac:dyDescent="0.5"/>
  <cols>
    <col min="1" max="1" width="42.109375" style="574" customWidth="1"/>
    <col min="2" max="2" width="31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5546875" style="404" customWidth="1"/>
    <col min="15" max="16384" width="22.33203125" style="404"/>
  </cols>
  <sheetData>
    <row r="1" spans="1:17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7" s="278" customFormat="1" ht="27" x14ac:dyDescent="0.5">
      <c r="A2" s="696" t="s">
        <v>297</v>
      </c>
      <c r="B2" s="1173">
        <v>44171</v>
      </c>
      <c r="C2" s="1361" t="s">
        <v>84</v>
      </c>
      <c r="D2" s="732">
        <v>0.25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7" s="278" customFormat="1" ht="27" x14ac:dyDescent="0.5">
      <c r="A3" s="691"/>
      <c r="B3" s="735"/>
      <c r="C3" s="1361" t="s">
        <v>147</v>
      </c>
      <c r="D3" s="733">
        <v>35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7" s="278" customFormat="1" ht="27" x14ac:dyDescent="0.5">
      <c r="A4" s="697"/>
      <c r="B4" s="737"/>
      <c r="C4" s="1361" t="s">
        <v>149</v>
      </c>
      <c r="D4" s="732">
        <v>0.8</v>
      </c>
      <c r="E4" s="584"/>
      <c r="F4" s="584"/>
      <c r="G4" s="584"/>
      <c r="H4" s="584"/>
      <c r="I4" s="585"/>
      <c r="J4" s="736"/>
      <c r="K4" s="400"/>
      <c r="L4" s="290"/>
    </row>
    <row r="5" spans="1:17" x14ac:dyDescent="0.4">
      <c r="A5" s="698" t="s">
        <v>150</v>
      </c>
      <c r="B5" s="579"/>
      <c r="C5" s="579"/>
      <c r="D5" s="631"/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7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7" ht="30" thickBot="1" x14ac:dyDescent="0.45">
      <c r="A7" s="793" t="s">
        <v>158</v>
      </c>
      <c r="B7" s="794"/>
      <c r="C7" s="794"/>
      <c r="D7" s="759" t="s">
        <v>159</v>
      </c>
      <c r="E7" s="754">
        <f>'[1]5'!F7</f>
        <v>2764568</v>
      </c>
      <c r="F7" s="575">
        <v>2784199</v>
      </c>
      <c r="G7" s="806">
        <f>F7-E7</f>
        <v>19631</v>
      </c>
      <c r="H7" s="796">
        <f>G7+'[1]5'!H7</f>
        <v>115754</v>
      </c>
      <c r="I7" s="797">
        <f>'[1]1'!I7</f>
        <v>12000</v>
      </c>
      <c r="J7" s="798">
        <f>H7/DAY(B2)</f>
        <v>19292.333333333332</v>
      </c>
      <c r="K7" s="670"/>
      <c r="L7" s="405"/>
      <c r="N7" s="844"/>
    </row>
    <row r="8" spans="1:17" ht="27.75" thickBot="1" x14ac:dyDescent="0.45">
      <c r="A8" s="799" t="s">
        <v>160</v>
      </c>
      <c r="B8" s="800"/>
      <c r="C8" s="801"/>
      <c r="D8" s="802" t="s">
        <v>39</v>
      </c>
      <c r="E8" s="754">
        <f>'[1]5'!F8</f>
        <v>2780265</v>
      </c>
      <c r="F8" s="595">
        <v>2800142</v>
      </c>
      <c r="G8" s="806">
        <f t="shared" ref="G8:G12" si="0">F8-E8</f>
        <v>19877</v>
      </c>
      <c r="H8" s="796">
        <f>G8+'[1]5'!H8</f>
        <v>117103</v>
      </c>
      <c r="I8" s="803">
        <v>12000</v>
      </c>
      <c r="J8" s="798">
        <f>H8/DAY(B2)</f>
        <v>19517.166666666668</v>
      </c>
      <c r="K8" s="670"/>
      <c r="L8" s="460"/>
      <c r="M8" s="522"/>
      <c r="N8" s="821"/>
      <c r="O8" s="410"/>
    </row>
    <row r="9" spans="1:17" x14ac:dyDescent="0.4">
      <c r="A9" s="804" t="s">
        <v>161</v>
      </c>
      <c r="B9" s="805"/>
      <c r="C9" s="805"/>
      <c r="D9" s="759" t="s">
        <v>159</v>
      </c>
      <c r="E9" s="756">
        <f>'[1]5'!F9</f>
        <v>2278678.7000000002</v>
      </c>
      <c r="F9" s="598">
        <v>2285370</v>
      </c>
      <c r="G9" s="806">
        <f t="shared" si="0"/>
        <v>6691.2999999998137</v>
      </c>
      <c r="H9" s="796">
        <f>G9+'[1]5'!H9</f>
        <v>28333.5</v>
      </c>
      <c r="I9" s="807">
        <f>I8-J8</f>
        <v>-7517.1666666666679</v>
      </c>
      <c r="J9" s="798">
        <f>H9/DAY(B2)</f>
        <v>4722.25</v>
      </c>
      <c r="K9" s="508"/>
      <c r="L9" s="405"/>
      <c r="N9" s="410"/>
      <c r="O9" s="522"/>
    </row>
    <row r="10" spans="1:17" x14ac:dyDescent="0.4">
      <c r="A10" s="793" t="s">
        <v>162</v>
      </c>
      <c r="B10" s="794"/>
      <c r="C10" s="794"/>
      <c r="D10" s="759" t="s">
        <v>159</v>
      </c>
      <c r="E10" s="756">
        <f>'[1]5'!F10</f>
        <v>373937.87</v>
      </c>
      <c r="F10" s="598">
        <v>386184.55</v>
      </c>
      <c r="G10" s="806">
        <f t="shared" si="0"/>
        <v>12246.679999999993</v>
      </c>
      <c r="H10" s="796">
        <f>G10+'[1]5'!H10</f>
        <v>83234.260000000009</v>
      </c>
      <c r="I10" s="808"/>
      <c r="J10" s="798">
        <f>H10/DAY(B2)</f>
        <v>13872.376666666669</v>
      </c>
      <c r="K10" s="508"/>
      <c r="L10" s="405"/>
      <c r="N10" s="410"/>
      <c r="O10" s="522"/>
      <c r="Q10" s="522"/>
    </row>
    <row r="11" spans="1:17" x14ac:dyDescent="0.4">
      <c r="A11" s="793" t="s">
        <v>163</v>
      </c>
      <c r="B11" s="794"/>
      <c r="C11" s="794"/>
      <c r="D11" s="759" t="s">
        <v>159</v>
      </c>
      <c r="E11" s="754">
        <f>'[1]5'!F11</f>
        <v>35390</v>
      </c>
      <c r="F11" s="575">
        <v>35390</v>
      </c>
      <c r="G11" s="806">
        <f t="shared" si="0"/>
        <v>0</v>
      </c>
      <c r="H11" s="796">
        <f>G11+'[1]5'!H11</f>
        <v>0</v>
      </c>
      <c r="I11" s="808"/>
      <c r="J11" s="798">
        <f>H11/DAY(B2)</f>
        <v>0</v>
      </c>
      <c r="K11" s="508"/>
      <c r="L11" s="405"/>
      <c r="N11" s="410"/>
      <c r="O11" s="522"/>
      <c r="Q11" s="522"/>
    </row>
    <row r="12" spans="1:17" x14ac:dyDescent="0.4">
      <c r="A12" s="793" t="s">
        <v>164</v>
      </c>
      <c r="B12" s="794"/>
      <c r="C12" s="794"/>
      <c r="D12" s="759" t="s">
        <v>159</v>
      </c>
      <c r="E12" s="756">
        <f>'[1]5'!F12</f>
        <v>37630</v>
      </c>
      <c r="F12" s="598">
        <v>37630</v>
      </c>
      <c r="G12" s="806">
        <f t="shared" si="0"/>
        <v>0</v>
      </c>
      <c r="H12" s="796">
        <f>G12+'[1]5'!H12</f>
        <v>0</v>
      </c>
      <c r="I12" s="808"/>
      <c r="J12" s="798">
        <f>H12/DAY(B2)</f>
        <v>0</v>
      </c>
      <c r="K12" s="508"/>
      <c r="L12" s="405"/>
      <c r="N12" s="410"/>
      <c r="O12" s="522"/>
      <c r="Q12" s="522"/>
    </row>
    <row r="13" spans="1:17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18937.979999999807</v>
      </c>
      <c r="H13" s="796">
        <f>G13+'[1]5'!H13</f>
        <v>111567.76000000001</v>
      </c>
      <c r="I13" s="812">
        <f>G7-G13</f>
        <v>693.02000000019325</v>
      </c>
      <c r="J13" s="798">
        <f>H13/DAY(B2)</f>
        <v>18594.626666666667</v>
      </c>
      <c r="K13" s="508"/>
      <c r="L13" s="405"/>
      <c r="N13" s="410"/>
      <c r="O13" s="522"/>
      <c r="Q13" s="522"/>
    </row>
    <row r="14" spans="1:17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410"/>
    </row>
    <row r="15" spans="1:17" x14ac:dyDescent="0.5">
      <c r="A15" s="933" t="s">
        <v>167</v>
      </c>
      <c r="B15" s="928"/>
      <c r="C15" s="928"/>
      <c r="D15" s="644" t="s">
        <v>168</v>
      </c>
      <c r="E15" s="605">
        <f>'[1]5'!F15</f>
        <v>1549864.3030000001</v>
      </c>
      <c r="F15" s="605">
        <v>1550610</v>
      </c>
      <c r="G15" s="593">
        <f>(F15-E15)</f>
        <v>745.69699999992736</v>
      </c>
      <c r="H15" s="606">
        <f>G15+'[1]5'!H15</f>
        <v>3712.3989999999758</v>
      </c>
      <c r="I15" s="594">
        <v>800</v>
      </c>
      <c r="J15" s="674">
        <f>H15/DAY(B2)</f>
        <v>618.73316666666267</v>
      </c>
      <c r="K15" s="508"/>
      <c r="L15" s="405"/>
      <c r="N15" s="410"/>
    </row>
    <row r="16" spans="1:17" x14ac:dyDescent="0.4">
      <c r="A16" s="931"/>
      <c r="B16" s="932"/>
      <c r="C16" s="932"/>
      <c r="D16" s="929"/>
      <c r="E16" s="930"/>
      <c r="F16" s="605"/>
      <c r="G16" s="1177"/>
      <c r="H16" s="1192"/>
      <c r="I16" s="607">
        <f>I15-J15</f>
        <v>181.26683333333733</v>
      </c>
      <c r="J16" s="1193"/>
      <c r="K16" s="508"/>
      <c r="L16" s="405"/>
      <c r="N16" s="410"/>
    </row>
    <row r="17" spans="1:14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410"/>
    </row>
    <row r="18" spans="1:14" ht="27.75" x14ac:dyDescent="0.5">
      <c r="A18" s="1460" t="s">
        <v>170</v>
      </c>
      <c r="B18" s="1461"/>
      <c r="C18" s="1462"/>
      <c r="D18" s="760" t="s">
        <v>171</v>
      </c>
      <c r="E18" s="758">
        <f>'[1]5'!F18</f>
        <v>12</v>
      </c>
      <c r="F18" s="605">
        <v>11</v>
      </c>
      <c r="G18" s="806">
        <f>F18*10</f>
        <v>110</v>
      </c>
      <c r="H18" s="796">
        <f>G18+'[1]5'!H18</f>
        <v>660</v>
      </c>
      <c r="I18" s="797">
        <f>'[1]1'!I18</f>
        <v>65</v>
      </c>
      <c r="J18" s="798">
        <f>H18/DAY(B2)</f>
        <v>110</v>
      </c>
      <c r="K18" s="508"/>
      <c r="L18" s="405"/>
      <c r="N18" s="410"/>
    </row>
    <row r="19" spans="1:14" ht="27.75" x14ac:dyDescent="0.5">
      <c r="A19" s="1460" t="s">
        <v>86</v>
      </c>
      <c r="B19" s="1461"/>
      <c r="C19" s="1462"/>
      <c r="D19" s="759" t="s">
        <v>171</v>
      </c>
      <c r="E19" s="756">
        <f>'[1]5'!F19</f>
        <v>130065</v>
      </c>
      <c r="F19" s="598">
        <v>130123</v>
      </c>
      <c r="G19" s="806">
        <f t="shared" ref="G19" si="1">F19-E19</f>
        <v>58</v>
      </c>
      <c r="H19" s="796">
        <f>G19+'[1]5'!H19</f>
        <v>322</v>
      </c>
      <c r="I19" s="813"/>
      <c r="J19" s="798">
        <f>H19/DAY(B2)</f>
        <v>53.666666666666664</v>
      </c>
      <c r="K19" s="508"/>
      <c r="L19" s="405"/>
      <c r="N19" s="410"/>
    </row>
    <row r="20" spans="1:14" x14ac:dyDescent="0.5">
      <c r="A20" s="809" t="s">
        <v>172</v>
      </c>
      <c r="B20" s="810"/>
      <c r="C20" s="810"/>
      <c r="D20" s="759"/>
      <c r="E20" s="759"/>
      <c r="F20" s="643"/>
      <c r="G20" s="814">
        <f>G18+G19</f>
        <v>168</v>
      </c>
      <c r="H20" s="796">
        <f>G20+'[1]5'!H20</f>
        <v>982</v>
      </c>
      <c r="I20" s="815">
        <f>I18-J20</f>
        <v>-98.666666666666657</v>
      </c>
      <c r="J20" s="798">
        <f>H20/DAY(B2)</f>
        <v>163.66666666666666</v>
      </c>
      <c r="K20" s="508"/>
      <c r="L20" s="405"/>
      <c r="N20" s="410"/>
    </row>
    <row r="21" spans="1:14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410"/>
    </row>
    <row r="22" spans="1:14" x14ac:dyDescent="0.5">
      <c r="A22" s="1354" t="s">
        <v>174</v>
      </c>
      <c r="B22" s="710"/>
      <c r="C22" s="710"/>
      <c r="D22" s="643" t="s">
        <v>175</v>
      </c>
      <c r="E22" s="756">
        <f>'[1]5'!F22</f>
        <v>2250</v>
      </c>
      <c r="F22" s="598">
        <v>2250</v>
      </c>
      <c r="G22" s="601">
        <f t="shared" ref="G22" si="2">(F22-E22)</f>
        <v>0</v>
      </c>
      <c r="H22" s="580">
        <f>G22+'[1]5'!H22</f>
        <v>0</v>
      </c>
      <c r="I22" s="600"/>
      <c r="J22" s="673">
        <f>H22/DAY(B2)</f>
        <v>0</v>
      </c>
      <c r="K22" s="508"/>
      <c r="L22" s="405"/>
      <c r="N22" s="410"/>
    </row>
    <row r="23" spans="1:14" x14ac:dyDescent="0.5">
      <c r="A23" s="1354" t="s">
        <v>176</v>
      </c>
      <c r="B23" s="710"/>
      <c r="C23" s="710"/>
      <c r="D23" s="643" t="s">
        <v>175</v>
      </c>
      <c r="E23" s="756">
        <f>'[1]5'!F23</f>
        <v>2000</v>
      </c>
      <c r="F23" s="598">
        <v>2000</v>
      </c>
      <c r="G23" s="601">
        <v>0</v>
      </c>
      <c r="H23" s="580">
        <f>G23+'[1]5'!H23</f>
        <v>0</v>
      </c>
      <c r="I23" s="600"/>
      <c r="J23" s="673">
        <f>H23/DAY(B2)</f>
        <v>0</v>
      </c>
      <c r="K23" s="508"/>
      <c r="L23" s="405"/>
      <c r="N23" s="410"/>
    </row>
    <row r="24" spans="1:14" x14ac:dyDescent="0.4">
      <c r="A24" s="711" t="s">
        <v>177</v>
      </c>
      <c r="B24" s="712"/>
      <c r="C24" s="712"/>
      <c r="D24" s="631" t="s">
        <v>175</v>
      </c>
      <c r="E24" s="756">
        <f>'[1]5'!F24</f>
        <v>4250</v>
      </c>
      <c r="F24" s="605">
        <v>4250</v>
      </c>
      <c r="G24" s="601">
        <v>0</v>
      </c>
      <c r="H24" s="580">
        <f>G24+'[1]5'!H24</f>
        <v>0</v>
      </c>
      <c r="I24" s="600"/>
      <c r="J24" s="673">
        <f>H24/DAY(B2)</f>
        <v>0</v>
      </c>
      <c r="K24" s="508"/>
      <c r="L24" s="405"/>
      <c r="N24" s="410"/>
    </row>
    <row r="25" spans="1:14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410"/>
    </row>
    <row r="26" spans="1:14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N26" s="410"/>
    </row>
    <row r="27" spans="1:14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19877</v>
      </c>
      <c r="F27" s="621">
        <v>9.5</v>
      </c>
      <c r="G27" s="622">
        <f>E27*F27</f>
        <v>188831.5</v>
      </c>
      <c r="H27" s="580">
        <f>G27+'[1]5'!H27</f>
        <v>1112478.5</v>
      </c>
      <c r="I27" s="623"/>
      <c r="J27" s="673">
        <f>H27/DAY(B2)</f>
        <v>185413.08333333334</v>
      </c>
      <c r="K27" s="401"/>
      <c r="L27" s="527"/>
      <c r="N27" s="410"/>
    </row>
    <row r="28" spans="1:14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745.69699999992736</v>
      </c>
      <c r="F28" s="621">
        <v>36.5</v>
      </c>
      <c r="G28" s="622">
        <f t="shared" ref="G28:G31" si="3">E28*F28</f>
        <v>27217.940499997349</v>
      </c>
      <c r="H28" s="580">
        <f>G28+'[1]5'!H28</f>
        <v>135502.56349999912</v>
      </c>
      <c r="I28" s="625"/>
      <c r="J28" s="673">
        <f>H28/DAY(B2)</f>
        <v>22583.760583333187</v>
      </c>
      <c r="K28" s="401"/>
      <c r="L28" s="527"/>
      <c r="N28" s="410"/>
    </row>
    <row r="29" spans="1:14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 t="shared" si="3"/>
        <v>0</v>
      </c>
      <c r="H29" s="580">
        <f>G29+'[1]5'!H29</f>
        <v>0</v>
      </c>
      <c r="I29" s="625"/>
      <c r="J29" s="673">
        <f>H29/DAY(B2)</f>
        <v>0</v>
      </c>
      <c r="K29" s="401"/>
      <c r="L29" s="527"/>
      <c r="N29" s="410"/>
    </row>
    <row r="30" spans="1:14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58</v>
      </c>
      <c r="F30" s="621">
        <v>145</v>
      </c>
      <c r="G30" s="622">
        <f t="shared" si="3"/>
        <v>8410</v>
      </c>
      <c r="H30" s="580">
        <f>G30+'[1]5'!H30</f>
        <v>46690</v>
      </c>
      <c r="I30" s="625"/>
      <c r="J30" s="673">
        <f>H30/DAY(B2)</f>
        <v>7781.666666666667</v>
      </c>
      <c r="K30" s="401"/>
      <c r="L30" s="527"/>
      <c r="N30" s="410"/>
    </row>
    <row r="31" spans="1:14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110</v>
      </c>
      <c r="F31" s="621">
        <v>80</v>
      </c>
      <c r="G31" s="622">
        <f t="shared" si="3"/>
        <v>8800</v>
      </c>
      <c r="H31" s="580">
        <f>G31+'[1]5'!H31</f>
        <v>51200</v>
      </c>
      <c r="I31" s="625"/>
      <c r="J31" s="673"/>
      <c r="K31" s="401"/>
      <c r="L31" s="527"/>
      <c r="N31" s="410"/>
    </row>
    <row r="32" spans="1:14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233259.44049999735</v>
      </c>
      <c r="H32" s="580">
        <f>G32+'[1]5'!H32</f>
        <v>1345871.0634999992</v>
      </c>
      <c r="I32" s="629"/>
      <c r="J32" s="673">
        <f>H32/DAY(B2)</f>
        <v>224311.84391666655</v>
      </c>
      <c r="K32" s="401"/>
      <c r="L32" s="527"/>
      <c r="N32" s="410"/>
    </row>
    <row r="33" spans="1:14" ht="25.5" customHeight="1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</row>
    <row r="34" spans="1:14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410"/>
    </row>
    <row r="35" spans="1:14" x14ac:dyDescent="0.4">
      <c r="A35" s="699" t="s">
        <v>191</v>
      </c>
      <c r="B35" s="700"/>
      <c r="C35" s="700"/>
      <c r="D35" s="643" t="s">
        <v>159</v>
      </c>
      <c r="E35" s="630">
        <f>'[1]5'!F35</f>
        <v>629027.67000000004</v>
      </c>
      <c r="F35" s="630">
        <v>629027.67000000004</v>
      </c>
      <c r="G35" s="593">
        <f t="shared" ref="G35:G46" si="4">F35-E35</f>
        <v>0</v>
      </c>
      <c r="H35" s="580">
        <f>G35+'[1]5'!H35</f>
        <v>0</v>
      </c>
      <c r="I35" s="575"/>
      <c r="J35" s="673">
        <f>H35/DAY(B2)</f>
        <v>0</v>
      </c>
      <c r="K35" s="508"/>
      <c r="L35" s="405"/>
      <c r="N35" s="410"/>
    </row>
    <row r="36" spans="1:14" x14ac:dyDescent="0.4">
      <c r="A36" s="699" t="s">
        <v>192</v>
      </c>
      <c r="B36" s="700"/>
      <c r="C36" s="700"/>
      <c r="D36" s="643" t="s">
        <v>159</v>
      </c>
      <c r="E36" s="630">
        <f>'[1]5'!F36</f>
        <v>233393.45</v>
      </c>
      <c r="F36" s="630">
        <v>234045.77</v>
      </c>
      <c r="G36" s="593">
        <f t="shared" si="4"/>
        <v>652.31999999997788</v>
      </c>
      <c r="H36" s="580">
        <f>G36+'[1]5'!H36</f>
        <v>4960.039999999979</v>
      </c>
      <c r="I36" s="575"/>
      <c r="J36" s="673">
        <f>H36/DAY(B2)</f>
        <v>826.67333333332988</v>
      </c>
      <c r="K36" s="508"/>
      <c r="L36" s="405"/>
      <c r="N36" s="749"/>
    </row>
    <row r="37" spans="1:14" x14ac:dyDescent="0.4">
      <c r="A37" s="699" t="s">
        <v>193</v>
      </c>
      <c r="B37" s="700"/>
      <c r="C37" s="700"/>
      <c r="D37" s="643" t="s">
        <v>159</v>
      </c>
      <c r="E37" s="630">
        <f>'[1]5'!F37</f>
        <v>415066</v>
      </c>
      <c r="F37" s="630">
        <v>415066</v>
      </c>
      <c r="G37" s="593">
        <f t="shared" si="4"/>
        <v>0</v>
      </c>
      <c r="H37" s="580">
        <f>G37+'[1]5'!H37</f>
        <v>0</v>
      </c>
      <c r="I37" s="575"/>
      <c r="J37" s="673">
        <f>H37/DAY(B2)</f>
        <v>0</v>
      </c>
      <c r="K37" s="508"/>
      <c r="L37" s="405"/>
      <c r="N37" s="750"/>
    </row>
    <row r="38" spans="1:14" x14ac:dyDescent="0.4">
      <c r="A38" s="699" t="s">
        <v>194</v>
      </c>
      <c r="B38" s="700"/>
      <c r="C38" s="700"/>
      <c r="D38" s="643" t="s">
        <v>159</v>
      </c>
      <c r="E38" s="589">
        <f>'[1]5'!F38</f>
        <v>150714.20000000001</v>
      </c>
      <c r="F38" s="589">
        <v>150714.38</v>
      </c>
      <c r="G38" s="593">
        <f t="shared" si="4"/>
        <v>0.17999999999301508</v>
      </c>
      <c r="H38" s="580">
        <f>G38+'[1]5'!H38</f>
        <v>0.38000000000465661</v>
      </c>
      <c r="I38" s="575"/>
      <c r="J38" s="673">
        <f>H38/DAY(B2)</f>
        <v>6.333333333410944E-2</v>
      </c>
      <c r="K38" s="508"/>
      <c r="L38" s="405"/>
      <c r="N38" s="410"/>
    </row>
    <row r="39" spans="1:14" x14ac:dyDescent="0.4">
      <c r="A39" s="699" t="s">
        <v>195</v>
      </c>
      <c r="B39" s="700"/>
      <c r="C39" s="700"/>
      <c r="D39" s="643" t="s">
        <v>159</v>
      </c>
      <c r="E39" s="630">
        <f>'[1]5'!F39</f>
        <v>912480</v>
      </c>
      <c r="F39" s="630">
        <v>912480</v>
      </c>
      <c r="G39" s="593">
        <f t="shared" si="4"/>
        <v>0</v>
      </c>
      <c r="H39" s="580">
        <f>G39+'[1]5'!H39</f>
        <v>0</v>
      </c>
      <c r="I39" s="575"/>
      <c r="J39" s="673">
        <f>H39/DAY(B2)</f>
        <v>0</v>
      </c>
      <c r="K39" s="508"/>
      <c r="L39" s="405"/>
      <c r="N39" s="410"/>
    </row>
    <row r="40" spans="1:14" x14ac:dyDescent="0.4">
      <c r="A40" s="720" t="s">
        <v>196</v>
      </c>
      <c r="B40" s="721"/>
      <c r="C40" s="721"/>
      <c r="D40" s="643" t="s">
        <v>159</v>
      </c>
      <c r="E40" s="630">
        <f>'[1]5'!F40</f>
        <v>0.17</v>
      </c>
      <c r="F40" s="630">
        <v>0.17</v>
      </c>
      <c r="G40" s="593">
        <f t="shared" si="4"/>
        <v>0</v>
      </c>
      <c r="H40" s="580">
        <f>G40+'[1]5'!H40</f>
        <v>0</v>
      </c>
      <c r="I40" s="575"/>
      <c r="J40" s="673">
        <f>H40/DAY(B2)</f>
        <v>0</v>
      </c>
      <c r="K40" s="509"/>
      <c r="L40" s="405"/>
      <c r="N40" s="410"/>
    </row>
    <row r="41" spans="1:14" x14ac:dyDescent="0.4">
      <c r="A41" s="699" t="s">
        <v>197</v>
      </c>
      <c r="B41" s="700"/>
      <c r="C41" s="700"/>
      <c r="D41" s="643" t="s">
        <v>159</v>
      </c>
      <c r="E41" s="630">
        <f>'[1]5'!F41</f>
        <v>300127.90000000002</v>
      </c>
      <c r="F41" s="630">
        <v>300127.90000000002</v>
      </c>
      <c r="G41" s="593">
        <f>F41-E41</f>
        <v>0</v>
      </c>
      <c r="H41" s="580">
        <f>G41+'[1]5'!H41</f>
        <v>-4.9999999988358468E-2</v>
      </c>
      <c r="I41" s="575"/>
      <c r="J41" s="673">
        <f>H41/DAY(B2)</f>
        <v>-8.333333331393078E-3</v>
      </c>
      <c r="K41" s="508"/>
      <c r="L41" s="405"/>
      <c r="N41" s="410"/>
    </row>
    <row r="42" spans="1:14" x14ac:dyDescent="0.4">
      <c r="A42" s="699" t="s">
        <v>198</v>
      </c>
      <c r="B42" s="700"/>
      <c r="C42" s="700"/>
      <c r="D42" s="643" t="s">
        <v>159</v>
      </c>
      <c r="E42" s="630">
        <f>'[1]5'!F42</f>
        <v>7805.77</v>
      </c>
      <c r="F42" s="630">
        <v>11603.86</v>
      </c>
      <c r="G42" s="593">
        <f t="shared" si="4"/>
        <v>3798.09</v>
      </c>
      <c r="H42" s="580">
        <f>G42+'[1]5'!H42</f>
        <v>11603.86</v>
      </c>
      <c r="I42" s="575"/>
      <c r="J42" s="673">
        <f>H42/DAY(B2)</f>
        <v>1933.9766666666667</v>
      </c>
      <c r="K42" s="508"/>
      <c r="L42" s="405"/>
      <c r="N42" s="410"/>
    </row>
    <row r="43" spans="1:14" x14ac:dyDescent="0.4">
      <c r="A43" s="699" t="s">
        <v>199</v>
      </c>
      <c r="B43" s="700"/>
      <c r="C43" s="700"/>
      <c r="D43" s="643" t="s">
        <v>159</v>
      </c>
      <c r="E43" s="630">
        <f>'[1]5'!F43</f>
        <v>641704.11</v>
      </c>
      <c r="F43" s="630">
        <v>644050.15</v>
      </c>
      <c r="G43" s="593">
        <f t="shared" si="4"/>
        <v>2346.0400000000373</v>
      </c>
      <c r="H43" s="580">
        <f>G43+'[1]5'!H43</f>
        <v>13300.839999999967</v>
      </c>
      <c r="I43" s="575"/>
      <c r="J43" s="673">
        <f>H43/DAY(B2)</f>
        <v>2216.8066666666614</v>
      </c>
      <c r="K43" s="508"/>
      <c r="L43" s="405"/>
      <c r="N43" s="410"/>
    </row>
    <row r="44" spans="1:14" x14ac:dyDescent="0.4">
      <c r="A44" s="699" t="s">
        <v>200</v>
      </c>
      <c r="B44" s="700"/>
      <c r="C44" s="700"/>
      <c r="D44" s="643" t="s">
        <v>159</v>
      </c>
      <c r="E44" s="630">
        <f>'[1]5'!F44</f>
        <v>0</v>
      </c>
      <c r="F44" s="630">
        <v>0</v>
      </c>
      <c r="G44" s="593">
        <f t="shared" si="4"/>
        <v>0</v>
      </c>
      <c r="H44" s="580">
        <f>G44+'[1]5'!H44</f>
        <v>0</v>
      </c>
      <c r="I44" s="575"/>
      <c r="J44" s="673">
        <f>H44/DAY(B2)</f>
        <v>0</v>
      </c>
      <c r="K44" s="508"/>
      <c r="L44" s="405"/>
      <c r="N44" s="410"/>
    </row>
    <row r="45" spans="1:14" x14ac:dyDescent="0.4">
      <c r="A45" s="699" t="s">
        <v>201</v>
      </c>
      <c r="B45" s="700"/>
      <c r="C45" s="700"/>
      <c r="D45" s="643" t="s">
        <v>159</v>
      </c>
      <c r="E45" s="630">
        <f>'[1]5'!F45</f>
        <v>614</v>
      </c>
      <c r="F45" s="630">
        <v>614</v>
      </c>
      <c r="G45" s="593">
        <f t="shared" si="4"/>
        <v>0</v>
      </c>
      <c r="H45" s="580">
        <f>G45+'[1]5'!H45</f>
        <v>-0.48000000000001819</v>
      </c>
      <c r="I45" s="575"/>
      <c r="J45" s="673">
        <f>H45/DAY(B2)</f>
        <v>-8.0000000000003027E-2</v>
      </c>
      <c r="K45" s="508"/>
      <c r="L45" s="405"/>
      <c r="N45" s="410"/>
    </row>
    <row r="46" spans="1:14" x14ac:dyDescent="0.4">
      <c r="A46" s="699" t="s">
        <v>202</v>
      </c>
      <c r="B46" s="700"/>
      <c r="C46" s="700"/>
      <c r="D46" s="643" t="s">
        <v>159</v>
      </c>
      <c r="E46" s="630">
        <f>'[1]5'!F46</f>
        <v>187</v>
      </c>
      <c r="F46" s="630">
        <v>187</v>
      </c>
      <c r="G46" s="593">
        <f t="shared" si="4"/>
        <v>0</v>
      </c>
      <c r="H46" s="580">
        <f>G46+'[1]5'!H46</f>
        <v>-0.49000000000000909</v>
      </c>
      <c r="I46" s="575"/>
      <c r="J46" s="673">
        <f>H46/DAY(B2)</f>
        <v>-8.1666666666668178E-2</v>
      </c>
      <c r="K46" s="508"/>
      <c r="L46" s="405"/>
      <c r="N46" s="410"/>
    </row>
    <row r="47" spans="1:14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6796.6300000000083</v>
      </c>
      <c r="H47" s="580">
        <f>G47+'[1]5'!H47</f>
        <v>29864.099999999962</v>
      </c>
      <c r="I47" s="575"/>
      <c r="J47" s="673">
        <f>H47/DAY(B2)</f>
        <v>4977.349999999994</v>
      </c>
      <c r="K47" s="508"/>
      <c r="L47" s="405"/>
      <c r="N47" s="410"/>
    </row>
    <row r="48" spans="1:14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410"/>
    </row>
    <row r="49" spans="1:14" x14ac:dyDescent="0.4">
      <c r="A49" s="699" t="s">
        <v>191</v>
      </c>
      <c r="B49" s="722"/>
      <c r="C49" s="722"/>
      <c r="D49" s="643" t="s">
        <v>159</v>
      </c>
      <c r="E49" s="630">
        <f>'[1]5'!F49</f>
        <v>75217.47</v>
      </c>
      <c r="F49" s="630">
        <v>78010.720000000001</v>
      </c>
      <c r="G49" s="593">
        <f t="shared" ref="G49:G58" si="5">F49-E49</f>
        <v>2793.25</v>
      </c>
      <c r="H49" s="580">
        <f>G49+'[1]5'!H49</f>
        <v>16497.453000000001</v>
      </c>
      <c r="I49" s="575"/>
      <c r="J49" s="673">
        <f>H49/DAY(B2)</f>
        <v>2749.5755000000004</v>
      </c>
      <c r="K49" s="508"/>
      <c r="L49" s="405"/>
      <c r="N49" s="410"/>
    </row>
    <row r="50" spans="1:14" x14ac:dyDescent="0.4">
      <c r="A50" s="699" t="s">
        <v>205</v>
      </c>
      <c r="B50" s="722"/>
      <c r="C50" s="722"/>
      <c r="D50" s="643" t="s">
        <v>159</v>
      </c>
      <c r="E50" s="630">
        <f>'[1]5'!F50</f>
        <v>301891.95</v>
      </c>
      <c r="F50" s="630">
        <v>303513.39</v>
      </c>
      <c r="G50" s="593">
        <f t="shared" si="5"/>
        <v>1621.4400000000023</v>
      </c>
      <c r="H50" s="580">
        <f>G50+'[1]5'!H50</f>
        <v>7544.2999999999884</v>
      </c>
      <c r="I50" s="575"/>
      <c r="J50" s="673">
        <f>H50/DAY(B2)</f>
        <v>1257.3833333333314</v>
      </c>
      <c r="K50" s="508"/>
      <c r="L50" s="405"/>
      <c r="N50" s="410"/>
    </row>
    <row r="51" spans="1:14" x14ac:dyDescent="0.4">
      <c r="A51" s="699" t="s">
        <v>193</v>
      </c>
      <c r="B51" s="722"/>
      <c r="C51" s="722"/>
      <c r="D51" s="643" t="s">
        <v>159</v>
      </c>
      <c r="E51" s="630">
        <f>'[1]5'!F51</f>
        <v>26334.9</v>
      </c>
      <c r="F51" s="630">
        <v>27829.89</v>
      </c>
      <c r="G51" s="593">
        <f t="shared" si="5"/>
        <v>1494.989999999998</v>
      </c>
      <c r="H51" s="580">
        <f>G51+'[1]5'!H51</f>
        <v>8509.4029999999984</v>
      </c>
      <c r="I51" s="575"/>
      <c r="J51" s="673">
        <f>H51/DAY(B2)</f>
        <v>1418.233833333333</v>
      </c>
      <c r="K51" s="508"/>
      <c r="L51" s="405"/>
      <c r="N51" s="410"/>
    </row>
    <row r="52" spans="1:14" x14ac:dyDescent="0.4">
      <c r="A52" s="699" t="s">
        <v>206</v>
      </c>
      <c r="B52" s="722"/>
      <c r="C52" s="722"/>
      <c r="D52" s="643" t="s">
        <v>159</v>
      </c>
      <c r="E52" s="630">
        <f>'[1]5'!F52</f>
        <v>380176.95</v>
      </c>
      <c r="F52" s="630">
        <v>382126.43</v>
      </c>
      <c r="G52" s="593">
        <f t="shared" si="5"/>
        <v>1949.4799999999814</v>
      </c>
      <c r="H52" s="580">
        <f>G52+'[1]5'!H52</f>
        <v>11004</v>
      </c>
      <c r="I52" s="575"/>
      <c r="J52" s="673">
        <f>H52/DAY(B2)</f>
        <v>1834</v>
      </c>
      <c r="K52" s="508"/>
      <c r="L52" s="405"/>
      <c r="N52" s="410"/>
    </row>
    <row r="53" spans="1:14" x14ac:dyDescent="0.4">
      <c r="A53" s="699" t="s">
        <v>195</v>
      </c>
      <c r="B53" s="722"/>
      <c r="C53" s="722"/>
      <c r="D53" s="643" t="s">
        <v>159</v>
      </c>
      <c r="E53" s="630">
        <f>'[1]5'!F53</f>
        <v>66131.195000000007</v>
      </c>
      <c r="F53" s="630">
        <v>70411.3</v>
      </c>
      <c r="G53" s="593">
        <f t="shared" si="5"/>
        <v>4280.1049999999959</v>
      </c>
      <c r="H53" s="580">
        <f>G53+'[1]5'!H53</f>
        <v>24995.293000000005</v>
      </c>
      <c r="I53" s="575"/>
      <c r="J53" s="673">
        <f>H53/DAY(B2)</f>
        <v>4165.8821666666672</v>
      </c>
      <c r="K53" s="508"/>
      <c r="L53" s="405"/>
      <c r="N53" s="410"/>
    </row>
    <row r="54" spans="1:14" x14ac:dyDescent="0.4">
      <c r="A54" s="699" t="s">
        <v>207</v>
      </c>
      <c r="B54" s="722"/>
      <c r="C54" s="722"/>
      <c r="D54" s="643" t="s">
        <v>159</v>
      </c>
      <c r="E54" s="630">
        <f>'[1]5'!F54</f>
        <v>3105.86</v>
      </c>
      <c r="F54" s="630">
        <v>3161.04</v>
      </c>
      <c r="G54" s="593">
        <f t="shared" si="5"/>
        <v>55.179999999999836</v>
      </c>
      <c r="H54" s="580">
        <f>G54+'[1]5'!H54</f>
        <v>328.03999999999996</v>
      </c>
      <c r="I54" s="575"/>
      <c r="J54" s="673">
        <f>H54/DAY(B2)</f>
        <v>54.673333333333325</v>
      </c>
      <c r="K54" s="508"/>
      <c r="L54" s="405"/>
      <c r="N54" s="410"/>
    </row>
    <row r="55" spans="1:14" x14ac:dyDescent="0.4">
      <c r="A55" s="699" t="s">
        <v>208</v>
      </c>
      <c r="B55" s="722"/>
      <c r="C55" s="722"/>
      <c r="D55" s="643" t="s">
        <v>159</v>
      </c>
      <c r="E55" s="630">
        <f>'[1]5'!F55</f>
        <v>158492.73000000001</v>
      </c>
      <c r="F55" s="770">
        <v>158492.73000000001</v>
      </c>
      <c r="G55" s="769">
        <f t="shared" si="5"/>
        <v>0</v>
      </c>
      <c r="H55" s="841">
        <f>G55+'[1]5'!H55</f>
        <v>-0.26999999998952262</v>
      </c>
      <c r="I55" s="842"/>
      <c r="J55" s="843">
        <f>H55/DAY(B2)</f>
        <v>-4.499999999825377E-2</v>
      </c>
      <c r="K55" s="508"/>
      <c r="L55" s="405"/>
      <c r="N55" s="410"/>
    </row>
    <row r="56" spans="1:14" x14ac:dyDescent="0.4">
      <c r="A56" s="699" t="s">
        <v>209</v>
      </c>
      <c r="B56" s="722"/>
      <c r="C56" s="722"/>
      <c r="D56" s="643" t="s">
        <v>210</v>
      </c>
      <c r="E56" s="630">
        <f>'[1]5'!F56</f>
        <v>449323.67</v>
      </c>
      <c r="F56" s="770">
        <v>449323.67</v>
      </c>
      <c r="G56" s="593">
        <f t="shared" si="5"/>
        <v>0</v>
      </c>
      <c r="H56" s="580">
        <f>G56+'[1]5'!H56</f>
        <v>14176.079999999958</v>
      </c>
      <c r="I56" s="575"/>
      <c r="J56" s="673">
        <f>H56/DAY(B2)</f>
        <v>2362.679999999993</v>
      </c>
      <c r="K56" s="507"/>
      <c r="L56" s="405"/>
      <c r="N56" s="410"/>
    </row>
    <row r="57" spans="1:14" x14ac:dyDescent="0.4">
      <c r="A57" s="699" t="s">
        <v>199</v>
      </c>
      <c r="B57" s="722"/>
      <c r="C57" s="722"/>
      <c r="D57" s="643" t="s">
        <v>159</v>
      </c>
      <c r="E57" s="630">
        <f>'[1]5'!F57</f>
        <v>0</v>
      </c>
      <c r="F57" s="630">
        <v>0</v>
      </c>
      <c r="G57" s="593">
        <f t="shared" si="5"/>
        <v>0</v>
      </c>
      <c r="H57" s="580">
        <f>G57+'[1]5'!H57</f>
        <v>0</v>
      </c>
      <c r="I57" s="575"/>
      <c r="J57" s="673">
        <f>H57/DAY(B2)</f>
        <v>0</v>
      </c>
      <c r="K57" s="508"/>
      <c r="L57" s="405"/>
      <c r="N57" s="410"/>
    </row>
    <row r="58" spans="1:14" x14ac:dyDescent="0.4">
      <c r="A58" s="699" t="s">
        <v>211</v>
      </c>
      <c r="B58" s="722"/>
      <c r="C58" s="722"/>
      <c r="D58" s="643" t="s">
        <v>159</v>
      </c>
      <c r="E58" s="630">
        <f>'[1]5'!F58</f>
        <v>20775.55</v>
      </c>
      <c r="F58" s="770">
        <v>20921.03</v>
      </c>
      <c r="G58" s="593">
        <f t="shared" si="5"/>
        <v>145.47999999999956</v>
      </c>
      <c r="H58" s="580">
        <f>G58+'[1]5'!H58</f>
        <v>689.98699999999735</v>
      </c>
      <c r="I58" s="575"/>
      <c r="J58" s="673">
        <f>H58/DAY(B2)</f>
        <v>114.99783333333289</v>
      </c>
      <c r="K58" s="508"/>
      <c r="L58" s="405"/>
      <c r="N58" s="410"/>
    </row>
    <row r="59" spans="1:14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12339.924999999977</v>
      </c>
      <c r="H59" s="580">
        <f>G59+'[1]5'!H59</f>
        <v>83744.285999999949</v>
      </c>
      <c r="I59" s="575">
        <f>G7-G60</f>
        <v>494.44500000001426</v>
      </c>
      <c r="J59" s="673">
        <f>H59/DAY(B2)</f>
        <v>13957.380999999992</v>
      </c>
      <c r="K59" s="508"/>
      <c r="L59" s="405"/>
      <c r="N59" s="410"/>
    </row>
    <row r="60" spans="1:14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19136.554999999986</v>
      </c>
      <c r="H60" s="580">
        <f>G60+'[1]5'!H60</f>
        <v>113608.38599999994</v>
      </c>
      <c r="I60" s="575">
        <f>G13-G60</f>
        <v>-198.57500000017899</v>
      </c>
      <c r="J60" s="673">
        <f>H60/DAY(B2)</f>
        <v>18934.730999999989</v>
      </c>
      <c r="K60" s="508"/>
      <c r="L60" s="405"/>
      <c r="N60" s="410"/>
    </row>
    <row r="61" spans="1:14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410"/>
    </row>
    <row r="62" spans="1:14" x14ac:dyDescent="0.4">
      <c r="A62" s="724" t="s">
        <v>121</v>
      </c>
      <c r="B62" s="725"/>
      <c r="C62" s="725"/>
      <c r="D62" s="631" t="s">
        <v>214</v>
      </c>
      <c r="E62" s="634">
        <f>'[1]5'!F62</f>
        <v>20419</v>
      </c>
      <c r="F62" s="634">
        <v>20419</v>
      </c>
      <c r="G62" s="593">
        <f t="shared" ref="G62:G69" si="6">F62-E62</f>
        <v>0</v>
      </c>
      <c r="H62" s="580">
        <f>G62+'[1]5'!H62</f>
        <v>-0.18000000000029104</v>
      </c>
      <c r="I62" s="635"/>
      <c r="J62" s="673">
        <f>H62/DAY(B2)</f>
        <v>-3.0000000000048505E-2</v>
      </c>
      <c r="K62" s="508"/>
      <c r="L62" s="405"/>
      <c r="N62" s="410"/>
    </row>
    <row r="63" spans="1:14" x14ac:dyDescent="0.4">
      <c r="A63" s="724" t="s">
        <v>215</v>
      </c>
      <c r="B63" s="725"/>
      <c r="C63" s="725"/>
      <c r="D63" s="631" t="s">
        <v>214</v>
      </c>
      <c r="E63" s="634">
        <f>'[1]5'!F63</f>
        <v>936.41</v>
      </c>
      <c r="F63" s="634">
        <v>952.16</v>
      </c>
      <c r="G63" s="593">
        <f t="shared" si="6"/>
        <v>15.75</v>
      </c>
      <c r="H63" s="580">
        <f>G63+'[1]5'!H63</f>
        <v>95.789999999999964</v>
      </c>
      <c r="I63" s="635"/>
      <c r="J63" s="673">
        <f>H63/DAY(B2)</f>
        <v>15.964999999999995</v>
      </c>
      <c r="K63" s="508"/>
      <c r="L63" s="405"/>
      <c r="N63" s="410"/>
    </row>
    <row r="64" spans="1:14" ht="27.75" x14ac:dyDescent="0.5">
      <c r="A64" s="1395" t="s">
        <v>122</v>
      </c>
      <c r="B64" s="1396"/>
      <c r="C64" s="1397"/>
      <c r="D64" s="643" t="s">
        <v>214</v>
      </c>
      <c r="E64" s="604">
        <f>'[1]5'!F64</f>
        <v>88557.11</v>
      </c>
      <c r="F64" s="598">
        <v>88907.15</v>
      </c>
      <c r="G64" s="593">
        <f t="shared" si="6"/>
        <v>350.0399999999936</v>
      </c>
      <c r="H64" s="580">
        <f>G64+'[1]5'!H64</f>
        <v>2168.054999999993</v>
      </c>
      <c r="I64" s="600"/>
      <c r="J64" s="673">
        <f>H64/DAY(B2)</f>
        <v>361.34249999999884</v>
      </c>
      <c r="K64" s="508"/>
      <c r="L64" s="405"/>
      <c r="N64" s="410"/>
    </row>
    <row r="65" spans="1:14" ht="27.75" x14ac:dyDescent="0.5">
      <c r="A65" s="1395" t="s">
        <v>123</v>
      </c>
      <c r="B65" s="1396"/>
      <c r="C65" s="1397"/>
      <c r="D65" s="643" t="s">
        <v>214</v>
      </c>
      <c r="E65" s="604">
        <f>'[1]5'!F65</f>
        <v>98627.43</v>
      </c>
      <c r="F65" s="768">
        <v>99026.240000000005</v>
      </c>
      <c r="G65" s="593">
        <f t="shared" si="6"/>
        <v>398.81000000001222</v>
      </c>
      <c r="H65" s="580">
        <f>G65+'[1]5'!H65</f>
        <v>2390.2570000000123</v>
      </c>
      <c r="I65" s="609"/>
      <c r="J65" s="673">
        <f>H65/DAY(B2)</f>
        <v>398.37616666666872</v>
      </c>
      <c r="K65" s="508"/>
      <c r="L65" s="405"/>
      <c r="N65" s="410"/>
    </row>
    <row r="66" spans="1:14" ht="27.75" x14ac:dyDescent="0.5">
      <c r="A66" s="1395" t="s">
        <v>124</v>
      </c>
      <c r="B66" s="1396"/>
      <c r="C66" s="1397"/>
      <c r="D66" s="643" t="s">
        <v>214</v>
      </c>
      <c r="E66" s="604">
        <f>'[1]5'!F66</f>
        <v>91945.93</v>
      </c>
      <c r="F66" s="598">
        <v>92339.94</v>
      </c>
      <c r="G66" s="593">
        <f t="shared" si="6"/>
        <v>394.01000000000931</v>
      </c>
      <c r="H66" s="580">
        <f>G66+'[1]5'!H66</f>
        <v>2335.093000000008</v>
      </c>
      <c r="I66" s="600"/>
      <c r="J66" s="673">
        <f>H66/DAY(B2)</f>
        <v>389.18216666666802</v>
      </c>
      <c r="K66" s="508"/>
      <c r="L66" s="405"/>
      <c r="N66" s="410"/>
    </row>
    <row r="67" spans="1:14" ht="27.75" x14ac:dyDescent="0.5">
      <c r="A67" s="1395" t="s">
        <v>125</v>
      </c>
      <c r="B67" s="1396"/>
      <c r="C67" s="1397"/>
      <c r="D67" s="643" t="s">
        <v>214</v>
      </c>
      <c r="E67" s="604">
        <f>'[1]5'!F67</f>
        <v>149652.07</v>
      </c>
      <c r="F67" s="598">
        <v>150353.44</v>
      </c>
      <c r="G67" s="593">
        <f t="shared" si="6"/>
        <v>701.36999999999534</v>
      </c>
      <c r="H67" s="580">
        <f>G67+'[1]5'!H67</f>
        <v>4311.390000000014</v>
      </c>
      <c r="I67" s="609"/>
      <c r="J67" s="673">
        <f>H67/DAY(B2)</f>
        <v>718.56500000000233</v>
      </c>
      <c r="K67" s="509"/>
      <c r="L67" s="405"/>
      <c r="N67" s="410"/>
    </row>
    <row r="68" spans="1:14" ht="27.75" x14ac:dyDescent="0.5">
      <c r="A68" s="1395" t="s">
        <v>126</v>
      </c>
      <c r="B68" s="1396"/>
      <c r="C68" s="1397"/>
      <c r="D68" s="643" t="s">
        <v>214</v>
      </c>
      <c r="E68" s="604">
        <f>'[1]5'!F68</f>
        <v>45023.35</v>
      </c>
      <c r="F68" s="598">
        <v>45390.720000000001</v>
      </c>
      <c r="G68" s="593">
        <f t="shared" si="6"/>
        <v>367.37000000000262</v>
      </c>
      <c r="H68" s="580">
        <f>G68+'[1]5'!H68</f>
        <v>2215.6410000000033</v>
      </c>
      <c r="I68" s="636"/>
      <c r="J68" s="673">
        <f>H68/DAY(B2)</f>
        <v>369.27350000000052</v>
      </c>
      <c r="K68" s="510"/>
      <c r="L68" s="405"/>
      <c r="N68" s="410"/>
    </row>
    <row r="69" spans="1:14" ht="27.75" x14ac:dyDescent="0.5">
      <c r="A69" s="1395" t="s">
        <v>127</v>
      </c>
      <c r="B69" s="1396"/>
      <c r="C69" s="1397"/>
      <c r="D69" s="643" t="s">
        <v>214</v>
      </c>
      <c r="E69" s="604">
        <f>'[1]5'!F69</f>
        <v>38992.93</v>
      </c>
      <c r="F69" s="598">
        <v>39290.949999999997</v>
      </c>
      <c r="G69" s="593">
        <f t="shared" si="6"/>
        <v>298.0199999999968</v>
      </c>
      <c r="H69" s="580">
        <f>G69+'[1]5'!H69</f>
        <v>1735.3829999999944</v>
      </c>
      <c r="I69" s="636"/>
      <c r="J69" s="673">
        <f>H69/DAY(B2)</f>
        <v>289.23049999999904</v>
      </c>
      <c r="K69" s="511"/>
      <c r="L69" s="405"/>
      <c r="N69" s="410"/>
    </row>
    <row r="70" spans="1:14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/>
      <c r="I70" s="638"/>
      <c r="J70" s="677"/>
      <c r="K70" s="511"/>
      <c r="L70" s="405"/>
      <c r="N70" s="410"/>
    </row>
    <row r="71" spans="1:14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410"/>
    </row>
    <row r="72" spans="1:14" ht="27.75" x14ac:dyDescent="0.5">
      <c r="A72" s="1395" t="s">
        <v>218</v>
      </c>
      <c r="B72" s="1396"/>
      <c r="C72" s="1397"/>
      <c r="D72" s="643" t="s">
        <v>214</v>
      </c>
      <c r="E72" s="639">
        <f>'[1]5'!F72</f>
        <v>844218</v>
      </c>
      <c r="F72" s="771">
        <v>844226</v>
      </c>
      <c r="G72" s="593">
        <f t="shared" ref="G72:G84" si="7">F72-E72</f>
        <v>8</v>
      </c>
      <c r="H72" s="580">
        <f>G72+'[1]5'!H72</f>
        <v>49</v>
      </c>
      <c r="I72" s="600"/>
      <c r="J72" s="673">
        <f>H72/DAY(B2)</f>
        <v>8.1666666666666661</v>
      </c>
      <c r="K72" s="511"/>
      <c r="L72" s="405"/>
      <c r="N72" s="410"/>
    </row>
    <row r="73" spans="1:14" ht="27.75" x14ac:dyDescent="0.5">
      <c r="A73" s="1395" t="s">
        <v>219</v>
      </c>
      <c r="B73" s="1396"/>
      <c r="C73" s="1397"/>
      <c r="D73" s="643" t="s">
        <v>214</v>
      </c>
      <c r="E73" s="640">
        <f>'[1]5'!F73</f>
        <v>885336</v>
      </c>
      <c r="F73" s="772">
        <v>885357</v>
      </c>
      <c r="G73" s="769">
        <f t="shared" si="7"/>
        <v>21</v>
      </c>
      <c r="H73" s="580">
        <f>G73+'[1]5'!H73</f>
        <v>47</v>
      </c>
      <c r="I73" s="600"/>
      <c r="J73" s="673">
        <f>H73/DAY(B2)</f>
        <v>7.833333333333333</v>
      </c>
      <c r="K73" s="510"/>
      <c r="L73" s="405"/>
      <c r="N73" s="410"/>
    </row>
    <row r="74" spans="1:14" ht="27.75" x14ac:dyDescent="0.5">
      <c r="A74" s="1395" t="s">
        <v>220</v>
      </c>
      <c r="B74" s="1396"/>
      <c r="C74" s="1397"/>
      <c r="D74" s="643" t="s">
        <v>214</v>
      </c>
      <c r="E74" s="641">
        <f>'[1]5'!F74</f>
        <v>880325</v>
      </c>
      <c r="F74" s="771">
        <v>880345</v>
      </c>
      <c r="G74" s="593">
        <f t="shared" si="7"/>
        <v>20</v>
      </c>
      <c r="H74" s="580">
        <f>G74+'[1]5'!H74</f>
        <v>118</v>
      </c>
      <c r="I74" s="600"/>
      <c r="J74" s="673">
        <f>H74/DAY(B2)</f>
        <v>19.666666666666668</v>
      </c>
      <c r="K74" s="511"/>
      <c r="L74" s="405"/>
      <c r="N74" s="410"/>
    </row>
    <row r="75" spans="1:14" ht="27.75" x14ac:dyDescent="0.5">
      <c r="A75" s="1447" t="s">
        <v>221</v>
      </c>
      <c r="B75" s="1448"/>
      <c r="C75" s="1449"/>
      <c r="D75" s="643" t="s">
        <v>214</v>
      </c>
      <c r="E75" s="640">
        <f>'[1]5'!F75</f>
        <v>727038</v>
      </c>
      <c r="F75" s="772">
        <v>727220</v>
      </c>
      <c r="G75" s="593">
        <f t="shared" si="7"/>
        <v>182</v>
      </c>
      <c r="H75" s="580">
        <f>G75+'[1]5'!H75</f>
        <v>1040</v>
      </c>
      <c r="I75" s="600"/>
      <c r="J75" s="673">
        <f>H75/DAY(B2)</f>
        <v>173.33333333333334</v>
      </c>
      <c r="K75" s="510"/>
      <c r="L75" s="405"/>
      <c r="N75" s="410"/>
    </row>
    <row r="76" spans="1:14" s="523" customFormat="1" ht="27.75" x14ac:dyDescent="0.5">
      <c r="A76" s="1444" t="s">
        <v>222</v>
      </c>
      <c r="B76" s="1445"/>
      <c r="C76" s="1446"/>
      <c r="D76" s="748" t="s">
        <v>214</v>
      </c>
      <c r="E76" s="640">
        <f>'[1]5'!F76</f>
        <v>681969</v>
      </c>
      <c r="F76" s="772">
        <v>682033</v>
      </c>
      <c r="G76" s="769">
        <f t="shared" si="7"/>
        <v>64</v>
      </c>
      <c r="H76" s="841">
        <f>G76+'[1]5'!H76</f>
        <v>357</v>
      </c>
      <c r="I76" s="1275"/>
      <c r="J76" s="843">
        <f>H76/DAY(B2)</f>
        <v>59.5</v>
      </c>
      <c r="K76" s="1288"/>
      <c r="L76" s="1250"/>
      <c r="N76" s="849"/>
    </row>
    <row r="77" spans="1:14" ht="27.75" x14ac:dyDescent="0.5">
      <c r="A77" s="1395" t="s">
        <v>223</v>
      </c>
      <c r="B77" s="1396"/>
      <c r="C77" s="1397"/>
      <c r="D77" s="643" t="s">
        <v>214</v>
      </c>
      <c r="E77" s="640">
        <f>'[1]5'!F77</f>
        <v>693984</v>
      </c>
      <c r="F77" s="772">
        <v>694033</v>
      </c>
      <c r="G77" s="769">
        <f t="shared" si="7"/>
        <v>49</v>
      </c>
      <c r="H77" s="580">
        <f>G77+'[1]5'!H77</f>
        <v>313</v>
      </c>
      <c r="I77" s="625"/>
      <c r="J77" s="673">
        <f>H77/DAY(B2)</f>
        <v>52.166666666666664</v>
      </c>
      <c r="K77" s="510"/>
      <c r="L77" s="405"/>
      <c r="N77" s="410"/>
    </row>
    <row r="78" spans="1:14" ht="27.75" x14ac:dyDescent="0.5">
      <c r="A78" s="1357" t="s">
        <v>224</v>
      </c>
      <c r="B78" s="1320"/>
      <c r="C78" s="1320"/>
      <c r="D78" s="643" t="s">
        <v>214</v>
      </c>
      <c r="E78" s="641">
        <f>'[1]5'!F78</f>
        <v>620230</v>
      </c>
      <c r="F78" s="773">
        <v>620638</v>
      </c>
      <c r="G78" s="593">
        <f t="shared" si="7"/>
        <v>408</v>
      </c>
      <c r="H78" s="580">
        <f>G78+'[1]5'!H78</f>
        <v>2385</v>
      </c>
      <c r="I78" s="625"/>
      <c r="J78" s="673">
        <f>H78/DAY(B2)</f>
        <v>397.5</v>
      </c>
      <c r="K78" s="510"/>
      <c r="L78" s="405"/>
      <c r="N78" s="410"/>
    </row>
    <row r="79" spans="1:14" ht="27.75" x14ac:dyDescent="0.5">
      <c r="A79" s="1447" t="s">
        <v>112</v>
      </c>
      <c r="B79" s="1448"/>
      <c r="C79" s="1449"/>
      <c r="D79" s="644" t="s">
        <v>214</v>
      </c>
      <c r="E79" s="641">
        <f>'[1]5'!F79</f>
        <v>798952</v>
      </c>
      <c r="F79" s="773">
        <v>799143</v>
      </c>
      <c r="G79" s="593">
        <f t="shared" si="7"/>
        <v>191</v>
      </c>
      <c r="H79" s="580">
        <f>G79+'[1]5'!H79</f>
        <v>1157</v>
      </c>
      <c r="I79" s="625"/>
      <c r="J79" s="673">
        <f>H79/DAY(B2)</f>
        <v>192.83333333333334</v>
      </c>
      <c r="K79" s="510"/>
      <c r="L79" s="405"/>
      <c r="N79" s="410"/>
    </row>
    <row r="80" spans="1:14" ht="27.75" x14ac:dyDescent="0.5">
      <c r="A80" s="1447" t="s">
        <v>225</v>
      </c>
      <c r="B80" s="1448"/>
      <c r="C80" s="1449"/>
      <c r="D80" s="644" t="s">
        <v>214</v>
      </c>
      <c r="E80" s="640">
        <f>'[1]5'!F80</f>
        <v>467087.48</v>
      </c>
      <c r="F80" s="772">
        <v>467424</v>
      </c>
      <c r="G80" s="593">
        <f t="shared" si="7"/>
        <v>336.52000000001863</v>
      </c>
      <c r="H80" s="580">
        <f>G80+'[1]5'!H80</f>
        <v>1926.1199999999953</v>
      </c>
      <c r="I80" s="625"/>
      <c r="J80" s="673">
        <f>H80/DAY(B2)</f>
        <v>321.01999999999924</v>
      </c>
      <c r="K80" s="510"/>
      <c r="L80" s="405"/>
      <c r="N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'[1]5'!F81</f>
        <v>615176.64</v>
      </c>
      <c r="F81" s="772">
        <v>615339</v>
      </c>
      <c r="G81" s="593">
        <f t="shared" si="7"/>
        <v>162.35999999998603</v>
      </c>
      <c r="H81" s="580">
        <f>G81+'[1]5'!H81</f>
        <v>950.47999999998137</v>
      </c>
      <c r="I81" s="625"/>
      <c r="J81" s="673">
        <f>H81/DAY(B2)</f>
        <v>158.41333333333023</v>
      </c>
      <c r="K81" s="510"/>
      <c r="L81" s="405"/>
      <c r="N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2">
        <f>'[1]5'!F82</f>
        <v>103623.09</v>
      </c>
      <c r="F82" s="768">
        <v>103632</v>
      </c>
      <c r="G82" s="593">
        <f t="shared" si="7"/>
        <v>8.9100000000034925</v>
      </c>
      <c r="H82" s="580">
        <f>G82+'[1]5'!H82</f>
        <v>102.35000000000582</v>
      </c>
      <c r="I82" s="606"/>
      <c r="J82" s="673">
        <f>H82/DAY(B2)</f>
        <v>17.058333333334303</v>
      </c>
      <c r="K82" s="510"/>
      <c r="L82" s="405"/>
      <c r="N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1">
        <f>'[1]5'!F83</f>
        <v>964228</v>
      </c>
      <c r="F83" s="631">
        <v>964555</v>
      </c>
      <c r="G83" s="593">
        <f t="shared" si="7"/>
        <v>327</v>
      </c>
      <c r="H83" s="580">
        <f>G83+'[1]5'!H83</f>
        <v>2030</v>
      </c>
      <c r="I83" s="601"/>
      <c r="J83" s="673">
        <f>H83/DAY(B2)</f>
        <v>338.33333333333331</v>
      </c>
      <c r="K83" s="509"/>
      <c r="L83" s="405"/>
      <c r="N83" s="410"/>
    </row>
    <row r="84" spans="1:15" x14ac:dyDescent="0.5">
      <c r="A84" s="1360" t="s">
        <v>228</v>
      </c>
      <c r="B84" s="692"/>
      <c r="C84" s="692"/>
      <c r="D84" s="598" t="s">
        <v>159</v>
      </c>
      <c r="E84" s="748">
        <f>'[1]5'!F84</f>
        <v>384119</v>
      </c>
      <c r="F84" s="748">
        <v>384672</v>
      </c>
      <c r="G84" s="593">
        <f t="shared" si="7"/>
        <v>553</v>
      </c>
      <c r="H84" s="580">
        <f>G84+'[1]5'!H84</f>
        <v>3316</v>
      </c>
      <c r="I84" s="601"/>
      <c r="J84" s="673">
        <f>H84/DAY(B2)</f>
        <v>552.66666666666663</v>
      </c>
      <c r="K84" s="408"/>
      <c r="L84" s="405"/>
      <c r="N84" s="410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2330.7900000000081</v>
      </c>
      <c r="H85" s="580">
        <f>G85+'[1]5'!H85</f>
        <v>11969.519999999931</v>
      </c>
      <c r="I85" s="601"/>
      <c r="J85" s="673">
        <f>H85/DAY(B2)</f>
        <v>1994.9199999999885</v>
      </c>
      <c r="K85" s="408"/>
      <c r="L85" s="406"/>
      <c r="N85" s="410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48">
        <f>'[1]5'!F86</f>
        <v>441332.84</v>
      </c>
      <c r="F86" s="764">
        <v>441467</v>
      </c>
      <c r="G86" s="841">
        <f t="shared" ref="G86:G90" si="8">F86-E86</f>
        <v>134.15999999997439</v>
      </c>
      <c r="H86" s="841">
        <f t="shared" ref="H86:H88" si="9">G86</f>
        <v>134.15999999997439</v>
      </c>
      <c r="I86" s="769"/>
      <c r="J86" s="843">
        <f>H86/DAY(B2)</f>
        <v>22.359999999995733</v>
      </c>
      <c r="K86" s="869"/>
      <c r="L86" s="870"/>
      <c r="O86" s="849"/>
    </row>
    <row r="87" spans="1:15" s="871" customFormat="1" x14ac:dyDescent="0.5">
      <c r="A87" s="1289" t="s">
        <v>118</v>
      </c>
      <c r="B87" s="867"/>
      <c r="C87" s="867"/>
      <c r="D87" s="868" t="s">
        <v>210</v>
      </c>
      <c r="E87" s="748">
        <f>'[1]5'!F87</f>
        <v>77051.8</v>
      </c>
      <c r="F87" s="764">
        <v>77060.899999999994</v>
      </c>
      <c r="G87" s="841">
        <f t="shared" si="8"/>
        <v>9.0999999999912689</v>
      </c>
      <c r="H87" s="841">
        <f t="shared" si="9"/>
        <v>9.0999999999912689</v>
      </c>
      <c r="I87" s="769"/>
      <c r="J87" s="843">
        <f>H87/DAY(B2)</f>
        <v>1.5166666666652115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48">
        <f>'[1]5'!F88</f>
        <v>142905.76</v>
      </c>
      <c r="F88" s="764">
        <v>142964.99</v>
      </c>
      <c r="G88" s="841">
        <f t="shared" si="8"/>
        <v>59.229999999981374</v>
      </c>
      <c r="H88" s="841">
        <f t="shared" si="9"/>
        <v>59.229999999981374</v>
      </c>
      <c r="I88" s="769"/>
      <c r="J88" s="843">
        <f>H88/DAY(B2)</f>
        <v>9.8716666666635629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48">
        <f>'[1]5'!F89</f>
        <v>56017.8</v>
      </c>
      <c r="F89" s="764">
        <v>56071.9</v>
      </c>
      <c r="G89" s="841">
        <f t="shared" si="8"/>
        <v>54.099999999998545</v>
      </c>
      <c r="H89" s="841">
        <f>G89</f>
        <v>54.099999999998545</v>
      </c>
      <c r="I89" s="769"/>
      <c r="J89" s="843">
        <f>H89/DAY(B2)</f>
        <v>9.0166666666664241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48">
        <f>'[1]5'!F90</f>
        <v>2909</v>
      </c>
      <c r="F90" s="764">
        <v>2910.4</v>
      </c>
      <c r="G90" s="841">
        <f t="shared" si="8"/>
        <v>1.4000000000000909</v>
      </c>
      <c r="H90" s="841">
        <f>G90</f>
        <v>1.4000000000000909</v>
      </c>
      <c r="I90" s="769"/>
      <c r="J90" s="843">
        <f>H90/DAY(B2)</f>
        <v>0.23333333333334849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'[1]5'!F92</f>
        <v>231368</v>
      </c>
      <c r="F92" s="598">
        <v>231484</v>
      </c>
      <c r="G92" s="593">
        <f t="shared" ref="G92:G93" si="10">F92-E92</f>
        <v>116</v>
      </c>
      <c r="H92" s="580">
        <f>G92+'[1]5'!H92</f>
        <v>509</v>
      </c>
      <c r="I92" s="600"/>
      <c r="J92" s="673">
        <f>H92/DAY(B2)</f>
        <v>84.833333333333329</v>
      </c>
      <c r="K92" s="509"/>
      <c r="L92" s="405"/>
      <c r="N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'[1]5'!F93</f>
        <v>163312</v>
      </c>
      <c r="F93" s="598">
        <v>163454</v>
      </c>
      <c r="G93" s="593">
        <f t="shared" si="10"/>
        <v>142</v>
      </c>
      <c r="H93" s="580">
        <f>G93+'[1]5'!H93</f>
        <v>812</v>
      </c>
      <c r="I93" s="600"/>
      <c r="J93" s="673">
        <f>H93/DAY(B2)</f>
        <v>135.33333333333334</v>
      </c>
      <c r="K93" s="408"/>
      <c r="L93" s="405"/>
      <c r="N93" s="410"/>
    </row>
    <row r="94" spans="1:15" x14ac:dyDescent="0.5">
      <c r="A94" s="1392" t="s">
        <v>235</v>
      </c>
      <c r="B94" s="1393"/>
      <c r="C94" s="1394"/>
      <c r="D94" s="643"/>
      <c r="E94" s="604">
        <f>'[1]5'!F94</f>
        <v>0</v>
      </c>
      <c r="F94" s="598"/>
      <c r="G94" s="593">
        <f>G92+G93</f>
        <v>258</v>
      </c>
      <c r="H94" s="580">
        <f>G94+'[1]5'!H94</f>
        <v>1058</v>
      </c>
      <c r="I94" s="600"/>
      <c r="J94" s="673">
        <f>H94/DAY(B2)</f>
        <v>176.33333333333334</v>
      </c>
      <c r="K94" s="408"/>
      <c r="L94" s="405"/>
      <c r="N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'[1]5'!F95</f>
        <v>401831</v>
      </c>
      <c r="F95" s="598">
        <v>401888</v>
      </c>
      <c r="G95" s="593">
        <f t="shared" ref="G95:G100" si="11">F95-E95</f>
        <v>57</v>
      </c>
      <c r="H95" s="580">
        <f>G95+'[1]5'!H95</f>
        <v>323</v>
      </c>
      <c r="I95" s="600"/>
      <c r="J95" s="673">
        <f>H95/DAY(B2)</f>
        <v>53.833333333333336</v>
      </c>
      <c r="K95" s="408"/>
      <c r="L95" s="405"/>
      <c r="N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'[1]5'!F96</f>
        <v>99249</v>
      </c>
      <c r="F96" s="598">
        <v>99285</v>
      </c>
      <c r="G96" s="593">
        <f t="shared" si="11"/>
        <v>36</v>
      </c>
      <c r="H96" s="580">
        <f>G96+'[1]5'!H96</f>
        <v>174</v>
      </c>
      <c r="I96" s="600"/>
      <c r="J96" s="673">
        <f>H96/DAY(B2)</f>
        <v>29</v>
      </c>
      <c r="K96" s="507"/>
      <c r="L96" s="405"/>
      <c r="N96" s="410"/>
    </row>
    <row r="97" spans="1:14" ht="27.75" x14ac:dyDescent="0.5">
      <c r="A97" s="1354" t="s">
        <v>238</v>
      </c>
      <c r="B97" s="1355"/>
      <c r="C97" s="1355"/>
      <c r="D97" s="643" t="s">
        <v>171</v>
      </c>
      <c r="E97" s="604">
        <f>'[1]5'!F97</f>
        <v>94372</v>
      </c>
      <c r="F97" s="598">
        <v>94393</v>
      </c>
      <c r="G97" s="593">
        <f t="shared" si="11"/>
        <v>21</v>
      </c>
      <c r="H97" s="580">
        <f>G97+'[1]5'!H97</f>
        <v>121</v>
      </c>
      <c r="I97" s="600"/>
      <c r="J97" s="673">
        <f>H97/DAY(B2)</f>
        <v>20.166666666666668</v>
      </c>
      <c r="K97" s="512"/>
      <c r="L97" s="405"/>
      <c r="N97" s="410"/>
    </row>
    <row r="98" spans="1:14" ht="27.75" x14ac:dyDescent="0.5">
      <c r="A98" s="1354" t="s">
        <v>239</v>
      </c>
      <c r="B98" s="1355"/>
      <c r="C98" s="1355"/>
      <c r="D98" s="643" t="s">
        <v>171</v>
      </c>
      <c r="E98" s="604">
        <f>'[1]5'!F98</f>
        <v>142404</v>
      </c>
      <c r="F98" s="598">
        <v>142457</v>
      </c>
      <c r="G98" s="593">
        <f t="shared" si="11"/>
        <v>53</v>
      </c>
      <c r="H98" s="580">
        <f>G98+'[1]5'!H98</f>
        <v>311</v>
      </c>
      <c r="I98" s="600"/>
      <c r="J98" s="673">
        <f>H98/DAY(B2)</f>
        <v>51.833333333333336</v>
      </c>
      <c r="K98" s="408"/>
      <c r="L98" s="405"/>
      <c r="N98" s="823"/>
    </row>
    <row r="99" spans="1:14" ht="27.75" x14ac:dyDescent="0.5">
      <c r="A99" s="1354" t="s">
        <v>240</v>
      </c>
      <c r="B99" s="1355"/>
      <c r="C99" s="1355"/>
      <c r="D99" s="643" t="s">
        <v>171</v>
      </c>
      <c r="E99" s="604">
        <f>'[1]5'!F99</f>
        <v>5085</v>
      </c>
      <c r="F99" s="598">
        <v>5109</v>
      </c>
      <c r="G99" s="593">
        <f t="shared" si="11"/>
        <v>24</v>
      </c>
      <c r="H99" s="580">
        <f>G99+'[1]5'!H99</f>
        <v>141</v>
      </c>
      <c r="I99" s="600"/>
      <c r="J99" s="673">
        <f>H99/DAY(B2)</f>
        <v>23.5</v>
      </c>
      <c r="K99" s="408"/>
      <c r="L99" s="405"/>
      <c r="N99" s="410"/>
    </row>
    <row r="100" spans="1:14" ht="27.75" x14ac:dyDescent="0.5">
      <c r="A100" s="1354" t="s">
        <v>241</v>
      </c>
      <c r="B100" s="1355"/>
      <c r="C100" s="1355"/>
      <c r="D100" s="643" t="s">
        <v>171</v>
      </c>
      <c r="E100" s="604">
        <f>'[1]5'!F100</f>
        <v>3674</v>
      </c>
      <c r="F100" s="598">
        <v>3674</v>
      </c>
      <c r="G100" s="593">
        <f t="shared" si="11"/>
        <v>0</v>
      </c>
      <c r="H100" s="580">
        <f>G100+'[1]5'!H100</f>
        <v>0</v>
      </c>
      <c r="I100" s="600"/>
      <c r="J100" s="673">
        <f>H100/DAY(B2)</f>
        <v>0</v>
      </c>
      <c r="K100" s="408"/>
      <c r="L100" s="405"/>
      <c r="N100" s="410"/>
    </row>
    <row r="101" spans="1:14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191</v>
      </c>
      <c r="H101" s="580">
        <f>G101+'[1]5'!H101</f>
        <v>1070</v>
      </c>
      <c r="I101" s="646"/>
      <c r="J101" s="673">
        <f>H101/DAY(B2)</f>
        <v>178.33333333333334</v>
      </c>
      <c r="K101" s="408"/>
      <c r="L101" s="405"/>
      <c r="N101" s="410"/>
    </row>
    <row r="102" spans="1:14" s="524" customFormat="1" ht="27" x14ac:dyDescent="0.35">
      <c r="A102" s="728" t="s">
        <v>243</v>
      </c>
      <c r="B102" s="729"/>
      <c r="C102" s="729"/>
      <c r="D102" s="742"/>
      <c r="E102" s="648"/>
      <c r="F102" s="774"/>
      <c r="G102" s="649"/>
      <c r="H102" s="650"/>
      <c r="I102" s="651"/>
      <c r="J102" s="678"/>
      <c r="N102" s="410"/>
    </row>
    <row r="103" spans="1:14" s="524" customFormat="1" ht="27.75" x14ac:dyDescent="0.5">
      <c r="A103" s="1404" t="s">
        <v>244</v>
      </c>
      <c r="B103" s="1405"/>
      <c r="C103" s="694"/>
      <c r="D103" s="743"/>
      <c r="E103" s="652"/>
      <c r="F103" s="775"/>
      <c r="G103" s="652"/>
      <c r="H103" s="653"/>
      <c r="I103" s="652"/>
      <c r="J103" s="679"/>
      <c r="N103" s="410"/>
    </row>
    <row r="104" spans="1:14" s="524" customFormat="1" ht="27.75" x14ac:dyDescent="0.5">
      <c r="A104" s="1406" t="s">
        <v>245</v>
      </c>
      <c r="B104" s="1407"/>
      <c r="C104" s="1359"/>
      <c r="D104" s="743" t="s">
        <v>171</v>
      </c>
      <c r="E104" s="652">
        <f>'[1]5'!F104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9.5</v>
      </c>
      <c r="N104" s="410"/>
    </row>
    <row r="105" spans="1:14" s="524" customFormat="1" ht="27.75" x14ac:dyDescent="0.5">
      <c r="A105" s="1406" t="s">
        <v>92</v>
      </c>
      <c r="B105" s="1407"/>
      <c r="C105" s="1359"/>
      <c r="D105" s="743" t="s">
        <v>171</v>
      </c>
      <c r="E105" s="652">
        <f>'[1]5'!F105</f>
        <v>34697</v>
      </c>
      <c r="F105" s="776">
        <v>34702</v>
      </c>
      <c r="G105" s="652">
        <f t="shared" ref="G105" si="12">F105-E105</f>
        <v>5</v>
      </c>
      <c r="H105" s="653">
        <f>SUM(G105+'[1]1'!G77)</f>
        <v>60</v>
      </c>
      <c r="I105" s="652"/>
      <c r="J105" s="679">
        <f>H105/DAY(B2)</f>
        <v>10</v>
      </c>
      <c r="N105" s="410"/>
    </row>
    <row r="106" spans="1:14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'[1]5'!F106</f>
        <v>18759</v>
      </c>
      <c r="F106" s="775">
        <v>18764</v>
      </c>
      <c r="G106" s="652">
        <f>F106-E106</f>
        <v>5</v>
      </c>
      <c r="H106" s="653">
        <f>SUM(G106+'[1]1'!G78)</f>
        <v>485</v>
      </c>
      <c r="I106" s="652"/>
      <c r="J106" s="679">
        <f>H106/DAY(B2)</f>
        <v>80.833333333333329</v>
      </c>
      <c r="N106" s="410"/>
    </row>
    <row r="107" spans="1:14" s="524" customFormat="1" ht="27.75" x14ac:dyDescent="0.5">
      <c r="A107" s="1409" t="s">
        <v>82</v>
      </c>
      <c r="B107" s="1410"/>
      <c r="C107" s="1359"/>
      <c r="D107" s="743"/>
      <c r="E107" s="652"/>
      <c r="F107" s="775"/>
      <c r="G107" s="652">
        <f>SUM(G104:G106)</f>
        <v>10</v>
      </c>
      <c r="H107" s="653">
        <f>SUM(G107+'[1]1'!G79)</f>
        <v>211</v>
      </c>
      <c r="I107" s="652"/>
      <c r="J107" s="679">
        <f>H107/DAY(B2)</f>
        <v>35.166666666666664</v>
      </c>
      <c r="N107" s="410"/>
    </row>
    <row r="108" spans="1:14" s="524" customFormat="1" ht="27.75" x14ac:dyDescent="0.5">
      <c r="A108" s="1411" t="s">
        <v>94</v>
      </c>
      <c r="B108" s="1412"/>
      <c r="C108" s="1359"/>
      <c r="D108" s="743" t="s">
        <v>171</v>
      </c>
      <c r="E108" s="652"/>
      <c r="F108" s="775"/>
      <c r="G108" s="652"/>
      <c r="H108" s="653"/>
      <c r="I108" s="652"/>
      <c r="J108" s="679"/>
      <c r="N108" s="410"/>
    </row>
    <row r="109" spans="1:14" s="537" customFormat="1" ht="27.75" x14ac:dyDescent="0.5">
      <c r="A109" s="1468" t="s">
        <v>246</v>
      </c>
      <c r="B109" s="1469"/>
      <c r="C109" s="695"/>
      <c r="D109" s="745" t="s">
        <v>171</v>
      </c>
      <c r="E109" s="654">
        <f>'[1]5'!F109</f>
        <v>51543</v>
      </c>
      <c r="F109" s="776">
        <v>51598</v>
      </c>
      <c r="G109" s="654">
        <f>F109-E109</f>
        <v>55</v>
      </c>
      <c r="H109" s="656">
        <f>SUM(G109+'[1]1'!G81)</f>
        <v>208.28000000002794</v>
      </c>
      <c r="I109" s="654"/>
      <c r="J109" s="680">
        <f>H109/DAY(B2)</f>
        <v>34.713333333337992</v>
      </c>
      <c r="N109" s="849"/>
    </row>
    <row r="110" spans="1:14" s="524" customFormat="1" ht="27.75" x14ac:dyDescent="0.5">
      <c r="A110" s="1406" t="s">
        <v>247</v>
      </c>
      <c r="B110" s="1407"/>
      <c r="C110" s="1359"/>
      <c r="D110" s="743" t="s">
        <v>171</v>
      </c>
      <c r="E110" s="652">
        <f>'[1]5'!F110</f>
        <v>25582</v>
      </c>
      <c r="F110" s="775">
        <v>25629</v>
      </c>
      <c r="G110" s="652">
        <f t="shared" ref="G110:G111" si="13">F110-E110</f>
        <v>47</v>
      </c>
      <c r="H110" s="653">
        <f>SUM(G110+'[1]1'!G82)</f>
        <v>67.760000000009313</v>
      </c>
      <c r="I110" s="652"/>
      <c r="J110" s="679">
        <f>H110/DAY(B2)</f>
        <v>11.293333333334886</v>
      </c>
      <c r="N110" s="410"/>
    </row>
    <row r="111" spans="1:14" s="524" customFormat="1" ht="27.75" x14ac:dyDescent="0.5">
      <c r="A111" s="1406" t="s">
        <v>248</v>
      </c>
      <c r="B111" s="1407"/>
      <c r="C111" s="1359"/>
      <c r="D111" s="743" t="s">
        <v>171</v>
      </c>
      <c r="E111" s="652">
        <f>'[1]5'!F111</f>
        <v>3412</v>
      </c>
      <c r="F111" s="775">
        <v>3412</v>
      </c>
      <c r="G111" s="652">
        <f t="shared" si="13"/>
        <v>0</v>
      </c>
      <c r="H111" s="653">
        <f>SUM(G111+'[1]1'!G83)</f>
        <v>346</v>
      </c>
      <c r="I111" s="652"/>
      <c r="J111" s="679">
        <f>H111/DAY(B2)</f>
        <v>57.666666666666664</v>
      </c>
      <c r="N111" s="410"/>
    </row>
    <row r="112" spans="1:14" s="524" customFormat="1" ht="27.75" x14ac:dyDescent="0.5">
      <c r="A112" s="1409" t="s">
        <v>136</v>
      </c>
      <c r="B112" s="1410"/>
      <c r="C112" s="1359"/>
      <c r="D112" s="743"/>
      <c r="E112" s="652"/>
      <c r="F112" s="775"/>
      <c r="G112" s="652">
        <f>SUM(G109:G111)</f>
        <v>102</v>
      </c>
      <c r="H112" s="653">
        <f>SUM(G112+'[1]1'!G84)</f>
        <v>666</v>
      </c>
      <c r="I112" s="652"/>
      <c r="J112" s="679">
        <f>H112/DAY(B2)</f>
        <v>111</v>
      </c>
      <c r="N112" s="410"/>
    </row>
    <row r="113" spans="1:14" s="524" customFormat="1" ht="27.75" x14ac:dyDescent="0.5">
      <c r="A113" s="1411" t="s">
        <v>249</v>
      </c>
      <c r="B113" s="1412"/>
      <c r="C113" s="1359"/>
      <c r="D113" s="743"/>
      <c r="E113" s="652"/>
      <c r="F113" s="775"/>
      <c r="G113" s="652"/>
      <c r="H113" s="653"/>
      <c r="I113" s="652"/>
      <c r="J113" s="679">
        <f>H113/DAY(B2)</f>
        <v>0</v>
      </c>
      <c r="N113" s="410"/>
    </row>
    <row r="114" spans="1:14" s="524" customFormat="1" ht="27.75" x14ac:dyDescent="0.5">
      <c r="A114" s="1406" t="s">
        <v>250</v>
      </c>
      <c r="B114" s="1407"/>
      <c r="C114" s="695"/>
      <c r="D114" s="743" t="s">
        <v>171</v>
      </c>
      <c r="E114" s="652">
        <f>'[1]5'!F114</f>
        <v>8739</v>
      </c>
      <c r="F114" s="776">
        <v>8767</v>
      </c>
      <c r="G114" s="654">
        <f>F114-E114</f>
        <v>28</v>
      </c>
      <c r="H114" s="653">
        <f>SUM(G114+'[1]1'!G91)</f>
        <v>28</v>
      </c>
      <c r="I114" s="652"/>
      <c r="J114" s="679">
        <f>H114/DAY(B2)</f>
        <v>4.666666666666667</v>
      </c>
      <c r="N114" s="410"/>
    </row>
    <row r="115" spans="1:14" s="524" customFormat="1" ht="27.75" x14ac:dyDescent="0.5">
      <c r="A115" s="1406" t="s">
        <v>251</v>
      </c>
      <c r="B115" s="1407"/>
      <c r="C115" s="695"/>
      <c r="D115" s="743" t="s">
        <v>171</v>
      </c>
      <c r="E115" s="652">
        <f>'[1]5'!F115</f>
        <v>6859</v>
      </c>
      <c r="F115" s="776">
        <v>6873</v>
      </c>
      <c r="G115" s="654">
        <f t="shared" ref="G115:G116" si="14">F115-E115</f>
        <v>14</v>
      </c>
      <c r="H115" s="653">
        <f>SUM(G115+'[1]1'!G92)</f>
        <v>126</v>
      </c>
      <c r="I115" s="652"/>
      <c r="J115" s="679">
        <f>H115/DAY(B2)</f>
        <v>21</v>
      </c>
      <c r="N115" s="410"/>
    </row>
    <row r="116" spans="1:14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776"/>
      <c r="G116" s="654">
        <f t="shared" si="14"/>
        <v>0</v>
      </c>
      <c r="H116" s="653">
        <f>SUM(G116+'[1]1'!G93)</f>
        <v>151</v>
      </c>
      <c r="I116" s="652"/>
      <c r="J116" s="679">
        <f>H116/DAY(B2)</f>
        <v>25.166666666666668</v>
      </c>
      <c r="N116" s="410"/>
    </row>
    <row r="117" spans="1:14" s="537" customFormat="1" ht="27.75" x14ac:dyDescent="0.5">
      <c r="A117" s="1409" t="s">
        <v>82</v>
      </c>
      <c r="B117" s="1410"/>
      <c r="C117" s="695"/>
      <c r="D117" s="744"/>
      <c r="E117" s="654"/>
      <c r="F117" s="776"/>
      <c r="G117" s="654">
        <f>SUM(G114:G116)</f>
        <v>42</v>
      </c>
      <c r="H117" s="653">
        <f>SUM(G117+'[1]1'!G95)</f>
        <v>89</v>
      </c>
      <c r="I117" s="654"/>
      <c r="J117" s="679">
        <f>H117/DAY(B2)</f>
        <v>14.833333333333334</v>
      </c>
      <c r="N117" s="410"/>
    </row>
    <row r="118" spans="1:14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174</v>
      </c>
      <c r="G118" s="656">
        <f>SUM(G19+G92)</f>
        <v>174</v>
      </c>
      <c r="H118" s="653">
        <f>SUM(G118+'[1]1'!G96)</f>
        <v>207</v>
      </c>
      <c r="I118" s="655"/>
      <c r="J118" s="680">
        <f>H118/DAY(B2)</f>
        <v>34.5</v>
      </c>
      <c r="N118" s="410"/>
    </row>
    <row r="119" spans="1:14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138</v>
      </c>
      <c r="G119" s="656">
        <f>SUM(G95,G96,G97,G99,G100)</f>
        <v>138</v>
      </c>
      <c r="H119" s="653">
        <f>SUM(G119+'[1]1'!G98)</f>
        <v>205</v>
      </c>
      <c r="I119" s="655"/>
      <c r="J119" s="680">
        <f>H119/DAY(B2)</f>
        <v>34.166666666666664</v>
      </c>
      <c r="N119" s="410"/>
    </row>
    <row r="120" spans="1:14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102</v>
      </c>
      <c r="G120" s="654">
        <f>SUM(G112)</f>
        <v>102</v>
      </c>
      <c r="H120" s="653">
        <f>SUM(G120+'[1]1'!G100)</f>
        <v>102</v>
      </c>
      <c r="I120" s="655"/>
      <c r="J120" s="680">
        <f>H120/DAY(B2)</f>
        <v>17</v>
      </c>
      <c r="N120" s="410"/>
    </row>
    <row r="121" spans="1:14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N121" s="410"/>
    </row>
    <row r="122" spans="1:14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410"/>
    </row>
    <row r="123" spans="1:14" ht="27.75" x14ac:dyDescent="0.5">
      <c r="A123" s="1354" t="s">
        <v>257</v>
      </c>
      <c r="B123" s="1355"/>
      <c r="C123" s="1355"/>
      <c r="D123" s="643" t="s">
        <v>168</v>
      </c>
      <c r="E123" s="598">
        <f>'[1]5'!F123</f>
        <v>789857.56099999999</v>
      </c>
      <c r="F123" s="598">
        <v>790064.55</v>
      </c>
      <c r="G123" s="593">
        <f t="shared" ref="G123:G127" si="15">F123-E123</f>
        <v>206.9890000000596</v>
      </c>
      <c r="H123" s="580">
        <f>G123+'[1]5'!H123</f>
        <v>1233.4800000000978</v>
      </c>
      <c r="I123" s="646"/>
      <c r="J123" s="673">
        <f>H123/DAY(B2)</f>
        <v>205.5800000000163</v>
      </c>
      <c r="K123" s="408"/>
      <c r="L123" s="405"/>
      <c r="N123" s="410"/>
    </row>
    <row r="124" spans="1:14" ht="27.75" x14ac:dyDescent="0.5">
      <c r="A124" s="1354" t="s">
        <v>258</v>
      </c>
      <c r="B124" s="1355"/>
      <c r="C124" s="1355"/>
      <c r="D124" s="643" t="s">
        <v>168</v>
      </c>
      <c r="E124" s="747">
        <f>'[1]5'!F124</f>
        <v>73582</v>
      </c>
      <c r="F124" s="747">
        <v>73582</v>
      </c>
      <c r="G124" s="593">
        <f t="shared" si="15"/>
        <v>0</v>
      </c>
      <c r="H124" s="580">
        <f>G124+'[1]5'!H124</f>
        <v>-0.19999999999708962</v>
      </c>
      <c r="I124" s="646"/>
      <c r="J124" s="673">
        <f>H124/DAY(B2)</f>
        <v>-3.3333333332848269E-2</v>
      </c>
      <c r="K124" s="408"/>
      <c r="L124" s="405"/>
      <c r="N124" s="410"/>
    </row>
    <row r="125" spans="1:14" ht="27.75" x14ac:dyDescent="0.5">
      <c r="A125" s="1395" t="s">
        <v>259</v>
      </c>
      <c r="B125" s="1396"/>
      <c r="C125" s="1397"/>
      <c r="D125" s="643" t="s">
        <v>168</v>
      </c>
      <c r="E125" s="598">
        <f>'[1]5'!F125</f>
        <v>133508.26999999999</v>
      </c>
      <c r="F125" s="598">
        <v>133618.71</v>
      </c>
      <c r="G125" s="593">
        <f t="shared" si="15"/>
        <v>110.44000000000233</v>
      </c>
      <c r="H125" s="580">
        <f>G125+'[1]5'!H125</f>
        <v>495.82999999998719</v>
      </c>
      <c r="I125" s="646"/>
      <c r="J125" s="673">
        <f>H125/DAY(B2)</f>
        <v>82.638333333331204</v>
      </c>
      <c r="K125" s="408"/>
      <c r="L125" s="405"/>
      <c r="N125" s="410"/>
    </row>
    <row r="126" spans="1:14" ht="27.75" x14ac:dyDescent="0.5">
      <c r="A126" s="730" t="s">
        <v>260</v>
      </c>
      <c r="B126" s="1355"/>
      <c r="C126" s="1355"/>
      <c r="D126" s="643" t="s">
        <v>168</v>
      </c>
      <c r="E126" s="605">
        <f>'[1]5'!F126</f>
        <v>56481.7</v>
      </c>
      <c r="F126" s="605">
        <v>56510.2</v>
      </c>
      <c r="G126" s="593">
        <f t="shared" si="15"/>
        <v>28.5</v>
      </c>
      <c r="H126" s="580">
        <f>G126+'[1]5'!H126</f>
        <v>162</v>
      </c>
      <c r="I126" s="646"/>
      <c r="J126" s="673">
        <f>H126/DAY(B2)</f>
        <v>27</v>
      </c>
      <c r="K126" s="408"/>
      <c r="L126" s="405"/>
      <c r="N126" s="410"/>
    </row>
    <row r="127" spans="1:14" ht="27.75" x14ac:dyDescent="0.5">
      <c r="A127" s="730" t="s">
        <v>261</v>
      </c>
      <c r="B127" s="1355"/>
      <c r="C127" s="1355"/>
      <c r="D127" s="643" t="s">
        <v>168</v>
      </c>
      <c r="E127" s="747">
        <f>'[1]5'!F127</f>
        <v>8640.1</v>
      </c>
      <c r="F127" s="747">
        <v>8640.1</v>
      </c>
      <c r="G127" s="593">
        <f t="shared" si="15"/>
        <v>0</v>
      </c>
      <c r="H127" s="580">
        <f>G127+'[1]5'!H127</f>
        <v>0</v>
      </c>
      <c r="I127" s="600"/>
      <c r="J127" s="673">
        <f>H127/DAY(B2)</f>
        <v>0</v>
      </c>
      <c r="K127" s="408"/>
      <c r="L127" s="405"/>
      <c r="N127" s="410"/>
    </row>
    <row r="128" spans="1:14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399.76799999986542</v>
      </c>
      <c r="H128" s="580">
        <f>G128+'[1]5'!H128</f>
        <v>1821.2889999998879</v>
      </c>
      <c r="I128" s="600"/>
      <c r="J128" s="673">
        <f>H128/DAY(B2)</f>
        <v>303.548166666648</v>
      </c>
      <c r="K128" s="388"/>
      <c r="L128" s="290"/>
      <c r="N128" s="410"/>
    </row>
    <row r="129" spans="1:14" x14ac:dyDescent="0.4">
      <c r="A129" s="731" t="s">
        <v>263</v>
      </c>
      <c r="B129" s="578"/>
      <c r="C129" s="578"/>
      <c r="D129" s="591"/>
      <c r="E129" s="591"/>
      <c r="F129" s="591"/>
      <c r="G129" s="661">
        <v>35</v>
      </c>
      <c r="H129" s="661"/>
      <c r="I129" s="661"/>
      <c r="J129" s="685"/>
      <c r="N129" s="410"/>
    </row>
    <row r="130" spans="1:14" ht="27.75" x14ac:dyDescent="0.5">
      <c r="A130" s="1354" t="s">
        <v>264</v>
      </c>
      <c r="B130" s="1355"/>
      <c r="C130" s="1355"/>
      <c r="D130" s="643" t="s">
        <v>265</v>
      </c>
      <c r="E130" s="604">
        <f>'[1]5'!F130</f>
        <v>0</v>
      </c>
      <c r="F130" s="598">
        <v>0</v>
      </c>
      <c r="G130" s="593">
        <f t="shared" ref="G130:G140" si="16">F130-E130</f>
        <v>0</v>
      </c>
      <c r="H130" s="580">
        <f>G130+'[1]5'!H130</f>
        <v>0</v>
      </c>
      <c r="I130" s="600"/>
      <c r="J130" s="673">
        <f>H130/DAY(B2)</f>
        <v>0</v>
      </c>
      <c r="N130" s="410"/>
    </row>
    <row r="131" spans="1:14" ht="27.75" x14ac:dyDescent="0.5">
      <c r="A131" s="1354" t="s">
        <v>266</v>
      </c>
      <c r="B131" s="1355"/>
      <c r="C131" s="1355"/>
      <c r="D131" s="643" t="s">
        <v>265</v>
      </c>
      <c r="E131" s="604">
        <f>'[1]5'!F131</f>
        <v>0</v>
      </c>
      <c r="F131" s="598">
        <v>0</v>
      </c>
      <c r="G131" s="593">
        <f t="shared" si="16"/>
        <v>0</v>
      </c>
      <c r="H131" s="580">
        <f>G131+'[1]5'!H131</f>
        <v>0</v>
      </c>
      <c r="I131" s="600"/>
      <c r="J131" s="673">
        <f>H131/DAY(B2)</f>
        <v>0</v>
      </c>
      <c r="N131" s="410"/>
    </row>
    <row r="132" spans="1:14" ht="27.75" x14ac:dyDescent="0.5">
      <c r="A132" s="1354" t="s">
        <v>267</v>
      </c>
      <c r="B132" s="1355"/>
      <c r="C132" s="1355"/>
      <c r="D132" s="643" t="s">
        <v>265</v>
      </c>
      <c r="E132" s="818">
        <f>'[1]5'!F132</f>
        <v>38877</v>
      </c>
      <c r="F132" s="747">
        <v>38877</v>
      </c>
      <c r="G132" s="593">
        <f t="shared" si="16"/>
        <v>0</v>
      </c>
      <c r="H132" s="580">
        <f>G132+'[1]5'!H132</f>
        <v>0</v>
      </c>
      <c r="I132" s="600"/>
      <c r="J132" s="673">
        <f>H132/DAY(B2)</f>
        <v>0</v>
      </c>
      <c r="N132" s="410"/>
    </row>
    <row r="133" spans="1:14" ht="27.75" x14ac:dyDescent="0.5">
      <c r="A133" s="1354" t="s">
        <v>268</v>
      </c>
      <c r="B133" s="1355"/>
      <c r="C133" s="1355"/>
      <c r="D133" s="643" t="s">
        <v>265</v>
      </c>
      <c r="E133" s="642">
        <f>'[1]5'!F133</f>
        <v>44</v>
      </c>
      <c r="F133" s="605">
        <v>68.27</v>
      </c>
      <c r="G133" s="593">
        <f t="shared" si="16"/>
        <v>24.269999999999996</v>
      </c>
      <c r="H133" s="580">
        <f>G133+'[1]5'!H133</f>
        <v>68.27</v>
      </c>
      <c r="I133" s="600">
        <f>G132+G133+G134+G135</f>
        <v>24.269999999999996</v>
      </c>
      <c r="J133" s="673">
        <f>H133/DAY(B2)</f>
        <v>11.378333333333332</v>
      </c>
      <c r="N133" s="410"/>
    </row>
    <row r="134" spans="1:14" ht="27.75" x14ac:dyDescent="0.5">
      <c r="A134" s="1354" t="s">
        <v>269</v>
      </c>
      <c r="B134" s="1355"/>
      <c r="C134" s="1355"/>
      <c r="D134" s="643" t="s">
        <v>265</v>
      </c>
      <c r="E134" s="818">
        <f>'[1]5'!F134</f>
        <v>39735</v>
      </c>
      <c r="F134" s="747">
        <v>39735</v>
      </c>
      <c r="G134" s="593">
        <f t="shared" si="16"/>
        <v>0</v>
      </c>
      <c r="H134" s="580">
        <f>G134+'[1]5'!H134</f>
        <v>0</v>
      </c>
      <c r="I134" s="600"/>
      <c r="J134" s="673">
        <f>H134/DAY(B2)</f>
        <v>0</v>
      </c>
      <c r="N134" s="410"/>
    </row>
    <row r="135" spans="1:14" ht="27.75" x14ac:dyDescent="0.5">
      <c r="A135" s="1354" t="s">
        <v>270</v>
      </c>
      <c r="B135" s="1355"/>
      <c r="C135" s="1355"/>
      <c r="D135" s="643" t="s">
        <v>265</v>
      </c>
      <c r="E135" s="642">
        <v>31793.09</v>
      </c>
      <c r="F135" s="605">
        <v>31793.09</v>
      </c>
      <c r="G135" s="593">
        <f t="shared" si="16"/>
        <v>0</v>
      </c>
      <c r="H135" s="580">
        <f>G135+'[1]5'!H135</f>
        <v>75.569999999999709</v>
      </c>
      <c r="I135" s="600"/>
      <c r="J135" s="673">
        <f>H135/DAY(B2)</f>
        <v>12.594999999999951</v>
      </c>
      <c r="N135" s="410"/>
    </row>
    <row r="136" spans="1:14" ht="27.75" x14ac:dyDescent="0.5">
      <c r="A136" s="1354" t="s">
        <v>271</v>
      </c>
      <c r="B136" s="1355"/>
      <c r="C136" s="1355"/>
      <c r="D136" s="643" t="s">
        <v>265</v>
      </c>
      <c r="E136" s="662">
        <f>'[1]5'!F136</f>
        <v>21689.57</v>
      </c>
      <c r="F136" s="768">
        <v>21696.55</v>
      </c>
      <c r="G136" s="593">
        <f t="shared" si="16"/>
        <v>6.9799999999995634</v>
      </c>
      <c r="H136" s="580">
        <f>G136+'[1]5'!H136</f>
        <v>21.829999999998108</v>
      </c>
      <c r="I136" s="600">
        <f>G136+G137+G138</f>
        <v>6.9799999999995634</v>
      </c>
      <c r="J136" s="673">
        <f>H136/DAY(B2)</f>
        <v>3.6383333333330179</v>
      </c>
      <c r="N136" s="410"/>
    </row>
    <row r="137" spans="1:14" ht="27.75" x14ac:dyDescent="0.5">
      <c r="A137" s="1354" t="s">
        <v>272</v>
      </c>
      <c r="B137" s="1355"/>
      <c r="C137" s="1355"/>
      <c r="D137" s="643" t="s">
        <v>265</v>
      </c>
      <c r="E137" s="662">
        <f>'[1]5'!F137</f>
        <v>24932.51</v>
      </c>
      <c r="F137" s="768">
        <v>24932.51</v>
      </c>
      <c r="G137" s="593">
        <f t="shared" si="16"/>
        <v>0</v>
      </c>
      <c r="H137" s="580">
        <f>G137+'[1]5'!H137</f>
        <v>0</v>
      </c>
      <c r="I137" s="600"/>
      <c r="J137" s="673">
        <f>H137/DAY(B2)</f>
        <v>0</v>
      </c>
      <c r="N137" s="410"/>
    </row>
    <row r="138" spans="1:14" ht="27.75" x14ac:dyDescent="0.5">
      <c r="A138" s="1354" t="s">
        <v>273</v>
      </c>
      <c r="B138" s="1355"/>
      <c r="C138" s="1355"/>
      <c r="D138" s="643" t="s">
        <v>265</v>
      </c>
      <c r="E138" s="662">
        <f>'[1]5'!F138</f>
        <v>69976.47</v>
      </c>
      <c r="F138" s="768">
        <v>69976.47</v>
      </c>
      <c r="G138" s="593">
        <f t="shared" si="16"/>
        <v>0</v>
      </c>
      <c r="H138" s="580">
        <f>G138+'[1]5'!H138</f>
        <v>21.259999999994761</v>
      </c>
      <c r="I138" s="600"/>
      <c r="J138" s="673">
        <f>H138/DAY(B2)</f>
        <v>3.5433333333324604</v>
      </c>
      <c r="N138" s="410"/>
    </row>
    <row r="139" spans="1:14" ht="27.75" x14ac:dyDescent="0.5">
      <c r="A139" s="1354" t="s">
        <v>274</v>
      </c>
      <c r="B139" s="1355"/>
      <c r="C139" s="1355"/>
      <c r="D139" s="643" t="s">
        <v>265</v>
      </c>
      <c r="E139" s="642">
        <f>'[1]5'!F139</f>
        <v>970.25</v>
      </c>
      <c r="F139" s="605">
        <v>976.03</v>
      </c>
      <c r="G139" s="593">
        <f t="shared" si="16"/>
        <v>5.7799999999999727</v>
      </c>
      <c r="H139" s="580">
        <f>G139+'[1]5'!H139</f>
        <v>34.5</v>
      </c>
      <c r="I139" s="663">
        <f>G140+G1277</f>
        <v>0</v>
      </c>
      <c r="J139" s="673">
        <f>H139/DAY(B2)</f>
        <v>5.75</v>
      </c>
      <c r="N139" s="410"/>
    </row>
    <row r="140" spans="1:14" ht="27.75" x14ac:dyDescent="0.5">
      <c r="A140" s="1354" t="s">
        <v>275</v>
      </c>
      <c r="B140" s="1355"/>
      <c r="C140" s="1355"/>
      <c r="D140" s="643" t="s">
        <v>265</v>
      </c>
      <c r="E140" s="818">
        <f>'[1]5'!F140</f>
        <v>4156.9799999999996</v>
      </c>
      <c r="F140" s="747">
        <v>4156.9799999999996</v>
      </c>
      <c r="G140" s="593">
        <f t="shared" si="16"/>
        <v>0</v>
      </c>
      <c r="H140" s="580">
        <f>G140+'[1]5'!H140</f>
        <v>7.999999999992724E-2</v>
      </c>
      <c r="I140" s="663"/>
      <c r="J140" s="673">
        <f>H140/DAY(B2)</f>
        <v>1.3333333333321207E-2</v>
      </c>
      <c r="N140" s="410"/>
    </row>
    <row r="141" spans="1:14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410"/>
    </row>
    <row r="142" spans="1:14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5139.2900000000373</v>
      </c>
      <c r="H142" s="580">
        <f>G142+'[1]5'!H142</f>
        <v>29798.292999999969</v>
      </c>
      <c r="I142" s="600"/>
      <c r="J142" s="673">
        <f>H142/DAY(B2)</f>
        <v>4966.3821666666618</v>
      </c>
      <c r="K142" s="408"/>
      <c r="L142" s="405"/>
      <c r="N142" s="410"/>
    </row>
    <row r="143" spans="1:14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0.2617946105649247</v>
      </c>
      <c r="H143" s="580">
        <f>G143+'[1]5'!H143</f>
        <v>1.3822421811265573</v>
      </c>
      <c r="I143" s="665"/>
      <c r="J143" s="673">
        <f>H143/DAY(B2)</f>
        <v>0.23037369685442621</v>
      </c>
      <c r="K143" s="408"/>
      <c r="L143" s="405"/>
      <c r="N143" s="410"/>
    </row>
    <row r="144" spans="1:14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3798.09</v>
      </c>
      <c r="H144" s="580">
        <f>G144+'[1]5'!H144</f>
        <v>25779.619999999984</v>
      </c>
      <c r="I144" s="600"/>
      <c r="J144" s="673">
        <f>H144/DAY(B2)</f>
        <v>4296.6033333333307</v>
      </c>
      <c r="K144" s="408"/>
      <c r="L144" s="405"/>
      <c r="N144" s="410"/>
    </row>
    <row r="145" spans="1:14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0.19347409709133515</v>
      </c>
      <c r="H145" s="580">
        <f>G145+'[1]5'!H145</f>
        <v>1.3367416719445127</v>
      </c>
      <c r="I145" s="665"/>
      <c r="J145" s="673">
        <f>H145/DAY(B2)</f>
        <v>0.22279027865741877</v>
      </c>
      <c r="K145" s="408"/>
      <c r="L145" s="405"/>
      <c r="N145" s="410"/>
    </row>
    <row r="146" spans="1:14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4280.1049999999959</v>
      </c>
      <c r="H146" s="580">
        <f>G146+'[1]5'!H146</f>
        <v>24995.293000000005</v>
      </c>
      <c r="I146" s="666"/>
      <c r="J146" s="673">
        <f>H146/DAY(B2)</f>
        <v>4165.8821666666672</v>
      </c>
      <c r="K146" s="408"/>
      <c r="L146" s="405"/>
      <c r="N146" s="410"/>
    </row>
    <row r="147" spans="1:14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0.21802786409250655</v>
      </c>
      <c r="H147" s="580">
        <f>G147+'[1]5'!H147</f>
        <v>1.2955696270785948</v>
      </c>
      <c r="I147" s="666"/>
      <c r="J147" s="673">
        <f>H147/DAY(B2)</f>
        <v>0.21592827117976579</v>
      </c>
      <c r="N147" s="410"/>
    </row>
    <row r="148" spans="1:14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1949.6599999999744</v>
      </c>
      <c r="H148" s="580">
        <f>G148+'[1]5'!H148</f>
        <v>11004.380000000005</v>
      </c>
      <c r="I148" s="600"/>
      <c r="J148" s="673">
        <f>H148/DAY(B2)</f>
        <v>1834.0633333333342</v>
      </c>
      <c r="K148" s="409"/>
      <c r="N148" s="410"/>
    </row>
    <row r="149" spans="1:14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9.9315368549741448E-2</v>
      </c>
      <c r="H149" s="580">
        <f>G149+'[1]5'!H149</f>
        <v>0.57031351304970079</v>
      </c>
      <c r="I149" s="666"/>
      <c r="J149" s="673">
        <f>H149/DAY(B2)</f>
        <v>9.5052252174950128E-2</v>
      </c>
      <c r="N149" s="410"/>
    </row>
    <row r="150" spans="1:14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2273.7599999999802</v>
      </c>
      <c r="H150" s="580">
        <f>G150+'[1]5'!H150</f>
        <v>12504.339999999967</v>
      </c>
      <c r="I150" s="666"/>
      <c r="J150" s="673">
        <f>H150/DAY(B2)</f>
        <v>2084.0566666666614</v>
      </c>
      <c r="N150" s="410"/>
    </row>
    <row r="151" spans="1:14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0.11582497070959097</v>
      </c>
      <c r="H151" s="580">
        <f>G151+'[1]5'!H151</f>
        <v>0.64792008096086184</v>
      </c>
      <c r="I151" s="600"/>
      <c r="J151" s="673">
        <f>H151/DAY(B2)</f>
        <v>0.10798668016014364</v>
      </c>
      <c r="N151" s="410"/>
    </row>
    <row r="152" spans="1:14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1494.989999999998</v>
      </c>
      <c r="H152" s="580">
        <f>G152+'[1]5'!H152</f>
        <v>8509.4029999999984</v>
      </c>
      <c r="I152" s="600"/>
      <c r="J152" s="673">
        <f>H152/DAY(B2)</f>
        <v>1418.233833333333</v>
      </c>
      <c r="N152" s="410"/>
    </row>
    <row r="153" spans="1:14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7.615455147470826E-2</v>
      </c>
      <c r="H153" s="580">
        <f>G153+'[1]5'!H153</f>
        <v>0.44106173826995976</v>
      </c>
      <c r="I153" s="689"/>
      <c r="J153" s="690">
        <f>H153/DAY(B2)</f>
        <v>7.351028971165996E-2</v>
      </c>
      <c r="N153" s="410"/>
    </row>
    <row r="154" spans="1:14" x14ac:dyDescent="0.5">
      <c r="A154" s="586"/>
      <c r="B154" s="576"/>
      <c r="C154" s="576"/>
      <c r="D154" s="667"/>
      <c r="E154" s="667"/>
      <c r="F154" s="779"/>
      <c r="G154" s="667"/>
      <c r="H154" s="668"/>
      <c r="I154" s="667"/>
      <c r="J154" s="669"/>
      <c r="N154" s="410"/>
    </row>
    <row r="157" spans="1:14" ht="27.75" x14ac:dyDescent="0.5">
      <c r="A157" s="1457" t="s">
        <v>294</v>
      </c>
      <c r="B157" s="1458"/>
      <c r="C157" s="1458"/>
      <c r="D157" s="1458"/>
      <c r="E157" s="1458"/>
      <c r="F157" s="1458"/>
      <c r="G157" s="1459"/>
    </row>
    <row r="158" spans="1:14" x14ac:dyDescent="0.5">
      <c r="A158" s="925"/>
      <c r="B158" s="926"/>
      <c r="C158" s="926"/>
      <c r="D158" s="631"/>
      <c r="E158" s="575"/>
      <c r="F158" s="775"/>
      <c r="G158" s="593"/>
    </row>
    <row r="159" spans="1:14" x14ac:dyDescent="0.5">
      <c r="A159" s="925"/>
      <c r="B159" s="926"/>
      <c r="C159" s="926"/>
      <c r="D159" s="631"/>
      <c r="E159" s="575"/>
      <c r="F159" s="775"/>
      <c r="G159" s="593"/>
    </row>
    <row r="160" spans="1:14" x14ac:dyDescent="0.5">
      <c r="A160" s="925" t="s">
        <v>289</v>
      </c>
      <c r="B160" s="926"/>
      <c r="C160" s="926"/>
      <c r="D160" s="631" t="s">
        <v>214</v>
      </c>
      <c r="E160" s="775">
        <f>'[1]5'!F160</f>
        <v>24201.47</v>
      </c>
      <c r="F160" s="775">
        <v>24276.09</v>
      </c>
      <c r="G160" s="593">
        <f t="shared" ref="G160:G171" si="17">F160-E160</f>
        <v>74.619999999998981</v>
      </c>
      <c r="H160" s="659">
        <v>72.86699999999837</v>
      </c>
      <c r="I160" s="660">
        <f>G160-H160</f>
        <v>1.7530000000006112</v>
      </c>
    </row>
    <row r="161" spans="1:9" x14ac:dyDescent="0.5">
      <c r="A161" s="925" t="s">
        <v>290</v>
      </c>
      <c r="B161" s="926"/>
      <c r="C161" s="926"/>
      <c r="D161" s="631" t="s">
        <v>214</v>
      </c>
      <c r="E161" s="775">
        <f>'[1]5'!F161</f>
        <v>13708.94</v>
      </c>
      <c r="F161" s="775">
        <v>14407.18</v>
      </c>
      <c r="G161" s="593">
        <f t="shared" si="17"/>
        <v>698.23999999999978</v>
      </c>
      <c r="H161" s="659">
        <v>115.86999999999898</v>
      </c>
      <c r="I161" s="660">
        <f t="shared" ref="I161:I171" si="18">G161-H161</f>
        <v>582.3700000000008</v>
      </c>
    </row>
    <row r="162" spans="1:9" x14ac:dyDescent="0.5">
      <c r="A162" s="925" t="s">
        <v>291</v>
      </c>
      <c r="B162" s="926"/>
      <c r="C162" s="926"/>
      <c r="D162" s="631" t="s">
        <v>214</v>
      </c>
      <c r="E162" s="775">
        <f>'[1]5'!F162</f>
        <v>38618.93</v>
      </c>
      <c r="F162" s="775">
        <v>38976.61</v>
      </c>
      <c r="G162" s="593">
        <f t="shared" si="17"/>
        <v>357.68000000000029</v>
      </c>
      <c r="H162" s="659">
        <v>184.81999999999971</v>
      </c>
      <c r="I162" s="660">
        <f t="shared" si="18"/>
        <v>172.86000000000058</v>
      </c>
    </row>
    <row r="163" spans="1:9" x14ac:dyDescent="0.5">
      <c r="A163" s="925" t="s">
        <v>292</v>
      </c>
      <c r="B163" s="926"/>
      <c r="C163" s="926"/>
      <c r="D163" s="631" t="s">
        <v>214</v>
      </c>
      <c r="E163" s="775">
        <f>'[1]5'!F163</f>
        <v>3650.63</v>
      </c>
      <c r="F163" s="775">
        <v>3688.8</v>
      </c>
      <c r="G163" s="593">
        <f t="shared" si="17"/>
        <v>38.170000000000073</v>
      </c>
      <c r="H163" s="659">
        <v>17.309999999999945</v>
      </c>
      <c r="I163" s="660">
        <f t="shared" si="18"/>
        <v>20.860000000000127</v>
      </c>
    </row>
    <row r="164" spans="1:9" x14ac:dyDescent="0.4">
      <c r="A164" s="927" t="s">
        <v>121</v>
      </c>
      <c r="B164" s="725"/>
      <c r="C164" s="725"/>
      <c r="D164" s="631" t="s">
        <v>214</v>
      </c>
      <c r="E164" s="775">
        <f>'[1]5'!F164</f>
        <v>20419</v>
      </c>
      <c r="F164" s="634">
        <f>F62</f>
        <v>20419</v>
      </c>
      <c r="G164" s="593">
        <f t="shared" si="17"/>
        <v>0</v>
      </c>
      <c r="H164" s="659">
        <v>0</v>
      </c>
      <c r="I164" s="660">
        <f t="shared" si="18"/>
        <v>0</v>
      </c>
    </row>
    <row r="165" spans="1:9" x14ac:dyDescent="0.4">
      <c r="A165" s="927" t="s">
        <v>215</v>
      </c>
      <c r="B165" s="725"/>
      <c r="C165" s="725"/>
      <c r="D165" s="631" t="s">
        <v>214</v>
      </c>
      <c r="E165" s="775">
        <f>'[1]5'!F165</f>
        <v>936.41</v>
      </c>
      <c r="F165" s="634">
        <f>F63</f>
        <v>952.16</v>
      </c>
      <c r="G165" s="593">
        <f t="shared" si="17"/>
        <v>15.75</v>
      </c>
      <c r="H165" s="659">
        <v>-0.47999999999956344</v>
      </c>
      <c r="I165" s="660">
        <f t="shared" si="18"/>
        <v>16.229999999999563</v>
      </c>
    </row>
    <row r="166" spans="1:9" ht="27.75" x14ac:dyDescent="0.5">
      <c r="A166" s="1320" t="s">
        <v>122</v>
      </c>
      <c r="B166" s="1320"/>
      <c r="C166" s="1320"/>
      <c r="D166" s="643" t="s">
        <v>214</v>
      </c>
      <c r="E166" s="775">
        <f>'[1]5'!F166</f>
        <v>88557.11</v>
      </c>
      <c r="F166" s="634">
        <f t="shared" ref="F166:F171" si="19">F64</f>
        <v>88907.15</v>
      </c>
      <c r="G166" s="593">
        <f t="shared" si="17"/>
        <v>350.0399999999936</v>
      </c>
      <c r="H166" s="659">
        <v>271.15200000000186</v>
      </c>
      <c r="I166" s="660">
        <f t="shared" si="18"/>
        <v>78.887999999991735</v>
      </c>
    </row>
    <row r="167" spans="1:9" ht="27.75" x14ac:dyDescent="0.5">
      <c r="A167" s="1320" t="s">
        <v>123</v>
      </c>
      <c r="B167" s="1320"/>
      <c r="C167" s="1320"/>
      <c r="D167" s="643" t="s">
        <v>214</v>
      </c>
      <c r="E167" s="775">
        <f>'[1]5'!F167</f>
        <v>98627.43</v>
      </c>
      <c r="F167" s="634">
        <f t="shared" si="19"/>
        <v>99026.240000000005</v>
      </c>
      <c r="G167" s="593">
        <f t="shared" si="17"/>
        <v>398.81000000001222</v>
      </c>
      <c r="H167" s="659">
        <v>372.92000000001281</v>
      </c>
      <c r="I167" s="660">
        <f t="shared" si="18"/>
        <v>25.889999999999418</v>
      </c>
    </row>
    <row r="168" spans="1:9" ht="27.75" x14ac:dyDescent="0.5">
      <c r="A168" s="1320" t="s">
        <v>124</v>
      </c>
      <c r="B168" s="1320"/>
      <c r="C168" s="1320"/>
      <c r="D168" s="643" t="s">
        <v>214</v>
      </c>
      <c r="E168" s="775">
        <f>'[1]5'!F168</f>
        <v>91945.93</v>
      </c>
      <c r="F168" s="634">
        <f t="shared" si="19"/>
        <v>92339.94</v>
      </c>
      <c r="G168" s="593">
        <f t="shared" si="17"/>
        <v>394.01000000000931</v>
      </c>
      <c r="H168" s="659">
        <v>384.8520000000135</v>
      </c>
      <c r="I168" s="660">
        <f>G168-H168</f>
        <v>9.157999999995809</v>
      </c>
    </row>
    <row r="169" spans="1:9" ht="27.75" x14ac:dyDescent="0.5">
      <c r="A169" s="1320" t="s">
        <v>125</v>
      </c>
      <c r="B169" s="1320"/>
      <c r="C169" s="1320"/>
      <c r="D169" s="643" t="s">
        <v>214</v>
      </c>
      <c r="E169" s="775">
        <f>'[1]5'!F169</f>
        <v>149652.07</v>
      </c>
      <c r="F169" s="634">
        <f t="shared" si="19"/>
        <v>150353.44</v>
      </c>
      <c r="G169" s="593">
        <f t="shared" si="17"/>
        <v>701.36999999999534</v>
      </c>
      <c r="H169" s="659">
        <v>451.52000000000407</v>
      </c>
      <c r="I169" s="660">
        <f t="shared" si="18"/>
        <v>249.84999999999127</v>
      </c>
    </row>
    <row r="170" spans="1:9" ht="27.75" x14ac:dyDescent="0.5">
      <c r="A170" s="1320" t="s">
        <v>126</v>
      </c>
      <c r="B170" s="1320"/>
      <c r="C170" s="1320"/>
      <c r="D170" s="643" t="s">
        <v>214</v>
      </c>
      <c r="E170" s="775">
        <f>'[1]5'!F170</f>
        <v>45023.35</v>
      </c>
      <c r="F170" s="634">
        <f t="shared" si="19"/>
        <v>45390.720000000001</v>
      </c>
      <c r="G170" s="593">
        <f t="shared" si="17"/>
        <v>367.37000000000262</v>
      </c>
      <c r="H170" s="659">
        <v>264.56499999999869</v>
      </c>
      <c r="I170" s="660">
        <f t="shared" si="18"/>
        <v>102.80500000000393</v>
      </c>
    </row>
    <row r="171" spans="1:9" ht="27.75" x14ac:dyDescent="0.5">
      <c r="A171" s="1320" t="s">
        <v>127</v>
      </c>
      <c r="B171" s="1320"/>
      <c r="C171" s="1320"/>
      <c r="D171" s="643" t="s">
        <v>214</v>
      </c>
      <c r="E171" s="775">
        <f>'[1]5'!F171</f>
        <v>38992.93</v>
      </c>
      <c r="F171" s="634">
        <f t="shared" si="19"/>
        <v>39290.949999999997</v>
      </c>
      <c r="G171" s="593">
        <f t="shared" si="17"/>
        <v>298.0199999999968</v>
      </c>
      <c r="H171" s="659">
        <v>137.0779999999977</v>
      </c>
      <c r="I171" s="660">
        <f t="shared" si="18"/>
        <v>160.9419999999991</v>
      </c>
    </row>
  </sheetData>
  <mergeCells count="69">
    <mergeCell ref="A157:G157"/>
    <mergeCell ref="A82:C82"/>
    <mergeCell ref="A83:C83"/>
    <mergeCell ref="A76:C76"/>
    <mergeCell ref="A77:C77"/>
    <mergeCell ref="A79:C79"/>
    <mergeCell ref="A80:C80"/>
    <mergeCell ref="A81:C81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106:C106"/>
    <mergeCell ref="A107:B107"/>
    <mergeCell ref="A108:B108"/>
    <mergeCell ref="A109:B109"/>
    <mergeCell ref="A110:B110"/>
    <mergeCell ref="A111:B111"/>
    <mergeCell ref="A112:B112"/>
    <mergeCell ref="A117:B117"/>
    <mergeCell ref="A69:C69"/>
    <mergeCell ref="A70:C70"/>
    <mergeCell ref="A103:B103"/>
    <mergeCell ref="A104:B104"/>
    <mergeCell ref="A105:B105"/>
    <mergeCell ref="A71:J71"/>
    <mergeCell ref="A72:C72"/>
    <mergeCell ref="A73:C73"/>
    <mergeCell ref="A74:C74"/>
    <mergeCell ref="A75:C75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P171"/>
  <sheetViews>
    <sheetView view="pageBreakPreview" zoomScale="55" zoomScaleNormal="77" zoomScaleSheetLayoutView="55" workbookViewId="0">
      <selection sqref="A1:XFD1048576"/>
    </sheetView>
  </sheetViews>
  <sheetFormatPr defaultColWidth="22.33203125" defaultRowHeight="29.25" x14ac:dyDescent="0.5"/>
  <cols>
    <col min="1" max="1" width="42.33203125" style="574" customWidth="1"/>
    <col min="2" max="2" width="31.77734375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25.33203125" style="659" customWidth="1"/>
    <col min="9" max="9" width="20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5546875" style="404" customWidth="1"/>
    <col min="15" max="16384" width="22.33203125" style="404"/>
  </cols>
  <sheetData>
    <row r="1" spans="1:16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6" s="278" customFormat="1" ht="27" x14ac:dyDescent="0.5">
      <c r="A2" s="696" t="s">
        <v>297</v>
      </c>
      <c r="B2" s="1173">
        <v>44172</v>
      </c>
      <c r="C2" s="1361" t="s">
        <v>84</v>
      </c>
      <c r="D2" s="732">
        <v>0.54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6" s="278" customFormat="1" ht="27" x14ac:dyDescent="0.5">
      <c r="A3" s="691"/>
      <c r="B3" s="735"/>
      <c r="C3" s="1361" t="s">
        <v>147</v>
      </c>
      <c r="D3" s="733">
        <v>28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6" s="278" customFormat="1" ht="27" x14ac:dyDescent="0.5">
      <c r="A4" s="697"/>
      <c r="B4" s="737"/>
      <c r="C4" s="1361" t="s">
        <v>149</v>
      </c>
      <c r="D4" s="732">
        <v>0.78</v>
      </c>
      <c r="E4" s="584"/>
      <c r="F4" s="584"/>
      <c r="G4" s="584"/>
      <c r="H4" s="584"/>
      <c r="I4" s="585"/>
      <c r="J4" s="736"/>
      <c r="K4" s="400"/>
      <c r="L4" s="290"/>
    </row>
    <row r="5" spans="1:16" x14ac:dyDescent="0.4">
      <c r="A5" s="698" t="s">
        <v>150</v>
      </c>
      <c r="B5" s="579"/>
      <c r="C5" s="579"/>
      <c r="D5" s="631" t="s">
        <v>143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6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6" ht="30" thickBot="1" x14ac:dyDescent="0.45">
      <c r="A7" s="793" t="s">
        <v>158</v>
      </c>
      <c r="B7" s="794"/>
      <c r="C7" s="794"/>
      <c r="D7" s="759" t="s">
        <v>159</v>
      </c>
      <c r="E7" s="754">
        <f>'[1]6'!F7</f>
        <v>2784199</v>
      </c>
      <c r="F7" s="575">
        <v>2805903</v>
      </c>
      <c r="G7" s="806">
        <f t="shared" ref="G7:G12" si="0">F7-E7</f>
        <v>21704</v>
      </c>
      <c r="H7" s="796">
        <f>G7+'[1]6'!H7</f>
        <v>137458</v>
      </c>
      <c r="I7" s="797">
        <f>'[1]1'!I7</f>
        <v>12000</v>
      </c>
      <c r="J7" s="798">
        <f>H7/DAY(B2)</f>
        <v>19636.857142857141</v>
      </c>
      <c r="K7" s="670"/>
      <c r="L7" s="405"/>
      <c r="N7" s="844"/>
      <c r="P7" s="404" t="s">
        <v>143</v>
      </c>
    </row>
    <row r="8" spans="1:16" ht="27.75" thickBot="1" x14ac:dyDescent="0.45">
      <c r="A8" s="799" t="s">
        <v>160</v>
      </c>
      <c r="B8" s="800"/>
      <c r="C8" s="801"/>
      <c r="D8" s="802" t="s">
        <v>39</v>
      </c>
      <c r="E8" s="754">
        <f>'[1]6'!F8</f>
        <v>2800142</v>
      </c>
      <c r="F8" s="595">
        <v>2822001</v>
      </c>
      <c r="G8" s="806">
        <f t="shared" si="0"/>
        <v>21859</v>
      </c>
      <c r="H8" s="796">
        <f>G8+'[1]6'!H8</f>
        <v>138962</v>
      </c>
      <c r="I8" s="803">
        <v>12000</v>
      </c>
      <c r="J8" s="798">
        <f>H8/DAY(B2)</f>
        <v>19851.714285714286</v>
      </c>
      <c r="K8" s="670"/>
      <c r="L8" s="460"/>
      <c r="M8" s="522"/>
      <c r="N8" s="821"/>
    </row>
    <row r="9" spans="1:16" x14ac:dyDescent="0.4">
      <c r="A9" s="804" t="s">
        <v>161</v>
      </c>
      <c r="B9" s="805"/>
      <c r="C9" s="805"/>
      <c r="D9" s="759" t="s">
        <v>159</v>
      </c>
      <c r="E9" s="756">
        <f>'[1]6'!F9</f>
        <v>2285370</v>
      </c>
      <c r="F9" s="598">
        <v>2293383.2999999998</v>
      </c>
      <c r="G9" s="806">
        <f t="shared" si="0"/>
        <v>8013.2999999998137</v>
      </c>
      <c r="H9" s="796">
        <f>G9+'[1]6'!H9</f>
        <v>36346.799999999814</v>
      </c>
      <c r="I9" s="807">
        <f>I8-J8</f>
        <v>-7851.7142857142862</v>
      </c>
      <c r="J9" s="798">
        <f>H9/DAY(B2)</f>
        <v>5192.3999999999733</v>
      </c>
      <c r="K9" s="508"/>
      <c r="L9" s="405"/>
      <c r="N9" s="410"/>
    </row>
    <row r="10" spans="1:16" x14ac:dyDescent="0.4">
      <c r="A10" s="793" t="s">
        <v>162</v>
      </c>
      <c r="B10" s="794"/>
      <c r="C10" s="794"/>
      <c r="D10" s="759" t="s">
        <v>159</v>
      </c>
      <c r="E10" s="756">
        <f>'[1]6'!F10</f>
        <v>386184.55</v>
      </c>
      <c r="F10" s="598">
        <v>399129.19</v>
      </c>
      <c r="G10" s="806">
        <f t="shared" si="0"/>
        <v>12944.640000000014</v>
      </c>
      <c r="H10" s="796">
        <f>G10+'[1]6'!H10</f>
        <v>96178.900000000023</v>
      </c>
      <c r="I10" s="808"/>
      <c r="J10" s="798">
        <f>H10/DAY(B2)</f>
        <v>13739.842857142861</v>
      </c>
      <c r="K10" s="508"/>
      <c r="L10" s="405"/>
      <c r="N10" s="410"/>
    </row>
    <row r="11" spans="1:16" x14ac:dyDescent="0.4">
      <c r="A11" s="793" t="s">
        <v>163</v>
      </c>
      <c r="B11" s="794"/>
      <c r="C11" s="794"/>
      <c r="D11" s="759" t="s">
        <v>159</v>
      </c>
      <c r="E11" s="754">
        <f>'[1]6'!F11</f>
        <v>35390</v>
      </c>
      <c r="F11" s="575">
        <v>35390</v>
      </c>
      <c r="G11" s="806">
        <f t="shared" si="0"/>
        <v>0</v>
      </c>
      <c r="H11" s="796">
        <f>G11+'[1]6'!H11</f>
        <v>0</v>
      </c>
      <c r="I11" s="808"/>
      <c r="J11" s="798">
        <f>H11/DAY(B2)</f>
        <v>0</v>
      </c>
      <c r="K11" s="508"/>
      <c r="L11" s="405"/>
      <c r="N11" s="410"/>
    </row>
    <row r="12" spans="1:16" x14ac:dyDescent="0.4">
      <c r="A12" s="793" t="s">
        <v>164</v>
      </c>
      <c r="B12" s="794"/>
      <c r="C12" s="794"/>
      <c r="D12" s="759" t="s">
        <v>159</v>
      </c>
      <c r="E12" s="756">
        <f>'[1]6'!F12</f>
        <v>37630</v>
      </c>
      <c r="F12" s="598">
        <v>37630</v>
      </c>
      <c r="G12" s="806">
        <f t="shared" si="0"/>
        <v>0</v>
      </c>
      <c r="H12" s="796">
        <f>G12+'[1]6'!H12</f>
        <v>0</v>
      </c>
      <c r="I12" s="808"/>
      <c r="J12" s="798">
        <f>H12/DAY(B2)</f>
        <v>0</v>
      </c>
      <c r="K12" s="508"/>
      <c r="L12" s="405"/>
      <c r="N12" s="410"/>
    </row>
    <row r="13" spans="1:16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20957.939999999828</v>
      </c>
      <c r="H13" s="796">
        <f>G13+'[1]6'!H13</f>
        <v>132525.69999999984</v>
      </c>
      <c r="I13" s="812">
        <f>G7-G13</f>
        <v>746.06000000017229</v>
      </c>
      <c r="J13" s="798">
        <f>H13/DAY(B2)</f>
        <v>18932.242857142835</v>
      </c>
      <c r="K13" s="508"/>
      <c r="L13" s="405"/>
      <c r="N13" s="410"/>
    </row>
    <row r="14" spans="1:16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410"/>
    </row>
    <row r="15" spans="1:16" x14ac:dyDescent="0.5">
      <c r="A15" s="933" t="s">
        <v>167</v>
      </c>
      <c r="B15" s="934"/>
      <c r="C15" s="934"/>
      <c r="D15" s="644" t="s">
        <v>168</v>
      </c>
      <c r="E15" s="605">
        <f>'[1]6'!F15</f>
        <v>1550610</v>
      </c>
      <c r="F15" s="605">
        <v>1551319</v>
      </c>
      <c r="G15" s="781">
        <f>(F15-E15)</f>
        <v>709</v>
      </c>
      <c r="H15" s="606">
        <f>G15+'[1]6'!H15</f>
        <v>4421.3989999999758</v>
      </c>
      <c r="I15" s="1205">
        <v>800</v>
      </c>
      <c r="J15" s="674">
        <f>H15/DAY(B2)</f>
        <v>631.62842857142516</v>
      </c>
      <c r="K15" s="508"/>
      <c r="L15" s="405"/>
      <c r="N15" s="410"/>
    </row>
    <row r="16" spans="1:16" x14ac:dyDescent="0.4">
      <c r="A16" s="708"/>
      <c r="B16" s="709"/>
      <c r="C16" s="709"/>
      <c r="D16" s="644"/>
      <c r="E16" s="605"/>
      <c r="F16" s="605"/>
      <c r="G16" s="593"/>
      <c r="H16" s="606"/>
      <c r="I16" s="602">
        <f>I15-J15</f>
        <v>168.37157142857484</v>
      </c>
      <c r="J16" s="674"/>
      <c r="K16" s="508"/>
      <c r="L16" s="405"/>
      <c r="N16" s="410"/>
    </row>
    <row r="17" spans="1:14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410"/>
    </row>
    <row r="18" spans="1:14" ht="27.75" x14ac:dyDescent="0.5">
      <c r="A18" s="1460" t="s">
        <v>170</v>
      </c>
      <c r="B18" s="1461"/>
      <c r="C18" s="1462"/>
      <c r="D18" s="759" t="s">
        <v>171</v>
      </c>
      <c r="E18" s="756">
        <f>'[1]6'!F18</f>
        <v>11</v>
      </c>
      <c r="F18" s="598">
        <v>8</v>
      </c>
      <c r="G18" s="811">
        <f>F18*10</f>
        <v>80</v>
      </c>
      <c r="H18" s="796">
        <f>G18+'[1]6'!H18</f>
        <v>740</v>
      </c>
      <c r="I18" s="797">
        <f>'[1]1'!I18</f>
        <v>65</v>
      </c>
      <c r="J18" s="798">
        <f>H18/DAY(B2)</f>
        <v>105.71428571428571</v>
      </c>
      <c r="K18" s="508"/>
      <c r="L18" s="405"/>
      <c r="N18" s="410"/>
    </row>
    <row r="19" spans="1:14" ht="27.75" x14ac:dyDescent="0.5">
      <c r="A19" s="1460" t="s">
        <v>86</v>
      </c>
      <c r="B19" s="1461"/>
      <c r="C19" s="1462"/>
      <c r="D19" s="759" t="s">
        <v>171</v>
      </c>
      <c r="E19" s="756">
        <f>'[1]6'!F19</f>
        <v>130123</v>
      </c>
      <c r="F19" s="598">
        <v>130180</v>
      </c>
      <c r="G19" s="806">
        <f t="shared" ref="G19" si="1">F19-E19</f>
        <v>57</v>
      </c>
      <c r="H19" s="796">
        <f>G19+'[1]6'!H19</f>
        <v>379</v>
      </c>
      <c r="I19" s="813"/>
      <c r="J19" s="798">
        <f>H19/DAY(B2)</f>
        <v>54.142857142857146</v>
      </c>
      <c r="K19" s="508"/>
      <c r="L19" s="405"/>
      <c r="N19" s="410"/>
    </row>
    <row r="20" spans="1:14" x14ac:dyDescent="0.5">
      <c r="A20" s="809" t="s">
        <v>172</v>
      </c>
      <c r="B20" s="810"/>
      <c r="C20" s="810"/>
      <c r="D20" s="759"/>
      <c r="E20" s="759"/>
      <c r="F20" s="643"/>
      <c r="G20" s="814">
        <f>G18+G19</f>
        <v>137</v>
      </c>
      <c r="H20" s="796">
        <f>G20+'[1]6'!H20</f>
        <v>1119</v>
      </c>
      <c r="I20" s="815">
        <f>I18-J20</f>
        <v>-94.857142857142861</v>
      </c>
      <c r="J20" s="798">
        <f>H20/DAY(B2)</f>
        <v>159.85714285714286</v>
      </c>
      <c r="K20" s="508"/>
      <c r="L20" s="405"/>
      <c r="N20" s="410"/>
    </row>
    <row r="21" spans="1:14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410"/>
    </row>
    <row r="22" spans="1:14" x14ac:dyDescent="0.5">
      <c r="A22" s="1354" t="s">
        <v>174</v>
      </c>
      <c r="B22" s="710"/>
      <c r="C22" s="710"/>
      <c r="D22" s="643" t="s">
        <v>175</v>
      </c>
      <c r="E22" s="756">
        <f>'[1]6'!F22</f>
        <v>2250</v>
      </c>
      <c r="F22" s="598">
        <v>2250</v>
      </c>
      <c r="G22" s="601">
        <f t="shared" ref="G22" si="2">(F22-E22)</f>
        <v>0</v>
      </c>
      <c r="H22" s="580">
        <f>G22+'[1]6'!H22</f>
        <v>0</v>
      </c>
      <c r="I22" s="600"/>
      <c r="J22" s="673">
        <f>H22/DAY(B2)</f>
        <v>0</v>
      </c>
      <c r="K22" s="508"/>
      <c r="L22" s="405"/>
      <c r="N22" s="410"/>
    </row>
    <row r="23" spans="1:14" x14ac:dyDescent="0.5">
      <c r="A23" s="1354" t="s">
        <v>176</v>
      </c>
      <c r="B23" s="710"/>
      <c r="C23" s="710"/>
      <c r="D23" s="643" t="s">
        <v>175</v>
      </c>
      <c r="E23" s="756">
        <f>'[1]6'!F23</f>
        <v>2000</v>
      </c>
      <c r="F23" s="598">
        <v>2000</v>
      </c>
      <c r="G23" s="601">
        <v>0</v>
      </c>
      <c r="H23" s="580">
        <f>G23+'[1]6'!H23</f>
        <v>0</v>
      </c>
      <c r="I23" s="600"/>
      <c r="J23" s="673">
        <f>H23/DAY(B2)</f>
        <v>0</v>
      </c>
      <c r="K23" s="508"/>
      <c r="L23" s="405"/>
      <c r="N23" s="410"/>
    </row>
    <row r="24" spans="1:14" x14ac:dyDescent="0.4">
      <c r="A24" s="711" t="s">
        <v>177</v>
      </c>
      <c r="B24" s="712"/>
      <c r="C24" s="712"/>
      <c r="D24" s="631" t="s">
        <v>175</v>
      </c>
      <c r="E24" s="756">
        <f>'[1]6'!F24</f>
        <v>4250</v>
      </c>
      <c r="F24" s="605">
        <v>4250</v>
      </c>
      <c r="G24" s="601">
        <v>0</v>
      </c>
      <c r="H24" s="580">
        <f>G24+'[1]6'!H24</f>
        <v>0</v>
      </c>
      <c r="I24" s="600"/>
      <c r="J24" s="673">
        <f>H24/DAY(B2)</f>
        <v>0</v>
      </c>
      <c r="K24" s="508"/>
      <c r="L24" s="405"/>
      <c r="N24" s="410"/>
    </row>
    <row r="25" spans="1:14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410"/>
    </row>
    <row r="26" spans="1:14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N26" s="410"/>
    </row>
    <row r="27" spans="1:14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21859</v>
      </c>
      <c r="F27" s="621">
        <v>9.5</v>
      </c>
      <c r="G27" s="622">
        <f>E27*F27</f>
        <v>207660.5</v>
      </c>
      <c r="H27" s="580">
        <f>G27+'[1]6'!H27</f>
        <v>1320139</v>
      </c>
      <c r="I27" s="623"/>
      <c r="J27" s="673">
        <f>H27/DAY(B2)</f>
        <v>188591.28571428571</v>
      </c>
      <c r="K27" s="401"/>
      <c r="L27" s="527"/>
      <c r="N27" s="410"/>
    </row>
    <row r="28" spans="1:14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709</v>
      </c>
      <c r="F28" s="621">
        <v>36.5</v>
      </c>
      <c r="G28" s="622">
        <f>E28*F28</f>
        <v>25878.5</v>
      </c>
      <c r="H28" s="580">
        <f>G28+'[1]6'!H28</f>
        <v>161381.06349999912</v>
      </c>
      <c r="I28" s="625"/>
      <c r="J28" s="673">
        <f>H28/DAY(B2)</f>
        <v>23054.437642857018</v>
      </c>
      <c r="K28" s="401"/>
      <c r="L28" s="527"/>
      <c r="N28" s="410"/>
    </row>
    <row r="29" spans="1:14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G29+'[1]6'!H29</f>
        <v>0</v>
      </c>
      <c r="I29" s="625"/>
      <c r="J29" s="673">
        <f>H29/DAY(B2)</f>
        <v>0</v>
      </c>
      <c r="K29" s="401"/>
      <c r="L29" s="527"/>
      <c r="N29" s="410"/>
    </row>
    <row r="30" spans="1:14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57</v>
      </c>
      <c r="F30" s="621">
        <v>145</v>
      </c>
      <c r="G30" s="622">
        <f>E30*F30</f>
        <v>8265</v>
      </c>
      <c r="H30" s="580">
        <f>G30+'[1]6'!H30</f>
        <v>54955</v>
      </c>
      <c r="I30" s="625"/>
      <c r="J30" s="673">
        <f>H30/DAY(B2)</f>
        <v>7850.7142857142853</v>
      </c>
      <c r="K30" s="401"/>
      <c r="L30" s="527"/>
      <c r="N30" s="410"/>
    </row>
    <row r="31" spans="1:14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80</v>
      </c>
      <c r="F31" s="621">
        <v>80</v>
      </c>
      <c r="G31" s="622">
        <f>E31*F31</f>
        <v>6400</v>
      </c>
      <c r="H31" s="580">
        <f>G31+'[1]6'!H31</f>
        <v>57600</v>
      </c>
      <c r="I31" s="625"/>
      <c r="J31" s="673"/>
      <c r="K31" s="401"/>
      <c r="L31" s="527"/>
      <c r="N31" s="410"/>
    </row>
    <row r="32" spans="1:14" s="524" customFormat="1" ht="27.75" x14ac:dyDescent="0.5">
      <c r="A32" s="716" t="s">
        <v>188</v>
      </c>
      <c r="B32" s="717"/>
      <c r="C32" s="718"/>
      <c r="D32" s="627"/>
      <c r="E32" s="627"/>
      <c r="F32" s="644"/>
      <c r="G32" s="1194">
        <f>G27+G28+G29+G30+G31</f>
        <v>248204</v>
      </c>
      <c r="H32" s="580">
        <f>G32+'[1]6'!H32</f>
        <v>1594075.0634999992</v>
      </c>
      <c r="I32" s="629"/>
      <c r="J32" s="673">
        <f>H32/DAY(B2)</f>
        <v>227725.00907142847</v>
      </c>
      <c r="K32" s="401"/>
      <c r="L32" s="527"/>
      <c r="N32" s="410"/>
    </row>
    <row r="33" spans="1:14" ht="25.5" customHeight="1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</row>
    <row r="34" spans="1:14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410"/>
    </row>
    <row r="35" spans="1:14" x14ac:dyDescent="0.4">
      <c r="A35" s="699" t="s">
        <v>191</v>
      </c>
      <c r="B35" s="700"/>
      <c r="C35" s="700"/>
      <c r="D35" s="643" t="s">
        <v>159</v>
      </c>
      <c r="E35" s="630">
        <f>'[1]6'!F35</f>
        <v>629027.67000000004</v>
      </c>
      <c r="F35" s="630">
        <v>629027.67000000004</v>
      </c>
      <c r="G35" s="593">
        <f t="shared" ref="G35:G46" si="3">F35-E35</f>
        <v>0</v>
      </c>
      <c r="H35" s="580">
        <f>G35+'[1]6'!H35</f>
        <v>0</v>
      </c>
      <c r="I35" s="575"/>
      <c r="J35" s="673">
        <f>H35/DAY(B2)</f>
        <v>0</v>
      </c>
      <c r="K35" s="508"/>
      <c r="L35" s="405"/>
      <c r="N35" s="410"/>
    </row>
    <row r="36" spans="1:14" x14ac:dyDescent="0.4">
      <c r="A36" s="699" t="s">
        <v>192</v>
      </c>
      <c r="B36" s="700"/>
      <c r="C36" s="700"/>
      <c r="D36" s="643" t="s">
        <v>159</v>
      </c>
      <c r="E36" s="630">
        <f>'[1]6'!F36</f>
        <v>234045.77</v>
      </c>
      <c r="F36" s="630">
        <v>235244.83</v>
      </c>
      <c r="G36" s="593">
        <f t="shared" si="3"/>
        <v>1199.0599999999977</v>
      </c>
      <c r="H36" s="580">
        <f>G36+'[1]6'!H36</f>
        <v>6159.0999999999767</v>
      </c>
      <c r="I36" s="575"/>
      <c r="J36" s="673">
        <f>H36/DAY(B2)</f>
        <v>879.87142857142521</v>
      </c>
      <c r="K36" s="508"/>
      <c r="L36" s="405"/>
      <c r="N36" s="749"/>
    </row>
    <row r="37" spans="1:14" x14ac:dyDescent="0.4">
      <c r="A37" s="699" t="s">
        <v>193</v>
      </c>
      <c r="B37" s="700"/>
      <c r="C37" s="700"/>
      <c r="D37" s="643" t="s">
        <v>159</v>
      </c>
      <c r="E37" s="630">
        <f>'[1]6'!F37</f>
        <v>415066</v>
      </c>
      <c r="F37" s="630">
        <v>415066</v>
      </c>
      <c r="G37" s="593">
        <f t="shared" si="3"/>
        <v>0</v>
      </c>
      <c r="H37" s="580">
        <f>G37+'[1]6'!H37</f>
        <v>0</v>
      </c>
      <c r="I37" s="575"/>
      <c r="J37" s="673">
        <f>H37/DAY(B2)</f>
        <v>0</v>
      </c>
      <c r="K37" s="508"/>
      <c r="L37" s="405"/>
      <c r="N37" s="750"/>
    </row>
    <row r="38" spans="1:14" x14ac:dyDescent="0.4">
      <c r="A38" s="699" t="s">
        <v>194</v>
      </c>
      <c r="B38" s="700"/>
      <c r="C38" s="700"/>
      <c r="D38" s="643" t="s">
        <v>159</v>
      </c>
      <c r="E38" s="589">
        <f>'[1]6'!F38</f>
        <v>150714.38</v>
      </c>
      <c r="F38" s="589">
        <v>150714</v>
      </c>
      <c r="G38" s="593">
        <f t="shared" si="3"/>
        <v>-0.38000000000465661</v>
      </c>
      <c r="H38" s="580">
        <f>G38+'[1]6'!H38</f>
        <v>0</v>
      </c>
      <c r="I38" s="575"/>
      <c r="J38" s="673">
        <f>H38/DAY(B2)</f>
        <v>0</v>
      </c>
      <c r="K38" s="508"/>
      <c r="L38" s="405"/>
      <c r="N38" s="410"/>
    </row>
    <row r="39" spans="1:14" x14ac:dyDescent="0.4">
      <c r="A39" s="699" t="s">
        <v>195</v>
      </c>
      <c r="B39" s="700"/>
      <c r="C39" s="700"/>
      <c r="D39" s="643" t="s">
        <v>159</v>
      </c>
      <c r="E39" s="630">
        <f>'[1]6'!F39</f>
        <v>912480</v>
      </c>
      <c r="F39" s="630">
        <v>912480</v>
      </c>
      <c r="G39" s="593">
        <f t="shared" si="3"/>
        <v>0</v>
      </c>
      <c r="H39" s="580">
        <f>G39+'[1]6'!H39</f>
        <v>0</v>
      </c>
      <c r="I39" s="575"/>
      <c r="J39" s="673">
        <f>H39/DAY(B2)</f>
        <v>0</v>
      </c>
      <c r="K39" s="508"/>
      <c r="L39" s="405"/>
      <c r="N39" s="410"/>
    </row>
    <row r="40" spans="1:14" x14ac:dyDescent="0.4">
      <c r="A40" s="720" t="s">
        <v>196</v>
      </c>
      <c r="B40" s="721"/>
      <c r="C40" s="721"/>
      <c r="D40" s="643" t="s">
        <v>159</v>
      </c>
      <c r="E40" s="630">
        <f>'[1]6'!F40</f>
        <v>0.17</v>
      </c>
      <c r="F40" s="630">
        <v>0.17</v>
      </c>
      <c r="G40" s="593">
        <f t="shared" si="3"/>
        <v>0</v>
      </c>
      <c r="H40" s="580">
        <f>G40+'[1]6'!H40</f>
        <v>0</v>
      </c>
      <c r="I40" s="575"/>
      <c r="J40" s="673">
        <f>H40/DAY(B2)</f>
        <v>0</v>
      </c>
      <c r="K40" s="509"/>
      <c r="L40" s="405"/>
      <c r="N40" s="410"/>
    </row>
    <row r="41" spans="1:14" x14ac:dyDescent="0.4">
      <c r="A41" s="699" t="s">
        <v>197</v>
      </c>
      <c r="B41" s="700"/>
      <c r="C41" s="700"/>
      <c r="D41" s="643" t="s">
        <v>159</v>
      </c>
      <c r="E41" s="630">
        <f>'[1]6'!F41</f>
        <v>300127.90000000002</v>
      </c>
      <c r="F41" s="630">
        <v>300127.90000000002</v>
      </c>
      <c r="G41" s="593">
        <f t="shared" si="3"/>
        <v>0</v>
      </c>
      <c r="H41" s="580">
        <f>G41+'[1]6'!H41</f>
        <v>-4.9999999988358468E-2</v>
      </c>
      <c r="I41" s="575"/>
      <c r="J41" s="673">
        <f>H41/DAY(B2)</f>
        <v>-7.1428571411940667E-3</v>
      </c>
      <c r="K41" s="508"/>
      <c r="L41" s="405"/>
      <c r="N41" s="410"/>
    </row>
    <row r="42" spans="1:14" x14ac:dyDescent="0.4">
      <c r="A42" s="708" t="s">
        <v>198</v>
      </c>
      <c r="B42" s="709"/>
      <c r="C42" s="709"/>
      <c r="D42" s="644" t="s">
        <v>159</v>
      </c>
      <c r="E42" s="1196">
        <f>'[1]6'!F42</f>
        <v>11603.86</v>
      </c>
      <c r="F42" s="1196">
        <v>16151.84</v>
      </c>
      <c r="G42" s="912">
        <f t="shared" si="3"/>
        <v>4547.9799999999996</v>
      </c>
      <c r="H42" s="580">
        <f>G42+'[1]6'!H42</f>
        <v>16151.84</v>
      </c>
      <c r="I42" s="575"/>
      <c r="J42" s="673">
        <f>H42/DAY(B2)</f>
        <v>2307.4057142857141</v>
      </c>
      <c r="K42" s="508"/>
      <c r="L42" s="405"/>
      <c r="N42" s="410"/>
    </row>
    <row r="43" spans="1:14" x14ac:dyDescent="0.4">
      <c r="A43" s="699" t="s">
        <v>199</v>
      </c>
      <c r="B43" s="700"/>
      <c r="C43" s="700"/>
      <c r="D43" s="643" t="s">
        <v>159</v>
      </c>
      <c r="E43" s="630">
        <f>'[1]6'!F43</f>
        <v>644050.15</v>
      </c>
      <c r="F43" s="630">
        <v>646426.03</v>
      </c>
      <c r="G43" s="593">
        <f t="shared" si="3"/>
        <v>2375.8800000000047</v>
      </c>
      <c r="H43" s="580">
        <f>G43+'[1]6'!H43</f>
        <v>15676.719999999972</v>
      </c>
      <c r="I43" s="575"/>
      <c r="J43" s="673">
        <f>H43/DAY(B2)</f>
        <v>2239.5314285714244</v>
      </c>
      <c r="K43" s="508"/>
      <c r="L43" s="405"/>
      <c r="N43" s="410"/>
    </row>
    <row r="44" spans="1:14" x14ac:dyDescent="0.4">
      <c r="A44" s="699" t="s">
        <v>200</v>
      </c>
      <c r="B44" s="700"/>
      <c r="C44" s="700"/>
      <c r="D44" s="643" t="s">
        <v>159</v>
      </c>
      <c r="E44" s="630">
        <f>'[1]6'!F44</f>
        <v>0</v>
      </c>
      <c r="F44" s="630">
        <v>0</v>
      </c>
      <c r="G44" s="593">
        <f t="shared" si="3"/>
        <v>0</v>
      </c>
      <c r="H44" s="580">
        <f>G44+'[1]6'!H44</f>
        <v>0</v>
      </c>
      <c r="I44" s="575"/>
      <c r="J44" s="673">
        <f>H44/DAY(B2)</f>
        <v>0</v>
      </c>
      <c r="K44" s="508"/>
      <c r="L44" s="405"/>
      <c r="N44" s="410"/>
    </row>
    <row r="45" spans="1:14" x14ac:dyDescent="0.4">
      <c r="A45" s="699" t="s">
        <v>201</v>
      </c>
      <c r="B45" s="700"/>
      <c r="C45" s="700"/>
      <c r="D45" s="643" t="s">
        <v>159</v>
      </c>
      <c r="E45" s="630">
        <f>'[1]6'!F45</f>
        <v>614</v>
      </c>
      <c r="F45" s="630">
        <v>614</v>
      </c>
      <c r="G45" s="593">
        <f t="shared" si="3"/>
        <v>0</v>
      </c>
      <c r="H45" s="580">
        <f>G45+'[1]6'!H45</f>
        <v>-0.48000000000001819</v>
      </c>
      <c r="I45" s="575"/>
      <c r="J45" s="673">
        <f>H45/DAY(B2)</f>
        <v>-6.857142857143117E-2</v>
      </c>
      <c r="K45" s="508"/>
      <c r="L45" s="405"/>
      <c r="N45" s="410"/>
    </row>
    <row r="46" spans="1:14" x14ac:dyDescent="0.4">
      <c r="A46" s="699" t="s">
        <v>202</v>
      </c>
      <c r="B46" s="700"/>
      <c r="C46" s="700"/>
      <c r="D46" s="643" t="s">
        <v>159</v>
      </c>
      <c r="E46" s="630">
        <f>'[1]6'!F46</f>
        <v>187</v>
      </c>
      <c r="F46" s="630">
        <v>187</v>
      </c>
      <c r="G46" s="593">
        <f t="shared" si="3"/>
        <v>0</v>
      </c>
      <c r="H46" s="580">
        <f>G46+'[1]6'!H46</f>
        <v>-0.49000000000000909</v>
      </c>
      <c r="I46" s="575"/>
      <c r="J46" s="673">
        <f>H46/DAY(B2)</f>
        <v>-7.0000000000001297E-2</v>
      </c>
      <c r="K46" s="508"/>
      <c r="L46" s="405"/>
      <c r="N46" s="410"/>
    </row>
    <row r="47" spans="1:14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8122.5399999999972</v>
      </c>
      <c r="H47" s="580">
        <f>G47+'[1]6'!H47</f>
        <v>37986.639999999956</v>
      </c>
      <c r="I47" s="575"/>
      <c r="J47" s="673">
        <f>H47/DAY(B2)</f>
        <v>5426.662857142851</v>
      </c>
      <c r="K47" s="508"/>
      <c r="L47" s="405"/>
      <c r="N47" s="410"/>
    </row>
    <row r="48" spans="1:14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410"/>
    </row>
    <row r="49" spans="1:14" x14ac:dyDescent="0.4">
      <c r="A49" s="699" t="s">
        <v>191</v>
      </c>
      <c r="B49" s="722"/>
      <c r="C49" s="722"/>
      <c r="D49" s="643" t="s">
        <v>159</v>
      </c>
      <c r="E49" s="630">
        <f>'[1]6'!F49</f>
        <v>78010.720000000001</v>
      </c>
      <c r="F49" s="630">
        <v>80928.88</v>
      </c>
      <c r="G49" s="593">
        <f t="shared" ref="G49:G58" si="4">F49-E49</f>
        <v>2918.1600000000035</v>
      </c>
      <c r="H49" s="580">
        <f>G49+'[1]6'!H49</f>
        <v>19415.613000000005</v>
      </c>
      <c r="I49" s="575"/>
      <c r="J49" s="673">
        <f>H49/DAY(B2)</f>
        <v>2773.6590000000006</v>
      </c>
      <c r="K49" s="508"/>
      <c r="L49" s="405"/>
      <c r="N49" s="410"/>
    </row>
    <row r="50" spans="1:14" x14ac:dyDescent="0.4">
      <c r="A50" s="699" t="s">
        <v>205</v>
      </c>
      <c r="B50" s="722"/>
      <c r="C50" s="722"/>
      <c r="D50" s="643" t="s">
        <v>159</v>
      </c>
      <c r="E50" s="630">
        <f>'[1]6'!F50</f>
        <v>303513.39</v>
      </c>
      <c r="F50" s="630">
        <v>305297.40999999997</v>
      </c>
      <c r="G50" s="593">
        <f t="shared" si="4"/>
        <v>1784.0199999999604</v>
      </c>
      <c r="H50" s="580">
        <f>G50+'[1]6'!H50</f>
        <v>9328.3199999999488</v>
      </c>
      <c r="I50" s="575"/>
      <c r="J50" s="673">
        <f>H50/DAY(B2)</f>
        <v>1332.6171428571356</v>
      </c>
      <c r="K50" s="508"/>
      <c r="L50" s="405"/>
      <c r="N50" s="410"/>
    </row>
    <row r="51" spans="1:14" x14ac:dyDescent="0.4">
      <c r="A51" s="699" t="s">
        <v>193</v>
      </c>
      <c r="B51" s="722"/>
      <c r="C51" s="722"/>
      <c r="D51" s="643" t="s">
        <v>159</v>
      </c>
      <c r="E51" s="630">
        <f>'[1]6'!F51</f>
        <v>27829.89</v>
      </c>
      <c r="F51" s="630">
        <v>29371.1</v>
      </c>
      <c r="G51" s="593">
        <f t="shared" si="4"/>
        <v>1541.2099999999991</v>
      </c>
      <c r="H51" s="580">
        <f>G51+'[1]6'!H51</f>
        <v>10050.612999999998</v>
      </c>
      <c r="I51" s="575"/>
      <c r="J51" s="673">
        <f>H51/DAY(B2)</f>
        <v>1435.8018571428568</v>
      </c>
      <c r="K51" s="508"/>
      <c r="L51" s="405"/>
      <c r="N51" s="410"/>
    </row>
    <row r="52" spans="1:14" x14ac:dyDescent="0.4">
      <c r="A52" s="699" t="s">
        <v>206</v>
      </c>
      <c r="B52" s="722"/>
      <c r="C52" s="722"/>
      <c r="D52" s="643" t="s">
        <v>159</v>
      </c>
      <c r="E52" s="630">
        <f>'[1]6'!F52</f>
        <v>382126.43</v>
      </c>
      <c r="F52" s="630">
        <v>384200.71</v>
      </c>
      <c r="G52" s="593">
        <f t="shared" si="4"/>
        <v>2074.2800000000279</v>
      </c>
      <c r="H52" s="580">
        <f>G52+'[1]6'!H52</f>
        <v>13078.280000000028</v>
      </c>
      <c r="I52" s="575"/>
      <c r="J52" s="673">
        <f>H52/DAY(B2)</f>
        <v>1868.3257142857183</v>
      </c>
      <c r="K52" s="508"/>
      <c r="L52" s="405"/>
      <c r="N52" s="410"/>
    </row>
    <row r="53" spans="1:14" x14ac:dyDescent="0.4">
      <c r="A53" s="699" t="s">
        <v>195</v>
      </c>
      <c r="B53" s="722"/>
      <c r="C53" s="722"/>
      <c r="D53" s="643" t="s">
        <v>159</v>
      </c>
      <c r="E53" s="630">
        <f>'[1]6'!F53</f>
        <v>70411.3</v>
      </c>
      <c r="F53" s="630">
        <v>74927.47</v>
      </c>
      <c r="G53" s="593">
        <f t="shared" si="4"/>
        <v>4516.1699999999983</v>
      </c>
      <c r="H53" s="580">
        <f>G53+'[1]6'!H53</f>
        <v>29511.463000000003</v>
      </c>
      <c r="I53" s="575"/>
      <c r="J53" s="673">
        <f>H53/DAY(B2)</f>
        <v>4215.9232857142861</v>
      </c>
      <c r="K53" s="508"/>
      <c r="L53" s="405"/>
      <c r="N53" s="410"/>
    </row>
    <row r="54" spans="1:14" x14ac:dyDescent="0.4">
      <c r="A54" s="699" t="s">
        <v>207</v>
      </c>
      <c r="B54" s="722"/>
      <c r="C54" s="722"/>
      <c r="D54" s="643" t="s">
        <v>159</v>
      </c>
      <c r="E54" s="630">
        <f>'[1]6'!F54</f>
        <v>3161.04</v>
      </c>
      <c r="F54" s="630">
        <v>3203.71</v>
      </c>
      <c r="G54" s="593">
        <f t="shared" si="4"/>
        <v>42.670000000000073</v>
      </c>
      <c r="H54" s="580">
        <f>G54+'[1]6'!H54</f>
        <v>370.71000000000004</v>
      </c>
      <c r="I54" s="575"/>
      <c r="J54" s="673">
        <f>H54/DAY(B2)</f>
        <v>52.958571428571432</v>
      </c>
      <c r="K54" s="508"/>
      <c r="L54" s="405"/>
      <c r="N54" s="410"/>
    </row>
    <row r="55" spans="1:14" x14ac:dyDescent="0.4">
      <c r="A55" s="699" t="s">
        <v>208</v>
      </c>
      <c r="B55" s="722"/>
      <c r="C55" s="722"/>
      <c r="D55" s="643" t="s">
        <v>159</v>
      </c>
      <c r="E55" s="630">
        <f>'[1]6'!F55</f>
        <v>158492.73000000001</v>
      </c>
      <c r="F55" s="770">
        <v>158492.73000000001</v>
      </c>
      <c r="G55" s="769">
        <f t="shared" si="4"/>
        <v>0</v>
      </c>
      <c r="H55" s="841">
        <f>G55+'[1]6'!H55</f>
        <v>-0.26999999998952262</v>
      </c>
      <c r="I55" s="842"/>
      <c r="J55" s="843">
        <f>H55/DAY(B2)</f>
        <v>-3.8571428569931801E-2</v>
      </c>
      <c r="K55" s="508"/>
      <c r="L55" s="405"/>
      <c r="N55" s="410"/>
    </row>
    <row r="56" spans="1:14" x14ac:dyDescent="0.4">
      <c r="A56" s="708" t="s">
        <v>209</v>
      </c>
      <c r="B56" s="1204"/>
      <c r="C56" s="1204"/>
      <c r="D56" s="644" t="s">
        <v>210</v>
      </c>
      <c r="E56" s="1175">
        <f>'[1]6'!F56</f>
        <v>449323.67</v>
      </c>
      <c r="F56" s="1175">
        <v>449323.67</v>
      </c>
      <c r="G56" s="593">
        <f t="shared" si="4"/>
        <v>0</v>
      </c>
      <c r="H56" s="580">
        <f>G56+'[1]6'!H56</f>
        <v>14176.079999999958</v>
      </c>
      <c r="I56" s="575"/>
      <c r="J56" s="673">
        <f>H56/DAY(B2)</f>
        <v>2025.1542857142797</v>
      </c>
      <c r="K56" s="507"/>
      <c r="L56" s="405"/>
      <c r="N56" s="410"/>
    </row>
    <row r="57" spans="1:14" x14ac:dyDescent="0.4">
      <c r="A57" s="699" t="s">
        <v>199</v>
      </c>
      <c r="B57" s="722"/>
      <c r="C57" s="722"/>
      <c r="D57" s="643" t="s">
        <v>159</v>
      </c>
      <c r="E57" s="630">
        <f>'[1]6'!F57</f>
        <v>0</v>
      </c>
      <c r="F57" s="630">
        <v>0</v>
      </c>
      <c r="G57" s="593">
        <f t="shared" si="4"/>
        <v>0</v>
      </c>
      <c r="H57" s="580">
        <f>G57+'[1]6'!H57</f>
        <v>0</v>
      </c>
      <c r="I57" s="575"/>
      <c r="J57" s="673">
        <f>H57/DAY(B2)</f>
        <v>0</v>
      </c>
      <c r="K57" s="508"/>
      <c r="L57" s="405"/>
      <c r="N57" s="410"/>
    </row>
    <row r="58" spans="1:14" x14ac:dyDescent="0.4">
      <c r="A58" s="699" t="s">
        <v>211</v>
      </c>
      <c r="B58" s="722"/>
      <c r="C58" s="722"/>
      <c r="D58" s="643" t="s">
        <v>159</v>
      </c>
      <c r="E58" s="630">
        <f>'[1]6'!F58</f>
        <v>20921.03</v>
      </c>
      <c r="F58" s="770">
        <v>21025.94</v>
      </c>
      <c r="G58" s="593">
        <f t="shared" si="4"/>
        <v>104.90999999999985</v>
      </c>
      <c r="H58" s="580">
        <f>G58+'[1]6'!H58</f>
        <v>794.89699999999721</v>
      </c>
      <c r="I58" s="575"/>
      <c r="J58" s="673">
        <f>H58/DAY(B2)</f>
        <v>113.55671428571388</v>
      </c>
      <c r="K58" s="508"/>
      <c r="L58" s="405"/>
      <c r="N58" s="410"/>
    </row>
    <row r="59" spans="1:14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12981.419999999989</v>
      </c>
      <c r="H59" s="580">
        <f>G59+'[1]6'!H59</f>
        <v>96725.705999999933</v>
      </c>
      <c r="I59" s="575">
        <f>G7-G60</f>
        <v>600.04000000001543</v>
      </c>
      <c r="J59" s="673">
        <f>H59/DAY(B2)</f>
        <v>13817.95799999999</v>
      </c>
      <c r="K59" s="508"/>
      <c r="L59" s="405"/>
      <c r="N59" s="410"/>
    </row>
    <row r="60" spans="1:14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21103.959999999985</v>
      </c>
      <c r="H60" s="580">
        <f>G60+'[1]6'!H60</f>
        <v>134712.34599999993</v>
      </c>
      <c r="I60" s="575">
        <f>G13-G60</f>
        <v>-146.02000000015687</v>
      </c>
      <c r="J60" s="673">
        <f>H60/DAY(B2)</f>
        <v>19244.620857142847</v>
      </c>
      <c r="K60" s="508"/>
      <c r="L60" s="405"/>
      <c r="N60" s="410"/>
    </row>
    <row r="61" spans="1:14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410"/>
    </row>
    <row r="62" spans="1:14" x14ac:dyDescent="0.4">
      <c r="A62" s="724" t="s">
        <v>121</v>
      </c>
      <c r="B62" s="725"/>
      <c r="C62" s="725"/>
      <c r="D62" s="631" t="s">
        <v>214</v>
      </c>
      <c r="E62" s="634">
        <f>'[1]6'!F62</f>
        <v>20419</v>
      </c>
      <c r="F62" s="634">
        <v>20419</v>
      </c>
      <c r="G62" s="593">
        <f t="shared" ref="G62:G69" si="5">F62-E62</f>
        <v>0</v>
      </c>
      <c r="H62" s="580">
        <f>G62+'[1]6'!H62</f>
        <v>-0.18000000000029104</v>
      </c>
      <c r="I62" s="635"/>
      <c r="J62" s="673">
        <f>H62/DAY(B2)</f>
        <v>-2.5714285714327292E-2</v>
      </c>
      <c r="K62" s="508"/>
      <c r="L62" s="405"/>
      <c r="N62" s="410"/>
    </row>
    <row r="63" spans="1:14" x14ac:dyDescent="0.4">
      <c r="A63" s="724" t="s">
        <v>215</v>
      </c>
      <c r="B63" s="725"/>
      <c r="C63" s="725"/>
      <c r="D63" s="631" t="s">
        <v>214</v>
      </c>
      <c r="E63" s="634">
        <f>'[1]6'!F63</f>
        <v>952.16</v>
      </c>
      <c r="F63" s="634">
        <v>966.57</v>
      </c>
      <c r="G63" s="593">
        <f t="shared" si="5"/>
        <v>14.410000000000082</v>
      </c>
      <c r="H63" s="580">
        <f>G63+'[1]6'!H63</f>
        <v>110.20000000000005</v>
      </c>
      <c r="I63" s="635"/>
      <c r="J63" s="673">
        <f>H63/DAY(B2)</f>
        <v>15.742857142857149</v>
      </c>
      <c r="K63" s="508"/>
      <c r="L63" s="405"/>
      <c r="N63" s="410"/>
    </row>
    <row r="64" spans="1:14" ht="27.75" x14ac:dyDescent="0.5">
      <c r="A64" s="1395" t="s">
        <v>122</v>
      </c>
      <c r="B64" s="1396"/>
      <c r="C64" s="1397"/>
      <c r="D64" s="643" t="s">
        <v>214</v>
      </c>
      <c r="E64" s="604">
        <f>'[1]6'!F64</f>
        <v>88907.15</v>
      </c>
      <c r="F64" s="598">
        <v>89266.99</v>
      </c>
      <c r="G64" s="593">
        <f t="shared" si="5"/>
        <v>359.84000000001106</v>
      </c>
      <c r="H64" s="580">
        <f>G64+'[1]6'!H64</f>
        <v>2527.8950000000041</v>
      </c>
      <c r="I64" s="600"/>
      <c r="J64" s="673">
        <f>H64/DAY(B2)</f>
        <v>361.12785714285775</v>
      </c>
      <c r="K64" s="508"/>
      <c r="L64" s="405"/>
      <c r="N64" s="410"/>
    </row>
    <row r="65" spans="1:14" ht="27.75" x14ac:dyDescent="0.5">
      <c r="A65" s="1395" t="s">
        <v>123</v>
      </c>
      <c r="B65" s="1396"/>
      <c r="C65" s="1397"/>
      <c r="D65" s="643" t="s">
        <v>214</v>
      </c>
      <c r="E65" s="604">
        <f>'[1]6'!F65</f>
        <v>99026.240000000005</v>
      </c>
      <c r="F65" s="768">
        <v>99436.99</v>
      </c>
      <c r="G65" s="593">
        <f t="shared" si="5"/>
        <v>410.75</v>
      </c>
      <c r="H65" s="580">
        <f>G65+'[1]6'!H65</f>
        <v>2801.0070000000123</v>
      </c>
      <c r="I65" s="609"/>
      <c r="J65" s="673">
        <f>H65/DAY(B2)</f>
        <v>400.14385714285891</v>
      </c>
      <c r="K65" s="508"/>
      <c r="L65" s="405"/>
      <c r="N65" s="410"/>
    </row>
    <row r="66" spans="1:14" ht="27.75" x14ac:dyDescent="0.5">
      <c r="A66" s="1395" t="s">
        <v>124</v>
      </c>
      <c r="B66" s="1396"/>
      <c r="C66" s="1397"/>
      <c r="D66" s="643" t="s">
        <v>214</v>
      </c>
      <c r="E66" s="604">
        <f>'[1]6'!F66</f>
        <v>92339.94</v>
      </c>
      <c r="F66" s="598">
        <v>92743.51</v>
      </c>
      <c r="G66" s="593">
        <f t="shared" si="5"/>
        <v>403.56999999999243</v>
      </c>
      <c r="H66" s="580">
        <f>G66+'[1]6'!H66</f>
        <v>2738.6630000000005</v>
      </c>
      <c r="I66" s="600"/>
      <c r="J66" s="673">
        <f>H66/DAY(B2)</f>
        <v>391.23757142857147</v>
      </c>
      <c r="K66" s="508"/>
      <c r="L66" s="405"/>
      <c r="N66" s="410"/>
    </row>
    <row r="67" spans="1:14" ht="27.75" x14ac:dyDescent="0.5">
      <c r="A67" s="1395" t="s">
        <v>125</v>
      </c>
      <c r="B67" s="1396"/>
      <c r="C67" s="1397"/>
      <c r="D67" s="643" t="s">
        <v>214</v>
      </c>
      <c r="E67" s="604">
        <f>'[1]6'!F67</f>
        <v>150353.44</v>
      </c>
      <c r="F67" s="598">
        <v>151119.51</v>
      </c>
      <c r="G67" s="593">
        <f t="shared" si="5"/>
        <v>766.07000000000698</v>
      </c>
      <c r="H67" s="580">
        <f>G67+'[1]6'!H67</f>
        <v>5077.460000000021</v>
      </c>
      <c r="I67" s="609"/>
      <c r="J67" s="673">
        <f>H67/DAY(B2)</f>
        <v>725.3514285714316</v>
      </c>
      <c r="K67" s="509"/>
      <c r="L67" s="405"/>
      <c r="N67" s="410"/>
    </row>
    <row r="68" spans="1:14" ht="27.75" x14ac:dyDescent="0.5">
      <c r="A68" s="1395" t="s">
        <v>126</v>
      </c>
      <c r="B68" s="1396"/>
      <c r="C68" s="1397"/>
      <c r="D68" s="643" t="s">
        <v>214</v>
      </c>
      <c r="E68" s="604">
        <f>'[1]6'!F68</f>
        <v>45390.720000000001</v>
      </c>
      <c r="F68" s="598">
        <v>45753.05</v>
      </c>
      <c r="G68" s="593">
        <f t="shared" si="5"/>
        <v>362.33000000000175</v>
      </c>
      <c r="H68" s="580">
        <f>G68+'[1]6'!H68</f>
        <v>2577.971000000005</v>
      </c>
      <c r="I68" s="636"/>
      <c r="J68" s="673">
        <f>H68/DAY(B2)</f>
        <v>368.28157142857214</v>
      </c>
      <c r="K68" s="510"/>
      <c r="L68" s="405"/>
      <c r="N68" s="410"/>
    </row>
    <row r="69" spans="1:14" ht="27.75" x14ac:dyDescent="0.5">
      <c r="A69" s="1395" t="s">
        <v>127</v>
      </c>
      <c r="B69" s="1396"/>
      <c r="C69" s="1397"/>
      <c r="D69" s="643" t="s">
        <v>214</v>
      </c>
      <c r="E69" s="604">
        <f>'[1]6'!F69</f>
        <v>39290.949999999997</v>
      </c>
      <c r="F69" s="598">
        <v>39584.129999999997</v>
      </c>
      <c r="G69" s="593">
        <f t="shared" si="5"/>
        <v>293.18000000000029</v>
      </c>
      <c r="H69" s="580">
        <f>G69+'[1]6'!H69</f>
        <v>2028.5629999999946</v>
      </c>
      <c r="I69" s="636"/>
      <c r="J69" s="673">
        <f>H69/DAY(B2)</f>
        <v>289.7947142857135</v>
      </c>
      <c r="K69" s="511"/>
      <c r="L69" s="405"/>
      <c r="N69" s="410"/>
    </row>
    <row r="70" spans="1:14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/>
      <c r="I70" s="638"/>
      <c r="J70" s="677"/>
      <c r="K70" s="511"/>
      <c r="L70" s="405"/>
      <c r="N70" s="410"/>
    </row>
    <row r="71" spans="1:14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410"/>
    </row>
    <row r="72" spans="1:14" ht="27.75" x14ac:dyDescent="0.5">
      <c r="A72" s="1395" t="s">
        <v>218</v>
      </c>
      <c r="B72" s="1396"/>
      <c r="C72" s="1397"/>
      <c r="D72" s="643" t="s">
        <v>214</v>
      </c>
      <c r="E72" s="639">
        <f>'[1]6'!F72</f>
        <v>844226</v>
      </c>
      <c r="F72" s="771">
        <v>844242</v>
      </c>
      <c r="G72" s="593">
        <f t="shared" ref="G72:G84" si="6">F72-E72</f>
        <v>16</v>
      </c>
      <c r="H72" s="580">
        <f>G72+'[1]6'!H72</f>
        <v>65</v>
      </c>
      <c r="I72" s="600"/>
      <c r="J72" s="673">
        <f>H72/DAY(B2)</f>
        <v>9.2857142857142865</v>
      </c>
      <c r="K72" s="511"/>
      <c r="L72" s="405"/>
      <c r="N72" s="410"/>
    </row>
    <row r="73" spans="1:14" ht="27.75" x14ac:dyDescent="0.5">
      <c r="A73" s="1395" t="s">
        <v>219</v>
      </c>
      <c r="B73" s="1396"/>
      <c r="C73" s="1397"/>
      <c r="D73" s="643" t="s">
        <v>214</v>
      </c>
      <c r="E73" s="640">
        <f>'[1]6'!F73</f>
        <v>885357</v>
      </c>
      <c r="F73" s="772">
        <v>885407</v>
      </c>
      <c r="G73" s="769">
        <f t="shared" si="6"/>
        <v>50</v>
      </c>
      <c r="H73" s="580">
        <f>G73+'[1]6'!H73</f>
        <v>97</v>
      </c>
      <c r="I73" s="600"/>
      <c r="J73" s="673">
        <f>H73/DAY(B2)</f>
        <v>13.857142857142858</v>
      </c>
      <c r="K73" s="510"/>
      <c r="L73" s="405"/>
      <c r="N73" s="410"/>
    </row>
    <row r="74" spans="1:14" ht="27.75" x14ac:dyDescent="0.5">
      <c r="A74" s="1395" t="s">
        <v>220</v>
      </c>
      <c r="B74" s="1396"/>
      <c r="C74" s="1397"/>
      <c r="D74" s="643" t="s">
        <v>214</v>
      </c>
      <c r="E74" s="641">
        <f>'[1]6'!F74</f>
        <v>880345</v>
      </c>
      <c r="F74" s="771">
        <v>880409</v>
      </c>
      <c r="G74" s="593">
        <f t="shared" si="6"/>
        <v>64</v>
      </c>
      <c r="H74" s="580">
        <f>G74+'[1]6'!H74</f>
        <v>182</v>
      </c>
      <c r="I74" s="600"/>
      <c r="J74" s="673">
        <f>H74/DAY(B2)</f>
        <v>26</v>
      </c>
      <c r="K74" s="511"/>
      <c r="L74" s="405"/>
      <c r="N74" s="410"/>
    </row>
    <row r="75" spans="1:14" ht="27.75" x14ac:dyDescent="0.5">
      <c r="A75" s="1447" t="s">
        <v>221</v>
      </c>
      <c r="B75" s="1448"/>
      <c r="C75" s="1449"/>
      <c r="D75" s="643" t="s">
        <v>214</v>
      </c>
      <c r="E75" s="640">
        <f>'[1]6'!F75</f>
        <v>727220</v>
      </c>
      <c r="F75" s="772">
        <v>727398</v>
      </c>
      <c r="G75" s="593">
        <f t="shared" si="6"/>
        <v>178</v>
      </c>
      <c r="H75" s="580">
        <f>G75+'[1]6'!H75</f>
        <v>1218</v>
      </c>
      <c r="I75" s="600"/>
      <c r="J75" s="673">
        <f>H75/DAY(B2)</f>
        <v>174</v>
      </c>
      <c r="K75" s="510"/>
      <c r="L75" s="405"/>
      <c r="N75" s="410"/>
    </row>
    <row r="76" spans="1:14" ht="27.75" x14ac:dyDescent="0.5">
      <c r="A76" s="1447" t="s">
        <v>222</v>
      </c>
      <c r="B76" s="1448"/>
      <c r="C76" s="1449"/>
      <c r="D76" s="643" t="s">
        <v>214</v>
      </c>
      <c r="E76" s="640">
        <f>'[1]6'!F76</f>
        <v>682033</v>
      </c>
      <c r="F76" s="772">
        <v>682117</v>
      </c>
      <c r="G76" s="593">
        <f t="shared" si="6"/>
        <v>84</v>
      </c>
      <c r="H76" s="580">
        <f>G76+'[1]6'!H76</f>
        <v>441</v>
      </c>
      <c r="I76" s="625"/>
      <c r="J76" s="673">
        <f>H76/DAY(B2)</f>
        <v>63</v>
      </c>
      <c r="K76" s="510"/>
      <c r="L76" s="405"/>
      <c r="N76" s="410"/>
    </row>
    <row r="77" spans="1:14" ht="27.75" x14ac:dyDescent="0.5">
      <c r="A77" s="1395" t="s">
        <v>223</v>
      </c>
      <c r="B77" s="1396"/>
      <c r="C77" s="1397"/>
      <c r="D77" s="643" t="s">
        <v>214</v>
      </c>
      <c r="E77" s="640">
        <f>'[1]6'!F77</f>
        <v>694033</v>
      </c>
      <c r="F77" s="772">
        <v>694081</v>
      </c>
      <c r="G77" s="769">
        <f t="shared" si="6"/>
        <v>48</v>
      </c>
      <c r="H77" s="580">
        <f>G77+'[1]6'!H77</f>
        <v>361</v>
      </c>
      <c r="I77" s="625"/>
      <c r="J77" s="673">
        <f>H77/DAY(B2)</f>
        <v>51.571428571428569</v>
      </c>
      <c r="K77" s="510"/>
      <c r="L77" s="405"/>
      <c r="N77" s="410"/>
    </row>
    <row r="78" spans="1:14" ht="27.75" x14ac:dyDescent="0.5">
      <c r="A78" s="1357" t="s">
        <v>224</v>
      </c>
      <c r="B78" s="1320"/>
      <c r="C78" s="1320"/>
      <c r="D78" s="643" t="s">
        <v>214</v>
      </c>
      <c r="E78" s="641">
        <f>'[1]6'!F78</f>
        <v>620638</v>
      </c>
      <c r="F78" s="773">
        <v>621072</v>
      </c>
      <c r="G78" s="593">
        <f t="shared" si="6"/>
        <v>434</v>
      </c>
      <c r="H78" s="580">
        <f>G78+'[1]6'!H78</f>
        <v>2819</v>
      </c>
      <c r="I78" s="625"/>
      <c r="J78" s="673">
        <f>H78/DAY(B2)</f>
        <v>402.71428571428572</v>
      </c>
      <c r="K78" s="510"/>
      <c r="L78" s="405"/>
      <c r="N78" s="410"/>
    </row>
    <row r="79" spans="1:14" ht="27.75" x14ac:dyDescent="0.5">
      <c r="A79" s="1447" t="s">
        <v>112</v>
      </c>
      <c r="B79" s="1448"/>
      <c r="C79" s="1449"/>
      <c r="D79" s="644" t="s">
        <v>214</v>
      </c>
      <c r="E79" s="641">
        <f>'[1]6'!F79</f>
        <v>799143</v>
      </c>
      <c r="F79" s="773">
        <v>799332</v>
      </c>
      <c r="G79" s="593">
        <f t="shared" si="6"/>
        <v>189</v>
      </c>
      <c r="H79" s="580">
        <f>G79+'[1]6'!H79</f>
        <v>1346</v>
      </c>
      <c r="I79" s="625"/>
      <c r="J79" s="673">
        <f>H79/DAY(B2)</f>
        <v>192.28571428571428</v>
      </c>
      <c r="K79" s="510"/>
      <c r="L79" s="405"/>
      <c r="N79" s="410"/>
    </row>
    <row r="80" spans="1:14" ht="27.75" x14ac:dyDescent="0.5">
      <c r="A80" s="1447" t="s">
        <v>225</v>
      </c>
      <c r="B80" s="1448"/>
      <c r="C80" s="1449"/>
      <c r="D80" s="644" t="s">
        <v>214</v>
      </c>
      <c r="E80" s="640">
        <f>'[1]6'!F80</f>
        <v>467424</v>
      </c>
      <c r="F80" s="772">
        <v>467780.92</v>
      </c>
      <c r="G80" s="593">
        <f t="shared" si="6"/>
        <v>356.9199999999837</v>
      </c>
      <c r="H80" s="580">
        <f>G80+'[1]6'!H80</f>
        <v>2283.039999999979</v>
      </c>
      <c r="I80" s="625"/>
      <c r="J80" s="673">
        <f>H80/DAY(B2)</f>
        <v>326.14857142856846</v>
      </c>
      <c r="K80" s="510"/>
      <c r="L80" s="405"/>
      <c r="N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'[1]6'!F81</f>
        <v>615339</v>
      </c>
      <c r="F81" s="772">
        <v>615534.24</v>
      </c>
      <c r="G81" s="593">
        <f t="shared" si="6"/>
        <v>195.23999999999069</v>
      </c>
      <c r="H81" s="580">
        <f>G81+'[1]6'!H81</f>
        <v>1145.7199999999721</v>
      </c>
      <c r="I81" s="625"/>
      <c r="J81" s="673">
        <f>H81/DAY(B2)</f>
        <v>163.67428571428172</v>
      </c>
      <c r="K81" s="510"/>
      <c r="L81" s="405"/>
      <c r="N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2">
        <f>'[1]6'!F82</f>
        <v>103632</v>
      </c>
      <c r="F82" s="768">
        <v>103660</v>
      </c>
      <c r="G82" s="593">
        <f t="shared" si="6"/>
        <v>28</v>
      </c>
      <c r="H82" s="580">
        <f>G82+'[1]6'!H82</f>
        <v>130.35000000000582</v>
      </c>
      <c r="I82" s="606"/>
      <c r="J82" s="673">
        <f>H82/DAY(B2)</f>
        <v>18.621428571429401</v>
      </c>
      <c r="K82" s="510"/>
      <c r="L82" s="405"/>
      <c r="N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1">
        <f>'[1]6'!F83</f>
        <v>964555</v>
      </c>
      <c r="F83" s="631">
        <v>964906</v>
      </c>
      <c r="G83" s="593">
        <f t="shared" si="6"/>
        <v>351</v>
      </c>
      <c r="H83" s="580">
        <f>G83+'[1]6'!H83</f>
        <v>2381</v>
      </c>
      <c r="I83" s="601"/>
      <c r="J83" s="673">
        <f>H83/DAY(B2)</f>
        <v>340.14285714285717</v>
      </c>
      <c r="K83" s="509"/>
      <c r="L83" s="405"/>
      <c r="N83" s="410"/>
    </row>
    <row r="84" spans="1:15" x14ac:dyDescent="0.5">
      <c r="A84" s="1360" t="s">
        <v>228</v>
      </c>
      <c r="B84" s="692"/>
      <c r="C84" s="692"/>
      <c r="D84" s="598" t="s">
        <v>159</v>
      </c>
      <c r="E84" s="748">
        <f>'[1]6'!F84</f>
        <v>384672</v>
      </c>
      <c r="F84" s="748">
        <v>385203</v>
      </c>
      <c r="G84" s="593">
        <f t="shared" si="6"/>
        <v>531</v>
      </c>
      <c r="H84" s="580">
        <f>G84+'[1]6'!H84</f>
        <v>3847</v>
      </c>
      <c r="I84" s="601"/>
      <c r="J84" s="673">
        <f>H84/DAY(B2)</f>
        <v>549.57142857142856</v>
      </c>
      <c r="K84" s="408"/>
      <c r="L84" s="405"/>
      <c r="N84" s="410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2525.1599999999744</v>
      </c>
      <c r="H85" s="580">
        <f>G85+'[1]6'!H85</f>
        <v>14494.679999999906</v>
      </c>
      <c r="I85" s="601"/>
      <c r="J85" s="673">
        <f>H85/DAY(B2)</f>
        <v>2070.6685714285582</v>
      </c>
      <c r="K85" s="408"/>
      <c r="L85" s="406"/>
      <c r="N85" s="410"/>
    </row>
    <row r="86" spans="1:15" s="871" customFormat="1" x14ac:dyDescent="0.5">
      <c r="A86" s="866" t="s">
        <v>117</v>
      </c>
      <c r="B86" s="867"/>
      <c r="C86" s="867"/>
      <c r="D86" s="768" t="s">
        <v>210</v>
      </c>
      <c r="E86" s="748">
        <f>'[1]6'!F86</f>
        <v>441467</v>
      </c>
      <c r="F86" s="764">
        <v>441673.32</v>
      </c>
      <c r="G86" s="841">
        <f t="shared" ref="G86:G90" si="7">F86-E86</f>
        <v>206.32000000000698</v>
      </c>
      <c r="H86" s="841">
        <f t="shared" ref="H86:H88" si="8">G86</f>
        <v>206.32000000000698</v>
      </c>
      <c r="I86" s="769"/>
      <c r="J86" s="843">
        <f>H86/DAY(B2)</f>
        <v>29.474285714286712</v>
      </c>
      <c r="K86" s="869"/>
      <c r="L86" s="870"/>
      <c r="O86" s="849"/>
    </row>
    <row r="87" spans="1:15" s="871" customFormat="1" x14ac:dyDescent="0.5">
      <c r="A87" s="866" t="s">
        <v>118</v>
      </c>
      <c r="B87" s="867"/>
      <c r="C87" s="867"/>
      <c r="D87" s="768" t="s">
        <v>210</v>
      </c>
      <c r="E87" s="748">
        <f>'[1]6'!F87</f>
        <v>77060.899999999994</v>
      </c>
      <c r="F87" s="764">
        <v>77090.2</v>
      </c>
      <c r="G87" s="841">
        <f t="shared" si="7"/>
        <v>29.30000000000291</v>
      </c>
      <c r="H87" s="841">
        <f t="shared" si="8"/>
        <v>29.30000000000291</v>
      </c>
      <c r="I87" s="769"/>
      <c r="J87" s="843">
        <f>H87/DAY(B2)</f>
        <v>4.1857142857147016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768" t="s">
        <v>210</v>
      </c>
      <c r="E88" s="748">
        <f>'[1]6'!F88</f>
        <v>142964.99</v>
      </c>
      <c r="F88" s="764">
        <v>143031.60999999999</v>
      </c>
      <c r="G88" s="841">
        <f t="shared" si="7"/>
        <v>66.619999999995343</v>
      </c>
      <c r="H88" s="841">
        <f t="shared" si="8"/>
        <v>66.619999999995343</v>
      </c>
      <c r="I88" s="769"/>
      <c r="J88" s="843">
        <f>H88/DAY(B2)</f>
        <v>9.5171428571421917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768" t="s">
        <v>210</v>
      </c>
      <c r="E89" s="748">
        <f>'[1]6'!F89</f>
        <v>56071.9</v>
      </c>
      <c r="F89" s="764">
        <v>56130.7</v>
      </c>
      <c r="G89" s="841">
        <f t="shared" si="7"/>
        <v>58.799999999995634</v>
      </c>
      <c r="H89" s="841">
        <f>G89</f>
        <v>58.799999999995634</v>
      </c>
      <c r="I89" s="769"/>
      <c r="J89" s="843">
        <f>H89/DAY(B2)</f>
        <v>8.3999999999993769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768" t="s">
        <v>210</v>
      </c>
      <c r="E90" s="748">
        <f>'[1]6'!F90</f>
        <v>2910.4</v>
      </c>
      <c r="F90" s="764">
        <v>2913.4</v>
      </c>
      <c r="G90" s="841">
        <f t="shared" si="7"/>
        <v>3</v>
      </c>
      <c r="H90" s="841">
        <f>G90</f>
        <v>3</v>
      </c>
      <c r="I90" s="769"/>
      <c r="J90" s="843">
        <f>H90/DAY(B2)</f>
        <v>0.42857142857142855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'[1]6'!F92</f>
        <v>231484</v>
      </c>
      <c r="F92" s="598">
        <v>231588</v>
      </c>
      <c r="G92" s="593">
        <f t="shared" ref="G92:G93" si="9">F92-E92</f>
        <v>104</v>
      </c>
      <c r="H92" s="580">
        <f>G92+'[1]6'!H92</f>
        <v>613</v>
      </c>
      <c r="I92" s="600"/>
      <c r="J92" s="673">
        <f>H92/DAY(B2)</f>
        <v>87.571428571428569</v>
      </c>
      <c r="K92" s="509"/>
      <c r="L92" s="405"/>
      <c r="N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'[1]6'!F93</f>
        <v>163454</v>
      </c>
      <c r="F93" s="598">
        <v>163620</v>
      </c>
      <c r="G93" s="593">
        <f t="shared" si="9"/>
        <v>166</v>
      </c>
      <c r="H93" s="580">
        <f>G93+'[1]6'!H93</f>
        <v>978</v>
      </c>
      <c r="I93" s="600"/>
      <c r="J93" s="673">
        <f>H93/DAY(B2)</f>
        <v>139.71428571428572</v>
      </c>
      <c r="K93" s="408"/>
      <c r="L93" s="405"/>
      <c r="N93" s="410"/>
    </row>
    <row r="94" spans="1:15" x14ac:dyDescent="0.5">
      <c r="A94" s="1392" t="s">
        <v>235</v>
      </c>
      <c r="B94" s="1393"/>
      <c r="C94" s="1394"/>
      <c r="D94" s="643"/>
      <c r="E94" s="604">
        <f>'[1]6'!F94</f>
        <v>0</v>
      </c>
      <c r="F94" s="598"/>
      <c r="G94" s="593">
        <f>G92+G93</f>
        <v>270</v>
      </c>
      <c r="H94" s="580">
        <f>G94+'[1]6'!H94</f>
        <v>1328</v>
      </c>
      <c r="I94" s="600"/>
      <c r="J94" s="673">
        <f>H94/DAY(B2)</f>
        <v>189.71428571428572</v>
      </c>
      <c r="K94" s="408"/>
      <c r="L94" s="405"/>
      <c r="N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'[1]6'!F95</f>
        <v>401888</v>
      </c>
      <c r="F95" s="598">
        <v>401964</v>
      </c>
      <c r="G95" s="593">
        <f t="shared" ref="G95:G100" si="10">F95-E95</f>
        <v>76</v>
      </c>
      <c r="H95" s="580">
        <f>G95+'[1]6'!H95</f>
        <v>399</v>
      </c>
      <c r="I95" s="600"/>
      <c r="J95" s="673">
        <f>H95/DAY(B2)</f>
        <v>57</v>
      </c>
      <c r="K95" s="408"/>
      <c r="L95" s="405"/>
      <c r="N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'[1]6'!F96</f>
        <v>99285</v>
      </c>
      <c r="F96" s="598">
        <v>99320</v>
      </c>
      <c r="G96" s="593">
        <f t="shared" si="10"/>
        <v>35</v>
      </c>
      <c r="H96" s="580">
        <f>G96+'[1]6'!H96</f>
        <v>209</v>
      </c>
      <c r="I96" s="600"/>
      <c r="J96" s="673">
        <f>H96/DAY(B2)</f>
        <v>29.857142857142858</v>
      </c>
      <c r="K96" s="507"/>
      <c r="L96" s="405"/>
      <c r="N96" s="410"/>
    </row>
    <row r="97" spans="1:14" ht="27.75" x14ac:dyDescent="0.5">
      <c r="A97" s="1354" t="s">
        <v>238</v>
      </c>
      <c r="B97" s="1355"/>
      <c r="C97" s="1355"/>
      <c r="D97" s="643" t="s">
        <v>171</v>
      </c>
      <c r="E97" s="604">
        <f>'[1]6'!F97</f>
        <v>94393</v>
      </c>
      <c r="F97" s="598">
        <v>94416</v>
      </c>
      <c r="G97" s="593">
        <f t="shared" si="10"/>
        <v>23</v>
      </c>
      <c r="H97" s="580">
        <f>G97+'[1]6'!H97</f>
        <v>144</v>
      </c>
      <c r="I97" s="600"/>
      <c r="J97" s="673">
        <f>H97/DAY(B2)</f>
        <v>20.571428571428573</v>
      </c>
      <c r="K97" s="512"/>
      <c r="L97" s="405"/>
      <c r="N97" s="410"/>
    </row>
    <row r="98" spans="1:14" ht="27.75" x14ac:dyDescent="0.5">
      <c r="A98" s="1354" t="s">
        <v>239</v>
      </c>
      <c r="B98" s="1355"/>
      <c r="C98" s="1355"/>
      <c r="D98" s="643" t="s">
        <v>171</v>
      </c>
      <c r="E98" s="604">
        <f>'[1]6'!F98</f>
        <v>142457</v>
      </c>
      <c r="F98" s="598">
        <v>142506</v>
      </c>
      <c r="G98" s="593">
        <f t="shared" si="10"/>
        <v>49</v>
      </c>
      <c r="H98" s="580">
        <f>G98+'[1]6'!H98</f>
        <v>360</v>
      </c>
      <c r="I98" s="600"/>
      <c r="J98" s="673">
        <f>H98/DAY(B2)</f>
        <v>51.428571428571431</v>
      </c>
      <c r="K98" s="408"/>
      <c r="L98" s="405"/>
      <c r="N98" s="823"/>
    </row>
    <row r="99" spans="1:14" ht="27.75" x14ac:dyDescent="0.5">
      <c r="A99" s="1354" t="s">
        <v>240</v>
      </c>
      <c r="B99" s="1355"/>
      <c r="C99" s="1355"/>
      <c r="D99" s="643" t="s">
        <v>171</v>
      </c>
      <c r="E99" s="604">
        <f>'[1]6'!F99</f>
        <v>5109</v>
      </c>
      <c r="F99" s="598">
        <v>5135</v>
      </c>
      <c r="G99" s="593">
        <f t="shared" si="10"/>
        <v>26</v>
      </c>
      <c r="H99" s="580">
        <f>G99+'[1]6'!H99</f>
        <v>167</v>
      </c>
      <c r="I99" s="600"/>
      <c r="J99" s="673">
        <f>H99/DAY(B2)</f>
        <v>23.857142857142858</v>
      </c>
      <c r="K99" s="408"/>
      <c r="L99" s="405"/>
      <c r="N99" s="410"/>
    </row>
    <row r="100" spans="1:14" ht="27.75" x14ac:dyDescent="0.5">
      <c r="A100" s="1354" t="s">
        <v>241</v>
      </c>
      <c r="B100" s="1355"/>
      <c r="C100" s="1355"/>
      <c r="D100" s="643" t="s">
        <v>171</v>
      </c>
      <c r="E100" s="604">
        <f>'[1]6'!F100</f>
        <v>3674</v>
      </c>
      <c r="F100" s="598">
        <v>3674</v>
      </c>
      <c r="G100" s="593">
        <f t="shared" si="10"/>
        <v>0</v>
      </c>
      <c r="H100" s="580">
        <f>G100+'[1]6'!H100</f>
        <v>0</v>
      </c>
      <c r="I100" s="600"/>
      <c r="J100" s="673">
        <f>H100/DAY(B2)</f>
        <v>0</v>
      </c>
      <c r="K100" s="408"/>
      <c r="L100" s="405"/>
      <c r="N100" s="410"/>
    </row>
    <row r="101" spans="1:14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209</v>
      </c>
      <c r="H101" s="580">
        <f>G101+'[1]6'!H101</f>
        <v>1279</v>
      </c>
      <c r="I101" s="646"/>
      <c r="J101" s="673">
        <f>H101/DAY(B2)</f>
        <v>182.71428571428572</v>
      </c>
      <c r="K101" s="408"/>
      <c r="L101" s="405"/>
      <c r="N101" s="410"/>
    </row>
    <row r="102" spans="1:14" s="524" customFormat="1" ht="27" x14ac:dyDescent="0.35">
      <c r="A102" s="728" t="s">
        <v>243</v>
      </c>
      <c r="B102" s="729"/>
      <c r="C102" s="729"/>
      <c r="D102" s="742"/>
      <c r="E102" s="648"/>
      <c r="F102" s="774"/>
      <c r="G102" s="649"/>
      <c r="H102" s="650"/>
      <c r="I102" s="651"/>
      <c r="J102" s="678"/>
      <c r="N102" s="410"/>
    </row>
    <row r="103" spans="1:14" s="524" customFormat="1" ht="27.75" x14ac:dyDescent="0.5">
      <c r="A103" s="1404" t="s">
        <v>244</v>
      </c>
      <c r="B103" s="1405"/>
      <c r="C103" s="694"/>
      <c r="D103" s="743"/>
      <c r="E103" s="652"/>
      <c r="F103" s="775"/>
      <c r="G103" s="652"/>
      <c r="H103" s="653"/>
      <c r="I103" s="652"/>
      <c r="J103" s="679"/>
      <c r="N103" s="410"/>
    </row>
    <row r="104" spans="1:14" s="524" customFormat="1" ht="27.75" x14ac:dyDescent="0.5">
      <c r="A104" s="1406" t="s">
        <v>245</v>
      </c>
      <c r="B104" s="1407"/>
      <c r="C104" s="1359"/>
      <c r="D104" s="743" t="s">
        <v>171</v>
      </c>
      <c r="E104" s="652">
        <f>'[1]6'!F104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8.1428571428571423</v>
      </c>
      <c r="N104" s="410"/>
    </row>
    <row r="105" spans="1:14" s="524" customFormat="1" ht="27.75" x14ac:dyDescent="0.5">
      <c r="A105" s="1406" t="s">
        <v>92</v>
      </c>
      <c r="B105" s="1407"/>
      <c r="C105" s="1359"/>
      <c r="D105" s="743" t="s">
        <v>171</v>
      </c>
      <c r="E105" s="652">
        <f>'[1]6'!F105</f>
        <v>34702</v>
      </c>
      <c r="F105" s="776">
        <v>34707</v>
      </c>
      <c r="G105" s="652">
        <f t="shared" ref="G105:G106" si="11">F105-E105</f>
        <v>5</v>
      </c>
      <c r="H105" s="653">
        <f>SUM(G105+'[1]1'!G77)</f>
        <v>60</v>
      </c>
      <c r="I105" s="652"/>
      <c r="J105" s="679">
        <f>H105/DAY(B2)</f>
        <v>8.5714285714285712</v>
      </c>
      <c r="N105" s="410"/>
    </row>
    <row r="106" spans="1:14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'[1]6'!F106</f>
        <v>18764</v>
      </c>
      <c r="F106" s="776">
        <v>18769</v>
      </c>
      <c r="G106" s="652">
        <f t="shared" si="11"/>
        <v>5</v>
      </c>
      <c r="H106" s="653">
        <f>SUM(G106+'[1]1'!G78)</f>
        <v>485</v>
      </c>
      <c r="I106" s="652"/>
      <c r="J106" s="679">
        <f>H106/DAY(B2)</f>
        <v>69.285714285714292</v>
      </c>
      <c r="N106" s="410"/>
    </row>
    <row r="107" spans="1:14" s="524" customFormat="1" ht="27.75" x14ac:dyDescent="0.5">
      <c r="A107" s="1409" t="s">
        <v>82</v>
      </c>
      <c r="B107" s="1410"/>
      <c r="C107" s="1359"/>
      <c r="D107" s="743"/>
      <c r="E107" s="652"/>
      <c r="F107" s="776"/>
      <c r="G107" s="652">
        <f>SUM(G104:G106)</f>
        <v>10</v>
      </c>
      <c r="H107" s="653">
        <f>SUM(G107+'[1]1'!G79)</f>
        <v>211</v>
      </c>
      <c r="I107" s="652"/>
      <c r="J107" s="679">
        <f>H107/DAY(B2)</f>
        <v>30.142857142857142</v>
      </c>
      <c r="N107" s="410"/>
    </row>
    <row r="108" spans="1:14" s="524" customFormat="1" ht="27.75" x14ac:dyDescent="0.5">
      <c r="A108" s="1411" t="s">
        <v>94</v>
      </c>
      <c r="B108" s="1412"/>
      <c r="C108" s="1359"/>
      <c r="D108" s="743" t="s">
        <v>171</v>
      </c>
      <c r="E108" s="652"/>
      <c r="F108" s="776"/>
      <c r="G108" s="652"/>
      <c r="H108" s="653"/>
      <c r="I108" s="652"/>
      <c r="J108" s="679"/>
      <c r="N108" s="410"/>
    </row>
    <row r="109" spans="1:14" s="524" customFormat="1" ht="27.75" x14ac:dyDescent="0.5">
      <c r="A109" s="1406" t="s">
        <v>246</v>
      </c>
      <c r="B109" s="1407"/>
      <c r="C109" s="1359"/>
      <c r="D109" s="743" t="s">
        <v>171</v>
      </c>
      <c r="E109" s="652">
        <f>'[1]6'!F109</f>
        <v>51598</v>
      </c>
      <c r="F109" s="776">
        <v>51659</v>
      </c>
      <c r="G109" s="652">
        <f>F109-E109</f>
        <v>61</v>
      </c>
      <c r="H109" s="653">
        <f>SUM(G109+'[1]1'!G81)</f>
        <v>214.28000000002794</v>
      </c>
      <c r="I109" s="652"/>
      <c r="J109" s="679">
        <f>H109/DAY(B2)</f>
        <v>30.611428571432562</v>
      </c>
      <c r="N109" s="410"/>
    </row>
    <row r="110" spans="1:14" s="524" customFormat="1" ht="27.75" x14ac:dyDescent="0.5">
      <c r="A110" s="1406" t="s">
        <v>247</v>
      </c>
      <c r="B110" s="1407"/>
      <c r="C110" s="1359"/>
      <c r="D110" s="743" t="s">
        <v>171</v>
      </c>
      <c r="E110" s="652">
        <f>'[1]6'!F110</f>
        <v>25629</v>
      </c>
      <c r="F110" s="776">
        <v>25680</v>
      </c>
      <c r="G110" s="652">
        <f t="shared" ref="G110:G111" si="12">F110-E110</f>
        <v>51</v>
      </c>
      <c r="H110" s="653">
        <f>SUM(G110+'[1]1'!G82)</f>
        <v>71.760000000009313</v>
      </c>
      <c r="I110" s="652"/>
      <c r="J110" s="679">
        <f>H110/DAY(B2)</f>
        <v>10.251428571429901</v>
      </c>
      <c r="N110" s="410"/>
    </row>
    <row r="111" spans="1:14" s="524" customFormat="1" ht="27.75" x14ac:dyDescent="0.5">
      <c r="A111" s="1406" t="s">
        <v>248</v>
      </c>
      <c r="B111" s="1407"/>
      <c r="C111" s="1359"/>
      <c r="D111" s="743" t="s">
        <v>171</v>
      </c>
      <c r="E111" s="652">
        <f>'[1]6'!F111</f>
        <v>3412</v>
      </c>
      <c r="F111" s="776">
        <v>3427</v>
      </c>
      <c r="G111" s="652">
        <f t="shared" si="12"/>
        <v>15</v>
      </c>
      <c r="H111" s="653">
        <f>SUM(G111+'[1]1'!G83)</f>
        <v>361</v>
      </c>
      <c r="I111" s="652"/>
      <c r="J111" s="679">
        <f>H111/DAY(B2)</f>
        <v>51.571428571428569</v>
      </c>
      <c r="N111" s="410"/>
    </row>
    <row r="112" spans="1:14" s="524" customFormat="1" ht="27.75" x14ac:dyDescent="0.5">
      <c r="A112" s="1409" t="s">
        <v>136</v>
      </c>
      <c r="B112" s="1410"/>
      <c r="C112" s="1359"/>
      <c r="D112" s="743"/>
      <c r="E112" s="652"/>
      <c r="F112" s="776"/>
      <c r="G112" s="652">
        <f>SUM(G109:G111)</f>
        <v>127</v>
      </c>
      <c r="H112" s="653">
        <f>SUM(G112+'[1]1'!G84)</f>
        <v>691</v>
      </c>
      <c r="I112" s="652"/>
      <c r="J112" s="679">
        <f>H112/DAY(B2)</f>
        <v>98.714285714285708</v>
      </c>
      <c r="N112" s="410"/>
    </row>
    <row r="113" spans="1:14" s="524" customFormat="1" ht="27.75" x14ac:dyDescent="0.5">
      <c r="A113" s="1411" t="s">
        <v>249</v>
      </c>
      <c r="B113" s="1412"/>
      <c r="C113" s="1359"/>
      <c r="D113" s="743"/>
      <c r="E113" s="652"/>
      <c r="F113" s="776"/>
      <c r="G113" s="652"/>
      <c r="H113" s="653"/>
      <c r="I113" s="652"/>
      <c r="J113" s="679">
        <f>H113/DAY(B2)</f>
        <v>0</v>
      </c>
      <c r="N113" s="410"/>
    </row>
    <row r="114" spans="1:14" s="524" customFormat="1" ht="27.75" x14ac:dyDescent="0.5">
      <c r="A114" s="1406" t="s">
        <v>250</v>
      </c>
      <c r="B114" s="1407"/>
      <c r="C114" s="695"/>
      <c r="D114" s="743" t="s">
        <v>171</v>
      </c>
      <c r="E114" s="652">
        <f>'[1]6'!F114</f>
        <v>8767</v>
      </c>
      <c r="F114" s="776">
        <v>8798</v>
      </c>
      <c r="G114" s="654">
        <f>F114-E114</f>
        <v>31</v>
      </c>
      <c r="H114" s="653">
        <f>SUM(G114+'[1]1'!G91)</f>
        <v>31</v>
      </c>
      <c r="I114" s="652"/>
      <c r="J114" s="679">
        <f>H114/DAY(B2)</f>
        <v>4.4285714285714288</v>
      </c>
      <c r="N114" s="410"/>
    </row>
    <row r="115" spans="1:14" s="524" customFormat="1" ht="27.75" x14ac:dyDescent="0.5">
      <c r="A115" s="1406" t="s">
        <v>251</v>
      </c>
      <c r="B115" s="1407"/>
      <c r="C115" s="695"/>
      <c r="D115" s="743" t="s">
        <v>171</v>
      </c>
      <c r="E115" s="652">
        <f>'[1]6'!F115</f>
        <v>6873</v>
      </c>
      <c r="F115" s="776">
        <v>6887</v>
      </c>
      <c r="G115" s="654">
        <f t="shared" ref="G115:G116" si="13">F115-E115</f>
        <v>14</v>
      </c>
      <c r="H115" s="653">
        <f>SUM(G115+'[1]1'!G92)</f>
        <v>126</v>
      </c>
      <c r="I115" s="652"/>
      <c r="J115" s="679">
        <f>H115/DAY(B2)</f>
        <v>18</v>
      </c>
      <c r="N115" s="410"/>
    </row>
    <row r="116" spans="1:14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776"/>
      <c r="G116" s="654">
        <f t="shared" si="13"/>
        <v>0</v>
      </c>
      <c r="H116" s="653">
        <f>SUM(G116+'[1]1'!G93)</f>
        <v>151</v>
      </c>
      <c r="I116" s="652"/>
      <c r="J116" s="679">
        <f>H116/DAY(B2)</f>
        <v>21.571428571428573</v>
      </c>
      <c r="N116" s="410"/>
    </row>
    <row r="117" spans="1:14" s="537" customFormat="1" ht="27.75" x14ac:dyDescent="0.5">
      <c r="A117" s="1409" t="s">
        <v>82</v>
      </c>
      <c r="B117" s="1410"/>
      <c r="C117" s="695"/>
      <c r="D117" s="744"/>
      <c r="E117" s="654"/>
      <c r="F117" s="776"/>
      <c r="G117" s="654">
        <f>SUM(G114:G116)</f>
        <v>45</v>
      </c>
      <c r="H117" s="653">
        <f>SUM(G117+'[1]1'!G95)</f>
        <v>92</v>
      </c>
      <c r="I117" s="654"/>
      <c r="J117" s="679">
        <f>H117/DAY(B2)</f>
        <v>13.142857142857142</v>
      </c>
      <c r="N117" s="410"/>
    </row>
    <row r="118" spans="1:14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161</v>
      </c>
      <c r="G118" s="656">
        <f>SUM(G19+G92)</f>
        <v>161</v>
      </c>
      <c r="H118" s="653">
        <f>SUM(G118+'[1]1'!G96)</f>
        <v>194</v>
      </c>
      <c r="I118" s="655"/>
      <c r="J118" s="680">
        <f>H118/DAY(B2)</f>
        <v>27.714285714285715</v>
      </c>
      <c r="N118" s="410"/>
    </row>
    <row r="119" spans="1:14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160</v>
      </c>
      <c r="G119" s="656">
        <f>SUM(G95,G96,G97,G99,G100)</f>
        <v>160</v>
      </c>
      <c r="H119" s="653">
        <f>SUM(G119+'[1]1'!G98)</f>
        <v>227</v>
      </c>
      <c r="I119" s="655"/>
      <c r="J119" s="680">
        <f>H119/DAY(B2)</f>
        <v>32.428571428571431</v>
      </c>
      <c r="N119" s="410"/>
    </row>
    <row r="120" spans="1:14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127</v>
      </c>
      <c r="G120" s="654">
        <f>SUM(G112)</f>
        <v>127</v>
      </c>
      <c r="H120" s="653">
        <f>SUM(G120+'[1]1'!G100)</f>
        <v>127</v>
      </c>
      <c r="I120" s="655"/>
      <c r="J120" s="680">
        <f>H120/DAY(B2)</f>
        <v>18.142857142857142</v>
      </c>
      <c r="N120" s="410"/>
    </row>
    <row r="121" spans="1:14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N121" s="410"/>
    </row>
    <row r="122" spans="1:14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410"/>
    </row>
    <row r="123" spans="1:14" ht="27.75" x14ac:dyDescent="0.5">
      <c r="A123" s="1354" t="s">
        <v>257</v>
      </c>
      <c r="B123" s="1355"/>
      <c r="C123" s="1355"/>
      <c r="D123" s="643" t="s">
        <v>168</v>
      </c>
      <c r="E123" s="1197">
        <f>'[1]6'!F123</f>
        <v>790064.55</v>
      </c>
      <c r="F123" s="1197">
        <v>790246.5</v>
      </c>
      <c r="G123" s="1198">
        <f t="shared" ref="G123:G127" si="14">F123-E123</f>
        <v>181.94999999995343</v>
      </c>
      <c r="H123" s="580">
        <f>G123+'[1]6'!H123</f>
        <v>1415.4300000000512</v>
      </c>
      <c r="I123" s="646"/>
      <c r="J123" s="673">
        <f>H123/DAY(B2)</f>
        <v>202.20428571429304</v>
      </c>
      <c r="K123" s="408"/>
      <c r="L123" s="405"/>
      <c r="N123" s="410"/>
    </row>
    <row r="124" spans="1:14" ht="27.75" x14ac:dyDescent="0.5">
      <c r="A124" s="1354" t="s">
        <v>258</v>
      </c>
      <c r="B124" s="1355"/>
      <c r="C124" s="1355"/>
      <c r="D124" s="643" t="s">
        <v>168</v>
      </c>
      <c r="E124" s="605">
        <f>'[1]6'!F124</f>
        <v>73582</v>
      </c>
      <c r="F124" s="605">
        <v>73582</v>
      </c>
      <c r="G124" s="593">
        <f t="shared" si="14"/>
        <v>0</v>
      </c>
      <c r="H124" s="580">
        <f>G124+'[1]6'!H124</f>
        <v>-0.19999999999708962</v>
      </c>
      <c r="I124" s="646"/>
      <c r="J124" s="673">
        <f>H124/DAY(B2)</f>
        <v>-2.8571428571012802E-2</v>
      </c>
      <c r="K124" s="408"/>
      <c r="L124" s="405"/>
      <c r="N124" s="410"/>
    </row>
    <row r="125" spans="1:14" ht="27.75" x14ac:dyDescent="0.5">
      <c r="A125" s="1395" t="s">
        <v>259</v>
      </c>
      <c r="B125" s="1396"/>
      <c r="C125" s="1397"/>
      <c r="D125" s="643" t="s">
        <v>168</v>
      </c>
      <c r="E125" s="1203">
        <f>'[1]6'!F125</f>
        <v>133618.71</v>
      </c>
      <c r="F125" s="1203">
        <v>133724.37</v>
      </c>
      <c r="G125" s="1199">
        <f t="shared" si="14"/>
        <v>105.66000000000349</v>
      </c>
      <c r="H125" s="580">
        <f>G125+'[1]6'!H125</f>
        <v>601.48999999999069</v>
      </c>
      <c r="I125" s="646"/>
      <c r="J125" s="673">
        <f>H125/DAY(B2)</f>
        <v>85.927142857141533</v>
      </c>
      <c r="K125" s="408"/>
      <c r="L125" s="405"/>
      <c r="N125" s="410"/>
    </row>
    <row r="126" spans="1:14" ht="27.75" x14ac:dyDescent="0.5">
      <c r="A126" s="730" t="s">
        <v>260</v>
      </c>
      <c r="B126" s="1355"/>
      <c r="C126" s="1355"/>
      <c r="D126" s="643" t="s">
        <v>168</v>
      </c>
      <c r="E126" s="605">
        <f>'[1]6'!F126</f>
        <v>56510.2</v>
      </c>
      <c r="F126" s="605">
        <v>56542.3</v>
      </c>
      <c r="G126" s="593">
        <f t="shared" si="14"/>
        <v>32.100000000005821</v>
      </c>
      <c r="H126" s="580">
        <f>G126+'[1]6'!H126</f>
        <v>194.10000000000582</v>
      </c>
      <c r="I126" s="646"/>
      <c r="J126" s="673">
        <f>H126/DAY(B2)</f>
        <v>27.728571428572259</v>
      </c>
      <c r="K126" s="408"/>
      <c r="L126" s="405"/>
      <c r="N126" s="410"/>
    </row>
    <row r="127" spans="1:14" ht="27.75" x14ac:dyDescent="0.5">
      <c r="A127" s="730" t="s">
        <v>261</v>
      </c>
      <c r="B127" s="1355"/>
      <c r="C127" s="1355"/>
      <c r="D127" s="643" t="s">
        <v>168</v>
      </c>
      <c r="E127" s="605">
        <f>'[1]6'!F127</f>
        <v>8640.1</v>
      </c>
      <c r="F127" s="605">
        <v>8640.1</v>
      </c>
      <c r="G127" s="593">
        <f t="shared" si="14"/>
        <v>0</v>
      </c>
      <c r="H127" s="580">
        <f>G127+'[1]6'!H127</f>
        <v>0</v>
      </c>
      <c r="I127" s="600"/>
      <c r="J127" s="673">
        <f>H127/DAY(B2)</f>
        <v>0</v>
      </c>
      <c r="K127" s="408"/>
      <c r="L127" s="405"/>
      <c r="N127" s="410"/>
    </row>
    <row r="128" spans="1:14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1195">
        <f>G15-SUM(G123:G127)</f>
        <v>389.29000000003725</v>
      </c>
      <c r="H128" s="580">
        <f>G128+'[1]6'!H128</f>
        <v>2210.5789999999251</v>
      </c>
      <c r="I128" s="600"/>
      <c r="J128" s="673">
        <f>H128/DAY(B2)</f>
        <v>315.79699999998928</v>
      </c>
      <c r="K128" s="388"/>
      <c r="L128" s="290"/>
      <c r="N128" s="410"/>
    </row>
    <row r="129" spans="1:14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410"/>
    </row>
    <row r="130" spans="1:14" ht="27.75" x14ac:dyDescent="0.5">
      <c r="A130" s="1354" t="s">
        <v>264</v>
      </c>
      <c r="B130" s="1355"/>
      <c r="C130" s="1355"/>
      <c r="D130" s="643" t="s">
        <v>265</v>
      </c>
      <c r="E130" s="604">
        <f>'[1]6'!F130</f>
        <v>0</v>
      </c>
      <c r="F130" s="598">
        <v>0</v>
      </c>
      <c r="G130" s="593">
        <f t="shared" ref="G130:G140" si="15">F130-E130</f>
        <v>0</v>
      </c>
      <c r="H130" s="580">
        <f>G130+'[1]6'!H130</f>
        <v>0</v>
      </c>
      <c r="I130" s="600"/>
      <c r="J130" s="673">
        <f>H130/DAY(B2)</f>
        <v>0</v>
      </c>
      <c r="N130" s="410"/>
    </row>
    <row r="131" spans="1:14" ht="27.75" x14ac:dyDescent="0.5">
      <c r="A131" s="1354" t="s">
        <v>266</v>
      </c>
      <c r="B131" s="1355"/>
      <c r="C131" s="1355"/>
      <c r="D131" s="643" t="s">
        <v>265</v>
      </c>
      <c r="E131" s="604">
        <f>'[1]6'!F131</f>
        <v>0</v>
      </c>
      <c r="F131" s="598">
        <v>0</v>
      </c>
      <c r="G131" s="593">
        <f t="shared" si="15"/>
        <v>0</v>
      </c>
      <c r="H131" s="580">
        <f>G131+'[1]6'!H131</f>
        <v>0</v>
      </c>
      <c r="I131" s="600"/>
      <c r="J131" s="673">
        <f>H131/DAY(B2)</f>
        <v>0</v>
      </c>
      <c r="N131" s="410"/>
    </row>
    <row r="132" spans="1:14" ht="27.75" x14ac:dyDescent="0.5">
      <c r="A132" s="1354" t="s">
        <v>267</v>
      </c>
      <c r="B132" s="1355"/>
      <c r="C132" s="1355"/>
      <c r="D132" s="643" t="s">
        <v>265</v>
      </c>
      <c r="E132" s="642">
        <f>'[1]6'!F132</f>
        <v>38877</v>
      </c>
      <c r="F132" s="605">
        <v>38877</v>
      </c>
      <c r="G132" s="593">
        <f t="shared" si="15"/>
        <v>0</v>
      </c>
      <c r="H132" s="580">
        <f>G132+'[1]6'!H132</f>
        <v>0</v>
      </c>
      <c r="I132" s="600"/>
      <c r="J132" s="673">
        <f>H132/DAY(B2)</f>
        <v>0</v>
      </c>
      <c r="N132" s="410"/>
    </row>
    <row r="133" spans="1:14" ht="27.75" x14ac:dyDescent="0.5">
      <c r="A133" s="1354" t="s">
        <v>268</v>
      </c>
      <c r="B133" s="1355"/>
      <c r="C133" s="1355"/>
      <c r="D133" s="643" t="s">
        <v>265</v>
      </c>
      <c r="E133" s="818">
        <f>'[1]6'!F133</f>
        <v>68.27</v>
      </c>
      <c r="F133" s="747">
        <v>92.27</v>
      </c>
      <c r="G133" s="912">
        <f t="shared" si="15"/>
        <v>24</v>
      </c>
      <c r="H133" s="580">
        <f>G133+'[1]6'!H133</f>
        <v>92.27</v>
      </c>
      <c r="I133" s="600">
        <f>G132+G133+G134+G135</f>
        <v>24</v>
      </c>
      <c r="J133" s="673">
        <f>H133/DAY(B2)</f>
        <v>13.181428571428571</v>
      </c>
      <c r="N133" s="410"/>
    </row>
    <row r="134" spans="1:14" ht="27.75" x14ac:dyDescent="0.5">
      <c r="A134" s="1354" t="s">
        <v>269</v>
      </c>
      <c r="B134" s="1355"/>
      <c r="C134" s="1355"/>
      <c r="D134" s="643" t="s">
        <v>265</v>
      </c>
      <c r="E134" s="642">
        <f>'[1]6'!F134</f>
        <v>39735</v>
      </c>
      <c r="F134" s="605">
        <v>39735</v>
      </c>
      <c r="G134" s="593">
        <f t="shared" si="15"/>
        <v>0</v>
      </c>
      <c r="H134" s="580">
        <f>G134+'[1]6'!H134</f>
        <v>0</v>
      </c>
      <c r="I134" s="600"/>
      <c r="J134" s="673">
        <f>H134/DAY(B2)</f>
        <v>0</v>
      </c>
      <c r="N134" s="410"/>
    </row>
    <row r="135" spans="1:14" ht="27.75" x14ac:dyDescent="0.5">
      <c r="A135" s="1354" t="s">
        <v>270</v>
      </c>
      <c r="B135" s="1355"/>
      <c r="C135" s="1355"/>
      <c r="D135" s="643" t="s">
        <v>265</v>
      </c>
      <c r="E135" s="818">
        <f>'[1]6'!F135</f>
        <v>31793.09</v>
      </c>
      <c r="F135" s="747">
        <v>31793.09</v>
      </c>
      <c r="G135" s="912">
        <f t="shared" si="15"/>
        <v>0</v>
      </c>
      <c r="H135" s="580">
        <f>G135+'[1]6'!H135</f>
        <v>75.569999999999709</v>
      </c>
      <c r="I135" s="600"/>
      <c r="J135" s="673">
        <f>H135/DAY(B2)</f>
        <v>10.795714285714244</v>
      </c>
      <c r="N135" s="410"/>
    </row>
    <row r="136" spans="1:14" ht="27.75" x14ac:dyDescent="0.5">
      <c r="A136" s="1354" t="s">
        <v>271</v>
      </c>
      <c r="B136" s="1355"/>
      <c r="C136" s="1355"/>
      <c r="D136" s="643" t="s">
        <v>265</v>
      </c>
      <c r="E136" s="662">
        <f>'[1]6'!F136</f>
        <v>21696.55</v>
      </c>
      <c r="F136" s="768">
        <v>21700.44</v>
      </c>
      <c r="G136" s="593">
        <f t="shared" si="15"/>
        <v>3.8899999999994179</v>
      </c>
      <c r="H136" s="580">
        <f>G136+'[1]6'!H136</f>
        <v>25.719999999997526</v>
      </c>
      <c r="I136" s="600">
        <f>G136+G137+G138</f>
        <v>10.349999999991269</v>
      </c>
      <c r="J136" s="673">
        <f>H136/DAY(B2)</f>
        <v>3.6742857142853609</v>
      </c>
      <c r="N136" s="410"/>
    </row>
    <row r="137" spans="1:14" ht="27.75" x14ac:dyDescent="0.5">
      <c r="A137" s="1354" t="s">
        <v>272</v>
      </c>
      <c r="B137" s="1355"/>
      <c r="C137" s="1355"/>
      <c r="D137" s="643" t="s">
        <v>265</v>
      </c>
      <c r="E137" s="662">
        <f>'[1]6'!F137</f>
        <v>24932.51</v>
      </c>
      <c r="F137" s="768">
        <v>24932.51</v>
      </c>
      <c r="G137" s="593">
        <f t="shared" si="15"/>
        <v>0</v>
      </c>
      <c r="H137" s="580">
        <f>G137+'[1]6'!H137</f>
        <v>0</v>
      </c>
      <c r="I137" s="600"/>
      <c r="J137" s="673">
        <f>H137/DAY(B2)</f>
        <v>0</v>
      </c>
      <c r="N137" s="410"/>
    </row>
    <row r="138" spans="1:14" ht="27.75" x14ac:dyDescent="0.5">
      <c r="A138" s="1354" t="s">
        <v>273</v>
      </c>
      <c r="B138" s="1355"/>
      <c r="C138" s="1355"/>
      <c r="D138" s="643" t="s">
        <v>265</v>
      </c>
      <c r="E138" s="1201">
        <f>'[1]6'!F138</f>
        <v>69976.47</v>
      </c>
      <c r="F138" s="1202">
        <v>69982.929999999993</v>
      </c>
      <c r="G138" s="1195">
        <f t="shared" si="15"/>
        <v>6.4599999999918509</v>
      </c>
      <c r="H138" s="580">
        <f>G138+'[1]6'!H138</f>
        <v>27.719999999986612</v>
      </c>
      <c r="I138" s="600"/>
      <c r="J138" s="673">
        <f>H138/DAY(B2)</f>
        <v>3.9599999999980873</v>
      </c>
      <c r="N138" s="410"/>
    </row>
    <row r="139" spans="1:14" ht="27.75" x14ac:dyDescent="0.5">
      <c r="A139" s="1354" t="s">
        <v>274</v>
      </c>
      <c r="B139" s="1355"/>
      <c r="C139" s="1355"/>
      <c r="D139" s="643" t="s">
        <v>265</v>
      </c>
      <c r="E139" s="642">
        <f>'[1]6'!F139</f>
        <v>976.03</v>
      </c>
      <c r="F139" s="605">
        <v>981.23</v>
      </c>
      <c r="G139" s="593">
        <f t="shared" si="15"/>
        <v>5.2000000000000455</v>
      </c>
      <c r="H139" s="580">
        <f>G139+'[1]6'!H139</f>
        <v>39.700000000000045</v>
      </c>
      <c r="I139" s="663">
        <f>G139+G140</f>
        <v>5.2000000000000455</v>
      </c>
      <c r="J139" s="673">
        <f>H139/DAY(B2)</f>
        <v>5.6714285714285779</v>
      </c>
      <c r="N139" s="410"/>
    </row>
    <row r="140" spans="1:14" ht="27.75" x14ac:dyDescent="0.5">
      <c r="A140" s="1354" t="s">
        <v>275</v>
      </c>
      <c r="B140" s="1355"/>
      <c r="C140" s="1355"/>
      <c r="D140" s="643" t="s">
        <v>265</v>
      </c>
      <c r="E140" s="1200">
        <f>'[1]6'!F140</f>
        <v>4156.9799999999996</v>
      </c>
      <c r="F140" s="1197">
        <v>4156.9799999999996</v>
      </c>
      <c r="G140" s="1198">
        <f t="shared" si="15"/>
        <v>0</v>
      </c>
      <c r="H140" s="580">
        <f>G140+'[1]6'!H140</f>
        <v>7.999999999992724E-2</v>
      </c>
      <c r="I140" s="663"/>
      <c r="J140" s="673">
        <f>H140/DAY(B2)</f>
        <v>1.1428571428561034E-2</v>
      </c>
      <c r="N140" s="410"/>
    </row>
    <row r="141" spans="1:14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410"/>
    </row>
    <row r="142" spans="1:14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5294.0400000000081</v>
      </c>
      <c r="H142" s="580">
        <f>G142+'[1]6'!H142</f>
        <v>35092.332999999977</v>
      </c>
      <c r="I142" s="600"/>
      <c r="J142" s="673">
        <f>H142/DAY(B2)</f>
        <v>5013.1904285714254</v>
      </c>
      <c r="K142" s="408"/>
      <c r="L142" s="405"/>
      <c r="N142" s="410"/>
    </row>
    <row r="143" spans="1:14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0.24392001474382641</v>
      </c>
      <c r="H143" s="580">
        <f>G143+'[1]6'!H143</f>
        <v>1.6261621958703838</v>
      </c>
      <c r="I143" s="665"/>
      <c r="J143" s="673">
        <f>H143/DAY(B2)</f>
        <v>0.23230888512434053</v>
      </c>
      <c r="K143" s="408"/>
      <c r="L143" s="405"/>
      <c r="N143" s="410"/>
    </row>
    <row r="144" spans="1:14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4547.9799999999996</v>
      </c>
      <c r="H144" s="580">
        <f>G144+'[1]6'!H144</f>
        <v>30327.599999999984</v>
      </c>
      <c r="I144" s="600"/>
      <c r="J144" s="673">
        <f>H144/DAY(B2)</f>
        <v>4332.5142857142837</v>
      </c>
      <c r="K144" s="408"/>
      <c r="L144" s="405"/>
      <c r="N144" s="410"/>
    </row>
    <row r="145" spans="1:14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0.20954570586067081</v>
      </c>
      <c r="H145" s="580">
        <f>G145+'[1]6'!H145</f>
        <v>1.5462873778051835</v>
      </c>
      <c r="I145" s="665"/>
      <c r="J145" s="673">
        <f>H145/DAY(B2)</f>
        <v>0.22089819682931194</v>
      </c>
      <c r="K145" s="408"/>
      <c r="L145" s="405"/>
      <c r="N145" s="410"/>
    </row>
    <row r="146" spans="1:14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4516.1699999999983</v>
      </c>
      <c r="H146" s="580">
        <f>G146+'[1]6'!H146</f>
        <v>29511.463000000003</v>
      </c>
      <c r="I146" s="666"/>
      <c r="J146" s="673">
        <f>H146/DAY(B2)</f>
        <v>4215.9232857142861</v>
      </c>
      <c r="K146" s="408"/>
      <c r="L146" s="405"/>
      <c r="N146" s="410"/>
    </row>
    <row r="147" spans="1:14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0.20808007740508655</v>
      </c>
      <c r="H147" s="580">
        <f>G147+'[1]6'!H147</f>
        <v>1.5036497044836814</v>
      </c>
      <c r="I147" s="666"/>
      <c r="J147" s="673">
        <f>H147/DAY(B2)</f>
        <v>0.21480710064052591</v>
      </c>
      <c r="N147" s="410"/>
    </row>
    <row r="148" spans="1:14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2073.9000000000233</v>
      </c>
      <c r="H148" s="580">
        <f>G148+'[1]6'!H148</f>
        <v>13078.280000000028</v>
      </c>
      <c r="I148" s="600"/>
      <c r="J148" s="673">
        <f>H148/DAY(B2)</f>
        <v>1868.3257142857183</v>
      </c>
      <c r="K148" s="409"/>
      <c r="N148" s="410"/>
    </row>
    <row r="149" spans="1:14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9.5553814964984482E-2</v>
      </c>
      <c r="H149" s="580">
        <f>G149+'[1]6'!H149</f>
        <v>0.66586732801468529</v>
      </c>
      <c r="I149" s="666"/>
      <c r="J149" s="673">
        <f>H149/DAY(B2)</f>
        <v>9.51239040020979E-2</v>
      </c>
      <c r="N149" s="410"/>
    </row>
    <row r="150" spans="1:14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2983.0799999999581</v>
      </c>
      <c r="H150" s="580">
        <f>G150+'[1]6'!H150</f>
        <v>15487.419999999925</v>
      </c>
      <c r="I150" s="666"/>
      <c r="J150" s="673">
        <f>H150/DAY(B2)</f>
        <v>2212.4885714285606</v>
      </c>
      <c r="N150" s="410"/>
    </row>
    <row r="151" spans="1:14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0.13744378916328595</v>
      </c>
      <c r="H151" s="580">
        <f>G151+'[1]6'!H151</f>
        <v>0.78536387012414777</v>
      </c>
      <c r="I151" s="600"/>
      <c r="J151" s="673">
        <f>H151/DAY(B2)</f>
        <v>0.11219483858916397</v>
      </c>
      <c r="N151" s="410"/>
    </row>
    <row r="152" spans="1:14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1541.2099999999991</v>
      </c>
      <c r="H152" s="580">
        <f>G152+'[1]6'!H152</f>
        <v>10050.612999999998</v>
      </c>
      <c r="I152" s="600"/>
      <c r="J152" s="673">
        <f>H152/DAY(B2)</f>
        <v>1435.8018571428568</v>
      </c>
      <c r="N152" s="410"/>
    </row>
    <row r="153" spans="1:14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7.1010412827128597E-2</v>
      </c>
      <c r="H153" s="580">
        <f>G153+'[1]6'!H153</f>
        <v>0.51207215109708837</v>
      </c>
      <c r="I153" s="689"/>
      <c r="J153" s="690">
        <f>H153/DAY(B2)</f>
        <v>7.3153164442441201E-2</v>
      </c>
      <c r="N153" s="410"/>
    </row>
    <row r="154" spans="1:14" x14ac:dyDescent="0.5">
      <c r="A154" s="586"/>
      <c r="B154" s="576"/>
      <c r="C154" s="576"/>
      <c r="D154" s="667"/>
      <c r="E154" s="667"/>
      <c r="F154" s="779"/>
      <c r="G154" s="667"/>
      <c r="H154" s="668"/>
      <c r="I154" s="667"/>
      <c r="J154" s="669"/>
      <c r="N154" s="410"/>
    </row>
    <row r="157" spans="1:14" ht="27.75" x14ac:dyDescent="0.5">
      <c r="A157" s="1457" t="s">
        <v>294</v>
      </c>
      <c r="B157" s="1458"/>
      <c r="C157" s="1458"/>
      <c r="D157" s="1458"/>
      <c r="E157" s="1458"/>
      <c r="F157" s="1458"/>
      <c r="G157" s="1459"/>
    </row>
    <row r="158" spans="1:14" x14ac:dyDescent="0.5">
      <c r="A158" s="925"/>
      <c r="B158" s="926"/>
      <c r="C158" s="926"/>
      <c r="D158" s="631"/>
      <c r="E158" s="575"/>
      <c r="F158" s="775"/>
      <c r="G158" s="593"/>
    </row>
    <row r="159" spans="1:14" x14ac:dyDescent="0.5">
      <c r="A159" s="925"/>
      <c r="B159" s="926"/>
      <c r="C159" s="926"/>
      <c r="D159" s="631"/>
      <c r="E159" s="575"/>
      <c r="F159" s="775"/>
      <c r="G159" s="593"/>
    </row>
    <row r="160" spans="1:14" x14ac:dyDescent="0.5">
      <c r="A160" s="925" t="s">
        <v>289</v>
      </c>
      <c r="B160" s="926"/>
      <c r="C160" s="926"/>
      <c r="D160" s="631" t="s">
        <v>214</v>
      </c>
      <c r="E160" s="775">
        <f>'[1]6'!F160</f>
        <v>24276.09</v>
      </c>
      <c r="F160" s="775">
        <v>24349.35</v>
      </c>
      <c r="G160" s="593">
        <f t="shared" ref="G160:G170" si="16">F160-E160</f>
        <v>73.259999999998399</v>
      </c>
      <c r="H160" s="659">
        <v>72.86699999999837</v>
      </c>
      <c r="I160" s="660">
        <f>G160-H160</f>
        <v>0.3930000000000291</v>
      </c>
    </row>
    <row r="161" spans="1:9" x14ac:dyDescent="0.5">
      <c r="A161" s="925" t="s">
        <v>290</v>
      </c>
      <c r="B161" s="926"/>
      <c r="C161" s="926"/>
      <c r="D161" s="631" t="s">
        <v>214</v>
      </c>
      <c r="E161" s="775">
        <f>'[1]6'!F161</f>
        <v>14407.18</v>
      </c>
      <c r="F161" s="775">
        <v>15154.88</v>
      </c>
      <c r="G161" s="593">
        <f t="shared" si="16"/>
        <v>747.69999999999891</v>
      </c>
      <c r="H161" s="659">
        <v>115.86999999999898</v>
      </c>
      <c r="I161" s="660">
        <f t="shared" ref="I161:I171" si="17">G161-H161</f>
        <v>631.82999999999993</v>
      </c>
    </row>
    <row r="162" spans="1:9" x14ac:dyDescent="0.5">
      <c r="A162" s="925" t="s">
        <v>291</v>
      </c>
      <c r="B162" s="926"/>
      <c r="C162" s="926"/>
      <c r="D162" s="631" t="s">
        <v>214</v>
      </c>
      <c r="E162" s="775">
        <f>'[1]6'!F162</f>
        <v>38976.61</v>
      </c>
      <c r="F162" s="775">
        <v>39410.160000000003</v>
      </c>
      <c r="G162" s="593">
        <f t="shared" si="16"/>
        <v>433.55000000000291</v>
      </c>
      <c r="H162" s="659">
        <v>184.81999999999971</v>
      </c>
      <c r="I162" s="660">
        <f t="shared" si="17"/>
        <v>248.7300000000032</v>
      </c>
    </row>
    <row r="163" spans="1:9" x14ac:dyDescent="0.5">
      <c r="A163" s="925" t="s">
        <v>292</v>
      </c>
      <c r="B163" s="926"/>
      <c r="C163" s="926"/>
      <c r="D163" s="631" t="s">
        <v>214</v>
      </c>
      <c r="E163" s="775">
        <f>'[1]6'!F163</f>
        <v>3688.8</v>
      </c>
      <c r="F163" s="775">
        <v>3714.4</v>
      </c>
      <c r="G163" s="593">
        <f t="shared" si="16"/>
        <v>25.599999999999909</v>
      </c>
      <c r="H163" s="659">
        <v>17.309999999999945</v>
      </c>
      <c r="I163" s="660">
        <f t="shared" si="17"/>
        <v>8.2899999999999636</v>
      </c>
    </row>
    <row r="164" spans="1:9" x14ac:dyDescent="0.4">
      <c r="A164" s="927" t="s">
        <v>121</v>
      </c>
      <c r="B164" s="725"/>
      <c r="C164" s="725"/>
      <c r="D164" s="631" t="s">
        <v>214</v>
      </c>
      <c r="E164" s="775">
        <f>'[1]6'!F164</f>
        <v>20419</v>
      </c>
      <c r="F164" s="634">
        <f>F62</f>
        <v>20419</v>
      </c>
      <c r="G164" s="593">
        <f t="shared" si="16"/>
        <v>0</v>
      </c>
      <c r="H164" s="659">
        <v>0</v>
      </c>
      <c r="I164" s="660">
        <f t="shared" si="17"/>
        <v>0</v>
      </c>
    </row>
    <row r="165" spans="1:9" x14ac:dyDescent="0.4">
      <c r="A165" s="927" t="s">
        <v>215</v>
      </c>
      <c r="B165" s="725"/>
      <c r="C165" s="725"/>
      <c r="D165" s="631" t="s">
        <v>214</v>
      </c>
      <c r="E165" s="775">
        <f>'[1]6'!F165</f>
        <v>952.16</v>
      </c>
      <c r="F165" s="634">
        <f t="shared" ref="F165" si="18">F63</f>
        <v>966.57</v>
      </c>
      <c r="G165" s="593">
        <f t="shared" si="16"/>
        <v>14.410000000000082</v>
      </c>
      <c r="H165" s="659">
        <v>-0.47999999999956344</v>
      </c>
      <c r="I165" s="660">
        <f t="shared" si="17"/>
        <v>14.889999999999645</v>
      </c>
    </row>
    <row r="166" spans="1:9" ht="27.75" x14ac:dyDescent="0.5">
      <c r="A166" s="1320" t="s">
        <v>122</v>
      </c>
      <c r="B166" s="1320"/>
      <c r="C166" s="1320"/>
      <c r="D166" s="643" t="s">
        <v>214</v>
      </c>
      <c r="E166" s="775">
        <f>'[1]6'!F166</f>
        <v>88907.15</v>
      </c>
      <c r="F166" s="634">
        <f>F64</f>
        <v>89266.99</v>
      </c>
      <c r="G166" s="593">
        <f t="shared" si="16"/>
        <v>359.84000000001106</v>
      </c>
      <c r="H166" s="659">
        <v>271.15200000000186</v>
      </c>
      <c r="I166" s="660">
        <f t="shared" si="17"/>
        <v>88.688000000009197</v>
      </c>
    </row>
    <row r="167" spans="1:9" ht="27.75" x14ac:dyDescent="0.5">
      <c r="A167" s="1320" t="s">
        <v>123</v>
      </c>
      <c r="B167" s="1320"/>
      <c r="C167" s="1320"/>
      <c r="D167" s="643" t="s">
        <v>214</v>
      </c>
      <c r="E167" s="775">
        <f>'[1]6'!F167</f>
        <v>99026.240000000005</v>
      </c>
      <c r="F167" s="634">
        <f t="shared" ref="F167:F171" si="19">F65</f>
        <v>99436.99</v>
      </c>
      <c r="G167" s="593">
        <f t="shared" si="16"/>
        <v>410.75</v>
      </c>
      <c r="H167" s="659">
        <v>372.92000000001281</v>
      </c>
      <c r="I167" s="660">
        <f t="shared" si="17"/>
        <v>37.829999999987194</v>
      </c>
    </row>
    <row r="168" spans="1:9" ht="27.75" x14ac:dyDescent="0.5">
      <c r="A168" s="1320" t="s">
        <v>124</v>
      </c>
      <c r="B168" s="1320"/>
      <c r="C168" s="1320"/>
      <c r="D168" s="643" t="s">
        <v>214</v>
      </c>
      <c r="E168" s="775">
        <f>'[1]6'!F168</f>
        <v>92339.94</v>
      </c>
      <c r="F168" s="634">
        <f t="shared" si="19"/>
        <v>92743.51</v>
      </c>
      <c r="G168" s="593">
        <f>F168-E168</f>
        <v>403.56999999999243</v>
      </c>
      <c r="H168" s="659">
        <v>384.8520000000135</v>
      </c>
      <c r="I168" s="660">
        <f>G168-H168</f>
        <v>18.717999999978929</v>
      </c>
    </row>
    <row r="169" spans="1:9" ht="27.75" x14ac:dyDescent="0.5">
      <c r="A169" s="1320" t="s">
        <v>125</v>
      </c>
      <c r="B169" s="1320"/>
      <c r="C169" s="1320"/>
      <c r="D169" s="643" t="s">
        <v>214</v>
      </c>
      <c r="E169" s="775">
        <f>'[1]6'!F169</f>
        <v>150353.44</v>
      </c>
      <c r="F169" s="634">
        <f t="shared" si="19"/>
        <v>151119.51</v>
      </c>
      <c r="G169" s="593">
        <f t="shared" si="16"/>
        <v>766.07000000000698</v>
      </c>
      <c r="H169" s="659">
        <v>451.52000000000407</v>
      </c>
      <c r="I169" s="660">
        <f t="shared" si="17"/>
        <v>314.55000000000291</v>
      </c>
    </row>
    <row r="170" spans="1:9" ht="27.75" x14ac:dyDescent="0.5">
      <c r="A170" s="1320" t="s">
        <v>126</v>
      </c>
      <c r="B170" s="1320"/>
      <c r="C170" s="1320"/>
      <c r="D170" s="643" t="s">
        <v>214</v>
      </c>
      <c r="E170" s="775">
        <f>'[1]6'!F170</f>
        <v>45390.720000000001</v>
      </c>
      <c r="F170" s="634">
        <f t="shared" si="19"/>
        <v>45753.05</v>
      </c>
      <c r="G170" s="593">
        <f t="shared" si="16"/>
        <v>362.33000000000175</v>
      </c>
      <c r="H170" s="659">
        <v>264.56499999999869</v>
      </c>
      <c r="I170" s="660">
        <f t="shared" si="17"/>
        <v>97.765000000003056</v>
      </c>
    </row>
    <row r="171" spans="1:9" ht="27.75" x14ac:dyDescent="0.5">
      <c r="A171" s="1320" t="s">
        <v>127</v>
      </c>
      <c r="B171" s="1320"/>
      <c r="C171" s="1320"/>
      <c r="D171" s="643" t="s">
        <v>214</v>
      </c>
      <c r="E171" s="775">
        <f>'[1]6'!F171</f>
        <v>39290.949999999997</v>
      </c>
      <c r="F171" s="634">
        <f t="shared" si="19"/>
        <v>39584.129999999997</v>
      </c>
      <c r="G171" s="593">
        <f>F171-E171</f>
        <v>293.18000000000029</v>
      </c>
      <c r="H171" s="659">
        <v>137.0779999999977</v>
      </c>
      <c r="I171" s="660">
        <f t="shared" si="17"/>
        <v>156.10200000000259</v>
      </c>
    </row>
  </sheetData>
  <mergeCells count="69">
    <mergeCell ref="A157:G15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5"/>
  <sheetViews>
    <sheetView view="pageBreakPreview" topLeftCell="A16" zoomScale="55" zoomScaleSheetLayoutView="55" workbookViewId="0">
      <selection activeCell="A33" sqref="A33:J33"/>
    </sheetView>
  </sheetViews>
  <sheetFormatPr defaultColWidth="22.33203125" defaultRowHeight="29.25" x14ac:dyDescent="0.5"/>
  <cols>
    <col min="1" max="1" width="42.33203125" style="574" customWidth="1"/>
    <col min="2" max="2" width="31.109375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5546875" style="404" customWidth="1"/>
    <col min="15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297</v>
      </c>
      <c r="B2" s="1173">
        <v>44173</v>
      </c>
      <c r="C2" s="1361" t="s">
        <v>84</v>
      </c>
      <c r="D2" s="732">
        <v>0.45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29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0.79</v>
      </c>
      <c r="E4" s="584"/>
      <c r="F4" s="584"/>
      <c r="G4" s="584"/>
      <c r="H4" s="584"/>
      <c r="I4" s="585"/>
      <c r="J4" s="736"/>
      <c r="K4" s="400"/>
      <c r="L4" s="290"/>
    </row>
    <row r="5" spans="1:15" x14ac:dyDescent="0.4">
      <c r="A5" s="698" t="s">
        <v>150</v>
      </c>
      <c r="B5" s="579"/>
      <c r="C5" s="579"/>
      <c r="D5" s="631"/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5" ht="30" thickBot="1" x14ac:dyDescent="0.45">
      <c r="A7" s="793" t="s">
        <v>158</v>
      </c>
      <c r="B7" s="794"/>
      <c r="C7" s="794"/>
      <c r="D7" s="759" t="s">
        <v>159</v>
      </c>
      <c r="E7" s="754">
        <f>'[3]7'!F7</f>
        <v>2805903</v>
      </c>
      <c r="F7" s="575">
        <v>2825312</v>
      </c>
      <c r="G7" s="795">
        <f>F7-E7</f>
        <v>19409</v>
      </c>
      <c r="H7" s="796">
        <f>G7+'[3]7'!H7</f>
        <v>156867</v>
      </c>
      <c r="I7" s="797">
        <f>'[3]1'!I7</f>
        <v>12000</v>
      </c>
      <c r="J7" s="798">
        <f>H7/DAY(B2)</f>
        <v>19608.375</v>
      </c>
      <c r="K7" s="670"/>
      <c r="L7" s="405"/>
      <c r="N7" s="844">
        <v>11335</v>
      </c>
      <c r="O7" s="410">
        <f>G7-N7</f>
        <v>8074</v>
      </c>
    </row>
    <row r="8" spans="1:15" ht="27.75" thickBot="1" x14ac:dyDescent="0.45">
      <c r="A8" s="799" t="s">
        <v>160</v>
      </c>
      <c r="B8" s="800"/>
      <c r="C8" s="801"/>
      <c r="D8" s="802" t="s">
        <v>39</v>
      </c>
      <c r="E8" s="754">
        <f>'[3]7'!F8</f>
        <v>2822001</v>
      </c>
      <c r="F8" s="595">
        <v>2841620</v>
      </c>
      <c r="G8" s="806">
        <f>F8-E8</f>
        <v>19619</v>
      </c>
      <c r="H8" s="796">
        <f>G8+'[3]7'!H8</f>
        <v>158581</v>
      </c>
      <c r="I8" s="803">
        <v>12000</v>
      </c>
      <c r="J8" s="798">
        <f>H8/DAY(B2)</f>
        <v>19822.625</v>
      </c>
      <c r="K8" s="670"/>
      <c r="L8" s="460"/>
      <c r="M8" s="522"/>
      <c r="N8" s="821"/>
    </row>
    <row r="9" spans="1:15" x14ac:dyDescent="0.4">
      <c r="A9" s="804" t="s">
        <v>161</v>
      </c>
      <c r="B9" s="805"/>
      <c r="C9" s="805"/>
      <c r="D9" s="759" t="s">
        <v>159</v>
      </c>
      <c r="E9" s="756">
        <f>'[3]7'!F9</f>
        <v>2293383.2999999998</v>
      </c>
      <c r="F9" s="598">
        <v>2300274.9</v>
      </c>
      <c r="G9" s="819">
        <f t="shared" ref="G9:G12" si="0">F9-E9</f>
        <v>6891.6000000000931</v>
      </c>
      <c r="H9" s="796">
        <f>G9+'[3]7'!H9</f>
        <v>43238.399999999907</v>
      </c>
      <c r="I9" s="807">
        <f>I7-J7</f>
        <v>-7608.375</v>
      </c>
      <c r="J9" s="798">
        <f>H9/DAY(B2)</f>
        <v>5404.7999999999884</v>
      </c>
      <c r="K9" s="508"/>
      <c r="L9" s="405"/>
      <c r="N9" s="410"/>
    </row>
    <row r="10" spans="1:15" x14ac:dyDescent="0.4">
      <c r="A10" s="793" t="s">
        <v>162</v>
      </c>
      <c r="B10" s="794"/>
      <c r="C10" s="794"/>
      <c r="D10" s="759" t="s">
        <v>159</v>
      </c>
      <c r="E10" s="756">
        <f>'[3]7'!F10</f>
        <v>399129.19</v>
      </c>
      <c r="F10" s="598">
        <v>410971.63</v>
      </c>
      <c r="G10" s="806">
        <f t="shared" si="0"/>
        <v>11842.440000000002</v>
      </c>
      <c r="H10" s="796">
        <f>G10+'[3]7'!H10</f>
        <v>108021.34000000003</v>
      </c>
      <c r="I10" s="808"/>
      <c r="J10" s="798">
        <f>H10/DAY(B2)</f>
        <v>13502.667500000003</v>
      </c>
      <c r="K10" s="508"/>
      <c r="L10" s="405"/>
      <c r="N10" s="410"/>
    </row>
    <row r="11" spans="1:15" x14ac:dyDescent="0.4">
      <c r="A11" s="793" t="s">
        <v>163</v>
      </c>
      <c r="B11" s="794"/>
      <c r="C11" s="794"/>
      <c r="D11" s="759" t="s">
        <v>159</v>
      </c>
      <c r="E11" s="754">
        <f>'[3]7'!F11</f>
        <v>35390</v>
      </c>
      <c r="F11" s="575">
        <v>35390</v>
      </c>
      <c r="G11" s="806">
        <f t="shared" si="0"/>
        <v>0</v>
      </c>
      <c r="H11" s="796">
        <f>G11+'[3]7'!H11</f>
        <v>0</v>
      </c>
      <c r="I11" s="808"/>
      <c r="J11" s="798">
        <f>H11/DAY(B2)</f>
        <v>0</v>
      </c>
      <c r="K11" s="508"/>
      <c r="L11" s="405"/>
      <c r="N11" s="410"/>
    </row>
    <row r="12" spans="1:15" x14ac:dyDescent="0.4">
      <c r="A12" s="793" t="s">
        <v>164</v>
      </c>
      <c r="B12" s="794"/>
      <c r="C12" s="794"/>
      <c r="D12" s="759" t="s">
        <v>159</v>
      </c>
      <c r="E12" s="756">
        <f>'[3]7'!F12</f>
        <v>37630</v>
      </c>
      <c r="F12" s="598">
        <v>37630</v>
      </c>
      <c r="G12" s="806">
        <f t="shared" si="0"/>
        <v>0</v>
      </c>
      <c r="H12" s="796">
        <f>G12+'[3]7'!H12</f>
        <v>0</v>
      </c>
      <c r="I12" s="808"/>
      <c r="J12" s="798">
        <f>H12/DAY(B2)</f>
        <v>0</v>
      </c>
      <c r="K12" s="508"/>
      <c r="L12" s="405"/>
      <c r="N12" s="410"/>
    </row>
    <row r="13" spans="1:15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18734.040000000095</v>
      </c>
      <c r="H13" s="796">
        <f>G13+'[3]7'!H13</f>
        <v>151259.73999999993</v>
      </c>
      <c r="I13" s="812">
        <f>G7-G13</f>
        <v>674.95999999990454</v>
      </c>
      <c r="J13" s="798">
        <f>H13/DAY(B2)</f>
        <v>18907.467499999992</v>
      </c>
      <c r="K13" s="508"/>
      <c r="L13" s="405"/>
      <c r="N13" s="410"/>
    </row>
    <row r="14" spans="1:15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410"/>
    </row>
    <row r="15" spans="1:15" x14ac:dyDescent="0.5">
      <c r="A15" s="782" t="s">
        <v>167</v>
      </c>
      <c r="B15" s="783"/>
      <c r="C15" s="783"/>
      <c r="D15" s="784" t="s">
        <v>168</v>
      </c>
      <c r="E15" s="785">
        <f>'[3]7'!F15</f>
        <v>1551319</v>
      </c>
      <c r="F15" s="817">
        <v>1552095.34</v>
      </c>
      <c r="G15" s="781">
        <f>(F15-E15)</f>
        <v>776.34000000008382</v>
      </c>
      <c r="H15" s="787">
        <f>G15+'[3]7'!H15</f>
        <v>5197.7390000000596</v>
      </c>
      <c r="I15" s="788">
        <v>800</v>
      </c>
      <c r="J15" s="789">
        <f>H15/DAY(B2)</f>
        <v>649.71737500000745</v>
      </c>
      <c r="K15" s="508"/>
      <c r="L15" s="405"/>
      <c r="N15" s="410"/>
    </row>
    <row r="16" spans="1:15" x14ac:dyDescent="0.4">
      <c r="A16" s="790"/>
      <c r="B16" s="791"/>
      <c r="C16" s="791"/>
      <c r="D16" s="784"/>
      <c r="E16" s="785"/>
      <c r="F16" s="817"/>
      <c r="G16" s="786"/>
      <c r="H16" s="787"/>
      <c r="I16" s="792">
        <f>I15-J15</f>
        <v>150.28262499999255</v>
      </c>
      <c r="J16" s="789"/>
      <c r="K16" s="508"/>
      <c r="L16" s="405"/>
      <c r="N16" s="410"/>
    </row>
    <row r="17" spans="1:14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410"/>
    </row>
    <row r="18" spans="1:14" ht="27.75" x14ac:dyDescent="0.5">
      <c r="A18" s="1460" t="s">
        <v>170</v>
      </c>
      <c r="B18" s="1461"/>
      <c r="C18" s="1462"/>
      <c r="D18" s="759" t="s">
        <v>171</v>
      </c>
      <c r="E18" s="756">
        <f>'[3]7'!F18</f>
        <v>8</v>
      </c>
      <c r="F18" s="598">
        <v>16</v>
      </c>
      <c r="G18" s="811">
        <f>F18*10</f>
        <v>160</v>
      </c>
      <c r="H18" s="796">
        <f>G18+'[3]7'!H18</f>
        <v>900</v>
      </c>
      <c r="I18" s="797">
        <f>'[3]1'!I18</f>
        <v>65</v>
      </c>
      <c r="J18" s="798">
        <f>H18/DAY(B2)</f>
        <v>112.5</v>
      </c>
      <c r="K18" s="508"/>
      <c r="L18" s="405"/>
      <c r="N18" s="410"/>
    </row>
    <row r="19" spans="1:14" ht="27.75" x14ac:dyDescent="0.5">
      <c r="A19" s="1460" t="s">
        <v>86</v>
      </c>
      <c r="B19" s="1461"/>
      <c r="C19" s="1462"/>
      <c r="D19" s="759" t="s">
        <v>171</v>
      </c>
      <c r="E19" s="756">
        <f>'[3]7'!F19</f>
        <v>130180</v>
      </c>
      <c r="F19" s="598">
        <v>130233</v>
      </c>
      <c r="G19" s="806">
        <f t="shared" ref="G19" si="1">F19-E19</f>
        <v>53</v>
      </c>
      <c r="H19" s="796">
        <f>G19+'[3]7'!H19</f>
        <v>432</v>
      </c>
      <c r="I19" s="813"/>
      <c r="J19" s="798">
        <f>H19/DAY(B2)</f>
        <v>54</v>
      </c>
      <c r="K19" s="508"/>
      <c r="L19" s="405"/>
      <c r="N19" s="410"/>
    </row>
    <row r="20" spans="1:14" x14ac:dyDescent="0.5">
      <c r="A20" s="809" t="s">
        <v>172</v>
      </c>
      <c r="B20" s="810"/>
      <c r="C20" s="810"/>
      <c r="D20" s="759"/>
      <c r="E20" s="759"/>
      <c r="F20" s="643"/>
      <c r="G20" s="814">
        <f>G18+G19</f>
        <v>213</v>
      </c>
      <c r="H20" s="796">
        <f>G20+'[3]7'!H20</f>
        <v>1332</v>
      </c>
      <c r="I20" s="815">
        <f>I18-J20</f>
        <v>-101.5</v>
      </c>
      <c r="J20" s="798">
        <f>H20/DAY(B2)</f>
        <v>166.5</v>
      </c>
      <c r="K20" s="508"/>
      <c r="L20" s="405"/>
      <c r="N20" s="410"/>
    </row>
    <row r="21" spans="1:14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410"/>
    </row>
    <row r="22" spans="1:14" x14ac:dyDescent="0.5">
      <c r="A22" s="1354" t="s">
        <v>174</v>
      </c>
      <c r="B22" s="710"/>
      <c r="C22" s="710"/>
      <c r="D22" s="643" t="s">
        <v>175</v>
      </c>
      <c r="E22" s="604">
        <f>'[3]7'!F22</f>
        <v>2250</v>
      </c>
      <c r="F22" s="598">
        <v>2250</v>
      </c>
      <c r="G22" s="601">
        <f t="shared" ref="G22" si="2">(F22-E22)</f>
        <v>0</v>
      </c>
      <c r="H22" s="580">
        <f>G22+'[3]7'!H22</f>
        <v>0</v>
      </c>
      <c r="I22" s="600"/>
      <c r="J22" s="673">
        <f>H22/DAY(B2)</f>
        <v>0</v>
      </c>
      <c r="K22" s="508"/>
      <c r="L22" s="405"/>
      <c r="N22" s="410"/>
    </row>
    <row r="23" spans="1:14" x14ac:dyDescent="0.5">
      <c r="A23" s="1354" t="s">
        <v>176</v>
      </c>
      <c r="B23" s="710"/>
      <c r="C23" s="710"/>
      <c r="D23" s="643" t="s">
        <v>175</v>
      </c>
      <c r="E23" s="604">
        <f>'[3]7'!F23</f>
        <v>2000</v>
      </c>
      <c r="F23" s="598">
        <v>2000</v>
      </c>
      <c r="G23" s="601">
        <v>0</v>
      </c>
      <c r="H23" s="580">
        <f>G23+'[3]7'!H23</f>
        <v>0</v>
      </c>
      <c r="I23" s="600"/>
      <c r="J23" s="673">
        <f>H23/DAY(B2)</f>
        <v>0</v>
      </c>
      <c r="K23" s="508"/>
      <c r="L23" s="405"/>
      <c r="N23" s="410"/>
    </row>
    <row r="24" spans="1:14" x14ac:dyDescent="0.4">
      <c r="A24" s="711" t="s">
        <v>177</v>
      </c>
      <c r="B24" s="712"/>
      <c r="C24" s="712"/>
      <c r="D24" s="631" t="s">
        <v>175</v>
      </c>
      <c r="E24" s="613">
        <f>'[3]7'!F24</f>
        <v>4250</v>
      </c>
      <c r="F24" s="605">
        <v>4250</v>
      </c>
      <c r="G24" s="601">
        <v>0</v>
      </c>
      <c r="H24" s="580">
        <f>G24+'[3]7'!H24</f>
        <v>0</v>
      </c>
      <c r="I24" s="600"/>
      <c r="J24" s="673">
        <f>H24/DAY(B2)</f>
        <v>0</v>
      </c>
      <c r="K24" s="508"/>
      <c r="L24" s="405"/>
      <c r="N24" s="410"/>
    </row>
    <row r="25" spans="1:14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410"/>
    </row>
    <row r="26" spans="1:14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N26" s="410"/>
    </row>
    <row r="27" spans="1:14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19619</v>
      </c>
      <c r="F27" s="621">
        <v>9.5</v>
      </c>
      <c r="G27" s="622">
        <f>E27*F27</f>
        <v>186380.5</v>
      </c>
      <c r="H27" s="580">
        <f>G27+'[3]7'!H27</f>
        <v>1506519.5</v>
      </c>
      <c r="I27" s="623"/>
      <c r="J27" s="673">
        <f>H27/DAY(B2)</f>
        <v>188314.9375</v>
      </c>
      <c r="K27" s="401"/>
      <c r="L27" s="527"/>
      <c r="N27" s="410"/>
    </row>
    <row r="28" spans="1:14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776.34000000008382</v>
      </c>
      <c r="F28" s="621">
        <v>36.5</v>
      </c>
      <c r="G28" s="622">
        <f t="shared" ref="G28:G31" si="3">E28*F28</f>
        <v>28336.410000003059</v>
      </c>
      <c r="H28" s="580">
        <f>G28+'[3]7'!H28</f>
        <v>189717.47350000218</v>
      </c>
      <c r="I28" s="625"/>
      <c r="J28" s="673">
        <f>H28/DAY(B2)</f>
        <v>23714.684187500272</v>
      </c>
      <c r="K28" s="401"/>
      <c r="L28" s="527"/>
      <c r="N28" s="410"/>
    </row>
    <row r="29" spans="1:14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 t="shared" si="3"/>
        <v>0</v>
      </c>
      <c r="H29" s="580">
        <f>G29+'[3]7'!H29</f>
        <v>0</v>
      </c>
      <c r="I29" s="625"/>
      <c r="J29" s="673">
        <f>H29/DAY(B2)</f>
        <v>0</v>
      </c>
      <c r="K29" s="401"/>
      <c r="L29" s="527"/>
      <c r="N29" s="410"/>
    </row>
    <row r="30" spans="1:14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53</v>
      </c>
      <c r="F30" s="621">
        <v>145</v>
      </c>
      <c r="G30" s="622">
        <f t="shared" si="3"/>
        <v>7685</v>
      </c>
      <c r="H30" s="580">
        <f>G30+'[3]7'!H30</f>
        <v>62640</v>
      </c>
      <c r="I30" s="625"/>
      <c r="J30" s="673">
        <f>H30/DAY(B2)</f>
        <v>7830</v>
      </c>
      <c r="K30" s="401"/>
      <c r="L30" s="527"/>
      <c r="N30" s="410"/>
    </row>
    <row r="31" spans="1:14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160</v>
      </c>
      <c r="F31" s="621">
        <v>80</v>
      </c>
      <c r="G31" s="622">
        <f t="shared" si="3"/>
        <v>12800</v>
      </c>
      <c r="H31" s="580">
        <f>G31+'[3]7'!H31</f>
        <v>70400</v>
      </c>
      <c r="I31" s="625"/>
      <c r="J31" s="673"/>
      <c r="K31" s="401"/>
      <c r="L31" s="527"/>
      <c r="N31" s="410"/>
    </row>
    <row r="32" spans="1:14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235201.91000000306</v>
      </c>
      <c r="H32" s="580">
        <f>G32+'[3]7'!H32</f>
        <v>1829276.9735000022</v>
      </c>
      <c r="I32" s="629"/>
      <c r="J32" s="673">
        <f>H32/DAY(B2)</f>
        <v>228659.62168750027</v>
      </c>
      <c r="K32" s="401"/>
      <c r="L32" s="527"/>
      <c r="N32" s="410"/>
    </row>
    <row r="33" spans="1:14" ht="25.5" customHeight="1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</row>
    <row r="34" spans="1:14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410"/>
    </row>
    <row r="35" spans="1:14" x14ac:dyDescent="0.4">
      <c r="A35" s="699" t="s">
        <v>191</v>
      </c>
      <c r="B35" s="700"/>
      <c r="C35" s="700"/>
      <c r="D35" s="643" t="s">
        <v>159</v>
      </c>
      <c r="E35" s="630">
        <f>'[3]7'!F35</f>
        <v>629027.67000000004</v>
      </c>
      <c r="F35" s="630">
        <v>629027.67000000004</v>
      </c>
      <c r="G35" s="593">
        <f t="shared" ref="G35:G46" si="4">F35-E35</f>
        <v>0</v>
      </c>
      <c r="H35" s="580">
        <f>G35+'[3]7'!H35</f>
        <v>0</v>
      </c>
      <c r="I35" s="575"/>
      <c r="J35" s="673">
        <f>H35/DAY(B2)</f>
        <v>0</v>
      </c>
      <c r="K35" s="508"/>
      <c r="L35" s="405"/>
      <c r="N35" s="410"/>
    </row>
    <row r="36" spans="1:14" x14ac:dyDescent="0.4">
      <c r="A36" s="699" t="s">
        <v>192</v>
      </c>
      <c r="B36" s="700"/>
      <c r="C36" s="700"/>
      <c r="D36" s="643" t="s">
        <v>159</v>
      </c>
      <c r="E36" s="630">
        <f>'[3]7'!F36</f>
        <v>235244.83</v>
      </c>
      <c r="F36" s="630">
        <v>235994.71</v>
      </c>
      <c r="G36" s="593">
        <f t="shared" si="4"/>
        <v>749.88000000000466</v>
      </c>
      <c r="H36" s="580">
        <f>G36+'[3]7'!H36</f>
        <v>6908.9799999999814</v>
      </c>
      <c r="I36" s="575"/>
      <c r="J36" s="673">
        <f>H36/DAY(B2)</f>
        <v>863.62249999999767</v>
      </c>
      <c r="K36" s="508"/>
      <c r="L36" s="405"/>
      <c r="N36" s="749"/>
    </row>
    <row r="37" spans="1:14" x14ac:dyDescent="0.4">
      <c r="A37" s="699" t="s">
        <v>193</v>
      </c>
      <c r="B37" s="700"/>
      <c r="C37" s="700"/>
      <c r="D37" s="643" t="s">
        <v>159</v>
      </c>
      <c r="E37" s="630">
        <f>'[3]7'!F37</f>
        <v>415066</v>
      </c>
      <c r="F37" s="630">
        <v>415066</v>
      </c>
      <c r="G37" s="593">
        <f t="shared" si="4"/>
        <v>0</v>
      </c>
      <c r="H37" s="580">
        <f>G37+'[3]7'!H37</f>
        <v>0</v>
      </c>
      <c r="I37" s="575"/>
      <c r="J37" s="673">
        <f>H37/DAY(B2)</f>
        <v>0</v>
      </c>
      <c r="K37" s="508"/>
      <c r="L37" s="405"/>
      <c r="N37" s="750"/>
    </row>
    <row r="38" spans="1:14" x14ac:dyDescent="0.4">
      <c r="A38" s="699" t="s">
        <v>194</v>
      </c>
      <c r="B38" s="700"/>
      <c r="C38" s="700"/>
      <c r="D38" s="643" t="s">
        <v>159</v>
      </c>
      <c r="E38" s="589">
        <f>'[3]7'!F38</f>
        <v>150714</v>
      </c>
      <c r="F38" s="589">
        <v>150714</v>
      </c>
      <c r="G38" s="593">
        <f t="shared" si="4"/>
        <v>0</v>
      </c>
      <c r="H38" s="580">
        <f>G38+'[3]7'!H38</f>
        <v>0</v>
      </c>
      <c r="I38" s="575"/>
      <c r="J38" s="673">
        <f>H38/DAY(B2)</f>
        <v>0</v>
      </c>
      <c r="K38" s="508"/>
      <c r="L38" s="405"/>
      <c r="N38" s="410"/>
    </row>
    <row r="39" spans="1:14" x14ac:dyDescent="0.4">
      <c r="A39" s="699" t="s">
        <v>195</v>
      </c>
      <c r="B39" s="700"/>
      <c r="C39" s="700"/>
      <c r="D39" s="643" t="s">
        <v>159</v>
      </c>
      <c r="E39" s="630">
        <f>'[3]7'!F39</f>
        <v>912480</v>
      </c>
      <c r="F39" s="630">
        <v>912480</v>
      </c>
      <c r="G39" s="593">
        <f t="shared" si="4"/>
        <v>0</v>
      </c>
      <c r="H39" s="580">
        <f>G39+'[3]7'!H39</f>
        <v>0</v>
      </c>
      <c r="I39" s="575"/>
      <c r="J39" s="673">
        <f>H39/DAY(B2)</f>
        <v>0</v>
      </c>
      <c r="K39" s="508"/>
      <c r="L39" s="405"/>
      <c r="N39" s="410"/>
    </row>
    <row r="40" spans="1:14" x14ac:dyDescent="0.4">
      <c r="A40" s="720" t="s">
        <v>196</v>
      </c>
      <c r="B40" s="721"/>
      <c r="C40" s="721"/>
      <c r="D40" s="643" t="s">
        <v>159</v>
      </c>
      <c r="E40" s="630">
        <f>'[3]7'!F40</f>
        <v>0.17</v>
      </c>
      <c r="F40" s="630">
        <v>0.17</v>
      </c>
      <c r="G40" s="593">
        <f t="shared" si="4"/>
        <v>0</v>
      </c>
      <c r="H40" s="580">
        <f>G40+'[3]7'!H40</f>
        <v>0</v>
      </c>
      <c r="I40" s="575"/>
      <c r="J40" s="673">
        <f>H40/DAY(B2)</f>
        <v>0</v>
      </c>
      <c r="K40" s="509"/>
      <c r="L40" s="405"/>
      <c r="N40" s="410"/>
    </row>
    <row r="41" spans="1:14" x14ac:dyDescent="0.4">
      <c r="A41" s="699" t="s">
        <v>197</v>
      </c>
      <c r="B41" s="700"/>
      <c r="C41" s="700"/>
      <c r="D41" s="643" t="s">
        <v>159</v>
      </c>
      <c r="E41" s="630">
        <f>'[3]7'!F41</f>
        <v>300127.90000000002</v>
      </c>
      <c r="F41" s="630">
        <v>300127.90000000002</v>
      </c>
      <c r="G41" s="593">
        <f t="shared" si="4"/>
        <v>0</v>
      </c>
      <c r="H41" s="580">
        <f>G41+'[3]7'!H41</f>
        <v>-4.9999999988358468E-2</v>
      </c>
      <c r="I41" s="575"/>
      <c r="J41" s="673">
        <f>H41/DAY(B2)</f>
        <v>-6.2499999985448085E-3</v>
      </c>
      <c r="K41" s="508"/>
      <c r="L41" s="405"/>
      <c r="N41" s="410"/>
    </row>
    <row r="42" spans="1:14" x14ac:dyDescent="0.4">
      <c r="A42" s="699" t="s">
        <v>198</v>
      </c>
      <c r="B42" s="700"/>
      <c r="C42" s="700"/>
      <c r="D42" s="643" t="s">
        <v>159</v>
      </c>
      <c r="E42" s="630">
        <f>'[3]7'!F42</f>
        <v>16151.84</v>
      </c>
      <c r="F42" s="630">
        <v>20102.580000000002</v>
      </c>
      <c r="G42" s="593">
        <f t="shared" si="4"/>
        <v>3950.7400000000016</v>
      </c>
      <c r="H42" s="580">
        <f>G42+'[3]7'!H42</f>
        <v>20102.580000000002</v>
      </c>
      <c r="I42" s="575"/>
      <c r="J42" s="673">
        <f>H42/DAY(B2)</f>
        <v>2512.8225000000002</v>
      </c>
      <c r="K42" s="508"/>
      <c r="L42" s="405"/>
      <c r="N42" s="410"/>
    </row>
    <row r="43" spans="1:14" x14ac:dyDescent="0.4">
      <c r="A43" s="699" t="s">
        <v>199</v>
      </c>
      <c r="B43" s="700"/>
      <c r="C43" s="700"/>
      <c r="D43" s="643" t="s">
        <v>159</v>
      </c>
      <c r="E43" s="630">
        <f>'[3]7'!F43</f>
        <v>646426.03</v>
      </c>
      <c r="F43" s="630">
        <v>648737.94999999995</v>
      </c>
      <c r="G43" s="593">
        <f t="shared" si="4"/>
        <v>2311.9199999999255</v>
      </c>
      <c r="H43" s="580">
        <f>G43+'[3]7'!H43</f>
        <v>17988.639999999898</v>
      </c>
      <c r="I43" s="575"/>
      <c r="J43" s="673">
        <f>H43/DAY(B2)</f>
        <v>2248.5799999999872</v>
      </c>
      <c r="K43" s="508"/>
      <c r="L43" s="405"/>
      <c r="N43" s="410"/>
    </row>
    <row r="44" spans="1:14" x14ac:dyDescent="0.4">
      <c r="A44" s="699" t="s">
        <v>200</v>
      </c>
      <c r="B44" s="700"/>
      <c r="C44" s="700"/>
      <c r="D44" s="643" t="s">
        <v>159</v>
      </c>
      <c r="E44" s="630">
        <f>'[3]7'!F44</f>
        <v>0</v>
      </c>
      <c r="F44" s="630">
        <v>0</v>
      </c>
      <c r="G44" s="593">
        <f t="shared" si="4"/>
        <v>0</v>
      </c>
      <c r="H44" s="580">
        <f>G44+'[3]7'!H44</f>
        <v>0</v>
      </c>
      <c r="I44" s="575"/>
      <c r="J44" s="673">
        <f>H44/DAY(B2)</f>
        <v>0</v>
      </c>
      <c r="K44" s="508"/>
      <c r="L44" s="405"/>
      <c r="N44" s="410"/>
    </row>
    <row r="45" spans="1:14" x14ac:dyDescent="0.4">
      <c r="A45" s="699" t="s">
        <v>201</v>
      </c>
      <c r="B45" s="700"/>
      <c r="C45" s="700"/>
      <c r="D45" s="643" t="s">
        <v>159</v>
      </c>
      <c r="E45" s="630">
        <f>'[3]7'!F45</f>
        <v>614</v>
      </c>
      <c r="F45" s="630">
        <v>614</v>
      </c>
      <c r="G45" s="593">
        <f t="shared" si="4"/>
        <v>0</v>
      </c>
      <c r="H45" s="580">
        <f>G45+'[3]7'!H45</f>
        <v>-0.48000000000001819</v>
      </c>
      <c r="I45" s="575"/>
      <c r="J45" s="673">
        <f>H45/DAY(B2)</f>
        <v>-6.0000000000002274E-2</v>
      </c>
      <c r="K45" s="508"/>
      <c r="L45" s="405"/>
      <c r="N45" s="410"/>
    </row>
    <row r="46" spans="1:14" x14ac:dyDescent="0.4">
      <c r="A46" s="699" t="s">
        <v>202</v>
      </c>
      <c r="B46" s="700"/>
      <c r="C46" s="700"/>
      <c r="D46" s="643" t="s">
        <v>159</v>
      </c>
      <c r="E46" s="630">
        <f>'[3]7'!F46</f>
        <v>187</v>
      </c>
      <c r="F46" s="630">
        <v>187</v>
      </c>
      <c r="G46" s="593">
        <f t="shared" si="4"/>
        <v>0</v>
      </c>
      <c r="H46" s="580">
        <f>G46+'[3]7'!H46</f>
        <v>-0.49000000000000909</v>
      </c>
      <c r="I46" s="575"/>
      <c r="J46" s="673">
        <f>H46/DAY(B2)</f>
        <v>-6.1250000000001137E-2</v>
      </c>
      <c r="K46" s="508"/>
      <c r="L46" s="405"/>
      <c r="N46" s="410"/>
    </row>
    <row r="47" spans="1:14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7012.5399999999318</v>
      </c>
      <c r="H47" s="580">
        <f>G47+'[3]7'!H47</f>
        <v>44999.179999999891</v>
      </c>
      <c r="I47" s="575"/>
      <c r="J47" s="673">
        <f>H47/DAY(B2)</f>
        <v>5624.8974999999864</v>
      </c>
      <c r="K47" s="508"/>
      <c r="L47" s="405"/>
      <c r="N47" s="410"/>
    </row>
    <row r="48" spans="1:14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410"/>
    </row>
    <row r="49" spans="1:14" x14ac:dyDescent="0.4">
      <c r="A49" s="699" t="s">
        <v>191</v>
      </c>
      <c r="B49" s="722"/>
      <c r="C49" s="722"/>
      <c r="D49" s="643" t="s">
        <v>159</v>
      </c>
      <c r="E49" s="630">
        <f>'[3]7'!F49</f>
        <v>80928.88</v>
      </c>
      <c r="F49" s="630">
        <v>83614.55</v>
      </c>
      <c r="G49" s="593">
        <f t="shared" ref="G49:G58" si="5">F49-E49</f>
        <v>2685.6699999999983</v>
      </c>
      <c r="H49" s="580">
        <f>G49+'[3]7'!H49</f>
        <v>22101.283000000003</v>
      </c>
      <c r="I49" s="575"/>
      <c r="J49" s="673">
        <f>H49/DAY(B2)</f>
        <v>2762.6603750000004</v>
      </c>
      <c r="K49" s="508"/>
      <c r="L49" s="405"/>
      <c r="N49" s="410"/>
    </row>
    <row r="50" spans="1:14" x14ac:dyDescent="0.4">
      <c r="A50" s="699" t="s">
        <v>205</v>
      </c>
      <c r="B50" s="722"/>
      <c r="C50" s="722"/>
      <c r="D50" s="643" t="s">
        <v>159</v>
      </c>
      <c r="E50" s="630">
        <f>'[3]7'!F50</f>
        <v>305297.40999999997</v>
      </c>
      <c r="F50" s="630">
        <v>306564.46999999997</v>
      </c>
      <c r="G50" s="593">
        <f t="shared" si="5"/>
        <v>1267.0599999999977</v>
      </c>
      <c r="H50" s="580">
        <f>G50+'[3]7'!H50</f>
        <v>10595.379999999946</v>
      </c>
      <c r="I50" s="575"/>
      <c r="J50" s="673">
        <f>H50/DAY(B2)</f>
        <v>1324.4224999999933</v>
      </c>
      <c r="K50" s="508"/>
      <c r="L50" s="405"/>
      <c r="N50" s="410"/>
    </row>
    <row r="51" spans="1:14" x14ac:dyDescent="0.4">
      <c r="A51" s="699" t="s">
        <v>193</v>
      </c>
      <c r="B51" s="722"/>
      <c r="C51" s="722"/>
      <c r="D51" s="643" t="s">
        <v>159</v>
      </c>
      <c r="E51" s="630">
        <f>'[3]7'!F51</f>
        <v>29371.1</v>
      </c>
      <c r="F51" s="630">
        <v>30851.31</v>
      </c>
      <c r="G51" s="593">
        <f t="shared" si="5"/>
        <v>1480.2100000000028</v>
      </c>
      <c r="H51" s="580">
        <f>G51+'[3]7'!H51</f>
        <v>11530.823</v>
      </c>
      <c r="I51" s="575"/>
      <c r="J51" s="673">
        <f>H51/DAY(B2)</f>
        <v>1441.352875</v>
      </c>
      <c r="K51" s="508"/>
      <c r="L51" s="405"/>
      <c r="N51" s="410"/>
    </row>
    <row r="52" spans="1:14" x14ac:dyDescent="0.4">
      <c r="A52" s="699" t="s">
        <v>206</v>
      </c>
      <c r="B52" s="722"/>
      <c r="C52" s="722"/>
      <c r="D52" s="643" t="s">
        <v>159</v>
      </c>
      <c r="E52" s="630">
        <f>'[3]7'!F52</f>
        <v>384200.71</v>
      </c>
      <c r="F52" s="630">
        <v>386340.99</v>
      </c>
      <c r="G52" s="593">
        <f t="shared" si="5"/>
        <v>2140.2799999999697</v>
      </c>
      <c r="H52" s="580">
        <f>G52+'[3]7'!H52</f>
        <v>15218.559999999998</v>
      </c>
      <c r="I52" s="575"/>
      <c r="J52" s="673">
        <f>H52/DAY(B2)</f>
        <v>1902.3199999999997</v>
      </c>
      <c r="K52" s="508"/>
      <c r="L52" s="405"/>
      <c r="N52" s="410"/>
    </row>
    <row r="53" spans="1:14" x14ac:dyDescent="0.4">
      <c r="A53" s="699" t="s">
        <v>195</v>
      </c>
      <c r="B53" s="722"/>
      <c r="C53" s="722"/>
      <c r="D53" s="643" t="s">
        <v>159</v>
      </c>
      <c r="E53" s="630">
        <f>'[3]7'!F53</f>
        <v>74927.47</v>
      </c>
      <c r="F53" s="630">
        <v>79032.539999999994</v>
      </c>
      <c r="G53" s="593">
        <f t="shared" si="5"/>
        <v>4105.0699999999924</v>
      </c>
      <c r="H53" s="580">
        <f>G53+'[3]7'!H53</f>
        <v>33616.532999999996</v>
      </c>
      <c r="I53" s="575"/>
      <c r="J53" s="673">
        <f>H53/DAY(B2)</f>
        <v>4202.0666249999995</v>
      </c>
      <c r="K53" s="508"/>
      <c r="L53" s="405"/>
      <c r="N53" s="410"/>
    </row>
    <row r="54" spans="1:14" x14ac:dyDescent="0.4">
      <c r="A54" s="699" t="s">
        <v>207</v>
      </c>
      <c r="B54" s="722"/>
      <c r="C54" s="722"/>
      <c r="D54" s="643" t="s">
        <v>159</v>
      </c>
      <c r="E54" s="630">
        <f>'[3]7'!F54</f>
        <v>3203.71</v>
      </c>
      <c r="F54" s="630">
        <v>3248.5</v>
      </c>
      <c r="G54" s="593">
        <f t="shared" si="5"/>
        <v>44.789999999999964</v>
      </c>
      <c r="H54" s="580">
        <f>G54+'[3]7'!H54</f>
        <v>415.5</v>
      </c>
      <c r="I54" s="575"/>
      <c r="J54" s="673">
        <f>H54/DAY(B2)</f>
        <v>51.9375</v>
      </c>
      <c r="K54" s="508"/>
      <c r="L54" s="405"/>
      <c r="N54" s="410"/>
    </row>
    <row r="55" spans="1:14" x14ac:dyDescent="0.4">
      <c r="A55" s="699" t="s">
        <v>208</v>
      </c>
      <c r="B55" s="722"/>
      <c r="C55" s="722"/>
      <c r="D55" s="643" t="s">
        <v>159</v>
      </c>
      <c r="E55" s="630">
        <f>'[3]7'!F55</f>
        <v>158492.73000000001</v>
      </c>
      <c r="F55" s="770">
        <v>158492.73000000001</v>
      </c>
      <c r="G55" s="769">
        <f t="shared" si="5"/>
        <v>0</v>
      </c>
      <c r="H55" s="841">
        <f>G55+'[3]7'!H55</f>
        <v>-0.26999999998952262</v>
      </c>
      <c r="I55" s="842"/>
      <c r="J55" s="843">
        <f>H55/DAY(B2)</f>
        <v>-3.3749999998690328E-2</v>
      </c>
      <c r="K55" s="508"/>
      <c r="L55" s="405"/>
      <c r="N55" s="410"/>
    </row>
    <row r="56" spans="1:14" x14ac:dyDescent="0.4">
      <c r="A56" s="699" t="s">
        <v>209</v>
      </c>
      <c r="B56" s="722"/>
      <c r="C56" s="722"/>
      <c r="D56" s="643" t="s">
        <v>210</v>
      </c>
      <c r="E56" s="630">
        <f>'[3]7'!F56</f>
        <v>449323.67</v>
      </c>
      <c r="F56" s="770">
        <v>449323.67</v>
      </c>
      <c r="G56" s="593">
        <f t="shared" si="5"/>
        <v>0</v>
      </c>
      <c r="H56" s="580">
        <f>G56+'[3]7'!H56</f>
        <v>14176.079999999958</v>
      </c>
      <c r="I56" s="575"/>
      <c r="J56" s="673">
        <f>H56/DAY(B2)</f>
        <v>1772.0099999999948</v>
      </c>
      <c r="K56" s="507"/>
      <c r="L56" s="405"/>
      <c r="N56" s="410"/>
    </row>
    <row r="57" spans="1:14" x14ac:dyDescent="0.4">
      <c r="A57" s="699" t="s">
        <v>199</v>
      </c>
      <c r="B57" s="722"/>
      <c r="C57" s="722"/>
      <c r="D57" s="643" t="s">
        <v>159</v>
      </c>
      <c r="E57" s="630">
        <f>'[3]7'!F57</f>
        <v>0</v>
      </c>
      <c r="F57" s="630">
        <v>0</v>
      </c>
      <c r="G57" s="593">
        <f t="shared" si="5"/>
        <v>0</v>
      </c>
      <c r="H57" s="580">
        <f>G57+'[3]7'!H57</f>
        <v>0</v>
      </c>
      <c r="I57" s="575"/>
      <c r="J57" s="673">
        <f>H57/DAY(B2)</f>
        <v>0</v>
      </c>
      <c r="K57" s="508"/>
      <c r="L57" s="405"/>
      <c r="N57" s="410"/>
    </row>
    <row r="58" spans="1:14" x14ac:dyDescent="0.4">
      <c r="A58" s="699" t="s">
        <v>211</v>
      </c>
      <c r="B58" s="722"/>
      <c r="C58" s="722"/>
      <c r="D58" s="643" t="s">
        <v>159</v>
      </c>
      <c r="E58" s="630">
        <f>'[3]7'!F58</f>
        <v>21025.94</v>
      </c>
      <c r="F58" s="770">
        <v>21204.799999999999</v>
      </c>
      <c r="G58" s="593">
        <f t="shared" si="5"/>
        <v>178.86000000000058</v>
      </c>
      <c r="H58" s="580">
        <f>G58+'[3]7'!H58</f>
        <v>973.75699999999779</v>
      </c>
      <c r="I58" s="575"/>
      <c r="J58" s="673">
        <f>H58/DAY(B2)</f>
        <v>121.71962499999972</v>
      </c>
      <c r="K58" s="508"/>
      <c r="L58" s="405"/>
      <c r="N58" s="410"/>
    </row>
    <row r="59" spans="1:14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11901.939999999962</v>
      </c>
      <c r="H59" s="580">
        <f>G59+'[3]7'!H59</f>
        <v>108627.64599999989</v>
      </c>
      <c r="I59" s="575">
        <f>G7-G60</f>
        <v>494.52000000010594</v>
      </c>
      <c r="J59" s="673">
        <f>H59/DAY(B2)</f>
        <v>13578.455749999986</v>
      </c>
      <c r="K59" s="508"/>
      <c r="L59" s="405"/>
      <c r="N59" s="410"/>
    </row>
    <row r="60" spans="1:14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18914.479999999894</v>
      </c>
      <c r="H60" s="580">
        <f>G60+'[3]7'!H60</f>
        <v>153626.82599999983</v>
      </c>
      <c r="I60" s="575">
        <f>G13-G60</f>
        <v>-180.4399999997986</v>
      </c>
      <c r="J60" s="673">
        <f>H60/DAY(B2)</f>
        <v>19203.353249999978</v>
      </c>
      <c r="K60" s="508"/>
      <c r="L60" s="405"/>
      <c r="N60" s="410"/>
    </row>
    <row r="61" spans="1:14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410"/>
    </row>
    <row r="62" spans="1:14" x14ac:dyDescent="0.4">
      <c r="A62" s="724" t="s">
        <v>121</v>
      </c>
      <c r="B62" s="725"/>
      <c r="C62" s="725"/>
      <c r="D62" s="631" t="s">
        <v>214</v>
      </c>
      <c r="E62" s="634">
        <f>'[3]7'!F62</f>
        <v>20419</v>
      </c>
      <c r="F62" s="634">
        <v>20419</v>
      </c>
      <c r="G62" s="593">
        <f t="shared" ref="G62:G69" si="6">F62-E62</f>
        <v>0</v>
      </c>
      <c r="H62" s="580">
        <f>G62+'[3]7'!H62</f>
        <v>-0.18000000000029104</v>
      </c>
      <c r="I62" s="635"/>
      <c r="J62" s="673">
        <f>H62/DAY(B2)</f>
        <v>-2.250000000003638E-2</v>
      </c>
      <c r="K62" s="508"/>
      <c r="L62" s="405"/>
      <c r="N62" s="410"/>
    </row>
    <row r="63" spans="1:14" x14ac:dyDescent="0.4">
      <c r="A63" s="724" t="s">
        <v>215</v>
      </c>
      <c r="B63" s="725"/>
      <c r="C63" s="725"/>
      <c r="D63" s="631" t="s">
        <v>214</v>
      </c>
      <c r="E63" s="634">
        <f>'[3]7'!F63</f>
        <v>966.57</v>
      </c>
      <c r="F63" s="634">
        <v>979.29</v>
      </c>
      <c r="G63" s="593">
        <f t="shared" si="6"/>
        <v>12.719999999999914</v>
      </c>
      <c r="H63" s="580">
        <f>G63+'[3]7'!H63</f>
        <v>122.91999999999996</v>
      </c>
      <c r="I63" s="635"/>
      <c r="J63" s="673">
        <f>H63/DAY(B2)</f>
        <v>15.364999999999995</v>
      </c>
      <c r="K63" s="508"/>
      <c r="L63" s="405"/>
      <c r="N63" s="410"/>
    </row>
    <row r="64" spans="1:14" ht="27.75" x14ac:dyDescent="0.5">
      <c r="A64" s="1395" t="s">
        <v>122</v>
      </c>
      <c r="B64" s="1396"/>
      <c r="C64" s="1397"/>
      <c r="D64" s="643" t="s">
        <v>214</v>
      </c>
      <c r="E64" s="604">
        <f>'[3]7'!F64</f>
        <v>89266.99</v>
      </c>
      <c r="F64" s="598">
        <v>89633.48</v>
      </c>
      <c r="G64" s="593">
        <f t="shared" si="6"/>
        <v>366.48999999999069</v>
      </c>
      <c r="H64" s="580">
        <f>G64+'[3]7'!H64</f>
        <v>2894.3849999999948</v>
      </c>
      <c r="I64" s="600"/>
      <c r="J64" s="673">
        <f>H64/DAY(B2)</f>
        <v>361.79812499999935</v>
      </c>
      <c r="K64" s="508"/>
      <c r="L64" s="405"/>
      <c r="N64" s="410"/>
    </row>
    <row r="65" spans="1:14" ht="27.75" x14ac:dyDescent="0.5">
      <c r="A65" s="1395" t="s">
        <v>123</v>
      </c>
      <c r="B65" s="1396"/>
      <c r="C65" s="1397"/>
      <c r="D65" s="643" t="s">
        <v>214</v>
      </c>
      <c r="E65" s="604">
        <f>'[3]7'!F65</f>
        <v>99436.99</v>
      </c>
      <c r="F65" s="768">
        <v>99819.76</v>
      </c>
      <c r="G65" s="593">
        <f t="shared" si="6"/>
        <v>382.76999999998952</v>
      </c>
      <c r="H65" s="580">
        <f>G65+'[3]7'!H65</f>
        <v>3183.7770000000019</v>
      </c>
      <c r="I65" s="609"/>
      <c r="J65" s="673">
        <f>H65/DAY(B2)</f>
        <v>397.97212500000023</v>
      </c>
      <c r="K65" s="508"/>
      <c r="L65" s="405"/>
      <c r="N65" s="410"/>
    </row>
    <row r="66" spans="1:14" ht="27.75" x14ac:dyDescent="0.5">
      <c r="A66" s="1395" t="s">
        <v>124</v>
      </c>
      <c r="B66" s="1396"/>
      <c r="C66" s="1397"/>
      <c r="D66" s="643" t="s">
        <v>214</v>
      </c>
      <c r="E66" s="604">
        <f>'[3]7'!F66</f>
        <v>92743.51</v>
      </c>
      <c r="F66" s="598">
        <v>93144.78</v>
      </c>
      <c r="G66" s="593">
        <f t="shared" si="6"/>
        <v>401.27000000000407</v>
      </c>
      <c r="H66" s="580">
        <f>G66+'[3]7'!H66</f>
        <v>3139.9330000000045</v>
      </c>
      <c r="I66" s="600"/>
      <c r="J66" s="673">
        <f>H66/DAY(B2)</f>
        <v>392.49162500000057</v>
      </c>
      <c r="K66" s="508"/>
      <c r="L66" s="405"/>
      <c r="N66" s="410"/>
    </row>
    <row r="67" spans="1:14" ht="27.75" x14ac:dyDescent="0.5">
      <c r="A67" s="1395" t="s">
        <v>125</v>
      </c>
      <c r="B67" s="1396"/>
      <c r="C67" s="1397"/>
      <c r="D67" s="643" t="s">
        <v>214</v>
      </c>
      <c r="E67" s="604">
        <f>'[3]7'!F67</f>
        <v>151119.51</v>
      </c>
      <c r="F67" s="598">
        <v>151852.29999999999</v>
      </c>
      <c r="G67" s="593">
        <f t="shared" si="6"/>
        <v>732.78999999997905</v>
      </c>
      <c r="H67" s="580">
        <f>G67+'[3]7'!H67</f>
        <v>5810.25</v>
      </c>
      <c r="I67" s="609"/>
      <c r="J67" s="673">
        <f>H67/DAY(B2)</f>
        <v>726.28125</v>
      </c>
      <c r="K67" s="509"/>
      <c r="L67" s="405"/>
      <c r="N67" s="410"/>
    </row>
    <row r="68" spans="1:14" ht="27.75" x14ac:dyDescent="0.5">
      <c r="A68" s="1395" t="s">
        <v>126</v>
      </c>
      <c r="B68" s="1396"/>
      <c r="C68" s="1397"/>
      <c r="D68" s="643" t="s">
        <v>214</v>
      </c>
      <c r="E68" s="604">
        <f>'[3]7'!F68</f>
        <v>45753.05</v>
      </c>
      <c r="F68" s="598">
        <v>46071.49</v>
      </c>
      <c r="G68" s="593">
        <f t="shared" si="6"/>
        <v>318.43999999999505</v>
      </c>
      <c r="H68" s="580">
        <f>G68+'[3]7'!H68</f>
        <v>2896.4110000000001</v>
      </c>
      <c r="I68" s="636"/>
      <c r="J68" s="673">
        <f>H68/DAY(B2)</f>
        <v>362.05137500000001</v>
      </c>
      <c r="K68" s="510"/>
      <c r="L68" s="405"/>
      <c r="N68" s="410"/>
    </row>
    <row r="69" spans="1:14" ht="27.75" x14ac:dyDescent="0.5">
      <c r="A69" s="1395" t="s">
        <v>127</v>
      </c>
      <c r="B69" s="1396"/>
      <c r="C69" s="1397"/>
      <c r="D69" s="643" t="s">
        <v>214</v>
      </c>
      <c r="E69" s="604">
        <f>'[3]7'!F69</f>
        <v>39584.129999999997</v>
      </c>
      <c r="F69" s="598">
        <v>39878.67</v>
      </c>
      <c r="G69" s="593">
        <f t="shared" si="6"/>
        <v>294.54000000000087</v>
      </c>
      <c r="H69" s="580">
        <f>G69+'[3]7'!H69</f>
        <v>2323.1029999999955</v>
      </c>
      <c r="I69" s="636"/>
      <c r="J69" s="673">
        <f>H69/DAY(B2)</f>
        <v>290.38787499999944</v>
      </c>
      <c r="K69" s="511"/>
      <c r="L69" s="405"/>
      <c r="N69" s="410"/>
    </row>
    <row r="70" spans="1:14" ht="27.75" x14ac:dyDescent="0.5">
      <c r="A70" s="1451" t="s">
        <v>216</v>
      </c>
      <c r="B70" s="1452"/>
      <c r="C70" s="1453"/>
      <c r="D70" s="643" t="s">
        <v>214</v>
      </c>
      <c r="E70" s="638"/>
      <c r="F70" s="638" t="s">
        <v>296</v>
      </c>
      <c r="G70" s="638"/>
      <c r="H70" s="580"/>
      <c r="I70" s="638"/>
      <c r="J70" s="677"/>
      <c r="K70" s="511"/>
      <c r="L70" s="405"/>
      <c r="N70" s="410"/>
    </row>
    <row r="71" spans="1:14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410"/>
    </row>
    <row r="72" spans="1:14" ht="27.75" x14ac:dyDescent="0.5">
      <c r="A72" s="1395" t="s">
        <v>218</v>
      </c>
      <c r="B72" s="1396"/>
      <c r="C72" s="1397"/>
      <c r="D72" s="643" t="s">
        <v>214</v>
      </c>
      <c r="E72" s="639">
        <f>'[3]7'!F72</f>
        <v>844242</v>
      </c>
      <c r="F72" s="771">
        <v>844317</v>
      </c>
      <c r="G72" s="593">
        <f t="shared" ref="G72:G84" si="7">F72-E72</f>
        <v>75</v>
      </c>
      <c r="H72" s="580">
        <f>G72+'[3]7'!H72</f>
        <v>140</v>
      </c>
      <c r="I72" s="600"/>
      <c r="J72" s="673">
        <f>H72/DAY(B2)</f>
        <v>17.5</v>
      </c>
      <c r="K72" s="511"/>
      <c r="L72" s="405"/>
      <c r="N72" s="410"/>
    </row>
    <row r="73" spans="1:14" ht="27.75" x14ac:dyDescent="0.5">
      <c r="A73" s="1395" t="s">
        <v>219</v>
      </c>
      <c r="B73" s="1396"/>
      <c r="C73" s="1397"/>
      <c r="D73" s="643" t="s">
        <v>214</v>
      </c>
      <c r="E73" s="640">
        <f>'[3]7'!F73</f>
        <v>885407</v>
      </c>
      <c r="F73" s="772">
        <v>885409</v>
      </c>
      <c r="G73" s="769">
        <f t="shared" si="7"/>
        <v>2</v>
      </c>
      <c r="H73" s="580">
        <f>G73+'[3]7'!H73</f>
        <v>99</v>
      </c>
      <c r="I73" s="600"/>
      <c r="J73" s="673">
        <f>H73/DAY(B2)</f>
        <v>12.375</v>
      </c>
      <c r="K73" s="510"/>
      <c r="L73" s="405"/>
      <c r="N73" s="410"/>
    </row>
    <row r="74" spans="1:14" ht="27.75" x14ac:dyDescent="0.5">
      <c r="A74" s="1395" t="s">
        <v>220</v>
      </c>
      <c r="B74" s="1396"/>
      <c r="C74" s="1397"/>
      <c r="D74" s="643" t="s">
        <v>214</v>
      </c>
      <c r="E74" s="641">
        <f>'[3]7'!F74</f>
        <v>880409</v>
      </c>
      <c r="F74" s="771">
        <v>880480</v>
      </c>
      <c r="G74" s="593">
        <f t="shared" si="7"/>
        <v>71</v>
      </c>
      <c r="H74" s="580">
        <f>G74+'[3]7'!H74</f>
        <v>253</v>
      </c>
      <c r="I74" s="600"/>
      <c r="J74" s="673">
        <f>H74/DAY(B2)</f>
        <v>31.625</v>
      </c>
      <c r="K74" s="511"/>
      <c r="L74" s="405"/>
      <c r="N74" s="410"/>
    </row>
    <row r="75" spans="1:14" ht="27.75" x14ac:dyDescent="0.5">
      <c r="A75" s="1447" t="s">
        <v>221</v>
      </c>
      <c r="B75" s="1448"/>
      <c r="C75" s="1449"/>
      <c r="D75" s="643" t="s">
        <v>214</v>
      </c>
      <c r="E75" s="640">
        <f>'[3]7'!F75</f>
        <v>727398</v>
      </c>
      <c r="F75" s="772">
        <v>727580</v>
      </c>
      <c r="G75" s="593">
        <f t="shared" si="7"/>
        <v>182</v>
      </c>
      <c r="H75" s="580">
        <f>G75+'[3]7'!H75</f>
        <v>1400</v>
      </c>
      <c r="I75" s="600"/>
      <c r="J75" s="673">
        <f>H75/DAY(B2)</f>
        <v>175</v>
      </c>
      <c r="K75" s="510"/>
      <c r="L75" s="405"/>
      <c r="N75" s="410"/>
    </row>
    <row r="76" spans="1:14" ht="27.75" x14ac:dyDescent="0.5">
      <c r="A76" s="1447" t="s">
        <v>222</v>
      </c>
      <c r="B76" s="1448"/>
      <c r="C76" s="1449"/>
      <c r="D76" s="643" t="s">
        <v>214</v>
      </c>
      <c r="E76" s="640">
        <f>'[3]7'!F76</f>
        <v>682117</v>
      </c>
      <c r="F76" s="772">
        <v>682192</v>
      </c>
      <c r="G76" s="593">
        <f t="shared" si="7"/>
        <v>75</v>
      </c>
      <c r="H76" s="580">
        <f>G76+'[3]7'!H76</f>
        <v>516</v>
      </c>
      <c r="I76" s="625"/>
      <c r="J76" s="673">
        <f>H76/DAY(B2)</f>
        <v>64.5</v>
      </c>
      <c r="K76" s="510"/>
      <c r="L76" s="405"/>
      <c r="N76" s="410"/>
    </row>
    <row r="77" spans="1:14" ht="27.75" x14ac:dyDescent="0.5">
      <c r="A77" s="1395" t="s">
        <v>223</v>
      </c>
      <c r="B77" s="1396"/>
      <c r="C77" s="1397"/>
      <c r="D77" s="643" t="s">
        <v>214</v>
      </c>
      <c r="E77" s="639">
        <f>'[3]7'!F77</f>
        <v>694081</v>
      </c>
      <c r="F77" s="771">
        <v>694133</v>
      </c>
      <c r="G77" s="769">
        <f t="shared" si="7"/>
        <v>52</v>
      </c>
      <c r="H77" s="580">
        <f>G77+'[3]7'!H77</f>
        <v>413</v>
      </c>
      <c r="I77" s="625"/>
      <c r="J77" s="673">
        <f>H77/DAY(B2)</f>
        <v>51.625</v>
      </c>
      <c r="K77" s="510"/>
      <c r="L77" s="405"/>
      <c r="N77" s="410"/>
    </row>
    <row r="78" spans="1:14" ht="27.75" x14ac:dyDescent="0.5">
      <c r="A78" s="1357" t="s">
        <v>224</v>
      </c>
      <c r="B78" s="1320"/>
      <c r="C78" s="1320"/>
      <c r="D78" s="643" t="s">
        <v>214</v>
      </c>
      <c r="E78" s="641">
        <f>'[3]7'!F78</f>
        <v>621072</v>
      </c>
      <c r="F78" s="773">
        <v>621509</v>
      </c>
      <c r="G78" s="593">
        <f t="shared" si="7"/>
        <v>437</v>
      </c>
      <c r="H78" s="580">
        <f>G78+'[3]7'!H78</f>
        <v>3256</v>
      </c>
      <c r="I78" s="625"/>
      <c r="J78" s="673">
        <f>H78/DAY(B2)</f>
        <v>407</v>
      </c>
      <c r="K78" s="510"/>
      <c r="L78" s="405"/>
      <c r="N78" s="410"/>
    </row>
    <row r="79" spans="1:14" ht="27.75" x14ac:dyDescent="0.5">
      <c r="A79" s="1447" t="s">
        <v>112</v>
      </c>
      <c r="B79" s="1448"/>
      <c r="C79" s="1449"/>
      <c r="D79" s="644" t="s">
        <v>214</v>
      </c>
      <c r="E79" s="641">
        <f>'[3]7'!F79</f>
        <v>799332</v>
      </c>
      <c r="F79" s="773">
        <v>799519</v>
      </c>
      <c r="G79" s="593">
        <f t="shared" si="7"/>
        <v>187</v>
      </c>
      <c r="H79" s="580">
        <f>G79+'[3]7'!H79</f>
        <v>1533</v>
      </c>
      <c r="I79" s="625"/>
      <c r="J79" s="673">
        <f>H79/DAY(B2)</f>
        <v>191.625</v>
      </c>
      <c r="K79" s="510"/>
      <c r="L79" s="405"/>
      <c r="N79" s="410"/>
    </row>
    <row r="80" spans="1:14" ht="27.75" x14ac:dyDescent="0.5">
      <c r="A80" s="1447" t="s">
        <v>225</v>
      </c>
      <c r="B80" s="1448"/>
      <c r="C80" s="1449"/>
      <c r="D80" s="644" t="s">
        <v>214</v>
      </c>
      <c r="E80" s="640">
        <f>'[3]7'!F80</f>
        <v>467780.92</v>
      </c>
      <c r="F80" s="772">
        <v>468105.24</v>
      </c>
      <c r="G80" s="593">
        <f t="shared" si="7"/>
        <v>324.32000000000698</v>
      </c>
      <c r="H80" s="580">
        <f>G80+'[3]7'!H80</f>
        <v>2607.359999999986</v>
      </c>
      <c r="I80" s="625"/>
      <c r="J80" s="673">
        <f>H80/DAY(B2)</f>
        <v>325.91999999999825</v>
      </c>
      <c r="K80" s="510"/>
      <c r="L80" s="405"/>
      <c r="N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'[3]7'!F81</f>
        <v>615534.24</v>
      </c>
      <c r="F81" s="772">
        <v>615698.04</v>
      </c>
      <c r="G81" s="593">
        <f t="shared" si="7"/>
        <v>163.80000000004657</v>
      </c>
      <c r="H81" s="580">
        <f>G81+'[3]7'!H81</f>
        <v>1309.5200000000186</v>
      </c>
      <c r="I81" s="625"/>
      <c r="J81" s="673">
        <f>H81/DAY(B2)</f>
        <v>163.69000000000233</v>
      </c>
      <c r="K81" s="510"/>
      <c r="L81" s="405"/>
      <c r="N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2">
        <f>'[3]7'!F82</f>
        <v>103660</v>
      </c>
      <c r="F82" s="768">
        <v>103701</v>
      </c>
      <c r="G82" s="593">
        <f t="shared" si="7"/>
        <v>41</v>
      </c>
      <c r="H82" s="580">
        <f>G82+'[3]7'!H82</f>
        <v>171.35000000000582</v>
      </c>
      <c r="I82" s="606"/>
      <c r="J82" s="673">
        <f>H82/DAY(B2)</f>
        <v>21.418750000000728</v>
      </c>
      <c r="K82" s="510"/>
      <c r="L82" s="405"/>
      <c r="N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1">
        <f>'[3]7'!F83</f>
        <v>964906</v>
      </c>
      <c r="F83" s="631">
        <v>965274</v>
      </c>
      <c r="G83" s="593">
        <f t="shared" si="7"/>
        <v>368</v>
      </c>
      <c r="H83" s="580">
        <f>G83+'[3]7'!H83</f>
        <v>2749</v>
      </c>
      <c r="I83" s="601"/>
      <c r="J83" s="673">
        <f>H83/DAY(B2)</f>
        <v>343.625</v>
      </c>
      <c r="K83" s="509"/>
      <c r="L83" s="405"/>
      <c r="N83" s="410"/>
    </row>
    <row r="84" spans="1:15" x14ac:dyDescent="0.5">
      <c r="A84" s="1360" t="s">
        <v>228</v>
      </c>
      <c r="B84" s="692"/>
      <c r="C84" s="692"/>
      <c r="D84" s="598" t="s">
        <v>159</v>
      </c>
      <c r="E84" s="748">
        <f>'[3]7'!F84</f>
        <v>385203</v>
      </c>
      <c r="F84" s="748">
        <v>385782</v>
      </c>
      <c r="G84" s="593">
        <f t="shared" si="7"/>
        <v>579</v>
      </c>
      <c r="H84" s="580">
        <f>G84+'[3]7'!H84</f>
        <v>4426</v>
      </c>
      <c r="I84" s="601"/>
      <c r="J84" s="673">
        <f>H84/DAY(B2)</f>
        <v>553.25</v>
      </c>
      <c r="K84" s="408"/>
      <c r="L84" s="405"/>
      <c r="N84" s="410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2557.1200000000536</v>
      </c>
      <c r="H85" s="580">
        <f>G85+'[3]7'!H85</f>
        <v>17051.799999999959</v>
      </c>
      <c r="I85" s="601"/>
      <c r="J85" s="673">
        <f>H85/DAY(B2)</f>
        <v>2131.4749999999949</v>
      </c>
      <c r="K85" s="408"/>
      <c r="L85" s="406"/>
      <c r="N85" s="410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48">
        <f>'[3]7'!F86</f>
        <v>441673.32</v>
      </c>
      <c r="F86" s="764">
        <v>441845.56</v>
      </c>
      <c r="G86" s="841">
        <f t="shared" ref="G86:G90" si="8">F86-E86</f>
        <v>172.23999999999069</v>
      </c>
      <c r="H86" s="841">
        <f t="shared" ref="H86:H88" si="9">G86</f>
        <v>172.23999999999069</v>
      </c>
      <c r="I86" s="769"/>
      <c r="J86" s="843">
        <f>H86/DAY(B2)</f>
        <v>21.529999999998836</v>
      </c>
      <c r="K86" s="869"/>
      <c r="L86" s="870"/>
      <c r="O86" s="849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48">
        <f>'[3]7'!F87</f>
        <v>77090.2</v>
      </c>
      <c r="F87" s="764">
        <v>77124.899999999994</v>
      </c>
      <c r="G87" s="841">
        <f t="shared" si="8"/>
        <v>34.69999999999709</v>
      </c>
      <c r="H87" s="841">
        <f t="shared" si="9"/>
        <v>34.69999999999709</v>
      </c>
      <c r="I87" s="769"/>
      <c r="J87" s="843">
        <f>H87/DAY(B2)</f>
        <v>4.3374999999996362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48">
        <f>'[3]7'!F88</f>
        <v>143031.60999999999</v>
      </c>
      <c r="F88" s="764">
        <v>143111</v>
      </c>
      <c r="G88" s="841">
        <f t="shared" si="8"/>
        <v>79.39000000001397</v>
      </c>
      <c r="H88" s="841">
        <f t="shared" si="9"/>
        <v>79.39000000001397</v>
      </c>
      <c r="I88" s="769"/>
      <c r="J88" s="843">
        <f>H88/DAY(B2)</f>
        <v>9.9237500000017462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48">
        <f>'[3]7'!F89</f>
        <v>56130.7</v>
      </c>
      <c r="F89" s="764">
        <v>56185.7</v>
      </c>
      <c r="G89" s="841">
        <f t="shared" si="8"/>
        <v>55</v>
      </c>
      <c r="H89" s="841">
        <f>G89</f>
        <v>55</v>
      </c>
      <c r="I89" s="769"/>
      <c r="J89" s="843">
        <f>H89/DAY(B2)</f>
        <v>6.875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48">
        <f>'[3]7'!F90</f>
        <v>2913.4</v>
      </c>
      <c r="F90" s="764">
        <v>2918</v>
      </c>
      <c r="G90" s="841">
        <f t="shared" si="8"/>
        <v>4.5999999999999091</v>
      </c>
      <c r="H90" s="841">
        <f>G90</f>
        <v>4.5999999999999091</v>
      </c>
      <c r="I90" s="769"/>
      <c r="J90" s="843">
        <f>H90/DAY(B2)</f>
        <v>0.57499999999998863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'[3]7'!F92</f>
        <v>231588</v>
      </c>
      <c r="F92" s="598">
        <v>231722</v>
      </c>
      <c r="G92" s="593">
        <f t="shared" ref="G92:G93" si="10">F92-E92</f>
        <v>134</v>
      </c>
      <c r="H92" s="580">
        <f>G92+'[3]7'!H92</f>
        <v>747</v>
      </c>
      <c r="I92" s="600"/>
      <c r="J92" s="673">
        <f>H92/DAY(B2)</f>
        <v>93.375</v>
      </c>
      <c r="K92" s="509"/>
      <c r="L92" s="405"/>
      <c r="N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'[3]7'!F93</f>
        <v>163620</v>
      </c>
      <c r="F93" s="598">
        <v>163744</v>
      </c>
      <c r="G93" s="593">
        <f t="shared" si="10"/>
        <v>124</v>
      </c>
      <c r="H93" s="580">
        <f>G93+'[3]7'!H93</f>
        <v>1102</v>
      </c>
      <c r="I93" s="600"/>
      <c r="J93" s="673">
        <f>H93/DAY(B2)</f>
        <v>137.75</v>
      </c>
      <c r="K93" s="408"/>
      <c r="L93" s="405"/>
      <c r="N93" s="410"/>
    </row>
    <row r="94" spans="1:15" x14ac:dyDescent="0.5">
      <c r="A94" s="1392" t="s">
        <v>235</v>
      </c>
      <c r="B94" s="1393"/>
      <c r="C94" s="1394"/>
      <c r="D94" s="643"/>
      <c r="E94" s="604" t="e">
        <f>'[3]7'!F94</f>
        <v>#REF!</v>
      </c>
      <c r="F94" s="598"/>
      <c r="G94" s="593">
        <f>G92+G93</f>
        <v>258</v>
      </c>
      <c r="H94" s="580">
        <f>G94+'[3]7'!H94</f>
        <v>1586</v>
      </c>
      <c r="I94" s="600"/>
      <c r="J94" s="673">
        <f>H94/DAY(B2)</f>
        <v>198.25</v>
      </c>
      <c r="K94" s="408"/>
      <c r="L94" s="405"/>
      <c r="N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'[3]7'!F95</f>
        <v>401964</v>
      </c>
      <c r="F95" s="598">
        <v>402034</v>
      </c>
      <c r="G95" s="593">
        <f t="shared" ref="G95:G100" si="11">F95-E95</f>
        <v>70</v>
      </c>
      <c r="H95" s="580">
        <f>G95+'[3]7'!H95</f>
        <v>469</v>
      </c>
      <c r="I95" s="600"/>
      <c r="J95" s="673">
        <f>H95/DAY(B2)</f>
        <v>58.625</v>
      </c>
      <c r="K95" s="408"/>
      <c r="L95" s="405"/>
      <c r="N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'[3]7'!F96</f>
        <v>99320</v>
      </c>
      <c r="F96" s="598">
        <v>99353</v>
      </c>
      <c r="G96" s="593">
        <f t="shared" si="11"/>
        <v>33</v>
      </c>
      <c r="H96" s="580">
        <f>G96+'[3]7'!H96</f>
        <v>242</v>
      </c>
      <c r="I96" s="600"/>
      <c r="J96" s="673">
        <f>H96/DAY(B2)</f>
        <v>30.25</v>
      </c>
      <c r="K96" s="507"/>
      <c r="L96" s="405"/>
      <c r="N96" s="410"/>
    </row>
    <row r="97" spans="1:14" ht="27.75" x14ac:dyDescent="0.5">
      <c r="A97" s="1354" t="s">
        <v>238</v>
      </c>
      <c r="B97" s="1355"/>
      <c r="C97" s="1355"/>
      <c r="D97" s="643" t="s">
        <v>171</v>
      </c>
      <c r="E97" s="604">
        <f>'[3]7'!F97</f>
        <v>94416</v>
      </c>
      <c r="F97" s="598">
        <v>94446</v>
      </c>
      <c r="G97" s="593">
        <f t="shared" si="11"/>
        <v>30</v>
      </c>
      <c r="H97" s="580">
        <f>G97+'[3]7'!H97</f>
        <v>174</v>
      </c>
      <c r="I97" s="600"/>
      <c r="J97" s="673">
        <f>H97/DAY(B2)</f>
        <v>21.75</v>
      </c>
      <c r="K97" s="512"/>
      <c r="L97" s="405"/>
      <c r="N97" s="410"/>
    </row>
    <row r="98" spans="1:14" ht="27.75" x14ac:dyDescent="0.5">
      <c r="A98" s="1354" t="s">
        <v>239</v>
      </c>
      <c r="B98" s="1355"/>
      <c r="C98" s="1355"/>
      <c r="D98" s="643" t="s">
        <v>171</v>
      </c>
      <c r="E98" s="604">
        <f>'[3]7'!F98</f>
        <v>142506</v>
      </c>
      <c r="F98" s="598">
        <v>142541</v>
      </c>
      <c r="G98" s="593">
        <f t="shared" si="11"/>
        <v>35</v>
      </c>
      <c r="H98" s="580">
        <f>G98+'[3]7'!H98</f>
        <v>395</v>
      </c>
      <c r="I98" s="600"/>
      <c r="J98" s="673">
        <f>H98/DAY(B2)</f>
        <v>49.375</v>
      </c>
      <c r="K98" s="408"/>
      <c r="L98" s="405"/>
      <c r="N98" s="823"/>
    </row>
    <row r="99" spans="1:14" ht="27.75" x14ac:dyDescent="0.5">
      <c r="A99" s="1354" t="s">
        <v>240</v>
      </c>
      <c r="B99" s="1355"/>
      <c r="C99" s="1355"/>
      <c r="D99" s="643" t="s">
        <v>171</v>
      </c>
      <c r="E99" s="604">
        <f>'[3]7'!F99</f>
        <v>5135</v>
      </c>
      <c r="F99" s="598">
        <v>5158</v>
      </c>
      <c r="G99" s="593">
        <f t="shared" si="11"/>
        <v>23</v>
      </c>
      <c r="H99" s="580">
        <f>G99+'[3]7'!H99</f>
        <v>190</v>
      </c>
      <c r="I99" s="600"/>
      <c r="J99" s="673">
        <f>H99/DAY(B2)</f>
        <v>23.75</v>
      </c>
      <c r="K99" s="408"/>
      <c r="L99" s="405"/>
      <c r="N99" s="410"/>
    </row>
    <row r="100" spans="1:14" ht="27.75" x14ac:dyDescent="0.5">
      <c r="A100" s="1354" t="s">
        <v>241</v>
      </c>
      <c r="B100" s="1355"/>
      <c r="C100" s="1355"/>
      <c r="D100" s="643" t="s">
        <v>171</v>
      </c>
      <c r="E100" s="604">
        <f>'[3]7'!F100</f>
        <v>3674</v>
      </c>
      <c r="F100" s="598">
        <v>3674</v>
      </c>
      <c r="G100" s="593">
        <f t="shared" si="11"/>
        <v>0</v>
      </c>
      <c r="H100" s="580">
        <f>G100+'[3]7'!H100</f>
        <v>0</v>
      </c>
      <c r="I100" s="600"/>
      <c r="J100" s="673">
        <f>H100/DAY(B2)</f>
        <v>0</v>
      </c>
      <c r="K100" s="408"/>
      <c r="L100" s="405"/>
      <c r="N100" s="410"/>
    </row>
    <row r="101" spans="1:14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191</v>
      </c>
      <c r="H101" s="580">
        <f>G101+'[3]7'!H101</f>
        <v>1470</v>
      </c>
      <c r="I101" s="646"/>
      <c r="J101" s="673">
        <f>H101/DAY(B2)</f>
        <v>183.75</v>
      </c>
      <c r="K101" s="408"/>
      <c r="L101" s="405"/>
      <c r="N101" s="410"/>
    </row>
    <row r="102" spans="1:14" s="524" customFormat="1" ht="27" x14ac:dyDescent="0.35">
      <c r="A102" s="728" t="s">
        <v>243</v>
      </c>
      <c r="B102" s="729"/>
      <c r="C102" s="729"/>
      <c r="D102" s="742"/>
      <c r="E102" s="648"/>
      <c r="F102" s="774"/>
      <c r="G102" s="649"/>
      <c r="H102" s="650"/>
      <c r="I102" s="651"/>
      <c r="J102" s="678"/>
      <c r="N102" s="410"/>
    </row>
    <row r="103" spans="1:14" s="524" customFormat="1" ht="27.75" x14ac:dyDescent="0.5">
      <c r="A103" s="1404" t="s">
        <v>244</v>
      </c>
      <c r="B103" s="1405"/>
      <c r="C103" s="694"/>
      <c r="D103" s="743"/>
      <c r="E103" s="652"/>
      <c r="F103" s="775"/>
      <c r="G103" s="652"/>
      <c r="H103" s="653"/>
      <c r="I103" s="652"/>
      <c r="J103" s="679"/>
      <c r="N103" s="410"/>
    </row>
    <row r="104" spans="1:14" s="524" customFormat="1" ht="27.75" x14ac:dyDescent="0.5">
      <c r="A104" s="1406" t="s">
        <v>245</v>
      </c>
      <c r="B104" s="1407"/>
      <c r="C104" s="1359"/>
      <c r="D104" s="743" t="s">
        <v>171</v>
      </c>
      <c r="E104" s="652">
        <f>'[3]7'!F104</f>
        <v>7010</v>
      </c>
      <c r="F104" s="775">
        <v>7010</v>
      </c>
      <c r="G104" s="652">
        <f>F104-E104</f>
        <v>0</v>
      </c>
      <c r="H104" s="653">
        <f>SUM(G104+'[3]1'!G76)</f>
        <v>57</v>
      </c>
      <c r="I104" s="652"/>
      <c r="J104" s="679">
        <f>H104/DAY(B2)</f>
        <v>7.125</v>
      </c>
      <c r="N104" s="410"/>
    </row>
    <row r="105" spans="1:14" s="524" customFormat="1" ht="27.75" x14ac:dyDescent="0.5">
      <c r="A105" s="1406" t="s">
        <v>92</v>
      </c>
      <c r="B105" s="1407"/>
      <c r="C105" s="1359"/>
      <c r="D105" s="743" t="s">
        <v>171</v>
      </c>
      <c r="E105" s="652">
        <f>'[3]7'!F105</f>
        <v>34707</v>
      </c>
      <c r="F105" s="776">
        <v>34714</v>
      </c>
      <c r="G105" s="652">
        <f t="shared" ref="G105:G106" si="12">F105-E105</f>
        <v>7</v>
      </c>
      <c r="H105" s="653">
        <f>SUM(G105+'[3]1'!G77)</f>
        <v>62</v>
      </c>
      <c r="I105" s="652"/>
      <c r="J105" s="679">
        <f>H105/DAY(B2)</f>
        <v>7.75</v>
      </c>
      <c r="N105" s="410"/>
    </row>
    <row r="106" spans="1:14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'[3]7'!F106</f>
        <v>18769</v>
      </c>
      <c r="F106" s="776">
        <v>18775</v>
      </c>
      <c r="G106" s="652">
        <f t="shared" si="12"/>
        <v>6</v>
      </c>
      <c r="H106" s="653">
        <f>SUM(G106+'[3]1'!G78)</f>
        <v>486</v>
      </c>
      <c r="I106" s="652"/>
      <c r="J106" s="679">
        <f>H106/DAY(B2)</f>
        <v>60.75</v>
      </c>
      <c r="N106" s="410"/>
    </row>
    <row r="107" spans="1:14" s="524" customFormat="1" ht="27.75" x14ac:dyDescent="0.5">
      <c r="A107" s="1409" t="s">
        <v>82</v>
      </c>
      <c r="B107" s="1410"/>
      <c r="C107" s="1359"/>
      <c r="D107" s="743"/>
      <c r="E107" s="652"/>
      <c r="F107" s="776"/>
      <c r="G107" s="652">
        <f>SUM(G104:G106)</f>
        <v>13</v>
      </c>
      <c r="H107" s="653">
        <f>SUM(G107+'[3]1'!G79)</f>
        <v>214</v>
      </c>
      <c r="I107" s="652"/>
      <c r="J107" s="679">
        <f>H107/DAY(B2)</f>
        <v>26.75</v>
      </c>
      <c r="N107" s="410"/>
    </row>
    <row r="108" spans="1:14" s="524" customFormat="1" ht="27.75" x14ac:dyDescent="0.5">
      <c r="A108" s="1411" t="s">
        <v>94</v>
      </c>
      <c r="B108" s="1412"/>
      <c r="C108" s="1359"/>
      <c r="D108" s="743" t="s">
        <v>171</v>
      </c>
      <c r="E108" s="652"/>
      <c r="F108" s="776"/>
      <c r="G108" s="652"/>
      <c r="H108" s="653"/>
      <c r="I108" s="652"/>
      <c r="J108" s="679"/>
      <c r="N108" s="410"/>
    </row>
    <row r="109" spans="1:14" s="524" customFormat="1" ht="27.75" x14ac:dyDescent="0.5">
      <c r="A109" s="1406" t="s">
        <v>246</v>
      </c>
      <c r="B109" s="1407"/>
      <c r="C109" s="1359"/>
      <c r="D109" s="743" t="s">
        <v>171</v>
      </c>
      <c r="E109" s="652">
        <f>'[3]7'!F109</f>
        <v>51659</v>
      </c>
      <c r="F109" s="776">
        <v>51719</v>
      </c>
      <c r="G109" s="652">
        <f>F109-E109</f>
        <v>60</v>
      </c>
      <c r="H109" s="653">
        <f>SUM(G109+'[3]1'!G81)</f>
        <v>213.28000000002794</v>
      </c>
      <c r="I109" s="652"/>
      <c r="J109" s="679">
        <f>H109/DAY(B2)</f>
        <v>26.660000000003492</v>
      </c>
      <c r="N109" s="410"/>
    </row>
    <row r="110" spans="1:14" s="524" customFormat="1" ht="27.75" x14ac:dyDescent="0.5">
      <c r="A110" s="1406" t="s">
        <v>247</v>
      </c>
      <c r="B110" s="1407"/>
      <c r="C110" s="1359"/>
      <c r="D110" s="743" t="s">
        <v>171</v>
      </c>
      <c r="E110" s="652">
        <f>'[3]7'!F110</f>
        <v>25680</v>
      </c>
      <c r="F110" s="776">
        <v>25709</v>
      </c>
      <c r="G110" s="652">
        <f t="shared" ref="G110:G111" si="13">F110-E110</f>
        <v>29</v>
      </c>
      <c r="H110" s="653">
        <f>SUM(G110+'[3]1'!G82)</f>
        <v>49.760000000009313</v>
      </c>
      <c r="I110" s="652"/>
      <c r="J110" s="679">
        <f>H110/DAY(B2)</f>
        <v>6.2200000000011642</v>
      </c>
      <c r="N110" s="410"/>
    </row>
    <row r="111" spans="1:14" s="524" customFormat="1" ht="27.75" x14ac:dyDescent="0.5">
      <c r="A111" s="1406" t="s">
        <v>248</v>
      </c>
      <c r="B111" s="1407"/>
      <c r="C111" s="1359"/>
      <c r="D111" s="743" t="s">
        <v>171</v>
      </c>
      <c r="E111" s="652">
        <f>'[3]7'!F111</f>
        <v>3427</v>
      </c>
      <c r="F111" s="776">
        <v>3434</v>
      </c>
      <c r="G111" s="652">
        <f t="shared" si="13"/>
        <v>7</v>
      </c>
      <c r="H111" s="653">
        <f>SUM(G111+'[3]1'!G83)</f>
        <v>353</v>
      </c>
      <c r="I111" s="652"/>
      <c r="J111" s="679">
        <f>H111/DAY(B2)</f>
        <v>44.125</v>
      </c>
      <c r="N111" s="410"/>
    </row>
    <row r="112" spans="1:14" s="524" customFormat="1" ht="27.75" x14ac:dyDescent="0.5">
      <c r="A112" s="1409" t="s">
        <v>136</v>
      </c>
      <c r="B112" s="1410"/>
      <c r="C112" s="1359"/>
      <c r="D112" s="743"/>
      <c r="E112" s="652"/>
      <c r="F112" s="776"/>
      <c r="G112" s="652">
        <f>SUM(G109:G111)</f>
        <v>96</v>
      </c>
      <c r="H112" s="653">
        <f>SUM(G112+'[3]1'!G84)</f>
        <v>660</v>
      </c>
      <c r="I112" s="652"/>
      <c r="J112" s="679">
        <f>H112/DAY(B2)</f>
        <v>82.5</v>
      </c>
      <c r="N112" s="410"/>
    </row>
    <row r="113" spans="1:14" s="524" customFormat="1" ht="27.75" x14ac:dyDescent="0.5">
      <c r="A113" s="1411" t="s">
        <v>249</v>
      </c>
      <c r="B113" s="1412"/>
      <c r="C113" s="1359"/>
      <c r="D113" s="743"/>
      <c r="E113" s="652"/>
      <c r="F113" s="776"/>
      <c r="G113" s="652"/>
      <c r="H113" s="653"/>
      <c r="I113" s="652"/>
      <c r="J113" s="679">
        <f>H113/DAY(B2)</f>
        <v>0</v>
      </c>
      <c r="N113" s="410"/>
    </row>
    <row r="114" spans="1:14" s="524" customFormat="1" ht="27.75" x14ac:dyDescent="0.5">
      <c r="A114" s="1406" t="s">
        <v>250</v>
      </c>
      <c r="B114" s="1407"/>
      <c r="C114" s="695"/>
      <c r="D114" s="743" t="s">
        <v>171</v>
      </c>
      <c r="E114" s="652">
        <f>'[3]7'!F114</f>
        <v>8798</v>
      </c>
      <c r="F114" s="776">
        <v>8825</v>
      </c>
      <c r="G114" s="654">
        <f>F114-E114</f>
        <v>27</v>
      </c>
      <c r="H114" s="653" t="e">
        <f>SUM(G114+'[3]1'!G91)</f>
        <v>#REF!</v>
      </c>
      <c r="I114" s="652"/>
      <c r="J114" s="679" t="e">
        <f>H114/DAY(B2)</f>
        <v>#REF!</v>
      </c>
      <c r="N114" s="410"/>
    </row>
    <row r="115" spans="1:14" s="524" customFormat="1" ht="27.75" x14ac:dyDescent="0.5">
      <c r="A115" s="1406" t="s">
        <v>251</v>
      </c>
      <c r="B115" s="1407"/>
      <c r="C115" s="695"/>
      <c r="D115" s="743" t="s">
        <v>171</v>
      </c>
      <c r="E115" s="652">
        <f>'[3]7'!F115</f>
        <v>6887</v>
      </c>
      <c r="F115" s="776">
        <v>6919</v>
      </c>
      <c r="G115" s="654">
        <f t="shared" ref="G115:G116" si="14">F115-E115</f>
        <v>32</v>
      </c>
      <c r="H115" s="653">
        <f>SUM(G115+'[3]1'!G92)</f>
        <v>144</v>
      </c>
      <c r="I115" s="652"/>
      <c r="J115" s="679">
        <f>H115/DAY(B2)</f>
        <v>18</v>
      </c>
      <c r="N115" s="410"/>
    </row>
    <row r="116" spans="1:14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776"/>
      <c r="G116" s="654">
        <f t="shared" si="14"/>
        <v>0</v>
      </c>
      <c r="H116" s="653">
        <f>SUM(G116+'[3]1'!G93)</f>
        <v>151</v>
      </c>
      <c r="I116" s="652"/>
      <c r="J116" s="679">
        <f>H116/DAY(B2)</f>
        <v>18.875</v>
      </c>
      <c r="N116" s="410"/>
    </row>
    <row r="117" spans="1:14" s="537" customFormat="1" ht="27.75" x14ac:dyDescent="0.5">
      <c r="A117" s="1409" t="s">
        <v>82</v>
      </c>
      <c r="B117" s="1410"/>
      <c r="C117" s="695"/>
      <c r="D117" s="744"/>
      <c r="E117" s="654"/>
      <c r="F117" s="776"/>
      <c r="G117" s="654">
        <f>SUM(G114:G116)</f>
        <v>59</v>
      </c>
      <c r="H117" s="653">
        <f>SUM(G117+'[3]1'!G95)</f>
        <v>106</v>
      </c>
      <c r="I117" s="654"/>
      <c r="J117" s="679">
        <f>H117/DAY(B2)</f>
        <v>13.25</v>
      </c>
      <c r="N117" s="410"/>
    </row>
    <row r="118" spans="1:14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187</v>
      </c>
      <c r="G118" s="656">
        <f>SUM(G19+G92)</f>
        <v>187</v>
      </c>
      <c r="H118" s="653">
        <f>SUM(G118+'[3]1'!G96)</f>
        <v>220</v>
      </c>
      <c r="I118" s="655"/>
      <c r="J118" s="680">
        <f>H118/DAY(B2)</f>
        <v>27.5</v>
      </c>
      <c r="N118" s="410"/>
    </row>
    <row r="119" spans="1:14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156</v>
      </c>
      <c r="G119" s="656">
        <f>SUM(G95,G96,G97,G99,G100)</f>
        <v>156</v>
      </c>
      <c r="H119" s="653">
        <f>SUM(G119+'[3]1'!G98)</f>
        <v>223</v>
      </c>
      <c r="I119" s="655"/>
      <c r="J119" s="680">
        <f>H119/DAY(B2)</f>
        <v>27.875</v>
      </c>
      <c r="N119" s="410"/>
    </row>
    <row r="120" spans="1:14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96</v>
      </c>
      <c r="G120" s="654">
        <f>SUM(G112)</f>
        <v>96</v>
      </c>
      <c r="H120" s="653">
        <f>SUM(G120+'[3]1'!G100)</f>
        <v>96</v>
      </c>
      <c r="I120" s="655"/>
      <c r="J120" s="680">
        <f>H120/DAY(B2)</f>
        <v>12</v>
      </c>
      <c r="N120" s="410"/>
    </row>
    <row r="121" spans="1:14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N121" s="410"/>
    </row>
    <row r="122" spans="1:14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410"/>
    </row>
    <row r="123" spans="1:14" ht="27.75" x14ac:dyDescent="0.5">
      <c r="A123" s="1354" t="s">
        <v>257</v>
      </c>
      <c r="B123" s="1355"/>
      <c r="C123" s="1355"/>
      <c r="D123" s="643" t="s">
        <v>168</v>
      </c>
      <c r="E123" s="598">
        <f>'[3]7'!F123</f>
        <v>790246.5</v>
      </c>
      <c r="F123" s="598">
        <v>790433.58</v>
      </c>
      <c r="G123" s="593">
        <f t="shared" ref="G123:G127" si="15">F123-E123</f>
        <v>187.07999999995809</v>
      </c>
      <c r="H123" s="580">
        <f>G123+'[3]7'!H123</f>
        <v>1602.5100000000093</v>
      </c>
      <c r="I123" s="646"/>
      <c r="J123" s="673">
        <f>H123/DAY(B2)</f>
        <v>200.31375000000116</v>
      </c>
      <c r="K123" s="408"/>
      <c r="L123" s="405"/>
      <c r="N123" s="410"/>
    </row>
    <row r="124" spans="1:14" ht="27.75" x14ac:dyDescent="0.5">
      <c r="A124" s="1354" t="s">
        <v>258</v>
      </c>
      <c r="B124" s="1355"/>
      <c r="C124" s="1355"/>
      <c r="D124" s="643" t="s">
        <v>168</v>
      </c>
      <c r="E124" s="747">
        <f>'[3]7'!F124</f>
        <v>73582</v>
      </c>
      <c r="F124" s="747">
        <v>73582</v>
      </c>
      <c r="G124" s="593">
        <f t="shared" si="15"/>
        <v>0</v>
      </c>
      <c r="H124" s="580">
        <f>G124+'[3]7'!H124</f>
        <v>-0.19999999999708962</v>
      </c>
      <c r="I124" s="646"/>
      <c r="J124" s="673">
        <f>H124/DAY(B2)</f>
        <v>-2.4999999999636202E-2</v>
      </c>
      <c r="K124" s="408"/>
      <c r="L124" s="405"/>
      <c r="N124" s="410"/>
    </row>
    <row r="125" spans="1:14" ht="27.75" x14ac:dyDescent="0.5">
      <c r="A125" s="1395" t="s">
        <v>259</v>
      </c>
      <c r="B125" s="1396"/>
      <c r="C125" s="1397"/>
      <c r="D125" s="643" t="s">
        <v>168</v>
      </c>
      <c r="E125" s="598">
        <f>'[3]7'!F125</f>
        <v>133724.37</v>
      </c>
      <c r="F125" s="598">
        <v>133802.04</v>
      </c>
      <c r="G125" s="593">
        <f t="shared" si="15"/>
        <v>77.670000000012806</v>
      </c>
      <c r="H125" s="580">
        <f>G125+'[3]7'!H125</f>
        <v>679.16000000000349</v>
      </c>
      <c r="I125" s="646"/>
      <c r="J125" s="673">
        <f>H125/DAY(B2)</f>
        <v>84.895000000000437</v>
      </c>
      <c r="K125" s="408"/>
      <c r="L125" s="405"/>
      <c r="N125" s="410"/>
    </row>
    <row r="126" spans="1:14" ht="27.75" x14ac:dyDescent="0.5">
      <c r="A126" s="730" t="s">
        <v>260</v>
      </c>
      <c r="B126" s="1355"/>
      <c r="C126" s="1355"/>
      <c r="D126" s="643" t="s">
        <v>168</v>
      </c>
      <c r="E126" s="605">
        <f>'[3]7'!F126</f>
        <v>56542.3</v>
      </c>
      <c r="F126" s="605">
        <v>56564.4</v>
      </c>
      <c r="G126" s="593">
        <f t="shared" si="15"/>
        <v>22.099999999998545</v>
      </c>
      <c r="H126" s="580">
        <f>G126+'[3]7'!H126</f>
        <v>216.20000000000437</v>
      </c>
      <c r="I126" s="646"/>
      <c r="J126" s="673">
        <f>H126/DAY(B2)</f>
        <v>27.025000000000546</v>
      </c>
      <c r="K126" s="408"/>
      <c r="L126" s="405"/>
      <c r="N126" s="410"/>
    </row>
    <row r="127" spans="1:14" ht="27.75" x14ac:dyDescent="0.5">
      <c r="A127" s="730" t="s">
        <v>261</v>
      </c>
      <c r="B127" s="1355"/>
      <c r="C127" s="1355"/>
      <c r="D127" s="643" t="s">
        <v>168</v>
      </c>
      <c r="E127" s="747">
        <f>'[3]7'!F127</f>
        <v>8640.1</v>
      </c>
      <c r="F127" s="747">
        <v>8640.1</v>
      </c>
      <c r="G127" s="593">
        <f t="shared" si="15"/>
        <v>0</v>
      </c>
      <c r="H127" s="580">
        <f>G127+'[3]7'!H127</f>
        <v>0</v>
      </c>
      <c r="I127" s="600"/>
      <c r="J127" s="673">
        <f>H127/DAY(B2)</f>
        <v>0</v>
      </c>
      <c r="K127" s="408"/>
      <c r="L127" s="405"/>
      <c r="N127" s="410"/>
    </row>
    <row r="128" spans="1:14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489.49000000011438</v>
      </c>
      <c r="H128" s="580"/>
      <c r="I128" s="600"/>
      <c r="J128" s="673"/>
      <c r="K128" s="388"/>
      <c r="L128" s="290"/>
      <c r="N128" s="410"/>
    </row>
    <row r="129" spans="1:14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410"/>
    </row>
    <row r="130" spans="1:14" ht="27.75" x14ac:dyDescent="0.5">
      <c r="A130" s="1354" t="s">
        <v>264</v>
      </c>
      <c r="B130" s="1355"/>
      <c r="C130" s="1355"/>
      <c r="D130" s="643" t="s">
        <v>265</v>
      </c>
      <c r="E130" s="604">
        <f>'[3]7'!F130</f>
        <v>0</v>
      </c>
      <c r="F130" s="598">
        <v>0</v>
      </c>
      <c r="G130" s="593">
        <f t="shared" ref="G130:G140" si="16">F130-E130</f>
        <v>0</v>
      </c>
      <c r="H130" s="580">
        <f>G130+'[3]7'!H130</f>
        <v>0</v>
      </c>
      <c r="I130" s="600"/>
      <c r="J130" s="673">
        <f>H130/DAY(B2)</f>
        <v>0</v>
      </c>
      <c r="N130" s="410"/>
    </row>
    <row r="131" spans="1:14" ht="27.75" x14ac:dyDescent="0.5">
      <c r="A131" s="1354" t="s">
        <v>266</v>
      </c>
      <c r="B131" s="1355"/>
      <c r="C131" s="1355"/>
      <c r="D131" s="643" t="s">
        <v>265</v>
      </c>
      <c r="E131" s="604">
        <f>'[3]7'!F131</f>
        <v>0</v>
      </c>
      <c r="F131" s="598">
        <v>0</v>
      </c>
      <c r="G131" s="593">
        <f t="shared" si="16"/>
        <v>0</v>
      </c>
      <c r="H131" s="580">
        <f>G131+'[3]7'!H131</f>
        <v>0</v>
      </c>
      <c r="I131" s="600"/>
      <c r="J131" s="673">
        <f>H131/DAY(B2)</f>
        <v>0</v>
      </c>
      <c r="N131" s="410"/>
    </row>
    <row r="132" spans="1:14" ht="27.75" x14ac:dyDescent="0.5">
      <c r="A132" s="1354" t="s">
        <v>267</v>
      </c>
      <c r="B132" s="1355"/>
      <c r="C132" s="1355"/>
      <c r="D132" s="643" t="s">
        <v>265</v>
      </c>
      <c r="E132" s="818">
        <f>'[3]7'!F132</f>
        <v>38877</v>
      </c>
      <c r="F132" s="747">
        <v>38877</v>
      </c>
      <c r="G132" s="593">
        <f t="shared" si="16"/>
        <v>0</v>
      </c>
      <c r="H132" s="580">
        <f>G132+'[3]7'!H132</f>
        <v>0</v>
      </c>
      <c r="I132" s="600"/>
      <c r="J132" s="673">
        <f>H132/DAY(B2)</f>
        <v>0</v>
      </c>
      <c r="N132" s="410"/>
    </row>
    <row r="133" spans="1:14" ht="27.75" x14ac:dyDescent="0.5">
      <c r="A133" s="1354" t="s">
        <v>268</v>
      </c>
      <c r="B133" s="1355"/>
      <c r="C133" s="1355"/>
      <c r="D133" s="643" t="s">
        <v>265</v>
      </c>
      <c r="E133" s="642">
        <f>'[3]7'!F133</f>
        <v>92.27</v>
      </c>
      <c r="F133" s="605">
        <v>116.22</v>
      </c>
      <c r="G133" s="593">
        <f t="shared" si="16"/>
        <v>23.950000000000003</v>
      </c>
      <c r="H133" s="580">
        <f>G133+'[3]7'!H133</f>
        <v>116.22</v>
      </c>
      <c r="I133" s="600">
        <f>G132+G133+G134+G135</f>
        <v>23.950000000000003</v>
      </c>
      <c r="J133" s="673">
        <f>H133/DAY(B2)</f>
        <v>14.5275</v>
      </c>
      <c r="N133" s="410"/>
    </row>
    <row r="134" spans="1:14" ht="27.75" x14ac:dyDescent="0.5">
      <c r="A134" s="1354" t="s">
        <v>269</v>
      </c>
      <c r="B134" s="1355"/>
      <c r="C134" s="1355"/>
      <c r="D134" s="643" t="s">
        <v>265</v>
      </c>
      <c r="E134" s="818">
        <f>'[3]7'!F134</f>
        <v>39735</v>
      </c>
      <c r="F134" s="747">
        <v>39735</v>
      </c>
      <c r="G134" s="593">
        <f t="shared" si="16"/>
        <v>0</v>
      </c>
      <c r="H134" s="580">
        <f>G134+'[3]7'!H134</f>
        <v>0</v>
      </c>
      <c r="I134" s="600"/>
      <c r="J134" s="673">
        <f>H134/DAY(B2)</f>
        <v>0</v>
      </c>
      <c r="N134" s="410"/>
    </row>
    <row r="135" spans="1:14" ht="27.75" x14ac:dyDescent="0.5">
      <c r="A135" s="1354" t="s">
        <v>270</v>
      </c>
      <c r="B135" s="1355"/>
      <c r="C135" s="1355"/>
      <c r="D135" s="643" t="s">
        <v>265</v>
      </c>
      <c r="E135" s="818">
        <f>'[3]7'!F135</f>
        <v>31793.09</v>
      </c>
      <c r="F135" s="747">
        <v>31793.09</v>
      </c>
      <c r="G135" s="593">
        <f t="shared" si="16"/>
        <v>0</v>
      </c>
      <c r="H135" s="580">
        <f>G135+'[3]7'!H135</f>
        <v>75.569999999999709</v>
      </c>
      <c r="I135" s="600"/>
      <c r="J135" s="673">
        <f>H135/DAY(B2)</f>
        <v>9.4462499999999636</v>
      </c>
      <c r="N135" s="410"/>
    </row>
    <row r="136" spans="1:14" ht="27.75" x14ac:dyDescent="0.5">
      <c r="A136" s="1354" t="s">
        <v>271</v>
      </c>
      <c r="B136" s="1355"/>
      <c r="C136" s="1355"/>
      <c r="D136" s="643" t="s">
        <v>265</v>
      </c>
      <c r="E136" s="662">
        <f>'[3]7'!F136</f>
        <v>21700.44</v>
      </c>
      <c r="F136" s="768">
        <v>21709.68</v>
      </c>
      <c r="G136" s="593">
        <f t="shared" si="16"/>
        <v>9.2400000000016007</v>
      </c>
      <c r="H136" s="580">
        <f>G136+'[3]7'!H136</f>
        <v>34.959999999999127</v>
      </c>
      <c r="I136" s="600">
        <f>G134+G135+G136</f>
        <v>9.2400000000016007</v>
      </c>
      <c r="J136" s="673">
        <f>H136/DAY(B2)</f>
        <v>4.3699999999998909</v>
      </c>
      <c r="N136" s="410"/>
    </row>
    <row r="137" spans="1:14" ht="27.75" x14ac:dyDescent="0.5">
      <c r="A137" s="1354" t="s">
        <v>272</v>
      </c>
      <c r="B137" s="1355"/>
      <c r="C137" s="1355"/>
      <c r="D137" s="643" t="s">
        <v>265</v>
      </c>
      <c r="E137" s="662">
        <f>'[3]7'!F137</f>
        <v>24932.51</v>
      </c>
      <c r="F137" s="768">
        <v>24932.51</v>
      </c>
      <c r="G137" s="593">
        <f t="shared" si="16"/>
        <v>0</v>
      </c>
      <c r="H137" s="580">
        <f>G137+'[3]7'!H137</f>
        <v>0</v>
      </c>
      <c r="I137" s="600"/>
      <c r="J137" s="673">
        <f>H137/DAY(B2)</f>
        <v>0</v>
      </c>
      <c r="N137" s="410"/>
    </row>
    <row r="138" spans="1:14" ht="27.75" x14ac:dyDescent="0.5">
      <c r="A138" s="1354" t="s">
        <v>273</v>
      </c>
      <c r="B138" s="1355"/>
      <c r="C138" s="1355"/>
      <c r="D138" s="643" t="s">
        <v>265</v>
      </c>
      <c r="E138" s="662">
        <f>'[3]7'!F138</f>
        <v>69982.929999999993</v>
      </c>
      <c r="F138" s="768">
        <v>69982.929999999993</v>
      </c>
      <c r="G138" s="593">
        <f t="shared" si="16"/>
        <v>0</v>
      </c>
      <c r="H138" s="580">
        <f>G138+'[3]7'!H138</f>
        <v>27.719999999986612</v>
      </c>
      <c r="I138" s="600">
        <f>G137+G138</f>
        <v>0</v>
      </c>
      <c r="J138" s="673">
        <f>H138/DAY(B2)</f>
        <v>3.4649999999983265</v>
      </c>
      <c r="N138" s="410"/>
    </row>
    <row r="139" spans="1:14" ht="27.75" x14ac:dyDescent="0.5">
      <c r="A139" s="1354" t="s">
        <v>274</v>
      </c>
      <c r="B139" s="1355"/>
      <c r="C139" s="1355"/>
      <c r="D139" s="643" t="s">
        <v>265</v>
      </c>
      <c r="E139" s="818">
        <f>'[3]7'!F139</f>
        <v>981.23</v>
      </c>
      <c r="F139" s="747">
        <v>986.54</v>
      </c>
      <c r="G139" s="593">
        <f t="shared" si="16"/>
        <v>5.3099999999999454</v>
      </c>
      <c r="H139" s="580">
        <f>G139+'[3]7'!H139</f>
        <v>45.009999999999991</v>
      </c>
      <c r="I139" s="663"/>
      <c r="J139" s="673">
        <f>H139/DAY(B2)</f>
        <v>5.6262499999999989</v>
      </c>
      <c r="N139" s="410"/>
    </row>
    <row r="140" spans="1:14" ht="27.75" x14ac:dyDescent="0.5">
      <c r="A140" s="1354" t="s">
        <v>275</v>
      </c>
      <c r="B140" s="1355"/>
      <c r="C140" s="1355"/>
      <c r="D140" s="643" t="s">
        <v>265</v>
      </c>
      <c r="E140" s="604">
        <f>'[3]7'!F140</f>
        <v>4156.9799999999996</v>
      </c>
      <c r="F140" s="598">
        <v>4156.9799999999996</v>
      </c>
      <c r="G140" s="593">
        <f t="shared" si="16"/>
        <v>0</v>
      </c>
      <c r="H140" s="580">
        <f>G140+'[3]7'!H140</f>
        <v>7.999999999992724E-2</v>
      </c>
      <c r="I140" s="663"/>
      <c r="J140" s="673">
        <f>H140/DAY(B2)</f>
        <v>9.9999999999909051E-3</v>
      </c>
      <c r="N140" s="410"/>
    </row>
    <row r="141" spans="1:14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410"/>
    </row>
    <row r="142" spans="1:14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4997.5899999999237</v>
      </c>
      <c r="H142" s="580">
        <f>G142+'[3]7'!H142</f>
        <v>40089.922999999901</v>
      </c>
      <c r="I142" s="600"/>
      <c r="J142" s="673">
        <f>H142/DAY(B2)</f>
        <v>5011.2403749999876</v>
      </c>
      <c r="K142" s="408"/>
      <c r="L142" s="405"/>
      <c r="N142" s="410"/>
    </row>
    <row r="143" spans="1:14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0.25748827863361967</v>
      </c>
      <c r="H143" s="580">
        <f>G143+'[3]7'!H143</f>
        <v>1.8836504745040035</v>
      </c>
      <c r="I143" s="665"/>
      <c r="J143" s="673">
        <f>H143/DAY(B2)</f>
        <v>0.23545630931300043</v>
      </c>
      <c r="K143" s="408"/>
      <c r="L143" s="405"/>
      <c r="N143" s="410"/>
    </row>
    <row r="144" spans="1:14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3950.7400000000016</v>
      </c>
      <c r="H144" s="580">
        <f>G144+'[3]7'!H144</f>
        <v>34278.339999999982</v>
      </c>
      <c r="I144" s="600"/>
      <c r="J144" s="673">
        <f>H144/DAY(B2)</f>
        <v>4284.7924999999977</v>
      </c>
      <c r="K144" s="408"/>
      <c r="L144" s="405"/>
      <c r="N144" s="410"/>
    </row>
    <row r="145" spans="1:14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0.2035519604307281</v>
      </c>
      <c r="H145" s="580">
        <f>G145+'[3]7'!H145</f>
        <v>1.7498393382359116</v>
      </c>
      <c r="I145" s="665"/>
      <c r="J145" s="673">
        <f>H145/DAY(B2)</f>
        <v>0.21872991727948896</v>
      </c>
      <c r="K145" s="408"/>
      <c r="L145" s="405"/>
      <c r="N145" s="410"/>
    </row>
    <row r="146" spans="1:14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4105.0699999999924</v>
      </c>
      <c r="H146" s="580">
        <f>G146+'[3]7'!H146</f>
        <v>33616.532999999996</v>
      </c>
      <c r="I146" s="666"/>
      <c r="J146" s="673">
        <f>H146/DAY(B2)</f>
        <v>4202.0666249999995</v>
      </c>
      <c r="K146" s="408"/>
      <c r="L146" s="405"/>
      <c r="N146" s="410"/>
    </row>
    <row r="147" spans="1:14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0.21150342624555579</v>
      </c>
      <c r="H147" s="580">
        <f>G147+'[3]7'!H147</f>
        <v>1.7151531307292371</v>
      </c>
      <c r="I147" s="666"/>
      <c r="J147" s="673">
        <f>H147/DAY(B2)</f>
        <v>0.21439414134115464</v>
      </c>
      <c r="N147" s="410"/>
    </row>
    <row r="148" spans="1:14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2140.2799999999697</v>
      </c>
      <c r="H148" s="580">
        <f>G148+'[3]7'!H148</f>
        <v>15218.559999999998</v>
      </c>
      <c r="I148" s="600"/>
      <c r="J148" s="673">
        <f>H148/DAY(B2)</f>
        <v>1902.3199999999997</v>
      </c>
      <c r="K148" s="409"/>
      <c r="N148" s="410"/>
    </row>
    <row r="149" spans="1:14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0.11027255396980626</v>
      </c>
      <c r="H149" s="580">
        <f>G149+'[3]7'!H149</f>
        <v>0.77613988198449158</v>
      </c>
      <c r="I149" s="666"/>
      <c r="J149" s="673">
        <f>H149/DAY(B2)</f>
        <v>9.7017485248061447E-2</v>
      </c>
      <c r="N149" s="410"/>
    </row>
    <row r="150" spans="1:14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2016.9400000000023</v>
      </c>
      <c r="H150" s="580">
        <f>G150+'[3]7'!H150</f>
        <v>17504.359999999928</v>
      </c>
      <c r="I150" s="666"/>
      <c r="J150" s="673">
        <f>H150/DAY(B2)</f>
        <v>2188.044999999991</v>
      </c>
      <c r="N150" s="410"/>
    </row>
    <row r="151" spans="1:14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0.10391777010665168</v>
      </c>
      <c r="H151" s="580">
        <f>G151+'[3]7'!H151</f>
        <v>0.88928164023079947</v>
      </c>
      <c r="I151" s="600"/>
      <c r="J151" s="673">
        <f>H151/DAY(B2)</f>
        <v>0.11116020502884993</v>
      </c>
      <c r="N151" s="410"/>
    </row>
    <row r="152" spans="1:14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1480.2100000000028</v>
      </c>
      <c r="H152" s="580">
        <f>G152+'[3]7'!H152</f>
        <v>11530.823</v>
      </c>
      <c r="I152" s="600"/>
      <c r="J152" s="673">
        <f>H152/DAY(B2)</f>
        <v>1441.352875</v>
      </c>
      <c r="N152" s="410"/>
    </row>
    <row r="153" spans="1:14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7.626410428151903E-2</v>
      </c>
      <c r="H153" s="580">
        <f>G153+'[3]7'!H153</f>
        <v>0.58833625537860734</v>
      </c>
      <c r="I153" s="689"/>
      <c r="J153" s="690">
        <f>H153/DAY(B2)</f>
        <v>7.3542031922325918E-2</v>
      </c>
      <c r="N153" s="410"/>
    </row>
    <row r="154" spans="1:14" x14ac:dyDescent="0.5">
      <c r="A154" s="586"/>
      <c r="B154" s="576"/>
      <c r="C154" s="576"/>
      <c r="D154" s="667"/>
      <c r="E154" s="667"/>
      <c r="F154" s="779"/>
      <c r="G154" s="667"/>
      <c r="H154" s="668"/>
      <c r="I154" s="667"/>
      <c r="J154" s="669"/>
      <c r="N154" s="410"/>
    </row>
    <row r="157" spans="1:14" ht="27.75" x14ac:dyDescent="0.5">
      <c r="A157" s="1457" t="s">
        <v>294</v>
      </c>
      <c r="B157" s="1458"/>
      <c r="C157" s="1458"/>
      <c r="D157" s="1458"/>
      <c r="E157" s="1458"/>
      <c r="F157" s="1458"/>
      <c r="G157" s="1459"/>
    </row>
    <row r="158" spans="1:14" x14ac:dyDescent="0.5">
      <c r="A158" s="925"/>
      <c r="B158" s="926"/>
      <c r="C158" s="926"/>
      <c r="D158" s="631"/>
      <c r="E158" s="575"/>
      <c r="F158" s="775"/>
      <c r="G158" s="593"/>
    </row>
    <row r="159" spans="1:14" x14ac:dyDescent="0.5">
      <c r="A159" s="925"/>
      <c r="B159" s="926"/>
      <c r="C159" s="926"/>
      <c r="D159" s="631"/>
      <c r="E159" s="575"/>
      <c r="F159" s="775"/>
      <c r="G159" s="593"/>
    </row>
    <row r="160" spans="1:14" x14ac:dyDescent="0.5">
      <c r="A160" s="925" t="s">
        <v>289</v>
      </c>
      <c r="B160" s="926"/>
      <c r="C160" s="926"/>
      <c r="D160" s="631" t="s">
        <v>214</v>
      </c>
      <c r="E160" s="775">
        <f>'[3]7'!F160</f>
        <v>24349.35</v>
      </c>
      <c r="F160" s="775">
        <v>24419.75</v>
      </c>
      <c r="G160" s="593">
        <f t="shared" ref="G160:G171" si="17">F160-E160</f>
        <v>70.400000000001455</v>
      </c>
      <c r="H160" s="659">
        <v>72.86699999999837</v>
      </c>
      <c r="I160" s="660">
        <f>G160-H160</f>
        <v>-2.466999999996915</v>
      </c>
    </row>
    <row r="161" spans="1:9" x14ac:dyDescent="0.5">
      <c r="A161" s="925" t="s">
        <v>290</v>
      </c>
      <c r="B161" s="926"/>
      <c r="C161" s="926"/>
      <c r="D161" s="631" t="s">
        <v>214</v>
      </c>
      <c r="E161" s="775">
        <f>'[3]7'!F161</f>
        <v>15154.88</v>
      </c>
      <c r="F161" s="775">
        <v>15825.27</v>
      </c>
      <c r="G161" s="593">
        <f t="shared" si="17"/>
        <v>670.39000000000124</v>
      </c>
      <c r="H161" s="659">
        <v>115.86999999999898</v>
      </c>
      <c r="I161" s="660">
        <f t="shared" ref="I161:I171" si="18">G161-H161</f>
        <v>554.52000000000226</v>
      </c>
    </row>
    <row r="162" spans="1:9" x14ac:dyDescent="0.5">
      <c r="A162" s="925" t="s">
        <v>291</v>
      </c>
      <c r="B162" s="926"/>
      <c r="C162" s="926"/>
      <c r="D162" s="631" t="s">
        <v>214</v>
      </c>
      <c r="E162" s="775">
        <f>'[3]7'!F162</f>
        <v>39410.160000000003</v>
      </c>
      <c r="F162" s="775">
        <v>39642.68</v>
      </c>
      <c r="G162" s="593">
        <f t="shared" si="17"/>
        <v>232.5199999999968</v>
      </c>
      <c r="H162" s="659">
        <v>184.81999999999971</v>
      </c>
      <c r="I162" s="660">
        <f t="shared" si="18"/>
        <v>47.69999999999709</v>
      </c>
    </row>
    <row r="163" spans="1:9" x14ac:dyDescent="0.5">
      <c r="A163" s="925" t="s">
        <v>292</v>
      </c>
      <c r="B163" s="926"/>
      <c r="C163" s="926"/>
      <c r="D163" s="631" t="s">
        <v>214</v>
      </c>
      <c r="E163" s="775">
        <f>'[3]7'!F163</f>
        <v>3714.4</v>
      </c>
      <c r="F163" s="775">
        <v>3737.75</v>
      </c>
      <c r="G163" s="593">
        <f t="shared" si="17"/>
        <v>23.349999999999909</v>
      </c>
      <c r="H163" s="659">
        <v>17.309999999999945</v>
      </c>
      <c r="I163" s="660">
        <f t="shared" si="18"/>
        <v>6.0399999999999636</v>
      </c>
    </row>
    <row r="164" spans="1:9" x14ac:dyDescent="0.4">
      <c r="A164" s="927" t="s">
        <v>121</v>
      </c>
      <c r="B164" s="725"/>
      <c r="C164" s="725"/>
      <c r="D164" s="631" t="s">
        <v>214</v>
      </c>
      <c r="E164" s="775">
        <f>'[3]7'!F164</f>
        <v>20419</v>
      </c>
      <c r="F164" s="634">
        <f>F62</f>
        <v>20419</v>
      </c>
      <c r="G164" s="593">
        <f t="shared" si="17"/>
        <v>0</v>
      </c>
      <c r="H164" s="659">
        <v>0</v>
      </c>
      <c r="I164" s="660">
        <f t="shared" si="18"/>
        <v>0</v>
      </c>
    </row>
    <row r="165" spans="1:9" x14ac:dyDescent="0.4">
      <c r="A165" s="927" t="s">
        <v>215</v>
      </c>
      <c r="B165" s="725"/>
      <c r="C165" s="725"/>
      <c r="D165" s="631" t="s">
        <v>214</v>
      </c>
      <c r="E165" s="775">
        <f>'[3]7'!F165</f>
        <v>966.57</v>
      </c>
      <c r="F165" s="634">
        <f t="shared" ref="F165:F171" si="19">F63</f>
        <v>979.29</v>
      </c>
      <c r="G165" s="593">
        <f t="shared" si="17"/>
        <v>12.719999999999914</v>
      </c>
      <c r="H165" s="659">
        <v>-0.47999999999956344</v>
      </c>
      <c r="I165" s="660">
        <f t="shared" si="18"/>
        <v>13.199999999999477</v>
      </c>
    </row>
    <row r="166" spans="1:9" ht="21.75" customHeight="1" x14ac:dyDescent="0.5">
      <c r="A166" s="1320" t="s">
        <v>122</v>
      </c>
      <c r="B166" s="1320"/>
      <c r="C166" s="1320"/>
      <c r="D166" s="643" t="s">
        <v>214</v>
      </c>
      <c r="E166" s="775">
        <f>'[3]7'!F166</f>
        <v>89266.99</v>
      </c>
      <c r="F166" s="634">
        <f t="shared" si="19"/>
        <v>89633.48</v>
      </c>
      <c r="G166" s="593">
        <f t="shared" si="17"/>
        <v>366.48999999999069</v>
      </c>
      <c r="H166" s="659">
        <v>271.15200000000186</v>
      </c>
      <c r="I166" s="660">
        <f t="shared" si="18"/>
        <v>95.337999999988824</v>
      </c>
    </row>
    <row r="167" spans="1:9" ht="21.75" customHeight="1" x14ac:dyDescent="0.5">
      <c r="A167" s="1320" t="s">
        <v>123</v>
      </c>
      <c r="B167" s="1320"/>
      <c r="C167" s="1320"/>
      <c r="D167" s="643" t="s">
        <v>214</v>
      </c>
      <c r="E167" s="775">
        <f>'[3]7'!F167</f>
        <v>99436.99</v>
      </c>
      <c r="F167" s="634">
        <f t="shared" si="19"/>
        <v>99819.76</v>
      </c>
      <c r="G167" s="593">
        <f t="shared" si="17"/>
        <v>382.76999999998952</v>
      </c>
      <c r="H167" s="659">
        <v>372.92000000001281</v>
      </c>
      <c r="I167" s="660">
        <f t="shared" si="18"/>
        <v>9.8499999999767169</v>
      </c>
    </row>
    <row r="168" spans="1:9" ht="21.75" customHeight="1" x14ac:dyDescent="0.5">
      <c r="A168" s="1320" t="s">
        <v>124</v>
      </c>
      <c r="B168" s="1320"/>
      <c r="C168" s="1320"/>
      <c r="D168" s="643" t="s">
        <v>214</v>
      </c>
      <c r="E168" s="775">
        <f>'[3]7'!F168</f>
        <v>92743.51</v>
      </c>
      <c r="F168" s="634">
        <f t="shared" si="19"/>
        <v>93144.78</v>
      </c>
      <c r="G168" s="593">
        <f t="shared" si="17"/>
        <v>401.27000000000407</v>
      </c>
      <c r="H168" s="659">
        <v>384.8520000000135</v>
      </c>
      <c r="I168" s="660">
        <f>G168-H168</f>
        <v>16.41799999999057</v>
      </c>
    </row>
    <row r="169" spans="1:9" ht="12.75" customHeight="1" x14ac:dyDescent="0.5">
      <c r="A169" s="1320" t="s">
        <v>125</v>
      </c>
      <c r="B169" s="1320"/>
      <c r="C169" s="1320"/>
      <c r="D169" s="643" t="s">
        <v>214</v>
      </c>
      <c r="E169" s="775">
        <f>'[3]7'!F169</f>
        <v>151119.51</v>
      </c>
      <c r="F169" s="634">
        <f t="shared" si="19"/>
        <v>151852.29999999999</v>
      </c>
      <c r="G169" s="593">
        <f t="shared" si="17"/>
        <v>732.78999999997905</v>
      </c>
      <c r="H169" s="659">
        <v>451.52000000000407</v>
      </c>
      <c r="I169" s="660">
        <f t="shared" si="18"/>
        <v>281.26999999997497</v>
      </c>
    </row>
    <row r="170" spans="1:9" ht="24" customHeight="1" x14ac:dyDescent="0.5">
      <c r="A170" s="1320" t="s">
        <v>126</v>
      </c>
      <c r="B170" s="1320"/>
      <c r="C170" s="1320"/>
      <c r="D170" s="643" t="s">
        <v>214</v>
      </c>
      <c r="E170" s="775">
        <f>'[3]7'!F170</f>
        <v>45753.05</v>
      </c>
      <c r="F170" s="634">
        <f t="shared" si="19"/>
        <v>46071.49</v>
      </c>
      <c r="G170" s="593">
        <f t="shared" si="17"/>
        <v>318.43999999999505</v>
      </c>
      <c r="H170" s="659">
        <v>264.56499999999869</v>
      </c>
      <c r="I170" s="660">
        <f t="shared" si="18"/>
        <v>53.874999999996362</v>
      </c>
    </row>
    <row r="171" spans="1:9" ht="27.75" x14ac:dyDescent="0.5">
      <c r="A171" s="1320" t="s">
        <v>127</v>
      </c>
      <c r="B171" s="1320"/>
      <c r="C171" s="1320"/>
      <c r="D171" s="643" t="s">
        <v>214</v>
      </c>
      <c r="E171" s="775">
        <f>'[3]7'!F171</f>
        <v>39584.129999999997</v>
      </c>
      <c r="F171" s="634">
        <f t="shared" si="19"/>
        <v>39878.67</v>
      </c>
      <c r="G171" s="593">
        <f t="shared" si="17"/>
        <v>294.54000000000087</v>
      </c>
      <c r="H171" s="659">
        <v>137.0779999999977</v>
      </c>
      <c r="I171" s="660">
        <f t="shared" si="18"/>
        <v>157.46200000000317</v>
      </c>
    </row>
    <row r="176" spans="1:9" ht="18.75" customHeight="1" x14ac:dyDescent="0.5"/>
    <row r="184" ht="20.25" customHeight="1" x14ac:dyDescent="0.5"/>
    <row r="185" ht="20.25" customHeight="1" x14ac:dyDescent="0.5"/>
  </sheetData>
  <mergeCells count="69">
    <mergeCell ref="A157:G157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topLeftCell="A10" zoomScale="55" zoomScaleNormal="80" zoomScaleSheetLayoutView="55" workbookViewId="0">
      <selection activeCell="A10" sqref="A1:XFD1048576"/>
    </sheetView>
  </sheetViews>
  <sheetFormatPr defaultColWidth="22.33203125" defaultRowHeight="29.25" x14ac:dyDescent="0.5"/>
  <cols>
    <col min="1" max="1" width="42.88671875" style="574" customWidth="1"/>
    <col min="2" max="2" width="31.77734375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0.6640625" style="404" bestFit="1" customWidth="1"/>
    <col min="15" max="16384" width="22.33203125" style="404"/>
  </cols>
  <sheetData>
    <row r="1" spans="1:14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4" s="278" customFormat="1" ht="27" x14ac:dyDescent="0.5">
      <c r="A2" s="696" t="s">
        <v>297</v>
      </c>
      <c r="B2" s="1173">
        <v>44174</v>
      </c>
      <c r="C2" s="1361" t="s">
        <v>84</v>
      </c>
      <c r="D2" s="732">
        <v>0.5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  <c r="N2" s="278" t="s">
        <v>145</v>
      </c>
    </row>
    <row r="3" spans="1:14" s="278" customFormat="1" ht="27" x14ac:dyDescent="0.5">
      <c r="A3" s="691"/>
      <c r="B3" s="735"/>
      <c r="C3" s="1361" t="s">
        <v>147</v>
      </c>
      <c r="D3" s="733">
        <v>30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4" s="278" customFormat="1" ht="27" x14ac:dyDescent="0.5">
      <c r="A4" s="697"/>
      <c r="B4" s="737"/>
      <c r="C4" s="1361" t="s">
        <v>149</v>
      </c>
      <c r="D4" s="732">
        <v>0.8</v>
      </c>
      <c r="E4" s="584"/>
      <c r="F4" s="584"/>
      <c r="G4" s="584"/>
      <c r="H4" s="584"/>
      <c r="I4" s="585"/>
      <c r="J4" s="736"/>
      <c r="K4" s="400"/>
      <c r="L4" s="290"/>
    </row>
    <row r="5" spans="1:14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  <c r="N5" s="404" t="s">
        <v>153</v>
      </c>
    </row>
    <row r="6" spans="1:14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4" ht="30" thickBot="1" x14ac:dyDescent="0.45">
      <c r="A7" s="793" t="s">
        <v>158</v>
      </c>
      <c r="B7" s="794"/>
      <c r="C7" s="794"/>
      <c r="D7" s="759" t="s">
        <v>159</v>
      </c>
      <c r="E7" s="754">
        <f>'[1]8'!F7</f>
        <v>2825312</v>
      </c>
      <c r="F7" s="575">
        <v>2847015</v>
      </c>
      <c r="G7" s="795">
        <f>F7-E7</f>
        <v>21703</v>
      </c>
      <c r="H7" s="796">
        <f>G7+'[1]8'!H7</f>
        <v>178570</v>
      </c>
      <c r="I7" s="797">
        <f>'[1]1'!I7</f>
        <v>12000</v>
      </c>
      <c r="J7" s="798">
        <f>H7/DAY(B2)</f>
        <v>19841.111111111109</v>
      </c>
      <c r="K7" s="670"/>
      <c r="L7" s="405"/>
      <c r="N7" s="410">
        <v>11359</v>
      </c>
    </row>
    <row r="8" spans="1:14" ht="27.75" thickBot="1" x14ac:dyDescent="0.45">
      <c r="A8" s="799" t="s">
        <v>160</v>
      </c>
      <c r="B8" s="800"/>
      <c r="C8" s="801"/>
      <c r="D8" s="802" t="s">
        <v>39</v>
      </c>
      <c r="E8" s="754">
        <f>'[1]8'!F8</f>
        <v>2841620</v>
      </c>
      <c r="F8" s="595">
        <v>2863467</v>
      </c>
      <c r="G8" s="806">
        <f>F8-E8</f>
        <v>21847</v>
      </c>
      <c r="H8" s="796">
        <f>G8+'[1]8'!H8</f>
        <v>180428</v>
      </c>
      <c r="I8" s="803">
        <v>12000</v>
      </c>
      <c r="J8" s="798">
        <f>H8/DAY(B2)</f>
        <v>20047.555555555555</v>
      </c>
      <c r="K8" s="670"/>
      <c r="L8" s="460"/>
      <c r="M8" s="522"/>
      <c r="N8" s="410">
        <v>11487</v>
      </c>
    </row>
    <row r="9" spans="1:14" x14ac:dyDescent="0.4">
      <c r="A9" s="804" t="s">
        <v>161</v>
      </c>
      <c r="B9" s="805"/>
      <c r="C9" s="805"/>
      <c r="D9" s="759" t="s">
        <v>159</v>
      </c>
      <c r="E9" s="754">
        <f>'[1]8'!F9</f>
        <v>2300274.9</v>
      </c>
      <c r="F9" s="598">
        <v>2308429.5</v>
      </c>
      <c r="G9" s="819">
        <f t="shared" ref="G9:G12" si="0">F9-E9</f>
        <v>8154.6000000000931</v>
      </c>
      <c r="H9" s="796">
        <f>G9+'[1]8'!H9</f>
        <v>51393</v>
      </c>
      <c r="I9" s="807">
        <f>I7-J7</f>
        <v>-7841.1111111111095</v>
      </c>
      <c r="J9" s="798">
        <f>H9/DAY(B2)</f>
        <v>5710.333333333333</v>
      </c>
      <c r="K9" s="508"/>
      <c r="L9" s="405"/>
      <c r="N9" s="410">
        <v>11077</v>
      </c>
    </row>
    <row r="10" spans="1:14" x14ac:dyDescent="0.4">
      <c r="A10" s="793" t="s">
        <v>162</v>
      </c>
      <c r="B10" s="794"/>
      <c r="C10" s="794"/>
      <c r="D10" s="759" t="s">
        <v>159</v>
      </c>
      <c r="E10" s="754">
        <f>'[1]8'!F10</f>
        <v>410971.63</v>
      </c>
      <c r="F10" s="598">
        <v>423712.19</v>
      </c>
      <c r="G10" s="806">
        <f t="shared" si="0"/>
        <v>12740.559999999998</v>
      </c>
      <c r="H10" s="796">
        <f>G10+'[1]8'!H10</f>
        <v>120761.90000000002</v>
      </c>
      <c r="I10" s="808"/>
      <c r="J10" s="798">
        <f>H10/DAY(B2)</f>
        <v>13417.988888888891</v>
      </c>
      <c r="K10" s="508"/>
      <c r="L10" s="405"/>
      <c r="N10" s="410">
        <v>0</v>
      </c>
    </row>
    <row r="11" spans="1:14" x14ac:dyDescent="0.4">
      <c r="A11" s="793" t="s">
        <v>163</v>
      </c>
      <c r="B11" s="794"/>
      <c r="C11" s="794"/>
      <c r="D11" s="759" t="s">
        <v>159</v>
      </c>
      <c r="E11" s="754">
        <f>'[1]8'!F11</f>
        <v>35390</v>
      </c>
      <c r="F11" s="575">
        <v>35390</v>
      </c>
      <c r="G11" s="806">
        <f t="shared" si="0"/>
        <v>0</v>
      </c>
      <c r="H11" s="796">
        <f>G11+'[1]8'!H11</f>
        <v>0</v>
      </c>
      <c r="I11" s="808"/>
      <c r="J11" s="798">
        <f>H11/DAY(B2)</f>
        <v>0</v>
      </c>
      <c r="K11" s="508"/>
      <c r="L11" s="405"/>
      <c r="N11" s="410">
        <v>0</v>
      </c>
    </row>
    <row r="12" spans="1:14" x14ac:dyDescent="0.4">
      <c r="A12" s="793" t="s">
        <v>164</v>
      </c>
      <c r="B12" s="794"/>
      <c r="C12" s="794"/>
      <c r="D12" s="759" t="s">
        <v>159</v>
      </c>
      <c r="E12" s="754">
        <f>'[1]8'!F12</f>
        <v>37630</v>
      </c>
      <c r="F12" s="598">
        <v>37630</v>
      </c>
      <c r="G12" s="806">
        <f t="shared" si="0"/>
        <v>0</v>
      </c>
      <c r="H12" s="796">
        <f>G12+'[1]8'!H12</f>
        <v>0</v>
      </c>
      <c r="I12" s="808"/>
      <c r="J12" s="798">
        <f>H12/DAY(B2)</f>
        <v>0</v>
      </c>
      <c r="K12" s="508"/>
      <c r="L12" s="405"/>
      <c r="N12" s="410">
        <v>0</v>
      </c>
    </row>
    <row r="13" spans="1:14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20895.160000000091</v>
      </c>
      <c r="H13" s="796">
        <f>G13+'[1]8'!H13</f>
        <v>172154.90000000002</v>
      </c>
      <c r="I13" s="812">
        <f>G7-G13</f>
        <v>807.8399999999092</v>
      </c>
      <c r="J13" s="798">
        <f>H13/DAY(B2)</f>
        <v>19128.322222222225</v>
      </c>
      <c r="K13" s="508"/>
      <c r="L13" s="405"/>
      <c r="N13" s="410">
        <v>11077</v>
      </c>
    </row>
    <row r="14" spans="1:14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410"/>
    </row>
    <row r="15" spans="1:14" x14ac:dyDescent="0.5">
      <c r="A15" s="782" t="s">
        <v>167</v>
      </c>
      <c r="B15" s="783"/>
      <c r="C15" s="783"/>
      <c r="D15" s="784" t="s">
        <v>168</v>
      </c>
      <c r="E15" s="785">
        <f>'[1]8'!F15</f>
        <v>1552095.34</v>
      </c>
      <c r="F15" s="817">
        <v>1552915.93</v>
      </c>
      <c r="G15" s="781">
        <f>(F15-E15)</f>
        <v>820.58999999985099</v>
      </c>
      <c r="H15" s="787">
        <f>G15+'[1]8'!H15</f>
        <v>6018.3289999999106</v>
      </c>
      <c r="I15" s="788">
        <v>800</v>
      </c>
      <c r="J15" s="1290">
        <f>H15/DAY(B2)</f>
        <v>668.70322222221228</v>
      </c>
      <c r="K15" s="508"/>
      <c r="L15" s="405"/>
      <c r="N15" s="410">
        <v>330.54600000008941</v>
      </c>
    </row>
    <row r="16" spans="1:14" x14ac:dyDescent="0.4">
      <c r="A16" s="790"/>
      <c r="B16" s="791"/>
      <c r="C16" s="791"/>
      <c r="D16" s="784"/>
      <c r="E16" s="785"/>
      <c r="F16" s="817"/>
      <c r="G16" s="786"/>
      <c r="H16" s="787"/>
      <c r="I16" s="792">
        <f>I15-J15</f>
        <v>131.29677777778772</v>
      </c>
      <c r="J16" s="789"/>
      <c r="K16" s="508"/>
      <c r="L16" s="405"/>
      <c r="N16" s="410"/>
    </row>
    <row r="17" spans="1:14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410"/>
    </row>
    <row r="18" spans="1:14" ht="27.75" x14ac:dyDescent="0.5">
      <c r="A18" s="1460" t="s">
        <v>170</v>
      </c>
      <c r="B18" s="1461"/>
      <c r="C18" s="1462"/>
      <c r="D18" s="759" t="s">
        <v>171</v>
      </c>
      <c r="E18" s="756">
        <f>'[1]8'!F18</f>
        <v>16</v>
      </c>
      <c r="F18" s="598">
        <v>16</v>
      </c>
      <c r="G18" s="811">
        <f>F18*10</f>
        <v>160</v>
      </c>
      <c r="H18" s="796">
        <f>G18+'[1]8'!H18</f>
        <v>1060</v>
      </c>
      <c r="I18" s="797">
        <v>65</v>
      </c>
      <c r="J18" s="798">
        <f>H18/DAY(B2)</f>
        <v>117.77777777777777</v>
      </c>
      <c r="K18" s="508"/>
      <c r="L18" s="405"/>
      <c r="N18" s="410">
        <v>0</v>
      </c>
    </row>
    <row r="19" spans="1:14" ht="27.75" x14ac:dyDescent="0.5">
      <c r="A19" s="1460" t="s">
        <v>86</v>
      </c>
      <c r="B19" s="1461"/>
      <c r="C19" s="1462"/>
      <c r="D19" s="759" t="s">
        <v>171</v>
      </c>
      <c r="E19" s="756">
        <f>'[1]8'!F19</f>
        <v>130233</v>
      </c>
      <c r="F19" s="598">
        <v>130285</v>
      </c>
      <c r="G19" s="806">
        <f t="shared" ref="G19" si="1">F19-E19</f>
        <v>52</v>
      </c>
      <c r="H19" s="796">
        <f>G19+'[1]8'!H19</f>
        <v>484</v>
      </c>
      <c r="I19" s="813"/>
      <c r="J19" s="798">
        <f>H19/DAY(B2)</f>
        <v>53.777777777777779</v>
      </c>
      <c r="K19" s="508"/>
      <c r="L19" s="405"/>
      <c r="N19" s="410">
        <v>55</v>
      </c>
    </row>
    <row r="20" spans="1:14" x14ac:dyDescent="0.5">
      <c r="A20" s="809" t="s">
        <v>172</v>
      </c>
      <c r="B20" s="810"/>
      <c r="C20" s="810"/>
      <c r="D20" s="759"/>
      <c r="E20" s="759"/>
      <c r="F20" s="644"/>
      <c r="G20" s="814">
        <f>G18+G19</f>
        <v>212</v>
      </c>
      <c r="H20" s="796">
        <f>G20+'[1]8'!H20</f>
        <v>1544</v>
      </c>
      <c r="I20" s="815">
        <f>I18-J20</f>
        <v>-106.55555555555554</v>
      </c>
      <c r="J20" s="798">
        <f>H20/DAY(B2)</f>
        <v>171.55555555555554</v>
      </c>
      <c r="K20" s="508"/>
      <c r="L20" s="405"/>
      <c r="N20" s="410">
        <v>55</v>
      </c>
    </row>
    <row r="21" spans="1:14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410"/>
    </row>
    <row r="22" spans="1:14" x14ac:dyDescent="0.5">
      <c r="A22" s="1354" t="s">
        <v>174</v>
      </c>
      <c r="B22" s="710"/>
      <c r="C22" s="710"/>
      <c r="D22" s="643" t="s">
        <v>175</v>
      </c>
      <c r="E22" s="756">
        <f>'[1]8'!F22</f>
        <v>2250</v>
      </c>
      <c r="F22" s="598">
        <v>2250</v>
      </c>
      <c r="G22" s="601">
        <f t="shared" ref="G22" si="2">(F22-E22)</f>
        <v>0</v>
      </c>
      <c r="H22" s="580">
        <f>G22+'[1]8'!H22</f>
        <v>0</v>
      </c>
      <c r="I22" s="600"/>
      <c r="J22" s="673">
        <f>H22/DAY(B2)</f>
        <v>0</v>
      </c>
      <c r="K22" s="508"/>
      <c r="L22" s="405"/>
      <c r="N22" s="410">
        <v>0</v>
      </c>
    </row>
    <row r="23" spans="1:14" x14ac:dyDescent="0.5">
      <c r="A23" s="1354" t="s">
        <v>176</v>
      </c>
      <c r="B23" s="710"/>
      <c r="C23" s="710"/>
      <c r="D23" s="643" t="s">
        <v>175</v>
      </c>
      <c r="E23" s="756">
        <f>'[1]8'!F23</f>
        <v>2000</v>
      </c>
      <c r="F23" s="598">
        <v>2000</v>
      </c>
      <c r="G23" s="601">
        <v>0</v>
      </c>
      <c r="H23" s="580">
        <f>G23+'[1]8'!H23</f>
        <v>0</v>
      </c>
      <c r="I23" s="600"/>
      <c r="J23" s="673">
        <f>H23/DAY(B2)</f>
        <v>0</v>
      </c>
      <c r="K23" s="508"/>
      <c r="L23" s="405"/>
      <c r="N23" s="410">
        <v>0</v>
      </c>
    </row>
    <row r="24" spans="1:14" x14ac:dyDescent="0.4">
      <c r="A24" s="711" t="s">
        <v>177</v>
      </c>
      <c r="B24" s="712"/>
      <c r="C24" s="712"/>
      <c r="D24" s="631" t="s">
        <v>175</v>
      </c>
      <c r="E24" s="613">
        <f>'[1]7'!F24</f>
        <v>4250</v>
      </c>
      <c r="F24" s="605">
        <v>4250</v>
      </c>
      <c r="G24" s="601">
        <v>0</v>
      </c>
      <c r="H24" s="580">
        <f>G24+'[1]8'!H24</f>
        <v>0</v>
      </c>
      <c r="I24" s="600"/>
      <c r="J24" s="673">
        <f>H24/DAY(B2)</f>
        <v>0</v>
      </c>
      <c r="K24" s="508"/>
      <c r="L24" s="405"/>
      <c r="N24" s="410">
        <v>0</v>
      </c>
    </row>
    <row r="25" spans="1:14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410"/>
    </row>
    <row r="26" spans="1:14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N26" s="410"/>
    </row>
    <row r="27" spans="1:14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21847</v>
      </c>
      <c r="F27" s="621">
        <v>9.5</v>
      </c>
      <c r="G27" s="622">
        <f>E27*F27</f>
        <v>207546.5</v>
      </c>
      <c r="H27" s="580">
        <f>G27+'[1]8'!H27</f>
        <v>1714066</v>
      </c>
      <c r="I27" s="623"/>
      <c r="J27" s="673">
        <f>H27/DAY(B2)</f>
        <v>190451.77777777778</v>
      </c>
      <c r="K27" s="401"/>
      <c r="L27" s="527"/>
      <c r="N27" s="410">
        <v>114870</v>
      </c>
    </row>
    <row r="28" spans="1:14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820.58999999985099</v>
      </c>
      <c r="F28" s="621">
        <v>36.5</v>
      </c>
      <c r="G28" s="622">
        <f>E28*F28</f>
        <v>29951.534999994561</v>
      </c>
      <c r="H28" s="580">
        <f>G28+'[1]8'!H28</f>
        <v>219669.00849999674</v>
      </c>
      <c r="I28" s="625"/>
      <c r="J28" s="673">
        <f>H28/DAY(B2)</f>
        <v>24407.667611110748</v>
      </c>
      <c r="K28" s="401"/>
      <c r="L28" s="527"/>
      <c r="N28" s="410">
        <v>11569.110000003129</v>
      </c>
    </row>
    <row r="29" spans="1:14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G29+'[1]8'!H29</f>
        <v>0</v>
      </c>
      <c r="I29" s="625"/>
      <c r="J29" s="673">
        <f>H29/DAY(B2)</f>
        <v>0</v>
      </c>
      <c r="K29" s="401"/>
      <c r="L29" s="527"/>
      <c r="N29" s="410">
        <v>0</v>
      </c>
    </row>
    <row r="30" spans="1:14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52</v>
      </c>
      <c r="F30" s="621">
        <v>145</v>
      </c>
      <c r="G30" s="622">
        <f>E30*F30</f>
        <v>7540</v>
      </c>
      <c r="H30" s="580">
        <f>G30+'[1]8'!H30</f>
        <v>70180</v>
      </c>
      <c r="I30" s="625"/>
      <c r="J30" s="673">
        <f>H30/DAY(B2)</f>
        <v>7797.7777777777774</v>
      </c>
      <c r="K30" s="401"/>
      <c r="L30" s="527"/>
      <c r="N30" s="410">
        <v>7370</v>
      </c>
    </row>
    <row r="31" spans="1:14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160</v>
      </c>
      <c r="F31" s="621">
        <v>80</v>
      </c>
      <c r="G31" s="622">
        <f>E31*F31</f>
        <v>12800</v>
      </c>
      <c r="H31" s="580">
        <f>G31+'[1]8'!H31</f>
        <v>83200</v>
      </c>
      <c r="I31" s="625"/>
      <c r="J31" s="673"/>
      <c r="K31" s="401"/>
      <c r="L31" s="527"/>
      <c r="N31" s="410">
        <v>0</v>
      </c>
    </row>
    <row r="32" spans="1:14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257838.03499999456</v>
      </c>
      <c r="H32" s="580">
        <f>G32+'[1]8'!H32</f>
        <v>2087115.0084999967</v>
      </c>
      <c r="I32" s="629"/>
      <c r="J32" s="673">
        <f>H32/DAY(B2)</f>
        <v>231901.66761111075</v>
      </c>
      <c r="K32" s="401"/>
      <c r="L32" s="527"/>
      <c r="N32" s="410">
        <v>133809.11000000313</v>
      </c>
    </row>
    <row r="33" spans="1:14" ht="25.5" customHeight="1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</row>
    <row r="34" spans="1:14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410"/>
    </row>
    <row r="35" spans="1:14" x14ac:dyDescent="0.4">
      <c r="A35" s="699" t="s">
        <v>191</v>
      </c>
      <c r="B35" s="700"/>
      <c r="C35" s="700"/>
      <c r="D35" s="643" t="s">
        <v>159</v>
      </c>
      <c r="E35" s="630">
        <f>'[1]8'!F35</f>
        <v>629027.67000000004</v>
      </c>
      <c r="F35" s="630">
        <v>629027.67000000004</v>
      </c>
      <c r="G35" s="593">
        <f t="shared" ref="G35:G46" si="3">F35-E35</f>
        <v>0</v>
      </c>
      <c r="H35" s="580">
        <f>G35+'[1]8'!H35</f>
        <v>0</v>
      </c>
      <c r="I35" s="575"/>
      <c r="J35" s="673">
        <f>H35/DAY(B2)</f>
        <v>0</v>
      </c>
      <c r="K35" s="508"/>
      <c r="L35" s="405"/>
      <c r="N35" s="410">
        <v>1380.8400000000256</v>
      </c>
    </row>
    <row r="36" spans="1:14" x14ac:dyDescent="0.4">
      <c r="A36" s="699" t="s">
        <v>192</v>
      </c>
      <c r="B36" s="700"/>
      <c r="C36" s="700"/>
      <c r="D36" s="643" t="s">
        <v>159</v>
      </c>
      <c r="E36" s="630">
        <f>'[1]8'!F36</f>
        <v>235994.71</v>
      </c>
      <c r="F36" s="630">
        <v>237132.13</v>
      </c>
      <c r="G36" s="593">
        <f t="shared" si="3"/>
        <v>1137.4200000000128</v>
      </c>
      <c r="H36" s="580">
        <f>G36+'[1]8'!H36</f>
        <v>8046.3999999999942</v>
      </c>
      <c r="I36" s="575"/>
      <c r="J36" s="673">
        <f>H36/DAY(B2)</f>
        <v>894.0444444444438</v>
      </c>
      <c r="K36" s="508"/>
      <c r="L36" s="405"/>
      <c r="N36" s="749">
        <v>514.63999999999942</v>
      </c>
    </row>
    <row r="37" spans="1:14" x14ac:dyDescent="0.4">
      <c r="A37" s="699" t="s">
        <v>193</v>
      </c>
      <c r="B37" s="700"/>
      <c r="C37" s="700"/>
      <c r="D37" s="643" t="s">
        <v>159</v>
      </c>
      <c r="E37" s="630">
        <f>'[1]8'!F37</f>
        <v>415066</v>
      </c>
      <c r="F37" s="630">
        <v>415066</v>
      </c>
      <c r="G37" s="593">
        <f t="shared" si="3"/>
        <v>0</v>
      </c>
      <c r="H37" s="580">
        <f>G37+'[1]8'!H37</f>
        <v>0</v>
      </c>
      <c r="I37" s="575"/>
      <c r="J37" s="673">
        <f>H37/DAY(B2)</f>
        <v>0</v>
      </c>
      <c r="K37" s="508"/>
      <c r="L37" s="405"/>
      <c r="N37" s="750">
        <v>1164.4599999999919</v>
      </c>
    </row>
    <row r="38" spans="1:14" x14ac:dyDescent="0.4">
      <c r="A38" s="699" t="s">
        <v>194</v>
      </c>
      <c r="B38" s="700"/>
      <c r="C38" s="700"/>
      <c r="D38" s="643" t="s">
        <v>159</v>
      </c>
      <c r="E38" s="630">
        <f>'[1]8'!F38</f>
        <v>150714</v>
      </c>
      <c r="F38" s="589">
        <v>150714</v>
      </c>
      <c r="G38" s="593">
        <f t="shared" si="3"/>
        <v>0</v>
      </c>
      <c r="H38" s="580">
        <f>G38+'[1]8'!H38</f>
        <v>0</v>
      </c>
      <c r="I38" s="575"/>
      <c r="J38" s="673">
        <f>H38/DAY(B2)</f>
        <v>0</v>
      </c>
      <c r="K38" s="508"/>
      <c r="L38" s="405"/>
      <c r="N38" s="410">
        <v>0</v>
      </c>
    </row>
    <row r="39" spans="1:14" x14ac:dyDescent="0.4">
      <c r="A39" s="699" t="s">
        <v>195</v>
      </c>
      <c r="B39" s="700"/>
      <c r="C39" s="700"/>
      <c r="D39" s="643" t="s">
        <v>159</v>
      </c>
      <c r="E39" s="630">
        <f>'[1]8'!F39</f>
        <v>912480</v>
      </c>
      <c r="F39" s="630">
        <v>912480</v>
      </c>
      <c r="G39" s="593">
        <f t="shared" si="3"/>
        <v>0</v>
      </c>
      <c r="H39" s="580">
        <f>G39+'[1]8'!H39</f>
        <v>0</v>
      </c>
      <c r="I39" s="575"/>
      <c r="J39" s="673">
        <f>H39/DAY(B2)</f>
        <v>0</v>
      </c>
      <c r="K39" s="508"/>
      <c r="L39" s="405"/>
      <c r="N39" s="410">
        <v>1951.1300000000047</v>
      </c>
    </row>
    <row r="40" spans="1:14" x14ac:dyDescent="0.4">
      <c r="A40" s="720" t="s">
        <v>196</v>
      </c>
      <c r="B40" s="721"/>
      <c r="C40" s="721"/>
      <c r="D40" s="643" t="s">
        <v>159</v>
      </c>
      <c r="E40" s="630">
        <f>'[1]8'!F40</f>
        <v>0.17</v>
      </c>
      <c r="F40" s="630">
        <v>0.17</v>
      </c>
      <c r="G40" s="593">
        <f t="shared" si="3"/>
        <v>0</v>
      </c>
      <c r="H40" s="580">
        <f>G40+'[1]8'!H40</f>
        <v>0</v>
      </c>
      <c r="I40" s="575"/>
      <c r="J40" s="673">
        <f>H40/DAY(B2)</f>
        <v>0</v>
      </c>
      <c r="K40" s="509"/>
      <c r="L40" s="405"/>
      <c r="N40" s="410">
        <v>0</v>
      </c>
    </row>
    <row r="41" spans="1:14" x14ac:dyDescent="0.4">
      <c r="A41" s="699" t="s">
        <v>197</v>
      </c>
      <c r="B41" s="700"/>
      <c r="C41" s="700"/>
      <c r="D41" s="643" t="s">
        <v>159</v>
      </c>
      <c r="E41" s="630">
        <f>'[1]8'!F41</f>
        <v>300127.90000000002</v>
      </c>
      <c r="F41" s="630">
        <v>300127.90000000002</v>
      </c>
      <c r="G41" s="593">
        <f t="shared" si="3"/>
        <v>0</v>
      </c>
      <c r="H41" s="580">
        <f>G41+'[1]8'!H41</f>
        <v>-4.9999999988358468E-2</v>
      </c>
      <c r="I41" s="575"/>
      <c r="J41" s="673">
        <f>H41/DAY(B2)</f>
        <v>-5.5555555542620523E-3</v>
      </c>
      <c r="K41" s="508"/>
      <c r="L41" s="405"/>
      <c r="N41" s="410">
        <v>2876.3199999999779</v>
      </c>
    </row>
    <row r="42" spans="1:14" x14ac:dyDescent="0.4">
      <c r="A42" s="699" t="s">
        <v>198</v>
      </c>
      <c r="B42" s="700"/>
      <c r="C42" s="700"/>
      <c r="D42" s="643" t="s">
        <v>159</v>
      </c>
      <c r="E42" s="630">
        <f>'[1]8'!F42</f>
        <v>20102.580000000002</v>
      </c>
      <c r="F42" s="630">
        <v>24907.37</v>
      </c>
      <c r="G42" s="593">
        <f t="shared" si="3"/>
        <v>4804.7899999999972</v>
      </c>
      <c r="H42" s="580">
        <f>G42+'[1]8'!H42</f>
        <v>24907.37</v>
      </c>
      <c r="I42" s="575"/>
      <c r="J42" s="673">
        <f>H42/DAY(B2)</f>
        <v>2767.4855555555555</v>
      </c>
      <c r="K42" s="508"/>
      <c r="L42" s="405"/>
      <c r="N42" s="410">
        <v>0</v>
      </c>
    </row>
    <row r="43" spans="1:14" x14ac:dyDescent="0.4">
      <c r="A43" s="699" t="s">
        <v>199</v>
      </c>
      <c r="B43" s="700"/>
      <c r="C43" s="700"/>
      <c r="D43" s="643" t="s">
        <v>159</v>
      </c>
      <c r="E43" s="630">
        <f>'[1]8'!F43</f>
        <v>648737.94999999995</v>
      </c>
      <c r="F43" s="630">
        <v>651056.23</v>
      </c>
      <c r="G43" s="593">
        <f t="shared" si="3"/>
        <v>2318.2800000000279</v>
      </c>
      <c r="H43" s="580">
        <f>G43+'[1]8'!H43</f>
        <v>20306.919999999925</v>
      </c>
      <c r="I43" s="575"/>
      <c r="J43" s="673">
        <f>H43/DAY(B2)</f>
        <v>2256.3244444444363</v>
      </c>
      <c r="K43" s="508"/>
      <c r="L43" s="405"/>
      <c r="N43" s="410">
        <v>1531.2399999999907</v>
      </c>
    </row>
    <row r="44" spans="1:14" x14ac:dyDescent="0.4">
      <c r="A44" s="699" t="s">
        <v>200</v>
      </c>
      <c r="B44" s="700"/>
      <c r="C44" s="700"/>
      <c r="D44" s="643" t="s">
        <v>159</v>
      </c>
      <c r="E44" s="630">
        <f>'[1]8'!F44</f>
        <v>0</v>
      </c>
      <c r="F44" s="630">
        <v>0</v>
      </c>
      <c r="G44" s="593">
        <f t="shared" si="3"/>
        <v>0</v>
      </c>
      <c r="H44" s="580">
        <f>G44+'[1]8'!H44</f>
        <v>0</v>
      </c>
      <c r="I44" s="575"/>
      <c r="J44" s="673">
        <f>H44/DAY(B2)</f>
        <v>0</v>
      </c>
      <c r="K44" s="508"/>
      <c r="L44" s="405"/>
      <c r="N44" s="410">
        <v>0</v>
      </c>
    </row>
    <row r="45" spans="1:14" x14ac:dyDescent="0.4">
      <c r="A45" s="699" t="s">
        <v>201</v>
      </c>
      <c r="B45" s="700"/>
      <c r="C45" s="700"/>
      <c r="D45" s="643" t="s">
        <v>159</v>
      </c>
      <c r="E45" s="630">
        <f>'[1]8'!F45</f>
        <v>614</v>
      </c>
      <c r="F45" s="630">
        <v>614</v>
      </c>
      <c r="G45" s="593">
        <f t="shared" si="3"/>
        <v>0</v>
      </c>
      <c r="H45" s="580">
        <f>G45+'[1]8'!H45</f>
        <v>-0.48000000000001819</v>
      </c>
      <c r="I45" s="575"/>
      <c r="J45" s="673">
        <f>H45/DAY(B2)</f>
        <v>-5.3333333333335356E-2</v>
      </c>
      <c r="K45" s="508"/>
      <c r="L45" s="405"/>
      <c r="N45" s="410">
        <v>0</v>
      </c>
    </row>
    <row r="46" spans="1:14" x14ac:dyDescent="0.4">
      <c r="A46" s="699" t="s">
        <v>202</v>
      </c>
      <c r="B46" s="700"/>
      <c r="C46" s="700"/>
      <c r="D46" s="643" t="s">
        <v>159</v>
      </c>
      <c r="E46" s="630">
        <f>'[1]8'!F46</f>
        <v>187</v>
      </c>
      <c r="F46" s="630">
        <v>187</v>
      </c>
      <c r="G46" s="593">
        <f t="shared" si="3"/>
        <v>0</v>
      </c>
      <c r="H46" s="580">
        <f>G46+'[1]8'!H46</f>
        <v>-0.49000000000000909</v>
      </c>
      <c r="I46" s="575"/>
      <c r="J46" s="673">
        <f>H46/DAY(B2)</f>
        <v>-5.4444444444445454E-2</v>
      </c>
      <c r="K46" s="508"/>
      <c r="L46" s="405"/>
      <c r="N46" s="410">
        <v>0</v>
      </c>
    </row>
    <row r="47" spans="1:14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8260.490000000038</v>
      </c>
      <c r="H47" s="580">
        <f>G47+'[1]8'!H47</f>
        <v>53259.669999999925</v>
      </c>
      <c r="I47" s="575"/>
      <c r="J47" s="673">
        <f>H47/DAY(B2)</f>
        <v>5917.7411111111032</v>
      </c>
      <c r="K47" s="508"/>
      <c r="L47" s="405"/>
      <c r="N47" s="410">
        <v>9418.6299999999901</v>
      </c>
    </row>
    <row r="48" spans="1:14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410"/>
    </row>
    <row r="49" spans="1:14" x14ac:dyDescent="0.4">
      <c r="A49" s="699" t="s">
        <v>191</v>
      </c>
      <c r="B49" s="722"/>
      <c r="C49" s="722"/>
      <c r="D49" s="643" t="s">
        <v>159</v>
      </c>
      <c r="E49" s="630">
        <f>'[1]8'!F49</f>
        <v>83614.55</v>
      </c>
      <c r="F49" s="630">
        <v>86665.54</v>
      </c>
      <c r="G49" s="593">
        <f t="shared" ref="G49:G58" si="4">F49-E49</f>
        <v>3050.9899999999907</v>
      </c>
      <c r="H49" s="580">
        <f>G49+'[1]8'!H49</f>
        <v>25152.272999999994</v>
      </c>
      <c r="I49" s="575"/>
      <c r="J49" s="673">
        <f>H49/DAY(B2)</f>
        <v>2794.6969999999992</v>
      </c>
      <c r="K49" s="508"/>
      <c r="L49" s="405"/>
      <c r="N49" s="410">
        <v>0</v>
      </c>
    </row>
    <row r="50" spans="1:14" x14ac:dyDescent="0.4">
      <c r="A50" s="699" t="s">
        <v>205</v>
      </c>
      <c r="B50" s="722"/>
      <c r="C50" s="722"/>
      <c r="D50" s="643" t="s">
        <v>159</v>
      </c>
      <c r="E50" s="630">
        <f>'[1]8'!F50</f>
        <v>306564.46999999997</v>
      </c>
      <c r="F50" s="630">
        <v>308122.17</v>
      </c>
      <c r="G50" s="593">
        <f t="shared" si="4"/>
        <v>1557.7000000000116</v>
      </c>
      <c r="H50" s="580">
        <f>G50+'[1]8'!H50</f>
        <v>12153.079999999958</v>
      </c>
      <c r="I50" s="575"/>
      <c r="J50" s="673">
        <f>H50/DAY(B2)</f>
        <v>1350.3422222222175</v>
      </c>
      <c r="K50" s="508"/>
      <c r="L50" s="405"/>
      <c r="N50" s="410">
        <v>609.48999999999069</v>
      </c>
    </row>
    <row r="51" spans="1:14" x14ac:dyDescent="0.4">
      <c r="A51" s="699" t="s">
        <v>193</v>
      </c>
      <c r="B51" s="722"/>
      <c r="C51" s="722"/>
      <c r="D51" s="643" t="s">
        <v>159</v>
      </c>
      <c r="E51" s="630">
        <f>'[1]8'!F51</f>
        <v>30851.31</v>
      </c>
      <c r="F51" s="630">
        <v>32429.51</v>
      </c>
      <c r="G51" s="593">
        <f t="shared" si="4"/>
        <v>1578.1999999999971</v>
      </c>
      <c r="H51" s="580">
        <f>G51+'[1]8'!H51</f>
        <v>13109.022999999997</v>
      </c>
      <c r="I51" s="575"/>
      <c r="J51" s="673">
        <f>H51/DAY(B2)</f>
        <v>1456.5581111111107</v>
      </c>
      <c r="K51" s="508"/>
      <c r="L51" s="405"/>
      <c r="N51" s="410">
        <v>0</v>
      </c>
    </row>
    <row r="52" spans="1:14" x14ac:dyDescent="0.4">
      <c r="A52" s="699" t="s">
        <v>206</v>
      </c>
      <c r="B52" s="722"/>
      <c r="C52" s="722"/>
      <c r="D52" s="643" t="s">
        <v>159</v>
      </c>
      <c r="E52" s="630">
        <f>'[1]8'!F52</f>
        <v>386340.99</v>
      </c>
      <c r="F52" s="630">
        <v>388432.35</v>
      </c>
      <c r="G52" s="593">
        <f t="shared" si="4"/>
        <v>2091.359999999986</v>
      </c>
      <c r="H52" s="580">
        <f>G52+'[1]8'!H52</f>
        <v>17309.919999999984</v>
      </c>
      <c r="I52" s="575"/>
      <c r="J52" s="673">
        <f>H52/DAY(B2)</f>
        <v>1923.3244444444426</v>
      </c>
      <c r="K52" s="508"/>
      <c r="L52" s="405"/>
      <c r="N52" s="410">
        <v>1071.8899999999849</v>
      </c>
    </row>
    <row r="53" spans="1:14" x14ac:dyDescent="0.4">
      <c r="A53" s="699" t="s">
        <v>195</v>
      </c>
      <c r="B53" s="722"/>
      <c r="C53" s="722"/>
      <c r="D53" s="643" t="s">
        <v>159</v>
      </c>
      <c r="E53" s="630">
        <f>'[1]8'!F53</f>
        <v>79032.539999999994</v>
      </c>
      <c r="F53" s="630">
        <v>83367.179999999993</v>
      </c>
      <c r="G53" s="593">
        <f t="shared" si="4"/>
        <v>4334.6399999999994</v>
      </c>
      <c r="H53" s="580">
        <f>G53+'[1]8'!H53</f>
        <v>37951.172999999995</v>
      </c>
      <c r="I53" s="575"/>
      <c r="J53" s="673">
        <f>H53/DAY(B2)</f>
        <v>4216.7969999999996</v>
      </c>
      <c r="K53" s="508"/>
      <c r="L53" s="405"/>
      <c r="N53" s="410">
        <v>85.455900000000838</v>
      </c>
    </row>
    <row r="54" spans="1:14" x14ac:dyDescent="0.4">
      <c r="A54" s="699" t="s">
        <v>207</v>
      </c>
      <c r="B54" s="722"/>
      <c r="C54" s="722"/>
      <c r="D54" s="643" t="s">
        <v>159</v>
      </c>
      <c r="E54" s="630">
        <f>'[1]8'!F54</f>
        <v>3248.5</v>
      </c>
      <c r="F54" s="630">
        <v>3299.54</v>
      </c>
      <c r="G54" s="593">
        <f t="shared" si="4"/>
        <v>51.039999999999964</v>
      </c>
      <c r="H54" s="580">
        <f>G54+'[1]8'!H54</f>
        <v>466.53999999999996</v>
      </c>
      <c r="I54" s="575"/>
      <c r="J54" s="673">
        <f>H54/DAY(B2)</f>
        <v>51.837777777777774</v>
      </c>
      <c r="K54" s="508"/>
      <c r="L54" s="405"/>
      <c r="N54" s="410">
        <v>0</v>
      </c>
    </row>
    <row r="55" spans="1:14" x14ac:dyDescent="0.4">
      <c r="A55" s="699" t="s">
        <v>208</v>
      </c>
      <c r="B55" s="722"/>
      <c r="C55" s="722"/>
      <c r="D55" s="643" t="s">
        <v>159</v>
      </c>
      <c r="E55" s="630">
        <f>'[1]8'!F55</f>
        <v>158492.73000000001</v>
      </c>
      <c r="F55" s="770">
        <v>158492.73000000001</v>
      </c>
      <c r="G55" s="769">
        <f t="shared" si="4"/>
        <v>0</v>
      </c>
      <c r="H55" s="841">
        <f>G55+'[1]8'!H55</f>
        <v>-0.26999999998952262</v>
      </c>
      <c r="I55" s="842"/>
      <c r="J55" s="843">
        <f>H55/DAY(B2)</f>
        <v>-2.9999999998835847E-2</v>
      </c>
      <c r="K55" s="508"/>
      <c r="L55" s="405"/>
      <c r="N55" s="410">
        <v>0</v>
      </c>
    </row>
    <row r="56" spans="1:14" x14ac:dyDescent="0.4">
      <c r="A56" s="699" t="s">
        <v>209</v>
      </c>
      <c r="B56" s="722"/>
      <c r="C56" s="722"/>
      <c r="D56" s="643" t="s">
        <v>210</v>
      </c>
      <c r="E56" s="630">
        <f>'[1]8'!F56</f>
        <v>449323.67</v>
      </c>
      <c r="F56" s="770">
        <v>449323.67</v>
      </c>
      <c r="G56" s="593">
        <f t="shared" si="4"/>
        <v>0</v>
      </c>
      <c r="H56" s="580">
        <f>G56+'[1]8'!H56</f>
        <v>14176.079999999958</v>
      </c>
      <c r="I56" s="575"/>
      <c r="J56" s="673">
        <f>H56/DAY(B2)</f>
        <v>1575.1199999999953</v>
      </c>
      <c r="K56" s="507"/>
      <c r="L56" s="405"/>
      <c r="N56" s="410">
        <v>0</v>
      </c>
    </row>
    <row r="57" spans="1:14" x14ac:dyDescent="0.4">
      <c r="A57" s="699" t="s">
        <v>199</v>
      </c>
      <c r="B57" s="722"/>
      <c r="C57" s="722"/>
      <c r="D57" s="643" t="s">
        <v>159</v>
      </c>
      <c r="E57" s="630">
        <f>'[1]8'!F57</f>
        <v>0</v>
      </c>
      <c r="F57" s="630">
        <v>0</v>
      </c>
      <c r="G57" s="593">
        <f t="shared" si="4"/>
        <v>0</v>
      </c>
      <c r="H57" s="580">
        <f>G57+'[1]8'!H57</f>
        <v>0</v>
      </c>
      <c r="I57" s="575"/>
      <c r="J57" s="673">
        <f>H57/DAY(B2)</f>
        <v>0</v>
      </c>
      <c r="K57" s="508"/>
      <c r="L57" s="405"/>
      <c r="N57" s="410">
        <v>0</v>
      </c>
    </row>
    <row r="58" spans="1:14" x14ac:dyDescent="0.4">
      <c r="A58" s="699" t="s">
        <v>211</v>
      </c>
      <c r="B58" s="722"/>
      <c r="C58" s="722"/>
      <c r="D58" s="643" t="s">
        <v>159</v>
      </c>
      <c r="E58" s="630">
        <f>'[1]8'!F58</f>
        <v>21204.799999999999</v>
      </c>
      <c r="F58" s="770">
        <v>21382.720000000001</v>
      </c>
      <c r="G58" s="593">
        <f t="shared" si="4"/>
        <v>177.92000000000189</v>
      </c>
      <c r="H58" s="580">
        <f>G58+'[1]8'!H58</f>
        <v>1151.6769999999997</v>
      </c>
      <c r="I58" s="575"/>
      <c r="J58" s="673">
        <f>H58/DAY(B2)</f>
        <v>127.96411111111108</v>
      </c>
      <c r="K58" s="508"/>
      <c r="L58" s="405"/>
      <c r="N58" s="410">
        <v>-0.29700000000048021</v>
      </c>
    </row>
    <row r="59" spans="1:14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12841.849999999988</v>
      </c>
      <c r="H59" s="580">
        <f>G59+'[1]8'!H59</f>
        <v>121469.49599999988</v>
      </c>
      <c r="I59" s="575">
        <f>G7-G60</f>
        <v>600.65999999997439</v>
      </c>
      <c r="J59" s="673">
        <f>H59/DAY(B2)</f>
        <v>13496.610666666653</v>
      </c>
      <c r="K59" s="508"/>
      <c r="L59" s="405"/>
      <c r="N59" s="410">
        <v>1766.5388999999759</v>
      </c>
    </row>
    <row r="60" spans="1:14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21102.340000000026</v>
      </c>
      <c r="H60" s="580">
        <f>G60+'[1]8'!H60</f>
        <v>174729.16599999985</v>
      </c>
      <c r="I60" s="575">
        <f>G13-G60</f>
        <v>-207.17999999993481</v>
      </c>
      <c r="J60" s="673">
        <f>H60/DAY(B2)</f>
        <v>19414.35177777776</v>
      </c>
      <c r="K60" s="508"/>
      <c r="L60" s="405"/>
      <c r="N60" s="410">
        <v>11185.168899999966</v>
      </c>
    </row>
    <row r="61" spans="1:14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410"/>
    </row>
    <row r="62" spans="1:14" x14ac:dyDescent="0.4">
      <c r="A62" s="724" t="s">
        <v>121</v>
      </c>
      <c r="B62" s="725"/>
      <c r="C62" s="725"/>
      <c r="D62" s="631" t="s">
        <v>214</v>
      </c>
      <c r="E62" s="634">
        <f>'[1]8'!F62</f>
        <v>20419</v>
      </c>
      <c r="F62" s="634">
        <v>20419</v>
      </c>
      <c r="G62" s="593">
        <f t="shared" ref="G62:G69" si="5">F62-E62</f>
        <v>0</v>
      </c>
      <c r="H62" s="580">
        <f>G62+'[1]8'!H62</f>
        <v>-0.18000000000029104</v>
      </c>
      <c r="I62" s="635"/>
      <c r="J62" s="673">
        <f>H62/DAY(B2)</f>
        <v>-2.0000000000032339E-2</v>
      </c>
      <c r="K62" s="508"/>
      <c r="L62" s="405"/>
      <c r="N62" s="410">
        <v>0</v>
      </c>
    </row>
    <row r="63" spans="1:14" x14ac:dyDescent="0.4">
      <c r="A63" s="724" t="s">
        <v>215</v>
      </c>
      <c r="B63" s="725"/>
      <c r="C63" s="725"/>
      <c r="D63" s="631" t="s">
        <v>214</v>
      </c>
      <c r="E63" s="634">
        <f>'[1]8'!F63</f>
        <v>979.29</v>
      </c>
      <c r="F63" s="634">
        <v>991.71</v>
      </c>
      <c r="G63" s="593">
        <f t="shared" si="5"/>
        <v>12.420000000000073</v>
      </c>
      <c r="H63" s="580">
        <f>G63+'[1]8'!H63</f>
        <v>135.34000000000003</v>
      </c>
      <c r="I63" s="635"/>
      <c r="J63" s="673">
        <f>H63/DAY(B2)</f>
        <v>15.037777777777782</v>
      </c>
      <c r="K63" s="508"/>
      <c r="L63" s="405"/>
      <c r="N63" s="410">
        <v>0</v>
      </c>
    </row>
    <row r="64" spans="1:14" ht="27.75" x14ac:dyDescent="0.5">
      <c r="A64" s="1395" t="s">
        <v>122</v>
      </c>
      <c r="B64" s="1396"/>
      <c r="C64" s="1397"/>
      <c r="D64" s="643" t="s">
        <v>214</v>
      </c>
      <c r="E64" s="634">
        <f>'[1]8'!F64</f>
        <v>89633.48</v>
      </c>
      <c r="F64" s="598">
        <v>89996.55</v>
      </c>
      <c r="G64" s="593">
        <f t="shared" si="5"/>
        <v>363.07000000000698</v>
      </c>
      <c r="H64" s="580">
        <f>G64+'[1]8'!H64</f>
        <v>3257.4550000000017</v>
      </c>
      <c r="I64" s="600"/>
      <c r="J64" s="673">
        <f>H64/DAY(B2)</f>
        <v>361.93944444444463</v>
      </c>
      <c r="K64" s="508"/>
      <c r="L64" s="405"/>
      <c r="N64" s="410">
        <v>161.90400000000227</v>
      </c>
    </row>
    <row r="65" spans="1:14" ht="27.75" x14ac:dyDescent="0.5">
      <c r="A65" s="1395" t="s">
        <v>123</v>
      </c>
      <c r="B65" s="1396"/>
      <c r="C65" s="1397"/>
      <c r="D65" s="643" t="s">
        <v>214</v>
      </c>
      <c r="E65" s="634">
        <f>'[1]8'!F65</f>
        <v>99819.76</v>
      </c>
      <c r="F65" s="768">
        <v>100230.81</v>
      </c>
      <c r="G65" s="593">
        <f t="shared" si="5"/>
        <v>411.05000000000291</v>
      </c>
      <c r="H65" s="580">
        <f>G65+'[1]8'!H65</f>
        <v>3594.8270000000048</v>
      </c>
      <c r="I65" s="609"/>
      <c r="J65" s="673">
        <f>H65/DAY(B2)</f>
        <v>399.42522222222277</v>
      </c>
      <c r="K65" s="508"/>
      <c r="L65" s="405"/>
      <c r="N65" s="410">
        <v>215.74700000000303</v>
      </c>
    </row>
    <row r="66" spans="1:14" ht="27.75" x14ac:dyDescent="0.5">
      <c r="A66" s="1395" t="s">
        <v>124</v>
      </c>
      <c r="B66" s="1396"/>
      <c r="C66" s="1397"/>
      <c r="D66" s="643" t="s">
        <v>214</v>
      </c>
      <c r="E66" s="634">
        <f>'[1]8'!F66</f>
        <v>93144.78</v>
      </c>
      <c r="F66" s="598">
        <v>93543.8</v>
      </c>
      <c r="G66" s="593">
        <f t="shared" si="5"/>
        <v>399.02000000000407</v>
      </c>
      <c r="H66" s="580">
        <f>G66+'[1]8'!H66</f>
        <v>3538.9530000000086</v>
      </c>
      <c r="I66" s="600"/>
      <c r="J66" s="673">
        <f>H66/DAY(B2)</f>
        <v>393.21700000000095</v>
      </c>
      <c r="K66" s="508"/>
      <c r="L66" s="405"/>
      <c r="N66" s="410">
        <v>243.63500000000204</v>
      </c>
    </row>
    <row r="67" spans="1:14" ht="27.75" x14ac:dyDescent="0.5">
      <c r="A67" s="1395" t="s">
        <v>125</v>
      </c>
      <c r="B67" s="1396"/>
      <c r="C67" s="1397"/>
      <c r="D67" s="643" t="s">
        <v>214</v>
      </c>
      <c r="E67" s="634">
        <f>'[1]8'!F67</f>
        <v>151852.29999999999</v>
      </c>
      <c r="F67" s="598">
        <v>152622.97</v>
      </c>
      <c r="G67" s="593">
        <f t="shared" si="5"/>
        <v>770.67000000001281</v>
      </c>
      <c r="H67" s="580">
        <f>G67+'[1]8'!H67</f>
        <v>6580.9200000000128</v>
      </c>
      <c r="I67" s="609"/>
      <c r="J67" s="673">
        <f>H67/DAY(B2)</f>
        <v>731.21333333333473</v>
      </c>
      <c r="K67" s="509"/>
      <c r="L67" s="405"/>
      <c r="N67" s="410">
        <v>74.99199999999837</v>
      </c>
    </row>
    <row r="68" spans="1:14" ht="27.75" x14ac:dyDescent="0.5">
      <c r="A68" s="1395" t="s">
        <v>126</v>
      </c>
      <c r="B68" s="1396"/>
      <c r="C68" s="1397"/>
      <c r="D68" s="643" t="s">
        <v>214</v>
      </c>
      <c r="E68" s="634">
        <f>'[1]8'!F68</f>
        <v>46071.49</v>
      </c>
      <c r="F68" s="598">
        <v>46408.79</v>
      </c>
      <c r="G68" s="593">
        <f t="shared" si="5"/>
        <v>337.30000000000291</v>
      </c>
      <c r="H68" s="580">
        <f>G68+'[1]8'!H68</f>
        <v>3233.711000000003</v>
      </c>
      <c r="I68" s="636"/>
      <c r="J68" s="673">
        <f>H68/DAY(B2)</f>
        <v>359.30122222222258</v>
      </c>
      <c r="K68" s="510"/>
      <c r="L68" s="405"/>
      <c r="N68" s="410">
        <v>92.599999999999909</v>
      </c>
    </row>
    <row r="69" spans="1:14" ht="27.75" x14ac:dyDescent="0.5">
      <c r="A69" s="1395" t="s">
        <v>127</v>
      </c>
      <c r="B69" s="1396"/>
      <c r="C69" s="1397"/>
      <c r="D69" s="643" t="s">
        <v>214</v>
      </c>
      <c r="E69" s="634">
        <f>'[1]8'!F69</f>
        <v>39878.67</v>
      </c>
      <c r="F69" s="598">
        <v>40175.699999999997</v>
      </c>
      <c r="G69" s="593">
        <f t="shared" si="5"/>
        <v>297.02999999999884</v>
      </c>
      <c r="H69" s="580">
        <f>G69+'[1]8'!H69</f>
        <v>2620.1329999999944</v>
      </c>
      <c r="I69" s="636"/>
      <c r="J69" s="673">
        <f>H69/DAY(B2)</f>
        <v>291.12588888888826</v>
      </c>
      <c r="K69" s="511"/>
      <c r="L69" s="405"/>
      <c r="N69" s="410">
        <v>12.727999999999156</v>
      </c>
    </row>
    <row r="70" spans="1:14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/>
      <c r="I70" s="638"/>
      <c r="J70" s="677"/>
      <c r="K70" s="511"/>
      <c r="L70" s="405"/>
      <c r="N70" s="410"/>
    </row>
    <row r="71" spans="1:14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410"/>
    </row>
    <row r="72" spans="1:14" ht="27.75" x14ac:dyDescent="0.5">
      <c r="A72" s="1395" t="s">
        <v>218</v>
      </c>
      <c r="B72" s="1396"/>
      <c r="C72" s="1397"/>
      <c r="D72" s="643" t="s">
        <v>214</v>
      </c>
      <c r="E72" s="639">
        <f>'[1]8'!F72</f>
        <v>844317</v>
      </c>
      <c r="F72" s="771">
        <v>844389</v>
      </c>
      <c r="G72" s="593">
        <f t="shared" ref="G72:G84" si="6">F72-E72</f>
        <v>72</v>
      </c>
      <c r="H72" s="580">
        <f>G72+'[1]8'!H72</f>
        <v>212</v>
      </c>
      <c r="I72" s="600"/>
      <c r="J72" s="673">
        <f>H72/DAY(B2)</f>
        <v>23.555555555555557</v>
      </c>
      <c r="K72" s="511"/>
      <c r="L72" s="405"/>
      <c r="N72" s="410">
        <v>11</v>
      </c>
    </row>
    <row r="73" spans="1:14" ht="27.75" x14ac:dyDescent="0.5">
      <c r="A73" s="1395" t="s">
        <v>219</v>
      </c>
      <c r="B73" s="1396"/>
      <c r="C73" s="1397"/>
      <c r="D73" s="643" t="s">
        <v>214</v>
      </c>
      <c r="E73" s="639">
        <f>'[1]8'!F73</f>
        <v>885409</v>
      </c>
      <c r="F73" s="772">
        <v>885412</v>
      </c>
      <c r="G73" s="769">
        <f t="shared" si="6"/>
        <v>3</v>
      </c>
      <c r="H73" s="580">
        <f>G73+'[1]8'!H73</f>
        <v>102</v>
      </c>
      <c r="I73" s="600"/>
      <c r="J73" s="673">
        <f>H73/DAY(B2)</f>
        <v>11.333333333333334</v>
      </c>
      <c r="K73" s="510"/>
      <c r="L73" s="405"/>
      <c r="N73" s="410">
        <v>2</v>
      </c>
    </row>
    <row r="74" spans="1:14" ht="27.75" x14ac:dyDescent="0.5">
      <c r="A74" s="1395" t="s">
        <v>220</v>
      </c>
      <c r="B74" s="1396"/>
      <c r="C74" s="1397"/>
      <c r="D74" s="643" t="s">
        <v>214</v>
      </c>
      <c r="E74" s="639">
        <f>'[1]8'!F74</f>
        <v>880480</v>
      </c>
      <c r="F74" s="771">
        <v>880509</v>
      </c>
      <c r="G74" s="593">
        <f t="shared" si="6"/>
        <v>29</v>
      </c>
      <c r="H74" s="580">
        <f>G74+'[1]8'!H74</f>
        <v>282</v>
      </c>
      <c r="I74" s="600"/>
      <c r="J74" s="673">
        <f>H74/DAY(B2)</f>
        <v>31.333333333333332</v>
      </c>
      <c r="K74" s="511"/>
      <c r="L74" s="405"/>
      <c r="N74" s="410">
        <v>11</v>
      </c>
    </row>
    <row r="75" spans="1:14" ht="27.75" x14ac:dyDescent="0.5">
      <c r="A75" s="1447" t="s">
        <v>221</v>
      </c>
      <c r="B75" s="1448"/>
      <c r="C75" s="1449"/>
      <c r="D75" s="643" t="s">
        <v>214</v>
      </c>
      <c r="E75" s="640">
        <f>'[1]8'!F75</f>
        <v>727580</v>
      </c>
      <c r="F75" s="772">
        <v>727756</v>
      </c>
      <c r="G75" s="769">
        <f t="shared" si="6"/>
        <v>176</v>
      </c>
      <c r="H75" s="580">
        <f>G75+'[1]8'!H75</f>
        <v>1576</v>
      </c>
      <c r="I75" s="600"/>
      <c r="J75" s="673">
        <f>H75/DAY(B2)</f>
        <v>175.11111111111111</v>
      </c>
      <c r="K75" s="510"/>
      <c r="L75" s="405"/>
      <c r="N75" s="410">
        <v>62</v>
      </c>
    </row>
    <row r="76" spans="1:14" ht="27.75" x14ac:dyDescent="0.5">
      <c r="A76" s="1447" t="s">
        <v>222</v>
      </c>
      <c r="B76" s="1448"/>
      <c r="C76" s="1449"/>
      <c r="D76" s="643" t="s">
        <v>214</v>
      </c>
      <c r="E76" s="640">
        <f>'[1]8'!F76</f>
        <v>682192</v>
      </c>
      <c r="F76" s="772">
        <v>682289</v>
      </c>
      <c r="G76" s="769">
        <f t="shared" si="6"/>
        <v>97</v>
      </c>
      <c r="H76" s="580">
        <f>G76+'[1]8'!H76</f>
        <v>613</v>
      </c>
      <c r="I76" s="625"/>
      <c r="J76" s="673">
        <f>H76/DAY(B2)</f>
        <v>68.111111111111114</v>
      </c>
      <c r="K76" s="510"/>
      <c r="L76" s="405"/>
      <c r="N76" s="410">
        <v>4</v>
      </c>
    </row>
    <row r="77" spans="1:14" ht="27.75" x14ac:dyDescent="0.5">
      <c r="A77" s="1395" t="s">
        <v>223</v>
      </c>
      <c r="B77" s="1396"/>
      <c r="C77" s="1397"/>
      <c r="D77" s="643" t="s">
        <v>214</v>
      </c>
      <c r="E77" s="640">
        <f>'[1]8'!F77</f>
        <v>694133</v>
      </c>
      <c r="F77" s="772">
        <v>694184</v>
      </c>
      <c r="G77" s="769">
        <f t="shared" si="6"/>
        <v>51</v>
      </c>
      <c r="H77" s="580">
        <f>G77+'[1]8'!H77</f>
        <v>464</v>
      </c>
      <c r="I77" s="625"/>
      <c r="J77" s="673">
        <f>H77/DAY(B2)</f>
        <v>51.555555555555557</v>
      </c>
      <c r="K77" s="510"/>
      <c r="L77" s="405"/>
      <c r="N77" s="410">
        <v>19</v>
      </c>
    </row>
    <row r="78" spans="1:14" ht="27.75" x14ac:dyDescent="0.5">
      <c r="A78" s="1357" t="s">
        <v>224</v>
      </c>
      <c r="B78" s="1320"/>
      <c r="C78" s="1320"/>
      <c r="D78" s="643" t="s">
        <v>214</v>
      </c>
      <c r="E78" s="640">
        <f>'[1]8'!F78</f>
        <v>621509</v>
      </c>
      <c r="F78" s="772">
        <v>621968</v>
      </c>
      <c r="G78" s="769">
        <f t="shared" si="6"/>
        <v>459</v>
      </c>
      <c r="H78" s="580">
        <f>G78+'[1]8'!H78</f>
        <v>3715</v>
      </c>
      <c r="I78" s="625"/>
      <c r="J78" s="673">
        <f>H78/DAY(B2)</f>
        <v>412.77777777777777</v>
      </c>
      <c r="K78" s="510"/>
      <c r="L78" s="405"/>
      <c r="N78" s="410">
        <v>31</v>
      </c>
    </row>
    <row r="79" spans="1:14" ht="27.75" x14ac:dyDescent="0.5">
      <c r="A79" s="1447" t="s">
        <v>112</v>
      </c>
      <c r="B79" s="1448"/>
      <c r="C79" s="1449"/>
      <c r="D79" s="644" t="s">
        <v>214</v>
      </c>
      <c r="E79" s="640">
        <f>'[1]8'!F79</f>
        <v>799519</v>
      </c>
      <c r="F79" s="772">
        <v>799713</v>
      </c>
      <c r="G79" s="769">
        <f t="shared" si="6"/>
        <v>194</v>
      </c>
      <c r="H79" s="580">
        <f>G79+'[1]8'!H79</f>
        <v>1727</v>
      </c>
      <c r="I79" s="625"/>
      <c r="J79" s="673">
        <f>H79/DAY(B2)</f>
        <v>191.88888888888889</v>
      </c>
      <c r="K79" s="510"/>
      <c r="L79" s="405"/>
      <c r="N79" s="410">
        <v>100</v>
      </c>
    </row>
    <row r="80" spans="1:14" ht="27.75" x14ac:dyDescent="0.5">
      <c r="A80" s="1447" t="s">
        <v>225</v>
      </c>
      <c r="B80" s="1448"/>
      <c r="C80" s="1449"/>
      <c r="D80" s="644" t="s">
        <v>214</v>
      </c>
      <c r="E80" s="640">
        <f>'[1]8'!F80</f>
        <v>468105.24</v>
      </c>
      <c r="F80" s="772">
        <v>468449.64</v>
      </c>
      <c r="G80" s="769">
        <f t="shared" si="6"/>
        <v>344.40000000002328</v>
      </c>
      <c r="H80" s="580">
        <f>G80+'[1]8'!H80</f>
        <v>2951.7600000000093</v>
      </c>
      <c r="I80" s="625"/>
      <c r="J80" s="673">
        <f>H80/DAY(B2)</f>
        <v>327.97333333333438</v>
      </c>
      <c r="K80" s="510"/>
      <c r="L80" s="405"/>
      <c r="N80" s="410">
        <v>158.95999999996275</v>
      </c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'[1]8'!F81</f>
        <v>615698.04</v>
      </c>
      <c r="F81" s="772">
        <v>615893</v>
      </c>
      <c r="G81" s="769">
        <f t="shared" si="6"/>
        <v>194.95999999996275</v>
      </c>
      <c r="H81" s="580">
        <f>G81+'[1]8'!H81</f>
        <v>1504.4799999999814</v>
      </c>
      <c r="I81" s="625"/>
      <c r="J81" s="673">
        <f>H81/DAY(B2)</f>
        <v>167.16444444444238</v>
      </c>
      <c r="K81" s="510"/>
      <c r="L81" s="405"/>
      <c r="N81" s="410">
        <v>79.199999999953434</v>
      </c>
    </row>
    <row r="82" spans="1:15" ht="27.75" x14ac:dyDescent="0.5">
      <c r="A82" s="1447" t="s">
        <v>115</v>
      </c>
      <c r="B82" s="1448"/>
      <c r="C82" s="1449"/>
      <c r="D82" s="605" t="s">
        <v>159</v>
      </c>
      <c r="E82" s="640">
        <f>'[1]8'!F82</f>
        <v>103701</v>
      </c>
      <c r="F82" s="768">
        <v>103744</v>
      </c>
      <c r="G82" s="769">
        <f t="shared" si="6"/>
        <v>43</v>
      </c>
      <c r="H82" s="580">
        <f>G82+'[1]8'!H82</f>
        <v>214.35000000000582</v>
      </c>
      <c r="I82" s="606"/>
      <c r="J82" s="673">
        <f>H82/DAY(B2)</f>
        <v>23.816666666667313</v>
      </c>
      <c r="K82" s="510"/>
      <c r="L82" s="405"/>
      <c r="N82" s="410">
        <v>30.149999999994179</v>
      </c>
    </row>
    <row r="83" spans="1:15" ht="27.75" x14ac:dyDescent="0.5">
      <c r="A83" s="1447" t="s">
        <v>227</v>
      </c>
      <c r="B83" s="1448"/>
      <c r="C83" s="1449"/>
      <c r="D83" s="741" t="s">
        <v>159</v>
      </c>
      <c r="E83" s="640">
        <f>'[1]8'!F83</f>
        <v>965274</v>
      </c>
      <c r="F83" s="1278">
        <v>965654</v>
      </c>
      <c r="G83" s="769">
        <f t="shared" si="6"/>
        <v>380</v>
      </c>
      <c r="H83" s="580">
        <f>G83+'[1]8'!H83</f>
        <v>3129</v>
      </c>
      <c r="I83" s="601"/>
      <c r="J83" s="673">
        <f>H83/DAY(B2)</f>
        <v>347.66666666666669</v>
      </c>
      <c r="K83" s="509"/>
      <c r="L83" s="405"/>
      <c r="N83" s="410">
        <v>316</v>
      </c>
    </row>
    <row r="84" spans="1:15" x14ac:dyDescent="0.5">
      <c r="A84" s="1360" t="s">
        <v>228</v>
      </c>
      <c r="B84" s="692"/>
      <c r="C84" s="692"/>
      <c r="D84" s="598" t="s">
        <v>159</v>
      </c>
      <c r="E84" s="640">
        <f>'[1]8'!F84</f>
        <v>385782</v>
      </c>
      <c r="F84" s="748">
        <v>386330</v>
      </c>
      <c r="G84" s="769">
        <f t="shared" si="6"/>
        <v>548</v>
      </c>
      <c r="H84" s="580">
        <f>G84+'[1]8'!H84</f>
        <v>4974</v>
      </c>
      <c r="I84" s="601"/>
      <c r="J84" s="673">
        <f>H84/DAY(B2)</f>
        <v>552.66666666666663</v>
      </c>
      <c r="K84" s="408"/>
      <c r="L84" s="405"/>
      <c r="N84" s="410">
        <v>408</v>
      </c>
    </row>
    <row r="85" spans="1:15" s="407" customFormat="1" x14ac:dyDescent="0.5">
      <c r="A85" s="726" t="s">
        <v>82</v>
      </c>
      <c r="B85" s="693"/>
      <c r="C85" s="693"/>
      <c r="D85" s="609"/>
      <c r="E85" s="748"/>
      <c r="F85" s="748"/>
      <c r="G85" s="841">
        <f xml:space="preserve"> SUM(G71:G84)</f>
        <v>2591.359999999986</v>
      </c>
      <c r="H85" s="580">
        <f>G85+'[1]8'!H85</f>
        <v>19643.159999999945</v>
      </c>
      <c r="I85" s="601"/>
      <c r="J85" s="673">
        <f>H85/DAY(B2)</f>
        <v>2182.5733333333274</v>
      </c>
      <c r="K85" s="408"/>
      <c r="L85" s="406"/>
      <c r="N85" s="410">
        <v>1232.3099999999104</v>
      </c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48">
        <f>'[1]8'!F86</f>
        <v>441845.56</v>
      </c>
      <c r="F86" s="764">
        <v>442027.56</v>
      </c>
      <c r="G86" s="841">
        <f t="shared" ref="G86:G90" si="7">F86-E86</f>
        <v>182</v>
      </c>
      <c r="H86" s="841">
        <f t="shared" ref="H86:H88" si="8">G86</f>
        <v>182</v>
      </c>
      <c r="I86" s="769"/>
      <c r="J86" s="843">
        <f>H86/DAY(B2)</f>
        <v>20.222222222222221</v>
      </c>
      <c r="K86" s="869"/>
      <c r="L86" s="870"/>
      <c r="O86" s="849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48">
        <f>'[1]8'!F87</f>
        <v>77124.899999999994</v>
      </c>
      <c r="F87" s="764">
        <v>77156.2</v>
      </c>
      <c r="G87" s="841">
        <f t="shared" si="7"/>
        <v>31.30000000000291</v>
      </c>
      <c r="H87" s="841">
        <f t="shared" si="8"/>
        <v>31.30000000000291</v>
      </c>
      <c r="I87" s="769"/>
      <c r="J87" s="843">
        <f>H87/DAY(B2)</f>
        <v>3.4777777777781012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48">
        <f>'[1]8'!F88</f>
        <v>143111</v>
      </c>
      <c r="F88" s="764">
        <v>143195</v>
      </c>
      <c r="G88" s="841">
        <f t="shared" si="7"/>
        <v>84</v>
      </c>
      <c r="H88" s="841">
        <f t="shared" si="8"/>
        <v>84</v>
      </c>
      <c r="I88" s="769"/>
      <c r="J88" s="843">
        <f>H88/DAY(B2)</f>
        <v>9.3333333333333339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48">
        <f>'[1]8'!F89</f>
        <v>56185.7</v>
      </c>
      <c r="F89" s="764">
        <v>56235.4</v>
      </c>
      <c r="G89" s="841">
        <f t="shared" si="7"/>
        <v>49.700000000004366</v>
      </c>
      <c r="H89" s="841">
        <f>G89</f>
        <v>49.700000000004366</v>
      </c>
      <c r="I89" s="769"/>
      <c r="J89" s="843">
        <f>H89/DAY(B2)</f>
        <v>5.5222222222227071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48">
        <f>'[1]8'!F90</f>
        <v>2918</v>
      </c>
      <c r="F90" s="764">
        <v>2920.4</v>
      </c>
      <c r="G90" s="841">
        <f t="shared" si="7"/>
        <v>2.4000000000000909</v>
      </c>
      <c r="H90" s="841">
        <f>G90</f>
        <v>2.4000000000000909</v>
      </c>
      <c r="I90" s="769"/>
      <c r="J90" s="843">
        <f>H90/DAY(B2)</f>
        <v>0.26666666666667677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'[1]8'!F92</f>
        <v>231722</v>
      </c>
      <c r="F92" s="598">
        <v>231813</v>
      </c>
      <c r="G92" s="593">
        <f t="shared" ref="G92:G93" si="9">F92-E92</f>
        <v>91</v>
      </c>
      <c r="H92" s="580">
        <f>G92+'[1]8'!H92</f>
        <v>838</v>
      </c>
      <c r="I92" s="600"/>
      <c r="J92" s="673">
        <f>H92/DAY(B2)</f>
        <v>93.111111111111114</v>
      </c>
      <c r="K92" s="509"/>
      <c r="L92" s="405"/>
      <c r="N92" s="410">
        <v>0</v>
      </c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'[1]8'!F93</f>
        <v>163744</v>
      </c>
      <c r="F93" s="598">
        <v>163920</v>
      </c>
      <c r="G93" s="593">
        <f t="shared" si="9"/>
        <v>176</v>
      </c>
      <c r="H93" s="580">
        <f>G93+'[1]8'!H93</f>
        <v>1278</v>
      </c>
      <c r="I93" s="600"/>
      <c r="J93" s="673">
        <f>H93/DAY(B2)</f>
        <v>142</v>
      </c>
      <c r="K93" s="408"/>
      <c r="L93" s="405"/>
      <c r="N93" s="410">
        <v>71</v>
      </c>
    </row>
    <row r="94" spans="1:15" x14ac:dyDescent="0.5">
      <c r="A94" s="1392" t="s">
        <v>235</v>
      </c>
      <c r="B94" s="1393"/>
      <c r="C94" s="1394"/>
      <c r="D94" s="643"/>
      <c r="E94" s="604">
        <f>'[1]8'!F94</f>
        <v>0</v>
      </c>
      <c r="F94" s="598"/>
      <c r="G94" s="593">
        <f>G92+G93</f>
        <v>267</v>
      </c>
      <c r="H94" s="580">
        <f>G94+'[1]8'!H94</f>
        <v>1853</v>
      </c>
      <c r="I94" s="600"/>
      <c r="J94" s="673">
        <f>H94/DAY(B2)</f>
        <v>205.88888888888889</v>
      </c>
      <c r="K94" s="408"/>
      <c r="L94" s="405"/>
      <c r="N94" s="410">
        <v>71</v>
      </c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'[1]8'!F95</f>
        <v>402034</v>
      </c>
      <c r="F95" s="598">
        <v>402088</v>
      </c>
      <c r="G95" s="593">
        <f t="shared" ref="G95:G100" si="10">F95-E95</f>
        <v>54</v>
      </c>
      <c r="H95" s="580">
        <f>G95+'[1]8'!H95</f>
        <v>523</v>
      </c>
      <c r="I95" s="600"/>
      <c r="J95" s="673">
        <f>H95/DAY(B2)</f>
        <v>58.111111111111114</v>
      </c>
      <c r="K95" s="408"/>
      <c r="L95" s="405"/>
      <c r="N95" s="410">
        <v>26</v>
      </c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'[1]8'!F96</f>
        <v>99353</v>
      </c>
      <c r="F96" s="598">
        <v>99378</v>
      </c>
      <c r="G96" s="593">
        <f t="shared" si="10"/>
        <v>25</v>
      </c>
      <c r="H96" s="580">
        <f>G96+'[1]8'!H96</f>
        <v>267</v>
      </c>
      <c r="I96" s="600"/>
      <c r="J96" s="673">
        <f>H96/DAY(B2)</f>
        <v>29.666666666666668</v>
      </c>
      <c r="K96" s="507"/>
      <c r="L96" s="405"/>
      <c r="N96" s="410">
        <v>11</v>
      </c>
    </row>
    <row r="97" spans="1:14" ht="27.75" x14ac:dyDescent="0.5">
      <c r="A97" s="1354" t="s">
        <v>238</v>
      </c>
      <c r="B97" s="1355"/>
      <c r="C97" s="1355"/>
      <c r="D97" s="643" t="s">
        <v>171</v>
      </c>
      <c r="E97" s="604">
        <f>'[1]8'!F97</f>
        <v>94446</v>
      </c>
      <c r="F97" s="598">
        <v>94470</v>
      </c>
      <c r="G97" s="593">
        <f t="shared" si="10"/>
        <v>24</v>
      </c>
      <c r="H97" s="580">
        <f>G97+'[1]8'!H97</f>
        <v>198</v>
      </c>
      <c r="I97" s="600"/>
      <c r="J97" s="673">
        <f>H97/DAY(B2)</f>
        <v>22</v>
      </c>
      <c r="K97" s="512"/>
      <c r="L97" s="405"/>
      <c r="N97" s="410">
        <v>9</v>
      </c>
    </row>
    <row r="98" spans="1:14" ht="27.75" x14ac:dyDescent="0.5">
      <c r="A98" s="1354" t="s">
        <v>239</v>
      </c>
      <c r="B98" s="1355"/>
      <c r="C98" s="1355"/>
      <c r="D98" s="643" t="s">
        <v>171</v>
      </c>
      <c r="E98" s="604">
        <f>'[1]8'!F98</f>
        <v>142541</v>
      </c>
      <c r="F98" s="598">
        <v>142591</v>
      </c>
      <c r="G98" s="593">
        <f t="shared" si="10"/>
        <v>50</v>
      </c>
      <c r="H98" s="580">
        <f>G98+'[1]8'!H98</f>
        <v>445</v>
      </c>
      <c r="I98" s="600"/>
      <c r="J98" s="673">
        <f>H98/DAY(B2)</f>
        <v>49.444444444444443</v>
      </c>
      <c r="K98" s="408"/>
      <c r="L98" s="405"/>
      <c r="N98" s="823">
        <v>24</v>
      </c>
    </row>
    <row r="99" spans="1:14" ht="27.75" x14ac:dyDescent="0.5">
      <c r="A99" s="1354" t="s">
        <v>240</v>
      </c>
      <c r="B99" s="1355"/>
      <c r="C99" s="1355"/>
      <c r="D99" s="643" t="s">
        <v>171</v>
      </c>
      <c r="E99" s="604">
        <f>'[1]8'!F99</f>
        <v>5158</v>
      </c>
      <c r="F99" s="598">
        <v>5174</v>
      </c>
      <c r="G99" s="593">
        <f t="shared" si="10"/>
        <v>16</v>
      </c>
      <c r="H99" s="580">
        <f>G99+'[1]8'!H99</f>
        <v>206</v>
      </c>
      <c r="I99" s="600"/>
      <c r="J99" s="673">
        <f>H99/DAY(B2)</f>
        <v>22.888888888888889</v>
      </c>
      <c r="K99" s="408"/>
      <c r="L99" s="405"/>
      <c r="N99" s="410">
        <v>3</v>
      </c>
    </row>
    <row r="100" spans="1:14" ht="27.75" x14ac:dyDescent="0.5">
      <c r="A100" s="1354" t="s">
        <v>241</v>
      </c>
      <c r="B100" s="1355"/>
      <c r="C100" s="1355"/>
      <c r="D100" s="643" t="s">
        <v>171</v>
      </c>
      <c r="E100" s="604">
        <f>'[1]8'!F100</f>
        <v>3674</v>
      </c>
      <c r="F100" s="598">
        <v>3674</v>
      </c>
      <c r="G100" s="593">
        <f t="shared" si="10"/>
        <v>0</v>
      </c>
      <c r="H100" s="580">
        <f>G100+'[1]8'!H100</f>
        <v>0</v>
      </c>
      <c r="I100" s="600"/>
      <c r="J100" s="673">
        <f>H100/DAY(B2)</f>
        <v>0</v>
      </c>
      <c r="K100" s="408"/>
      <c r="L100" s="405"/>
      <c r="N100" s="410">
        <v>0</v>
      </c>
    </row>
    <row r="101" spans="1:14" x14ac:dyDescent="0.5">
      <c r="A101" s="1392" t="s">
        <v>242</v>
      </c>
      <c r="B101" s="1393"/>
      <c r="C101" s="1394"/>
      <c r="D101" s="644"/>
      <c r="E101" s="604"/>
      <c r="F101" s="644"/>
      <c r="G101" s="645">
        <f>SUM(G95:G100)</f>
        <v>169</v>
      </c>
      <c r="H101" s="580">
        <f>G101+'[1]8'!H101</f>
        <v>1639</v>
      </c>
      <c r="I101" s="646"/>
      <c r="J101" s="673">
        <f>H101/DAY(B2)</f>
        <v>182.11111111111111</v>
      </c>
      <c r="K101" s="408"/>
      <c r="L101" s="405"/>
      <c r="N101" s="410">
        <v>73</v>
      </c>
    </row>
    <row r="102" spans="1:14" s="524" customFormat="1" ht="27" x14ac:dyDescent="0.4">
      <c r="A102" s="728" t="s">
        <v>243</v>
      </c>
      <c r="B102" s="729"/>
      <c r="C102" s="729"/>
      <c r="D102" s="742"/>
      <c r="E102" s="604"/>
      <c r="F102" s="774"/>
      <c r="G102" s="649"/>
      <c r="H102" s="650"/>
      <c r="I102" s="651"/>
      <c r="J102" s="678"/>
      <c r="N102" s="410"/>
    </row>
    <row r="103" spans="1:14" s="524" customFormat="1" ht="27.75" x14ac:dyDescent="0.5">
      <c r="A103" s="1404" t="s">
        <v>244</v>
      </c>
      <c r="B103" s="1405"/>
      <c r="C103" s="694"/>
      <c r="D103" s="743"/>
      <c r="E103" s="604"/>
      <c r="F103" s="775"/>
      <c r="G103" s="652"/>
      <c r="H103" s="653"/>
      <c r="I103" s="652"/>
      <c r="J103" s="679"/>
      <c r="N103" s="410"/>
    </row>
    <row r="104" spans="1:14" s="524" customFormat="1" ht="27.75" x14ac:dyDescent="0.5">
      <c r="A104" s="1406" t="s">
        <v>245</v>
      </c>
      <c r="B104" s="1407"/>
      <c r="C104" s="1359"/>
      <c r="D104" s="743" t="s">
        <v>171</v>
      </c>
      <c r="E104" s="604">
        <f>'[1]8'!F104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6.333333333333333</v>
      </c>
      <c r="N104" s="410">
        <v>0</v>
      </c>
    </row>
    <row r="105" spans="1:14" s="524" customFormat="1" ht="27.75" x14ac:dyDescent="0.5">
      <c r="A105" s="1406" t="s">
        <v>92</v>
      </c>
      <c r="B105" s="1407"/>
      <c r="C105" s="1359"/>
      <c r="D105" s="743" t="s">
        <v>171</v>
      </c>
      <c r="E105" s="604">
        <f>'[1]8'!F105</f>
        <v>34714</v>
      </c>
      <c r="F105" s="776">
        <v>34719</v>
      </c>
      <c r="G105" s="652">
        <f t="shared" ref="G105:G106" si="11">F105-E105</f>
        <v>5</v>
      </c>
      <c r="H105" s="653">
        <f>SUM(G105+'[1]1'!G77)</f>
        <v>60</v>
      </c>
      <c r="I105" s="652"/>
      <c r="J105" s="679">
        <f>H105/DAY(B2)</f>
        <v>6.666666666666667</v>
      </c>
      <c r="N105" s="410">
        <v>0</v>
      </c>
    </row>
    <row r="106" spans="1:14" s="524" customFormat="1" ht="27.75" x14ac:dyDescent="0.5">
      <c r="A106" s="1406" t="s">
        <v>93</v>
      </c>
      <c r="B106" s="1408"/>
      <c r="C106" s="1407"/>
      <c r="D106" s="743" t="s">
        <v>171</v>
      </c>
      <c r="E106" s="604">
        <f>'[1]8'!F106</f>
        <v>18775</v>
      </c>
      <c r="F106" s="924">
        <v>18780</v>
      </c>
      <c r="G106" s="652">
        <f t="shared" si="11"/>
        <v>5</v>
      </c>
      <c r="H106" s="653">
        <f>SUM(G106+'[1]1'!G78)</f>
        <v>485</v>
      </c>
      <c r="I106" s="652"/>
      <c r="J106" s="679">
        <f>H106/DAY(B2)</f>
        <v>53.888888888888886</v>
      </c>
      <c r="N106" s="410">
        <v>4</v>
      </c>
    </row>
    <row r="107" spans="1:14" s="524" customFormat="1" ht="27.75" x14ac:dyDescent="0.5">
      <c r="A107" s="1409" t="s">
        <v>82</v>
      </c>
      <c r="B107" s="1410"/>
      <c r="C107" s="1359"/>
      <c r="D107" s="743"/>
      <c r="E107" s="604"/>
      <c r="F107" s="776"/>
      <c r="G107" s="652">
        <f>SUM(G104:G106)</f>
        <v>10</v>
      </c>
      <c r="H107" s="653">
        <f>SUM(G107+'[1]1'!G79)</f>
        <v>211</v>
      </c>
      <c r="I107" s="652"/>
      <c r="J107" s="679">
        <f>H107/DAY(B2)</f>
        <v>23.444444444444443</v>
      </c>
      <c r="N107" s="410">
        <v>4</v>
      </c>
    </row>
    <row r="108" spans="1:14" s="524" customFormat="1" ht="27.75" x14ac:dyDescent="0.5">
      <c r="A108" s="1411" t="s">
        <v>94</v>
      </c>
      <c r="B108" s="1412"/>
      <c r="C108" s="1359"/>
      <c r="D108" s="743" t="s">
        <v>171</v>
      </c>
      <c r="E108" s="604">
        <f>'[1]8'!F108</f>
        <v>0</v>
      </c>
      <c r="F108" s="776"/>
      <c r="G108" s="652"/>
      <c r="H108" s="653"/>
      <c r="I108" s="652"/>
      <c r="J108" s="679"/>
      <c r="N108" s="410"/>
    </row>
    <row r="109" spans="1:14" s="524" customFormat="1" ht="27.75" x14ac:dyDescent="0.5">
      <c r="A109" s="1406" t="s">
        <v>246</v>
      </c>
      <c r="B109" s="1407"/>
      <c r="C109" s="1359"/>
      <c r="D109" s="743" t="s">
        <v>171</v>
      </c>
      <c r="E109" s="818">
        <f>'[1]8'!F109</f>
        <v>51719</v>
      </c>
      <c r="F109" s="924">
        <v>51838</v>
      </c>
      <c r="G109" s="837">
        <f>F109-E109</f>
        <v>119</v>
      </c>
      <c r="H109" s="653">
        <f>SUM(G109+'[1]1'!G81)</f>
        <v>272.28000000002794</v>
      </c>
      <c r="I109" s="652"/>
      <c r="J109" s="679">
        <f>H109/DAY(B2)</f>
        <v>30.253333333336439</v>
      </c>
      <c r="N109" s="410">
        <v>40</v>
      </c>
    </row>
    <row r="110" spans="1:14" s="524" customFormat="1" ht="27.75" x14ac:dyDescent="0.5">
      <c r="A110" s="1406" t="s">
        <v>247</v>
      </c>
      <c r="B110" s="1407"/>
      <c r="C110" s="1359"/>
      <c r="D110" s="743" t="s">
        <v>171</v>
      </c>
      <c r="E110" s="604">
        <f>'[1]8'!F110</f>
        <v>25709</v>
      </c>
      <c r="F110" s="776">
        <v>25750</v>
      </c>
      <c r="G110" s="652">
        <f t="shared" ref="G110:G111" si="12">F110-E110</f>
        <v>41</v>
      </c>
      <c r="H110" s="653">
        <f>SUM(G110+'[1]1'!G82)</f>
        <v>61.760000000009313</v>
      </c>
      <c r="I110" s="652"/>
      <c r="J110" s="679">
        <f>H110/DAY(B2)</f>
        <v>6.8622222222232567</v>
      </c>
      <c r="N110" s="410">
        <v>43</v>
      </c>
    </row>
    <row r="111" spans="1:14" s="524" customFormat="1" ht="27.75" x14ac:dyDescent="0.5">
      <c r="A111" s="1406" t="s">
        <v>248</v>
      </c>
      <c r="B111" s="1407"/>
      <c r="C111" s="1359"/>
      <c r="D111" s="743" t="s">
        <v>171</v>
      </c>
      <c r="E111" s="604">
        <f>'[1]8'!F111</f>
        <v>3434</v>
      </c>
      <c r="F111" s="776">
        <v>3434</v>
      </c>
      <c r="G111" s="652">
        <f t="shared" si="12"/>
        <v>0</v>
      </c>
      <c r="H111" s="653">
        <f>SUM(G111+'[1]1'!G83)</f>
        <v>346</v>
      </c>
      <c r="I111" s="652"/>
      <c r="J111" s="679">
        <f>H111/DAY(B2)</f>
        <v>38.444444444444443</v>
      </c>
      <c r="N111" s="410">
        <v>0</v>
      </c>
    </row>
    <row r="112" spans="1:14" s="524" customFormat="1" ht="27.75" x14ac:dyDescent="0.5">
      <c r="A112" s="1409" t="s">
        <v>136</v>
      </c>
      <c r="B112" s="1410"/>
      <c r="C112" s="1359"/>
      <c r="D112" s="743"/>
      <c r="E112" s="604"/>
      <c r="F112" s="776"/>
      <c r="G112" s="652">
        <f>SUM(G109:G111)</f>
        <v>160</v>
      </c>
      <c r="H112" s="653">
        <f>SUM(G112+'[1]1'!G84)</f>
        <v>724</v>
      </c>
      <c r="I112" s="652"/>
      <c r="J112" s="679">
        <f>H112/DAY(B2)</f>
        <v>80.444444444444443</v>
      </c>
      <c r="N112" s="410">
        <v>83</v>
      </c>
    </row>
    <row r="113" spans="1:14" s="524" customFormat="1" ht="27.75" x14ac:dyDescent="0.5">
      <c r="A113" s="1411" t="s">
        <v>249</v>
      </c>
      <c r="B113" s="1412"/>
      <c r="C113" s="1359"/>
      <c r="D113" s="743"/>
      <c r="E113" s="604"/>
      <c r="F113" s="776"/>
      <c r="G113" s="652"/>
      <c r="H113" s="653"/>
      <c r="I113" s="652"/>
      <c r="J113" s="679">
        <f>H113/DAY(B2)</f>
        <v>0</v>
      </c>
      <c r="N113" s="410"/>
    </row>
    <row r="114" spans="1:14" s="524" customFormat="1" ht="27.75" x14ac:dyDescent="0.5">
      <c r="A114" s="1406" t="s">
        <v>250</v>
      </c>
      <c r="B114" s="1407"/>
      <c r="C114" s="695"/>
      <c r="D114" s="743" t="s">
        <v>171</v>
      </c>
      <c r="E114" s="604">
        <f>'[1]8'!F114</f>
        <v>8825</v>
      </c>
      <c r="F114" s="776">
        <v>8846</v>
      </c>
      <c r="G114" s="654">
        <f>F114-E114</f>
        <v>21</v>
      </c>
      <c r="H114" s="653">
        <f>SUM(G114+'[1]1'!G91)</f>
        <v>21</v>
      </c>
      <c r="I114" s="652"/>
      <c r="J114" s="679">
        <f>H114/DAY(B2)</f>
        <v>2.3333333333333335</v>
      </c>
      <c r="N114" s="410">
        <v>5</v>
      </c>
    </row>
    <row r="115" spans="1:14" s="524" customFormat="1" ht="27.75" x14ac:dyDescent="0.5">
      <c r="A115" s="1406" t="s">
        <v>251</v>
      </c>
      <c r="B115" s="1407"/>
      <c r="C115" s="695"/>
      <c r="D115" s="743" t="s">
        <v>171</v>
      </c>
      <c r="E115" s="604">
        <f>'[1]8'!F115</f>
        <v>6919</v>
      </c>
      <c r="F115" s="776">
        <v>6926</v>
      </c>
      <c r="G115" s="654">
        <f t="shared" ref="G115:G116" si="13">F115-E115</f>
        <v>7</v>
      </c>
      <c r="H115" s="653">
        <f>SUM(G115+'[1]1'!G92)</f>
        <v>119</v>
      </c>
      <c r="I115" s="652"/>
      <c r="J115" s="679">
        <f>H115/DAY(B2)</f>
        <v>13.222222222222221</v>
      </c>
      <c r="N115" s="410">
        <v>3</v>
      </c>
    </row>
    <row r="116" spans="1:14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776"/>
      <c r="G116" s="654">
        <f t="shared" si="13"/>
        <v>0</v>
      </c>
      <c r="H116" s="653">
        <f>SUM(G116+'[1]1'!G93)</f>
        <v>151</v>
      </c>
      <c r="I116" s="652"/>
      <c r="J116" s="679">
        <f>H116/DAY(B2)</f>
        <v>16.777777777777779</v>
      </c>
      <c r="N116" s="410">
        <v>0</v>
      </c>
    </row>
    <row r="117" spans="1:14" s="537" customFormat="1" ht="27.75" x14ac:dyDescent="0.5">
      <c r="A117" s="1409" t="s">
        <v>82</v>
      </c>
      <c r="B117" s="1410"/>
      <c r="C117" s="695"/>
      <c r="D117" s="744"/>
      <c r="E117" s="654"/>
      <c r="F117" s="776"/>
      <c r="G117" s="654">
        <f>SUM(G114:G116)</f>
        <v>28</v>
      </c>
      <c r="H117" s="653">
        <f>SUM(G117+'[1]1'!G95)</f>
        <v>75</v>
      </c>
      <c r="I117" s="654"/>
      <c r="J117" s="679">
        <f>H117/DAY(B2)</f>
        <v>8.3333333333333339</v>
      </c>
      <c r="N117" s="410">
        <v>8</v>
      </c>
    </row>
    <row r="118" spans="1:14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143</v>
      </c>
      <c r="G118" s="656">
        <f>SUM(G19+G92)</f>
        <v>143</v>
      </c>
      <c r="H118" s="653">
        <f>SUM(G118+'[1]1'!G96)</f>
        <v>176</v>
      </c>
      <c r="I118" s="655"/>
      <c r="J118" s="680">
        <f>H118/DAY(B2)</f>
        <v>19.555555555555557</v>
      </c>
      <c r="N118" s="410">
        <v>55</v>
      </c>
    </row>
    <row r="119" spans="1:14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119</v>
      </c>
      <c r="G119" s="656">
        <f>SUM(G95,G96,G97,G99,G100)</f>
        <v>119</v>
      </c>
      <c r="H119" s="653">
        <f>SUM(G119+'[1]1'!G98)</f>
        <v>186</v>
      </c>
      <c r="I119" s="655"/>
      <c r="J119" s="680">
        <f>H119/DAY(B2)</f>
        <v>20.666666666666668</v>
      </c>
      <c r="N119" s="410">
        <v>49</v>
      </c>
    </row>
    <row r="120" spans="1:14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160</v>
      </c>
      <c r="G120" s="654">
        <f>SUM(G112)</f>
        <v>160</v>
      </c>
      <c r="H120" s="653">
        <f>SUM(G120+'[1]1'!G100)</f>
        <v>160</v>
      </c>
      <c r="I120" s="655"/>
      <c r="J120" s="680">
        <f>H120/DAY(B2)</f>
        <v>17.777777777777779</v>
      </c>
      <c r="N120" s="410">
        <v>83</v>
      </c>
    </row>
    <row r="121" spans="1:14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N121" s="410"/>
    </row>
    <row r="122" spans="1:14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410"/>
    </row>
    <row r="123" spans="1:14" ht="27.75" x14ac:dyDescent="0.5">
      <c r="A123" s="1354" t="s">
        <v>257</v>
      </c>
      <c r="B123" s="1355"/>
      <c r="C123" s="1355"/>
      <c r="D123" s="643" t="s">
        <v>168</v>
      </c>
      <c r="E123" s="598">
        <f>'[1]8'!F123</f>
        <v>790433.58</v>
      </c>
      <c r="F123" s="598">
        <v>790618.83</v>
      </c>
      <c r="G123" s="593">
        <f t="shared" ref="G123:G127" si="14">F123-E123</f>
        <v>185.25</v>
      </c>
      <c r="H123" s="580">
        <f>G123+'[1]8'!H123</f>
        <v>1787.7600000000093</v>
      </c>
      <c r="I123" s="646"/>
      <c r="J123" s="673">
        <f>H123/DAY(B2)</f>
        <v>198.64000000000104</v>
      </c>
      <c r="K123" s="408"/>
      <c r="L123" s="405"/>
      <c r="N123" s="410">
        <v>111.45100000000093</v>
      </c>
    </row>
    <row r="124" spans="1:14" ht="27.75" x14ac:dyDescent="0.5">
      <c r="A124" s="1354" t="s">
        <v>258</v>
      </c>
      <c r="B124" s="1355"/>
      <c r="C124" s="1355"/>
      <c r="D124" s="643" t="s">
        <v>168</v>
      </c>
      <c r="E124" s="747">
        <f>'[1]8'!F124</f>
        <v>73582</v>
      </c>
      <c r="F124" s="747">
        <v>73582</v>
      </c>
      <c r="G124" s="593">
        <f t="shared" si="14"/>
        <v>0</v>
      </c>
      <c r="H124" s="580">
        <f>G124+'[1]8'!H124</f>
        <v>-0.19999999999708962</v>
      </c>
      <c r="I124" s="646"/>
      <c r="J124" s="673">
        <f>H124/DAY(B2)</f>
        <v>-2.2222222221898846E-2</v>
      </c>
      <c r="K124" s="408"/>
      <c r="L124" s="405"/>
      <c r="N124" s="410">
        <v>0</v>
      </c>
    </row>
    <row r="125" spans="1:14" ht="27.75" x14ac:dyDescent="0.5">
      <c r="A125" s="1395" t="s">
        <v>259</v>
      </c>
      <c r="B125" s="1396"/>
      <c r="C125" s="1397"/>
      <c r="D125" s="643" t="s">
        <v>168</v>
      </c>
      <c r="E125" s="598">
        <f>'[1]8'!F125</f>
        <v>133802.04</v>
      </c>
      <c r="F125" s="598">
        <v>133904.17000000001</v>
      </c>
      <c r="G125" s="593">
        <f t="shared" si="14"/>
        <v>102.13000000000466</v>
      </c>
      <c r="H125" s="580">
        <f>G125+'[1]8'!H125</f>
        <v>781.29000000000815</v>
      </c>
      <c r="I125" s="646"/>
      <c r="J125" s="673">
        <f>H125/DAY(B2)</f>
        <v>86.810000000000912</v>
      </c>
      <c r="K125" s="408"/>
      <c r="L125" s="405"/>
      <c r="N125" s="410">
        <v>43.220000000001164</v>
      </c>
    </row>
    <row r="126" spans="1:14" ht="27.75" x14ac:dyDescent="0.5">
      <c r="A126" s="730" t="s">
        <v>260</v>
      </c>
      <c r="B126" s="1355"/>
      <c r="C126" s="1355"/>
      <c r="D126" s="643" t="s">
        <v>168</v>
      </c>
      <c r="E126" s="747">
        <f>'[1]8'!F126</f>
        <v>56564.4</v>
      </c>
      <c r="F126" s="1284">
        <v>56601.599999999999</v>
      </c>
      <c r="G126" s="593">
        <f t="shared" si="14"/>
        <v>37.19999999999709</v>
      </c>
      <c r="H126" s="580">
        <f>G126+'[1]8'!H126</f>
        <v>253.40000000000146</v>
      </c>
      <c r="I126" s="646"/>
      <c r="J126" s="673">
        <f>H126/DAY(B2)</f>
        <v>28.155555555555718</v>
      </c>
      <c r="K126" s="408"/>
      <c r="L126" s="405"/>
      <c r="N126" s="410">
        <v>0</v>
      </c>
    </row>
    <row r="127" spans="1:14" ht="27.75" x14ac:dyDescent="0.5">
      <c r="A127" s="730" t="s">
        <v>261</v>
      </c>
      <c r="B127" s="1355"/>
      <c r="C127" s="1355"/>
      <c r="D127" s="643" t="s">
        <v>168</v>
      </c>
      <c r="E127" s="747">
        <f>'[1]8'!F127</f>
        <v>8640.1</v>
      </c>
      <c r="F127" s="747">
        <v>8640.1</v>
      </c>
      <c r="G127" s="593">
        <f t="shared" si="14"/>
        <v>0</v>
      </c>
      <c r="H127" s="580">
        <f>G127+'[1]8'!H127</f>
        <v>0</v>
      </c>
      <c r="I127" s="600"/>
      <c r="J127" s="673">
        <f>H127/DAY(B2)</f>
        <v>0</v>
      </c>
      <c r="K127" s="408"/>
      <c r="L127" s="405"/>
      <c r="N127" s="410">
        <v>0</v>
      </c>
    </row>
    <row r="128" spans="1:14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496.00999999984924</v>
      </c>
      <c r="H128" s="580"/>
      <c r="I128" s="600"/>
      <c r="J128" s="673"/>
      <c r="K128" s="388"/>
      <c r="L128" s="290"/>
      <c r="N128" s="410">
        <v>175.87500000008731</v>
      </c>
    </row>
    <row r="129" spans="1:14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410"/>
    </row>
    <row r="130" spans="1:14" ht="27.75" x14ac:dyDescent="0.5">
      <c r="A130" s="1354" t="s">
        <v>264</v>
      </c>
      <c r="B130" s="1355"/>
      <c r="C130" s="1355"/>
      <c r="D130" s="643" t="s">
        <v>265</v>
      </c>
      <c r="E130" s="604">
        <f>'[1]8'!F130</f>
        <v>0</v>
      </c>
      <c r="F130" s="598">
        <v>0</v>
      </c>
      <c r="G130" s="593">
        <f t="shared" ref="G130:G140" si="15">F130-E130</f>
        <v>0</v>
      </c>
      <c r="H130" s="580">
        <f>G130+'[1]8'!H130</f>
        <v>0</v>
      </c>
      <c r="I130" s="600"/>
      <c r="J130" s="673">
        <f>H130/DAY(B2)</f>
        <v>0</v>
      </c>
      <c r="N130" s="410">
        <v>0</v>
      </c>
    </row>
    <row r="131" spans="1:14" ht="27.75" x14ac:dyDescent="0.5">
      <c r="A131" s="1354" t="s">
        <v>266</v>
      </c>
      <c r="B131" s="1355"/>
      <c r="C131" s="1355"/>
      <c r="D131" s="643" t="s">
        <v>265</v>
      </c>
      <c r="E131" s="604">
        <f>'[1]8'!F131</f>
        <v>0</v>
      </c>
      <c r="F131" s="598">
        <v>0</v>
      </c>
      <c r="G131" s="593">
        <f t="shared" si="15"/>
        <v>0</v>
      </c>
      <c r="H131" s="580">
        <f>G131+'[1]8'!H131</f>
        <v>0</v>
      </c>
      <c r="I131" s="600"/>
      <c r="J131" s="673">
        <f>H131/DAY(B2)</f>
        <v>0</v>
      </c>
      <c r="N131" s="410">
        <v>0</v>
      </c>
    </row>
    <row r="132" spans="1:14" ht="27.75" x14ac:dyDescent="0.5">
      <c r="A132" s="1354" t="s">
        <v>267</v>
      </c>
      <c r="B132" s="1355"/>
      <c r="C132" s="1355"/>
      <c r="D132" s="643" t="s">
        <v>265</v>
      </c>
      <c r="E132" s="818">
        <f>'[1]8'!F132</f>
        <v>38877</v>
      </c>
      <c r="F132" s="747">
        <v>38877</v>
      </c>
      <c r="G132" s="593">
        <f t="shared" si="15"/>
        <v>0</v>
      </c>
      <c r="H132" s="580">
        <f>G132+'[1]8'!H132</f>
        <v>0</v>
      </c>
      <c r="I132" s="600"/>
      <c r="J132" s="673">
        <f>H132/DAY(B2)</f>
        <v>0</v>
      </c>
      <c r="N132" s="410">
        <v>22</v>
      </c>
    </row>
    <row r="133" spans="1:14" ht="27.75" x14ac:dyDescent="0.5">
      <c r="A133" s="1354" t="s">
        <v>268</v>
      </c>
      <c r="B133" s="1355"/>
      <c r="C133" s="1355"/>
      <c r="D133" s="643" t="s">
        <v>265</v>
      </c>
      <c r="E133" s="642">
        <f>'[1]8'!F133</f>
        <v>116.22</v>
      </c>
      <c r="F133" s="605">
        <v>140.08000000000001</v>
      </c>
      <c r="G133" s="593">
        <f t="shared" si="15"/>
        <v>23.860000000000014</v>
      </c>
      <c r="H133" s="580">
        <f>G133+'[1]8'!H133</f>
        <v>140.08000000000001</v>
      </c>
      <c r="I133" s="600">
        <f>G130+G131+G132+G133</f>
        <v>23.860000000000014</v>
      </c>
      <c r="J133" s="673">
        <f>H133/DAY(B2)</f>
        <v>15.564444444444446</v>
      </c>
      <c r="N133" s="410">
        <v>0</v>
      </c>
    </row>
    <row r="134" spans="1:14" ht="27.75" x14ac:dyDescent="0.5">
      <c r="A134" s="1354" t="s">
        <v>269</v>
      </c>
      <c r="B134" s="1355"/>
      <c r="C134" s="1355"/>
      <c r="D134" s="643" t="s">
        <v>265</v>
      </c>
      <c r="E134" s="818">
        <v>39735</v>
      </c>
      <c r="F134" s="747">
        <v>39735</v>
      </c>
      <c r="G134" s="593">
        <f t="shared" si="15"/>
        <v>0</v>
      </c>
      <c r="H134" s="580">
        <f>G134+'[1]8'!H134</f>
        <v>0</v>
      </c>
      <c r="I134" s="600"/>
      <c r="J134" s="673">
        <f>H134/DAY(B2)</f>
        <v>0</v>
      </c>
      <c r="N134" s="410">
        <v>0</v>
      </c>
    </row>
    <row r="135" spans="1:14" ht="27.75" x14ac:dyDescent="0.5">
      <c r="A135" s="1354" t="s">
        <v>270</v>
      </c>
      <c r="B135" s="1355"/>
      <c r="C135" s="1355"/>
      <c r="D135" s="643" t="s">
        <v>265</v>
      </c>
      <c r="E135" s="818">
        <f>'[1]8'!F135</f>
        <v>31793.09</v>
      </c>
      <c r="F135" s="747">
        <v>31793.09</v>
      </c>
      <c r="G135" s="593">
        <f t="shared" si="15"/>
        <v>0</v>
      </c>
      <c r="H135" s="580">
        <f>G135+'[1]8'!H135</f>
        <v>75.569999999999709</v>
      </c>
      <c r="I135" s="600"/>
      <c r="J135" s="673">
        <f>H135/DAY(B2)</f>
        <v>8.3966666666666345</v>
      </c>
      <c r="N135" s="410">
        <v>0</v>
      </c>
    </row>
    <row r="136" spans="1:14" ht="27.75" x14ac:dyDescent="0.5">
      <c r="A136" s="1354" t="s">
        <v>271</v>
      </c>
      <c r="B136" s="1355"/>
      <c r="C136" s="1355"/>
      <c r="D136" s="643" t="s">
        <v>265</v>
      </c>
      <c r="E136" s="662">
        <f>'[1]8'!F136</f>
        <v>21709.68</v>
      </c>
      <c r="F136" s="768">
        <v>21718.5</v>
      </c>
      <c r="G136" s="593">
        <f t="shared" si="15"/>
        <v>8.819999999999709</v>
      </c>
      <c r="H136" s="580">
        <f>G136+'[1]8'!H136</f>
        <v>43.779999999998836</v>
      </c>
      <c r="I136" s="600">
        <f>G134+G135+G136</f>
        <v>8.819999999999709</v>
      </c>
      <c r="J136" s="673">
        <f>H136/DAY(B2)</f>
        <v>4.8644444444443149</v>
      </c>
      <c r="N136" s="410">
        <v>-0.2999999999992724</v>
      </c>
    </row>
    <row r="137" spans="1:14" ht="27.75" x14ac:dyDescent="0.5">
      <c r="A137" s="1354" t="s">
        <v>272</v>
      </c>
      <c r="B137" s="1355"/>
      <c r="C137" s="1355"/>
      <c r="D137" s="643" t="s">
        <v>265</v>
      </c>
      <c r="E137" s="662">
        <f>'[1]8'!F137</f>
        <v>24932.51</v>
      </c>
      <c r="F137" s="768">
        <v>24932.51</v>
      </c>
      <c r="G137" s="593">
        <f t="shared" si="15"/>
        <v>0</v>
      </c>
      <c r="H137" s="580">
        <f>G137+'[1]8'!H137</f>
        <v>0</v>
      </c>
      <c r="I137" s="600"/>
      <c r="J137" s="673">
        <f>H137/DAY(B2)</f>
        <v>0</v>
      </c>
      <c r="N137" s="410">
        <v>0</v>
      </c>
    </row>
    <row r="138" spans="1:14" ht="27.75" x14ac:dyDescent="0.5">
      <c r="A138" s="1354" t="s">
        <v>273</v>
      </c>
      <c r="B138" s="1355"/>
      <c r="C138" s="1355"/>
      <c r="D138" s="643" t="s">
        <v>265</v>
      </c>
      <c r="E138" s="662">
        <f>'[1]8'!F138</f>
        <v>69982.929999999993</v>
      </c>
      <c r="F138" s="768">
        <v>69982.929999999993</v>
      </c>
      <c r="G138" s="593">
        <f>F138-E138</f>
        <v>0</v>
      </c>
      <c r="H138" s="580">
        <f>G138+'[1]8'!H138</f>
        <v>27.719999999986612</v>
      </c>
      <c r="I138" s="600">
        <f>G137+G138</f>
        <v>0</v>
      </c>
      <c r="J138" s="673">
        <f>H138/DAY(B2)</f>
        <v>3.0799999999985124</v>
      </c>
      <c r="N138" s="410">
        <v>9.7100000000064028</v>
      </c>
    </row>
    <row r="139" spans="1:14" ht="27.75" x14ac:dyDescent="0.5">
      <c r="A139" s="1354" t="s">
        <v>274</v>
      </c>
      <c r="B139" s="1355"/>
      <c r="C139" s="1355"/>
      <c r="D139" s="643" t="s">
        <v>265</v>
      </c>
      <c r="E139" s="818">
        <f>'[1]8'!F139</f>
        <v>986.54</v>
      </c>
      <c r="F139" s="747">
        <v>991.73</v>
      </c>
      <c r="G139" s="593">
        <f t="shared" si="15"/>
        <v>5.1900000000000546</v>
      </c>
      <c r="H139" s="580">
        <f>G139+'[1]8'!H139</f>
        <v>50.200000000000045</v>
      </c>
      <c r="I139" s="663"/>
      <c r="J139" s="673">
        <f>H139/DAY(B2)</f>
        <v>5.5777777777777828</v>
      </c>
      <c r="N139" s="410">
        <v>0</v>
      </c>
    </row>
    <row r="140" spans="1:14" ht="27.75" x14ac:dyDescent="0.5">
      <c r="A140" s="1354" t="s">
        <v>275</v>
      </c>
      <c r="B140" s="1355"/>
      <c r="C140" s="1355"/>
      <c r="D140" s="643" t="s">
        <v>265</v>
      </c>
      <c r="E140" s="604">
        <f>'[1]8'!F140</f>
        <v>4156.9799999999996</v>
      </c>
      <c r="F140" s="598">
        <v>4156.9799999999996</v>
      </c>
      <c r="G140" s="593">
        <f t="shared" si="15"/>
        <v>0</v>
      </c>
      <c r="H140" s="580">
        <f>G140+'[1]8'!H140</f>
        <v>7.999999999992724E-2</v>
      </c>
      <c r="I140" s="663"/>
      <c r="J140" s="673">
        <f>H140/DAY(B2)</f>
        <v>8.8888888888808051E-3</v>
      </c>
      <c r="N140" s="410">
        <v>3.6500000000000909</v>
      </c>
    </row>
    <row r="141" spans="1:14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410"/>
    </row>
    <row r="142" spans="1:14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5369.2700000000186</v>
      </c>
      <c r="H142" s="580">
        <f>G142+'[1]8'!H142</f>
        <v>45459.192999999919</v>
      </c>
      <c r="I142" s="600"/>
      <c r="J142" s="673">
        <f>H142/DAY(B2)</f>
        <v>5051.0214444444355</v>
      </c>
      <c r="K142" s="408"/>
      <c r="L142" s="405"/>
      <c r="N142" s="410">
        <v>2912.0800000000163</v>
      </c>
    </row>
    <row r="143" spans="1:14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0.24739759480256271</v>
      </c>
      <c r="H143" s="580">
        <f>G143+'[1]8'!H143</f>
        <v>2.1310480693065661</v>
      </c>
      <c r="I143" s="665"/>
      <c r="J143" s="673">
        <f>H143/DAY(B2)</f>
        <v>0.23678311881184066</v>
      </c>
      <c r="K143" s="408"/>
      <c r="L143" s="405"/>
      <c r="N143" s="410">
        <v>0.25636763799630391</v>
      </c>
    </row>
    <row r="144" spans="1:14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4804.7899999999972</v>
      </c>
      <c r="H144" s="580">
        <f>G144+'[1]8'!H144</f>
        <v>39083.129999999976</v>
      </c>
      <c r="I144" s="600"/>
      <c r="J144" s="673">
        <f>H144/DAY(B2)</f>
        <v>4342.569999999997</v>
      </c>
      <c r="K144" s="408"/>
      <c r="L144" s="405"/>
      <c r="N144" s="410">
        <v>2876.3199999999779</v>
      </c>
    </row>
    <row r="145" spans="1:14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0.22138828733354823</v>
      </c>
      <c r="H145" s="580">
        <f>G145+'[1]8'!H145</f>
        <v>1.9712276255694599</v>
      </c>
      <c r="I145" s="665"/>
      <c r="J145" s="673">
        <f>H145/DAY(B2)</f>
        <v>0.21902529172993998</v>
      </c>
      <c r="K145" s="408"/>
      <c r="L145" s="405"/>
      <c r="N145" s="410">
        <v>0.25321947354520452</v>
      </c>
    </row>
    <row r="146" spans="1:14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4334.6399999999994</v>
      </c>
      <c r="H146" s="580">
        <f>G146+'[1]8'!H146</f>
        <v>37951.172999999995</v>
      </c>
      <c r="I146" s="666"/>
      <c r="J146" s="673">
        <f>H146/DAY(B2)</f>
        <v>4216.7969999999996</v>
      </c>
      <c r="K146" s="408"/>
      <c r="L146" s="405"/>
      <c r="N146" s="410">
        <v>2036.5859000000055</v>
      </c>
    </row>
    <row r="147" spans="1:14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0.19972538358752243</v>
      </c>
      <c r="H147" s="580">
        <f>G147+'[1]8'!H147</f>
        <v>1.9148785143167595</v>
      </c>
      <c r="I147" s="666"/>
      <c r="J147" s="673">
        <f>H147/DAY(B2)</f>
        <v>0.21276427936852882</v>
      </c>
      <c r="N147" s="410">
        <v>0.17929271062593585</v>
      </c>
    </row>
    <row r="148" spans="1:14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2091.359999999986</v>
      </c>
      <c r="H148" s="580">
        <f>G148+'[1]8'!H148</f>
        <v>17309.919999999984</v>
      </c>
      <c r="I148" s="600"/>
      <c r="J148" s="673">
        <f>H148/DAY(B2)</f>
        <v>1923.3244444444426</v>
      </c>
      <c r="K148" s="409"/>
      <c r="N148" s="410">
        <v>1071.8899999999849</v>
      </c>
    </row>
    <row r="149" spans="1:14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9.6362714832050222E-2</v>
      </c>
      <c r="H149" s="580">
        <f>G149+'[1]8'!H149</f>
        <v>0.87250259681654185</v>
      </c>
      <c r="I149" s="666"/>
      <c r="J149" s="673">
        <f>H149/DAY(B2)</f>
        <v>9.6944732979615755E-2</v>
      </c>
      <c r="N149" s="410">
        <v>9.4364820846904202E-2</v>
      </c>
    </row>
    <row r="150" spans="1:14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2695.1200000000244</v>
      </c>
      <c r="H150" s="580">
        <f>G150+'[1]8'!H150</f>
        <v>20199.479999999952</v>
      </c>
      <c r="I150" s="666"/>
      <c r="J150" s="673">
        <f>H150/DAY(B2)</f>
        <v>2244.3866666666613</v>
      </c>
      <c r="N150" s="410">
        <v>1124.1299999999901</v>
      </c>
    </row>
    <row r="151" spans="1:14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0.12418191033497786</v>
      </c>
      <c r="H151" s="580">
        <f>G151+'[1]8'!H151</f>
        <v>1.0134635505657774</v>
      </c>
      <c r="I151" s="600"/>
      <c r="J151" s="673">
        <f>H151/DAY(B2)</f>
        <v>0.11260706117397527</v>
      </c>
      <c r="N151" s="410">
        <v>9.8963817237432E-2</v>
      </c>
    </row>
    <row r="152" spans="1:14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1578.1999999999971</v>
      </c>
      <c r="H152" s="580">
        <f>G152+'[1]8'!H152</f>
        <v>13109.022999999997</v>
      </c>
      <c r="I152" s="600"/>
      <c r="J152" s="673">
        <f>H152/DAY(B2)</f>
        <v>1456.5581111111107</v>
      </c>
      <c r="N152" s="410">
        <v>1164.4599999999919</v>
      </c>
    </row>
    <row r="153" spans="1:14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7.2718057411417639E-2</v>
      </c>
      <c r="H153" s="580">
        <f>G153+'[1]8'!H153</f>
        <v>0.66105431279002502</v>
      </c>
      <c r="I153" s="689"/>
      <c r="J153" s="690">
        <f>H153/DAY(B2)</f>
        <v>7.3450479198891666E-2</v>
      </c>
      <c r="N153" s="410">
        <v>0.10251430583678069</v>
      </c>
    </row>
    <row r="154" spans="1:14" x14ac:dyDescent="0.5">
      <c r="A154" s="586"/>
      <c r="B154" s="576"/>
      <c r="C154" s="576"/>
      <c r="D154" s="667"/>
      <c r="E154" s="667"/>
      <c r="F154" s="779"/>
      <c r="G154" s="667"/>
      <c r="H154" s="668"/>
      <c r="I154" s="667"/>
      <c r="J154" s="669"/>
      <c r="N154" s="410"/>
    </row>
    <row r="159" spans="1:14" ht="27.75" x14ac:dyDescent="0.5">
      <c r="A159" s="1457" t="s">
        <v>294</v>
      </c>
      <c r="B159" s="1458"/>
      <c r="C159" s="1458"/>
      <c r="D159" s="1458"/>
      <c r="E159" s="1458"/>
      <c r="F159" s="1458"/>
      <c r="G159" s="1459"/>
    </row>
    <row r="160" spans="1:14" x14ac:dyDescent="0.5">
      <c r="A160" s="925"/>
      <c r="B160" s="926"/>
      <c r="C160" s="926"/>
      <c r="D160" s="631"/>
      <c r="E160" s="575"/>
      <c r="F160" s="775"/>
      <c r="G160" s="593"/>
    </row>
    <row r="161" spans="1:9" x14ac:dyDescent="0.5">
      <c r="A161" s="925"/>
      <c r="B161" s="926"/>
      <c r="C161" s="926"/>
      <c r="D161" s="631"/>
      <c r="E161" s="575"/>
      <c r="F161" s="775"/>
      <c r="G161" s="593"/>
    </row>
    <row r="162" spans="1:9" x14ac:dyDescent="0.5">
      <c r="A162" s="925" t="s">
        <v>289</v>
      </c>
      <c r="B162" s="926"/>
      <c r="C162" s="926"/>
      <c r="D162" s="631" t="s">
        <v>214</v>
      </c>
      <c r="E162" s="775">
        <f>'[1]8'!F160</f>
        <v>24419.75</v>
      </c>
      <c r="F162" s="859">
        <v>24492.61</v>
      </c>
      <c r="G162" s="593">
        <f t="shared" ref="G162:G173" si="16">F162-E162</f>
        <v>72.860000000000582</v>
      </c>
      <c r="H162" s="659">
        <v>72.86699999999837</v>
      </c>
      <c r="I162" s="660">
        <f>G162-H162</f>
        <v>-6.9999999977881089E-3</v>
      </c>
    </row>
    <row r="163" spans="1:9" x14ac:dyDescent="0.5">
      <c r="A163" s="925" t="s">
        <v>290</v>
      </c>
      <c r="B163" s="926"/>
      <c r="C163" s="926"/>
      <c r="D163" s="631" t="s">
        <v>214</v>
      </c>
      <c r="E163" s="775">
        <f>'[1]8'!F161</f>
        <v>15825.27</v>
      </c>
      <c r="F163" s="775">
        <v>16536.490000000002</v>
      </c>
      <c r="G163" s="593">
        <f t="shared" si="16"/>
        <v>711.22000000000116</v>
      </c>
      <c r="H163" s="659">
        <v>115.86999999999898</v>
      </c>
      <c r="I163" s="660">
        <f t="shared" ref="I163:I173" si="17">G163-H163</f>
        <v>595.35000000000218</v>
      </c>
    </row>
    <row r="164" spans="1:9" x14ac:dyDescent="0.5">
      <c r="A164" s="925" t="s">
        <v>291</v>
      </c>
      <c r="B164" s="926"/>
      <c r="C164" s="926"/>
      <c r="D164" s="631" t="s">
        <v>214</v>
      </c>
      <c r="E164" s="775">
        <f>'[1]8'!F162</f>
        <v>39642.68</v>
      </c>
      <c r="F164" s="775">
        <v>39946.480000000003</v>
      </c>
      <c r="G164" s="593">
        <f t="shared" si="16"/>
        <v>303.80000000000291</v>
      </c>
      <c r="H164" s="659">
        <v>184.81999999999971</v>
      </c>
      <c r="I164" s="660">
        <f t="shared" si="17"/>
        <v>118.9800000000032</v>
      </c>
    </row>
    <row r="165" spans="1:9" x14ac:dyDescent="0.5">
      <c r="A165" s="925" t="s">
        <v>292</v>
      </c>
      <c r="B165" s="926"/>
      <c r="C165" s="926"/>
      <c r="D165" s="631" t="s">
        <v>214</v>
      </c>
      <c r="E165" s="775">
        <f>'[1]8'!F163</f>
        <v>3737.75</v>
      </c>
      <c r="F165" s="775">
        <v>3761.88</v>
      </c>
      <c r="G165" s="593">
        <f t="shared" si="16"/>
        <v>24.130000000000109</v>
      </c>
      <c r="H165" s="659">
        <v>17.309999999999945</v>
      </c>
      <c r="I165" s="660">
        <f t="shared" si="17"/>
        <v>6.8200000000001637</v>
      </c>
    </row>
    <row r="166" spans="1:9" ht="21.75" customHeight="1" x14ac:dyDescent="0.4">
      <c r="A166" s="927" t="s">
        <v>121</v>
      </c>
      <c r="B166" s="725"/>
      <c r="C166" s="725"/>
      <c r="D166" s="631" t="s">
        <v>214</v>
      </c>
      <c r="E166" s="775">
        <f>'[1]8'!F164</f>
        <v>20419</v>
      </c>
      <c r="F166" s="888">
        <f>F62</f>
        <v>20419</v>
      </c>
      <c r="G166" s="593">
        <f t="shared" si="16"/>
        <v>0</v>
      </c>
      <c r="H166" s="659">
        <v>0</v>
      </c>
      <c r="I166" s="660">
        <f t="shared" si="17"/>
        <v>0</v>
      </c>
    </row>
    <row r="167" spans="1:9" ht="21.75" customHeight="1" x14ac:dyDescent="0.4">
      <c r="A167" s="927" t="s">
        <v>215</v>
      </c>
      <c r="B167" s="725"/>
      <c r="C167" s="725"/>
      <c r="D167" s="631" t="s">
        <v>214</v>
      </c>
      <c r="E167" s="775">
        <f>'[1]8'!F165</f>
        <v>979.29</v>
      </c>
      <c r="F167" s="888">
        <f t="shared" ref="F167:F173" si="18">F63</f>
        <v>991.71</v>
      </c>
      <c r="G167" s="593">
        <f t="shared" si="16"/>
        <v>12.420000000000073</v>
      </c>
      <c r="H167" s="659">
        <v>-0.47999999999956344</v>
      </c>
      <c r="I167" s="660">
        <f t="shared" si="17"/>
        <v>12.899999999999636</v>
      </c>
    </row>
    <row r="168" spans="1:9" ht="21.75" customHeight="1" x14ac:dyDescent="0.5">
      <c r="A168" s="1320" t="s">
        <v>122</v>
      </c>
      <c r="B168" s="1320"/>
      <c r="C168" s="1320"/>
      <c r="D168" s="643" t="s">
        <v>214</v>
      </c>
      <c r="E168" s="775">
        <f>'[1]8'!F166</f>
        <v>89633.48</v>
      </c>
      <c r="F168" s="888">
        <f t="shared" si="18"/>
        <v>89996.55</v>
      </c>
      <c r="G168" s="593">
        <f t="shared" si="16"/>
        <v>363.07000000000698</v>
      </c>
      <c r="H168" s="659">
        <v>271.15200000000186</v>
      </c>
      <c r="I168" s="660">
        <f t="shared" si="17"/>
        <v>91.918000000005122</v>
      </c>
    </row>
    <row r="169" spans="1:9" ht="12.75" customHeight="1" x14ac:dyDescent="0.5">
      <c r="A169" s="1320" t="s">
        <v>123</v>
      </c>
      <c r="B169" s="1320"/>
      <c r="C169" s="1320"/>
      <c r="D169" s="643" t="s">
        <v>214</v>
      </c>
      <c r="E169" s="775">
        <f>'[1]8'!F167</f>
        <v>99819.76</v>
      </c>
      <c r="F169" s="888">
        <f t="shared" si="18"/>
        <v>100230.81</v>
      </c>
      <c r="G169" s="593">
        <f t="shared" si="16"/>
        <v>411.05000000000291</v>
      </c>
      <c r="H169" s="659">
        <v>372.92000000001281</v>
      </c>
      <c r="I169" s="660">
        <f t="shared" si="17"/>
        <v>38.129999999990105</v>
      </c>
    </row>
    <row r="170" spans="1:9" ht="24" customHeight="1" x14ac:dyDescent="0.5">
      <c r="A170" s="1320" t="s">
        <v>124</v>
      </c>
      <c r="B170" s="1320"/>
      <c r="C170" s="1320"/>
      <c r="D170" s="643" t="s">
        <v>214</v>
      </c>
      <c r="E170" s="775">
        <f>'[1]8'!F168</f>
        <v>93144.78</v>
      </c>
      <c r="F170" s="888">
        <f t="shared" si="18"/>
        <v>93543.8</v>
      </c>
      <c r="G170" s="593">
        <f t="shared" si="16"/>
        <v>399.02000000000407</v>
      </c>
      <c r="H170" s="659">
        <v>384.8520000000135</v>
      </c>
      <c r="I170" s="660">
        <f>G170-H170</f>
        <v>14.16799999999057</v>
      </c>
    </row>
    <row r="171" spans="1:9" ht="27.75" x14ac:dyDescent="0.5">
      <c r="A171" s="1320" t="s">
        <v>125</v>
      </c>
      <c r="B171" s="1320"/>
      <c r="C171" s="1320"/>
      <c r="D171" s="643" t="s">
        <v>214</v>
      </c>
      <c r="E171" s="775">
        <f>'[1]8'!F169</f>
        <v>151852.29999999999</v>
      </c>
      <c r="F171" s="888">
        <f t="shared" si="18"/>
        <v>152622.97</v>
      </c>
      <c r="G171" s="593">
        <f t="shared" si="16"/>
        <v>770.67000000001281</v>
      </c>
      <c r="H171" s="659">
        <v>451.52000000000407</v>
      </c>
      <c r="I171" s="660">
        <f t="shared" si="17"/>
        <v>319.15000000000873</v>
      </c>
    </row>
    <row r="172" spans="1:9" ht="27.75" x14ac:dyDescent="0.5">
      <c r="A172" s="1320" t="s">
        <v>126</v>
      </c>
      <c r="B172" s="1320"/>
      <c r="C172" s="1320"/>
      <c r="D172" s="643" t="s">
        <v>214</v>
      </c>
      <c r="E172" s="775">
        <f>'[1]8'!F170</f>
        <v>46071.49</v>
      </c>
      <c r="F172" s="888">
        <f t="shared" si="18"/>
        <v>46408.79</v>
      </c>
      <c r="G172" s="593">
        <f t="shared" si="16"/>
        <v>337.30000000000291</v>
      </c>
      <c r="H172" s="659">
        <v>264.56499999999869</v>
      </c>
      <c r="I172" s="660">
        <f t="shared" si="17"/>
        <v>72.73500000000422</v>
      </c>
    </row>
    <row r="173" spans="1:9" ht="27.75" x14ac:dyDescent="0.5">
      <c r="A173" s="1320" t="s">
        <v>127</v>
      </c>
      <c r="B173" s="1320"/>
      <c r="C173" s="1320"/>
      <c r="D173" s="643" t="s">
        <v>214</v>
      </c>
      <c r="E173" s="775">
        <f>'[1]8'!F171</f>
        <v>39878.67</v>
      </c>
      <c r="F173" s="888">
        <f t="shared" si="18"/>
        <v>40175.699999999997</v>
      </c>
      <c r="G173" s="593">
        <f t="shared" si="16"/>
        <v>297.02999999999884</v>
      </c>
      <c r="H173" s="659">
        <v>137.0779999999977</v>
      </c>
      <c r="I173" s="660">
        <f t="shared" si="17"/>
        <v>159.95200000000114</v>
      </c>
    </row>
    <row r="176" spans="1:9" ht="18.75" customHeight="1" x14ac:dyDescent="0.5"/>
    <row r="177" spans="6:6" ht="18.75" customHeight="1" x14ac:dyDescent="0.5">
      <c r="F177" s="780" t="s">
        <v>143</v>
      </c>
    </row>
    <row r="181" spans="6:6" ht="19.5" customHeight="1" x14ac:dyDescent="0.5"/>
    <row r="184" spans="6:6" ht="19.5" customHeight="1" x14ac:dyDescent="0.5"/>
    <row r="185" spans="6:6" ht="19.5" customHeight="1" x14ac:dyDescent="0.5"/>
    <row r="186" spans="6:6" ht="19.5" customHeight="1" x14ac:dyDescent="0.5"/>
    <row r="187" spans="6:6" ht="19.5" customHeight="1" x14ac:dyDescent="0.5"/>
    <row r="188" spans="6:6" ht="19.5" customHeight="1" x14ac:dyDescent="0.5"/>
    <row r="189" spans="6:6" ht="19.5" customHeight="1" x14ac:dyDescent="0.5"/>
    <row r="190" spans="6:6" ht="19.5" customHeight="1" x14ac:dyDescent="0.5"/>
  </sheetData>
  <mergeCells count="69">
    <mergeCell ref="A159:G15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7"/>
  <sheetViews>
    <sheetView view="pageBreakPreview" zoomScale="60" zoomScaleNormal="55" workbookViewId="0">
      <selection activeCell="B8" sqref="B8"/>
    </sheetView>
  </sheetViews>
  <sheetFormatPr defaultColWidth="22.33203125" defaultRowHeight="29.25" x14ac:dyDescent="0.5"/>
  <cols>
    <col min="1" max="1" width="41.77734375" style="574" customWidth="1"/>
    <col min="2" max="2" width="31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5546875" style="523" customWidth="1"/>
    <col min="15" max="16384" width="22.33203125" style="404"/>
  </cols>
  <sheetData>
    <row r="1" spans="1:14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4" s="278" customFormat="1" ht="27" x14ac:dyDescent="0.5">
      <c r="A2" s="696" t="s">
        <v>298</v>
      </c>
      <c r="B2" s="1173">
        <v>44175</v>
      </c>
      <c r="C2" s="1361" t="s">
        <v>84</v>
      </c>
      <c r="D2" s="732">
        <v>0.19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  <c r="N2" s="846"/>
    </row>
    <row r="3" spans="1:14" s="278" customFormat="1" ht="27" x14ac:dyDescent="0.5">
      <c r="A3" s="691"/>
      <c r="B3" s="735"/>
      <c r="C3" s="1361" t="s">
        <v>147</v>
      </c>
      <c r="D3" s="733">
        <v>31</v>
      </c>
      <c r="E3" s="1422" t="s">
        <v>148</v>
      </c>
      <c r="F3" s="1423"/>
      <c r="G3" s="582"/>
      <c r="H3" s="583"/>
      <c r="I3" s="583"/>
      <c r="J3" s="736"/>
      <c r="K3" s="399"/>
      <c r="L3" s="290"/>
      <c r="N3" s="846"/>
    </row>
    <row r="4" spans="1:14" s="278" customFormat="1" ht="27" x14ac:dyDescent="0.5">
      <c r="A4" s="697"/>
      <c r="B4" s="737"/>
      <c r="C4" s="1361" t="s">
        <v>149</v>
      </c>
      <c r="D4" s="732">
        <v>0.82</v>
      </c>
      <c r="E4" s="584"/>
      <c r="F4" s="584"/>
      <c r="G4" s="584"/>
      <c r="H4" s="584"/>
      <c r="I4" s="585"/>
      <c r="J4" s="736"/>
      <c r="K4" s="400"/>
      <c r="L4" s="290"/>
      <c r="N4" s="846"/>
    </row>
    <row r="5" spans="1:14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4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4" ht="30" thickBot="1" x14ac:dyDescent="0.45">
      <c r="A7" s="793" t="s">
        <v>158</v>
      </c>
      <c r="B7" s="794"/>
      <c r="C7" s="794"/>
      <c r="D7" s="759" t="s">
        <v>159</v>
      </c>
      <c r="E7" s="754">
        <f>'[1]9'!F7</f>
        <v>2847015</v>
      </c>
      <c r="F7" s="575">
        <v>2869570</v>
      </c>
      <c r="G7" s="795">
        <f>F7-E7</f>
        <v>22555</v>
      </c>
      <c r="H7" s="796">
        <f>G7+'[1]9'!H7</f>
        <v>201125</v>
      </c>
      <c r="I7" s="797">
        <v>12000</v>
      </c>
      <c r="J7" s="798">
        <f>H7/DAY(B2)</f>
        <v>20112.5</v>
      </c>
      <c r="K7" s="670"/>
      <c r="L7" s="405"/>
      <c r="N7" s="847"/>
    </row>
    <row r="8" spans="1:14" ht="27.75" thickBot="1" x14ac:dyDescent="0.45">
      <c r="A8" s="799" t="s">
        <v>160</v>
      </c>
      <c r="B8" s="800"/>
      <c r="C8" s="801"/>
      <c r="D8" s="802" t="s">
        <v>39</v>
      </c>
      <c r="E8" s="754">
        <f>'[1]9'!F8</f>
        <v>2863467</v>
      </c>
      <c r="F8" s="595">
        <v>2886188</v>
      </c>
      <c r="G8" s="806">
        <f>F8-E8</f>
        <v>22721</v>
      </c>
      <c r="H8" s="796">
        <f>G8+'[1]9'!H8</f>
        <v>203149</v>
      </c>
      <c r="I8" s="803">
        <v>12000</v>
      </c>
      <c r="J8" s="798">
        <f>H8/DAY(B2)</f>
        <v>20314.900000000001</v>
      </c>
      <c r="K8" s="670"/>
      <c r="L8" s="460"/>
      <c r="M8" s="522"/>
      <c r="N8" s="848"/>
    </row>
    <row r="9" spans="1:14" x14ac:dyDescent="0.4">
      <c r="A9" s="804" t="s">
        <v>161</v>
      </c>
      <c r="B9" s="805"/>
      <c r="C9" s="805"/>
      <c r="D9" s="759" t="s">
        <v>159</v>
      </c>
      <c r="E9" s="754">
        <f>'[1]9'!F9</f>
        <v>2308429.5</v>
      </c>
      <c r="F9" s="598">
        <v>2316773</v>
      </c>
      <c r="G9" s="819">
        <f t="shared" ref="G9:G12" si="0">F9-E9</f>
        <v>8343.5</v>
      </c>
      <c r="H9" s="796">
        <f>G9+'[1]9'!H9</f>
        <v>59736.5</v>
      </c>
      <c r="I9" s="807">
        <f>I7-J7</f>
        <v>-8112.5</v>
      </c>
      <c r="J9" s="798">
        <f>H9/DAY(B2)</f>
        <v>5973.65</v>
      </c>
      <c r="K9" s="508"/>
      <c r="L9" s="405"/>
      <c r="N9" s="849"/>
    </row>
    <row r="10" spans="1:14" x14ac:dyDescent="0.4">
      <c r="A10" s="793" t="s">
        <v>162</v>
      </c>
      <c r="B10" s="794"/>
      <c r="C10" s="794"/>
      <c r="D10" s="759" t="s">
        <v>159</v>
      </c>
      <c r="E10" s="754">
        <f>'[1]9'!F10</f>
        <v>423712.19</v>
      </c>
      <c r="F10" s="598">
        <v>437228</v>
      </c>
      <c r="G10" s="806">
        <f t="shared" si="0"/>
        <v>13515.809999999998</v>
      </c>
      <c r="H10" s="796">
        <f>G10+'[1]9'!H10</f>
        <v>134277.71000000002</v>
      </c>
      <c r="I10" s="808"/>
      <c r="J10" s="798">
        <f>H10/DAY(B2)</f>
        <v>13427.771000000002</v>
      </c>
      <c r="K10" s="508"/>
      <c r="L10" s="405"/>
      <c r="N10" s="849"/>
    </row>
    <row r="11" spans="1:14" x14ac:dyDescent="0.4">
      <c r="A11" s="793" t="s">
        <v>163</v>
      </c>
      <c r="B11" s="794"/>
      <c r="C11" s="794"/>
      <c r="D11" s="759" t="s">
        <v>159</v>
      </c>
      <c r="E11" s="754">
        <f>'[1]9'!F11</f>
        <v>35390</v>
      </c>
      <c r="F11" s="575">
        <v>35390</v>
      </c>
      <c r="G11" s="806">
        <f t="shared" si="0"/>
        <v>0</v>
      </c>
      <c r="H11" s="796">
        <f>G11+'[1]9'!H11</f>
        <v>0</v>
      </c>
      <c r="I11" s="808"/>
      <c r="J11" s="798">
        <f>H11/DAY(B2)</f>
        <v>0</v>
      </c>
      <c r="K11" s="508"/>
      <c r="L11" s="405"/>
      <c r="N11" s="849"/>
    </row>
    <row r="12" spans="1:14" x14ac:dyDescent="0.4">
      <c r="A12" s="793" t="s">
        <v>164</v>
      </c>
      <c r="B12" s="794"/>
      <c r="C12" s="794"/>
      <c r="D12" s="759" t="s">
        <v>159</v>
      </c>
      <c r="E12" s="754">
        <f>'[1]9'!F12</f>
        <v>37630</v>
      </c>
      <c r="F12" s="598">
        <v>37630</v>
      </c>
      <c r="G12" s="806">
        <f t="shared" si="0"/>
        <v>0</v>
      </c>
      <c r="H12" s="796">
        <f>G12+'[1]9'!H12</f>
        <v>0</v>
      </c>
      <c r="I12" s="808"/>
      <c r="J12" s="798">
        <f>H12/DAY(B2)</f>
        <v>0</v>
      </c>
      <c r="K12" s="508"/>
      <c r="L12" s="405"/>
      <c r="N12" s="849"/>
    </row>
    <row r="13" spans="1:14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21859.309999999998</v>
      </c>
      <c r="H13" s="796">
        <f>G13+'[1]9'!H13</f>
        <v>194014.21000000002</v>
      </c>
      <c r="I13" s="812">
        <f>G7-G13</f>
        <v>695.69000000000233</v>
      </c>
      <c r="J13" s="798">
        <f>H13/DAY(B2)</f>
        <v>19401.421000000002</v>
      </c>
      <c r="K13" s="508"/>
      <c r="L13" s="405"/>
      <c r="N13" s="849"/>
    </row>
    <row r="14" spans="1:14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849"/>
    </row>
    <row r="15" spans="1:14" x14ac:dyDescent="0.5">
      <c r="A15" s="933" t="s">
        <v>167</v>
      </c>
      <c r="B15" s="928"/>
      <c r="C15" s="928"/>
      <c r="D15" s="644" t="s">
        <v>168</v>
      </c>
      <c r="E15" s="605">
        <f>'[1]9'!F15</f>
        <v>1552915.93</v>
      </c>
      <c r="F15" s="605">
        <v>1553743.58</v>
      </c>
      <c r="G15" s="781">
        <f>(F15-E15)</f>
        <v>827.6500000001397</v>
      </c>
      <c r="H15" s="606">
        <f>G15+'[1]9'!H15</f>
        <v>6845.9790000000503</v>
      </c>
      <c r="I15" s="594">
        <v>800</v>
      </c>
      <c r="J15" s="674">
        <f>H15/DAY(B2)</f>
        <v>684.59790000000498</v>
      </c>
      <c r="K15" s="508"/>
      <c r="L15" s="405"/>
      <c r="N15" s="849"/>
    </row>
    <row r="16" spans="1:14" x14ac:dyDescent="0.4">
      <c r="A16" s="931"/>
      <c r="B16" s="932"/>
      <c r="C16" s="932"/>
      <c r="D16" s="929"/>
      <c r="E16" s="930"/>
      <c r="F16" s="605"/>
      <c r="G16" s="786"/>
      <c r="H16" s="606"/>
      <c r="I16" s="602">
        <f>I15-J15</f>
        <v>115.40209999999502</v>
      </c>
      <c r="J16" s="674"/>
      <c r="K16" s="508"/>
      <c r="L16" s="405"/>
      <c r="N16" s="849"/>
    </row>
    <row r="17" spans="1:14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849"/>
    </row>
    <row r="18" spans="1:14" ht="27.75" x14ac:dyDescent="0.5">
      <c r="A18" s="1460" t="s">
        <v>170</v>
      </c>
      <c r="B18" s="1461"/>
      <c r="C18" s="1462"/>
      <c r="D18" s="759" t="s">
        <v>171</v>
      </c>
      <c r="E18" s="756">
        <f>'[1]9'!F18</f>
        <v>16</v>
      </c>
      <c r="F18" s="598">
        <v>20</v>
      </c>
      <c r="G18" s="811">
        <f>F18*10</f>
        <v>200</v>
      </c>
      <c r="H18" s="796">
        <f>G18+'[1]9'!H18</f>
        <v>1260</v>
      </c>
      <c r="I18" s="797">
        <v>65</v>
      </c>
      <c r="J18" s="798">
        <f>H18/DAY(B2)</f>
        <v>126</v>
      </c>
      <c r="K18" s="508"/>
      <c r="L18" s="405"/>
      <c r="N18" s="849"/>
    </row>
    <row r="19" spans="1:14" ht="27.75" x14ac:dyDescent="0.5">
      <c r="A19" s="1460" t="s">
        <v>86</v>
      </c>
      <c r="B19" s="1461"/>
      <c r="C19" s="1462"/>
      <c r="D19" s="759" t="s">
        <v>171</v>
      </c>
      <c r="E19" s="756">
        <f>'[1]9'!F19</f>
        <v>130285</v>
      </c>
      <c r="F19" s="598">
        <v>130338</v>
      </c>
      <c r="G19" s="806">
        <f t="shared" ref="G19" si="1">F19-E19</f>
        <v>53</v>
      </c>
      <c r="H19" s="796">
        <f>G19+'[1]9'!H19</f>
        <v>537</v>
      </c>
      <c r="I19" s="813"/>
      <c r="J19" s="798">
        <f>H19/DAY(B2)</f>
        <v>53.7</v>
      </c>
      <c r="K19" s="508"/>
      <c r="L19" s="405"/>
      <c r="N19" s="849"/>
    </row>
    <row r="20" spans="1:14" x14ac:dyDescent="0.5">
      <c r="A20" s="809" t="s">
        <v>172</v>
      </c>
      <c r="B20" s="810"/>
      <c r="C20" s="810"/>
      <c r="D20" s="759"/>
      <c r="E20" s="759"/>
      <c r="F20" s="644"/>
      <c r="G20" s="814">
        <f>G18+G19</f>
        <v>253</v>
      </c>
      <c r="H20" s="796">
        <f>G20+'[1]9'!H20</f>
        <v>1797</v>
      </c>
      <c r="I20" s="815">
        <f>I18-J20</f>
        <v>-114.69999999999999</v>
      </c>
      <c r="J20" s="798">
        <f>H20/DAY(B2)</f>
        <v>179.7</v>
      </c>
      <c r="K20" s="508"/>
      <c r="L20" s="405"/>
      <c r="N20" s="849"/>
    </row>
    <row r="21" spans="1:14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849"/>
    </row>
    <row r="22" spans="1:14" x14ac:dyDescent="0.5">
      <c r="A22" s="1354" t="s">
        <v>174</v>
      </c>
      <c r="B22" s="710"/>
      <c r="C22" s="710"/>
      <c r="D22" s="643" t="s">
        <v>175</v>
      </c>
      <c r="E22" s="756">
        <f>'[1]9'!F22</f>
        <v>2250</v>
      </c>
      <c r="F22" s="598">
        <v>2250</v>
      </c>
      <c r="G22" s="601">
        <f t="shared" ref="G22" si="2">(F22-E22)</f>
        <v>0</v>
      </c>
      <c r="H22" s="580">
        <f>G22+'[1]9'!H22</f>
        <v>0</v>
      </c>
      <c r="I22" s="600"/>
      <c r="J22" s="673">
        <f>H22/DAY(B2)</f>
        <v>0</v>
      </c>
      <c r="K22" s="508"/>
      <c r="L22" s="405"/>
      <c r="N22" s="849"/>
    </row>
    <row r="23" spans="1:14" x14ac:dyDescent="0.5">
      <c r="A23" s="1354" t="s">
        <v>176</v>
      </c>
      <c r="B23" s="710"/>
      <c r="C23" s="710"/>
      <c r="D23" s="643" t="s">
        <v>175</v>
      </c>
      <c r="E23" s="756">
        <f>'[1]9'!F23</f>
        <v>2000</v>
      </c>
      <c r="F23" s="598">
        <v>2000</v>
      </c>
      <c r="G23" s="601">
        <v>0</v>
      </c>
      <c r="H23" s="580">
        <f>G23+'[1]9'!H23</f>
        <v>0</v>
      </c>
      <c r="I23" s="600"/>
      <c r="J23" s="673">
        <f>H23/DAY(B2)</f>
        <v>0</v>
      </c>
      <c r="K23" s="508"/>
      <c r="L23" s="405"/>
      <c r="N23" s="849"/>
    </row>
    <row r="24" spans="1:14" x14ac:dyDescent="0.4">
      <c r="A24" s="711" t="s">
        <v>177</v>
      </c>
      <c r="B24" s="712"/>
      <c r="C24" s="712"/>
      <c r="D24" s="631" t="s">
        <v>175</v>
      </c>
      <c r="E24" s="613">
        <f>'[1]9'!F24</f>
        <v>4250</v>
      </c>
      <c r="F24" s="605">
        <v>4250</v>
      </c>
      <c r="G24" s="601">
        <v>0</v>
      </c>
      <c r="H24" s="580">
        <f>G24+'[1]9'!H24</f>
        <v>0</v>
      </c>
      <c r="I24" s="600"/>
      <c r="J24" s="673">
        <f>H24/DAY(B2)</f>
        <v>0</v>
      </c>
      <c r="K24" s="508"/>
      <c r="L24" s="405"/>
      <c r="N24" s="849"/>
    </row>
    <row r="25" spans="1:14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849"/>
    </row>
    <row r="26" spans="1:14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N26" s="849"/>
    </row>
    <row r="27" spans="1:14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22721</v>
      </c>
      <c r="F27" s="621">
        <v>9.5</v>
      </c>
      <c r="G27" s="622">
        <f>E27*F27</f>
        <v>215849.5</v>
      </c>
      <c r="H27" s="580">
        <f>G27+'[1]9'!H27</f>
        <v>1929915.5</v>
      </c>
      <c r="I27" s="623"/>
      <c r="J27" s="673">
        <f>H27/DAY(B2)</f>
        <v>192991.55</v>
      </c>
      <c r="K27" s="401"/>
      <c r="L27" s="527"/>
      <c r="N27" s="849"/>
    </row>
    <row r="28" spans="1:14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827.6500000001397</v>
      </c>
      <c r="F28" s="621">
        <v>36.5</v>
      </c>
      <c r="G28" s="622">
        <f>E28*F28</f>
        <v>30209.225000005099</v>
      </c>
      <c r="H28" s="580">
        <f>G28+'[1]9'!H28</f>
        <v>249878.23350000184</v>
      </c>
      <c r="I28" s="625"/>
      <c r="J28" s="673">
        <f>H28/DAY(B2)</f>
        <v>24987.823350000184</v>
      </c>
      <c r="K28" s="401"/>
      <c r="L28" s="527"/>
      <c r="N28" s="849"/>
    </row>
    <row r="29" spans="1:14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G29+'[1]9'!H29</f>
        <v>0</v>
      </c>
      <c r="I29" s="625"/>
      <c r="J29" s="673">
        <f>H29/DAY(B2)</f>
        <v>0</v>
      </c>
      <c r="K29" s="401"/>
      <c r="L29" s="527"/>
      <c r="N29" s="849"/>
    </row>
    <row r="30" spans="1:14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53</v>
      </c>
      <c r="F30" s="621">
        <v>145</v>
      </c>
      <c r="G30" s="622">
        <f>E30*F30</f>
        <v>7685</v>
      </c>
      <c r="H30" s="580">
        <f>G30+'[1]9'!H30</f>
        <v>77865</v>
      </c>
      <c r="I30" s="625"/>
      <c r="J30" s="673">
        <f>H30/DAY(B2)</f>
        <v>7786.5</v>
      </c>
      <c r="K30" s="401"/>
      <c r="L30" s="527"/>
      <c r="N30" s="849"/>
    </row>
    <row r="31" spans="1:14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200</v>
      </c>
      <c r="F31" s="621">
        <v>80</v>
      </c>
      <c r="G31" s="622">
        <f>E31*F31</f>
        <v>16000</v>
      </c>
      <c r="H31" s="580">
        <f>G31+'[1]9'!H31</f>
        <v>99200</v>
      </c>
      <c r="I31" s="625"/>
      <c r="J31" s="673">
        <f>H31/DAY(B2)</f>
        <v>9920</v>
      </c>
      <c r="K31" s="401"/>
      <c r="L31" s="527"/>
      <c r="N31" s="849"/>
    </row>
    <row r="32" spans="1:14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269743.7250000051</v>
      </c>
      <c r="H32" s="580">
        <f>G32+'[1]9'!H32</f>
        <v>2356858.733500002</v>
      </c>
      <c r="I32" s="629"/>
      <c r="J32" s="673">
        <f>H32/DAY(B2)</f>
        <v>235685.87335000018</v>
      </c>
      <c r="K32" s="401"/>
      <c r="L32" s="527"/>
      <c r="N32" s="849"/>
    </row>
    <row r="33" spans="1:14" ht="25.5" customHeight="1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849"/>
    </row>
    <row r="34" spans="1:14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849"/>
    </row>
    <row r="35" spans="1:14" x14ac:dyDescent="0.4">
      <c r="A35" s="699" t="s">
        <v>191</v>
      </c>
      <c r="B35" s="700"/>
      <c r="C35" s="700"/>
      <c r="D35" s="643" t="s">
        <v>159</v>
      </c>
      <c r="E35" s="630">
        <f>'[1]9'!F35</f>
        <v>629027.67000000004</v>
      </c>
      <c r="F35" s="1175">
        <v>629027.67000000004</v>
      </c>
      <c r="G35" s="593">
        <f t="shared" ref="G35:G46" si="3">F35-E35</f>
        <v>0</v>
      </c>
      <c r="H35" s="580">
        <f>G35+'[1]9'!H35</f>
        <v>0</v>
      </c>
      <c r="I35" s="575"/>
      <c r="J35" s="673">
        <f>H35/DAY(B2)</f>
        <v>0</v>
      </c>
      <c r="K35" s="508"/>
      <c r="L35" s="405"/>
      <c r="N35" s="849"/>
    </row>
    <row r="36" spans="1:14" x14ac:dyDescent="0.4">
      <c r="A36" s="699" t="s">
        <v>192</v>
      </c>
      <c r="B36" s="700"/>
      <c r="C36" s="700"/>
      <c r="D36" s="643" t="s">
        <v>159</v>
      </c>
      <c r="E36" s="630">
        <f>'[1]9'!F36</f>
        <v>237132.13</v>
      </c>
      <c r="F36" s="1175">
        <v>238087.85</v>
      </c>
      <c r="G36" s="593">
        <f t="shared" si="3"/>
        <v>955.72000000000116</v>
      </c>
      <c r="H36" s="580">
        <f>G36+'[1]9'!H36</f>
        <v>9002.1199999999953</v>
      </c>
      <c r="I36" s="575"/>
      <c r="J36" s="673">
        <f>H36/DAY(B2)</f>
        <v>900.21199999999953</v>
      </c>
      <c r="K36" s="508"/>
      <c r="L36" s="405"/>
      <c r="N36" s="850"/>
    </row>
    <row r="37" spans="1:14" x14ac:dyDescent="0.4">
      <c r="A37" s="699" t="s">
        <v>193</v>
      </c>
      <c r="B37" s="700"/>
      <c r="C37" s="700"/>
      <c r="D37" s="643" t="s">
        <v>159</v>
      </c>
      <c r="E37" s="630">
        <f>'[1]9'!F37</f>
        <v>415066</v>
      </c>
      <c r="F37" s="1175">
        <v>415066</v>
      </c>
      <c r="G37" s="593">
        <f t="shared" si="3"/>
        <v>0</v>
      </c>
      <c r="H37" s="580">
        <f>G37+'[1]9'!H37</f>
        <v>0</v>
      </c>
      <c r="I37" s="575"/>
      <c r="J37" s="673">
        <f>H37/DAY(B2)</f>
        <v>0</v>
      </c>
      <c r="K37" s="508"/>
      <c r="L37" s="405"/>
      <c r="N37" s="850"/>
    </row>
    <row r="38" spans="1:14" x14ac:dyDescent="0.4">
      <c r="A38" s="699" t="s">
        <v>194</v>
      </c>
      <c r="B38" s="700"/>
      <c r="C38" s="700"/>
      <c r="D38" s="643" t="s">
        <v>159</v>
      </c>
      <c r="E38" s="630">
        <f>'[1]9'!F38</f>
        <v>150714</v>
      </c>
      <c r="F38" s="587">
        <v>150714</v>
      </c>
      <c r="G38" s="593">
        <f t="shared" si="3"/>
        <v>0</v>
      </c>
      <c r="H38" s="580">
        <f>G38+'[1]9'!H38</f>
        <v>0</v>
      </c>
      <c r="I38" s="575"/>
      <c r="J38" s="673">
        <f>H38/DAY(B2)</f>
        <v>0</v>
      </c>
      <c r="K38" s="508"/>
      <c r="L38" s="405"/>
      <c r="N38" s="849"/>
    </row>
    <row r="39" spans="1:14" x14ac:dyDescent="0.4">
      <c r="A39" s="699" t="s">
        <v>195</v>
      </c>
      <c r="B39" s="700"/>
      <c r="C39" s="700"/>
      <c r="D39" s="643" t="s">
        <v>159</v>
      </c>
      <c r="E39" s="630">
        <f>'[1]9'!F39</f>
        <v>912480</v>
      </c>
      <c r="F39" s="1175">
        <v>912480</v>
      </c>
      <c r="G39" s="593">
        <f t="shared" si="3"/>
        <v>0</v>
      </c>
      <c r="H39" s="580">
        <f>G39+'[1]9'!H39</f>
        <v>0</v>
      </c>
      <c r="I39" s="575"/>
      <c r="J39" s="673">
        <f>H39/DAY(B2)</f>
        <v>0</v>
      </c>
      <c r="K39" s="508"/>
      <c r="L39" s="405"/>
      <c r="N39" s="849"/>
    </row>
    <row r="40" spans="1:14" x14ac:dyDescent="0.4">
      <c r="A40" s="720" t="s">
        <v>196</v>
      </c>
      <c r="B40" s="721"/>
      <c r="C40" s="721"/>
      <c r="D40" s="643" t="s">
        <v>159</v>
      </c>
      <c r="E40" s="630">
        <f>'[1]9'!F40</f>
        <v>0.17</v>
      </c>
      <c r="F40" s="1175">
        <v>0.17</v>
      </c>
      <c r="G40" s="593">
        <f t="shared" si="3"/>
        <v>0</v>
      </c>
      <c r="H40" s="580">
        <f>G40+'[1]9'!H40</f>
        <v>0</v>
      </c>
      <c r="I40" s="575"/>
      <c r="J40" s="673">
        <f>H40/DAY(B2)</f>
        <v>0</v>
      </c>
      <c r="K40" s="509"/>
      <c r="L40" s="405"/>
      <c r="N40" s="849"/>
    </row>
    <row r="41" spans="1:14" x14ac:dyDescent="0.4">
      <c r="A41" s="699" t="s">
        <v>197</v>
      </c>
      <c r="B41" s="700"/>
      <c r="C41" s="700"/>
      <c r="D41" s="643" t="s">
        <v>159</v>
      </c>
      <c r="E41" s="630">
        <f>'[1]9'!F41</f>
        <v>300127.90000000002</v>
      </c>
      <c r="F41" s="1175">
        <v>300127.90000000002</v>
      </c>
      <c r="G41" s="593">
        <f>F41-E41</f>
        <v>0</v>
      </c>
      <c r="H41" s="580">
        <f>G41+'[1]9'!H41</f>
        <v>-4.9999999988358468E-2</v>
      </c>
      <c r="I41" s="575"/>
      <c r="J41" s="673">
        <f>H41/DAY(B2)</f>
        <v>-4.9999999988358471E-3</v>
      </c>
      <c r="K41" s="508"/>
      <c r="L41" s="405"/>
      <c r="N41" s="849"/>
    </row>
    <row r="42" spans="1:14" x14ac:dyDescent="0.4">
      <c r="A42" s="699" t="s">
        <v>198</v>
      </c>
      <c r="B42" s="700"/>
      <c r="C42" s="700"/>
      <c r="D42" s="643" t="s">
        <v>159</v>
      </c>
      <c r="E42" s="630">
        <f>'[1]9'!F42</f>
        <v>24907.37</v>
      </c>
      <c r="F42" s="1175">
        <v>29898.98</v>
      </c>
      <c r="G42" s="593">
        <f t="shared" si="3"/>
        <v>4991.6100000000006</v>
      </c>
      <c r="H42" s="580">
        <f>G42+'[1]9'!H42</f>
        <v>29898.98</v>
      </c>
      <c r="I42" s="575"/>
      <c r="J42" s="673">
        <f>H42/DAY(B2)</f>
        <v>2989.8980000000001</v>
      </c>
      <c r="K42" s="508"/>
      <c r="L42" s="405"/>
      <c r="N42" s="849"/>
    </row>
    <row r="43" spans="1:14" x14ac:dyDescent="0.4">
      <c r="A43" s="699" t="s">
        <v>199</v>
      </c>
      <c r="B43" s="700"/>
      <c r="C43" s="700"/>
      <c r="D43" s="643" t="s">
        <v>159</v>
      </c>
      <c r="E43" s="630">
        <f>'[1]9'!F43</f>
        <v>651056.23</v>
      </c>
      <c r="F43" s="1175">
        <v>653577.79</v>
      </c>
      <c r="G43" s="593">
        <f t="shared" si="3"/>
        <v>2521.5600000000559</v>
      </c>
      <c r="H43" s="580">
        <f>G43+'[1]9'!H43</f>
        <v>22828.479999999981</v>
      </c>
      <c r="I43" s="575"/>
      <c r="J43" s="673">
        <f>H43/DAY(B2)</f>
        <v>2282.8479999999981</v>
      </c>
      <c r="K43" s="508"/>
      <c r="L43" s="405"/>
      <c r="N43" s="849"/>
    </row>
    <row r="44" spans="1:14" x14ac:dyDescent="0.4">
      <c r="A44" s="699" t="s">
        <v>200</v>
      </c>
      <c r="B44" s="700"/>
      <c r="C44" s="700"/>
      <c r="D44" s="643" t="s">
        <v>159</v>
      </c>
      <c r="E44" s="630">
        <f>'[1]9'!F44</f>
        <v>0</v>
      </c>
      <c r="F44" s="630">
        <v>0</v>
      </c>
      <c r="G44" s="593">
        <f t="shared" si="3"/>
        <v>0</v>
      </c>
      <c r="H44" s="580">
        <f>G44+'[1]9'!H44</f>
        <v>0</v>
      </c>
      <c r="I44" s="575"/>
      <c r="J44" s="673">
        <f>H44/DAY(B2)</f>
        <v>0</v>
      </c>
      <c r="K44" s="508"/>
      <c r="L44" s="405"/>
      <c r="N44" s="849"/>
    </row>
    <row r="45" spans="1:14" x14ac:dyDescent="0.4">
      <c r="A45" s="699" t="s">
        <v>201</v>
      </c>
      <c r="B45" s="700"/>
      <c r="C45" s="700"/>
      <c r="D45" s="643" t="s">
        <v>159</v>
      </c>
      <c r="E45" s="630">
        <f>'[1]9'!F45</f>
        <v>614</v>
      </c>
      <c r="F45" s="630">
        <v>614</v>
      </c>
      <c r="G45" s="593">
        <f t="shared" si="3"/>
        <v>0</v>
      </c>
      <c r="H45" s="580">
        <f>G45+'[1]9'!H45</f>
        <v>-0.48000000000001819</v>
      </c>
      <c r="I45" s="575"/>
      <c r="J45" s="673">
        <f>H45/DAY(B2)</f>
        <v>-4.8000000000001819E-2</v>
      </c>
      <c r="K45" s="508"/>
      <c r="L45" s="405"/>
      <c r="N45" s="849"/>
    </row>
    <row r="46" spans="1:14" x14ac:dyDescent="0.4">
      <c r="A46" s="699" t="s">
        <v>202</v>
      </c>
      <c r="B46" s="700"/>
      <c r="C46" s="700"/>
      <c r="D46" s="643" t="s">
        <v>159</v>
      </c>
      <c r="E46" s="630">
        <f>'[1]9'!F46</f>
        <v>187</v>
      </c>
      <c r="F46" s="630">
        <v>187</v>
      </c>
      <c r="G46" s="593">
        <f t="shared" si="3"/>
        <v>0</v>
      </c>
      <c r="H46" s="580">
        <f>G46+'[1]9'!H46</f>
        <v>-0.49000000000000909</v>
      </c>
      <c r="I46" s="575"/>
      <c r="J46" s="673">
        <f>H46/DAY(B2)</f>
        <v>-4.9000000000000911E-2</v>
      </c>
      <c r="K46" s="508"/>
      <c r="L46" s="405"/>
      <c r="N46" s="849"/>
    </row>
    <row r="47" spans="1:14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8468.8900000000576</v>
      </c>
      <c r="H47" s="580">
        <f>G47+'[1]9'!H47</f>
        <v>61728.559999999983</v>
      </c>
      <c r="I47" s="575"/>
      <c r="J47" s="673">
        <f>H47/DAY(B2)</f>
        <v>6172.8559999999979</v>
      </c>
      <c r="K47" s="508"/>
      <c r="L47" s="405"/>
      <c r="N47" s="849"/>
    </row>
    <row r="48" spans="1:14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849"/>
    </row>
    <row r="49" spans="1:14" x14ac:dyDescent="0.4">
      <c r="A49" s="699" t="s">
        <v>191</v>
      </c>
      <c r="B49" s="722"/>
      <c r="C49" s="722"/>
      <c r="D49" s="643" t="s">
        <v>159</v>
      </c>
      <c r="E49" s="630">
        <f>'[1]9'!F49</f>
        <v>86665.54</v>
      </c>
      <c r="F49" s="630">
        <v>89761.79</v>
      </c>
      <c r="G49" s="593">
        <f t="shared" ref="G49:G58" si="4">F49-E49</f>
        <v>3096.25</v>
      </c>
      <c r="H49" s="580">
        <f>G49+'[1]9'!H49</f>
        <v>28248.522999999994</v>
      </c>
      <c r="I49" s="575"/>
      <c r="J49" s="673">
        <f>H49/DAY(B2)</f>
        <v>2824.8522999999996</v>
      </c>
      <c r="K49" s="508"/>
      <c r="L49" s="405"/>
      <c r="N49" s="849"/>
    </row>
    <row r="50" spans="1:14" x14ac:dyDescent="0.4">
      <c r="A50" s="699" t="s">
        <v>205</v>
      </c>
      <c r="B50" s="722"/>
      <c r="C50" s="722"/>
      <c r="D50" s="643" t="s">
        <v>159</v>
      </c>
      <c r="E50" s="630">
        <f>'[1]9'!F50</f>
        <v>308122.17</v>
      </c>
      <c r="F50" s="1175">
        <v>309562.61</v>
      </c>
      <c r="G50" s="593">
        <f t="shared" si="4"/>
        <v>1440.4400000000023</v>
      </c>
      <c r="H50" s="580">
        <f>G50+'[1]9'!H50</f>
        <v>13593.51999999996</v>
      </c>
      <c r="I50" s="575"/>
      <c r="J50" s="673">
        <f>H50/DAY(B2)</f>
        <v>1359.351999999996</v>
      </c>
      <c r="K50" s="508"/>
      <c r="L50" s="405"/>
      <c r="N50" s="849"/>
    </row>
    <row r="51" spans="1:14" x14ac:dyDescent="0.4">
      <c r="A51" s="699" t="s">
        <v>193</v>
      </c>
      <c r="B51" s="722"/>
      <c r="C51" s="722"/>
      <c r="D51" s="643" t="s">
        <v>159</v>
      </c>
      <c r="E51" s="630">
        <f>'[1]9'!F51</f>
        <v>32429.51</v>
      </c>
      <c r="F51" s="630">
        <v>33975.99</v>
      </c>
      <c r="G51" s="593">
        <f t="shared" si="4"/>
        <v>1546.4799999999996</v>
      </c>
      <c r="H51" s="580">
        <f>G51+'[1]9'!H51</f>
        <v>14655.502999999997</v>
      </c>
      <c r="I51" s="575"/>
      <c r="J51" s="673">
        <f>H51/DAY(B2)</f>
        <v>1465.5502999999997</v>
      </c>
      <c r="K51" s="508"/>
      <c r="L51" s="405"/>
      <c r="N51" s="849"/>
    </row>
    <row r="52" spans="1:14" x14ac:dyDescent="0.4">
      <c r="A52" s="699" t="s">
        <v>206</v>
      </c>
      <c r="B52" s="722"/>
      <c r="C52" s="722"/>
      <c r="D52" s="643" t="s">
        <v>159</v>
      </c>
      <c r="E52" s="630">
        <f>'[1]9'!F52</f>
        <v>388432.35</v>
      </c>
      <c r="F52" s="630">
        <v>390665.71</v>
      </c>
      <c r="G52" s="593">
        <f t="shared" si="4"/>
        <v>2233.3600000000442</v>
      </c>
      <c r="H52" s="580">
        <f>G52+'[1]9'!H52</f>
        <v>19543.280000000028</v>
      </c>
      <c r="I52" s="575"/>
      <c r="J52" s="673">
        <f>H52/DAY(B2)</f>
        <v>1954.3280000000027</v>
      </c>
      <c r="K52" s="508"/>
      <c r="L52" s="405"/>
      <c r="N52" s="849"/>
    </row>
    <row r="53" spans="1:14" x14ac:dyDescent="0.4">
      <c r="A53" s="699" t="s">
        <v>195</v>
      </c>
      <c r="B53" s="722"/>
      <c r="C53" s="722"/>
      <c r="D53" s="643" t="s">
        <v>159</v>
      </c>
      <c r="E53" s="630">
        <f>'[1]9'!F53</f>
        <v>83367.179999999993</v>
      </c>
      <c r="F53" s="630">
        <v>87693.28</v>
      </c>
      <c r="G53" s="593">
        <f t="shared" si="4"/>
        <v>4326.1000000000058</v>
      </c>
      <c r="H53" s="580">
        <f>G53+'[1]9'!H53</f>
        <v>42277.273000000001</v>
      </c>
      <c r="I53" s="575"/>
      <c r="J53" s="673">
        <f>H53/DAY(B2)</f>
        <v>4227.7273000000005</v>
      </c>
      <c r="K53" s="508"/>
      <c r="L53" s="405"/>
      <c r="N53" s="849"/>
    </row>
    <row r="54" spans="1:14" x14ac:dyDescent="0.4">
      <c r="A54" s="699" t="s">
        <v>207</v>
      </c>
      <c r="B54" s="722"/>
      <c r="C54" s="722"/>
      <c r="D54" s="643" t="s">
        <v>159</v>
      </c>
      <c r="E54" s="630">
        <f>'[1]9'!F54</f>
        <v>3299.54</v>
      </c>
      <c r="F54" s="630">
        <v>3345.15</v>
      </c>
      <c r="G54" s="593">
        <f t="shared" si="4"/>
        <v>45.610000000000127</v>
      </c>
      <c r="H54" s="580">
        <f>G54+'[1]9'!H54</f>
        <v>512.15000000000009</v>
      </c>
      <c r="I54" s="575"/>
      <c r="J54" s="673">
        <f>H54/DAY(B2)</f>
        <v>51.215000000000011</v>
      </c>
      <c r="K54" s="508"/>
      <c r="L54" s="405"/>
      <c r="N54" s="849"/>
    </row>
    <row r="55" spans="1:14" x14ac:dyDescent="0.4">
      <c r="A55" s="699" t="s">
        <v>208</v>
      </c>
      <c r="B55" s="722"/>
      <c r="C55" s="722"/>
      <c r="D55" s="643" t="s">
        <v>159</v>
      </c>
      <c r="E55" s="630">
        <f>'[1]9'!F55</f>
        <v>158492.73000000001</v>
      </c>
      <c r="F55" s="770">
        <v>158492.73000000001</v>
      </c>
      <c r="G55" s="769">
        <f t="shared" si="4"/>
        <v>0</v>
      </c>
      <c r="H55" s="841">
        <f>G55+'[1]9'!H55</f>
        <v>-0.26999999998952262</v>
      </c>
      <c r="I55" s="842"/>
      <c r="J55" s="843">
        <f>H55/DAY(B2)</f>
        <v>-2.6999999998952261E-2</v>
      </c>
      <c r="K55" s="508"/>
      <c r="L55" s="405"/>
      <c r="N55" s="849"/>
    </row>
    <row r="56" spans="1:14" x14ac:dyDescent="0.4">
      <c r="A56" s="699" t="s">
        <v>209</v>
      </c>
      <c r="B56" s="722"/>
      <c r="C56" s="722"/>
      <c r="D56" s="643" t="s">
        <v>210</v>
      </c>
      <c r="E56" s="630">
        <f>'[1]9'!F56</f>
        <v>449323.67</v>
      </c>
      <c r="F56" s="770">
        <v>450017.11</v>
      </c>
      <c r="G56" s="593">
        <f t="shared" si="4"/>
        <v>693.44000000000233</v>
      </c>
      <c r="H56" s="580">
        <f>G56+'[1]9'!H56</f>
        <v>14869.51999999996</v>
      </c>
      <c r="I56" s="575"/>
      <c r="J56" s="673">
        <f>H56/DAY(B2)</f>
        <v>1486.9519999999961</v>
      </c>
      <c r="K56" s="507"/>
      <c r="L56" s="405"/>
      <c r="N56" s="849"/>
    </row>
    <row r="57" spans="1:14" x14ac:dyDescent="0.4">
      <c r="A57" s="699" t="s">
        <v>199</v>
      </c>
      <c r="B57" s="722"/>
      <c r="C57" s="722"/>
      <c r="D57" s="643" t="s">
        <v>159</v>
      </c>
      <c r="E57" s="630">
        <f>'[1]9'!F57</f>
        <v>0</v>
      </c>
      <c r="F57" s="630">
        <v>0</v>
      </c>
      <c r="G57" s="593">
        <f t="shared" si="4"/>
        <v>0</v>
      </c>
      <c r="H57" s="580">
        <f>G57+'[1]9'!H57</f>
        <v>0</v>
      </c>
      <c r="I57" s="575"/>
      <c r="J57" s="673">
        <f>H57/DAY(B2)</f>
        <v>0</v>
      </c>
      <c r="K57" s="508"/>
      <c r="L57" s="405"/>
      <c r="N57" s="849"/>
    </row>
    <row r="58" spans="1:14" x14ac:dyDescent="0.4">
      <c r="A58" s="699" t="s">
        <v>211</v>
      </c>
      <c r="B58" s="722"/>
      <c r="C58" s="722"/>
      <c r="D58" s="643" t="s">
        <v>159</v>
      </c>
      <c r="E58" s="630">
        <f>'[1]9'!F58</f>
        <v>21382.720000000001</v>
      </c>
      <c r="F58" s="770">
        <v>21544.71</v>
      </c>
      <c r="G58" s="593">
        <f t="shared" si="4"/>
        <v>161.98999999999796</v>
      </c>
      <c r="H58" s="580">
        <f>G58+'[1]9'!H58</f>
        <v>1313.6669999999976</v>
      </c>
      <c r="I58" s="575"/>
      <c r="J58" s="673">
        <f>H58/DAY(B2)</f>
        <v>131.36669999999975</v>
      </c>
      <c r="K58" s="508"/>
      <c r="L58" s="405"/>
      <c r="N58" s="849"/>
    </row>
    <row r="59" spans="1:14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13543.670000000053</v>
      </c>
      <c r="H59" s="580">
        <f>G59+'[1]9'!H59</f>
        <v>135013.16599999994</v>
      </c>
      <c r="I59" s="575">
        <f>G7-G60</f>
        <v>542.43999999988955</v>
      </c>
      <c r="J59" s="673">
        <f>H59/DAY(B2)</f>
        <v>13501.316599999995</v>
      </c>
      <c r="K59" s="508"/>
      <c r="L59" s="405"/>
      <c r="N59" s="849"/>
    </row>
    <row r="60" spans="1:14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22012.56000000011</v>
      </c>
      <c r="H60" s="580">
        <f>G60+'[1]9'!H60</f>
        <v>196741.72599999997</v>
      </c>
      <c r="I60" s="575">
        <f>G13-G60</f>
        <v>-153.25000000011278</v>
      </c>
      <c r="J60" s="673">
        <f>H60/DAY(B2)</f>
        <v>19674.172599999998</v>
      </c>
      <c r="K60" s="508"/>
      <c r="L60" s="405"/>
      <c r="N60" s="849"/>
    </row>
    <row r="61" spans="1:14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849"/>
    </row>
    <row r="62" spans="1:14" x14ac:dyDescent="0.4">
      <c r="A62" s="724" t="s">
        <v>121</v>
      </c>
      <c r="B62" s="725"/>
      <c r="C62" s="725"/>
      <c r="D62" s="631" t="s">
        <v>214</v>
      </c>
      <c r="E62" s="634">
        <f>'[1]9'!F62</f>
        <v>20419</v>
      </c>
      <c r="F62" s="634">
        <v>20419</v>
      </c>
      <c r="G62" s="593">
        <f t="shared" ref="G62:G69" si="5">F62-E62</f>
        <v>0</v>
      </c>
      <c r="H62" s="580">
        <f>G62+'[1]9'!H62</f>
        <v>-0.18000000000029104</v>
      </c>
      <c r="I62" s="635"/>
      <c r="J62" s="673">
        <f>H62/DAY(B2)</f>
        <v>-1.8000000000029104E-2</v>
      </c>
      <c r="K62" s="508"/>
      <c r="L62" s="405"/>
      <c r="N62" s="849"/>
    </row>
    <row r="63" spans="1:14" x14ac:dyDescent="0.4">
      <c r="A63" s="724" t="s">
        <v>215</v>
      </c>
      <c r="B63" s="725"/>
      <c r="C63" s="725"/>
      <c r="D63" s="631" t="s">
        <v>214</v>
      </c>
      <c r="E63" s="634">
        <f>'[1]9'!F63</f>
        <v>991.71</v>
      </c>
      <c r="F63" s="634">
        <v>1003.8</v>
      </c>
      <c r="G63" s="593">
        <f t="shared" si="5"/>
        <v>12.089999999999918</v>
      </c>
      <c r="H63" s="580">
        <f>G63+'[1]9'!H63</f>
        <v>147.42999999999995</v>
      </c>
      <c r="I63" s="635"/>
      <c r="J63" s="673">
        <f>H63/DAY(B2)</f>
        <v>14.742999999999995</v>
      </c>
      <c r="K63" s="508"/>
      <c r="L63" s="405"/>
      <c r="N63" s="849"/>
    </row>
    <row r="64" spans="1:14" ht="27.75" x14ac:dyDescent="0.5">
      <c r="A64" s="1395" t="s">
        <v>122</v>
      </c>
      <c r="B64" s="1396"/>
      <c r="C64" s="1397"/>
      <c r="D64" s="643" t="s">
        <v>214</v>
      </c>
      <c r="E64" s="634">
        <f>'[1]9'!F64</f>
        <v>89996.55</v>
      </c>
      <c r="F64" s="598">
        <v>90384.22</v>
      </c>
      <c r="G64" s="593">
        <f t="shared" si="5"/>
        <v>387.66999999999825</v>
      </c>
      <c r="H64" s="580">
        <f>G64+'[1]9'!H64</f>
        <v>3645.125</v>
      </c>
      <c r="I64" s="600"/>
      <c r="J64" s="673">
        <f>H64/DAY(B2)</f>
        <v>364.51249999999999</v>
      </c>
      <c r="K64" s="508"/>
      <c r="L64" s="405"/>
      <c r="N64" s="849"/>
    </row>
    <row r="65" spans="1:14" ht="27.75" x14ac:dyDescent="0.5">
      <c r="A65" s="1395" t="s">
        <v>123</v>
      </c>
      <c r="B65" s="1396"/>
      <c r="C65" s="1397"/>
      <c r="D65" s="643" t="s">
        <v>214</v>
      </c>
      <c r="E65" s="634">
        <f>'[1]9'!F65</f>
        <v>100230.81</v>
      </c>
      <c r="F65" s="768">
        <v>100656.04</v>
      </c>
      <c r="G65" s="593">
        <f t="shared" si="5"/>
        <v>425.22999999999593</v>
      </c>
      <c r="H65" s="580">
        <f>G65+'[1]9'!H65</f>
        <v>4020.0570000000007</v>
      </c>
      <c r="I65" s="609"/>
      <c r="J65" s="673">
        <f>H65/DAY(B2)</f>
        <v>402.00570000000005</v>
      </c>
      <c r="K65" s="508"/>
      <c r="L65" s="405"/>
      <c r="N65" s="849"/>
    </row>
    <row r="66" spans="1:14" ht="27.75" x14ac:dyDescent="0.5">
      <c r="A66" s="1395" t="s">
        <v>124</v>
      </c>
      <c r="B66" s="1396"/>
      <c r="C66" s="1397"/>
      <c r="D66" s="643" t="s">
        <v>214</v>
      </c>
      <c r="E66" s="634">
        <f>'[1]9'!F66</f>
        <v>93543.8</v>
      </c>
      <c r="F66" s="598">
        <v>93964.85</v>
      </c>
      <c r="G66" s="593">
        <f t="shared" si="5"/>
        <v>421.05000000000291</v>
      </c>
      <c r="H66" s="580">
        <f>G66+'[1]9'!H66</f>
        <v>3960.0030000000115</v>
      </c>
      <c r="I66" s="600"/>
      <c r="J66" s="673">
        <f>H66/DAY(B2)</f>
        <v>396.00030000000118</v>
      </c>
      <c r="K66" s="508"/>
      <c r="L66" s="405"/>
      <c r="N66" s="849"/>
    </row>
    <row r="67" spans="1:14" ht="27.75" x14ac:dyDescent="0.5">
      <c r="A67" s="1395" t="s">
        <v>125</v>
      </c>
      <c r="B67" s="1396"/>
      <c r="C67" s="1397"/>
      <c r="D67" s="643" t="s">
        <v>214</v>
      </c>
      <c r="E67" s="634">
        <f>'[1]9'!F67</f>
        <v>152622.97</v>
      </c>
      <c r="F67" s="598">
        <v>153370.17000000001</v>
      </c>
      <c r="G67" s="593">
        <f t="shared" si="5"/>
        <v>747.20000000001164</v>
      </c>
      <c r="H67" s="580">
        <f>G67+'[1]9'!H67</f>
        <v>7328.1200000000244</v>
      </c>
      <c r="I67" s="609"/>
      <c r="J67" s="673">
        <f>H67/DAY(B2)</f>
        <v>732.8120000000024</v>
      </c>
      <c r="K67" s="509"/>
      <c r="L67" s="405"/>
      <c r="N67" s="849"/>
    </row>
    <row r="68" spans="1:14" ht="27.75" x14ac:dyDescent="0.5">
      <c r="A68" s="1395" t="s">
        <v>126</v>
      </c>
      <c r="B68" s="1396"/>
      <c r="C68" s="1397"/>
      <c r="D68" s="643" t="s">
        <v>214</v>
      </c>
      <c r="E68" s="634">
        <f>'[1]9'!F68</f>
        <v>46408.79</v>
      </c>
      <c r="F68" s="598">
        <v>46754.7</v>
      </c>
      <c r="G68" s="593">
        <f t="shared" si="5"/>
        <v>345.90999999999622</v>
      </c>
      <c r="H68" s="580">
        <f>G68+'[1]9'!H68</f>
        <v>3579.6209999999992</v>
      </c>
      <c r="I68" s="636"/>
      <c r="J68" s="673">
        <f>H68/DAY(B2)</f>
        <v>357.96209999999991</v>
      </c>
      <c r="K68" s="510"/>
      <c r="L68" s="405"/>
      <c r="N68" s="849"/>
    </row>
    <row r="69" spans="1:14" ht="27.75" x14ac:dyDescent="0.5">
      <c r="A69" s="1395" t="s">
        <v>127</v>
      </c>
      <c r="B69" s="1396"/>
      <c r="C69" s="1397"/>
      <c r="D69" s="643" t="s">
        <v>214</v>
      </c>
      <c r="E69" s="634">
        <f>'[1]9'!F69</f>
        <v>40175.699999999997</v>
      </c>
      <c r="F69" s="598">
        <v>40479.03</v>
      </c>
      <c r="G69" s="593">
        <f t="shared" si="5"/>
        <v>303.33000000000175</v>
      </c>
      <c r="H69" s="580">
        <f>G69+'[1]9'!H69</f>
        <v>2923.4629999999961</v>
      </c>
      <c r="I69" s="636"/>
      <c r="J69" s="673">
        <f>H69/DAY(B2)</f>
        <v>292.34629999999959</v>
      </c>
      <c r="K69" s="511"/>
      <c r="L69" s="405"/>
      <c r="N69" s="849"/>
    </row>
    <row r="70" spans="1:14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/>
      <c r="I70" s="638"/>
      <c r="J70" s="677"/>
      <c r="K70" s="511"/>
      <c r="L70" s="405"/>
      <c r="N70" s="849"/>
    </row>
    <row r="71" spans="1:14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849"/>
    </row>
    <row r="72" spans="1:14" ht="27.75" x14ac:dyDescent="0.5">
      <c r="A72" s="1395" t="s">
        <v>218</v>
      </c>
      <c r="B72" s="1396"/>
      <c r="C72" s="1397"/>
      <c r="D72" s="643" t="s">
        <v>214</v>
      </c>
      <c r="E72" s="639">
        <f>'[1]9'!F72</f>
        <v>844389</v>
      </c>
      <c r="F72" s="771">
        <v>844579</v>
      </c>
      <c r="G72" s="593">
        <f t="shared" ref="G72:G84" si="6">F72-E72</f>
        <v>190</v>
      </c>
      <c r="H72" s="580">
        <f>G72+'[1]9'!H72</f>
        <v>402</v>
      </c>
      <c r="I72" s="600"/>
      <c r="J72" s="673">
        <f>H72/DAY(B2)</f>
        <v>40.200000000000003</v>
      </c>
      <c r="K72" s="511"/>
      <c r="L72" s="405"/>
      <c r="N72" s="849"/>
    </row>
    <row r="73" spans="1:14" ht="27.75" x14ac:dyDescent="0.5">
      <c r="A73" s="1395" t="s">
        <v>219</v>
      </c>
      <c r="B73" s="1396"/>
      <c r="C73" s="1397"/>
      <c r="D73" s="643" t="s">
        <v>214</v>
      </c>
      <c r="E73" s="639">
        <f>'[1]9'!F73</f>
        <v>885412</v>
      </c>
      <c r="F73" s="772">
        <v>885415</v>
      </c>
      <c r="G73" s="769">
        <f t="shared" si="6"/>
        <v>3</v>
      </c>
      <c r="H73" s="580">
        <f>G73+'[1]9'!H73</f>
        <v>105</v>
      </c>
      <c r="I73" s="600"/>
      <c r="J73" s="673">
        <f>H73/DAY(B2)</f>
        <v>10.5</v>
      </c>
      <c r="K73" s="510"/>
      <c r="L73" s="405"/>
      <c r="N73" s="849"/>
    </row>
    <row r="74" spans="1:14" ht="27.75" x14ac:dyDescent="0.5">
      <c r="A74" s="1395" t="s">
        <v>220</v>
      </c>
      <c r="B74" s="1396"/>
      <c r="C74" s="1397"/>
      <c r="D74" s="643" t="s">
        <v>214</v>
      </c>
      <c r="E74" s="639">
        <f>'[1]9'!F74</f>
        <v>880509</v>
      </c>
      <c r="F74" s="771">
        <v>880537</v>
      </c>
      <c r="G74" s="593">
        <f t="shared" si="6"/>
        <v>28</v>
      </c>
      <c r="H74" s="580">
        <f>G74+'[1]9'!H74</f>
        <v>310</v>
      </c>
      <c r="I74" s="600"/>
      <c r="J74" s="673">
        <f>H74/DAY(B2)</f>
        <v>31</v>
      </c>
      <c r="K74" s="511"/>
      <c r="L74" s="405"/>
      <c r="N74" s="849"/>
    </row>
    <row r="75" spans="1:14" ht="27.75" x14ac:dyDescent="0.5">
      <c r="A75" s="1447" t="s">
        <v>221</v>
      </c>
      <c r="B75" s="1448"/>
      <c r="C75" s="1449"/>
      <c r="D75" s="643" t="s">
        <v>214</v>
      </c>
      <c r="E75" s="639">
        <f>'[1]9'!F75</f>
        <v>727756</v>
      </c>
      <c r="F75" s="772">
        <v>727941</v>
      </c>
      <c r="G75" s="593">
        <f t="shared" si="6"/>
        <v>185</v>
      </c>
      <c r="H75" s="580">
        <f>G75+'[1]9'!H75</f>
        <v>1761</v>
      </c>
      <c r="I75" s="600"/>
      <c r="J75" s="673">
        <f>H75/DAY(B2)</f>
        <v>176.1</v>
      </c>
      <c r="K75" s="510"/>
      <c r="L75" s="405"/>
      <c r="N75" s="849"/>
    </row>
    <row r="76" spans="1:14" ht="27.75" x14ac:dyDescent="0.5">
      <c r="A76" s="1447" t="s">
        <v>222</v>
      </c>
      <c r="B76" s="1448"/>
      <c r="C76" s="1449"/>
      <c r="D76" s="643" t="s">
        <v>214</v>
      </c>
      <c r="E76" s="639">
        <f>'[1]9'!F76</f>
        <v>682289</v>
      </c>
      <c r="F76" s="772">
        <v>682389</v>
      </c>
      <c r="G76" s="593">
        <f t="shared" si="6"/>
        <v>100</v>
      </c>
      <c r="H76" s="580">
        <f>G76+'[1]9'!H76</f>
        <v>713</v>
      </c>
      <c r="I76" s="625"/>
      <c r="J76" s="673">
        <f>H76/DAY(B2)</f>
        <v>71.3</v>
      </c>
      <c r="K76" s="510"/>
      <c r="L76" s="405"/>
      <c r="N76" s="849"/>
    </row>
    <row r="77" spans="1:14" ht="27.75" x14ac:dyDescent="0.5">
      <c r="A77" s="1395" t="s">
        <v>223</v>
      </c>
      <c r="B77" s="1396"/>
      <c r="C77" s="1397"/>
      <c r="D77" s="643" t="s">
        <v>214</v>
      </c>
      <c r="E77" s="639">
        <f>'[1]9'!F77</f>
        <v>694184</v>
      </c>
      <c r="F77" s="772">
        <v>694238</v>
      </c>
      <c r="G77" s="769">
        <f t="shared" si="6"/>
        <v>54</v>
      </c>
      <c r="H77" s="580">
        <f>G77+'[1]9'!H77</f>
        <v>518</v>
      </c>
      <c r="I77" s="625"/>
      <c r="J77" s="673">
        <f>H77/DAY(B2)</f>
        <v>51.8</v>
      </c>
      <c r="K77" s="510"/>
      <c r="L77" s="405"/>
      <c r="N77" s="849"/>
    </row>
    <row r="78" spans="1:14" ht="27.75" x14ac:dyDescent="0.5">
      <c r="A78" s="1357" t="s">
        <v>224</v>
      </c>
      <c r="B78" s="1320"/>
      <c r="C78" s="1320"/>
      <c r="D78" s="643" t="s">
        <v>214</v>
      </c>
      <c r="E78" s="639">
        <f>'[1]9'!F78</f>
        <v>621968</v>
      </c>
      <c r="F78" s="773">
        <v>622398</v>
      </c>
      <c r="G78" s="593">
        <f t="shared" si="6"/>
        <v>430</v>
      </c>
      <c r="H78" s="580">
        <f>G78+'[1]9'!H78</f>
        <v>4145</v>
      </c>
      <c r="I78" s="625"/>
      <c r="J78" s="673">
        <f>H78/DAY(B2)</f>
        <v>414.5</v>
      </c>
      <c r="K78" s="510"/>
      <c r="L78" s="405"/>
      <c r="N78" s="849"/>
    </row>
    <row r="79" spans="1:14" ht="27.75" x14ac:dyDescent="0.5">
      <c r="A79" s="1447" t="s">
        <v>112</v>
      </c>
      <c r="B79" s="1448"/>
      <c r="C79" s="1449"/>
      <c r="D79" s="644" t="s">
        <v>214</v>
      </c>
      <c r="E79" s="639">
        <f>'[1]9'!F79</f>
        <v>799713</v>
      </c>
      <c r="F79" s="773">
        <v>799925</v>
      </c>
      <c r="G79" s="593">
        <f t="shared" si="6"/>
        <v>212</v>
      </c>
      <c r="H79" s="580">
        <f>G79+'[1]9'!H79</f>
        <v>1939</v>
      </c>
      <c r="I79" s="625"/>
      <c r="J79" s="673">
        <f>H79/DAY(B2)</f>
        <v>193.9</v>
      </c>
      <c r="K79" s="510"/>
      <c r="L79" s="405"/>
      <c r="N79" s="849"/>
    </row>
    <row r="80" spans="1:14" ht="27.75" x14ac:dyDescent="0.5">
      <c r="A80" s="1447" t="s">
        <v>225</v>
      </c>
      <c r="B80" s="1448"/>
      <c r="C80" s="1449"/>
      <c r="D80" s="644" t="s">
        <v>214</v>
      </c>
      <c r="E80" s="639">
        <f>'[1]9'!F80</f>
        <v>468449.64</v>
      </c>
      <c r="F80" s="772">
        <v>468774</v>
      </c>
      <c r="G80" s="593">
        <f t="shared" si="6"/>
        <v>324.35999999998603</v>
      </c>
      <c r="H80" s="580">
        <f>G80+'[1]9'!H80</f>
        <v>3276.1199999999953</v>
      </c>
      <c r="I80" s="625"/>
      <c r="J80" s="673">
        <f>H80/DAY(B2)</f>
        <v>327.61199999999951</v>
      </c>
      <c r="K80" s="510"/>
      <c r="L80" s="405"/>
      <c r="N80" s="849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39">
        <f>'[1]9'!F81</f>
        <v>615893</v>
      </c>
      <c r="F81" s="772">
        <v>616086</v>
      </c>
      <c r="G81" s="593">
        <f t="shared" si="6"/>
        <v>193</v>
      </c>
      <c r="H81" s="580">
        <f>G81+'[1]9'!H81</f>
        <v>1697.4799999999814</v>
      </c>
      <c r="I81" s="625"/>
      <c r="J81" s="673">
        <f>H81/DAY(B2)</f>
        <v>169.74799999999814</v>
      </c>
      <c r="K81" s="510"/>
      <c r="L81" s="405"/>
      <c r="N81" s="849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39">
        <f>'[1]9'!F82</f>
        <v>103744</v>
      </c>
      <c r="F82" s="768">
        <v>103767</v>
      </c>
      <c r="G82" s="593">
        <f t="shared" si="6"/>
        <v>23</v>
      </c>
      <c r="H82" s="580">
        <f>G82+'[1]9'!H82</f>
        <v>237.35000000000582</v>
      </c>
      <c r="I82" s="606"/>
      <c r="J82" s="673">
        <f>H82/DAY(B2)</f>
        <v>23.735000000000582</v>
      </c>
      <c r="K82" s="510"/>
      <c r="L82" s="405"/>
      <c r="N82" s="849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9">
        <f>'[1]9'!F83</f>
        <v>965654</v>
      </c>
      <c r="F83" s="631">
        <v>966003</v>
      </c>
      <c r="G83" s="593">
        <f t="shared" si="6"/>
        <v>349</v>
      </c>
      <c r="H83" s="580">
        <f>G83+'[1]9'!H83</f>
        <v>3478</v>
      </c>
      <c r="I83" s="601"/>
      <c r="J83" s="673">
        <f>H83/DAY(B2)</f>
        <v>347.8</v>
      </c>
      <c r="K83" s="509"/>
      <c r="L83" s="405"/>
      <c r="N83" s="849"/>
    </row>
    <row r="84" spans="1:15" x14ac:dyDescent="0.5">
      <c r="A84" s="1360" t="s">
        <v>228</v>
      </c>
      <c r="B84" s="692"/>
      <c r="C84" s="692"/>
      <c r="D84" s="598" t="s">
        <v>159</v>
      </c>
      <c r="E84" s="639">
        <f>'[1]9'!F84</f>
        <v>386330</v>
      </c>
      <c r="F84" s="748">
        <v>386884</v>
      </c>
      <c r="G84" s="593">
        <f t="shared" si="6"/>
        <v>554</v>
      </c>
      <c r="H84" s="580">
        <f>G84+'[1]9'!H84</f>
        <v>5528</v>
      </c>
      <c r="I84" s="601"/>
      <c r="J84" s="673">
        <f>H84/DAY(B2)</f>
        <v>552.79999999999995</v>
      </c>
      <c r="K84" s="408"/>
      <c r="L84" s="405"/>
      <c r="N84" s="849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2645.359999999986</v>
      </c>
      <c r="H85" s="580">
        <f>G85+'[1]9'!H85</f>
        <v>22288.519999999931</v>
      </c>
      <c r="I85" s="601"/>
      <c r="J85" s="673">
        <f>H85/DAY(B2)</f>
        <v>2228.851999999993</v>
      </c>
      <c r="K85" s="408"/>
      <c r="L85" s="406"/>
      <c r="N85" s="849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48">
        <f>'[1]9'!F86</f>
        <v>442027.56</v>
      </c>
      <c r="F86" s="764">
        <v>442224</v>
      </c>
      <c r="G86" s="841">
        <f t="shared" ref="G86:G90" si="7">F86-E86</f>
        <v>196.44000000000233</v>
      </c>
      <c r="H86" s="841">
        <f t="shared" ref="H86:H88" si="8">G86</f>
        <v>196.44000000000233</v>
      </c>
      <c r="I86" s="769"/>
      <c r="J86" s="843">
        <f>H86/DAY(B2)</f>
        <v>19.644000000000233</v>
      </c>
      <c r="K86" s="869"/>
      <c r="L86" s="870"/>
      <c r="O86" s="849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48">
        <f>'[1]9'!F87</f>
        <v>77156.2</v>
      </c>
      <c r="F87" s="764">
        <v>77191</v>
      </c>
      <c r="G87" s="841">
        <f t="shared" si="7"/>
        <v>34.80000000000291</v>
      </c>
      <c r="H87" s="841">
        <f t="shared" si="8"/>
        <v>34.80000000000291</v>
      </c>
      <c r="I87" s="769"/>
      <c r="J87" s="843">
        <f>H87/DAY(B2)</f>
        <v>3.4800000000002909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48">
        <f>'[1]9'!F88</f>
        <v>143195</v>
      </c>
      <c r="F88" s="764">
        <v>143264</v>
      </c>
      <c r="G88" s="841">
        <f t="shared" si="7"/>
        <v>69</v>
      </c>
      <c r="H88" s="841">
        <f t="shared" si="8"/>
        <v>69</v>
      </c>
      <c r="I88" s="769"/>
      <c r="J88" s="843">
        <f>H88/DAY(B2)</f>
        <v>6.9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48">
        <f>'[1]9'!F89</f>
        <v>56235.4</v>
      </c>
      <c r="F89" s="764">
        <v>56296.6</v>
      </c>
      <c r="G89" s="841">
        <f t="shared" si="7"/>
        <v>61.19999999999709</v>
      </c>
      <c r="H89" s="841">
        <f>G89</f>
        <v>61.19999999999709</v>
      </c>
      <c r="I89" s="769"/>
      <c r="J89" s="843">
        <f>H89/DAY(B2)</f>
        <v>6.1199999999997088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48">
        <f>'[1]9'!F90</f>
        <v>2920.4</v>
      </c>
      <c r="F90" s="764">
        <v>2925.1</v>
      </c>
      <c r="G90" s="841">
        <f t="shared" si="7"/>
        <v>4.6999999999998181</v>
      </c>
      <c r="H90" s="841">
        <f>G90</f>
        <v>4.6999999999998181</v>
      </c>
      <c r="I90" s="769"/>
      <c r="J90" s="843">
        <f>H90/DAY(B2)</f>
        <v>0.46999999999998182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849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'[1]9'!F92</f>
        <v>231813</v>
      </c>
      <c r="F92" s="598">
        <v>231989</v>
      </c>
      <c r="G92" s="593">
        <f t="shared" ref="G92:G93" si="9">F92-E92</f>
        <v>176</v>
      </c>
      <c r="H92" s="580">
        <f>G92+'[1]9'!H92</f>
        <v>1014</v>
      </c>
      <c r="I92" s="600"/>
      <c r="J92" s="673">
        <f>H92/DAY(B2)</f>
        <v>101.4</v>
      </c>
      <c r="K92" s="509"/>
      <c r="L92" s="405"/>
      <c r="N92" s="849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'[1]9'!F93</f>
        <v>163920</v>
      </c>
      <c r="F93" s="598">
        <v>164075</v>
      </c>
      <c r="G93" s="593">
        <f t="shared" si="9"/>
        <v>155</v>
      </c>
      <c r="H93" s="580">
        <f>G93+'[1]9'!H93</f>
        <v>1433</v>
      </c>
      <c r="I93" s="600"/>
      <c r="J93" s="673">
        <f>H93/DAY(B2)</f>
        <v>143.30000000000001</v>
      </c>
      <c r="K93" s="408"/>
      <c r="L93" s="405"/>
      <c r="N93" s="849"/>
    </row>
    <row r="94" spans="1:15" x14ac:dyDescent="0.5">
      <c r="A94" s="1392" t="s">
        <v>235</v>
      </c>
      <c r="B94" s="1393"/>
      <c r="C94" s="1394"/>
      <c r="D94" s="643"/>
      <c r="E94" s="604"/>
      <c r="F94" s="598"/>
      <c r="G94" s="593">
        <f>G92+G93</f>
        <v>331</v>
      </c>
      <c r="H94" s="580">
        <f>G94+'[1]9'!H94</f>
        <v>2184</v>
      </c>
      <c r="I94" s="600"/>
      <c r="J94" s="673">
        <f>H94/DAY(B2)</f>
        <v>218.4</v>
      </c>
      <c r="K94" s="408"/>
      <c r="L94" s="405"/>
      <c r="N94" s="849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'[1]9'!F95</f>
        <v>402088</v>
      </c>
      <c r="F95" s="598">
        <v>402228</v>
      </c>
      <c r="G95" s="593">
        <f t="shared" ref="G95:G100" si="10">F95-E95</f>
        <v>140</v>
      </c>
      <c r="H95" s="580">
        <f>G95+'[1]9'!H95</f>
        <v>663</v>
      </c>
      <c r="I95" s="600"/>
      <c r="J95" s="673">
        <f>H95/DAY(B2)</f>
        <v>66.3</v>
      </c>
      <c r="K95" s="408"/>
      <c r="L95" s="405"/>
      <c r="N95" s="849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'[1]9'!F96</f>
        <v>99378</v>
      </c>
      <c r="F96" s="598">
        <v>99415</v>
      </c>
      <c r="G96" s="593">
        <f t="shared" si="10"/>
        <v>37</v>
      </c>
      <c r="H96" s="580">
        <f>G96+'[1]9'!H96</f>
        <v>304</v>
      </c>
      <c r="I96" s="600"/>
      <c r="J96" s="673">
        <f>H96/DAY(B2)</f>
        <v>30.4</v>
      </c>
      <c r="K96" s="507"/>
      <c r="L96" s="405"/>
      <c r="N96" s="849"/>
    </row>
    <row r="97" spans="1:14" ht="27.75" x14ac:dyDescent="0.5">
      <c r="A97" s="1354" t="s">
        <v>238</v>
      </c>
      <c r="B97" s="1355"/>
      <c r="C97" s="1355"/>
      <c r="D97" s="643" t="s">
        <v>171</v>
      </c>
      <c r="E97" s="604">
        <f>'[1]9'!F97</f>
        <v>94470</v>
      </c>
      <c r="F97" s="598">
        <v>94490</v>
      </c>
      <c r="G97" s="593">
        <f t="shared" si="10"/>
        <v>20</v>
      </c>
      <c r="H97" s="580">
        <f>G97+'[1]9'!H97</f>
        <v>218</v>
      </c>
      <c r="I97" s="600"/>
      <c r="J97" s="673">
        <f>H97/DAY(B2)</f>
        <v>21.8</v>
      </c>
      <c r="K97" s="512"/>
      <c r="L97" s="405"/>
      <c r="N97" s="849"/>
    </row>
    <row r="98" spans="1:14" ht="27.75" x14ac:dyDescent="0.5">
      <c r="A98" s="1354" t="s">
        <v>239</v>
      </c>
      <c r="B98" s="1355"/>
      <c r="C98" s="1355"/>
      <c r="D98" s="643" t="s">
        <v>171</v>
      </c>
      <c r="E98" s="604">
        <f>'[1]9'!F98</f>
        <v>142591</v>
      </c>
      <c r="F98" s="598">
        <v>142682</v>
      </c>
      <c r="G98" s="593">
        <f t="shared" si="10"/>
        <v>91</v>
      </c>
      <c r="H98" s="580">
        <f>G98+'[1]9'!H98</f>
        <v>536</v>
      </c>
      <c r="I98" s="600"/>
      <c r="J98" s="673">
        <f>H98/DAY(B2)</f>
        <v>53.6</v>
      </c>
      <c r="K98" s="408"/>
      <c r="L98" s="405"/>
      <c r="N98" s="851"/>
    </row>
    <row r="99" spans="1:14" ht="27.75" x14ac:dyDescent="0.5">
      <c r="A99" s="1354" t="s">
        <v>240</v>
      </c>
      <c r="B99" s="1355"/>
      <c r="C99" s="1355"/>
      <c r="D99" s="643" t="s">
        <v>171</v>
      </c>
      <c r="E99" s="604">
        <f>'[1]9'!F99</f>
        <v>5174</v>
      </c>
      <c r="F99" s="598">
        <v>5202</v>
      </c>
      <c r="G99" s="593">
        <f t="shared" si="10"/>
        <v>28</v>
      </c>
      <c r="H99" s="580">
        <f>G99+'[1]9'!H99</f>
        <v>234</v>
      </c>
      <c r="I99" s="600"/>
      <c r="J99" s="673">
        <f>H99/DAY(B2)</f>
        <v>23.4</v>
      </c>
      <c r="K99" s="408"/>
      <c r="L99" s="405"/>
      <c r="N99" s="849"/>
    </row>
    <row r="100" spans="1:14" ht="27.75" x14ac:dyDescent="0.5">
      <c r="A100" s="1354" t="s">
        <v>241</v>
      </c>
      <c r="B100" s="1355"/>
      <c r="C100" s="1355"/>
      <c r="D100" s="643" t="s">
        <v>171</v>
      </c>
      <c r="E100" s="604">
        <f>'[1]9'!F100</f>
        <v>3674</v>
      </c>
      <c r="F100" s="598">
        <v>3674</v>
      </c>
      <c r="G100" s="593">
        <f t="shared" si="10"/>
        <v>0</v>
      </c>
      <c r="H100" s="580">
        <f>G100+'[1]9'!H100</f>
        <v>0</v>
      </c>
      <c r="I100" s="600"/>
      <c r="J100" s="673">
        <f>H100/DAY(B2)</f>
        <v>0</v>
      </c>
      <c r="K100" s="408"/>
      <c r="L100" s="405"/>
      <c r="N100" s="849"/>
    </row>
    <row r="101" spans="1:14" x14ac:dyDescent="0.5">
      <c r="A101" s="1392" t="s">
        <v>242</v>
      </c>
      <c r="B101" s="1393"/>
      <c r="C101" s="1394"/>
      <c r="D101" s="644"/>
      <c r="E101" s="604"/>
      <c r="F101" s="644"/>
      <c r="G101" s="645">
        <f>SUM(G95:G100)</f>
        <v>316</v>
      </c>
      <c r="H101" s="580">
        <f>G101+'[1]9'!H101</f>
        <v>1955</v>
      </c>
      <c r="I101" s="646"/>
      <c r="J101" s="673">
        <f>H101/DAY(B2)</f>
        <v>195.5</v>
      </c>
      <c r="K101" s="408"/>
      <c r="L101" s="405"/>
      <c r="N101" s="849"/>
    </row>
    <row r="102" spans="1:14" s="524" customFormat="1" ht="27" x14ac:dyDescent="0.4">
      <c r="A102" s="728" t="s">
        <v>243</v>
      </c>
      <c r="B102" s="729"/>
      <c r="C102" s="729"/>
      <c r="D102" s="742"/>
      <c r="E102" s="604"/>
      <c r="F102" s="774"/>
      <c r="G102" s="649"/>
      <c r="H102" s="650"/>
      <c r="I102" s="651"/>
      <c r="J102" s="678"/>
      <c r="N102" s="849"/>
    </row>
    <row r="103" spans="1:14" s="524" customFormat="1" ht="27.75" x14ac:dyDescent="0.5">
      <c r="A103" s="1404" t="s">
        <v>244</v>
      </c>
      <c r="B103" s="1405"/>
      <c r="C103" s="694"/>
      <c r="D103" s="743"/>
      <c r="E103" s="604"/>
      <c r="F103" s="775"/>
      <c r="G103" s="652"/>
      <c r="H103" s="653"/>
      <c r="I103" s="652"/>
      <c r="J103" s="679"/>
      <c r="N103" s="849"/>
    </row>
    <row r="104" spans="1:14" s="524" customFormat="1" ht="27.75" x14ac:dyDescent="0.5">
      <c r="A104" s="1406" t="s">
        <v>245</v>
      </c>
      <c r="B104" s="1407"/>
      <c r="C104" s="1359"/>
      <c r="D104" s="743" t="s">
        <v>171</v>
      </c>
      <c r="E104" s="604">
        <f>'[1]9'!F104</f>
        <v>7010</v>
      </c>
      <c r="F104" s="775">
        <v>7010</v>
      </c>
      <c r="G104" s="652">
        <f>F104-E104</f>
        <v>0</v>
      </c>
      <c r="H104" s="653">
        <f>SUM(G104+'[1]9'!G76)</f>
        <v>97</v>
      </c>
      <c r="I104" s="652"/>
      <c r="J104" s="679">
        <f>H104/DAY(B2)</f>
        <v>9.6999999999999993</v>
      </c>
      <c r="N104" s="849"/>
    </row>
    <row r="105" spans="1:14" s="524" customFormat="1" ht="27.75" x14ac:dyDescent="0.5">
      <c r="A105" s="1406" t="s">
        <v>92</v>
      </c>
      <c r="B105" s="1407"/>
      <c r="C105" s="1359"/>
      <c r="D105" s="743" t="s">
        <v>171</v>
      </c>
      <c r="E105" s="604">
        <f>'[1]9'!F105</f>
        <v>34719</v>
      </c>
      <c r="F105" s="776">
        <v>34767</v>
      </c>
      <c r="G105" s="652">
        <f t="shared" ref="G105:G106" si="11">F105-E105</f>
        <v>48</v>
      </c>
      <c r="H105" s="653">
        <f>SUM(G105+'[1]9'!G77)</f>
        <v>99</v>
      </c>
      <c r="I105" s="652"/>
      <c r="J105" s="679">
        <f>H105/DAY(B2)</f>
        <v>9.9</v>
      </c>
      <c r="N105" s="849"/>
    </row>
    <row r="106" spans="1:14" s="524" customFormat="1" ht="27.75" x14ac:dyDescent="0.5">
      <c r="A106" s="1406" t="s">
        <v>93</v>
      </c>
      <c r="B106" s="1408"/>
      <c r="C106" s="1407"/>
      <c r="D106" s="743" t="s">
        <v>171</v>
      </c>
      <c r="E106" s="604">
        <f>'[1]9'!F106</f>
        <v>18780</v>
      </c>
      <c r="F106" s="776">
        <v>18786</v>
      </c>
      <c r="G106" s="652">
        <f t="shared" si="11"/>
        <v>6</v>
      </c>
      <c r="H106" s="653">
        <f>SUM(G106+'[1]9'!G78)</f>
        <v>465</v>
      </c>
      <c r="I106" s="652"/>
      <c r="J106" s="679">
        <f>H106/DAY(B2)</f>
        <v>46.5</v>
      </c>
      <c r="N106" s="849"/>
    </row>
    <row r="107" spans="1:14" s="524" customFormat="1" ht="27.75" x14ac:dyDescent="0.5">
      <c r="A107" s="1409" t="s">
        <v>82</v>
      </c>
      <c r="B107" s="1410"/>
      <c r="C107" s="1359"/>
      <c r="D107" s="743"/>
      <c r="E107" s="604"/>
      <c r="F107" s="776"/>
      <c r="G107" s="652">
        <f>SUM(G104:G106)</f>
        <v>54</v>
      </c>
      <c r="H107" s="653">
        <f>SUM(G107+'[1]9'!G79)</f>
        <v>248</v>
      </c>
      <c r="I107" s="652"/>
      <c r="J107" s="679">
        <f>H107/DAY(B2)</f>
        <v>24.8</v>
      </c>
      <c r="N107" s="849"/>
    </row>
    <row r="108" spans="1:14" s="524" customFormat="1" ht="27.75" x14ac:dyDescent="0.5">
      <c r="A108" s="1411" t="s">
        <v>94</v>
      </c>
      <c r="B108" s="1412"/>
      <c r="C108" s="1359"/>
      <c r="D108" s="743" t="s">
        <v>171</v>
      </c>
      <c r="E108" s="604"/>
      <c r="F108" s="776"/>
      <c r="G108" s="652"/>
      <c r="H108" s="653"/>
      <c r="I108" s="652"/>
      <c r="J108" s="679"/>
      <c r="N108" s="849"/>
    </row>
    <row r="109" spans="1:14" s="524" customFormat="1" ht="27.75" x14ac:dyDescent="0.5">
      <c r="A109" s="1406" t="s">
        <v>246</v>
      </c>
      <c r="B109" s="1407"/>
      <c r="C109" s="1359"/>
      <c r="D109" s="743" t="s">
        <v>171</v>
      </c>
      <c r="E109" s="604">
        <f>'[1]9'!F109</f>
        <v>51838</v>
      </c>
      <c r="F109" s="776">
        <v>51877</v>
      </c>
      <c r="G109" s="652">
        <f>F109-E109</f>
        <v>39</v>
      </c>
      <c r="H109" s="653">
        <f>SUM(G109+'[1]9'!G81)</f>
        <v>233.95999999996275</v>
      </c>
      <c r="I109" s="652"/>
      <c r="J109" s="679">
        <f>H109/DAY(B2)</f>
        <v>23.395999999996274</v>
      </c>
      <c r="N109" s="849"/>
    </row>
    <row r="110" spans="1:14" s="524" customFormat="1" ht="27.75" x14ac:dyDescent="0.5">
      <c r="A110" s="1406" t="s">
        <v>247</v>
      </c>
      <c r="B110" s="1407"/>
      <c r="C110" s="1359"/>
      <c r="D110" s="743" t="s">
        <v>171</v>
      </c>
      <c r="E110" s="604">
        <f>'[1]9'!F110</f>
        <v>25750</v>
      </c>
      <c r="F110" s="776">
        <v>25833</v>
      </c>
      <c r="G110" s="652">
        <f t="shared" ref="G110:G111" si="12">F110-E110</f>
        <v>83</v>
      </c>
      <c r="H110" s="653">
        <f>SUM(G110+'[1]9'!G82)</f>
        <v>126</v>
      </c>
      <c r="I110" s="652"/>
      <c r="J110" s="679">
        <f>H110/DAY(B2)</f>
        <v>12.6</v>
      </c>
      <c r="N110" s="849"/>
    </row>
    <row r="111" spans="1:14" s="524" customFormat="1" ht="27.75" x14ac:dyDescent="0.5">
      <c r="A111" s="1406" t="s">
        <v>248</v>
      </c>
      <c r="B111" s="1407"/>
      <c r="C111" s="1359"/>
      <c r="D111" s="743" t="s">
        <v>171</v>
      </c>
      <c r="E111" s="604">
        <f>'[1]9'!F111</f>
        <v>3434</v>
      </c>
      <c r="F111" s="776">
        <v>3448</v>
      </c>
      <c r="G111" s="652">
        <f t="shared" si="12"/>
        <v>14</v>
      </c>
      <c r="H111" s="653">
        <f>SUM(G111+'[1]9'!G83)</f>
        <v>394</v>
      </c>
      <c r="I111" s="652"/>
      <c r="J111" s="679">
        <f>H111/DAY(B2)</f>
        <v>39.4</v>
      </c>
      <c r="N111" s="849"/>
    </row>
    <row r="112" spans="1:14" s="524" customFormat="1" ht="27.75" x14ac:dyDescent="0.5">
      <c r="A112" s="1409" t="s">
        <v>136</v>
      </c>
      <c r="B112" s="1410"/>
      <c r="C112" s="1359"/>
      <c r="D112" s="743"/>
      <c r="E112" s="604"/>
      <c r="F112" s="776"/>
      <c r="G112" s="652">
        <f>SUM(G109:G111)</f>
        <v>136</v>
      </c>
      <c r="H112" s="653">
        <f>SUM(G112+'[1]9'!G84)</f>
        <v>684</v>
      </c>
      <c r="I112" s="652"/>
      <c r="J112" s="679">
        <f>H112/DAY(B2)</f>
        <v>68.400000000000006</v>
      </c>
      <c r="N112" s="849"/>
    </row>
    <row r="113" spans="1:14" s="524" customFormat="1" ht="27.75" x14ac:dyDescent="0.5">
      <c r="A113" s="1411" t="s">
        <v>249</v>
      </c>
      <c r="B113" s="1412"/>
      <c r="C113" s="1359"/>
      <c r="D113" s="743"/>
      <c r="E113" s="604"/>
      <c r="F113" s="776"/>
      <c r="G113" s="652"/>
      <c r="H113" s="653"/>
      <c r="I113" s="652"/>
      <c r="J113" s="679">
        <f>H113/DAY(B2)</f>
        <v>0</v>
      </c>
      <c r="N113" s="849"/>
    </row>
    <row r="114" spans="1:14" s="524" customFormat="1" ht="27.75" x14ac:dyDescent="0.5">
      <c r="A114" s="1406" t="s">
        <v>250</v>
      </c>
      <c r="B114" s="1407"/>
      <c r="C114" s="695"/>
      <c r="D114" s="743" t="s">
        <v>171</v>
      </c>
      <c r="E114" s="604">
        <f>'[1]9'!F114</f>
        <v>8846</v>
      </c>
      <c r="F114" s="776">
        <v>8877</v>
      </c>
      <c r="G114" s="654">
        <f>F114-E114</f>
        <v>31</v>
      </c>
      <c r="H114" s="653">
        <f>SUM(G114+'[1]9'!G91)</f>
        <v>31</v>
      </c>
      <c r="I114" s="652"/>
      <c r="J114" s="679">
        <f>H114/DAY(B2)</f>
        <v>3.1</v>
      </c>
      <c r="N114" s="849"/>
    </row>
    <row r="115" spans="1:14" s="524" customFormat="1" ht="27.75" x14ac:dyDescent="0.5">
      <c r="A115" s="1406" t="s">
        <v>251</v>
      </c>
      <c r="B115" s="1407"/>
      <c r="C115" s="695"/>
      <c r="D115" s="743" t="s">
        <v>171</v>
      </c>
      <c r="E115" s="604">
        <f>'[1]9'!F115</f>
        <v>6926</v>
      </c>
      <c r="F115" s="776">
        <v>6936</v>
      </c>
      <c r="G115" s="654">
        <f t="shared" ref="G115:G116" si="13">F115-E115</f>
        <v>10</v>
      </c>
      <c r="H115" s="653">
        <f>SUM(G115+'[1]9'!G92)</f>
        <v>101</v>
      </c>
      <c r="I115" s="652"/>
      <c r="J115" s="679">
        <f>H115/DAY(B2)</f>
        <v>10.1</v>
      </c>
      <c r="N115" s="849"/>
    </row>
    <row r="116" spans="1:14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776"/>
      <c r="G116" s="654">
        <f t="shared" si="13"/>
        <v>0</v>
      </c>
      <c r="H116" s="653">
        <f>SUM(G116+'[1]9'!G93)</f>
        <v>176</v>
      </c>
      <c r="I116" s="652"/>
      <c r="J116" s="679">
        <f>H116/DAY(B2)</f>
        <v>17.600000000000001</v>
      </c>
      <c r="N116" s="849"/>
    </row>
    <row r="117" spans="1:14" s="537" customFormat="1" ht="27.75" x14ac:dyDescent="0.5">
      <c r="A117" s="1409" t="s">
        <v>82</v>
      </c>
      <c r="B117" s="1410"/>
      <c r="C117" s="695"/>
      <c r="D117" s="744"/>
      <c r="E117" s="654"/>
      <c r="F117" s="776"/>
      <c r="G117" s="654">
        <f>SUM(G114:G116)</f>
        <v>41</v>
      </c>
      <c r="H117" s="653">
        <f>SUM(G117+'[1]9'!G94)</f>
        <v>308</v>
      </c>
      <c r="I117" s="654"/>
      <c r="J117" s="679">
        <f>H117/DAY(B2)</f>
        <v>30.8</v>
      </c>
      <c r="N117" s="849"/>
    </row>
    <row r="118" spans="1:14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229</v>
      </c>
      <c r="G118" s="656">
        <f>SUM(G19+G92)</f>
        <v>229</v>
      </c>
      <c r="H118" s="653">
        <f>SUM(G118+'[1]9'!G95)</f>
        <v>283</v>
      </c>
      <c r="I118" s="655"/>
      <c r="J118" s="680">
        <f>H118/DAY(B2)</f>
        <v>28.3</v>
      </c>
      <c r="N118" s="849"/>
    </row>
    <row r="119" spans="1:14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225</v>
      </c>
      <c r="G119" s="656">
        <f>SUM(G95,G96,G97,G99,G100)</f>
        <v>225</v>
      </c>
      <c r="H119" s="653">
        <f>SUM(G119+'[1]9'!G96)</f>
        <v>250</v>
      </c>
      <c r="I119" s="655"/>
      <c r="J119" s="680">
        <f>H119/DAY(B2)</f>
        <v>25</v>
      </c>
      <c r="N119" s="849"/>
    </row>
    <row r="120" spans="1:14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136</v>
      </c>
      <c r="G120" s="654">
        <f>SUM(G112)</f>
        <v>136</v>
      </c>
      <c r="H120" s="653">
        <f>SUM(G120+'[1]9'!G97)</f>
        <v>160</v>
      </c>
      <c r="I120" s="655"/>
      <c r="J120" s="680">
        <f>H120/DAY(B2)</f>
        <v>16</v>
      </c>
      <c r="N120" s="849"/>
    </row>
    <row r="121" spans="1:14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N121" s="849"/>
    </row>
    <row r="122" spans="1:14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849"/>
    </row>
    <row r="123" spans="1:14" ht="27.75" x14ac:dyDescent="0.5">
      <c r="A123" s="1354" t="s">
        <v>257</v>
      </c>
      <c r="B123" s="1355"/>
      <c r="C123" s="1355"/>
      <c r="D123" s="643" t="s">
        <v>168</v>
      </c>
      <c r="E123" s="598">
        <f>'[1]9'!F123</f>
        <v>790618.83</v>
      </c>
      <c r="F123" s="598">
        <v>790832.82</v>
      </c>
      <c r="G123" s="593">
        <f t="shared" ref="G123:G127" si="14">F123-E123</f>
        <v>213.98999999999069</v>
      </c>
      <c r="H123" s="580">
        <f>G123+'[1]9'!H123</f>
        <v>2001.75</v>
      </c>
      <c r="I123" s="646"/>
      <c r="J123" s="673">
        <f>H123/DAY(B2)</f>
        <v>200.17500000000001</v>
      </c>
      <c r="K123" s="408"/>
      <c r="L123" s="405"/>
      <c r="N123" s="849"/>
    </row>
    <row r="124" spans="1:14" ht="27.75" x14ac:dyDescent="0.5">
      <c r="A124" s="1354" t="s">
        <v>258</v>
      </c>
      <c r="B124" s="1355"/>
      <c r="C124" s="1355"/>
      <c r="D124" s="643" t="s">
        <v>168</v>
      </c>
      <c r="E124" s="747">
        <f>'[1]9'!F124</f>
        <v>73582</v>
      </c>
      <c r="F124" s="747">
        <v>73582</v>
      </c>
      <c r="G124" s="593">
        <f t="shared" si="14"/>
        <v>0</v>
      </c>
      <c r="H124" s="580">
        <f>G124+'[1]9'!H124</f>
        <v>-0.19999999999708962</v>
      </c>
      <c r="I124" s="646"/>
      <c r="J124" s="673">
        <f>H124/DAY(B2)</f>
        <v>-1.9999999999708962E-2</v>
      </c>
      <c r="K124" s="408"/>
      <c r="L124" s="405"/>
      <c r="N124" s="849"/>
    </row>
    <row r="125" spans="1:14" ht="27.75" x14ac:dyDescent="0.5">
      <c r="A125" s="1395" t="s">
        <v>259</v>
      </c>
      <c r="B125" s="1396"/>
      <c r="C125" s="1397"/>
      <c r="D125" s="643" t="s">
        <v>168</v>
      </c>
      <c r="E125" s="598">
        <f>'[1]9'!F125</f>
        <v>133904.17000000001</v>
      </c>
      <c r="F125" s="598">
        <v>134015.70000000001</v>
      </c>
      <c r="G125" s="593">
        <f t="shared" si="14"/>
        <v>111.52999999999884</v>
      </c>
      <c r="H125" s="580">
        <f>G125+'[1]9'!H125</f>
        <v>892.82000000000698</v>
      </c>
      <c r="I125" s="646"/>
      <c r="J125" s="673">
        <f>H125/DAY(B2)</f>
        <v>89.282000000000693</v>
      </c>
      <c r="K125" s="408"/>
      <c r="L125" s="405"/>
      <c r="N125" s="849"/>
    </row>
    <row r="126" spans="1:14" ht="27.75" x14ac:dyDescent="0.5">
      <c r="A126" s="730" t="s">
        <v>260</v>
      </c>
      <c r="B126" s="1355"/>
      <c r="C126" s="1355"/>
      <c r="D126" s="643" t="s">
        <v>168</v>
      </c>
      <c r="E126" s="747">
        <f>'[1]9'!F126</f>
        <v>56601.599999999999</v>
      </c>
      <c r="F126" s="747">
        <v>56631.199999999997</v>
      </c>
      <c r="G126" s="593">
        <f t="shared" si="14"/>
        <v>29.599999999998545</v>
      </c>
      <c r="H126" s="580">
        <f>G126+'[1]9'!H126</f>
        <v>283</v>
      </c>
      <c r="I126" s="646"/>
      <c r="J126" s="673">
        <f>H126/DAY(B2)</f>
        <v>28.3</v>
      </c>
      <c r="K126" s="408"/>
      <c r="L126" s="405"/>
      <c r="N126" s="849"/>
    </row>
    <row r="127" spans="1:14" ht="27.75" x14ac:dyDescent="0.5">
      <c r="A127" s="730" t="s">
        <v>261</v>
      </c>
      <c r="B127" s="1355"/>
      <c r="C127" s="1355"/>
      <c r="D127" s="643" t="s">
        <v>168</v>
      </c>
      <c r="E127" s="747">
        <f>'[1]9'!F127</f>
        <v>8640.1</v>
      </c>
      <c r="F127" s="747">
        <v>8640.1</v>
      </c>
      <c r="G127" s="593">
        <f t="shared" si="14"/>
        <v>0</v>
      </c>
      <c r="H127" s="580">
        <f>G127+'[1]9'!H127</f>
        <v>0</v>
      </c>
      <c r="I127" s="600"/>
      <c r="J127" s="673">
        <f>H127/DAY(B2)</f>
        <v>0</v>
      </c>
      <c r="K127" s="408"/>
      <c r="L127" s="405"/>
      <c r="N127" s="849"/>
    </row>
    <row r="128" spans="1:14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472.53000000015163</v>
      </c>
      <c r="H128" s="580"/>
      <c r="I128" s="600"/>
      <c r="J128" s="673"/>
      <c r="K128" s="388"/>
      <c r="L128" s="290"/>
      <c r="N128" s="849"/>
    </row>
    <row r="129" spans="1:14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849"/>
    </row>
    <row r="130" spans="1:14" ht="27.75" x14ac:dyDescent="0.5">
      <c r="A130" s="1354" t="s">
        <v>264</v>
      </c>
      <c r="B130" s="1355"/>
      <c r="C130" s="1355"/>
      <c r="D130" s="643" t="s">
        <v>265</v>
      </c>
      <c r="E130" s="604">
        <f>'[1]9'!F130</f>
        <v>0</v>
      </c>
      <c r="F130" s="598">
        <v>0</v>
      </c>
      <c r="G130" s="593">
        <f t="shared" ref="G130:G140" si="15">F130-E130</f>
        <v>0</v>
      </c>
      <c r="H130" s="580">
        <f>G130+'[1]9'!H130</f>
        <v>0</v>
      </c>
      <c r="I130" s="600"/>
      <c r="J130" s="673">
        <f>H130/DAY(B2)</f>
        <v>0</v>
      </c>
      <c r="N130" s="849"/>
    </row>
    <row r="131" spans="1:14" ht="27.75" x14ac:dyDescent="0.5">
      <c r="A131" s="1354" t="s">
        <v>266</v>
      </c>
      <c r="B131" s="1355"/>
      <c r="C131" s="1355"/>
      <c r="D131" s="643" t="s">
        <v>265</v>
      </c>
      <c r="E131" s="604">
        <f>'[1]9'!F131</f>
        <v>0</v>
      </c>
      <c r="F131" s="598">
        <v>0</v>
      </c>
      <c r="G131" s="593">
        <f t="shared" si="15"/>
        <v>0</v>
      </c>
      <c r="H131" s="580">
        <f>G131+'[1]9'!H131</f>
        <v>0</v>
      </c>
      <c r="I131" s="600"/>
      <c r="J131" s="673">
        <f>H131/DAY(B2)</f>
        <v>0</v>
      </c>
      <c r="N131" s="849"/>
    </row>
    <row r="132" spans="1:14" ht="27.75" x14ac:dyDescent="0.5">
      <c r="A132" s="1354" t="s">
        <v>267</v>
      </c>
      <c r="B132" s="1355"/>
      <c r="C132" s="1355"/>
      <c r="D132" s="643" t="s">
        <v>265</v>
      </c>
      <c r="E132" s="818">
        <f>'[1]9'!F132</f>
        <v>38877</v>
      </c>
      <c r="F132" s="747">
        <v>38877</v>
      </c>
      <c r="G132" s="593">
        <f t="shared" si="15"/>
        <v>0</v>
      </c>
      <c r="H132" s="580">
        <f>G132+'[1]9'!H132</f>
        <v>0</v>
      </c>
      <c r="I132" s="600"/>
      <c r="J132" s="673">
        <f>H132/DAY(B2)</f>
        <v>0</v>
      </c>
      <c r="N132" s="849"/>
    </row>
    <row r="133" spans="1:14" ht="27.75" x14ac:dyDescent="0.5">
      <c r="A133" s="1354" t="s">
        <v>268</v>
      </c>
      <c r="B133" s="1355"/>
      <c r="C133" s="1355"/>
      <c r="D133" s="643" t="s">
        <v>265</v>
      </c>
      <c r="E133" s="642">
        <f>'[1]9'!F133</f>
        <v>140.08000000000001</v>
      </c>
      <c r="F133" s="605">
        <v>164.27</v>
      </c>
      <c r="G133" s="593">
        <f t="shared" si="15"/>
        <v>24.189999999999998</v>
      </c>
      <c r="H133" s="580">
        <f>G133+'[1]9'!H133</f>
        <v>164.27</v>
      </c>
      <c r="I133" s="600">
        <f>G130+G131+G132+G133</f>
        <v>24.189999999999998</v>
      </c>
      <c r="J133" s="673">
        <f>H133/DAY(B2)</f>
        <v>16.427</v>
      </c>
      <c r="N133" s="849"/>
    </row>
    <row r="134" spans="1:14" ht="27.75" x14ac:dyDescent="0.5">
      <c r="A134" s="1354" t="s">
        <v>269</v>
      </c>
      <c r="B134" s="1355"/>
      <c r="C134" s="1355"/>
      <c r="D134" s="643" t="s">
        <v>265</v>
      </c>
      <c r="E134" s="818">
        <f>'[1]9'!F134</f>
        <v>39735</v>
      </c>
      <c r="F134" s="747">
        <v>39735</v>
      </c>
      <c r="G134" s="593">
        <f t="shared" si="15"/>
        <v>0</v>
      </c>
      <c r="H134" s="580">
        <f>G134+'[1]9'!H134</f>
        <v>0</v>
      </c>
      <c r="I134" s="600"/>
      <c r="J134" s="673">
        <f>H134/DAY(B2)</f>
        <v>0</v>
      </c>
      <c r="N134" s="849"/>
    </row>
    <row r="135" spans="1:14" ht="27.75" x14ac:dyDescent="0.5">
      <c r="A135" s="1354" t="s">
        <v>270</v>
      </c>
      <c r="B135" s="1355"/>
      <c r="C135" s="1355"/>
      <c r="D135" s="643" t="s">
        <v>265</v>
      </c>
      <c r="E135" s="818">
        <f>'[1]9'!F135</f>
        <v>31793.09</v>
      </c>
      <c r="F135" s="747">
        <v>31796.240000000002</v>
      </c>
      <c r="G135" s="593">
        <f t="shared" si="15"/>
        <v>3.1500000000014552</v>
      </c>
      <c r="H135" s="580">
        <f>G135+'[1]9'!H135</f>
        <v>78.720000000001164</v>
      </c>
      <c r="I135" s="600"/>
      <c r="J135" s="673">
        <f>H135/DAY(B2)</f>
        <v>7.8720000000001162</v>
      </c>
      <c r="N135" s="849"/>
    </row>
    <row r="136" spans="1:14" ht="27.75" x14ac:dyDescent="0.5">
      <c r="A136" s="1354" t="s">
        <v>271</v>
      </c>
      <c r="B136" s="1355"/>
      <c r="C136" s="1355"/>
      <c r="D136" s="643" t="s">
        <v>265</v>
      </c>
      <c r="E136" s="662">
        <f>'[1]9'!F136</f>
        <v>21718.5</v>
      </c>
      <c r="F136" s="768">
        <v>21726.87</v>
      </c>
      <c r="G136" s="593">
        <f t="shared" si="15"/>
        <v>8.3699999999989814</v>
      </c>
      <c r="H136" s="580">
        <f>G136+'[1]9'!H136</f>
        <v>52.149999999997817</v>
      </c>
      <c r="I136" s="600">
        <f>G134+G135+G136</f>
        <v>11.520000000000437</v>
      </c>
      <c r="J136" s="673">
        <f>H136/DAY(B2)</f>
        <v>5.2149999999997814</v>
      </c>
      <c r="N136" s="849"/>
    </row>
    <row r="137" spans="1:14" ht="27.75" x14ac:dyDescent="0.5">
      <c r="A137" s="1354" t="s">
        <v>272</v>
      </c>
      <c r="B137" s="1355"/>
      <c r="C137" s="1355"/>
      <c r="D137" s="643" t="s">
        <v>265</v>
      </c>
      <c r="E137" s="662">
        <f>'[1]9'!F137</f>
        <v>24932.51</v>
      </c>
      <c r="F137" s="768">
        <v>24932.51</v>
      </c>
      <c r="G137" s="593">
        <f t="shared" si="15"/>
        <v>0</v>
      </c>
      <c r="H137" s="580">
        <f>G137+'[1]9'!H137</f>
        <v>0</v>
      </c>
      <c r="I137" s="600"/>
      <c r="J137" s="673">
        <f>H137/DAY(B2)</f>
        <v>0</v>
      </c>
      <c r="N137" s="849"/>
    </row>
    <row r="138" spans="1:14" ht="27.75" x14ac:dyDescent="0.5">
      <c r="A138" s="1354" t="s">
        <v>273</v>
      </c>
      <c r="B138" s="1355"/>
      <c r="C138" s="1355"/>
      <c r="D138" s="643" t="s">
        <v>265</v>
      </c>
      <c r="E138" s="662">
        <f>'[1]9'!F138</f>
        <v>69982.929999999993</v>
      </c>
      <c r="F138" s="768">
        <v>69982.97</v>
      </c>
      <c r="G138" s="593">
        <f t="shared" si="15"/>
        <v>4.0000000008149073E-2</v>
      </c>
      <c r="H138" s="580">
        <f>G138+'[1]9'!H138</f>
        <v>27.759999999994761</v>
      </c>
      <c r="I138" s="600">
        <f>G137+G138</f>
        <v>4.0000000008149073E-2</v>
      </c>
      <c r="J138" s="673">
        <f>H138/DAY(B2)</f>
        <v>2.7759999999994762</v>
      </c>
      <c r="N138" s="849"/>
    </row>
    <row r="139" spans="1:14" ht="27.75" x14ac:dyDescent="0.5">
      <c r="A139" s="1354" t="s">
        <v>274</v>
      </c>
      <c r="B139" s="1355"/>
      <c r="C139" s="1355"/>
      <c r="D139" s="643" t="s">
        <v>265</v>
      </c>
      <c r="E139" s="818">
        <f>'[1]9'!F139</f>
        <v>991.73</v>
      </c>
      <c r="F139" s="747">
        <v>997.74</v>
      </c>
      <c r="G139" s="593">
        <f t="shared" si="15"/>
        <v>6.0099999999999909</v>
      </c>
      <c r="H139" s="580">
        <f>G139+'[1]9'!H139</f>
        <v>56.210000000000036</v>
      </c>
      <c r="I139" s="663"/>
      <c r="J139" s="673">
        <f>H139/DAY(B2)</f>
        <v>5.621000000000004</v>
      </c>
      <c r="N139" s="849"/>
    </row>
    <row r="140" spans="1:14" ht="27.75" x14ac:dyDescent="0.5">
      <c r="A140" s="1354" t="s">
        <v>275</v>
      </c>
      <c r="B140" s="1355"/>
      <c r="C140" s="1355"/>
      <c r="D140" s="643" t="s">
        <v>265</v>
      </c>
      <c r="E140" s="604">
        <f>'[1]9'!F140</f>
        <v>4156.9799999999996</v>
      </c>
      <c r="F140" s="598">
        <v>4156.9799999999996</v>
      </c>
      <c r="G140" s="593">
        <f t="shared" si="15"/>
        <v>0</v>
      </c>
      <c r="H140" s="580">
        <f>G140+'[1]9'!H140</f>
        <v>7.999999999992724E-2</v>
      </c>
      <c r="I140" s="663"/>
      <c r="J140" s="673">
        <f>H140/DAY(B2)</f>
        <v>7.9999999999927247E-3</v>
      </c>
      <c r="N140" s="849"/>
    </row>
    <row r="141" spans="1:14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849"/>
    </row>
    <row r="142" spans="1:14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5617.8100000000559</v>
      </c>
      <c r="H142" s="580">
        <f>G142+'[1]9'!H142</f>
        <v>51077.002999999975</v>
      </c>
      <c r="I142" s="600"/>
      <c r="J142" s="673">
        <f>H142/DAY(B2)</f>
        <v>5107.7002999999977</v>
      </c>
      <c r="K142" s="408"/>
      <c r="L142" s="405"/>
      <c r="N142" s="849"/>
    </row>
    <row r="143" spans="1:14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0.24907160274883866</v>
      </c>
      <c r="H143" s="580">
        <f>G143+'[1]9'!H143</f>
        <v>2.3801196720554048</v>
      </c>
      <c r="I143" s="665"/>
      <c r="J143" s="673">
        <f>H143/DAY(B2)</f>
        <v>0.23801196720554046</v>
      </c>
      <c r="K143" s="408"/>
      <c r="L143" s="405"/>
      <c r="N143" s="849"/>
    </row>
    <row r="144" spans="1:14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5685.0500000000029</v>
      </c>
      <c r="H144" s="580">
        <f>G144+'[1]9'!H144</f>
        <v>44768.179999999978</v>
      </c>
      <c r="I144" s="600"/>
      <c r="J144" s="673">
        <f>H144/DAY(B2)</f>
        <v>4476.8179999999975</v>
      </c>
      <c r="K144" s="408"/>
      <c r="L144" s="405"/>
      <c r="N144" s="849"/>
    </row>
    <row r="145" spans="1:14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0.25205275992019521</v>
      </c>
      <c r="H145" s="580">
        <f>G145+'[1]9'!H145</f>
        <v>2.2232803854896552</v>
      </c>
      <c r="I145" s="665"/>
      <c r="J145" s="673">
        <f>H145/DAY(B2)</f>
        <v>0.22232803854896552</v>
      </c>
      <c r="K145" s="408"/>
      <c r="L145" s="405"/>
      <c r="N145" s="849"/>
    </row>
    <row r="146" spans="1:14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4326.1000000000058</v>
      </c>
      <c r="H146" s="580">
        <f>G146+'[1]9'!H146</f>
        <v>42277.273000000001</v>
      </c>
      <c r="I146" s="666"/>
      <c r="J146" s="673">
        <f>H146/DAY(B2)</f>
        <v>4227.7273000000005</v>
      </c>
      <c r="K146" s="408"/>
      <c r="L146" s="405"/>
      <c r="N146" s="849"/>
    </row>
    <row r="147" spans="1:14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0.19180226113943719</v>
      </c>
      <c r="H147" s="580">
        <f>G147+'[1]9'!H147</f>
        <v>2.1066807754561965</v>
      </c>
      <c r="I147" s="666"/>
      <c r="J147" s="673">
        <f>H147/DAY(B2)</f>
        <v>0.21066807754561964</v>
      </c>
      <c r="N147" s="849"/>
    </row>
    <row r="148" spans="1:14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2233.3600000000442</v>
      </c>
      <c r="H148" s="580">
        <f>G148+'[1]9'!H148</f>
        <v>19543.280000000028</v>
      </c>
      <c r="I148" s="600"/>
      <c r="J148" s="673">
        <f>H148/DAY(B2)</f>
        <v>1954.3280000000027</v>
      </c>
      <c r="K148" s="409"/>
      <c r="N148" s="849"/>
    </row>
    <row r="149" spans="1:14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9.9018399467969156E-2</v>
      </c>
      <c r="H149" s="580">
        <f>G149+'[1]9'!H149</f>
        <v>0.97152099628451105</v>
      </c>
      <c r="I149" s="666"/>
      <c r="J149" s="673">
        <f>H149/DAY(B2)</f>
        <v>9.7152099628451102E-2</v>
      </c>
      <c r="N149" s="849"/>
    </row>
    <row r="150" spans="1:14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2396.1600000000035</v>
      </c>
      <c r="H150" s="580">
        <f>G150+'[1]9'!H150</f>
        <v>22595.639999999956</v>
      </c>
      <c r="I150" s="666"/>
      <c r="J150" s="673">
        <f>H150/DAY(B2)</f>
        <v>2259.5639999999958</v>
      </c>
      <c r="N150" s="849"/>
    </row>
    <row r="151" spans="1:14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0.10623631123919323</v>
      </c>
      <c r="H151" s="580">
        <f>G151+'[1]9'!H151</f>
        <v>1.1196998618049707</v>
      </c>
      <c r="I151" s="600"/>
      <c r="J151" s="673">
        <f>H151/DAY(B2)</f>
        <v>0.11196998618049707</v>
      </c>
      <c r="N151" s="849"/>
    </row>
    <row r="152" spans="1:14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1546.4799999999996</v>
      </c>
      <c r="H152" s="580">
        <f>G152+'[1]9'!H152</f>
        <v>14655.502999999997</v>
      </c>
      <c r="I152" s="600"/>
      <c r="J152" s="673">
        <f>H152/DAY(B2)</f>
        <v>1465.5502999999997</v>
      </c>
      <c r="N152" s="849"/>
    </row>
    <row r="153" spans="1:14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6.8564841498559057E-2</v>
      </c>
      <c r="H153" s="688">
        <f>G153+'[1]9'!H153</f>
        <v>0.72961915428858404</v>
      </c>
      <c r="I153" s="689"/>
      <c r="J153" s="690">
        <f>H153/DAY(B2)</f>
        <v>7.2961915428858409E-2</v>
      </c>
      <c r="N153" s="849"/>
    </row>
    <row r="154" spans="1:14" x14ac:dyDescent="0.5">
      <c r="A154" s="586"/>
      <c r="B154" s="576"/>
      <c r="C154" s="576"/>
      <c r="D154" s="667"/>
      <c r="E154" s="667"/>
      <c r="F154" s="779"/>
      <c r="G154" s="667"/>
      <c r="H154" s="668"/>
      <c r="I154" s="667"/>
      <c r="J154" s="669"/>
      <c r="N154" s="849"/>
    </row>
    <row r="160" spans="1:14" x14ac:dyDescent="0.5">
      <c r="A160" s="935" t="s">
        <v>289</v>
      </c>
      <c r="B160" s="936"/>
      <c r="C160" s="936"/>
      <c r="D160" s="741" t="s">
        <v>214</v>
      </c>
      <c r="E160" s="775">
        <f>'[1]9'!F162</f>
        <v>24492.61</v>
      </c>
      <c r="F160" s="944">
        <v>24566.99</v>
      </c>
      <c r="G160" s="593">
        <f t="shared" ref="G160:G171" si="16">F160-E160</f>
        <v>74.380000000001019</v>
      </c>
    </row>
    <row r="161" spans="1:8" x14ac:dyDescent="0.5">
      <c r="A161" s="935" t="s">
        <v>290</v>
      </c>
      <c r="B161" s="936"/>
      <c r="C161" s="936"/>
      <c r="D161" s="741" t="s">
        <v>214</v>
      </c>
      <c r="E161" s="775">
        <f>'[1]9'!F163</f>
        <v>16536.490000000002</v>
      </c>
      <c r="F161" s="944">
        <v>17217.400000000001</v>
      </c>
      <c r="G161" s="593">
        <f t="shared" si="16"/>
        <v>680.90999999999985</v>
      </c>
    </row>
    <row r="162" spans="1:8" x14ac:dyDescent="0.5">
      <c r="A162" s="935" t="s">
        <v>291</v>
      </c>
      <c r="B162" s="936"/>
      <c r="C162" s="936"/>
      <c r="D162" s="741" t="s">
        <v>214</v>
      </c>
      <c r="E162" s="775">
        <f>'[1]9'!F164</f>
        <v>39946.480000000003</v>
      </c>
      <c r="F162" s="944">
        <v>40203.019999999997</v>
      </c>
      <c r="G162" s="593">
        <f t="shared" si="16"/>
        <v>256.5399999999936</v>
      </c>
      <c r="H162" s="634"/>
    </row>
    <row r="163" spans="1:8" x14ac:dyDescent="0.5">
      <c r="A163" s="935" t="s">
        <v>292</v>
      </c>
      <c r="B163" s="936"/>
      <c r="C163" s="936"/>
      <c r="D163" s="741" t="s">
        <v>214</v>
      </c>
      <c r="E163" s="775">
        <f>'[1]9'!F165</f>
        <v>3761.88</v>
      </c>
      <c r="F163" s="944">
        <v>3787.24</v>
      </c>
      <c r="G163" s="593">
        <f t="shared" si="16"/>
        <v>25.359999999999673</v>
      </c>
    </row>
    <row r="164" spans="1:8" x14ac:dyDescent="0.4">
      <c r="A164" s="937" t="s">
        <v>121</v>
      </c>
      <c r="B164" s="938"/>
      <c r="C164" s="938"/>
      <c r="D164" s="741" t="s">
        <v>214</v>
      </c>
      <c r="E164" s="888">
        <f>E62</f>
        <v>20419</v>
      </c>
      <c r="F164" s="634">
        <f>F62</f>
        <v>20419</v>
      </c>
      <c r="G164" s="593">
        <f t="shared" si="16"/>
        <v>0</v>
      </c>
    </row>
    <row r="165" spans="1:8" ht="34.5" customHeight="1" x14ac:dyDescent="0.4">
      <c r="A165" s="937" t="s">
        <v>215</v>
      </c>
      <c r="B165" s="938"/>
      <c r="C165" s="938"/>
      <c r="D165" s="741" t="s">
        <v>214</v>
      </c>
      <c r="E165" s="888">
        <f>E63</f>
        <v>991.71</v>
      </c>
      <c r="F165" s="634">
        <f>F63</f>
        <v>1003.8</v>
      </c>
      <c r="G165" s="593">
        <f t="shared" si="16"/>
        <v>12.089999999999918</v>
      </c>
    </row>
    <row r="166" spans="1:8" ht="31.5" customHeight="1" x14ac:dyDescent="0.5">
      <c r="A166" s="1470" t="s">
        <v>122</v>
      </c>
      <c r="B166" s="1470"/>
      <c r="C166" s="1470"/>
      <c r="D166" s="644" t="s">
        <v>214</v>
      </c>
      <c r="E166" s="634">
        <f t="shared" ref="E166:F171" si="17">E64</f>
        <v>89996.55</v>
      </c>
      <c r="F166" s="634">
        <f>F64</f>
        <v>90384.22</v>
      </c>
      <c r="G166" s="593">
        <f t="shared" si="16"/>
        <v>387.66999999999825</v>
      </c>
    </row>
    <row r="167" spans="1:8" ht="21.75" customHeight="1" x14ac:dyDescent="0.5">
      <c r="A167" s="1470" t="s">
        <v>123</v>
      </c>
      <c r="B167" s="1470"/>
      <c r="C167" s="1470"/>
      <c r="D167" s="644" t="s">
        <v>214</v>
      </c>
      <c r="E167" s="634">
        <f t="shared" si="17"/>
        <v>100230.81</v>
      </c>
      <c r="F167" s="634">
        <f t="shared" si="17"/>
        <v>100656.04</v>
      </c>
      <c r="G167" s="593">
        <f t="shared" si="16"/>
        <v>425.22999999999593</v>
      </c>
    </row>
    <row r="168" spans="1:8" ht="27.75" customHeight="1" x14ac:dyDescent="0.5">
      <c r="A168" s="1470" t="s">
        <v>124</v>
      </c>
      <c r="B168" s="1470"/>
      <c r="C168" s="1470"/>
      <c r="D168" s="644" t="s">
        <v>214</v>
      </c>
      <c r="E168" s="634">
        <f t="shared" si="17"/>
        <v>93543.8</v>
      </c>
      <c r="F168" s="634">
        <f t="shared" si="17"/>
        <v>93964.85</v>
      </c>
      <c r="G168" s="593">
        <f t="shared" si="16"/>
        <v>421.05000000000291</v>
      </c>
    </row>
    <row r="169" spans="1:8" ht="21.75" customHeight="1" x14ac:dyDescent="0.5">
      <c r="A169" s="1470" t="s">
        <v>125</v>
      </c>
      <c r="B169" s="1470"/>
      <c r="C169" s="1470"/>
      <c r="D169" s="644" t="s">
        <v>214</v>
      </c>
      <c r="E169" s="634">
        <f t="shared" si="17"/>
        <v>152622.97</v>
      </c>
      <c r="F169" s="634">
        <f t="shared" si="17"/>
        <v>153370.17000000001</v>
      </c>
      <c r="G169" s="593">
        <f t="shared" si="16"/>
        <v>747.20000000001164</v>
      </c>
    </row>
    <row r="170" spans="1:8" ht="27.75" customHeight="1" x14ac:dyDescent="0.5">
      <c r="A170" s="1470" t="s">
        <v>126</v>
      </c>
      <c r="B170" s="1470"/>
      <c r="C170" s="1470"/>
      <c r="D170" s="644" t="s">
        <v>214</v>
      </c>
      <c r="E170" s="634">
        <f t="shared" si="17"/>
        <v>46408.79</v>
      </c>
      <c r="F170" s="634">
        <f t="shared" si="17"/>
        <v>46754.7</v>
      </c>
      <c r="G170" s="593">
        <f t="shared" si="16"/>
        <v>345.90999999999622</v>
      </c>
    </row>
    <row r="171" spans="1:8" ht="27.75" x14ac:dyDescent="0.5">
      <c r="A171" s="1470" t="s">
        <v>127</v>
      </c>
      <c r="B171" s="1470"/>
      <c r="C171" s="1470"/>
      <c r="D171" s="644" t="s">
        <v>214</v>
      </c>
      <c r="E171" s="634">
        <f t="shared" si="17"/>
        <v>40175.699999999997</v>
      </c>
      <c r="F171" s="634">
        <f t="shared" si="17"/>
        <v>40479.03</v>
      </c>
      <c r="G171" s="593">
        <f t="shared" si="16"/>
        <v>303.33000000000175</v>
      </c>
    </row>
    <row r="172" spans="1:8" x14ac:dyDescent="0.5">
      <c r="G172" s="660">
        <f>SUM(G160:G171)</f>
        <v>3679.670000000001</v>
      </c>
    </row>
    <row r="176" spans="1:8" ht="18.75" customHeight="1" x14ac:dyDescent="0.5"/>
    <row r="177" spans="1:7" ht="44.25" customHeight="1" x14ac:dyDescent="0.5">
      <c r="A177" s="574" t="s">
        <v>243</v>
      </c>
    </row>
    <row r="178" spans="1:7" ht="21.75" customHeight="1" x14ac:dyDescent="0.5">
      <c r="A178" s="574" t="s">
        <v>244</v>
      </c>
    </row>
    <row r="179" spans="1:7" ht="21.75" customHeight="1" x14ac:dyDescent="0.5">
      <c r="A179" s="574" t="s">
        <v>245</v>
      </c>
      <c r="D179" s="658" t="s">
        <v>171</v>
      </c>
      <c r="E179" s="658">
        <v>7010</v>
      </c>
      <c r="F179" s="780">
        <v>7010</v>
      </c>
      <c r="G179" s="658">
        <f>F179-E179</f>
        <v>0</v>
      </c>
    </row>
    <row r="180" spans="1:7" ht="21.75" customHeight="1" x14ac:dyDescent="0.5">
      <c r="A180" s="574" t="s">
        <v>92</v>
      </c>
      <c r="D180" s="658" t="s">
        <v>171</v>
      </c>
      <c r="E180" s="658">
        <v>34070</v>
      </c>
      <c r="F180" s="780">
        <v>34070</v>
      </c>
      <c r="G180" s="658">
        <f t="shared" ref="G180:G181" si="18">F180-E180</f>
        <v>0</v>
      </c>
    </row>
    <row r="181" spans="1:7" ht="21.75" customHeight="1" x14ac:dyDescent="0.5">
      <c r="A181" s="574" t="s">
        <v>93</v>
      </c>
      <c r="D181" s="658" t="s">
        <v>171</v>
      </c>
      <c r="E181" s="658">
        <v>18160</v>
      </c>
      <c r="F181" s="780">
        <v>18171</v>
      </c>
      <c r="G181" s="658">
        <f t="shared" si="18"/>
        <v>11</v>
      </c>
    </row>
    <row r="182" spans="1:7" ht="21.75" customHeight="1" x14ac:dyDescent="0.5">
      <c r="A182" s="574" t="s">
        <v>82</v>
      </c>
      <c r="G182" s="658">
        <f>SUM(G179:G181)</f>
        <v>11</v>
      </c>
    </row>
    <row r="183" spans="1:7" ht="21.75" customHeight="1" x14ac:dyDescent="0.5">
      <c r="A183" s="574" t="s">
        <v>94</v>
      </c>
      <c r="D183" s="658" t="s">
        <v>171</v>
      </c>
    </row>
    <row r="184" spans="1:7" ht="21.75" customHeight="1" x14ac:dyDescent="0.5">
      <c r="A184" s="574" t="s">
        <v>246</v>
      </c>
      <c r="D184" s="658" t="s">
        <v>171</v>
      </c>
      <c r="E184" s="658">
        <v>42234</v>
      </c>
      <c r="F184" s="780">
        <v>42285</v>
      </c>
      <c r="G184" s="658">
        <f>F184-E184</f>
        <v>51</v>
      </c>
    </row>
    <row r="185" spans="1:7" ht="21.75" customHeight="1" x14ac:dyDescent="0.5">
      <c r="A185" s="574" t="s">
        <v>247</v>
      </c>
      <c r="D185" s="658" t="s">
        <v>171</v>
      </c>
      <c r="E185" s="658">
        <v>20656</v>
      </c>
      <c r="F185" s="780">
        <v>20656</v>
      </c>
      <c r="G185" s="658">
        <f t="shared" ref="G185:G186" si="19">F185-E185</f>
        <v>0</v>
      </c>
    </row>
    <row r="186" spans="1:7" ht="21.75" customHeight="1" x14ac:dyDescent="0.5">
      <c r="A186" s="574" t="s">
        <v>248</v>
      </c>
      <c r="D186" s="658" t="s">
        <v>171</v>
      </c>
      <c r="E186" s="658">
        <v>2801</v>
      </c>
      <c r="F186" s="780">
        <v>2801</v>
      </c>
      <c r="G186" s="658">
        <f t="shared" si="19"/>
        <v>0</v>
      </c>
    </row>
    <row r="187" spans="1:7" ht="21.75" customHeight="1" x14ac:dyDescent="0.5">
      <c r="A187" s="574" t="s">
        <v>136</v>
      </c>
      <c r="G187" s="658">
        <f>SUM(G184:G186)</f>
        <v>51</v>
      </c>
    </row>
    <row r="188" spans="1:7" ht="21.75" customHeight="1" x14ac:dyDescent="0.5">
      <c r="A188" s="574" t="s">
        <v>249</v>
      </c>
    </row>
    <row r="189" spans="1:7" ht="21.75" customHeight="1" x14ac:dyDescent="0.5">
      <c r="A189" s="574" t="s">
        <v>250</v>
      </c>
      <c r="D189" s="658" t="s">
        <v>171</v>
      </c>
      <c r="E189" s="658">
        <v>6979</v>
      </c>
      <c r="F189" s="780">
        <v>6983</v>
      </c>
      <c r="G189" s="658">
        <f>F189-E189</f>
        <v>4</v>
      </c>
    </row>
    <row r="190" spans="1:7" ht="21.75" customHeight="1" x14ac:dyDescent="0.5">
      <c r="A190" s="574" t="s">
        <v>251</v>
      </c>
      <c r="D190" s="658" t="s">
        <v>171</v>
      </c>
      <c r="E190" s="658">
        <v>5846</v>
      </c>
      <c r="F190" s="780">
        <v>5849</v>
      </c>
      <c r="G190" s="658">
        <f t="shared" ref="G190:G191" si="20">F190-E190</f>
        <v>3</v>
      </c>
    </row>
    <row r="191" spans="1:7" ht="21.75" customHeight="1" x14ac:dyDescent="0.5">
      <c r="A191" s="574" t="s">
        <v>252</v>
      </c>
      <c r="D191" s="658" t="s">
        <v>171</v>
      </c>
      <c r="G191" s="658">
        <f t="shared" si="20"/>
        <v>0</v>
      </c>
    </row>
    <row r="192" spans="1:7" ht="21.75" customHeight="1" x14ac:dyDescent="0.5"/>
    <row r="193" spans="1:8" ht="36.75" customHeight="1" x14ac:dyDescent="0.5">
      <c r="A193" s="574" t="s">
        <v>82</v>
      </c>
      <c r="G193" s="658">
        <f>SUM(G189:G191)</f>
        <v>7</v>
      </c>
    </row>
    <row r="194" spans="1:8" x14ac:dyDescent="0.5">
      <c r="A194" s="574" t="s">
        <v>253</v>
      </c>
      <c r="D194" s="658" t="s">
        <v>171</v>
      </c>
      <c r="F194" s="780">
        <f>SUM(G92+G19)</f>
        <v>229</v>
      </c>
      <c r="G194" s="658" t="e">
        <f>F194+'[4]9'!I145</f>
        <v>#REF!</v>
      </c>
      <c r="H194" s="659" t="e">
        <f>G194/DAY(D147)</f>
        <v>#REF!</v>
      </c>
    </row>
    <row r="196" spans="1:8" x14ac:dyDescent="0.5">
      <c r="A196" s="574" t="s">
        <v>254</v>
      </c>
      <c r="D196" s="658" t="s">
        <v>171</v>
      </c>
      <c r="F196" s="780">
        <f>SUM(G95:G97,G189:G191)</f>
        <v>204</v>
      </c>
      <c r="G196" s="658" t="e">
        <f>F196+'[4]9'!I147</f>
        <v>#REF!</v>
      </c>
      <c r="H196" s="659" t="e">
        <f>G196/DAY(D147)</f>
        <v>#REF!</v>
      </c>
    </row>
    <row r="198" spans="1:8" x14ac:dyDescent="0.5">
      <c r="A198" s="574" t="s">
        <v>255</v>
      </c>
      <c r="D198" s="658" t="s">
        <v>171</v>
      </c>
      <c r="F198" s="780">
        <f>H188+H139</f>
        <v>56.210000000000036</v>
      </c>
      <c r="G198" s="658">
        <f>SUM(G98,G184:G186)</f>
        <v>142</v>
      </c>
      <c r="H198" s="659" t="e">
        <f>G198/DAY(D147)</f>
        <v>#VALUE!</v>
      </c>
    </row>
    <row r="199" spans="1:8" ht="21.75" customHeight="1" x14ac:dyDescent="0.5"/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7"/>
  <sheetViews>
    <sheetView zoomScale="55" zoomScaleNormal="55" workbookViewId="0">
      <selection sqref="A1:XFD1048576"/>
    </sheetView>
  </sheetViews>
  <sheetFormatPr defaultColWidth="22.33203125" defaultRowHeight="29.25" x14ac:dyDescent="0.5"/>
  <cols>
    <col min="1" max="1" width="41.77734375" style="574" customWidth="1"/>
    <col min="2" max="2" width="31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5546875" style="523" customWidth="1"/>
    <col min="15" max="16384" width="22.33203125" style="404"/>
  </cols>
  <sheetData>
    <row r="1" spans="1:14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4" s="278" customFormat="1" ht="27" x14ac:dyDescent="0.5">
      <c r="A2" s="696" t="s">
        <v>298</v>
      </c>
      <c r="B2" s="1173">
        <v>44176</v>
      </c>
      <c r="C2" s="1361" t="s">
        <v>84</v>
      </c>
      <c r="D2" s="732">
        <v>0.19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  <c r="N2" s="846"/>
    </row>
    <row r="3" spans="1:14" s="278" customFormat="1" ht="27" x14ac:dyDescent="0.5">
      <c r="A3" s="691"/>
      <c r="B3" s="735"/>
      <c r="C3" s="1361" t="s">
        <v>147</v>
      </c>
      <c r="D3" s="733">
        <v>31</v>
      </c>
      <c r="E3" s="1422" t="s">
        <v>148</v>
      </c>
      <c r="F3" s="1423"/>
      <c r="G3" s="582"/>
      <c r="H3" s="583"/>
      <c r="I3" s="583"/>
      <c r="J3" s="736"/>
      <c r="K3" s="399"/>
      <c r="L3" s="290"/>
      <c r="N3" s="846"/>
    </row>
    <row r="4" spans="1:14" s="278" customFormat="1" ht="27" x14ac:dyDescent="0.5">
      <c r="A4" s="697"/>
      <c r="B4" s="737"/>
      <c r="C4" s="1361" t="s">
        <v>149</v>
      </c>
      <c r="D4" s="732">
        <v>0.82</v>
      </c>
      <c r="E4" s="584"/>
      <c r="F4" s="584"/>
      <c r="G4" s="584"/>
      <c r="H4" s="584"/>
      <c r="I4" s="585"/>
      <c r="J4" s="736"/>
      <c r="K4" s="400"/>
      <c r="L4" s="290"/>
      <c r="N4" s="846"/>
    </row>
    <row r="5" spans="1:14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4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4" ht="30" thickBot="1" x14ac:dyDescent="0.45">
      <c r="A7" s="793" t="s">
        <v>158</v>
      </c>
      <c r="B7" s="794"/>
      <c r="C7" s="794"/>
      <c r="D7" s="759" t="s">
        <v>159</v>
      </c>
      <c r="E7" s="754">
        <f>'[1]9'!F7</f>
        <v>2847015</v>
      </c>
      <c r="F7" s="575">
        <v>2869570</v>
      </c>
      <c r="G7" s="795">
        <f>F7-E7</f>
        <v>22555</v>
      </c>
      <c r="H7" s="796">
        <f>G7+'[1]9'!H7</f>
        <v>201125</v>
      </c>
      <c r="I7" s="797">
        <v>12000</v>
      </c>
      <c r="J7" s="798">
        <f>H7/DAY(B2)</f>
        <v>18284.090909090908</v>
      </c>
      <c r="K7" s="670"/>
      <c r="L7" s="405"/>
      <c r="N7" s="847"/>
    </row>
    <row r="8" spans="1:14" ht="27.75" thickBot="1" x14ac:dyDescent="0.45">
      <c r="A8" s="799" t="s">
        <v>160</v>
      </c>
      <c r="B8" s="800"/>
      <c r="C8" s="801"/>
      <c r="D8" s="802" t="s">
        <v>39</v>
      </c>
      <c r="E8" s="754">
        <f>'[1]9'!F8</f>
        <v>2863467</v>
      </c>
      <c r="F8" s="595">
        <v>2886188</v>
      </c>
      <c r="G8" s="806">
        <f>F8-E8</f>
        <v>22721</v>
      </c>
      <c r="H8" s="796">
        <f>G8+'[1]9'!H8</f>
        <v>203149</v>
      </c>
      <c r="I8" s="803">
        <v>12000</v>
      </c>
      <c r="J8" s="798">
        <f>H8/DAY(B2)</f>
        <v>18468.090909090908</v>
      </c>
      <c r="K8" s="670"/>
      <c r="L8" s="460"/>
      <c r="M8" s="522"/>
      <c r="N8" s="848"/>
    </row>
    <row r="9" spans="1:14" x14ac:dyDescent="0.4">
      <c r="A9" s="804" t="s">
        <v>161</v>
      </c>
      <c r="B9" s="805"/>
      <c r="C9" s="805"/>
      <c r="D9" s="759" t="s">
        <v>159</v>
      </c>
      <c r="E9" s="754">
        <f>'[1]9'!F9</f>
        <v>2308429.5</v>
      </c>
      <c r="F9" s="598">
        <v>2316773</v>
      </c>
      <c r="G9" s="819">
        <f t="shared" ref="G9:G12" si="0">F9-E9</f>
        <v>8343.5</v>
      </c>
      <c r="H9" s="796">
        <f>G9+'[1]9'!H9</f>
        <v>59736.5</v>
      </c>
      <c r="I9" s="807">
        <f>I7-J7</f>
        <v>-6284.0909090909081</v>
      </c>
      <c r="J9" s="798">
        <f>H9/DAY(B2)</f>
        <v>5430.590909090909</v>
      </c>
      <c r="K9" s="508"/>
      <c r="L9" s="405"/>
      <c r="N9" s="849"/>
    </row>
    <row r="10" spans="1:14" x14ac:dyDescent="0.4">
      <c r="A10" s="793" t="s">
        <v>162</v>
      </c>
      <c r="B10" s="794"/>
      <c r="C10" s="794"/>
      <c r="D10" s="759" t="s">
        <v>159</v>
      </c>
      <c r="E10" s="754">
        <f>'[1]9'!F10</f>
        <v>423712.19</v>
      </c>
      <c r="F10" s="598">
        <v>437228</v>
      </c>
      <c r="G10" s="806">
        <f t="shared" si="0"/>
        <v>13515.809999999998</v>
      </c>
      <c r="H10" s="796">
        <f>G10+'[1]9'!H10</f>
        <v>134277.71000000002</v>
      </c>
      <c r="I10" s="808"/>
      <c r="J10" s="798">
        <f>H10/DAY(B2)</f>
        <v>12207.064545454547</v>
      </c>
      <c r="K10" s="508"/>
      <c r="L10" s="405"/>
      <c r="N10" s="849"/>
    </row>
    <row r="11" spans="1:14" x14ac:dyDescent="0.4">
      <c r="A11" s="793" t="s">
        <v>163</v>
      </c>
      <c r="B11" s="794"/>
      <c r="C11" s="794"/>
      <c r="D11" s="759" t="s">
        <v>159</v>
      </c>
      <c r="E11" s="754">
        <f>'[1]9'!F11</f>
        <v>35390</v>
      </c>
      <c r="F11" s="575">
        <v>35390</v>
      </c>
      <c r="G11" s="806">
        <f t="shared" si="0"/>
        <v>0</v>
      </c>
      <c r="H11" s="796">
        <f>G11+'[1]9'!H11</f>
        <v>0</v>
      </c>
      <c r="I11" s="808"/>
      <c r="J11" s="798">
        <f>H11/DAY(B2)</f>
        <v>0</v>
      </c>
      <c r="K11" s="508"/>
      <c r="L11" s="405"/>
      <c r="N11" s="849"/>
    </row>
    <row r="12" spans="1:14" x14ac:dyDescent="0.4">
      <c r="A12" s="793" t="s">
        <v>164</v>
      </c>
      <c r="B12" s="794"/>
      <c r="C12" s="794"/>
      <c r="D12" s="759" t="s">
        <v>159</v>
      </c>
      <c r="E12" s="754">
        <f>'[1]9'!F12</f>
        <v>37630</v>
      </c>
      <c r="F12" s="598">
        <v>37630</v>
      </c>
      <c r="G12" s="806">
        <f t="shared" si="0"/>
        <v>0</v>
      </c>
      <c r="H12" s="796">
        <f>G12+'[1]9'!H12</f>
        <v>0</v>
      </c>
      <c r="I12" s="808"/>
      <c r="J12" s="798">
        <f>H12/DAY(B2)</f>
        <v>0</v>
      </c>
      <c r="K12" s="508"/>
      <c r="L12" s="405"/>
      <c r="N12" s="849"/>
    </row>
    <row r="13" spans="1:14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21859.309999999998</v>
      </c>
      <c r="H13" s="796">
        <f>G13+'[1]9'!H13</f>
        <v>194014.21000000002</v>
      </c>
      <c r="I13" s="812">
        <f>G7-G13</f>
        <v>695.69000000000233</v>
      </c>
      <c r="J13" s="798">
        <f>H13/DAY(B2)</f>
        <v>17637.655454545456</v>
      </c>
      <c r="K13" s="508"/>
      <c r="L13" s="405"/>
      <c r="N13" s="849"/>
    </row>
    <row r="14" spans="1:14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849"/>
    </row>
    <row r="15" spans="1:14" x14ac:dyDescent="0.5">
      <c r="A15" s="933" t="s">
        <v>167</v>
      </c>
      <c r="B15" s="928"/>
      <c r="C15" s="928"/>
      <c r="D15" s="644" t="s">
        <v>168</v>
      </c>
      <c r="E15" s="605">
        <f>'[1]9'!F15</f>
        <v>1552915.93</v>
      </c>
      <c r="F15" s="605">
        <v>1553743.58</v>
      </c>
      <c r="G15" s="781">
        <f>(F15-E15)</f>
        <v>827.6500000001397</v>
      </c>
      <c r="H15" s="606">
        <f>G15+'[1]9'!H15</f>
        <v>6845.9790000000503</v>
      </c>
      <c r="I15" s="594">
        <v>800</v>
      </c>
      <c r="J15" s="674">
        <f>H15/DAY(B2)</f>
        <v>622.36172727273186</v>
      </c>
      <c r="K15" s="508"/>
      <c r="L15" s="405"/>
      <c r="N15" s="849"/>
    </row>
    <row r="16" spans="1:14" x14ac:dyDescent="0.4">
      <c r="A16" s="931"/>
      <c r="B16" s="932"/>
      <c r="C16" s="932"/>
      <c r="D16" s="929"/>
      <c r="E16" s="930"/>
      <c r="F16" s="605"/>
      <c r="G16" s="786"/>
      <c r="H16" s="606"/>
      <c r="I16" s="602">
        <f>I15-J15</f>
        <v>177.63827272726814</v>
      </c>
      <c r="J16" s="674"/>
      <c r="K16" s="508"/>
      <c r="L16" s="405"/>
      <c r="N16" s="849"/>
    </row>
    <row r="17" spans="1:14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849"/>
    </row>
    <row r="18" spans="1:14" ht="27.75" x14ac:dyDescent="0.5">
      <c r="A18" s="1460" t="s">
        <v>170</v>
      </c>
      <c r="B18" s="1461"/>
      <c r="C18" s="1462"/>
      <c r="D18" s="759" t="s">
        <v>171</v>
      </c>
      <c r="E18" s="756">
        <f>'[1]9'!F18</f>
        <v>16</v>
      </c>
      <c r="F18" s="598">
        <v>20</v>
      </c>
      <c r="G18" s="811">
        <f>F18*10</f>
        <v>200</v>
      </c>
      <c r="H18" s="796">
        <f>G18+'[1]9'!H18</f>
        <v>1260</v>
      </c>
      <c r="I18" s="797">
        <v>65</v>
      </c>
      <c r="J18" s="798">
        <f>H18/DAY(B2)</f>
        <v>114.54545454545455</v>
      </c>
      <c r="K18" s="508"/>
      <c r="L18" s="405"/>
      <c r="N18" s="849"/>
    </row>
    <row r="19" spans="1:14" ht="27.75" x14ac:dyDescent="0.5">
      <c r="A19" s="1460" t="s">
        <v>86</v>
      </c>
      <c r="B19" s="1461"/>
      <c r="C19" s="1462"/>
      <c r="D19" s="759" t="s">
        <v>171</v>
      </c>
      <c r="E19" s="756">
        <f>'[1]9'!F19</f>
        <v>130285</v>
      </c>
      <c r="F19" s="598">
        <v>130338</v>
      </c>
      <c r="G19" s="806">
        <f t="shared" ref="G19" si="1">F19-E19</f>
        <v>53</v>
      </c>
      <c r="H19" s="796">
        <f>G19+'[1]9'!H19</f>
        <v>537</v>
      </c>
      <c r="I19" s="813"/>
      <c r="J19" s="798">
        <f>H19/DAY(B2)</f>
        <v>48.81818181818182</v>
      </c>
      <c r="K19" s="508"/>
      <c r="L19" s="405"/>
      <c r="N19" s="849"/>
    </row>
    <row r="20" spans="1:14" x14ac:dyDescent="0.5">
      <c r="A20" s="809" t="s">
        <v>172</v>
      </c>
      <c r="B20" s="810"/>
      <c r="C20" s="810"/>
      <c r="D20" s="759"/>
      <c r="E20" s="759"/>
      <c r="F20" s="644"/>
      <c r="G20" s="814">
        <f>G18+G19</f>
        <v>253</v>
      </c>
      <c r="H20" s="796">
        <f>G20+'[1]9'!H20</f>
        <v>1797</v>
      </c>
      <c r="I20" s="815">
        <f>I18-J20</f>
        <v>-98.363636363636374</v>
      </c>
      <c r="J20" s="798">
        <f>H20/DAY(B2)</f>
        <v>163.36363636363637</v>
      </c>
      <c r="K20" s="508"/>
      <c r="L20" s="405"/>
      <c r="N20" s="849"/>
    </row>
    <row r="21" spans="1:14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849"/>
    </row>
    <row r="22" spans="1:14" x14ac:dyDescent="0.5">
      <c r="A22" s="1354" t="s">
        <v>174</v>
      </c>
      <c r="B22" s="710"/>
      <c r="C22" s="710"/>
      <c r="D22" s="643" t="s">
        <v>175</v>
      </c>
      <c r="E22" s="756">
        <f>'[1]9'!F22</f>
        <v>2250</v>
      </c>
      <c r="F22" s="598">
        <v>2250</v>
      </c>
      <c r="G22" s="601">
        <f t="shared" ref="G22" si="2">(F22-E22)</f>
        <v>0</v>
      </c>
      <c r="H22" s="580">
        <f>G22+'[1]9'!H22</f>
        <v>0</v>
      </c>
      <c r="I22" s="600"/>
      <c r="J22" s="673">
        <f>H22/DAY(B2)</f>
        <v>0</v>
      </c>
      <c r="K22" s="508"/>
      <c r="L22" s="405"/>
      <c r="N22" s="849"/>
    </row>
    <row r="23" spans="1:14" x14ac:dyDescent="0.5">
      <c r="A23" s="1354" t="s">
        <v>176</v>
      </c>
      <c r="B23" s="710"/>
      <c r="C23" s="710"/>
      <c r="D23" s="643" t="s">
        <v>175</v>
      </c>
      <c r="E23" s="756">
        <f>'[1]9'!F23</f>
        <v>2000</v>
      </c>
      <c r="F23" s="598">
        <v>2000</v>
      </c>
      <c r="G23" s="601">
        <v>0</v>
      </c>
      <c r="H23" s="580">
        <f>G23+'[1]9'!H23</f>
        <v>0</v>
      </c>
      <c r="I23" s="600"/>
      <c r="J23" s="673">
        <f>H23/DAY(B2)</f>
        <v>0</v>
      </c>
      <c r="K23" s="508"/>
      <c r="L23" s="405"/>
      <c r="N23" s="849"/>
    </row>
    <row r="24" spans="1:14" x14ac:dyDescent="0.4">
      <c r="A24" s="711" t="s">
        <v>177</v>
      </c>
      <c r="B24" s="712"/>
      <c r="C24" s="712"/>
      <c r="D24" s="631" t="s">
        <v>175</v>
      </c>
      <c r="E24" s="613">
        <f>'[1]9'!F24</f>
        <v>4250</v>
      </c>
      <c r="F24" s="605">
        <v>4250</v>
      </c>
      <c r="G24" s="601">
        <v>0</v>
      </c>
      <c r="H24" s="580">
        <f>G24+'[1]9'!H24</f>
        <v>0</v>
      </c>
      <c r="I24" s="600"/>
      <c r="J24" s="673">
        <f>H24/DAY(B2)</f>
        <v>0</v>
      </c>
      <c r="K24" s="508"/>
      <c r="L24" s="405"/>
      <c r="N24" s="849"/>
    </row>
    <row r="25" spans="1:14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849"/>
    </row>
    <row r="26" spans="1:14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N26" s="849"/>
    </row>
    <row r="27" spans="1:14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22721</v>
      </c>
      <c r="F27" s="621">
        <v>9.5</v>
      </c>
      <c r="G27" s="622">
        <f>E27*F27</f>
        <v>215849.5</v>
      </c>
      <c r="H27" s="580">
        <f>G27+'[1]9'!H27</f>
        <v>1929915.5</v>
      </c>
      <c r="I27" s="623"/>
      <c r="J27" s="673">
        <f>H27/DAY(B2)</f>
        <v>175446.86363636365</v>
      </c>
      <c r="K27" s="401"/>
      <c r="L27" s="527"/>
      <c r="N27" s="849"/>
    </row>
    <row r="28" spans="1:14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827.6500000001397</v>
      </c>
      <c r="F28" s="621">
        <v>36.5</v>
      </c>
      <c r="G28" s="622">
        <f>E28*F28</f>
        <v>30209.225000005099</v>
      </c>
      <c r="H28" s="580">
        <f>G28+'[1]9'!H28</f>
        <v>249878.23350000184</v>
      </c>
      <c r="I28" s="625"/>
      <c r="J28" s="673">
        <f>H28/DAY(B2)</f>
        <v>22716.203045454713</v>
      </c>
      <c r="K28" s="401"/>
      <c r="L28" s="527"/>
      <c r="N28" s="849"/>
    </row>
    <row r="29" spans="1:14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G29+'[1]9'!H29</f>
        <v>0</v>
      </c>
      <c r="I29" s="625"/>
      <c r="J29" s="673">
        <f>H29/DAY(B2)</f>
        <v>0</v>
      </c>
      <c r="K29" s="401"/>
      <c r="L29" s="527"/>
      <c r="N29" s="849"/>
    </row>
    <row r="30" spans="1:14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53</v>
      </c>
      <c r="F30" s="621">
        <v>145</v>
      </c>
      <c r="G30" s="622">
        <f>E30*F30</f>
        <v>7685</v>
      </c>
      <c r="H30" s="580">
        <f>G30+'[1]9'!H30</f>
        <v>77865</v>
      </c>
      <c r="I30" s="625"/>
      <c r="J30" s="673">
        <f>H30/DAY(B2)</f>
        <v>7078.636363636364</v>
      </c>
      <c r="K30" s="401"/>
      <c r="L30" s="527"/>
      <c r="N30" s="849"/>
    </row>
    <row r="31" spans="1:14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200</v>
      </c>
      <c r="F31" s="621">
        <v>80</v>
      </c>
      <c r="G31" s="622">
        <f>E31*F31</f>
        <v>16000</v>
      </c>
      <c r="H31" s="580">
        <f>G31+'[1]9'!H31</f>
        <v>99200</v>
      </c>
      <c r="I31" s="625"/>
      <c r="J31" s="673">
        <f>H31/DAY(B2)</f>
        <v>9018.181818181818</v>
      </c>
      <c r="K31" s="401"/>
      <c r="L31" s="527"/>
      <c r="N31" s="849"/>
    </row>
    <row r="32" spans="1:14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269743.7250000051</v>
      </c>
      <c r="H32" s="580">
        <f>G32+'[1]9'!H32</f>
        <v>2356858.733500002</v>
      </c>
      <c r="I32" s="629"/>
      <c r="J32" s="673">
        <f>H32/DAY(B2)</f>
        <v>214259.88486363654</v>
      </c>
      <c r="K32" s="401"/>
      <c r="L32" s="527"/>
      <c r="N32" s="849"/>
    </row>
    <row r="33" spans="1:14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849"/>
    </row>
    <row r="34" spans="1:14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849"/>
    </row>
    <row r="35" spans="1:14" x14ac:dyDescent="0.4">
      <c r="A35" s="699" t="s">
        <v>191</v>
      </c>
      <c r="B35" s="700"/>
      <c r="C35" s="700"/>
      <c r="D35" s="643" t="s">
        <v>159</v>
      </c>
      <c r="E35" s="630">
        <f>'[1]9'!F35</f>
        <v>629027.67000000004</v>
      </c>
      <c r="F35" s="1175">
        <v>629027.67000000004</v>
      </c>
      <c r="G35" s="593">
        <f t="shared" ref="G35:G46" si="3">F35-E35</f>
        <v>0</v>
      </c>
      <c r="H35" s="580">
        <f>G35+'[1]9'!H35</f>
        <v>0</v>
      </c>
      <c r="I35" s="575"/>
      <c r="J35" s="673">
        <f>H35/DAY(B2)</f>
        <v>0</v>
      </c>
      <c r="K35" s="508"/>
      <c r="L35" s="405"/>
      <c r="N35" s="849"/>
    </row>
    <row r="36" spans="1:14" x14ac:dyDescent="0.4">
      <c r="A36" s="699" t="s">
        <v>192</v>
      </c>
      <c r="B36" s="700"/>
      <c r="C36" s="700"/>
      <c r="D36" s="643" t="s">
        <v>159</v>
      </c>
      <c r="E36" s="630">
        <f>'[1]9'!F36</f>
        <v>237132.13</v>
      </c>
      <c r="F36" s="1175">
        <v>238087.85</v>
      </c>
      <c r="G36" s="593">
        <f t="shared" si="3"/>
        <v>955.72000000000116</v>
      </c>
      <c r="H36" s="580">
        <f>G36+'[1]9'!H36</f>
        <v>9002.1199999999953</v>
      </c>
      <c r="I36" s="575"/>
      <c r="J36" s="673">
        <f>H36/DAY(B2)</f>
        <v>818.374545454545</v>
      </c>
      <c r="K36" s="508"/>
      <c r="L36" s="405"/>
      <c r="N36" s="850"/>
    </row>
    <row r="37" spans="1:14" x14ac:dyDescent="0.4">
      <c r="A37" s="699" t="s">
        <v>193</v>
      </c>
      <c r="B37" s="700"/>
      <c r="C37" s="700"/>
      <c r="D37" s="643" t="s">
        <v>159</v>
      </c>
      <c r="E37" s="630">
        <f>'[1]9'!F37</f>
        <v>415066</v>
      </c>
      <c r="F37" s="1175">
        <v>415066</v>
      </c>
      <c r="G37" s="593">
        <f t="shared" si="3"/>
        <v>0</v>
      </c>
      <c r="H37" s="580">
        <f>G37+'[1]9'!H37</f>
        <v>0</v>
      </c>
      <c r="I37" s="575"/>
      <c r="J37" s="673">
        <f>H37/DAY(B2)</f>
        <v>0</v>
      </c>
      <c r="K37" s="508"/>
      <c r="L37" s="405"/>
      <c r="N37" s="850"/>
    </row>
    <row r="38" spans="1:14" x14ac:dyDescent="0.4">
      <c r="A38" s="699" t="s">
        <v>194</v>
      </c>
      <c r="B38" s="700"/>
      <c r="C38" s="700"/>
      <c r="D38" s="643" t="s">
        <v>159</v>
      </c>
      <c r="E38" s="630">
        <f>'[1]9'!F38</f>
        <v>150714</v>
      </c>
      <c r="F38" s="587">
        <v>150714</v>
      </c>
      <c r="G38" s="593">
        <f t="shared" si="3"/>
        <v>0</v>
      </c>
      <c r="H38" s="580">
        <f>G38+'[1]9'!H38</f>
        <v>0</v>
      </c>
      <c r="I38" s="575"/>
      <c r="J38" s="673">
        <f>H38/DAY(B2)</f>
        <v>0</v>
      </c>
      <c r="K38" s="508"/>
      <c r="L38" s="405"/>
      <c r="N38" s="849"/>
    </row>
    <row r="39" spans="1:14" x14ac:dyDescent="0.4">
      <c r="A39" s="699" t="s">
        <v>195</v>
      </c>
      <c r="B39" s="700"/>
      <c r="C39" s="700"/>
      <c r="D39" s="643" t="s">
        <v>159</v>
      </c>
      <c r="E39" s="630">
        <f>'[1]9'!F39</f>
        <v>912480</v>
      </c>
      <c r="F39" s="1175">
        <v>912480</v>
      </c>
      <c r="G39" s="593">
        <f t="shared" si="3"/>
        <v>0</v>
      </c>
      <c r="H39" s="580">
        <f>G39+'[1]9'!H39</f>
        <v>0</v>
      </c>
      <c r="I39" s="575"/>
      <c r="J39" s="673">
        <f>H39/DAY(B2)</f>
        <v>0</v>
      </c>
      <c r="K39" s="508"/>
      <c r="L39" s="405"/>
      <c r="N39" s="849"/>
    </row>
    <row r="40" spans="1:14" x14ac:dyDescent="0.4">
      <c r="A40" s="720" t="s">
        <v>196</v>
      </c>
      <c r="B40" s="721"/>
      <c r="C40" s="721"/>
      <c r="D40" s="643" t="s">
        <v>159</v>
      </c>
      <c r="E40" s="630">
        <f>'[1]9'!F40</f>
        <v>0.17</v>
      </c>
      <c r="F40" s="1175">
        <v>0.17</v>
      </c>
      <c r="G40" s="593">
        <f t="shared" si="3"/>
        <v>0</v>
      </c>
      <c r="H40" s="580">
        <f>G40+'[1]9'!H40</f>
        <v>0</v>
      </c>
      <c r="I40" s="575"/>
      <c r="J40" s="673">
        <f>H40/DAY(B2)</f>
        <v>0</v>
      </c>
      <c r="K40" s="509"/>
      <c r="L40" s="405"/>
      <c r="N40" s="849"/>
    </row>
    <row r="41" spans="1:14" x14ac:dyDescent="0.4">
      <c r="A41" s="699" t="s">
        <v>197</v>
      </c>
      <c r="B41" s="700"/>
      <c r="C41" s="700"/>
      <c r="D41" s="643" t="s">
        <v>159</v>
      </c>
      <c r="E41" s="630">
        <f>'[1]9'!F41</f>
        <v>300127.90000000002</v>
      </c>
      <c r="F41" s="1175">
        <v>300127.90000000002</v>
      </c>
      <c r="G41" s="593">
        <f>F41-E41</f>
        <v>0</v>
      </c>
      <c r="H41" s="580">
        <f>G41+'[1]9'!H41</f>
        <v>-4.9999999988358468E-2</v>
      </c>
      <c r="I41" s="575"/>
      <c r="J41" s="673">
        <f>H41/DAY(B2)</f>
        <v>-4.5454545443962243E-3</v>
      </c>
      <c r="K41" s="508"/>
      <c r="L41" s="405"/>
      <c r="N41" s="849"/>
    </row>
    <row r="42" spans="1:14" x14ac:dyDescent="0.4">
      <c r="A42" s="699" t="s">
        <v>198</v>
      </c>
      <c r="B42" s="700"/>
      <c r="C42" s="700"/>
      <c r="D42" s="643" t="s">
        <v>159</v>
      </c>
      <c r="E42" s="630">
        <f>'[1]9'!F42</f>
        <v>24907.37</v>
      </c>
      <c r="F42" s="1175">
        <v>29898.98</v>
      </c>
      <c r="G42" s="593">
        <f t="shared" si="3"/>
        <v>4991.6100000000006</v>
      </c>
      <c r="H42" s="580">
        <f>G42+'[1]9'!H42</f>
        <v>29898.98</v>
      </c>
      <c r="I42" s="575"/>
      <c r="J42" s="673">
        <f>H42/DAY(B2)</f>
        <v>2718.0890909090908</v>
      </c>
      <c r="K42" s="508"/>
      <c r="L42" s="405"/>
      <c r="N42" s="849"/>
    </row>
    <row r="43" spans="1:14" x14ac:dyDescent="0.4">
      <c r="A43" s="699" t="s">
        <v>199</v>
      </c>
      <c r="B43" s="700"/>
      <c r="C43" s="700"/>
      <c r="D43" s="643" t="s">
        <v>159</v>
      </c>
      <c r="E43" s="630">
        <f>'[1]9'!F43</f>
        <v>651056.23</v>
      </c>
      <c r="F43" s="1175">
        <v>653577.79</v>
      </c>
      <c r="G43" s="593">
        <f t="shared" si="3"/>
        <v>2521.5600000000559</v>
      </c>
      <c r="H43" s="580">
        <f>G43+'[1]9'!H43</f>
        <v>22828.479999999981</v>
      </c>
      <c r="I43" s="575"/>
      <c r="J43" s="673">
        <f>H43/DAY(B2)</f>
        <v>2075.316363636362</v>
      </c>
      <c r="K43" s="508"/>
      <c r="L43" s="405"/>
      <c r="N43" s="849"/>
    </row>
    <row r="44" spans="1:14" x14ac:dyDescent="0.4">
      <c r="A44" s="699" t="s">
        <v>200</v>
      </c>
      <c r="B44" s="700"/>
      <c r="C44" s="700"/>
      <c r="D44" s="643" t="s">
        <v>159</v>
      </c>
      <c r="E44" s="630">
        <f>'[1]9'!F44</f>
        <v>0</v>
      </c>
      <c r="F44" s="630">
        <v>0</v>
      </c>
      <c r="G44" s="593">
        <f t="shared" si="3"/>
        <v>0</v>
      </c>
      <c r="H44" s="580">
        <f>G44+'[1]9'!H44</f>
        <v>0</v>
      </c>
      <c r="I44" s="575"/>
      <c r="J44" s="673">
        <f>H44/DAY(B2)</f>
        <v>0</v>
      </c>
      <c r="K44" s="508"/>
      <c r="L44" s="405"/>
      <c r="N44" s="849"/>
    </row>
    <row r="45" spans="1:14" x14ac:dyDescent="0.4">
      <c r="A45" s="699" t="s">
        <v>201</v>
      </c>
      <c r="B45" s="700"/>
      <c r="C45" s="700"/>
      <c r="D45" s="643" t="s">
        <v>159</v>
      </c>
      <c r="E45" s="630">
        <f>'[1]9'!F45</f>
        <v>614</v>
      </c>
      <c r="F45" s="630">
        <v>614</v>
      </c>
      <c r="G45" s="593">
        <f t="shared" si="3"/>
        <v>0</v>
      </c>
      <c r="H45" s="580">
        <f>G45+'[1]9'!H45</f>
        <v>-0.48000000000001819</v>
      </c>
      <c r="I45" s="575"/>
      <c r="J45" s="673">
        <f>H45/DAY(B2)</f>
        <v>-4.3636363636365291E-2</v>
      </c>
      <c r="K45" s="508"/>
      <c r="L45" s="405"/>
      <c r="N45" s="849"/>
    </row>
    <row r="46" spans="1:14" x14ac:dyDescent="0.4">
      <c r="A46" s="699" t="s">
        <v>202</v>
      </c>
      <c r="B46" s="700"/>
      <c r="C46" s="700"/>
      <c r="D46" s="643" t="s">
        <v>159</v>
      </c>
      <c r="E46" s="630">
        <f>'[1]9'!F46</f>
        <v>187</v>
      </c>
      <c r="F46" s="630">
        <v>187</v>
      </c>
      <c r="G46" s="593">
        <f t="shared" si="3"/>
        <v>0</v>
      </c>
      <c r="H46" s="580">
        <f>G46+'[1]9'!H46</f>
        <v>-0.49000000000000909</v>
      </c>
      <c r="I46" s="575"/>
      <c r="J46" s="673">
        <f>H46/DAY(B2)</f>
        <v>-4.4545454545455374E-2</v>
      </c>
      <c r="K46" s="508"/>
      <c r="L46" s="405"/>
      <c r="N46" s="849"/>
    </row>
    <row r="47" spans="1:14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8468.8900000000576</v>
      </c>
      <c r="H47" s="580">
        <f>G47+'[1]9'!H47</f>
        <v>61728.559999999983</v>
      </c>
      <c r="I47" s="575"/>
      <c r="J47" s="673">
        <f>H47/DAY(B2)</f>
        <v>5611.6872727272712</v>
      </c>
      <c r="K47" s="508"/>
      <c r="L47" s="405"/>
      <c r="N47" s="849"/>
    </row>
    <row r="48" spans="1:14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849"/>
    </row>
    <row r="49" spans="1:14" x14ac:dyDescent="0.4">
      <c r="A49" s="699" t="s">
        <v>191</v>
      </c>
      <c r="B49" s="722"/>
      <c r="C49" s="722"/>
      <c r="D49" s="643" t="s">
        <v>159</v>
      </c>
      <c r="E49" s="630">
        <f>'[1]9'!F49</f>
        <v>86665.54</v>
      </c>
      <c r="F49" s="630">
        <v>89761.79</v>
      </c>
      <c r="G49" s="593">
        <f t="shared" ref="G49:G58" si="4">F49-E49</f>
        <v>3096.25</v>
      </c>
      <c r="H49" s="580">
        <f>G49+'[1]9'!H49</f>
        <v>28248.522999999994</v>
      </c>
      <c r="I49" s="575"/>
      <c r="J49" s="673">
        <f>H49/DAY(B2)</f>
        <v>2568.0475454545449</v>
      </c>
      <c r="K49" s="508"/>
      <c r="L49" s="405"/>
      <c r="N49" s="849"/>
    </row>
    <row r="50" spans="1:14" x14ac:dyDescent="0.4">
      <c r="A50" s="699" t="s">
        <v>205</v>
      </c>
      <c r="B50" s="722"/>
      <c r="C50" s="722"/>
      <c r="D50" s="643" t="s">
        <v>159</v>
      </c>
      <c r="E50" s="630">
        <f>'[1]9'!F50</f>
        <v>308122.17</v>
      </c>
      <c r="F50" s="1175">
        <v>309562.61</v>
      </c>
      <c r="G50" s="593">
        <f t="shared" si="4"/>
        <v>1440.4400000000023</v>
      </c>
      <c r="H50" s="580">
        <f>G50+'[1]9'!H50</f>
        <v>13593.51999999996</v>
      </c>
      <c r="I50" s="575"/>
      <c r="J50" s="673">
        <f>H50/DAY(B2)</f>
        <v>1235.7745454545418</v>
      </c>
      <c r="K50" s="508"/>
      <c r="L50" s="405"/>
      <c r="N50" s="849"/>
    </row>
    <row r="51" spans="1:14" x14ac:dyDescent="0.4">
      <c r="A51" s="699" t="s">
        <v>193</v>
      </c>
      <c r="B51" s="722"/>
      <c r="C51" s="722"/>
      <c r="D51" s="643" t="s">
        <v>159</v>
      </c>
      <c r="E51" s="630">
        <f>'[1]9'!F51</f>
        <v>32429.51</v>
      </c>
      <c r="F51" s="630">
        <v>33975.99</v>
      </c>
      <c r="G51" s="593">
        <f t="shared" si="4"/>
        <v>1546.4799999999996</v>
      </c>
      <c r="H51" s="580">
        <f>G51+'[1]9'!H51</f>
        <v>14655.502999999997</v>
      </c>
      <c r="I51" s="575"/>
      <c r="J51" s="673">
        <f>H51/DAY(B2)</f>
        <v>1332.3184545454542</v>
      </c>
      <c r="K51" s="508"/>
      <c r="L51" s="405"/>
      <c r="N51" s="849"/>
    </row>
    <row r="52" spans="1:14" x14ac:dyDescent="0.4">
      <c r="A52" s="699" t="s">
        <v>206</v>
      </c>
      <c r="B52" s="722"/>
      <c r="C52" s="722"/>
      <c r="D52" s="643" t="s">
        <v>159</v>
      </c>
      <c r="E52" s="630">
        <f>'[1]9'!F52</f>
        <v>388432.35</v>
      </c>
      <c r="F52" s="630">
        <v>390665.71</v>
      </c>
      <c r="G52" s="593">
        <f t="shared" si="4"/>
        <v>2233.3600000000442</v>
      </c>
      <c r="H52" s="580">
        <f>G52+'[1]9'!H52</f>
        <v>19543.280000000028</v>
      </c>
      <c r="I52" s="575"/>
      <c r="J52" s="673">
        <f>H52/DAY(B2)</f>
        <v>1776.6618181818208</v>
      </c>
      <c r="K52" s="508"/>
      <c r="L52" s="405"/>
      <c r="N52" s="849"/>
    </row>
    <row r="53" spans="1:14" x14ac:dyDescent="0.4">
      <c r="A53" s="699" t="s">
        <v>195</v>
      </c>
      <c r="B53" s="722"/>
      <c r="C53" s="722"/>
      <c r="D53" s="643" t="s">
        <v>159</v>
      </c>
      <c r="E53" s="630">
        <f>'[1]9'!F53</f>
        <v>83367.179999999993</v>
      </c>
      <c r="F53" s="630">
        <v>87693.28</v>
      </c>
      <c r="G53" s="593">
        <f t="shared" si="4"/>
        <v>4326.1000000000058</v>
      </c>
      <c r="H53" s="580">
        <f>G53+'[1]9'!H53</f>
        <v>42277.273000000001</v>
      </c>
      <c r="I53" s="575"/>
      <c r="J53" s="673">
        <f>H53/DAY(B2)</f>
        <v>3843.3884545454548</v>
      </c>
      <c r="K53" s="508"/>
      <c r="L53" s="405"/>
      <c r="N53" s="849"/>
    </row>
    <row r="54" spans="1:14" x14ac:dyDescent="0.4">
      <c r="A54" s="699" t="s">
        <v>207</v>
      </c>
      <c r="B54" s="722"/>
      <c r="C54" s="722"/>
      <c r="D54" s="643" t="s">
        <v>159</v>
      </c>
      <c r="E54" s="630">
        <f>'[1]9'!F54</f>
        <v>3299.54</v>
      </c>
      <c r="F54" s="630">
        <v>3345.15</v>
      </c>
      <c r="G54" s="593">
        <f t="shared" si="4"/>
        <v>45.610000000000127</v>
      </c>
      <c r="H54" s="580">
        <f>G54+'[1]9'!H54</f>
        <v>512.15000000000009</v>
      </c>
      <c r="I54" s="575"/>
      <c r="J54" s="673">
        <f>H54/DAY(B2)</f>
        <v>46.559090909090919</v>
      </c>
      <c r="K54" s="508"/>
      <c r="L54" s="405"/>
      <c r="N54" s="849"/>
    </row>
    <row r="55" spans="1:14" x14ac:dyDescent="0.4">
      <c r="A55" s="699" t="s">
        <v>208</v>
      </c>
      <c r="B55" s="722"/>
      <c r="C55" s="722"/>
      <c r="D55" s="643" t="s">
        <v>159</v>
      </c>
      <c r="E55" s="630">
        <f>'[1]9'!F55</f>
        <v>158492.73000000001</v>
      </c>
      <c r="F55" s="770">
        <v>158492.73000000001</v>
      </c>
      <c r="G55" s="769">
        <f t="shared" si="4"/>
        <v>0</v>
      </c>
      <c r="H55" s="841">
        <f>G55+'[1]9'!H55</f>
        <v>-0.26999999998952262</v>
      </c>
      <c r="I55" s="842"/>
      <c r="J55" s="843">
        <f>H55/DAY(B2)</f>
        <v>-2.4545454544502056E-2</v>
      </c>
      <c r="K55" s="508"/>
      <c r="L55" s="405"/>
      <c r="N55" s="849"/>
    </row>
    <row r="56" spans="1:14" x14ac:dyDescent="0.4">
      <c r="A56" s="699" t="s">
        <v>209</v>
      </c>
      <c r="B56" s="722"/>
      <c r="C56" s="722"/>
      <c r="D56" s="643" t="s">
        <v>210</v>
      </c>
      <c r="E56" s="630">
        <f>'[1]9'!F56</f>
        <v>449323.67</v>
      </c>
      <c r="F56" s="770">
        <v>450017.11</v>
      </c>
      <c r="G56" s="593">
        <f t="shared" si="4"/>
        <v>693.44000000000233</v>
      </c>
      <c r="H56" s="580">
        <f>G56+'[1]9'!H56</f>
        <v>14869.51999999996</v>
      </c>
      <c r="I56" s="575"/>
      <c r="J56" s="673">
        <f>H56/DAY(B2)</f>
        <v>1351.7745454545418</v>
      </c>
      <c r="K56" s="507"/>
      <c r="L56" s="405"/>
      <c r="N56" s="849"/>
    </row>
    <row r="57" spans="1:14" x14ac:dyDescent="0.4">
      <c r="A57" s="699" t="s">
        <v>199</v>
      </c>
      <c r="B57" s="722"/>
      <c r="C57" s="722"/>
      <c r="D57" s="643" t="s">
        <v>159</v>
      </c>
      <c r="E57" s="630">
        <f>'[1]9'!F57</f>
        <v>0</v>
      </c>
      <c r="F57" s="630">
        <v>0</v>
      </c>
      <c r="G57" s="593">
        <f t="shared" si="4"/>
        <v>0</v>
      </c>
      <c r="H57" s="580">
        <f>G57+'[1]9'!H57</f>
        <v>0</v>
      </c>
      <c r="I57" s="575"/>
      <c r="J57" s="673">
        <f>H57/DAY(B2)</f>
        <v>0</v>
      </c>
      <c r="K57" s="508"/>
      <c r="L57" s="405"/>
      <c r="N57" s="849"/>
    </row>
    <row r="58" spans="1:14" x14ac:dyDescent="0.4">
      <c r="A58" s="699" t="s">
        <v>211</v>
      </c>
      <c r="B58" s="722"/>
      <c r="C58" s="722"/>
      <c r="D58" s="643" t="s">
        <v>159</v>
      </c>
      <c r="E58" s="630">
        <f>'[1]9'!F58</f>
        <v>21382.720000000001</v>
      </c>
      <c r="F58" s="770">
        <v>21544.71</v>
      </c>
      <c r="G58" s="593">
        <f t="shared" si="4"/>
        <v>161.98999999999796</v>
      </c>
      <c r="H58" s="580">
        <f>G58+'[1]9'!H58</f>
        <v>1313.6669999999976</v>
      </c>
      <c r="I58" s="575"/>
      <c r="J58" s="673">
        <f>H58/DAY(B2)</f>
        <v>119.42427272727251</v>
      </c>
      <c r="K58" s="508"/>
      <c r="L58" s="405"/>
      <c r="N58" s="849"/>
    </row>
    <row r="59" spans="1:14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13543.670000000053</v>
      </c>
      <c r="H59" s="580">
        <f>G59+'[1]9'!H59</f>
        <v>135013.16599999994</v>
      </c>
      <c r="I59" s="575">
        <f>G7-G60</f>
        <v>542.43999999988955</v>
      </c>
      <c r="J59" s="673">
        <f>H59/DAY(B2)</f>
        <v>12273.924181818176</v>
      </c>
      <c r="K59" s="508"/>
      <c r="L59" s="405"/>
      <c r="N59" s="849"/>
    </row>
    <row r="60" spans="1:14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22012.56000000011</v>
      </c>
      <c r="H60" s="580">
        <f>G60+'[1]9'!H60</f>
        <v>196741.72599999997</v>
      </c>
      <c r="I60" s="575">
        <f>G13-G60</f>
        <v>-153.25000000011278</v>
      </c>
      <c r="J60" s="673">
        <f>H60/DAY(B2)</f>
        <v>17885.611454545451</v>
      </c>
      <c r="K60" s="508"/>
      <c r="L60" s="405"/>
      <c r="N60" s="849"/>
    </row>
    <row r="61" spans="1:14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849"/>
    </row>
    <row r="62" spans="1:14" x14ac:dyDescent="0.4">
      <c r="A62" s="724" t="s">
        <v>121</v>
      </c>
      <c r="B62" s="725"/>
      <c r="C62" s="725"/>
      <c r="D62" s="631" t="s">
        <v>214</v>
      </c>
      <c r="E62" s="634">
        <f>'[1]9'!F62</f>
        <v>20419</v>
      </c>
      <c r="F62" s="634">
        <v>20419</v>
      </c>
      <c r="G62" s="593">
        <f t="shared" ref="G62:G69" si="5">F62-E62</f>
        <v>0</v>
      </c>
      <c r="H62" s="580">
        <f>G62+'[1]9'!H62</f>
        <v>-0.18000000000029104</v>
      </c>
      <c r="I62" s="635"/>
      <c r="J62" s="673">
        <f>H62/DAY(B2)</f>
        <v>-1.6363636363662823E-2</v>
      </c>
      <c r="K62" s="508"/>
      <c r="L62" s="405"/>
      <c r="N62" s="849"/>
    </row>
    <row r="63" spans="1:14" x14ac:dyDescent="0.4">
      <c r="A63" s="724" t="s">
        <v>215</v>
      </c>
      <c r="B63" s="725"/>
      <c r="C63" s="725"/>
      <c r="D63" s="631" t="s">
        <v>214</v>
      </c>
      <c r="E63" s="634">
        <f>'[1]9'!F63</f>
        <v>991.71</v>
      </c>
      <c r="F63" s="634">
        <v>1003.8</v>
      </c>
      <c r="G63" s="593">
        <f t="shared" si="5"/>
        <v>12.089999999999918</v>
      </c>
      <c r="H63" s="580">
        <f>G63+'[1]9'!H63</f>
        <v>147.42999999999995</v>
      </c>
      <c r="I63" s="635"/>
      <c r="J63" s="673">
        <f>H63/DAY(B2)</f>
        <v>13.402727272727269</v>
      </c>
      <c r="K63" s="508"/>
      <c r="L63" s="405"/>
      <c r="N63" s="849"/>
    </row>
    <row r="64" spans="1:14" ht="27.75" x14ac:dyDescent="0.5">
      <c r="A64" s="1395" t="s">
        <v>122</v>
      </c>
      <c r="B64" s="1396"/>
      <c r="C64" s="1397"/>
      <c r="D64" s="643" t="s">
        <v>214</v>
      </c>
      <c r="E64" s="634">
        <f>'[1]9'!F64</f>
        <v>89996.55</v>
      </c>
      <c r="F64" s="598">
        <v>90384.22</v>
      </c>
      <c r="G64" s="593">
        <f t="shared" si="5"/>
        <v>387.66999999999825</v>
      </c>
      <c r="H64" s="580">
        <f>G64+'[1]9'!H64</f>
        <v>3645.125</v>
      </c>
      <c r="I64" s="600"/>
      <c r="J64" s="673">
        <f>H64/DAY(B2)</f>
        <v>331.375</v>
      </c>
      <c r="K64" s="508"/>
      <c r="L64" s="405"/>
      <c r="N64" s="849"/>
    </row>
    <row r="65" spans="1:14" ht="27.75" x14ac:dyDescent="0.5">
      <c r="A65" s="1395" t="s">
        <v>123</v>
      </c>
      <c r="B65" s="1396"/>
      <c r="C65" s="1397"/>
      <c r="D65" s="643" t="s">
        <v>214</v>
      </c>
      <c r="E65" s="634">
        <f>'[1]9'!F65</f>
        <v>100230.81</v>
      </c>
      <c r="F65" s="768">
        <v>100656.04</v>
      </c>
      <c r="G65" s="593">
        <f t="shared" si="5"/>
        <v>425.22999999999593</v>
      </c>
      <c r="H65" s="580">
        <f>G65+'[1]9'!H65</f>
        <v>4020.0570000000007</v>
      </c>
      <c r="I65" s="609"/>
      <c r="J65" s="673">
        <f>H65/DAY(B2)</f>
        <v>365.45972727272732</v>
      </c>
      <c r="K65" s="508"/>
      <c r="L65" s="405"/>
      <c r="N65" s="849"/>
    </row>
    <row r="66" spans="1:14" ht="27.75" x14ac:dyDescent="0.5">
      <c r="A66" s="1395" t="s">
        <v>124</v>
      </c>
      <c r="B66" s="1396"/>
      <c r="C66" s="1397"/>
      <c r="D66" s="643" t="s">
        <v>214</v>
      </c>
      <c r="E66" s="634">
        <f>'[1]9'!F66</f>
        <v>93543.8</v>
      </c>
      <c r="F66" s="598">
        <v>93964.85</v>
      </c>
      <c r="G66" s="593">
        <f t="shared" si="5"/>
        <v>421.05000000000291</v>
      </c>
      <c r="H66" s="580">
        <f>G66+'[1]9'!H66</f>
        <v>3960.0030000000115</v>
      </c>
      <c r="I66" s="600"/>
      <c r="J66" s="673">
        <f>H66/DAY(B2)</f>
        <v>360.0002727272738</v>
      </c>
      <c r="K66" s="508"/>
      <c r="L66" s="405"/>
      <c r="N66" s="849"/>
    </row>
    <row r="67" spans="1:14" ht="27.75" x14ac:dyDescent="0.5">
      <c r="A67" s="1395" t="s">
        <v>125</v>
      </c>
      <c r="B67" s="1396"/>
      <c r="C67" s="1397"/>
      <c r="D67" s="643" t="s">
        <v>214</v>
      </c>
      <c r="E67" s="634">
        <f>'[1]9'!F67</f>
        <v>152622.97</v>
      </c>
      <c r="F67" s="598">
        <v>153370.17000000001</v>
      </c>
      <c r="G67" s="593">
        <f t="shared" si="5"/>
        <v>747.20000000001164</v>
      </c>
      <c r="H67" s="580">
        <f>G67+'[1]9'!H67</f>
        <v>7328.1200000000244</v>
      </c>
      <c r="I67" s="609"/>
      <c r="J67" s="673">
        <f>H67/DAY(B2)</f>
        <v>666.19272727272948</v>
      </c>
      <c r="K67" s="509"/>
      <c r="L67" s="405"/>
      <c r="N67" s="849"/>
    </row>
    <row r="68" spans="1:14" ht="27.75" x14ac:dyDescent="0.5">
      <c r="A68" s="1395" t="s">
        <v>126</v>
      </c>
      <c r="B68" s="1396"/>
      <c r="C68" s="1397"/>
      <c r="D68" s="643" t="s">
        <v>214</v>
      </c>
      <c r="E68" s="634">
        <f>'[1]9'!F68</f>
        <v>46408.79</v>
      </c>
      <c r="F68" s="598">
        <v>46754.7</v>
      </c>
      <c r="G68" s="593">
        <f t="shared" si="5"/>
        <v>345.90999999999622</v>
      </c>
      <c r="H68" s="580">
        <f>G68+'[1]9'!H68</f>
        <v>3579.6209999999992</v>
      </c>
      <c r="I68" s="636"/>
      <c r="J68" s="673">
        <f>H68/DAY(B2)</f>
        <v>325.42009090909085</v>
      </c>
      <c r="K68" s="510"/>
      <c r="L68" s="405"/>
      <c r="N68" s="849"/>
    </row>
    <row r="69" spans="1:14" ht="27.75" x14ac:dyDescent="0.5">
      <c r="A69" s="1395" t="s">
        <v>127</v>
      </c>
      <c r="B69" s="1396"/>
      <c r="C69" s="1397"/>
      <c r="D69" s="643" t="s">
        <v>214</v>
      </c>
      <c r="E69" s="634">
        <f>'[1]9'!F69</f>
        <v>40175.699999999997</v>
      </c>
      <c r="F69" s="598">
        <v>40479.03</v>
      </c>
      <c r="G69" s="593">
        <f t="shared" si="5"/>
        <v>303.33000000000175</v>
      </c>
      <c r="H69" s="580">
        <f>G69+'[1]9'!H69</f>
        <v>2923.4629999999961</v>
      </c>
      <c r="I69" s="636"/>
      <c r="J69" s="673">
        <f>H69/DAY(B2)</f>
        <v>265.76936363636327</v>
      </c>
      <c r="K69" s="511"/>
      <c r="L69" s="405"/>
      <c r="N69" s="849"/>
    </row>
    <row r="70" spans="1:14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/>
      <c r="I70" s="638"/>
      <c r="J70" s="677"/>
      <c r="K70" s="511"/>
      <c r="L70" s="405"/>
      <c r="N70" s="849"/>
    </row>
    <row r="71" spans="1:14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849"/>
    </row>
    <row r="72" spans="1:14" ht="27.75" x14ac:dyDescent="0.5">
      <c r="A72" s="1395" t="s">
        <v>218</v>
      </c>
      <c r="B72" s="1396"/>
      <c r="C72" s="1397"/>
      <c r="D72" s="643" t="s">
        <v>214</v>
      </c>
      <c r="E72" s="639">
        <f>'[1]9'!F72</f>
        <v>844389</v>
      </c>
      <c r="F72" s="771">
        <v>844579</v>
      </c>
      <c r="G72" s="593">
        <f t="shared" ref="G72:G84" si="6">F72-E72</f>
        <v>190</v>
      </c>
      <c r="H72" s="580">
        <f>G72+'[1]9'!H72</f>
        <v>402</v>
      </c>
      <c r="I72" s="600"/>
      <c r="J72" s="673">
        <f>H72/DAY(B2)</f>
        <v>36.545454545454547</v>
      </c>
      <c r="K72" s="511"/>
      <c r="L72" s="405"/>
      <c r="N72" s="849"/>
    </row>
    <row r="73" spans="1:14" ht="27.75" x14ac:dyDescent="0.5">
      <c r="A73" s="1395" t="s">
        <v>219</v>
      </c>
      <c r="B73" s="1396"/>
      <c r="C73" s="1397"/>
      <c r="D73" s="643" t="s">
        <v>214</v>
      </c>
      <c r="E73" s="639">
        <f>'[1]9'!F73</f>
        <v>885412</v>
      </c>
      <c r="F73" s="772">
        <v>885415</v>
      </c>
      <c r="G73" s="769">
        <f t="shared" si="6"/>
        <v>3</v>
      </c>
      <c r="H73" s="580">
        <f>G73+'[1]9'!H73</f>
        <v>105</v>
      </c>
      <c r="I73" s="600"/>
      <c r="J73" s="673">
        <f>H73/DAY(B2)</f>
        <v>9.545454545454545</v>
      </c>
      <c r="K73" s="510"/>
      <c r="L73" s="405"/>
      <c r="N73" s="849"/>
    </row>
    <row r="74" spans="1:14" ht="27.75" x14ac:dyDescent="0.5">
      <c r="A74" s="1395" t="s">
        <v>220</v>
      </c>
      <c r="B74" s="1396"/>
      <c r="C74" s="1397"/>
      <c r="D74" s="643" t="s">
        <v>214</v>
      </c>
      <c r="E74" s="639">
        <f>'[1]9'!F74</f>
        <v>880509</v>
      </c>
      <c r="F74" s="771">
        <v>880537</v>
      </c>
      <c r="G74" s="593">
        <f t="shared" si="6"/>
        <v>28</v>
      </c>
      <c r="H74" s="580">
        <f>G74+'[1]9'!H74</f>
        <v>310</v>
      </c>
      <c r="I74" s="600"/>
      <c r="J74" s="673">
        <f>H74/DAY(B2)</f>
        <v>28.181818181818183</v>
      </c>
      <c r="K74" s="511"/>
      <c r="L74" s="405"/>
      <c r="N74" s="849"/>
    </row>
    <row r="75" spans="1:14" ht="27.75" x14ac:dyDescent="0.5">
      <c r="A75" s="1447" t="s">
        <v>221</v>
      </c>
      <c r="B75" s="1448"/>
      <c r="C75" s="1449"/>
      <c r="D75" s="643" t="s">
        <v>214</v>
      </c>
      <c r="E75" s="639">
        <f>'[1]9'!F75</f>
        <v>727756</v>
      </c>
      <c r="F75" s="772">
        <v>727941</v>
      </c>
      <c r="G75" s="593">
        <f t="shared" si="6"/>
        <v>185</v>
      </c>
      <c r="H75" s="580">
        <f>G75+'[1]9'!H75</f>
        <v>1761</v>
      </c>
      <c r="I75" s="600"/>
      <c r="J75" s="673">
        <f>H75/DAY(B2)</f>
        <v>160.09090909090909</v>
      </c>
      <c r="K75" s="510"/>
      <c r="L75" s="405"/>
      <c r="N75" s="849"/>
    </row>
    <row r="76" spans="1:14" ht="27.75" x14ac:dyDescent="0.5">
      <c r="A76" s="1447" t="s">
        <v>222</v>
      </c>
      <c r="B76" s="1448"/>
      <c r="C76" s="1449"/>
      <c r="D76" s="643" t="s">
        <v>214</v>
      </c>
      <c r="E76" s="639">
        <f>'[1]9'!F76</f>
        <v>682289</v>
      </c>
      <c r="F76" s="772">
        <v>682389</v>
      </c>
      <c r="G76" s="593">
        <f t="shared" si="6"/>
        <v>100</v>
      </c>
      <c r="H76" s="580">
        <f>G76+'[1]9'!H76</f>
        <v>713</v>
      </c>
      <c r="I76" s="625"/>
      <c r="J76" s="673">
        <f>H76/DAY(B2)</f>
        <v>64.818181818181813</v>
      </c>
      <c r="K76" s="510"/>
      <c r="L76" s="405"/>
      <c r="N76" s="849"/>
    </row>
    <row r="77" spans="1:14" ht="27.75" x14ac:dyDescent="0.5">
      <c r="A77" s="1395" t="s">
        <v>223</v>
      </c>
      <c r="B77" s="1396"/>
      <c r="C77" s="1397"/>
      <c r="D77" s="643" t="s">
        <v>214</v>
      </c>
      <c r="E77" s="639">
        <f>'[1]9'!F77</f>
        <v>694184</v>
      </c>
      <c r="F77" s="772">
        <v>694238</v>
      </c>
      <c r="G77" s="769">
        <f t="shared" si="6"/>
        <v>54</v>
      </c>
      <c r="H77" s="580">
        <f>G77+'[1]9'!H77</f>
        <v>518</v>
      </c>
      <c r="I77" s="625"/>
      <c r="J77" s="673">
        <f>H77/DAY(B2)</f>
        <v>47.090909090909093</v>
      </c>
      <c r="K77" s="510"/>
      <c r="L77" s="405"/>
      <c r="N77" s="849"/>
    </row>
    <row r="78" spans="1:14" ht="27.75" x14ac:dyDescent="0.5">
      <c r="A78" s="1357" t="s">
        <v>224</v>
      </c>
      <c r="B78" s="1320"/>
      <c r="C78" s="1320"/>
      <c r="D78" s="643" t="s">
        <v>214</v>
      </c>
      <c r="E78" s="639">
        <f>'[1]9'!F78</f>
        <v>621968</v>
      </c>
      <c r="F78" s="773">
        <v>622398</v>
      </c>
      <c r="G78" s="593">
        <f t="shared" si="6"/>
        <v>430</v>
      </c>
      <c r="H78" s="580">
        <f>G78+'[1]9'!H78</f>
        <v>4145</v>
      </c>
      <c r="I78" s="625"/>
      <c r="J78" s="673">
        <f>H78/DAY(B2)</f>
        <v>376.81818181818181</v>
      </c>
      <c r="K78" s="510"/>
      <c r="L78" s="405"/>
      <c r="N78" s="849"/>
    </row>
    <row r="79" spans="1:14" ht="27.75" x14ac:dyDescent="0.5">
      <c r="A79" s="1447" t="s">
        <v>112</v>
      </c>
      <c r="B79" s="1448"/>
      <c r="C79" s="1449"/>
      <c r="D79" s="644" t="s">
        <v>214</v>
      </c>
      <c r="E79" s="639">
        <f>'[1]9'!F79</f>
        <v>799713</v>
      </c>
      <c r="F79" s="773">
        <v>799925</v>
      </c>
      <c r="G79" s="593">
        <f t="shared" si="6"/>
        <v>212</v>
      </c>
      <c r="H79" s="580">
        <f>G79+'[1]9'!H79</f>
        <v>1939</v>
      </c>
      <c r="I79" s="625"/>
      <c r="J79" s="673">
        <f>H79/DAY(B2)</f>
        <v>176.27272727272728</v>
      </c>
      <c r="K79" s="510"/>
      <c r="L79" s="405"/>
      <c r="N79" s="849"/>
    </row>
    <row r="80" spans="1:14" ht="27.75" x14ac:dyDescent="0.5">
      <c r="A80" s="1447" t="s">
        <v>225</v>
      </c>
      <c r="B80" s="1448"/>
      <c r="C80" s="1449"/>
      <c r="D80" s="644" t="s">
        <v>214</v>
      </c>
      <c r="E80" s="639">
        <f>'[1]9'!F80</f>
        <v>468449.64</v>
      </c>
      <c r="F80" s="772">
        <v>468774</v>
      </c>
      <c r="G80" s="593">
        <f t="shared" si="6"/>
        <v>324.35999999998603</v>
      </c>
      <c r="H80" s="580">
        <f>G80+'[1]9'!H80</f>
        <v>3276.1199999999953</v>
      </c>
      <c r="I80" s="625"/>
      <c r="J80" s="673">
        <f>H80/DAY(B2)</f>
        <v>297.8290909090905</v>
      </c>
      <c r="K80" s="510"/>
      <c r="L80" s="405"/>
      <c r="N80" s="849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39">
        <f>'[1]9'!F81</f>
        <v>615893</v>
      </c>
      <c r="F81" s="772">
        <v>616086</v>
      </c>
      <c r="G81" s="593">
        <f t="shared" si="6"/>
        <v>193</v>
      </c>
      <c r="H81" s="580">
        <f>G81+'[1]9'!H81</f>
        <v>1697.4799999999814</v>
      </c>
      <c r="I81" s="625"/>
      <c r="J81" s="673">
        <f>H81/DAY(B2)</f>
        <v>154.31636363636196</v>
      </c>
      <c r="K81" s="510"/>
      <c r="L81" s="405"/>
      <c r="N81" s="849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39">
        <f>'[1]9'!F82</f>
        <v>103744</v>
      </c>
      <c r="F82" s="768">
        <v>103767</v>
      </c>
      <c r="G82" s="593">
        <f t="shared" si="6"/>
        <v>23</v>
      </c>
      <c r="H82" s="580">
        <f>G82+'[1]9'!H82</f>
        <v>237.35000000000582</v>
      </c>
      <c r="I82" s="606"/>
      <c r="J82" s="673">
        <f>H82/DAY(B2)</f>
        <v>21.577272727273257</v>
      </c>
      <c r="K82" s="510"/>
      <c r="L82" s="405"/>
      <c r="N82" s="849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9">
        <f>'[1]9'!F83</f>
        <v>965654</v>
      </c>
      <c r="F83" s="631">
        <v>966003</v>
      </c>
      <c r="G83" s="593">
        <f t="shared" si="6"/>
        <v>349</v>
      </c>
      <c r="H83" s="580">
        <f>G83+'[1]9'!H83</f>
        <v>3478</v>
      </c>
      <c r="I83" s="601"/>
      <c r="J83" s="673">
        <f>H83/DAY(B2)</f>
        <v>316.18181818181819</v>
      </c>
      <c r="K83" s="509"/>
      <c r="L83" s="405"/>
      <c r="N83" s="849"/>
    </row>
    <row r="84" spans="1:15" x14ac:dyDescent="0.5">
      <c r="A84" s="1360" t="s">
        <v>228</v>
      </c>
      <c r="B84" s="692"/>
      <c r="C84" s="692"/>
      <c r="D84" s="598" t="s">
        <v>159</v>
      </c>
      <c r="E84" s="639">
        <f>'[1]9'!F84</f>
        <v>386330</v>
      </c>
      <c r="F84" s="748">
        <v>386884</v>
      </c>
      <c r="G84" s="593">
        <f t="shared" si="6"/>
        <v>554</v>
      </c>
      <c r="H84" s="580">
        <f>G84+'[1]9'!H84</f>
        <v>5528</v>
      </c>
      <c r="I84" s="601"/>
      <c r="J84" s="673">
        <f>H84/DAY(B2)</f>
        <v>502.54545454545456</v>
      </c>
      <c r="K84" s="408"/>
      <c r="L84" s="405"/>
      <c r="N84" s="849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2645.359999999986</v>
      </c>
      <c r="H85" s="580">
        <f>G85+'[1]9'!H85</f>
        <v>22288.519999999931</v>
      </c>
      <c r="I85" s="601"/>
      <c r="J85" s="673">
        <f>H85/DAY(B2)</f>
        <v>2026.2290909090846</v>
      </c>
      <c r="K85" s="408"/>
      <c r="L85" s="406"/>
      <c r="N85" s="849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48">
        <f>'[1]9'!F86</f>
        <v>442027.56</v>
      </c>
      <c r="F86" s="764">
        <v>442224</v>
      </c>
      <c r="G86" s="841">
        <f t="shared" ref="G86:G90" si="7">F86-E86</f>
        <v>196.44000000000233</v>
      </c>
      <c r="H86" s="841">
        <f t="shared" ref="H86:H88" si="8">G86</f>
        <v>196.44000000000233</v>
      </c>
      <c r="I86" s="769"/>
      <c r="J86" s="843">
        <f>H86/DAY(B2)</f>
        <v>17.858181818182029</v>
      </c>
      <c r="K86" s="869"/>
      <c r="L86" s="870"/>
      <c r="O86" s="849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48">
        <f>'[1]9'!F87</f>
        <v>77156.2</v>
      </c>
      <c r="F87" s="764">
        <v>77191</v>
      </c>
      <c r="G87" s="841">
        <f t="shared" si="7"/>
        <v>34.80000000000291</v>
      </c>
      <c r="H87" s="841">
        <f t="shared" si="8"/>
        <v>34.80000000000291</v>
      </c>
      <c r="I87" s="769"/>
      <c r="J87" s="843">
        <f>H87/DAY(B2)</f>
        <v>3.1636363636366283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48">
        <f>'[1]9'!F88</f>
        <v>143195</v>
      </c>
      <c r="F88" s="764">
        <v>143264</v>
      </c>
      <c r="G88" s="841">
        <f t="shared" si="7"/>
        <v>69</v>
      </c>
      <c r="H88" s="841">
        <f t="shared" si="8"/>
        <v>69</v>
      </c>
      <c r="I88" s="769"/>
      <c r="J88" s="843">
        <f>H88/DAY(B2)</f>
        <v>6.2727272727272725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48">
        <f>'[1]9'!F89</f>
        <v>56235.4</v>
      </c>
      <c r="F89" s="764">
        <v>56296.6</v>
      </c>
      <c r="G89" s="841">
        <f t="shared" si="7"/>
        <v>61.19999999999709</v>
      </c>
      <c r="H89" s="841">
        <f>G89</f>
        <v>61.19999999999709</v>
      </c>
      <c r="I89" s="769"/>
      <c r="J89" s="843">
        <f>H89/DAY(B2)</f>
        <v>5.5636363636360988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48">
        <f>'[1]9'!F90</f>
        <v>2920.4</v>
      </c>
      <c r="F90" s="764">
        <v>2925.1</v>
      </c>
      <c r="G90" s="841">
        <f t="shared" si="7"/>
        <v>4.6999999999998181</v>
      </c>
      <c r="H90" s="841">
        <f>G90</f>
        <v>4.6999999999998181</v>
      </c>
      <c r="I90" s="769"/>
      <c r="J90" s="843">
        <f>H90/DAY(B2)</f>
        <v>0.42727272727271076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849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'[1]9'!F92</f>
        <v>231813</v>
      </c>
      <c r="F92" s="598">
        <v>231989</v>
      </c>
      <c r="G92" s="593">
        <f t="shared" ref="G92:G93" si="9">F92-E92</f>
        <v>176</v>
      </c>
      <c r="H92" s="580">
        <f>G92+'[1]9'!H92</f>
        <v>1014</v>
      </c>
      <c r="I92" s="600"/>
      <c r="J92" s="673">
        <f>H92/DAY(B2)</f>
        <v>92.181818181818187</v>
      </c>
      <c r="K92" s="509"/>
      <c r="L92" s="405"/>
      <c r="N92" s="849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'[1]9'!F93</f>
        <v>163920</v>
      </c>
      <c r="F93" s="598">
        <v>164075</v>
      </c>
      <c r="G93" s="593">
        <f t="shared" si="9"/>
        <v>155</v>
      </c>
      <c r="H93" s="580">
        <f>G93+'[1]9'!H93</f>
        <v>1433</v>
      </c>
      <c r="I93" s="600"/>
      <c r="J93" s="673">
        <f>H93/DAY(B2)</f>
        <v>130.27272727272728</v>
      </c>
      <c r="K93" s="408"/>
      <c r="L93" s="405"/>
      <c r="N93" s="849"/>
    </row>
    <row r="94" spans="1:15" x14ac:dyDescent="0.5">
      <c r="A94" s="1392" t="s">
        <v>235</v>
      </c>
      <c r="B94" s="1393"/>
      <c r="C94" s="1394"/>
      <c r="D94" s="643"/>
      <c r="E94" s="604"/>
      <c r="F94" s="598"/>
      <c r="G94" s="593">
        <f>G92+G93</f>
        <v>331</v>
      </c>
      <c r="H94" s="580">
        <f>G94+'[1]9'!H94</f>
        <v>2184</v>
      </c>
      <c r="I94" s="600"/>
      <c r="J94" s="673">
        <f>H94/DAY(B2)</f>
        <v>198.54545454545453</v>
      </c>
      <c r="K94" s="408"/>
      <c r="L94" s="405"/>
      <c r="N94" s="849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'[1]9'!F95</f>
        <v>402088</v>
      </c>
      <c r="F95" s="598">
        <v>402228</v>
      </c>
      <c r="G95" s="593">
        <f t="shared" ref="G95:G100" si="10">F95-E95</f>
        <v>140</v>
      </c>
      <c r="H95" s="580">
        <f>G95+'[1]9'!H95</f>
        <v>663</v>
      </c>
      <c r="I95" s="600"/>
      <c r="J95" s="673">
        <f>H95/DAY(B2)</f>
        <v>60.272727272727273</v>
      </c>
      <c r="K95" s="408"/>
      <c r="L95" s="405"/>
      <c r="N95" s="849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'[1]9'!F96</f>
        <v>99378</v>
      </c>
      <c r="F96" s="598">
        <v>99415</v>
      </c>
      <c r="G96" s="593">
        <f t="shared" si="10"/>
        <v>37</v>
      </c>
      <c r="H96" s="580">
        <f>G96+'[1]9'!H96</f>
        <v>304</v>
      </c>
      <c r="I96" s="600"/>
      <c r="J96" s="673">
        <f>H96/DAY(B2)</f>
        <v>27.636363636363637</v>
      </c>
      <c r="K96" s="507"/>
      <c r="L96" s="405"/>
      <c r="N96" s="849"/>
    </row>
    <row r="97" spans="1:14" ht="27.75" x14ac:dyDescent="0.5">
      <c r="A97" s="1354" t="s">
        <v>238</v>
      </c>
      <c r="B97" s="1355"/>
      <c r="C97" s="1355"/>
      <c r="D97" s="643" t="s">
        <v>171</v>
      </c>
      <c r="E97" s="604">
        <f>'[1]9'!F97</f>
        <v>94470</v>
      </c>
      <c r="F97" s="598">
        <v>94490</v>
      </c>
      <c r="G97" s="593">
        <f t="shared" si="10"/>
        <v>20</v>
      </c>
      <c r="H97" s="580">
        <f>G97+'[1]9'!H97</f>
        <v>218</v>
      </c>
      <c r="I97" s="600"/>
      <c r="J97" s="673">
        <f>H97/DAY(B2)</f>
        <v>19.818181818181817</v>
      </c>
      <c r="K97" s="512"/>
      <c r="L97" s="405"/>
      <c r="N97" s="849"/>
    </row>
    <row r="98" spans="1:14" ht="27.75" x14ac:dyDescent="0.5">
      <c r="A98" s="1354" t="s">
        <v>239</v>
      </c>
      <c r="B98" s="1355"/>
      <c r="C98" s="1355"/>
      <c r="D98" s="643" t="s">
        <v>171</v>
      </c>
      <c r="E98" s="604">
        <f>'[1]9'!F98</f>
        <v>142591</v>
      </c>
      <c r="F98" s="598">
        <v>142682</v>
      </c>
      <c r="G98" s="593">
        <f t="shared" si="10"/>
        <v>91</v>
      </c>
      <c r="H98" s="580">
        <f>G98+'[1]9'!H98</f>
        <v>536</v>
      </c>
      <c r="I98" s="600"/>
      <c r="J98" s="673">
        <f>H98/DAY(B2)</f>
        <v>48.727272727272727</v>
      </c>
      <c r="K98" s="408"/>
      <c r="L98" s="405"/>
      <c r="N98" s="851"/>
    </row>
    <row r="99" spans="1:14" ht="27.75" x14ac:dyDescent="0.5">
      <c r="A99" s="1354" t="s">
        <v>240</v>
      </c>
      <c r="B99" s="1355"/>
      <c r="C99" s="1355"/>
      <c r="D99" s="643" t="s">
        <v>171</v>
      </c>
      <c r="E99" s="604">
        <f>'[1]9'!F99</f>
        <v>5174</v>
      </c>
      <c r="F99" s="598">
        <v>5202</v>
      </c>
      <c r="G99" s="593">
        <f t="shared" si="10"/>
        <v>28</v>
      </c>
      <c r="H99" s="580">
        <f>G99+'[1]9'!H99</f>
        <v>234</v>
      </c>
      <c r="I99" s="600"/>
      <c r="J99" s="673">
        <f>H99/DAY(B2)</f>
        <v>21.272727272727273</v>
      </c>
      <c r="K99" s="408"/>
      <c r="L99" s="405"/>
      <c r="N99" s="849"/>
    </row>
    <row r="100" spans="1:14" ht="27.75" x14ac:dyDescent="0.5">
      <c r="A100" s="1354" t="s">
        <v>241</v>
      </c>
      <c r="B100" s="1355"/>
      <c r="C100" s="1355"/>
      <c r="D100" s="643" t="s">
        <v>171</v>
      </c>
      <c r="E100" s="604">
        <f>'[1]9'!F100</f>
        <v>3674</v>
      </c>
      <c r="F100" s="598">
        <v>3674</v>
      </c>
      <c r="G100" s="593">
        <f t="shared" si="10"/>
        <v>0</v>
      </c>
      <c r="H100" s="580">
        <f>G100+'[1]9'!H100</f>
        <v>0</v>
      </c>
      <c r="I100" s="600"/>
      <c r="J100" s="673">
        <f>H100/DAY(B2)</f>
        <v>0</v>
      </c>
      <c r="K100" s="408"/>
      <c r="L100" s="405"/>
      <c r="N100" s="849"/>
    </row>
    <row r="101" spans="1:14" x14ac:dyDescent="0.5">
      <c r="A101" s="1392" t="s">
        <v>242</v>
      </c>
      <c r="B101" s="1393"/>
      <c r="C101" s="1394"/>
      <c r="D101" s="644"/>
      <c r="E101" s="604"/>
      <c r="F101" s="644"/>
      <c r="G101" s="645">
        <f>SUM(G95:G100)</f>
        <v>316</v>
      </c>
      <c r="H101" s="580">
        <f>G101+'[1]9'!H101</f>
        <v>1955</v>
      </c>
      <c r="I101" s="646"/>
      <c r="J101" s="673">
        <f>H101/DAY(B2)</f>
        <v>177.72727272727272</v>
      </c>
      <c r="K101" s="408"/>
      <c r="L101" s="405"/>
      <c r="N101" s="849"/>
    </row>
    <row r="102" spans="1:14" s="524" customFormat="1" ht="27" x14ac:dyDescent="0.4">
      <c r="A102" s="728" t="s">
        <v>243</v>
      </c>
      <c r="B102" s="729"/>
      <c r="C102" s="729"/>
      <c r="D102" s="742"/>
      <c r="E102" s="604"/>
      <c r="F102" s="774"/>
      <c r="G102" s="649"/>
      <c r="H102" s="650"/>
      <c r="I102" s="651"/>
      <c r="J102" s="678"/>
      <c r="N102" s="849"/>
    </row>
    <row r="103" spans="1:14" s="524" customFormat="1" ht="27.75" x14ac:dyDescent="0.5">
      <c r="A103" s="1404" t="s">
        <v>244</v>
      </c>
      <c r="B103" s="1405"/>
      <c r="C103" s="694"/>
      <c r="D103" s="743"/>
      <c r="E103" s="604"/>
      <c r="F103" s="775"/>
      <c r="G103" s="652"/>
      <c r="H103" s="653"/>
      <c r="I103" s="652"/>
      <c r="J103" s="679"/>
      <c r="N103" s="849"/>
    </row>
    <row r="104" spans="1:14" s="524" customFormat="1" ht="27.75" x14ac:dyDescent="0.5">
      <c r="A104" s="1406" t="s">
        <v>245</v>
      </c>
      <c r="B104" s="1407"/>
      <c r="C104" s="1359"/>
      <c r="D104" s="743" t="s">
        <v>171</v>
      </c>
      <c r="E104" s="604">
        <f>'[1]9'!F104</f>
        <v>7010</v>
      </c>
      <c r="F104" s="775">
        <v>7010</v>
      </c>
      <c r="G104" s="652">
        <f>F104-E104</f>
        <v>0</v>
      </c>
      <c r="H104" s="653">
        <f>SUM(G104+'[1]9'!G76)</f>
        <v>97</v>
      </c>
      <c r="I104" s="652"/>
      <c r="J104" s="679">
        <f>H104/DAY(B2)</f>
        <v>8.8181818181818183</v>
      </c>
      <c r="N104" s="849"/>
    </row>
    <row r="105" spans="1:14" s="524" customFormat="1" ht="27.75" x14ac:dyDescent="0.5">
      <c r="A105" s="1406" t="s">
        <v>92</v>
      </c>
      <c r="B105" s="1407"/>
      <c r="C105" s="1359"/>
      <c r="D105" s="743" t="s">
        <v>171</v>
      </c>
      <c r="E105" s="604">
        <f>'[1]9'!F105</f>
        <v>34719</v>
      </c>
      <c r="F105" s="776">
        <v>34767</v>
      </c>
      <c r="G105" s="652">
        <f t="shared" ref="G105:G106" si="11">F105-E105</f>
        <v>48</v>
      </c>
      <c r="H105" s="653">
        <f>SUM(G105+'[1]9'!G77)</f>
        <v>99</v>
      </c>
      <c r="I105" s="652"/>
      <c r="J105" s="679">
        <f>H105/DAY(B2)</f>
        <v>9</v>
      </c>
      <c r="N105" s="849"/>
    </row>
    <row r="106" spans="1:14" s="524" customFormat="1" ht="27.75" x14ac:dyDescent="0.5">
      <c r="A106" s="1406" t="s">
        <v>93</v>
      </c>
      <c r="B106" s="1408"/>
      <c r="C106" s="1407"/>
      <c r="D106" s="743" t="s">
        <v>171</v>
      </c>
      <c r="E106" s="604">
        <f>'[1]9'!F106</f>
        <v>18780</v>
      </c>
      <c r="F106" s="776">
        <v>18786</v>
      </c>
      <c r="G106" s="652">
        <f t="shared" si="11"/>
        <v>6</v>
      </c>
      <c r="H106" s="653">
        <f>SUM(G106+'[1]9'!G78)</f>
        <v>465</v>
      </c>
      <c r="I106" s="652"/>
      <c r="J106" s="679">
        <f>H106/DAY(B2)</f>
        <v>42.272727272727273</v>
      </c>
      <c r="N106" s="849"/>
    </row>
    <row r="107" spans="1:14" s="524" customFormat="1" ht="27.75" x14ac:dyDescent="0.5">
      <c r="A107" s="1409" t="s">
        <v>82</v>
      </c>
      <c r="B107" s="1410"/>
      <c r="C107" s="1359"/>
      <c r="D107" s="743"/>
      <c r="E107" s="604"/>
      <c r="F107" s="776"/>
      <c r="G107" s="652">
        <f>SUM(G104:G106)</f>
        <v>54</v>
      </c>
      <c r="H107" s="653">
        <f>SUM(G107+'[1]9'!G79)</f>
        <v>248</v>
      </c>
      <c r="I107" s="652"/>
      <c r="J107" s="679">
        <f>H107/DAY(B2)</f>
        <v>22.545454545454547</v>
      </c>
      <c r="N107" s="849"/>
    </row>
    <row r="108" spans="1:14" s="524" customFormat="1" ht="27.75" x14ac:dyDescent="0.5">
      <c r="A108" s="1411" t="s">
        <v>94</v>
      </c>
      <c r="B108" s="1412"/>
      <c r="C108" s="1359"/>
      <c r="D108" s="743" t="s">
        <v>171</v>
      </c>
      <c r="E108" s="604"/>
      <c r="F108" s="776"/>
      <c r="G108" s="652"/>
      <c r="H108" s="653"/>
      <c r="I108" s="652"/>
      <c r="J108" s="679"/>
      <c r="N108" s="849"/>
    </row>
    <row r="109" spans="1:14" s="524" customFormat="1" ht="27.75" x14ac:dyDescent="0.5">
      <c r="A109" s="1406" t="s">
        <v>246</v>
      </c>
      <c r="B109" s="1407"/>
      <c r="C109" s="1359"/>
      <c r="D109" s="743" t="s">
        <v>171</v>
      </c>
      <c r="E109" s="604">
        <f>'[1]9'!F109</f>
        <v>51838</v>
      </c>
      <c r="F109" s="776">
        <v>51877</v>
      </c>
      <c r="G109" s="652">
        <f>F109-E109</f>
        <v>39</v>
      </c>
      <c r="H109" s="653">
        <f>SUM(G109+'[1]9'!G81)</f>
        <v>233.95999999996275</v>
      </c>
      <c r="I109" s="652"/>
      <c r="J109" s="679">
        <f>H109/DAY(B2)</f>
        <v>21.269090909087524</v>
      </c>
      <c r="N109" s="849"/>
    </row>
    <row r="110" spans="1:14" s="524" customFormat="1" ht="27.75" x14ac:dyDescent="0.5">
      <c r="A110" s="1406" t="s">
        <v>247</v>
      </c>
      <c r="B110" s="1407"/>
      <c r="C110" s="1359"/>
      <c r="D110" s="743" t="s">
        <v>171</v>
      </c>
      <c r="E110" s="604">
        <f>'[1]9'!F110</f>
        <v>25750</v>
      </c>
      <c r="F110" s="776">
        <v>25833</v>
      </c>
      <c r="G110" s="652">
        <f t="shared" ref="G110:G111" si="12">F110-E110</f>
        <v>83</v>
      </c>
      <c r="H110" s="653">
        <f>SUM(G110+'[1]9'!G82)</f>
        <v>126</v>
      </c>
      <c r="I110" s="652"/>
      <c r="J110" s="679">
        <f>H110/DAY(B2)</f>
        <v>11.454545454545455</v>
      </c>
      <c r="N110" s="849"/>
    </row>
    <row r="111" spans="1:14" s="524" customFormat="1" ht="27.75" x14ac:dyDescent="0.5">
      <c r="A111" s="1406" t="s">
        <v>248</v>
      </c>
      <c r="B111" s="1407"/>
      <c r="C111" s="1359"/>
      <c r="D111" s="743" t="s">
        <v>171</v>
      </c>
      <c r="E111" s="604">
        <f>'[1]9'!F111</f>
        <v>3434</v>
      </c>
      <c r="F111" s="776">
        <v>3448</v>
      </c>
      <c r="G111" s="652">
        <f t="shared" si="12"/>
        <v>14</v>
      </c>
      <c r="H111" s="653">
        <f>SUM(G111+'[1]9'!G83)</f>
        <v>394</v>
      </c>
      <c r="I111" s="652"/>
      <c r="J111" s="679">
        <f>H111/DAY(B2)</f>
        <v>35.81818181818182</v>
      </c>
      <c r="N111" s="849"/>
    </row>
    <row r="112" spans="1:14" s="524" customFormat="1" ht="27.75" x14ac:dyDescent="0.5">
      <c r="A112" s="1409" t="s">
        <v>136</v>
      </c>
      <c r="B112" s="1410"/>
      <c r="C112" s="1359"/>
      <c r="D112" s="743"/>
      <c r="E112" s="604"/>
      <c r="F112" s="776"/>
      <c r="G112" s="652">
        <f>SUM(G109:G111)</f>
        <v>136</v>
      </c>
      <c r="H112" s="653">
        <f>SUM(G112+'[1]9'!G84)</f>
        <v>684</v>
      </c>
      <c r="I112" s="652"/>
      <c r="J112" s="679">
        <f>H112/DAY(B2)</f>
        <v>62.18181818181818</v>
      </c>
      <c r="N112" s="849"/>
    </row>
    <row r="113" spans="1:14" s="524" customFormat="1" ht="27.75" x14ac:dyDescent="0.5">
      <c r="A113" s="1411" t="s">
        <v>249</v>
      </c>
      <c r="B113" s="1412"/>
      <c r="C113" s="1359"/>
      <c r="D113" s="743"/>
      <c r="E113" s="604"/>
      <c r="F113" s="776"/>
      <c r="G113" s="652"/>
      <c r="H113" s="653"/>
      <c r="I113" s="652"/>
      <c r="J113" s="679">
        <f>H113/DAY(B2)</f>
        <v>0</v>
      </c>
      <c r="N113" s="849"/>
    </row>
    <row r="114" spans="1:14" s="524" customFormat="1" ht="27.75" x14ac:dyDescent="0.5">
      <c r="A114" s="1406" t="s">
        <v>250</v>
      </c>
      <c r="B114" s="1407"/>
      <c r="C114" s="695"/>
      <c r="D114" s="743" t="s">
        <v>171</v>
      </c>
      <c r="E114" s="604">
        <f>'[1]9'!F114</f>
        <v>8846</v>
      </c>
      <c r="F114" s="776">
        <v>8877</v>
      </c>
      <c r="G114" s="654">
        <f>F114-E114</f>
        <v>31</v>
      </c>
      <c r="H114" s="653">
        <f>SUM(G114+'[1]9'!G91)</f>
        <v>31</v>
      </c>
      <c r="I114" s="652"/>
      <c r="J114" s="679">
        <f>H114/DAY(B2)</f>
        <v>2.8181818181818183</v>
      </c>
      <c r="N114" s="849"/>
    </row>
    <row r="115" spans="1:14" s="524" customFormat="1" ht="27.75" x14ac:dyDescent="0.5">
      <c r="A115" s="1406" t="s">
        <v>251</v>
      </c>
      <c r="B115" s="1407"/>
      <c r="C115" s="695"/>
      <c r="D115" s="743" t="s">
        <v>171</v>
      </c>
      <c r="E115" s="604">
        <f>'[1]9'!F115</f>
        <v>6926</v>
      </c>
      <c r="F115" s="776">
        <v>6936</v>
      </c>
      <c r="G115" s="654">
        <f t="shared" ref="G115:G116" si="13">F115-E115</f>
        <v>10</v>
      </c>
      <c r="H115" s="653">
        <f>SUM(G115+'[1]9'!G92)</f>
        <v>101</v>
      </c>
      <c r="I115" s="652"/>
      <c r="J115" s="679">
        <f>H115/DAY(B2)</f>
        <v>9.1818181818181817</v>
      </c>
      <c r="N115" s="849"/>
    </row>
    <row r="116" spans="1:14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776"/>
      <c r="G116" s="654">
        <f t="shared" si="13"/>
        <v>0</v>
      </c>
      <c r="H116" s="653">
        <f>SUM(G116+'[1]9'!G93)</f>
        <v>176</v>
      </c>
      <c r="I116" s="652"/>
      <c r="J116" s="679">
        <f>H116/DAY(B2)</f>
        <v>16</v>
      </c>
      <c r="N116" s="849"/>
    </row>
    <row r="117" spans="1:14" s="537" customFormat="1" ht="27.75" x14ac:dyDescent="0.5">
      <c r="A117" s="1409" t="s">
        <v>82</v>
      </c>
      <c r="B117" s="1410"/>
      <c r="C117" s="695"/>
      <c r="D117" s="744"/>
      <c r="E117" s="654"/>
      <c r="F117" s="776"/>
      <c r="G117" s="654">
        <f>SUM(G114:G116)</f>
        <v>41</v>
      </c>
      <c r="H117" s="653">
        <f>SUM(G117+'[1]9'!G94)</f>
        <v>308</v>
      </c>
      <c r="I117" s="654"/>
      <c r="J117" s="679">
        <f>H117/DAY(B2)</f>
        <v>28</v>
      </c>
      <c r="N117" s="849"/>
    </row>
    <row r="118" spans="1:14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229</v>
      </c>
      <c r="G118" s="656">
        <f>SUM(G19+G92)</f>
        <v>229</v>
      </c>
      <c r="H118" s="653">
        <f>SUM(G118+'[1]9'!G95)</f>
        <v>283</v>
      </c>
      <c r="I118" s="655"/>
      <c r="J118" s="680">
        <f>H118/DAY(B2)</f>
        <v>25.727272727272727</v>
      </c>
      <c r="N118" s="849"/>
    </row>
    <row r="119" spans="1:14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225</v>
      </c>
      <c r="G119" s="656">
        <f>SUM(G95,G96,G97,G99,G100)</f>
        <v>225</v>
      </c>
      <c r="H119" s="653">
        <f>SUM(G119+'[1]9'!G96)</f>
        <v>250</v>
      </c>
      <c r="I119" s="655"/>
      <c r="J119" s="680">
        <f>H119/DAY(B2)</f>
        <v>22.727272727272727</v>
      </c>
      <c r="N119" s="849"/>
    </row>
    <row r="120" spans="1:14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136</v>
      </c>
      <c r="G120" s="654">
        <f>SUM(G112)</f>
        <v>136</v>
      </c>
      <c r="H120" s="653">
        <f>SUM(G120+'[1]9'!G97)</f>
        <v>160</v>
      </c>
      <c r="I120" s="655"/>
      <c r="J120" s="680">
        <f>H120/DAY(B2)</f>
        <v>14.545454545454545</v>
      </c>
      <c r="N120" s="849"/>
    </row>
    <row r="121" spans="1:14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N121" s="849"/>
    </row>
    <row r="122" spans="1:14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849"/>
    </row>
    <row r="123" spans="1:14" ht="27.75" x14ac:dyDescent="0.5">
      <c r="A123" s="1354" t="s">
        <v>257</v>
      </c>
      <c r="B123" s="1355"/>
      <c r="C123" s="1355"/>
      <c r="D123" s="643" t="s">
        <v>168</v>
      </c>
      <c r="E123" s="598">
        <f>'[1]9'!F123</f>
        <v>790618.83</v>
      </c>
      <c r="F123" s="598">
        <v>790832.82</v>
      </c>
      <c r="G123" s="593">
        <f t="shared" ref="G123:G127" si="14">F123-E123</f>
        <v>213.98999999999069</v>
      </c>
      <c r="H123" s="580">
        <f>G123+'[1]9'!H123</f>
        <v>2001.75</v>
      </c>
      <c r="I123" s="646"/>
      <c r="J123" s="673">
        <f>H123/DAY(B2)</f>
        <v>181.97727272727272</v>
      </c>
      <c r="K123" s="408"/>
      <c r="L123" s="405"/>
      <c r="N123" s="849"/>
    </row>
    <row r="124" spans="1:14" ht="27.75" x14ac:dyDescent="0.5">
      <c r="A124" s="1354" t="s">
        <v>258</v>
      </c>
      <c r="B124" s="1355"/>
      <c r="C124" s="1355"/>
      <c r="D124" s="643" t="s">
        <v>168</v>
      </c>
      <c r="E124" s="747">
        <f>'[1]9'!F124</f>
        <v>73582</v>
      </c>
      <c r="F124" s="747">
        <v>73582</v>
      </c>
      <c r="G124" s="593">
        <f t="shared" si="14"/>
        <v>0</v>
      </c>
      <c r="H124" s="580">
        <f>G124+'[1]9'!H124</f>
        <v>-0.19999999999708962</v>
      </c>
      <c r="I124" s="646"/>
      <c r="J124" s="673">
        <f>H124/DAY(B2)</f>
        <v>-1.8181818181553601E-2</v>
      </c>
      <c r="K124" s="408"/>
      <c r="L124" s="405"/>
      <c r="N124" s="849"/>
    </row>
    <row r="125" spans="1:14" ht="27.75" x14ac:dyDescent="0.5">
      <c r="A125" s="1395" t="s">
        <v>259</v>
      </c>
      <c r="B125" s="1396"/>
      <c r="C125" s="1397"/>
      <c r="D125" s="643" t="s">
        <v>168</v>
      </c>
      <c r="E125" s="598">
        <f>'[1]9'!F125</f>
        <v>133904.17000000001</v>
      </c>
      <c r="F125" s="598">
        <v>134015.70000000001</v>
      </c>
      <c r="G125" s="593">
        <f t="shared" si="14"/>
        <v>111.52999999999884</v>
      </c>
      <c r="H125" s="580">
        <f>G125+'[1]9'!H125</f>
        <v>892.82000000000698</v>
      </c>
      <c r="I125" s="646"/>
      <c r="J125" s="673">
        <f>H125/DAY(B2)</f>
        <v>81.165454545455177</v>
      </c>
      <c r="K125" s="408"/>
      <c r="L125" s="405"/>
      <c r="N125" s="849"/>
    </row>
    <row r="126" spans="1:14" ht="27.75" x14ac:dyDescent="0.5">
      <c r="A126" s="730" t="s">
        <v>260</v>
      </c>
      <c r="B126" s="1355"/>
      <c r="C126" s="1355"/>
      <c r="D126" s="643" t="s">
        <v>168</v>
      </c>
      <c r="E126" s="747">
        <f>'[1]9'!F126</f>
        <v>56601.599999999999</v>
      </c>
      <c r="F126" s="747">
        <v>56631.199999999997</v>
      </c>
      <c r="G126" s="593">
        <f t="shared" si="14"/>
        <v>29.599999999998545</v>
      </c>
      <c r="H126" s="580">
        <f>G126+'[1]9'!H126</f>
        <v>283</v>
      </c>
      <c r="I126" s="646"/>
      <c r="J126" s="673">
        <f>H126/DAY(B2)</f>
        <v>25.727272727272727</v>
      </c>
      <c r="K126" s="408"/>
      <c r="L126" s="405"/>
      <c r="N126" s="849"/>
    </row>
    <row r="127" spans="1:14" ht="27.75" x14ac:dyDescent="0.5">
      <c r="A127" s="730" t="s">
        <v>261</v>
      </c>
      <c r="B127" s="1355"/>
      <c r="C127" s="1355"/>
      <c r="D127" s="643" t="s">
        <v>168</v>
      </c>
      <c r="E127" s="747">
        <f>'[1]9'!F127</f>
        <v>8640.1</v>
      </c>
      <c r="F127" s="747">
        <v>8640.1</v>
      </c>
      <c r="G127" s="593">
        <f t="shared" si="14"/>
        <v>0</v>
      </c>
      <c r="H127" s="580">
        <f>G127+'[1]9'!H127</f>
        <v>0</v>
      </c>
      <c r="I127" s="600"/>
      <c r="J127" s="673">
        <f>H127/DAY(B2)</f>
        <v>0</v>
      </c>
      <c r="K127" s="408"/>
      <c r="L127" s="405"/>
      <c r="N127" s="849"/>
    </row>
    <row r="128" spans="1:14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472.53000000015163</v>
      </c>
      <c r="H128" s="580"/>
      <c r="I128" s="600"/>
      <c r="J128" s="673"/>
      <c r="K128" s="388"/>
      <c r="L128" s="290"/>
      <c r="N128" s="849"/>
    </row>
    <row r="129" spans="1:14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849"/>
    </row>
    <row r="130" spans="1:14" ht="27.75" x14ac:dyDescent="0.5">
      <c r="A130" s="1354" t="s">
        <v>264</v>
      </c>
      <c r="B130" s="1355"/>
      <c r="C130" s="1355"/>
      <c r="D130" s="643" t="s">
        <v>265</v>
      </c>
      <c r="E130" s="604">
        <f>'[1]9'!F130</f>
        <v>0</v>
      </c>
      <c r="F130" s="598">
        <v>0</v>
      </c>
      <c r="G130" s="593">
        <f t="shared" ref="G130:G140" si="15">F130-E130</f>
        <v>0</v>
      </c>
      <c r="H130" s="580">
        <f>G130+'[1]9'!H130</f>
        <v>0</v>
      </c>
      <c r="I130" s="600"/>
      <c r="J130" s="673">
        <f>H130/DAY(B2)</f>
        <v>0</v>
      </c>
      <c r="N130" s="849"/>
    </row>
    <row r="131" spans="1:14" ht="27.75" x14ac:dyDescent="0.5">
      <c r="A131" s="1354" t="s">
        <v>266</v>
      </c>
      <c r="B131" s="1355"/>
      <c r="C131" s="1355"/>
      <c r="D131" s="643" t="s">
        <v>265</v>
      </c>
      <c r="E131" s="604">
        <f>'[1]9'!F131</f>
        <v>0</v>
      </c>
      <c r="F131" s="598">
        <v>0</v>
      </c>
      <c r="G131" s="593">
        <f t="shared" si="15"/>
        <v>0</v>
      </c>
      <c r="H131" s="580">
        <f>G131+'[1]9'!H131</f>
        <v>0</v>
      </c>
      <c r="I131" s="600"/>
      <c r="J131" s="673">
        <f>H131/DAY(B2)</f>
        <v>0</v>
      </c>
      <c r="N131" s="849"/>
    </row>
    <row r="132" spans="1:14" ht="27.75" x14ac:dyDescent="0.5">
      <c r="A132" s="1354" t="s">
        <v>267</v>
      </c>
      <c r="B132" s="1355"/>
      <c r="C132" s="1355"/>
      <c r="D132" s="643" t="s">
        <v>265</v>
      </c>
      <c r="E132" s="818">
        <f>'[1]9'!F132</f>
        <v>38877</v>
      </c>
      <c r="F132" s="747">
        <v>38877</v>
      </c>
      <c r="G132" s="593">
        <f t="shared" si="15"/>
        <v>0</v>
      </c>
      <c r="H132" s="580">
        <f>G132+'[1]9'!H132</f>
        <v>0</v>
      </c>
      <c r="I132" s="600"/>
      <c r="J132" s="673">
        <f>H132/DAY(B2)</f>
        <v>0</v>
      </c>
      <c r="N132" s="849"/>
    </row>
    <row r="133" spans="1:14" ht="27.75" x14ac:dyDescent="0.5">
      <c r="A133" s="1354" t="s">
        <v>268</v>
      </c>
      <c r="B133" s="1355"/>
      <c r="C133" s="1355"/>
      <c r="D133" s="643" t="s">
        <v>265</v>
      </c>
      <c r="E133" s="642">
        <f>'[1]9'!F133</f>
        <v>140.08000000000001</v>
      </c>
      <c r="F133" s="605">
        <v>164.27</v>
      </c>
      <c r="G133" s="593">
        <f t="shared" si="15"/>
        <v>24.189999999999998</v>
      </c>
      <c r="H133" s="580">
        <f>G133+'[1]9'!H133</f>
        <v>164.27</v>
      </c>
      <c r="I133" s="600">
        <f>G130+G131+G132+G133</f>
        <v>24.189999999999998</v>
      </c>
      <c r="J133" s="673">
        <f>H133/DAY(B2)</f>
        <v>14.933636363636365</v>
      </c>
      <c r="N133" s="849"/>
    </row>
    <row r="134" spans="1:14" ht="27.75" x14ac:dyDescent="0.5">
      <c r="A134" s="1354" t="s">
        <v>269</v>
      </c>
      <c r="B134" s="1355"/>
      <c r="C134" s="1355"/>
      <c r="D134" s="643" t="s">
        <v>265</v>
      </c>
      <c r="E134" s="818">
        <f>'[1]9'!F134</f>
        <v>39735</v>
      </c>
      <c r="F134" s="747">
        <v>39735</v>
      </c>
      <c r="G134" s="593">
        <f t="shared" si="15"/>
        <v>0</v>
      </c>
      <c r="H134" s="580">
        <f>G134+'[1]9'!H134</f>
        <v>0</v>
      </c>
      <c r="I134" s="600"/>
      <c r="J134" s="673">
        <f>H134/DAY(B2)</f>
        <v>0</v>
      </c>
      <c r="N134" s="849"/>
    </row>
    <row r="135" spans="1:14" ht="27.75" x14ac:dyDescent="0.5">
      <c r="A135" s="1354" t="s">
        <v>270</v>
      </c>
      <c r="B135" s="1355"/>
      <c r="C135" s="1355"/>
      <c r="D135" s="643" t="s">
        <v>265</v>
      </c>
      <c r="E135" s="818">
        <f>'[1]9'!F135</f>
        <v>31793.09</v>
      </c>
      <c r="F135" s="747">
        <v>31796.240000000002</v>
      </c>
      <c r="G135" s="593">
        <f t="shared" si="15"/>
        <v>3.1500000000014552</v>
      </c>
      <c r="H135" s="580">
        <f>G135+'[1]9'!H135</f>
        <v>78.720000000001164</v>
      </c>
      <c r="I135" s="600"/>
      <c r="J135" s="673">
        <f>H135/DAY(B2)</f>
        <v>7.156363636363742</v>
      </c>
      <c r="N135" s="849"/>
    </row>
    <row r="136" spans="1:14" ht="27.75" x14ac:dyDescent="0.5">
      <c r="A136" s="1354" t="s">
        <v>271</v>
      </c>
      <c r="B136" s="1355"/>
      <c r="C136" s="1355"/>
      <c r="D136" s="643" t="s">
        <v>265</v>
      </c>
      <c r="E136" s="662">
        <f>'[1]9'!F136</f>
        <v>21718.5</v>
      </c>
      <c r="F136" s="768">
        <v>21726.87</v>
      </c>
      <c r="G136" s="593">
        <f t="shared" si="15"/>
        <v>8.3699999999989814</v>
      </c>
      <c r="H136" s="580">
        <f>G136+'[1]9'!H136</f>
        <v>52.149999999997817</v>
      </c>
      <c r="I136" s="600">
        <f>G134+G135+G136</f>
        <v>11.520000000000437</v>
      </c>
      <c r="J136" s="673">
        <f>H136/DAY(B2)</f>
        <v>4.7409090909088922</v>
      </c>
      <c r="N136" s="849"/>
    </row>
    <row r="137" spans="1:14" ht="27.75" x14ac:dyDescent="0.5">
      <c r="A137" s="1354" t="s">
        <v>272</v>
      </c>
      <c r="B137" s="1355"/>
      <c r="C137" s="1355"/>
      <c r="D137" s="643" t="s">
        <v>265</v>
      </c>
      <c r="E137" s="662">
        <f>'[1]9'!F137</f>
        <v>24932.51</v>
      </c>
      <c r="F137" s="768">
        <v>24932.51</v>
      </c>
      <c r="G137" s="593">
        <f t="shared" si="15"/>
        <v>0</v>
      </c>
      <c r="H137" s="580">
        <f>G137+'[1]9'!H137</f>
        <v>0</v>
      </c>
      <c r="I137" s="600"/>
      <c r="J137" s="673">
        <f>H137/DAY(B2)</f>
        <v>0</v>
      </c>
      <c r="N137" s="849"/>
    </row>
    <row r="138" spans="1:14" ht="27.75" x14ac:dyDescent="0.5">
      <c r="A138" s="1354" t="s">
        <v>273</v>
      </c>
      <c r="B138" s="1355"/>
      <c r="C138" s="1355"/>
      <c r="D138" s="643" t="s">
        <v>265</v>
      </c>
      <c r="E138" s="662">
        <f>'[1]9'!F138</f>
        <v>69982.929999999993</v>
      </c>
      <c r="F138" s="768">
        <v>69982.97</v>
      </c>
      <c r="G138" s="593">
        <f t="shared" si="15"/>
        <v>4.0000000008149073E-2</v>
      </c>
      <c r="H138" s="580">
        <f>G138+'[1]9'!H138</f>
        <v>27.759999999994761</v>
      </c>
      <c r="I138" s="600">
        <f>G137+G138</f>
        <v>4.0000000008149073E-2</v>
      </c>
      <c r="J138" s="673">
        <f>H138/DAY(B2)</f>
        <v>2.5236363636358874</v>
      </c>
      <c r="N138" s="849"/>
    </row>
    <row r="139" spans="1:14" ht="27.75" x14ac:dyDescent="0.5">
      <c r="A139" s="1354" t="s">
        <v>274</v>
      </c>
      <c r="B139" s="1355"/>
      <c r="C139" s="1355"/>
      <c r="D139" s="643" t="s">
        <v>265</v>
      </c>
      <c r="E139" s="818">
        <f>'[1]9'!F139</f>
        <v>991.73</v>
      </c>
      <c r="F139" s="747">
        <v>997.74</v>
      </c>
      <c r="G139" s="593">
        <f t="shared" si="15"/>
        <v>6.0099999999999909</v>
      </c>
      <c r="H139" s="580">
        <f>G139+'[1]9'!H139</f>
        <v>56.210000000000036</v>
      </c>
      <c r="I139" s="663"/>
      <c r="J139" s="673">
        <f>H139/DAY(B2)</f>
        <v>5.110000000000003</v>
      </c>
      <c r="N139" s="849"/>
    </row>
    <row r="140" spans="1:14" ht="27.75" x14ac:dyDescent="0.5">
      <c r="A140" s="1354" t="s">
        <v>275</v>
      </c>
      <c r="B140" s="1355"/>
      <c r="C140" s="1355"/>
      <c r="D140" s="643" t="s">
        <v>265</v>
      </c>
      <c r="E140" s="604">
        <f>'[1]9'!F140</f>
        <v>4156.9799999999996</v>
      </c>
      <c r="F140" s="598">
        <v>4156.9799999999996</v>
      </c>
      <c r="G140" s="593">
        <f t="shared" si="15"/>
        <v>0</v>
      </c>
      <c r="H140" s="580">
        <f>G140+'[1]9'!H140</f>
        <v>7.999999999992724E-2</v>
      </c>
      <c r="I140" s="663"/>
      <c r="J140" s="673">
        <f>H140/DAY(B2)</f>
        <v>7.2727272727206582E-3</v>
      </c>
      <c r="N140" s="849"/>
    </row>
    <row r="141" spans="1:14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849"/>
    </row>
    <row r="142" spans="1:14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5617.8100000000559</v>
      </c>
      <c r="H142" s="580">
        <f>G142+'[1]9'!H142</f>
        <v>51077.002999999975</v>
      </c>
      <c r="I142" s="600"/>
      <c r="J142" s="673">
        <f>H142/DAY(B2)</f>
        <v>4643.3639090909064</v>
      </c>
      <c r="K142" s="408"/>
      <c r="L142" s="405"/>
      <c r="N142" s="849"/>
    </row>
    <row r="143" spans="1:14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0.24907160274883866</v>
      </c>
      <c r="H143" s="580">
        <f>G143+'[1]9'!H143</f>
        <v>2.3801196720554048</v>
      </c>
      <c r="I143" s="665"/>
      <c r="J143" s="673">
        <f>H143/DAY(B2)</f>
        <v>0.21637451564140042</v>
      </c>
      <c r="K143" s="408"/>
      <c r="L143" s="405"/>
      <c r="N143" s="849"/>
    </row>
    <row r="144" spans="1:14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5685.0500000000029</v>
      </c>
      <c r="H144" s="580">
        <f>G144+'[1]9'!H144</f>
        <v>44768.179999999978</v>
      </c>
      <c r="I144" s="600"/>
      <c r="J144" s="673">
        <f>H144/DAY(B2)</f>
        <v>4069.8345454545433</v>
      </c>
      <c r="K144" s="408"/>
      <c r="L144" s="405"/>
      <c r="N144" s="849"/>
    </row>
    <row r="145" spans="1:14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0.25205275992019521</v>
      </c>
      <c r="H145" s="580">
        <f>G145+'[1]9'!H145</f>
        <v>2.2232803854896552</v>
      </c>
      <c r="I145" s="665"/>
      <c r="J145" s="673">
        <f>H145/DAY(B2)</f>
        <v>0.20211639868087775</v>
      </c>
      <c r="K145" s="408"/>
      <c r="L145" s="405"/>
      <c r="N145" s="849"/>
    </row>
    <row r="146" spans="1:14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4326.1000000000058</v>
      </c>
      <c r="H146" s="580">
        <f>G146+'[1]9'!H146</f>
        <v>42277.273000000001</v>
      </c>
      <c r="I146" s="666"/>
      <c r="J146" s="673">
        <f>H146/DAY(B2)</f>
        <v>3843.3884545454548</v>
      </c>
      <c r="K146" s="408"/>
      <c r="L146" s="405"/>
      <c r="N146" s="849"/>
    </row>
    <row r="147" spans="1:14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0.19180226113943719</v>
      </c>
      <c r="H147" s="580">
        <f>G147+'[1]9'!H147</f>
        <v>2.1066807754561965</v>
      </c>
      <c r="I147" s="666"/>
      <c r="J147" s="673">
        <f>H147/DAY(B2)</f>
        <v>0.19151643413238151</v>
      </c>
      <c r="N147" s="849"/>
    </row>
    <row r="148" spans="1:14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2233.3600000000442</v>
      </c>
      <c r="H148" s="580">
        <f>G148+'[1]9'!H148</f>
        <v>19543.280000000028</v>
      </c>
      <c r="I148" s="600"/>
      <c r="J148" s="673">
        <f>H148/DAY(B2)</f>
        <v>1776.6618181818208</v>
      </c>
      <c r="K148" s="409"/>
      <c r="N148" s="849"/>
    </row>
    <row r="149" spans="1:14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9.9018399467969156E-2</v>
      </c>
      <c r="H149" s="580">
        <f>G149+'[1]9'!H149</f>
        <v>0.97152099628451105</v>
      </c>
      <c r="I149" s="666"/>
      <c r="J149" s="673">
        <f>H149/DAY(B2)</f>
        <v>8.832009057131919E-2</v>
      </c>
      <c r="N149" s="849"/>
    </row>
    <row r="150" spans="1:14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2396.1600000000035</v>
      </c>
      <c r="H150" s="580">
        <f>G150+'[1]9'!H150</f>
        <v>22595.639999999956</v>
      </c>
      <c r="I150" s="666"/>
      <c r="J150" s="673">
        <f>H150/DAY(B2)</f>
        <v>2054.1490909090867</v>
      </c>
      <c r="N150" s="849"/>
    </row>
    <row r="151" spans="1:14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0.10623631123919323</v>
      </c>
      <c r="H151" s="580">
        <f>G151+'[1]9'!H151</f>
        <v>1.1196998618049707</v>
      </c>
      <c r="I151" s="600"/>
      <c r="J151" s="673">
        <f>H151/DAY(B2)</f>
        <v>0.10179089652772461</v>
      </c>
      <c r="N151" s="849"/>
    </row>
    <row r="152" spans="1:14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1546.4799999999996</v>
      </c>
      <c r="H152" s="580">
        <f>G152+'[1]9'!H152</f>
        <v>14655.502999999997</v>
      </c>
      <c r="I152" s="600"/>
      <c r="J152" s="673">
        <f>H152/DAY(B2)</f>
        <v>1332.3184545454542</v>
      </c>
      <c r="N152" s="849"/>
    </row>
    <row r="153" spans="1:14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6.8564841498559057E-2</v>
      </c>
      <c r="H153" s="688">
        <f>G153+'[1]9'!H153</f>
        <v>0.72961915428858404</v>
      </c>
      <c r="I153" s="689"/>
      <c r="J153" s="690">
        <f>H153/DAY(B2)</f>
        <v>6.6329014026234909E-2</v>
      </c>
      <c r="N153" s="849"/>
    </row>
    <row r="154" spans="1:14" x14ac:dyDescent="0.5">
      <c r="A154" s="586"/>
      <c r="B154" s="576"/>
      <c r="C154" s="576"/>
      <c r="D154" s="667"/>
      <c r="E154" s="667"/>
      <c r="F154" s="779"/>
      <c r="G154" s="667"/>
      <c r="H154" s="668"/>
      <c r="I154" s="667"/>
      <c r="J154" s="669"/>
      <c r="N154" s="849"/>
    </row>
    <row r="160" spans="1:14" x14ac:dyDescent="0.5">
      <c r="A160" s="935" t="s">
        <v>289</v>
      </c>
      <c r="B160" s="936"/>
      <c r="C160" s="936"/>
      <c r="D160" s="741" t="s">
        <v>214</v>
      </c>
      <c r="E160" s="775">
        <f>'[1]9'!F162</f>
        <v>24492.61</v>
      </c>
      <c r="F160" s="944">
        <v>24566.99</v>
      </c>
      <c r="G160" s="593">
        <f t="shared" ref="G160:G171" si="16">F160-E160</f>
        <v>74.380000000001019</v>
      </c>
    </row>
    <row r="161" spans="1:8" x14ac:dyDescent="0.5">
      <c r="A161" s="935" t="s">
        <v>290</v>
      </c>
      <c r="B161" s="936"/>
      <c r="C161" s="936"/>
      <c r="D161" s="741" t="s">
        <v>214</v>
      </c>
      <c r="E161" s="775">
        <f>'[1]9'!F163</f>
        <v>16536.490000000002</v>
      </c>
      <c r="F161" s="944">
        <v>17217.400000000001</v>
      </c>
      <c r="G161" s="593">
        <f t="shared" si="16"/>
        <v>680.90999999999985</v>
      </c>
    </row>
    <row r="162" spans="1:8" x14ac:dyDescent="0.5">
      <c r="A162" s="935" t="s">
        <v>291</v>
      </c>
      <c r="B162" s="936"/>
      <c r="C162" s="936"/>
      <c r="D162" s="741" t="s">
        <v>214</v>
      </c>
      <c r="E162" s="775">
        <f>'[1]9'!F164</f>
        <v>39946.480000000003</v>
      </c>
      <c r="F162" s="944">
        <v>40203.019999999997</v>
      </c>
      <c r="G162" s="593">
        <f t="shared" si="16"/>
        <v>256.5399999999936</v>
      </c>
      <c r="H162" s="634"/>
    </row>
    <row r="163" spans="1:8" x14ac:dyDescent="0.5">
      <c r="A163" s="935" t="s">
        <v>292</v>
      </c>
      <c r="B163" s="936"/>
      <c r="C163" s="936"/>
      <c r="D163" s="741" t="s">
        <v>214</v>
      </c>
      <c r="E163" s="775">
        <f>'[1]9'!F165</f>
        <v>3761.88</v>
      </c>
      <c r="F163" s="944">
        <v>3787.24</v>
      </c>
      <c r="G163" s="593">
        <f t="shared" si="16"/>
        <v>25.359999999999673</v>
      </c>
    </row>
    <row r="164" spans="1:8" ht="37.5" customHeight="1" x14ac:dyDescent="0.4">
      <c r="A164" s="937" t="s">
        <v>121</v>
      </c>
      <c r="B164" s="938"/>
      <c r="C164" s="938"/>
      <c r="D164" s="741" t="s">
        <v>214</v>
      </c>
      <c r="E164" s="888">
        <f>E62</f>
        <v>20419</v>
      </c>
      <c r="F164" s="634">
        <f>F62</f>
        <v>20419</v>
      </c>
      <c r="G164" s="593">
        <f t="shared" si="16"/>
        <v>0</v>
      </c>
    </row>
    <row r="165" spans="1:8" x14ac:dyDescent="0.4">
      <c r="A165" s="937" t="s">
        <v>215</v>
      </c>
      <c r="B165" s="938"/>
      <c r="C165" s="938"/>
      <c r="D165" s="741" t="s">
        <v>214</v>
      </c>
      <c r="E165" s="888">
        <f>E63</f>
        <v>991.71</v>
      </c>
      <c r="F165" s="634">
        <f>F63</f>
        <v>1003.8</v>
      </c>
      <c r="G165" s="593">
        <f t="shared" si="16"/>
        <v>12.089999999999918</v>
      </c>
    </row>
    <row r="166" spans="1:8" ht="35.25" customHeight="1" x14ac:dyDescent="0.5">
      <c r="A166" s="1470" t="s">
        <v>122</v>
      </c>
      <c r="B166" s="1470"/>
      <c r="C166" s="1470"/>
      <c r="D166" s="644" t="s">
        <v>214</v>
      </c>
      <c r="E166" s="634">
        <f t="shared" ref="E166:F171" si="17">E64</f>
        <v>89996.55</v>
      </c>
      <c r="F166" s="634">
        <f>F64</f>
        <v>90384.22</v>
      </c>
      <c r="G166" s="593">
        <f t="shared" si="16"/>
        <v>387.66999999999825</v>
      </c>
    </row>
    <row r="167" spans="1:8" ht="33" customHeight="1" x14ac:dyDescent="0.5">
      <c r="A167" s="1470" t="s">
        <v>123</v>
      </c>
      <c r="B167" s="1470"/>
      <c r="C167" s="1470"/>
      <c r="D167" s="644" t="s">
        <v>214</v>
      </c>
      <c r="E167" s="634">
        <f t="shared" si="17"/>
        <v>100230.81</v>
      </c>
      <c r="F167" s="634">
        <f t="shared" si="17"/>
        <v>100656.04</v>
      </c>
      <c r="G167" s="593">
        <f t="shared" si="16"/>
        <v>425.22999999999593</v>
      </c>
    </row>
    <row r="168" spans="1:8" ht="40.5" customHeight="1" x14ac:dyDescent="0.5">
      <c r="A168" s="1470" t="s">
        <v>124</v>
      </c>
      <c r="B168" s="1470"/>
      <c r="C168" s="1470"/>
      <c r="D168" s="644" t="s">
        <v>214</v>
      </c>
      <c r="E168" s="634">
        <f t="shared" si="17"/>
        <v>93543.8</v>
      </c>
      <c r="F168" s="634">
        <f t="shared" si="17"/>
        <v>93964.85</v>
      </c>
      <c r="G168" s="593">
        <f t="shared" si="16"/>
        <v>421.05000000000291</v>
      </c>
    </row>
    <row r="169" spans="1:8" ht="30.75" customHeight="1" x14ac:dyDescent="0.5">
      <c r="A169" s="1470" t="s">
        <v>125</v>
      </c>
      <c r="B169" s="1470"/>
      <c r="C169" s="1470"/>
      <c r="D169" s="644" t="s">
        <v>214</v>
      </c>
      <c r="E169" s="634">
        <f t="shared" si="17"/>
        <v>152622.97</v>
      </c>
      <c r="F169" s="634">
        <f t="shared" si="17"/>
        <v>153370.17000000001</v>
      </c>
      <c r="G169" s="593">
        <f t="shared" si="16"/>
        <v>747.20000000001164</v>
      </c>
    </row>
    <row r="170" spans="1:8" ht="30.75" customHeight="1" x14ac:dyDescent="0.5">
      <c r="A170" s="1470" t="s">
        <v>126</v>
      </c>
      <c r="B170" s="1470"/>
      <c r="C170" s="1470"/>
      <c r="D170" s="644" t="s">
        <v>214</v>
      </c>
      <c r="E170" s="634">
        <f t="shared" si="17"/>
        <v>46408.79</v>
      </c>
      <c r="F170" s="634">
        <f t="shared" si="17"/>
        <v>46754.7</v>
      </c>
      <c r="G170" s="593">
        <f t="shared" si="16"/>
        <v>345.90999999999622</v>
      </c>
    </row>
    <row r="171" spans="1:8" ht="28.5" customHeight="1" x14ac:dyDescent="0.5">
      <c r="A171" s="1470" t="s">
        <v>127</v>
      </c>
      <c r="B171" s="1470"/>
      <c r="C171" s="1470"/>
      <c r="D171" s="644" t="s">
        <v>214</v>
      </c>
      <c r="E171" s="634">
        <f t="shared" si="17"/>
        <v>40175.699999999997</v>
      </c>
      <c r="F171" s="634">
        <f t="shared" si="17"/>
        <v>40479.03</v>
      </c>
      <c r="G171" s="593">
        <f t="shared" si="16"/>
        <v>303.33000000000175</v>
      </c>
    </row>
    <row r="172" spans="1:8" x14ac:dyDescent="0.5">
      <c r="G172" s="660">
        <f>SUM(G160:G171)</f>
        <v>3679.670000000001</v>
      </c>
    </row>
    <row r="176" spans="1:8" ht="18.75" customHeight="1" x14ac:dyDescent="0.5"/>
    <row r="177" spans="1:7" ht="44.25" customHeight="1" x14ac:dyDescent="0.5">
      <c r="A177" s="574" t="s">
        <v>243</v>
      </c>
    </row>
    <row r="178" spans="1:7" ht="21.75" customHeight="1" x14ac:dyDescent="0.5">
      <c r="A178" s="574" t="s">
        <v>244</v>
      </c>
    </row>
    <row r="179" spans="1:7" ht="21.75" customHeight="1" x14ac:dyDescent="0.5">
      <c r="A179" s="574" t="s">
        <v>245</v>
      </c>
      <c r="D179" s="658" t="s">
        <v>171</v>
      </c>
      <c r="E179" s="658">
        <v>7010</v>
      </c>
      <c r="F179" s="780">
        <v>7010</v>
      </c>
      <c r="G179" s="658">
        <f>F179-E179</f>
        <v>0</v>
      </c>
    </row>
    <row r="180" spans="1:7" ht="21.75" customHeight="1" x14ac:dyDescent="0.5">
      <c r="A180" s="574" t="s">
        <v>92</v>
      </c>
      <c r="D180" s="658" t="s">
        <v>171</v>
      </c>
      <c r="E180" s="658">
        <v>34070</v>
      </c>
      <c r="F180" s="780">
        <v>34070</v>
      </c>
      <c r="G180" s="658">
        <f t="shared" ref="G180:G181" si="18">F180-E180</f>
        <v>0</v>
      </c>
    </row>
    <row r="181" spans="1:7" ht="21.75" customHeight="1" x14ac:dyDescent="0.5">
      <c r="A181" s="574" t="s">
        <v>93</v>
      </c>
      <c r="D181" s="658" t="s">
        <v>171</v>
      </c>
      <c r="E181" s="658">
        <v>18160</v>
      </c>
      <c r="F181" s="780">
        <v>18171</v>
      </c>
      <c r="G181" s="658">
        <f t="shared" si="18"/>
        <v>11</v>
      </c>
    </row>
    <row r="182" spans="1:7" ht="21.75" customHeight="1" x14ac:dyDescent="0.5">
      <c r="A182" s="574" t="s">
        <v>82</v>
      </c>
      <c r="G182" s="658">
        <f>SUM(G179:G181)</f>
        <v>11</v>
      </c>
    </row>
    <row r="183" spans="1:7" ht="21.75" customHeight="1" x14ac:dyDescent="0.5">
      <c r="A183" s="574" t="s">
        <v>94</v>
      </c>
      <c r="D183" s="658" t="s">
        <v>171</v>
      </c>
    </row>
    <row r="184" spans="1:7" ht="21.75" customHeight="1" x14ac:dyDescent="0.5">
      <c r="A184" s="574" t="s">
        <v>246</v>
      </c>
      <c r="D184" s="658" t="s">
        <v>171</v>
      </c>
      <c r="E184" s="658">
        <v>42234</v>
      </c>
      <c r="F184" s="780">
        <v>42285</v>
      </c>
      <c r="G184" s="658">
        <f>F184-E184</f>
        <v>51</v>
      </c>
    </row>
    <row r="185" spans="1:7" ht="21.75" customHeight="1" x14ac:dyDescent="0.5">
      <c r="A185" s="574" t="s">
        <v>247</v>
      </c>
      <c r="D185" s="658" t="s">
        <v>171</v>
      </c>
      <c r="E185" s="658">
        <v>20656</v>
      </c>
      <c r="F185" s="780">
        <v>20656</v>
      </c>
      <c r="G185" s="658">
        <f t="shared" ref="G185:G186" si="19">F185-E185</f>
        <v>0</v>
      </c>
    </row>
    <row r="186" spans="1:7" ht="21.75" customHeight="1" x14ac:dyDescent="0.5">
      <c r="A186" s="574" t="s">
        <v>248</v>
      </c>
      <c r="D186" s="658" t="s">
        <v>171</v>
      </c>
      <c r="E186" s="658">
        <v>2801</v>
      </c>
      <c r="F186" s="780">
        <v>2801</v>
      </c>
      <c r="G186" s="658">
        <f t="shared" si="19"/>
        <v>0</v>
      </c>
    </row>
    <row r="187" spans="1:7" ht="21.75" customHeight="1" x14ac:dyDescent="0.5">
      <c r="A187" s="574" t="s">
        <v>136</v>
      </c>
      <c r="G187" s="658">
        <f>SUM(G184:G186)</f>
        <v>51</v>
      </c>
    </row>
    <row r="188" spans="1:7" ht="21.75" customHeight="1" x14ac:dyDescent="0.5">
      <c r="A188" s="574" t="s">
        <v>249</v>
      </c>
    </row>
    <row r="189" spans="1:7" ht="21.75" customHeight="1" x14ac:dyDescent="0.5">
      <c r="A189" s="574" t="s">
        <v>250</v>
      </c>
      <c r="D189" s="658" t="s">
        <v>171</v>
      </c>
      <c r="E189" s="658">
        <v>6979</v>
      </c>
      <c r="F189" s="780">
        <v>6983</v>
      </c>
      <c r="G189" s="658">
        <f>F189-E189</f>
        <v>4</v>
      </c>
    </row>
    <row r="190" spans="1:7" ht="21.75" customHeight="1" x14ac:dyDescent="0.5">
      <c r="A190" s="574" t="s">
        <v>251</v>
      </c>
      <c r="D190" s="658" t="s">
        <v>171</v>
      </c>
      <c r="E190" s="658">
        <v>5846</v>
      </c>
      <c r="F190" s="780">
        <v>5849</v>
      </c>
      <c r="G190" s="658">
        <f t="shared" ref="G190:G191" si="20">F190-E190</f>
        <v>3</v>
      </c>
    </row>
    <row r="191" spans="1:7" ht="21.75" customHeight="1" x14ac:dyDescent="0.5">
      <c r="A191" s="574" t="s">
        <v>252</v>
      </c>
      <c r="D191" s="658" t="s">
        <v>171</v>
      </c>
      <c r="G191" s="658">
        <f t="shared" si="20"/>
        <v>0</v>
      </c>
    </row>
    <row r="192" spans="1:7" ht="21.75" customHeight="1" x14ac:dyDescent="0.5"/>
    <row r="193" spans="1:8" ht="36.75" customHeight="1" x14ac:dyDescent="0.5">
      <c r="A193" s="574" t="s">
        <v>82</v>
      </c>
      <c r="G193" s="658">
        <f>SUM(G189:G191)</f>
        <v>7</v>
      </c>
    </row>
    <row r="194" spans="1:8" x14ac:dyDescent="0.5">
      <c r="A194" s="574" t="s">
        <v>253</v>
      </c>
      <c r="D194" s="658" t="s">
        <v>171</v>
      </c>
      <c r="F194" s="780">
        <f>SUM(G92+G19)</f>
        <v>229</v>
      </c>
      <c r="G194" s="658" t="e">
        <f>F194+'[4]9'!I145</f>
        <v>#REF!</v>
      </c>
      <c r="H194" s="659" t="e">
        <f>G194/DAY(D147)</f>
        <v>#REF!</v>
      </c>
    </row>
    <row r="196" spans="1:8" x14ac:dyDescent="0.5">
      <c r="A196" s="574" t="s">
        <v>254</v>
      </c>
      <c r="D196" s="658" t="s">
        <v>171</v>
      </c>
      <c r="F196" s="780">
        <f>SUM(G95:G97,G189:G191)</f>
        <v>204</v>
      </c>
      <c r="G196" s="658" t="e">
        <f>F196+'[4]9'!I147</f>
        <v>#REF!</v>
      </c>
      <c r="H196" s="659" t="e">
        <f>G196/DAY(D147)</f>
        <v>#REF!</v>
      </c>
    </row>
    <row r="198" spans="1:8" x14ac:dyDescent="0.5">
      <c r="A198" s="574" t="s">
        <v>255</v>
      </c>
      <c r="D198" s="658" t="s">
        <v>171</v>
      </c>
      <c r="F198" s="780">
        <f>H188+H139</f>
        <v>56.210000000000036</v>
      </c>
      <c r="G198" s="658">
        <f>SUM(G98,G184:G186)</f>
        <v>142</v>
      </c>
      <c r="H198" s="659" t="e">
        <f>G198/DAY(D147)</f>
        <v>#VALUE!</v>
      </c>
    </row>
    <row r="199" spans="1:8" ht="21.75" customHeight="1" x14ac:dyDescent="0.5"/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zoomScale="55" zoomScaleNormal="75" zoomScaleSheetLayoutView="55" workbookViewId="0">
      <selection activeCell="A2" sqref="A1:A1048576"/>
    </sheetView>
  </sheetViews>
  <sheetFormatPr defaultColWidth="22.33203125" defaultRowHeight="29.25" x14ac:dyDescent="0.5"/>
  <cols>
    <col min="1" max="1" width="39.6640625" style="574" customWidth="1"/>
    <col min="2" max="2" width="30.109375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22.33203125" style="404" hidden="1" customWidth="1"/>
    <col min="14" max="14" width="25.5546875" style="852" customWidth="1"/>
    <col min="15" max="15" width="22.33203125" style="859"/>
    <col min="16" max="16384" width="22.33203125" style="404"/>
  </cols>
  <sheetData>
    <row r="1" spans="1:16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6" s="278" customFormat="1" ht="27" x14ac:dyDescent="0.5">
      <c r="A2" s="696" t="s">
        <v>298</v>
      </c>
      <c r="B2" s="1173">
        <v>44177</v>
      </c>
      <c r="C2" s="1361" t="s">
        <v>84</v>
      </c>
      <c r="D2" s="732">
        <v>0.25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  <c r="N2" s="853" t="s">
        <v>145</v>
      </c>
      <c r="O2" s="860"/>
    </row>
    <row r="3" spans="1:16" s="278" customFormat="1" ht="27" x14ac:dyDescent="0.5">
      <c r="A3" s="691"/>
      <c r="B3" s="735"/>
      <c r="C3" s="1361" t="s">
        <v>147</v>
      </c>
      <c r="D3" s="733">
        <v>31</v>
      </c>
      <c r="E3" s="1422" t="s">
        <v>148</v>
      </c>
      <c r="F3" s="1423"/>
      <c r="G3" s="582">
        <f>'[1]1'!G3</f>
        <v>0</v>
      </c>
      <c r="H3" s="583">
        <f>'[1]1'!H3</f>
        <v>0</v>
      </c>
      <c r="I3" s="583">
        <f>'[1]1'!I3</f>
        <v>0</v>
      </c>
      <c r="J3" s="736">
        <f>'[1]1'!J3</f>
        <v>0</v>
      </c>
      <c r="K3" s="399"/>
      <c r="L3" s="290"/>
      <c r="N3" s="853"/>
      <c r="O3" s="860"/>
    </row>
    <row r="4" spans="1:16" s="278" customFormat="1" ht="27" x14ac:dyDescent="0.5">
      <c r="A4" s="697"/>
      <c r="B4" s="737"/>
      <c r="C4" s="1361" t="s">
        <v>149</v>
      </c>
      <c r="D4" s="732">
        <v>0.82</v>
      </c>
      <c r="E4" s="584"/>
      <c r="F4" s="584"/>
      <c r="G4" s="584"/>
      <c r="H4" s="584"/>
      <c r="I4" s="585"/>
      <c r="J4" s="736"/>
      <c r="K4" s="400"/>
      <c r="L4" s="290"/>
      <c r="N4" s="853"/>
      <c r="O4" s="860"/>
    </row>
    <row r="5" spans="1:16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  <c r="N5" s="852" t="s">
        <v>153</v>
      </c>
    </row>
    <row r="6" spans="1:16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6" ht="30" thickBot="1" x14ac:dyDescent="0.45">
      <c r="A7" s="793" t="s">
        <v>158</v>
      </c>
      <c r="B7" s="794"/>
      <c r="C7" s="794"/>
      <c r="D7" s="759" t="s">
        <v>159</v>
      </c>
      <c r="E7" s="754">
        <f>'[1]11'!F7</f>
        <v>2892868</v>
      </c>
      <c r="F7" s="575">
        <v>2914559</v>
      </c>
      <c r="G7" s="795">
        <f>F7-E7</f>
        <v>21691</v>
      </c>
      <c r="H7" s="796">
        <f>G7+'[1]11'!H7</f>
        <v>246114</v>
      </c>
      <c r="I7" s="797">
        <f>'[1]1'!I7</f>
        <v>12000</v>
      </c>
      <c r="J7" s="798">
        <f>H7/DAY(B2)</f>
        <v>20509.5</v>
      </c>
      <c r="K7" s="670"/>
      <c r="L7" s="405"/>
      <c r="N7" s="858">
        <v>11277.3999999999</v>
      </c>
      <c r="O7" s="861">
        <f>N7-G7</f>
        <v>-10413.6000000001</v>
      </c>
      <c r="P7" s="864">
        <f>G7/G8</f>
        <v>0.995</v>
      </c>
    </row>
    <row r="8" spans="1:16" ht="27.75" thickBot="1" x14ac:dyDescent="0.45">
      <c r="A8" s="799" t="s">
        <v>160</v>
      </c>
      <c r="B8" s="800"/>
      <c r="C8" s="801"/>
      <c r="D8" s="802" t="s">
        <v>39</v>
      </c>
      <c r="E8" s="754">
        <f>'[1]11'!F8</f>
        <v>2909560</v>
      </c>
      <c r="F8" s="595">
        <v>2931360</v>
      </c>
      <c r="G8" s="806">
        <f>F8-E8</f>
        <v>21800</v>
      </c>
      <c r="H8" s="796">
        <f>G8+'[1]11'!H8</f>
        <v>248321</v>
      </c>
      <c r="I8" s="803">
        <f>'[1]1'!I8</f>
        <v>12000</v>
      </c>
      <c r="J8" s="798">
        <f>H8/DAY(B2)</f>
        <v>20693.416666666668</v>
      </c>
      <c r="K8" s="670"/>
      <c r="L8" s="460"/>
      <c r="M8" s="522"/>
      <c r="N8" s="854">
        <v>11396.6</v>
      </c>
      <c r="O8" s="861">
        <f t="shared" ref="O8:O71" si="0">N8-G8</f>
        <v>-10403.4</v>
      </c>
      <c r="P8" s="410"/>
    </row>
    <row r="9" spans="1:16" x14ac:dyDescent="0.4">
      <c r="A9" s="804" t="s">
        <v>161</v>
      </c>
      <c r="B9" s="805"/>
      <c r="C9" s="805"/>
      <c r="D9" s="759" t="s">
        <v>159</v>
      </c>
      <c r="E9" s="754">
        <f>'[1]11'!F9</f>
        <v>2326421.9</v>
      </c>
      <c r="F9" s="598">
        <v>2334906.5</v>
      </c>
      <c r="G9" s="819">
        <f t="shared" ref="G9:G12" si="1">F9-E9</f>
        <v>8484.6000000000931</v>
      </c>
      <c r="H9" s="796">
        <f>G9+'[1]11'!H9</f>
        <v>77870</v>
      </c>
      <c r="I9" s="807">
        <f>I7-J7</f>
        <v>-8509.5</v>
      </c>
      <c r="J9" s="798">
        <f>H9/DAY(B2)</f>
        <v>6489.166666666667</v>
      </c>
      <c r="K9" s="508"/>
      <c r="L9" s="405"/>
      <c r="N9" s="854">
        <v>10758.600000000093</v>
      </c>
      <c r="O9" s="861">
        <f t="shared" si="0"/>
        <v>2274</v>
      </c>
      <c r="P9" s="410"/>
    </row>
    <row r="10" spans="1:16" x14ac:dyDescent="0.4">
      <c r="A10" s="793" t="s">
        <v>162</v>
      </c>
      <c r="B10" s="794"/>
      <c r="C10" s="794"/>
      <c r="D10" s="759" t="s">
        <v>159</v>
      </c>
      <c r="E10" s="754">
        <f>'[1]11'!F10</f>
        <v>450096.79</v>
      </c>
      <c r="F10" s="598">
        <v>462554.63</v>
      </c>
      <c r="G10" s="806">
        <f t="shared" si="1"/>
        <v>12457.840000000026</v>
      </c>
      <c r="H10" s="796">
        <f>G10+'[1]11'!H10</f>
        <v>159604.34000000003</v>
      </c>
      <c r="I10" s="808"/>
      <c r="J10" s="798">
        <f>H10/DAY(B2)</f>
        <v>13300.361666666669</v>
      </c>
      <c r="K10" s="508"/>
      <c r="L10" s="405"/>
      <c r="N10" s="854">
        <v>0</v>
      </c>
      <c r="O10" s="861">
        <f t="shared" si="0"/>
        <v>-12457.840000000026</v>
      </c>
      <c r="P10" s="410"/>
    </row>
    <row r="11" spans="1:16" x14ac:dyDescent="0.4">
      <c r="A11" s="793" t="s">
        <v>163</v>
      </c>
      <c r="B11" s="794"/>
      <c r="C11" s="794"/>
      <c r="D11" s="759" t="s">
        <v>159</v>
      </c>
      <c r="E11" s="754">
        <f>'[1]11'!F11</f>
        <v>35390</v>
      </c>
      <c r="F11" s="575">
        <v>35390</v>
      </c>
      <c r="G11" s="806">
        <f t="shared" si="1"/>
        <v>0</v>
      </c>
      <c r="H11" s="796">
        <f>G11+'[1]11'!H11</f>
        <v>0</v>
      </c>
      <c r="I11" s="808"/>
      <c r="J11" s="798">
        <f>H11/DAY(B2)</f>
        <v>0</v>
      </c>
      <c r="K11" s="508"/>
      <c r="L11" s="405"/>
      <c r="N11" s="854">
        <v>0</v>
      </c>
      <c r="O11" s="861">
        <f t="shared" si="0"/>
        <v>0</v>
      </c>
      <c r="P11" s="410"/>
    </row>
    <row r="12" spans="1:16" x14ac:dyDescent="0.4">
      <c r="A12" s="793" t="s">
        <v>164</v>
      </c>
      <c r="B12" s="794"/>
      <c r="C12" s="794"/>
      <c r="D12" s="759" t="s">
        <v>159</v>
      </c>
      <c r="E12" s="754">
        <f>'[1]11'!F12</f>
        <v>37630</v>
      </c>
      <c r="F12" s="598">
        <v>37630</v>
      </c>
      <c r="G12" s="806">
        <f t="shared" si="1"/>
        <v>0</v>
      </c>
      <c r="H12" s="796">
        <f>G12+'[1]11'!H12</f>
        <v>0</v>
      </c>
      <c r="I12" s="808"/>
      <c r="J12" s="798">
        <f>H12/DAY(B2)</f>
        <v>0</v>
      </c>
      <c r="K12" s="508"/>
      <c r="L12" s="405"/>
      <c r="N12" s="854">
        <v>0</v>
      </c>
      <c r="O12" s="861">
        <f t="shared" si="0"/>
        <v>0</v>
      </c>
      <c r="P12" s="410"/>
    </row>
    <row r="13" spans="1:16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20942.440000000119</v>
      </c>
      <c r="H13" s="796">
        <f>G13+'[1]11'!H13</f>
        <v>215615.03000000003</v>
      </c>
      <c r="I13" s="812">
        <f>G7-G13</f>
        <v>748.55999999988126</v>
      </c>
      <c r="J13" s="798">
        <f>H13/DAY(B2)</f>
        <v>17967.91916666667</v>
      </c>
      <c r="K13" s="508"/>
      <c r="L13" s="405"/>
      <c r="N13" s="854">
        <v>10758.600000000093</v>
      </c>
      <c r="O13" s="861">
        <f t="shared" si="0"/>
        <v>-10183.840000000026</v>
      </c>
      <c r="P13" s="410"/>
    </row>
    <row r="14" spans="1:16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854"/>
      <c r="O14" s="861">
        <f t="shared" si="0"/>
        <v>0</v>
      </c>
      <c r="P14" s="410"/>
    </row>
    <row r="15" spans="1:16" x14ac:dyDescent="0.5">
      <c r="A15" s="933" t="s">
        <v>167</v>
      </c>
      <c r="B15" s="934"/>
      <c r="C15" s="934"/>
      <c r="D15" s="644" t="s">
        <v>168</v>
      </c>
      <c r="E15" s="605">
        <f>'[1]11'!F15</f>
        <v>1554546.99</v>
      </c>
      <c r="F15" s="605">
        <v>1555337</v>
      </c>
      <c r="G15" s="781">
        <f>(F15-E15)</f>
        <v>790.01000000000931</v>
      </c>
      <c r="H15" s="606">
        <f>G15+'[1]11'!H15</f>
        <v>8439.3989999999758</v>
      </c>
      <c r="I15" s="594">
        <v>800</v>
      </c>
      <c r="J15" s="674">
        <f>H15/DAY(B2)</f>
        <v>703.28324999999802</v>
      </c>
      <c r="K15" s="508"/>
      <c r="L15" s="405"/>
      <c r="N15" s="854">
        <v>195.14500000001863</v>
      </c>
      <c r="O15" s="861">
        <f t="shared" si="0"/>
        <v>-594.86499999999069</v>
      </c>
      <c r="P15" s="410"/>
    </row>
    <row r="16" spans="1:16" x14ac:dyDescent="0.4">
      <c r="A16" s="708"/>
      <c r="B16" s="709"/>
      <c r="C16" s="709"/>
      <c r="D16" s="644"/>
      <c r="E16" s="605"/>
      <c r="F16" s="605"/>
      <c r="G16" s="786"/>
      <c r="H16" s="606"/>
      <c r="I16" s="602">
        <f>I15-J15</f>
        <v>96.71675000000198</v>
      </c>
      <c r="J16" s="674"/>
      <c r="K16" s="508"/>
      <c r="L16" s="405"/>
      <c r="N16" s="854"/>
      <c r="O16" s="861">
        <f t="shared" si="0"/>
        <v>0</v>
      </c>
      <c r="P16" s="410"/>
    </row>
    <row r="17" spans="1:16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854"/>
      <c r="O17" s="861">
        <f t="shared" si="0"/>
        <v>0</v>
      </c>
      <c r="P17" s="410"/>
    </row>
    <row r="18" spans="1:16" ht="27.75" x14ac:dyDescent="0.5">
      <c r="A18" s="1460" t="s">
        <v>170</v>
      </c>
      <c r="B18" s="1461"/>
      <c r="C18" s="1462"/>
      <c r="D18" s="759" t="s">
        <v>171</v>
      </c>
      <c r="E18" s="756">
        <f>'[1]11'!F18</f>
        <v>17</v>
      </c>
      <c r="F18" s="598">
        <v>22</v>
      </c>
      <c r="G18" s="811">
        <f>F18*10</f>
        <v>220</v>
      </c>
      <c r="H18" s="796">
        <f>G18+'[1]11'!H18</f>
        <v>1650</v>
      </c>
      <c r="I18" s="797">
        <f>'[1]1'!I18</f>
        <v>65</v>
      </c>
      <c r="J18" s="798">
        <f>H18/DAY(B2)</f>
        <v>137.5</v>
      </c>
      <c r="K18" s="508"/>
      <c r="L18" s="405"/>
      <c r="N18" s="854">
        <v>0</v>
      </c>
      <c r="O18" s="861">
        <f t="shared" si="0"/>
        <v>-220</v>
      </c>
      <c r="P18" s="410"/>
    </row>
    <row r="19" spans="1:16" ht="27.75" x14ac:dyDescent="0.5">
      <c r="A19" s="1460" t="s">
        <v>86</v>
      </c>
      <c r="B19" s="1461"/>
      <c r="C19" s="1462"/>
      <c r="D19" s="759" t="s">
        <v>171</v>
      </c>
      <c r="E19" s="756">
        <f>'[1]11'!F19</f>
        <v>130393</v>
      </c>
      <c r="F19" s="598">
        <v>130449</v>
      </c>
      <c r="G19" s="806">
        <f t="shared" ref="G19" si="2">F19-E19</f>
        <v>56</v>
      </c>
      <c r="H19" s="796">
        <f>G19+'[1]11'!H19</f>
        <v>648</v>
      </c>
      <c r="I19" s="813"/>
      <c r="J19" s="798">
        <f>H19/DAY(B2)</f>
        <v>54</v>
      </c>
      <c r="K19" s="508"/>
      <c r="L19" s="405"/>
      <c r="N19" s="854">
        <v>54</v>
      </c>
      <c r="O19" s="861">
        <f t="shared" si="0"/>
        <v>-2</v>
      </c>
      <c r="P19" s="410"/>
    </row>
    <row r="20" spans="1:16" x14ac:dyDescent="0.5">
      <c r="A20" s="809" t="s">
        <v>172</v>
      </c>
      <c r="B20" s="810"/>
      <c r="C20" s="810"/>
      <c r="D20" s="759"/>
      <c r="E20" s="759"/>
      <c r="F20" s="845"/>
      <c r="G20" s="814">
        <f>G18+G19</f>
        <v>276</v>
      </c>
      <c r="H20" s="796">
        <f>G20+'[1]11'!H20</f>
        <v>2298</v>
      </c>
      <c r="I20" s="815">
        <f>I18-J20</f>
        <v>-126.5</v>
      </c>
      <c r="J20" s="798">
        <f>H20/DAY(B2)</f>
        <v>191.5</v>
      </c>
      <c r="K20" s="508"/>
      <c r="L20" s="405"/>
      <c r="N20" s="854">
        <v>54</v>
      </c>
      <c r="O20" s="861">
        <f t="shared" si="0"/>
        <v>-222</v>
      </c>
      <c r="P20" s="410"/>
    </row>
    <row r="21" spans="1:16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854"/>
      <c r="O21" s="861">
        <f t="shared" si="0"/>
        <v>0</v>
      </c>
      <c r="P21" s="410"/>
    </row>
    <row r="22" spans="1:16" x14ac:dyDescent="0.5">
      <c r="A22" s="1354" t="s">
        <v>174</v>
      </c>
      <c r="B22" s="710"/>
      <c r="C22" s="710"/>
      <c r="D22" s="643" t="s">
        <v>175</v>
      </c>
      <c r="E22" s="756">
        <f>'[1]11'!F22</f>
        <v>2250</v>
      </c>
      <c r="F22" s="598">
        <v>2250</v>
      </c>
      <c r="G22" s="601">
        <f t="shared" ref="G22" si="3">(F22-E22)</f>
        <v>0</v>
      </c>
      <c r="H22" s="580">
        <f>G22+'[1]11'!H22</f>
        <v>0</v>
      </c>
      <c r="I22" s="600"/>
      <c r="J22" s="673">
        <f>H22/DAY(B2)</f>
        <v>0</v>
      </c>
      <c r="K22" s="508"/>
      <c r="L22" s="405"/>
      <c r="N22" s="854">
        <v>0</v>
      </c>
      <c r="O22" s="861">
        <f t="shared" si="0"/>
        <v>0</v>
      </c>
      <c r="P22" s="410"/>
    </row>
    <row r="23" spans="1:16" x14ac:dyDescent="0.5">
      <c r="A23" s="1354" t="s">
        <v>176</v>
      </c>
      <c r="B23" s="710"/>
      <c r="C23" s="710"/>
      <c r="D23" s="643" t="s">
        <v>175</v>
      </c>
      <c r="E23" s="756">
        <f>'[1]11'!F23</f>
        <v>2000</v>
      </c>
      <c r="F23" s="598">
        <v>2000</v>
      </c>
      <c r="G23" s="601">
        <v>0</v>
      </c>
      <c r="H23" s="580">
        <f>G23+'[1]11'!H23</f>
        <v>0</v>
      </c>
      <c r="I23" s="600"/>
      <c r="J23" s="673">
        <f>H23/DAY(B2)</f>
        <v>0</v>
      </c>
      <c r="K23" s="508"/>
      <c r="L23" s="405"/>
      <c r="N23" s="854">
        <v>0</v>
      </c>
      <c r="O23" s="861">
        <f t="shared" si="0"/>
        <v>0</v>
      </c>
      <c r="P23" s="410"/>
    </row>
    <row r="24" spans="1:16" x14ac:dyDescent="0.4">
      <c r="A24" s="711" t="s">
        <v>177</v>
      </c>
      <c r="B24" s="712"/>
      <c r="C24" s="712"/>
      <c r="D24" s="631" t="s">
        <v>175</v>
      </c>
      <c r="E24" s="613">
        <f>'[1]11'!F24</f>
        <v>4250</v>
      </c>
      <c r="F24" s="605">
        <v>4250</v>
      </c>
      <c r="G24" s="601">
        <v>0</v>
      </c>
      <c r="H24" s="580">
        <f>G24+'[1]11'!H24</f>
        <v>0</v>
      </c>
      <c r="I24" s="600"/>
      <c r="J24" s="673">
        <f>H24/DAY(B2)</f>
        <v>0</v>
      </c>
      <c r="K24" s="508"/>
      <c r="L24" s="405"/>
      <c r="N24" s="854">
        <v>0</v>
      </c>
      <c r="O24" s="861">
        <f t="shared" si="0"/>
        <v>0</v>
      </c>
      <c r="P24" s="410"/>
    </row>
    <row r="25" spans="1:16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854"/>
      <c r="O25" s="861">
        <f t="shared" si="0"/>
        <v>0</v>
      </c>
      <c r="P25" s="410"/>
    </row>
    <row r="26" spans="1:16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N26" s="854"/>
      <c r="O26" s="861">
        <f t="shared" si="0"/>
        <v>0</v>
      </c>
      <c r="P26" s="410"/>
    </row>
    <row r="27" spans="1:16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21800</v>
      </c>
      <c r="F27" s="621">
        <v>9.5</v>
      </c>
      <c r="G27" s="622">
        <f>E27*F27</f>
        <v>207100</v>
      </c>
      <c r="H27" s="580">
        <f>G27+'[1]11'!H27</f>
        <v>2359049.5</v>
      </c>
      <c r="I27" s="623"/>
      <c r="J27" s="673">
        <f>H27/DAY(B2)</f>
        <v>196587.45833333334</v>
      </c>
      <c r="K27" s="401"/>
      <c r="L27" s="527"/>
      <c r="N27" s="854">
        <v>113966</v>
      </c>
      <c r="O27" s="861">
        <f>N27-G27</f>
        <v>-93134</v>
      </c>
      <c r="P27" s="410">
        <f>E27*10</f>
        <v>218000</v>
      </c>
    </row>
    <row r="28" spans="1:16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790.01000000000931</v>
      </c>
      <c r="F28" s="621">
        <v>36.5</v>
      </c>
      <c r="G28" s="622">
        <f>E28*F28</f>
        <v>28835.36500000034</v>
      </c>
      <c r="H28" s="580">
        <f>G28+'[1]11'!H28</f>
        <v>308038.06349999912</v>
      </c>
      <c r="I28" s="625"/>
      <c r="J28" s="673">
        <f>H28/DAY(B2)</f>
        <v>25669.838624999928</v>
      </c>
      <c r="K28" s="401"/>
      <c r="L28" s="527"/>
      <c r="N28" s="854">
        <v>6830.0750000006519</v>
      </c>
      <c r="O28" s="861">
        <f t="shared" si="0"/>
        <v>-22005.289999999688</v>
      </c>
      <c r="P28" s="410">
        <f>220*35</f>
        <v>7700</v>
      </c>
    </row>
    <row r="29" spans="1:16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G29+'[1]11'!H29</f>
        <v>0</v>
      </c>
      <c r="I29" s="625"/>
      <c r="J29" s="673">
        <f>H29/DAY(B2)</f>
        <v>0</v>
      </c>
      <c r="K29" s="401"/>
      <c r="L29" s="527"/>
      <c r="N29" s="854">
        <v>0</v>
      </c>
      <c r="O29" s="861">
        <f t="shared" si="0"/>
        <v>0</v>
      </c>
      <c r="P29" s="410">
        <f t="shared" ref="P29" si="4">E29*10</f>
        <v>0</v>
      </c>
    </row>
    <row r="30" spans="1:16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56</v>
      </c>
      <c r="F30" s="621">
        <v>145</v>
      </c>
      <c r="G30" s="622">
        <f>E30*F30</f>
        <v>8120</v>
      </c>
      <c r="H30" s="580">
        <f>G30+'[1]11'!H30</f>
        <v>93960</v>
      </c>
      <c r="I30" s="625"/>
      <c r="J30" s="673">
        <f>H30/DAY(B2)</f>
        <v>7830</v>
      </c>
      <c r="K30" s="401"/>
      <c r="L30" s="527"/>
      <c r="N30" s="854">
        <v>7236</v>
      </c>
      <c r="O30" s="861">
        <f t="shared" si="0"/>
        <v>-884</v>
      </c>
      <c r="P30" s="410">
        <f>57*134</f>
        <v>7638</v>
      </c>
    </row>
    <row r="31" spans="1:16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220</v>
      </c>
      <c r="F31" s="621">
        <v>80</v>
      </c>
      <c r="G31" s="622">
        <f>E31*F31</f>
        <v>17600</v>
      </c>
      <c r="H31" s="580">
        <f>G31+'[1]11'!H31</f>
        <v>130400</v>
      </c>
      <c r="I31" s="625"/>
      <c r="J31" s="673">
        <f>H31/DAY(B2)</f>
        <v>10866.666666666666</v>
      </c>
      <c r="K31" s="401"/>
      <c r="L31" s="527"/>
      <c r="N31" s="854">
        <v>0</v>
      </c>
      <c r="O31" s="861">
        <f t="shared" si="0"/>
        <v>-17600</v>
      </c>
      <c r="P31" s="410"/>
    </row>
    <row r="32" spans="1:16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261655.36500000034</v>
      </c>
      <c r="H32" s="580">
        <f>G32+'[1]11'!H32</f>
        <v>2891447.5634999992</v>
      </c>
      <c r="I32" s="629"/>
      <c r="J32" s="673">
        <f>H32/DAY(B2)</f>
        <v>240953.96362499995</v>
      </c>
      <c r="K32" s="401"/>
      <c r="L32" s="527"/>
      <c r="N32" s="854">
        <v>128032.07500000065</v>
      </c>
      <c r="O32" s="861">
        <f t="shared" si="0"/>
        <v>-133623.28999999969</v>
      </c>
      <c r="P32" s="410"/>
    </row>
    <row r="33" spans="1:16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854"/>
      <c r="O33" s="861">
        <f t="shared" si="0"/>
        <v>0</v>
      </c>
      <c r="P33" s="410"/>
    </row>
    <row r="34" spans="1:16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854"/>
      <c r="O34" s="861">
        <f t="shared" si="0"/>
        <v>0</v>
      </c>
      <c r="P34" s="410"/>
    </row>
    <row r="35" spans="1:16" x14ac:dyDescent="0.4">
      <c r="A35" s="699" t="s">
        <v>191</v>
      </c>
      <c r="B35" s="700"/>
      <c r="C35" s="700"/>
      <c r="D35" s="643" t="s">
        <v>159</v>
      </c>
      <c r="E35" s="630">
        <f>'[1]11'!F35</f>
        <v>629027.67000000004</v>
      </c>
      <c r="F35" s="630">
        <v>629027.67000000004</v>
      </c>
      <c r="G35" s="593">
        <f t="shared" ref="G35:G46" si="5">F35-E35</f>
        <v>0</v>
      </c>
      <c r="H35" s="580">
        <f>G35+'[1]11'!H35</f>
        <v>0</v>
      </c>
      <c r="I35" s="575"/>
      <c r="J35" s="673">
        <f>H35/DAY(B2)</f>
        <v>0</v>
      </c>
      <c r="K35" s="508"/>
      <c r="L35" s="405"/>
      <c r="N35" s="854">
        <v>1363</v>
      </c>
      <c r="O35" s="862">
        <f t="shared" si="0"/>
        <v>1363</v>
      </c>
      <c r="P35" s="410"/>
    </row>
    <row r="36" spans="1:16" x14ac:dyDescent="0.4">
      <c r="A36" s="699" t="s">
        <v>192</v>
      </c>
      <c r="B36" s="700"/>
      <c r="C36" s="700"/>
      <c r="D36" s="643" t="s">
        <v>159</v>
      </c>
      <c r="E36" s="630">
        <f>'[1]11'!F36</f>
        <v>239376.21</v>
      </c>
      <c r="F36" s="630">
        <v>240069.07</v>
      </c>
      <c r="G36" s="593">
        <f t="shared" si="5"/>
        <v>692.86000000001513</v>
      </c>
      <c r="H36" s="580">
        <f>G36+'[1]11'!H36</f>
        <v>10983.339999999997</v>
      </c>
      <c r="I36" s="575"/>
      <c r="J36" s="673">
        <f>H36/DAY(B2)</f>
        <v>915.27833333333308</v>
      </c>
      <c r="K36" s="508"/>
      <c r="L36" s="405"/>
      <c r="N36" s="855">
        <v>520.44999999999709</v>
      </c>
      <c r="O36" s="862">
        <f t="shared" si="0"/>
        <v>-172.41000000001804</v>
      </c>
      <c r="P36" s="410"/>
    </row>
    <row r="37" spans="1:16" x14ac:dyDescent="0.4">
      <c r="A37" s="699" t="s">
        <v>193</v>
      </c>
      <c r="B37" s="700"/>
      <c r="C37" s="700"/>
      <c r="D37" s="643" t="s">
        <v>159</v>
      </c>
      <c r="E37" s="630">
        <f>'[1]11'!F37</f>
        <v>415066</v>
      </c>
      <c r="F37" s="630">
        <v>415066</v>
      </c>
      <c r="G37" s="593">
        <f t="shared" si="5"/>
        <v>0</v>
      </c>
      <c r="H37" s="580">
        <f>G37+'[1]11'!H37</f>
        <v>0</v>
      </c>
      <c r="I37" s="575"/>
      <c r="J37" s="673">
        <f>H37/DAY(B2)</f>
        <v>0</v>
      </c>
      <c r="K37" s="508"/>
      <c r="L37" s="405"/>
      <c r="N37" s="855">
        <v>1101.7600000000093</v>
      </c>
      <c r="O37" s="862">
        <f t="shared" si="0"/>
        <v>1101.7600000000093</v>
      </c>
      <c r="P37" s="410"/>
    </row>
    <row r="38" spans="1:16" x14ac:dyDescent="0.4">
      <c r="A38" s="699" t="s">
        <v>194</v>
      </c>
      <c r="B38" s="700"/>
      <c r="C38" s="700"/>
      <c r="D38" s="643" t="s">
        <v>159</v>
      </c>
      <c r="E38" s="630">
        <f>'[1]11'!F38</f>
        <v>150714</v>
      </c>
      <c r="F38" s="589">
        <v>150714</v>
      </c>
      <c r="G38" s="593">
        <f t="shared" si="5"/>
        <v>0</v>
      </c>
      <c r="H38" s="580">
        <f>G38+'[1]11'!H38</f>
        <v>0</v>
      </c>
      <c r="I38" s="575"/>
      <c r="J38" s="673">
        <f>H38/DAY(B2)</f>
        <v>0</v>
      </c>
      <c r="K38" s="508"/>
      <c r="L38" s="405"/>
      <c r="N38" s="854">
        <v>0</v>
      </c>
      <c r="O38" s="861">
        <f t="shared" si="0"/>
        <v>0</v>
      </c>
      <c r="P38" s="410"/>
    </row>
    <row r="39" spans="1:16" x14ac:dyDescent="0.4">
      <c r="A39" s="699" t="s">
        <v>195</v>
      </c>
      <c r="B39" s="700"/>
      <c r="C39" s="700"/>
      <c r="D39" s="643" t="s">
        <v>159</v>
      </c>
      <c r="E39" s="630">
        <f>'[1]11'!F39</f>
        <v>912480</v>
      </c>
      <c r="F39" s="630">
        <v>912480</v>
      </c>
      <c r="G39" s="593">
        <f t="shared" si="5"/>
        <v>0</v>
      </c>
      <c r="H39" s="580">
        <f>G39+'[1]11'!H39</f>
        <v>0</v>
      </c>
      <c r="I39" s="575"/>
      <c r="J39" s="673">
        <f>H39/DAY(B2)</f>
        <v>0</v>
      </c>
      <c r="K39" s="508"/>
      <c r="L39" s="405"/>
      <c r="N39" s="854">
        <v>1863.8300000000163</v>
      </c>
      <c r="O39" s="862">
        <f t="shared" si="0"/>
        <v>1863.8300000000163</v>
      </c>
      <c r="P39" s="410"/>
    </row>
    <row r="40" spans="1:16" x14ac:dyDescent="0.4">
      <c r="A40" s="720" t="s">
        <v>196</v>
      </c>
      <c r="B40" s="721"/>
      <c r="C40" s="721"/>
      <c r="D40" s="643" t="s">
        <v>159</v>
      </c>
      <c r="E40" s="630">
        <f>'[1]11'!F40</f>
        <v>0.17</v>
      </c>
      <c r="F40" s="630">
        <v>0.17</v>
      </c>
      <c r="G40" s="593">
        <f t="shared" si="5"/>
        <v>0</v>
      </c>
      <c r="H40" s="580">
        <f>G40+'[1]11'!H40</f>
        <v>0</v>
      </c>
      <c r="I40" s="575"/>
      <c r="J40" s="673">
        <f>H40/DAY(B2)</f>
        <v>0</v>
      </c>
      <c r="K40" s="509"/>
      <c r="L40" s="405"/>
      <c r="N40" s="854">
        <v>0</v>
      </c>
      <c r="O40" s="861">
        <f t="shared" si="0"/>
        <v>0</v>
      </c>
      <c r="P40" s="410"/>
    </row>
    <row r="41" spans="1:16" x14ac:dyDescent="0.4">
      <c r="A41" s="699" t="s">
        <v>197</v>
      </c>
      <c r="B41" s="700"/>
      <c r="C41" s="700"/>
      <c r="D41" s="643" t="s">
        <v>159</v>
      </c>
      <c r="E41" s="630">
        <f>'[1]11'!F41</f>
        <v>300127.90000000002</v>
      </c>
      <c r="F41" s="630">
        <v>300127.90000000002</v>
      </c>
      <c r="G41" s="593">
        <f>F41-E41</f>
        <v>0</v>
      </c>
      <c r="H41" s="580">
        <f>G41+'[1]11'!H41</f>
        <v>-4.9999999988358468E-2</v>
      </c>
      <c r="I41" s="575"/>
      <c r="J41" s="673">
        <f>H41/DAY(B2)</f>
        <v>-4.166666665696539E-3</v>
      </c>
      <c r="K41" s="508"/>
      <c r="L41" s="405"/>
      <c r="N41" s="854">
        <v>3076.0299999999988</v>
      </c>
      <c r="O41" s="863">
        <f t="shared" si="0"/>
        <v>3076.0299999999988</v>
      </c>
      <c r="P41" s="857"/>
    </row>
    <row r="42" spans="1:16" x14ac:dyDescent="0.4">
      <c r="A42" s="699" t="s">
        <v>198</v>
      </c>
      <c r="B42" s="700"/>
      <c r="C42" s="700"/>
      <c r="D42" s="643" t="s">
        <v>159</v>
      </c>
      <c r="E42" s="630">
        <f>'[1]11'!F42</f>
        <v>35797.61</v>
      </c>
      <c r="F42" s="630">
        <v>41249.15</v>
      </c>
      <c r="G42" s="593">
        <f t="shared" si="5"/>
        <v>5451.5400000000009</v>
      </c>
      <c r="H42" s="580">
        <f>G42+'[1]11'!H42</f>
        <v>41249.15</v>
      </c>
      <c r="I42" s="575"/>
      <c r="J42" s="673">
        <f>H42/DAY(B2)</f>
        <v>3437.4291666666668</v>
      </c>
      <c r="K42" s="508"/>
      <c r="L42" s="405"/>
      <c r="N42" s="854">
        <v>0</v>
      </c>
      <c r="O42" s="861">
        <f t="shared" si="0"/>
        <v>-5451.5400000000009</v>
      </c>
      <c r="P42" s="410"/>
    </row>
    <row r="43" spans="1:16" x14ac:dyDescent="0.4">
      <c r="A43" s="699" t="s">
        <v>199</v>
      </c>
      <c r="B43" s="700"/>
      <c r="C43" s="700"/>
      <c r="D43" s="643" t="s">
        <v>159</v>
      </c>
      <c r="E43" s="630">
        <f>'[1]11'!F43</f>
        <v>656165.55000000005</v>
      </c>
      <c r="F43" s="630">
        <v>658621.59</v>
      </c>
      <c r="G43" s="593">
        <f t="shared" si="5"/>
        <v>2456.0399999999208</v>
      </c>
      <c r="H43" s="580">
        <f>G43+'[1]11'!H43</f>
        <v>27872.279999999912</v>
      </c>
      <c r="I43" s="575"/>
      <c r="J43" s="673">
        <f>H43/DAY(B2)</f>
        <v>2322.6899999999928</v>
      </c>
      <c r="K43" s="508"/>
      <c r="L43" s="405"/>
      <c r="N43" s="854">
        <v>1532.0800000000163</v>
      </c>
      <c r="O43" s="862">
        <f t="shared" si="0"/>
        <v>-923.95999999990454</v>
      </c>
      <c r="P43" s="410" t="s">
        <v>299</v>
      </c>
    </row>
    <row r="44" spans="1:16" x14ac:dyDescent="0.4">
      <c r="A44" s="699" t="s">
        <v>200</v>
      </c>
      <c r="B44" s="700"/>
      <c r="C44" s="700"/>
      <c r="D44" s="643" t="s">
        <v>159</v>
      </c>
      <c r="E44" s="630">
        <f>'[1]11'!F44</f>
        <v>0</v>
      </c>
      <c r="F44" s="630">
        <v>0</v>
      </c>
      <c r="G44" s="593">
        <f t="shared" si="5"/>
        <v>0</v>
      </c>
      <c r="H44" s="580">
        <f>G44+'[1]11'!H44</f>
        <v>0</v>
      </c>
      <c r="I44" s="575"/>
      <c r="J44" s="673">
        <f>H44/DAY(B2)</f>
        <v>0</v>
      </c>
      <c r="K44" s="508"/>
      <c r="L44" s="405"/>
      <c r="N44" s="854">
        <v>0</v>
      </c>
      <c r="O44" s="861">
        <f t="shared" si="0"/>
        <v>0</v>
      </c>
      <c r="P44" s="410"/>
    </row>
    <row r="45" spans="1:16" x14ac:dyDescent="0.4">
      <c r="A45" s="699" t="s">
        <v>201</v>
      </c>
      <c r="B45" s="700"/>
      <c r="C45" s="700"/>
      <c r="D45" s="643" t="s">
        <v>159</v>
      </c>
      <c r="E45" s="630">
        <f>'[1]11'!F45</f>
        <v>614</v>
      </c>
      <c r="F45" s="630">
        <v>614</v>
      </c>
      <c r="G45" s="593">
        <f t="shared" si="5"/>
        <v>0</v>
      </c>
      <c r="H45" s="580">
        <f>G45+'[1]11'!H45</f>
        <v>-0.48000000000001819</v>
      </c>
      <c r="I45" s="575"/>
      <c r="J45" s="673">
        <f>H45/DAY(B2)</f>
        <v>-4.0000000000001514E-2</v>
      </c>
      <c r="K45" s="508"/>
      <c r="L45" s="405"/>
      <c r="N45" s="858">
        <v>0</v>
      </c>
      <c r="O45" s="861">
        <f t="shared" si="0"/>
        <v>0</v>
      </c>
      <c r="P45" s="410"/>
    </row>
    <row r="46" spans="1:16" x14ac:dyDescent="0.4">
      <c r="A46" s="699" t="s">
        <v>202</v>
      </c>
      <c r="B46" s="700"/>
      <c r="C46" s="700"/>
      <c r="D46" s="643" t="s">
        <v>159</v>
      </c>
      <c r="E46" s="630">
        <f>'[1]11'!F46</f>
        <v>187.49</v>
      </c>
      <c r="F46" s="630">
        <v>187.49</v>
      </c>
      <c r="G46" s="593">
        <f t="shared" si="5"/>
        <v>0</v>
      </c>
      <c r="H46" s="580">
        <f>G46+'[1]11'!H46</f>
        <v>0</v>
      </c>
      <c r="I46" s="575"/>
      <c r="J46" s="673">
        <f>H46/DAY(B2)</f>
        <v>0</v>
      </c>
      <c r="K46" s="508"/>
      <c r="L46" s="405"/>
      <c r="N46" s="854">
        <v>0</v>
      </c>
      <c r="O46" s="861">
        <f t="shared" si="0"/>
        <v>0</v>
      </c>
      <c r="P46" s="410"/>
    </row>
    <row r="47" spans="1:16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8600.4399999999368</v>
      </c>
      <c r="H47" s="580">
        <f>G47+'[1]11'!H47</f>
        <v>80104.239999999903</v>
      </c>
      <c r="I47" s="575"/>
      <c r="J47" s="673">
        <f>H47/DAY(B2)</f>
        <v>6675.3533333333253</v>
      </c>
      <c r="K47" s="508"/>
      <c r="L47" s="405"/>
      <c r="N47" s="854">
        <v>9457.1500000000378</v>
      </c>
      <c r="O47" s="861">
        <f t="shared" si="0"/>
        <v>856.71000000010099</v>
      </c>
      <c r="P47" s="410"/>
    </row>
    <row r="48" spans="1:16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854"/>
      <c r="O48" s="861">
        <f t="shared" si="0"/>
        <v>0</v>
      </c>
      <c r="P48" s="410"/>
    </row>
    <row r="49" spans="1:16" x14ac:dyDescent="0.4">
      <c r="A49" s="699" t="s">
        <v>191</v>
      </c>
      <c r="B49" s="722"/>
      <c r="C49" s="722"/>
      <c r="D49" s="643" t="s">
        <v>159</v>
      </c>
      <c r="E49" s="630">
        <f>'[1]11'!F49</f>
        <v>92666.11</v>
      </c>
      <c r="F49" s="630">
        <v>95516.13</v>
      </c>
      <c r="G49" s="593">
        <f>F49-E49</f>
        <v>2850.0200000000041</v>
      </c>
      <c r="H49" s="580">
        <f>G49+'[1]11'!H49</f>
        <v>30906.613000000005</v>
      </c>
      <c r="I49" s="575"/>
      <c r="J49" s="673">
        <f>H49/DAY(B2)</f>
        <v>2575.5510833333337</v>
      </c>
      <c r="K49" s="508"/>
      <c r="L49" s="405"/>
      <c r="N49" s="854">
        <v>0</v>
      </c>
      <c r="O49" s="861">
        <f t="shared" si="0"/>
        <v>-2850.0200000000041</v>
      </c>
      <c r="P49" s="410"/>
    </row>
    <row r="50" spans="1:16" x14ac:dyDescent="0.4">
      <c r="A50" s="699" t="s">
        <v>205</v>
      </c>
      <c r="B50" s="722"/>
      <c r="C50" s="722"/>
      <c r="D50" s="643" t="s">
        <v>159</v>
      </c>
      <c r="E50" s="630">
        <f>'[1]11'!F50</f>
        <v>311199.77</v>
      </c>
      <c r="F50" s="630">
        <v>312351.78999999998</v>
      </c>
      <c r="G50" s="593">
        <f t="shared" ref="G50:G58" si="6">F50-E50</f>
        <v>1152.0199999999604</v>
      </c>
      <c r="H50" s="580">
        <f>G50+'[1]11'!H50</f>
        <v>14942.259999999951</v>
      </c>
      <c r="I50" s="575"/>
      <c r="J50" s="673">
        <f>H50/DAY(B2)</f>
        <v>1245.1883333333292</v>
      </c>
      <c r="K50" s="508"/>
      <c r="L50" s="405"/>
      <c r="N50" s="854">
        <v>563.54000000000815</v>
      </c>
      <c r="O50" s="862">
        <f t="shared" si="0"/>
        <v>-588.47999999995227</v>
      </c>
      <c r="P50" s="410" t="s">
        <v>299</v>
      </c>
    </row>
    <row r="51" spans="1:16" x14ac:dyDescent="0.4">
      <c r="A51" s="699" t="s">
        <v>193</v>
      </c>
      <c r="B51" s="722"/>
      <c r="C51" s="722"/>
      <c r="D51" s="643" t="s">
        <v>159</v>
      </c>
      <c r="E51" s="630">
        <f>'[1]11'!F51</f>
        <v>35556.129999999997</v>
      </c>
      <c r="F51" s="630">
        <v>37102.39</v>
      </c>
      <c r="G51" s="593">
        <f t="shared" si="6"/>
        <v>1546.260000000002</v>
      </c>
      <c r="H51" s="580">
        <f>G51+'[1]11'!H51</f>
        <v>16235.422999999999</v>
      </c>
      <c r="I51" s="575"/>
      <c r="J51" s="673">
        <f>H51/DAY(B2)</f>
        <v>1352.9519166666666</v>
      </c>
      <c r="K51" s="508"/>
      <c r="L51" s="405"/>
      <c r="N51" s="854">
        <v>0</v>
      </c>
      <c r="O51" s="861">
        <f t="shared" si="0"/>
        <v>-1546.260000000002</v>
      </c>
      <c r="P51" s="410"/>
    </row>
    <row r="52" spans="1:16" x14ac:dyDescent="0.4">
      <c r="A52" s="699" t="s">
        <v>206</v>
      </c>
      <c r="B52" s="722"/>
      <c r="C52" s="722"/>
      <c r="D52" s="643" t="s">
        <v>159</v>
      </c>
      <c r="E52" s="630">
        <f>'[1]11'!F52</f>
        <v>392869.39</v>
      </c>
      <c r="F52" s="630">
        <v>395207.79</v>
      </c>
      <c r="G52" s="593">
        <f t="shared" si="6"/>
        <v>2338.3999999999651</v>
      </c>
      <c r="H52" s="580">
        <f>G52+'[1]11'!H52</f>
        <v>21851.999999999942</v>
      </c>
      <c r="I52" s="575"/>
      <c r="J52" s="673">
        <f>H52/DAY(B2)</f>
        <v>1820.9999999999952</v>
      </c>
      <c r="K52" s="508"/>
      <c r="L52" s="405"/>
      <c r="N52" s="854">
        <v>1142.4100000000035</v>
      </c>
      <c r="O52" s="861">
        <f t="shared" si="0"/>
        <v>-1195.9899999999616</v>
      </c>
      <c r="P52" s="410"/>
    </row>
    <row r="53" spans="1:16" x14ac:dyDescent="0.4">
      <c r="A53" s="699" t="s">
        <v>195</v>
      </c>
      <c r="B53" s="722"/>
      <c r="C53" s="722"/>
      <c r="D53" s="643" t="s">
        <v>159</v>
      </c>
      <c r="E53" s="630">
        <f>'[1]11'!F53</f>
        <v>92086.58</v>
      </c>
      <c r="F53" s="630">
        <v>96525.45</v>
      </c>
      <c r="G53" s="593">
        <f t="shared" si="6"/>
        <v>4438.8699999999953</v>
      </c>
      <c r="H53" s="580">
        <f>G53+'[1]11'!H53</f>
        <v>46783.342999999993</v>
      </c>
      <c r="I53" s="575"/>
      <c r="J53" s="673">
        <f>H53/DAY(B2)</f>
        <v>3898.6119166666663</v>
      </c>
      <c r="K53" s="508"/>
      <c r="L53" s="405"/>
      <c r="N53" s="854">
        <v>84.219999999999345</v>
      </c>
      <c r="O53" s="861">
        <f t="shared" si="0"/>
        <v>-4354.649999999996</v>
      </c>
      <c r="P53" s="410"/>
    </row>
    <row r="54" spans="1:16" x14ac:dyDescent="0.4">
      <c r="A54" s="699" t="s">
        <v>207</v>
      </c>
      <c r="B54" s="722"/>
      <c r="C54" s="722"/>
      <c r="D54" s="643" t="s">
        <v>159</v>
      </c>
      <c r="E54" s="630">
        <f>'[1]11'!F54</f>
        <v>3397.18</v>
      </c>
      <c r="F54" s="630">
        <v>3444.79</v>
      </c>
      <c r="G54" s="593">
        <f t="shared" si="6"/>
        <v>47.610000000000127</v>
      </c>
      <c r="H54" s="580">
        <f>G54+'[1]11'!H54</f>
        <v>566.17999999999984</v>
      </c>
      <c r="I54" s="575"/>
      <c r="J54" s="673">
        <f>H54/DAY(B2)</f>
        <v>47.181666666666651</v>
      </c>
      <c r="K54" s="508"/>
      <c r="L54" s="405"/>
      <c r="N54" s="854">
        <v>0</v>
      </c>
      <c r="O54" s="861">
        <f t="shared" si="0"/>
        <v>-47.610000000000127</v>
      </c>
      <c r="P54" s="410"/>
    </row>
    <row r="55" spans="1:16" x14ac:dyDescent="0.4">
      <c r="A55" s="699" t="s">
        <v>208</v>
      </c>
      <c r="B55" s="722"/>
      <c r="C55" s="722"/>
      <c r="D55" s="643" t="s">
        <v>159</v>
      </c>
      <c r="E55" s="630">
        <f>'[1]11'!F55</f>
        <v>158493</v>
      </c>
      <c r="F55" s="770">
        <v>158492.73000000001</v>
      </c>
      <c r="G55" s="769">
        <f t="shared" si="6"/>
        <v>-0.26999999998952262</v>
      </c>
      <c r="H55" s="841">
        <f>G55+'[1]11'!H55</f>
        <v>-0.26999999998952262</v>
      </c>
      <c r="I55" s="842"/>
      <c r="J55" s="843">
        <f>H55/DAY(B2)</f>
        <v>-2.2499999999126885E-2</v>
      </c>
      <c r="K55" s="508"/>
      <c r="L55" s="405"/>
      <c r="N55" s="854">
        <v>0</v>
      </c>
      <c r="O55" s="861">
        <f t="shared" si="0"/>
        <v>0.26999999998952262</v>
      </c>
      <c r="P55" s="410"/>
    </row>
    <row r="56" spans="1:16" x14ac:dyDescent="0.4">
      <c r="A56" s="699" t="s">
        <v>209</v>
      </c>
      <c r="B56" s="722"/>
      <c r="C56" s="722"/>
      <c r="D56" s="643" t="s">
        <v>210</v>
      </c>
      <c r="E56" s="630">
        <f>'[1]11'!F56</f>
        <v>450017.11</v>
      </c>
      <c r="F56" s="770">
        <v>450017.11</v>
      </c>
      <c r="G56" s="593">
        <f t="shared" si="6"/>
        <v>0</v>
      </c>
      <c r="H56" s="580">
        <f>G56+'[1]11'!H56</f>
        <v>14176.079999999958</v>
      </c>
      <c r="I56" s="575"/>
      <c r="J56" s="673">
        <f>H56/DAY(B2)</f>
        <v>1181.3399999999965</v>
      </c>
      <c r="K56" s="507"/>
      <c r="L56" s="405"/>
      <c r="N56" s="854">
        <v>0</v>
      </c>
      <c r="O56" s="863">
        <f t="shared" si="0"/>
        <v>0</v>
      </c>
      <c r="P56" s="410"/>
    </row>
    <row r="57" spans="1:16" x14ac:dyDescent="0.4">
      <c r="A57" s="699" t="s">
        <v>199</v>
      </c>
      <c r="B57" s="722"/>
      <c r="C57" s="722"/>
      <c r="D57" s="643" t="s">
        <v>159</v>
      </c>
      <c r="E57" s="630">
        <f>'[1]11'!F57</f>
        <v>0</v>
      </c>
      <c r="F57" s="630">
        <v>0</v>
      </c>
      <c r="G57" s="593">
        <f t="shared" si="6"/>
        <v>0</v>
      </c>
      <c r="H57" s="580">
        <f>G57+'[1]11'!H57</f>
        <v>0</v>
      </c>
      <c r="I57" s="575"/>
      <c r="J57" s="673">
        <f>H57/DAY(B2)</f>
        <v>0</v>
      </c>
      <c r="K57" s="508"/>
      <c r="L57" s="405"/>
      <c r="N57" s="854">
        <v>0</v>
      </c>
      <c r="O57" s="861">
        <f t="shared" si="0"/>
        <v>0</v>
      </c>
      <c r="P57" s="410"/>
    </row>
    <row r="58" spans="1:16" x14ac:dyDescent="0.4">
      <c r="A58" s="699" t="s">
        <v>211</v>
      </c>
      <c r="B58" s="722"/>
      <c r="C58" s="722"/>
      <c r="D58" s="643" t="s">
        <v>159</v>
      </c>
      <c r="E58" s="630">
        <f>'[1]11'!F58</f>
        <v>21707.4</v>
      </c>
      <c r="F58" s="770">
        <v>21855.91</v>
      </c>
      <c r="G58" s="593">
        <f t="shared" si="6"/>
        <v>148.5099999999984</v>
      </c>
      <c r="H58" s="580">
        <f>G58+'[1]11'!H58</f>
        <v>1462.8770000000004</v>
      </c>
      <c r="I58" s="575"/>
      <c r="J58" s="673">
        <f>H58/DAY(B2)</f>
        <v>121.9064166666667</v>
      </c>
      <c r="K58" s="508"/>
      <c r="L58" s="405"/>
      <c r="N58" s="854">
        <v>0</v>
      </c>
      <c r="O58" s="861">
        <f t="shared" si="0"/>
        <v>-148.5099999999984</v>
      </c>
      <c r="P58" s="410"/>
    </row>
    <row r="59" spans="1:16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12521.419999999936</v>
      </c>
      <c r="H59" s="580">
        <f>G59+'[1]11'!H59</f>
        <v>146924.50599999982</v>
      </c>
      <c r="I59" s="575">
        <f>G7-G60</f>
        <v>569.14000000012675</v>
      </c>
      <c r="J59" s="673">
        <f>H59/DAY(B2)</f>
        <v>12243.708833333318</v>
      </c>
      <c r="K59" s="508"/>
      <c r="L59" s="405"/>
      <c r="N59" s="854">
        <v>1790.170000000011</v>
      </c>
      <c r="O59" s="861">
        <f t="shared" si="0"/>
        <v>-10731.249999999925</v>
      </c>
      <c r="P59" s="410"/>
    </row>
    <row r="60" spans="1:16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21121.859999999873</v>
      </c>
      <c r="H60" s="580">
        <f>G60+'[1]11'!H60</f>
        <v>240572.41599999985</v>
      </c>
      <c r="I60" s="575">
        <f>G13-G60</f>
        <v>-179.41999999975451</v>
      </c>
      <c r="J60" s="673">
        <f>H60/DAY(B2)</f>
        <v>20047.70133333332</v>
      </c>
      <c r="K60" s="508"/>
      <c r="L60" s="405"/>
      <c r="N60" s="854">
        <v>11247.320000000049</v>
      </c>
      <c r="O60" s="861">
        <f t="shared" si="0"/>
        <v>-9874.5399999998244</v>
      </c>
      <c r="P60" s="410"/>
    </row>
    <row r="61" spans="1:16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854"/>
      <c r="O61" s="861">
        <f t="shared" si="0"/>
        <v>0</v>
      </c>
      <c r="P61" s="410"/>
    </row>
    <row r="62" spans="1:16" x14ac:dyDescent="0.4">
      <c r="A62" s="724" t="s">
        <v>121</v>
      </c>
      <c r="B62" s="725"/>
      <c r="C62" s="725"/>
      <c r="D62" s="631" t="s">
        <v>214</v>
      </c>
      <c r="E62" s="634">
        <f>'[1]11'!F62</f>
        <v>20419</v>
      </c>
      <c r="F62" s="634">
        <v>20419</v>
      </c>
      <c r="G62" s="593">
        <f t="shared" ref="G62:G69" si="7">F62-E62</f>
        <v>0</v>
      </c>
      <c r="H62" s="580">
        <f>G62+'[1]11'!H62</f>
        <v>-0.18000000000029104</v>
      </c>
      <c r="I62" s="635"/>
      <c r="J62" s="673">
        <f>H62/DAY(B2)</f>
        <v>-1.5000000000024253E-2</v>
      </c>
      <c r="K62" s="508"/>
      <c r="L62" s="405"/>
      <c r="N62" s="854">
        <v>0</v>
      </c>
      <c r="O62" s="861">
        <f t="shared" si="0"/>
        <v>0</v>
      </c>
      <c r="P62" s="410"/>
    </row>
    <row r="63" spans="1:16" x14ac:dyDescent="0.4">
      <c r="A63" s="724" t="s">
        <v>215</v>
      </c>
      <c r="B63" s="725"/>
      <c r="C63" s="725"/>
      <c r="D63" s="631" t="s">
        <v>214</v>
      </c>
      <c r="E63" s="634">
        <f>'[1]11'!F63</f>
        <v>1013.65</v>
      </c>
      <c r="F63" s="634">
        <v>1025.46</v>
      </c>
      <c r="G63" s="593">
        <f t="shared" si="7"/>
        <v>11.810000000000059</v>
      </c>
      <c r="H63" s="580">
        <f>G63+'[1]11'!H63</f>
        <v>169.09000000000003</v>
      </c>
      <c r="I63" s="635"/>
      <c r="J63" s="673">
        <f>H63/DAY(B2)</f>
        <v>14.090833333333336</v>
      </c>
      <c r="K63" s="508"/>
      <c r="L63" s="405"/>
      <c r="N63" s="854">
        <v>2.8000000000247383E-2</v>
      </c>
      <c r="O63" s="861">
        <f t="shared" si="0"/>
        <v>-11.781999999999812</v>
      </c>
      <c r="P63" s="410"/>
    </row>
    <row r="64" spans="1:16" ht="27.75" x14ac:dyDescent="0.5">
      <c r="A64" s="1395" t="s">
        <v>122</v>
      </c>
      <c r="B64" s="1396"/>
      <c r="C64" s="1397"/>
      <c r="D64" s="643" t="s">
        <v>214</v>
      </c>
      <c r="E64" s="634">
        <f>'[1]11'!F64</f>
        <v>90759.6</v>
      </c>
      <c r="F64" s="598">
        <v>91117.63</v>
      </c>
      <c r="G64" s="593">
        <f t="shared" si="7"/>
        <v>358.02999999999884</v>
      </c>
      <c r="H64" s="580">
        <f>G64+'[1]11'!H64</f>
        <v>4378.5350000000035</v>
      </c>
      <c r="I64" s="600"/>
      <c r="J64" s="673">
        <f>H64/DAY(B2)</f>
        <v>364.87791666666698</v>
      </c>
      <c r="K64" s="508"/>
      <c r="L64" s="405"/>
      <c r="N64" s="854">
        <v>152.80799999999726</v>
      </c>
      <c r="O64" s="861">
        <f t="shared" si="0"/>
        <v>-205.22200000000157</v>
      </c>
      <c r="P64" s="410"/>
    </row>
    <row r="65" spans="1:16" ht="27.75" x14ac:dyDescent="0.5">
      <c r="A65" s="1395" t="s">
        <v>123</v>
      </c>
      <c r="B65" s="1396"/>
      <c r="C65" s="1397"/>
      <c r="D65" s="643" t="s">
        <v>214</v>
      </c>
      <c r="E65" s="634">
        <f>'[1]11'!F65</f>
        <v>101060.87</v>
      </c>
      <c r="F65" s="768">
        <v>101479.63</v>
      </c>
      <c r="G65" s="593">
        <f t="shared" si="7"/>
        <v>418.76000000000931</v>
      </c>
      <c r="H65" s="580">
        <f>G65+'[1]11'!H65</f>
        <v>4843.6470000000118</v>
      </c>
      <c r="I65" s="609"/>
      <c r="J65" s="673">
        <f>H65/DAY(B2)</f>
        <v>403.63725000000096</v>
      </c>
      <c r="K65" s="508"/>
      <c r="L65" s="405"/>
      <c r="N65" s="854">
        <v>205.22099999999773</v>
      </c>
      <c r="O65" s="862">
        <f t="shared" si="0"/>
        <v>-213.53900000001158</v>
      </c>
      <c r="P65" s="410"/>
    </row>
    <row r="66" spans="1:16" ht="27.75" x14ac:dyDescent="0.5">
      <c r="A66" s="1395" t="s">
        <v>124</v>
      </c>
      <c r="B66" s="1396"/>
      <c r="C66" s="1397"/>
      <c r="D66" s="643" t="s">
        <v>214</v>
      </c>
      <c r="E66" s="634">
        <f>'[1]11'!F66</f>
        <v>94392.19</v>
      </c>
      <c r="F66" s="598">
        <v>94808.26</v>
      </c>
      <c r="G66" s="593">
        <f t="shared" si="7"/>
        <v>416.06999999999243</v>
      </c>
      <c r="H66" s="580">
        <f>G66+'[1]11'!H66</f>
        <v>4803.4130000000005</v>
      </c>
      <c r="I66" s="600"/>
      <c r="J66" s="673">
        <f>H66/DAY(B2)</f>
        <v>400.28441666666669</v>
      </c>
      <c r="K66" s="508"/>
      <c r="L66" s="405"/>
      <c r="N66" s="854">
        <v>207.73500000000058</v>
      </c>
      <c r="O66" s="861">
        <f t="shared" si="0"/>
        <v>-208.33499999999185</v>
      </c>
      <c r="P66" s="410"/>
    </row>
    <row r="67" spans="1:16" ht="27.75" x14ac:dyDescent="0.5">
      <c r="A67" s="1395" t="s">
        <v>125</v>
      </c>
      <c r="B67" s="1396"/>
      <c r="C67" s="1397"/>
      <c r="D67" s="643" t="s">
        <v>214</v>
      </c>
      <c r="E67" s="634">
        <f>'[1]11'!F67</f>
        <v>154102.15</v>
      </c>
      <c r="F67" s="598">
        <v>154843.32999999999</v>
      </c>
      <c r="G67" s="593">
        <f t="shared" si="7"/>
        <v>741.17999999999302</v>
      </c>
      <c r="H67" s="580">
        <f>G67+'[1]11'!H67</f>
        <v>8801.2799999999988</v>
      </c>
      <c r="I67" s="609"/>
      <c r="J67" s="673">
        <f>H67/DAY(B2)</f>
        <v>733.43999999999994</v>
      </c>
      <c r="K67" s="509"/>
      <c r="L67" s="405"/>
      <c r="N67" s="854">
        <v>271.32000000000698</v>
      </c>
      <c r="O67" s="861">
        <f t="shared" si="0"/>
        <v>-469.85999999998603</v>
      </c>
      <c r="P67" s="410"/>
    </row>
    <row r="68" spans="1:16" ht="27.75" x14ac:dyDescent="0.5">
      <c r="A68" s="1395" t="s">
        <v>126</v>
      </c>
      <c r="B68" s="1396"/>
      <c r="C68" s="1397"/>
      <c r="D68" s="643" t="s">
        <v>214</v>
      </c>
      <c r="E68" s="634">
        <f>'[1]11'!F68</f>
        <v>47122.6</v>
      </c>
      <c r="F68" s="598">
        <v>47483.27</v>
      </c>
      <c r="G68" s="593">
        <f t="shared" si="7"/>
        <v>360.66999999999825</v>
      </c>
      <c r="H68" s="580">
        <f>G68+'[1]11'!H68</f>
        <v>4308.1909999999989</v>
      </c>
      <c r="I68" s="636"/>
      <c r="J68" s="673">
        <f>H68/DAY(B2)</f>
        <v>359.01591666666656</v>
      </c>
      <c r="K68" s="510"/>
      <c r="L68" s="405"/>
      <c r="N68" s="854">
        <v>90.110000000000127</v>
      </c>
      <c r="O68" s="861">
        <f t="shared" si="0"/>
        <v>-270.55999999999813</v>
      </c>
      <c r="P68" s="410"/>
    </row>
    <row r="69" spans="1:16" ht="27.75" x14ac:dyDescent="0.5">
      <c r="A69" s="1395" t="s">
        <v>127</v>
      </c>
      <c r="B69" s="1396"/>
      <c r="C69" s="1397"/>
      <c r="D69" s="643" t="s">
        <v>214</v>
      </c>
      <c r="E69" s="634">
        <f>'[1]11'!F69</f>
        <v>40779.85</v>
      </c>
      <c r="F69" s="598">
        <v>41079.440000000002</v>
      </c>
      <c r="G69" s="593">
        <f t="shared" si="7"/>
        <v>299.59000000000378</v>
      </c>
      <c r="H69" s="580">
        <f>G69+'[1]11'!H69</f>
        <v>3523.8729999999996</v>
      </c>
      <c r="I69" s="636"/>
      <c r="J69" s="673">
        <f>H69/DAY(B2)</f>
        <v>293.6560833333333</v>
      </c>
      <c r="K69" s="511"/>
      <c r="L69" s="405"/>
      <c r="N69" s="854">
        <v>12.712999999999738</v>
      </c>
      <c r="O69" s="861">
        <f t="shared" si="0"/>
        <v>-286.87700000000405</v>
      </c>
      <c r="P69" s="410"/>
    </row>
    <row r="70" spans="1:16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>
        <v>0</v>
      </c>
      <c r="H70" s="580">
        <f>G70+'[1]11'!H70</f>
        <v>0</v>
      </c>
      <c r="I70" s="638"/>
      <c r="J70" s="677">
        <f>H70/DAY(B2)</f>
        <v>0</v>
      </c>
      <c r="K70" s="511"/>
      <c r="L70" s="405"/>
      <c r="N70" s="854"/>
      <c r="O70" s="861">
        <f t="shared" si="0"/>
        <v>0</v>
      </c>
      <c r="P70" s="410"/>
    </row>
    <row r="71" spans="1:16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854"/>
      <c r="O71" s="861">
        <f t="shared" si="0"/>
        <v>0</v>
      </c>
      <c r="P71" s="410"/>
    </row>
    <row r="72" spans="1:16" ht="27.75" x14ac:dyDescent="0.5">
      <c r="A72" s="1395" t="s">
        <v>218</v>
      </c>
      <c r="B72" s="1396"/>
      <c r="C72" s="1397"/>
      <c r="D72" s="643" t="s">
        <v>214</v>
      </c>
      <c r="E72" s="639">
        <f>'[1]11'!F72</f>
        <v>844716</v>
      </c>
      <c r="F72" s="771">
        <v>844856</v>
      </c>
      <c r="G72" s="593">
        <f t="shared" ref="G72:G84" si="8">F72-E72</f>
        <v>140</v>
      </c>
      <c r="H72" s="580">
        <f>G72+'[1]11'!H72</f>
        <v>679</v>
      </c>
      <c r="I72" s="600"/>
      <c r="J72" s="673">
        <f>H72/DAY(B2)</f>
        <v>56.583333333333336</v>
      </c>
      <c r="K72" s="511"/>
      <c r="L72" s="405"/>
      <c r="N72" s="854">
        <v>13</v>
      </c>
      <c r="O72" s="861">
        <f t="shared" ref="O72:O140" si="9">N72-G72</f>
        <v>-127</v>
      </c>
      <c r="P72" s="410"/>
    </row>
    <row r="73" spans="1:16" ht="27.75" x14ac:dyDescent="0.5">
      <c r="A73" s="1395" t="s">
        <v>219</v>
      </c>
      <c r="B73" s="1396"/>
      <c r="C73" s="1397"/>
      <c r="D73" s="643" t="s">
        <v>214</v>
      </c>
      <c r="E73" s="639">
        <f>'[1]11'!F73</f>
        <v>885416</v>
      </c>
      <c r="F73" s="772">
        <v>885466</v>
      </c>
      <c r="G73" s="769">
        <f t="shared" si="8"/>
        <v>50</v>
      </c>
      <c r="H73" s="580">
        <f>G73+'[1]11'!H73</f>
        <v>156</v>
      </c>
      <c r="I73" s="600"/>
      <c r="J73" s="673">
        <f>H73/DAY(B2)</f>
        <v>13</v>
      </c>
      <c r="K73" s="510"/>
      <c r="L73" s="405"/>
      <c r="N73" s="854">
        <v>1</v>
      </c>
      <c r="O73" s="861">
        <f t="shared" si="9"/>
        <v>-49</v>
      </c>
      <c r="P73" s="410"/>
    </row>
    <row r="74" spans="1:16" ht="27.75" x14ac:dyDescent="0.5">
      <c r="A74" s="1395" t="s">
        <v>220</v>
      </c>
      <c r="B74" s="1396"/>
      <c r="C74" s="1397"/>
      <c r="D74" s="643" t="s">
        <v>214</v>
      </c>
      <c r="E74" s="639">
        <f>'[1]11'!F74</f>
        <v>880564</v>
      </c>
      <c r="F74" s="772">
        <v>880589</v>
      </c>
      <c r="G74" s="593">
        <f t="shared" si="8"/>
        <v>25</v>
      </c>
      <c r="H74" s="580">
        <f>G74+'[1]11'!H74</f>
        <v>362</v>
      </c>
      <c r="I74" s="600"/>
      <c r="J74" s="673">
        <f>H74/DAY(B2)</f>
        <v>30.166666666666668</v>
      </c>
      <c r="K74" s="511"/>
      <c r="L74" s="405"/>
      <c r="N74" s="854">
        <v>8</v>
      </c>
      <c r="O74" s="861">
        <f t="shared" si="9"/>
        <v>-17</v>
      </c>
      <c r="P74" s="410"/>
    </row>
    <row r="75" spans="1:16" ht="27.75" x14ac:dyDescent="0.5">
      <c r="A75" s="1447" t="s">
        <v>221</v>
      </c>
      <c r="B75" s="1448"/>
      <c r="C75" s="1449"/>
      <c r="D75" s="643" t="s">
        <v>214</v>
      </c>
      <c r="E75" s="639">
        <f>'[1]11'!F75</f>
        <v>728129</v>
      </c>
      <c r="F75" s="772">
        <v>728320</v>
      </c>
      <c r="G75" s="593">
        <f t="shared" si="8"/>
        <v>191</v>
      </c>
      <c r="H75" s="580">
        <f>G75+'[1]11'!H75</f>
        <v>2140</v>
      </c>
      <c r="I75" s="600"/>
      <c r="J75" s="673">
        <f>H75/DAY(B2)</f>
        <v>178.33333333333334</v>
      </c>
      <c r="K75" s="510"/>
      <c r="L75" s="405"/>
      <c r="N75" s="854">
        <v>64</v>
      </c>
      <c r="O75" s="861">
        <f t="shared" si="9"/>
        <v>-127</v>
      </c>
      <c r="P75" s="410"/>
    </row>
    <row r="76" spans="1:16" ht="27.75" x14ac:dyDescent="0.5">
      <c r="A76" s="1447" t="s">
        <v>222</v>
      </c>
      <c r="B76" s="1448"/>
      <c r="C76" s="1449"/>
      <c r="D76" s="643" t="s">
        <v>214</v>
      </c>
      <c r="E76" s="639">
        <f>'[1]11'!F76</f>
        <v>682483</v>
      </c>
      <c r="F76" s="772">
        <v>682599</v>
      </c>
      <c r="G76" s="593">
        <f t="shared" si="8"/>
        <v>116</v>
      </c>
      <c r="H76" s="580">
        <f>G76+'[1]11'!H76</f>
        <v>923</v>
      </c>
      <c r="I76" s="625"/>
      <c r="J76" s="673">
        <f>H76/DAY(B2)</f>
        <v>76.916666666666671</v>
      </c>
      <c r="K76" s="510"/>
      <c r="L76" s="405"/>
      <c r="N76" s="854">
        <v>5</v>
      </c>
      <c r="O76" s="861">
        <f t="shared" si="9"/>
        <v>-111</v>
      </c>
      <c r="P76" s="410"/>
    </row>
    <row r="77" spans="1:16" ht="27.75" x14ac:dyDescent="0.5">
      <c r="A77" s="1395" t="s">
        <v>223</v>
      </c>
      <c r="B77" s="1396"/>
      <c r="C77" s="1397"/>
      <c r="D77" s="643" t="s">
        <v>214</v>
      </c>
      <c r="E77" s="639">
        <f>'[1]11'!F77</f>
        <v>694293</v>
      </c>
      <c r="F77" s="772">
        <v>694352</v>
      </c>
      <c r="G77" s="769">
        <f t="shared" si="8"/>
        <v>59</v>
      </c>
      <c r="H77" s="580">
        <f>G77+'[1]11'!H77</f>
        <v>632</v>
      </c>
      <c r="I77" s="625"/>
      <c r="J77" s="673">
        <f>H77/DAY(B2)</f>
        <v>52.666666666666664</v>
      </c>
      <c r="K77" s="510"/>
      <c r="L77" s="405"/>
      <c r="N77" s="854">
        <v>15</v>
      </c>
      <c r="O77" s="861">
        <f t="shared" si="9"/>
        <v>-44</v>
      </c>
      <c r="P77" s="410"/>
    </row>
    <row r="78" spans="1:16" ht="27.75" x14ac:dyDescent="0.5">
      <c r="A78" s="1357" t="s">
        <v>224</v>
      </c>
      <c r="B78" s="1320"/>
      <c r="C78" s="1320"/>
      <c r="D78" s="643" t="s">
        <v>214</v>
      </c>
      <c r="E78" s="639">
        <f>'[1]11'!F78</f>
        <v>622772</v>
      </c>
      <c r="F78" s="773">
        <v>623140</v>
      </c>
      <c r="G78" s="593">
        <f t="shared" si="8"/>
        <v>368</v>
      </c>
      <c r="H78" s="580">
        <f>G78+'[1]11'!H78</f>
        <v>4887</v>
      </c>
      <c r="I78" s="625"/>
      <c r="J78" s="673">
        <f>H78/DAY(B2)</f>
        <v>407.25</v>
      </c>
      <c r="K78" s="510"/>
      <c r="L78" s="405"/>
      <c r="N78" s="854">
        <v>33</v>
      </c>
      <c r="O78" s="861">
        <f t="shared" si="9"/>
        <v>-335</v>
      </c>
      <c r="P78" s="410"/>
    </row>
    <row r="79" spans="1:16" ht="27.75" x14ac:dyDescent="0.5">
      <c r="A79" s="1447" t="s">
        <v>112</v>
      </c>
      <c r="B79" s="1448"/>
      <c r="C79" s="1449"/>
      <c r="D79" s="644" t="s">
        <v>214</v>
      </c>
      <c r="E79" s="639">
        <f>'[1]11'!F79</f>
        <v>800131</v>
      </c>
      <c r="F79" s="773">
        <v>800329</v>
      </c>
      <c r="G79" s="593">
        <f t="shared" si="8"/>
        <v>198</v>
      </c>
      <c r="H79" s="580">
        <f>G79+'[1]11'!H79</f>
        <v>2343</v>
      </c>
      <c r="I79" s="625"/>
      <c r="J79" s="673">
        <f>H79/DAY(B2)</f>
        <v>195.25</v>
      </c>
      <c r="K79" s="510"/>
      <c r="L79" s="405"/>
      <c r="N79" s="854">
        <v>101</v>
      </c>
      <c r="O79" s="861">
        <f t="shared" si="9"/>
        <v>-97</v>
      </c>
      <c r="P79" s="410"/>
    </row>
    <row r="80" spans="1:16" ht="27.75" x14ac:dyDescent="0.5">
      <c r="A80" s="1447" t="s">
        <v>225</v>
      </c>
      <c r="B80" s="1448"/>
      <c r="C80" s="1449"/>
      <c r="D80" s="644" t="s">
        <v>214</v>
      </c>
      <c r="E80" s="639">
        <f>'[1]11'!F80</f>
        <v>469153</v>
      </c>
      <c r="F80" s="772">
        <v>469510</v>
      </c>
      <c r="G80" s="593">
        <f t="shared" si="8"/>
        <v>357</v>
      </c>
      <c r="H80" s="580">
        <f>G80+'[1]11'!H80</f>
        <v>4012.1199999999953</v>
      </c>
      <c r="I80" s="625"/>
      <c r="J80" s="673">
        <f>H80/DAY(B2)</f>
        <v>334.34333333333296</v>
      </c>
      <c r="K80" s="510"/>
      <c r="L80" s="405"/>
      <c r="N80" s="854">
        <v>190.88000000000466</v>
      </c>
      <c r="O80" s="861">
        <f t="shared" si="9"/>
        <v>-166.11999999999534</v>
      </c>
      <c r="P80" s="410"/>
    </row>
    <row r="81" spans="1:16" ht="27.75" x14ac:dyDescent="0.5">
      <c r="A81" s="1447" t="s">
        <v>226</v>
      </c>
      <c r="B81" s="1448"/>
      <c r="C81" s="1449"/>
      <c r="D81" s="644" t="s">
        <v>214</v>
      </c>
      <c r="E81" s="639">
        <f>'[1]11'!F81</f>
        <v>616267</v>
      </c>
      <c r="F81" s="772">
        <v>616394</v>
      </c>
      <c r="G81" s="593">
        <f t="shared" si="8"/>
        <v>127</v>
      </c>
      <c r="H81" s="580">
        <f>G81+'[1]11'!H81</f>
        <v>2005.4799999999814</v>
      </c>
      <c r="I81" s="625"/>
      <c r="J81" s="673">
        <f>H81/DAY(B2)</f>
        <v>167.12333333333177</v>
      </c>
      <c r="K81" s="510"/>
      <c r="L81" s="405"/>
      <c r="N81" s="854">
        <v>123.35999999998603</v>
      </c>
      <c r="O81" s="861">
        <f t="shared" si="9"/>
        <v>-3.6400000000139698</v>
      </c>
      <c r="P81" s="410"/>
    </row>
    <row r="82" spans="1:16" ht="27.75" x14ac:dyDescent="0.5">
      <c r="A82" s="1447" t="s">
        <v>115</v>
      </c>
      <c r="B82" s="1448"/>
      <c r="C82" s="1449"/>
      <c r="D82" s="605" t="s">
        <v>159</v>
      </c>
      <c r="E82" s="639">
        <f>'[1]11'!F82</f>
        <v>103788</v>
      </c>
      <c r="F82" s="768">
        <v>103866</v>
      </c>
      <c r="G82" s="593">
        <f t="shared" si="8"/>
        <v>78</v>
      </c>
      <c r="H82" s="580">
        <f>G82+'[1]11'!H82</f>
        <v>336.35000000000582</v>
      </c>
      <c r="I82" s="606"/>
      <c r="J82" s="673">
        <f>H82/DAY(B2)</f>
        <v>28.029166666667152</v>
      </c>
      <c r="K82" s="510"/>
      <c r="L82" s="405"/>
      <c r="N82" s="854">
        <v>37.369999999995343</v>
      </c>
      <c r="O82" s="861">
        <f t="shared" si="9"/>
        <v>-40.630000000004657</v>
      </c>
      <c r="P82" s="410"/>
    </row>
    <row r="83" spans="1:16" ht="27.75" x14ac:dyDescent="0.5">
      <c r="A83" s="1447" t="s">
        <v>227</v>
      </c>
      <c r="B83" s="1448"/>
      <c r="C83" s="1449"/>
      <c r="D83" s="741" t="s">
        <v>159</v>
      </c>
      <c r="E83" s="639">
        <f>'[1]11'!F83</f>
        <v>966411</v>
      </c>
      <c r="F83" s="631">
        <v>966791</v>
      </c>
      <c r="G83" s="593">
        <f t="shared" si="8"/>
        <v>380</v>
      </c>
      <c r="H83" s="580">
        <f>G83+'[1]11'!H83</f>
        <v>4266</v>
      </c>
      <c r="I83" s="601"/>
      <c r="J83" s="673">
        <f>H83/DAY(B2)</f>
        <v>355.5</v>
      </c>
      <c r="K83" s="509"/>
      <c r="L83" s="405"/>
      <c r="N83" s="854">
        <v>360</v>
      </c>
      <c r="O83" s="861">
        <f t="shared" si="9"/>
        <v>-20</v>
      </c>
      <c r="P83" s="410"/>
    </row>
    <row r="84" spans="1:16" x14ac:dyDescent="0.5">
      <c r="A84" s="1360" t="s">
        <v>228</v>
      </c>
      <c r="B84" s="692"/>
      <c r="C84" s="692"/>
      <c r="D84" s="598" t="s">
        <v>159</v>
      </c>
      <c r="E84" s="639">
        <f>'[1]11'!F84</f>
        <v>387434</v>
      </c>
      <c r="F84" s="748">
        <v>387957</v>
      </c>
      <c r="G84" s="593">
        <f t="shared" si="8"/>
        <v>523</v>
      </c>
      <c r="H84" s="580">
        <f>G84+'[1]11'!H84</f>
        <v>6601</v>
      </c>
      <c r="I84" s="601"/>
      <c r="J84" s="673">
        <f>H84/DAY(B2)</f>
        <v>550.08333333333337</v>
      </c>
      <c r="K84" s="408"/>
      <c r="L84" s="405"/>
      <c r="N84" s="854">
        <v>446</v>
      </c>
      <c r="O84" s="861">
        <f t="shared" si="9"/>
        <v>-77</v>
      </c>
      <c r="P84" s="410"/>
    </row>
    <row r="85" spans="1:16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2612</v>
      </c>
      <c r="H85" s="580">
        <f>G85+'[1]11'!H85</f>
        <v>27521.519999999931</v>
      </c>
      <c r="I85" s="601"/>
      <c r="J85" s="673">
        <f>H85/DAY(B2)</f>
        <v>2293.4599999999941</v>
      </c>
      <c r="K85" s="408"/>
      <c r="L85" s="406"/>
      <c r="N85" s="854">
        <v>1397.609999999986</v>
      </c>
      <c r="O85" s="861">
        <f t="shared" si="9"/>
        <v>-1214.390000000014</v>
      </c>
      <c r="P85" s="410"/>
    </row>
    <row r="86" spans="1:16" s="871" customFormat="1" x14ac:dyDescent="0.5">
      <c r="A86" s="866" t="s">
        <v>117</v>
      </c>
      <c r="B86" s="867"/>
      <c r="C86" s="867"/>
      <c r="D86" s="868" t="s">
        <v>210</v>
      </c>
      <c r="E86" s="748">
        <f>'[1]11'!F86</f>
        <v>442356</v>
      </c>
      <c r="F86" s="764">
        <v>442452</v>
      </c>
      <c r="G86" s="841">
        <f t="shared" ref="G86:G90" si="10">F86-E86</f>
        <v>96</v>
      </c>
      <c r="H86" s="841">
        <f t="shared" ref="H86:H88" si="11">G86</f>
        <v>96</v>
      </c>
      <c r="I86" s="769"/>
      <c r="J86" s="843">
        <f>H86/DAY(B2)</f>
        <v>8</v>
      </c>
      <c r="K86" s="869"/>
      <c r="L86" s="870"/>
      <c r="O86" s="849"/>
    </row>
    <row r="87" spans="1:16" s="871" customFormat="1" x14ac:dyDescent="0.5">
      <c r="A87" s="866" t="s">
        <v>118</v>
      </c>
      <c r="B87" s="867"/>
      <c r="C87" s="867"/>
      <c r="D87" s="868" t="s">
        <v>210</v>
      </c>
      <c r="E87" s="748">
        <f>'[1]11'!F87</f>
        <v>77224</v>
      </c>
      <c r="F87" s="764">
        <v>77254.100000000006</v>
      </c>
      <c r="G87" s="841">
        <f t="shared" si="10"/>
        <v>30.100000000005821</v>
      </c>
      <c r="H87" s="841">
        <f t="shared" si="11"/>
        <v>30.100000000005821</v>
      </c>
      <c r="I87" s="769"/>
      <c r="J87" s="843">
        <f>H87/DAY(B2)</f>
        <v>2.5083333333338182</v>
      </c>
      <c r="K87" s="869"/>
      <c r="L87" s="870"/>
      <c r="O87" s="849"/>
    </row>
    <row r="88" spans="1:16" s="871" customFormat="1" x14ac:dyDescent="0.5">
      <c r="A88" s="866" t="s">
        <v>119</v>
      </c>
      <c r="B88" s="867"/>
      <c r="C88" s="867"/>
      <c r="D88" s="868" t="s">
        <v>210</v>
      </c>
      <c r="E88" s="748">
        <f>'[1]11'!F88</f>
        <v>143323</v>
      </c>
      <c r="F88" s="764">
        <v>143365</v>
      </c>
      <c r="G88" s="841">
        <f t="shared" si="10"/>
        <v>42</v>
      </c>
      <c r="H88" s="841">
        <f t="shared" si="11"/>
        <v>42</v>
      </c>
      <c r="I88" s="769"/>
      <c r="J88" s="843">
        <f>H88/DAY(B2)</f>
        <v>3.5</v>
      </c>
      <c r="K88" s="869"/>
      <c r="L88" s="870"/>
      <c r="O88" s="849"/>
    </row>
    <row r="89" spans="1:16" s="871" customFormat="1" x14ac:dyDescent="0.5">
      <c r="A89" s="866" t="s">
        <v>230</v>
      </c>
      <c r="B89" s="867"/>
      <c r="C89" s="867"/>
      <c r="D89" s="868" t="s">
        <v>210</v>
      </c>
      <c r="E89" s="748">
        <f>'[1]11'!F89</f>
        <v>56347.199999999997</v>
      </c>
      <c r="F89" s="764">
        <v>56400.9</v>
      </c>
      <c r="G89" s="841">
        <f t="shared" si="10"/>
        <v>53.700000000004366</v>
      </c>
      <c r="H89" s="841">
        <f>G89</f>
        <v>53.700000000004366</v>
      </c>
      <c r="I89" s="769"/>
      <c r="J89" s="843">
        <f>H89/DAY(B2)</f>
        <v>4.4750000000003638</v>
      </c>
      <c r="K89" s="869"/>
      <c r="L89" s="870"/>
      <c r="N89" s="919"/>
      <c r="O89" s="410"/>
    </row>
    <row r="90" spans="1:16" s="871" customFormat="1" x14ac:dyDescent="0.5">
      <c r="A90" s="866" t="s">
        <v>230</v>
      </c>
      <c r="B90" s="867"/>
      <c r="C90" s="867"/>
      <c r="D90" s="868" t="s">
        <v>210</v>
      </c>
      <c r="E90" s="748">
        <f>'[1]11'!F90</f>
        <v>2928.7</v>
      </c>
      <c r="F90" s="764">
        <v>2929.8</v>
      </c>
      <c r="G90" s="841">
        <f t="shared" si="10"/>
        <v>1.1000000000003638</v>
      </c>
      <c r="H90" s="841">
        <f>G90</f>
        <v>1.1000000000003638</v>
      </c>
      <c r="I90" s="769"/>
      <c r="J90" s="843">
        <f>H90/DAY(B2)</f>
        <v>9.1666666666696983E-2</v>
      </c>
      <c r="K90" s="869"/>
      <c r="L90" s="870"/>
      <c r="N90" s="919"/>
      <c r="O90" s="410"/>
    </row>
    <row r="91" spans="1:16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854"/>
      <c r="O91" s="861">
        <f t="shared" si="9"/>
        <v>0</v>
      </c>
      <c r="P91" s="410"/>
    </row>
    <row r="92" spans="1:16" ht="27.75" x14ac:dyDescent="0.5">
      <c r="A92" s="1398" t="s">
        <v>233</v>
      </c>
      <c r="B92" s="1399"/>
      <c r="C92" s="1400"/>
      <c r="D92" s="643" t="s">
        <v>171</v>
      </c>
      <c r="E92" s="604">
        <f>'[1]11'!F92</f>
        <v>232106</v>
      </c>
      <c r="F92" s="598">
        <v>232237</v>
      </c>
      <c r="G92" s="593">
        <f t="shared" ref="G92:G93" si="12">F92-E92</f>
        <v>131</v>
      </c>
      <c r="H92" s="580">
        <f>G92+'[1]11'!H92</f>
        <v>1262</v>
      </c>
      <c r="I92" s="600"/>
      <c r="J92" s="673">
        <f>H92/DAY(B2)</f>
        <v>105.16666666666667</v>
      </c>
      <c r="K92" s="509"/>
      <c r="L92" s="405"/>
      <c r="N92" s="854">
        <v>0</v>
      </c>
      <c r="O92" s="861">
        <f t="shared" si="9"/>
        <v>-131</v>
      </c>
      <c r="P92" s="410"/>
    </row>
    <row r="93" spans="1:16" ht="27.75" x14ac:dyDescent="0.5">
      <c r="A93" s="1398" t="s">
        <v>234</v>
      </c>
      <c r="B93" s="1399"/>
      <c r="C93" s="1400"/>
      <c r="D93" s="643" t="s">
        <v>171</v>
      </c>
      <c r="E93" s="604">
        <f>'[1]11'!F93</f>
        <v>164233</v>
      </c>
      <c r="F93" s="598">
        <v>164401</v>
      </c>
      <c r="G93" s="593">
        <f t="shared" si="12"/>
        <v>168</v>
      </c>
      <c r="H93" s="580">
        <f>G93+'[1]11'!H93</f>
        <v>1759</v>
      </c>
      <c r="I93" s="600"/>
      <c r="J93" s="673">
        <f>H93/DAY(B2)</f>
        <v>146.58333333333334</v>
      </c>
      <c r="K93" s="408"/>
      <c r="L93" s="405"/>
      <c r="N93" s="854">
        <v>66</v>
      </c>
      <c r="O93" s="861">
        <f t="shared" si="9"/>
        <v>-102</v>
      </c>
      <c r="P93" s="410"/>
    </row>
    <row r="94" spans="1:16" x14ac:dyDescent="0.5">
      <c r="A94" s="1392" t="s">
        <v>235</v>
      </c>
      <c r="B94" s="1393"/>
      <c r="C94" s="1394"/>
      <c r="D94" s="643"/>
      <c r="E94" s="604">
        <f>'[1]11'!F94</f>
        <v>0</v>
      </c>
      <c r="F94" s="598"/>
      <c r="G94" s="593">
        <f>G92+G93</f>
        <v>299</v>
      </c>
      <c r="H94" s="580">
        <f>G94+'[1]11'!H94</f>
        <v>2758</v>
      </c>
      <c r="I94" s="600"/>
      <c r="J94" s="673">
        <f>H94/DAY(B2)</f>
        <v>229.83333333333334</v>
      </c>
      <c r="K94" s="408"/>
      <c r="L94" s="405"/>
      <c r="N94" s="854">
        <v>66</v>
      </c>
      <c r="O94" s="861">
        <f t="shared" si="9"/>
        <v>-233</v>
      </c>
      <c r="P94" s="410"/>
    </row>
    <row r="95" spans="1:16" ht="27.75" x14ac:dyDescent="0.5">
      <c r="A95" s="1398" t="s">
        <v>236</v>
      </c>
      <c r="B95" s="1399"/>
      <c r="C95" s="1400"/>
      <c r="D95" s="643" t="s">
        <v>171</v>
      </c>
      <c r="E95" s="604">
        <f>'[1]11'!F95</f>
        <v>402308</v>
      </c>
      <c r="F95" s="598">
        <v>402383</v>
      </c>
      <c r="G95" s="593">
        <f t="shared" ref="G95:G100" si="13">F95-E95</f>
        <v>75</v>
      </c>
      <c r="H95" s="580">
        <f>G95+'[1]11'!H95</f>
        <v>818</v>
      </c>
      <c r="I95" s="600"/>
      <c r="J95" s="673">
        <f>H95/DAY(B2)</f>
        <v>68.166666666666671</v>
      </c>
      <c r="K95" s="408"/>
      <c r="L95" s="405"/>
      <c r="N95" s="854">
        <v>22</v>
      </c>
      <c r="O95" s="861">
        <f t="shared" si="9"/>
        <v>-53</v>
      </c>
      <c r="P95" s="410"/>
    </row>
    <row r="96" spans="1:16" ht="27.75" x14ac:dyDescent="0.5">
      <c r="A96" s="1354" t="s">
        <v>237</v>
      </c>
      <c r="B96" s="1355"/>
      <c r="C96" s="1355"/>
      <c r="D96" s="643" t="s">
        <v>171</v>
      </c>
      <c r="E96" s="604">
        <f>'[1]11'!F96</f>
        <v>99444</v>
      </c>
      <c r="F96" s="598">
        <v>99481</v>
      </c>
      <c r="G96" s="593">
        <f t="shared" si="13"/>
        <v>37</v>
      </c>
      <c r="H96" s="580">
        <f>G96+'[1]11'!H96</f>
        <v>370</v>
      </c>
      <c r="I96" s="600"/>
      <c r="J96" s="673">
        <f>H96/DAY(B2)</f>
        <v>30.833333333333332</v>
      </c>
      <c r="K96" s="507"/>
      <c r="L96" s="405"/>
      <c r="N96" s="854">
        <v>8</v>
      </c>
      <c r="O96" s="861">
        <f t="shared" si="9"/>
        <v>-29</v>
      </c>
      <c r="P96" s="410"/>
    </row>
    <row r="97" spans="1:16" ht="27.75" x14ac:dyDescent="0.5">
      <c r="A97" s="1354" t="s">
        <v>238</v>
      </c>
      <c r="B97" s="1355"/>
      <c r="C97" s="1355"/>
      <c r="D97" s="643" t="s">
        <v>171</v>
      </c>
      <c r="E97" s="604">
        <f>'[1]11'!F97</f>
        <v>94528</v>
      </c>
      <c r="F97" s="598">
        <v>94575</v>
      </c>
      <c r="G97" s="593">
        <f t="shared" si="13"/>
        <v>47</v>
      </c>
      <c r="H97" s="580">
        <f>G97+'[1]11'!H97</f>
        <v>303</v>
      </c>
      <c r="I97" s="600"/>
      <c r="J97" s="673">
        <f>H97/DAY(B2)</f>
        <v>25.25</v>
      </c>
      <c r="K97" s="512"/>
      <c r="L97" s="405"/>
      <c r="N97" s="854">
        <v>7</v>
      </c>
      <c r="O97" s="861">
        <f t="shared" si="9"/>
        <v>-40</v>
      </c>
      <c r="P97" s="410"/>
    </row>
    <row r="98" spans="1:16" ht="27.75" x14ac:dyDescent="0.5">
      <c r="A98" s="1354" t="s">
        <v>239</v>
      </c>
      <c r="B98" s="1355"/>
      <c r="C98" s="1355"/>
      <c r="D98" s="643" t="s">
        <v>171</v>
      </c>
      <c r="E98" s="604">
        <f>'[1]11'!F98</f>
        <v>142756</v>
      </c>
      <c r="F98" s="598">
        <v>142841</v>
      </c>
      <c r="G98" s="593">
        <f t="shared" si="13"/>
        <v>85</v>
      </c>
      <c r="H98" s="580">
        <f>G98+'[1]11'!H98</f>
        <v>695</v>
      </c>
      <c r="I98" s="600"/>
      <c r="J98" s="673">
        <f>H98/DAY(B2)</f>
        <v>57.916666666666664</v>
      </c>
      <c r="K98" s="408"/>
      <c r="L98" s="405"/>
      <c r="N98" s="856">
        <v>18</v>
      </c>
      <c r="O98" s="861">
        <f>N98-G98</f>
        <v>-67</v>
      </c>
      <c r="P98" s="410"/>
    </row>
    <row r="99" spans="1:16" ht="27.75" x14ac:dyDescent="0.5">
      <c r="A99" s="1354" t="s">
        <v>240</v>
      </c>
      <c r="B99" s="1355"/>
      <c r="C99" s="1355"/>
      <c r="D99" s="643" t="s">
        <v>171</v>
      </c>
      <c r="E99" s="604">
        <f>'[1]11'!F99</f>
        <v>5215</v>
      </c>
      <c r="F99" s="598">
        <v>5238</v>
      </c>
      <c r="G99" s="593">
        <f t="shared" si="13"/>
        <v>23</v>
      </c>
      <c r="H99" s="580">
        <f>G99+'[1]11'!H99</f>
        <v>270</v>
      </c>
      <c r="I99" s="600"/>
      <c r="J99" s="673">
        <f>H99/DAY(B2)</f>
        <v>22.5</v>
      </c>
      <c r="K99" s="408"/>
      <c r="L99" s="405"/>
      <c r="N99" s="854">
        <v>5</v>
      </c>
      <c r="O99" s="861">
        <f t="shared" si="9"/>
        <v>-18</v>
      </c>
      <c r="P99" s="410"/>
    </row>
    <row r="100" spans="1:16" ht="27.75" x14ac:dyDescent="0.5">
      <c r="A100" s="1354" t="s">
        <v>241</v>
      </c>
      <c r="B100" s="1355"/>
      <c r="C100" s="1355"/>
      <c r="D100" s="643" t="s">
        <v>171</v>
      </c>
      <c r="E100" s="604">
        <f>'[1]11'!F100</f>
        <v>3674</v>
      </c>
      <c r="F100" s="598">
        <v>3674</v>
      </c>
      <c r="G100" s="593">
        <f t="shared" si="13"/>
        <v>0</v>
      </c>
      <c r="H100" s="580">
        <f>G100+'[1]11'!H100</f>
        <v>0</v>
      </c>
      <c r="I100" s="600"/>
      <c r="J100" s="673">
        <f>H100/DAY(B2)</f>
        <v>0</v>
      </c>
      <c r="K100" s="408"/>
      <c r="L100" s="405"/>
      <c r="N100" s="854">
        <v>0</v>
      </c>
      <c r="O100" s="861">
        <f t="shared" si="9"/>
        <v>0</v>
      </c>
      <c r="P100" s="410"/>
    </row>
    <row r="101" spans="1:16" x14ac:dyDescent="0.5">
      <c r="A101" s="1392" t="s">
        <v>242</v>
      </c>
      <c r="B101" s="1393"/>
      <c r="C101" s="1394"/>
      <c r="D101" s="644"/>
      <c r="E101" s="604"/>
      <c r="F101" s="644"/>
      <c r="G101" s="645">
        <f>SUM(G95:G100)</f>
        <v>267</v>
      </c>
      <c r="H101" s="580">
        <f>G101+'[1]11'!H101</f>
        <v>2456</v>
      </c>
      <c r="I101" s="646"/>
      <c r="J101" s="673">
        <f>H101/DAY(B2)</f>
        <v>204.66666666666666</v>
      </c>
      <c r="K101" s="408"/>
      <c r="L101" s="405"/>
      <c r="N101" s="854">
        <v>60</v>
      </c>
      <c r="O101" s="861">
        <f t="shared" si="9"/>
        <v>-207</v>
      </c>
      <c r="P101" s="410"/>
    </row>
    <row r="102" spans="1:16" s="524" customFormat="1" ht="27" x14ac:dyDescent="0.4">
      <c r="A102" s="728" t="s">
        <v>243</v>
      </c>
      <c r="B102" s="729"/>
      <c r="C102" s="729"/>
      <c r="D102" s="742"/>
      <c r="E102" s="604"/>
      <c r="F102" s="774"/>
      <c r="G102" s="649"/>
      <c r="H102" s="650"/>
      <c r="I102" s="651"/>
      <c r="J102" s="678"/>
      <c r="N102" s="854"/>
      <c r="O102" s="861">
        <f t="shared" si="9"/>
        <v>0</v>
      </c>
      <c r="P102" s="410"/>
    </row>
    <row r="103" spans="1:16" s="524" customFormat="1" ht="27.75" x14ac:dyDescent="0.5">
      <c r="A103" s="1404" t="s">
        <v>244</v>
      </c>
      <c r="B103" s="1405"/>
      <c r="C103" s="694"/>
      <c r="D103" s="743"/>
      <c r="E103" s="604"/>
      <c r="F103" s="775"/>
      <c r="G103" s="652"/>
      <c r="H103" s="653"/>
      <c r="I103" s="652"/>
      <c r="J103" s="679"/>
      <c r="N103" s="854"/>
      <c r="O103" s="861">
        <f t="shared" si="9"/>
        <v>0</v>
      </c>
      <c r="P103" s="410"/>
    </row>
    <row r="104" spans="1:16" s="524" customFormat="1" ht="27.75" x14ac:dyDescent="0.5">
      <c r="A104" s="1406" t="s">
        <v>245</v>
      </c>
      <c r="B104" s="1407"/>
      <c r="C104" s="1359"/>
      <c r="D104" s="743" t="s">
        <v>171</v>
      </c>
      <c r="E104" s="604">
        <f>'[1]11'!F104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4.75</v>
      </c>
      <c r="N104" s="854">
        <v>0</v>
      </c>
      <c r="O104" s="861">
        <f t="shared" si="9"/>
        <v>0</v>
      </c>
      <c r="P104" s="410"/>
    </row>
    <row r="105" spans="1:16" s="524" customFormat="1" ht="27.75" x14ac:dyDescent="0.5">
      <c r="A105" s="1406" t="s">
        <v>92</v>
      </c>
      <c r="B105" s="1407"/>
      <c r="C105" s="1359"/>
      <c r="D105" s="743" t="s">
        <v>171</v>
      </c>
      <c r="E105" s="604">
        <f>'[1]11'!F105</f>
        <v>34771</v>
      </c>
      <c r="F105" s="776">
        <v>34779</v>
      </c>
      <c r="G105" s="652">
        <f t="shared" ref="G105:G106" si="14">F105-E105</f>
        <v>8</v>
      </c>
      <c r="H105" s="653">
        <f>SUM(G105+'[1]1'!G77)</f>
        <v>63</v>
      </c>
      <c r="I105" s="652"/>
      <c r="J105" s="679">
        <f>H105/DAY(B2)</f>
        <v>5.25</v>
      </c>
      <c r="N105" s="854">
        <v>0</v>
      </c>
      <c r="O105" s="861">
        <f t="shared" si="9"/>
        <v>-8</v>
      </c>
      <c r="P105" s="410"/>
    </row>
    <row r="106" spans="1:16" s="524" customFormat="1" ht="27.75" x14ac:dyDescent="0.5">
      <c r="A106" s="1406" t="s">
        <v>93</v>
      </c>
      <c r="B106" s="1408"/>
      <c r="C106" s="1407"/>
      <c r="D106" s="743" t="s">
        <v>171</v>
      </c>
      <c r="E106" s="604">
        <f>'[1]11'!F106</f>
        <v>18790</v>
      </c>
      <c r="F106" s="776">
        <v>18795</v>
      </c>
      <c r="G106" s="652">
        <f t="shared" si="14"/>
        <v>5</v>
      </c>
      <c r="H106" s="653">
        <f>SUM(G106+'[1]1'!G78)</f>
        <v>485</v>
      </c>
      <c r="I106" s="652"/>
      <c r="J106" s="679">
        <f>H106/DAY(B2)</f>
        <v>40.416666666666664</v>
      </c>
      <c r="N106" s="854">
        <v>0</v>
      </c>
      <c r="O106" s="861">
        <f t="shared" si="9"/>
        <v>-5</v>
      </c>
      <c r="P106" s="410"/>
    </row>
    <row r="107" spans="1:16" s="524" customFormat="1" ht="27.75" x14ac:dyDescent="0.5">
      <c r="A107" s="1409" t="s">
        <v>82</v>
      </c>
      <c r="B107" s="1410"/>
      <c r="C107" s="1359"/>
      <c r="D107" s="743"/>
      <c r="E107" s="604"/>
      <c r="F107" s="776"/>
      <c r="G107" s="652">
        <f>SUM(G104:G106)</f>
        <v>13</v>
      </c>
      <c r="H107" s="653">
        <f>SUM(G107+'[1]1'!G79)</f>
        <v>214</v>
      </c>
      <c r="I107" s="652"/>
      <c r="J107" s="679">
        <f>H107/DAY(B2)</f>
        <v>17.833333333333332</v>
      </c>
      <c r="N107" s="854">
        <v>0</v>
      </c>
      <c r="O107" s="861">
        <f t="shared" si="9"/>
        <v>-13</v>
      </c>
      <c r="P107" s="410"/>
    </row>
    <row r="108" spans="1:16" s="524" customFormat="1" ht="27.75" x14ac:dyDescent="0.5">
      <c r="A108" s="1411" t="s">
        <v>94</v>
      </c>
      <c r="B108" s="1412"/>
      <c r="C108" s="1359"/>
      <c r="D108" s="743" t="s">
        <v>171</v>
      </c>
      <c r="E108" s="604"/>
      <c r="F108" s="776"/>
      <c r="G108" s="652"/>
      <c r="H108" s="653"/>
      <c r="I108" s="652"/>
      <c r="J108" s="679"/>
      <c r="N108" s="854"/>
      <c r="O108" s="861">
        <f t="shared" si="9"/>
        <v>0</v>
      </c>
      <c r="P108" s="410"/>
    </row>
    <row r="109" spans="1:16" s="524" customFormat="1" ht="27.75" x14ac:dyDescent="0.5">
      <c r="A109" s="1406" t="s">
        <v>246</v>
      </c>
      <c r="B109" s="1407"/>
      <c r="C109" s="1359"/>
      <c r="D109" s="743" t="s">
        <v>171</v>
      </c>
      <c r="E109" s="604">
        <f>'[1]11'!F109</f>
        <v>51958</v>
      </c>
      <c r="F109" s="776">
        <v>52012</v>
      </c>
      <c r="G109" s="652">
        <f>F109-E109</f>
        <v>54</v>
      </c>
      <c r="H109" s="653">
        <f>SUM(G109+'[1]1'!G81)</f>
        <v>207.28000000002794</v>
      </c>
      <c r="I109" s="652"/>
      <c r="J109" s="679">
        <f>H109/DAY(B2)</f>
        <v>17.27333333333566</v>
      </c>
      <c r="N109" s="854">
        <v>20</v>
      </c>
      <c r="O109" s="861">
        <f t="shared" si="9"/>
        <v>-34</v>
      </c>
      <c r="P109" s="410"/>
    </row>
    <row r="110" spans="1:16" s="524" customFormat="1" ht="27.75" x14ac:dyDescent="0.5">
      <c r="A110" s="1406" t="s">
        <v>247</v>
      </c>
      <c r="B110" s="1407"/>
      <c r="C110" s="1359"/>
      <c r="D110" s="743" t="s">
        <v>171</v>
      </c>
      <c r="E110" s="604">
        <f>'[1]11'!F110</f>
        <v>25882</v>
      </c>
      <c r="F110" s="776">
        <v>25963</v>
      </c>
      <c r="G110" s="652">
        <f t="shared" ref="G110:G111" si="15">F110-E110</f>
        <v>81</v>
      </c>
      <c r="H110" s="653">
        <f>SUM(G110+'[1]1'!G82)</f>
        <v>101.76000000000931</v>
      </c>
      <c r="I110" s="652"/>
      <c r="J110" s="679">
        <f>H110/DAY(B2)</f>
        <v>8.4800000000007767</v>
      </c>
      <c r="N110" s="854">
        <v>9</v>
      </c>
      <c r="O110" s="861">
        <f t="shared" si="9"/>
        <v>-72</v>
      </c>
      <c r="P110" s="410"/>
    </row>
    <row r="111" spans="1:16" s="524" customFormat="1" ht="27.75" x14ac:dyDescent="0.5">
      <c r="A111" s="1406" t="s">
        <v>248</v>
      </c>
      <c r="B111" s="1407"/>
      <c r="C111" s="1359"/>
      <c r="D111" s="743" t="s">
        <v>171</v>
      </c>
      <c r="E111" s="604">
        <f>'[1]11'!F111</f>
        <v>3448</v>
      </c>
      <c r="F111" s="776">
        <v>3458</v>
      </c>
      <c r="G111" s="652">
        <f t="shared" si="15"/>
        <v>10</v>
      </c>
      <c r="H111" s="653">
        <f>SUM(G111+'[1]1'!G83)</f>
        <v>356</v>
      </c>
      <c r="I111" s="652"/>
      <c r="J111" s="679">
        <f>H111/DAY(B2)</f>
        <v>29.666666666666668</v>
      </c>
      <c r="N111" s="854">
        <v>0</v>
      </c>
      <c r="O111" s="861">
        <f t="shared" si="9"/>
        <v>-10</v>
      </c>
      <c r="P111" s="410"/>
    </row>
    <row r="112" spans="1:16" s="524" customFormat="1" ht="27.75" x14ac:dyDescent="0.5">
      <c r="A112" s="1409" t="s">
        <v>136</v>
      </c>
      <c r="B112" s="1410"/>
      <c r="C112" s="1359"/>
      <c r="D112" s="743"/>
      <c r="E112" s="604"/>
      <c r="F112" s="776"/>
      <c r="G112" s="652">
        <f>SUM(G109:G111)</f>
        <v>145</v>
      </c>
      <c r="H112" s="653">
        <f>SUM(G112+'[1]1'!G84)</f>
        <v>709</v>
      </c>
      <c r="I112" s="652"/>
      <c r="J112" s="679">
        <f>H112/DAY(B2)</f>
        <v>59.083333333333336</v>
      </c>
      <c r="N112" s="854">
        <v>29</v>
      </c>
      <c r="O112" s="861">
        <f>N112-G112</f>
        <v>-116</v>
      </c>
      <c r="P112" s="410"/>
    </row>
    <row r="113" spans="1:16" s="524" customFormat="1" ht="27.75" x14ac:dyDescent="0.5">
      <c r="A113" s="1411" t="s">
        <v>249</v>
      </c>
      <c r="B113" s="1412"/>
      <c r="C113" s="1359"/>
      <c r="D113" s="743"/>
      <c r="E113" s="604"/>
      <c r="F113" s="776"/>
      <c r="G113" s="652"/>
      <c r="H113" s="653"/>
      <c r="I113" s="652"/>
      <c r="J113" s="679">
        <f>H113/DAY(B2)</f>
        <v>0</v>
      </c>
      <c r="N113" s="854"/>
      <c r="O113" s="861">
        <f t="shared" si="9"/>
        <v>0</v>
      </c>
      <c r="P113" s="410"/>
    </row>
    <row r="114" spans="1:16" s="524" customFormat="1" ht="27.75" x14ac:dyDescent="0.5">
      <c r="A114" s="1406" t="s">
        <v>250</v>
      </c>
      <c r="B114" s="1407"/>
      <c r="C114" s="695"/>
      <c r="D114" s="743" t="s">
        <v>171</v>
      </c>
      <c r="E114" s="604">
        <f>'[1]11'!F114</f>
        <v>8894</v>
      </c>
      <c r="F114" s="776">
        <v>8920</v>
      </c>
      <c r="G114" s="654">
        <f>F114-E114</f>
        <v>26</v>
      </c>
      <c r="H114" s="653">
        <f>SUM(G114+'[1]1'!G91)</f>
        <v>26</v>
      </c>
      <c r="I114" s="652"/>
      <c r="J114" s="679">
        <f>H114/DAY(B2)</f>
        <v>2.1666666666666665</v>
      </c>
      <c r="N114" s="854">
        <v>12</v>
      </c>
      <c r="O114" s="861">
        <f t="shared" si="9"/>
        <v>-14</v>
      </c>
      <c r="P114" s="410"/>
    </row>
    <row r="115" spans="1:16" s="524" customFormat="1" ht="27.75" x14ac:dyDescent="0.5">
      <c r="A115" s="1406" t="s">
        <v>251</v>
      </c>
      <c r="B115" s="1407"/>
      <c r="C115" s="695"/>
      <c r="D115" s="743" t="s">
        <v>171</v>
      </c>
      <c r="E115" s="604">
        <f>'[1]11'!F115</f>
        <v>6954</v>
      </c>
      <c r="F115" s="776">
        <v>6965</v>
      </c>
      <c r="G115" s="654">
        <f t="shared" ref="G115:G116" si="16">F115-E115</f>
        <v>11</v>
      </c>
      <c r="H115" s="653">
        <f>SUM(G115+'[1]1'!G92)</f>
        <v>123</v>
      </c>
      <c r="I115" s="652"/>
      <c r="J115" s="679">
        <f>H115/DAY(B2)</f>
        <v>10.25</v>
      </c>
      <c r="N115" s="854">
        <v>2</v>
      </c>
      <c r="O115" s="861">
        <f t="shared" si="9"/>
        <v>-9</v>
      </c>
      <c r="P115" s="410"/>
    </row>
    <row r="116" spans="1:16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776"/>
      <c r="G116" s="654">
        <f t="shared" si="16"/>
        <v>0</v>
      </c>
      <c r="H116" s="653">
        <f>SUM(G116+'[1]1'!G93)</f>
        <v>151</v>
      </c>
      <c r="I116" s="652"/>
      <c r="J116" s="679">
        <f>H116/DAY(B2)</f>
        <v>12.583333333333334</v>
      </c>
      <c r="N116" s="854">
        <v>0</v>
      </c>
      <c r="O116" s="861">
        <f t="shared" si="9"/>
        <v>0</v>
      </c>
      <c r="P116" s="410"/>
    </row>
    <row r="117" spans="1:16" s="537" customFormat="1" ht="27.75" x14ac:dyDescent="0.5">
      <c r="A117" s="1409" t="s">
        <v>82</v>
      </c>
      <c r="B117" s="1410"/>
      <c r="C117" s="695"/>
      <c r="D117" s="744"/>
      <c r="E117" s="654"/>
      <c r="F117" s="776"/>
      <c r="G117" s="654">
        <f>SUM(G114:G116)</f>
        <v>37</v>
      </c>
      <c r="H117" s="653">
        <f>SUM(G117+'[1]1'!G95)</f>
        <v>84</v>
      </c>
      <c r="I117" s="654"/>
      <c r="J117" s="679">
        <f>H117/DAY(B2)</f>
        <v>7</v>
      </c>
      <c r="N117" s="854">
        <v>14</v>
      </c>
      <c r="O117" s="861">
        <f t="shared" si="9"/>
        <v>-23</v>
      </c>
      <c r="P117" s="410"/>
    </row>
    <row r="118" spans="1:16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187</v>
      </c>
      <c r="G118" s="656">
        <f>SUM(G19+G92)</f>
        <v>187</v>
      </c>
      <c r="H118" s="653">
        <f>SUM(G118+'[1]1'!G96)</f>
        <v>220</v>
      </c>
      <c r="I118" s="655"/>
      <c r="J118" s="680">
        <f>H118/DAY(B2)</f>
        <v>18.333333333333332</v>
      </c>
      <c r="N118" s="854">
        <v>54</v>
      </c>
      <c r="O118" s="861">
        <f t="shared" si="9"/>
        <v>-133</v>
      </c>
      <c r="P118" s="410"/>
    </row>
    <row r="119" spans="1:16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182</v>
      </c>
      <c r="G119" s="656">
        <f>SUM(G95,G96,G97,G99,G100)</f>
        <v>182</v>
      </c>
      <c r="H119" s="653">
        <f>SUM(G119+'[1]1'!G98)</f>
        <v>249</v>
      </c>
      <c r="I119" s="655"/>
      <c r="J119" s="680">
        <f>H119/DAY(B2)</f>
        <v>20.75</v>
      </c>
      <c r="N119" s="854">
        <v>42</v>
      </c>
      <c r="O119" s="861">
        <f t="shared" si="9"/>
        <v>-140</v>
      </c>
      <c r="P119" s="410"/>
    </row>
    <row r="120" spans="1:16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145</v>
      </c>
      <c r="G120" s="654">
        <f>SUM(G112)</f>
        <v>145</v>
      </c>
      <c r="H120" s="653">
        <f>SUM(G120+'[1]1'!G100)</f>
        <v>145</v>
      </c>
      <c r="I120" s="655"/>
      <c r="J120" s="680">
        <f>H120/DAY(B2)</f>
        <v>12.083333333333334</v>
      </c>
      <c r="N120" s="854">
        <v>29</v>
      </c>
      <c r="O120" s="861">
        <f t="shared" si="9"/>
        <v>-116</v>
      </c>
      <c r="P120" s="410"/>
    </row>
    <row r="121" spans="1:16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N121" s="854"/>
      <c r="O121" s="861">
        <f t="shared" si="9"/>
        <v>0</v>
      </c>
      <c r="P121" s="410"/>
    </row>
    <row r="122" spans="1:16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854"/>
      <c r="O122" s="861">
        <f t="shared" si="9"/>
        <v>0</v>
      </c>
      <c r="P122" s="410"/>
    </row>
    <row r="123" spans="1:16" ht="27.75" x14ac:dyDescent="0.5">
      <c r="A123" s="1354" t="s">
        <v>257</v>
      </c>
      <c r="B123" s="1355"/>
      <c r="C123" s="1355"/>
      <c r="D123" s="643" t="s">
        <v>168</v>
      </c>
      <c r="E123" s="598">
        <f>'[1]11'!F123</f>
        <v>791026.15</v>
      </c>
      <c r="F123" s="598">
        <v>791225.78</v>
      </c>
      <c r="G123" s="593">
        <f t="shared" ref="G123:G127" si="17">F123-E123</f>
        <v>199.63000000000466</v>
      </c>
      <c r="H123" s="580">
        <f>G123+'[1]11'!H123</f>
        <v>2394.7100000000792</v>
      </c>
      <c r="I123" s="646"/>
      <c r="J123" s="673">
        <f>H123/DAY(B2)</f>
        <v>199.55916666667326</v>
      </c>
      <c r="K123" s="408"/>
      <c r="L123" s="405"/>
      <c r="N123" s="854">
        <v>103.63000000000466</v>
      </c>
      <c r="O123" s="861">
        <f t="shared" si="9"/>
        <v>-96</v>
      </c>
      <c r="P123" s="410"/>
    </row>
    <row r="124" spans="1:16" ht="27.75" x14ac:dyDescent="0.5">
      <c r="A124" s="1354" t="s">
        <v>258</v>
      </c>
      <c r="B124" s="1355"/>
      <c r="C124" s="1355"/>
      <c r="D124" s="643" t="s">
        <v>168</v>
      </c>
      <c r="E124" s="747">
        <f>'[1]11'!F124</f>
        <v>73582</v>
      </c>
      <c r="F124" s="747">
        <v>73582</v>
      </c>
      <c r="G124" s="593">
        <f t="shared" si="17"/>
        <v>0</v>
      </c>
      <c r="H124" s="580">
        <f>G124+'[1]11'!H124</f>
        <v>-0.19999999999708962</v>
      </c>
      <c r="I124" s="646"/>
      <c r="J124" s="673">
        <f>H124/DAY(B2)</f>
        <v>-1.6666666666424135E-2</v>
      </c>
      <c r="K124" s="408"/>
      <c r="L124" s="405"/>
      <c r="N124" s="854">
        <v>0</v>
      </c>
      <c r="O124" s="861">
        <f t="shared" si="9"/>
        <v>0</v>
      </c>
      <c r="P124" s="410"/>
    </row>
    <row r="125" spans="1:16" ht="27.75" x14ac:dyDescent="0.5">
      <c r="A125" s="1395" t="s">
        <v>259</v>
      </c>
      <c r="B125" s="1396"/>
      <c r="C125" s="1397"/>
      <c r="D125" s="643" t="s">
        <v>168</v>
      </c>
      <c r="E125" s="598">
        <f>'[1]11'!F125</f>
        <v>134126.51</v>
      </c>
      <c r="F125" s="598">
        <v>134213.35</v>
      </c>
      <c r="G125" s="593">
        <f t="shared" si="17"/>
        <v>86.839999999996508</v>
      </c>
      <c r="H125" s="580">
        <f>G125+'[1]11'!H125</f>
        <v>1090.4700000000012</v>
      </c>
      <c r="I125" s="646"/>
      <c r="J125" s="673">
        <f>H125/DAY(B2)</f>
        <v>90.872500000000102</v>
      </c>
      <c r="K125" s="408"/>
      <c r="L125" s="405"/>
      <c r="N125" s="854">
        <v>60.559999999997672</v>
      </c>
      <c r="O125" s="861">
        <f t="shared" si="9"/>
        <v>-26.279999999998836</v>
      </c>
      <c r="P125" s="410"/>
    </row>
    <row r="126" spans="1:16" ht="27.75" x14ac:dyDescent="0.5">
      <c r="A126" s="730" t="s">
        <v>260</v>
      </c>
      <c r="B126" s="1355"/>
      <c r="C126" s="1355"/>
      <c r="D126" s="643" t="s">
        <v>168</v>
      </c>
      <c r="E126" s="747">
        <f>'[1]11'!F126</f>
        <v>56661.8</v>
      </c>
      <c r="F126" s="747">
        <v>56699</v>
      </c>
      <c r="G126" s="593">
        <f t="shared" si="17"/>
        <v>37.19999999999709</v>
      </c>
      <c r="H126" s="580">
        <f>G126+'[1]11'!H126</f>
        <v>350.80000000000291</v>
      </c>
      <c r="I126" s="646"/>
      <c r="J126" s="673">
        <f>H126/DAY(B2)</f>
        <v>29.233333333333576</v>
      </c>
      <c r="K126" s="408"/>
      <c r="L126" s="405"/>
      <c r="N126" s="854">
        <v>0</v>
      </c>
      <c r="O126" s="861">
        <f t="shared" si="9"/>
        <v>-37.19999999999709</v>
      </c>
      <c r="P126" s="410"/>
    </row>
    <row r="127" spans="1:16" ht="27.75" x14ac:dyDescent="0.5">
      <c r="A127" s="730" t="s">
        <v>261</v>
      </c>
      <c r="B127" s="1355"/>
      <c r="C127" s="1355"/>
      <c r="D127" s="643" t="s">
        <v>168</v>
      </c>
      <c r="E127" s="747">
        <f>'[1]11'!F127</f>
        <v>8659.2000000000007</v>
      </c>
      <c r="F127" s="747">
        <v>8662.6</v>
      </c>
      <c r="G127" s="593">
        <f t="shared" si="17"/>
        <v>3.3999999999996362</v>
      </c>
      <c r="H127" s="580">
        <f>G127+'[1]11'!H127</f>
        <v>22.5</v>
      </c>
      <c r="I127" s="600"/>
      <c r="J127" s="673">
        <f>H127/DAY(B2)</f>
        <v>1.875</v>
      </c>
      <c r="K127" s="408"/>
      <c r="L127" s="405"/>
      <c r="N127" s="854">
        <v>0</v>
      </c>
      <c r="O127" s="861">
        <f t="shared" si="9"/>
        <v>-3.3999999999996362</v>
      </c>
      <c r="P127" s="410"/>
    </row>
    <row r="128" spans="1:16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462.94000000001142</v>
      </c>
      <c r="H128" s="580">
        <f>H15-SUM(H123:H127)</f>
        <v>4581.1189999998896</v>
      </c>
      <c r="I128" s="600"/>
      <c r="J128" s="673"/>
      <c r="K128" s="388"/>
      <c r="L128" s="290"/>
      <c r="N128" s="854">
        <v>30.955000000016298</v>
      </c>
      <c r="O128" s="861">
        <f t="shared" si="9"/>
        <v>-431.98499999999513</v>
      </c>
      <c r="P128" s="410"/>
    </row>
    <row r="129" spans="1:16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854"/>
      <c r="O129" s="861">
        <f t="shared" si="9"/>
        <v>0</v>
      </c>
      <c r="P129" s="410"/>
    </row>
    <row r="130" spans="1:16" ht="27.75" x14ac:dyDescent="0.5">
      <c r="A130" s="1354" t="s">
        <v>264</v>
      </c>
      <c r="B130" s="1355"/>
      <c r="C130" s="1355"/>
      <c r="D130" s="643" t="s">
        <v>265</v>
      </c>
      <c r="E130" s="604">
        <f>'[1]11'!F130</f>
        <v>0</v>
      </c>
      <c r="F130" s="598">
        <v>0</v>
      </c>
      <c r="G130" s="593">
        <f t="shared" ref="G130:G140" si="18">F130-E130</f>
        <v>0</v>
      </c>
      <c r="H130" s="580">
        <f>G130+'[1]11'!H130</f>
        <v>0</v>
      </c>
      <c r="I130" s="600"/>
      <c r="J130" s="673">
        <f>H130/DAY(B2)</f>
        <v>0</v>
      </c>
      <c r="N130" s="854">
        <v>0</v>
      </c>
      <c r="O130" s="861">
        <f t="shared" si="9"/>
        <v>0</v>
      </c>
      <c r="P130" s="410"/>
    </row>
    <row r="131" spans="1:16" ht="27.75" x14ac:dyDescent="0.5">
      <c r="A131" s="1354" t="s">
        <v>266</v>
      </c>
      <c r="B131" s="1355"/>
      <c r="C131" s="1355"/>
      <c r="D131" s="643" t="s">
        <v>265</v>
      </c>
      <c r="E131" s="604">
        <f>'[1]11'!F131</f>
        <v>0</v>
      </c>
      <c r="F131" s="598">
        <v>0</v>
      </c>
      <c r="G131" s="593">
        <f t="shared" si="18"/>
        <v>0</v>
      </c>
      <c r="H131" s="580">
        <f>G131+'[1]11'!H131</f>
        <v>0</v>
      </c>
      <c r="I131" s="600"/>
      <c r="J131" s="673">
        <f>H131/DAY(B2)</f>
        <v>0</v>
      </c>
      <c r="N131" s="854">
        <v>0</v>
      </c>
      <c r="O131" s="861">
        <f t="shared" si="9"/>
        <v>0</v>
      </c>
      <c r="P131" s="410"/>
    </row>
    <row r="132" spans="1:16" ht="27.75" x14ac:dyDescent="0.5">
      <c r="A132" s="1354" t="s">
        <v>267</v>
      </c>
      <c r="B132" s="1355"/>
      <c r="C132" s="1355"/>
      <c r="D132" s="643" t="s">
        <v>265</v>
      </c>
      <c r="E132" s="662">
        <f>'[1]11'!F132</f>
        <v>38877</v>
      </c>
      <c r="F132" s="768">
        <v>38877</v>
      </c>
      <c r="G132" s="593">
        <f t="shared" si="18"/>
        <v>0</v>
      </c>
      <c r="H132" s="580">
        <f>G132+'[1]11'!H132</f>
        <v>0</v>
      </c>
      <c r="I132" s="600"/>
      <c r="J132" s="673">
        <f>H132/DAY(B2)</f>
        <v>0</v>
      </c>
      <c r="N132" s="854">
        <v>21.010000000002037</v>
      </c>
      <c r="O132" s="861">
        <f t="shared" si="9"/>
        <v>21.010000000002037</v>
      </c>
      <c r="P132" s="410"/>
    </row>
    <row r="133" spans="1:16" ht="27.75" x14ac:dyDescent="0.5">
      <c r="A133" s="1354" t="s">
        <v>268</v>
      </c>
      <c r="B133" s="1355"/>
      <c r="C133" s="1355"/>
      <c r="D133" s="643" t="s">
        <v>265</v>
      </c>
      <c r="E133" s="818">
        <f>'[1]11'!F133</f>
        <v>188.25</v>
      </c>
      <c r="F133" s="747">
        <v>212.34</v>
      </c>
      <c r="G133" s="593">
        <f t="shared" si="18"/>
        <v>24.090000000000003</v>
      </c>
      <c r="H133" s="580">
        <f>G133+'[1]11'!H133</f>
        <v>212.34</v>
      </c>
      <c r="I133" s="600">
        <f>G130+G131+G132+G133</f>
        <v>24.090000000000003</v>
      </c>
      <c r="J133" s="673">
        <f>H133/DAY(B2)</f>
        <v>17.695</v>
      </c>
      <c r="N133" s="854">
        <v>0</v>
      </c>
      <c r="O133" s="861">
        <f t="shared" si="9"/>
        <v>-24.090000000000003</v>
      </c>
      <c r="P133" s="410"/>
    </row>
    <row r="134" spans="1:16" ht="27.75" x14ac:dyDescent="0.5">
      <c r="A134" s="1354" t="s">
        <v>269</v>
      </c>
      <c r="B134" s="1355"/>
      <c r="C134" s="1355"/>
      <c r="D134" s="643" t="s">
        <v>265</v>
      </c>
      <c r="E134" s="818">
        <f>'[1]11'!F134</f>
        <v>39735</v>
      </c>
      <c r="F134" s="747">
        <v>39735</v>
      </c>
      <c r="G134" s="593">
        <f t="shared" si="18"/>
        <v>0</v>
      </c>
      <c r="H134" s="580">
        <f>G134+'[1]11'!H134</f>
        <v>0</v>
      </c>
      <c r="I134" s="600"/>
      <c r="J134" s="673">
        <f>H134/DAY(B2)</f>
        <v>0</v>
      </c>
      <c r="N134" s="854">
        <v>0</v>
      </c>
      <c r="O134" s="861">
        <f t="shared" si="9"/>
        <v>0</v>
      </c>
      <c r="P134" s="410"/>
    </row>
    <row r="135" spans="1:16" ht="27.75" x14ac:dyDescent="0.5">
      <c r="A135" s="1354" t="s">
        <v>270</v>
      </c>
      <c r="B135" s="1355"/>
      <c r="C135" s="1355"/>
      <c r="D135" s="643" t="s">
        <v>265</v>
      </c>
      <c r="E135" s="642">
        <f>'[1]11'!F135</f>
        <v>31796.240000000002</v>
      </c>
      <c r="F135" s="768">
        <v>31796.240000000002</v>
      </c>
      <c r="G135" s="593">
        <f t="shared" si="18"/>
        <v>0</v>
      </c>
      <c r="H135" s="580">
        <f>G135+'[1]11'!H135</f>
        <v>78.720000000001164</v>
      </c>
      <c r="I135" s="600"/>
      <c r="J135" s="673">
        <f>H135/DAY(B2)</f>
        <v>6.5600000000000973</v>
      </c>
      <c r="N135" s="854">
        <v>0</v>
      </c>
      <c r="O135" s="861">
        <f t="shared" si="9"/>
        <v>0</v>
      </c>
      <c r="P135" s="410"/>
    </row>
    <row r="136" spans="1:16" ht="27.75" x14ac:dyDescent="0.5">
      <c r="A136" s="1354" t="s">
        <v>271</v>
      </c>
      <c r="B136" s="1355"/>
      <c r="C136" s="1355"/>
      <c r="D136" s="643" t="s">
        <v>265</v>
      </c>
      <c r="E136" s="662">
        <f>'[1]11'!F136</f>
        <v>21734.55</v>
      </c>
      <c r="F136" s="768">
        <v>21742.65</v>
      </c>
      <c r="G136" s="593">
        <f t="shared" si="18"/>
        <v>8.1000000000021828</v>
      </c>
      <c r="H136" s="580">
        <f>G136+'[1]11'!H136</f>
        <v>67.930000000000291</v>
      </c>
      <c r="I136" s="600">
        <f>G134+G135+G136</f>
        <v>8.1000000000021828</v>
      </c>
      <c r="J136" s="673">
        <f>H136/DAY(B2)</f>
        <v>5.6608333333333576</v>
      </c>
      <c r="N136" s="854">
        <v>-0.29000000000087311</v>
      </c>
      <c r="O136" s="861">
        <f t="shared" si="9"/>
        <v>-8.3900000000030559</v>
      </c>
      <c r="P136" s="410"/>
    </row>
    <row r="137" spans="1:16" ht="27.75" x14ac:dyDescent="0.5">
      <c r="A137" s="1354" t="s">
        <v>272</v>
      </c>
      <c r="B137" s="1355"/>
      <c r="C137" s="1355"/>
      <c r="D137" s="643" t="s">
        <v>265</v>
      </c>
      <c r="E137" s="662">
        <f>'[1]11'!F137</f>
        <v>24932.51</v>
      </c>
      <c r="F137" s="768">
        <v>24932.51</v>
      </c>
      <c r="G137" s="593">
        <f t="shared" si="18"/>
        <v>0</v>
      </c>
      <c r="H137" s="580">
        <f>G137+'[1]11'!H137</f>
        <v>0</v>
      </c>
      <c r="I137" s="600"/>
      <c r="J137" s="673">
        <f>H137/DAY(B2)</f>
        <v>0</v>
      </c>
      <c r="N137" s="854">
        <v>0</v>
      </c>
      <c r="O137" s="861">
        <f t="shared" si="9"/>
        <v>0</v>
      </c>
      <c r="P137" s="410"/>
    </row>
    <row r="138" spans="1:16" ht="27.75" x14ac:dyDescent="0.5">
      <c r="A138" s="1354" t="s">
        <v>273</v>
      </c>
      <c r="B138" s="1355"/>
      <c r="C138" s="1355"/>
      <c r="D138" s="643" t="s">
        <v>265</v>
      </c>
      <c r="E138" s="662">
        <f>'[1]11'!F138</f>
        <v>69984.14</v>
      </c>
      <c r="F138" s="768">
        <v>69985.02</v>
      </c>
      <c r="G138" s="593">
        <f t="shared" si="18"/>
        <v>0.88000000000465661</v>
      </c>
      <c r="H138" s="580">
        <f>G138+'[1]11'!H138</f>
        <v>29.809999999997672</v>
      </c>
      <c r="I138" s="600">
        <f>G137+G138</f>
        <v>0.88000000000465661</v>
      </c>
      <c r="J138" s="673">
        <f>H138/DAY(B2)</f>
        <v>2.4841666666664728</v>
      </c>
      <c r="N138" s="854">
        <v>0</v>
      </c>
      <c r="O138" s="861">
        <f t="shared" si="9"/>
        <v>-0.88000000000465661</v>
      </c>
      <c r="P138" s="410"/>
    </row>
    <row r="139" spans="1:16" ht="27.75" x14ac:dyDescent="0.5">
      <c r="A139" s="1354" t="s">
        <v>274</v>
      </c>
      <c r="B139" s="1355"/>
      <c r="C139" s="1355"/>
      <c r="D139" s="643" t="s">
        <v>265</v>
      </c>
      <c r="E139" s="818">
        <f>'[1]11'!F139</f>
        <v>1003.17</v>
      </c>
      <c r="F139" s="747">
        <v>1008.82</v>
      </c>
      <c r="G139" s="593">
        <f t="shared" si="18"/>
        <v>5.6500000000000909</v>
      </c>
      <c r="H139" s="580">
        <f>G139+'[1]11'!H139</f>
        <v>67.290000000000077</v>
      </c>
      <c r="I139" s="663"/>
      <c r="J139" s="673">
        <f>H139/DAY(B2)</f>
        <v>5.6075000000000061</v>
      </c>
      <c r="N139" s="854">
        <v>0</v>
      </c>
      <c r="O139" s="861">
        <f t="shared" si="9"/>
        <v>-5.6500000000000909</v>
      </c>
      <c r="P139" s="410"/>
    </row>
    <row r="140" spans="1:16" ht="27.75" x14ac:dyDescent="0.5">
      <c r="A140" s="1354" t="s">
        <v>275</v>
      </c>
      <c r="B140" s="1355"/>
      <c r="C140" s="1355"/>
      <c r="D140" s="643" t="s">
        <v>265</v>
      </c>
      <c r="E140" s="604">
        <f>'[1]11'!F140</f>
        <v>4156.9799999999996</v>
      </c>
      <c r="F140" s="598">
        <v>4156.9799999999996</v>
      </c>
      <c r="G140" s="593">
        <f t="shared" si="18"/>
        <v>0</v>
      </c>
      <c r="H140" s="580">
        <f>G140+'[1]11'!H140</f>
        <v>7.999999999992724E-2</v>
      </c>
      <c r="I140" s="663"/>
      <c r="J140" s="673">
        <f>H140/DAY(B2)</f>
        <v>6.6666666666606034E-3</v>
      </c>
      <c r="N140" s="854">
        <v>3.5</v>
      </c>
      <c r="O140" s="861">
        <f t="shared" si="9"/>
        <v>3.5</v>
      </c>
      <c r="P140" s="410"/>
    </row>
    <row r="141" spans="1:16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854"/>
      <c r="O141" s="861">
        <f t="shared" ref="O141:O153" si="19">N141-G141</f>
        <v>0</v>
      </c>
      <c r="P141" s="410"/>
    </row>
    <row r="142" spans="1:16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5306.0599999999249</v>
      </c>
      <c r="H142" s="580">
        <f>G142+'[1]11'!H142</f>
        <v>61875.142999999916</v>
      </c>
      <c r="I142" s="600"/>
      <c r="J142" s="673">
        <f>H142/DAY(B2)</f>
        <v>5156.26191666666</v>
      </c>
      <c r="K142" s="408"/>
      <c r="L142" s="405"/>
      <c r="N142" s="854">
        <v>2895.0800000000163</v>
      </c>
      <c r="O142" s="861">
        <f t="shared" si="19"/>
        <v>-2410.9799999999086</v>
      </c>
      <c r="P142" s="410"/>
    </row>
    <row r="143" spans="1:16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0.24462034945368702</v>
      </c>
      <c r="H143" s="580">
        <f>G143+'[1]11'!H143</f>
        <v>2.8604718439831247</v>
      </c>
      <c r="I143" s="665"/>
      <c r="J143" s="673">
        <f>H143/DAY(B2)</f>
        <v>0.23837265366526039</v>
      </c>
      <c r="K143" s="408"/>
      <c r="L143" s="405"/>
      <c r="N143" s="854">
        <v>0.25671520031213241</v>
      </c>
      <c r="O143" s="861">
        <f t="shared" si="19"/>
        <v>1.2094850858445388E-2</v>
      </c>
      <c r="P143" s="410"/>
    </row>
    <row r="144" spans="1:16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5451.2700000000114</v>
      </c>
      <c r="H144" s="580">
        <f>G144+'[1]11'!H144</f>
        <v>56118.349999999984</v>
      </c>
      <c r="I144" s="600"/>
      <c r="J144" s="673">
        <f>H144/DAY(B2)</f>
        <v>4676.5291666666653</v>
      </c>
      <c r="K144" s="408"/>
      <c r="L144" s="405"/>
      <c r="N144" s="854">
        <v>3076.0299999999988</v>
      </c>
      <c r="O144" s="861">
        <f t="shared" si="19"/>
        <v>-2375.2400000000125</v>
      </c>
      <c r="P144" s="410"/>
    </row>
    <row r="145" spans="1:16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0.25131483103591401</v>
      </c>
      <c r="H145" s="580">
        <f>G145+'[1]11'!H145</f>
        <v>2.7277886236849818</v>
      </c>
      <c r="I145" s="665"/>
      <c r="J145" s="673">
        <f>H145/DAY(B2)</f>
        <v>0.22731571864041514</v>
      </c>
      <c r="K145" s="408"/>
      <c r="L145" s="405"/>
      <c r="N145" s="854">
        <v>0.27276056537854704</v>
      </c>
      <c r="O145" s="861">
        <f t="shared" si="19"/>
        <v>2.1445734342633027E-2</v>
      </c>
      <c r="P145" s="410"/>
    </row>
    <row r="146" spans="1:16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4438.8699999999953</v>
      </c>
      <c r="H146" s="580">
        <f>G146+'[1]11'!H146</f>
        <v>51109.442999999999</v>
      </c>
      <c r="I146" s="666"/>
      <c r="J146" s="673">
        <f>H146/DAY(B2)</f>
        <v>4259.1202499999999</v>
      </c>
      <c r="K146" s="408"/>
      <c r="L146" s="405"/>
      <c r="N146" s="854">
        <v>1948.0500000000156</v>
      </c>
      <c r="O146" s="861">
        <f t="shared" si="19"/>
        <v>-2490.8199999999797</v>
      </c>
      <c r="P146" s="410"/>
    </row>
    <row r="147" spans="1:16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0.20464109538518258</v>
      </c>
      <c r="H147" s="580">
        <f>G147+'[1]11'!H147</f>
        <v>2.4998917051619216</v>
      </c>
      <c r="I147" s="666"/>
      <c r="J147" s="673">
        <f>H147/DAY(B2)</f>
        <v>0.20832430876349348</v>
      </c>
      <c r="N147" s="854">
        <v>0.17273928387749241</v>
      </c>
      <c r="O147" s="861">
        <f t="shared" si="19"/>
        <v>-3.190181150769017E-2</v>
      </c>
      <c r="P147" s="410"/>
    </row>
    <row r="148" spans="1:16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2338.3999999999651</v>
      </c>
      <c r="H148" s="580">
        <f>G148+'[1]11'!H148</f>
        <v>24085.359999999986</v>
      </c>
      <c r="I148" s="600"/>
      <c r="J148" s="673">
        <f>H148/DAY(B2)</f>
        <v>2007.1133333333321</v>
      </c>
      <c r="K148" s="409"/>
      <c r="N148" s="854">
        <v>1142.4100000000035</v>
      </c>
      <c r="O148" s="861">
        <f t="shared" si="19"/>
        <v>-1195.9899999999616</v>
      </c>
      <c r="P148" s="410"/>
    </row>
    <row r="149" spans="1:16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0.1078050804481105</v>
      </c>
      <c r="H149" s="580">
        <f>G149+'[1]11'!H149</f>
        <v>1.1739127365317457</v>
      </c>
      <c r="I149" s="666"/>
      <c r="J149" s="673">
        <f>H149/DAY(B2)</f>
        <v>9.7826061377645476E-2</v>
      </c>
      <c r="N149" s="854">
        <v>0.10130083175200079</v>
      </c>
      <c r="O149" s="861">
        <f t="shared" si="19"/>
        <v>-6.5042486961097157E-3</v>
      </c>
      <c r="P149" s="410"/>
    </row>
    <row r="150" spans="1:16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1844.8799999999756</v>
      </c>
      <c r="H150" s="580">
        <f>G150+'[1]11'!H150</f>
        <v>27366.03999999995</v>
      </c>
      <c r="I150" s="666"/>
      <c r="J150" s="673">
        <f>H150/DAY(B2)</f>
        <v>2280.503333333329</v>
      </c>
      <c r="N150" s="854">
        <v>1083.9900000000052</v>
      </c>
      <c r="O150" s="861">
        <f t="shared" si="19"/>
        <v>-760.88999999997031</v>
      </c>
      <c r="P150" s="410"/>
    </row>
    <row r="151" spans="1:16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8.5052786870129335E-2</v>
      </c>
      <c r="H151" s="580">
        <f>G151+'[1]11'!H151</f>
        <v>1.330322225462808</v>
      </c>
      <c r="I151" s="600"/>
      <c r="J151" s="673">
        <f>H151/DAY(B2)</f>
        <v>0.110860185455234</v>
      </c>
      <c r="N151" s="854">
        <v>9.6120559703479075E-2</v>
      </c>
      <c r="O151" s="861">
        <f t="shared" si="19"/>
        <v>1.106777283334974E-2</v>
      </c>
      <c r="P151" s="410"/>
    </row>
    <row r="152" spans="1:16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1546.260000000002</v>
      </c>
      <c r="H152" s="580">
        <f>G152+'[1]11'!H152</f>
        <v>17781.902999999998</v>
      </c>
      <c r="I152" s="600"/>
      <c r="J152" s="673">
        <f>H152/DAY(B2)</f>
        <v>1481.8252499999999</v>
      </c>
      <c r="N152" s="854">
        <v>1101.7600000000093</v>
      </c>
      <c r="O152" s="861">
        <f t="shared" si="19"/>
        <v>-444.49999999999272</v>
      </c>
      <c r="P152" s="410"/>
    </row>
    <row r="153" spans="1:16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64">
        <f>G152/G9</f>
        <v>0.18224312283430982</v>
      </c>
      <c r="H153" s="580">
        <f>G153+'[1]11'!H153</f>
        <v>0.97968526622067054</v>
      </c>
      <c r="I153" s="689"/>
      <c r="J153" s="690">
        <f>H153/DAY(B2)</f>
        <v>8.1640438851722549E-2</v>
      </c>
      <c r="N153" s="854">
        <v>9.7696277510775462E-2</v>
      </c>
      <c r="O153" s="861">
        <f t="shared" si="19"/>
        <v>-8.4546845323534361E-2</v>
      </c>
      <c r="P153" s="410"/>
    </row>
    <row r="154" spans="1:16" x14ac:dyDescent="0.5">
      <c r="A154" s="586"/>
      <c r="B154" s="576"/>
      <c r="C154" s="576"/>
      <c r="D154" s="667"/>
      <c r="E154" s="667"/>
      <c r="F154" s="779"/>
      <c r="G154" s="667"/>
      <c r="H154" s="668"/>
      <c r="I154" s="667"/>
      <c r="J154" s="669"/>
      <c r="N154" s="854"/>
    </row>
    <row r="155" spans="1:16" x14ac:dyDescent="0.5">
      <c r="N155" s="854"/>
    </row>
    <row r="156" spans="1:16" x14ac:dyDescent="0.5">
      <c r="N156" s="854"/>
    </row>
    <row r="157" spans="1:16" x14ac:dyDescent="0.5">
      <c r="N157" s="854"/>
    </row>
    <row r="158" spans="1:16" x14ac:dyDescent="0.5">
      <c r="N158" s="854"/>
    </row>
    <row r="159" spans="1:16" x14ac:dyDescent="0.5">
      <c r="N159" s="854"/>
    </row>
    <row r="160" spans="1:16" x14ac:dyDescent="0.5">
      <c r="A160" s="925" t="s">
        <v>289</v>
      </c>
      <c r="B160" s="926"/>
      <c r="C160" s="926"/>
      <c r="D160" s="631" t="s">
        <v>214</v>
      </c>
      <c r="E160" s="944">
        <f>'[1]11'!F160</f>
        <v>24639.81</v>
      </c>
      <c r="F160" s="775">
        <v>24712.45</v>
      </c>
      <c r="G160" s="593">
        <f t="shared" ref="G160:G171" si="20">F160-E160</f>
        <v>72.639999999999418</v>
      </c>
      <c r="N160" s="854"/>
    </row>
    <row r="161" spans="1:14" x14ac:dyDescent="0.5">
      <c r="A161" s="925" t="s">
        <v>290</v>
      </c>
      <c r="B161" s="926"/>
      <c r="C161" s="926"/>
      <c r="D161" s="631" t="s">
        <v>214</v>
      </c>
      <c r="E161" s="944">
        <f>'[1]11'!F161</f>
        <v>17940.43</v>
      </c>
      <c r="F161" s="775">
        <v>18633.84</v>
      </c>
      <c r="G161" s="593">
        <f t="shared" si="20"/>
        <v>693.40999999999985</v>
      </c>
      <c r="N161" s="854"/>
    </row>
    <row r="162" spans="1:14" x14ac:dyDescent="0.5">
      <c r="A162" s="925" t="s">
        <v>291</v>
      </c>
      <c r="B162" s="926"/>
      <c r="C162" s="926"/>
      <c r="D162" s="631" t="s">
        <v>214</v>
      </c>
      <c r="E162" s="944">
        <f>'[1]11'!F162</f>
        <v>40502.370000000003</v>
      </c>
      <c r="F162" s="775">
        <v>40841.910000000003</v>
      </c>
      <c r="G162" s="593">
        <f t="shared" si="20"/>
        <v>339.54000000000087</v>
      </c>
      <c r="N162" s="854"/>
    </row>
    <row r="163" spans="1:14" x14ac:dyDescent="0.5">
      <c r="A163" s="925" t="s">
        <v>292</v>
      </c>
      <c r="B163" s="926"/>
      <c r="C163" s="926"/>
      <c r="D163" s="631" t="s">
        <v>214</v>
      </c>
      <c r="E163" s="944">
        <f>'[1]11'!F163</f>
        <v>3796.96</v>
      </c>
      <c r="F163" s="775">
        <v>3828.65</v>
      </c>
      <c r="G163" s="593">
        <f t="shared" si="20"/>
        <v>31.690000000000055</v>
      </c>
      <c r="N163" s="854"/>
    </row>
    <row r="164" spans="1:14" x14ac:dyDescent="0.4">
      <c r="A164" s="927" t="s">
        <v>121</v>
      </c>
      <c r="B164" s="725"/>
      <c r="C164" s="725"/>
      <c r="D164" s="631" t="s">
        <v>214</v>
      </c>
      <c r="E164" s="634">
        <f>E62</f>
        <v>20419</v>
      </c>
      <c r="F164" s="634">
        <f>F62</f>
        <v>20419</v>
      </c>
      <c r="G164" s="593">
        <f t="shared" si="20"/>
        <v>0</v>
      </c>
      <c r="N164" s="854"/>
    </row>
    <row r="165" spans="1:14" x14ac:dyDescent="0.4">
      <c r="A165" s="927" t="s">
        <v>215</v>
      </c>
      <c r="B165" s="725"/>
      <c r="C165" s="725"/>
      <c r="D165" s="631" t="s">
        <v>214</v>
      </c>
      <c r="E165" s="634">
        <f t="shared" ref="E165:F171" si="21">E63</f>
        <v>1013.65</v>
      </c>
      <c r="F165" s="634">
        <f t="shared" si="21"/>
        <v>1025.46</v>
      </c>
      <c r="G165" s="593">
        <f t="shared" si="20"/>
        <v>11.810000000000059</v>
      </c>
      <c r="N165" s="854"/>
    </row>
    <row r="166" spans="1:14" ht="33" customHeight="1" x14ac:dyDescent="0.5">
      <c r="A166" s="1450" t="s">
        <v>122</v>
      </c>
      <c r="B166" s="1450"/>
      <c r="C166" s="1450"/>
      <c r="D166" s="643" t="s">
        <v>214</v>
      </c>
      <c r="E166" s="634">
        <f t="shared" si="21"/>
        <v>90759.6</v>
      </c>
      <c r="F166" s="634">
        <f t="shared" si="21"/>
        <v>91117.63</v>
      </c>
      <c r="G166" s="593">
        <f t="shared" si="20"/>
        <v>358.02999999999884</v>
      </c>
      <c r="N166" s="854"/>
    </row>
    <row r="167" spans="1:14" ht="33" customHeight="1" x14ac:dyDescent="0.5">
      <c r="A167" s="1450" t="s">
        <v>123</v>
      </c>
      <c r="B167" s="1450"/>
      <c r="C167" s="1450"/>
      <c r="D167" s="643" t="s">
        <v>214</v>
      </c>
      <c r="E167" s="634">
        <f t="shared" si="21"/>
        <v>101060.87</v>
      </c>
      <c r="F167" s="634">
        <f t="shared" si="21"/>
        <v>101479.63</v>
      </c>
      <c r="G167" s="593">
        <f t="shared" si="20"/>
        <v>418.76000000000931</v>
      </c>
      <c r="N167" s="854"/>
    </row>
    <row r="168" spans="1:14" ht="41.25" customHeight="1" x14ac:dyDescent="0.5">
      <c r="A168" s="1450" t="s">
        <v>124</v>
      </c>
      <c r="B168" s="1450"/>
      <c r="C168" s="1450"/>
      <c r="D168" s="643" t="s">
        <v>214</v>
      </c>
      <c r="E168" s="634">
        <f t="shared" si="21"/>
        <v>94392.19</v>
      </c>
      <c r="F168" s="634">
        <f t="shared" si="21"/>
        <v>94808.26</v>
      </c>
      <c r="G168" s="593">
        <f t="shared" si="20"/>
        <v>416.06999999999243</v>
      </c>
      <c r="N168" s="854"/>
    </row>
    <row r="169" spans="1:14" ht="26.25" customHeight="1" x14ac:dyDescent="0.5">
      <c r="A169" s="1450" t="s">
        <v>125</v>
      </c>
      <c r="B169" s="1450"/>
      <c r="C169" s="1450"/>
      <c r="D169" s="643" t="s">
        <v>214</v>
      </c>
      <c r="E169" s="634">
        <f t="shared" si="21"/>
        <v>154102.15</v>
      </c>
      <c r="F169" s="634">
        <f t="shared" si="21"/>
        <v>154843.32999999999</v>
      </c>
      <c r="G169" s="593">
        <f t="shared" si="20"/>
        <v>741.17999999999302</v>
      </c>
      <c r="N169" s="854"/>
    </row>
    <row r="170" spans="1:14" ht="24" customHeight="1" x14ac:dyDescent="0.5">
      <c r="A170" s="1450" t="s">
        <v>126</v>
      </c>
      <c r="B170" s="1450"/>
      <c r="C170" s="1450"/>
      <c r="D170" s="643" t="s">
        <v>214</v>
      </c>
      <c r="E170" s="634">
        <f t="shared" si="21"/>
        <v>47122.6</v>
      </c>
      <c r="F170" s="634">
        <f t="shared" si="21"/>
        <v>47483.27</v>
      </c>
      <c r="G170" s="593">
        <f t="shared" si="20"/>
        <v>360.66999999999825</v>
      </c>
      <c r="N170" s="854"/>
    </row>
    <row r="171" spans="1:14" ht="27.75" x14ac:dyDescent="0.5">
      <c r="A171" s="1450" t="s">
        <v>127</v>
      </c>
      <c r="B171" s="1450"/>
      <c r="C171" s="1450"/>
      <c r="D171" s="643" t="s">
        <v>214</v>
      </c>
      <c r="E171" s="634">
        <f t="shared" si="21"/>
        <v>40779.85</v>
      </c>
      <c r="F171" s="634">
        <f t="shared" si="21"/>
        <v>41079.440000000002</v>
      </c>
      <c r="G171" s="593">
        <f t="shared" si="20"/>
        <v>299.59000000000378</v>
      </c>
      <c r="N171" s="854"/>
    </row>
    <row r="172" spans="1:14" x14ac:dyDescent="0.5">
      <c r="G172" s="660">
        <f>SUM(G160:G171)</f>
        <v>3743.3899999999958</v>
      </c>
      <c r="N172" s="854"/>
    </row>
    <row r="173" spans="1:14" x14ac:dyDescent="0.5">
      <c r="N173" s="854"/>
    </row>
    <row r="174" spans="1:14" x14ac:dyDescent="0.5">
      <c r="N174" s="854"/>
    </row>
    <row r="175" spans="1:14" x14ac:dyDescent="0.5">
      <c r="N175" s="854"/>
    </row>
    <row r="176" spans="1:14" ht="18.75" customHeight="1" x14ac:dyDescent="0.5">
      <c r="N176" s="854"/>
    </row>
    <row r="177" spans="14:14" ht="18.75" customHeight="1" x14ac:dyDescent="0.5">
      <c r="N177" s="854"/>
    </row>
    <row r="178" spans="14:14" ht="18.75" customHeight="1" x14ac:dyDescent="0.5">
      <c r="N178" s="854"/>
    </row>
    <row r="179" spans="14:14" ht="18" customHeight="1" x14ac:dyDescent="0.5">
      <c r="N179" s="854"/>
    </row>
    <row r="180" spans="14:14" ht="18.75" customHeight="1" x14ac:dyDescent="0.5">
      <c r="N180" s="854"/>
    </row>
    <row r="181" spans="14:14" ht="18.75" customHeight="1" x14ac:dyDescent="0.5">
      <c r="N181" s="854"/>
    </row>
    <row r="182" spans="14:14" ht="18" customHeight="1" x14ac:dyDescent="0.5">
      <c r="N182" s="854"/>
    </row>
    <row r="183" spans="14:14" ht="18" customHeight="1" x14ac:dyDescent="0.5">
      <c r="N183" s="854"/>
    </row>
    <row r="184" spans="14:14" ht="18" customHeight="1" x14ac:dyDescent="0.5">
      <c r="N184" s="854"/>
    </row>
    <row r="185" spans="14:14" ht="18" customHeight="1" x14ac:dyDescent="0.5">
      <c r="N185" s="854"/>
    </row>
    <row r="186" spans="14:14" ht="18" customHeight="1" x14ac:dyDescent="0.5">
      <c r="N186" s="854"/>
    </row>
    <row r="187" spans="14:14" ht="18" customHeight="1" x14ac:dyDescent="0.5">
      <c r="N187" s="854"/>
    </row>
    <row r="188" spans="14:14" ht="18" customHeight="1" x14ac:dyDescent="0.5">
      <c r="N188" s="854"/>
    </row>
    <row r="189" spans="14:14" ht="18.75" customHeight="1" x14ac:dyDescent="0.5">
      <c r="N189" s="854"/>
    </row>
    <row r="190" spans="14:14" ht="18.75" customHeight="1" x14ac:dyDescent="0.5">
      <c r="N190" s="854"/>
    </row>
    <row r="191" spans="14:14" ht="18.75" customHeight="1" x14ac:dyDescent="0.5">
      <c r="N191" s="854"/>
    </row>
    <row r="192" spans="14:14" ht="18.75" customHeight="1" x14ac:dyDescent="0.5">
      <c r="N192" s="854"/>
    </row>
    <row r="193" spans="14:14" ht="18.75" customHeight="1" x14ac:dyDescent="0.5">
      <c r="N193" s="854"/>
    </row>
    <row r="194" spans="14:14" ht="18.75" customHeight="1" x14ac:dyDescent="0.5">
      <c r="N194" s="854"/>
    </row>
    <row r="195" spans="14:14" ht="18.75" customHeight="1" x14ac:dyDescent="0.5">
      <c r="N195" s="854"/>
    </row>
    <row r="196" spans="14:14" ht="18.75" customHeight="1" x14ac:dyDescent="0.5">
      <c r="N196" s="854"/>
    </row>
    <row r="197" spans="14:14" ht="18.75" customHeight="1" x14ac:dyDescent="0.5">
      <c r="N197" s="854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zoomScale="55" zoomScaleSheetLayoutView="55" workbookViewId="0">
      <selection sqref="A1:XFD1048576"/>
    </sheetView>
  </sheetViews>
  <sheetFormatPr defaultColWidth="22.33203125" defaultRowHeight="29.25" x14ac:dyDescent="0.5"/>
  <cols>
    <col min="1" max="1" width="40.6640625" style="574" customWidth="1"/>
    <col min="2" max="2" width="28.5546875" style="577" customWidth="1"/>
    <col min="3" max="3" width="15.88671875" style="577" customWidth="1"/>
    <col min="4" max="4" width="13.6640625" style="658" customWidth="1"/>
    <col min="5" max="6" width="30" style="780" customWidth="1"/>
    <col min="7" max="7" width="28.109375" style="658" customWidth="1"/>
    <col min="8" max="8" width="27.33203125" style="659" customWidth="1"/>
    <col min="9" max="9" width="22.5546875" style="658" customWidth="1"/>
    <col min="10" max="10" width="24" style="660" customWidth="1"/>
    <col min="11" max="11" width="43.21875" style="404" hidden="1" customWidth="1"/>
    <col min="12" max="13" width="22.33203125" style="404" hidden="1" customWidth="1"/>
    <col min="14" max="14" width="25.5546875" style="852" customWidth="1"/>
    <col min="15" max="15" width="22.33203125" style="859"/>
    <col min="16" max="16384" width="22.33203125" style="404"/>
  </cols>
  <sheetData>
    <row r="1" spans="1:16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6" s="278" customFormat="1" ht="27" x14ac:dyDescent="0.5">
      <c r="A2" s="696" t="s">
        <v>300</v>
      </c>
      <c r="B2" s="1173">
        <v>44178</v>
      </c>
      <c r="C2" s="1361" t="s">
        <v>84</v>
      </c>
      <c r="D2" s="732">
        <v>0.5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  <c r="N2" s="853"/>
      <c r="O2" s="860"/>
    </row>
    <row r="3" spans="1:16" s="278" customFormat="1" ht="27" x14ac:dyDescent="0.5">
      <c r="A3" s="691"/>
      <c r="B3" s="735"/>
      <c r="C3" s="1361" t="s">
        <v>147</v>
      </c>
      <c r="D3" s="733">
        <v>28</v>
      </c>
      <c r="E3" s="1422" t="s">
        <v>148</v>
      </c>
      <c r="F3" s="1423"/>
      <c r="G3" s="582"/>
      <c r="H3" s="583"/>
      <c r="I3" s="583"/>
      <c r="J3" s="736"/>
      <c r="K3" s="399"/>
      <c r="L3" s="290"/>
      <c r="N3" s="853"/>
      <c r="O3" s="860"/>
    </row>
    <row r="4" spans="1:16" s="278" customFormat="1" ht="27" x14ac:dyDescent="0.5">
      <c r="A4" s="697"/>
      <c r="B4" s="737"/>
      <c r="C4" s="1361" t="s">
        <v>149</v>
      </c>
      <c r="D4" s="732">
        <v>0.78</v>
      </c>
      <c r="E4" s="584"/>
      <c r="F4" s="584"/>
      <c r="G4" s="584"/>
      <c r="H4" s="584"/>
      <c r="I4" s="585"/>
      <c r="J4" s="736"/>
      <c r="K4" s="400"/>
      <c r="L4" s="290"/>
      <c r="N4" s="853"/>
      <c r="O4" s="860"/>
    </row>
    <row r="5" spans="1:16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6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6" ht="30" thickBot="1" x14ac:dyDescent="0.45">
      <c r="A7" s="793" t="s">
        <v>158</v>
      </c>
      <c r="B7" s="794"/>
      <c r="C7" s="794"/>
      <c r="D7" s="759" t="s">
        <v>159</v>
      </c>
      <c r="E7" s="575">
        <f>'[1]12'!F7</f>
        <v>2914559</v>
      </c>
      <c r="F7" s="575">
        <v>2934513</v>
      </c>
      <c r="G7" s="795">
        <f>F7-E7</f>
        <v>19954</v>
      </c>
      <c r="H7" s="796">
        <f>G7+'[1]12'!H7</f>
        <v>266068</v>
      </c>
      <c r="I7" s="797">
        <f>'[5]1'!I7</f>
        <v>12000</v>
      </c>
      <c r="J7" s="798">
        <f>H7/DAY(B2)</f>
        <v>20466.76923076923</v>
      </c>
      <c r="K7" s="670"/>
      <c r="L7" s="405"/>
      <c r="N7" s="865">
        <f>G7/G8</f>
        <v>0.99204534155314705</v>
      </c>
      <c r="O7" s="861">
        <f>F7+200</f>
        <v>2934713</v>
      </c>
      <c r="P7" s="864"/>
    </row>
    <row r="8" spans="1:16" ht="27.75" thickBot="1" x14ac:dyDescent="0.45">
      <c r="A8" s="799" t="s">
        <v>160</v>
      </c>
      <c r="B8" s="800"/>
      <c r="C8" s="801"/>
      <c r="D8" s="802" t="s">
        <v>39</v>
      </c>
      <c r="E8" s="575">
        <f>'[1]12'!F8</f>
        <v>2931360</v>
      </c>
      <c r="F8" s="595">
        <v>2951474</v>
      </c>
      <c r="G8" s="806">
        <f>F8-E8</f>
        <v>20114</v>
      </c>
      <c r="H8" s="796">
        <f>G8+'[1]12'!H8</f>
        <v>268435</v>
      </c>
      <c r="I8" s="803">
        <f>'[5]1'!I8</f>
        <v>12000</v>
      </c>
      <c r="J8" s="798">
        <f>H8/DAY(B2)</f>
        <v>20648.846153846152</v>
      </c>
      <c r="K8" s="670"/>
      <c r="L8" s="460"/>
      <c r="M8" s="522"/>
      <c r="N8" s="854"/>
      <c r="O8" s="861">
        <f>F8+200</f>
        <v>2951674</v>
      </c>
      <c r="P8" s="410"/>
    </row>
    <row r="9" spans="1:16" x14ac:dyDescent="0.4">
      <c r="A9" s="804" t="s">
        <v>161</v>
      </c>
      <c r="B9" s="805"/>
      <c r="C9" s="805"/>
      <c r="D9" s="759" t="s">
        <v>159</v>
      </c>
      <c r="E9" s="575">
        <f>'[1]12'!F9</f>
        <v>2334906.5</v>
      </c>
      <c r="F9" s="598">
        <v>2342459</v>
      </c>
      <c r="G9" s="819">
        <f t="shared" ref="G9:G12" si="0">F9-E9</f>
        <v>7552.5</v>
      </c>
      <c r="H9" s="796">
        <f>G9+'[1]12'!H9</f>
        <v>85422.5</v>
      </c>
      <c r="I9" s="807">
        <f>I7-J7</f>
        <v>-8466.7692307692305</v>
      </c>
      <c r="J9" s="798">
        <f>H9/DAY(B2)</f>
        <v>6570.9615384615381</v>
      </c>
      <c r="K9" s="508"/>
      <c r="L9" s="405"/>
      <c r="N9" s="854"/>
      <c r="O9" s="861"/>
      <c r="P9" s="410"/>
    </row>
    <row r="10" spans="1:16" x14ac:dyDescent="0.4">
      <c r="A10" s="793" t="s">
        <v>162</v>
      </c>
      <c r="B10" s="794"/>
      <c r="C10" s="794"/>
      <c r="D10" s="759" t="s">
        <v>159</v>
      </c>
      <c r="E10" s="575">
        <f>'[1]12'!F10</f>
        <v>462554.63</v>
      </c>
      <c r="F10" s="598">
        <v>474270</v>
      </c>
      <c r="G10" s="806">
        <f t="shared" si="0"/>
        <v>11715.369999999995</v>
      </c>
      <c r="H10" s="796">
        <f>G10+'[1]12'!H10</f>
        <v>171319.71000000002</v>
      </c>
      <c r="I10" s="808"/>
      <c r="J10" s="798">
        <f>H10/DAY(B2)</f>
        <v>13178.439230769232</v>
      </c>
      <c r="K10" s="508"/>
      <c r="L10" s="405"/>
      <c r="N10" s="854"/>
      <c r="O10" s="861"/>
      <c r="P10" s="410"/>
    </row>
    <row r="11" spans="1:16" x14ac:dyDescent="0.4">
      <c r="A11" s="793" t="s">
        <v>163</v>
      </c>
      <c r="B11" s="794"/>
      <c r="C11" s="794"/>
      <c r="D11" s="759" t="s">
        <v>159</v>
      </c>
      <c r="E11" s="575">
        <f>'[1]12'!F11</f>
        <v>35390</v>
      </c>
      <c r="F11" s="575">
        <v>35390</v>
      </c>
      <c r="G11" s="806">
        <f t="shared" si="0"/>
        <v>0</v>
      </c>
      <c r="H11" s="796">
        <f>G11+'[1]12'!H11</f>
        <v>0</v>
      </c>
      <c r="I11" s="808"/>
      <c r="J11" s="798">
        <f>H11/DAY(B2)</f>
        <v>0</v>
      </c>
      <c r="K11" s="508"/>
      <c r="L11" s="405"/>
      <c r="N11" s="854"/>
      <c r="O11" s="861"/>
      <c r="P11" s="410"/>
    </row>
    <row r="12" spans="1:16" x14ac:dyDescent="0.4">
      <c r="A12" s="793" t="s">
        <v>164</v>
      </c>
      <c r="B12" s="794"/>
      <c r="C12" s="794"/>
      <c r="D12" s="759" t="s">
        <v>159</v>
      </c>
      <c r="E12" s="575">
        <f>'[1]12'!F12</f>
        <v>37630</v>
      </c>
      <c r="F12" s="598">
        <v>37630</v>
      </c>
      <c r="G12" s="806">
        <f t="shared" si="0"/>
        <v>0</v>
      </c>
      <c r="H12" s="796">
        <f>G12+'[1]12'!H12</f>
        <v>0</v>
      </c>
      <c r="I12" s="808"/>
      <c r="J12" s="798">
        <f>H12/DAY(B2)</f>
        <v>0</v>
      </c>
      <c r="K12" s="508"/>
      <c r="L12" s="405"/>
      <c r="N12" s="854"/>
      <c r="O12" s="861"/>
      <c r="P12" s="410"/>
    </row>
    <row r="13" spans="1:16" x14ac:dyDescent="0.5">
      <c r="A13" s="809" t="s">
        <v>165</v>
      </c>
      <c r="B13" s="810"/>
      <c r="C13" s="810"/>
      <c r="D13" s="759"/>
      <c r="E13" s="575"/>
      <c r="F13" s="575"/>
      <c r="G13" s="811">
        <f>G9+G10+G11+G12</f>
        <v>19267.869999999995</v>
      </c>
      <c r="H13" s="796">
        <f>G13+'[1]12'!H13</f>
        <v>234882.90000000002</v>
      </c>
      <c r="I13" s="812">
        <f>G7-G13</f>
        <v>686.13000000000466</v>
      </c>
      <c r="J13" s="798">
        <f>H13/DAY(B2)</f>
        <v>18067.915384615386</v>
      </c>
      <c r="K13" s="508"/>
      <c r="L13" s="405"/>
      <c r="N13" s="854"/>
      <c r="O13" s="861"/>
      <c r="P13" s="410"/>
    </row>
    <row r="14" spans="1:16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854"/>
      <c r="O14" s="861"/>
      <c r="P14" s="410"/>
    </row>
    <row r="15" spans="1:16" x14ac:dyDescent="0.5">
      <c r="A15" s="933" t="s">
        <v>167</v>
      </c>
      <c r="B15" s="934"/>
      <c r="C15" s="934"/>
      <c r="D15" s="644" t="s">
        <v>168</v>
      </c>
      <c r="E15" s="605">
        <f>'[1]12'!F15</f>
        <v>1555337</v>
      </c>
      <c r="F15" s="605">
        <v>1556124</v>
      </c>
      <c r="G15" s="781">
        <f>(F15-E15)</f>
        <v>787</v>
      </c>
      <c r="H15" s="796">
        <f>G15+'[1]12'!H15</f>
        <v>9226.3989999999758</v>
      </c>
      <c r="I15" s="594">
        <v>800</v>
      </c>
      <c r="J15" s="674">
        <f>H15/DAY(B2)</f>
        <v>709.72299999999814</v>
      </c>
      <c r="K15" s="508"/>
      <c r="L15" s="405"/>
      <c r="N15" s="854"/>
      <c r="O15" s="861"/>
      <c r="P15" s="410"/>
    </row>
    <row r="16" spans="1:16" x14ac:dyDescent="0.4">
      <c r="A16" s="708"/>
      <c r="B16" s="709"/>
      <c r="C16" s="709"/>
      <c r="D16" s="644"/>
      <c r="E16" s="605"/>
      <c r="F16" s="605"/>
      <c r="G16" s="786"/>
      <c r="H16" s="606"/>
      <c r="I16" s="602">
        <f>I15-J15</f>
        <v>90.277000000001863</v>
      </c>
      <c r="J16" s="674"/>
      <c r="K16" s="508"/>
      <c r="L16" s="405"/>
      <c r="N16" s="854"/>
      <c r="O16" s="861"/>
      <c r="P16" s="410"/>
    </row>
    <row r="17" spans="1:16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854"/>
      <c r="O17" s="861"/>
      <c r="P17" s="410"/>
    </row>
    <row r="18" spans="1:16" ht="27.75" x14ac:dyDescent="0.5">
      <c r="A18" s="1460" t="s">
        <v>170</v>
      </c>
      <c r="B18" s="1461"/>
      <c r="C18" s="1462"/>
      <c r="D18" s="759" t="s">
        <v>171</v>
      </c>
      <c r="E18" s="598">
        <f>'[1]12'!F18</f>
        <v>22</v>
      </c>
      <c r="F18" s="598">
        <v>18</v>
      </c>
      <c r="G18" s="811">
        <f>F18*10</f>
        <v>180</v>
      </c>
      <c r="H18" s="796">
        <f>G18+'[1]12'!H18</f>
        <v>1830</v>
      </c>
      <c r="I18" s="797">
        <f>'[5]1'!I18</f>
        <v>65</v>
      </c>
      <c r="J18" s="798">
        <f>H18/DAY(B2)</f>
        <v>140.76923076923077</v>
      </c>
      <c r="K18" s="508"/>
      <c r="L18" s="405"/>
      <c r="N18" s="854"/>
      <c r="O18" s="861"/>
      <c r="P18" s="410"/>
    </row>
    <row r="19" spans="1:16" ht="27.75" x14ac:dyDescent="0.5">
      <c r="A19" s="1460" t="s">
        <v>86</v>
      </c>
      <c r="B19" s="1461"/>
      <c r="C19" s="1462"/>
      <c r="D19" s="759" t="s">
        <v>171</v>
      </c>
      <c r="E19" s="598">
        <f>'[1]12'!F19</f>
        <v>130449</v>
      </c>
      <c r="F19" s="598">
        <v>130505</v>
      </c>
      <c r="G19" s="806">
        <f t="shared" ref="G19" si="1">F19-E19</f>
        <v>56</v>
      </c>
      <c r="H19" s="796">
        <f>G19+'[1]12'!H19</f>
        <v>704</v>
      </c>
      <c r="I19" s="813"/>
      <c r="J19" s="798">
        <f>H19/DAY(B2)</f>
        <v>54.153846153846153</v>
      </c>
      <c r="K19" s="508"/>
      <c r="L19" s="405"/>
      <c r="N19" s="854"/>
      <c r="O19" s="861"/>
      <c r="P19" s="410"/>
    </row>
    <row r="20" spans="1:16" x14ac:dyDescent="0.5">
      <c r="A20" s="809" t="s">
        <v>172</v>
      </c>
      <c r="B20" s="810"/>
      <c r="C20" s="810"/>
      <c r="D20" s="759"/>
      <c r="E20" s="845"/>
      <c r="F20" s="845" t="s">
        <v>143</v>
      </c>
      <c r="G20" s="814">
        <f>G18+G19</f>
        <v>236</v>
      </c>
      <c r="H20" s="796">
        <f>G20+'[1]12'!H20</f>
        <v>2534</v>
      </c>
      <c r="I20" s="815">
        <f>I18-J20</f>
        <v>-129.92307692307693</v>
      </c>
      <c r="J20" s="798">
        <f>H20/DAY(B2)</f>
        <v>194.92307692307693</v>
      </c>
      <c r="K20" s="508"/>
      <c r="L20" s="405"/>
      <c r="N20" s="854"/>
      <c r="O20" s="861"/>
      <c r="P20" s="410"/>
    </row>
    <row r="21" spans="1:16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854"/>
      <c r="O21" s="861"/>
      <c r="P21" s="410"/>
    </row>
    <row r="22" spans="1:16" x14ac:dyDescent="0.5">
      <c r="A22" s="1354" t="s">
        <v>174</v>
      </c>
      <c r="B22" s="710"/>
      <c r="C22" s="710"/>
      <c r="D22" s="643" t="s">
        <v>175</v>
      </c>
      <c r="E22" s="598">
        <f>'[1]12'!F22</f>
        <v>2250</v>
      </c>
      <c r="F22" s="598">
        <v>2250</v>
      </c>
      <c r="G22" s="601">
        <f t="shared" ref="G22" si="2">(F22-E22)</f>
        <v>0</v>
      </c>
      <c r="H22" s="796">
        <f>G22+'[1]12'!H22</f>
        <v>0</v>
      </c>
      <c r="I22" s="600"/>
      <c r="J22" s="673">
        <f>H22/DAY(B2)</f>
        <v>0</v>
      </c>
      <c r="K22" s="508"/>
      <c r="L22" s="405"/>
      <c r="N22" s="854"/>
      <c r="O22" s="861"/>
      <c r="P22" s="410"/>
    </row>
    <row r="23" spans="1:16" x14ac:dyDescent="0.5">
      <c r="A23" s="1354" t="s">
        <v>176</v>
      </c>
      <c r="B23" s="710"/>
      <c r="C23" s="710"/>
      <c r="D23" s="643" t="s">
        <v>175</v>
      </c>
      <c r="E23" s="598">
        <f>'[1]12'!F23</f>
        <v>2000</v>
      </c>
      <c r="F23" s="598">
        <v>2000</v>
      </c>
      <c r="G23" s="601">
        <v>0</v>
      </c>
      <c r="H23" s="796">
        <f>G23+'[1]12'!H23</f>
        <v>0</v>
      </c>
      <c r="I23" s="600"/>
      <c r="J23" s="673">
        <f>H23/DAY(B2)</f>
        <v>0</v>
      </c>
      <c r="K23" s="508"/>
      <c r="L23" s="405"/>
      <c r="N23" s="854"/>
      <c r="O23" s="861"/>
      <c r="P23" s="410"/>
    </row>
    <row r="24" spans="1:16" x14ac:dyDescent="0.4">
      <c r="A24" s="711" t="s">
        <v>177</v>
      </c>
      <c r="B24" s="712"/>
      <c r="C24" s="712"/>
      <c r="D24" s="631" t="s">
        <v>175</v>
      </c>
      <c r="E24" s="605">
        <f>'[1]12'!F24</f>
        <v>4250</v>
      </c>
      <c r="F24" s="1197">
        <v>4250</v>
      </c>
      <c r="G24" s="601">
        <v>0</v>
      </c>
      <c r="H24" s="796">
        <f>G24+'[1]12'!H24</f>
        <v>0</v>
      </c>
      <c r="I24" s="600"/>
      <c r="J24" s="673">
        <f>H24/DAY(B2)</f>
        <v>0</v>
      </c>
      <c r="K24" s="508"/>
      <c r="L24" s="405"/>
      <c r="N24" s="854"/>
      <c r="O24" s="861"/>
      <c r="P24" s="410"/>
    </row>
    <row r="25" spans="1:16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854"/>
      <c r="O25" s="861"/>
      <c r="P25" s="410"/>
    </row>
    <row r="26" spans="1:16" s="524" customFormat="1" ht="27.75" x14ac:dyDescent="0.5">
      <c r="A26" s="713" t="s">
        <v>179</v>
      </c>
      <c r="B26" s="714"/>
      <c r="C26" s="715"/>
      <c r="D26" s="739" t="s">
        <v>180</v>
      </c>
      <c r="E26" s="575"/>
      <c r="F26" s="575"/>
      <c r="G26" s="618"/>
      <c r="H26" s="580"/>
      <c r="I26" s="619"/>
      <c r="J26" s="673"/>
      <c r="K26" s="402"/>
      <c r="L26" s="527"/>
      <c r="N26" s="854"/>
      <c r="O26" s="861"/>
      <c r="P26" s="410"/>
    </row>
    <row r="27" spans="1:16" s="524" customFormat="1" ht="27.75" x14ac:dyDescent="0.5">
      <c r="A27" s="713" t="s">
        <v>20</v>
      </c>
      <c r="B27" s="714"/>
      <c r="C27" s="715"/>
      <c r="D27" s="740" t="s">
        <v>39</v>
      </c>
      <c r="E27" s="621">
        <f>G8</f>
        <v>20114</v>
      </c>
      <c r="F27" s="621">
        <v>9.5</v>
      </c>
      <c r="G27" s="622">
        <f>E27*F27</f>
        <v>191083</v>
      </c>
      <c r="H27" s="796">
        <f>G27+'[1]12'!H27</f>
        <v>2550132.5</v>
      </c>
      <c r="I27" s="623"/>
      <c r="J27" s="673">
        <f>H27/DAY(B2)</f>
        <v>196164.03846153847</v>
      </c>
      <c r="K27" s="401"/>
      <c r="L27" s="527"/>
      <c r="N27" s="854"/>
      <c r="O27" s="861"/>
      <c r="P27" s="410"/>
    </row>
    <row r="28" spans="1:16" s="524" customFormat="1" ht="27.75" x14ac:dyDescent="0.5">
      <c r="A28" s="713" t="s">
        <v>181</v>
      </c>
      <c r="B28" s="714"/>
      <c r="C28" s="715"/>
      <c r="D28" s="740" t="s">
        <v>182</v>
      </c>
      <c r="E28" s="621">
        <f>G15</f>
        <v>787</v>
      </c>
      <c r="F28" s="621">
        <v>36.5</v>
      </c>
      <c r="G28" s="622">
        <f>E28*F28</f>
        <v>28725.5</v>
      </c>
      <c r="H28" s="796">
        <f>G28+'[1]12'!H28</f>
        <v>336763.56349999912</v>
      </c>
      <c r="I28" s="625"/>
      <c r="J28" s="673">
        <f>H28/DAY(B2)</f>
        <v>25904.889499999932</v>
      </c>
      <c r="K28" s="401"/>
      <c r="L28" s="527"/>
      <c r="N28" s="854"/>
      <c r="O28" s="861"/>
      <c r="P28" s="410"/>
    </row>
    <row r="29" spans="1:16" s="524" customFormat="1" ht="27.75" x14ac:dyDescent="0.5">
      <c r="A29" s="713" t="s">
        <v>183</v>
      </c>
      <c r="B29" s="714"/>
      <c r="C29" s="715"/>
      <c r="D29" s="740" t="s">
        <v>184</v>
      </c>
      <c r="E29" s="621">
        <f>G24</f>
        <v>0</v>
      </c>
      <c r="F29" s="621">
        <v>69</v>
      </c>
      <c r="G29" s="622">
        <f>E29*F29</f>
        <v>0</v>
      </c>
      <c r="H29" s="796">
        <f>G29+'[1]12'!H29</f>
        <v>0</v>
      </c>
      <c r="I29" s="625"/>
      <c r="J29" s="673">
        <f>H29/DAY(B2)</f>
        <v>0</v>
      </c>
      <c r="K29" s="401"/>
      <c r="L29" s="527"/>
      <c r="N29" s="854"/>
      <c r="O29" s="861"/>
      <c r="P29" s="410"/>
    </row>
    <row r="30" spans="1:16" s="524" customFormat="1" ht="27.75" x14ac:dyDescent="0.5">
      <c r="A30" s="713" t="s">
        <v>185</v>
      </c>
      <c r="B30" s="714"/>
      <c r="C30" s="715"/>
      <c r="D30" s="740" t="s">
        <v>186</v>
      </c>
      <c r="E30" s="621">
        <f>G19</f>
        <v>56</v>
      </c>
      <c r="F30" s="621">
        <v>145</v>
      </c>
      <c r="G30" s="622">
        <f>E30*F30</f>
        <v>8120</v>
      </c>
      <c r="H30" s="796">
        <f>G30+'[1]12'!H30</f>
        <v>102080</v>
      </c>
      <c r="I30" s="625"/>
      <c r="J30" s="673">
        <f>H30/DAY(B2)</f>
        <v>7852.3076923076924</v>
      </c>
      <c r="K30" s="401"/>
      <c r="L30" s="527"/>
      <c r="N30" s="854"/>
      <c r="O30" s="861"/>
      <c r="P30" s="410"/>
    </row>
    <row r="31" spans="1:16" s="524" customFormat="1" ht="27.75" x14ac:dyDescent="0.5">
      <c r="A31" s="713" t="s">
        <v>187</v>
      </c>
      <c r="B31" s="714"/>
      <c r="C31" s="715"/>
      <c r="D31" s="740" t="s">
        <v>171</v>
      </c>
      <c r="E31" s="621">
        <f>G18</f>
        <v>180</v>
      </c>
      <c r="F31" s="621">
        <v>80</v>
      </c>
      <c r="G31" s="622">
        <f>E31*F31</f>
        <v>14400</v>
      </c>
      <c r="H31" s="796">
        <f>G31+'[1]12'!H31</f>
        <v>144800</v>
      </c>
      <c r="I31" s="625"/>
      <c r="J31" s="673">
        <f>H31/DAY(B2)</f>
        <v>11138.461538461539</v>
      </c>
      <c r="K31" s="401"/>
      <c r="L31" s="527"/>
      <c r="N31" s="854"/>
      <c r="O31" s="861"/>
      <c r="P31" s="410"/>
    </row>
    <row r="32" spans="1:16" s="524" customFormat="1" ht="27.75" x14ac:dyDescent="0.5">
      <c r="A32" s="716" t="s">
        <v>188</v>
      </c>
      <c r="B32" s="717"/>
      <c r="C32" s="718"/>
      <c r="D32" s="627"/>
      <c r="E32" s="644"/>
      <c r="F32" s="644"/>
      <c r="G32" s="628">
        <f>G27+G28+G29+G30+G31</f>
        <v>242328.5</v>
      </c>
      <c r="H32" s="796">
        <f>G32+'[1]12'!H32</f>
        <v>3133776.0634999992</v>
      </c>
      <c r="I32" s="629"/>
      <c r="J32" s="673">
        <f>H32/DAY(B2)</f>
        <v>241059.69719230762</v>
      </c>
      <c r="K32" s="401"/>
      <c r="L32" s="527"/>
      <c r="N32" s="854"/>
      <c r="O32" s="861"/>
      <c r="P32" s="410"/>
    </row>
    <row r="33" spans="1:16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854"/>
      <c r="O33" s="861"/>
      <c r="P33" s="410"/>
    </row>
    <row r="34" spans="1:16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854"/>
      <c r="O34" s="861"/>
      <c r="P34" s="410"/>
    </row>
    <row r="35" spans="1:16" x14ac:dyDescent="0.4">
      <c r="A35" s="699" t="s">
        <v>191</v>
      </c>
      <c r="B35" s="700"/>
      <c r="C35" s="700"/>
      <c r="D35" s="643" t="s">
        <v>159</v>
      </c>
      <c r="E35" s="630">
        <f>'[1]12'!F35</f>
        <v>629027.67000000004</v>
      </c>
      <c r="F35" s="630">
        <v>629027.67000000004</v>
      </c>
      <c r="G35" s="593">
        <f t="shared" ref="G35:G46" si="3">F35-E35</f>
        <v>0</v>
      </c>
      <c r="H35" s="796">
        <f>G35+'[1]12'!H35</f>
        <v>0</v>
      </c>
      <c r="I35" s="575"/>
      <c r="J35" s="673">
        <f>H35/DAY(B2)</f>
        <v>0</v>
      </c>
      <c r="K35" s="508"/>
      <c r="L35" s="405"/>
      <c r="N35" s="854"/>
      <c r="O35" s="862"/>
      <c r="P35" s="410"/>
    </row>
    <row r="36" spans="1:16" x14ac:dyDescent="0.4">
      <c r="A36" s="699" t="s">
        <v>192</v>
      </c>
      <c r="B36" s="700"/>
      <c r="C36" s="700"/>
      <c r="D36" s="643" t="s">
        <v>159</v>
      </c>
      <c r="E36" s="630">
        <f>'[1]12'!F36</f>
        <v>240069.07</v>
      </c>
      <c r="F36" s="630">
        <v>240701.63</v>
      </c>
      <c r="G36" s="593">
        <f t="shared" si="3"/>
        <v>632.55999999999767</v>
      </c>
      <c r="H36" s="796">
        <f>G36+'[1]12'!H36</f>
        <v>11615.899999999994</v>
      </c>
      <c r="I36" s="575"/>
      <c r="J36" s="673">
        <f>H36/DAY(B2)</f>
        <v>893.53076923076878</v>
      </c>
      <c r="K36" s="508"/>
      <c r="L36" s="405"/>
      <c r="N36" s="855"/>
      <c r="O36" s="862"/>
      <c r="P36" s="410"/>
    </row>
    <row r="37" spans="1:16" x14ac:dyDescent="0.4">
      <c r="A37" s="699" t="s">
        <v>193</v>
      </c>
      <c r="B37" s="700"/>
      <c r="C37" s="700"/>
      <c r="D37" s="643" t="s">
        <v>159</v>
      </c>
      <c r="E37" s="630">
        <f>'[1]12'!F37</f>
        <v>415066</v>
      </c>
      <c r="F37" s="630">
        <v>415066</v>
      </c>
      <c r="G37" s="593">
        <f t="shared" si="3"/>
        <v>0</v>
      </c>
      <c r="H37" s="796">
        <f>G37+'[1]12'!H37</f>
        <v>0</v>
      </c>
      <c r="I37" s="575"/>
      <c r="J37" s="673">
        <f>H37/DAY(B2)</f>
        <v>0</v>
      </c>
      <c r="K37" s="508"/>
      <c r="L37" s="405"/>
      <c r="N37" s="855"/>
      <c r="O37" s="862"/>
      <c r="P37" s="410"/>
    </row>
    <row r="38" spans="1:16" x14ac:dyDescent="0.4">
      <c r="A38" s="699" t="s">
        <v>194</v>
      </c>
      <c r="B38" s="700"/>
      <c r="C38" s="700"/>
      <c r="D38" s="643" t="s">
        <v>159</v>
      </c>
      <c r="E38" s="630">
        <f>'[1]12'!F38</f>
        <v>150714</v>
      </c>
      <c r="F38" s="589">
        <v>150714</v>
      </c>
      <c r="G38" s="593">
        <f t="shared" si="3"/>
        <v>0</v>
      </c>
      <c r="H38" s="796">
        <f>G38+'[1]12'!H38</f>
        <v>0</v>
      </c>
      <c r="I38" s="575"/>
      <c r="J38" s="673">
        <f>H38/DAY(B2)</f>
        <v>0</v>
      </c>
      <c r="K38" s="508"/>
      <c r="L38" s="405"/>
      <c r="N38" s="854"/>
      <c r="O38" s="861"/>
      <c r="P38" s="410"/>
    </row>
    <row r="39" spans="1:16" x14ac:dyDescent="0.4">
      <c r="A39" s="699" t="s">
        <v>195</v>
      </c>
      <c r="B39" s="700"/>
      <c r="C39" s="700"/>
      <c r="D39" s="643" t="s">
        <v>159</v>
      </c>
      <c r="E39" s="630">
        <f>'[1]12'!F39</f>
        <v>912480</v>
      </c>
      <c r="F39" s="630">
        <v>912480</v>
      </c>
      <c r="G39" s="593">
        <f t="shared" si="3"/>
        <v>0</v>
      </c>
      <c r="H39" s="796">
        <f>G39+'[1]12'!H39</f>
        <v>0</v>
      </c>
      <c r="I39" s="575"/>
      <c r="J39" s="673">
        <f>H39/DAY(B2)</f>
        <v>0</v>
      </c>
      <c r="K39" s="508"/>
      <c r="L39" s="405"/>
      <c r="N39" s="854"/>
      <c r="O39" s="862"/>
      <c r="P39" s="410"/>
    </row>
    <row r="40" spans="1:16" x14ac:dyDescent="0.4">
      <c r="A40" s="720" t="s">
        <v>196</v>
      </c>
      <c r="B40" s="721"/>
      <c r="C40" s="721"/>
      <c r="D40" s="643" t="s">
        <v>159</v>
      </c>
      <c r="E40" s="630">
        <f>'[1]12'!F40</f>
        <v>0.17</v>
      </c>
      <c r="F40" s="630">
        <v>0.17</v>
      </c>
      <c r="G40" s="593">
        <f t="shared" si="3"/>
        <v>0</v>
      </c>
      <c r="H40" s="796">
        <f>G40+'[1]12'!H40</f>
        <v>0</v>
      </c>
      <c r="I40" s="575"/>
      <c r="J40" s="673">
        <f>H40/DAY(B2)</f>
        <v>0</v>
      </c>
      <c r="K40" s="509"/>
      <c r="L40" s="405"/>
      <c r="N40" s="854"/>
      <c r="O40" s="861"/>
      <c r="P40" s="410"/>
    </row>
    <row r="41" spans="1:16" x14ac:dyDescent="0.4">
      <c r="A41" s="699" t="s">
        <v>197</v>
      </c>
      <c r="B41" s="700"/>
      <c r="C41" s="700"/>
      <c r="D41" s="643" t="s">
        <v>159</v>
      </c>
      <c r="E41" s="630">
        <f>'[1]12'!F41</f>
        <v>300127.90000000002</v>
      </c>
      <c r="F41" s="630">
        <v>300127.95</v>
      </c>
      <c r="G41" s="593">
        <f t="shared" si="3"/>
        <v>4.9999999988358468E-2</v>
      </c>
      <c r="H41" s="796">
        <f>G41+'[1]12'!H41</f>
        <v>0</v>
      </c>
      <c r="I41" s="575"/>
      <c r="J41" s="673">
        <f>H41/DAY(B2)</f>
        <v>0</v>
      </c>
      <c r="K41" s="508"/>
      <c r="L41" s="405"/>
      <c r="N41" s="854"/>
      <c r="O41" s="863"/>
      <c r="P41" s="857"/>
    </row>
    <row r="42" spans="1:16" x14ac:dyDescent="0.4">
      <c r="A42" s="699" t="s">
        <v>198</v>
      </c>
      <c r="B42" s="700"/>
      <c r="C42" s="700"/>
      <c r="D42" s="643" t="s">
        <v>159</v>
      </c>
      <c r="E42" s="630">
        <f>'[1]12'!F42</f>
        <v>41249.15</v>
      </c>
      <c r="F42" s="630">
        <v>45867.48</v>
      </c>
      <c r="G42" s="593">
        <f t="shared" si="3"/>
        <v>4618.3300000000017</v>
      </c>
      <c r="H42" s="796">
        <f>G42+'[1]12'!H42</f>
        <v>45867.48</v>
      </c>
      <c r="I42" s="575"/>
      <c r="J42" s="673">
        <f>H42/DAY(B2)</f>
        <v>3528.2676923076924</v>
      </c>
      <c r="K42" s="508"/>
      <c r="L42" s="405"/>
      <c r="N42" s="854"/>
      <c r="O42" s="861"/>
      <c r="P42" s="410"/>
    </row>
    <row r="43" spans="1:16" x14ac:dyDescent="0.4">
      <c r="A43" s="699" t="s">
        <v>199</v>
      </c>
      <c r="B43" s="700"/>
      <c r="C43" s="700"/>
      <c r="D43" s="643" t="s">
        <v>159</v>
      </c>
      <c r="E43" s="630">
        <f>'[1]12'!F43</f>
        <v>658621.59</v>
      </c>
      <c r="F43" s="630">
        <v>661049.47</v>
      </c>
      <c r="G43" s="593">
        <f t="shared" si="3"/>
        <v>2427.8800000000047</v>
      </c>
      <c r="H43" s="796">
        <f>G43+'[1]12'!H43</f>
        <v>30300.159999999916</v>
      </c>
      <c r="I43" s="575"/>
      <c r="J43" s="673">
        <f>H43/DAY(B2)</f>
        <v>2330.7815384615319</v>
      </c>
      <c r="K43" s="508"/>
      <c r="L43" s="405"/>
      <c r="N43" s="854"/>
      <c r="O43" s="862"/>
      <c r="P43" s="410"/>
    </row>
    <row r="44" spans="1:16" x14ac:dyDescent="0.4">
      <c r="A44" s="699" t="s">
        <v>200</v>
      </c>
      <c r="B44" s="700"/>
      <c r="C44" s="700"/>
      <c r="D44" s="643" t="s">
        <v>159</v>
      </c>
      <c r="E44" s="630">
        <f>'[1]12'!F44</f>
        <v>0</v>
      </c>
      <c r="F44" s="630">
        <v>0</v>
      </c>
      <c r="G44" s="593">
        <f t="shared" si="3"/>
        <v>0</v>
      </c>
      <c r="H44" s="796">
        <f>G44+'[1]12'!H44</f>
        <v>0</v>
      </c>
      <c r="I44" s="575"/>
      <c r="J44" s="673">
        <f>H44/DAY(B2)</f>
        <v>0</v>
      </c>
      <c r="K44" s="508"/>
      <c r="L44" s="405"/>
      <c r="N44" s="854"/>
      <c r="O44" s="861"/>
      <c r="P44" s="410"/>
    </row>
    <row r="45" spans="1:16" x14ac:dyDescent="0.4">
      <c r="A45" s="699" t="s">
        <v>201</v>
      </c>
      <c r="B45" s="700"/>
      <c r="C45" s="700"/>
      <c r="D45" s="643" t="s">
        <v>159</v>
      </c>
      <c r="E45" s="630">
        <f>'[1]12'!F45</f>
        <v>614</v>
      </c>
      <c r="F45" s="630">
        <v>614</v>
      </c>
      <c r="G45" s="593">
        <f t="shared" si="3"/>
        <v>0</v>
      </c>
      <c r="H45" s="796">
        <f>G45+'[1]12'!H45</f>
        <v>-0.48000000000001819</v>
      </c>
      <c r="I45" s="575"/>
      <c r="J45" s="673">
        <f>H45/DAY(B2)</f>
        <v>-3.6923076923078321E-2</v>
      </c>
      <c r="K45" s="508"/>
      <c r="L45" s="405"/>
      <c r="N45" s="858"/>
      <c r="O45" s="861"/>
      <c r="P45" s="410"/>
    </row>
    <row r="46" spans="1:16" x14ac:dyDescent="0.4">
      <c r="A46" s="699" t="s">
        <v>202</v>
      </c>
      <c r="B46" s="700"/>
      <c r="C46" s="700"/>
      <c r="D46" s="643" t="s">
        <v>159</v>
      </c>
      <c r="E46" s="630">
        <f>'[1]12'!F46</f>
        <v>187.49</v>
      </c>
      <c r="F46" s="630">
        <v>187.49</v>
      </c>
      <c r="G46" s="593">
        <f t="shared" si="3"/>
        <v>0</v>
      </c>
      <c r="H46" s="796">
        <f>G46+'[1]12'!H46</f>
        <v>0</v>
      </c>
      <c r="I46" s="575"/>
      <c r="J46" s="673">
        <f>H46/DAY(B2)</f>
        <v>0</v>
      </c>
      <c r="K46" s="508"/>
      <c r="L46" s="405"/>
      <c r="N46" s="854"/>
      <c r="O46" s="861"/>
      <c r="P46" s="410"/>
    </row>
    <row r="47" spans="1:16" x14ac:dyDescent="0.5">
      <c r="A47" s="706" t="s">
        <v>203</v>
      </c>
      <c r="B47" s="707"/>
      <c r="C47" s="707"/>
      <c r="D47" s="590"/>
      <c r="E47" s="631"/>
      <c r="F47" s="631" t="s">
        <v>296</v>
      </c>
      <c r="G47" s="601">
        <f>G35+G36+G37+G38+G39+G40+G41+G42+G43+G44+G45+G46</f>
        <v>7678.8199999999924</v>
      </c>
      <c r="H47" s="796">
        <f>G47+'[1]12'!H47</f>
        <v>87783.059999999896</v>
      </c>
      <c r="I47" s="575"/>
      <c r="J47" s="673">
        <f>H47/DAY(B2)</f>
        <v>6752.5430769230688</v>
      </c>
      <c r="K47" s="508"/>
      <c r="L47" s="405"/>
      <c r="N47" s="854"/>
      <c r="O47" s="861"/>
      <c r="P47" s="410"/>
    </row>
    <row r="48" spans="1:16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854"/>
      <c r="O48" s="861"/>
      <c r="P48" s="410"/>
    </row>
    <row r="49" spans="1:16" x14ac:dyDescent="0.4">
      <c r="A49" s="699" t="s">
        <v>191</v>
      </c>
      <c r="B49" s="722"/>
      <c r="C49" s="722"/>
      <c r="D49" s="643" t="s">
        <v>159</v>
      </c>
      <c r="E49" s="630">
        <f>'[1]12'!F49</f>
        <v>95516.13</v>
      </c>
      <c r="F49" s="630">
        <v>98346</v>
      </c>
      <c r="G49" s="593">
        <f t="shared" ref="G49:G58" si="4">F49-E49</f>
        <v>2829.8699999999953</v>
      </c>
      <c r="H49" s="796">
        <f>G49+'[1]12'!H49</f>
        <v>33736.483</v>
      </c>
      <c r="I49" s="575"/>
      <c r="J49" s="673">
        <f>H49/DAY(B2)</f>
        <v>2595.1140769230769</v>
      </c>
      <c r="K49" s="508"/>
      <c r="L49" s="405"/>
      <c r="N49" s="854"/>
      <c r="O49" s="861"/>
      <c r="P49" s="410"/>
    </row>
    <row r="50" spans="1:16" x14ac:dyDescent="0.4">
      <c r="A50" s="699" t="s">
        <v>205</v>
      </c>
      <c r="B50" s="722"/>
      <c r="C50" s="722"/>
      <c r="D50" s="643" t="s">
        <v>159</v>
      </c>
      <c r="E50" s="630">
        <f>'[1]12'!F50</f>
        <v>312351.78999999998</v>
      </c>
      <c r="F50" s="630">
        <v>313423</v>
      </c>
      <c r="G50" s="593">
        <f t="shared" si="4"/>
        <v>1071.210000000021</v>
      </c>
      <c r="H50" s="796">
        <f>G50+'[1]12'!H50</f>
        <v>16013.469999999972</v>
      </c>
      <c r="I50" s="575"/>
      <c r="J50" s="673">
        <f>H50/DAY(B2)</f>
        <v>1231.8053846153825</v>
      </c>
      <c r="K50" s="508"/>
      <c r="L50" s="405"/>
      <c r="N50" s="854"/>
      <c r="O50" s="862"/>
      <c r="P50" s="410"/>
    </row>
    <row r="51" spans="1:16" x14ac:dyDescent="0.4">
      <c r="A51" s="708" t="s">
        <v>193</v>
      </c>
      <c r="B51" s="1204"/>
      <c r="C51" s="1204"/>
      <c r="D51" s="644" t="s">
        <v>159</v>
      </c>
      <c r="E51" s="630">
        <f>'[1]12'!F51</f>
        <v>37102.39</v>
      </c>
      <c r="F51" s="1175">
        <v>38547.57</v>
      </c>
      <c r="G51" s="593">
        <f t="shared" si="4"/>
        <v>1445.1800000000003</v>
      </c>
      <c r="H51" s="796">
        <f>G51+'[1]12'!H51</f>
        <v>17680.602999999999</v>
      </c>
      <c r="I51" s="575"/>
      <c r="J51" s="673">
        <f>H51/DAY(B2)</f>
        <v>1360.0463846153846</v>
      </c>
      <c r="K51" s="508"/>
      <c r="L51" s="405"/>
      <c r="N51" s="854"/>
      <c r="O51" s="861"/>
      <c r="P51" s="410"/>
    </row>
    <row r="52" spans="1:16" x14ac:dyDescent="0.4">
      <c r="A52" s="699" t="s">
        <v>206</v>
      </c>
      <c r="B52" s="722"/>
      <c r="C52" s="722"/>
      <c r="D52" s="643" t="s">
        <v>159</v>
      </c>
      <c r="E52" s="630">
        <f>'[1]12'!F52</f>
        <v>395207.79</v>
      </c>
      <c r="F52" s="630">
        <v>397341.91</v>
      </c>
      <c r="G52" s="593">
        <f t="shared" si="4"/>
        <v>2134.1199999999953</v>
      </c>
      <c r="H52" s="796">
        <f>G52+'[1]12'!H52</f>
        <v>23986.119999999937</v>
      </c>
      <c r="I52" s="575"/>
      <c r="J52" s="673">
        <f>H52/DAY(B2)</f>
        <v>1845.086153846149</v>
      </c>
      <c r="K52" s="508"/>
      <c r="L52" s="405"/>
      <c r="N52" s="854"/>
      <c r="O52" s="861"/>
      <c r="P52" s="410"/>
    </row>
    <row r="53" spans="1:16" x14ac:dyDescent="0.4">
      <c r="A53" s="699" t="s">
        <v>195</v>
      </c>
      <c r="B53" s="722"/>
      <c r="C53" s="722"/>
      <c r="D53" s="643" t="s">
        <v>159</v>
      </c>
      <c r="E53" s="630">
        <f>'[1]12'!F53</f>
        <v>96525.45</v>
      </c>
      <c r="F53" s="630">
        <v>100640</v>
      </c>
      <c r="G53" s="593">
        <f t="shared" si="4"/>
        <v>4114.5500000000029</v>
      </c>
      <c r="H53" s="796">
        <f>G53+'[1]12'!H53</f>
        <v>50897.892999999996</v>
      </c>
      <c r="I53" s="575"/>
      <c r="J53" s="673">
        <f>H53/DAY(B2)</f>
        <v>3915.2225384615381</v>
      </c>
      <c r="K53" s="508"/>
      <c r="L53" s="405"/>
      <c r="N53" s="854"/>
      <c r="O53" s="861"/>
      <c r="P53" s="410"/>
    </row>
    <row r="54" spans="1:16" x14ac:dyDescent="0.4">
      <c r="A54" s="699" t="s">
        <v>207</v>
      </c>
      <c r="B54" s="722"/>
      <c r="C54" s="722"/>
      <c r="D54" s="643" t="s">
        <v>159</v>
      </c>
      <c r="E54" s="630">
        <f>'[1]12'!F54</f>
        <v>3444.79</v>
      </c>
      <c r="F54" s="630">
        <v>3482.54</v>
      </c>
      <c r="G54" s="593">
        <f t="shared" si="4"/>
        <v>37.75</v>
      </c>
      <c r="H54" s="796">
        <f>G54+'[1]12'!H54</f>
        <v>603.92999999999984</v>
      </c>
      <c r="I54" s="575"/>
      <c r="J54" s="673">
        <f>H54/DAY(B2)</f>
        <v>46.456153846153832</v>
      </c>
      <c r="K54" s="508"/>
      <c r="L54" s="405"/>
      <c r="N54" s="854"/>
      <c r="O54" s="861"/>
      <c r="P54" s="410"/>
    </row>
    <row r="55" spans="1:16" x14ac:dyDescent="0.4">
      <c r="A55" s="699" t="s">
        <v>208</v>
      </c>
      <c r="B55" s="722"/>
      <c r="C55" s="722"/>
      <c r="D55" s="643" t="s">
        <v>159</v>
      </c>
      <c r="E55" s="630">
        <f>'[1]12'!F55</f>
        <v>158492.73000000001</v>
      </c>
      <c r="F55" s="770">
        <v>158492.73000000001</v>
      </c>
      <c r="G55" s="769">
        <f t="shared" si="4"/>
        <v>0</v>
      </c>
      <c r="H55" s="796">
        <f>G55+'[1]12'!H55</f>
        <v>-0.26999999998952262</v>
      </c>
      <c r="I55" s="842"/>
      <c r="J55" s="843">
        <f>H55/DAY(B2)</f>
        <v>-2.0769230768424816E-2</v>
      </c>
      <c r="K55" s="508"/>
      <c r="L55" s="405"/>
      <c r="N55" s="854"/>
      <c r="O55" s="861"/>
      <c r="P55" s="410"/>
    </row>
    <row r="56" spans="1:16" x14ac:dyDescent="0.4">
      <c r="A56" s="699" t="s">
        <v>209</v>
      </c>
      <c r="B56" s="722"/>
      <c r="C56" s="722"/>
      <c r="D56" s="643" t="s">
        <v>210</v>
      </c>
      <c r="E56" s="630">
        <f>'[1]12'!F56</f>
        <v>450017.11</v>
      </c>
      <c r="F56" s="770">
        <v>450017</v>
      </c>
      <c r="G56" s="593">
        <f t="shared" si="4"/>
        <v>-0.10999999998603016</v>
      </c>
      <c r="H56" s="796">
        <f>G56+'[1]12'!H56</f>
        <v>14175.969999999972</v>
      </c>
      <c r="I56" s="575"/>
      <c r="J56" s="673">
        <f>H56/DAY(B2)</f>
        <v>1090.4592307692287</v>
      </c>
      <c r="K56" s="507"/>
      <c r="L56" s="405"/>
      <c r="N56" s="854"/>
      <c r="O56" s="863"/>
      <c r="P56" s="410"/>
    </row>
    <row r="57" spans="1:16" x14ac:dyDescent="0.4">
      <c r="A57" s="699" t="s">
        <v>199</v>
      </c>
      <c r="B57" s="722"/>
      <c r="C57" s="722"/>
      <c r="D57" s="643" t="s">
        <v>159</v>
      </c>
      <c r="E57" s="630">
        <f>'[1]12'!F57</f>
        <v>0</v>
      </c>
      <c r="F57" s="630">
        <v>0</v>
      </c>
      <c r="G57" s="593">
        <f t="shared" si="4"/>
        <v>0</v>
      </c>
      <c r="H57" s="796">
        <f>G57+'[1]12'!H57</f>
        <v>0</v>
      </c>
      <c r="I57" s="575"/>
      <c r="J57" s="673">
        <f>H57/DAY(B2)</f>
        <v>0</v>
      </c>
      <c r="K57" s="508"/>
      <c r="L57" s="405"/>
      <c r="N57" s="854"/>
      <c r="O57" s="861"/>
      <c r="P57" s="410"/>
    </row>
    <row r="58" spans="1:16" x14ac:dyDescent="0.4">
      <c r="A58" s="699" t="s">
        <v>211</v>
      </c>
      <c r="B58" s="722"/>
      <c r="C58" s="722"/>
      <c r="D58" s="643" t="s">
        <v>159</v>
      </c>
      <c r="E58" s="630">
        <f>'[1]12'!F58</f>
        <v>21855.91</v>
      </c>
      <c r="F58" s="770">
        <v>21988</v>
      </c>
      <c r="G58" s="593">
        <f t="shared" si="4"/>
        <v>132.09000000000015</v>
      </c>
      <c r="H58" s="796">
        <f>G58+'[1]12'!H58</f>
        <v>1594.9670000000006</v>
      </c>
      <c r="I58" s="575"/>
      <c r="J58" s="673">
        <f>H58/DAY(B2)</f>
        <v>122.68976923076927</v>
      </c>
      <c r="K58" s="508"/>
      <c r="L58" s="405"/>
      <c r="N58" s="854"/>
      <c r="O58" s="861"/>
      <c r="P58" s="410"/>
    </row>
    <row r="59" spans="1:16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11764.660000000029</v>
      </c>
      <c r="H59" s="796">
        <f>G59+'[1]12'!H59</f>
        <v>158689.16599999985</v>
      </c>
      <c r="I59" s="575">
        <f>G7-G60</f>
        <v>510.51999999997861</v>
      </c>
      <c r="J59" s="673">
        <f>H59/DAY(B2)</f>
        <v>12206.858923076912</v>
      </c>
      <c r="K59" s="508"/>
      <c r="L59" s="405"/>
      <c r="N59" s="854"/>
      <c r="O59" s="861"/>
      <c r="P59" s="410"/>
    </row>
    <row r="60" spans="1:16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19443.480000000021</v>
      </c>
      <c r="H60" s="796">
        <f>G60+'[1]12'!H60</f>
        <v>260015.89599999986</v>
      </c>
      <c r="I60" s="575">
        <f>G13-G60</f>
        <v>-175.61000000002605</v>
      </c>
      <c r="J60" s="673">
        <f>H60/DAY(B2)</f>
        <v>20001.222769230757</v>
      </c>
      <c r="K60" s="508"/>
      <c r="L60" s="405"/>
      <c r="N60" s="854"/>
      <c r="O60" s="861"/>
      <c r="P60" s="410"/>
    </row>
    <row r="61" spans="1:16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854"/>
      <c r="O61" s="861"/>
      <c r="P61" s="410"/>
    </row>
    <row r="62" spans="1:16" x14ac:dyDescent="0.4">
      <c r="A62" s="724" t="s">
        <v>121</v>
      </c>
      <c r="B62" s="725"/>
      <c r="C62" s="725"/>
      <c r="D62" s="631" t="s">
        <v>214</v>
      </c>
      <c r="E62" s="634">
        <f>'[1]12'!F62</f>
        <v>20419</v>
      </c>
      <c r="F62" s="634">
        <v>20419.18</v>
      </c>
      <c r="G62" s="593">
        <f t="shared" ref="G62:G70" si="5">F62-E62</f>
        <v>0.18000000000029104</v>
      </c>
      <c r="H62" s="796">
        <f>G62+'[1]12'!H62</f>
        <v>0</v>
      </c>
      <c r="I62" s="635"/>
      <c r="J62" s="673">
        <f>H62/DAY(B2)</f>
        <v>0</v>
      </c>
      <c r="K62" s="508"/>
      <c r="L62" s="405"/>
      <c r="N62" s="854"/>
      <c r="O62" s="861"/>
      <c r="P62" s="410"/>
    </row>
    <row r="63" spans="1:16" x14ac:dyDescent="0.4">
      <c r="A63" s="724" t="s">
        <v>215</v>
      </c>
      <c r="B63" s="725"/>
      <c r="C63" s="725"/>
      <c r="D63" s="631" t="s">
        <v>214</v>
      </c>
      <c r="E63" s="634">
        <f>'[1]12'!F63</f>
        <v>1025.46</v>
      </c>
      <c r="F63" s="634">
        <v>1034.52</v>
      </c>
      <c r="G63" s="593">
        <f t="shared" si="5"/>
        <v>9.0599999999999454</v>
      </c>
      <c r="H63" s="796">
        <f>G63+'[1]12'!H63</f>
        <v>178.14999999999998</v>
      </c>
      <c r="I63" s="635"/>
      <c r="J63" s="673">
        <f>H63/DAY(B2)</f>
        <v>13.703846153846152</v>
      </c>
      <c r="K63" s="508"/>
      <c r="L63" s="405"/>
      <c r="N63" s="854"/>
      <c r="O63" s="861"/>
      <c r="P63" s="410"/>
    </row>
    <row r="64" spans="1:16" ht="27.75" x14ac:dyDescent="0.5">
      <c r="A64" s="1395" t="s">
        <v>122</v>
      </c>
      <c r="B64" s="1396"/>
      <c r="C64" s="1397"/>
      <c r="D64" s="643" t="s">
        <v>214</v>
      </c>
      <c r="E64" s="634">
        <f>'[1]12'!F64</f>
        <v>91117.63</v>
      </c>
      <c r="F64" s="598">
        <v>91476</v>
      </c>
      <c r="G64" s="593">
        <f t="shared" si="5"/>
        <v>358.36999999999534</v>
      </c>
      <c r="H64" s="796">
        <f>G64+'[1]12'!H64</f>
        <v>4736.9049999999988</v>
      </c>
      <c r="I64" s="600"/>
      <c r="J64" s="673">
        <f>H64/DAY(B2)</f>
        <v>364.37730769230762</v>
      </c>
      <c r="K64" s="508"/>
      <c r="L64" s="405"/>
      <c r="N64" s="854"/>
      <c r="O64" s="861"/>
      <c r="P64" s="410"/>
    </row>
    <row r="65" spans="1:16" ht="27.75" x14ac:dyDescent="0.5">
      <c r="A65" s="1395" t="s">
        <v>123</v>
      </c>
      <c r="B65" s="1396"/>
      <c r="C65" s="1397"/>
      <c r="D65" s="643" t="s">
        <v>214</v>
      </c>
      <c r="E65" s="634">
        <f>'[1]12'!F65</f>
        <v>101479.63</v>
      </c>
      <c r="F65" s="768">
        <v>101879</v>
      </c>
      <c r="G65" s="593">
        <f t="shared" si="5"/>
        <v>399.36999999999534</v>
      </c>
      <c r="H65" s="796">
        <f>G65+'[1]12'!H65</f>
        <v>5243.0170000000071</v>
      </c>
      <c r="I65" s="609"/>
      <c r="J65" s="673">
        <f>H65/DAY(B2)</f>
        <v>403.30900000000054</v>
      </c>
      <c r="K65" s="508"/>
      <c r="L65" s="405"/>
      <c r="N65" s="854"/>
      <c r="O65" s="862"/>
      <c r="P65" s="410"/>
    </row>
    <row r="66" spans="1:16" ht="27.75" x14ac:dyDescent="0.5">
      <c r="A66" s="1395" t="s">
        <v>124</v>
      </c>
      <c r="B66" s="1396"/>
      <c r="C66" s="1397"/>
      <c r="D66" s="643" t="s">
        <v>214</v>
      </c>
      <c r="E66" s="634">
        <f>'[1]12'!F66</f>
        <v>94808.26</v>
      </c>
      <c r="F66" s="598">
        <v>95215.88</v>
      </c>
      <c r="G66" s="593">
        <f t="shared" si="5"/>
        <v>407.6200000000099</v>
      </c>
      <c r="H66" s="796">
        <f>G66+'[1]12'!H66</f>
        <v>5211.0330000000104</v>
      </c>
      <c r="I66" s="600"/>
      <c r="J66" s="673">
        <f>H66/DAY(B2)</f>
        <v>400.84869230769311</v>
      </c>
      <c r="K66" s="508"/>
      <c r="L66" s="405"/>
      <c r="N66" s="854"/>
      <c r="O66" s="861"/>
      <c r="P66" s="410"/>
    </row>
    <row r="67" spans="1:16" ht="27.75" x14ac:dyDescent="0.5">
      <c r="A67" s="1395" t="s">
        <v>125</v>
      </c>
      <c r="B67" s="1396"/>
      <c r="C67" s="1397"/>
      <c r="D67" s="643" t="s">
        <v>214</v>
      </c>
      <c r="E67" s="634">
        <f>'[1]12'!F67</f>
        <v>154843.32999999999</v>
      </c>
      <c r="F67" s="598">
        <v>155506</v>
      </c>
      <c r="G67" s="593">
        <f t="shared" si="5"/>
        <v>662.67000000001281</v>
      </c>
      <c r="H67" s="796">
        <f>G67+'[1]12'!H67</f>
        <v>9463.9500000000116</v>
      </c>
      <c r="I67" s="609"/>
      <c r="J67" s="673">
        <f>H67/DAY(B2)</f>
        <v>727.9961538461547</v>
      </c>
      <c r="K67" s="509"/>
      <c r="L67" s="405"/>
      <c r="N67" s="854"/>
      <c r="O67" s="861"/>
      <c r="P67" s="410"/>
    </row>
    <row r="68" spans="1:16" ht="27.75" x14ac:dyDescent="0.5">
      <c r="A68" s="1395" t="s">
        <v>126</v>
      </c>
      <c r="B68" s="1396"/>
      <c r="C68" s="1397"/>
      <c r="D68" s="643" t="s">
        <v>214</v>
      </c>
      <c r="E68" s="634">
        <f>'[1]12'!F68</f>
        <v>47483.27</v>
      </c>
      <c r="F68" s="598">
        <v>47818</v>
      </c>
      <c r="G68" s="593">
        <f t="shared" si="5"/>
        <v>334.7300000000032</v>
      </c>
      <c r="H68" s="796">
        <f>G68+'[1]12'!H68</f>
        <v>4642.9210000000021</v>
      </c>
      <c r="I68" s="636"/>
      <c r="J68" s="673">
        <f>H68/DAY(B2)</f>
        <v>357.14776923076937</v>
      </c>
      <c r="K68" s="510"/>
      <c r="L68" s="405"/>
      <c r="N68" s="854"/>
      <c r="O68" s="861"/>
      <c r="P68" s="410"/>
    </row>
    <row r="69" spans="1:16" ht="27.75" x14ac:dyDescent="0.5">
      <c r="A69" s="1395" t="s">
        <v>127</v>
      </c>
      <c r="B69" s="1396"/>
      <c r="C69" s="1397"/>
      <c r="D69" s="643" t="s">
        <v>214</v>
      </c>
      <c r="E69" s="634">
        <f>'[1]12'!F69</f>
        <v>41079.440000000002</v>
      </c>
      <c r="F69" s="598">
        <v>41373</v>
      </c>
      <c r="G69" s="593">
        <f t="shared" si="5"/>
        <v>293.55999999999767</v>
      </c>
      <c r="H69" s="796">
        <f>G69+'[1]12'!H69</f>
        <v>3817.4329999999973</v>
      </c>
      <c r="I69" s="636"/>
      <c r="J69" s="673">
        <f>H69/DAY(B2)</f>
        <v>293.6486923076921</v>
      </c>
      <c r="K69" s="511"/>
      <c r="L69" s="405"/>
      <c r="N69" s="854"/>
      <c r="O69" s="861"/>
      <c r="P69" s="410"/>
    </row>
    <row r="70" spans="1:16" ht="27.75" x14ac:dyDescent="0.5">
      <c r="A70" s="1451" t="s">
        <v>216</v>
      </c>
      <c r="B70" s="1452"/>
      <c r="C70" s="1453"/>
      <c r="D70" s="643" t="s">
        <v>214</v>
      </c>
      <c r="E70" s="638"/>
      <c r="F70" s="638">
        <v>0</v>
      </c>
      <c r="G70" s="638">
        <f t="shared" si="5"/>
        <v>0</v>
      </c>
      <c r="H70" s="796">
        <f>G70+'[1]12'!H70</f>
        <v>0</v>
      </c>
      <c r="I70" s="638"/>
      <c r="J70" s="677">
        <f>H70/DAY(B2)</f>
        <v>0</v>
      </c>
      <c r="K70" s="511"/>
      <c r="L70" s="405"/>
      <c r="N70" s="854"/>
      <c r="O70" s="861"/>
      <c r="P70" s="410"/>
    </row>
    <row r="71" spans="1:16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854"/>
      <c r="O71" s="861"/>
      <c r="P71" s="410"/>
    </row>
    <row r="72" spans="1:16" ht="27.75" x14ac:dyDescent="0.5">
      <c r="A72" s="1395" t="s">
        <v>218</v>
      </c>
      <c r="B72" s="1396"/>
      <c r="C72" s="1397"/>
      <c r="D72" s="643" t="s">
        <v>214</v>
      </c>
      <c r="E72" s="771">
        <f>'[1]12'!F72</f>
        <v>844856</v>
      </c>
      <c r="F72" s="771">
        <v>844941</v>
      </c>
      <c r="G72" s="593">
        <f t="shared" ref="G72:G84" si="6">F72-E72</f>
        <v>85</v>
      </c>
      <c r="H72" s="796">
        <f>G72+'[1]12'!H72</f>
        <v>764</v>
      </c>
      <c r="I72" s="600"/>
      <c r="J72" s="673">
        <f>H72/DAY(B2)</f>
        <v>58.769230769230766</v>
      </c>
      <c r="K72" s="511"/>
      <c r="L72" s="405"/>
      <c r="N72" s="854"/>
      <c r="O72" s="861"/>
      <c r="P72" s="410"/>
    </row>
    <row r="73" spans="1:16" ht="27.75" x14ac:dyDescent="0.5">
      <c r="A73" s="1395" t="s">
        <v>219</v>
      </c>
      <c r="B73" s="1396"/>
      <c r="C73" s="1397"/>
      <c r="D73" s="643" t="s">
        <v>214</v>
      </c>
      <c r="E73" s="771">
        <f>'[1]12'!F73</f>
        <v>885466</v>
      </c>
      <c r="F73" s="771">
        <v>885468</v>
      </c>
      <c r="G73" s="769">
        <f t="shared" si="6"/>
        <v>2</v>
      </c>
      <c r="H73" s="796">
        <f>G73+'[1]12'!H73</f>
        <v>158</v>
      </c>
      <c r="I73" s="600"/>
      <c r="J73" s="673">
        <f>H73/DAY(B2)</f>
        <v>12.153846153846153</v>
      </c>
      <c r="K73" s="510"/>
      <c r="L73" s="405"/>
      <c r="N73" s="854"/>
      <c r="O73" s="861"/>
      <c r="P73" s="410"/>
    </row>
    <row r="74" spans="1:16" ht="27.75" x14ac:dyDescent="0.5">
      <c r="A74" s="1395" t="s">
        <v>220</v>
      </c>
      <c r="B74" s="1396"/>
      <c r="C74" s="1397"/>
      <c r="D74" s="643" t="s">
        <v>214</v>
      </c>
      <c r="E74" s="771">
        <f>'[1]12'!F74</f>
        <v>880589</v>
      </c>
      <c r="F74" s="772">
        <v>880618</v>
      </c>
      <c r="G74" s="593">
        <f t="shared" si="6"/>
        <v>29</v>
      </c>
      <c r="H74" s="796">
        <f>G74+'[1]12'!H74</f>
        <v>391</v>
      </c>
      <c r="I74" s="600"/>
      <c r="J74" s="673">
        <f>H74/DAY(B2)</f>
        <v>30.076923076923077</v>
      </c>
      <c r="K74" s="511"/>
      <c r="L74" s="405"/>
      <c r="N74" s="854"/>
      <c r="O74" s="861"/>
      <c r="P74" s="410"/>
    </row>
    <row r="75" spans="1:16" ht="27.75" x14ac:dyDescent="0.5">
      <c r="A75" s="1447" t="s">
        <v>221</v>
      </c>
      <c r="B75" s="1448"/>
      <c r="C75" s="1449"/>
      <c r="D75" s="643" t="s">
        <v>214</v>
      </c>
      <c r="E75" s="771">
        <f>'[1]12'!F75</f>
        <v>728320</v>
      </c>
      <c r="F75" s="772">
        <v>728508</v>
      </c>
      <c r="G75" s="593">
        <f t="shared" si="6"/>
        <v>188</v>
      </c>
      <c r="H75" s="796">
        <f>G75+'[1]12'!H75</f>
        <v>2328</v>
      </c>
      <c r="I75" s="600"/>
      <c r="J75" s="673">
        <f>H75/DAY(B2)</f>
        <v>179.07692307692307</v>
      </c>
      <c r="K75" s="510"/>
      <c r="L75" s="405"/>
      <c r="N75" s="854"/>
      <c r="O75" s="861"/>
      <c r="P75" s="410"/>
    </row>
    <row r="76" spans="1:16" ht="27.75" x14ac:dyDescent="0.5">
      <c r="A76" s="1447" t="s">
        <v>222</v>
      </c>
      <c r="B76" s="1448"/>
      <c r="C76" s="1449"/>
      <c r="D76" s="643" t="s">
        <v>214</v>
      </c>
      <c r="E76" s="771">
        <f>'[1]12'!F76</f>
        <v>682599</v>
      </c>
      <c r="F76" s="772">
        <v>682698</v>
      </c>
      <c r="G76" s="593">
        <f t="shared" si="6"/>
        <v>99</v>
      </c>
      <c r="H76" s="796">
        <f>G76+'[1]12'!H76</f>
        <v>1022</v>
      </c>
      <c r="I76" s="625"/>
      <c r="J76" s="673">
        <f>H76/DAY(B2)</f>
        <v>78.615384615384613</v>
      </c>
      <c r="K76" s="510"/>
      <c r="L76" s="405"/>
      <c r="N76" s="854"/>
      <c r="O76" s="861"/>
      <c r="P76" s="410"/>
    </row>
    <row r="77" spans="1:16" ht="27.75" x14ac:dyDescent="0.5">
      <c r="A77" s="1395" t="s">
        <v>223</v>
      </c>
      <c r="B77" s="1396"/>
      <c r="C77" s="1397"/>
      <c r="D77" s="643" t="s">
        <v>214</v>
      </c>
      <c r="E77" s="771">
        <f>'[1]12'!F77</f>
        <v>694352</v>
      </c>
      <c r="F77" s="772">
        <v>694409</v>
      </c>
      <c r="G77" s="769">
        <f t="shared" si="6"/>
        <v>57</v>
      </c>
      <c r="H77" s="796">
        <f>G77+'[1]12'!H77</f>
        <v>689</v>
      </c>
      <c r="I77" s="625"/>
      <c r="J77" s="673">
        <f>H77/DAY(B2)</f>
        <v>53</v>
      </c>
      <c r="K77" s="510"/>
      <c r="L77" s="405"/>
      <c r="N77" s="854"/>
      <c r="O77" s="861"/>
      <c r="P77" s="410"/>
    </row>
    <row r="78" spans="1:16" ht="27.75" x14ac:dyDescent="0.5">
      <c r="A78" s="1357" t="s">
        <v>224</v>
      </c>
      <c r="B78" s="1320"/>
      <c r="C78" s="1320"/>
      <c r="D78" s="643" t="s">
        <v>214</v>
      </c>
      <c r="E78" s="771">
        <f>'[1]12'!F78</f>
        <v>623140</v>
      </c>
      <c r="F78" s="773">
        <v>623520</v>
      </c>
      <c r="G78" s="593">
        <f t="shared" si="6"/>
        <v>380</v>
      </c>
      <c r="H78" s="796">
        <f>G78+'[1]12'!H78</f>
        <v>5267</v>
      </c>
      <c r="I78" s="625"/>
      <c r="J78" s="673">
        <f>H78/DAY(B2)</f>
        <v>405.15384615384613</v>
      </c>
      <c r="K78" s="510"/>
      <c r="L78" s="405"/>
      <c r="N78" s="854"/>
      <c r="O78" s="861"/>
      <c r="P78" s="410"/>
    </row>
    <row r="79" spans="1:16" ht="27.75" x14ac:dyDescent="0.5">
      <c r="A79" s="1447" t="s">
        <v>112</v>
      </c>
      <c r="B79" s="1448"/>
      <c r="C79" s="1449"/>
      <c r="D79" s="644" t="s">
        <v>214</v>
      </c>
      <c r="E79" s="771">
        <f>'[1]12'!F79</f>
        <v>800329</v>
      </c>
      <c r="F79" s="773">
        <v>800519</v>
      </c>
      <c r="G79" s="593">
        <f t="shared" si="6"/>
        <v>190</v>
      </c>
      <c r="H79" s="796">
        <f>G79+'[1]12'!H79</f>
        <v>2533</v>
      </c>
      <c r="I79" s="625"/>
      <c r="J79" s="673">
        <f>H79/DAY(B2)</f>
        <v>194.84615384615384</v>
      </c>
      <c r="K79" s="510"/>
      <c r="L79" s="405"/>
      <c r="N79" s="854"/>
      <c r="O79" s="861"/>
      <c r="P79" s="410"/>
    </row>
    <row r="80" spans="1:16" ht="27.75" x14ac:dyDescent="0.5">
      <c r="A80" s="1447" t="s">
        <v>225</v>
      </c>
      <c r="B80" s="1448"/>
      <c r="C80" s="1449"/>
      <c r="D80" s="644" t="s">
        <v>214</v>
      </c>
      <c r="E80" s="771">
        <f>'[1]12'!F80</f>
        <v>469510</v>
      </c>
      <c r="F80" s="772">
        <v>469856.84</v>
      </c>
      <c r="G80" s="593">
        <f t="shared" si="6"/>
        <v>346.84000000002561</v>
      </c>
      <c r="H80" s="796">
        <f>G80+'[1]12'!H80</f>
        <v>4358.960000000021</v>
      </c>
      <c r="I80" s="625"/>
      <c r="J80" s="673">
        <f>H80/DAY(B2)</f>
        <v>335.30461538461702</v>
      </c>
      <c r="K80" s="510"/>
      <c r="L80" s="405"/>
      <c r="N80" s="854"/>
      <c r="O80" s="861"/>
      <c r="P80" s="410"/>
    </row>
    <row r="81" spans="1:16" ht="27.75" x14ac:dyDescent="0.5">
      <c r="A81" s="1447" t="s">
        <v>226</v>
      </c>
      <c r="B81" s="1448"/>
      <c r="C81" s="1449"/>
      <c r="D81" s="644" t="s">
        <v>214</v>
      </c>
      <c r="E81" s="771">
        <f>'[1]12'!F81</f>
        <v>616394</v>
      </c>
      <c r="F81" s="772">
        <v>616548</v>
      </c>
      <c r="G81" s="593">
        <f t="shared" si="6"/>
        <v>154</v>
      </c>
      <c r="H81" s="796">
        <f>G81+'[1]12'!H81</f>
        <v>2159.4799999999814</v>
      </c>
      <c r="I81" s="625"/>
      <c r="J81" s="673">
        <f>H81/DAY(B2)</f>
        <v>166.11384615384472</v>
      </c>
      <c r="K81" s="510"/>
      <c r="L81" s="405"/>
      <c r="N81" s="854"/>
      <c r="O81" s="861"/>
      <c r="P81" s="410"/>
    </row>
    <row r="82" spans="1:16" ht="27.75" x14ac:dyDescent="0.5">
      <c r="A82" s="1447" t="s">
        <v>115</v>
      </c>
      <c r="B82" s="1448"/>
      <c r="C82" s="1449"/>
      <c r="D82" s="605" t="s">
        <v>159</v>
      </c>
      <c r="E82" s="771">
        <f>'[1]12'!F82</f>
        <v>103866</v>
      </c>
      <c r="F82" s="605">
        <v>103935.58</v>
      </c>
      <c r="G82" s="593">
        <f t="shared" si="6"/>
        <v>69.580000000001746</v>
      </c>
      <c r="H82" s="796">
        <f>G82+'[1]12'!H82</f>
        <v>405.93000000000757</v>
      </c>
      <c r="I82" s="606"/>
      <c r="J82" s="673">
        <f>H82/DAY(B2)</f>
        <v>31.225384615385199</v>
      </c>
      <c r="K82" s="510"/>
      <c r="L82" s="405"/>
      <c r="N82" s="854"/>
      <c r="O82" s="861"/>
      <c r="P82" s="410"/>
    </row>
    <row r="83" spans="1:16" ht="27.75" x14ac:dyDescent="0.5">
      <c r="A83" s="1447" t="s">
        <v>227</v>
      </c>
      <c r="B83" s="1448"/>
      <c r="C83" s="1449"/>
      <c r="D83" s="741" t="s">
        <v>159</v>
      </c>
      <c r="E83" s="771">
        <f>'[1]12'!F83</f>
        <v>966791</v>
      </c>
      <c r="F83" s="631">
        <v>967181</v>
      </c>
      <c r="G83" s="593">
        <f t="shared" si="6"/>
        <v>390</v>
      </c>
      <c r="H83" s="796">
        <f>G83+'[1]12'!H83</f>
        <v>4656</v>
      </c>
      <c r="I83" s="601"/>
      <c r="J83" s="673">
        <f>H83/DAY(B2)</f>
        <v>358.15384615384613</v>
      </c>
      <c r="K83" s="509"/>
      <c r="L83" s="405"/>
      <c r="N83" s="854"/>
      <c r="O83" s="861"/>
      <c r="P83" s="410"/>
    </row>
    <row r="84" spans="1:16" x14ac:dyDescent="0.5">
      <c r="A84" s="1360" t="s">
        <v>228</v>
      </c>
      <c r="B84" s="692"/>
      <c r="C84" s="692"/>
      <c r="D84" s="598" t="s">
        <v>159</v>
      </c>
      <c r="E84" s="771">
        <f>'[1]12'!F84</f>
        <v>387957</v>
      </c>
      <c r="F84" s="748">
        <v>388507</v>
      </c>
      <c r="G84" s="593">
        <f t="shared" si="6"/>
        <v>550</v>
      </c>
      <c r="H84" s="796">
        <f>G84+'[1]12'!H84</f>
        <v>7151</v>
      </c>
      <c r="I84" s="601"/>
      <c r="J84" s="673">
        <f>H84/DAY(B2)</f>
        <v>550.07692307692309</v>
      </c>
      <c r="K84" s="408"/>
      <c r="L84" s="405"/>
      <c r="N84" s="854"/>
      <c r="O84" s="861"/>
      <c r="P84" s="410"/>
    </row>
    <row r="85" spans="1:16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SUM(G71:G84)</f>
        <v>2540.4200000000274</v>
      </c>
      <c r="H85" s="796">
        <f>G85+'[1]12'!H85</f>
        <v>30061.939999999959</v>
      </c>
      <c r="I85" s="601"/>
      <c r="J85" s="673">
        <f>H85/DAY(B2)</f>
        <v>2312.4569230769198</v>
      </c>
      <c r="K85" s="408"/>
      <c r="L85" s="406"/>
      <c r="N85" s="854"/>
      <c r="O85" s="861"/>
      <c r="P85" s="410"/>
    </row>
    <row r="86" spans="1:16" s="871" customFormat="1" x14ac:dyDescent="0.5">
      <c r="A86" s="866" t="s">
        <v>117</v>
      </c>
      <c r="B86" s="867"/>
      <c r="C86" s="867"/>
      <c r="D86" s="868" t="s">
        <v>210</v>
      </c>
      <c r="E86" s="764">
        <f>'[1]12'!F86</f>
        <v>442452</v>
      </c>
      <c r="F86" s="764">
        <v>442476.64</v>
      </c>
      <c r="G86" s="841">
        <f t="shared" ref="G86:G90" si="7">F86-E86</f>
        <v>24.64000000001397</v>
      </c>
      <c r="H86" s="796">
        <f>G86+'[1]12'!H86</f>
        <v>120.64000000001397</v>
      </c>
      <c r="I86" s="769"/>
      <c r="J86" s="843">
        <f>H86/DAY(B2)</f>
        <v>9.2800000000010741</v>
      </c>
      <c r="K86" s="869"/>
      <c r="L86" s="870"/>
      <c r="O86" s="849"/>
    </row>
    <row r="87" spans="1:16" s="871" customFormat="1" x14ac:dyDescent="0.5">
      <c r="A87" s="866" t="s">
        <v>118</v>
      </c>
      <c r="B87" s="867"/>
      <c r="C87" s="867"/>
      <c r="D87" s="868" t="s">
        <v>210</v>
      </c>
      <c r="E87" s="764">
        <f>'[1]12'!F87</f>
        <v>77254.100000000006</v>
      </c>
      <c r="F87" s="764">
        <v>77276.899999999994</v>
      </c>
      <c r="G87" s="841">
        <f t="shared" si="7"/>
        <v>22.799999999988358</v>
      </c>
      <c r="H87" s="796">
        <f>G87+'[1]12'!H87</f>
        <v>52.899999999994179</v>
      </c>
      <c r="I87" s="769"/>
      <c r="J87" s="843">
        <f>H87/DAY(B2)</f>
        <v>4.0692307692303213</v>
      </c>
      <c r="K87" s="869"/>
      <c r="L87" s="870"/>
      <c r="O87" s="849"/>
    </row>
    <row r="88" spans="1:16" s="871" customFormat="1" x14ac:dyDescent="0.5">
      <c r="A88" s="866" t="s">
        <v>119</v>
      </c>
      <c r="B88" s="867"/>
      <c r="C88" s="867"/>
      <c r="D88" s="868" t="s">
        <v>210</v>
      </c>
      <c r="E88" s="764">
        <f>'[1]12'!F88</f>
        <v>143365</v>
      </c>
      <c r="F88" s="760">
        <v>143397</v>
      </c>
      <c r="G88" s="841">
        <f t="shared" si="7"/>
        <v>32</v>
      </c>
      <c r="H88" s="796">
        <f>G88+'[1]12'!H88</f>
        <v>74</v>
      </c>
      <c r="I88" s="769"/>
      <c r="J88" s="843">
        <f>H88/DAY(B2)</f>
        <v>5.6923076923076925</v>
      </c>
      <c r="K88" s="869"/>
      <c r="L88" s="870"/>
      <c r="O88" s="849"/>
    </row>
    <row r="89" spans="1:16" s="871" customFormat="1" x14ac:dyDescent="0.5">
      <c r="A89" s="866" t="s">
        <v>230</v>
      </c>
      <c r="B89" s="867"/>
      <c r="C89" s="867"/>
      <c r="D89" s="868" t="s">
        <v>210</v>
      </c>
      <c r="E89" s="764">
        <f>'[1]12'!F89</f>
        <v>56400.9</v>
      </c>
      <c r="F89" s="764">
        <v>56452</v>
      </c>
      <c r="G89" s="841">
        <f t="shared" si="7"/>
        <v>51.099999999998545</v>
      </c>
      <c r="H89" s="796">
        <f>G89+'[1]12'!H89</f>
        <v>104.80000000000291</v>
      </c>
      <c r="I89" s="769"/>
      <c r="J89" s="843">
        <f>H89/DAY(B2)</f>
        <v>8.0615384615386851</v>
      </c>
      <c r="K89" s="869"/>
      <c r="L89" s="870"/>
      <c r="N89" s="919"/>
      <c r="O89" s="410"/>
    </row>
    <row r="90" spans="1:16" s="871" customFormat="1" x14ac:dyDescent="0.5">
      <c r="A90" s="866" t="s">
        <v>230</v>
      </c>
      <c r="B90" s="867"/>
      <c r="C90" s="867"/>
      <c r="D90" s="868" t="s">
        <v>210</v>
      </c>
      <c r="E90" s="764">
        <f>'[1]12'!F90</f>
        <v>2929.8</v>
      </c>
      <c r="F90" s="764">
        <v>2930.7</v>
      </c>
      <c r="G90" s="841">
        <f t="shared" si="7"/>
        <v>0.8999999999996362</v>
      </c>
      <c r="H90" s="796">
        <f>G90+'[1]12'!H90</f>
        <v>2</v>
      </c>
      <c r="I90" s="769"/>
      <c r="J90" s="843">
        <f>H90/DAY(B2)</f>
        <v>0.15384615384615385</v>
      </c>
      <c r="K90" s="869"/>
      <c r="L90" s="870"/>
      <c r="N90" s="919"/>
      <c r="O90" s="410"/>
    </row>
    <row r="91" spans="1:16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854"/>
      <c r="O91" s="861"/>
      <c r="P91" s="410"/>
    </row>
    <row r="92" spans="1:16" ht="27.75" x14ac:dyDescent="0.5">
      <c r="A92" s="1398" t="s">
        <v>233</v>
      </c>
      <c r="B92" s="1399"/>
      <c r="C92" s="1400"/>
      <c r="D92" s="643" t="s">
        <v>171</v>
      </c>
      <c r="E92" s="598">
        <f>'[1]12'!F92</f>
        <v>232237</v>
      </c>
      <c r="F92" s="598">
        <v>232345</v>
      </c>
      <c r="G92" s="593">
        <f t="shared" ref="G92:G93" si="8">F92-E92</f>
        <v>108</v>
      </c>
      <c r="H92" s="796">
        <f>G92+'[1]12'!H92</f>
        <v>1370</v>
      </c>
      <c r="I92" s="600"/>
      <c r="J92" s="673">
        <f>H92/DAY(B2)</f>
        <v>105.38461538461539</v>
      </c>
      <c r="K92" s="509"/>
      <c r="L92" s="405"/>
      <c r="N92" s="854"/>
      <c r="O92" s="861"/>
      <c r="P92" s="410"/>
    </row>
    <row r="93" spans="1:16" ht="27.75" x14ac:dyDescent="0.5">
      <c r="A93" s="1398" t="s">
        <v>234</v>
      </c>
      <c r="B93" s="1399"/>
      <c r="C93" s="1400"/>
      <c r="D93" s="643" t="s">
        <v>171</v>
      </c>
      <c r="E93" s="598">
        <f>'[1]12'!F93</f>
        <v>164401</v>
      </c>
      <c r="F93" s="598">
        <v>164571</v>
      </c>
      <c r="G93" s="593">
        <f t="shared" si="8"/>
        <v>170</v>
      </c>
      <c r="H93" s="796">
        <f>G93+'[1]12'!H93</f>
        <v>1929</v>
      </c>
      <c r="I93" s="600"/>
      <c r="J93" s="673">
        <f>H93/DAY(B2)</f>
        <v>148.38461538461539</v>
      </c>
      <c r="K93" s="408"/>
      <c r="L93" s="405"/>
      <c r="N93" s="854"/>
      <c r="O93" s="861"/>
      <c r="P93" s="410"/>
    </row>
    <row r="94" spans="1:16" x14ac:dyDescent="0.5">
      <c r="A94" s="1392" t="s">
        <v>235</v>
      </c>
      <c r="B94" s="1393"/>
      <c r="C94" s="1394"/>
      <c r="D94" s="643"/>
      <c r="E94" s="598">
        <f>'[1]12'!F94</f>
        <v>0</v>
      </c>
      <c r="F94" s="598"/>
      <c r="G94" s="593">
        <f>G92+G93</f>
        <v>278</v>
      </c>
      <c r="H94" s="796">
        <f>G94+'[1]12'!H94</f>
        <v>3036</v>
      </c>
      <c r="I94" s="600"/>
      <c r="J94" s="673">
        <f>H94/DAY(B2)</f>
        <v>233.53846153846155</v>
      </c>
      <c r="K94" s="408"/>
      <c r="L94" s="405"/>
      <c r="N94" s="854"/>
      <c r="O94" s="861"/>
      <c r="P94" s="410"/>
    </row>
    <row r="95" spans="1:16" ht="27.75" x14ac:dyDescent="0.5">
      <c r="A95" s="1398" t="s">
        <v>236</v>
      </c>
      <c r="B95" s="1399"/>
      <c r="C95" s="1400"/>
      <c r="D95" s="643" t="s">
        <v>171</v>
      </c>
      <c r="E95" s="598">
        <f>'[1]12'!F95</f>
        <v>402383</v>
      </c>
      <c r="F95" s="598">
        <v>402454</v>
      </c>
      <c r="G95" s="593">
        <f t="shared" ref="G95:G100" si="9">F95-E95</f>
        <v>71</v>
      </c>
      <c r="H95" s="796">
        <f>G95+'[1]12'!H95</f>
        <v>889</v>
      </c>
      <c r="I95" s="600"/>
      <c r="J95" s="673">
        <f>H95/DAY(B2)</f>
        <v>68.384615384615387</v>
      </c>
      <c r="K95" s="408"/>
      <c r="L95" s="405"/>
      <c r="N95" s="854"/>
      <c r="O95" s="861"/>
      <c r="P95" s="410"/>
    </row>
    <row r="96" spans="1:16" ht="27.75" x14ac:dyDescent="0.5">
      <c r="A96" s="1354" t="s">
        <v>237</v>
      </c>
      <c r="B96" s="1355"/>
      <c r="C96" s="1355"/>
      <c r="D96" s="643" t="s">
        <v>171</v>
      </c>
      <c r="E96" s="598">
        <f>'[1]12'!F96</f>
        <v>99481</v>
      </c>
      <c r="F96" s="598">
        <v>99520</v>
      </c>
      <c r="G96" s="593">
        <f t="shared" si="9"/>
        <v>39</v>
      </c>
      <c r="H96" s="796">
        <f>G96+'[1]12'!H96</f>
        <v>409</v>
      </c>
      <c r="I96" s="600"/>
      <c r="J96" s="673">
        <f>H96/DAY(B2)</f>
        <v>31.46153846153846</v>
      </c>
      <c r="K96" s="507"/>
      <c r="L96" s="405"/>
      <c r="N96" s="854"/>
      <c r="O96" s="861"/>
      <c r="P96" s="410"/>
    </row>
    <row r="97" spans="1:16" ht="27.75" x14ac:dyDescent="0.5">
      <c r="A97" s="1354" t="s">
        <v>238</v>
      </c>
      <c r="B97" s="1355"/>
      <c r="C97" s="1355"/>
      <c r="D97" s="643" t="s">
        <v>171</v>
      </c>
      <c r="E97" s="598">
        <f>'[1]12'!F97</f>
        <v>94575</v>
      </c>
      <c r="F97" s="598">
        <v>94611</v>
      </c>
      <c r="G97" s="593">
        <f t="shared" si="9"/>
        <v>36</v>
      </c>
      <c r="H97" s="796">
        <f>G97+'[1]12'!H97</f>
        <v>339</v>
      </c>
      <c r="I97" s="600"/>
      <c r="J97" s="673">
        <f>H97/DAY(B2)</f>
        <v>26.076923076923077</v>
      </c>
      <c r="K97" s="512"/>
      <c r="L97" s="405"/>
      <c r="N97" s="854"/>
      <c r="O97" s="861"/>
      <c r="P97" s="410"/>
    </row>
    <row r="98" spans="1:16" ht="27.75" x14ac:dyDescent="0.5">
      <c r="A98" s="1354" t="s">
        <v>239</v>
      </c>
      <c r="B98" s="1355"/>
      <c r="C98" s="1355"/>
      <c r="D98" s="643" t="s">
        <v>171</v>
      </c>
      <c r="E98" s="598">
        <f>'[1]12'!F98</f>
        <v>142841</v>
      </c>
      <c r="F98" s="598">
        <v>142900</v>
      </c>
      <c r="G98" s="593">
        <f t="shared" si="9"/>
        <v>59</v>
      </c>
      <c r="H98" s="796">
        <f>G98+'[1]12'!H98</f>
        <v>754</v>
      </c>
      <c r="I98" s="600"/>
      <c r="J98" s="673">
        <f>H98/DAY(B2)</f>
        <v>58</v>
      </c>
      <c r="K98" s="408"/>
      <c r="L98" s="405"/>
      <c r="N98" s="856"/>
      <c r="O98" s="861"/>
      <c r="P98" s="410"/>
    </row>
    <row r="99" spans="1:16" ht="27.75" x14ac:dyDescent="0.5">
      <c r="A99" s="1354" t="s">
        <v>240</v>
      </c>
      <c r="B99" s="1355"/>
      <c r="C99" s="1355"/>
      <c r="D99" s="643" t="s">
        <v>171</v>
      </c>
      <c r="E99" s="598">
        <f>'[1]12'!F99</f>
        <v>5238</v>
      </c>
      <c r="F99" s="598">
        <v>5252</v>
      </c>
      <c r="G99" s="593">
        <f t="shared" si="9"/>
        <v>14</v>
      </c>
      <c r="H99" s="796">
        <f>G99+'[1]12'!H99</f>
        <v>284</v>
      </c>
      <c r="I99" s="600"/>
      <c r="J99" s="673">
        <f>H99/DAY(B2)</f>
        <v>21.846153846153847</v>
      </c>
      <c r="K99" s="408"/>
      <c r="L99" s="405"/>
      <c r="N99" s="854"/>
      <c r="O99" s="861"/>
      <c r="P99" s="410"/>
    </row>
    <row r="100" spans="1:16" ht="27.75" x14ac:dyDescent="0.5">
      <c r="A100" s="1354" t="s">
        <v>241</v>
      </c>
      <c r="B100" s="1355"/>
      <c r="C100" s="1355"/>
      <c r="D100" s="643" t="s">
        <v>171</v>
      </c>
      <c r="E100" s="598">
        <f>'[1]12'!F100</f>
        <v>3674</v>
      </c>
      <c r="F100" s="598">
        <v>3674</v>
      </c>
      <c r="G100" s="593">
        <f t="shared" si="9"/>
        <v>0</v>
      </c>
      <c r="H100" s="796">
        <f>G100+'[1]12'!H100</f>
        <v>0</v>
      </c>
      <c r="I100" s="600"/>
      <c r="J100" s="673">
        <f>H100/DAY(B2)</f>
        <v>0</v>
      </c>
      <c r="K100" s="408"/>
      <c r="L100" s="405"/>
      <c r="N100" s="854"/>
      <c r="O100" s="861"/>
      <c r="P100" s="410"/>
    </row>
    <row r="101" spans="1:16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219</v>
      </c>
      <c r="H101" s="796">
        <f>G101+'[1]12'!H101</f>
        <v>2675</v>
      </c>
      <c r="I101" s="646"/>
      <c r="J101" s="673">
        <f>H101/DAY(B2)</f>
        <v>205.76923076923077</v>
      </c>
      <c r="K101" s="408"/>
      <c r="L101" s="405"/>
      <c r="N101" s="854"/>
      <c r="O101" s="861"/>
      <c r="P101" s="410"/>
    </row>
    <row r="102" spans="1:16" s="524" customFormat="1" ht="27" x14ac:dyDescent="0.35">
      <c r="A102" s="728" t="s">
        <v>243</v>
      </c>
      <c r="B102" s="729"/>
      <c r="C102" s="729"/>
      <c r="D102" s="742"/>
      <c r="E102" s="774"/>
      <c r="F102" s="774"/>
      <c r="G102" s="649"/>
      <c r="H102" s="650"/>
      <c r="I102" s="651"/>
      <c r="J102" s="678"/>
      <c r="N102" s="854"/>
      <c r="O102" s="861"/>
      <c r="P102" s="410"/>
    </row>
    <row r="103" spans="1:16" s="524" customFormat="1" ht="27.75" x14ac:dyDescent="0.5">
      <c r="A103" s="1404" t="s">
        <v>244</v>
      </c>
      <c r="B103" s="1405"/>
      <c r="C103" s="694"/>
      <c r="D103" s="743"/>
      <c r="E103" s="775"/>
      <c r="F103" s="775"/>
      <c r="G103" s="652"/>
      <c r="H103" s="653"/>
      <c r="I103" s="652"/>
      <c r="J103" s="679"/>
      <c r="N103" s="854"/>
      <c r="O103" s="861"/>
      <c r="P103" s="410"/>
    </row>
    <row r="104" spans="1:16" s="524" customFormat="1" ht="27.75" x14ac:dyDescent="0.5">
      <c r="A104" s="1406" t="s">
        <v>245</v>
      </c>
      <c r="B104" s="1407"/>
      <c r="C104" s="1359"/>
      <c r="D104" s="743" t="s">
        <v>171</v>
      </c>
      <c r="E104" s="775">
        <f>'[1]12'!F104</f>
        <v>7010</v>
      </c>
      <c r="F104" s="775">
        <v>7010</v>
      </c>
      <c r="G104" s="652">
        <f>F104-E104</f>
        <v>0</v>
      </c>
      <c r="H104" s="796">
        <f>G104+'[1]12'!H104</f>
        <v>57</v>
      </c>
      <c r="I104" s="652"/>
      <c r="J104" s="679">
        <f>H104/DAY(B2)</f>
        <v>4.384615384615385</v>
      </c>
      <c r="N104" s="854"/>
      <c r="O104" s="861"/>
      <c r="P104" s="410"/>
    </row>
    <row r="105" spans="1:16" s="524" customFormat="1" ht="27.75" x14ac:dyDescent="0.5">
      <c r="A105" s="1406" t="s">
        <v>92</v>
      </c>
      <c r="B105" s="1407"/>
      <c r="C105" s="1359"/>
      <c r="D105" s="743" t="s">
        <v>171</v>
      </c>
      <c r="E105" s="775">
        <f>'[1]12'!F105</f>
        <v>34779</v>
      </c>
      <c r="F105" s="776">
        <v>34788</v>
      </c>
      <c r="G105" s="652">
        <f t="shared" ref="G105:G106" si="10">F105-E105</f>
        <v>9</v>
      </c>
      <c r="H105" s="796">
        <f>G105+'[1]12'!H105</f>
        <v>72</v>
      </c>
      <c r="I105" s="652"/>
      <c r="J105" s="679">
        <f>H105/DAY(B2)</f>
        <v>5.5384615384615383</v>
      </c>
      <c r="N105" s="854"/>
      <c r="O105" s="861"/>
      <c r="P105" s="410"/>
    </row>
    <row r="106" spans="1:16" s="524" customFormat="1" ht="27.75" x14ac:dyDescent="0.5">
      <c r="A106" s="1406" t="s">
        <v>93</v>
      </c>
      <c r="B106" s="1408"/>
      <c r="C106" s="1407"/>
      <c r="D106" s="743" t="s">
        <v>171</v>
      </c>
      <c r="E106" s="775">
        <f>'[1]12'!F106</f>
        <v>18795</v>
      </c>
      <c r="F106" s="776">
        <v>18800</v>
      </c>
      <c r="G106" s="652">
        <f t="shared" si="10"/>
        <v>5</v>
      </c>
      <c r="H106" s="796">
        <f>G106+'[1]12'!H106</f>
        <v>490</v>
      </c>
      <c r="I106" s="652"/>
      <c r="J106" s="679">
        <f>H106/DAY(B2)</f>
        <v>37.692307692307693</v>
      </c>
      <c r="N106" s="854"/>
      <c r="O106" s="861"/>
      <c r="P106" s="410"/>
    </row>
    <row r="107" spans="1:16" s="524" customFormat="1" ht="27.75" x14ac:dyDescent="0.5">
      <c r="A107" s="1409" t="s">
        <v>82</v>
      </c>
      <c r="B107" s="1410"/>
      <c r="C107" s="1359"/>
      <c r="D107" s="743"/>
      <c r="E107" s="776"/>
      <c r="F107" s="776"/>
      <c r="G107" s="652">
        <f>SUM(G104:G106)</f>
        <v>14</v>
      </c>
      <c r="H107" s="796">
        <f>G107+'[1]12'!H107</f>
        <v>228</v>
      </c>
      <c r="I107" s="652"/>
      <c r="J107" s="679">
        <f>H107/DAY(B2)</f>
        <v>17.53846153846154</v>
      </c>
      <c r="N107" s="854"/>
      <c r="O107" s="861"/>
      <c r="P107" s="410"/>
    </row>
    <row r="108" spans="1:16" s="524" customFormat="1" ht="27.75" x14ac:dyDescent="0.5">
      <c r="A108" s="1411" t="s">
        <v>94</v>
      </c>
      <c r="B108" s="1412"/>
      <c r="C108" s="1359"/>
      <c r="D108" s="743" t="s">
        <v>171</v>
      </c>
      <c r="E108" s="776"/>
      <c r="F108" s="776"/>
      <c r="G108" s="652"/>
      <c r="H108" s="796">
        <f>G108+'[1]12'!H108</f>
        <v>0</v>
      </c>
      <c r="I108" s="652"/>
      <c r="J108" s="679"/>
      <c r="N108" s="854"/>
      <c r="O108" s="861"/>
      <c r="P108" s="410"/>
    </row>
    <row r="109" spans="1:16" s="524" customFormat="1" ht="27.75" x14ac:dyDescent="0.5">
      <c r="A109" s="1406" t="s">
        <v>246</v>
      </c>
      <c r="B109" s="1407"/>
      <c r="C109" s="1359"/>
      <c r="D109" s="743" t="s">
        <v>171</v>
      </c>
      <c r="E109" s="776">
        <f>'[1]12'!F109</f>
        <v>52012</v>
      </c>
      <c r="F109" s="776">
        <v>52082</v>
      </c>
      <c r="G109" s="652">
        <f>F109-E109</f>
        <v>70</v>
      </c>
      <c r="H109" s="796">
        <f>G109+'[1]12'!H109</f>
        <v>277.28000000002794</v>
      </c>
      <c r="I109" s="652"/>
      <c r="J109" s="679">
        <f>H109/DAY(B2)</f>
        <v>21.329230769232918</v>
      </c>
      <c r="N109" s="854"/>
      <c r="O109" s="861"/>
      <c r="P109" s="410"/>
    </row>
    <row r="110" spans="1:16" s="524" customFormat="1" ht="27.75" x14ac:dyDescent="0.5">
      <c r="A110" s="1406" t="s">
        <v>247</v>
      </c>
      <c r="B110" s="1407"/>
      <c r="C110" s="1359"/>
      <c r="D110" s="743" t="s">
        <v>171</v>
      </c>
      <c r="E110" s="776">
        <f>'[1]12'!F110</f>
        <v>25963</v>
      </c>
      <c r="F110" s="776">
        <v>26029</v>
      </c>
      <c r="G110" s="652">
        <f t="shared" ref="G110:G111" si="11">F110-E110</f>
        <v>66</v>
      </c>
      <c r="H110" s="796">
        <f>G110+'[1]12'!H110</f>
        <v>167.76000000000931</v>
      </c>
      <c r="I110" s="652"/>
      <c r="J110" s="679">
        <f>H110/DAY(B2)</f>
        <v>12.9046153846161</v>
      </c>
      <c r="N110" s="854"/>
      <c r="O110" s="861"/>
      <c r="P110" s="410"/>
    </row>
    <row r="111" spans="1:16" s="524" customFormat="1" ht="27.75" x14ac:dyDescent="0.5">
      <c r="A111" s="1406" t="s">
        <v>248</v>
      </c>
      <c r="B111" s="1407"/>
      <c r="C111" s="1359"/>
      <c r="D111" s="743" t="s">
        <v>171</v>
      </c>
      <c r="E111" s="776">
        <f>'[1]12'!F111</f>
        <v>3458</v>
      </c>
      <c r="F111" s="776">
        <v>3458</v>
      </c>
      <c r="G111" s="652">
        <f t="shared" si="11"/>
        <v>0</v>
      </c>
      <c r="H111" s="796">
        <f>G111+'[1]12'!H111</f>
        <v>356</v>
      </c>
      <c r="I111" s="652"/>
      <c r="J111" s="679">
        <f>H111/DAY(B2)</f>
        <v>27.384615384615383</v>
      </c>
      <c r="N111" s="854"/>
      <c r="O111" s="861"/>
      <c r="P111" s="410"/>
    </row>
    <row r="112" spans="1:16" s="524" customFormat="1" ht="27.75" x14ac:dyDescent="0.5">
      <c r="A112" s="1409" t="s">
        <v>136</v>
      </c>
      <c r="B112" s="1410"/>
      <c r="C112" s="1359"/>
      <c r="D112" s="743"/>
      <c r="E112" s="776"/>
      <c r="F112" s="776"/>
      <c r="G112" s="652">
        <f>SUM(G109:G111)</f>
        <v>136</v>
      </c>
      <c r="H112" s="796">
        <f>G112+'[1]12'!H112</f>
        <v>845</v>
      </c>
      <c r="I112" s="652"/>
      <c r="J112" s="679">
        <f>H112/DAY(B2)</f>
        <v>65</v>
      </c>
      <c r="N112" s="854"/>
      <c r="O112" s="861"/>
      <c r="P112" s="410"/>
    </row>
    <row r="113" spans="1:16" s="524" customFormat="1" ht="27.75" x14ac:dyDescent="0.5">
      <c r="A113" s="1411" t="s">
        <v>249</v>
      </c>
      <c r="B113" s="1412"/>
      <c r="C113" s="1359"/>
      <c r="D113" s="743"/>
      <c r="E113" s="776"/>
      <c r="F113" s="776"/>
      <c r="G113" s="652"/>
      <c r="H113" s="796">
        <f>G113+'[1]12'!H113</f>
        <v>0</v>
      </c>
      <c r="I113" s="652"/>
      <c r="J113" s="679">
        <f>H113/DAY(B2)</f>
        <v>0</v>
      </c>
      <c r="N113" s="854"/>
      <c r="O113" s="861"/>
      <c r="P113" s="410"/>
    </row>
    <row r="114" spans="1:16" s="524" customFormat="1" ht="27.75" x14ac:dyDescent="0.5">
      <c r="A114" s="1406" t="s">
        <v>250</v>
      </c>
      <c r="B114" s="1407"/>
      <c r="C114" s="695"/>
      <c r="D114" s="743" t="s">
        <v>171</v>
      </c>
      <c r="E114" s="776">
        <f>'[1]12'!F114</f>
        <v>8920</v>
      </c>
      <c r="F114" s="776">
        <v>8937</v>
      </c>
      <c r="G114" s="654">
        <f>F114-E114</f>
        <v>17</v>
      </c>
      <c r="H114" s="796">
        <f>G114+'[1]12'!H114</f>
        <v>43</v>
      </c>
      <c r="I114" s="652"/>
      <c r="J114" s="679">
        <f>H114/DAY(B2)</f>
        <v>3.3076923076923075</v>
      </c>
      <c r="N114" s="854"/>
      <c r="O114" s="861"/>
      <c r="P114" s="410"/>
    </row>
    <row r="115" spans="1:16" s="524" customFormat="1" ht="27.75" x14ac:dyDescent="0.5">
      <c r="A115" s="1406" t="s">
        <v>251</v>
      </c>
      <c r="B115" s="1407"/>
      <c r="C115" s="695"/>
      <c r="D115" s="743" t="s">
        <v>171</v>
      </c>
      <c r="E115" s="776">
        <f>'[1]12'!F115</f>
        <v>6965</v>
      </c>
      <c r="F115" s="776">
        <v>6981</v>
      </c>
      <c r="G115" s="654">
        <f t="shared" ref="G115:G116" si="12">F115-E115</f>
        <v>16</v>
      </c>
      <c r="H115" s="796">
        <f>G115+'[1]12'!H115</f>
        <v>139</v>
      </c>
      <c r="I115" s="652"/>
      <c r="J115" s="679">
        <f>H115/DAY(B2)</f>
        <v>10.692307692307692</v>
      </c>
      <c r="N115" s="854"/>
      <c r="O115" s="861"/>
      <c r="P115" s="410"/>
    </row>
    <row r="116" spans="1:16" s="524" customFormat="1" ht="27.75" x14ac:dyDescent="0.5">
      <c r="A116" s="1406" t="s">
        <v>252</v>
      </c>
      <c r="B116" s="1407"/>
      <c r="C116" s="695"/>
      <c r="D116" s="743" t="s">
        <v>171</v>
      </c>
      <c r="E116" s="776"/>
      <c r="F116" s="776"/>
      <c r="G116" s="654">
        <f t="shared" si="12"/>
        <v>0</v>
      </c>
      <c r="H116" s="796">
        <f>G116+'[1]12'!H116</f>
        <v>151</v>
      </c>
      <c r="I116" s="652"/>
      <c r="J116" s="679">
        <f>H116/DAY(B2)</f>
        <v>11.615384615384615</v>
      </c>
      <c r="N116" s="854"/>
      <c r="O116" s="861"/>
      <c r="P116" s="410"/>
    </row>
    <row r="117" spans="1:16" s="537" customFormat="1" ht="27.75" x14ac:dyDescent="0.5">
      <c r="A117" s="1409" t="s">
        <v>82</v>
      </c>
      <c r="B117" s="1410"/>
      <c r="C117" s="695"/>
      <c r="D117" s="744"/>
      <c r="E117" s="776"/>
      <c r="F117" s="776"/>
      <c r="G117" s="654">
        <f>SUM(G114:G116)</f>
        <v>33</v>
      </c>
      <c r="H117" s="796">
        <f>G117+'[1]12'!H117</f>
        <v>117</v>
      </c>
      <c r="I117" s="654"/>
      <c r="J117" s="679">
        <f>H117/DAY(B2)</f>
        <v>9</v>
      </c>
      <c r="N117" s="854"/>
      <c r="O117" s="861"/>
      <c r="P117" s="410"/>
    </row>
    <row r="118" spans="1:16" s="538" customFormat="1" ht="27.75" x14ac:dyDescent="0.5">
      <c r="A118" s="1437" t="s">
        <v>253</v>
      </c>
      <c r="B118" s="1438"/>
      <c r="C118" s="1362"/>
      <c r="D118" s="745" t="s">
        <v>171</v>
      </c>
      <c r="E118" s="777">
        <f>SUM(F19+F92)</f>
        <v>362850</v>
      </c>
      <c r="F118" s="777">
        <f>SUM(G19+G92)</f>
        <v>164</v>
      </c>
      <c r="G118" s="656">
        <f>SUM(G19+G92)</f>
        <v>164</v>
      </c>
      <c r="H118" s="796">
        <f>G118+'[1]12'!H118</f>
        <v>384</v>
      </c>
      <c r="I118" s="655"/>
      <c r="J118" s="680">
        <f>H118/DAY(B2)</f>
        <v>29.53846153846154</v>
      </c>
      <c r="N118" s="854"/>
      <c r="O118" s="861"/>
      <c r="P118" s="410"/>
    </row>
    <row r="119" spans="1:16" s="538" customFormat="1" ht="27.75" x14ac:dyDescent="0.5">
      <c r="A119" s="1437" t="s">
        <v>254</v>
      </c>
      <c r="B119" s="1438"/>
      <c r="C119" s="1362"/>
      <c r="D119" s="745" t="s">
        <v>171</v>
      </c>
      <c r="E119" s="777">
        <f>SUM(F95,F96,F97,F99,F100)</f>
        <v>605511</v>
      </c>
      <c r="F119" s="777">
        <f>SUM(G95,G96,G97,G99,G100)</f>
        <v>160</v>
      </c>
      <c r="G119" s="656">
        <f>SUM(G95,G96,G97,G99,G100)</f>
        <v>160</v>
      </c>
      <c r="H119" s="796">
        <f>G119+'[1]12'!H119</f>
        <v>409</v>
      </c>
      <c r="I119" s="655"/>
      <c r="J119" s="680">
        <f>H119/DAY(B2)</f>
        <v>31.46153846153846</v>
      </c>
      <c r="N119" s="854"/>
      <c r="O119" s="861"/>
      <c r="P119" s="410"/>
    </row>
    <row r="120" spans="1:16" s="538" customFormat="1" ht="27.75" x14ac:dyDescent="0.5">
      <c r="A120" s="1437" t="s">
        <v>255</v>
      </c>
      <c r="B120" s="1438"/>
      <c r="C120" s="1362"/>
      <c r="D120" s="745" t="s">
        <v>171</v>
      </c>
      <c r="E120" s="776">
        <f>SUM(F112)</f>
        <v>0</v>
      </c>
      <c r="F120" s="776">
        <f>SUM(G112)</f>
        <v>136</v>
      </c>
      <c r="G120" s="654">
        <f>SUM(G112)</f>
        <v>136</v>
      </c>
      <c r="H120" s="796">
        <f>G120+'[1]12'!H120</f>
        <v>281</v>
      </c>
      <c r="I120" s="655"/>
      <c r="J120" s="680">
        <f>H120/DAY(B2)</f>
        <v>21.615384615384617</v>
      </c>
      <c r="N120" s="854"/>
      <c r="O120" s="861"/>
      <c r="P120" s="410"/>
    </row>
    <row r="121" spans="1:16" s="524" customFormat="1" ht="27.75" x14ac:dyDescent="0.5">
      <c r="A121" s="1439"/>
      <c r="B121" s="1440"/>
      <c r="C121" s="1363"/>
      <c r="D121" s="681"/>
      <c r="E121" s="778" t="s">
        <v>143</v>
      </c>
      <c r="F121" s="778" t="s">
        <v>143</v>
      </c>
      <c r="G121" s="681"/>
      <c r="H121" s="682"/>
      <c r="I121" s="681"/>
      <c r="J121" s="683"/>
      <c r="N121" s="854"/>
      <c r="O121" s="861"/>
      <c r="P121" s="410"/>
    </row>
    <row r="122" spans="1:16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854"/>
      <c r="O122" s="861"/>
      <c r="P122" s="410"/>
    </row>
    <row r="123" spans="1:16" ht="27.75" x14ac:dyDescent="0.5">
      <c r="A123" s="1354" t="s">
        <v>257</v>
      </c>
      <c r="B123" s="1355"/>
      <c r="C123" s="1355"/>
      <c r="D123" s="643" t="s">
        <v>168</v>
      </c>
      <c r="E123" s="598">
        <f>'[1]12'!F123</f>
        <v>791225.78</v>
      </c>
      <c r="F123" s="598">
        <v>791437</v>
      </c>
      <c r="G123" s="593">
        <f t="shared" ref="G123:G127" si="13">F123-E123</f>
        <v>211.21999999997206</v>
      </c>
      <c r="H123" s="796">
        <f>G123+'[1]12'!H123</f>
        <v>2605.9300000000512</v>
      </c>
      <c r="I123" s="646"/>
      <c r="J123" s="673">
        <f>H123/DAY(B2)</f>
        <v>200.45615384615778</v>
      </c>
      <c r="K123" s="408"/>
      <c r="L123" s="405"/>
      <c r="N123" s="854"/>
      <c r="O123" s="861"/>
      <c r="P123" s="410"/>
    </row>
    <row r="124" spans="1:16" ht="27.75" x14ac:dyDescent="0.5">
      <c r="A124" s="1354" t="s">
        <v>258</v>
      </c>
      <c r="B124" s="1355"/>
      <c r="C124" s="1355"/>
      <c r="D124" s="643" t="s">
        <v>168</v>
      </c>
      <c r="E124" s="598">
        <f>'[1]12'!F124</f>
        <v>73582</v>
      </c>
      <c r="F124" s="747">
        <v>73582</v>
      </c>
      <c r="G124" s="593">
        <f t="shared" si="13"/>
        <v>0</v>
      </c>
      <c r="H124" s="796">
        <f>G124+'[1]12'!H124</f>
        <v>-0.19999999999708962</v>
      </c>
      <c r="I124" s="646"/>
      <c r="J124" s="673">
        <f>H124/DAY(B2)</f>
        <v>-1.5384615384391509E-2</v>
      </c>
      <c r="K124" s="408"/>
      <c r="L124" s="405"/>
      <c r="N124" s="854"/>
      <c r="O124" s="861"/>
      <c r="P124" s="410"/>
    </row>
    <row r="125" spans="1:16" ht="27.75" x14ac:dyDescent="0.5">
      <c r="A125" s="1395" t="s">
        <v>259</v>
      </c>
      <c r="B125" s="1396"/>
      <c r="C125" s="1397"/>
      <c r="D125" s="643" t="s">
        <v>168</v>
      </c>
      <c r="E125" s="598">
        <f>'[1]12'!F125</f>
        <v>134213.35</v>
      </c>
      <c r="F125" s="598">
        <v>134291</v>
      </c>
      <c r="G125" s="593">
        <f t="shared" si="13"/>
        <v>77.649999999994179</v>
      </c>
      <c r="H125" s="796">
        <f>G125+'[1]12'!H125</f>
        <v>1168.1199999999953</v>
      </c>
      <c r="I125" s="646"/>
      <c r="J125" s="673">
        <f>H125/DAY(B2)</f>
        <v>89.855384615384253</v>
      </c>
      <c r="K125" s="408"/>
      <c r="L125" s="405"/>
      <c r="N125" s="854"/>
      <c r="O125" s="861"/>
      <c r="P125" s="410"/>
    </row>
    <row r="126" spans="1:16" ht="27.75" x14ac:dyDescent="0.5">
      <c r="A126" s="730" t="s">
        <v>260</v>
      </c>
      <c r="B126" s="1355"/>
      <c r="C126" s="1355"/>
      <c r="D126" s="643" t="s">
        <v>168</v>
      </c>
      <c r="E126" s="598">
        <f>'[1]12'!F126</f>
        <v>56699</v>
      </c>
      <c r="F126" s="747">
        <v>56743</v>
      </c>
      <c r="G126" s="593">
        <f t="shared" si="13"/>
        <v>44</v>
      </c>
      <c r="H126" s="796">
        <f>G126+'[1]12'!H126</f>
        <v>394.80000000000291</v>
      </c>
      <c r="I126" s="646"/>
      <c r="J126" s="673">
        <f>H126/DAY(B2)</f>
        <v>30.369230769230992</v>
      </c>
      <c r="K126" s="408"/>
      <c r="L126" s="405"/>
      <c r="N126" s="854"/>
      <c r="O126" s="861"/>
      <c r="P126" s="410"/>
    </row>
    <row r="127" spans="1:16" ht="27.75" x14ac:dyDescent="0.5">
      <c r="A127" s="730" t="s">
        <v>261</v>
      </c>
      <c r="B127" s="1355"/>
      <c r="C127" s="1355"/>
      <c r="D127" s="643" t="s">
        <v>168</v>
      </c>
      <c r="E127" s="598">
        <f>'[1]12'!F127</f>
        <v>8662.6</v>
      </c>
      <c r="F127" s="747">
        <v>8665</v>
      </c>
      <c r="G127" s="593">
        <f t="shared" si="13"/>
        <v>2.3999999999996362</v>
      </c>
      <c r="H127" s="796">
        <f>G127+'[1]12'!H127</f>
        <v>24.899999999999636</v>
      </c>
      <c r="I127" s="600"/>
      <c r="J127" s="673">
        <f>H127/DAY(B2)</f>
        <v>1.9153846153845875</v>
      </c>
      <c r="K127" s="408"/>
      <c r="L127" s="405"/>
      <c r="N127" s="854"/>
      <c r="O127" s="861"/>
      <c r="P127" s="410"/>
    </row>
    <row r="128" spans="1:16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451.73000000003412</v>
      </c>
      <c r="H128" s="796">
        <f>G128+'[1]12'!H128</f>
        <v>5032.8489999999238</v>
      </c>
      <c r="I128" s="600"/>
      <c r="J128" s="673">
        <f>H128/DAY(B2)</f>
        <v>387.14223076922491</v>
      </c>
      <c r="K128" s="388"/>
      <c r="L128" s="290"/>
      <c r="N128" s="854"/>
      <c r="O128" s="861"/>
      <c r="P128" s="410"/>
    </row>
    <row r="129" spans="1:16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854"/>
      <c r="O129" s="861"/>
      <c r="P129" s="410"/>
    </row>
    <row r="130" spans="1:16" ht="27.75" x14ac:dyDescent="0.5">
      <c r="A130" s="1354" t="s">
        <v>264</v>
      </c>
      <c r="B130" s="1355"/>
      <c r="C130" s="1355"/>
      <c r="D130" s="643" t="s">
        <v>265</v>
      </c>
      <c r="E130" s="598">
        <f>'[1]12'!F130</f>
        <v>0</v>
      </c>
      <c r="F130" s="598">
        <v>0</v>
      </c>
      <c r="G130" s="593">
        <f t="shared" ref="G130:G140" si="14">F130-E130</f>
        <v>0</v>
      </c>
      <c r="H130" s="796">
        <f>G130+'[1]12'!H130</f>
        <v>0</v>
      </c>
      <c r="I130" s="600"/>
      <c r="J130" s="673">
        <f>H130/DAY(B2)</f>
        <v>0</v>
      </c>
      <c r="N130" s="854"/>
      <c r="O130" s="861"/>
      <c r="P130" s="410"/>
    </row>
    <row r="131" spans="1:16" ht="27.75" x14ac:dyDescent="0.5">
      <c r="A131" s="1354" t="s">
        <v>266</v>
      </c>
      <c r="B131" s="1355"/>
      <c r="C131" s="1355"/>
      <c r="D131" s="643" t="s">
        <v>265</v>
      </c>
      <c r="E131" s="598">
        <f>'[1]12'!F131</f>
        <v>0</v>
      </c>
      <c r="F131" s="598">
        <v>0</v>
      </c>
      <c r="G131" s="593">
        <f t="shared" si="14"/>
        <v>0</v>
      </c>
      <c r="H131" s="796">
        <f>G131+'[1]12'!H131</f>
        <v>0</v>
      </c>
      <c r="I131" s="600"/>
      <c r="J131" s="673">
        <f>H131/DAY(B2)</f>
        <v>0</v>
      </c>
      <c r="N131" s="854"/>
      <c r="O131" s="861"/>
      <c r="P131" s="410"/>
    </row>
    <row r="132" spans="1:16" ht="27.75" x14ac:dyDescent="0.5">
      <c r="A132" s="1354" t="s">
        <v>267</v>
      </c>
      <c r="B132" s="1355"/>
      <c r="C132" s="1355"/>
      <c r="D132" s="643" t="s">
        <v>265</v>
      </c>
      <c r="E132" s="598">
        <f>'[1]12'!F132</f>
        <v>38877</v>
      </c>
      <c r="F132" s="768">
        <v>38877</v>
      </c>
      <c r="G132" s="593">
        <f t="shared" si="14"/>
        <v>0</v>
      </c>
      <c r="H132" s="796">
        <f>G132+'[1]12'!H132</f>
        <v>0</v>
      </c>
      <c r="I132" s="600"/>
      <c r="J132" s="673">
        <f>H132/DAY(B2)</f>
        <v>0</v>
      </c>
      <c r="N132" s="854"/>
      <c r="O132" s="861"/>
      <c r="P132" s="410"/>
    </row>
    <row r="133" spans="1:16" ht="27.75" x14ac:dyDescent="0.5">
      <c r="A133" s="1354" t="s">
        <v>268</v>
      </c>
      <c r="B133" s="1355"/>
      <c r="C133" s="1355"/>
      <c r="D133" s="643" t="s">
        <v>265</v>
      </c>
      <c r="E133" s="598">
        <f>'[1]12'!F133</f>
        <v>212.34</v>
      </c>
      <c r="F133" s="747">
        <v>236.22</v>
      </c>
      <c r="G133" s="593">
        <f t="shared" si="14"/>
        <v>23.879999999999995</v>
      </c>
      <c r="H133" s="796">
        <f>G133+'[1]12'!H133</f>
        <v>236.22</v>
      </c>
      <c r="I133" s="600">
        <f>G130+G131+G132+G133</f>
        <v>23.879999999999995</v>
      </c>
      <c r="J133" s="673">
        <f>H133/DAY(B2)</f>
        <v>18.170769230769231</v>
      </c>
      <c r="N133" s="854"/>
      <c r="O133" s="861"/>
      <c r="P133" s="410"/>
    </row>
    <row r="134" spans="1:16" ht="27.75" x14ac:dyDescent="0.5">
      <c r="A134" s="1354" t="s">
        <v>269</v>
      </c>
      <c r="B134" s="1355"/>
      <c r="C134" s="1355"/>
      <c r="D134" s="643" t="s">
        <v>265</v>
      </c>
      <c r="E134" s="598">
        <f>'[1]12'!F134</f>
        <v>39735</v>
      </c>
      <c r="F134" s="747">
        <v>39735</v>
      </c>
      <c r="G134" s="593">
        <f t="shared" si="14"/>
        <v>0</v>
      </c>
      <c r="H134" s="796">
        <f>G134+'[1]12'!H134</f>
        <v>0</v>
      </c>
      <c r="I134" s="600"/>
      <c r="J134" s="673">
        <f>H134/DAY(B2)</f>
        <v>0</v>
      </c>
      <c r="N134" s="854"/>
      <c r="O134" s="861"/>
      <c r="P134" s="410"/>
    </row>
    <row r="135" spans="1:16" ht="27.75" x14ac:dyDescent="0.5">
      <c r="A135" s="1354" t="s">
        <v>270</v>
      </c>
      <c r="B135" s="1355"/>
      <c r="C135" s="1355"/>
      <c r="D135" s="643" t="s">
        <v>265</v>
      </c>
      <c r="E135" s="598">
        <f>'[1]12'!F135</f>
        <v>31796.240000000002</v>
      </c>
      <c r="F135" s="768">
        <v>31796.240000000002</v>
      </c>
      <c r="G135" s="593">
        <f t="shared" si="14"/>
        <v>0</v>
      </c>
      <c r="H135" s="796">
        <f>G135+'[1]12'!H135</f>
        <v>78.720000000001164</v>
      </c>
      <c r="I135" s="600"/>
      <c r="J135" s="673">
        <f>H135/DAY(B2)</f>
        <v>6.0553846153847051</v>
      </c>
      <c r="N135" s="854"/>
      <c r="O135" s="861"/>
      <c r="P135" s="410"/>
    </row>
    <row r="136" spans="1:16" ht="27.75" x14ac:dyDescent="0.5">
      <c r="A136" s="1354" t="s">
        <v>271</v>
      </c>
      <c r="B136" s="1355"/>
      <c r="C136" s="1355"/>
      <c r="D136" s="643" t="s">
        <v>265</v>
      </c>
      <c r="E136" s="598">
        <f>'[1]12'!F136</f>
        <v>21742.65</v>
      </c>
      <c r="F136" s="768">
        <v>21750.720000000001</v>
      </c>
      <c r="G136" s="593">
        <f t="shared" si="14"/>
        <v>8.069999999999709</v>
      </c>
      <c r="H136" s="796">
        <f>G136+'[1]12'!H136</f>
        <v>76</v>
      </c>
      <c r="I136" s="600">
        <f>G134+G135+G136</f>
        <v>8.069999999999709</v>
      </c>
      <c r="J136" s="673">
        <f>H136/DAY(B2)</f>
        <v>5.8461538461538458</v>
      </c>
      <c r="N136" s="854"/>
      <c r="O136" s="861"/>
      <c r="P136" s="410"/>
    </row>
    <row r="137" spans="1:16" ht="27.75" x14ac:dyDescent="0.5">
      <c r="A137" s="1354" t="s">
        <v>272</v>
      </c>
      <c r="B137" s="1355"/>
      <c r="C137" s="1355"/>
      <c r="D137" s="643" t="s">
        <v>265</v>
      </c>
      <c r="E137" s="598">
        <f>'[1]12'!F137</f>
        <v>24932.51</v>
      </c>
      <c r="F137" s="768">
        <v>24932.51</v>
      </c>
      <c r="G137" s="593">
        <f t="shared" si="14"/>
        <v>0</v>
      </c>
      <c r="H137" s="796">
        <f>G137+'[1]12'!H137</f>
        <v>0</v>
      </c>
      <c r="I137" s="600"/>
      <c r="J137" s="673">
        <f>H137/DAY(B2)</f>
        <v>0</v>
      </c>
      <c r="N137" s="854"/>
      <c r="O137" s="861"/>
      <c r="P137" s="410"/>
    </row>
    <row r="138" spans="1:16" ht="27.75" x14ac:dyDescent="0.5">
      <c r="A138" s="1354" t="s">
        <v>273</v>
      </c>
      <c r="B138" s="1355"/>
      <c r="C138" s="1355"/>
      <c r="D138" s="643" t="s">
        <v>265</v>
      </c>
      <c r="E138" s="598">
        <f>'[1]12'!F138</f>
        <v>69985.02</v>
      </c>
      <c r="F138" s="768">
        <v>69985.02</v>
      </c>
      <c r="G138" s="593">
        <f t="shared" si="14"/>
        <v>0</v>
      </c>
      <c r="H138" s="796">
        <f>G138+'[1]12'!H138</f>
        <v>29.809999999997672</v>
      </c>
      <c r="I138" s="600">
        <f>G137+G138</f>
        <v>0</v>
      </c>
      <c r="J138" s="673">
        <f>H138/DAY(B2)</f>
        <v>2.293076923076744</v>
      </c>
      <c r="N138" s="854"/>
      <c r="O138" s="861"/>
      <c r="P138" s="410"/>
    </row>
    <row r="139" spans="1:16" ht="27.75" x14ac:dyDescent="0.5">
      <c r="A139" s="1354" t="s">
        <v>274</v>
      </c>
      <c r="B139" s="1355"/>
      <c r="C139" s="1355"/>
      <c r="D139" s="643" t="s">
        <v>265</v>
      </c>
      <c r="E139" s="598">
        <f>'[1]12'!F139</f>
        <v>1008.82</v>
      </c>
      <c r="F139" s="747">
        <v>1014.71</v>
      </c>
      <c r="G139" s="593">
        <f t="shared" si="14"/>
        <v>5.8899999999999864</v>
      </c>
      <c r="H139" s="796">
        <f>G139+'[1]12'!H139</f>
        <v>73.180000000000064</v>
      </c>
      <c r="I139" s="663"/>
      <c r="J139" s="673">
        <f>H139/DAY(B2)</f>
        <v>5.6292307692307739</v>
      </c>
      <c r="N139" s="854"/>
      <c r="O139" s="861"/>
      <c r="P139" s="410"/>
    </row>
    <row r="140" spans="1:16" ht="27.75" x14ac:dyDescent="0.5">
      <c r="A140" s="1354" t="s">
        <v>275</v>
      </c>
      <c r="B140" s="1355"/>
      <c r="C140" s="1355"/>
      <c r="D140" s="643" t="s">
        <v>265</v>
      </c>
      <c r="E140" s="598">
        <f>'[1]12'!F140</f>
        <v>4156.9799999999996</v>
      </c>
      <c r="F140" s="598">
        <v>4156.9799999999996</v>
      </c>
      <c r="G140" s="593">
        <f t="shared" si="14"/>
        <v>0</v>
      </c>
      <c r="H140" s="796">
        <f>G140+'[1]12'!H140</f>
        <v>7.999999999992724E-2</v>
      </c>
      <c r="I140" s="663"/>
      <c r="J140" s="673">
        <f>H140/DAY(B2)</f>
        <v>6.1538461538405568E-3</v>
      </c>
      <c r="N140" s="854"/>
      <c r="O140" s="861"/>
      <c r="P140" s="410"/>
    </row>
    <row r="141" spans="1:16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854"/>
      <c r="O141" s="861"/>
      <c r="P141" s="410"/>
    </row>
    <row r="142" spans="1:16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5257.75</v>
      </c>
      <c r="H142" s="796">
        <f>G142+'[1]12'!H142</f>
        <v>67132.892999999924</v>
      </c>
      <c r="I142" s="600"/>
      <c r="J142" s="673">
        <f>H142/DAY(B2)</f>
        <v>5164.0686923076864</v>
      </c>
      <c r="K142" s="408"/>
      <c r="L142" s="405"/>
      <c r="N142" s="854"/>
      <c r="O142" s="861"/>
      <c r="P142" s="410"/>
    </row>
    <row r="143" spans="1:16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0.26349353513080082</v>
      </c>
      <c r="H143" s="796">
        <f>G143+'[1]12'!H143</f>
        <v>3.1239653791139257</v>
      </c>
      <c r="I143" s="665"/>
      <c r="J143" s="673">
        <f>H143/DAY(B2)</f>
        <v>0.24030502916260968</v>
      </c>
      <c r="K143" s="408"/>
      <c r="L143" s="405"/>
      <c r="N143" s="854"/>
      <c r="O143" s="861"/>
      <c r="P143" s="410"/>
    </row>
    <row r="144" spans="1:16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4618.2700000000041</v>
      </c>
      <c r="H144" s="796">
        <f>G144+'[1]12'!H144</f>
        <v>60736.619999999988</v>
      </c>
      <c r="I144" s="600"/>
      <c r="J144" s="673">
        <f>H144/DAY(B2)</f>
        <v>4672.0476923076912</v>
      </c>
      <c r="K144" s="408"/>
      <c r="L144" s="405"/>
      <c r="N144" s="854"/>
      <c r="O144" s="861"/>
      <c r="P144" s="410"/>
    </row>
    <row r="145" spans="1:16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0.23144582539841657</v>
      </c>
      <c r="H145" s="796">
        <f>G145+'[1]12'!H145</f>
        <v>2.9592344490833984</v>
      </c>
      <c r="I145" s="665"/>
      <c r="J145" s="673">
        <f>H145/DAY(B2)</f>
        <v>0.22763341916026142</v>
      </c>
      <c r="K145" s="408"/>
      <c r="L145" s="405"/>
      <c r="N145" s="854"/>
      <c r="O145" s="861"/>
      <c r="P145" s="410"/>
    </row>
    <row r="146" spans="1:16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4114.5500000000029</v>
      </c>
      <c r="H146" s="796">
        <f>G146+'[1]12'!H146</f>
        <v>55223.993000000002</v>
      </c>
      <c r="I146" s="666"/>
      <c r="J146" s="673">
        <f>H146/DAY(B2)</f>
        <v>4247.9994615384621</v>
      </c>
      <c r="K146" s="408"/>
      <c r="L146" s="405"/>
      <c r="N146" s="854"/>
      <c r="O146" s="861"/>
      <c r="P146" s="410"/>
    </row>
    <row r="147" spans="1:16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0.20620176405733201</v>
      </c>
      <c r="H147" s="796">
        <f>G147+'[1]12'!H147</f>
        <v>2.7060934692192538</v>
      </c>
      <c r="I147" s="666"/>
      <c r="J147" s="673">
        <f>H147/DAY(B2)</f>
        <v>0.20816103609378875</v>
      </c>
      <c r="N147" s="854"/>
      <c r="O147" s="861"/>
      <c r="P147" s="410"/>
    </row>
    <row r="148" spans="1:16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2134.1199999999953</v>
      </c>
      <c r="H148" s="796">
        <f>G148+'[1]12'!H148</f>
        <v>26219.479999999981</v>
      </c>
      <c r="I148" s="600"/>
      <c r="J148" s="673">
        <f>H148/DAY(B2)</f>
        <v>2016.8830769230756</v>
      </c>
      <c r="K148" s="409"/>
      <c r="N148" s="854"/>
      <c r="O148" s="861"/>
      <c r="P148" s="410"/>
    </row>
    <row r="149" spans="1:16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0.10695198957602463</v>
      </c>
      <c r="H149" s="796">
        <f>G149+'[1]12'!H149</f>
        <v>1.2808647261077704</v>
      </c>
      <c r="I149" s="666"/>
      <c r="J149" s="673">
        <f>H149/DAY(B2)</f>
        <v>9.852805585444388E-2</v>
      </c>
      <c r="N149" s="854"/>
      <c r="O149" s="861"/>
      <c r="P149" s="410"/>
    </row>
    <row r="150" spans="1:16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1703.7700000000186</v>
      </c>
      <c r="H150" s="796">
        <f>G150+'[1]12'!H150</f>
        <v>29069.809999999969</v>
      </c>
      <c r="I150" s="666"/>
      <c r="J150" s="673">
        <f>H150/DAY(B2)</f>
        <v>2236.1392307692286</v>
      </c>
      <c r="N150" s="854"/>
      <c r="O150" s="861"/>
      <c r="P150" s="410"/>
    </row>
    <row r="151" spans="1:16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8.5384885236043831E-2</v>
      </c>
      <c r="H151" s="796">
        <f>G151+'[1]12'!H151</f>
        <v>1.4157071106988519</v>
      </c>
      <c r="I151" s="600"/>
      <c r="J151" s="673">
        <f>H151/DAY(B2)</f>
        <v>0.10890054697683477</v>
      </c>
      <c r="N151" s="854"/>
      <c r="O151" s="861"/>
      <c r="P151" s="410"/>
    </row>
    <row r="152" spans="1:16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1445.1800000000003</v>
      </c>
      <c r="H152" s="796">
        <f>G152+'[1]12'!H152</f>
        <v>19227.082999999999</v>
      </c>
      <c r="I152" s="600"/>
      <c r="J152" s="673">
        <f>H152/DAY(B2)</f>
        <v>1479.0063846153846</v>
      </c>
      <c r="N152" s="854"/>
      <c r="O152" s="861"/>
      <c r="P152" s="410"/>
    </row>
    <row r="153" spans="1:16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7.2425578831312037E-2</v>
      </c>
      <c r="H153" s="796">
        <f>G153+'[1]12'!H153</f>
        <v>1.0521108450519825</v>
      </c>
      <c r="I153" s="689"/>
      <c r="J153" s="690">
        <f>H153/DAY(B2)</f>
        <v>8.0931603465537114E-2</v>
      </c>
      <c r="N153" s="854"/>
      <c r="O153" s="861"/>
      <c r="P153" s="410"/>
    </row>
    <row r="154" spans="1:16" x14ac:dyDescent="0.5">
      <c r="A154" s="586"/>
      <c r="B154" s="576"/>
      <c r="C154" s="576"/>
      <c r="D154" s="667"/>
      <c r="E154" s="779"/>
      <c r="F154" s="779"/>
      <c r="G154" s="667"/>
      <c r="H154" s="668"/>
      <c r="I154" s="667"/>
      <c r="J154" s="669"/>
      <c r="N154" s="854"/>
    </row>
    <row r="155" spans="1:16" x14ac:dyDescent="0.5">
      <c r="N155" s="854"/>
    </row>
    <row r="156" spans="1:16" x14ac:dyDescent="0.5">
      <c r="N156" s="854"/>
    </row>
    <row r="157" spans="1:16" x14ac:dyDescent="0.5">
      <c r="N157" s="854"/>
    </row>
    <row r="158" spans="1:16" x14ac:dyDescent="0.5">
      <c r="N158" s="854"/>
    </row>
    <row r="159" spans="1:16" x14ac:dyDescent="0.5">
      <c r="N159" s="854"/>
    </row>
    <row r="160" spans="1:16" x14ac:dyDescent="0.5">
      <c r="A160" s="935" t="s">
        <v>289</v>
      </c>
      <c r="B160" s="936"/>
      <c r="C160" s="936"/>
      <c r="D160" s="741" t="s">
        <v>214</v>
      </c>
      <c r="E160" s="775">
        <f>'[1]12'!F160</f>
        <v>24712.45</v>
      </c>
      <c r="F160" s="944">
        <v>24783.94</v>
      </c>
      <c r="G160" s="593">
        <f t="shared" ref="G160:G171" si="15">F160-E160</f>
        <v>71.489999999997963</v>
      </c>
      <c r="N160" s="854"/>
    </row>
    <row r="161" spans="1:14" x14ac:dyDescent="0.5">
      <c r="A161" s="935" t="s">
        <v>290</v>
      </c>
      <c r="B161" s="936"/>
      <c r="C161" s="936"/>
      <c r="D161" s="741" t="s">
        <v>214</v>
      </c>
      <c r="E161" s="775">
        <f>'[1]12'!F161</f>
        <v>18633.84</v>
      </c>
      <c r="F161" s="944">
        <v>19290.330000000002</v>
      </c>
      <c r="G161" s="593">
        <f t="shared" si="15"/>
        <v>656.4900000000016</v>
      </c>
      <c r="N161" s="854"/>
    </row>
    <row r="162" spans="1:14" x14ac:dyDescent="0.5">
      <c r="A162" s="935" t="s">
        <v>291</v>
      </c>
      <c r="B162" s="936"/>
      <c r="C162" s="936"/>
      <c r="D162" s="741" t="s">
        <v>214</v>
      </c>
      <c r="E162" s="775">
        <f>'[1]12'!F162</f>
        <v>40841.910000000003</v>
      </c>
      <c r="F162" s="944">
        <v>41186</v>
      </c>
      <c r="G162" s="593">
        <f t="shared" si="15"/>
        <v>344.08999999999651</v>
      </c>
      <c r="N162" s="854"/>
    </row>
    <row r="163" spans="1:14" x14ac:dyDescent="0.5">
      <c r="A163" s="935" t="s">
        <v>292</v>
      </c>
      <c r="B163" s="936"/>
      <c r="C163" s="936"/>
      <c r="D163" s="741" t="s">
        <v>214</v>
      </c>
      <c r="E163" s="775">
        <f>'[1]12'!F163</f>
        <v>3828.65</v>
      </c>
      <c r="F163" s="944">
        <v>3862.91</v>
      </c>
      <c r="G163" s="593">
        <f t="shared" si="15"/>
        <v>34.259999999999764</v>
      </c>
      <c r="N163" s="854"/>
    </row>
    <row r="164" spans="1:14" x14ac:dyDescent="0.4">
      <c r="A164" s="937" t="s">
        <v>121</v>
      </c>
      <c r="B164" s="938"/>
      <c r="C164" s="938"/>
      <c r="D164" s="741" t="s">
        <v>214</v>
      </c>
      <c r="E164" s="775">
        <f>'[1]12'!F164</f>
        <v>20419</v>
      </c>
      <c r="F164" s="634">
        <f>F62</f>
        <v>20419.18</v>
      </c>
      <c r="G164" s="593">
        <f t="shared" si="15"/>
        <v>0.18000000000029104</v>
      </c>
      <c r="N164" s="854"/>
    </row>
    <row r="165" spans="1:14" x14ac:dyDescent="0.4">
      <c r="A165" s="937" t="s">
        <v>215</v>
      </c>
      <c r="B165" s="938"/>
      <c r="C165" s="938"/>
      <c r="D165" s="741" t="s">
        <v>214</v>
      </c>
      <c r="E165" s="775">
        <f>'[1]12'!F165</f>
        <v>1025.46</v>
      </c>
      <c r="F165" s="634">
        <f t="shared" ref="F165:F171" si="16">F63</f>
        <v>1034.52</v>
      </c>
      <c r="G165" s="593">
        <f t="shared" si="15"/>
        <v>9.0599999999999454</v>
      </c>
      <c r="N165" s="854"/>
    </row>
    <row r="166" spans="1:14" ht="21.75" customHeight="1" x14ac:dyDescent="0.5">
      <c r="A166" s="1470" t="s">
        <v>122</v>
      </c>
      <c r="B166" s="1470"/>
      <c r="C166" s="1470"/>
      <c r="D166" s="644" t="s">
        <v>214</v>
      </c>
      <c r="E166" s="775">
        <f>'[1]12'!F166</f>
        <v>91117.63</v>
      </c>
      <c r="F166" s="634">
        <f t="shared" si="16"/>
        <v>91476</v>
      </c>
      <c r="G166" s="593">
        <f t="shared" si="15"/>
        <v>358.36999999999534</v>
      </c>
      <c r="N166" s="854"/>
    </row>
    <row r="167" spans="1:14" ht="21.75" customHeight="1" x14ac:dyDescent="0.5">
      <c r="A167" s="1470" t="s">
        <v>123</v>
      </c>
      <c r="B167" s="1470"/>
      <c r="C167" s="1470"/>
      <c r="D167" s="644" t="s">
        <v>214</v>
      </c>
      <c r="E167" s="775">
        <f>'[1]12'!F167</f>
        <v>101479.63</v>
      </c>
      <c r="F167" s="634">
        <f t="shared" si="16"/>
        <v>101879</v>
      </c>
      <c r="G167" s="593">
        <f t="shared" si="15"/>
        <v>399.36999999999534</v>
      </c>
      <c r="N167" s="854"/>
    </row>
    <row r="168" spans="1:14" ht="21.75" customHeight="1" x14ac:dyDescent="0.5">
      <c r="A168" s="1470" t="s">
        <v>124</v>
      </c>
      <c r="B168" s="1470"/>
      <c r="C168" s="1470"/>
      <c r="D168" s="644" t="s">
        <v>214</v>
      </c>
      <c r="E168" s="775">
        <f>'[1]12'!F168</f>
        <v>94808.26</v>
      </c>
      <c r="F168" s="634">
        <f t="shared" si="16"/>
        <v>95215.88</v>
      </c>
      <c r="G168" s="593">
        <f t="shared" si="15"/>
        <v>407.6200000000099</v>
      </c>
      <c r="N168" s="854"/>
    </row>
    <row r="169" spans="1:14" ht="26.25" customHeight="1" x14ac:dyDescent="0.5">
      <c r="A169" s="1470" t="s">
        <v>125</v>
      </c>
      <c r="B169" s="1470"/>
      <c r="C169" s="1470"/>
      <c r="D169" s="644" t="s">
        <v>214</v>
      </c>
      <c r="E169" s="775">
        <f>'[1]12'!F169</f>
        <v>154843.32999999999</v>
      </c>
      <c r="F169" s="634">
        <f t="shared" si="16"/>
        <v>155506</v>
      </c>
      <c r="G169" s="593">
        <f t="shared" si="15"/>
        <v>662.67000000001281</v>
      </c>
      <c r="N169" s="854"/>
    </row>
    <row r="170" spans="1:14" ht="24" customHeight="1" x14ac:dyDescent="0.5">
      <c r="A170" s="1470" t="s">
        <v>126</v>
      </c>
      <c r="B170" s="1470"/>
      <c r="C170" s="1470"/>
      <c r="D170" s="644" t="s">
        <v>214</v>
      </c>
      <c r="E170" s="775">
        <f>'[1]12'!F170</f>
        <v>47483.27</v>
      </c>
      <c r="F170" s="634">
        <f t="shared" si="16"/>
        <v>47818</v>
      </c>
      <c r="G170" s="593">
        <f t="shared" si="15"/>
        <v>334.7300000000032</v>
      </c>
      <c r="N170" s="854"/>
    </row>
    <row r="171" spans="1:14" ht="27.75" x14ac:dyDescent="0.5">
      <c r="A171" s="1470" t="s">
        <v>127</v>
      </c>
      <c r="B171" s="1470"/>
      <c r="C171" s="1470"/>
      <c r="D171" s="644" t="s">
        <v>214</v>
      </c>
      <c r="E171" s="775">
        <f>'[1]12'!F171</f>
        <v>41079.440000000002</v>
      </c>
      <c r="F171" s="634">
        <f t="shared" si="16"/>
        <v>41373</v>
      </c>
      <c r="G171" s="593">
        <f t="shared" si="15"/>
        <v>293.55999999999767</v>
      </c>
      <c r="N171" s="854"/>
    </row>
    <row r="172" spans="1:14" x14ac:dyDescent="0.5">
      <c r="A172" s="939"/>
      <c r="B172" s="940"/>
      <c r="C172" s="940"/>
      <c r="D172" s="941"/>
      <c r="F172" s="942"/>
      <c r="G172" s="943">
        <f>SUM(G160:G171)</f>
        <v>3571.8900000000103</v>
      </c>
      <c r="N172" s="854"/>
    </row>
    <row r="173" spans="1:14" x14ac:dyDescent="0.5">
      <c r="N173" s="854"/>
    </row>
    <row r="174" spans="1:14" x14ac:dyDescent="0.5">
      <c r="N174" s="854"/>
    </row>
    <row r="175" spans="1:14" x14ac:dyDescent="0.5">
      <c r="N175" s="854"/>
    </row>
    <row r="176" spans="1:14" ht="18.75" customHeight="1" x14ac:dyDescent="0.5">
      <c r="N176" s="854"/>
    </row>
    <row r="177" spans="14:14" ht="18.75" customHeight="1" x14ac:dyDescent="0.5">
      <c r="N177" s="854"/>
    </row>
    <row r="178" spans="14:14" ht="18.75" customHeight="1" x14ac:dyDescent="0.5">
      <c r="N178" s="854"/>
    </row>
    <row r="179" spans="14:14" ht="18" customHeight="1" x14ac:dyDescent="0.5">
      <c r="N179" s="854"/>
    </row>
    <row r="180" spans="14:14" ht="18.75" customHeight="1" x14ac:dyDescent="0.5">
      <c r="N180" s="854"/>
    </row>
    <row r="181" spans="14:14" ht="18.75" customHeight="1" x14ac:dyDescent="0.5">
      <c r="N181" s="854"/>
    </row>
    <row r="182" spans="14:14" ht="18" customHeight="1" x14ac:dyDescent="0.5">
      <c r="N182" s="854"/>
    </row>
    <row r="183" spans="14:14" ht="18" customHeight="1" x14ac:dyDescent="0.5">
      <c r="N183" s="854"/>
    </row>
    <row r="184" spans="14:14" ht="18" customHeight="1" x14ac:dyDescent="0.5">
      <c r="N184" s="854"/>
    </row>
    <row r="185" spans="14:14" ht="18" customHeight="1" x14ac:dyDescent="0.5">
      <c r="N185" s="854"/>
    </row>
    <row r="186" spans="14:14" ht="18" customHeight="1" x14ac:dyDescent="0.5">
      <c r="N186" s="854"/>
    </row>
    <row r="187" spans="14:14" ht="18" customHeight="1" x14ac:dyDescent="0.5">
      <c r="N187" s="854"/>
    </row>
    <row r="188" spans="14:14" ht="18" customHeight="1" x14ac:dyDescent="0.5">
      <c r="N188" s="854"/>
    </row>
    <row r="189" spans="14:14" ht="18.75" customHeight="1" x14ac:dyDescent="0.5">
      <c r="N189" s="854"/>
    </row>
    <row r="190" spans="14:14" ht="18.75" customHeight="1" x14ac:dyDescent="0.5">
      <c r="N190" s="854"/>
    </row>
    <row r="191" spans="14:14" ht="18.75" customHeight="1" x14ac:dyDescent="0.5">
      <c r="N191" s="854"/>
    </row>
    <row r="192" spans="14:14" ht="18.75" customHeight="1" x14ac:dyDescent="0.5">
      <c r="N192" s="854"/>
    </row>
    <row r="193" spans="14:14" ht="18.75" customHeight="1" x14ac:dyDescent="0.5">
      <c r="N193" s="854"/>
    </row>
    <row r="194" spans="14:14" ht="18.75" customHeight="1" x14ac:dyDescent="0.5">
      <c r="N194" s="854"/>
    </row>
    <row r="195" spans="14:14" ht="18.75" customHeight="1" x14ac:dyDescent="0.5">
      <c r="N195" s="854"/>
    </row>
    <row r="196" spans="14:14" ht="18.75" customHeight="1" x14ac:dyDescent="0.5">
      <c r="N196" s="854"/>
    </row>
    <row r="197" spans="14:14" ht="18.75" customHeight="1" x14ac:dyDescent="0.5">
      <c r="N197" s="854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zoomScale="55" zoomScaleSheetLayoutView="55" workbookViewId="0">
      <selection sqref="A1:XFD1048576"/>
    </sheetView>
  </sheetViews>
  <sheetFormatPr defaultColWidth="22.33203125" defaultRowHeight="29.25" x14ac:dyDescent="0.5"/>
  <cols>
    <col min="1" max="1" width="40.6640625" style="574" customWidth="1"/>
    <col min="2" max="2" width="28.5546875" style="577" customWidth="1"/>
    <col min="3" max="3" width="15.88671875" style="577" customWidth="1"/>
    <col min="4" max="4" width="13.6640625" style="658" customWidth="1"/>
    <col min="5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22.33203125" style="404" hidden="1" customWidth="1"/>
    <col min="14" max="14" width="25.5546875" style="852" customWidth="1"/>
    <col min="15" max="15" width="22.33203125" style="859"/>
    <col min="16" max="16384" width="22.33203125" style="404"/>
  </cols>
  <sheetData>
    <row r="1" spans="1:16" ht="33.75" x14ac:dyDescent="0.65">
      <c r="A1" s="1413" t="s">
        <v>301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6" s="278" customFormat="1" ht="27" x14ac:dyDescent="0.5">
      <c r="A2" s="696" t="s">
        <v>302</v>
      </c>
      <c r="B2" s="1173">
        <v>44179</v>
      </c>
      <c r="C2" s="1361" t="s">
        <v>84</v>
      </c>
      <c r="D2" s="732">
        <v>0.28000000000000003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  <c r="N2" s="853"/>
      <c r="O2" s="860"/>
    </row>
    <row r="3" spans="1:16" s="278" customFormat="1" ht="27" x14ac:dyDescent="0.5">
      <c r="A3" s="691"/>
      <c r="B3" s="735"/>
      <c r="C3" s="1361" t="s">
        <v>147</v>
      </c>
      <c r="D3" s="733">
        <v>28</v>
      </c>
      <c r="E3" s="1422" t="s">
        <v>148</v>
      </c>
      <c r="F3" s="1423"/>
      <c r="G3" s="582"/>
      <c r="H3" s="583"/>
      <c r="I3" s="583"/>
      <c r="J3" s="736"/>
      <c r="K3" s="399"/>
      <c r="L3" s="290"/>
      <c r="N3" s="853"/>
      <c r="O3" s="860"/>
    </row>
    <row r="4" spans="1:16" s="278" customFormat="1" ht="27" x14ac:dyDescent="0.5">
      <c r="A4" s="697"/>
      <c r="B4" s="737"/>
      <c r="C4" s="1361" t="s">
        <v>149</v>
      </c>
      <c r="D4" s="732">
        <v>0.72</v>
      </c>
      <c r="E4" s="584"/>
      <c r="F4" s="584"/>
      <c r="G4" s="584"/>
      <c r="H4" s="584"/>
      <c r="I4" s="585"/>
      <c r="J4" s="736" t="s">
        <v>143</v>
      </c>
      <c r="K4" s="400"/>
      <c r="L4" s="290"/>
      <c r="N4" s="853"/>
      <c r="O4" s="860"/>
    </row>
    <row r="5" spans="1:16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6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6" ht="30" thickBot="1" x14ac:dyDescent="0.45">
      <c r="A7" s="793" t="s">
        <v>158</v>
      </c>
      <c r="B7" s="794"/>
      <c r="C7" s="794"/>
      <c r="D7" s="759" t="s">
        <v>159</v>
      </c>
      <c r="E7" s="575">
        <f>'[1]13'!F7</f>
        <v>2934513</v>
      </c>
      <c r="F7" s="575">
        <v>2954637</v>
      </c>
      <c r="G7" s="795">
        <f>F7-E7</f>
        <v>20124</v>
      </c>
      <c r="H7" s="796">
        <f>G7+'[1]13'!H7</f>
        <v>286192</v>
      </c>
      <c r="I7" s="797">
        <f>'[1]1'!I7</f>
        <v>12000</v>
      </c>
      <c r="J7" s="798">
        <f>H7/DAY(B2)</f>
        <v>20442.285714285714</v>
      </c>
      <c r="K7" s="670"/>
      <c r="L7" s="405"/>
      <c r="N7" s="865"/>
      <c r="O7" s="861"/>
      <c r="P7" s="864"/>
    </row>
    <row r="8" spans="1:16" ht="27.75" thickBot="1" x14ac:dyDescent="0.45">
      <c r="A8" s="799" t="s">
        <v>160</v>
      </c>
      <c r="B8" s="800"/>
      <c r="C8" s="801"/>
      <c r="D8" s="802" t="s">
        <v>39</v>
      </c>
      <c r="E8" s="595">
        <f>'[1]13'!F8</f>
        <v>2951474</v>
      </c>
      <c r="F8" s="595">
        <v>2971763</v>
      </c>
      <c r="G8" s="806">
        <f>F8-E8</f>
        <v>20289</v>
      </c>
      <c r="H8" s="796">
        <f>G8+'[1]13'!H8</f>
        <v>288724</v>
      </c>
      <c r="I8" s="803">
        <f>'[1]1'!I8</f>
        <v>12000</v>
      </c>
      <c r="J8" s="798">
        <f>H8/DAY(B2)</f>
        <v>20623.142857142859</v>
      </c>
      <c r="K8" s="670"/>
      <c r="L8" s="460"/>
      <c r="M8" s="522"/>
      <c r="N8" s="854"/>
      <c r="O8" s="861"/>
      <c r="P8" s="410"/>
    </row>
    <row r="9" spans="1:16" x14ac:dyDescent="0.4">
      <c r="A9" s="804" t="s">
        <v>161</v>
      </c>
      <c r="B9" s="805"/>
      <c r="C9" s="805"/>
      <c r="D9" s="759" t="s">
        <v>159</v>
      </c>
      <c r="E9" s="598">
        <f>'[1]13'!F9</f>
        <v>2342459</v>
      </c>
      <c r="F9" s="598">
        <v>2350316</v>
      </c>
      <c r="G9" s="819">
        <f t="shared" ref="G9:G12" si="0">F9-E9</f>
        <v>7857</v>
      </c>
      <c r="H9" s="796">
        <f>G9+'[1]13'!H9</f>
        <v>93279.5</v>
      </c>
      <c r="I9" s="807">
        <f>I7-J7</f>
        <v>-8442.2857142857138</v>
      </c>
      <c r="J9" s="798">
        <f>H9/DAY(B2)</f>
        <v>6662.8214285714284</v>
      </c>
      <c r="K9" s="508"/>
      <c r="L9" s="405"/>
      <c r="N9" s="854"/>
      <c r="O9" s="861"/>
      <c r="P9" s="410"/>
    </row>
    <row r="10" spans="1:16" x14ac:dyDescent="0.4">
      <c r="A10" s="793" t="s">
        <v>162</v>
      </c>
      <c r="B10" s="794"/>
      <c r="C10" s="794"/>
      <c r="D10" s="759" t="s">
        <v>159</v>
      </c>
      <c r="E10" s="598">
        <f>'[1]13'!F10</f>
        <v>474270</v>
      </c>
      <c r="F10" s="598">
        <v>485859</v>
      </c>
      <c r="G10" s="806">
        <f t="shared" si="0"/>
        <v>11589</v>
      </c>
      <c r="H10" s="796">
        <f>G10+'[1]13'!H10</f>
        <v>182908.71000000002</v>
      </c>
      <c r="I10" s="808"/>
      <c r="J10" s="798">
        <f>H10/DAY(B2)</f>
        <v>13064.907857142858</v>
      </c>
      <c r="K10" s="508"/>
      <c r="L10" s="405"/>
      <c r="N10" s="854"/>
      <c r="O10" s="861"/>
      <c r="P10" s="410"/>
    </row>
    <row r="11" spans="1:16" x14ac:dyDescent="0.4">
      <c r="A11" s="793" t="s">
        <v>163</v>
      </c>
      <c r="B11" s="794"/>
      <c r="C11" s="794"/>
      <c r="D11" s="759" t="s">
        <v>159</v>
      </c>
      <c r="E11" s="575">
        <f>'[1]13'!F11</f>
        <v>35390</v>
      </c>
      <c r="F11" s="575">
        <v>35390</v>
      </c>
      <c r="G11" s="806">
        <f t="shared" si="0"/>
        <v>0</v>
      </c>
      <c r="H11" s="796">
        <f>G11+'[1]13'!H11</f>
        <v>0</v>
      </c>
      <c r="I11" s="808"/>
      <c r="J11" s="798">
        <f>H11/DAY(B2)</f>
        <v>0</v>
      </c>
      <c r="K11" s="508"/>
      <c r="L11" s="405"/>
      <c r="N11" s="854"/>
      <c r="O11" s="861"/>
      <c r="P11" s="410"/>
    </row>
    <row r="12" spans="1:16" x14ac:dyDescent="0.4">
      <c r="A12" s="793" t="s">
        <v>164</v>
      </c>
      <c r="B12" s="794"/>
      <c r="C12" s="794"/>
      <c r="D12" s="759" t="s">
        <v>159</v>
      </c>
      <c r="E12" s="598">
        <f>'[1]13'!F12</f>
        <v>37630</v>
      </c>
      <c r="F12" s="598">
        <v>37630</v>
      </c>
      <c r="G12" s="806">
        <f t="shared" si="0"/>
        <v>0</v>
      </c>
      <c r="H12" s="796">
        <f>G12+'[1]13'!H12</f>
        <v>0</v>
      </c>
      <c r="I12" s="808"/>
      <c r="J12" s="798">
        <f>H12/DAY(B2)</f>
        <v>0</v>
      </c>
      <c r="K12" s="508"/>
      <c r="L12" s="405" t="s">
        <v>296</v>
      </c>
      <c r="N12" s="854"/>
      <c r="O12" s="861">
        <v>0</v>
      </c>
      <c r="P12" s="410"/>
    </row>
    <row r="13" spans="1:16" x14ac:dyDescent="0.5">
      <c r="A13" s="809" t="s">
        <v>165</v>
      </c>
      <c r="B13" s="810"/>
      <c r="C13" s="810"/>
      <c r="D13" s="759"/>
      <c r="E13" s="575"/>
      <c r="F13" s="575"/>
      <c r="G13" s="811">
        <f>G9+G10+G11+G12</f>
        <v>19446</v>
      </c>
      <c r="H13" s="796">
        <f>G13+'[1]13'!H13</f>
        <v>254328.90000000002</v>
      </c>
      <c r="I13" s="812">
        <f>G7-G13</f>
        <v>678</v>
      </c>
      <c r="J13" s="798">
        <f>H13/DAY(B2)</f>
        <v>18166.350000000002</v>
      </c>
      <c r="K13" s="508"/>
      <c r="L13" s="405"/>
      <c r="N13" s="854"/>
      <c r="O13" s="861"/>
      <c r="P13" s="410"/>
    </row>
    <row r="14" spans="1:16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854"/>
      <c r="O14" s="861"/>
      <c r="P14" s="410"/>
    </row>
    <row r="15" spans="1:16" x14ac:dyDescent="0.5">
      <c r="A15" s="933" t="s">
        <v>167</v>
      </c>
      <c r="B15" s="934"/>
      <c r="C15" s="934"/>
      <c r="D15" s="644" t="s">
        <v>168</v>
      </c>
      <c r="E15" s="605">
        <f>'[1]13'!F15</f>
        <v>1556124</v>
      </c>
      <c r="F15" s="605">
        <v>1556910</v>
      </c>
      <c r="G15" s="781">
        <f>(F15-E15)</f>
        <v>786</v>
      </c>
      <c r="H15" s="606">
        <f>G15+'[1]13'!H15</f>
        <v>10012.398999999976</v>
      </c>
      <c r="I15" s="594">
        <v>800</v>
      </c>
      <c r="J15" s="674">
        <f>H15/DAY(B2)</f>
        <v>715.17135714285541</v>
      </c>
      <c r="K15" s="508"/>
      <c r="L15" s="405"/>
      <c r="N15" s="854"/>
      <c r="O15" s="861"/>
      <c r="P15" s="410"/>
    </row>
    <row r="16" spans="1:16" x14ac:dyDescent="0.4">
      <c r="A16" s="708"/>
      <c r="B16" s="709"/>
      <c r="C16" s="709"/>
      <c r="D16" s="644"/>
      <c r="E16" s="605"/>
      <c r="F16" s="605"/>
      <c r="G16" s="786"/>
      <c r="H16" s="606"/>
      <c r="I16" s="602">
        <f>I15-J15</f>
        <v>84.828642857144587</v>
      </c>
      <c r="J16" s="674"/>
      <c r="K16" s="508"/>
      <c r="L16" s="405"/>
      <c r="N16" s="854"/>
      <c r="O16" s="861"/>
      <c r="P16" s="410"/>
    </row>
    <row r="17" spans="1:16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854"/>
      <c r="O17" s="861"/>
      <c r="P17" s="410"/>
    </row>
    <row r="18" spans="1:16" ht="27.75" x14ac:dyDescent="0.5">
      <c r="A18" s="1460" t="s">
        <v>170</v>
      </c>
      <c r="B18" s="1461"/>
      <c r="C18" s="1462"/>
      <c r="D18" s="759" t="s">
        <v>171</v>
      </c>
      <c r="E18" s="598">
        <f>'[1]13'!F18</f>
        <v>18</v>
      </c>
      <c r="F18" s="598">
        <v>12</v>
      </c>
      <c r="G18" s="811">
        <f>F18*10</f>
        <v>120</v>
      </c>
      <c r="H18" s="796">
        <f>G18+'[1]13'!H18</f>
        <v>1950</v>
      </c>
      <c r="I18" s="797">
        <f>'[1]1'!I18</f>
        <v>65</v>
      </c>
      <c r="J18" s="798">
        <f>H18/DAY(B2)</f>
        <v>139.28571428571428</v>
      </c>
      <c r="K18" s="508"/>
      <c r="L18" s="405"/>
      <c r="N18" s="854"/>
      <c r="O18" s="861"/>
      <c r="P18" s="410"/>
    </row>
    <row r="19" spans="1:16" ht="27.75" x14ac:dyDescent="0.5">
      <c r="A19" s="1460" t="s">
        <v>86</v>
      </c>
      <c r="B19" s="1461"/>
      <c r="C19" s="1462"/>
      <c r="D19" s="759" t="s">
        <v>171</v>
      </c>
      <c r="E19" s="598">
        <f>'[1]13'!F19</f>
        <v>130505</v>
      </c>
      <c r="F19" s="598">
        <v>130564</v>
      </c>
      <c r="G19" s="806">
        <f t="shared" ref="G19" si="1">F19-E19</f>
        <v>59</v>
      </c>
      <c r="H19" s="796">
        <f>G19+'[1]13'!H19</f>
        <v>763</v>
      </c>
      <c r="I19" s="813"/>
      <c r="J19" s="798">
        <f>H19/DAY(B2)</f>
        <v>54.5</v>
      </c>
      <c r="K19" s="508"/>
      <c r="L19" s="405"/>
      <c r="N19" s="854"/>
      <c r="O19" s="861"/>
      <c r="P19" s="410"/>
    </row>
    <row r="20" spans="1:16" x14ac:dyDescent="0.5">
      <c r="A20" s="809" t="s">
        <v>172</v>
      </c>
      <c r="B20" s="810"/>
      <c r="C20" s="810"/>
      <c r="D20" s="759"/>
      <c r="E20" s="845"/>
      <c r="F20" s="845"/>
      <c r="G20" s="814">
        <f>G18+G19</f>
        <v>179</v>
      </c>
      <c r="H20" s="796">
        <f>G20+'[1]13'!H20</f>
        <v>2713</v>
      </c>
      <c r="I20" s="815">
        <f>I18-J20</f>
        <v>-128.78571428571428</v>
      </c>
      <c r="J20" s="798">
        <f>H20/DAY(B2)</f>
        <v>193.78571428571428</v>
      </c>
      <c r="K20" s="508"/>
      <c r="L20" s="405"/>
      <c r="N20" s="854"/>
      <c r="O20" s="861"/>
      <c r="P20" s="410"/>
    </row>
    <row r="21" spans="1:16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854"/>
      <c r="O21" s="861"/>
      <c r="P21" s="410"/>
    </row>
    <row r="22" spans="1:16" x14ac:dyDescent="0.5">
      <c r="A22" s="1354" t="s">
        <v>174</v>
      </c>
      <c r="B22" s="710"/>
      <c r="C22" s="710"/>
      <c r="D22" s="643" t="s">
        <v>175</v>
      </c>
      <c r="E22" s="598">
        <f>'[1]13'!F22</f>
        <v>2250</v>
      </c>
      <c r="F22" s="598">
        <v>2250</v>
      </c>
      <c r="G22" s="601">
        <f>(F22-E22)</f>
        <v>0</v>
      </c>
      <c r="H22" s="580">
        <f>G22+'[1]13'!H22</f>
        <v>0</v>
      </c>
      <c r="I22" s="600"/>
      <c r="J22" s="673">
        <f>H22/DAY(B2)</f>
        <v>0</v>
      </c>
      <c r="K22" s="508"/>
      <c r="L22" s="405"/>
      <c r="N22" s="854"/>
      <c r="O22" s="861"/>
      <c r="P22" s="410"/>
    </row>
    <row r="23" spans="1:16" x14ac:dyDescent="0.5">
      <c r="A23" s="1354" t="s">
        <v>176</v>
      </c>
      <c r="B23" s="710"/>
      <c r="C23" s="710"/>
      <c r="D23" s="643" t="s">
        <v>175</v>
      </c>
      <c r="E23" s="598">
        <f>'[1]13'!F23</f>
        <v>2000</v>
      </c>
      <c r="F23" s="598">
        <v>2000</v>
      </c>
      <c r="G23" s="601">
        <v>0</v>
      </c>
      <c r="H23" s="580">
        <f>G23+'[1]13'!H23</f>
        <v>0</v>
      </c>
      <c r="I23" s="600"/>
      <c r="J23" s="673">
        <f>H23/DAY(B2)</f>
        <v>0</v>
      </c>
      <c r="K23" s="508"/>
      <c r="L23" s="405"/>
      <c r="N23" s="854"/>
      <c r="O23" s="861"/>
      <c r="P23" s="410"/>
    </row>
    <row r="24" spans="1:16" x14ac:dyDescent="0.4">
      <c r="A24" s="711" t="s">
        <v>177</v>
      </c>
      <c r="B24" s="712"/>
      <c r="C24" s="712"/>
      <c r="D24" s="631" t="s">
        <v>175</v>
      </c>
      <c r="E24" s="605">
        <f>'[1]13'!F24</f>
        <v>4250</v>
      </c>
      <c r="F24" s="1197">
        <v>4250</v>
      </c>
      <c r="G24" s="601">
        <v>0</v>
      </c>
      <c r="H24" s="580">
        <f>G24+'[1]13'!H24</f>
        <v>0</v>
      </c>
      <c r="I24" s="600"/>
      <c r="J24" s="673">
        <f>H24/DAY(B2)</f>
        <v>0</v>
      </c>
      <c r="K24" s="508"/>
      <c r="L24" s="405"/>
      <c r="N24" s="854"/>
      <c r="O24" s="861"/>
      <c r="P24" s="410"/>
    </row>
    <row r="25" spans="1:16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854"/>
      <c r="O25" s="861"/>
      <c r="P25" s="410"/>
    </row>
    <row r="26" spans="1:16" s="524" customFormat="1" ht="27.75" x14ac:dyDescent="0.5">
      <c r="A26" s="713" t="s">
        <v>179</v>
      </c>
      <c r="B26" s="714"/>
      <c r="C26" s="715"/>
      <c r="D26" s="739" t="s">
        <v>180</v>
      </c>
      <c r="E26" s="575"/>
      <c r="F26" s="575"/>
      <c r="G26" s="618"/>
      <c r="H26" s="580"/>
      <c r="I26" s="619"/>
      <c r="J26" s="673"/>
      <c r="K26" s="402"/>
      <c r="L26" s="527"/>
      <c r="N26" s="854"/>
      <c r="O26" s="861"/>
      <c r="P26" s="410"/>
    </row>
    <row r="27" spans="1:16" s="524" customFormat="1" ht="27.75" x14ac:dyDescent="0.5">
      <c r="A27" s="713" t="s">
        <v>20</v>
      </c>
      <c r="B27" s="714"/>
      <c r="C27" s="715"/>
      <c r="D27" s="740" t="s">
        <v>39</v>
      </c>
      <c r="E27" s="621">
        <f>G8</f>
        <v>20289</v>
      </c>
      <c r="F27" s="621">
        <v>9.5</v>
      </c>
      <c r="G27" s="622">
        <f>E27*F27</f>
        <v>192745.5</v>
      </c>
      <c r="H27" s="580">
        <f>G27+'[1]13'!H27</f>
        <v>2742878</v>
      </c>
      <c r="I27" s="623"/>
      <c r="J27" s="673">
        <f>H27/DAY(B2)</f>
        <v>195919.85714285713</v>
      </c>
      <c r="K27" s="401"/>
      <c r="L27" s="527"/>
      <c r="N27" s="854"/>
      <c r="O27" s="861"/>
      <c r="P27" s="410"/>
    </row>
    <row r="28" spans="1:16" s="524" customFormat="1" ht="27.75" x14ac:dyDescent="0.5">
      <c r="A28" s="713" t="s">
        <v>181</v>
      </c>
      <c r="B28" s="714"/>
      <c r="C28" s="715"/>
      <c r="D28" s="740" t="s">
        <v>182</v>
      </c>
      <c r="E28" s="621">
        <f>G15</f>
        <v>786</v>
      </c>
      <c r="F28" s="621">
        <v>36.5</v>
      </c>
      <c r="G28" s="622">
        <f>E28*F28</f>
        <v>28689</v>
      </c>
      <c r="H28" s="580">
        <f>G28+'[1]13'!H28</f>
        <v>365452.56349999912</v>
      </c>
      <c r="I28" s="625"/>
      <c r="J28" s="673">
        <f>H28/DAY(B2)</f>
        <v>26103.754535714223</v>
      </c>
      <c r="K28" s="401"/>
      <c r="L28" s="527"/>
      <c r="N28" s="854"/>
      <c r="O28" s="861"/>
      <c r="P28" s="410"/>
    </row>
    <row r="29" spans="1:16" s="524" customFormat="1" ht="27.75" x14ac:dyDescent="0.5">
      <c r="A29" s="713" t="s">
        <v>183</v>
      </c>
      <c r="B29" s="714"/>
      <c r="C29" s="715"/>
      <c r="D29" s="740" t="s">
        <v>184</v>
      </c>
      <c r="E29" s="621">
        <f>G24</f>
        <v>0</v>
      </c>
      <c r="F29" s="621">
        <v>69</v>
      </c>
      <c r="G29" s="622">
        <f>E29*F29</f>
        <v>0</v>
      </c>
      <c r="H29" s="580">
        <f>G29+'[1]13'!H29</f>
        <v>0</v>
      </c>
      <c r="I29" s="625"/>
      <c r="J29" s="673">
        <f>H29/DAY(B2)</f>
        <v>0</v>
      </c>
      <c r="K29" s="401"/>
      <c r="L29" s="527"/>
      <c r="N29" s="854"/>
      <c r="O29" s="861"/>
      <c r="P29" s="410"/>
    </row>
    <row r="30" spans="1:16" s="524" customFormat="1" ht="27.75" x14ac:dyDescent="0.5">
      <c r="A30" s="713" t="s">
        <v>185</v>
      </c>
      <c r="B30" s="714"/>
      <c r="C30" s="715"/>
      <c r="D30" s="740" t="s">
        <v>186</v>
      </c>
      <c r="E30" s="621">
        <f>G19</f>
        <v>59</v>
      </c>
      <c r="F30" s="621">
        <v>145</v>
      </c>
      <c r="G30" s="622">
        <f>E30*F30</f>
        <v>8555</v>
      </c>
      <c r="H30" s="580">
        <f>G30+'[1]13'!H30</f>
        <v>110635</v>
      </c>
      <c r="I30" s="625"/>
      <c r="J30" s="673">
        <f>H30/DAY(B2)</f>
        <v>7902.5</v>
      </c>
      <c r="K30" s="401"/>
      <c r="L30" s="527"/>
      <c r="N30" s="854"/>
      <c r="O30" s="861"/>
      <c r="P30" s="410"/>
    </row>
    <row r="31" spans="1:16" s="524" customFormat="1" ht="27.75" x14ac:dyDescent="0.5">
      <c r="A31" s="713" t="s">
        <v>187</v>
      </c>
      <c r="B31" s="714"/>
      <c r="C31" s="715"/>
      <c r="D31" s="740" t="s">
        <v>171</v>
      </c>
      <c r="E31" s="621">
        <f>G18</f>
        <v>120</v>
      </c>
      <c r="F31" s="621">
        <v>80</v>
      </c>
      <c r="G31" s="622">
        <f>E31*F31</f>
        <v>9600</v>
      </c>
      <c r="H31" s="580">
        <f>G31+'[1]13'!H31</f>
        <v>154400</v>
      </c>
      <c r="I31" s="625"/>
      <c r="J31" s="673">
        <f>H31/DAY(B2)</f>
        <v>11028.571428571429</v>
      </c>
      <c r="K31" s="401"/>
      <c r="L31" s="527"/>
      <c r="N31" s="854"/>
      <c r="O31" s="861"/>
      <c r="P31" s="410"/>
    </row>
    <row r="32" spans="1:16" s="524" customFormat="1" ht="27.75" x14ac:dyDescent="0.5">
      <c r="A32" s="716" t="s">
        <v>188</v>
      </c>
      <c r="B32" s="717"/>
      <c r="C32" s="718"/>
      <c r="D32" s="627"/>
      <c r="E32" s="644"/>
      <c r="F32" s="644"/>
      <c r="G32" s="628">
        <f>G27+G28+G29+G30+G31</f>
        <v>239589.5</v>
      </c>
      <c r="H32" s="580">
        <f>G32+'[1]13'!H32</f>
        <v>3373365.5634999992</v>
      </c>
      <c r="I32" s="629"/>
      <c r="J32" s="673">
        <f>H32/DAY(B2)</f>
        <v>240954.6831071428</v>
      </c>
      <c r="K32" s="401"/>
      <c r="L32" s="527"/>
      <c r="N32" s="854"/>
      <c r="O32" s="861"/>
      <c r="P32" s="410"/>
    </row>
    <row r="33" spans="1:16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854"/>
      <c r="O33" s="861"/>
      <c r="P33" s="410"/>
    </row>
    <row r="34" spans="1:16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854"/>
      <c r="O34" s="861"/>
      <c r="P34" s="410"/>
    </row>
    <row r="35" spans="1:16" x14ac:dyDescent="0.4">
      <c r="A35" s="699" t="s">
        <v>191</v>
      </c>
      <c r="B35" s="700"/>
      <c r="C35" s="700"/>
      <c r="D35" s="643" t="s">
        <v>159</v>
      </c>
      <c r="E35" s="630">
        <f>'[1]13'!F35</f>
        <v>629027.67000000004</v>
      </c>
      <c r="F35" s="630">
        <v>629027.67000000004</v>
      </c>
      <c r="G35" s="593">
        <f t="shared" ref="G35:G46" si="2">F35-E35</f>
        <v>0</v>
      </c>
      <c r="H35" s="580">
        <f>G35+'[1]13'!H35</f>
        <v>0</v>
      </c>
      <c r="I35" s="575"/>
      <c r="J35" s="673">
        <f>H35/DAY(B2)</f>
        <v>0</v>
      </c>
      <c r="K35" s="508"/>
      <c r="L35" s="405"/>
      <c r="N35" s="854"/>
      <c r="O35" s="862" t="s">
        <v>296</v>
      </c>
      <c r="P35" s="410"/>
    </row>
    <row r="36" spans="1:16" x14ac:dyDescent="0.4">
      <c r="A36" s="699" t="s">
        <v>192</v>
      </c>
      <c r="B36" s="700"/>
      <c r="C36" s="700"/>
      <c r="D36" s="643" t="s">
        <v>159</v>
      </c>
      <c r="E36" s="630">
        <f>'[1]13'!F36</f>
        <v>240701.63</v>
      </c>
      <c r="F36" s="630">
        <v>241374</v>
      </c>
      <c r="G36" s="593">
        <f t="shared" si="2"/>
        <v>672.36999999999534</v>
      </c>
      <c r="H36" s="580">
        <f>G36+'[1]13'!H36</f>
        <v>12288.26999999999</v>
      </c>
      <c r="I36" s="575"/>
      <c r="J36" s="673">
        <f>H36/DAY(B2)</f>
        <v>877.73357142857071</v>
      </c>
      <c r="K36" s="508"/>
      <c r="L36" s="405"/>
      <c r="N36" s="855"/>
      <c r="O36" s="862" t="s">
        <v>303</v>
      </c>
      <c r="P36" s="410"/>
    </row>
    <row r="37" spans="1:16" x14ac:dyDescent="0.4">
      <c r="A37" s="699" t="s">
        <v>193</v>
      </c>
      <c r="B37" s="700"/>
      <c r="C37" s="700"/>
      <c r="D37" s="643" t="s">
        <v>159</v>
      </c>
      <c r="E37" s="630">
        <f>'[1]13'!F37</f>
        <v>415066</v>
      </c>
      <c r="F37" s="630">
        <v>415066</v>
      </c>
      <c r="G37" s="593">
        <f t="shared" si="2"/>
        <v>0</v>
      </c>
      <c r="H37" s="580">
        <f>G37+'[1]13'!H37</f>
        <v>0</v>
      </c>
      <c r="I37" s="575"/>
      <c r="J37" s="673">
        <f>H37/DAY(B2)</f>
        <v>0</v>
      </c>
      <c r="K37" s="508"/>
      <c r="L37" s="405"/>
      <c r="N37" s="855"/>
      <c r="O37" s="862"/>
      <c r="P37" s="410"/>
    </row>
    <row r="38" spans="1:16" x14ac:dyDescent="0.4">
      <c r="A38" s="699" t="s">
        <v>194</v>
      </c>
      <c r="B38" s="700"/>
      <c r="C38" s="700"/>
      <c r="D38" s="643" t="s">
        <v>159</v>
      </c>
      <c r="E38" s="589">
        <f>'[1]13'!F38</f>
        <v>150714</v>
      </c>
      <c r="F38" s="589">
        <v>150714</v>
      </c>
      <c r="G38" s="593">
        <f t="shared" si="2"/>
        <v>0</v>
      </c>
      <c r="H38" s="580">
        <f>G38+'[1]13'!H38</f>
        <v>0</v>
      </c>
      <c r="I38" s="575"/>
      <c r="J38" s="673">
        <f>H38/DAY(B2)</f>
        <v>0</v>
      </c>
      <c r="K38" s="508"/>
      <c r="L38" s="405"/>
      <c r="N38" s="854"/>
      <c r="O38" s="861"/>
      <c r="P38" s="410"/>
    </row>
    <row r="39" spans="1:16" x14ac:dyDescent="0.4">
      <c r="A39" s="699" t="s">
        <v>195</v>
      </c>
      <c r="B39" s="700"/>
      <c r="C39" s="700"/>
      <c r="D39" s="643" t="s">
        <v>159</v>
      </c>
      <c r="E39" s="630">
        <f>'[1]13'!F39</f>
        <v>912480</v>
      </c>
      <c r="F39" s="630">
        <v>912480</v>
      </c>
      <c r="G39" s="593">
        <f t="shared" si="2"/>
        <v>0</v>
      </c>
      <c r="H39" s="580">
        <f>G39+'[1]13'!H39</f>
        <v>0</v>
      </c>
      <c r="I39" s="575"/>
      <c r="J39" s="673">
        <f>H39/DAY(B2)</f>
        <v>0</v>
      </c>
      <c r="K39" s="508"/>
      <c r="L39" s="405"/>
      <c r="N39" s="854"/>
      <c r="O39" s="862"/>
      <c r="P39" s="410"/>
    </row>
    <row r="40" spans="1:16" x14ac:dyDescent="0.4">
      <c r="A40" s="720" t="s">
        <v>196</v>
      </c>
      <c r="B40" s="721"/>
      <c r="C40" s="721"/>
      <c r="D40" s="643" t="s">
        <v>159</v>
      </c>
      <c r="E40" s="630">
        <f>'[1]13'!F40</f>
        <v>0.17</v>
      </c>
      <c r="F40" s="630">
        <v>0.17</v>
      </c>
      <c r="G40" s="593">
        <f t="shared" si="2"/>
        <v>0</v>
      </c>
      <c r="H40" s="580">
        <f>G40+'[1]13'!H40</f>
        <v>0</v>
      </c>
      <c r="I40" s="575"/>
      <c r="J40" s="673">
        <f>H40/DAY(B2)</f>
        <v>0</v>
      </c>
      <c r="K40" s="509"/>
      <c r="L40" s="405"/>
      <c r="N40" s="854"/>
      <c r="O40" s="861"/>
      <c r="P40" s="410"/>
    </row>
    <row r="41" spans="1:16" x14ac:dyDescent="0.4">
      <c r="A41" s="699" t="s">
        <v>197</v>
      </c>
      <c r="B41" s="700"/>
      <c r="C41" s="700" t="s">
        <v>143</v>
      </c>
      <c r="D41" s="643" t="s">
        <v>159</v>
      </c>
      <c r="E41" s="630">
        <f>'[1]13'!F41</f>
        <v>300127.95</v>
      </c>
      <c r="F41" s="630">
        <v>300127.95</v>
      </c>
      <c r="G41" s="593">
        <f t="shared" si="2"/>
        <v>0</v>
      </c>
      <c r="H41" s="580">
        <f>G41+'[1]13'!H41</f>
        <v>0</v>
      </c>
      <c r="I41" s="575"/>
      <c r="J41" s="673">
        <f>H41/DAY(B2)</f>
        <v>0</v>
      </c>
      <c r="K41" s="508"/>
      <c r="L41" s="405"/>
      <c r="N41" s="854"/>
      <c r="O41" s="863"/>
      <c r="P41" s="857"/>
    </row>
    <row r="42" spans="1:16" x14ac:dyDescent="0.4">
      <c r="A42" s="699" t="s">
        <v>198</v>
      </c>
      <c r="B42" s="700"/>
      <c r="C42" s="700"/>
      <c r="D42" s="643" t="s">
        <v>159</v>
      </c>
      <c r="E42" s="630">
        <f>'[1]13'!F42</f>
        <v>45867.48</v>
      </c>
      <c r="F42" s="630">
        <v>50780</v>
      </c>
      <c r="G42" s="593">
        <f t="shared" si="2"/>
        <v>4912.5199999999968</v>
      </c>
      <c r="H42" s="580">
        <f>G42+'[1]13'!H42</f>
        <v>50780</v>
      </c>
      <c r="I42" s="575"/>
      <c r="J42" s="673">
        <f>H42/DAY(B2)</f>
        <v>3627.1428571428573</v>
      </c>
      <c r="K42" s="508"/>
      <c r="L42" s="405"/>
      <c r="N42" s="854"/>
      <c r="O42" s="861"/>
      <c r="P42" s="410"/>
    </row>
    <row r="43" spans="1:16" x14ac:dyDescent="0.4">
      <c r="A43" s="699" t="s">
        <v>199</v>
      </c>
      <c r="B43" s="700"/>
      <c r="C43" s="700"/>
      <c r="D43" s="643" t="s">
        <v>159</v>
      </c>
      <c r="E43" s="630">
        <f>'[1]13'!F43</f>
        <v>661049.47</v>
      </c>
      <c r="F43" s="630">
        <v>663441</v>
      </c>
      <c r="G43" s="593">
        <f t="shared" si="2"/>
        <v>2391.5300000000279</v>
      </c>
      <c r="H43" s="580">
        <f>G43+'[1]13'!H43</f>
        <v>32691.689999999944</v>
      </c>
      <c r="I43" s="575"/>
      <c r="J43" s="673">
        <f>H43/DAY(B2)</f>
        <v>2335.1207142857102</v>
      </c>
      <c r="K43" s="508"/>
      <c r="L43" s="405"/>
      <c r="N43" s="854"/>
      <c r="O43" s="862"/>
      <c r="P43" s="410"/>
    </row>
    <row r="44" spans="1:16" x14ac:dyDescent="0.4">
      <c r="A44" s="699" t="s">
        <v>200</v>
      </c>
      <c r="B44" s="700"/>
      <c r="C44" s="700"/>
      <c r="D44" s="643" t="s">
        <v>159</v>
      </c>
      <c r="E44" s="630">
        <f>'[1]13'!F44</f>
        <v>0</v>
      </c>
      <c r="F44" s="630">
        <v>0</v>
      </c>
      <c r="G44" s="593">
        <f t="shared" si="2"/>
        <v>0</v>
      </c>
      <c r="H44" s="580">
        <f>G44+'[1]13'!H44</f>
        <v>0</v>
      </c>
      <c r="I44" s="575"/>
      <c r="J44" s="673">
        <f>H44/DAY(B2)</f>
        <v>0</v>
      </c>
      <c r="K44" s="508"/>
      <c r="L44" s="405"/>
      <c r="N44" s="854"/>
      <c r="O44" s="861"/>
      <c r="P44" s="410"/>
    </row>
    <row r="45" spans="1:16" x14ac:dyDescent="0.4">
      <c r="A45" s="699" t="s">
        <v>201</v>
      </c>
      <c r="B45" s="700"/>
      <c r="C45" s="700"/>
      <c r="D45" s="643" t="s">
        <v>159</v>
      </c>
      <c r="E45" s="630">
        <f>'[1]13'!F45</f>
        <v>614</v>
      </c>
      <c r="F45" s="630">
        <v>614</v>
      </c>
      <c r="G45" s="593">
        <f t="shared" si="2"/>
        <v>0</v>
      </c>
      <c r="H45" s="580">
        <f>G45+'[1]13'!H45</f>
        <v>-0.48000000000001819</v>
      </c>
      <c r="I45" s="575"/>
      <c r="J45" s="673">
        <f>H45/DAY(B2)</f>
        <v>-3.4285714285715585E-2</v>
      </c>
      <c r="K45" s="508"/>
      <c r="L45" s="405"/>
      <c r="N45" s="858"/>
      <c r="O45" s="861"/>
      <c r="P45" s="410"/>
    </row>
    <row r="46" spans="1:16" x14ac:dyDescent="0.4">
      <c r="A46" s="699" t="s">
        <v>202</v>
      </c>
      <c r="B46" s="700"/>
      <c r="C46" s="700"/>
      <c r="D46" s="643" t="s">
        <v>159</v>
      </c>
      <c r="E46" s="630">
        <f>'[1]13'!F46</f>
        <v>187.49</v>
      </c>
      <c r="F46" s="630">
        <v>187.49</v>
      </c>
      <c r="G46" s="593">
        <f t="shared" si="2"/>
        <v>0</v>
      </c>
      <c r="H46" s="580">
        <f>G46+'[1]13'!H46</f>
        <v>0</v>
      </c>
      <c r="I46" s="575"/>
      <c r="J46" s="673">
        <f>H46/DAY(B2)</f>
        <v>0</v>
      </c>
      <c r="K46" s="508"/>
      <c r="L46" s="405"/>
      <c r="N46" s="854"/>
      <c r="O46" s="861"/>
      <c r="P46" s="410"/>
    </row>
    <row r="47" spans="1:16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7976.4200000000201</v>
      </c>
      <c r="H47" s="580">
        <f>G47+'[1]13'!H47</f>
        <v>95759.479999999923</v>
      </c>
      <c r="I47" s="575"/>
      <c r="J47" s="673">
        <f>H47/DAY(B2)</f>
        <v>6839.962857142852</v>
      </c>
      <c r="K47" s="508"/>
      <c r="L47" s="405"/>
      <c r="N47" s="854"/>
      <c r="O47" s="861"/>
      <c r="P47" s="410"/>
    </row>
    <row r="48" spans="1:16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854"/>
      <c r="O48" s="861"/>
      <c r="P48" s="410"/>
    </row>
    <row r="49" spans="1:16" x14ac:dyDescent="0.4">
      <c r="A49" s="699" t="s">
        <v>191</v>
      </c>
      <c r="B49" s="722"/>
      <c r="C49" s="722"/>
      <c r="D49" s="643" t="s">
        <v>159</v>
      </c>
      <c r="E49" s="630">
        <f>'[1]13'!F49</f>
        <v>98346</v>
      </c>
      <c r="F49" s="630">
        <v>101018</v>
      </c>
      <c r="G49" s="593">
        <f t="shared" ref="G49:G58" si="3">F49-E49</f>
        <v>2672</v>
      </c>
      <c r="H49" s="580">
        <f>G49+'[1]13'!H49</f>
        <v>36408.483</v>
      </c>
      <c r="I49" s="575"/>
      <c r="J49" s="673">
        <f>H49/DAY(B2)</f>
        <v>2600.6059285714286</v>
      </c>
      <c r="K49" s="508"/>
      <c r="L49" s="405"/>
      <c r="N49" s="854"/>
      <c r="O49" s="861"/>
      <c r="P49" s="410"/>
    </row>
    <row r="50" spans="1:16" x14ac:dyDescent="0.4">
      <c r="A50" s="699" t="s">
        <v>205</v>
      </c>
      <c r="B50" s="722"/>
      <c r="C50" s="722"/>
      <c r="D50" s="643" t="s">
        <v>159</v>
      </c>
      <c r="E50" s="630">
        <f>'[1]13'!F50</f>
        <v>313423</v>
      </c>
      <c r="F50" s="630">
        <v>314658</v>
      </c>
      <c r="G50" s="593">
        <f t="shared" si="3"/>
        <v>1235</v>
      </c>
      <c r="H50" s="580">
        <f>G50+'[1]13'!H50</f>
        <v>17248.469999999972</v>
      </c>
      <c r="I50" s="575"/>
      <c r="J50" s="673">
        <f>H50/DAY(B2)</f>
        <v>1232.0335714285695</v>
      </c>
      <c r="K50" s="508"/>
      <c r="L50" s="405"/>
      <c r="N50" s="854"/>
      <c r="O50" s="862"/>
      <c r="P50" s="410"/>
    </row>
    <row r="51" spans="1:16" x14ac:dyDescent="0.4">
      <c r="A51" s="1291" t="s">
        <v>193</v>
      </c>
      <c r="B51" s="1292"/>
      <c r="C51" s="1292"/>
      <c r="D51" s="845" t="s">
        <v>159</v>
      </c>
      <c r="E51" s="1196">
        <f>'[1]13'!F51</f>
        <v>38547.57</v>
      </c>
      <c r="F51" s="1196">
        <v>39981</v>
      </c>
      <c r="G51" s="912">
        <f t="shared" si="3"/>
        <v>1433.4300000000003</v>
      </c>
      <c r="H51" s="580">
        <f>G51+'[1]13'!H51</f>
        <v>19114.032999999999</v>
      </c>
      <c r="I51" s="575"/>
      <c r="J51" s="673">
        <f>H51/DAY(B2)</f>
        <v>1365.2880714285714</v>
      </c>
      <c r="K51" s="508"/>
      <c r="L51" s="405"/>
      <c r="N51" s="854"/>
      <c r="O51" s="861"/>
      <c r="P51" s="410"/>
    </row>
    <row r="52" spans="1:16" x14ac:dyDescent="0.4">
      <c r="A52" s="699" t="s">
        <v>206</v>
      </c>
      <c r="B52" s="722"/>
      <c r="C52" s="722"/>
      <c r="D52" s="643" t="s">
        <v>159</v>
      </c>
      <c r="E52" s="630">
        <f>'[1]13'!F52</f>
        <v>397341.91</v>
      </c>
      <c r="F52" s="630">
        <v>399367</v>
      </c>
      <c r="G52" s="593">
        <f t="shared" si="3"/>
        <v>2025.0900000000256</v>
      </c>
      <c r="H52" s="580">
        <f>G52+'[1]13'!H52</f>
        <v>26011.209999999963</v>
      </c>
      <c r="I52" s="575"/>
      <c r="J52" s="673">
        <f>H52/DAY(B2)</f>
        <v>1857.9435714285687</v>
      </c>
      <c r="K52" s="508"/>
      <c r="L52" s="405"/>
      <c r="N52" s="854"/>
      <c r="O52" s="861"/>
      <c r="P52" s="410"/>
    </row>
    <row r="53" spans="1:16" x14ac:dyDescent="0.4">
      <c r="A53" s="699" t="s">
        <v>195</v>
      </c>
      <c r="B53" s="722"/>
      <c r="C53" s="722"/>
      <c r="D53" s="643" t="s">
        <v>159</v>
      </c>
      <c r="E53" s="630">
        <f>'[1]13'!F53</f>
        <v>100640</v>
      </c>
      <c r="F53" s="630">
        <v>104730</v>
      </c>
      <c r="G53" s="593">
        <f t="shared" si="3"/>
        <v>4090</v>
      </c>
      <c r="H53" s="580">
        <f>G53+'[1]13'!H53</f>
        <v>54987.892999999996</v>
      </c>
      <c r="I53" s="575"/>
      <c r="J53" s="673">
        <f>H53/DAY(B2)</f>
        <v>3927.7066428571425</v>
      </c>
      <c r="K53" s="508"/>
      <c r="L53" s="405"/>
      <c r="N53" s="854"/>
      <c r="O53" s="861"/>
      <c r="P53" s="410"/>
    </row>
    <row r="54" spans="1:16" x14ac:dyDescent="0.4">
      <c r="A54" s="699" t="s">
        <v>207</v>
      </c>
      <c r="B54" s="722"/>
      <c r="C54" s="722"/>
      <c r="D54" s="643" t="s">
        <v>159</v>
      </c>
      <c r="E54" s="630">
        <f>'[1]13'!F54</f>
        <v>3482.54</v>
      </c>
      <c r="F54" s="630">
        <v>3520</v>
      </c>
      <c r="G54" s="593">
        <f t="shared" si="3"/>
        <v>37.460000000000036</v>
      </c>
      <c r="H54" s="580">
        <f>G54+'[1]13'!H54</f>
        <v>641.38999999999987</v>
      </c>
      <c r="I54" s="575"/>
      <c r="J54" s="673">
        <f>H54/DAY(B2)</f>
        <v>45.813571428571422</v>
      </c>
      <c r="K54" s="508"/>
      <c r="L54" s="405"/>
      <c r="N54" s="854"/>
      <c r="O54" s="861"/>
      <c r="P54" s="410"/>
    </row>
    <row r="55" spans="1:16" x14ac:dyDescent="0.4">
      <c r="A55" s="699" t="s">
        <v>208</v>
      </c>
      <c r="B55" s="722"/>
      <c r="C55" s="722"/>
      <c r="D55" s="643" t="s">
        <v>159</v>
      </c>
      <c r="E55" s="770">
        <f>'[1]13'!F55</f>
        <v>158492.73000000001</v>
      </c>
      <c r="F55" s="770">
        <v>158492.73000000001</v>
      </c>
      <c r="G55" s="769">
        <f t="shared" si="3"/>
        <v>0</v>
      </c>
      <c r="H55" s="841">
        <f>G55+'[1]13'!H55</f>
        <v>-0.26999999998952262</v>
      </c>
      <c r="I55" s="842"/>
      <c r="J55" s="843">
        <f>H55/DAY(B2)</f>
        <v>-1.9285714284965901E-2</v>
      </c>
      <c r="K55" s="508"/>
      <c r="L55" s="405"/>
      <c r="N55" s="854"/>
      <c r="O55" s="861"/>
      <c r="P55" s="410"/>
    </row>
    <row r="56" spans="1:16" x14ac:dyDescent="0.4">
      <c r="A56" s="699" t="s">
        <v>209</v>
      </c>
      <c r="B56" s="722"/>
      <c r="C56" s="722"/>
      <c r="D56" s="643" t="s">
        <v>210</v>
      </c>
      <c r="E56" s="770">
        <f>'[1]13'!F56</f>
        <v>450017</v>
      </c>
      <c r="F56" s="770">
        <v>450017</v>
      </c>
      <c r="G56" s="593">
        <f t="shared" si="3"/>
        <v>0</v>
      </c>
      <c r="H56" s="580">
        <f>G56+'[1]13'!H56</f>
        <v>14175.969999999972</v>
      </c>
      <c r="I56" s="575"/>
      <c r="J56" s="673">
        <f>H56/DAY(B2)</f>
        <v>1012.5692857142838</v>
      </c>
      <c r="K56" s="507"/>
      <c r="L56" s="405"/>
      <c r="N56" s="854"/>
      <c r="O56" s="863"/>
      <c r="P56" s="410"/>
    </row>
    <row r="57" spans="1:16" x14ac:dyDescent="0.4">
      <c r="A57" s="699" t="s">
        <v>199</v>
      </c>
      <c r="B57" s="722"/>
      <c r="C57" s="722"/>
      <c r="D57" s="643" t="s">
        <v>159</v>
      </c>
      <c r="E57" s="630">
        <f>'[1]13'!F57</f>
        <v>0</v>
      </c>
      <c r="F57" s="630">
        <v>0</v>
      </c>
      <c r="G57" s="593">
        <f t="shared" si="3"/>
        <v>0</v>
      </c>
      <c r="H57" s="580">
        <f>G57+'[1]13'!H57</f>
        <v>0</v>
      </c>
      <c r="I57" s="575"/>
      <c r="J57" s="673">
        <f>H57/DAY(B2)</f>
        <v>0</v>
      </c>
      <c r="K57" s="508"/>
      <c r="L57" s="405"/>
      <c r="N57" s="854"/>
      <c r="O57" s="861"/>
      <c r="P57" s="410"/>
    </row>
    <row r="58" spans="1:16" x14ac:dyDescent="0.4">
      <c r="A58" s="699" t="s">
        <v>211</v>
      </c>
      <c r="B58" s="722"/>
      <c r="C58" s="722"/>
      <c r="D58" s="643" t="s">
        <v>159</v>
      </c>
      <c r="E58" s="770">
        <f>'[1]13'!F58</f>
        <v>21988</v>
      </c>
      <c r="F58" s="770">
        <v>22133</v>
      </c>
      <c r="G58" s="593">
        <f t="shared" si="3"/>
        <v>145</v>
      </c>
      <c r="H58" s="580">
        <f>G58+'[1]13'!H58</f>
        <v>1739.9670000000006</v>
      </c>
      <c r="I58" s="575"/>
      <c r="J58" s="673">
        <f>H58/DAY(B2)</f>
        <v>124.28335714285718</v>
      </c>
      <c r="K58" s="508"/>
      <c r="L58" s="405"/>
      <c r="N58" s="854"/>
      <c r="O58" s="861"/>
      <c r="P58" s="410"/>
    </row>
    <row r="59" spans="1:16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11637.980000000025</v>
      </c>
      <c r="H59" s="580">
        <f>G59+'[1]13'!H59</f>
        <v>170327.14599999989</v>
      </c>
      <c r="I59" s="575">
        <f>G7-G60</f>
        <v>509.59999999995489</v>
      </c>
      <c r="J59" s="673">
        <f>H59/DAY(B2)</f>
        <v>12166.224714285707</v>
      </c>
      <c r="K59" s="508"/>
      <c r="L59" s="405"/>
      <c r="N59" s="854"/>
      <c r="O59" s="861"/>
      <c r="P59" s="410"/>
    </row>
    <row r="60" spans="1:16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19614.400000000045</v>
      </c>
      <c r="H60" s="580">
        <f>G60+'[1]13'!H60</f>
        <v>279630.29599999991</v>
      </c>
      <c r="I60" s="575">
        <f>G13-G60</f>
        <v>-168.40000000004511</v>
      </c>
      <c r="J60" s="673">
        <f>H60/DAY(B2)</f>
        <v>19973.592571428566</v>
      </c>
      <c r="K60" s="508"/>
      <c r="L60" s="405"/>
      <c r="N60" s="854"/>
      <c r="O60" s="861"/>
      <c r="P60" s="410"/>
    </row>
    <row r="61" spans="1:16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854"/>
      <c r="O61" s="861"/>
      <c r="P61" s="410"/>
    </row>
    <row r="62" spans="1:16" x14ac:dyDescent="0.4">
      <c r="A62" s="724" t="s">
        <v>121</v>
      </c>
      <c r="B62" s="725"/>
      <c r="C62" s="725"/>
      <c r="D62" s="631" t="s">
        <v>214</v>
      </c>
      <c r="E62" s="634">
        <f>'[1]13'!F62</f>
        <v>20419.18</v>
      </c>
      <c r="F62" s="634">
        <v>20419.18</v>
      </c>
      <c r="G62" s="593">
        <f t="shared" ref="G62:G69" si="4">F62-E62</f>
        <v>0</v>
      </c>
      <c r="H62" s="580">
        <f>G62+'[1]13'!H62</f>
        <v>0</v>
      </c>
      <c r="I62" s="635"/>
      <c r="J62" s="673">
        <f>H62/DAY(B2)</f>
        <v>0</v>
      </c>
      <c r="K62" s="508"/>
      <c r="L62" s="405"/>
      <c r="N62" s="854"/>
      <c r="O62" s="861"/>
      <c r="P62" s="410"/>
    </row>
    <row r="63" spans="1:16" x14ac:dyDescent="0.4">
      <c r="A63" s="724" t="s">
        <v>215</v>
      </c>
      <c r="B63" s="725"/>
      <c r="C63" s="725"/>
      <c r="D63" s="631" t="s">
        <v>214</v>
      </c>
      <c r="E63" s="634">
        <f>'[1]13'!F63</f>
        <v>1034.52</v>
      </c>
      <c r="F63" s="634">
        <v>1039</v>
      </c>
      <c r="G63" s="593">
        <f t="shared" si="4"/>
        <v>4.4800000000000182</v>
      </c>
      <c r="H63" s="580">
        <f>G63+'[1]13'!H63</f>
        <v>182.63</v>
      </c>
      <c r="I63" s="635"/>
      <c r="J63" s="673">
        <f>H63/DAY(B2)</f>
        <v>13.045</v>
      </c>
      <c r="K63" s="508"/>
      <c r="L63" s="405"/>
      <c r="N63" s="854"/>
      <c r="O63" s="861"/>
      <c r="P63" s="410"/>
    </row>
    <row r="64" spans="1:16" ht="27.75" x14ac:dyDescent="0.5">
      <c r="A64" s="1395" t="s">
        <v>122</v>
      </c>
      <c r="B64" s="1396"/>
      <c r="C64" s="1397"/>
      <c r="D64" s="643" t="s">
        <v>214</v>
      </c>
      <c r="E64" s="598">
        <f>'[1]13'!F64</f>
        <v>91476</v>
      </c>
      <c r="F64" s="598">
        <v>91838</v>
      </c>
      <c r="G64" s="593">
        <f t="shared" si="4"/>
        <v>362</v>
      </c>
      <c r="H64" s="580">
        <f>G64+'[1]13'!H64</f>
        <v>5098.9049999999988</v>
      </c>
      <c r="I64" s="600"/>
      <c r="J64" s="673">
        <f>H64/DAY(B2)</f>
        <v>364.20749999999992</v>
      </c>
      <c r="K64" s="508"/>
      <c r="L64" s="405"/>
      <c r="N64" s="854"/>
      <c r="O64" s="861"/>
      <c r="P64" s="410"/>
    </row>
    <row r="65" spans="1:16" ht="27.75" x14ac:dyDescent="0.5">
      <c r="A65" s="1395" t="s">
        <v>123</v>
      </c>
      <c r="B65" s="1396"/>
      <c r="C65" s="1397"/>
      <c r="D65" s="643" t="s">
        <v>214</v>
      </c>
      <c r="E65" s="768">
        <f>'[1]13'!F65</f>
        <v>101879</v>
      </c>
      <c r="F65" s="768">
        <v>102275</v>
      </c>
      <c r="G65" s="593">
        <f t="shared" si="4"/>
        <v>396</v>
      </c>
      <c r="H65" s="580">
        <f>G65+'[1]13'!H65</f>
        <v>5639.0170000000071</v>
      </c>
      <c r="I65" s="609"/>
      <c r="J65" s="673">
        <f>H65/DAY(B2)</f>
        <v>402.78692857142909</v>
      </c>
      <c r="K65" s="508"/>
      <c r="L65" s="405"/>
      <c r="N65" s="854"/>
      <c r="O65" s="862"/>
      <c r="P65" s="410"/>
    </row>
    <row r="66" spans="1:16" ht="27.75" x14ac:dyDescent="0.5">
      <c r="A66" s="1395" t="s">
        <v>124</v>
      </c>
      <c r="B66" s="1396"/>
      <c r="C66" s="1397"/>
      <c r="D66" s="643" t="s">
        <v>214</v>
      </c>
      <c r="E66" s="598">
        <f>'[1]13'!F66</f>
        <v>95215.88</v>
      </c>
      <c r="F66" s="598">
        <v>95610</v>
      </c>
      <c r="G66" s="593">
        <f t="shared" si="4"/>
        <v>394.11999999999534</v>
      </c>
      <c r="H66" s="580">
        <f>G66+'[1]13'!H66</f>
        <v>5605.1530000000057</v>
      </c>
      <c r="I66" s="600"/>
      <c r="J66" s="673">
        <f>H66/DAY(B2)</f>
        <v>400.36807142857185</v>
      </c>
      <c r="K66" s="508"/>
      <c r="L66" s="405"/>
      <c r="N66" s="854"/>
      <c r="O66" s="861"/>
      <c r="P66" s="410"/>
    </row>
    <row r="67" spans="1:16" ht="27.75" x14ac:dyDescent="0.5">
      <c r="A67" s="1395" t="s">
        <v>125</v>
      </c>
      <c r="B67" s="1396"/>
      <c r="C67" s="1397"/>
      <c r="D67" s="643" t="s">
        <v>214</v>
      </c>
      <c r="E67" s="598">
        <f>'[1]13'!F67</f>
        <v>155506</v>
      </c>
      <c r="F67" s="598">
        <v>156203</v>
      </c>
      <c r="G67" s="593">
        <f t="shared" si="4"/>
        <v>697</v>
      </c>
      <c r="H67" s="580">
        <f>G67+'[1]13'!H67</f>
        <v>10160.950000000012</v>
      </c>
      <c r="I67" s="609"/>
      <c r="J67" s="673">
        <f>H67/DAY(B2)</f>
        <v>725.78214285714364</v>
      </c>
      <c r="K67" s="509"/>
      <c r="L67" s="405"/>
      <c r="N67" s="854"/>
      <c r="O67" s="861"/>
      <c r="P67" s="410"/>
    </row>
    <row r="68" spans="1:16" ht="27.75" x14ac:dyDescent="0.5">
      <c r="A68" s="1395" t="s">
        <v>126</v>
      </c>
      <c r="B68" s="1396"/>
      <c r="C68" s="1397"/>
      <c r="D68" s="643" t="s">
        <v>214</v>
      </c>
      <c r="E68" s="598">
        <f>'[1]13'!F68</f>
        <v>47818</v>
      </c>
      <c r="F68" s="598">
        <v>48159</v>
      </c>
      <c r="G68" s="593">
        <f t="shared" si="4"/>
        <v>341</v>
      </c>
      <c r="H68" s="580">
        <f>G68+'[1]13'!H68</f>
        <v>4983.9210000000021</v>
      </c>
      <c r="I68" s="636"/>
      <c r="J68" s="673">
        <f>H68/DAY(B2)</f>
        <v>355.99435714285727</v>
      </c>
      <c r="K68" s="510"/>
      <c r="L68" s="405"/>
      <c r="N68" s="854"/>
      <c r="O68" s="861"/>
      <c r="P68" s="410"/>
    </row>
    <row r="69" spans="1:16" ht="27.75" x14ac:dyDescent="0.5">
      <c r="A69" s="1395" t="s">
        <v>127</v>
      </c>
      <c r="B69" s="1396"/>
      <c r="C69" s="1397"/>
      <c r="D69" s="643" t="s">
        <v>214</v>
      </c>
      <c r="E69" s="598">
        <f>'[1]13'!F69</f>
        <v>41373</v>
      </c>
      <c r="F69" s="598">
        <v>41655</v>
      </c>
      <c r="G69" s="593">
        <f t="shared" si="4"/>
        <v>282</v>
      </c>
      <c r="H69" s="580">
        <f>G69+'[1]13'!H69</f>
        <v>4099.4329999999973</v>
      </c>
      <c r="I69" s="636"/>
      <c r="J69" s="673">
        <f>H69/DAY(B2)</f>
        <v>292.81664285714265</v>
      </c>
      <c r="K69" s="511"/>
      <c r="L69" s="405"/>
      <c r="N69" s="854"/>
      <c r="O69" s="861"/>
      <c r="P69" s="410"/>
    </row>
    <row r="70" spans="1:16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>
        <f>G70+'[1]13'!H70</f>
        <v>0</v>
      </c>
      <c r="I70" s="638"/>
      <c r="J70" s="677"/>
      <c r="K70" s="511"/>
      <c r="L70" s="405"/>
      <c r="N70" s="854"/>
      <c r="O70" s="861"/>
      <c r="P70" s="410"/>
    </row>
    <row r="71" spans="1:16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854"/>
      <c r="O71" s="861"/>
      <c r="P71" s="410"/>
    </row>
    <row r="72" spans="1:16" ht="27.75" x14ac:dyDescent="0.5">
      <c r="A72" s="1395" t="s">
        <v>218</v>
      </c>
      <c r="B72" s="1396"/>
      <c r="C72" s="1397"/>
      <c r="D72" s="643" t="s">
        <v>214</v>
      </c>
      <c r="E72" s="771">
        <f>'[1]13'!F72</f>
        <v>844941</v>
      </c>
      <c r="F72" s="771">
        <v>845015</v>
      </c>
      <c r="G72" s="593">
        <f t="shared" ref="G72:G84" si="5">F72-E72</f>
        <v>74</v>
      </c>
      <c r="H72" s="580">
        <f>G72+'[1]12'!H72</f>
        <v>753</v>
      </c>
      <c r="I72" s="600"/>
      <c r="J72" s="673">
        <f>H72/DAY(B2)</f>
        <v>53.785714285714285</v>
      </c>
      <c r="K72" s="511"/>
      <c r="L72" s="405"/>
      <c r="N72" s="854"/>
      <c r="O72" s="861"/>
      <c r="P72" s="410"/>
    </row>
    <row r="73" spans="1:16" ht="27.75" x14ac:dyDescent="0.5">
      <c r="A73" s="1395" t="s">
        <v>219</v>
      </c>
      <c r="B73" s="1396"/>
      <c r="C73" s="1397"/>
      <c r="D73" s="643" t="s">
        <v>214</v>
      </c>
      <c r="E73" s="772">
        <f>'[1]13'!F73</f>
        <v>885468</v>
      </c>
      <c r="F73" s="772">
        <v>885469</v>
      </c>
      <c r="G73" s="769">
        <f t="shared" si="5"/>
        <v>1</v>
      </c>
      <c r="H73" s="580">
        <f>G73+'[1]13'!H72</f>
        <v>765</v>
      </c>
      <c r="I73" s="600"/>
      <c r="J73" s="673">
        <f>H73/DAY(B2)</f>
        <v>54.642857142857146</v>
      </c>
      <c r="K73" s="510"/>
      <c r="L73" s="405"/>
      <c r="N73" s="854"/>
      <c r="O73" s="861"/>
      <c r="P73" s="410"/>
    </row>
    <row r="74" spans="1:16" ht="27.75" x14ac:dyDescent="0.5">
      <c r="A74" s="1395" t="s">
        <v>220</v>
      </c>
      <c r="B74" s="1396"/>
      <c r="C74" s="1397"/>
      <c r="D74" s="643" t="s">
        <v>214</v>
      </c>
      <c r="E74" s="772">
        <f>'[1]13'!F74</f>
        <v>880618</v>
      </c>
      <c r="F74" s="772">
        <v>880647</v>
      </c>
      <c r="G74" s="593">
        <f t="shared" si="5"/>
        <v>29</v>
      </c>
      <c r="H74" s="580">
        <f>G74+'[1]13'!H74</f>
        <v>420</v>
      </c>
      <c r="I74" s="600"/>
      <c r="J74" s="673">
        <f>H74/DAY(B2)</f>
        <v>30</v>
      </c>
      <c r="K74" s="511"/>
      <c r="L74" s="405"/>
      <c r="N74" s="854"/>
      <c r="O74" s="861"/>
      <c r="P74" s="410"/>
    </row>
    <row r="75" spans="1:16" ht="27.75" x14ac:dyDescent="0.5">
      <c r="A75" s="1447" t="s">
        <v>221</v>
      </c>
      <c r="B75" s="1448"/>
      <c r="C75" s="1449"/>
      <c r="D75" s="643" t="s">
        <v>214</v>
      </c>
      <c r="E75" s="772">
        <f>'[1]13'!F75</f>
        <v>728508</v>
      </c>
      <c r="F75" s="772">
        <v>728686</v>
      </c>
      <c r="G75" s="593">
        <f t="shared" si="5"/>
        <v>178</v>
      </c>
      <c r="H75" s="580">
        <f>G75+'[1]13'!H75</f>
        <v>2506</v>
      </c>
      <c r="I75" s="600"/>
      <c r="J75" s="673">
        <f>H75/DAY(B2)</f>
        <v>179</v>
      </c>
      <c r="K75" s="510"/>
      <c r="L75" s="405"/>
      <c r="N75" s="854"/>
      <c r="O75" s="861"/>
      <c r="P75" s="410"/>
    </row>
    <row r="76" spans="1:16" ht="27.75" x14ac:dyDescent="0.5">
      <c r="A76" s="1447" t="s">
        <v>222</v>
      </c>
      <c r="B76" s="1448"/>
      <c r="C76" s="1449"/>
      <c r="D76" s="643" t="s">
        <v>214</v>
      </c>
      <c r="E76" s="772">
        <f>'[1]13'!F76</f>
        <v>682698</v>
      </c>
      <c r="F76" s="772">
        <v>682780</v>
      </c>
      <c r="G76" s="593">
        <f t="shared" si="5"/>
        <v>82</v>
      </c>
      <c r="H76" s="580">
        <f>G76+'[1]13'!H75</f>
        <v>2410</v>
      </c>
      <c r="I76" s="625"/>
      <c r="J76" s="673">
        <f>H76/DAY(B2)</f>
        <v>172.14285714285714</v>
      </c>
      <c r="K76" s="510"/>
      <c r="L76" s="405"/>
      <c r="N76" s="854"/>
      <c r="O76" s="861"/>
      <c r="P76" s="410"/>
    </row>
    <row r="77" spans="1:16" ht="27.75" x14ac:dyDescent="0.5">
      <c r="A77" s="1395" t="s">
        <v>223</v>
      </c>
      <c r="B77" s="1396"/>
      <c r="C77" s="1397"/>
      <c r="D77" s="643" t="s">
        <v>214</v>
      </c>
      <c r="E77" s="772">
        <f>'[1]13'!F77</f>
        <v>694409</v>
      </c>
      <c r="F77" s="772">
        <v>694461</v>
      </c>
      <c r="G77" s="769">
        <f t="shared" si="5"/>
        <v>52</v>
      </c>
      <c r="H77" s="580">
        <f>G77+'[1]13'!H77</f>
        <v>741</v>
      </c>
      <c r="I77" s="625"/>
      <c r="J77" s="673">
        <f>H77/DAY(B2)</f>
        <v>52.928571428571431</v>
      </c>
      <c r="K77" s="510"/>
      <c r="L77" s="405"/>
      <c r="N77" s="854"/>
      <c r="O77" s="861"/>
      <c r="P77" s="410"/>
    </row>
    <row r="78" spans="1:16" ht="27.75" x14ac:dyDescent="0.5">
      <c r="A78" s="1357" t="s">
        <v>224</v>
      </c>
      <c r="B78" s="1320"/>
      <c r="C78" s="1320"/>
      <c r="D78" s="643" t="s">
        <v>214</v>
      </c>
      <c r="E78" s="773">
        <f>'[1]13'!F78</f>
        <v>623520</v>
      </c>
      <c r="F78" s="773">
        <v>623872</v>
      </c>
      <c r="G78" s="593">
        <f t="shared" si="5"/>
        <v>352</v>
      </c>
      <c r="H78" s="580">
        <f>G78+'[1]13'!H78</f>
        <v>5619</v>
      </c>
      <c r="I78" s="625"/>
      <c r="J78" s="673">
        <f>H78/DAY(B2)</f>
        <v>401.35714285714283</v>
      </c>
      <c r="K78" s="510"/>
      <c r="L78" s="405"/>
      <c r="N78" s="854"/>
      <c r="O78" s="861"/>
      <c r="P78" s="410"/>
    </row>
    <row r="79" spans="1:16" ht="27.75" x14ac:dyDescent="0.5">
      <c r="A79" s="1447" t="s">
        <v>112</v>
      </c>
      <c r="B79" s="1448"/>
      <c r="C79" s="1449"/>
      <c r="D79" s="644" t="s">
        <v>214</v>
      </c>
      <c r="E79" s="773">
        <f>'[1]13'!F79</f>
        <v>800519</v>
      </c>
      <c r="F79" s="773">
        <v>800701</v>
      </c>
      <c r="G79" s="593">
        <f t="shared" si="5"/>
        <v>182</v>
      </c>
      <c r="H79" s="580">
        <f>G79+'[1]13'!H78</f>
        <v>5449</v>
      </c>
      <c r="I79" s="625"/>
      <c r="J79" s="673">
        <f>H79/DAY(B2)</f>
        <v>389.21428571428572</v>
      </c>
      <c r="K79" s="510"/>
      <c r="L79" s="405"/>
      <c r="N79" s="854"/>
      <c r="O79" s="861"/>
      <c r="P79" s="410"/>
    </row>
    <row r="80" spans="1:16" ht="27.75" x14ac:dyDescent="0.5">
      <c r="A80" s="1447" t="s">
        <v>225</v>
      </c>
      <c r="B80" s="1448"/>
      <c r="C80" s="1449"/>
      <c r="D80" s="644" t="s">
        <v>214</v>
      </c>
      <c r="E80" s="772">
        <f>'[1]13'!F80</f>
        <v>469856.84</v>
      </c>
      <c r="F80" s="772">
        <v>470187</v>
      </c>
      <c r="G80" s="593">
        <f t="shared" si="5"/>
        <v>330.15999999997439</v>
      </c>
      <c r="H80" s="580">
        <f>G80+'[1]13'!H79</f>
        <v>2863.1599999999744</v>
      </c>
      <c r="I80" s="625"/>
      <c r="J80" s="673">
        <f>H80/DAY(B2)</f>
        <v>204.51142857142673</v>
      </c>
      <c r="K80" s="510"/>
      <c r="L80" s="405"/>
      <c r="N80" s="854"/>
      <c r="O80" s="861"/>
      <c r="P80" s="410"/>
    </row>
    <row r="81" spans="1:16" ht="27.75" x14ac:dyDescent="0.5">
      <c r="A81" s="1447" t="s">
        <v>226</v>
      </c>
      <c r="B81" s="1448"/>
      <c r="C81" s="1449"/>
      <c r="D81" s="644" t="s">
        <v>214</v>
      </c>
      <c r="E81" s="772">
        <f>'[1]13'!F81</f>
        <v>616548</v>
      </c>
      <c r="F81" s="772">
        <v>616686</v>
      </c>
      <c r="G81" s="593">
        <f t="shared" si="5"/>
        <v>138</v>
      </c>
      <c r="H81" s="580">
        <f>G81+'[1]13'!H81</f>
        <v>2297.4799999999814</v>
      </c>
      <c r="I81" s="625"/>
      <c r="J81" s="673">
        <f>H81/DAY(B2)</f>
        <v>164.10571428571296</v>
      </c>
      <c r="K81" s="510"/>
      <c r="L81" s="405"/>
      <c r="N81" s="854"/>
      <c r="O81" s="861"/>
      <c r="P81" s="410"/>
    </row>
    <row r="82" spans="1:16" ht="27.75" x14ac:dyDescent="0.5">
      <c r="A82" s="1447" t="s">
        <v>115</v>
      </c>
      <c r="B82" s="1448"/>
      <c r="C82" s="1449"/>
      <c r="D82" s="605" t="s">
        <v>159</v>
      </c>
      <c r="E82" s="768">
        <f>'[1]13'!F82</f>
        <v>103935.58</v>
      </c>
      <c r="F82" s="768">
        <v>103981</v>
      </c>
      <c r="G82" s="593">
        <f t="shared" si="5"/>
        <v>45.419999999998254</v>
      </c>
      <c r="H82" s="580">
        <f>G82+'[1]13'!H82</f>
        <v>451.35000000000582</v>
      </c>
      <c r="I82" s="606"/>
      <c r="J82" s="673">
        <f>H82/DAY(B2)</f>
        <v>32.239285714286133</v>
      </c>
      <c r="K82" s="510"/>
      <c r="L82" s="405"/>
      <c r="N82" s="854"/>
      <c r="O82" s="861"/>
      <c r="P82" s="410"/>
    </row>
    <row r="83" spans="1:16" ht="27.75" x14ac:dyDescent="0.5">
      <c r="A83" s="1447" t="s">
        <v>227</v>
      </c>
      <c r="B83" s="1448"/>
      <c r="C83" s="1449"/>
      <c r="D83" s="741" t="s">
        <v>159</v>
      </c>
      <c r="E83" s="631">
        <f>'[1]13'!F83</f>
        <v>967181</v>
      </c>
      <c r="F83" s="631">
        <v>967556</v>
      </c>
      <c r="G83" s="593">
        <f t="shared" si="5"/>
        <v>375</v>
      </c>
      <c r="H83" s="580">
        <f>G83+'[1]13'!H83</f>
        <v>5031</v>
      </c>
      <c r="I83" s="601"/>
      <c r="J83" s="673">
        <f>H83/DAY(B2)</f>
        <v>359.35714285714283</v>
      </c>
      <c r="K83" s="509"/>
      <c r="L83" s="405"/>
      <c r="N83" s="854"/>
      <c r="O83" s="861"/>
      <c r="P83" s="410"/>
    </row>
    <row r="84" spans="1:16" x14ac:dyDescent="0.5">
      <c r="A84" s="1360" t="s">
        <v>228</v>
      </c>
      <c r="B84" s="692"/>
      <c r="C84" s="692"/>
      <c r="D84" s="598" t="s">
        <v>159</v>
      </c>
      <c r="E84" s="748">
        <f>'[1]13'!F84</f>
        <v>388507</v>
      </c>
      <c r="F84" s="748">
        <v>389042</v>
      </c>
      <c r="G84" s="593">
        <f t="shared" si="5"/>
        <v>535</v>
      </c>
      <c r="H84" s="580">
        <f>G84+'[1]13'!H84</f>
        <v>7686</v>
      </c>
      <c r="I84" s="601"/>
      <c r="J84" s="673">
        <f>H84/DAY(B2)</f>
        <v>549</v>
      </c>
      <c r="K84" s="408"/>
      <c r="L84" s="405"/>
      <c r="N84" s="854"/>
      <c r="O84" s="861"/>
      <c r="P84" s="410"/>
    </row>
    <row r="85" spans="1:16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SUM(G72:G84)</f>
        <v>2373.5799999999726</v>
      </c>
      <c r="H85" s="580">
        <f>G85+'[1]13'!H85</f>
        <v>32435.519999999931</v>
      </c>
      <c r="I85" s="601"/>
      <c r="J85" s="673">
        <f>H85/DAY(B2)</f>
        <v>2316.8228571428522</v>
      </c>
      <c r="K85" s="408"/>
      <c r="L85" s="406"/>
      <c r="N85" s="854"/>
      <c r="O85" s="861"/>
      <c r="P85" s="410"/>
    </row>
    <row r="86" spans="1:16" s="871" customFormat="1" x14ac:dyDescent="0.5">
      <c r="A86" s="866" t="s">
        <v>117</v>
      </c>
      <c r="B86" s="867"/>
      <c r="C86" s="867"/>
      <c r="D86" s="868" t="s">
        <v>210</v>
      </c>
      <c r="E86" s="764">
        <f>'[1]13'!F86</f>
        <v>442476.64</v>
      </c>
      <c r="F86" s="764">
        <v>442567</v>
      </c>
      <c r="G86" s="841">
        <f t="shared" ref="G86:G90" si="6">F86-E86</f>
        <v>90.35999999998603</v>
      </c>
      <c r="H86" s="841">
        <f t="shared" ref="H86:H88" si="7">G86</f>
        <v>90.35999999998603</v>
      </c>
      <c r="I86" s="769"/>
      <c r="J86" s="843">
        <f>H86/DAY(B2)</f>
        <v>6.4542857142847163</v>
      </c>
      <c r="K86" s="869"/>
      <c r="L86" s="870"/>
      <c r="O86" s="849"/>
    </row>
    <row r="87" spans="1:16" s="871" customFormat="1" x14ac:dyDescent="0.5">
      <c r="A87" s="866" t="s">
        <v>118</v>
      </c>
      <c r="B87" s="867"/>
      <c r="C87" s="867"/>
      <c r="D87" s="868" t="s">
        <v>210</v>
      </c>
      <c r="E87" s="764">
        <f>'[1]13'!F87</f>
        <v>77276.899999999994</v>
      </c>
      <c r="F87" s="764">
        <v>77312</v>
      </c>
      <c r="G87" s="841">
        <f t="shared" si="6"/>
        <v>35.100000000005821</v>
      </c>
      <c r="H87" s="841">
        <f t="shared" si="7"/>
        <v>35.100000000005821</v>
      </c>
      <c r="I87" s="769"/>
      <c r="J87" s="843">
        <f>H87/DAY(B2)</f>
        <v>2.5071428571432728</v>
      </c>
      <c r="K87" s="869"/>
      <c r="L87" s="870"/>
      <c r="O87" s="849"/>
    </row>
    <row r="88" spans="1:16" s="871" customFormat="1" x14ac:dyDescent="0.5">
      <c r="A88" s="866" t="s">
        <v>119</v>
      </c>
      <c r="B88" s="867"/>
      <c r="C88" s="867"/>
      <c r="D88" s="868" t="s">
        <v>210</v>
      </c>
      <c r="E88" s="764">
        <f>'[1]13'!F88</f>
        <v>143397</v>
      </c>
      <c r="F88" s="764">
        <v>143471</v>
      </c>
      <c r="G88" s="841">
        <f t="shared" si="6"/>
        <v>74</v>
      </c>
      <c r="H88" s="841">
        <f t="shared" si="7"/>
        <v>74</v>
      </c>
      <c r="I88" s="769"/>
      <c r="J88" s="843">
        <f>H88/DAY(B2)</f>
        <v>5.2857142857142856</v>
      </c>
      <c r="K88" s="869"/>
      <c r="L88" s="870"/>
      <c r="O88" s="849"/>
    </row>
    <row r="89" spans="1:16" s="871" customFormat="1" x14ac:dyDescent="0.5">
      <c r="A89" s="866" t="s">
        <v>230</v>
      </c>
      <c r="B89" s="867"/>
      <c r="C89" s="867"/>
      <c r="D89" s="868" t="s">
        <v>210</v>
      </c>
      <c r="E89" s="764">
        <f>'[1]13'!F89</f>
        <v>56452</v>
      </c>
      <c r="F89" s="764">
        <v>56502</v>
      </c>
      <c r="G89" s="841">
        <f t="shared" si="6"/>
        <v>50</v>
      </c>
      <c r="H89" s="841">
        <f>G89</f>
        <v>50</v>
      </c>
      <c r="I89" s="769"/>
      <c r="J89" s="843">
        <f>H89/DAY(B2)</f>
        <v>3.5714285714285716</v>
      </c>
      <c r="K89" s="869"/>
      <c r="L89" s="870"/>
      <c r="N89" s="919"/>
      <c r="O89" s="410"/>
    </row>
    <row r="90" spans="1:16" s="871" customFormat="1" x14ac:dyDescent="0.5">
      <c r="A90" s="866" t="s">
        <v>230</v>
      </c>
      <c r="B90" s="867"/>
      <c r="C90" s="867"/>
      <c r="D90" s="868" t="s">
        <v>210</v>
      </c>
      <c r="E90" s="764">
        <f>'[1]13'!F90</f>
        <v>2930.7</v>
      </c>
      <c r="F90" s="764">
        <v>2931</v>
      </c>
      <c r="G90" s="841">
        <f t="shared" si="6"/>
        <v>0.3000000000001819</v>
      </c>
      <c r="H90" s="841">
        <f>G90</f>
        <v>0.3000000000001819</v>
      </c>
      <c r="I90" s="769"/>
      <c r="J90" s="843">
        <f>H90/DAY(B2)</f>
        <v>2.1428571428584422E-2</v>
      </c>
      <c r="K90" s="869"/>
      <c r="L90" s="870"/>
      <c r="N90" s="919"/>
      <c r="O90" s="410"/>
    </row>
    <row r="91" spans="1:16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854"/>
      <c r="O91" s="861"/>
      <c r="P91" s="410"/>
    </row>
    <row r="92" spans="1:16" ht="27.75" x14ac:dyDescent="0.5">
      <c r="A92" s="1398" t="s">
        <v>233</v>
      </c>
      <c r="B92" s="1399"/>
      <c r="C92" s="1400"/>
      <c r="D92" s="643" t="s">
        <v>171</v>
      </c>
      <c r="E92" s="598">
        <f>'[1]13'!F92</f>
        <v>232345</v>
      </c>
      <c r="F92" s="598">
        <v>232442</v>
      </c>
      <c r="G92" s="593">
        <f t="shared" ref="G92:G93" si="8">F92-E92</f>
        <v>97</v>
      </c>
      <c r="H92" s="580">
        <f>G92+'[1]13'!H92</f>
        <v>1467</v>
      </c>
      <c r="I92" s="600"/>
      <c r="J92" s="673">
        <f>H92/DAY(B2)</f>
        <v>104.78571428571429</v>
      </c>
      <c r="K92" s="509"/>
      <c r="L92" s="405"/>
      <c r="N92" s="854"/>
      <c r="O92" s="861"/>
      <c r="P92" s="410"/>
    </row>
    <row r="93" spans="1:16" ht="27.75" x14ac:dyDescent="0.5">
      <c r="A93" s="1398" t="s">
        <v>234</v>
      </c>
      <c r="B93" s="1399"/>
      <c r="C93" s="1400"/>
      <c r="D93" s="643" t="s">
        <v>171</v>
      </c>
      <c r="E93" s="598">
        <f>'[1]13'!F93</f>
        <v>164571</v>
      </c>
      <c r="F93" s="598">
        <v>164758</v>
      </c>
      <c r="G93" s="593">
        <f t="shared" si="8"/>
        <v>187</v>
      </c>
      <c r="H93" s="580">
        <f>G93+'[1]13'!H93</f>
        <v>2116</v>
      </c>
      <c r="I93" s="600"/>
      <c r="J93" s="673">
        <f>H93/DAY(B2)</f>
        <v>151.14285714285714</v>
      </c>
      <c r="K93" s="408"/>
      <c r="L93" s="405"/>
      <c r="N93" s="854"/>
      <c r="O93" s="861"/>
      <c r="P93" s="410"/>
    </row>
    <row r="94" spans="1:16" x14ac:dyDescent="0.5">
      <c r="A94" s="1392" t="s">
        <v>235</v>
      </c>
      <c r="B94" s="1393"/>
      <c r="C94" s="1394"/>
      <c r="D94" s="643"/>
      <c r="E94" s="598">
        <f>'[1]13'!F94</f>
        <v>0</v>
      </c>
      <c r="F94" s="598"/>
      <c r="G94" s="593">
        <f>G92+G93</f>
        <v>284</v>
      </c>
      <c r="H94" s="580">
        <f>G94+'[1]13'!H94</f>
        <v>3320</v>
      </c>
      <c r="I94" s="600"/>
      <c r="J94" s="673">
        <f>H94/DAY(B2)</f>
        <v>237.14285714285714</v>
      </c>
      <c r="K94" s="408"/>
      <c r="L94" s="405"/>
      <c r="N94" s="854"/>
      <c r="O94" s="861"/>
      <c r="P94" s="410"/>
    </row>
    <row r="95" spans="1:16" ht="27.75" x14ac:dyDescent="0.5">
      <c r="A95" s="1398" t="s">
        <v>236</v>
      </c>
      <c r="B95" s="1399"/>
      <c r="C95" s="1400"/>
      <c r="D95" s="643" t="s">
        <v>171</v>
      </c>
      <c r="E95" s="598">
        <f>'[1]13'!F95</f>
        <v>402454</v>
      </c>
      <c r="F95" s="598">
        <v>402516</v>
      </c>
      <c r="G95" s="593">
        <f t="shared" ref="G95:G100" si="9">F95-E95</f>
        <v>62</v>
      </c>
      <c r="H95" s="580">
        <f>G95+'[1]13'!H95</f>
        <v>951</v>
      </c>
      <c r="I95" s="600"/>
      <c r="J95" s="673">
        <f>H95/DAY(B2)</f>
        <v>67.928571428571431</v>
      </c>
      <c r="K95" s="408"/>
      <c r="L95" s="405"/>
      <c r="N95" s="854"/>
      <c r="O95" s="861"/>
      <c r="P95" s="410"/>
    </row>
    <row r="96" spans="1:16" ht="27.75" x14ac:dyDescent="0.5">
      <c r="A96" s="1354" t="s">
        <v>237</v>
      </c>
      <c r="B96" s="1355"/>
      <c r="C96" s="1355"/>
      <c r="D96" s="643" t="s">
        <v>171</v>
      </c>
      <c r="E96" s="598">
        <f>'[1]13'!F96</f>
        <v>99520</v>
      </c>
      <c r="F96" s="598">
        <v>99543</v>
      </c>
      <c r="G96" s="593">
        <f t="shared" si="9"/>
        <v>23</v>
      </c>
      <c r="H96" s="580">
        <f>G96+'[1]13'!H96</f>
        <v>432</v>
      </c>
      <c r="I96" s="600"/>
      <c r="J96" s="673">
        <f>H96/DAY(B2)</f>
        <v>30.857142857142858</v>
      </c>
      <c r="K96" s="507"/>
      <c r="L96" s="405"/>
      <c r="N96" s="854"/>
      <c r="O96" s="861"/>
      <c r="P96" s="410"/>
    </row>
    <row r="97" spans="1:16" ht="27.75" x14ac:dyDescent="0.5">
      <c r="A97" s="1354" t="s">
        <v>238</v>
      </c>
      <c r="B97" s="1355"/>
      <c r="C97" s="1355"/>
      <c r="D97" s="643" t="s">
        <v>171</v>
      </c>
      <c r="E97" s="598">
        <f>'[1]13'!F97</f>
        <v>94611</v>
      </c>
      <c r="F97" s="598">
        <v>94636</v>
      </c>
      <c r="G97" s="593">
        <f t="shared" si="9"/>
        <v>25</v>
      </c>
      <c r="H97" s="580">
        <f>G97+'[1]13'!H97</f>
        <v>364</v>
      </c>
      <c r="I97" s="600"/>
      <c r="J97" s="673">
        <f>H97/DAY(B2)</f>
        <v>26</v>
      </c>
      <c r="K97" s="512"/>
      <c r="L97" s="405"/>
      <c r="N97" s="854"/>
      <c r="O97" s="861"/>
      <c r="P97" s="410"/>
    </row>
    <row r="98" spans="1:16" ht="27.75" x14ac:dyDescent="0.5">
      <c r="A98" s="1354" t="s">
        <v>239</v>
      </c>
      <c r="B98" s="1355"/>
      <c r="C98" s="1355"/>
      <c r="D98" s="643" t="s">
        <v>171</v>
      </c>
      <c r="E98" s="598">
        <f>'[1]13'!F98</f>
        <v>142900</v>
      </c>
      <c r="F98" s="598">
        <v>142960</v>
      </c>
      <c r="G98" s="593">
        <f t="shared" si="9"/>
        <v>60</v>
      </c>
      <c r="H98" s="580">
        <f>G98+'[1]13'!H98</f>
        <v>814</v>
      </c>
      <c r="I98" s="600"/>
      <c r="J98" s="673">
        <f>H98/DAY(B2)</f>
        <v>58.142857142857146</v>
      </c>
      <c r="K98" s="408"/>
      <c r="L98" s="405"/>
      <c r="N98" s="856"/>
      <c r="O98" s="861"/>
      <c r="P98" s="410"/>
    </row>
    <row r="99" spans="1:16" ht="27.75" x14ac:dyDescent="0.5">
      <c r="A99" s="1354" t="s">
        <v>240</v>
      </c>
      <c r="B99" s="1355"/>
      <c r="C99" s="1355"/>
      <c r="D99" s="643" t="s">
        <v>171</v>
      </c>
      <c r="E99" s="598">
        <f>'[1]13'!F99</f>
        <v>5252</v>
      </c>
      <c r="F99" s="598">
        <v>5265</v>
      </c>
      <c r="G99" s="593">
        <f t="shared" si="9"/>
        <v>13</v>
      </c>
      <c r="H99" s="580">
        <f>G99+'[1]13'!H99</f>
        <v>297</v>
      </c>
      <c r="I99" s="600"/>
      <c r="J99" s="673">
        <f>H99/DAY(B2)</f>
        <v>21.214285714285715</v>
      </c>
      <c r="K99" s="408"/>
      <c r="L99" s="405"/>
      <c r="N99" s="854"/>
      <c r="O99" s="861"/>
      <c r="P99" s="410"/>
    </row>
    <row r="100" spans="1:16" ht="27.75" x14ac:dyDescent="0.5">
      <c r="A100" s="1354" t="s">
        <v>241</v>
      </c>
      <c r="B100" s="1355"/>
      <c r="C100" s="1355"/>
      <c r="D100" s="643" t="s">
        <v>171</v>
      </c>
      <c r="E100" s="598">
        <f>'[1]13'!F100</f>
        <v>3674</v>
      </c>
      <c r="F100" s="598">
        <v>3674</v>
      </c>
      <c r="G100" s="593">
        <f t="shared" si="9"/>
        <v>0</v>
      </c>
      <c r="H100" s="580">
        <f>G100+'[1]13'!H100</f>
        <v>0</v>
      </c>
      <c r="I100" s="600"/>
      <c r="J100" s="673">
        <f>H100/DAY(B2)</f>
        <v>0</v>
      </c>
      <c r="K100" s="408"/>
      <c r="L100" s="405"/>
      <c r="N100" s="854"/>
      <c r="O100" s="861"/>
      <c r="P100" s="410"/>
    </row>
    <row r="101" spans="1:16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183</v>
      </c>
      <c r="H101" s="580">
        <f>G101+'[1]13'!H101</f>
        <v>2858</v>
      </c>
      <c r="I101" s="646"/>
      <c r="J101" s="673">
        <f>H101/DAY(B2)</f>
        <v>204.14285714285714</v>
      </c>
      <c r="K101" s="408"/>
      <c r="L101" s="405"/>
      <c r="N101" s="854"/>
      <c r="O101" s="861"/>
      <c r="P101" s="410"/>
    </row>
    <row r="102" spans="1:16" s="524" customFormat="1" ht="27" x14ac:dyDescent="0.35">
      <c r="A102" s="728" t="s">
        <v>243</v>
      </c>
      <c r="B102" s="729"/>
      <c r="C102" s="729"/>
      <c r="D102" s="742"/>
      <c r="E102" s="774"/>
      <c r="F102" s="774"/>
      <c r="G102" s="649"/>
      <c r="H102" s="650"/>
      <c r="I102" s="651"/>
      <c r="J102" s="678"/>
      <c r="N102" s="854"/>
      <c r="O102" s="861"/>
      <c r="P102" s="410"/>
    </row>
    <row r="103" spans="1:16" s="524" customFormat="1" ht="27.75" x14ac:dyDescent="0.5">
      <c r="A103" s="1404" t="s">
        <v>244</v>
      </c>
      <c r="B103" s="1405"/>
      <c r="C103" s="694"/>
      <c r="D103" s="743"/>
      <c r="E103" s="775"/>
      <c r="F103" s="775"/>
      <c r="G103" s="652"/>
      <c r="H103" s="653"/>
      <c r="I103" s="652"/>
      <c r="J103" s="679"/>
      <c r="N103" s="854"/>
      <c r="O103" s="861"/>
      <c r="P103" s="410"/>
    </row>
    <row r="104" spans="1:16" s="524" customFormat="1" ht="27.75" x14ac:dyDescent="0.5">
      <c r="A104" s="1406" t="s">
        <v>245</v>
      </c>
      <c r="B104" s="1407"/>
      <c r="C104" s="1359"/>
      <c r="D104" s="743" t="s">
        <v>171</v>
      </c>
      <c r="E104" s="775">
        <f>'[1]13'!F104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4.0714285714285712</v>
      </c>
      <c r="N104" s="854"/>
      <c r="O104" s="861"/>
      <c r="P104" s="410"/>
    </row>
    <row r="105" spans="1:16" s="524" customFormat="1" ht="27.75" x14ac:dyDescent="0.5">
      <c r="A105" s="1406" t="s">
        <v>92</v>
      </c>
      <c r="B105" s="1407"/>
      <c r="C105" s="1359"/>
      <c r="D105" s="743" t="s">
        <v>171</v>
      </c>
      <c r="E105" s="776">
        <f>'[1]13'!F105</f>
        <v>34788</v>
      </c>
      <c r="F105" s="776">
        <v>34795</v>
      </c>
      <c r="G105" s="652">
        <f t="shared" ref="G105:G106" si="10">F105-E105</f>
        <v>7</v>
      </c>
      <c r="H105" s="653">
        <f>SUM(G105+'[1]1'!G77)</f>
        <v>62</v>
      </c>
      <c r="I105" s="652"/>
      <c r="J105" s="679">
        <f>H105/DAY(B2)</f>
        <v>4.4285714285714288</v>
      </c>
      <c r="N105" s="854"/>
      <c r="O105" s="861"/>
      <c r="P105" s="410"/>
    </row>
    <row r="106" spans="1:16" s="524" customFormat="1" ht="27.75" x14ac:dyDescent="0.5">
      <c r="A106" s="1406" t="s">
        <v>93</v>
      </c>
      <c r="B106" s="1408"/>
      <c r="C106" s="1407"/>
      <c r="D106" s="743" t="s">
        <v>171</v>
      </c>
      <c r="E106" s="776">
        <f>'[1]13'!F106</f>
        <v>18800</v>
      </c>
      <c r="F106" s="776">
        <v>18806</v>
      </c>
      <c r="G106" s="652">
        <f t="shared" si="10"/>
        <v>6</v>
      </c>
      <c r="H106" s="653">
        <f>SUM(G106+'[1]1'!G78)</f>
        <v>486</v>
      </c>
      <c r="I106" s="652"/>
      <c r="J106" s="679">
        <f>H106/DAY(B2)</f>
        <v>34.714285714285715</v>
      </c>
      <c r="N106" s="854"/>
      <c r="O106" s="861"/>
      <c r="P106" s="410"/>
    </row>
    <row r="107" spans="1:16" s="524" customFormat="1" ht="27.75" x14ac:dyDescent="0.5">
      <c r="A107" s="1409" t="s">
        <v>82</v>
      </c>
      <c r="B107" s="1410"/>
      <c r="C107" s="1359"/>
      <c r="D107" s="743"/>
      <c r="E107" s="776">
        <f>'[1]13'!F107</f>
        <v>0</v>
      </c>
      <c r="F107" s="776"/>
      <c r="G107" s="652">
        <f>SUM(G104:G106)</f>
        <v>13</v>
      </c>
      <c r="H107" s="653">
        <f>SUM(G107+'[1]1'!G79)</f>
        <v>214</v>
      </c>
      <c r="I107" s="652"/>
      <c r="J107" s="679">
        <f>H107/DAY(B2)</f>
        <v>15.285714285714286</v>
      </c>
      <c r="N107" s="854"/>
      <c r="O107" s="861"/>
      <c r="P107" s="410"/>
    </row>
    <row r="108" spans="1:16" s="524" customFormat="1" ht="27.75" x14ac:dyDescent="0.5">
      <c r="A108" s="1411" t="s">
        <v>94</v>
      </c>
      <c r="B108" s="1412"/>
      <c r="C108" s="1359"/>
      <c r="D108" s="743" t="s">
        <v>171</v>
      </c>
      <c r="E108" s="776">
        <f>'[1]13'!F108</f>
        <v>0</v>
      </c>
      <c r="F108" s="776"/>
      <c r="G108" s="652"/>
      <c r="H108" s="653"/>
      <c r="I108" s="652"/>
      <c r="J108" s="679"/>
      <c r="N108" s="854"/>
      <c r="O108" s="861"/>
      <c r="P108" s="410"/>
    </row>
    <row r="109" spans="1:16" s="524" customFormat="1" ht="27.75" x14ac:dyDescent="0.5">
      <c r="A109" s="1406" t="s">
        <v>246</v>
      </c>
      <c r="B109" s="1407"/>
      <c r="C109" s="1359"/>
      <c r="D109" s="743" t="s">
        <v>171</v>
      </c>
      <c r="E109" s="776">
        <f>'[1]13'!F109</f>
        <v>52082</v>
      </c>
      <c r="F109" s="776">
        <v>52123</v>
      </c>
      <c r="G109" s="652">
        <f>F109-E109</f>
        <v>41</v>
      </c>
      <c r="H109" s="653">
        <f>SUM(G109+'[1]1'!G81)</f>
        <v>194.28000000002794</v>
      </c>
      <c r="I109" s="652"/>
      <c r="J109" s="679">
        <f>H109/DAY(B2)</f>
        <v>13.877142857144852</v>
      </c>
      <c r="N109" s="854"/>
      <c r="O109" s="861"/>
      <c r="P109" s="410"/>
    </row>
    <row r="110" spans="1:16" s="524" customFormat="1" ht="27.75" x14ac:dyDescent="0.5">
      <c r="A110" s="1406" t="s">
        <v>247</v>
      </c>
      <c r="B110" s="1407"/>
      <c r="C110" s="1359"/>
      <c r="D110" s="743" t="s">
        <v>171</v>
      </c>
      <c r="E110" s="776">
        <f>'[1]13'!F110</f>
        <v>26029</v>
      </c>
      <c r="F110" s="776">
        <v>26119</v>
      </c>
      <c r="G110" s="652">
        <f t="shared" ref="G110:G111" si="11">F110-E110</f>
        <v>90</v>
      </c>
      <c r="H110" s="653">
        <f>SUM(G110+'[1]1'!G82)</f>
        <v>110.76000000000931</v>
      </c>
      <c r="I110" s="652"/>
      <c r="J110" s="679">
        <f>H110/DAY(B2)</f>
        <v>7.9114285714292363</v>
      </c>
      <c r="N110" s="854"/>
      <c r="O110" s="861"/>
      <c r="P110" s="410"/>
    </row>
    <row r="111" spans="1:16" s="524" customFormat="1" ht="27.75" x14ac:dyDescent="0.5">
      <c r="A111" s="1406" t="s">
        <v>248</v>
      </c>
      <c r="B111" s="1407"/>
      <c r="C111" s="1359"/>
      <c r="D111" s="743" t="s">
        <v>171</v>
      </c>
      <c r="E111" s="776">
        <f>'[1]13'!F111</f>
        <v>3458</v>
      </c>
      <c r="F111" s="776">
        <v>3458</v>
      </c>
      <c r="G111" s="652">
        <f t="shared" si="11"/>
        <v>0</v>
      </c>
      <c r="H111" s="653">
        <f>SUM(G111+'[1]1'!G83)</f>
        <v>346</v>
      </c>
      <c r="I111" s="652"/>
      <c r="J111" s="679">
        <f>H111/DAY(B2)</f>
        <v>24.714285714285715</v>
      </c>
      <c r="N111" s="854"/>
      <c r="O111" s="861"/>
      <c r="P111" s="410"/>
    </row>
    <row r="112" spans="1:16" s="524" customFormat="1" ht="27.75" x14ac:dyDescent="0.5">
      <c r="A112" s="1409" t="s">
        <v>136</v>
      </c>
      <c r="B112" s="1410"/>
      <c r="C112" s="1359"/>
      <c r="D112" s="743"/>
      <c r="E112" s="776">
        <f>'[1]13'!F112</f>
        <v>0</v>
      </c>
      <c r="F112" s="776"/>
      <c r="G112" s="652">
        <f>SUM(G109:G111)</f>
        <v>131</v>
      </c>
      <c r="H112" s="653">
        <f>SUM(G112+'[1]1'!G84)</f>
        <v>695</v>
      </c>
      <c r="I112" s="652"/>
      <c r="J112" s="679">
        <f>H112/DAY(B2)</f>
        <v>49.642857142857146</v>
      </c>
      <c r="N112" s="854"/>
      <c r="O112" s="861"/>
      <c r="P112" s="410"/>
    </row>
    <row r="113" spans="1:16" s="524" customFormat="1" ht="27.75" x14ac:dyDescent="0.5">
      <c r="A113" s="1411" t="s">
        <v>249</v>
      </c>
      <c r="B113" s="1412"/>
      <c r="C113" s="1359"/>
      <c r="D113" s="743"/>
      <c r="E113" s="776">
        <f>'[1]13'!F113</f>
        <v>0</v>
      </c>
      <c r="F113" s="776"/>
      <c r="G113" s="652"/>
      <c r="H113" s="653"/>
      <c r="I113" s="652"/>
      <c r="J113" s="679">
        <f>H113/DAY(B2)</f>
        <v>0</v>
      </c>
      <c r="N113" s="854"/>
      <c r="O113" s="861"/>
      <c r="P113" s="410"/>
    </row>
    <row r="114" spans="1:16" s="524" customFormat="1" ht="27.75" x14ac:dyDescent="0.5">
      <c r="A114" s="1406" t="s">
        <v>250</v>
      </c>
      <c r="B114" s="1407"/>
      <c r="C114" s="695"/>
      <c r="D114" s="743" t="s">
        <v>171</v>
      </c>
      <c r="E114" s="776">
        <f>'[1]13'!F114</f>
        <v>8937</v>
      </c>
      <c r="F114" s="776">
        <v>8953</v>
      </c>
      <c r="G114" s="654">
        <f>F114-E114</f>
        <v>16</v>
      </c>
      <c r="H114" s="653">
        <f>SUM(G114+'[1]1'!G91)</f>
        <v>16</v>
      </c>
      <c r="I114" s="652"/>
      <c r="J114" s="679">
        <f>H114/DAY(B2)</f>
        <v>1.1428571428571428</v>
      </c>
      <c r="N114" s="854"/>
      <c r="O114" s="861"/>
      <c r="P114" s="410"/>
    </row>
    <row r="115" spans="1:16" s="524" customFormat="1" ht="27.75" x14ac:dyDescent="0.5">
      <c r="A115" s="1406" t="s">
        <v>251</v>
      </c>
      <c r="B115" s="1407"/>
      <c r="C115" s="695"/>
      <c r="D115" s="743" t="s">
        <v>171</v>
      </c>
      <c r="E115" s="776">
        <f>'[1]13'!F115</f>
        <v>6981</v>
      </c>
      <c r="F115" s="776">
        <v>6989</v>
      </c>
      <c r="G115" s="654">
        <f t="shared" ref="G115:G116" si="12">F115-E115</f>
        <v>8</v>
      </c>
      <c r="H115" s="653">
        <f>SUM(G115+'[1]1'!G92)</f>
        <v>120</v>
      </c>
      <c r="I115" s="652"/>
      <c r="J115" s="679">
        <f>H115/DAY(B2)</f>
        <v>8.5714285714285712</v>
      </c>
      <c r="N115" s="854"/>
      <c r="O115" s="861"/>
      <c r="P115" s="410"/>
    </row>
    <row r="116" spans="1:16" s="524" customFormat="1" ht="27.75" x14ac:dyDescent="0.5">
      <c r="A116" s="1406" t="s">
        <v>252</v>
      </c>
      <c r="B116" s="1407"/>
      <c r="C116" s="695"/>
      <c r="D116" s="743" t="s">
        <v>171</v>
      </c>
      <c r="E116" s="776"/>
      <c r="F116" s="776"/>
      <c r="G116" s="654">
        <f t="shared" si="12"/>
        <v>0</v>
      </c>
      <c r="H116" s="653">
        <f>SUM(G116+'[1]1'!G93)</f>
        <v>151</v>
      </c>
      <c r="I116" s="652"/>
      <c r="J116" s="679">
        <f>H116/DAY(B2)</f>
        <v>10.785714285714286</v>
      </c>
      <c r="N116" s="854"/>
      <c r="O116" s="861"/>
      <c r="P116" s="410"/>
    </row>
    <row r="117" spans="1:16" s="537" customFormat="1" ht="27.75" x14ac:dyDescent="0.5">
      <c r="A117" s="1409" t="s">
        <v>82</v>
      </c>
      <c r="B117" s="1410"/>
      <c r="C117" s="695"/>
      <c r="D117" s="744"/>
      <c r="E117" s="776"/>
      <c r="F117" s="776"/>
      <c r="G117" s="654">
        <f>SUM(G114:G116)</f>
        <v>24</v>
      </c>
      <c r="H117" s="653">
        <f>SUM(G117+'[1]1'!G95)</f>
        <v>71</v>
      </c>
      <c r="I117" s="654"/>
      <c r="J117" s="679">
        <f>H117/DAY(B2)</f>
        <v>5.0714285714285712</v>
      </c>
      <c r="N117" s="854"/>
      <c r="O117" s="861"/>
      <c r="P117" s="410"/>
    </row>
    <row r="118" spans="1:16" s="538" customFormat="1" ht="27.75" x14ac:dyDescent="0.5">
      <c r="A118" s="1437" t="s">
        <v>253</v>
      </c>
      <c r="B118" s="1438"/>
      <c r="C118" s="1362"/>
      <c r="D118" s="745" t="s">
        <v>171</v>
      </c>
      <c r="E118" s="777"/>
      <c r="F118" s="777"/>
      <c r="G118" s="656">
        <f>SUM(G19+G92)</f>
        <v>156</v>
      </c>
      <c r="H118" s="653">
        <f>SUM(G118+'[1]1'!G96)</f>
        <v>189</v>
      </c>
      <c r="I118" s="655"/>
      <c r="J118" s="680">
        <f>H118/DAY(B2)</f>
        <v>13.5</v>
      </c>
      <c r="N118" s="854"/>
      <c r="O118" s="861"/>
      <c r="P118" s="410"/>
    </row>
    <row r="119" spans="1:16" s="538" customFormat="1" ht="27.75" x14ac:dyDescent="0.5">
      <c r="A119" s="1437" t="s">
        <v>254</v>
      </c>
      <c r="B119" s="1438"/>
      <c r="C119" s="1362"/>
      <c r="D119" s="745" t="s">
        <v>171</v>
      </c>
      <c r="E119" s="777"/>
      <c r="F119" s="777">
        <f>SUM(G95,G96,G97,G99,G100)</f>
        <v>123</v>
      </c>
      <c r="G119" s="656">
        <f>SUM(G95,G96,G97,G99,G100)</f>
        <v>123</v>
      </c>
      <c r="H119" s="653">
        <f>SUM(G119+'[1]1'!G98)</f>
        <v>190</v>
      </c>
      <c r="I119" s="655"/>
      <c r="J119" s="680">
        <f>H119/DAY(B2)</f>
        <v>13.571428571428571</v>
      </c>
      <c r="N119" s="854"/>
      <c r="O119" s="861"/>
      <c r="P119" s="410"/>
    </row>
    <row r="120" spans="1:16" s="538" customFormat="1" ht="27.75" x14ac:dyDescent="0.5">
      <c r="A120" s="1437" t="s">
        <v>255</v>
      </c>
      <c r="B120" s="1438"/>
      <c r="C120" s="1362"/>
      <c r="D120" s="745" t="s">
        <v>171</v>
      </c>
      <c r="E120" s="776"/>
      <c r="F120" s="776">
        <f>SUM(G112)</f>
        <v>131</v>
      </c>
      <c r="G120" s="654">
        <f>SUM(G112)</f>
        <v>131</v>
      </c>
      <c r="H120" s="653">
        <f>SUM(G120+'[1]1'!G100)</f>
        <v>131</v>
      </c>
      <c r="I120" s="655"/>
      <c r="J120" s="680">
        <f>H120/DAY(B2)</f>
        <v>9.3571428571428577</v>
      </c>
      <c r="N120" s="854"/>
      <c r="O120" s="861"/>
      <c r="P120" s="410"/>
    </row>
    <row r="121" spans="1:16" s="524" customFormat="1" ht="27.75" x14ac:dyDescent="0.5">
      <c r="A121" s="1439"/>
      <c r="B121" s="1440"/>
      <c r="C121" s="1363"/>
      <c r="D121" s="681"/>
      <c r="E121" s="778"/>
      <c r="F121" s="778" t="s">
        <v>143</v>
      </c>
      <c r="G121" s="681"/>
      <c r="H121" s="682"/>
      <c r="I121" s="681"/>
      <c r="J121" s="683"/>
      <c r="N121" s="854"/>
      <c r="O121" s="861"/>
      <c r="P121" s="410"/>
    </row>
    <row r="122" spans="1:16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854"/>
      <c r="O122" s="861"/>
      <c r="P122" s="410"/>
    </row>
    <row r="123" spans="1:16" ht="27.75" x14ac:dyDescent="0.5">
      <c r="A123" s="1354" t="s">
        <v>257</v>
      </c>
      <c r="B123" s="1355"/>
      <c r="C123" s="1355"/>
      <c r="D123" s="643" t="s">
        <v>168</v>
      </c>
      <c r="E123" s="598">
        <f>'[1]13'!F123</f>
        <v>791437</v>
      </c>
      <c r="F123" s="598">
        <v>791650</v>
      </c>
      <c r="G123" s="593">
        <f t="shared" ref="G123:G127" si="13">F123-E123</f>
        <v>213</v>
      </c>
      <c r="H123" s="580">
        <f>G123+'[1]13'!H123</f>
        <v>2818.9300000000512</v>
      </c>
      <c r="I123" s="646"/>
      <c r="J123" s="673">
        <f>H123/DAY(B2)</f>
        <v>201.3521428571465</v>
      </c>
      <c r="K123" s="408"/>
      <c r="L123" s="405"/>
      <c r="N123" s="854"/>
      <c r="O123" s="861"/>
      <c r="P123" s="410"/>
    </row>
    <row r="124" spans="1:16" ht="27.75" x14ac:dyDescent="0.5">
      <c r="A124" s="1354" t="s">
        <v>258</v>
      </c>
      <c r="B124" s="1355"/>
      <c r="C124" s="1355"/>
      <c r="D124" s="643" t="s">
        <v>168</v>
      </c>
      <c r="E124" s="747">
        <f>'[1]13'!F124</f>
        <v>73582</v>
      </c>
      <c r="F124" s="747">
        <v>73582</v>
      </c>
      <c r="G124" s="593">
        <f t="shared" si="13"/>
        <v>0</v>
      </c>
      <c r="H124" s="580">
        <f>G124+'[1]13'!H124</f>
        <v>-0.19999999999708962</v>
      </c>
      <c r="I124" s="646"/>
      <c r="J124" s="673">
        <f>H124/DAY(B2)</f>
        <v>-1.4285714285506401E-2</v>
      </c>
      <c r="K124" s="408"/>
      <c r="L124" s="405"/>
      <c r="N124" s="854"/>
      <c r="O124" s="861"/>
      <c r="P124" s="410"/>
    </row>
    <row r="125" spans="1:16" ht="27.75" x14ac:dyDescent="0.5">
      <c r="A125" s="1395" t="s">
        <v>259</v>
      </c>
      <c r="B125" s="1396"/>
      <c r="C125" s="1397"/>
      <c r="D125" s="643" t="s">
        <v>168</v>
      </c>
      <c r="E125" s="598">
        <f>'[1]13'!F125</f>
        <v>134291</v>
      </c>
      <c r="F125" s="598">
        <v>134361</v>
      </c>
      <c r="G125" s="593">
        <f t="shared" si="13"/>
        <v>70</v>
      </c>
      <c r="H125" s="580">
        <f>G125+'[1]13'!H125</f>
        <v>1238.1199999999953</v>
      </c>
      <c r="I125" s="646"/>
      <c r="J125" s="673">
        <f>H125/DAY(B2)</f>
        <v>88.437142857142518</v>
      </c>
      <c r="K125" s="408"/>
      <c r="L125" s="405"/>
      <c r="N125" s="854"/>
      <c r="O125" s="861"/>
      <c r="P125" s="410"/>
    </row>
    <row r="126" spans="1:16" ht="27.75" x14ac:dyDescent="0.5">
      <c r="A126" s="730" t="s">
        <v>260</v>
      </c>
      <c r="B126" s="1355"/>
      <c r="C126" s="1355"/>
      <c r="D126" s="643" t="s">
        <v>168</v>
      </c>
      <c r="E126" s="747">
        <f>'[1]13'!F126</f>
        <v>56743</v>
      </c>
      <c r="F126" s="747">
        <v>56766</v>
      </c>
      <c r="G126" s="593">
        <f t="shared" si="13"/>
        <v>23</v>
      </c>
      <c r="H126" s="580">
        <f>G126+'[1]13'!H126</f>
        <v>417.80000000000291</v>
      </c>
      <c r="I126" s="646"/>
      <c r="J126" s="673">
        <f>H126/DAY(B2)</f>
        <v>29.842857142857351</v>
      </c>
      <c r="K126" s="408"/>
      <c r="L126" s="405"/>
      <c r="N126" s="854"/>
      <c r="O126" s="861"/>
      <c r="P126" s="410"/>
    </row>
    <row r="127" spans="1:16" ht="27.75" x14ac:dyDescent="0.5">
      <c r="A127" s="730" t="s">
        <v>261</v>
      </c>
      <c r="B127" s="1355"/>
      <c r="C127" s="1355"/>
      <c r="D127" s="643" t="s">
        <v>168</v>
      </c>
      <c r="E127" s="747">
        <f>'[1]13'!F127</f>
        <v>8665</v>
      </c>
      <c r="F127" s="747">
        <v>8665</v>
      </c>
      <c r="G127" s="593">
        <f t="shared" si="13"/>
        <v>0</v>
      </c>
      <c r="H127" s="580">
        <f>G127+'[1]13'!H127</f>
        <v>24.899999999999636</v>
      </c>
      <c r="I127" s="600"/>
      <c r="J127" s="673">
        <f>H127/DAY(B2)</f>
        <v>1.7785714285714025</v>
      </c>
      <c r="K127" s="408"/>
      <c r="L127" s="405"/>
      <c r="N127" s="854"/>
      <c r="O127" s="861"/>
      <c r="P127" s="410"/>
    </row>
    <row r="128" spans="1:16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480</v>
      </c>
      <c r="H128" s="580"/>
      <c r="I128" s="600"/>
      <c r="J128" s="673"/>
      <c r="K128" s="388"/>
      <c r="L128" s="290"/>
      <c r="N128" s="854"/>
      <c r="O128" s="861"/>
      <c r="P128" s="410"/>
    </row>
    <row r="129" spans="1:16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854"/>
      <c r="O129" s="861"/>
      <c r="P129" s="410"/>
    </row>
    <row r="130" spans="1:16" ht="27.75" x14ac:dyDescent="0.5">
      <c r="A130" s="1354" t="s">
        <v>264</v>
      </c>
      <c r="B130" s="1355"/>
      <c r="C130" s="1355"/>
      <c r="D130" s="643" t="s">
        <v>265</v>
      </c>
      <c r="E130" s="598">
        <f>'[1]13'!F130</f>
        <v>0</v>
      </c>
      <c r="F130" s="598">
        <v>0</v>
      </c>
      <c r="G130" s="593">
        <f t="shared" ref="G130:G140" si="14">F130-E130</f>
        <v>0</v>
      </c>
      <c r="H130" s="580">
        <f>G130+'[1]13'!H130</f>
        <v>0</v>
      </c>
      <c r="I130" s="600"/>
      <c r="J130" s="673">
        <f>H130/DAY(B2)</f>
        <v>0</v>
      </c>
      <c r="N130" s="854"/>
      <c r="O130" s="861"/>
      <c r="P130" s="410"/>
    </row>
    <row r="131" spans="1:16" ht="27.75" x14ac:dyDescent="0.5">
      <c r="A131" s="1354" t="s">
        <v>266</v>
      </c>
      <c r="B131" s="1355"/>
      <c r="C131" s="1355"/>
      <c r="D131" s="643" t="s">
        <v>265</v>
      </c>
      <c r="E131" s="598">
        <f>'[1]13'!F131</f>
        <v>0</v>
      </c>
      <c r="F131" s="598">
        <v>0</v>
      </c>
      <c r="G131" s="593">
        <f t="shared" si="14"/>
        <v>0</v>
      </c>
      <c r="H131" s="580">
        <f>G131+'[1]13'!H131</f>
        <v>0</v>
      </c>
      <c r="I131" s="600"/>
      <c r="J131" s="673">
        <f>H131/DAY(B2)</f>
        <v>0</v>
      </c>
      <c r="N131" s="854"/>
      <c r="O131" s="861"/>
      <c r="P131" s="410"/>
    </row>
    <row r="132" spans="1:16" ht="27.75" x14ac:dyDescent="0.5">
      <c r="A132" s="1354" t="s">
        <v>267</v>
      </c>
      <c r="B132" s="1355"/>
      <c r="C132" s="1355"/>
      <c r="D132" s="643" t="s">
        <v>265</v>
      </c>
      <c r="E132" s="768">
        <f>'[1]13'!F132</f>
        <v>38877</v>
      </c>
      <c r="F132" s="768">
        <v>38877</v>
      </c>
      <c r="G132" s="593">
        <f t="shared" si="14"/>
        <v>0</v>
      </c>
      <c r="H132" s="580">
        <f>G132+'[1]13'!H132</f>
        <v>0</v>
      </c>
      <c r="I132" s="600"/>
      <c r="J132" s="673">
        <f>H132/DAY(B2)</f>
        <v>0</v>
      </c>
      <c r="N132" s="854"/>
      <c r="O132" s="861"/>
      <c r="P132" s="410"/>
    </row>
    <row r="133" spans="1:16" ht="27.75" x14ac:dyDescent="0.5">
      <c r="A133" s="1354" t="s">
        <v>268</v>
      </c>
      <c r="B133" s="1355"/>
      <c r="C133" s="1355"/>
      <c r="D133" s="643" t="s">
        <v>265</v>
      </c>
      <c r="E133" s="747">
        <f>'[1]13'!F133</f>
        <v>236.22</v>
      </c>
      <c r="F133" s="747">
        <v>260</v>
      </c>
      <c r="G133" s="593">
        <f t="shared" si="14"/>
        <v>23.78</v>
      </c>
      <c r="H133" s="580">
        <f>G133+'[1]13'!H133</f>
        <v>260</v>
      </c>
      <c r="I133" s="600">
        <f>G130+G131+G132+G133</f>
        <v>23.78</v>
      </c>
      <c r="J133" s="673">
        <f>H133/DAY(B2)</f>
        <v>18.571428571428573</v>
      </c>
      <c r="N133" s="854"/>
      <c r="O133" s="861"/>
      <c r="P133" s="410"/>
    </row>
    <row r="134" spans="1:16" ht="27.75" x14ac:dyDescent="0.5">
      <c r="A134" s="1354" t="s">
        <v>269</v>
      </c>
      <c r="B134" s="1355"/>
      <c r="C134" s="1355"/>
      <c r="D134" s="643" t="s">
        <v>265</v>
      </c>
      <c r="E134" s="747">
        <f>'[1]13'!F134</f>
        <v>39735</v>
      </c>
      <c r="F134" s="747">
        <v>39735</v>
      </c>
      <c r="G134" s="593">
        <f t="shared" si="14"/>
        <v>0</v>
      </c>
      <c r="H134" s="580">
        <f>G134+'[1]13'!H134</f>
        <v>0</v>
      </c>
      <c r="I134" s="600"/>
      <c r="J134" s="673">
        <f>H134/DAY(B2)</f>
        <v>0</v>
      </c>
      <c r="N134" s="854"/>
      <c r="O134" s="861"/>
      <c r="P134" s="410"/>
    </row>
    <row r="135" spans="1:16" ht="27.75" x14ac:dyDescent="0.5">
      <c r="A135" s="1354" t="s">
        <v>270</v>
      </c>
      <c r="B135" s="1355"/>
      <c r="C135" s="1355"/>
      <c r="D135" s="643" t="s">
        <v>265</v>
      </c>
      <c r="E135" s="768">
        <f>'[1]13'!F135</f>
        <v>31796.240000000002</v>
      </c>
      <c r="F135" s="768">
        <v>31796.240000000002</v>
      </c>
      <c r="G135" s="593">
        <f t="shared" si="14"/>
        <v>0</v>
      </c>
      <c r="H135" s="580">
        <f>G135+'[1]13'!H135</f>
        <v>78.720000000001164</v>
      </c>
      <c r="I135" s="600"/>
      <c r="J135" s="673">
        <f>H135/DAY(B2)</f>
        <v>5.6228571428572263</v>
      </c>
      <c r="N135" s="854"/>
      <c r="O135" s="861"/>
      <c r="P135" s="410"/>
    </row>
    <row r="136" spans="1:16" ht="27.75" x14ac:dyDescent="0.5">
      <c r="A136" s="1354" t="s">
        <v>271</v>
      </c>
      <c r="B136" s="1355"/>
      <c r="C136" s="1355"/>
      <c r="D136" s="643" t="s">
        <v>265</v>
      </c>
      <c r="E136" s="768">
        <f>'[1]13'!F136</f>
        <v>21750.720000000001</v>
      </c>
      <c r="F136" s="768">
        <v>21759.43</v>
      </c>
      <c r="G136" s="593">
        <f t="shared" si="14"/>
        <v>8.7099999999991269</v>
      </c>
      <c r="H136" s="580">
        <f>G136+'[1]13'!H136</f>
        <v>84.709999999999127</v>
      </c>
      <c r="I136" s="600">
        <f>G134+G135+G136</f>
        <v>8.7099999999991269</v>
      </c>
      <c r="J136" s="673">
        <f>H136/DAY(B2)</f>
        <v>6.0507142857142231</v>
      </c>
      <c r="N136" s="854"/>
      <c r="O136" s="861"/>
      <c r="P136" s="410"/>
    </row>
    <row r="137" spans="1:16" ht="27.75" x14ac:dyDescent="0.5">
      <c r="A137" s="1354" t="s">
        <v>272</v>
      </c>
      <c r="B137" s="1355"/>
      <c r="C137" s="1355"/>
      <c r="D137" s="643" t="s">
        <v>265</v>
      </c>
      <c r="E137" s="768">
        <f>'[1]13'!F137</f>
        <v>24932.51</v>
      </c>
      <c r="F137" s="768">
        <v>24932.57</v>
      </c>
      <c r="G137" s="593">
        <f t="shared" si="14"/>
        <v>6.0000000001309672E-2</v>
      </c>
      <c r="H137" s="580">
        <f>G137+'[1]13'!H137</f>
        <v>6.0000000001309672E-2</v>
      </c>
      <c r="I137" s="600"/>
      <c r="J137" s="673">
        <f>H137/DAY(B2)</f>
        <v>4.2857142858078335E-3</v>
      </c>
      <c r="N137" s="854"/>
      <c r="O137" s="861"/>
      <c r="P137" s="410"/>
    </row>
    <row r="138" spans="1:16" ht="27.75" x14ac:dyDescent="0.5">
      <c r="A138" s="1354" t="s">
        <v>273</v>
      </c>
      <c r="B138" s="1355"/>
      <c r="C138" s="1355"/>
      <c r="D138" s="643" t="s">
        <v>265</v>
      </c>
      <c r="E138" s="768">
        <f>'[1]13'!F138</f>
        <v>69985.02</v>
      </c>
      <c r="F138" s="768">
        <v>69985.02</v>
      </c>
      <c r="G138" s="593">
        <f t="shared" si="14"/>
        <v>0</v>
      </c>
      <c r="H138" s="580">
        <f>G138+'[1]13'!H138</f>
        <v>29.809999999997672</v>
      </c>
      <c r="I138" s="600">
        <f>G137+G138</f>
        <v>6.0000000001309672E-2</v>
      </c>
      <c r="J138" s="673">
        <f>H138/DAY(B2)</f>
        <v>2.1292857142855479</v>
      </c>
      <c r="N138" s="854"/>
      <c r="O138" s="861"/>
      <c r="P138" s="410"/>
    </row>
    <row r="139" spans="1:16" ht="27.75" x14ac:dyDescent="0.5">
      <c r="A139" s="1354" t="s">
        <v>274</v>
      </c>
      <c r="B139" s="1355"/>
      <c r="C139" s="1355"/>
      <c r="D139" s="643" t="s">
        <v>265</v>
      </c>
      <c r="E139" s="747">
        <f>'[1]13'!F139</f>
        <v>1014.71</v>
      </c>
      <c r="F139" s="747">
        <v>1020.67</v>
      </c>
      <c r="G139" s="593">
        <f t="shared" si="14"/>
        <v>5.9599999999999227</v>
      </c>
      <c r="H139" s="580">
        <f>G139+'[1]13'!H139</f>
        <v>79.139999999999986</v>
      </c>
      <c r="I139" s="663"/>
      <c r="J139" s="673">
        <f>H139/DAY(B2)</f>
        <v>5.6528571428571421</v>
      </c>
      <c r="N139" s="854"/>
      <c r="O139" s="861"/>
      <c r="P139" s="410"/>
    </row>
    <row r="140" spans="1:16" ht="27.75" x14ac:dyDescent="0.5">
      <c r="A140" s="1354" t="s">
        <v>275</v>
      </c>
      <c r="B140" s="1355"/>
      <c r="C140" s="1355"/>
      <c r="D140" s="643" t="s">
        <v>265</v>
      </c>
      <c r="E140" s="598">
        <f>'[1]13'!F140</f>
        <v>4156.9799999999996</v>
      </c>
      <c r="F140" s="598">
        <v>4156.9799999999996</v>
      </c>
      <c r="G140" s="593">
        <f t="shared" si="14"/>
        <v>0</v>
      </c>
      <c r="H140" s="580">
        <f>G140+'[1]13'!H140</f>
        <v>7.999999999992724E-2</v>
      </c>
      <c r="I140" s="663"/>
      <c r="J140" s="673">
        <f>H140/DAY(B2)</f>
        <v>5.714285714280517E-3</v>
      </c>
      <c r="N140" s="854"/>
      <c r="O140" s="861"/>
      <c r="P140" s="410"/>
    </row>
    <row r="141" spans="1:16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854"/>
      <c r="O141" s="861"/>
      <c r="P141" s="410"/>
    </row>
    <row r="142" spans="1:16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5063.5300000000279</v>
      </c>
      <c r="H142" s="580">
        <f>G142+'[1]13'!H142</f>
        <v>72196.422999999952</v>
      </c>
      <c r="I142" s="600"/>
      <c r="J142" s="673">
        <f>H142/DAY(B2)</f>
        <v>5156.8873571428539</v>
      </c>
      <c r="K142" s="408"/>
      <c r="L142" s="405"/>
      <c r="N142" s="854"/>
      <c r="O142" s="861"/>
      <c r="P142" s="410"/>
    </row>
    <row r="143" spans="1:16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0.25161647783740948</v>
      </c>
      <c r="H143" s="580">
        <f>G143+'[1]13'!H143</f>
        <v>3.3755818569513352</v>
      </c>
      <c r="I143" s="665"/>
      <c r="J143" s="673">
        <f>H143/DAY(B2)</f>
        <v>0.24111298978223822</v>
      </c>
      <c r="K143" s="408"/>
      <c r="L143" s="405"/>
      <c r="N143" s="854"/>
      <c r="O143" s="861"/>
      <c r="P143" s="410"/>
    </row>
    <row r="144" spans="1:16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4912.5199999999968</v>
      </c>
      <c r="H144" s="580">
        <f>G144+'[1]13'!H144</f>
        <v>65649.139999999985</v>
      </c>
      <c r="I144" s="600"/>
      <c r="J144" s="673">
        <f>H144/DAY(B2)</f>
        <v>4689.2242857142846</v>
      </c>
      <c r="K144" s="408"/>
      <c r="L144" s="405"/>
      <c r="N144" s="854"/>
      <c r="O144" s="861"/>
      <c r="P144" s="410"/>
    </row>
    <row r="145" spans="1:16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0.24411250248459535</v>
      </c>
      <c r="H145" s="580">
        <f>G145+'[1]13'!H145</f>
        <v>3.2033469515679935</v>
      </c>
      <c r="I145" s="665"/>
      <c r="J145" s="673">
        <f>H145/DAY(B2)</f>
        <v>0.22881049654057098</v>
      </c>
      <c r="K145" s="408"/>
      <c r="L145" s="405"/>
      <c r="N145" s="854"/>
      <c r="O145" s="861"/>
      <c r="P145" s="410"/>
    </row>
    <row r="146" spans="1:16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4090</v>
      </c>
      <c r="H146" s="580">
        <f>G146+'[1]13'!H146</f>
        <v>59313.993000000002</v>
      </c>
      <c r="I146" s="666"/>
      <c r="J146" s="673">
        <f>H146/DAY(B2)</f>
        <v>4236.7137857142861</v>
      </c>
      <c r="K146" s="408"/>
      <c r="L146" s="405"/>
      <c r="N146" s="854"/>
      <c r="O146" s="861"/>
      <c r="P146" s="410"/>
    </row>
    <row r="147" spans="1:16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0.20323991254223811</v>
      </c>
      <c r="H147" s="580">
        <f>G147+'[1]13'!H147</f>
        <v>2.9093333817614919</v>
      </c>
      <c r="I147" s="666"/>
      <c r="J147" s="673">
        <f>H147/DAY(B2)</f>
        <v>0.20780952726867799</v>
      </c>
      <c r="N147" s="854"/>
      <c r="O147" s="861"/>
      <c r="P147" s="410"/>
    </row>
    <row r="148" spans="1:16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2025.0900000000256</v>
      </c>
      <c r="H148" s="580">
        <f>G148+'[1]13'!H148</f>
        <v>28244.570000000007</v>
      </c>
      <c r="I148" s="600"/>
      <c r="J148" s="673">
        <f>H148/DAY(B2)</f>
        <v>2017.4692857142861</v>
      </c>
      <c r="K148" s="409"/>
      <c r="N148" s="854"/>
      <c r="O148" s="861"/>
      <c r="P148" s="410"/>
    </row>
    <row r="149" spans="1:16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0.10063059033989394</v>
      </c>
      <c r="H149" s="580">
        <f>G149+'[1]13'!H149</f>
        <v>1.3814953164476642</v>
      </c>
      <c r="I149" s="666"/>
      <c r="J149" s="673">
        <f>H149/DAY(B2)</f>
        <v>9.8678236889118878E-2</v>
      </c>
      <c r="N149" s="854"/>
      <c r="O149" s="861"/>
      <c r="P149" s="410"/>
    </row>
    <row r="150" spans="1:16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1907.3699999999953</v>
      </c>
      <c r="H150" s="580">
        <f>G150+'[1]13'!H150</f>
        <v>30977.179999999964</v>
      </c>
      <c r="I150" s="666"/>
      <c r="J150" s="673">
        <f>H150/DAY(B2)</f>
        <v>2212.6557142857118</v>
      </c>
      <c r="N150" s="854"/>
      <c r="O150" s="861"/>
      <c r="P150" s="410"/>
    </row>
    <row r="151" spans="1:16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9.478085867620728E-2</v>
      </c>
      <c r="H151" s="580">
        <f>G151+'[1]13'!H151</f>
        <v>1.5104879693750592</v>
      </c>
      <c r="I151" s="600"/>
      <c r="J151" s="673">
        <f>H151/DAY(B2)</f>
        <v>0.10789199781250423</v>
      </c>
      <c r="N151" s="854"/>
      <c r="O151" s="861"/>
      <c r="P151" s="410"/>
    </row>
    <row r="152" spans="1:16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1433.4300000000003</v>
      </c>
      <c r="H152" s="580">
        <f>G152+'[1]13'!H152</f>
        <v>20660.512999999999</v>
      </c>
      <c r="I152" s="600"/>
      <c r="J152" s="673">
        <f>H152/DAY(B2)</f>
        <v>1475.7509285714284</v>
      </c>
      <c r="N152" s="854"/>
      <c r="O152" s="861"/>
      <c r="P152" s="410"/>
    </row>
    <row r="153" spans="1:16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7.1229874776386412E-2</v>
      </c>
      <c r="H153" s="580">
        <f>G153+'[1]13'!H153</f>
        <v>1.1233407198283689</v>
      </c>
      <c r="I153" s="689"/>
      <c r="J153" s="690">
        <f>H153/DAY(B2)</f>
        <v>8.0238622844883492E-2</v>
      </c>
      <c r="N153" s="854"/>
      <c r="O153" s="861"/>
      <c r="P153" s="410"/>
    </row>
    <row r="154" spans="1:16" x14ac:dyDescent="0.5">
      <c r="A154" s="586"/>
      <c r="B154" s="576"/>
      <c r="C154" s="576"/>
      <c r="D154" s="667"/>
      <c r="E154" s="779"/>
      <c r="F154" s="779"/>
      <c r="G154" s="667"/>
      <c r="H154" s="668"/>
      <c r="I154" s="667"/>
      <c r="J154" s="669"/>
      <c r="N154" s="854"/>
    </row>
    <row r="155" spans="1:16" x14ac:dyDescent="0.5">
      <c r="N155" s="854"/>
    </row>
    <row r="156" spans="1:16" x14ac:dyDescent="0.5">
      <c r="N156" s="854"/>
    </row>
    <row r="157" spans="1:16" x14ac:dyDescent="0.5">
      <c r="N157" s="854"/>
    </row>
    <row r="158" spans="1:16" x14ac:dyDescent="0.5">
      <c r="N158" s="854"/>
    </row>
    <row r="159" spans="1:16" x14ac:dyDescent="0.5">
      <c r="N159" s="854"/>
    </row>
    <row r="160" spans="1:16" x14ac:dyDescent="0.5">
      <c r="A160" s="935" t="s">
        <v>289</v>
      </c>
      <c r="B160" s="936"/>
      <c r="C160" s="936"/>
      <c r="D160" s="741" t="s">
        <v>214</v>
      </c>
      <c r="E160" s="775">
        <f>'[1]13'!F160</f>
        <v>24783.94</v>
      </c>
      <c r="F160" s="944">
        <v>24859</v>
      </c>
      <c r="G160" s="593">
        <f t="shared" ref="G160:G171" si="15">F160-E160</f>
        <v>75.06000000000131</v>
      </c>
      <c r="N160" s="854"/>
    </row>
    <row r="161" spans="1:14" ht="21.75" customHeight="1" x14ac:dyDescent="0.5">
      <c r="A161" s="935" t="s">
        <v>290</v>
      </c>
      <c r="B161" s="936"/>
      <c r="C161" s="936"/>
      <c r="D161" s="741" t="s">
        <v>214</v>
      </c>
      <c r="E161" s="775">
        <f>'[1]13'!F161</f>
        <v>19290.330000000002</v>
      </c>
      <c r="F161" s="944">
        <v>19953</v>
      </c>
      <c r="G161" s="593">
        <f t="shared" si="15"/>
        <v>662.66999999999825</v>
      </c>
      <c r="N161" s="854"/>
    </row>
    <row r="162" spans="1:14" ht="21.75" customHeight="1" x14ac:dyDescent="0.5">
      <c r="A162" s="935" t="s">
        <v>291</v>
      </c>
      <c r="B162" s="936"/>
      <c r="C162" s="936"/>
      <c r="D162" s="741" t="s">
        <v>214</v>
      </c>
      <c r="E162" s="775">
        <f>'[1]13'!F162</f>
        <v>41186</v>
      </c>
      <c r="F162" s="944">
        <v>41474</v>
      </c>
      <c r="G162" s="593">
        <f t="shared" si="15"/>
        <v>288</v>
      </c>
      <c r="N162" s="854"/>
    </row>
    <row r="163" spans="1:14" ht="21.75" customHeight="1" x14ac:dyDescent="0.5">
      <c r="A163" s="935" t="s">
        <v>292</v>
      </c>
      <c r="B163" s="936"/>
      <c r="C163" s="936"/>
      <c r="D163" s="741" t="s">
        <v>214</v>
      </c>
      <c r="E163" s="775">
        <f>'[1]13'!F163</f>
        <v>3862.91</v>
      </c>
      <c r="F163" s="944">
        <v>3890</v>
      </c>
      <c r="G163" s="593">
        <f t="shared" si="15"/>
        <v>27.090000000000146</v>
      </c>
      <c r="N163" s="854"/>
    </row>
    <row r="164" spans="1:14" ht="21.75" customHeight="1" x14ac:dyDescent="0.4">
      <c r="A164" s="937" t="s">
        <v>121</v>
      </c>
      <c r="B164" s="938"/>
      <c r="C164" s="938"/>
      <c r="D164" s="741" t="s">
        <v>214</v>
      </c>
      <c r="E164" s="634">
        <f>E62</f>
        <v>20419.18</v>
      </c>
      <c r="F164" s="634">
        <f>F62</f>
        <v>20419.18</v>
      </c>
      <c r="G164" s="593">
        <f t="shared" si="15"/>
        <v>0</v>
      </c>
      <c r="N164" s="854"/>
    </row>
    <row r="165" spans="1:14" ht="21.75" customHeight="1" x14ac:dyDescent="0.4">
      <c r="A165" s="937" t="s">
        <v>215</v>
      </c>
      <c r="B165" s="938"/>
      <c r="C165" s="938"/>
      <c r="D165" s="741" t="s">
        <v>214</v>
      </c>
      <c r="E165" s="634">
        <f t="shared" ref="E165:F171" si="16">E63</f>
        <v>1034.52</v>
      </c>
      <c r="F165" s="634">
        <f t="shared" si="16"/>
        <v>1039</v>
      </c>
      <c r="G165" s="593">
        <f t="shared" si="15"/>
        <v>4.4800000000000182</v>
      </c>
      <c r="N165" s="854"/>
    </row>
    <row r="166" spans="1:14" ht="21.75" customHeight="1" x14ac:dyDescent="0.5">
      <c r="A166" s="1470" t="s">
        <v>122</v>
      </c>
      <c r="B166" s="1470"/>
      <c r="C166" s="1470"/>
      <c r="D166" s="644" t="s">
        <v>214</v>
      </c>
      <c r="E166" s="634">
        <f t="shared" si="16"/>
        <v>91476</v>
      </c>
      <c r="F166" s="634">
        <f t="shared" si="16"/>
        <v>91838</v>
      </c>
      <c r="G166" s="593">
        <f t="shared" si="15"/>
        <v>362</v>
      </c>
      <c r="N166" s="854"/>
    </row>
    <row r="167" spans="1:14" ht="21.75" customHeight="1" x14ac:dyDescent="0.5">
      <c r="A167" s="1470" t="s">
        <v>123</v>
      </c>
      <c r="B167" s="1470"/>
      <c r="C167" s="1470"/>
      <c r="D167" s="644" t="s">
        <v>214</v>
      </c>
      <c r="E167" s="634">
        <f t="shared" si="16"/>
        <v>101879</v>
      </c>
      <c r="F167" s="634">
        <f t="shared" si="16"/>
        <v>102275</v>
      </c>
      <c r="G167" s="593">
        <f t="shared" si="15"/>
        <v>396</v>
      </c>
      <c r="N167" s="854"/>
    </row>
    <row r="168" spans="1:14" ht="21.75" customHeight="1" x14ac:dyDescent="0.5">
      <c r="A168" s="1470" t="s">
        <v>124</v>
      </c>
      <c r="B168" s="1470"/>
      <c r="C168" s="1470"/>
      <c r="D168" s="644" t="s">
        <v>214</v>
      </c>
      <c r="E168" s="634">
        <f t="shared" si="16"/>
        <v>95215.88</v>
      </c>
      <c r="F168" s="634">
        <f t="shared" si="16"/>
        <v>95610</v>
      </c>
      <c r="G168" s="593">
        <f t="shared" si="15"/>
        <v>394.11999999999534</v>
      </c>
      <c r="N168" s="854"/>
    </row>
    <row r="169" spans="1:14" ht="21.75" customHeight="1" x14ac:dyDescent="0.5">
      <c r="A169" s="1470" t="s">
        <v>125</v>
      </c>
      <c r="B169" s="1470"/>
      <c r="C169" s="1470"/>
      <c r="D169" s="644" t="s">
        <v>214</v>
      </c>
      <c r="E169" s="634">
        <f t="shared" si="16"/>
        <v>155506</v>
      </c>
      <c r="F169" s="634">
        <f t="shared" si="16"/>
        <v>156203</v>
      </c>
      <c r="G169" s="593">
        <f t="shared" si="15"/>
        <v>697</v>
      </c>
      <c r="N169" s="854"/>
    </row>
    <row r="170" spans="1:14" ht="24" customHeight="1" x14ac:dyDescent="0.5">
      <c r="A170" s="1470" t="s">
        <v>126</v>
      </c>
      <c r="B170" s="1470"/>
      <c r="C170" s="1470"/>
      <c r="D170" s="644" t="s">
        <v>214</v>
      </c>
      <c r="E170" s="634">
        <f t="shared" si="16"/>
        <v>47818</v>
      </c>
      <c r="F170" s="634">
        <f t="shared" si="16"/>
        <v>48159</v>
      </c>
      <c r="G170" s="593">
        <f t="shared" si="15"/>
        <v>341</v>
      </c>
      <c r="N170" s="854"/>
    </row>
    <row r="171" spans="1:14" ht="27.75" x14ac:dyDescent="0.5">
      <c r="A171" s="1470" t="s">
        <v>127</v>
      </c>
      <c r="B171" s="1470"/>
      <c r="C171" s="1470"/>
      <c r="D171" s="644" t="s">
        <v>214</v>
      </c>
      <c r="E171" s="634">
        <f t="shared" si="16"/>
        <v>41373</v>
      </c>
      <c r="F171" s="634">
        <f t="shared" si="16"/>
        <v>41655</v>
      </c>
      <c r="G171" s="593">
        <f t="shared" si="15"/>
        <v>282</v>
      </c>
      <c r="N171" s="854"/>
    </row>
    <row r="172" spans="1:14" x14ac:dyDescent="0.5">
      <c r="A172" s="939"/>
      <c r="B172" s="940"/>
      <c r="C172" s="940"/>
      <c r="D172" s="941"/>
      <c r="F172" s="942"/>
      <c r="G172" s="943">
        <f>SUM(G160:G171)</f>
        <v>3529.4199999999951</v>
      </c>
      <c r="N172" s="854"/>
    </row>
    <row r="173" spans="1:14" x14ac:dyDescent="0.5">
      <c r="N173" s="854"/>
    </row>
    <row r="174" spans="1:14" x14ac:dyDescent="0.5">
      <c r="N174" s="854"/>
    </row>
    <row r="175" spans="1:14" x14ac:dyDescent="0.5">
      <c r="N175" s="854"/>
    </row>
    <row r="176" spans="1:14" ht="18.75" customHeight="1" x14ac:dyDescent="0.5">
      <c r="N176" s="854"/>
    </row>
    <row r="177" spans="14:14" ht="22.5" customHeight="1" x14ac:dyDescent="0.5">
      <c r="N177" s="854"/>
    </row>
    <row r="178" spans="14:14" ht="22.5" customHeight="1" x14ac:dyDescent="0.5">
      <c r="N178" s="854"/>
    </row>
    <row r="179" spans="14:14" ht="22.5" customHeight="1" x14ac:dyDescent="0.5">
      <c r="N179" s="854"/>
    </row>
    <row r="180" spans="14:14" ht="22.5" customHeight="1" x14ac:dyDescent="0.5">
      <c r="N180" s="854"/>
    </row>
    <row r="181" spans="14:14" ht="22.5" customHeight="1" x14ac:dyDescent="0.5">
      <c r="N181" s="854"/>
    </row>
    <row r="182" spans="14:14" ht="22.5" customHeight="1" x14ac:dyDescent="0.5">
      <c r="N182" s="854"/>
    </row>
    <row r="183" spans="14:14" ht="22.5" customHeight="1" x14ac:dyDescent="0.5">
      <c r="N183" s="854"/>
    </row>
    <row r="184" spans="14:14" ht="22.5" customHeight="1" x14ac:dyDescent="0.5">
      <c r="N184" s="854"/>
    </row>
    <row r="185" spans="14:14" ht="22.5" customHeight="1" x14ac:dyDescent="0.5">
      <c r="N185" s="854"/>
    </row>
    <row r="186" spans="14:14" ht="22.5" customHeight="1" x14ac:dyDescent="0.5">
      <c r="N186" s="854"/>
    </row>
    <row r="187" spans="14:14" ht="22.5" customHeight="1" x14ac:dyDescent="0.5">
      <c r="N187" s="854"/>
    </row>
    <row r="188" spans="14:14" ht="22.5" customHeight="1" x14ac:dyDescent="0.5">
      <c r="N188" s="854"/>
    </row>
    <row r="189" spans="14:14" ht="22.5" customHeight="1" x14ac:dyDescent="0.5">
      <c r="N189" s="854"/>
    </row>
    <row r="190" spans="14:14" ht="22.5" customHeight="1" x14ac:dyDescent="0.5">
      <c r="N190" s="854"/>
    </row>
    <row r="191" spans="14:14" ht="22.5" customHeight="1" x14ac:dyDescent="0.5">
      <c r="N191" s="854"/>
    </row>
    <row r="192" spans="14:14" ht="22.5" customHeight="1" x14ac:dyDescent="0.5">
      <c r="N192" s="854"/>
    </row>
    <row r="193" spans="14:14" ht="22.5" customHeight="1" x14ac:dyDescent="0.5">
      <c r="N193" s="854"/>
    </row>
    <row r="194" spans="14:14" ht="22.5" customHeight="1" x14ac:dyDescent="0.5">
      <c r="N194" s="854"/>
    </row>
    <row r="195" spans="14:14" ht="22.5" customHeight="1" x14ac:dyDescent="0.5">
      <c r="N195" s="854"/>
    </row>
    <row r="196" spans="14:14" ht="22.5" customHeight="1" x14ac:dyDescent="0.5">
      <c r="N196" s="854"/>
    </row>
    <row r="197" spans="14:14" ht="22.5" customHeight="1" x14ac:dyDescent="0.5">
      <c r="N197" s="854"/>
    </row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  <row r="237" ht="22.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zoomScale="55" zoomScaleNormal="80" zoomScaleSheetLayoutView="55" workbookViewId="0">
      <selection sqref="A1:XFD1048576"/>
    </sheetView>
  </sheetViews>
  <sheetFormatPr defaultColWidth="22.33203125" defaultRowHeight="29.25" x14ac:dyDescent="0.5"/>
  <cols>
    <col min="1" max="1" width="40.6640625" style="574" customWidth="1"/>
    <col min="2" max="2" width="28.5546875" style="577" customWidth="1"/>
    <col min="3" max="3" width="15.88671875" style="577" customWidth="1"/>
    <col min="4" max="4" width="13.6640625" style="658" customWidth="1"/>
    <col min="5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22.33203125" style="404" hidden="1" customWidth="1"/>
    <col min="14" max="14" width="25.5546875" style="852" customWidth="1"/>
    <col min="15" max="15" width="22.33203125" style="859"/>
    <col min="16" max="16384" width="22.33203125" style="404"/>
  </cols>
  <sheetData>
    <row r="1" spans="1:16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6" s="278" customFormat="1" ht="27" x14ac:dyDescent="0.5">
      <c r="A2" s="696" t="s">
        <v>304</v>
      </c>
      <c r="B2" s="1173">
        <v>44180</v>
      </c>
      <c r="C2" s="1361" t="s">
        <v>84</v>
      </c>
      <c r="D2" s="732">
        <v>0.2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  <c r="N2" s="853"/>
      <c r="O2" s="860"/>
    </row>
    <row r="3" spans="1:16" s="278" customFormat="1" ht="27" x14ac:dyDescent="0.5">
      <c r="A3" s="691"/>
      <c r="B3" s="735"/>
      <c r="C3" s="1361" t="s">
        <v>147</v>
      </c>
      <c r="D3" s="733">
        <v>29</v>
      </c>
      <c r="E3" s="1422" t="s">
        <v>148</v>
      </c>
      <c r="F3" s="1423"/>
      <c r="G3" s="582"/>
      <c r="H3" s="583"/>
      <c r="I3" s="583"/>
      <c r="J3" s="736"/>
      <c r="K3" s="399"/>
      <c r="L3" s="290"/>
      <c r="N3" s="853"/>
      <c r="O3" s="860"/>
    </row>
    <row r="4" spans="1:16" s="278" customFormat="1" ht="27" x14ac:dyDescent="0.5">
      <c r="A4" s="697"/>
      <c r="B4" s="737"/>
      <c r="C4" s="1361" t="s">
        <v>149</v>
      </c>
      <c r="D4" s="732">
        <v>0.76</v>
      </c>
      <c r="E4" s="584"/>
      <c r="F4" s="584"/>
      <c r="G4" s="584"/>
      <c r="H4" s="584"/>
      <c r="I4" s="585"/>
      <c r="J4" s="736" t="s">
        <v>143</v>
      </c>
      <c r="K4" s="400"/>
      <c r="L4" s="290"/>
      <c r="N4" s="853"/>
      <c r="O4" s="860"/>
    </row>
    <row r="5" spans="1:16" x14ac:dyDescent="0.4">
      <c r="A5" s="698" t="s">
        <v>150</v>
      </c>
      <c r="B5" s="579"/>
      <c r="C5" s="579"/>
      <c r="D5" s="631"/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6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6" ht="30" thickBot="1" x14ac:dyDescent="0.45">
      <c r="A7" s="793" t="s">
        <v>158</v>
      </c>
      <c r="B7" s="794"/>
      <c r="C7" s="794"/>
      <c r="D7" s="759" t="s">
        <v>159</v>
      </c>
      <c r="E7" s="575">
        <f>'[1]14'!F7</f>
        <v>2954637</v>
      </c>
      <c r="F7" s="575">
        <v>2974582</v>
      </c>
      <c r="G7" s="795">
        <f t="shared" ref="G7:G12" si="0">F7-E7</f>
        <v>19945</v>
      </c>
      <c r="H7" s="796">
        <f>G7+'[1]14'!H7</f>
        <v>306137</v>
      </c>
      <c r="I7" s="797">
        <f>'[1]1'!I7</f>
        <v>12000</v>
      </c>
      <c r="J7" s="798">
        <f>H7/DAY(B2)</f>
        <v>20409.133333333335</v>
      </c>
      <c r="K7" s="670"/>
      <c r="L7" s="405"/>
      <c r="N7" s="865"/>
      <c r="O7" s="861"/>
      <c r="P7" s="864"/>
    </row>
    <row r="8" spans="1:16" ht="27.75" thickBot="1" x14ac:dyDescent="0.45">
      <c r="A8" s="799" t="s">
        <v>160</v>
      </c>
      <c r="B8" s="800"/>
      <c r="C8" s="801"/>
      <c r="D8" s="802" t="s">
        <v>39</v>
      </c>
      <c r="E8" s="595">
        <f>'[1]14'!F8</f>
        <v>2971763</v>
      </c>
      <c r="F8" s="595">
        <v>2991911</v>
      </c>
      <c r="G8" s="806">
        <f t="shared" si="0"/>
        <v>20148</v>
      </c>
      <c r="H8" s="796">
        <f>G8+'[1]14'!H8</f>
        <v>308872</v>
      </c>
      <c r="I8" s="803">
        <f>'[1]1'!I8</f>
        <v>12000</v>
      </c>
      <c r="J8" s="798">
        <f>H8/DAY(B2)</f>
        <v>20591.466666666667</v>
      </c>
      <c r="K8" s="670"/>
      <c r="L8" s="460"/>
      <c r="M8" s="522"/>
      <c r="N8" s="854"/>
      <c r="O8" s="861"/>
      <c r="P8" s="410"/>
    </row>
    <row r="9" spans="1:16" x14ac:dyDescent="0.4">
      <c r="A9" s="804" t="s">
        <v>161</v>
      </c>
      <c r="B9" s="805"/>
      <c r="C9" s="805"/>
      <c r="D9" s="759" t="s">
        <v>159</v>
      </c>
      <c r="E9" s="598">
        <f>'[1]14'!F9</f>
        <v>2350316</v>
      </c>
      <c r="F9" s="598">
        <v>2358136</v>
      </c>
      <c r="G9" s="819">
        <f t="shared" si="0"/>
        <v>7820</v>
      </c>
      <c r="H9" s="796">
        <f>G9+'[1]14'!H9</f>
        <v>101099.5</v>
      </c>
      <c r="I9" s="807">
        <f>I7-J7</f>
        <v>-8409.133333333335</v>
      </c>
      <c r="J9" s="798">
        <f>H9/DAY(B2)</f>
        <v>6739.9666666666662</v>
      </c>
      <c r="K9" s="508"/>
      <c r="L9" s="405"/>
      <c r="N9" s="854"/>
      <c r="O9" s="861"/>
      <c r="P9" s="410"/>
    </row>
    <row r="10" spans="1:16" x14ac:dyDescent="0.4">
      <c r="A10" s="793" t="s">
        <v>162</v>
      </c>
      <c r="B10" s="794"/>
      <c r="C10" s="794"/>
      <c r="D10" s="759" t="s">
        <v>159</v>
      </c>
      <c r="E10" s="598">
        <f>'[1]14'!F10</f>
        <v>485859</v>
      </c>
      <c r="F10" s="598">
        <v>497310</v>
      </c>
      <c r="G10" s="806">
        <f t="shared" si="0"/>
        <v>11451</v>
      </c>
      <c r="H10" s="796">
        <f>G10+'[1]14'!H10</f>
        <v>194359.71000000002</v>
      </c>
      <c r="I10" s="808"/>
      <c r="J10" s="798">
        <f>H10/DAY(B2)</f>
        <v>12957.314000000002</v>
      </c>
      <c r="K10" s="508"/>
      <c r="L10" s="405"/>
      <c r="N10" s="854"/>
      <c r="O10" s="861"/>
      <c r="P10" s="410"/>
    </row>
    <row r="11" spans="1:16" x14ac:dyDescent="0.4">
      <c r="A11" s="793" t="s">
        <v>163</v>
      </c>
      <c r="B11" s="794"/>
      <c r="C11" s="794"/>
      <c r="D11" s="759" t="s">
        <v>159</v>
      </c>
      <c r="E11" s="575">
        <f>'[1]14'!F11</f>
        <v>35390</v>
      </c>
      <c r="F11" s="575">
        <v>35390</v>
      </c>
      <c r="G11" s="806">
        <f t="shared" si="0"/>
        <v>0</v>
      </c>
      <c r="H11" s="796">
        <f>G11+'[1]14'!H11</f>
        <v>0</v>
      </c>
      <c r="I11" s="808"/>
      <c r="J11" s="798">
        <f>H11/DAY(B2)</f>
        <v>0</v>
      </c>
      <c r="K11" s="508"/>
      <c r="L11" s="405"/>
      <c r="N11" s="854"/>
      <c r="O11" s="861"/>
      <c r="P11" s="410"/>
    </row>
    <row r="12" spans="1:16" x14ac:dyDescent="0.4">
      <c r="A12" s="793" t="s">
        <v>164</v>
      </c>
      <c r="B12" s="794"/>
      <c r="C12" s="794"/>
      <c r="D12" s="759" t="s">
        <v>159</v>
      </c>
      <c r="E12" s="598">
        <f>'[1]14'!F12</f>
        <v>37630</v>
      </c>
      <c r="F12" s="598">
        <v>37630</v>
      </c>
      <c r="G12" s="806">
        <f t="shared" si="0"/>
        <v>0</v>
      </c>
      <c r="H12" s="796">
        <f>G12+'[1]14'!H12</f>
        <v>0</v>
      </c>
      <c r="I12" s="808"/>
      <c r="J12" s="798">
        <f>H12/DAY(B2)</f>
        <v>0</v>
      </c>
      <c r="K12" s="508"/>
      <c r="L12" s="405"/>
      <c r="N12" s="854"/>
      <c r="O12" s="861"/>
      <c r="P12" s="410"/>
    </row>
    <row r="13" spans="1:16" x14ac:dyDescent="0.5">
      <c r="A13" s="809" t="s">
        <v>165</v>
      </c>
      <c r="B13" s="810"/>
      <c r="C13" s="810"/>
      <c r="D13" s="759"/>
      <c r="E13" s="575"/>
      <c r="F13" s="575"/>
      <c r="G13" s="811">
        <f>G9+G10+G11+G12</f>
        <v>19271</v>
      </c>
      <c r="H13" s="796">
        <f>G13+'[1]14'!H13</f>
        <v>273599.90000000002</v>
      </c>
      <c r="I13" s="812">
        <f>G7-G13</f>
        <v>674</v>
      </c>
      <c r="J13" s="798">
        <f>H13/DAY(B2)</f>
        <v>18239.993333333336</v>
      </c>
      <c r="K13" s="508"/>
      <c r="L13" s="405"/>
      <c r="N13" s="854"/>
      <c r="O13" s="861"/>
      <c r="P13" s="410"/>
    </row>
    <row r="14" spans="1:16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854"/>
      <c r="O14" s="861"/>
      <c r="P14" s="410"/>
    </row>
    <row r="15" spans="1:16" x14ac:dyDescent="0.5">
      <c r="A15" s="933" t="s">
        <v>167</v>
      </c>
      <c r="B15" s="934"/>
      <c r="C15" s="934"/>
      <c r="D15" s="644" t="s">
        <v>168</v>
      </c>
      <c r="E15" s="605">
        <f>'[1]14'!F15</f>
        <v>1556910</v>
      </c>
      <c r="F15" s="605">
        <v>1557629</v>
      </c>
      <c r="G15" s="781">
        <f>(F15-E15)</f>
        <v>719</v>
      </c>
      <c r="H15" s="606">
        <f>G15+'[1]14'!H15</f>
        <v>10731.398999999976</v>
      </c>
      <c r="I15" s="594">
        <v>800</v>
      </c>
      <c r="J15" s="674">
        <f>H15/DAY(B2)</f>
        <v>715.42659999999842</v>
      </c>
      <c r="K15" s="508"/>
      <c r="L15" s="405"/>
      <c r="N15" s="854"/>
      <c r="O15" s="861"/>
      <c r="P15" s="410"/>
    </row>
    <row r="16" spans="1:16" x14ac:dyDescent="0.4">
      <c r="A16" s="708"/>
      <c r="B16" s="709"/>
      <c r="C16" s="709"/>
      <c r="D16" s="644"/>
      <c r="E16" s="605"/>
      <c r="F16" s="605"/>
      <c r="G16" s="786"/>
      <c r="H16" s="606"/>
      <c r="I16" s="602">
        <f>I15-J15</f>
        <v>84.573400000001584</v>
      </c>
      <c r="J16" s="674"/>
      <c r="K16" s="508"/>
      <c r="L16" s="405"/>
      <c r="N16" s="854"/>
      <c r="O16" s="861"/>
      <c r="P16" s="410"/>
    </row>
    <row r="17" spans="1:16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854"/>
      <c r="O17" s="861"/>
      <c r="P17" s="410"/>
    </row>
    <row r="18" spans="1:16" ht="27.75" x14ac:dyDescent="0.5">
      <c r="A18" s="1460" t="s">
        <v>170</v>
      </c>
      <c r="B18" s="1461"/>
      <c r="C18" s="1462"/>
      <c r="D18" s="759" t="s">
        <v>171</v>
      </c>
      <c r="E18" s="598">
        <f>'[1]14'!F18</f>
        <v>12</v>
      </c>
      <c r="F18" s="598">
        <v>14</v>
      </c>
      <c r="G18" s="811">
        <f>F18*10</f>
        <v>140</v>
      </c>
      <c r="H18" s="796">
        <f>G18+'[1]14'!H18</f>
        <v>2090</v>
      </c>
      <c r="I18" s="797">
        <f>'[1]1'!I18</f>
        <v>65</v>
      </c>
      <c r="J18" s="798">
        <f>H18/DAY(B2)</f>
        <v>139.33333333333334</v>
      </c>
      <c r="K18" s="508"/>
      <c r="L18" s="405"/>
      <c r="N18" s="854"/>
      <c r="O18" s="861"/>
      <c r="P18" s="410"/>
    </row>
    <row r="19" spans="1:16" ht="27.75" x14ac:dyDescent="0.5">
      <c r="A19" s="1460" t="s">
        <v>86</v>
      </c>
      <c r="B19" s="1461"/>
      <c r="C19" s="1462"/>
      <c r="D19" s="759" t="s">
        <v>171</v>
      </c>
      <c r="E19" s="598">
        <f>'[1]14'!F19</f>
        <v>130564</v>
      </c>
      <c r="F19" s="598">
        <v>130620</v>
      </c>
      <c r="G19" s="806">
        <f t="shared" ref="G19" si="1">F19-E19</f>
        <v>56</v>
      </c>
      <c r="H19" s="796">
        <f>G19+'[1]14'!H19</f>
        <v>819</v>
      </c>
      <c r="I19" s="813"/>
      <c r="J19" s="798">
        <f>H19/DAY(B2)</f>
        <v>54.6</v>
      </c>
      <c r="K19" s="508"/>
      <c r="L19" s="405"/>
      <c r="N19" s="854"/>
      <c r="O19" s="861"/>
      <c r="P19" s="410"/>
    </row>
    <row r="20" spans="1:16" x14ac:dyDescent="0.5">
      <c r="A20" s="809" t="s">
        <v>172</v>
      </c>
      <c r="B20" s="810"/>
      <c r="C20" s="810"/>
      <c r="D20" s="759"/>
      <c r="E20" s="845"/>
      <c r="F20" s="845"/>
      <c r="G20" s="814">
        <f>G18+G19</f>
        <v>196</v>
      </c>
      <c r="H20" s="796">
        <f>G20+'[1]14'!H20</f>
        <v>2909</v>
      </c>
      <c r="I20" s="815">
        <f>I18-J20</f>
        <v>-128.93333333333334</v>
      </c>
      <c r="J20" s="798">
        <f>H20/DAY(B2)</f>
        <v>193.93333333333334</v>
      </c>
      <c r="K20" s="508"/>
      <c r="L20" s="405"/>
      <c r="N20" s="854"/>
      <c r="O20" s="861"/>
      <c r="P20" s="410"/>
    </row>
    <row r="21" spans="1:16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854"/>
      <c r="O21" s="861"/>
      <c r="P21" s="410"/>
    </row>
    <row r="22" spans="1:16" x14ac:dyDescent="0.5">
      <c r="A22" s="1354" t="s">
        <v>174</v>
      </c>
      <c r="B22" s="710"/>
      <c r="C22" s="710"/>
      <c r="D22" s="643" t="s">
        <v>175</v>
      </c>
      <c r="E22" s="598">
        <f>'[1]14'!F22</f>
        <v>2250</v>
      </c>
      <c r="F22" s="598">
        <v>2250</v>
      </c>
      <c r="G22" s="601">
        <f t="shared" ref="G22" si="2">(F22-E22)</f>
        <v>0</v>
      </c>
      <c r="H22" s="580">
        <f>G22+'[1]14'!H22</f>
        <v>0</v>
      </c>
      <c r="I22" s="600"/>
      <c r="J22" s="673">
        <f>H22/DAY(B2)</f>
        <v>0</v>
      </c>
      <c r="K22" s="508"/>
      <c r="L22" s="405"/>
      <c r="N22" s="854"/>
      <c r="O22" s="861"/>
      <c r="P22" s="410"/>
    </row>
    <row r="23" spans="1:16" x14ac:dyDescent="0.5">
      <c r="A23" s="1354" t="s">
        <v>176</v>
      </c>
      <c r="B23" s="710"/>
      <c r="C23" s="710"/>
      <c r="D23" s="643" t="s">
        <v>175</v>
      </c>
      <c r="E23" s="598">
        <f>'[1]14'!F23</f>
        <v>2000</v>
      </c>
      <c r="F23" s="598">
        <v>2000</v>
      </c>
      <c r="G23" s="601">
        <v>0</v>
      </c>
      <c r="H23" s="580">
        <f>G23+'[1]14'!H23</f>
        <v>0</v>
      </c>
      <c r="I23" s="600"/>
      <c r="J23" s="673">
        <f>H23/DAY(B2)</f>
        <v>0</v>
      </c>
      <c r="K23" s="508"/>
      <c r="L23" s="405"/>
      <c r="N23" s="854"/>
      <c r="O23" s="861"/>
      <c r="P23" s="410"/>
    </row>
    <row r="24" spans="1:16" x14ac:dyDescent="0.4">
      <c r="A24" s="711" t="s">
        <v>177</v>
      </c>
      <c r="B24" s="712"/>
      <c r="C24" s="712"/>
      <c r="D24" s="631" t="s">
        <v>175</v>
      </c>
      <c r="E24" s="605">
        <f>'[1]14'!F24</f>
        <v>4250</v>
      </c>
      <c r="F24" s="1197">
        <v>4250</v>
      </c>
      <c r="G24" s="601">
        <v>0</v>
      </c>
      <c r="H24" s="580">
        <f>G24+'[1]14'!H24</f>
        <v>0</v>
      </c>
      <c r="I24" s="600"/>
      <c r="J24" s="673">
        <f>H24/DAY(B2)</f>
        <v>0</v>
      </c>
      <c r="K24" s="508"/>
      <c r="L24" s="405"/>
      <c r="N24" s="854"/>
      <c r="O24" s="861"/>
      <c r="P24" s="410"/>
    </row>
    <row r="25" spans="1:16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854"/>
      <c r="O25" s="861"/>
      <c r="P25" s="410"/>
    </row>
    <row r="26" spans="1:16" s="524" customFormat="1" ht="27.75" x14ac:dyDescent="0.5">
      <c r="A26" s="713" t="s">
        <v>179</v>
      </c>
      <c r="B26" s="714"/>
      <c r="C26" s="715"/>
      <c r="D26" s="739" t="s">
        <v>180</v>
      </c>
      <c r="E26" s="575"/>
      <c r="F26" s="575"/>
      <c r="G26" s="618"/>
      <c r="H26" s="580"/>
      <c r="I26" s="619"/>
      <c r="J26" s="673"/>
      <c r="K26" s="402"/>
      <c r="L26" s="527"/>
      <c r="N26" s="854"/>
      <c r="O26" s="861"/>
      <c r="P26" s="410"/>
    </row>
    <row r="27" spans="1:16" s="524" customFormat="1" ht="27.75" x14ac:dyDescent="0.5">
      <c r="A27" s="713" t="s">
        <v>20</v>
      </c>
      <c r="B27" s="714"/>
      <c r="C27" s="715"/>
      <c r="D27" s="740" t="s">
        <v>39</v>
      </c>
      <c r="E27" s="621">
        <f>G8</f>
        <v>20148</v>
      </c>
      <c r="F27" s="621">
        <v>9.5</v>
      </c>
      <c r="G27" s="622">
        <f>E27*F27</f>
        <v>191406</v>
      </c>
      <c r="H27" s="580">
        <f>G27+'[1]14'!H27</f>
        <v>2934284</v>
      </c>
      <c r="I27" s="623"/>
      <c r="J27" s="673">
        <f>H27/DAY(B2)</f>
        <v>195618.93333333332</v>
      </c>
      <c r="K27" s="401"/>
      <c r="L27" s="527"/>
      <c r="N27" s="854"/>
      <c r="O27" s="861"/>
      <c r="P27" s="410"/>
    </row>
    <row r="28" spans="1:16" s="524" customFormat="1" ht="27.75" x14ac:dyDescent="0.5">
      <c r="A28" s="713" t="s">
        <v>181</v>
      </c>
      <c r="B28" s="714"/>
      <c r="C28" s="715"/>
      <c r="D28" s="740" t="s">
        <v>182</v>
      </c>
      <c r="E28" s="621">
        <f>G15</f>
        <v>719</v>
      </c>
      <c r="F28" s="621">
        <v>36.5</v>
      </c>
      <c r="G28" s="622">
        <f>E28*F28</f>
        <v>26243.5</v>
      </c>
      <c r="H28" s="580">
        <f>G28+'[1]14'!H28</f>
        <v>391696.06349999912</v>
      </c>
      <c r="I28" s="625"/>
      <c r="J28" s="673">
        <f>H28/DAY(B2)</f>
        <v>26113.070899999941</v>
      </c>
      <c r="K28" s="401"/>
      <c r="L28" s="527"/>
      <c r="N28" s="854"/>
      <c r="O28" s="861"/>
      <c r="P28" s="410"/>
    </row>
    <row r="29" spans="1:16" s="524" customFormat="1" ht="27.75" x14ac:dyDescent="0.5">
      <c r="A29" s="713" t="s">
        <v>183</v>
      </c>
      <c r="B29" s="714"/>
      <c r="C29" s="715"/>
      <c r="D29" s="740" t="s">
        <v>184</v>
      </c>
      <c r="E29" s="621">
        <f>G24</f>
        <v>0</v>
      </c>
      <c r="F29" s="621">
        <v>69</v>
      </c>
      <c r="G29" s="622">
        <f>E29*F29</f>
        <v>0</v>
      </c>
      <c r="H29" s="580">
        <f>G29+'[1]14'!H29</f>
        <v>0</v>
      </c>
      <c r="I29" s="625"/>
      <c r="J29" s="673">
        <f>H29/DAY(B2)</f>
        <v>0</v>
      </c>
      <c r="K29" s="401"/>
      <c r="L29" s="527"/>
      <c r="N29" s="854"/>
      <c r="O29" s="861"/>
      <c r="P29" s="410"/>
    </row>
    <row r="30" spans="1:16" s="524" customFormat="1" ht="27.75" x14ac:dyDescent="0.5">
      <c r="A30" s="713" t="s">
        <v>185</v>
      </c>
      <c r="B30" s="714"/>
      <c r="C30" s="715"/>
      <c r="D30" s="740" t="s">
        <v>186</v>
      </c>
      <c r="E30" s="621">
        <f>G19</f>
        <v>56</v>
      </c>
      <c r="F30" s="621">
        <v>145</v>
      </c>
      <c r="G30" s="622">
        <f>E30*F30</f>
        <v>8120</v>
      </c>
      <c r="H30" s="580">
        <f>G30+'[1]14'!H30</f>
        <v>118755</v>
      </c>
      <c r="I30" s="625"/>
      <c r="J30" s="673">
        <f>H30/DAY(B2)</f>
        <v>7917</v>
      </c>
      <c r="K30" s="401"/>
      <c r="L30" s="527"/>
      <c r="N30" s="854"/>
      <c r="O30" s="861"/>
      <c r="P30" s="410"/>
    </row>
    <row r="31" spans="1:16" s="524" customFormat="1" ht="27.75" x14ac:dyDescent="0.5">
      <c r="A31" s="713" t="s">
        <v>187</v>
      </c>
      <c r="B31" s="714"/>
      <c r="C31" s="715"/>
      <c r="D31" s="740" t="s">
        <v>171</v>
      </c>
      <c r="E31" s="621">
        <f>G18</f>
        <v>140</v>
      </c>
      <c r="F31" s="621">
        <v>80</v>
      </c>
      <c r="G31" s="622">
        <f>E31*F31</f>
        <v>11200</v>
      </c>
      <c r="H31" s="580">
        <f>G31+'[1]14'!H31</f>
        <v>165600</v>
      </c>
      <c r="I31" s="625"/>
      <c r="J31" s="673">
        <f>H31/DAY(B2)</f>
        <v>11040</v>
      </c>
      <c r="K31" s="401"/>
      <c r="L31" s="527"/>
      <c r="N31" s="854"/>
      <c r="O31" s="861"/>
      <c r="P31" s="410"/>
    </row>
    <row r="32" spans="1:16" s="524" customFormat="1" ht="27.75" x14ac:dyDescent="0.5">
      <c r="A32" s="716" t="s">
        <v>188</v>
      </c>
      <c r="B32" s="717"/>
      <c r="C32" s="718"/>
      <c r="D32" s="627"/>
      <c r="E32" s="644"/>
      <c r="F32" s="644"/>
      <c r="G32" s="628">
        <f>G27+G28+G29+G30+G31</f>
        <v>236969.5</v>
      </c>
      <c r="H32" s="580">
        <f>G32+'[1]14'!H32</f>
        <v>3610335.0634999992</v>
      </c>
      <c r="I32" s="629"/>
      <c r="J32" s="673">
        <f>H32/DAY(B2)</f>
        <v>240689.00423333328</v>
      </c>
      <c r="K32" s="401"/>
      <c r="L32" s="527"/>
      <c r="N32" s="854"/>
      <c r="O32" s="861"/>
      <c r="P32" s="410"/>
    </row>
    <row r="33" spans="1:16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854"/>
      <c r="O33" s="861"/>
      <c r="P33" s="410"/>
    </row>
    <row r="34" spans="1:16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854"/>
      <c r="O34" s="861"/>
      <c r="P34" s="410"/>
    </row>
    <row r="35" spans="1:16" x14ac:dyDescent="0.4">
      <c r="A35" s="699" t="s">
        <v>191</v>
      </c>
      <c r="B35" s="700"/>
      <c r="C35" s="700"/>
      <c r="D35" s="643" t="s">
        <v>159</v>
      </c>
      <c r="E35" s="630">
        <f>'[1]14'!F35</f>
        <v>629027.67000000004</v>
      </c>
      <c r="F35" s="630">
        <v>629027.67000000004</v>
      </c>
      <c r="G35" s="593">
        <f t="shared" ref="G35:G46" si="3">F35-E35</f>
        <v>0</v>
      </c>
      <c r="H35" s="580">
        <f>G35+'[1]14'!H35</f>
        <v>0</v>
      </c>
      <c r="I35" s="575"/>
      <c r="J35" s="673">
        <f>H35/DAY(B2)</f>
        <v>0</v>
      </c>
      <c r="K35" s="508"/>
      <c r="L35" s="405"/>
      <c r="N35" s="854"/>
      <c r="O35" s="862"/>
      <c r="P35" s="410"/>
    </row>
    <row r="36" spans="1:16" x14ac:dyDescent="0.4">
      <c r="A36" s="699" t="s">
        <v>192</v>
      </c>
      <c r="B36" s="700"/>
      <c r="C36" s="700"/>
      <c r="D36" s="643" t="s">
        <v>159</v>
      </c>
      <c r="E36" s="630">
        <f>'[1]14'!F36</f>
        <v>241374</v>
      </c>
      <c r="F36" s="630">
        <v>242007</v>
      </c>
      <c r="G36" s="593">
        <f t="shared" si="3"/>
        <v>633</v>
      </c>
      <c r="H36" s="580">
        <f>G36+'[1]14'!H36</f>
        <v>12921.26999999999</v>
      </c>
      <c r="I36" s="575"/>
      <c r="J36" s="673">
        <f>H36/DAY(B2)</f>
        <v>861.41799999999932</v>
      </c>
      <c r="K36" s="508"/>
      <c r="L36" s="405"/>
      <c r="N36" s="855"/>
      <c r="O36" s="862"/>
      <c r="P36" s="410"/>
    </row>
    <row r="37" spans="1:16" x14ac:dyDescent="0.4">
      <c r="A37" s="699" t="s">
        <v>193</v>
      </c>
      <c r="B37" s="700"/>
      <c r="C37" s="700"/>
      <c r="D37" s="643" t="s">
        <v>159</v>
      </c>
      <c r="E37" s="630">
        <f>'[1]14'!F37</f>
        <v>415066</v>
      </c>
      <c r="F37" s="630">
        <v>415066</v>
      </c>
      <c r="G37" s="593">
        <f t="shared" si="3"/>
        <v>0</v>
      </c>
      <c r="H37" s="580">
        <f>G37+'[1]14'!H37</f>
        <v>0</v>
      </c>
      <c r="I37" s="575"/>
      <c r="J37" s="673">
        <f>H37/DAY(B2)</f>
        <v>0</v>
      </c>
      <c r="K37" s="508"/>
      <c r="L37" s="405"/>
      <c r="N37" s="855"/>
      <c r="O37" s="862"/>
      <c r="P37" s="410"/>
    </row>
    <row r="38" spans="1:16" x14ac:dyDescent="0.4">
      <c r="A38" s="699" t="s">
        <v>194</v>
      </c>
      <c r="B38" s="700"/>
      <c r="C38" s="700"/>
      <c r="D38" s="643" t="s">
        <v>159</v>
      </c>
      <c r="E38" s="589">
        <f>'[1]14'!F38</f>
        <v>150714</v>
      </c>
      <c r="F38" s="589">
        <v>150714</v>
      </c>
      <c r="G38" s="593">
        <f t="shared" si="3"/>
        <v>0</v>
      </c>
      <c r="H38" s="580">
        <f>G38+'[1]14'!H38</f>
        <v>0</v>
      </c>
      <c r="I38" s="575"/>
      <c r="J38" s="673">
        <f>H38/DAY(B2)</f>
        <v>0</v>
      </c>
      <c r="K38" s="508"/>
      <c r="L38" s="405"/>
      <c r="N38" s="854"/>
      <c r="O38" s="861"/>
      <c r="P38" s="410"/>
    </row>
    <row r="39" spans="1:16" x14ac:dyDescent="0.4">
      <c r="A39" s="699" t="s">
        <v>195</v>
      </c>
      <c r="B39" s="700"/>
      <c r="C39" s="700"/>
      <c r="D39" s="643" t="s">
        <v>159</v>
      </c>
      <c r="E39" s="630">
        <f>'[1]14'!F39</f>
        <v>912480</v>
      </c>
      <c r="F39" s="630">
        <v>912480</v>
      </c>
      <c r="G39" s="593">
        <f t="shared" si="3"/>
        <v>0</v>
      </c>
      <c r="H39" s="580">
        <f>G39+'[1]14'!H39</f>
        <v>0</v>
      </c>
      <c r="I39" s="575"/>
      <c r="J39" s="673">
        <f>H39/DAY(B2)</f>
        <v>0</v>
      </c>
      <c r="K39" s="508"/>
      <c r="L39" s="405"/>
      <c r="N39" s="854"/>
      <c r="O39" s="862"/>
      <c r="P39" s="410"/>
    </row>
    <row r="40" spans="1:16" x14ac:dyDescent="0.4">
      <c r="A40" s="720" t="s">
        <v>196</v>
      </c>
      <c r="B40" s="721"/>
      <c r="C40" s="721"/>
      <c r="D40" s="643" t="s">
        <v>159</v>
      </c>
      <c r="E40" s="630">
        <f>'[1]14'!F40</f>
        <v>0.17</v>
      </c>
      <c r="F40" s="630">
        <v>0.17</v>
      </c>
      <c r="G40" s="593">
        <f t="shared" si="3"/>
        <v>0</v>
      </c>
      <c r="H40" s="580">
        <f>G40+'[1]14'!H40</f>
        <v>0</v>
      </c>
      <c r="I40" s="575"/>
      <c r="J40" s="673">
        <f>H40/DAY(B2)</f>
        <v>0</v>
      </c>
      <c r="K40" s="509"/>
      <c r="L40" s="405"/>
      <c r="N40" s="854"/>
      <c r="O40" s="861"/>
      <c r="P40" s="410"/>
    </row>
    <row r="41" spans="1:16" x14ac:dyDescent="0.4">
      <c r="A41" s="699" t="s">
        <v>197</v>
      </c>
      <c r="B41" s="700"/>
      <c r="C41" s="700"/>
      <c r="D41" s="643" t="s">
        <v>159</v>
      </c>
      <c r="E41" s="630">
        <f>'[1]14'!F41</f>
        <v>300127.95</v>
      </c>
      <c r="F41" s="630">
        <v>300127.95</v>
      </c>
      <c r="G41" s="593">
        <f t="shared" si="3"/>
        <v>0</v>
      </c>
      <c r="H41" s="580">
        <f>G41+'[1]14'!H41</f>
        <v>0</v>
      </c>
      <c r="I41" s="575"/>
      <c r="J41" s="673">
        <f>H41/DAY(B2)</f>
        <v>0</v>
      </c>
      <c r="K41" s="508"/>
      <c r="L41" s="405"/>
      <c r="N41" s="854"/>
      <c r="O41" s="863"/>
      <c r="P41" s="857"/>
    </row>
    <row r="42" spans="1:16" x14ac:dyDescent="0.4">
      <c r="A42" s="699" t="s">
        <v>198</v>
      </c>
      <c r="B42" s="700"/>
      <c r="C42" s="700"/>
      <c r="D42" s="643" t="s">
        <v>159</v>
      </c>
      <c r="E42" s="630">
        <f>'[1]14'!F42</f>
        <v>50780</v>
      </c>
      <c r="F42" s="630">
        <v>55881</v>
      </c>
      <c r="G42" s="593">
        <f t="shared" si="3"/>
        <v>5101</v>
      </c>
      <c r="H42" s="580">
        <f>G42+'[1]14'!H42</f>
        <v>55881</v>
      </c>
      <c r="I42" s="575"/>
      <c r="J42" s="673">
        <f>H42/DAY(B2)</f>
        <v>3725.4</v>
      </c>
      <c r="K42" s="508"/>
      <c r="L42" s="405"/>
      <c r="N42" s="854"/>
      <c r="O42" s="861"/>
      <c r="P42" s="410"/>
    </row>
    <row r="43" spans="1:16" x14ac:dyDescent="0.4">
      <c r="A43" s="699" t="s">
        <v>199</v>
      </c>
      <c r="B43" s="700"/>
      <c r="C43" s="700"/>
      <c r="D43" s="643" t="s">
        <v>159</v>
      </c>
      <c r="E43" s="630">
        <f>'[1]14'!F43</f>
        <v>663441</v>
      </c>
      <c r="F43" s="630">
        <v>665672</v>
      </c>
      <c r="G43" s="593">
        <f t="shared" si="3"/>
        <v>2231</v>
      </c>
      <c r="H43" s="580">
        <f>G43+'[1]14'!H43</f>
        <v>34922.689999999944</v>
      </c>
      <c r="I43" s="575"/>
      <c r="J43" s="673">
        <f>H43/DAY(B2)</f>
        <v>2328.1793333333294</v>
      </c>
      <c r="K43" s="508"/>
      <c r="L43" s="405"/>
      <c r="N43" s="854"/>
      <c r="O43" s="862"/>
      <c r="P43" s="410"/>
    </row>
    <row r="44" spans="1:16" x14ac:dyDescent="0.4">
      <c r="A44" s="699" t="s">
        <v>200</v>
      </c>
      <c r="B44" s="700"/>
      <c r="C44" s="700"/>
      <c r="D44" s="643" t="s">
        <v>159</v>
      </c>
      <c r="E44" s="630">
        <f>'[1]14'!F44</f>
        <v>0</v>
      </c>
      <c r="F44" s="630">
        <v>0</v>
      </c>
      <c r="G44" s="593">
        <f t="shared" si="3"/>
        <v>0</v>
      </c>
      <c r="H44" s="580">
        <f>G44+'[1]14'!H44</f>
        <v>0</v>
      </c>
      <c r="I44" s="575"/>
      <c r="J44" s="673">
        <f>H44/DAY(B2)</f>
        <v>0</v>
      </c>
      <c r="K44" s="508"/>
      <c r="L44" s="405"/>
      <c r="N44" s="854"/>
      <c r="O44" s="861"/>
      <c r="P44" s="410"/>
    </row>
    <row r="45" spans="1:16" x14ac:dyDescent="0.4">
      <c r="A45" s="699" t="s">
        <v>201</v>
      </c>
      <c r="B45" s="700"/>
      <c r="C45" s="700"/>
      <c r="D45" s="643" t="s">
        <v>159</v>
      </c>
      <c r="E45" s="630">
        <f>'[1]14'!F45</f>
        <v>614</v>
      </c>
      <c r="F45" s="630">
        <v>614</v>
      </c>
      <c r="G45" s="593">
        <f t="shared" si="3"/>
        <v>0</v>
      </c>
      <c r="H45" s="580">
        <f>G45+'[1]14'!H45</f>
        <v>-0.48000000000001819</v>
      </c>
      <c r="I45" s="575"/>
      <c r="J45" s="673">
        <f>H45/DAY(B2)</f>
        <v>-3.2000000000001215E-2</v>
      </c>
      <c r="K45" s="508"/>
      <c r="L45" s="405"/>
      <c r="N45" s="858"/>
      <c r="O45" s="861"/>
      <c r="P45" s="410"/>
    </row>
    <row r="46" spans="1:16" x14ac:dyDescent="0.4">
      <c r="A46" s="699" t="s">
        <v>202</v>
      </c>
      <c r="B46" s="700"/>
      <c r="C46" s="700"/>
      <c r="D46" s="643" t="s">
        <v>159</v>
      </c>
      <c r="E46" s="630">
        <f>'[1]14'!F46</f>
        <v>187.49</v>
      </c>
      <c r="F46" s="630">
        <v>187.49</v>
      </c>
      <c r="G46" s="593">
        <f t="shared" si="3"/>
        <v>0</v>
      </c>
      <c r="H46" s="580">
        <f>G46+'[1]14'!H46</f>
        <v>0</v>
      </c>
      <c r="I46" s="575"/>
      <c r="J46" s="673">
        <f>H46/DAY(B2)</f>
        <v>0</v>
      </c>
      <c r="K46" s="508"/>
      <c r="L46" s="405"/>
      <c r="N46" s="854"/>
      <c r="O46" s="861"/>
      <c r="P46" s="410"/>
    </row>
    <row r="47" spans="1:16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7965</v>
      </c>
      <c r="H47" s="580">
        <f>G47+'[1]14'!H47</f>
        <v>103724.47999999992</v>
      </c>
      <c r="I47" s="575"/>
      <c r="J47" s="673">
        <f>H47/DAY(B2)</f>
        <v>6914.9653333333281</v>
      </c>
      <c r="K47" s="508"/>
      <c r="L47" s="405"/>
      <c r="N47" s="854"/>
      <c r="O47" s="861"/>
      <c r="P47" s="410"/>
    </row>
    <row r="48" spans="1:16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854"/>
      <c r="O48" s="861"/>
      <c r="P48" s="410"/>
    </row>
    <row r="49" spans="1:16" x14ac:dyDescent="0.4">
      <c r="A49" s="699" t="s">
        <v>191</v>
      </c>
      <c r="B49" s="722"/>
      <c r="C49" s="722"/>
      <c r="D49" s="643" t="s">
        <v>159</v>
      </c>
      <c r="E49" s="630">
        <f>'[1]14'!F49</f>
        <v>101018</v>
      </c>
      <c r="F49" s="630">
        <v>103757</v>
      </c>
      <c r="G49" s="593">
        <f t="shared" ref="G49:G58" si="4">F49-E49</f>
        <v>2739</v>
      </c>
      <c r="H49" s="580">
        <f>G49+'[1]14'!H49</f>
        <v>39147.483</v>
      </c>
      <c r="I49" s="575"/>
      <c r="J49" s="673">
        <f>H49/DAY(B2)</f>
        <v>2609.8321999999998</v>
      </c>
      <c r="K49" s="508">
        <f>E49+242</f>
        <v>101260</v>
      </c>
      <c r="L49" s="405"/>
      <c r="N49" s="854"/>
      <c r="O49" s="861"/>
      <c r="P49" s="410"/>
    </row>
    <row r="50" spans="1:16" x14ac:dyDescent="0.4">
      <c r="A50" s="699" t="s">
        <v>205</v>
      </c>
      <c r="B50" s="722"/>
      <c r="C50" s="722"/>
      <c r="D50" s="643" t="s">
        <v>159</v>
      </c>
      <c r="E50" s="630">
        <f>'[1]14'!F50</f>
        <v>314658</v>
      </c>
      <c r="F50" s="630">
        <v>315764</v>
      </c>
      <c r="G50" s="593">
        <f t="shared" si="4"/>
        <v>1106</v>
      </c>
      <c r="H50" s="580">
        <f>G50+'[1]14'!H50</f>
        <v>18354.469999999972</v>
      </c>
      <c r="I50" s="575"/>
      <c r="J50" s="673">
        <f>H50/DAY(B2)</f>
        <v>1223.6313333333314</v>
      </c>
      <c r="K50" s="508"/>
      <c r="L50" s="405"/>
      <c r="N50" s="854"/>
      <c r="O50" s="862"/>
      <c r="P50" s="410"/>
    </row>
    <row r="51" spans="1:16" x14ac:dyDescent="0.4">
      <c r="A51" s="1291" t="s">
        <v>193</v>
      </c>
      <c r="B51" s="1292"/>
      <c r="C51" s="1292"/>
      <c r="D51" s="845" t="s">
        <v>159</v>
      </c>
      <c r="E51" s="1196">
        <f>'[1]14'!F51</f>
        <v>39981</v>
      </c>
      <c r="F51" s="1196">
        <v>41397</v>
      </c>
      <c r="G51" s="912">
        <f t="shared" si="4"/>
        <v>1416</v>
      </c>
      <c r="H51" s="580">
        <f>G51+'[1]14'!H51</f>
        <v>20530.032999999999</v>
      </c>
      <c r="I51" s="575"/>
      <c r="J51" s="673">
        <f>H51/DAY(B2)</f>
        <v>1368.6688666666666</v>
      </c>
      <c r="K51" s="508"/>
      <c r="L51" s="405"/>
      <c r="N51" s="854"/>
      <c r="O51" s="861"/>
      <c r="P51" s="410"/>
    </row>
    <row r="52" spans="1:16" x14ac:dyDescent="0.4">
      <c r="A52" s="699" t="s">
        <v>206</v>
      </c>
      <c r="B52" s="722"/>
      <c r="C52" s="722"/>
      <c r="D52" s="643" t="s">
        <v>159</v>
      </c>
      <c r="E52" s="630">
        <f>'[1]14'!F52</f>
        <v>399367</v>
      </c>
      <c r="F52" s="630">
        <v>401233</v>
      </c>
      <c r="G52" s="593">
        <f t="shared" si="4"/>
        <v>1866</v>
      </c>
      <c r="H52" s="580">
        <f>G52+'[1]14'!H52</f>
        <v>27877.209999999963</v>
      </c>
      <c r="I52" s="575"/>
      <c r="J52" s="673">
        <f>H52/DAY(B2)</f>
        <v>1858.4806666666641</v>
      </c>
      <c r="K52" s="508"/>
      <c r="L52" s="405"/>
      <c r="N52" s="854"/>
      <c r="O52" s="861"/>
      <c r="P52" s="410"/>
    </row>
    <row r="53" spans="1:16" x14ac:dyDescent="0.4">
      <c r="A53" s="699" t="s">
        <v>195</v>
      </c>
      <c r="B53" s="722"/>
      <c r="C53" s="722"/>
      <c r="D53" s="643" t="s">
        <v>159</v>
      </c>
      <c r="E53" s="630">
        <f>'[1]14'!F53</f>
        <v>104730</v>
      </c>
      <c r="F53" s="630">
        <v>108940</v>
      </c>
      <c r="G53" s="593">
        <f t="shared" si="4"/>
        <v>4210</v>
      </c>
      <c r="H53" s="580">
        <f>G53+'[1]14'!H53</f>
        <v>59197.892999999996</v>
      </c>
      <c r="I53" s="575"/>
      <c r="J53" s="673">
        <f>H53/DAY(B2)</f>
        <v>3946.5261999999998</v>
      </c>
      <c r="K53" s="508"/>
      <c r="L53" s="405"/>
      <c r="N53" s="854"/>
      <c r="O53" s="861"/>
      <c r="P53" s="410"/>
    </row>
    <row r="54" spans="1:16" x14ac:dyDescent="0.4">
      <c r="A54" s="699" t="s">
        <v>207</v>
      </c>
      <c r="B54" s="722"/>
      <c r="C54" s="722"/>
      <c r="D54" s="643" t="s">
        <v>159</v>
      </c>
      <c r="E54" s="630">
        <f>'[1]14'!F54</f>
        <v>3520</v>
      </c>
      <c r="F54" s="630">
        <v>3566</v>
      </c>
      <c r="G54" s="593">
        <f t="shared" si="4"/>
        <v>46</v>
      </c>
      <c r="H54" s="580">
        <f>G54+'[1]14'!H54</f>
        <v>687.38999999999987</v>
      </c>
      <c r="I54" s="575"/>
      <c r="J54" s="673">
        <f>H54/DAY(B2)</f>
        <v>45.825999999999993</v>
      </c>
      <c r="K54" s="508"/>
      <c r="L54" s="405"/>
      <c r="N54" s="854"/>
      <c r="O54" s="861"/>
      <c r="P54" s="410"/>
    </row>
    <row r="55" spans="1:16" x14ac:dyDescent="0.4">
      <c r="A55" s="699" t="s">
        <v>208</v>
      </c>
      <c r="B55" s="722"/>
      <c r="C55" s="722"/>
      <c r="D55" s="643" t="s">
        <v>159</v>
      </c>
      <c r="E55" s="770">
        <f>'[1]14'!F55</f>
        <v>158492.73000000001</v>
      </c>
      <c r="F55" s="770">
        <v>158492.73000000001</v>
      </c>
      <c r="G55" s="769">
        <f t="shared" si="4"/>
        <v>0</v>
      </c>
      <c r="H55" s="841">
        <f>G55+'[1]14'!H55</f>
        <v>-0.26999999998952262</v>
      </c>
      <c r="I55" s="842"/>
      <c r="J55" s="843">
        <f>H55/DAY(B2)</f>
        <v>-1.7999999999301509E-2</v>
      </c>
      <c r="K55" s="508"/>
      <c r="L55" s="405"/>
      <c r="N55" s="854"/>
      <c r="O55" s="861"/>
      <c r="P55" s="410"/>
    </row>
    <row r="56" spans="1:16" x14ac:dyDescent="0.4">
      <c r="A56" s="699" t="s">
        <v>209</v>
      </c>
      <c r="B56" s="722"/>
      <c r="C56" s="722"/>
      <c r="D56" s="643" t="s">
        <v>210</v>
      </c>
      <c r="E56" s="770">
        <f>'[1]14'!F56</f>
        <v>450017</v>
      </c>
      <c r="F56" s="770">
        <v>450017</v>
      </c>
      <c r="G56" s="593">
        <f t="shared" si="4"/>
        <v>0</v>
      </c>
      <c r="H56" s="580">
        <f>G56+'[1]14'!H56</f>
        <v>14175.969999999972</v>
      </c>
      <c r="I56" s="575"/>
      <c r="J56" s="673">
        <f>H56/DAY(B2)</f>
        <v>945.06466666666483</v>
      </c>
      <c r="K56" s="507"/>
      <c r="L56" s="405"/>
      <c r="N56" s="854"/>
      <c r="O56" s="863"/>
      <c r="P56" s="410"/>
    </row>
    <row r="57" spans="1:16" x14ac:dyDescent="0.4">
      <c r="A57" s="699" t="s">
        <v>199</v>
      </c>
      <c r="B57" s="722"/>
      <c r="C57" s="722"/>
      <c r="D57" s="643" t="s">
        <v>159</v>
      </c>
      <c r="E57" s="630">
        <f>'[1]14'!F57</f>
        <v>0</v>
      </c>
      <c r="F57" s="630">
        <v>0</v>
      </c>
      <c r="G57" s="593">
        <f t="shared" si="4"/>
        <v>0</v>
      </c>
      <c r="H57" s="580">
        <f>G57+'[1]14'!H57</f>
        <v>0</v>
      </c>
      <c r="I57" s="575"/>
      <c r="J57" s="673">
        <f>H57/DAY(B2)</f>
        <v>0</v>
      </c>
      <c r="K57" s="508"/>
      <c r="L57" s="405"/>
      <c r="N57" s="854"/>
      <c r="O57" s="861"/>
      <c r="P57" s="410"/>
    </row>
    <row r="58" spans="1:16" x14ac:dyDescent="0.4">
      <c r="A58" s="699" t="s">
        <v>211</v>
      </c>
      <c r="B58" s="722"/>
      <c r="C58" s="722"/>
      <c r="D58" s="643" t="s">
        <v>159</v>
      </c>
      <c r="E58" s="770">
        <f>'[1]14'!F58</f>
        <v>22133</v>
      </c>
      <c r="F58" s="770">
        <v>22268</v>
      </c>
      <c r="G58" s="593">
        <f t="shared" si="4"/>
        <v>135</v>
      </c>
      <c r="H58" s="580">
        <f>G58+'[1]14'!H58</f>
        <v>1874.9670000000006</v>
      </c>
      <c r="I58" s="575"/>
      <c r="J58" s="673">
        <f>H58/DAY(B2)</f>
        <v>124.99780000000004</v>
      </c>
      <c r="K58" s="508"/>
      <c r="L58" s="405"/>
      <c r="N58" s="854"/>
      <c r="O58" s="861"/>
      <c r="P58" s="410"/>
    </row>
    <row r="59" spans="1:16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11518</v>
      </c>
      <c r="H59" s="580">
        <f>G59+'[1]14'!H59</f>
        <v>181845.14599999989</v>
      </c>
      <c r="I59" s="575">
        <f>G7-G60</f>
        <v>462</v>
      </c>
      <c r="J59" s="673">
        <f>H59/DAY(B2)</f>
        <v>12123.009733333327</v>
      </c>
      <c r="K59" s="508"/>
      <c r="L59" s="405"/>
      <c r="N59" s="854"/>
      <c r="O59" s="861"/>
      <c r="P59" s="410"/>
    </row>
    <row r="60" spans="1:16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19483</v>
      </c>
      <c r="H60" s="580">
        <f>G60+'[1]14'!H60</f>
        <v>299113.29599999991</v>
      </c>
      <c r="I60" s="575">
        <f>G13-G60</f>
        <v>-212</v>
      </c>
      <c r="J60" s="673">
        <f>H60/DAY(B2)</f>
        <v>19940.886399999996</v>
      </c>
      <c r="K60" s="508"/>
      <c r="L60" s="405"/>
      <c r="N60" s="854"/>
      <c r="O60" s="861"/>
      <c r="P60" s="410"/>
    </row>
    <row r="61" spans="1:16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854"/>
      <c r="O61" s="861"/>
      <c r="P61" s="410"/>
    </row>
    <row r="62" spans="1:16" x14ac:dyDescent="0.4">
      <c r="A62" s="724" t="s">
        <v>121</v>
      </c>
      <c r="B62" s="725"/>
      <c r="C62" s="725"/>
      <c r="D62" s="631" t="s">
        <v>214</v>
      </c>
      <c r="E62" s="634">
        <f>'[1]14'!F62</f>
        <v>20419.18</v>
      </c>
      <c r="F62" s="634">
        <v>20419.18</v>
      </c>
      <c r="G62" s="593">
        <f t="shared" ref="G62:G69" si="5">F62-E62</f>
        <v>0</v>
      </c>
      <c r="H62" s="580">
        <f>G62+'[1]14'!H62</f>
        <v>0</v>
      </c>
      <c r="I62" s="635"/>
      <c r="J62" s="673">
        <f>H62/DAY(B2)</f>
        <v>0</v>
      </c>
      <c r="K62" s="508"/>
      <c r="L62" s="405"/>
      <c r="N62" s="854"/>
      <c r="O62" s="861"/>
      <c r="P62" s="410"/>
    </row>
    <row r="63" spans="1:16" x14ac:dyDescent="0.4">
      <c r="A63" s="724" t="s">
        <v>215</v>
      </c>
      <c r="B63" s="725"/>
      <c r="C63" s="725"/>
      <c r="D63" s="631" t="s">
        <v>214</v>
      </c>
      <c r="E63" s="634">
        <f>'[1]14'!F63</f>
        <v>1039</v>
      </c>
      <c r="F63" s="634">
        <v>1043</v>
      </c>
      <c r="G63" s="593">
        <f t="shared" si="5"/>
        <v>4</v>
      </c>
      <c r="H63" s="580">
        <f>G63+'[1]14'!H63</f>
        <v>186.63</v>
      </c>
      <c r="I63" s="635"/>
      <c r="J63" s="673">
        <f>H63/DAY(B2)</f>
        <v>12.442</v>
      </c>
      <c r="K63" s="508"/>
      <c r="L63" s="405"/>
      <c r="N63" s="854"/>
      <c r="O63" s="861"/>
      <c r="P63" s="410"/>
    </row>
    <row r="64" spans="1:16" ht="27.75" x14ac:dyDescent="0.5">
      <c r="A64" s="1395" t="s">
        <v>122</v>
      </c>
      <c r="B64" s="1396"/>
      <c r="C64" s="1397"/>
      <c r="D64" s="643" t="s">
        <v>214</v>
      </c>
      <c r="E64" s="598">
        <f>'[1]14'!F64</f>
        <v>91838</v>
      </c>
      <c r="F64" s="598">
        <v>92203</v>
      </c>
      <c r="G64" s="593">
        <f t="shared" si="5"/>
        <v>365</v>
      </c>
      <c r="H64" s="580">
        <f>G64+'[1]14'!H64</f>
        <v>5463.9049999999988</v>
      </c>
      <c r="I64" s="600"/>
      <c r="J64" s="673">
        <f>H64/DAY(B2)</f>
        <v>364.26033333333328</v>
      </c>
      <c r="K64" s="508"/>
      <c r="L64" s="405"/>
      <c r="N64" s="854"/>
      <c r="O64" s="861"/>
      <c r="P64" s="410"/>
    </row>
    <row r="65" spans="1:16" ht="27.75" x14ac:dyDescent="0.5">
      <c r="A65" s="1395" t="s">
        <v>123</v>
      </c>
      <c r="B65" s="1396"/>
      <c r="C65" s="1397"/>
      <c r="D65" s="643" t="s">
        <v>214</v>
      </c>
      <c r="E65" s="768">
        <f>'[1]14'!F65</f>
        <v>102275</v>
      </c>
      <c r="F65" s="768">
        <v>102657</v>
      </c>
      <c r="G65" s="593">
        <f t="shared" si="5"/>
        <v>382</v>
      </c>
      <c r="H65" s="580">
        <f>G65+'[1]14'!H65</f>
        <v>6021.0170000000071</v>
      </c>
      <c r="I65" s="609"/>
      <c r="J65" s="673">
        <f>H65/DAY(B2)</f>
        <v>401.4011333333338</v>
      </c>
      <c r="K65" s="508"/>
      <c r="L65" s="405"/>
      <c r="N65" s="854"/>
      <c r="O65" s="862"/>
      <c r="P65" s="410"/>
    </row>
    <row r="66" spans="1:16" ht="27.75" x14ac:dyDescent="0.5">
      <c r="A66" s="1395" t="s">
        <v>124</v>
      </c>
      <c r="B66" s="1396"/>
      <c r="C66" s="1397"/>
      <c r="D66" s="643" t="s">
        <v>214</v>
      </c>
      <c r="E66" s="598">
        <f>'[1]14'!F66</f>
        <v>95610</v>
      </c>
      <c r="F66" s="598">
        <v>96016</v>
      </c>
      <c r="G66" s="593">
        <f t="shared" si="5"/>
        <v>406</v>
      </c>
      <c r="H66" s="580">
        <f>G66+'[1]14'!H66</f>
        <v>6011.1530000000057</v>
      </c>
      <c r="I66" s="600"/>
      <c r="J66" s="673">
        <f>H66/DAY(B2)</f>
        <v>400.74353333333369</v>
      </c>
      <c r="K66" s="508"/>
      <c r="L66" s="405"/>
      <c r="N66" s="854"/>
      <c r="O66" s="861"/>
      <c r="P66" s="410"/>
    </row>
    <row r="67" spans="1:16" ht="27.75" x14ac:dyDescent="0.5">
      <c r="A67" s="1395" t="s">
        <v>125</v>
      </c>
      <c r="B67" s="1396"/>
      <c r="C67" s="1397"/>
      <c r="D67" s="643" t="s">
        <v>214</v>
      </c>
      <c r="E67" s="598">
        <f>'[1]14'!F67</f>
        <v>156203</v>
      </c>
      <c r="F67" s="598">
        <v>156945</v>
      </c>
      <c r="G67" s="593">
        <f t="shared" si="5"/>
        <v>742</v>
      </c>
      <c r="H67" s="580">
        <f>G67+'[1]14'!H67</f>
        <v>10902.950000000012</v>
      </c>
      <c r="I67" s="609"/>
      <c r="J67" s="673">
        <f>H67/DAY(B2)</f>
        <v>726.86333333333414</v>
      </c>
      <c r="K67" s="509"/>
      <c r="L67" s="405"/>
      <c r="N67" s="854"/>
      <c r="O67" s="861"/>
      <c r="P67" s="410"/>
    </row>
    <row r="68" spans="1:16" ht="27.75" x14ac:dyDescent="0.5">
      <c r="A68" s="1395" t="s">
        <v>126</v>
      </c>
      <c r="B68" s="1396"/>
      <c r="C68" s="1397"/>
      <c r="D68" s="643" t="s">
        <v>214</v>
      </c>
      <c r="E68" s="598">
        <f>'[1]14'!F68</f>
        <v>48159</v>
      </c>
      <c r="F68" s="598">
        <v>48521</v>
      </c>
      <c r="G68" s="593">
        <f t="shared" si="5"/>
        <v>362</v>
      </c>
      <c r="H68" s="580">
        <f>G68+'[1]14'!H68</f>
        <v>5345.9210000000021</v>
      </c>
      <c r="I68" s="636"/>
      <c r="J68" s="673">
        <f>H68/DAY(B2)</f>
        <v>356.39473333333348</v>
      </c>
      <c r="K68" s="510"/>
      <c r="L68" s="405"/>
      <c r="N68" s="854"/>
      <c r="O68" s="861"/>
      <c r="P68" s="410"/>
    </row>
    <row r="69" spans="1:16" ht="27.75" x14ac:dyDescent="0.5">
      <c r="A69" s="1395" t="s">
        <v>127</v>
      </c>
      <c r="B69" s="1396"/>
      <c r="C69" s="1397"/>
      <c r="D69" s="643" t="s">
        <v>214</v>
      </c>
      <c r="E69" s="598">
        <f>'[1]14'!F69</f>
        <v>41655</v>
      </c>
      <c r="F69" s="598">
        <v>41946</v>
      </c>
      <c r="G69" s="593">
        <f t="shared" si="5"/>
        <v>291</v>
      </c>
      <c r="H69" s="580">
        <f>G69+'[1]14'!H69</f>
        <v>4390.4329999999973</v>
      </c>
      <c r="I69" s="636"/>
      <c r="J69" s="673">
        <f>H69/DAY(B2)</f>
        <v>292.69553333333317</v>
      </c>
      <c r="K69" s="511"/>
      <c r="L69" s="405"/>
      <c r="N69" s="854"/>
      <c r="O69" s="861"/>
      <c r="P69" s="410"/>
    </row>
    <row r="70" spans="1:16" ht="27.75" x14ac:dyDescent="0.5">
      <c r="A70" s="1451" t="s">
        <v>216</v>
      </c>
      <c r="B70" s="1452"/>
      <c r="C70" s="1453"/>
      <c r="D70" s="643" t="s">
        <v>214</v>
      </c>
      <c r="E70" s="598"/>
      <c r="F70" s="638"/>
      <c r="G70" s="638"/>
      <c r="H70" s="580"/>
      <c r="I70" s="638"/>
      <c r="J70" s="677"/>
      <c r="K70" s="511"/>
      <c r="L70" s="405"/>
      <c r="N70" s="854"/>
      <c r="O70" s="861"/>
      <c r="P70" s="410"/>
    </row>
    <row r="71" spans="1:16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854"/>
      <c r="O71" s="861"/>
      <c r="P71" s="410"/>
    </row>
    <row r="72" spans="1:16" ht="27.75" x14ac:dyDescent="0.5">
      <c r="A72" s="1395" t="s">
        <v>218</v>
      </c>
      <c r="B72" s="1396"/>
      <c r="C72" s="1397"/>
      <c r="D72" s="643" t="s">
        <v>214</v>
      </c>
      <c r="E72" s="771">
        <f>'[1]14'!F72</f>
        <v>845015</v>
      </c>
      <c r="F72" s="771">
        <v>845090</v>
      </c>
      <c r="G72" s="593">
        <f t="shared" ref="G72:G84" si="6">F72-E72</f>
        <v>75</v>
      </c>
      <c r="H72" s="580">
        <f>G72+'[1]14'!H72</f>
        <v>828</v>
      </c>
      <c r="I72" s="600"/>
      <c r="J72" s="673">
        <f>H72/DAY(B2)</f>
        <v>55.2</v>
      </c>
      <c r="K72" s="511"/>
      <c r="L72" s="405"/>
      <c r="N72" s="854"/>
      <c r="O72" s="861"/>
      <c r="P72" s="410"/>
    </row>
    <row r="73" spans="1:16" s="1295" customFormat="1" ht="27.75" x14ac:dyDescent="0.5">
      <c r="A73" s="1451" t="s">
        <v>219</v>
      </c>
      <c r="B73" s="1452"/>
      <c r="C73" s="1453"/>
      <c r="D73" s="644" t="s">
        <v>214</v>
      </c>
      <c r="E73" s="771">
        <f>'[1]14'!F73</f>
        <v>885469</v>
      </c>
      <c r="F73" s="771">
        <v>885470</v>
      </c>
      <c r="G73" s="593">
        <f t="shared" si="6"/>
        <v>1</v>
      </c>
      <c r="H73" s="606">
        <f>G73+'[1]14'!H73</f>
        <v>766</v>
      </c>
      <c r="I73" s="1293"/>
      <c r="J73" s="673">
        <f>H73/DAY(B2)</f>
        <v>51.06666666666667</v>
      </c>
      <c r="K73" s="510"/>
      <c r="L73" s="1294"/>
      <c r="N73" s="1296"/>
      <c r="O73" s="1297"/>
      <c r="P73" s="1298"/>
    </row>
    <row r="74" spans="1:16" ht="27.75" x14ac:dyDescent="0.5">
      <c r="A74" s="1395" t="s">
        <v>220</v>
      </c>
      <c r="B74" s="1396"/>
      <c r="C74" s="1397"/>
      <c r="D74" s="643" t="s">
        <v>214</v>
      </c>
      <c r="E74" s="772">
        <f>'[1]14'!F74</f>
        <v>880647</v>
      </c>
      <c r="F74" s="772">
        <v>880677</v>
      </c>
      <c r="G74" s="593">
        <f t="shared" si="6"/>
        <v>30</v>
      </c>
      <c r="H74" s="580">
        <f>G74+'[1]14'!H74</f>
        <v>450</v>
      </c>
      <c r="I74" s="600"/>
      <c r="J74" s="673">
        <f>H74/DAY(B2)</f>
        <v>30</v>
      </c>
      <c r="K74" s="511"/>
      <c r="L74" s="405"/>
      <c r="N74" s="854"/>
      <c r="O74" s="861"/>
      <c r="P74" s="410"/>
    </row>
    <row r="75" spans="1:16" ht="27.75" x14ac:dyDescent="0.5">
      <c r="A75" s="1447" t="s">
        <v>221</v>
      </c>
      <c r="B75" s="1448"/>
      <c r="C75" s="1449"/>
      <c r="D75" s="643" t="s">
        <v>214</v>
      </c>
      <c r="E75" s="772">
        <f>'[1]14'!F75</f>
        <v>728686</v>
      </c>
      <c r="F75" s="772">
        <v>728857</v>
      </c>
      <c r="G75" s="593">
        <f t="shared" si="6"/>
        <v>171</v>
      </c>
      <c r="H75" s="580">
        <f>G75+'[1]14'!H75</f>
        <v>2677</v>
      </c>
      <c r="I75" s="600"/>
      <c r="J75" s="673">
        <f>H75/DAY(B2)</f>
        <v>178.46666666666667</v>
      </c>
      <c r="K75" s="510"/>
      <c r="L75" s="405"/>
      <c r="N75" s="854"/>
      <c r="O75" s="861"/>
      <c r="P75" s="410"/>
    </row>
    <row r="76" spans="1:16" ht="27.75" x14ac:dyDescent="0.5">
      <c r="A76" s="1447" t="s">
        <v>222</v>
      </c>
      <c r="B76" s="1448"/>
      <c r="C76" s="1449"/>
      <c r="D76" s="643" t="s">
        <v>214</v>
      </c>
      <c r="E76" s="772">
        <f>'[1]14'!F76</f>
        <v>682780</v>
      </c>
      <c r="F76" s="772">
        <v>682863</v>
      </c>
      <c r="G76" s="593">
        <f t="shared" si="6"/>
        <v>83</v>
      </c>
      <c r="H76" s="580">
        <f>G76+'[1]14'!H76</f>
        <v>2493</v>
      </c>
      <c r="I76" s="625"/>
      <c r="J76" s="673">
        <f>H76/DAY(B2)</f>
        <v>166.2</v>
      </c>
      <c r="K76" s="510"/>
      <c r="L76" s="405"/>
      <c r="N76" s="854"/>
      <c r="O76" s="861"/>
      <c r="P76" s="410"/>
    </row>
    <row r="77" spans="1:16" ht="27.75" x14ac:dyDescent="0.5">
      <c r="A77" s="1395" t="s">
        <v>223</v>
      </c>
      <c r="B77" s="1396"/>
      <c r="C77" s="1397"/>
      <c r="D77" s="643" t="s">
        <v>214</v>
      </c>
      <c r="E77" s="772">
        <f>'[1]14'!F77</f>
        <v>694461</v>
      </c>
      <c r="F77" s="772">
        <v>694514</v>
      </c>
      <c r="G77" s="769">
        <f t="shared" si="6"/>
        <v>53</v>
      </c>
      <c r="H77" s="580">
        <f>G77+'[1]14'!H77</f>
        <v>794</v>
      </c>
      <c r="I77" s="625"/>
      <c r="J77" s="673">
        <f>H77/DAY(B2)</f>
        <v>52.93333333333333</v>
      </c>
      <c r="K77" s="510"/>
      <c r="L77" s="405"/>
      <c r="N77" s="854"/>
      <c r="O77" s="861"/>
      <c r="P77" s="410"/>
    </row>
    <row r="78" spans="1:16" ht="27.75" x14ac:dyDescent="0.5">
      <c r="A78" s="1357" t="s">
        <v>224</v>
      </c>
      <c r="B78" s="1320"/>
      <c r="C78" s="1320"/>
      <c r="D78" s="643" t="s">
        <v>214</v>
      </c>
      <c r="E78" s="773">
        <f>'[1]14'!F78</f>
        <v>623872</v>
      </c>
      <c r="F78" s="773">
        <v>624331</v>
      </c>
      <c r="G78" s="593">
        <f t="shared" si="6"/>
        <v>459</v>
      </c>
      <c r="H78" s="580">
        <f>G78+'[1]14'!H78</f>
        <v>6078</v>
      </c>
      <c r="I78" s="625"/>
      <c r="J78" s="673">
        <f>H78/DAY(B2)</f>
        <v>405.2</v>
      </c>
      <c r="K78" s="510"/>
      <c r="L78" s="405"/>
      <c r="N78" s="854"/>
      <c r="O78" s="861"/>
      <c r="P78" s="410"/>
    </row>
    <row r="79" spans="1:16" ht="27.75" x14ac:dyDescent="0.5">
      <c r="A79" s="1447" t="s">
        <v>112</v>
      </c>
      <c r="B79" s="1448"/>
      <c r="C79" s="1449"/>
      <c r="D79" s="644" t="s">
        <v>214</v>
      </c>
      <c r="E79" s="773">
        <f>'[1]14'!F79</f>
        <v>800701</v>
      </c>
      <c r="F79" s="773">
        <v>800887</v>
      </c>
      <c r="G79" s="593">
        <f t="shared" si="6"/>
        <v>186</v>
      </c>
      <c r="H79" s="580">
        <f>G79+'[1]14'!H79</f>
        <v>5635</v>
      </c>
      <c r="I79" s="625"/>
      <c r="J79" s="673">
        <f>H79/DAY(B2)</f>
        <v>375.66666666666669</v>
      </c>
      <c r="K79" s="510"/>
      <c r="L79" s="405"/>
      <c r="N79" s="854"/>
      <c r="O79" s="861"/>
      <c r="P79" s="410"/>
    </row>
    <row r="80" spans="1:16" ht="27.75" x14ac:dyDescent="0.5">
      <c r="A80" s="1447" t="s">
        <v>225</v>
      </c>
      <c r="B80" s="1448"/>
      <c r="C80" s="1449"/>
      <c r="D80" s="644" t="s">
        <v>214</v>
      </c>
      <c r="E80" s="772">
        <f>'[1]14'!F80</f>
        <v>470187</v>
      </c>
      <c r="F80" s="772">
        <v>470543</v>
      </c>
      <c r="G80" s="593">
        <f t="shared" si="6"/>
        <v>356</v>
      </c>
      <c r="H80" s="580">
        <f>G80+'[1]14'!H80</f>
        <v>3219.1599999999744</v>
      </c>
      <c r="I80" s="625"/>
      <c r="J80" s="673">
        <f>H80/DAY(B2)</f>
        <v>214.61066666666497</v>
      </c>
      <c r="K80" s="510"/>
      <c r="L80" s="405"/>
      <c r="N80" s="854"/>
      <c r="O80" s="861"/>
      <c r="P80" s="410"/>
    </row>
    <row r="81" spans="1:16" ht="27.75" x14ac:dyDescent="0.5">
      <c r="A81" s="1447" t="s">
        <v>226</v>
      </c>
      <c r="B81" s="1448"/>
      <c r="C81" s="1449"/>
      <c r="D81" s="644" t="s">
        <v>214</v>
      </c>
      <c r="E81" s="772">
        <f>'[1]14'!F81</f>
        <v>616686</v>
      </c>
      <c r="F81" s="772">
        <v>616835</v>
      </c>
      <c r="G81" s="593">
        <f t="shared" si="6"/>
        <v>149</v>
      </c>
      <c r="H81" s="580">
        <f>G81+'[1]14'!H81</f>
        <v>2446.4799999999814</v>
      </c>
      <c r="I81" s="625"/>
      <c r="J81" s="673">
        <f>H81/DAY(B2)</f>
        <v>163.09866666666542</v>
      </c>
      <c r="K81" s="510"/>
      <c r="L81" s="405"/>
      <c r="N81" s="854"/>
      <c r="O81" s="861"/>
      <c r="P81" s="410"/>
    </row>
    <row r="82" spans="1:16" ht="27.75" x14ac:dyDescent="0.5">
      <c r="A82" s="1447" t="s">
        <v>115</v>
      </c>
      <c r="B82" s="1448"/>
      <c r="C82" s="1449"/>
      <c r="D82" s="605" t="s">
        <v>159</v>
      </c>
      <c r="E82" s="768">
        <f>'[1]14'!F82</f>
        <v>103981</v>
      </c>
      <c r="F82" s="768">
        <v>104025</v>
      </c>
      <c r="G82" s="593">
        <f t="shared" si="6"/>
        <v>44</v>
      </c>
      <c r="H82" s="580">
        <f>G82+'[1]14'!H82</f>
        <v>495.35000000000582</v>
      </c>
      <c r="I82" s="606"/>
      <c r="J82" s="673">
        <f>H82/DAY(B2)</f>
        <v>33.023333333333724</v>
      </c>
      <c r="K82" s="510"/>
      <c r="L82" s="405"/>
      <c r="N82" s="854"/>
      <c r="O82" s="861"/>
      <c r="P82" s="410"/>
    </row>
    <row r="83" spans="1:16" ht="27.75" x14ac:dyDescent="0.5">
      <c r="A83" s="1447" t="s">
        <v>227</v>
      </c>
      <c r="B83" s="1448"/>
      <c r="C83" s="1449"/>
      <c r="D83" s="741" t="s">
        <v>159</v>
      </c>
      <c r="E83" s="631">
        <f>'[1]14'!F83</f>
        <v>967556</v>
      </c>
      <c r="F83" s="631">
        <v>967912</v>
      </c>
      <c r="G83" s="593">
        <f t="shared" si="6"/>
        <v>356</v>
      </c>
      <c r="H83" s="580">
        <f>G83+'[1]14'!H83</f>
        <v>5387</v>
      </c>
      <c r="I83" s="601"/>
      <c r="J83" s="673">
        <f>H83/DAY(B2)</f>
        <v>359.13333333333333</v>
      </c>
      <c r="K83" s="509"/>
      <c r="L83" s="405"/>
      <c r="N83" s="854"/>
      <c r="O83" s="861"/>
      <c r="P83" s="410"/>
    </row>
    <row r="84" spans="1:16" s="523" customFormat="1" x14ac:dyDescent="0.5">
      <c r="A84" s="1299" t="s">
        <v>228</v>
      </c>
      <c r="B84" s="1300"/>
      <c r="C84" s="1300"/>
      <c r="D84" s="768" t="s">
        <v>159</v>
      </c>
      <c r="E84" s="748">
        <f>'[1]14'!F84</f>
        <v>389042</v>
      </c>
      <c r="F84" s="748">
        <v>389604</v>
      </c>
      <c r="G84" s="769">
        <f t="shared" si="6"/>
        <v>562</v>
      </c>
      <c r="H84" s="841">
        <f>G84+'[1]14'!H84</f>
        <v>8248</v>
      </c>
      <c r="I84" s="769"/>
      <c r="J84" s="673">
        <f>H84/DAY(B2)</f>
        <v>549.86666666666667</v>
      </c>
      <c r="K84" s="869"/>
      <c r="L84" s="1250"/>
      <c r="N84" s="854"/>
      <c r="O84" s="863"/>
      <c r="P84" s="849"/>
    </row>
    <row r="85" spans="1:16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SUM(G72:G84)</f>
        <v>2525</v>
      </c>
      <c r="H85" s="580">
        <f>G85+'[1]14'!H85</f>
        <v>34960.519999999931</v>
      </c>
      <c r="I85" s="601"/>
      <c r="J85" s="673">
        <f>H85/DAY(B2)</f>
        <v>2330.7013333333289</v>
      </c>
      <c r="K85" s="408"/>
      <c r="L85" s="406"/>
      <c r="N85" s="854"/>
      <c r="O85" s="861"/>
      <c r="P85" s="410"/>
    </row>
    <row r="86" spans="1:16" s="871" customFormat="1" x14ac:dyDescent="0.5">
      <c r="A86" s="866" t="s">
        <v>117</v>
      </c>
      <c r="B86" s="867"/>
      <c r="C86" s="867"/>
      <c r="D86" s="868" t="s">
        <v>210</v>
      </c>
      <c r="E86" s="764">
        <f>'[1]14'!F86</f>
        <v>442567</v>
      </c>
      <c r="F86" s="764">
        <v>442706</v>
      </c>
      <c r="G86" s="841">
        <f t="shared" ref="G86:G90" si="7">F86-E86</f>
        <v>139</v>
      </c>
      <c r="H86" s="841">
        <f t="shared" ref="H86:H88" si="8">G86</f>
        <v>139</v>
      </c>
      <c r="I86" s="769"/>
      <c r="J86" s="843">
        <f>H86/DAY(B2)</f>
        <v>9.2666666666666675</v>
      </c>
      <c r="K86" s="869"/>
      <c r="L86" s="870"/>
      <c r="O86" s="849"/>
    </row>
    <row r="87" spans="1:16" s="871" customFormat="1" x14ac:dyDescent="0.5">
      <c r="A87" s="866" t="s">
        <v>118</v>
      </c>
      <c r="B87" s="867"/>
      <c r="C87" s="867"/>
      <c r="D87" s="868" t="s">
        <v>210</v>
      </c>
      <c r="E87" s="764">
        <f>'[1]14'!F87</f>
        <v>77312</v>
      </c>
      <c r="F87" s="764">
        <v>77349</v>
      </c>
      <c r="G87" s="841">
        <f t="shared" si="7"/>
        <v>37</v>
      </c>
      <c r="H87" s="841">
        <f t="shared" si="8"/>
        <v>37</v>
      </c>
      <c r="I87" s="769"/>
      <c r="J87" s="843">
        <f>H87/DAY(B2)</f>
        <v>2.4666666666666668</v>
      </c>
      <c r="K87" s="869"/>
      <c r="L87" s="870"/>
      <c r="O87" s="849"/>
    </row>
    <row r="88" spans="1:16" s="871" customFormat="1" x14ac:dyDescent="0.5">
      <c r="A88" s="866" t="s">
        <v>119</v>
      </c>
      <c r="B88" s="867"/>
      <c r="C88" s="867"/>
      <c r="D88" s="868" t="s">
        <v>210</v>
      </c>
      <c r="E88" s="764">
        <f>'[1]14'!F88</f>
        <v>143471</v>
      </c>
      <c r="F88" s="764">
        <v>143555</v>
      </c>
      <c r="G88" s="841">
        <f t="shared" si="7"/>
        <v>84</v>
      </c>
      <c r="H88" s="841">
        <f t="shared" si="8"/>
        <v>84</v>
      </c>
      <c r="I88" s="769"/>
      <c r="J88" s="843">
        <f>H88/DAY(B2)</f>
        <v>5.6</v>
      </c>
      <c r="K88" s="869"/>
      <c r="L88" s="870"/>
      <c r="O88" s="849"/>
    </row>
    <row r="89" spans="1:16" s="871" customFormat="1" x14ac:dyDescent="0.5">
      <c r="A89" s="866" t="s">
        <v>230</v>
      </c>
      <c r="B89" s="867"/>
      <c r="C89" s="867"/>
      <c r="D89" s="868" t="s">
        <v>210</v>
      </c>
      <c r="E89" s="764">
        <f>'[1]14'!F89</f>
        <v>56502</v>
      </c>
      <c r="F89" s="764">
        <v>56561</v>
      </c>
      <c r="G89" s="841">
        <f t="shared" si="7"/>
        <v>59</v>
      </c>
      <c r="H89" s="841">
        <f>G89</f>
        <v>59</v>
      </c>
      <c r="I89" s="769"/>
      <c r="J89" s="843">
        <f>H89/DAY(B2)</f>
        <v>3.9333333333333331</v>
      </c>
      <c r="K89" s="869"/>
      <c r="L89" s="870"/>
      <c r="N89" s="919"/>
      <c r="O89" s="410"/>
    </row>
    <row r="90" spans="1:16" s="871" customFormat="1" x14ac:dyDescent="0.5">
      <c r="A90" s="866" t="s">
        <v>230</v>
      </c>
      <c r="B90" s="867"/>
      <c r="C90" s="867"/>
      <c r="D90" s="868" t="s">
        <v>210</v>
      </c>
      <c r="E90" s="764">
        <f>'[1]14'!F90</f>
        <v>2931</v>
      </c>
      <c r="F90" s="764">
        <v>2934</v>
      </c>
      <c r="G90" s="841">
        <f t="shared" si="7"/>
        <v>3</v>
      </c>
      <c r="H90" s="841">
        <f>G90</f>
        <v>3</v>
      </c>
      <c r="I90" s="769"/>
      <c r="J90" s="843">
        <f>H90/DAY(B2)</f>
        <v>0.2</v>
      </c>
      <c r="K90" s="869"/>
      <c r="L90" s="870"/>
      <c r="N90" s="919"/>
      <c r="O90" s="410"/>
    </row>
    <row r="91" spans="1:16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854"/>
      <c r="O91" s="861"/>
      <c r="P91" s="410"/>
    </row>
    <row r="92" spans="1:16" ht="27.75" x14ac:dyDescent="0.5">
      <c r="A92" s="1398" t="s">
        <v>233</v>
      </c>
      <c r="B92" s="1399"/>
      <c r="C92" s="1400"/>
      <c r="D92" s="643" t="s">
        <v>171</v>
      </c>
      <c r="E92" s="598">
        <f>'[1]14'!F92</f>
        <v>232442</v>
      </c>
      <c r="F92" s="598">
        <v>232467</v>
      </c>
      <c r="G92" s="593">
        <f t="shared" ref="G92:G93" si="9">F92-E92</f>
        <v>25</v>
      </c>
      <c r="H92" s="580">
        <f>G92+'[1]14'!H92</f>
        <v>1492</v>
      </c>
      <c r="I92" s="600"/>
      <c r="J92" s="673">
        <f>H92/DAY(B2)</f>
        <v>99.466666666666669</v>
      </c>
      <c r="K92" s="509"/>
      <c r="L92" s="405"/>
      <c r="N92" s="854"/>
      <c r="O92" s="861"/>
      <c r="P92" s="410"/>
    </row>
    <row r="93" spans="1:16" ht="27.75" x14ac:dyDescent="0.5">
      <c r="A93" s="1398" t="s">
        <v>234</v>
      </c>
      <c r="B93" s="1399"/>
      <c r="C93" s="1400"/>
      <c r="D93" s="643" t="s">
        <v>171</v>
      </c>
      <c r="E93" s="598">
        <f>'[1]14'!F93</f>
        <v>164758</v>
      </c>
      <c r="F93" s="598">
        <v>164890</v>
      </c>
      <c r="G93" s="593">
        <f t="shared" si="9"/>
        <v>132</v>
      </c>
      <c r="H93" s="580">
        <f>G93+'[1]14'!H93</f>
        <v>2248</v>
      </c>
      <c r="I93" s="600"/>
      <c r="J93" s="673">
        <f>H93/DAY(B2)</f>
        <v>149.86666666666667</v>
      </c>
      <c r="K93" s="408"/>
      <c r="L93" s="405"/>
      <c r="N93" s="854"/>
      <c r="O93" s="861"/>
      <c r="P93" s="410"/>
    </row>
    <row r="94" spans="1:16" x14ac:dyDescent="0.5">
      <c r="A94" s="1392" t="s">
        <v>235</v>
      </c>
      <c r="B94" s="1393"/>
      <c r="C94" s="1394"/>
      <c r="D94" s="643"/>
      <c r="E94" s="598"/>
      <c r="F94" s="598"/>
      <c r="G94" s="593">
        <f>G92+G93</f>
        <v>157</v>
      </c>
      <c r="H94" s="580">
        <f>G94+'[1]14'!H94</f>
        <v>3477</v>
      </c>
      <c r="I94" s="600"/>
      <c r="J94" s="673">
        <f>H94/DAY(B2)</f>
        <v>231.8</v>
      </c>
      <c r="K94" s="408"/>
      <c r="L94" s="405"/>
      <c r="N94" s="854"/>
      <c r="O94" s="861"/>
      <c r="P94" s="410"/>
    </row>
    <row r="95" spans="1:16" ht="27.75" x14ac:dyDescent="0.5">
      <c r="A95" s="1398" t="s">
        <v>236</v>
      </c>
      <c r="B95" s="1399"/>
      <c r="C95" s="1400"/>
      <c r="D95" s="643" t="s">
        <v>171</v>
      </c>
      <c r="E95" s="598">
        <f>'[1]14'!F95</f>
        <v>402516</v>
      </c>
      <c r="F95" s="598">
        <v>402567</v>
      </c>
      <c r="G95" s="593">
        <f t="shared" ref="G95:G100" si="10">F95-E95</f>
        <v>51</v>
      </c>
      <c r="H95" s="580">
        <f>G95+'[1]14'!H95</f>
        <v>1002</v>
      </c>
      <c r="I95" s="600"/>
      <c r="J95" s="673">
        <f>H95/DAY(B2)</f>
        <v>66.8</v>
      </c>
      <c r="K95" s="408"/>
      <c r="L95" s="405"/>
      <c r="N95" s="854"/>
      <c r="O95" s="861"/>
      <c r="P95" s="410"/>
    </row>
    <row r="96" spans="1:16" ht="27.75" x14ac:dyDescent="0.5">
      <c r="A96" s="1354" t="s">
        <v>237</v>
      </c>
      <c r="B96" s="1355"/>
      <c r="C96" s="1355"/>
      <c r="D96" s="643" t="s">
        <v>171</v>
      </c>
      <c r="E96" s="598">
        <f>'[1]14'!F96</f>
        <v>99543</v>
      </c>
      <c r="F96" s="598">
        <v>99560</v>
      </c>
      <c r="G96" s="593">
        <f t="shared" si="10"/>
        <v>17</v>
      </c>
      <c r="H96" s="580">
        <f>G96+'[1]14'!H96</f>
        <v>449</v>
      </c>
      <c r="I96" s="600"/>
      <c r="J96" s="673">
        <f>H96/DAY(B2)</f>
        <v>29.933333333333334</v>
      </c>
      <c r="K96" s="507"/>
      <c r="L96" s="405"/>
      <c r="N96" s="854"/>
      <c r="O96" s="861"/>
      <c r="P96" s="410"/>
    </row>
    <row r="97" spans="1:16" ht="27.75" x14ac:dyDescent="0.5">
      <c r="A97" s="1354" t="s">
        <v>238</v>
      </c>
      <c r="B97" s="1355"/>
      <c r="C97" s="1355"/>
      <c r="D97" s="643" t="s">
        <v>171</v>
      </c>
      <c r="E97" s="598">
        <f>'[1]14'!F97</f>
        <v>94636</v>
      </c>
      <c r="F97" s="598">
        <v>94662</v>
      </c>
      <c r="G97" s="593">
        <f t="shared" si="10"/>
        <v>26</v>
      </c>
      <c r="H97" s="580">
        <f>G97+'[1]14'!H97</f>
        <v>390</v>
      </c>
      <c r="I97" s="600"/>
      <c r="J97" s="673">
        <f>H97/DAY(B2)</f>
        <v>26</v>
      </c>
      <c r="K97" s="512"/>
      <c r="L97" s="405"/>
      <c r="N97" s="854"/>
      <c r="O97" s="861"/>
      <c r="P97" s="410"/>
    </row>
    <row r="98" spans="1:16" ht="27.75" x14ac:dyDescent="0.5">
      <c r="A98" s="1354" t="s">
        <v>239</v>
      </c>
      <c r="B98" s="1355"/>
      <c r="C98" s="1355"/>
      <c r="D98" s="643" t="s">
        <v>171</v>
      </c>
      <c r="E98" s="598">
        <f>'[1]14'!F98</f>
        <v>142960</v>
      </c>
      <c r="F98" s="598">
        <v>143046</v>
      </c>
      <c r="G98" s="593">
        <f t="shared" si="10"/>
        <v>86</v>
      </c>
      <c r="H98" s="580">
        <f>G98+'[1]14'!H98</f>
        <v>900</v>
      </c>
      <c r="I98" s="600"/>
      <c r="J98" s="673">
        <f>H98/DAY(B2)</f>
        <v>60</v>
      </c>
      <c r="K98" s="408"/>
      <c r="L98" s="405"/>
      <c r="N98" s="856"/>
      <c r="O98" s="861"/>
      <c r="P98" s="410"/>
    </row>
    <row r="99" spans="1:16" ht="27.75" x14ac:dyDescent="0.5">
      <c r="A99" s="1354" t="s">
        <v>240</v>
      </c>
      <c r="B99" s="1355"/>
      <c r="C99" s="1355"/>
      <c r="D99" s="643" t="s">
        <v>171</v>
      </c>
      <c r="E99" s="598">
        <f>'[1]14'!F99</f>
        <v>5265</v>
      </c>
      <c r="F99" s="598">
        <v>5276</v>
      </c>
      <c r="G99" s="593">
        <f t="shared" si="10"/>
        <v>11</v>
      </c>
      <c r="H99" s="580">
        <f>G99+'[1]14'!H99</f>
        <v>308</v>
      </c>
      <c r="I99" s="600"/>
      <c r="J99" s="673">
        <f>H99/DAY(B2)</f>
        <v>20.533333333333335</v>
      </c>
      <c r="K99" s="408"/>
      <c r="L99" s="405"/>
      <c r="N99" s="854"/>
      <c r="O99" s="861"/>
      <c r="P99" s="410"/>
    </row>
    <row r="100" spans="1:16" ht="27.75" x14ac:dyDescent="0.5">
      <c r="A100" s="1354" t="s">
        <v>241</v>
      </c>
      <c r="B100" s="1355"/>
      <c r="C100" s="1355"/>
      <c r="D100" s="643" t="s">
        <v>171</v>
      </c>
      <c r="E100" s="598">
        <f>'[1]14'!F100</f>
        <v>3674</v>
      </c>
      <c r="F100" s="598">
        <v>3674</v>
      </c>
      <c r="G100" s="593">
        <f t="shared" si="10"/>
        <v>0</v>
      </c>
      <c r="H100" s="580">
        <f>G100+'[1]14'!H100</f>
        <v>0</v>
      </c>
      <c r="I100" s="600"/>
      <c r="J100" s="673">
        <f>H100/DAY(B2)</f>
        <v>0</v>
      </c>
      <c r="K100" s="408"/>
      <c r="L100" s="405"/>
      <c r="N100" s="854"/>
      <c r="O100" s="861"/>
      <c r="P100" s="410"/>
    </row>
    <row r="101" spans="1:16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191</v>
      </c>
      <c r="H101" s="580">
        <f>G101+'[1]14'!H101</f>
        <v>3049</v>
      </c>
      <c r="I101" s="646"/>
      <c r="J101" s="673">
        <f>H101/DAY(B2)</f>
        <v>203.26666666666668</v>
      </c>
      <c r="K101" s="408"/>
      <c r="L101" s="405"/>
      <c r="N101" s="854"/>
      <c r="O101" s="861"/>
      <c r="P101" s="410"/>
    </row>
    <row r="102" spans="1:16" s="524" customFormat="1" ht="27" x14ac:dyDescent="0.35">
      <c r="A102" s="728" t="s">
        <v>243</v>
      </c>
      <c r="B102" s="729"/>
      <c r="C102" s="729"/>
      <c r="D102" s="742"/>
      <c r="E102" s="774"/>
      <c r="F102" s="774"/>
      <c r="G102" s="649"/>
      <c r="H102" s="650"/>
      <c r="I102" s="651"/>
      <c r="J102" s="678"/>
      <c r="N102" s="854"/>
      <c r="O102" s="861"/>
      <c r="P102" s="410"/>
    </row>
    <row r="103" spans="1:16" s="524" customFormat="1" ht="27.75" x14ac:dyDescent="0.5">
      <c r="A103" s="1404" t="s">
        <v>244</v>
      </c>
      <c r="B103" s="1405"/>
      <c r="C103" s="694"/>
      <c r="D103" s="743"/>
      <c r="E103" s="775"/>
      <c r="F103" s="775"/>
      <c r="G103" s="652"/>
      <c r="H103" s="653"/>
      <c r="I103" s="652"/>
      <c r="J103" s="679"/>
      <c r="N103" s="854"/>
      <c r="O103" s="861"/>
      <c r="P103" s="410"/>
    </row>
    <row r="104" spans="1:16" s="524" customFormat="1" ht="27.75" x14ac:dyDescent="0.5">
      <c r="A104" s="1406" t="s">
        <v>245</v>
      </c>
      <c r="B104" s="1407"/>
      <c r="C104" s="1359"/>
      <c r="D104" s="743" t="s">
        <v>171</v>
      </c>
      <c r="E104" s="775">
        <f>'[1]14'!F104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3.8</v>
      </c>
      <c r="N104" s="854"/>
      <c r="O104" s="861"/>
      <c r="P104" s="410"/>
    </row>
    <row r="105" spans="1:16" s="524" customFormat="1" ht="27.75" x14ac:dyDescent="0.5">
      <c r="A105" s="1406" t="s">
        <v>92</v>
      </c>
      <c r="B105" s="1407"/>
      <c r="C105" s="1359"/>
      <c r="D105" s="743" t="s">
        <v>171</v>
      </c>
      <c r="E105" s="776">
        <f>'[1]14'!F105</f>
        <v>34795</v>
      </c>
      <c r="F105" s="776">
        <v>34800</v>
      </c>
      <c r="G105" s="652">
        <f t="shared" ref="G105:G106" si="11">F105-E105</f>
        <v>5</v>
      </c>
      <c r="H105" s="653">
        <f>SUM(G105+'[1]1'!G77)</f>
        <v>60</v>
      </c>
      <c r="I105" s="652"/>
      <c r="J105" s="679">
        <f>H105/DAY(B2)</f>
        <v>4</v>
      </c>
      <c r="N105" s="854"/>
      <c r="O105" s="861"/>
      <c r="P105" s="410"/>
    </row>
    <row r="106" spans="1:16" s="524" customFormat="1" ht="27.75" x14ac:dyDescent="0.5">
      <c r="A106" s="1406" t="s">
        <v>93</v>
      </c>
      <c r="B106" s="1408"/>
      <c r="C106" s="1407"/>
      <c r="D106" s="743" t="s">
        <v>171</v>
      </c>
      <c r="E106" s="776">
        <f>'[1]14'!F106</f>
        <v>18806</v>
      </c>
      <c r="F106" s="776">
        <v>18811</v>
      </c>
      <c r="G106" s="652">
        <f t="shared" si="11"/>
        <v>5</v>
      </c>
      <c r="H106" s="653">
        <f>SUM(G106+'[1]1'!G78)</f>
        <v>485</v>
      </c>
      <c r="I106" s="652"/>
      <c r="J106" s="679">
        <f>H106/DAY(B2)</f>
        <v>32.333333333333336</v>
      </c>
      <c r="N106" s="854"/>
      <c r="O106" s="861"/>
      <c r="P106" s="410"/>
    </row>
    <row r="107" spans="1:16" s="524" customFormat="1" ht="27.75" x14ac:dyDescent="0.5">
      <c r="A107" s="1409" t="s">
        <v>82</v>
      </c>
      <c r="B107" s="1410"/>
      <c r="C107" s="1359"/>
      <c r="D107" s="743"/>
      <c r="E107" s="776">
        <f>'[1]14'!F107</f>
        <v>0</v>
      </c>
      <c r="F107" s="776"/>
      <c r="G107" s="652">
        <f>SUM(G104:G106)</f>
        <v>10</v>
      </c>
      <c r="H107" s="653">
        <f>SUM(G107+'[1]1'!G79)</f>
        <v>211</v>
      </c>
      <c r="I107" s="652"/>
      <c r="J107" s="679">
        <f>H107/DAY(B2)</f>
        <v>14.066666666666666</v>
      </c>
      <c r="N107" s="854"/>
      <c r="O107" s="861"/>
      <c r="P107" s="410"/>
    </row>
    <row r="108" spans="1:16" s="524" customFormat="1" ht="27.75" x14ac:dyDescent="0.5">
      <c r="A108" s="1411" t="s">
        <v>94</v>
      </c>
      <c r="B108" s="1412"/>
      <c r="C108" s="1359"/>
      <c r="D108" s="743" t="s">
        <v>171</v>
      </c>
      <c r="E108" s="776">
        <f>'[1]14'!F108</f>
        <v>0</v>
      </c>
      <c r="F108" s="776"/>
      <c r="G108" s="652"/>
      <c r="H108" s="653"/>
      <c r="I108" s="652"/>
      <c r="J108" s="679"/>
      <c r="N108" s="854"/>
      <c r="O108" s="861"/>
      <c r="P108" s="410"/>
    </row>
    <row r="109" spans="1:16" s="524" customFormat="1" ht="27.75" x14ac:dyDescent="0.5">
      <c r="A109" s="1406" t="s">
        <v>246</v>
      </c>
      <c r="B109" s="1407"/>
      <c r="C109" s="1359"/>
      <c r="D109" s="743" t="s">
        <v>171</v>
      </c>
      <c r="E109" s="776">
        <f>'[1]14'!F109</f>
        <v>52123</v>
      </c>
      <c r="F109" s="776">
        <v>52183</v>
      </c>
      <c r="G109" s="652">
        <f>F109-E109</f>
        <v>60</v>
      </c>
      <c r="H109" s="653">
        <f>SUM(G109+'[1]1'!G81)</f>
        <v>213.28000000002794</v>
      </c>
      <c r="I109" s="652"/>
      <c r="J109" s="679">
        <f>H109/DAY(B2)</f>
        <v>14.218666666668529</v>
      </c>
      <c r="N109" s="854"/>
      <c r="O109" s="861"/>
      <c r="P109" s="410"/>
    </row>
    <row r="110" spans="1:16" s="524" customFormat="1" ht="27.75" x14ac:dyDescent="0.5">
      <c r="A110" s="1406" t="s">
        <v>247</v>
      </c>
      <c r="B110" s="1407"/>
      <c r="C110" s="1359"/>
      <c r="D110" s="743" t="s">
        <v>171</v>
      </c>
      <c r="E110" s="776">
        <f>'[1]14'!F110</f>
        <v>26119</v>
      </c>
      <c r="F110" s="776">
        <v>26169</v>
      </c>
      <c r="G110" s="652">
        <f t="shared" ref="G110:G111" si="12">F110-E110</f>
        <v>50</v>
      </c>
      <c r="H110" s="653">
        <f>SUM(G110+'[1]1'!G82)</f>
        <v>70.760000000009313</v>
      </c>
      <c r="I110" s="652"/>
      <c r="J110" s="679">
        <f>H110/DAY(B2)</f>
        <v>4.7173333333339542</v>
      </c>
      <c r="N110" s="854"/>
      <c r="O110" s="861"/>
      <c r="P110" s="410"/>
    </row>
    <row r="111" spans="1:16" s="524" customFormat="1" ht="27.75" x14ac:dyDescent="0.5">
      <c r="A111" s="1406" t="s">
        <v>248</v>
      </c>
      <c r="B111" s="1407"/>
      <c r="C111" s="1359"/>
      <c r="D111" s="743" t="s">
        <v>171</v>
      </c>
      <c r="E111" s="776">
        <f>'[1]14'!F111</f>
        <v>3458</v>
      </c>
      <c r="F111" s="776">
        <v>3458</v>
      </c>
      <c r="G111" s="652">
        <f t="shared" si="12"/>
        <v>0</v>
      </c>
      <c r="H111" s="653">
        <f>SUM(G111+'[1]1'!G83)</f>
        <v>346</v>
      </c>
      <c r="I111" s="652"/>
      <c r="J111" s="679">
        <f>H111/DAY(B2)</f>
        <v>23.066666666666666</v>
      </c>
      <c r="N111" s="854"/>
      <c r="O111" s="861"/>
      <c r="P111" s="410"/>
    </row>
    <row r="112" spans="1:16" s="524" customFormat="1" ht="27.75" x14ac:dyDescent="0.5">
      <c r="A112" s="1409" t="s">
        <v>136</v>
      </c>
      <c r="B112" s="1410"/>
      <c r="C112" s="1359"/>
      <c r="D112" s="743"/>
      <c r="E112" s="776">
        <f>'[1]14'!F112</f>
        <v>0</v>
      </c>
      <c r="F112" s="776"/>
      <c r="G112" s="652">
        <f>SUM(G109:G111)</f>
        <v>110</v>
      </c>
      <c r="H112" s="653">
        <f>SUM(G112+'[1]1'!G84)</f>
        <v>674</v>
      </c>
      <c r="I112" s="652"/>
      <c r="J112" s="679">
        <f>H112/DAY(B2)</f>
        <v>44.93333333333333</v>
      </c>
      <c r="N112" s="854"/>
      <c r="O112" s="861"/>
      <c r="P112" s="410"/>
    </row>
    <row r="113" spans="1:16" s="524" customFormat="1" ht="27.75" x14ac:dyDescent="0.5">
      <c r="A113" s="1411" t="s">
        <v>249</v>
      </c>
      <c r="B113" s="1412"/>
      <c r="C113" s="1359"/>
      <c r="D113" s="743"/>
      <c r="E113" s="776">
        <f>'[1]14'!F113</f>
        <v>0</v>
      </c>
      <c r="F113" s="776"/>
      <c r="G113" s="652"/>
      <c r="H113" s="653"/>
      <c r="I113" s="652"/>
      <c r="J113" s="679">
        <f>H113/DAY(B2)</f>
        <v>0</v>
      </c>
      <c r="N113" s="854"/>
      <c r="O113" s="861"/>
      <c r="P113" s="410"/>
    </row>
    <row r="114" spans="1:16" s="524" customFormat="1" ht="27.75" x14ac:dyDescent="0.5">
      <c r="A114" s="1406" t="s">
        <v>250</v>
      </c>
      <c r="B114" s="1407"/>
      <c r="C114" s="695"/>
      <c r="D114" s="743" t="s">
        <v>171</v>
      </c>
      <c r="E114" s="776">
        <f>'[1]14'!F114</f>
        <v>8953</v>
      </c>
      <c r="F114" s="776">
        <v>8967</v>
      </c>
      <c r="G114" s="654">
        <f>F114-E114</f>
        <v>14</v>
      </c>
      <c r="H114" s="653">
        <f>SUM(G114+'[1]1'!G91)</f>
        <v>14</v>
      </c>
      <c r="I114" s="652"/>
      <c r="J114" s="679">
        <f>H114/DAY(B2)</f>
        <v>0.93333333333333335</v>
      </c>
      <c r="N114" s="854"/>
      <c r="O114" s="861"/>
      <c r="P114" s="410"/>
    </row>
    <row r="115" spans="1:16" s="524" customFormat="1" ht="27.75" x14ac:dyDescent="0.5">
      <c r="A115" s="1406" t="s">
        <v>251</v>
      </c>
      <c r="B115" s="1407"/>
      <c r="C115" s="695"/>
      <c r="D115" s="743" t="s">
        <v>171</v>
      </c>
      <c r="E115" s="776">
        <f>'[1]14'!F115</f>
        <v>6989</v>
      </c>
      <c r="F115" s="776">
        <v>7007</v>
      </c>
      <c r="G115" s="654">
        <f t="shared" ref="G115:G116" si="13">F115-E115</f>
        <v>18</v>
      </c>
      <c r="H115" s="653">
        <f>SUM(G115+'[1]1'!G92)</f>
        <v>130</v>
      </c>
      <c r="I115" s="652"/>
      <c r="J115" s="679">
        <f>H115/DAY(B2)</f>
        <v>8.6666666666666661</v>
      </c>
      <c r="N115" s="854"/>
      <c r="O115" s="861"/>
      <c r="P115" s="410"/>
    </row>
    <row r="116" spans="1:16" s="524" customFormat="1" ht="27.75" x14ac:dyDescent="0.5">
      <c r="A116" s="1406" t="s">
        <v>252</v>
      </c>
      <c r="B116" s="1407"/>
      <c r="C116" s="695"/>
      <c r="D116" s="743" t="s">
        <v>171</v>
      </c>
      <c r="E116" s="776">
        <f>'[1]14'!F116</f>
        <v>0</v>
      </c>
      <c r="F116" s="776">
        <v>0</v>
      </c>
      <c r="G116" s="654">
        <f t="shared" si="13"/>
        <v>0</v>
      </c>
      <c r="H116" s="653">
        <f>SUM(G116+'[1]1'!G93)</f>
        <v>151</v>
      </c>
      <c r="I116" s="652"/>
      <c r="J116" s="679">
        <f>H116/DAY(B2)</f>
        <v>10.066666666666666</v>
      </c>
      <c r="N116" s="854"/>
      <c r="O116" s="861"/>
      <c r="P116" s="410"/>
    </row>
    <row r="117" spans="1:16" s="537" customFormat="1" ht="27.75" x14ac:dyDescent="0.5">
      <c r="A117" s="1409" t="s">
        <v>82</v>
      </c>
      <c r="B117" s="1410"/>
      <c r="C117" s="695"/>
      <c r="D117" s="744"/>
      <c r="E117" s="776"/>
      <c r="F117" s="776"/>
      <c r="G117" s="654">
        <f>SUM(G114:G116)</f>
        <v>32</v>
      </c>
      <c r="H117" s="653">
        <f>SUM(G117+'[1]1'!G95)</f>
        <v>79</v>
      </c>
      <c r="I117" s="654"/>
      <c r="J117" s="679">
        <f>H117/DAY(B2)</f>
        <v>5.2666666666666666</v>
      </c>
      <c r="N117" s="854"/>
      <c r="O117" s="861"/>
      <c r="P117" s="410"/>
    </row>
    <row r="118" spans="1:16" s="538" customFormat="1" ht="27.75" x14ac:dyDescent="0.5">
      <c r="A118" s="1437" t="s">
        <v>253</v>
      </c>
      <c r="B118" s="1438"/>
      <c r="C118" s="1362"/>
      <c r="D118" s="745" t="s">
        <v>171</v>
      </c>
      <c r="E118" s="777"/>
      <c r="F118" s="777">
        <f>SUM(G19+G92)</f>
        <v>81</v>
      </c>
      <c r="G118" s="656">
        <f>SUM(G19+G92)</f>
        <v>81</v>
      </c>
      <c r="H118" s="653">
        <f>SUM(G118+'[1]1'!G96)</f>
        <v>114</v>
      </c>
      <c r="I118" s="655"/>
      <c r="J118" s="680">
        <f>H118/DAY(B2)</f>
        <v>7.6</v>
      </c>
      <c r="N118" s="854"/>
      <c r="O118" s="861"/>
      <c r="P118" s="410"/>
    </row>
    <row r="119" spans="1:16" s="538" customFormat="1" ht="27.75" x14ac:dyDescent="0.5">
      <c r="A119" s="1437" t="s">
        <v>254</v>
      </c>
      <c r="B119" s="1438"/>
      <c r="C119" s="1362"/>
      <c r="D119" s="745" t="s">
        <v>171</v>
      </c>
      <c r="E119" s="777"/>
      <c r="F119" s="777">
        <f>SUM(G95,G96,G97,G99,G100)</f>
        <v>105</v>
      </c>
      <c r="G119" s="656">
        <f>SUM(G95,G96,G97,G99,G100)</f>
        <v>105</v>
      </c>
      <c r="H119" s="653">
        <f>SUM(G119+'[1]1'!G98)</f>
        <v>172</v>
      </c>
      <c r="I119" s="655"/>
      <c r="J119" s="680">
        <f>H119/DAY(B2)</f>
        <v>11.466666666666667</v>
      </c>
      <c r="N119" s="854"/>
      <c r="O119" s="861"/>
      <c r="P119" s="410"/>
    </row>
    <row r="120" spans="1:16" s="538" customFormat="1" ht="27.75" x14ac:dyDescent="0.5">
      <c r="A120" s="1437" t="s">
        <v>255</v>
      </c>
      <c r="B120" s="1438"/>
      <c r="C120" s="1362"/>
      <c r="D120" s="745" t="s">
        <v>171</v>
      </c>
      <c r="E120" s="776"/>
      <c r="F120" s="776">
        <f>SUM(G112)</f>
        <v>110</v>
      </c>
      <c r="G120" s="654">
        <f>SUM(G112)</f>
        <v>110</v>
      </c>
      <c r="H120" s="653">
        <f>SUM(G120+'[1]1'!G100)</f>
        <v>110</v>
      </c>
      <c r="I120" s="655"/>
      <c r="J120" s="680">
        <f>H120/DAY(B2)</f>
        <v>7.333333333333333</v>
      </c>
      <c r="N120" s="854"/>
      <c r="O120" s="861"/>
      <c r="P120" s="410"/>
    </row>
    <row r="121" spans="1:16" s="524" customFormat="1" ht="27.75" x14ac:dyDescent="0.5">
      <c r="A121" s="1439"/>
      <c r="B121" s="1440"/>
      <c r="C121" s="1363"/>
      <c r="D121" s="681"/>
      <c r="E121" s="778"/>
      <c r="F121" s="778" t="s">
        <v>143</v>
      </c>
      <c r="G121" s="681"/>
      <c r="H121" s="682"/>
      <c r="I121" s="681"/>
      <c r="J121" s="683"/>
      <c r="N121" s="854"/>
      <c r="O121" s="861"/>
      <c r="P121" s="410"/>
    </row>
    <row r="122" spans="1:16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854"/>
      <c r="O122" s="861"/>
      <c r="P122" s="410"/>
    </row>
    <row r="123" spans="1:16" ht="27.75" x14ac:dyDescent="0.5">
      <c r="A123" s="1354" t="s">
        <v>257</v>
      </c>
      <c r="B123" s="1355"/>
      <c r="C123" s="1355"/>
      <c r="D123" s="643" t="s">
        <v>168</v>
      </c>
      <c r="E123" s="598">
        <f>'[1]14'!F123</f>
        <v>791650</v>
      </c>
      <c r="F123" s="598">
        <v>791886</v>
      </c>
      <c r="G123" s="593">
        <f>F123-E123</f>
        <v>236</v>
      </c>
      <c r="H123" s="580">
        <f>G123+'[1]14'!H123</f>
        <v>3054.9300000000512</v>
      </c>
      <c r="I123" s="646"/>
      <c r="J123" s="673">
        <f>H123/DAY(B2)</f>
        <v>203.66200000000342</v>
      </c>
      <c r="K123" s="408"/>
      <c r="L123" s="405"/>
      <c r="N123" s="854"/>
      <c r="O123" s="861"/>
      <c r="P123" s="410"/>
    </row>
    <row r="124" spans="1:16" ht="27.75" x14ac:dyDescent="0.5">
      <c r="A124" s="1354" t="s">
        <v>258</v>
      </c>
      <c r="B124" s="1355"/>
      <c r="C124" s="1355"/>
      <c r="D124" s="643" t="s">
        <v>168</v>
      </c>
      <c r="E124" s="747">
        <f>'[1]14'!F124</f>
        <v>73582</v>
      </c>
      <c r="F124" s="747">
        <v>73582</v>
      </c>
      <c r="G124" s="593">
        <f t="shared" ref="G124:G127" si="14">F124-E124</f>
        <v>0</v>
      </c>
      <c r="H124" s="580">
        <f>G124+'[1]14'!H124</f>
        <v>-0.19999999999708962</v>
      </c>
      <c r="I124" s="646"/>
      <c r="J124" s="673">
        <f>H124/DAY(B2)</f>
        <v>-1.3333333333139307E-2</v>
      </c>
      <c r="K124" s="408"/>
      <c r="L124" s="405"/>
      <c r="N124" s="854"/>
      <c r="O124" s="861"/>
      <c r="P124" s="410"/>
    </row>
    <row r="125" spans="1:16" ht="27.75" x14ac:dyDescent="0.5">
      <c r="A125" s="1395" t="s">
        <v>259</v>
      </c>
      <c r="B125" s="1396"/>
      <c r="C125" s="1397"/>
      <c r="D125" s="643" t="s">
        <v>168</v>
      </c>
      <c r="E125" s="598">
        <f>'[1]14'!F125</f>
        <v>134361</v>
      </c>
      <c r="F125" s="598">
        <v>134415</v>
      </c>
      <c r="G125" s="593">
        <f t="shared" si="14"/>
        <v>54</v>
      </c>
      <c r="H125" s="580">
        <f>G125+'[1]14'!H125</f>
        <v>1292.1199999999953</v>
      </c>
      <c r="I125" s="646"/>
      <c r="J125" s="673">
        <f>H125/DAY(B2)</f>
        <v>86.141333333333023</v>
      </c>
      <c r="K125" s="408"/>
      <c r="L125" s="405"/>
      <c r="N125" s="854"/>
      <c r="O125" s="861"/>
      <c r="P125" s="410"/>
    </row>
    <row r="126" spans="1:16" ht="27.75" x14ac:dyDescent="0.5">
      <c r="A126" s="730" t="s">
        <v>260</v>
      </c>
      <c r="B126" s="1355"/>
      <c r="C126" s="1355"/>
      <c r="D126" s="643" t="s">
        <v>168</v>
      </c>
      <c r="E126" s="747">
        <f>'[1]14'!F126</f>
        <v>56766</v>
      </c>
      <c r="F126" s="747">
        <v>56792</v>
      </c>
      <c r="G126" s="593">
        <f t="shared" si="14"/>
        <v>26</v>
      </c>
      <c r="H126" s="580">
        <f>G126+'[1]14'!H126</f>
        <v>443.80000000000291</v>
      </c>
      <c r="I126" s="646"/>
      <c r="J126" s="673">
        <f>H126/DAY(B2)</f>
        <v>29.586666666666861</v>
      </c>
      <c r="K126" s="408"/>
      <c r="L126" s="405"/>
      <c r="N126" s="854"/>
      <c r="O126" s="861"/>
      <c r="P126" s="410"/>
    </row>
    <row r="127" spans="1:16" ht="27.75" x14ac:dyDescent="0.5">
      <c r="A127" s="730" t="s">
        <v>261</v>
      </c>
      <c r="B127" s="1355"/>
      <c r="C127" s="1355"/>
      <c r="D127" s="643" t="s">
        <v>168</v>
      </c>
      <c r="E127" s="747">
        <f>'[1]14'!F127</f>
        <v>8665</v>
      </c>
      <c r="F127" s="747">
        <v>8668</v>
      </c>
      <c r="G127" s="593">
        <f t="shared" si="14"/>
        <v>3</v>
      </c>
      <c r="H127" s="580">
        <f>G127+'[1]14'!H127</f>
        <v>27.899999999999636</v>
      </c>
      <c r="I127" s="600"/>
      <c r="J127" s="673">
        <f>H127/DAY(B2)</f>
        <v>1.8599999999999757</v>
      </c>
      <c r="K127" s="408"/>
      <c r="L127" s="405"/>
      <c r="N127" s="854"/>
      <c r="O127" s="861"/>
      <c r="P127" s="410"/>
    </row>
    <row r="128" spans="1:16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400</v>
      </c>
      <c r="H128" s="580"/>
      <c r="I128" s="600"/>
      <c r="J128" s="673"/>
      <c r="K128" s="388"/>
      <c r="L128" s="290"/>
      <c r="N128" s="854"/>
      <c r="O128" s="861"/>
      <c r="P128" s="410"/>
    </row>
    <row r="129" spans="1:16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854"/>
      <c r="O129" s="861"/>
      <c r="P129" s="410"/>
    </row>
    <row r="130" spans="1:16" ht="27.75" x14ac:dyDescent="0.5">
      <c r="A130" s="1354" t="s">
        <v>264</v>
      </c>
      <c r="B130" s="1355"/>
      <c r="C130" s="1355"/>
      <c r="D130" s="643" t="s">
        <v>265</v>
      </c>
      <c r="E130" s="598">
        <f>'[1]14'!F130</f>
        <v>0</v>
      </c>
      <c r="F130" s="598">
        <v>0</v>
      </c>
      <c r="G130" s="593">
        <f t="shared" ref="G130:G140" si="15">F130-E130</f>
        <v>0</v>
      </c>
      <c r="H130" s="580">
        <f>G130+'[1]14'!H130</f>
        <v>0</v>
      </c>
      <c r="I130" s="600"/>
      <c r="J130" s="673">
        <f>H130/DAY(B2)</f>
        <v>0</v>
      </c>
      <c r="N130" s="854"/>
      <c r="O130" s="861"/>
      <c r="P130" s="410"/>
    </row>
    <row r="131" spans="1:16" ht="27.75" x14ac:dyDescent="0.5">
      <c r="A131" s="1354" t="s">
        <v>266</v>
      </c>
      <c r="B131" s="1355"/>
      <c r="C131" s="1355"/>
      <c r="D131" s="643" t="s">
        <v>265</v>
      </c>
      <c r="E131" s="598">
        <f>'[1]14'!F131</f>
        <v>0</v>
      </c>
      <c r="F131" s="598">
        <v>0</v>
      </c>
      <c r="G131" s="593">
        <f t="shared" si="15"/>
        <v>0</v>
      </c>
      <c r="H131" s="580">
        <f>G131+'[1]14'!H131</f>
        <v>0</v>
      </c>
      <c r="I131" s="600"/>
      <c r="J131" s="673">
        <f>H131/DAY(B2)</f>
        <v>0</v>
      </c>
      <c r="N131" s="854"/>
      <c r="O131" s="861"/>
      <c r="P131" s="410"/>
    </row>
    <row r="132" spans="1:16" ht="27.75" x14ac:dyDescent="0.5">
      <c r="A132" s="1354" t="s">
        <v>267</v>
      </c>
      <c r="B132" s="1355"/>
      <c r="C132" s="1355"/>
      <c r="D132" s="643" t="s">
        <v>265</v>
      </c>
      <c r="E132" s="598">
        <f>'[1]14'!F132</f>
        <v>38877</v>
      </c>
      <c r="F132" s="768">
        <v>38877</v>
      </c>
      <c r="G132" s="593">
        <f t="shared" si="15"/>
        <v>0</v>
      </c>
      <c r="H132" s="580">
        <f>G132+'[1]14'!H132</f>
        <v>0</v>
      </c>
      <c r="I132" s="600"/>
      <c r="J132" s="673">
        <f>H132/DAY(B2)</f>
        <v>0</v>
      </c>
      <c r="N132" s="854"/>
      <c r="O132" s="861"/>
      <c r="P132" s="410"/>
    </row>
    <row r="133" spans="1:16" ht="27.75" x14ac:dyDescent="0.5">
      <c r="A133" s="1354" t="s">
        <v>268</v>
      </c>
      <c r="B133" s="1355"/>
      <c r="C133" s="1355"/>
      <c r="D133" s="643" t="s">
        <v>265</v>
      </c>
      <c r="E133" s="598">
        <f>'[1]14'!F133</f>
        <v>260</v>
      </c>
      <c r="F133" s="747">
        <v>284</v>
      </c>
      <c r="G133" s="593">
        <f t="shared" si="15"/>
        <v>24</v>
      </c>
      <c r="H133" s="580">
        <f>G133+'[1]14'!H133</f>
        <v>284</v>
      </c>
      <c r="I133" s="600">
        <f>G130+G131+G132+G133</f>
        <v>24</v>
      </c>
      <c r="J133" s="673">
        <f>H133/DAY(B2)</f>
        <v>18.933333333333334</v>
      </c>
      <c r="N133" s="854"/>
      <c r="O133" s="861"/>
      <c r="P133" s="410"/>
    </row>
    <row r="134" spans="1:16" ht="27.75" x14ac:dyDescent="0.5">
      <c r="A134" s="1354" t="s">
        <v>269</v>
      </c>
      <c r="B134" s="1355"/>
      <c r="C134" s="1355"/>
      <c r="D134" s="643" t="s">
        <v>265</v>
      </c>
      <c r="E134" s="598">
        <f>'[1]14'!F134</f>
        <v>39735</v>
      </c>
      <c r="F134" s="747">
        <v>39735</v>
      </c>
      <c r="G134" s="593">
        <f t="shared" si="15"/>
        <v>0</v>
      </c>
      <c r="H134" s="580">
        <f>G134+'[1]14'!H134</f>
        <v>0</v>
      </c>
      <c r="I134" s="600"/>
      <c r="J134" s="673">
        <f>H134/DAY(B2)</f>
        <v>0</v>
      </c>
      <c r="N134" s="854"/>
      <c r="O134" s="861"/>
      <c r="P134" s="410"/>
    </row>
    <row r="135" spans="1:16" ht="27.75" x14ac:dyDescent="0.5">
      <c r="A135" s="1354" t="s">
        <v>270</v>
      </c>
      <c r="B135" s="1355"/>
      <c r="C135" s="1355"/>
      <c r="D135" s="643" t="s">
        <v>265</v>
      </c>
      <c r="E135" s="598">
        <f>'[1]14'!F135</f>
        <v>31796.240000000002</v>
      </c>
      <c r="F135" s="768">
        <v>31796.240000000002</v>
      </c>
      <c r="G135" s="593">
        <f t="shared" si="15"/>
        <v>0</v>
      </c>
      <c r="H135" s="580">
        <f>G135+'[1]14'!H135</f>
        <v>78.720000000001164</v>
      </c>
      <c r="I135" s="600"/>
      <c r="J135" s="673">
        <f>H135/DAY(B2)</f>
        <v>5.2480000000000775</v>
      </c>
      <c r="N135" s="854"/>
      <c r="O135" s="861"/>
      <c r="P135" s="410"/>
    </row>
    <row r="136" spans="1:16" ht="27.75" x14ac:dyDescent="0.5">
      <c r="A136" s="1354" t="s">
        <v>271</v>
      </c>
      <c r="B136" s="1355"/>
      <c r="C136" s="1355"/>
      <c r="D136" s="643" t="s">
        <v>265</v>
      </c>
      <c r="E136" s="598">
        <f>'[1]14'!F136</f>
        <v>21759.43</v>
      </c>
      <c r="F136" s="768">
        <v>21766.92</v>
      </c>
      <c r="G136" s="593">
        <f t="shared" si="15"/>
        <v>7.4899999999979627</v>
      </c>
      <c r="H136" s="580">
        <f>G136+'[1]14'!H136</f>
        <v>92.19999999999709</v>
      </c>
      <c r="I136" s="600">
        <f>G134+G135+G136</f>
        <v>7.4899999999979627</v>
      </c>
      <c r="J136" s="673">
        <f>H136/DAY(B2)</f>
        <v>6.1466666666664729</v>
      </c>
      <c r="N136" s="854"/>
      <c r="O136" s="861"/>
      <c r="P136" s="410"/>
    </row>
    <row r="137" spans="1:16" ht="27.75" x14ac:dyDescent="0.5">
      <c r="A137" s="1354" t="s">
        <v>272</v>
      </c>
      <c r="B137" s="1355"/>
      <c r="C137" s="1355"/>
      <c r="D137" s="643" t="s">
        <v>265</v>
      </c>
      <c r="E137" s="598">
        <f>'[1]14'!F137</f>
        <v>24932.57</v>
      </c>
      <c r="F137" s="768">
        <v>24932.57</v>
      </c>
      <c r="G137" s="593">
        <f t="shared" si="15"/>
        <v>0</v>
      </c>
      <c r="H137" s="580">
        <f>G137+'[1]14'!H137</f>
        <v>6.0000000001309672E-2</v>
      </c>
      <c r="I137" s="600"/>
      <c r="J137" s="673">
        <f>H137/DAY(B2)</f>
        <v>4.0000000000873113E-3</v>
      </c>
      <c r="N137" s="854"/>
      <c r="O137" s="861"/>
      <c r="P137" s="410"/>
    </row>
    <row r="138" spans="1:16" ht="27.75" x14ac:dyDescent="0.5">
      <c r="A138" s="1354" t="s">
        <v>273</v>
      </c>
      <c r="B138" s="1355"/>
      <c r="C138" s="1355"/>
      <c r="D138" s="643" t="s">
        <v>265</v>
      </c>
      <c r="E138" s="598">
        <f>'[1]14'!F138</f>
        <v>69985.02</v>
      </c>
      <c r="F138" s="768">
        <v>69985.02</v>
      </c>
      <c r="G138" s="593">
        <f t="shared" si="15"/>
        <v>0</v>
      </c>
      <c r="H138" s="580">
        <f>G138+'[1]14'!H138</f>
        <v>29.809999999997672</v>
      </c>
      <c r="I138" s="600">
        <f>G137+G138</f>
        <v>0</v>
      </c>
      <c r="J138" s="673">
        <f>H138/DAY(B2)</f>
        <v>1.9873333333331782</v>
      </c>
      <c r="N138" s="854"/>
      <c r="O138" s="861"/>
      <c r="P138" s="410"/>
    </row>
    <row r="139" spans="1:16" ht="27.75" x14ac:dyDescent="0.5">
      <c r="A139" s="1354" t="s">
        <v>274</v>
      </c>
      <c r="B139" s="1355"/>
      <c r="C139" s="1355"/>
      <c r="D139" s="643" t="s">
        <v>265</v>
      </c>
      <c r="E139" s="598">
        <f>'[1]14'!F139</f>
        <v>1020.67</v>
      </c>
      <c r="F139" s="747">
        <v>1026.74</v>
      </c>
      <c r="G139" s="593">
        <f t="shared" si="15"/>
        <v>6.07000000000005</v>
      </c>
      <c r="H139" s="580">
        <f>G139+'[1]14'!H139</f>
        <v>85.210000000000036</v>
      </c>
      <c r="I139" s="663"/>
      <c r="J139" s="673">
        <f>H139/DAY(B2)</f>
        <v>5.680666666666669</v>
      </c>
      <c r="N139" s="854"/>
      <c r="O139" s="861"/>
      <c r="P139" s="410"/>
    </row>
    <row r="140" spans="1:16" ht="27.75" x14ac:dyDescent="0.5">
      <c r="A140" s="1354" t="s">
        <v>275</v>
      </c>
      <c r="B140" s="1355"/>
      <c r="C140" s="1355"/>
      <c r="D140" s="643" t="s">
        <v>265</v>
      </c>
      <c r="E140" s="598">
        <f>'[1]14'!F140</f>
        <v>4156.9799999999996</v>
      </c>
      <c r="F140" s="598">
        <v>4156.9799999999996</v>
      </c>
      <c r="G140" s="593">
        <f t="shared" si="15"/>
        <v>0</v>
      </c>
      <c r="H140" s="580">
        <f>G140+'[1]14'!H140</f>
        <v>7.999999999992724E-2</v>
      </c>
      <c r="I140" s="663"/>
      <c r="J140" s="673">
        <f>H140/DAY(B2)</f>
        <v>5.3333333333284829E-3</v>
      </c>
      <c r="N140" s="854"/>
      <c r="O140" s="861"/>
      <c r="P140" s="410"/>
    </row>
    <row r="141" spans="1:16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854"/>
      <c r="O141" s="861"/>
      <c r="P141" s="410"/>
    </row>
    <row r="142" spans="1:16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4970</v>
      </c>
      <c r="H142" s="580">
        <f>G142+'[1]14'!H142</f>
        <v>77166.422999999952</v>
      </c>
      <c r="I142" s="600"/>
      <c r="J142" s="673">
        <f>H142/DAY(B2)</f>
        <v>5144.4281999999967</v>
      </c>
      <c r="K142" s="408"/>
      <c r="L142" s="405"/>
      <c r="N142" s="854"/>
      <c r="O142" s="861"/>
      <c r="P142" s="410"/>
    </row>
    <row r="143" spans="1:16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0.24918525946352468</v>
      </c>
      <c r="H143" s="580">
        <f>G143+'[1]14'!H143</f>
        <v>3.6247671164148598</v>
      </c>
      <c r="I143" s="665"/>
      <c r="J143" s="673">
        <f>H143/DAY(B2)</f>
        <v>0.24165114109432398</v>
      </c>
      <c r="K143" s="408"/>
      <c r="L143" s="405"/>
      <c r="N143" s="854"/>
      <c r="O143" s="861"/>
      <c r="P143" s="410"/>
    </row>
    <row r="144" spans="1:16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5101</v>
      </c>
      <c r="H144" s="580">
        <f>G144+'[1]14'!H144</f>
        <v>70750.139999999985</v>
      </c>
      <c r="I144" s="600"/>
      <c r="J144" s="673">
        <f>H144/DAY(B2)</f>
        <v>4716.6759999999986</v>
      </c>
      <c r="K144" s="408"/>
      <c r="L144" s="405"/>
      <c r="N144" s="854"/>
      <c r="O144" s="861"/>
      <c r="P144" s="410"/>
    </row>
    <row r="145" spans="1:16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0.25575332163449488</v>
      </c>
      <c r="H145" s="580">
        <f>G145+'[1]14'!H145</f>
        <v>3.4591002732024885</v>
      </c>
      <c r="I145" s="665"/>
      <c r="J145" s="673">
        <f>H145/DAY(B2)</f>
        <v>0.23060668488016589</v>
      </c>
      <c r="K145" s="408"/>
      <c r="L145" s="405"/>
      <c r="N145" s="854"/>
      <c r="O145" s="861"/>
      <c r="P145" s="410"/>
    </row>
    <row r="146" spans="1:16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4210</v>
      </c>
      <c r="H146" s="580">
        <f>G146+'[1]14'!H146</f>
        <v>63523.993000000002</v>
      </c>
      <c r="I146" s="666"/>
      <c r="J146" s="673">
        <f>H146/DAY(B2)</f>
        <v>4234.932866666667</v>
      </c>
      <c r="K146" s="408"/>
      <c r="L146" s="405"/>
      <c r="N146" s="854"/>
      <c r="O146" s="861"/>
      <c r="P146" s="410"/>
    </row>
    <row r="147" spans="1:16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0.21108047129606416</v>
      </c>
      <c r="H147" s="580">
        <f>G147+'[1]14'!H147</f>
        <v>3.1204138530575563</v>
      </c>
      <c r="I147" s="666"/>
      <c r="J147" s="673">
        <f>H147/DAY(B2)</f>
        <v>0.20802759020383707</v>
      </c>
      <c r="N147" s="854"/>
      <c r="O147" s="861"/>
      <c r="P147" s="410"/>
    </row>
    <row r="148" spans="1:16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1866</v>
      </c>
      <c r="H148" s="580">
        <f>G148+'[1]14'!H148</f>
        <v>30110.570000000007</v>
      </c>
      <c r="I148" s="600"/>
      <c r="J148" s="673">
        <f>H148/DAY(B2)</f>
        <v>2007.3713333333337</v>
      </c>
      <c r="K148" s="409"/>
      <c r="N148" s="854"/>
      <c r="O148" s="861"/>
      <c r="P148" s="410"/>
    </row>
    <row r="149" spans="1:16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9.3557282526949115E-2</v>
      </c>
      <c r="H149" s="580">
        <f>G149+'[1]14'!H149</f>
        <v>1.4750525989746133</v>
      </c>
      <c r="I149" s="666"/>
      <c r="J149" s="673">
        <f>H149/DAY(B2)</f>
        <v>9.8336839931640885E-2</v>
      </c>
      <c r="N149" s="854"/>
      <c r="O149" s="861"/>
      <c r="P149" s="410"/>
    </row>
    <row r="150" spans="1:16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1739</v>
      </c>
      <c r="H150" s="580">
        <f>G150+'[1]14'!H150</f>
        <v>32716.179999999964</v>
      </c>
      <c r="I150" s="666"/>
      <c r="J150" s="673">
        <f>H150/DAY(B2)</f>
        <v>2181.078666666664</v>
      </c>
      <c r="N150" s="854"/>
      <c r="O150" s="861"/>
      <c r="P150" s="410"/>
    </row>
    <row r="151" spans="1:16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8.7189771872649785E-2</v>
      </c>
      <c r="H151" s="580">
        <f>G151+'[1]14'!H151</f>
        <v>1.597677741247709</v>
      </c>
      <c r="I151" s="600"/>
      <c r="J151" s="673">
        <f>H151/DAY(B2)</f>
        <v>0.10651184941651394</v>
      </c>
      <c r="N151" s="854"/>
      <c r="O151" s="861"/>
      <c r="P151" s="410"/>
    </row>
    <row r="152" spans="1:16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1416</v>
      </c>
      <c r="H152" s="580">
        <f>G152+'[1]14'!H152</f>
        <v>22076.512999999999</v>
      </c>
      <c r="I152" s="600"/>
      <c r="J152" s="673">
        <f>H152/DAY(B2)</f>
        <v>1471.7675333333332</v>
      </c>
      <c r="N152" s="854"/>
      <c r="O152" s="861"/>
      <c r="P152" s="410"/>
    </row>
    <row r="153" spans="1:16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7.0995236901479061E-2</v>
      </c>
      <c r="H153" s="580">
        <f>G153+'[1]14'!H153</f>
        <v>1.1943359567298479</v>
      </c>
      <c r="I153" s="689"/>
      <c r="J153" s="690">
        <f>H153/DAY(B2)</f>
        <v>7.9622397115323193E-2</v>
      </c>
      <c r="N153" s="854"/>
      <c r="O153" s="861"/>
      <c r="P153" s="410"/>
    </row>
    <row r="154" spans="1:16" x14ac:dyDescent="0.5">
      <c r="A154" s="586"/>
      <c r="B154" s="576"/>
      <c r="C154" s="576"/>
      <c r="D154" s="667"/>
      <c r="E154" s="779"/>
      <c r="F154" s="779"/>
      <c r="G154" s="667"/>
      <c r="H154" s="668"/>
      <c r="I154" s="667"/>
      <c r="J154" s="669"/>
      <c r="N154" s="854"/>
    </row>
    <row r="155" spans="1:16" x14ac:dyDescent="0.5">
      <c r="N155" s="854"/>
    </row>
    <row r="156" spans="1:16" x14ac:dyDescent="0.5">
      <c r="N156" s="854"/>
    </row>
    <row r="157" spans="1:16" x14ac:dyDescent="0.5">
      <c r="N157" s="854"/>
    </row>
    <row r="158" spans="1:16" x14ac:dyDescent="0.5">
      <c r="N158" s="854"/>
    </row>
    <row r="159" spans="1:16" x14ac:dyDescent="0.5">
      <c r="N159" s="854"/>
    </row>
    <row r="160" spans="1:16" x14ac:dyDescent="0.5">
      <c r="A160" s="935" t="s">
        <v>289</v>
      </c>
      <c r="B160" s="936"/>
      <c r="C160" s="936"/>
      <c r="D160" s="741" t="s">
        <v>214</v>
      </c>
      <c r="E160" s="775">
        <f>'[1]14'!F160</f>
        <v>24859</v>
      </c>
      <c r="F160" s="944">
        <v>24931</v>
      </c>
      <c r="G160" s="593">
        <f t="shared" ref="G160:G171" si="16">F160-E160</f>
        <v>72</v>
      </c>
      <c r="N160" s="854"/>
    </row>
    <row r="161" spans="1:15" ht="21.75" customHeight="1" x14ac:dyDescent="0.5">
      <c r="A161" s="935" t="s">
        <v>290</v>
      </c>
      <c r="B161" s="936"/>
      <c r="C161" s="936"/>
      <c r="D161" s="741" t="s">
        <v>214</v>
      </c>
      <c r="E161" s="775">
        <f>'[1]14'!F161</f>
        <v>19953</v>
      </c>
      <c r="F161" s="944">
        <v>20604</v>
      </c>
      <c r="G161" s="593">
        <f t="shared" si="16"/>
        <v>651</v>
      </c>
      <c r="N161" s="854"/>
    </row>
    <row r="162" spans="1:15" ht="21.75" customHeight="1" x14ac:dyDescent="0.5">
      <c r="A162" s="935" t="s">
        <v>291</v>
      </c>
      <c r="B162" s="936"/>
      <c r="C162" s="936"/>
      <c r="D162" s="741" t="s">
        <v>214</v>
      </c>
      <c r="E162" s="775">
        <f>'[1]14'!F162</f>
        <v>41474</v>
      </c>
      <c r="F162" s="944">
        <v>41711</v>
      </c>
      <c r="G162" s="593">
        <f t="shared" si="16"/>
        <v>237</v>
      </c>
      <c r="N162" s="854"/>
    </row>
    <row r="163" spans="1:15" s="914" customFormat="1" ht="21.75" customHeight="1" x14ac:dyDescent="0.5">
      <c r="A163" s="1301" t="s">
        <v>292</v>
      </c>
      <c r="B163" s="1302"/>
      <c r="C163" s="1302"/>
      <c r="D163" s="1303" t="s">
        <v>214</v>
      </c>
      <c r="E163" s="775">
        <f>'[1]14'!F163</f>
        <v>3890</v>
      </c>
      <c r="F163" s="924">
        <v>3932</v>
      </c>
      <c r="G163" s="912">
        <f t="shared" si="16"/>
        <v>42</v>
      </c>
      <c r="H163" s="1304"/>
      <c r="I163" s="1305"/>
      <c r="J163" s="660"/>
      <c r="N163" s="858"/>
      <c r="O163" s="1306"/>
    </row>
    <row r="164" spans="1:15" ht="21.75" customHeight="1" x14ac:dyDescent="0.4">
      <c r="A164" s="937" t="s">
        <v>121</v>
      </c>
      <c r="B164" s="938"/>
      <c r="C164" s="938"/>
      <c r="D164" s="741" t="s">
        <v>214</v>
      </c>
      <c r="E164" s="634">
        <f>E62</f>
        <v>20419.18</v>
      </c>
      <c r="F164" s="634">
        <f>F62</f>
        <v>20419.18</v>
      </c>
      <c r="G164" s="593">
        <f t="shared" si="16"/>
        <v>0</v>
      </c>
      <c r="N164" s="854"/>
    </row>
    <row r="165" spans="1:15" ht="21.75" customHeight="1" x14ac:dyDescent="0.4">
      <c r="A165" s="937" t="s">
        <v>215</v>
      </c>
      <c r="B165" s="938"/>
      <c r="C165" s="938"/>
      <c r="D165" s="741" t="s">
        <v>214</v>
      </c>
      <c r="E165" s="634">
        <f t="shared" ref="E165:F171" si="17">E63</f>
        <v>1039</v>
      </c>
      <c r="F165" s="634">
        <f t="shared" si="17"/>
        <v>1043</v>
      </c>
      <c r="G165" s="593">
        <f t="shared" si="16"/>
        <v>4</v>
      </c>
      <c r="N165" s="854"/>
    </row>
    <row r="166" spans="1:15" ht="21.75" customHeight="1" x14ac:dyDescent="0.5">
      <c r="A166" s="1470" t="s">
        <v>122</v>
      </c>
      <c r="B166" s="1470"/>
      <c r="C166" s="1470"/>
      <c r="D166" s="644" t="s">
        <v>214</v>
      </c>
      <c r="E166" s="634">
        <f t="shared" si="17"/>
        <v>91838</v>
      </c>
      <c r="F166" s="634">
        <f t="shared" si="17"/>
        <v>92203</v>
      </c>
      <c r="G166" s="593">
        <f t="shared" si="16"/>
        <v>365</v>
      </c>
      <c r="N166" s="854"/>
    </row>
    <row r="167" spans="1:15" ht="21.75" customHeight="1" x14ac:dyDescent="0.5">
      <c r="A167" s="1470" t="s">
        <v>123</v>
      </c>
      <c r="B167" s="1470"/>
      <c r="C167" s="1470"/>
      <c r="D167" s="644" t="s">
        <v>214</v>
      </c>
      <c r="E167" s="634">
        <f t="shared" si="17"/>
        <v>102275</v>
      </c>
      <c r="F167" s="634">
        <f t="shared" si="17"/>
        <v>102657</v>
      </c>
      <c r="G167" s="593">
        <f t="shared" si="16"/>
        <v>382</v>
      </c>
      <c r="N167" s="854"/>
    </row>
    <row r="168" spans="1:15" ht="21.75" customHeight="1" x14ac:dyDescent="0.5">
      <c r="A168" s="1470" t="s">
        <v>124</v>
      </c>
      <c r="B168" s="1470"/>
      <c r="C168" s="1470"/>
      <c r="D168" s="644" t="s">
        <v>214</v>
      </c>
      <c r="E168" s="634">
        <f t="shared" si="17"/>
        <v>95610</v>
      </c>
      <c r="F168" s="634">
        <f t="shared" si="17"/>
        <v>96016</v>
      </c>
      <c r="G168" s="593">
        <f t="shared" si="16"/>
        <v>406</v>
      </c>
      <c r="N168" s="854"/>
    </row>
    <row r="169" spans="1:15" ht="23.25" customHeight="1" x14ac:dyDescent="0.5">
      <c r="A169" s="1470" t="s">
        <v>125</v>
      </c>
      <c r="B169" s="1470"/>
      <c r="C169" s="1470"/>
      <c r="D169" s="644" t="s">
        <v>214</v>
      </c>
      <c r="E169" s="634">
        <f t="shared" si="17"/>
        <v>156203</v>
      </c>
      <c r="F169" s="634">
        <f t="shared" si="17"/>
        <v>156945</v>
      </c>
      <c r="G169" s="593">
        <f t="shared" si="16"/>
        <v>742</v>
      </c>
      <c r="N169" s="854"/>
    </row>
    <row r="170" spans="1:15" ht="24" customHeight="1" x14ac:dyDescent="0.5">
      <c r="A170" s="1470" t="s">
        <v>126</v>
      </c>
      <c r="B170" s="1470"/>
      <c r="C170" s="1470"/>
      <c r="D170" s="644" t="s">
        <v>214</v>
      </c>
      <c r="E170" s="634">
        <f t="shared" si="17"/>
        <v>48159</v>
      </c>
      <c r="F170" s="634">
        <f t="shared" si="17"/>
        <v>48521</v>
      </c>
      <c r="G170" s="593">
        <f t="shared" si="16"/>
        <v>362</v>
      </c>
      <c r="N170" s="854"/>
    </row>
    <row r="171" spans="1:15" ht="27.75" x14ac:dyDescent="0.5">
      <c r="A171" s="1470" t="s">
        <v>127</v>
      </c>
      <c r="B171" s="1470"/>
      <c r="C171" s="1470"/>
      <c r="D171" s="644" t="s">
        <v>214</v>
      </c>
      <c r="E171" s="634">
        <f t="shared" si="17"/>
        <v>41655</v>
      </c>
      <c r="F171" s="634">
        <f t="shared" si="17"/>
        <v>41946</v>
      </c>
      <c r="G171" s="593">
        <f t="shared" si="16"/>
        <v>291</v>
      </c>
      <c r="N171" s="854"/>
    </row>
    <row r="172" spans="1:15" x14ac:dyDescent="0.5">
      <c r="A172" s="939"/>
      <c r="B172" s="940"/>
      <c r="C172" s="940"/>
      <c r="D172" s="941"/>
      <c r="F172" s="942"/>
      <c r="G172" s="943">
        <f>SUM(G160:G171)</f>
        <v>3554</v>
      </c>
      <c r="N172" s="854"/>
    </row>
    <row r="173" spans="1:15" x14ac:dyDescent="0.5">
      <c r="N173" s="854"/>
    </row>
    <row r="174" spans="1:15" x14ac:dyDescent="0.5">
      <c r="N174" s="854"/>
    </row>
    <row r="175" spans="1:15" x14ac:dyDescent="0.5">
      <c r="N175" s="854"/>
    </row>
    <row r="176" spans="1:15" ht="18.75" customHeight="1" x14ac:dyDescent="0.5">
      <c r="N176" s="854"/>
    </row>
    <row r="177" spans="14:14" ht="27" customHeight="1" x14ac:dyDescent="0.5">
      <c r="N177" s="854"/>
    </row>
    <row r="178" spans="14:14" ht="27" customHeight="1" x14ac:dyDescent="0.5">
      <c r="N178" s="854"/>
    </row>
    <row r="179" spans="14:14" ht="27" customHeight="1" x14ac:dyDescent="0.5">
      <c r="N179" s="854"/>
    </row>
    <row r="180" spans="14:14" ht="27" customHeight="1" x14ac:dyDescent="0.5">
      <c r="N180" s="854"/>
    </row>
    <row r="181" spans="14:14" ht="27" customHeight="1" x14ac:dyDescent="0.5">
      <c r="N181" s="854"/>
    </row>
    <row r="182" spans="14:14" ht="27" customHeight="1" x14ac:dyDescent="0.5">
      <c r="N182" s="854"/>
    </row>
    <row r="183" spans="14:14" ht="27" customHeight="1" x14ac:dyDescent="0.5">
      <c r="N183" s="854"/>
    </row>
    <row r="184" spans="14:14" ht="27" customHeight="1" x14ac:dyDescent="0.5">
      <c r="N184" s="854"/>
    </row>
    <row r="185" spans="14:14" ht="27" customHeight="1" x14ac:dyDescent="0.5">
      <c r="N185" s="854"/>
    </row>
    <row r="186" spans="14:14" ht="27" customHeight="1" x14ac:dyDescent="0.5">
      <c r="N186" s="854"/>
    </row>
    <row r="187" spans="14:14" ht="27" customHeight="1" x14ac:dyDescent="0.5">
      <c r="N187" s="854"/>
    </row>
    <row r="188" spans="14:14" ht="27" customHeight="1" x14ac:dyDescent="0.5">
      <c r="N188" s="854"/>
    </row>
    <row r="189" spans="14:14" ht="27" customHeight="1" x14ac:dyDescent="0.5">
      <c r="N189" s="854"/>
    </row>
    <row r="190" spans="14:14" ht="27" customHeight="1" x14ac:dyDescent="0.5">
      <c r="N190" s="854"/>
    </row>
    <row r="191" spans="14:14" ht="27" customHeight="1" x14ac:dyDescent="0.5">
      <c r="N191" s="854"/>
    </row>
    <row r="192" spans="14:14" ht="27" customHeight="1" x14ac:dyDescent="0.5">
      <c r="N192" s="854"/>
    </row>
    <row r="193" spans="14:14" ht="27" customHeight="1" x14ac:dyDescent="0.5">
      <c r="N193" s="854"/>
    </row>
    <row r="194" spans="14:14" ht="27" customHeight="1" x14ac:dyDescent="0.5">
      <c r="N194" s="854"/>
    </row>
    <row r="195" spans="14:14" ht="27" customHeight="1" x14ac:dyDescent="0.5">
      <c r="N195" s="854"/>
    </row>
    <row r="196" spans="14:14" ht="27" customHeight="1" x14ac:dyDescent="0.5">
      <c r="N196" s="854"/>
    </row>
    <row r="197" spans="14:14" ht="27" customHeight="1" x14ac:dyDescent="0.5">
      <c r="N197" s="854"/>
    </row>
    <row r="198" spans="14:14" ht="27" customHeight="1" x14ac:dyDescent="0.5"/>
    <row r="199" spans="14:14" ht="27" customHeight="1" x14ac:dyDescent="0.5"/>
    <row r="200" spans="14:14" ht="27" customHeight="1" x14ac:dyDescent="0.5"/>
    <row r="201" spans="14:14" ht="27" customHeight="1" x14ac:dyDescent="0.5"/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zoomScale="55" zoomScaleNormal="90" zoomScaleSheetLayoutView="55" workbookViewId="0">
      <selection sqref="A1:XFD1048576"/>
    </sheetView>
  </sheetViews>
  <sheetFormatPr defaultColWidth="22.33203125" defaultRowHeight="29.25" x14ac:dyDescent="0.5"/>
  <cols>
    <col min="1" max="1" width="40.6640625" style="574" customWidth="1"/>
    <col min="2" max="2" width="28.5546875" style="577" customWidth="1"/>
    <col min="3" max="3" width="15.88671875" style="577" customWidth="1"/>
    <col min="4" max="4" width="13.6640625" style="658" customWidth="1"/>
    <col min="5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22.33203125" style="404" hidden="1" customWidth="1"/>
    <col min="14" max="14" width="25.5546875" style="852" customWidth="1"/>
    <col min="15" max="15" width="22.33203125" style="859"/>
    <col min="16" max="16384" width="22.33203125" style="404"/>
  </cols>
  <sheetData>
    <row r="1" spans="1:16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6" s="278" customFormat="1" ht="27" x14ac:dyDescent="0.5">
      <c r="A2" s="696" t="s">
        <v>302</v>
      </c>
      <c r="B2" s="1173">
        <v>44181</v>
      </c>
      <c r="C2" s="1361" t="s">
        <v>84</v>
      </c>
      <c r="D2" s="732">
        <v>0.2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  <c r="N2" s="853"/>
      <c r="O2" s="860"/>
    </row>
    <row r="3" spans="1:16" s="278" customFormat="1" ht="27" x14ac:dyDescent="0.5">
      <c r="A3" s="691"/>
      <c r="B3" s="735"/>
      <c r="C3" s="1361" t="s">
        <v>147</v>
      </c>
      <c r="D3" s="733">
        <v>29</v>
      </c>
      <c r="E3" s="1422" t="s">
        <v>148</v>
      </c>
      <c r="F3" s="1423"/>
      <c r="G3" s="582"/>
      <c r="H3" s="583"/>
      <c r="I3" s="583"/>
      <c r="J3" s="736"/>
      <c r="K3" s="399"/>
      <c r="L3" s="290"/>
      <c r="N3" s="853"/>
      <c r="O3" s="860"/>
    </row>
    <row r="4" spans="1:16" s="278" customFormat="1" ht="27" x14ac:dyDescent="0.5">
      <c r="A4" s="697"/>
      <c r="B4" s="737"/>
      <c r="C4" s="1361" t="s">
        <v>149</v>
      </c>
      <c r="D4" s="732">
        <v>0.76</v>
      </c>
      <c r="E4" s="584"/>
      <c r="F4" s="584"/>
      <c r="G4" s="584"/>
      <c r="H4" s="584"/>
      <c r="I4" s="585"/>
      <c r="J4" s="736"/>
      <c r="K4" s="400"/>
      <c r="L4" s="290"/>
      <c r="N4" s="853"/>
      <c r="O4" s="860"/>
    </row>
    <row r="5" spans="1:16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6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6" ht="30" thickBot="1" x14ac:dyDescent="0.45">
      <c r="A7" s="793" t="s">
        <v>158</v>
      </c>
      <c r="B7" s="794"/>
      <c r="C7" s="794"/>
      <c r="D7" s="759" t="s">
        <v>159</v>
      </c>
      <c r="E7" s="575">
        <f>'[1]15'!F7</f>
        <v>2974582</v>
      </c>
      <c r="F7" s="575">
        <v>2994232</v>
      </c>
      <c r="G7" s="795">
        <f>F7-E7</f>
        <v>19650</v>
      </c>
      <c r="H7" s="796">
        <f>G7+'[1]15'!H7</f>
        <v>325787</v>
      </c>
      <c r="I7" s="797">
        <f>'[1]1'!I7</f>
        <v>12000</v>
      </c>
      <c r="J7" s="798">
        <f>H7/DAY(B2)</f>
        <v>20361.6875</v>
      </c>
      <c r="K7" s="670">
        <f>'[1]1'!E7-'[1]16'!F7</f>
        <v>-325787</v>
      </c>
      <c r="L7" s="405"/>
      <c r="N7" s="865"/>
      <c r="O7" s="861"/>
      <c r="P7" s="864"/>
    </row>
    <row r="8" spans="1:16" ht="27.75" thickBot="1" x14ac:dyDescent="0.45">
      <c r="A8" s="799" t="s">
        <v>160</v>
      </c>
      <c r="B8" s="800"/>
      <c r="C8" s="801"/>
      <c r="D8" s="802" t="s">
        <v>39</v>
      </c>
      <c r="E8" s="595">
        <f>'[1]15'!F8</f>
        <v>2991911</v>
      </c>
      <c r="F8" s="595">
        <v>3011741</v>
      </c>
      <c r="G8" s="806">
        <f>F8-E8</f>
        <v>19830</v>
      </c>
      <c r="H8" s="796">
        <f>G8+'[1]15'!H8</f>
        <v>328702</v>
      </c>
      <c r="I8" s="803">
        <f>'[1]1'!I8</f>
        <v>12000</v>
      </c>
      <c r="J8" s="798">
        <f>H8/DAY(B2)</f>
        <v>20543.875</v>
      </c>
      <c r="K8" s="670">
        <f>'[1]1'!E8-'[1]16'!F8</f>
        <v>-328702</v>
      </c>
      <c r="L8" s="460"/>
      <c r="M8" s="522"/>
      <c r="N8" s="854"/>
      <c r="O8" s="861"/>
      <c r="P8" s="410"/>
    </row>
    <row r="9" spans="1:16" x14ac:dyDescent="0.4">
      <c r="A9" s="804" t="s">
        <v>161</v>
      </c>
      <c r="B9" s="805"/>
      <c r="C9" s="805"/>
      <c r="D9" s="759" t="s">
        <v>159</v>
      </c>
      <c r="E9" s="598">
        <f>'[1]15'!F9</f>
        <v>2358136</v>
      </c>
      <c r="F9" s="598">
        <v>2363878</v>
      </c>
      <c r="G9" s="819">
        <f t="shared" ref="G9:G12" si="0">F9-E9</f>
        <v>5742</v>
      </c>
      <c r="H9" s="796">
        <f>G9+'[1]15'!H9</f>
        <v>106841.5</v>
      </c>
      <c r="I9" s="807">
        <f>I7-J7</f>
        <v>-8361.6875</v>
      </c>
      <c r="J9" s="798">
        <f>H9/DAY(B2)</f>
        <v>6677.59375</v>
      </c>
      <c r="K9" s="508">
        <f>'[1]1'!E9-'[1]16'!F9</f>
        <v>-106841.5</v>
      </c>
      <c r="L9" s="405"/>
      <c r="N9" s="854"/>
      <c r="O9" s="861"/>
      <c r="P9" s="410"/>
    </row>
    <row r="10" spans="1:16" x14ac:dyDescent="0.4">
      <c r="A10" s="793" t="s">
        <v>162</v>
      </c>
      <c r="B10" s="794"/>
      <c r="C10" s="794"/>
      <c r="D10" s="759" t="s">
        <v>159</v>
      </c>
      <c r="E10" s="598">
        <f>'[1]15'!F10</f>
        <v>497310</v>
      </c>
      <c r="F10" s="598">
        <v>510439</v>
      </c>
      <c r="G10" s="806">
        <f t="shared" si="0"/>
        <v>13129</v>
      </c>
      <c r="H10" s="796">
        <f>G10+'[1]15'!H10</f>
        <v>207488.71000000002</v>
      </c>
      <c r="I10" s="808"/>
      <c r="J10" s="798">
        <f>H10/DAY(B2)</f>
        <v>12968.044375000001</v>
      </c>
      <c r="K10" s="508"/>
      <c r="L10" s="405"/>
      <c r="N10" s="854"/>
      <c r="O10" s="861"/>
      <c r="P10" s="410"/>
    </row>
    <row r="11" spans="1:16" x14ac:dyDescent="0.4">
      <c r="A11" s="793" t="s">
        <v>163</v>
      </c>
      <c r="B11" s="794"/>
      <c r="C11" s="794"/>
      <c r="D11" s="759" t="s">
        <v>159</v>
      </c>
      <c r="E11" s="575">
        <f>'[1]15'!F11</f>
        <v>35390</v>
      </c>
      <c r="F11" s="575">
        <v>35390</v>
      </c>
      <c r="G11" s="806">
        <f t="shared" si="0"/>
        <v>0</v>
      </c>
      <c r="H11" s="796">
        <f>G11+'[1]15'!H11</f>
        <v>0</v>
      </c>
      <c r="I11" s="808"/>
      <c r="J11" s="798">
        <f>H11/DAY(B2)</f>
        <v>0</v>
      </c>
      <c r="K11" s="508"/>
      <c r="L11" s="405"/>
      <c r="N11" s="854"/>
      <c r="O11" s="861"/>
      <c r="P11" s="410"/>
    </row>
    <row r="12" spans="1:16" x14ac:dyDescent="0.4">
      <c r="A12" s="793" t="s">
        <v>164</v>
      </c>
      <c r="B12" s="794"/>
      <c r="C12" s="794"/>
      <c r="D12" s="759" t="s">
        <v>159</v>
      </c>
      <c r="E12" s="598">
        <f>'[1]15'!F12</f>
        <v>37630</v>
      </c>
      <c r="F12" s="598">
        <v>37630</v>
      </c>
      <c r="G12" s="806">
        <f t="shared" si="0"/>
        <v>0</v>
      </c>
      <c r="H12" s="796">
        <f>G12+'[1]15'!H12</f>
        <v>0</v>
      </c>
      <c r="I12" s="808"/>
      <c r="J12" s="798">
        <f>H12/DAY(B2)</f>
        <v>0</v>
      </c>
      <c r="K12" s="508"/>
      <c r="L12" s="405"/>
      <c r="N12" s="854"/>
      <c r="O12" s="861"/>
      <c r="P12" s="410"/>
    </row>
    <row r="13" spans="1:16" x14ac:dyDescent="0.5">
      <c r="A13" s="809" t="s">
        <v>165</v>
      </c>
      <c r="B13" s="810"/>
      <c r="C13" s="810"/>
      <c r="D13" s="759"/>
      <c r="E13" s="575"/>
      <c r="F13" s="575"/>
      <c r="G13" s="811">
        <f>G9+G10+G11+G12</f>
        <v>18871</v>
      </c>
      <c r="H13" s="796">
        <f>G13+'[1]15'!H13</f>
        <v>292470.90000000002</v>
      </c>
      <c r="I13" s="812">
        <f>G7-G13</f>
        <v>779</v>
      </c>
      <c r="J13" s="798">
        <f>H13/DAY(B2)</f>
        <v>18279.431250000001</v>
      </c>
      <c r="K13" s="508"/>
      <c r="L13" s="405"/>
      <c r="N13" s="854"/>
      <c r="O13" s="861"/>
      <c r="P13" s="410"/>
    </row>
    <row r="14" spans="1:16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854"/>
      <c r="O14" s="861"/>
      <c r="P14" s="410"/>
    </row>
    <row r="15" spans="1:16" x14ac:dyDescent="0.5">
      <c r="A15" s="933" t="s">
        <v>167</v>
      </c>
      <c r="B15" s="934"/>
      <c r="C15" s="934"/>
      <c r="D15" s="644" t="s">
        <v>168</v>
      </c>
      <c r="E15" s="605">
        <f>'[1]15'!F15</f>
        <v>1557629</v>
      </c>
      <c r="F15" s="605">
        <v>1558039</v>
      </c>
      <c r="G15" s="781">
        <f>(F15-E15)</f>
        <v>410</v>
      </c>
      <c r="H15" s="606">
        <f>G15+'[1]15'!H15</f>
        <v>11141.398999999976</v>
      </c>
      <c r="I15" s="594">
        <f>'[1]1'!I15</f>
        <v>800</v>
      </c>
      <c r="J15" s="674">
        <f>H15/DAY(B2)</f>
        <v>696.33743749999849</v>
      </c>
      <c r="K15" s="508"/>
      <c r="L15" s="405"/>
      <c r="N15" s="854"/>
      <c r="O15" s="861"/>
      <c r="P15" s="410"/>
    </row>
    <row r="16" spans="1:16" x14ac:dyDescent="0.4">
      <c r="A16" s="708"/>
      <c r="B16" s="709"/>
      <c r="C16" s="709"/>
      <c r="D16" s="644"/>
      <c r="E16" s="605"/>
      <c r="F16" s="605" t="s">
        <v>305</v>
      </c>
      <c r="G16" s="786"/>
      <c r="H16" s="606"/>
      <c r="I16" s="602">
        <f>I15-J15</f>
        <v>103.66256250000151</v>
      </c>
      <c r="J16" s="674"/>
      <c r="K16" s="508"/>
      <c r="L16" s="405"/>
      <c r="N16" s="854"/>
      <c r="O16" s="861"/>
      <c r="P16" s="410"/>
    </row>
    <row r="17" spans="1:16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854"/>
      <c r="O17" s="861"/>
      <c r="P17" s="410"/>
    </row>
    <row r="18" spans="1:16" ht="27.75" x14ac:dyDescent="0.5">
      <c r="A18" s="1460" t="s">
        <v>170</v>
      </c>
      <c r="B18" s="1461"/>
      <c r="C18" s="1462"/>
      <c r="D18" s="759" t="s">
        <v>171</v>
      </c>
      <c r="E18" s="598">
        <f>'[1]15'!F18</f>
        <v>14</v>
      </c>
      <c r="F18" s="598">
        <v>10</v>
      </c>
      <c r="G18" s="811">
        <f>F18*10</f>
        <v>100</v>
      </c>
      <c r="H18" s="796">
        <f>G18+'[1]15'!H18</f>
        <v>2190</v>
      </c>
      <c r="I18" s="797">
        <f>'[1]1'!I18</f>
        <v>65</v>
      </c>
      <c r="J18" s="798">
        <f>H18/DAY(B2)</f>
        <v>136.875</v>
      </c>
      <c r="K18" s="508"/>
      <c r="L18" s="405"/>
      <c r="N18" s="854"/>
      <c r="O18" s="861"/>
      <c r="P18" s="410"/>
    </row>
    <row r="19" spans="1:16" ht="27.75" x14ac:dyDescent="0.5">
      <c r="A19" s="1460" t="s">
        <v>86</v>
      </c>
      <c r="B19" s="1461"/>
      <c r="C19" s="1462"/>
      <c r="D19" s="759" t="s">
        <v>171</v>
      </c>
      <c r="E19" s="598">
        <f>'[1]15'!F19</f>
        <v>130620</v>
      </c>
      <c r="F19" s="598">
        <v>130675</v>
      </c>
      <c r="G19" s="806">
        <f t="shared" ref="G19" si="1">F19-E19</f>
        <v>55</v>
      </c>
      <c r="H19" s="796">
        <f>G19+'[1]15'!H19</f>
        <v>874</v>
      </c>
      <c r="I19" s="813"/>
      <c r="J19" s="798">
        <f>H19/DAY(B2)</f>
        <v>54.625</v>
      </c>
      <c r="K19" s="508"/>
      <c r="L19" s="405"/>
      <c r="N19" s="854"/>
      <c r="O19" s="861"/>
      <c r="P19" s="410"/>
    </row>
    <row r="20" spans="1:16" x14ac:dyDescent="0.5">
      <c r="A20" s="809" t="s">
        <v>172</v>
      </c>
      <c r="B20" s="810"/>
      <c r="C20" s="810"/>
      <c r="D20" s="759"/>
      <c r="E20" s="845"/>
      <c r="F20" s="845"/>
      <c r="G20" s="814">
        <f>G18+G19</f>
        <v>155</v>
      </c>
      <c r="H20" s="796">
        <f>G20+'[1]15'!H20</f>
        <v>3064</v>
      </c>
      <c r="I20" s="815">
        <f>I18-J20</f>
        <v>-126.5</v>
      </c>
      <c r="J20" s="798">
        <f>H20/DAY(B2)</f>
        <v>191.5</v>
      </c>
      <c r="K20" s="508"/>
      <c r="L20" s="405"/>
      <c r="N20" s="854"/>
      <c r="O20" s="861"/>
      <c r="P20" s="410"/>
    </row>
    <row r="21" spans="1:16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854"/>
      <c r="O21" s="861"/>
      <c r="P21" s="410"/>
    </row>
    <row r="22" spans="1:16" x14ac:dyDescent="0.5">
      <c r="A22" s="1354" t="s">
        <v>174</v>
      </c>
      <c r="B22" s="710"/>
      <c r="C22" s="710"/>
      <c r="D22" s="643" t="s">
        <v>175</v>
      </c>
      <c r="E22" s="598">
        <v>2250</v>
      </c>
      <c r="F22" s="598">
        <v>2250</v>
      </c>
      <c r="G22" s="601">
        <f t="shared" ref="G22" si="2">(F22-E22)</f>
        <v>0</v>
      </c>
      <c r="H22" s="580">
        <f>G22+'[1]15'!H22</f>
        <v>0</v>
      </c>
      <c r="I22" s="600"/>
      <c r="J22" s="673">
        <f>H22/DAY(B2)</f>
        <v>0</v>
      </c>
      <c r="K22" s="508"/>
      <c r="L22" s="405"/>
      <c r="N22" s="854"/>
      <c r="O22" s="861"/>
      <c r="P22" s="410"/>
    </row>
    <row r="23" spans="1:16" x14ac:dyDescent="0.5">
      <c r="A23" s="1354" t="s">
        <v>176</v>
      </c>
      <c r="B23" s="710"/>
      <c r="C23" s="710"/>
      <c r="D23" s="643" t="s">
        <v>175</v>
      </c>
      <c r="E23" s="598">
        <f>'[1]15'!F23</f>
        <v>2000</v>
      </c>
      <c r="F23" s="598">
        <v>2000</v>
      </c>
      <c r="G23" s="601">
        <v>0</v>
      </c>
      <c r="H23" s="580">
        <f>G23+'[1]15'!H23</f>
        <v>0</v>
      </c>
      <c r="I23" s="600"/>
      <c r="J23" s="673">
        <f>H23/DAY(B2)</f>
        <v>0</v>
      </c>
      <c r="K23" s="508"/>
      <c r="L23" s="405"/>
      <c r="N23" s="854"/>
      <c r="O23" s="861"/>
      <c r="P23" s="410"/>
    </row>
    <row r="24" spans="1:16" x14ac:dyDescent="0.4">
      <c r="A24" s="711" t="s">
        <v>177</v>
      </c>
      <c r="B24" s="712"/>
      <c r="C24" s="712"/>
      <c r="D24" s="631" t="s">
        <v>175</v>
      </c>
      <c r="E24" s="605">
        <f>'[1]15'!F24</f>
        <v>4250</v>
      </c>
      <c r="F24" s="1197">
        <v>4250</v>
      </c>
      <c r="G24" s="601">
        <v>0</v>
      </c>
      <c r="H24" s="580">
        <f>G24+'[1]15'!H24</f>
        <v>0</v>
      </c>
      <c r="I24" s="600"/>
      <c r="J24" s="673">
        <f>H24/DAY(B2)</f>
        <v>0</v>
      </c>
      <c r="K24" s="508"/>
      <c r="L24" s="405"/>
      <c r="N24" s="854"/>
      <c r="O24" s="861"/>
      <c r="P24" s="410"/>
    </row>
    <row r="25" spans="1:16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854"/>
      <c r="O25" s="861"/>
      <c r="P25" s="410"/>
    </row>
    <row r="26" spans="1:16" s="524" customFormat="1" ht="27.75" x14ac:dyDescent="0.5">
      <c r="A26" s="713" t="s">
        <v>179</v>
      </c>
      <c r="B26" s="714"/>
      <c r="C26" s="715"/>
      <c r="D26" s="739" t="s">
        <v>180</v>
      </c>
      <c r="E26" s="575"/>
      <c r="F26" s="575"/>
      <c r="G26" s="618"/>
      <c r="H26" s="580"/>
      <c r="I26" s="619"/>
      <c r="J26" s="673"/>
      <c r="K26" s="402"/>
      <c r="L26" s="527"/>
      <c r="N26" s="854"/>
      <c r="O26" s="861"/>
      <c r="P26" s="410"/>
    </row>
    <row r="27" spans="1:16" s="524" customFormat="1" ht="27.75" x14ac:dyDescent="0.5">
      <c r="A27" s="713" t="s">
        <v>20</v>
      </c>
      <c r="B27" s="714"/>
      <c r="C27" s="715"/>
      <c r="D27" s="740" t="s">
        <v>39</v>
      </c>
      <c r="E27" s="621">
        <f>G8</f>
        <v>19830</v>
      </c>
      <c r="F27" s="621">
        <v>9.5</v>
      </c>
      <c r="G27" s="622">
        <f>E27*F27</f>
        <v>188385</v>
      </c>
      <c r="H27" s="580">
        <f>G27+'[1]15'!H27</f>
        <v>3122669</v>
      </c>
      <c r="I27" s="623"/>
      <c r="J27" s="673">
        <f>H27/DAY(B2)</f>
        <v>195166.8125</v>
      </c>
      <c r="K27" s="401"/>
      <c r="L27" s="527"/>
      <c r="N27" s="854"/>
      <c r="O27" s="861"/>
      <c r="P27" s="410"/>
    </row>
    <row r="28" spans="1:16" s="524" customFormat="1" ht="27.75" x14ac:dyDescent="0.5">
      <c r="A28" s="713" t="s">
        <v>181</v>
      </c>
      <c r="B28" s="714"/>
      <c r="C28" s="715"/>
      <c r="D28" s="740" t="s">
        <v>182</v>
      </c>
      <c r="E28" s="621">
        <f>G15</f>
        <v>410</v>
      </c>
      <c r="F28" s="621">
        <v>36.5</v>
      </c>
      <c r="G28" s="622">
        <f>E28*F28</f>
        <v>14965</v>
      </c>
      <c r="H28" s="580">
        <f>G28+'[1]15'!H28</f>
        <v>406661.06349999912</v>
      </c>
      <c r="I28" s="625"/>
      <c r="J28" s="673">
        <f>H28/DAY(B2)</f>
        <v>25416.316468749945</v>
      </c>
      <c r="K28" s="401"/>
      <c r="L28" s="527"/>
      <c r="N28" s="854"/>
      <c r="O28" s="861"/>
      <c r="P28" s="410"/>
    </row>
    <row r="29" spans="1:16" s="524" customFormat="1" ht="27.75" x14ac:dyDescent="0.5">
      <c r="A29" s="713" t="s">
        <v>183</v>
      </c>
      <c r="B29" s="714"/>
      <c r="C29" s="715"/>
      <c r="D29" s="740" t="s">
        <v>184</v>
      </c>
      <c r="E29" s="621">
        <f>G24</f>
        <v>0</v>
      </c>
      <c r="F29" s="621">
        <v>69</v>
      </c>
      <c r="G29" s="622">
        <f>E29*F29</f>
        <v>0</v>
      </c>
      <c r="H29" s="580">
        <f>G29+'[1]15'!H29</f>
        <v>0</v>
      </c>
      <c r="I29" s="625"/>
      <c r="J29" s="673">
        <f>H29/DAY(B2)</f>
        <v>0</v>
      </c>
      <c r="K29" s="401"/>
      <c r="L29" s="527"/>
      <c r="N29" s="854"/>
      <c r="O29" s="861"/>
      <c r="P29" s="410"/>
    </row>
    <row r="30" spans="1:16" s="524" customFormat="1" ht="27.75" x14ac:dyDescent="0.5">
      <c r="A30" s="713" t="s">
        <v>185</v>
      </c>
      <c r="B30" s="714"/>
      <c r="C30" s="715"/>
      <c r="D30" s="740" t="s">
        <v>186</v>
      </c>
      <c r="E30" s="621">
        <f>G19</f>
        <v>55</v>
      </c>
      <c r="F30" s="621">
        <v>145</v>
      </c>
      <c r="G30" s="622">
        <f>E30*F30</f>
        <v>7975</v>
      </c>
      <c r="H30" s="580">
        <f>G30+'[1]15'!H30</f>
        <v>126730</v>
      </c>
      <c r="I30" s="625"/>
      <c r="J30" s="673">
        <f>H30/DAY(B2)</f>
        <v>7920.625</v>
      </c>
      <c r="K30" s="401"/>
      <c r="L30" s="527"/>
      <c r="N30" s="854"/>
      <c r="O30" s="861"/>
      <c r="P30" s="410"/>
    </row>
    <row r="31" spans="1:16" s="524" customFormat="1" ht="27.75" x14ac:dyDescent="0.5">
      <c r="A31" s="713" t="s">
        <v>187</v>
      </c>
      <c r="B31" s="714"/>
      <c r="C31" s="715"/>
      <c r="D31" s="740" t="s">
        <v>171</v>
      </c>
      <c r="E31" s="621">
        <f>G18</f>
        <v>100</v>
      </c>
      <c r="F31" s="621">
        <v>80</v>
      </c>
      <c r="G31" s="622">
        <f>E31*F31</f>
        <v>8000</v>
      </c>
      <c r="H31" s="580">
        <f>G31+'[1]15'!H31</f>
        <v>173600</v>
      </c>
      <c r="I31" s="625"/>
      <c r="J31" s="673">
        <f>H31/DAY(B2)</f>
        <v>10850</v>
      </c>
      <c r="K31" s="401"/>
      <c r="L31" s="527"/>
      <c r="N31" s="854"/>
      <c r="O31" s="861"/>
      <c r="P31" s="410"/>
    </row>
    <row r="32" spans="1:16" s="524" customFormat="1" ht="27.75" x14ac:dyDescent="0.5">
      <c r="A32" s="716" t="s">
        <v>188</v>
      </c>
      <c r="B32" s="717"/>
      <c r="C32" s="718"/>
      <c r="D32" s="627"/>
      <c r="E32" s="644"/>
      <c r="F32" s="644"/>
      <c r="G32" s="628">
        <f>G27+G28+G29+G30+G31</f>
        <v>219325</v>
      </c>
      <c r="H32" s="580">
        <f>G32+'[1]15'!H32</f>
        <v>3829660.0634999992</v>
      </c>
      <c r="I32" s="629"/>
      <c r="J32" s="673">
        <f>H32/DAY(B2)</f>
        <v>239353.75396874995</v>
      </c>
      <c r="K32" s="401"/>
      <c r="L32" s="527"/>
      <c r="N32" s="854"/>
      <c r="O32" s="861"/>
      <c r="P32" s="410"/>
    </row>
    <row r="33" spans="1:16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854"/>
      <c r="O33" s="861"/>
      <c r="P33" s="410"/>
    </row>
    <row r="34" spans="1:16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854"/>
      <c r="O34" s="861"/>
      <c r="P34" s="410"/>
    </row>
    <row r="35" spans="1:16" x14ac:dyDescent="0.4">
      <c r="A35" s="699" t="s">
        <v>191</v>
      </c>
      <c r="B35" s="700"/>
      <c r="C35" s="700"/>
      <c r="D35" s="643" t="s">
        <v>159</v>
      </c>
      <c r="E35" s="630">
        <f>'[1]15'!F35</f>
        <v>629027.67000000004</v>
      </c>
      <c r="F35" s="630">
        <v>629027.67000000004</v>
      </c>
      <c r="G35" s="593">
        <f t="shared" ref="G35:G46" si="3">F35-E35</f>
        <v>0</v>
      </c>
      <c r="H35" s="580">
        <f>G35+'[1]15'!H35</f>
        <v>0</v>
      </c>
      <c r="I35" s="575"/>
      <c r="J35" s="673">
        <f>H35/DAY(B2)</f>
        <v>0</v>
      </c>
      <c r="K35" s="508"/>
      <c r="L35" s="405"/>
      <c r="N35" s="854"/>
      <c r="O35" s="862"/>
      <c r="P35" s="410"/>
    </row>
    <row r="36" spans="1:16" x14ac:dyDescent="0.4">
      <c r="A36" s="699" t="s">
        <v>192</v>
      </c>
      <c r="B36" s="700"/>
      <c r="C36" s="700"/>
      <c r="D36" s="643" t="s">
        <v>159</v>
      </c>
      <c r="E36" s="630">
        <f>'[1]15'!F36</f>
        <v>242007</v>
      </c>
      <c r="F36" s="630">
        <v>242635</v>
      </c>
      <c r="G36" s="593">
        <f t="shared" si="3"/>
        <v>628</v>
      </c>
      <c r="H36" s="580">
        <f>G36+'[1]15'!H36</f>
        <v>13549.26999999999</v>
      </c>
      <c r="I36" s="575"/>
      <c r="J36" s="673">
        <f>H36/DAY(B2)</f>
        <v>846.82937499999935</v>
      </c>
      <c r="K36" s="508"/>
      <c r="L36" s="405"/>
      <c r="N36" s="855"/>
      <c r="O36" s="862"/>
      <c r="P36" s="410"/>
    </row>
    <row r="37" spans="1:16" x14ac:dyDescent="0.4">
      <c r="A37" s="699" t="s">
        <v>193</v>
      </c>
      <c r="B37" s="700"/>
      <c r="C37" s="700"/>
      <c r="D37" s="643" t="s">
        <v>159</v>
      </c>
      <c r="E37" s="630">
        <f>'[1]15'!F37</f>
        <v>415066</v>
      </c>
      <c r="F37" s="630">
        <v>415066</v>
      </c>
      <c r="G37" s="593">
        <f t="shared" si="3"/>
        <v>0</v>
      </c>
      <c r="H37" s="580">
        <f>G37+'[1]15'!H37</f>
        <v>0</v>
      </c>
      <c r="I37" s="575"/>
      <c r="J37" s="673">
        <f>H37/DAY(B2)</f>
        <v>0</v>
      </c>
      <c r="K37" s="508"/>
      <c r="L37" s="405"/>
      <c r="N37" s="855"/>
      <c r="O37" s="862"/>
      <c r="P37" s="410"/>
    </row>
    <row r="38" spans="1:16" x14ac:dyDescent="0.4">
      <c r="A38" s="699" t="s">
        <v>194</v>
      </c>
      <c r="B38" s="700"/>
      <c r="C38" s="700"/>
      <c r="D38" s="643" t="s">
        <v>159</v>
      </c>
      <c r="E38" s="589">
        <f>'[1]15'!F38</f>
        <v>150714</v>
      </c>
      <c r="F38" s="589">
        <v>150714</v>
      </c>
      <c r="G38" s="593">
        <f t="shared" si="3"/>
        <v>0</v>
      </c>
      <c r="H38" s="580">
        <f>G38+'[1]15'!H38</f>
        <v>0</v>
      </c>
      <c r="I38" s="575"/>
      <c r="J38" s="673">
        <f>H38/DAY(B2)</f>
        <v>0</v>
      </c>
      <c r="K38" s="508"/>
      <c r="L38" s="405"/>
      <c r="N38" s="854"/>
      <c r="O38" s="861"/>
      <c r="P38" s="410"/>
    </row>
    <row r="39" spans="1:16" x14ac:dyDescent="0.4">
      <c r="A39" s="699" t="s">
        <v>195</v>
      </c>
      <c r="B39" s="700"/>
      <c r="C39" s="700"/>
      <c r="D39" s="643" t="s">
        <v>159</v>
      </c>
      <c r="E39" s="630">
        <f>'[1]15'!F39</f>
        <v>912480</v>
      </c>
      <c r="F39" s="630">
        <v>912480</v>
      </c>
      <c r="G39" s="593">
        <f t="shared" si="3"/>
        <v>0</v>
      </c>
      <c r="H39" s="580">
        <f>G39+'[1]15'!H39</f>
        <v>0</v>
      </c>
      <c r="I39" s="575"/>
      <c r="J39" s="673">
        <f>H39/DAY(B2)</f>
        <v>0</v>
      </c>
      <c r="K39" s="508"/>
      <c r="L39" s="405"/>
      <c r="N39" s="854"/>
      <c r="O39" s="862"/>
      <c r="P39" s="410"/>
    </row>
    <row r="40" spans="1:16" x14ac:dyDescent="0.4">
      <c r="A40" s="720" t="s">
        <v>196</v>
      </c>
      <c r="B40" s="721"/>
      <c r="C40" s="721"/>
      <c r="D40" s="643" t="s">
        <v>159</v>
      </c>
      <c r="E40" s="630">
        <f>'[1]15'!F40</f>
        <v>0.17</v>
      </c>
      <c r="F40" s="630">
        <v>0.17</v>
      </c>
      <c r="G40" s="593">
        <f t="shared" si="3"/>
        <v>0</v>
      </c>
      <c r="H40" s="580">
        <f>G40+'[1]15'!H40</f>
        <v>0</v>
      </c>
      <c r="I40" s="575"/>
      <c r="J40" s="673">
        <f>H40/DAY(B2)</f>
        <v>0</v>
      </c>
      <c r="K40" s="509"/>
      <c r="L40" s="405"/>
      <c r="N40" s="854"/>
      <c r="O40" s="861"/>
      <c r="P40" s="410"/>
    </row>
    <row r="41" spans="1:16" x14ac:dyDescent="0.4">
      <c r="A41" s="699" t="s">
        <v>197</v>
      </c>
      <c r="B41" s="700"/>
      <c r="C41" s="700"/>
      <c r="D41" s="643" t="s">
        <v>159</v>
      </c>
      <c r="E41" s="630">
        <f>'[1]15'!F41</f>
        <v>300127.95</v>
      </c>
      <c r="F41" s="630">
        <v>300127.95</v>
      </c>
      <c r="G41" s="593">
        <f t="shared" si="3"/>
        <v>0</v>
      </c>
      <c r="H41" s="580">
        <f>G41+'[1]15'!H41</f>
        <v>0</v>
      </c>
      <c r="I41" s="575"/>
      <c r="J41" s="673">
        <f>H41/DAY(B2)</f>
        <v>0</v>
      </c>
      <c r="K41" s="508"/>
      <c r="L41" s="405"/>
      <c r="N41" s="854"/>
      <c r="O41" s="863"/>
      <c r="P41" s="857"/>
    </row>
    <row r="42" spans="1:16" x14ac:dyDescent="0.4">
      <c r="A42" s="699" t="s">
        <v>198</v>
      </c>
      <c r="B42" s="700"/>
      <c r="C42" s="700"/>
      <c r="D42" s="643" t="s">
        <v>159</v>
      </c>
      <c r="E42" s="630">
        <f>'[1]15'!F42</f>
        <v>55881</v>
      </c>
      <c r="F42" s="630">
        <v>58926</v>
      </c>
      <c r="G42" s="593">
        <f>F42-E42</f>
        <v>3045</v>
      </c>
      <c r="H42" s="580">
        <f>G42+'[1]15'!H42</f>
        <v>58926</v>
      </c>
      <c r="I42" s="575"/>
      <c r="J42" s="673">
        <f>H42/DAY(B2)</f>
        <v>3682.875</v>
      </c>
      <c r="K42" s="508"/>
      <c r="L42" s="405"/>
      <c r="N42" s="854"/>
      <c r="O42" s="861"/>
      <c r="P42" s="410"/>
    </row>
    <row r="43" spans="1:16" x14ac:dyDescent="0.4">
      <c r="A43" s="699" t="s">
        <v>199</v>
      </c>
      <c r="B43" s="700"/>
      <c r="C43" s="700"/>
      <c r="D43" s="643" t="s">
        <v>159</v>
      </c>
      <c r="E43" s="630">
        <f>'[1]15'!F43</f>
        <v>665672</v>
      </c>
      <c r="F43" s="630">
        <v>667826</v>
      </c>
      <c r="G43" s="593">
        <f t="shared" si="3"/>
        <v>2154</v>
      </c>
      <c r="H43" s="580">
        <f>G43+'[1]15'!H43</f>
        <v>37076.689999999944</v>
      </c>
      <c r="I43" s="575"/>
      <c r="J43" s="673">
        <f>H43/DAY(B2)</f>
        <v>2317.2931249999965</v>
      </c>
      <c r="K43" s="508"/>
      <c r="L43" s="405"/>
      <c r="N43" s="854"/>
      <c r="O43" s="862"/>
      <c r="P43" s="410"/>
    </row>
    <row r="44" spans="1:16" x14ac:dyDescent="0.4">
      <c r="A44" s="699" t="s">
        <v>200</v>
      </c>
      <c r="B44" s="700"/>
      <c r="C44" s="700"/>
      <c r="D44" s="643" t="s">
        <v>159</v>
      </c>
      <c r="E44" s="630">
        <f>'[1]15'!F44</f>
        <v>0</v>
      </c>
      <c r="F44" s="630">
        <v>0</v>
      </c>
      <c r="G44" s="593">
        <f t="shared" si="3"/>
        <v>0</v>
      </c>
      <c r="H44" s="580">
        <f>G44+'[1]15'!H44</f>
        <v>0</v>
      </c>
      <c r="I44" s="575"/>
      <c r="J44" s="673">
        <f>H44/DAY(B2)</f>
        <v>0</v>
      </c>
      <c r="K44" s="508"/>
      <c r="L44" s="405"/>
      <c r="N44" s="854"/>
      <c r="O44" s="861"/>
      <c r="P44" s="410"/>
    </row>
    <row r="45" spans="1:16" x14ac:dyDescent="0.4">
      <c r="A45" s="699" t="s">
        <v>201</v>
      </c>
      <c r="B45" s="700"/>
      <c r="C45" s="700"/>
      <c r="D45" s="643" t="s">
        <v>159</v>
      </c>
      <c r="E45" s="630">
        <f>'[1]15'!F45</f>
        <v>614</v>
      </c>
      <c r="F45" s="630">
        <v>614</v>
      </c>
      <c r="G45" s="593">
        <f t="shared" si="3"/>
        <v>0</v>
      </c>
      <c r="H45" s="580">
        <f>G45+'[1]15'!H45</f>
        <v>-0.48000000000001819</v>
      </c>
      <c r="I45" s="575"/>
      <c r="J45" s="673">
        <f>H45/DAY(B2)</f>
        <v>-3.0000000000001137E-2</v>
      </c>
      <c r="K45" s="508"/>
      <c r="L45" s="405"/>
      <c r="N45" s="858"/>
      <c r="O45" s="861"/>
      <c r="P45" s="410"/>
    </row>
    <row r="46" spans="1:16" x14ac:dyDescent="0.4">
      <c r="A46" s="699" t="s">
        <v>202</v>
      </c>
      <c r="B46" s="700"/>
      <c r="C46" s="700"/>
      <c r="D46" s="643" t="s">
        <v>159</v>
      </c>
      <c r="E46" s="630">
        <f>'[1]15'!F46</f>
        <v>187.49</v>
      </c>
      <c r="F46" s="630">
        <v>187.49</v>
      </c>
      <c r="G46" s="593">
        <f t="shared" si="3"/>
        <v>0</v>
      </c>
      <c r="H46" s="580">
        <f>G46+'[1]15'!H46</f>
        <v>0</v>
      </c>
      <c r="I46" s="575"/>
      <c r="J46" s="673">
        <f>H46/DAY(B2)</f>
        <v>0</v>
      </c>
      <c r="K46" s="508"/>
      <c r="L46" s="405"/>
      <c r="N46" s="854"/>
      <c r="O46" s="861"/>
      <c r="P46" s="410"/>
    </row>
    <row r="47" spans="1:16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5827</v>
      </c>
      <c r="H47" s="580">
        <f>G47+'[1]15'!H47</f>
        <v>109551.47999999992</v>
      </c>
      <c r="I47" s="575"/>
      <c r="J47" s="673">
        <f>H47/DAY(B2)</f>
        <v>6846.9674999999952</v>
      </c>
      <c r="K47" s="508"/>
      <c r="L47" s="405"/>
      <c r="N47" s="854"/>
      <c r="O47" s="861"/>
      <c r="P47" s="410"/>
    </row>
    <row r="48" spans="1:16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854"/>
      <c r="O48" s="861"/>
      <c r="P48" s="410"/>
    </row>
    <row r="49" spans="1:16" x14ac:dyDescent="0.4">
      <c r="A49" s="699" t="s">
        <v>191</v>
      </c>
      <c r="B49" s="722"/>
      <c r="C49" s="722"/>
      <c r="D49" s="643" t="s">
        <v>159</v>
      </c>
      <c r="E49" s="630">
        <f>'[1]15'!F49</f>
        <v>103757</v>
      </c>
      <c r="F49" s="630">
        <v>106384</v>
      </c>
      <c r="G49" s="593">
        <f t="shared" ref="G49:G58" si="4">F49-E49</f>
        <v>2627</v>
      </c>
      <c r="H49" s="580">
        <f>G49+'[1]15'!H49</f>
        <v>41774.483</v>
      </c>
      <c r="I49" s="575"/>
      <c r="J49" s="673">
        <f>H49/DAY(B2)</f>
        <v>2610.9051875</v>
      </c>
      <c r="K49" s="508">
        <f>E49+244</f>
        <v>104001</v>
      </c>
      <c r="L49" s="405"/>
      <c r="N49" s="854"/>
      <c r="O49" s="861"/>
      <c r="P49" s="410"/>
    </row>
    <row r="50" spans="1:16" x14ac:dyDescent="0.4">
      <c r="A50" s="699" t="s">
        <v>205</v>
      </c>
      <c r="B50" s="722"/>
      <c r="C50" s="722"/>
      <c r="D50" s="643" t="s">
        <v>159</v>
      </c>
      <c r="E50" s="630">
        <f>'[1]15'!F50</f>
        <v>315764</v>
      </c>
      <c r="F50" s="630">
        <v>316807</v>
      </c>
      <c r="G50" s="593">
        <f t="shared" si="4"/>
        <v>1043</v>
      </c>
      <c r="H50" s="580">
        <f>G50+'[1]15'!H50</f>
        <v>19397.469999999972</v>
      </c>
      <c r="I50" s="575"/>
      <c r="J50" s="673">
        <f>H50/DAY(B2)</f>
        <v>1212.3418749999983</v>
      </c>
      <c r="K50" s="508"/>
      <c r="L50" s="405"/>
      <c r="N50" s="854"/>
      <c r="O50" s="862"/>
      <c r="P50" s="410"/>
    </row>
    <row r="51" spans="1:16" x14ac:dyDescent="0.4">
      <c r="A51" s="1291" t="s">
        <v>193</v>
      </c>
      <c r="B51" s="1292"/>
      <c r="C51" s="1292"/>
      <c r="D51" s="845" t="s">
        <v>159</v>
      </c>
      <c r="E51" s="1196">
        <f>'[1]15'!F51</f>
        <v>41397</v>
      </c>
      <c r="F51" s="1196">
        <v>42804</v>
      </c>
      <c r="G51" s="912">
        <f t="shared" si="4"/>
        <v>1407</v>
      </c>
      <c r="H51" s="580">
        <f>G51+'[1]15'!H51</f>
        <v>21937.032999999999</v>
      </c>
      <c r="I51" s="575"/>
      <c r="J51" s="673">
        <f>H51/DAY(B2)</f>
        <v>1371.0645625</v>
      </c>
      <c r="K51" s="508"/>
      <c r="L51" s="405"/>
      <c r="N51" s="854"/>
      <c r="O51" s="861"/>
      <c r="P51" s="410"/>
    </row>
    <row r="52" spans="1:16" x14ac:dyDescent="0.4">
      <c r="A52" s="699" t="s">
        <v>206</v>
      </c>
      <c r="B52" s="722"/>
      <c r="C52" s="722"/>
      <c r="D52" s="643" t="s">
        <v>159</v>
      </c>
      <c r="E52" s="630">
        <f>'[1]15'!F52</f>
        <v>401233</v>
      </c>
      <c r="F52" s="630">
        <v>402960</v>
      </c>
      <c r="G52" s="593">
        <f t="shared" si="4"/>
        <v>1727</v>
      </c>
      <c r="H52" s="580">
        <f>G52+'[1]15'!H52</f>
        <v>29604.209999999963</v>
      </c>
      <c r="I52" s="575"/>
      <c r="J52" s="673">
        <f>H52/DAY(B2)</f>
        <v>1850.2631249999977</v>
      </c>
      <c r="K52" s="508"/>
      <c r="L52" s="405"/>
      <c r="N52" s="854"/>
      <c r="O52" s="861"/>
      <c r="P52" s="410"/>
    </row>
    <row r="53" spans="1:16" x14ac:dyDescent="0.4">
      <c r="A53" s="699" t="s">
        <v>195</v>
      </c>
      <c r="B53" s="722"/>
      <c r="C53" s="722"/>
      <c r="D53" s="643" t="s">
        <v>159</v>
      </c>
      <c r="E53" s="630">
        <f>'[1]15'!F53</f>
        <v>108940</v>
      </c>
      <c r="F53" s="630">
        <v>113143</v>
      </c>
      <c r="G53" s="593">
        <f t="shared" si="4"/>
        <v>4203</v>
      </c>
      <c r="H53" s="580">
        <f>G53+'[1]15'!H53</f>
        <v>63400.892999999996</v>
      </c>
      <c r="I53" s="575"/>
      <c r="J53" s="673">
        <f>H53/DAY(B2)</f>
        <v>3962.5558124999998</v>
      </c>
      <c r="K53" s="508"/>
      <c r="L53" s="405"/>
      <c r="N53" s="854"/>
      <c r="O53" s="861"/>
      <c r="P53" s="410"/>
    </row>
    <row r="54" spans="1:16" x14ac:dyDescent="0.4">
      <c r="A54" s="699" t="s">
        <v>207</v>
      </c>
      <c r="B54" s="722"/>
      <c r="C54" s="722"/>
      <c r="D54" s="643" t="s">
        <v>159</v>
      </c>
      <c r="E54" s="630">
        <f>'[1]15'!F54</f>
        <v>3566</v>
      </c>
      <c r="F54" s="630">
        <v>3566</v>
      </c>
      <c r="G54" s="593">
        <f t="shared" si="4"/>
        <v>0</v>
      </c>
      <c r="H54" s="580">
        <f>G54+'[1]15'!H54</f>
        <v>687.38999999999987</v>
      </c>
      <c r="I54" s="575"/>
      <c r="J54" s="673">
        <f>H54/DAY(B2)</f>
        <v>42.961874999999992</v>
      </c>
      <c r="K54" s="508"/>
      <c r="L54" s="405"/>
      <c r="N54" s="854"/>
      <c r="O54" s="861"/>
      <c r="P54" s="410"/>
    </row>
    <row r="55" spans="1:16" x14ac:dyDescent="0.4">
      <c r="A55" s="699" t="s">
        <v>208</v>
      </c>
      <c r="B55" s="722"/>
      <c r="C55" s="722"/>
      <c r="D55" s="643" t="s">
        <v>159</v>
      </c>
      <c r="E55" s="770">
        <f>'[1]15'!F55</f>
        <v>158492.73000000001</v>
      </c>
      <c r="F55" s="770">
        <v>158492.73000000001</v>
      </c>
      <c r="G55" s="769">
        <f t="shared" si="4"/>
        <v>0</v>
      </c>
      <c r="H55" s="841">
        <f>G55+'[1]15'!H55</f>
        <v>-0.26999999998952262</v>
      </c>
      <c r="I55" s="842"/>
      <c r="J55" s="843">
        <f>H55/DAY(B2)</f>
        <v>-1.6874999999345164E-2</v>
      </c>
      <c r="K55" s="508"/>
      <c r="L55" s="405"/>
      <c r="N55" s="854"/>
      <c r="O55" s="861"/>
      <c r="P55" s="410"/>
    </row>
    <row r="56" spans="1:16" x14ac:dyDescent="0.4">
      <c r="A56" s="699" t="s">
        <v>209</v>
      </c>
      <c r="B56" s="722"/>
      <c r="C56" s="722"/>
      <c r="D56" s="643" t="s">
        <v>210</v>
      </c>
      <c r="E56" s="770">
        <f>'[1]15'!F56</f>
        <v>450017</v>
      </c>
      <c r="F56" s="770">
        <v>452138</v>
      </c>
      <c r="G56" s="593">
        <f t="shared" si="4"/>
        <v>2121</v>
      </c>
      <c r="H56" s="580">
        <f>G56+'[1]15'!H56</f>
        <v>16296.969999999972</v>
      </c>
      <c r="I56" s="575"/>
      <c r="J56" s="673">
        <f>H56/DAY(B2)</f>
        <v>1018.5606249999983</v>
      </c>
      <c r="K56" s="507"/>
      <c r="L56" s="405"/>
      <c r="N56" s="854"/>
      <c r="O56" s="863"/>
      <c r="P56" s="410"/>
    </row>
    <row r="57" spans="1:16" x14ac:dyDescent="0.4">
      <c r="A57" s="699" t="s">
        <v>199</v>
      </c>
      <c r="B57" s="722"/>
      <c r="C57" s="722"/>
      <c r="D57" s="643" t="s">
        <v>159</v>
      </c>
      <c r="E57" s="630">
        <f>'[1]15'!F57</f>
        <v>0</v>
      </c>
      <c r="F57" s="630">
        <v>0</v>
      </c>
      <c r="G57" s="593">
        <f t="shared" si="4"/>
        <v>0</v>
      </c>
      <c r="H57" s="580">
        <f>G57+'[1]15'!H57</f>
        <v>0</v>
      </c>
      <c r="I57" s="575"/>
      <c r="J57" s="673">
        <f>H57/DAY(B2)</f>
        <v>0</v>
      </c>
      <c r="K57" s="508"/>
      <c r="L57" s="405"/>
      <c r="N57" s="854"/>
      <c r="O57" s="861"/>
      <c r="P57" s="410"/>
    </row>
    <row r="58" spans="1:16" x14ac:dyDescent="0.4">
      <c r="A58" s="699" t="s">
        <v>211</v>
      </c>
      <c r="B58" s="722"/>
      <c r="C58" s="722"/>
      <c r="D58" s="643" t="s">
        <v>159</v>
      </c>
      <c r="E58" s="770">
        <f>'[1]15'!F58</f>
        <v>22268</v>
      </c>
      <c r="F58" s="770">
        <v>22296</v>
      </c>
      <c r="G58" s="593">
        <f t="shared" si="4"/>
        <v>28</v>
      </c>
      <c r="H58" s="580">
        <f>G58+'[1]15'!H58</f>
        <v>1902.9670000000006</v>
      </c>
      <c r="I58" s="575"/>
      <c r="J58" s="673">
        <f>H58/DAY(B2)</f>
        <v>118.93543750000003</v>
      </c>
      <c r="K58" s="508"/>
      <c r="L58" s="405"/>
      <c r="N58" s="854"/>
      <c r="O58" s="861"/>
      <c r="P58" s="410"/>
    </row>
    <row r="59" spans="1:16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13156</v>
      </c>
      <c r="H59" s="580">
        <f>G59+'[1]15'!H59</f>
        <v>195001.14599999989</v>
      </c>
      <c r="I59" s="575">
        <f>G7-G60</f>
        <v>667</v>
      </c>
      <c r="J59" s="673">
        <f>H59/DAY(B2)</f>
        <v>12187.571624999993</v>
      </c>
      <c r="K59" s="508"/>
      <c r="L59" s="405"/>
      <c r="N59" s="854"/>
      <c r="O59" s="861"/>
      <c r="P59" s="410"/>
    </row>
    <row r="60" spans="1:16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18983</v>
      </c>
      <c r="H60" s="580">
        <f>G60+'[1]15'!H60</f>
        <v>318096.29599999991</v>
      </c>
      <c r="I60" s="575">
        <f>G13-G60</f>
        <v>-112</v>
      </c>
      <c r="J60" s="673">
        <f>H60/DAY(B2)</f>
        <v>19881.018499999995</v>
      </c>
      <c r="K60" s="508"/>
      <c r="L60" s="405"/>
      <c r="N60" s="854"/>
      <c r="O60" s="861"/>
      <c r="P60" s="410"/>
    </row>
    <row r="61" spans="1:16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854"/>
      <c r="O61" s="861"/>
      <c r="P61" s="410"/>
    </row>
    <row r="62" spans="1:16" x14ac:dyDescent="0.4">
      <c r="A62" s="724" t="s">
        <v>121</v>
      </c>
      <c r="B62" s="725"/>
      <c r="C62" s="725"/>
      <c r="D62" s="631" t="s">
        <v>214</v>
      </c>
      <c r="E62" s="634">
        <f>'[1]15'!F62</f>
        <v>20419.18</v>
      </c>
      <c r="F62" s="634">
        <v>20419.18</v>
      </c>
      <c r="G62" s="593">
        <f t="shared" ref="G62:G69" si="5">F62-E62</f>
        <v>0</v>
      </c>
      <c r="H62" s="580">
        <f>G62+'[1]15'!H62</f>
        <v>0</v>
      </c>
      <c r="I62" s="635"/>
      <c r="J62" s="673">
        <f>H62/DAY(B2)</f>
        <v>0</v>
      </c>
      <c r="K62" s="508"/>
      <c r="L62" s="405"/>
      <c r="N62" s="854"/>
      <c r="O62" s="861"/>
      <c r="P62" s="410"/>
    </row>
    <row r="63" spans="1:16" x14ac:dyDescent="0.4">
      <c r="A63" s="724" t="s">
        <v>215</v>
      </c>
      <c r="B63" s="725"/>
      <c r="C63" s="725"/>
      <c r="D63" s="631" t="s">
        <v>214</v>
      </c>
      <c r="E63" s="634">
        <f>'[1]15'!F63</f>
        <v>1043</v>
      </c>
      <c r="F63" s="634">
        <v>1047</v>
      </c>
      <c r="G63" s="593">
        <f t="shared" si="5"/>
        <v>4</v>
      </c>
      <c r="H63" s="580">
        <f>G63+'[1]15'!H63</f>
        <v>190.63</v>
      </c>
      <c r="I63" s="635"/>
      <c r="J63" s="673">
        <f>H63/DAY(B2)</f>
        <v>11.914375</v>
      </c>
      <c r="K63" s="508"/>
      <c r="L63" s="405"/>
      <c r="N63" s="854"/>
      <c r="O63" s="861"/>
      <c r="P63" s="410"/>
    </row>
    <row r="64" spans="1:16" ht="27.75" x14ac:dyDescent="0.5">
      <c r="A64" s="1395" t="s">
        <v>122</v>
      </c>
      <c r="B64" s="1396"/>
      <c r="C64" s="1397"/>
      <c r="D64" s="643" t="s">
        <v>214</v>
      </c>
      <c r="E64" s="598">
        <f>'[1]15'!F64</f>
        <v>92203</v>
      </c>
      <c r="F64" s="598">
        <v>92590</v>
      </c>
      <c r="G64" s="593">
        <f t="shared" si="5"/>
        <v>387</v>
      </c>
      <c r="H64" s="580">
        <f>G64+'[1]15'!H64</f>
        <v>5850.9049999999988</v>
      </c>
      <c r="I64" s="600"/>
      <c r="J64" s="673">
        <f>H64/DAY(B2)</f>
        <v>365.68156249999993</v>
      </c>
      <c r="K64" s="508"/>
      <c r="L64" s="405"/>
      <c r="N64" s="854"/>
      <c r="O64" s="861"/>
      <c r="P64" s="410"/>
    </row>
    <row r="65" spans="1:16" ht="27.75" x14ac:dyDescent="0.5">
      <c r="A65" s="1395" t="s">
        <v>123</v>
      </c>
      <c r="B65" s="1396"/>
      <c r="C65" s="1397"/>
      <c r="D65" s="643" t="s">
        <v>214</v>
      </c>
      <c r="E65" s="768">
        <f>'[1]15'!F65</f>
        <v>102657</v>
      </c>
      <c r="F65" s="768">
        <v>103044</v>
      </c>
      <c r="G65" s="593">
        <f t="shared" si="5"/>
        <v>387</v>
      </c>
      <c r="H65" s="580">
        <f>G65+'[1]15'!H65</f>
        <v>6408.0170000000071</v>
      </c>
      <c r="I65" s="609"/>
      <c r="J65" s="673">
        <f>H65/DAY(B2)</f>
        <v>400.50106250000044</v>
      </c>
      <c r="K65" s="508"/>
      <c r="L65" s="405"/>
      <c r="N65" s="854"/>
      <c r="O65" s="862"/>
      <c r="P65" s="410"/>
    </row>
    <row r="66" spans="1:16" ht="27.75" x14ac:dyDescent="0.5">
      <c r="A66" s="1395" t="s">
        <v>124</v>
      </c>
      <c r="B66" s="1396"/>
      <c r="C66" s="1397"/>
      <c r="D66" s="643" t="s">
        <v>214</v>
      </c>
      <c r="E66" s="598">
        <f>'[1]15'!F66</f>
        <v>96016</v>
      </c>
      <c r="F66" s="598">
        <v>96416</v>
      </c>
      <c r="G66" s="593">
        <f t="shared" si="5"/>
        <v>400</v>
      </c>
      <c r="H66" s="580">
        <f>G66+'[1]15'!H66</f>
        <v>6411.1530000000057</v>
      </c>
      <c r="I66" s="600"/>
      <c r="J66" s="673">
        <f>H66/DAY(B2)</f>
        <v>400.69706250000036</v>
      </c>
      <c r="K66" s="508"/>
      <c r="L66" s="405"/>
      <c r="N66" s="854"/>
      <c r="O66" s="861"/>
      <c r="P66" s="410"/>
    </row>
    <row r="67" spans="1:16" ht="27.75" x14ac:dyDescent="0.5">
      <c r="A67" s="1395" t="s">
        <v>125</v>
      </c>
      <c r="B67" s="1396"/>
      <c r="C67" s="1397"/>
      <c r="D67" s="643" t="s">
        <v>214</v>
      </c>
      <c r="E67" s="598">
        <f>'[1]15'!F67</f>
        <v>156945</v>
      </c>
      <c r="F67" s="598">
        <v>157677</v>
      </c>
      <c r="G67" s="593">
        <f t="shared" si="5"/>
        <v>732</v>
      </c>
      <c r="H67" s="580">
        <f>G67+'[1]15'!H67</f>
        <v>11634.950000000012</v>
      </c>
      <c r="I67" s="609"/>
      <c r="J67" s="673">
        <f>H67/DAY(B2)</f>
        <v>727.18437500000073</v>
      </c>
      <c r="K67" s="509"/>
      <c r="L67" s="405"/>
      <c r="N67" s="854"/>
      <c r="O67" s="861"/>
      <c r="P67" s="410"/>
    </row>
    <row r="68" spans="1:16" ht="27.75" x14ac:dyDescent="0.5">
      <c r="A68" s="1395" t="s">
        <v>126</v>
      </c>
      <c r="B68" s="1396"/>
      <c r="C68" s="1397"/>
      <c r="D68" s="643" t="s">
        <v>214</v>
      </c>
      <c r="E68" s="598">
        <f>'[1]15'!F68</f>
        <v>48521</v>
      </c>
      <c r="F68" s="598">
        <v>48887</v>
      </c>
      <c r="G68" s="593">
        <f t="shared" si="5"/>
        <v>366</v>
      </c>
      <c r="H68" s="580">
        <f>G68+'[1]15'!H68</f>
        <v>5711.9210000000021</v>
      </c>
      <c r="I68" s="636"/>
      <c r="J68" s="673">
        <f>H68/DAY(B2)</f>
        <v>356.99506250000013</v>
      </c>
      <c r="K68" s="510"/>
      <c r="L68" s="405"/>
      <c r="N68" s="854"/>
      <c r="O68" s="861"/>
      <c r="P68" s="410"/>
    </row>
    <row r="69" spans="1:16" ht="27.75" x14ac:dyDescent="0.5">
      <c r="A69" s="1395" t="s">
        <v>127</v>
      </c>
      <c r="B69" s="1396"/>
      <c r="C69" s="1397"/>
      <c r="D69" s="643" t="s">
        <v>214</v>
      </c>
      <c r="E69" s="598">
        <f>'[1]15'!F69</f>
        <v>41946</v>
      </c>
      <c r="F69" s="598">
        <v>42245</v>
      </c>
      <c r="G69" s="593">
        <f t="shared" si="5"/>
        <v>299</v>
      </c>
      <c r="H69" s="580">
        <f>G69+'[1]15'!H69</f>
        <v>4689.4329999999973</v>
      </c>
      <c r="I69" s="636"/>
      <c r="J69" s="673">
        <f>H69/DAY(B2)</f>
        <v>293.08956249999983</v>
      </c>
      <c r="K69" s="511"/>
      <c r="L69" s="405"/>
      <c r="N69" s="854"/>
      <c r="O69" s="861"/>
      <c r="P69" s="410"/>
    </row>
    <row r="70" spans="1:16" ht="27.75" x14ac:dyDescent="0.5">
      <c r="A70" s="1451" t="s">
        <v>216</v>
      </c>
      <c r="B70" s="1452"/>
      <c r="C70" s="1453"/>
      <c r="D70" s="643" t="s">
        <v>214</v>
      </c>
      <c r="E70" s="598"/>
      <c r="F70" s="638"/>
      <c r="G70" s="638"/>
      <c r="H70" s="580"/>
      <c r="I70" s="638"/>
      <c r="J70" s="677"/>
      <c r="K70" s="511"/>
      <c r="L70" s="405"/>
      <c r="N70" s="854"/>
      <c r="O70" s="861"/>
      <c r="P70" s="410"/>
    </row>
    <row r="71" spans="1:16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854"/>
      <c r="O71" s="861"/>
      <c r="P71" s="410"/>
    </row>
    <row r="72" spans="1:16" ht="27.75" x14ac:dyDescent="0.5">
      <c r="A72" s="1395" t="s">
        <v>218</v>
      </c>
      <c r="B72" s="1396"/>
      <c r="C72" s="1397"/>
      <c r="D72" s="643" t="s">
        <v>214</v>
      </c>
      <c r="E72" s="771">
        <f>'[1]15'!F72</f>
        <v>845090</v>
      </c>
      <c r="F72" s="771">
        <v>845170</v>
      </c>
      <c r="G72" s="593">
        <f t="shared" ref="G72:G84" si="6">F72-E72</f>
        <v>80</v>
      </c>
      <c r="H72" s="580">
        <f>G72+'[1]15'!H72</f>
        <v>908</v>
      </c>
      <c r="I72" s="600"/>
      <c r="J72" s="673">
        <f>H72/DAY(B2)</f>
        <v>56.75</v>
      </c>
      <c r="K72" s="511"/>
      <c r="L72" s="405"/>
      <c r="N72" s="854"/>
      <c r="O72" s="861"/>
      <c r="P72" s="410"/>
    </row>
    <row r="73" spans="1:16" s="1295" customFormat="1" ht="27.75" x14ac:dyDescent="0.5">
      <c r="A73" s="1451" t="s">
        <v>219</v>
      </c>
      <c r="B73" s="1452"/>
      <c r="C73" s="1453"/>
      <c r="D73" s="644" t="s">
        <v>214</v>
      </c>
      <c r="E73" s="771">
        <f>'[1]15'!F73</f>
        <v>885470</v>
      </c>
      <c r="F73" s="771">
        <v>885473</v>
      </c>
      <c r="G73" s="593">
        <f t="shared" si="6"/>
        <v>3</v>
      </c>
      <c r="H73" s="606">
        <f>G73+'[1]15'!H73</f>
        <v>769</v>
      </c>
      <c r="I73" s="1293"/>
      <c r="J73" s="673">
        <f>H73/DAY(B2)</f>
        <v>48.0625</v>
      </c>
      <c r="K73" s="510"/>
      <c r="L73" s="1294"/>
      <c r="N73" s="1296"/>
      <c r="O73" s="1297"/>
      <c r="P73" s="1298"/>
    </row>
    <row r="74" spans="1:16" ht="27.75" x14ac:dyDescent="0.5">
      <c r="A74" s="1395" t="s">
        <v>220</v>
      </c>
      <c r="B74" s="1396"/>
      <c r="C74" s="1397"/>
      <c r="D74" s="643" t="s">
        <v>214</v>
      </c>
      <c r="E74" s="772">
        <f>'[1]15'!F74</f>
        <v>880677</v>
      </c>
      <c r="F74" s="772">
        <v>880701</v>
      </c>
      <c r="G74" s="593">
        <f t="shared" si="6"/>
        <v>24</v>
      </c>
      <c r="H74" s="580">
        <f>G74+'[1]15'!H74</f>
        <v>474</v>
      </c>
      <c r="I74" s="600"/>
      <c r="J74" s="673">
        <f>H74/DAY(B2)</f>
        <v>29.625</v>
      </c>
      <c r="K74" s="511"/>
      <c r="L74" s="405"/>
      <c r="N74" s="854"/>
      <c r="O74" s="861"/>
      <c r="P74" s="410"/>
    </row>
    <row r="75" spans="1:16" ht="27.75" x14ac:dyDescent="0.5">
      <c r="A75" s="1447" t="s">
        <v>221</v>
      </c>
      <c r="B75" s="1448"/>
      <c r="C75" s="1449"/>
      <c r="D75" s="643" t="s">
        <v>214</v>
      </c>
      <c r="E75" s="772">
        <f>'[1]15'!F75</f>
        <v>728857</v>
      </c>
      <c r="F75" s="772">
        <v>729033</v>
      </c>
      <c r="G75" s="593">
        <f t="shared" si="6"/>
        <v>176</v>
      </c>
      <c r="H75" s="580">
        <f>G75+'[1]15'!H75</f>
        <v>2853</v>
      </c>
      <c r="I75" s="600"/>
      <c r="J75" s="673">
        <f>H75/DAY(B2)</f>
        <v>178.3125</v>
      </c>
      <c r="K75" s="510"/>
      <c r="L75" s="405"/>
      <c r="N75" s="854"/>
      <c r="O75" s="861"/>
      <c r="P75" s="410"/>
    </row>
    <row r="76" spans="1:16" ht="27.75" x14ac:dyDescent="0.5">
      <c r="A76" s="1447" t="s">
        <v>222</v>
      </c>
      <c r="B76" s="1448"/>
      <c r="C76" s="1449"/>
      <c r="D76" s="643" t="s">
        <v>214</v>
      </c>
      <c r="E76" s="772">
        <f>'[1]15'!F76</f>
        <v>682863</v>
      </c>
      <c r="F76" s="772">
        <v>682963</v>
      </c>
      <c r="G76" s="593">
        <f t="shared" si="6"/>
        <v>100</v>
      </c>
      <c r="H76" s="580">
        <f>G76+'[1]15'!H76</f>
        <v>2593</v>
      </c>
      <c r="I76" s="625"/>
      <c r="J76" s="673">
        <f>H76/DAY(B2)</f>
        <v>162.0625</v>
      </c>
      <c r="K76" s="510"/>
      <c r="L76" s="405"/>
      <c r="N76" s="854"/>
      <c r="O76" s="861"/>
      <c r="P76" s="410"/>
    </row>
    <row r="77" spans="1:16" ht="27.75" x14ac:dyDescent="0.5">
      <c r="A77" s="1395" t="s">
        <v>223</v>
      </c>
      <c r="B77" s="1396"/>
      <c r="C77" s="1397"/>
      <c r="D77" s="643" t="s">
        <v>214</v>
      </c>
      <c r="E77" s="772">
        <f>'[1]15'!F77</f>
        <v>694514</v>
      </c>
      <c r="F77" s="772">
        <v>694568</v>
      </c>
      <c r="G77" s="769">
        <f t="shared" si="6"/>
        <v>54</v>
      </c>
      <c r="H77" s="580">
        <f>G77+'[1]15'!H77</f>
        <v>848</v>
      </c>
      <c r="I77" s="625"/>
      <c r="J77" s="673">
        <f>H77/DAY(B2)</f>
        <v>53</v>
      </c>
      <c r="K77" s="510"/>
      <c r="L77" s="405"/>
      <c r="N77" s="854"/>
      <c r="O77" s="861"/>
      <c r="P77" s="410"/>
    </row>
    <row r="78" spans="1:16" ht="27.75" x14ac:dyDescent="0.5">
      <c r="A78" s="1357" t="s">
        <v>224</v>
      </c>
      <c r="B78" s="1320"/>
      <c r="C78" s="1320"/>
      <c r="D78" s="643" t="s">
        <v>214</v>
      </c>
      <c r="E78" s="773">
        <f>'[1]15'!F78</f>
        <v>624331</v>
      </c>
      <c r="F78" s="773">
        <v>624743</v>
      </c>
      <c r="G78" s="593">
        <f t="shared" si="6"/>
        <v>412</v>
      </c>
      <c r="H78" s="580">
        <f>G78+'[1]15'!H78</f>
        <v>6490</v>
      </c>
      <c r="I78" s="625"/>
      <c r="J78" s="673">
        <f>H78/DAY(B2)</f>
        <v>405.625</v>
      </c>
      <c r="K78" s="510"/>
      <c r="L78" s="405"/>
      <c r="N78" s="854"/>
      <c r="O78" s="861"/>
      <c r="P78" s="410"/>
    </row>
    <row r="79" spans="1:16" ht="27.75" x14ac:dyDescent="0.5">
      <c r="A79" s="1447" t="s">
        <v>112</v>
      </c>
      <c r="B79" s="1448"/>
      <c r="C79" s="1449"/>
      <c r="D79" s="644" t="s">
        <v>214</v>
      </c>
      <c r="E79" s="773">
        <f>'[1]15'!F79</f>
        <v>800887</v>
      </c>
      <c r="F79" s="773">
        <v>801080</v>
      </c>
      <c r="G79" s="593">
        <f t="shared" si="6"/>
        <v>193</v>
      </c>
      <c r="H79" s="580">
        <f>G79+'[1]15'!H79</f>
        <v>5828</v>
      </c>
      <c r="I79" s="625"/>
      <c r="J79" s="673">
        <f>H79/DAY(B2)</f>
        <v>364.25</v>
      </c>
      <c r="K79" s="510"/>
      <c r="L79" s="405"/>
      <c r="N79" s="854"/>
      <c r="O79" s="861"/>
      <c r="P79" s="410"/>
    </row>
    <row r="80" spans="1:16" ht="27.75" x14ac:dyDescent="0.5">
      <c r="A80" s="1447" t="s">
        <v>225</v>
      </c>
      <c r="B80" s="1448"/>
      <c r="C80" s="1449"/>
      <c r="D80" s="644" t="s">
        <v>214</v>
      </c>
      <c r="E80" s="772">
        <f>'[1]15'!F80</f>
        <v>470543</v>
      </c>
      <c r="F80" s="772">
        <v>470814.4</v>
      </c>
      <c r="G80" s="593">
        <f t="shared" si="6"/>
        <v>271.40000000002328</v>
      </c>
      <c r="H80" s="580">
        <f>G80+'[1]15'!H80</f>
        <v>3490.5599999999977</v>
      </c>
      <c r="I80" s="625"/>
      <c r="J80" s="673">
        <f>H80/DAY(B2)</f>
        <v>218.15999999999985</v>
      </c>
      <c r="K80" s="510"/>
      <c r="L80" s="405"/>
      <c r="N80" s="854"/>
      <c r="O80" s="861"/>
      <c r="P80" s="410"/>
    </row>
    <row r="81" spans="1:16" ht="27.75" x14ac:dyDescent="0.5">
      <c r="A81" s="1447" t="s">
        <v>226</v>
      </c>
      <c r="B81" s="1448"/>
      <c r="C81" s="1449"/>
      <c r="D81" s="644" t="s">
        <v>214</v>
      </c>
      <c r="E81" s="772">
        <f>'[1]15'!F81</f>
        <v>616835</v>
      </c>
      <c r="F81" s="772">
        <v>616944.64000000001</v>
      </c>
      <c r="G81" s="593">
        <f t="shared" si="6"/>
        <v>109.64000000001397</v>
      </c>
      <c r="H81" s="580">
        <f>G81+'[1]15'!H81</f>
        <v>2556.1199999999953</v>
      </c>
      <c r="I81" s="625"/>
      <c r="J81" s="673">
        <f>H81/DAY(B2)</f>
        <v>159.75749999999971</v>
      </c>
      <c r="K81" s="510"/>
      <c r="L81" s="405"/>
      <c r="N81" s="854"/>
      <c r="O81" s="861"/>
      <c r="P81" s="410"/>
    </row>
    <row r="82" spans="1:16" ht="27.75" x14ac:dyDescent="0.5">
      <c r="A82" s="1447" t="s">
        <v>115</v>
      </c>
      <c r="B82" s="1448"/>
      <c r="C82" s="1449"/>
      <c r="D82" s="605" t="s">
        <v>159</v>
      </c>
      <c r="E82" s="768">
        <f>'[1]15'!F82</f>
        <v>104025</v>
      </c>
      <c r="F82" s="768">
        <v>104036</v>
      </c>
      <c r="G82" s="593">
        <f t="shared" si="6"/>
        <v>11</v>
      </c>
      <c r="H82" s="580">
        <f>G82+'[1]15'!H82</f>
        <v>506.35000000000582</v>
      </c>
      <c r="I82" s="606"/>
      <c r="J82" s="673">
        <f>H82/DAY(B2)</f>
        <v>31.646875000000364</v>
      </c>
      <c r="K82" s="510"/>
      <c r="L82" s="405"/>
      <c r="N82" s="854"/>
      <c r="O82" s="861"/>
      <c r="P82" s="410"/>
    </row>
    <row r="83" spans="1:16" ht="27.75" x14ac:dyDescent="0.5">
      <c r="A83" s="1447" t="s">
        <v>227</v>
      </c>
      <c r="B83" s="1448"/>
      <c r="C83" s="1449"/>
      <c r="D83" s="741" t="s">
        <v>159</v>
      </c>
      <c r="E83" s="631">
        <f>'[1]15'!F83</f>
        <v>967912</v>
      </c>
      <c r="F83" s="631">
        <v>968245</v>
      </c>
      <c r="G83" s="593">
        <f t="shared" si="6"/>
        <v>333</v>
      </c>
      <c r="H83" s="580">
        <f>G83+'[1]15'!H83</f>
        <v>5720</v>
      </c>
      <c r="I83" s="601"/>
      <c r="J83" s="673">
        <f>H83/DAY(B2)</f>
        <v>357.5</v>
      </c>
      <c r="K83" s="509"/>
      <c r="L83" s="405"/>
      <c r="N83" s="854"/>
      <c r="O83" s="861"/>
      <c r="P83" s="410"/>
    </row>
    <row r="84" spans="1:16" s="523" customFormat="1" x14ac:dyDescent="0.5">
      <c r="A84" s="1299" t="s">
        <v>228</v>
      </c>
      <c r="B84" s="1300"/>
      <c r="C84" s="1300"/>
      <c r="D84" s="768" t="s">
        <v>159</v>
      </c>
      <c r="E84" s="748">
        <f>'[1]15'!F84</f>
        <v>389604</v>
      </c>
      <c r="F84" s="748">
        <v>390051</v>
      </c>
      <c r="G84" s="769">
        <f t="shared" si="6"/>
        <v>447</v>
      </c>
      <c r="H84" s="841">
        <f>G84+'[1]15'!H84</f>
        <v>8695</v>
      </c>
      <c r="I84" s="769"/>
      <c r="J84" s="673">
        <f>H84/DAY(B2)</f>
        <v>543.4375</v>
      </c>
      <c r="K84" s="869"/>
      <c r="L84" s="1250"/>
      <c r="N84" s="854"/>
      <c r="O84" s="863"/>
      <c r="P84" s="849"/>
    </row>
    <row r="85" spans="1:16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SUM(G72:G84)</f>
        <v>2214.0400000000373</v>
      </c>
      <c r="H85" s="580">
        <f>G85+'[1]15'!H85</f>
        <v>37174.559999999969</v>
      </c>
      <c r="I85" s="601"/>
      <c r="J85" s="673">
        <f>H85/DAY(B2)</f>
        <v>2323.409999999998</v>
      </c>
      <c r="K85" s="408"/>
      <c r="L85" s="406"/>
      <c r="N85" s="854"/>
      <c r="O85" s="861"/>
      <c r="P85" s="410"/>
    </row>
    <row r="86" spans="1:16" s="871" customFormat="1" x14ac:dyDescent="0.5">
      <c r="A86" s="866" t="s">
        <v>117</v>
      </c>
      <c r="B86" s="867"/>
      <c r="C86" s="867"/>
      <c r="D86" s="868" t="s">
        <v>210</v>
      </c>
      <c r="E86" s="764">
        <f>'[1]15'!F86</f>
        <v>442706</v>
      </c>
      <c r="F86" s="764">
        <v>442833</v>
      </c>
      <c r="G86" s="841">
        <f t="shared" ref="G86:G90" si="7">F86-E86</f>
        <v>127</v>
      </c>
      <c r="H86" s="580">
        <f>G86+'[1]15'!H86</f>
        <v>266</v>
      </c>
      <c r="I86" s="769"/>
      <c r="J86" s="843">
        <f>H86/DAY(B2)</f>
        <v>16.625</v>
      </c>
      <c r="K86" s="869"/>
      <c r="L86" s="870"/>
      <c r="O86" s="849"/>
    </row>
    <row r="87" spans="1:16" s="871" customFormat="1" x14ac:dyDescent="0.5">
      <c r="A87" s="866" t="s">
        <v>118</v>
      </c>
      <c r="B87" s="867"/>
      <c r="C87" s="867"/>
      <c r="D87" s="868" t="s">
        <v>210</v>
      </c>
      <c r="E87" s="764">
        <f>'[1]15'!F87</f>
        <v>77349</v>
      </c>
      <c r="F87" s="764">
        <v>77382</v>
      </c>
      <c r="G87" s="841">
        <f t="shared" si="7"/>
        <v>33</v>
      </c>
      <c r="H87" s="580">
        <f>G87+'[1]15'!H87</f>
        <v>70</v>
      </c>
      <c r="I87" s="769"/>
      <c r="J87" s="843">
        <f>H87/DAY(B2)</f>
        <v>4.375</v>
      </c>
      <c r="K87" s="869"/>
      <c r="L87" s="870"/>
      <c r="O87" s="849"/>
    </row>
    <row r="88" spans="1:16" s="871" customFormat="1" x14ac:dyDescent="0.5">
      <c r="A88" s="866" t="s">
        <v>119</v>
      </c>
      <c r="B88" s="867"/>
      <c r="C88" s="867"/>
      <c r="D88" s="868" t="s">
        <v>210</v>
      </c>
      <c r="E88" s="764">
        <f>'[1]15'!F88</f>
        <v>143555</v>
      </c>
      <c r="F88" s="764">
        <v>143622</v>
      </c>
      <c r="G88" s="841">
        <f t="shared" si="7"/>
        <v>67</v>
      </c>
      <c r="H88" s="580">
        <f>G88+'[1]15'!H88</f>
        <v>151</v>
      </c>
      <c r="I88" s="769"/>
      <c r="J88" s="843">
        <f>H88/DAY(B2)</f>
        <v>9.4375</v>
      </c>
      <c r="K88" s="869"/>
      <c r="L88" s="870"/>
      <c r="O88" s="849"/>
    </row>
    <row r="89" spans="1:16" s="871" customFormat="1" x14ac:dyDescent="0.5">
      <c r="A89" s="866" t="s">
        <v>230</v>
      </c>
      <c r="B89" s="867"/>
      <c r="C89" s="867"/>
      <c r="D89" s="868" t="s">
        <v>210</v>
      </c>
      <c r="E89" s="764">
        <f>'[1]15'!F89</f>
        <v>56561</v>
      </c>
      <c r="F89" s="764">
        <v>56638</v>
      </c>
      <c r="G89" s="841">
        <f t="shared" si="7"/>
        <v>77</v>
      </c>
      <c r="H89" s="580">
        <f>G89+'[1]15'!H89</f>
        <v>136</v>
      </c>
      <c r="I89" s="769"/>
      <c r="J89" s="843">
        <f>H89/DAY(B2)</f>
        <v>8.5</v>
      </c>
      <c r="K89" s="869"/>
      <c r="L89" s="870"/>
      <c r="N89" s="919"/>
      <c r="O89" s="410"/>
    </row>
    <row r="90" spans="1:16" s="871" customFormat="1" x14ac:dyDescent="0.5">
      <c r="A90" s="866" t="s">
        <v>230</v>
      </c>
      <c r="B90" s="867"/>
      <c r="C90" s="867"/>
      <c r="D90" s="868" t="s">
        <v>210</v>
      </c>
      <c r="E90" s="764">
        <f>'[1]15'!F90</f>
        <v>2934</v>
      </c>
      <c r="F90" s="764">
        <v>2940</v>
      </c>
      <c r="G90" s="841">
        <f t="shared" si="7"/>
        <v>6</v>
      </c>
      <c r="H90" s="580">
        <f>G90+'[1]15'!H90</f>
        <v>9</v>
      </c>
      <c r="I90" s="769"/>
      <c r="J90" s="843">
        <f>H90/DAY(B2)</f>
        <v>0.5625</v>
      </c>
      <c r="K90" s="869"/>
      <c r="L90" s="870"/>
      <c r="N90" s="919"/>
      <c r="O90" s="410"/>
    </row>
    <row r="91" spans="1:16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854"/>
      <c r="O91" s="861"/>
      <c r="P91" s="410"/>
    </row>
    <row r="92" spans="1:16" ht="27.75" x14ac:dyDescent="0.5">
      <c r="A92" s="1398" t="s">
        <v>233</v>
      </c>
      <c r="B92" s="1399"/>
      <c r="C92" s="1400"/>
      <c r="D92" s="643" t="s">
        <v>171</v>
      </c>
      <c r="E92" s="598">
        <f>'[1]15'!F92</f>
        <v>232467</v>
      </c>
      <c r="F92" s="598">
        <v>232496</v>
      </c>
      <c r="G92" s="593">
        <f t="shared" ref="G92:G93" si="8">F92-E92</f>
        <v>29</v>
      </c>
      <c r="H92" s="580">
        <f>G92+'[1]15'!H92</f>
        <v>1521</v>
      </c>
      <c r="I92" s="600"/>
      <c r="J92" s="673">
        <f>H92/DAY(B2)</f>
        <v>95.0625</v>
      </c>
      <c r="K92" s="509"/>
      <c r="L92" s="405"/>
      <c r="N92" s="854"/>
      <c r="O92" s="861"/>
      <c r="P92" s="410"/>
    </row>
    <row r="93" spans="1:16" ht="27.75" x14ac:dyDescent="0.5">
      <c r="A93" s="1398" t="s">
        <v>234</v>
      </c>
      <c r="B93" s="1399"/>
      <c r="C93" s="1400"/>
      <c r="D93" s="643" t="s">
        <v>171</v>
      </c>
      <c r="E93" s="598">
        <f>'[1]15'!F93</f>
        <v>164890</v>
      </c>
      <c r="F93" s="598">
        <v>164998</v>
      </c>
      <c r="G93" s="593">
        <f t="shared" si="8"/>
        <v>108</v>
      </c>
      <c r="H93" s="580">
        <f>G93+'[1]15'!H93</f>
        <v>2356</v>
      </c>
      <c r="I93" s="600"/>
      <c r="J93" s="673">
        <f>H93/DAY(B2)</f>
        <v>147.25</v>
      </c>
      <c r="K93" s="408"/>
      <c r="L93" s="405"/>
      <c r="N93" s="854"/>
      <c r="O93" s="861"/>
      <c r="P93" s="410"/>
    </row>
    <row r="94" spans="1:16" x14ac:dyDescent="0.5">
      <c r="A94" s="1392" t="s">
        <v>235</v>
      </c>
      <c r="B94" s="1393"/>
      <c r="C94" s="1394"/>
      <c r="D94" s="643"/>
      <c r="E94" s="598">
        <f>'[1]15'!F94</f>
        <v>0</v>
      </c>
      <c r="F94" s="598">
        <v>0</v>
      </c>
      <c r="G94" s="593">
        <f>G92+G93</f>
        <v>137</v>
      </c>
      <c r="H94" s="580">
        <f>G94+'[1]15'!H94</f>
        <v>3614</v>
      </c>
      <c r="I94" s="600"/>
      <c r="J94" s="673">
        <f>H94/DAY(B2)</f>
        <v>225.875</v>
      </c>
      <c r="K94" s="408"/>
      <c r="L94" s="405"/>
      <c r="N94" s="854"/>
      <c r="O94" s="861"/>
      <c r="P94" s="410"/>
    </row>
    <row r="95" spans="1:16" ht="27.75" x14ac:dyDescent="0.5">
      <c r="A95" s="1398" t="s">
        <v>236</v>
      </c>
      <c r="B95" s="1399"/>
      <c r="C95" s="1400"/>
      <c r="D95" s="643" t="s">
        <v>171</v>
      </c>
      <c r="E95" s="598">
        <f>'[1]15'!F95</f>
        <v>402567</v>
      </c>
      <c r="F95" s="598">
        <v>402605</v>
      </c>
      <c r="G95" s="593">
        <f t="shared" ref="G95:G100" si="9">F95-E95</f>
        <v>38</v>
      </c>
      <c r="H95" s="580">
        <f>G95+'[1]15'!H95</f>
        <v>1040</v>
      </c>
      <c r="I95" s="600"/>
      <c r="J95" s="673">
        <f>H95/DAY(B2)</f>
        <v>65</v>
      </c>
      <c r="K95" s="408"/>
      <c r="L95" s="405"/>
      <c r="N95" s="854"/>
      <c r="O95" s="861"/>
      <c r="P95" s="410"/>
    </row>
    <row r="96" spans="1:16" ht="27.75" x14ac:dyDescent="0.5">
      <c r="A96" s="1354" t="s">
        <v>237</v>
      </c>
      <c r="B96" s="1355"/>
      <c r="C96" s="1355"/>
      <c r="D96" s="643" t="s">
        <v>171</v>
      </c>
      <c r="E96" s="598">
        <f>'[1]15'!F96</f>
        <v>99560</v>
      </c>
      <c r="F96" s="598">
        <v>99577</v>
      </c>
      <c r="G96" s="593">
        <f t="shared" si="9"/>
        <v>17</v>
      </c>
      <c r="H96" s="580">
        <f>G96+'[1]15'!H96</f>
        <v>466</v>
      </c>
      <c r="I96" s="600"/>
      <c r="J96" s="673">
        <f>H96/DAY(B2)</f>
        <v>29.125</v>
      </c>
      <c r="K96" s="507"/>
      <c r="L96" s="405"/>
      <c r="N96" s="854"/>
      <c r="O96" s="861"/>
      <c r="P96" s="410"/>
    </row>
    <row r="97" spans="1:16" ht="27.75" x14ac:dyDescent="0.5">
      <c r="A97" s="1354" t="s">
        <v>238</v>
      </c>
      <c r="B97" s="1355"/>
      <c r="C97" s="1355"/>
      <c r="D97" s="643" t="s">
        <v>171</v>
      </c>
      <c r="E97" s="598">
        <f>'[1]15'!F97</f>
        <v>94662</v>
      </c>
      <c r="F97" s="598">
        <v>94677</v>
      </c>
      <c r="G97" s="593">
        <f t="shared" si="9"/>
        <v>15</v>
      </c>
      <c r="H97" s="580">
        <f>G97+'[1]15'!H97</f>
        <v>405</v>
      </c>
      <c r="I97" s="600"/>
      <c r="J97" s="673">
        <f>H97/DAY(B2)</f>
        <v>25.3125</v>
      </c>
      <c r="K97" s="512"/>
      <c r="L97" s="405"/>
      <c r="N97" s="854"/>
      <c r="O97" s="861"/>
      <c r="P97" s="410"/>
    </row>
    <row r="98" spans="1:16" ht="27.75" x14ac:dyDescent="0.5">
      <c r="A98" s="1354" t="s">
        <v>239</v>
      </c>
      <c r="B98" s="1355"/>
      <c r="C98" s="1355"/>
      <c r="D98" s="643" t="s">
        <v>171</v>
      </c>
      <c r="E98" s="598">
        <f>'[1]15'!F98</f>
        <v>143046</v>
      </c>
      <c r="F98" s="598">
        <v>143060</v>
      </c>
      <c r="G98" s="593">
        <f t="shared" si="9"/>
        <v>14</v>
      </c>
      <c r="H98" s="580">
        <f>G98+'[1]15'!H98</f>
        <v>914</v>
      </c>
      <c r="I98" s="600"/>
      <c r="J98" s="673">
        <f>H98/DAY(B2)</f>
        <v>57.125</v>
      </c>
      <c r="K98" s="408"/>
      <c r="L98" s="405"/>
      <c r="N98" s="856"/>
      <c r="O98" s="861"/>
      <c r="P98" s="410"/>
    </row>
    <row r="99" spans="1:16" ht="27.75" x14ac:dyDescent="0.5">
      <c r="A99" s="1354" t="s">
        <v>240</v>
      </c>
      <c r="B99" s="1355"/>
      <c r="C99" s="1355"/>
      <c r="D99" s="643" t="s">
        <v>171</v>
      </c>
      <c r="E99" s="598">
        <f>'[1]15'!F99</f>
        <v>5276</v>
      </c>
      <c r="F99" s="598">
        <v>5286</v>
      </c>
      <c r="G99" s="593">
        <f t="shared" si="9"/>
        <v>10</v>
      </c>
      <c r="H99" s="580">
        <f>G99+'[1]15'!H99</f>
        <v>318</v>
      </c>
      <c r="I99" s="600"/>
      <c r="J99" s="673">
        <f>H99/DAY(B2)</f>
        <v>19.875</v>
      </c>
      <c r="K99" s="408"/>
      <c r="L99" s="405"/>
      <c r="N99" s="854"/>
      <c r="O99" s="861"/>
      <c r="P99" s="410"/>
    </row>
    <row r="100" spans="1:16" ht="27.75" x14ac:dyDescent="0.5">
      <c r="A100" s="1354" t="s">
        <v>241</v>
      </c>
      <c r="B100" s="1355"/>
      <c r="C100" s="1355"/>
      <c r="D100" s="643" t="s">
        <v>171</v>
      </c>
      <c r="E100" s="598">
        <f>'[1]15'!F100</f>
        <v>3674</v>
      </c>
      <c r="F100" s="598">
        <v>3674</v>
      </c>
      <c r="G100" s="593">
        <f t="shared" si="9"/>
        <v>0</v>
      </c>
      <c r="H100" s="580">
        <f>G100+'[1]15'!H100</f>
        <v>0</v>
      </c>
      <c r="I100" s="600"/>
      <c r="J100" s="673">
        <f>H100/DAY(B2)</f>
        <v>0</v>
      </c>
      <c r="K100" s="408"/>
      <c r="L100" s="405"/>
      <c r="N100" s="854"/>
      <c r="O100" s="861"/>
      <c r="P100" s="410"/>
    </row>
    <row r="101" spans="1:16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94</v>
      </c>
      <c r="H101" s="580">
        <f>G101+'[1]15'!H101</f>
        <v>3143</v>
      </c>
      <c r="I101" s="646"/>
      <c r="J101" s="673">
        <f>H101/DAY(B2)</f>
        <v>196.4375</v>
      </c>
      <c r="K101" s="408"/>
      <c r="L101" s="405"/>
      <c r="N101" s="854"/>
      <c r="O101" s="861"/>
      <c r="P101" s="410"/>
    </row>
    <row r="102" spans="1:16" s="524" customFormat="1" ht="27" x14ac:dyDescent="0.35">
      <c r="A102" s="728" t="s">
        <v>243</v>
      </c>
      <c r="B102" s="729"/>
      <c r="C102" s="729"/>
      <c r="D102" s="742"/>
      <c r="E102" s="774"/>
      <c r="F102" s="774"/>
      <c r="G102" s="649"/>
      <c r="H102" s="650"/>
      <c r="I102" s="651"/>
      <c r="J102" s="678"/>
      <c r="N102" s="854"/>
      <c r="O102" s="861"/>
      <c r="P102" s="410"/>
    </row>
    <row r="103" spans="1:16" s="524" customFormat="1" ht="27.75" x14ac:dyDescent="0.5">
      <c r="A103" s="1404" t="s">
        <v>244</v>
      </c>
      <c r="B103" s="1405"/>
      <c r="C103" s="694"/>
      <c r="D103" s="743"/>
      <c r="E103" s="775"/>
      <c r="F103" s="775"/>
      <c r="G103" s="652"/>
      <c r="H103" s="653"/>
      <c r="I103" s="652"/>
      <c r="J103" s="679"/>
      <c r="N103" s="854"/>
      <c r="O103" s="861"/>
      <c r="P103" s="410"/>
    </row>
    <row r="104" spans="1:16" s="524" customFormat="1" ht="27.75" x14ac:dyDescent="0.5">
      <c r="A104" s="1406" t="s">
        <v>245</v>
      </c>
      <c r="B104" s="1407"/>
      <c r="C104" s="1359"/>
      <c r="D104" s="743" t="s">
        <v>171</v>
      </c>
      <c r="E104" s="775">
        <f>'[1]15'!F104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3.5625</v>
      </c>
      <c r="N104" s="854"/>
      <c r="O104" s="861"/>
      <c r="P104" s="410"/>
    </row>
    <row r="105" spans="1:16" s="524" customFormat="1" ht="27.75" x14ac:dyDescent="0.5">
      <c r="A105" s="1406" t="s">
        <v>92</v>
      </c>
      <c r="B105" s="1407"/>
      <c r="C105" s="1359"/>
      <c r="D105" s="743" t="s">
        <v>171</v>
      </c>
      <c r="E105" s="776">
        <f>'[1]15'!F105</f>
        <v>34800</v>
      </c>
      <c r="F105" s="776">
        <v>34800</v>
      </c>
      <c r="G105" s="652">
        <f t="shared" ref="G105:G106" si="10">F105-E105</f>
        <v>0</v>
      </c>
      <c r="H105" s="653">
        <f>SUM(G105+'[1]1'!G77)</f>
        <v>55</v>
      </c>
      <c r="I105" s="652"/>
      <c r="J105" s="679">
        <f>H105/DAY(B2)</f>
        <v>3.4375</v>
      </c>
      <c r="N105" s="854"/>
      <c r="O105" s="861"/>
      <c r="P105" s="410"/>
    </row>
    <row r="106" spans="1:16" s="524" customFormat="1" ht="27.75" x14ac:dyDescent="0.5">
      <c r="A106" s="1406" t="s">
        <v>93</v>
      </c>
      <c r="B106" s="1408"/>
      <c r="C106" s="1407"/>
      <c r="D106" s="743" t="s">
        <v>171</v>
      </c>
      <c r="E106" s="776">
        <f>'[1]15'!F106</f>
        <v>18811</v>
      </c>
      <c r="F106" s="776">
        <v>18811</v>
      </c>
      <c r="G106" s="652">
        <f t="shared" si="10"/>
        <v>0</v>
      </c>
      <c r="H106" s="653">
        <f>SUM(G106+'[1]1'!G78)</f>
        <v>480</v>
      </c>
      <c r="I106" s="652"/>
      <c r="J106" s="679">
        <f>H106/DAY(B2)</f>
        <v>30</v>
      </c>
      <c r="N106" s="854"/>
      <c r="O106" s="861"/>
      <c r="P106" s="410"/>
    </row>
    <row r="107" spans="1:16" s="524" customFormat="1" ht="27.75" x14ac:dyDescent="0.5">
      <c r="A107" s="1409" t="s">
        <v>82</v>
      </c>
      <c r="B107" s="1410"/>
      <c r="C107" s="1359"/>
      <c r="D107" s="743"/>
      <c r="E107" s="776">
        <f>'[1]15'!F107</f>
        <v>0</v>
      </c>
      <c r="F107" s="776"/>
      <c r="G107" s="652">
        <f>SUM(G104:G106)</f>
        <v>0</v>
      </c>
      <c r="H107" s="653">
        <f>SUM(G107+'[1]1'!G79)</f>
        <v>201</v>
      </c>
      <c r="I107" s="652"/>
      <c r="J107" s="679">
        <f>H107/DAY(B2)</f>
        <v>12.5625</v>
      </c>
      <c r="N107" s="854"/>
      <c r="O107" s="861"/>
      <c r="P107" s="410"/>
    </row>
    <row r="108" spans="1:16" s="524" customFormat="1" ht="27.75" x14ac:dyDescent="0.5">
      <c r="A108" s="1411" t="s">
        <v>94</v>
      </c>
      <c r="B108" s="1412"/>
      <c r="C108" s="1359"/>
      <c r="D108" s="743" t="s">
        <v>171</v>
      </c>
      <c r="E108" s="776">
        <f>'[1]15'!F108</f>
        <v>0</v>
      </c>
      <c r="F108" s="776"/>
      <c r="G108" s="652"/>
      <c r="H108" s="653"/>
      <c r="I108" s="652"/>
      <c r="J108" s="679"/>
      <c r="N108" s="854"/>
      <c r="O108" s="861"/>
      <c r="P108" s="410"/>
    </row>
    <row r="109" spans="1:16" s="524" customFormat="1" ht="27.75" x14ac:dyDescent="0.5">
      <c r="A109" s="1406" t="s">
        <v>246</v>
      </c>
      <c r="B109" s="1407"/>
      <c r="C109" s="1359"/>
      <c r="D109" s="743" t="s">
        <v>171</v>
      </c>
      <c r="E109" s="776">
        <f>'[1]15'!F109</f>
        <v>52183</v>
      </c>
      <c r="F109" s="776">
        <v>52223</v>
      </c>
      <c r="G109" s="652">
        <f>F109-E109</f>
        <v>40</v>
      </c>
      <c r="H109" s="653">
        <f>SUM(G109+'[1]1'!G81)</f>
        <v>193.28000000002794</v>
      </c>
      <c r="I109" s="652"/>
      <c r="J109" s="679">
        <f>H109/DAY(B2)</f>
        <v>12.080000000001746</v>
      </c>
      <c r="N109" s="854"/>
      <c r="O109" s="861"/>
      <c r="P109" s="410"/>
    </row>
    <row r="110" spans="1:16" s="524" customFormat="1" ht="27.75" x14ac:dyDescent="0.5">
      <c r="A110" s="1406" t="s">
        <v>247</v>
      </c>
      <c r="B110" s="1407"/>
      <c r="C110" s="1359"/>
      <c r="D110" s="743" t="s">
        <v>171</v>
      </c>
      <c r="E110" s="776">
        <f>'[1]15'!F110</f>
        <v>26169</v>
      </c>
      <c r="F110" s="776">
        <v>26182</v>
      </c>
      <c r="G110" s="652">
        <f t="shared" ref="G110:G111" si="11">F110-E110</f>
        <v>13</v>
      </c>
      <c r="H110" s="653">
        <f>SUM(G110+'[1]1'!G82)</f>
        <v>33.760000000009313</v>
      </c>
      <c r="I110" s="652"/>
      <c r="J110" s="679">
        <f>H110/DAY(B2)</f>
        <v>2.1100000000005821</v>
      </c>
      <c r="N110" s="854"/>
      <c r="O110" s="861"/>
      <c r="P110" s="410"/>
    </row>
    <row r="111" spans="1:16" s="524" customFormat="1" ht="27.75" x14ac:dyDescent="0.5">
      <c r="A111" s="1406" t="s">
        <v>248</v>
      </c>
      <c r="B111" s="1407"/>
      <c r="C111" s="1359"/>
      <c r="D111" s="743" t="s">
        <v>171</v>
      </c>
      <c r="E111" s="776">
        <f>'[1]15'!F111</f>
        <v>3458</v>
      </c>
      <c r="F111" s="776">
        <v>3471</v>
      </c>
      <c r="G111" s="652">
        <f t="shared" si="11"/>
        <v>13</v>
      </c>
      <c r="H111" s="653">
        <f>SUM(G111+'[1]1'!G83)</f>
        <v>359</v>
      </c>
      <c r="I111" s="652"/>
      <c r="J111" s="679">
        <f>H111/DAY(B2)</f>
        <v>22.4375</v>
      </c>
      <c r="N111" s="854"/>
      <c r="O111" s="861"/>
      <c r="P111" s="410"/>
    </row>
    <row r="112" spans="1:16" s="524" customFormat="1" ht="27.75" x14ac:dyDescent="0.5">
      <c r="A112" s="1409" t="s">
        <v>136</v>
      </c>
      <c r="B112" s="1410"/>
      <c r="C112" s="1359"/>
      <c r="D112" s="743"/>
      <c r="E112" s="776">
        <f>'[1]15'!F112</f>
        <v>0</v>
      </c>
      <c r="F112" s="776"/>
      <c r="G112" s="652">
        <f>SUM(G109:G111)</f>
        <v>66</v>
      </c>
      <c r="H112" s="653">
        <f>SUM(G112+'[1]1'!G84)</f>
        <v>630</v>
      </c>
      <c r="I112" s="652"/>
      <c r="J112" s="679">
        <f>H112/DAY(B2)</f>
        <v>39.375</v>
      </c>
      <c r="N112" s="854"/>
      <c r="O112" s="861"/>
      <c r="P112" s="410"/>
    </row>
    <row r="113" spans="1:16" s="524" customFormat="1" ht="27.75" x14ac:dyDescent="0.5">
      <c r="A113" s="1411" t="s">
        <v>249</v>
      </c>
      <c r="B113" s="1412"/>
      <c r="C113" s="1359"/>
      <c r="D113" s="743"/>
      <c r="E113" s="776">
        <f>'[1]15'!F113</f>
        <v>0</v>
      </c>
      <c r="F113" s="776"/>
      <c r="G113" s="652"/>
      <c r="H113" s="653"/>
      <c r="I113" s="652"/>
      <c r="J113" s="679">
        <f>H113/DAY(B2)</f>
        <v>0</v>
      </c>
      <c r="N113" s="854"/>
      <c r="O113" s="861"/>
      <c r="P113" s="410"/>
    </row>
    <row r="114" spans="1:16" s="524" customFormat="1" ht="27.75" x14ac:dyDescent="0.5">
      <c r="A114" s="1406" t="s">
        <v>250</v>
      </c>
      <c r="B114" s="1407"/>
      <c r="C114" s="695"/>
      <c r="D114" s="743" t="s">
        <v>171</v>
      </c>
      <c r="E114" s="776">
        <f>'[1]15'!F114</f>
        <v>8967</v>
      </c>
      <c r="F114" s="776">
        <v>8980</v>
      </c>
      <c r="G114" s="654">
        <f>F114-E114</f>
        <v>13</v>
      </c>
      <c r="H114" s="653">
        <f>SUM(G114+'[1]1'!G91)</f>
        <v>13</v>
      </c>
      <c r="I114" s="652"/>
      <c r="J114" s="679">
        <f>H114/DAY(B2)</f>
        <v>0.8125</v>
      </c>
      <c r="N114" s="854"/>
      <c r="O114" s="861"/>
      <c r="P114" s="410"/>
    </row>
    <row r="115" spans="1:16" s="524" customFormat="1" ht="27.75" x14ac:dyDescent="0.5">
      <c r="A115" s="1406" t="s">
        <v>251</v>
      </c>
      <c r="B115" s="1407"/>
      <c r="C115" s="695"/>
      <c r="D115" s="743" t="s">
        <v>171</v>
      </c>
      <c r="E115" s="776">
        <f>'[1]15'!F115</f>
        <v>7007</v>
      </c>
      <c r="F115" s="776">
        <v>7016</v>
      </c>
      <c r="G115" s="654">
        <f t="shared" ref="G115:G116" si="12">F115-E115</f>
        <v>9</v>
      </c>
      <c r="H115" s="653">
        <f>SUM(G115+'[1]1'!G92)</f>
        <v>121</v>
      </c>
      <c r="I115" s="652"/>
      <c r="J115" s="679">
        <f>H115/DAY(B2)</f>
        <v>7.5625</v>
      </c>
      <c r="N115" s="854"/>
      <c r="O115" s="861"/>
      <c r="P115" s="410"/>
    </row>
    <row r="116" spans="1:16" s="524" customFormat="1" ht="27.75" x14ac:dyDescent="0.5">
      <c r="A116" s="1406" t="s">
        <v>252</v>
      </c>
      <c r="B116" s="1407"/>
      <c r="C116" s="695"/>
      <c r="D116" s="743" t="s">
        <v>171</v>
      </c>
      <c r="E116" s="776"/>
      <c r="F116" s="776"/>
      <c r="G116" s="654">
        <f t="shared" si="12"/>
        <v>0</v>
      </c>
      <c r="H116" s="653">
        <f>SUM(G116+'[1]1'!G93)</f>
        <v>151</v>
      </c>
      <c r="I116" s="652"/>
      <c r="J116" s="679">
        <f>H116/DAY(B2)</f>
        <v>9.4375</v>
      </c>
      <c r="N116" s="854"/>
      <c r="O116" s="861"/>
      <c r="P116" s="410"/>
    </row>
    <row r="117" spans="1:16" s="537" customFormat="1" ht="27.75" x14ac:dyDescent="0.5">
      <c r="A117" s="1409" t="s">
        <v>82</v>
      </c>
      <c r="B117" s="1410"/>
      <c r="C117" s="695"/>
      <c r="D117" s="744"/>
      <c r="E117" s="776"/>
      <c r="F117" s="776"/>
      <c r="G117" s="654">
        <f>SUM(G114:G116)</f>
        <v>22</v>
      </c>
      <c r="H117" s="653">
        <f>SUM(G117+'[1]1'!G95)</f>
        <v>69</v>
      </c>
      <c r="I117" s="654"/>
      <c r="J117" s="679">
        <f>H117/DAY(B2)</f>
        <v>4.3125</v>
      </c>
      <c r="N117" s="854"/>
      <c r="O117" s="861"/>
      <c r="P117" s="410"/>
    </row>
    <row r="118" spans="1:16" s="538" customFormat="1" ht="27.75" x14ac:dyDescent="0.5">
      <c r="A118" s="1437" t="s">
        <v>253</v>
      </c>
      <c r="B118" s="1438"/>
      <c r="C118" s="1362"/>
      <c r="D118" s="745" t="s">
        <v>171</v>
      </c>
      <c r="E118" s="777"/>
      <c r="F118" s="777">
        <f>SUM(G19+G92)</f>
        <v>84</v>
      </c>
      <c r="G118" s="656">
        <f>SUM(G19+G92)</f>
        <v>84</v>
      </c>
      <c r="H118" s="653">
        <f>SUM(G118+'[1]1'!G96)</f>
        <v>117</v>
      </c>
      <c r="I118" s="655"/>
      <c r="J118" s="680">
        <f>H118/DAY(B2)</f>
        <v>7.3125</v>
      </c>
      <c r="N118" s="854"/>
      <c r="O118" s="861"/>
      <c r="P118" s="410"/>
    </row>
    <row r="119" spans="1:16" s="538" customFormat="1" ht="27.75" x14ac:dyDescent="0.5">
      <c r="A119" s="1437" t="s">
        <v>254</v>
      </c>
      <c r="B119" s="1438"/>
      <c r="C119" s="1362"/>
      <c r="D119" s="745" t="s">
        <v>171</v>
      </c>
      <c r="E119" s="777"/>
      <c r="F119" s="777">
        <f>SUM(G95,G96,G97,G99,G100)</f>
        <v>80</v>
      </c>
      <c r="G119" s="656">
        <f>SUM(G95,G96,G97,G99,G100)</f>
        <v>80</v>
      </c>
      <c r="H119" s="653">
        <f>SUM(G119+'[1]1'!G98)</f>
        <v>147</v>
      </c>
      <c r="I119" s="655"/>
      <c r="J119" s="680">
        <f>H119/DAY(B2)</f>
        <v>9.1875</v>
      </c>
      <c r="N119" s="854"/>
      <c r="O119" s="861"/>
      <c r="P119" s="410"/>
    </row>
    <row r="120" spans="1:16" s="538" customFormat="1" ht="27.75" x14ac:dyDescent="0.5">
      <c r="A120" s="1437" t="s">
        <v>255</v>
      </c>
      <c r="B120" s="1438"/>
      <c r="C120" s="1362"/>
      <c r="D120" s="745" t="s">
        <v>171</v>
      </c>
      <c r="E120" s="776"/>
      <c r="F120" s="776">
        <f>SUM(G112)</f>
        <v>66</v>
      </c>
      <c r="G120" s="654">
        <f>SUM(G112)</f>
        <v>66</v>
      </c>
      <c r="H120" s="653">
        <f>SUM(G120+'[1]1'!G100)</f>
        <v>66</v>
      </c>
      <c r="I120" s="655"/>
      <c r="J120" s="680">
        <f>H120/DAY(B2)</f>
        <v>4.125</v>
      </c>
      <c r="N120" s="854"/>
      <c r="O120" s="861"/>
      <c r="P120" s="410"/>
    </row>
    <row r="121" spans="1:16" s="524" customFormat="1" ht="27.75" x14ac:dyDescent="0.5">
      <c r="A121" s="1439"/>
      <c r="B121" s="1440"/>
      <c r="C121" s="1363"/>
      <c r="D121" s="681"/>
      <c r="E121" s="778"/>
      <c r="F121" s="778" t="s">
        <v>143</v>
      </c>
      <c r="G121" s="681"/>
      <c r="H121" s="682"/>
      <c r="I121" s="681"/>
      <c r="J121" s="683"/>
      <c r="N121" s="854"/>
      <c r="O121" s="861"/>
      <c r="P121" s="410"/>
    </row>
    <row r="122" spans="1:16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854"/>
      <c r="O122" s="861"/>
      <c r="P122" s="410"/>
    </row>
    <row r="123" spans="1:16" ht="27.75" x14ac:dyDescent="0.5">
      <c r="A123" s="1354" t="s">
        <v>257</v>
      </c>
      <c r="B123" s="1355"/>
      <c r="C123" s="1355"/>
      <c r="D123" s="643" t="s">
        <v>168</v>
      </c>
      <c r="E123" s="598">
        <f>'[1]15'!F123</f>
        <v>791886</v>
      </c>
      <c r="F123" s="598">
        <v>792102</v>
      </c>
      <c r="G123" s="593">
        <f t="shared" ref="G123:G127" si="13">F123-E123</f>
        <v>216</v>
      </c>
      <c r="H123" s="580">
        <f>G123+'[1]15'!H123</f>
        <v>3270.9300000000512</v>
      </c>
      <c r="I123" s="646"/>
      <c r="J123" s="673">
        <f>H123/DAY(B2)</f>
        <v>204.4331250000032</v>
      </c>
      <c r="K123" s="408"/>
      <c r="L123" s="405"/>
      <c r="N123" s="854"/>
      <c r="O123" s="861"/>
      <c r="P123" s="410"/>
    </row>
    <row r="124" spans="1:16" ht="27.75" x14ac:dyDescent="0.5">
      <c r="A124" s="1354" t="s">
        <v>258</v>
      </c>
      <c r="B124" s="1355"/>
      <c r="C124" s="1355"/>
      <c r="D124" s="643" t="s">
        <v>168</v>
      </c>
      <c r="E124" s="747">
        <f>'[1]15'!F124</f>
        <v>73582</v>
      </c>
      <c r="F124" s="747">
        <v>73581.899999999994</v>
      </c>
      <c r="G124" s="593">
        <f t="shared" si="13"/>
        <v>-0.10000000000582077</v>
      </c>
      <c r="H124" s="580">
        <f>G124+'[1]15'!H124</f>
        <v>-0.30000000000291038</v>
      </c>
      <c r="I124" s="646"/>
      <c r="J124" s="673">
        <f>H124/DAY(B2)</f>
        <v>-1.8750000000181899E-2</v>
      </c>
      <c r="K124" s="408"/>
      <c r="L124" s="405"/>
      <c r="N124" s="854"/>
      <c r="O124" s="861"/>
      <c r="P124" s="410"/>
    </row>
    <row r="125" spans="1:16" ht="27.75" x14ac:dyDescent="0.5">
      <c r="A125" s="1395" t="s">
        <v>259</v>
      </c>
      <c r="B125" s="1396"/>
      <c r="C125" s="1397"/>
      <c r="D125" s="643" t="s">
        <v>168</v>
      </c>
      <c r="E125" s="598">
        <f>'[1]15'!F125</f>
        <v>134415</v>
      </c>
      <c r="F125" s="598">
        <v>134474</v>
      </c>
      <c r="G125" s="593">
        <f t="shared" si="13"/>
        <v>59</v>
      </c>
      <c r="H125" s="580">
        <f>G125+'[1]15'!H125</f>
        <v>1351.1199999999953</v>
      </c>
      <c r="I125" s="646"/>
      <c r="J125" s="673">
        <f>H125/DAY(B2)</f>
        <v>84.444999999999709</v>
      </c>
      <c r="K125" s="408"/>
      <c r="L125" s="405"/>
      <c r="N125" s="854"/>
      <c r="O125" s="861"/>
      <c r="P125" s="410"/>
    </row>
    <row r="126" spans="1:16" ht="27.75" x14ac:dyDescent="0.5">
      <c r="A126" s="730" t="s">
        <v>260</v>
      </c>
      <c r="B126" s="1355"/>
      <c r="C126" s="1355"/>
      <c r="D126" s="643" t="s">
        <v>168</v>
      </c>
      <c r="E126" s="747">
        <f>'[1]15'!F126</f>
        <v>56792</v>
      </c>
      <c r="F126" s="747">
        <v>56825</v>
      </c>
      <c r="G126" s="593">
        <f t="shared" si="13"/>
        <v>33</v>
      </c>
      <c r="H126" s="580">
        <f>G126+'[1]15'!H126</f>
        <v>476.80000000000291</v>
      </c>
      <c r="I126" s="646"/>
      <c r="J126" s="673">
        <f>H126/DAY(B2)</f>
        <v>29.800000000000182</v>
      </c>
      <c r="K126" s="408"/>
      <c r="L126" s="405"/>
      <c r="N126" s="854"/>
      <c r="O126" s="861"/>
      <c r="P126" s="410"/>
    </row>
    <row r="127" spans="1:16" ht="27.75" x14ac:dyDescent="0.5">
      <c r="A127" s="730" t="s">
        <v>261</v>
      </c>
      <c r="B127" s="1355"/>
      <c r="C127" s="1355"/>
      <c r="D127" s="643" t="s">
        <v>168</v>
      </c>
      <c r="E127" s="747">
        <f>'[1]15'!F127</f>
        <v>8668</v>
      </c>
      <c r="F127" s="747">
        <v>8668</v>
      </c>
      <c r="G127" s="593">
        <f t="shared" si="13"/>
        <v>0</v>
      </c>
      <c r="H127" s="580">
        <f>G127+'[1]15'!H127</f>
        <v>27.899999999999636</v>
      </c>
      <c r="I127" s="600"/>
      <c r="J127" s="673">
        <f>H127/DAY(B2)</f>
        <v>1.7437499999999773</v>
      </c>
      <c r="K127" s="408"/>
      <c r="L127" s="405"/>
      <c r="N127" s="854"/>
      <c r="O127" s="861"/>
      <c r="P127" s="410"/>
    </row>
    <row r="128" spans="1:16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102.10000000000582</v>
      </c>
      <c r="H128" s="580">
        <f>G128+'[1]15'!H128</f>
        <v>102.10000000000582</v>
      </c>
      <c r="I128" s="600"/>
      <c r="J128" s="673">
        <f>H128/DAY(B2)</f>
        <v>6.3812500000003638</v>
      </c>
      <c r="K128" s="388"/>
      <c r="L128" s="290"/>
      <c r="N128" s="854"/>
      <c r="O128" s="861"/>
      <c r="P128" s="410"/>
    </row>
    <row r="129" spans="1:16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854"/>
      <c r="O129" s="861"/>
      <c r="P129" s="410"/>
    </row>
    <row r="130" spans="1:16" ht="27.75" x14ac:dyDescent="0.5">
      <c r="A130" s="1354" t="s">
        <v>264</v>
      </c>
      <c r="B130" s="1355"/>
      <c r="C130" s="1355"/>
      <c r="D130" s="643" t="s">
        <v>265</v>
      </c>
      <c r="E130" s="598">
        <f>'[1]15'!F130</f>
        <v>0</v>
      </c>
      <c r="F130" s="598">
        <v>0</v>
      </c>
      <c r="G130" s="593">
        <f t="shared" ref="G130:G140" si="14">F130-E130</f>
        <v>0</v>
      </c>
      <c r="H130" s="580">
        <f>G130+'[1]15'!H130</f>
        <v>0</v>
      </c>
      <c r="I130" s="600"/>
      <c r="J130" s="673">
        <f>H130/DAY(B2)</f>
        <v>0</v>
      </c>
      <c r="N130" s="854"/>
      <c r="O130" s="861"/>
      <c r="P130" s="410"/>
    </row>
    <row r="131" spans="1:16" ht="27.75" x14ac:dyDescent="0.5">
      <c r="A131" s="1354" t="s">
        <v>266</v>
      </c>
      <c r="B131" s="1355"/>
      <c r="C131" s="1355"/>
      <c r="D131" s="643" t="s">
        <v>265</v>
      </c>
      <c r="E131" s="598">
        <f>'[1]15'!F131</f>
        <v>0</v>
      </c>
      <c r="F131" s="598">
        <v>0</v>
      </c>
      <c r="G131" s="593">
        <f t="shared" si="14"/>
        <v>0</v>
      </c>
      <c r="H131" s="580">
        <f>G131+'[1]15'!H131</f>
        <v>0</v>
      </c>
      <c r="I131" s="600"/>
      <c r="J131" s="673">
        <f>H131/DAY(B2)</f>
        <v>0</v>
      </c>
      <c r="N131" s="854"/>
      <c r="O131" s="861"/>
      <c r="P131" s="410"/>
    </row>
    <row r="132" spans="1:16" ht="27.75" x14ac:dyDescent="0.5">
      <c r="A132" s="1354" t="s">
        <v>267</v>
      </c>
      <c r="B132" s="1355"/>
      <c r="C132" s="1355"/>
      <c r="D132" s="643" t="s">
        <v>265</v>
      </c>
      <c r="E132" s="598">
        <f>'[1]15'!F132</f>
        <v>38877</v>
      </c>
      <c r="F132" s="768">
        <v>38877</v>
      </c>
      <c r="G132" s="593">
        <f t="shared" si="14"/>
        <v>0</v>
      </c>
      <c r="H132" s="580">
        <f>G132+'[1]15'!H132</f>
        <v>0</v>
      </c>
      <c r="I132" s="600"/>
      <c r="J132" s="673">
        <f>H132/DAY(B2)</f>
        <v>0</v>
      </c>
      <c r="N132" s="854"/>
      <c r="O132" s="861"/>
      <c r="P132" s="410"/>
    </row>
    <row r="133" spans="1:16" ht="27.75" x14ac:dyDescent="0.5">
      <c r="A133" s="1354" t="s">
        <v>268</v>
      </c>
      <c r="B133" s="1355"/>
      <c r="C133" s="1355"/>
      <c r="D133" s="643" t="s">
        <v>265</v>
      </c>
      <c r="E133" s="598">
        <f>'[1]15'!F133</f>
        <v>284</v>
      </c>
      <c r="F133" s="747">
        <v>299</v>
      </c>
      <c r="G133" s="593">
        <f t="shared" si="14"/>
        <v>15</v>
      </c>
      <c r="H133" s="580">
        <f>G133+'[1]15'!H133</f>
        <v>299</v>
      </c>
      <c r="I133" s="600">
        <f>G130+G131+G132+G133</f>
        <v>15</v>
      </c>
      <c r="J133" s="673">
        <f>H133/DAY(B2)</f>
        <v>18.6875</v>
      </c>
      <c r="N133" s="854"/>
      <c r="O133" s="861"/>
      <c r="P133" s="410"/>
    </row>
    <row r="134" spans="1:16" ht="27.75" x14ac:dyDescent="0.5">
      <c r="A134" s="1354" t="s">
        <v>269</v>
      </c>
      <c r="B134" s="1355"/>
      <c r="C134" s="1355"/>
      <c r="D134" s="643" t="s">
        <v>265</v>
      </c>
      <c r="E134" s="598">
        <f>'[1]15'!F134</f>
        <v>39735</v>
      </c>
      <c r="F134" s="747">
        <v>39735</v>
      </c>
      <c r="G134" s="593">
        <f t="shared" si="14"/>
        <v>0</v>
      </c>
      <c r="H134" s="580">
        <f>G134+'[1]15'!H134</f>
        <v>0</v>
      </c>
      <c r="I134" s="600"/>
      <c r="J134" s="673">
        <f>H134/DAY(B2)</f>
        <v>0</v>
      </c>
      <c r="N134" s="854"/>
      <c r="O134" s="861"/>
      <c r="P134" s="410"/>
    </row>
    <row r="135" spans="1:16" ht="27.75" x14ac:dyDescent="0.5">
      <c r="A135" s="1354" t="s">
        <v>270</v>
      </c>
      <c r="B135" s="1355"/>
      <c r="C135" s="1355"/>
      <c r="D135" s="643" t="s">
        <v>265</v>
      </c>
      <c r="E135" s="598">
        <f>'[1]15'!F135</f>
        <v>31796.240000000002</v>
      </c>
      <c r="F135" s="768">
        <v>31805</v>
      </c>
      <c r="G135" s="593">
        <f t="shared" si="14"/>
        <v>8.7599999999983993</v>
      </c>
      <c r="H135" s="580">
        <f>G135+'[1]15'!H135</f>
        <v>87.479999999999563</v>
      </c>
      <c r="I135" s="600"/>
      <c r="J135" s="673">
        <f>H135/DAY(B2)</f>
        <v>5.4674999999999727</v>
      </c>
      <c r="N135" s="854"/>
      <c r="O135" s="861"/>
      <c r="P135" s="410"/>
    </row>
    <row r="136" spans="1:16" ht="27.75" x14ac:dyDescent="0.5">
      <c r="A136" s="1354" t="s">
        <v>271</v>
      </c>
      <c r="B136" s="1355"/>
      <c r="C136" s="1355"/>
      <c r="D136" s="643" t="s">
        <v>265</v>
      </c>
      <c r="E136" s="598">
        <f>'[1]15'!F136</f>
        <v>21766.92</v>
      </c>
      <c r="F136" s="768">
        <v>21766.97</v>
      </c>
      <c r="G136" s="593">
        <f t="shared" si="14"/>
        <v>5.0000000002910383E-2</v>
      </c>
      <c r="H136" s="580">
        <f>G136+'[1]15'!H136</f>
        <v>92.25</v>
      </c>
      <c r="I136" s="600">
        <f>G134+G135+G136</f>
        <v>8.8100000000013097</v>
      </c>
      <c r="J136" s="673">
        <f>H136/DAY(B2)</f>
        <v>5.765625</v>
      </c>
      <c r="N136" s="854"/>
      <c r="O136" s="861"/>
      <c r="P136" s="410"/>
    </row>
    <row r="137" spans="1:16" ht="27.75" x14ac:dyDescent="0.5">
      <c r="A137" s="1354" t="s">
        <v>272</v>
      </c>
      <c r="B137" s="1355"/>
      <c r="C137" s="1355"/>
      <c r="D137" s="643" t="s">
        <v>265</v>
      </c>
      <c r="E137" s="598">
        <f>'[1]15'!F137</f>
        <v>24932.57</v>
      </c>
      <c r="F137" s="768">
        <v>24932.57</v>
      </c>
      <c r="G137" s="593">
        <f t="shared" si="14"/>
        <v>0</v>
      </c>
      <c r="H137" s="580">
        <f>G137+'[1]15'!H137</f>
        <v>6.0000000001309672E-2</v>
      </c>
      <c r="I137" s="600"/>
      <c r="J137" s="673">
        <f>H137/DAY(B2)</f>
        <v>3.7500000000818545E-3</v>
      </c>
      <c r="N137" s="854"/>
      <c r="O137" s="861"/>
      <c r="P137" s="410"/>
    </row>
    <row r="138" spans="1:16" ht="27.75" x14ac:dyDescent="0.5">
      <c r="A138" s="1354" t="s">
        <v>273</v>
      </c>
      <c r="B138" s="1355"/>
      <c r="C138" s="1355"/>
      <c r="D138" s="643" t="s">
        <v>265</v>
      </c>
      <c r="E138" s="598">
        <f>'[1]15'!F138</f>
        <v>69985.02</v>
      </c>
      <c r="F138" s="768">
        <v>69985.02</v>
      </c>
      <c r="G138" s="593">
        <f t="shared" si="14"/>
        <v>0</v>
      </c>
      <c r="H138" s="580">
        <f>G138+'[1]15'!H138</f>
        <v>29.809999999997672</v>
      </c>
      <c r="I138" s="600">
        <f>G137+G138</f>
        <v>0</v>
      </c>
      <c r="J138" s="673">
        <f>H138/DAY(B2)</f>
        <v>1.8631249999998545</v>
      </c>
      <c r="N138" s="854"/>
      <c r="O138" s="861"/>
      <c r="P138" s="410"/>
    </row>
    <row r="139" spans="1:16" ht="27.75" x14ac:dyDescent="0.5">
      <c r="A139" s="1354" t="s">
        <v>274</v>
      </c>
      <c r="B139" s="1355"/>
      <c r="C139" s="1355"/>
      <c r="D139" s="643" t="s">
        <v>265</v>
      </c>
      <c r="E139" s="598">
        <f>'[1]15'!F139</f>
        <v>1026.74</v>
      </c>
      <c r="F139" s="747">
        <v>1033.45</v>
      </c>
      <c r="G139" s="593">
        <f t="shared" si="14"/>
        <v>6.7100000000000364</v>
      </c>
      <c r="H139" s="580">
        <f>G139+'[1]15'!H139</f>
        <v>91.920000000000073</v>
      </c>
      <c r="I139" s="663"/>
      <c r="J139" s="673">
        <f>H139/DAY(B2)</f>
        <v>5.7450000000000045</v>
      </c>
      <c r="N139" s="854"/>
      <c r="O139" s="861"/>
      <c r="P139" s="410"/>
    </row>
    <row r="140" spans="1:16" ht="27.75" x14ac:dyDescent="0.5">
      <c r="A140" s="1354" t="s">
        <v>275</v>
      </c>
      <c r="B140" s="1355"/>
      <c r="C140" s="1355"/>
      <c r="D140" s="643" t="s">
        <v>265</v>
      </c>
      <c r="E140" s="598">
        <f>'[1]15'!F140</f>
        <v>4156.9799999999996</v>
      </c>
      <c r="F140" s="598">
        <v>4156.9799999999996</v>
      </c>
      <c r="G140" s="593">
        <f t="shared" si="14"/>
        <v>0</v>
      </c>
      <c r="H140" s="580">
        <f>G140+'[1]15'!H140</f>
        <v>7.999999999992724E-2</v>
      </c>
      <c r="I140" s="663"/>
      <c r="J140" s="673">
        <f>H140/DAY(B2)</f>
        <v>4.9999999999954525E-3</v>
      </c>
      <c r="N140" s="854"/>
      <c r="O140" s="861"/>
      <c r="P140" s="410"/>
    </row>
    <row r="141" spans="1:16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854"/>
      <c r="O141" s="861"/>
      <c r="P141" s="410"/>
    </row>
    <row r="142" spans="1:16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4781</v>
      </c>
      <c r="H142" s="580">
        <f>G142+'[1]15'!H142</f>
        <v>81947.422999999952</v>
      </c>
      <c r="I142" s="600"/>
      <c r="J142" s="673">
        <f>H142/DAY(B2)</f>
        <v>5121.713937499997</v>
      </c>
      <c r="K142" s="408"/>
      <c r="L142" s="405"/>
      <c r="N142" s="854"/>
      <c r="O142" s="861"/>
      <c r="P142" s="410"/>
    </row>
    <row r="143" spans="1:16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0.24330788804071246</v>
      </c>
      <c r="H143" s="580">
        <f>G143+'[1]15'!H143</f>
        <v>3.8680750044555721</v>
      </c>
      <c r="I143" s="665"/>
      <c r="J143" s="673">
        <f>H143/DAY(B2)</f>
        <v>0.24175468777847325</v>
      </c>
      <c r="K143" s="408"/>
      <c r="L143" s="405"/>
      <c r="N143" s="854"/>
      <c r="O143" s="861"/>
      <c r="P143" s="410"/>
    </row>
    <row r="144" spans="1:16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5166</v>
      </c>
      <c r="H144" s="580">
        <f>G144+'[1]15'!H144</f>
        <v>75916.139999999985</v>
      </c>
      <c r="I144" s="600"/>
      <c r="J144" s="673">
        <f>H144/DAY(B2)</f>
        <v>4744.7587499999991</v>
      </c>
      <c r="K144" s="408"/>
      <c r="L144" s="405"/>
      <c r="N144" s="854"/>
      <c r="O144" s="861"/>
      <c r="P144" s="410"/>
    </row>
    <row r="145" spans="1:16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0.2629007633587786</v>
      </c>
      <c r="H145" s="580">
        <f>G145+'[1]15'!H145</f>
        <v>3.722001036561267</v>
      </c>
      <c r="I145" s="665"/>
      <c r="J145" s="673">
        <f>H145/DAY(B2)</f>
        <v>0.23262506478507919</v>
      </c>
      <c r="K145" s="408"/>
      <c r="L145" s="405"/>
      <c r="N145" s="854"/>
      <c r="O145" s="861"/>
      <c r="P145" s="410"/>
    </row>
    <row r="146" spans="1:16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4203</v>
      </c>
      <c r="H146" s="580">
        <f>G146+'[1]15'!H146</f>
        <v>67726.993000000002</v>
      </c>
      <c r="I146" s="666"/>
      <c r="J146" s="673">
        <f>H146/DAY(B2)</f>
        <v>4232.9370625000001</v>
      </c>
      <c r="K146" s="408"/>
      <c r="L146" s="405"/>
      <c r="N146" s="854"/>
      <c r="O146" s="861"/>
      <c r="P146" s="410"/>
    </row>
    <row r="147" spans="1:16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0.21389312977099237</v>
      </c>
      <c r="H147" s="580">
        <f>G147+'[1]15'!H147</f>
        <v>3.3343069828285485</v>
      </c>
      <c r="I147" s="666"/>
      <c r="J147" s="673">
        <f>H147/DAY(B2)</f>
        <v>0.20839418642678428</v>
      </c>
      <c r="N147" s="854"/>
      <c r="O147" s="861"/>
      <c r="P147" s="410"/>
    </row>
    <row r="148" spans="1:16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1727</v>
      </c>
      <c r="H148" s="580">
        <f>G148+'[1]15'!H148</f>
        <v>31837.570000000007</v>
      </c>
      <c r="I148" s="600"/>
      <c r="J148" s="673">
        <f>H148/DAY(B2)</f>
        <v>1989.8481250000004</v>
      </c>
      <c r="K148" s="409"/>
      <c r="N148" s="854"/>
      <c r="O148" s="861"/>
      <c r="P148" s="410"/>
    </row>
    <row r="149" spans="1:16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8.7888040712468196E-2</v>
      </c>
      <c r="H149" s="580">
        <f>G149+'[1]15'!H149</f>
        <v>1.5629406396870815</v>
      </c>
      <c r="I149" s="666"/>
      <c r="J149" s="673">
        <f>H149/DAY(B2)</f>
        <v>9.7683789980442595E-2</v>
      </c>
      <c r="N149" s="854"/>
      <c r="O149" s="861"/>
      <c r="P149" s="410"/>
    </row>
    <row r="150" spans="1:16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1671</v>
      </c>
      <c r="H150" s="580">
        <f>G150+'[1]15'!H150</f>
        <v>34387.179999999964</v>
      </c>
      <c r="I150" s="666"/>
      <c r="J150" s="673">
        <f>H150/DAY(B2)</f>
        <v>2149.1987499999977</v>
      </c>
      <c r="N150" s="854"/>
      <c r="O150" s="861"/>
      <c r="P150" s="410"/>
    </row>
    <row r="151" spans="1:16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8.5038167938931292E-2</v>
      </c>
      <c r="H151" s="580">
        <f>G151+'[1]15'!H151</f>
        <v>1.6827159091866404</v>
      </c>
      <c r="I151" s="600"/>
      <c r="J151" s="673">
        <f>H151/DAY(B2)</f>
        <v>0.10516974432416502</v>
      </c>
      <c r="N151" s="854"/>
      <c r="O151" s="861"/>
      <c r="P151" s="410"/>
    </row>
    <row r="152" spans="1:16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1407</v>
      </c>
      <c r="H152" s="580">
        <f>G152+'[1]15'!H152</f>
        <v>23483.512999999999</v>
      </c>
      <c r="I152" s="600"/>
      <c r="J152" s="673">
        <f>H152/DAY(B2)</f>
        <v>1467.7195624999999</v>
      </c>
      <c r="N152" s="854"/>
      <c r="O152" s="861"/>
      <c r="P152" s="410"/>
    </row>
    <row r="153" spans="1:16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7.16030534351145E-2</v>
      </c>
      <c r="H153" s="580">
        <f>G153+'[1]15'!H153</f>
        <v>1.2659390101649624</v>
      </c>
      <c r="I153" s="689"/>
      <c r="J153" s="690">
        <f>H153/DAY(B2)</f>
        <v>7.9121188135310147E-2</v>
      </c>
      <c r="N153" s="854"/>
      <c r="O153" s="861"/>
      <c r="P153" s="410"/>
    </row>
    <row r="154" spans="1:16" x14ac:dyDescent="0.5">
      <c r="A154" s="586"/>
      <c r="B154" s="576"/>
      <c r="C154" s="576"/>
      <c r="D154" s="667"/>
      <c r="E154" s="779"/>
      <c r="F154" s="779"/>
      <c r="G154" s="667"/>
      <c r="H154" s="668"/>
      <c r="I154" s="667"/>
      <c r="J154" s="669"/>
      <c r="N154" s="854"/>
    </row>
    <row r="155" spans="1:16" x14ac:dyDescent="0.5">
      <c r="N155" s="854"/>
    </row>
    <row r="156" spans="1:16" x14ac:dyDescent="0.5">
      <c r="N156" s="854"/>
    </row>
    <row r="157" spans="1:16" x14ac:dyDescent="0.5">
      <c r="N157" s="854"/>
    </row>
    <row r="158" spans="1:16" x14ac:dyDescent="0.5">
      <c r="N158" s="854"/>
    </row>
    <row r="159" spans="1:16" x14ac:dyDescent="0.5">
      <c r="N159" s="854"/>
    </row>
    <row r="160" spans="1:16" x14ac:dyDescent="0.5">
      <c r="A160" s="935" t="s">
        <v>289</v>
      </c>
      <c r="B160" s="936"/>
      <c r="C160" s="936"/>
      <c r="D160" s="741" t="s">
        <v>214</v>
      </c>
      <c r="E160" s="775">
        <f>'[1]15'!F160</f>
        <v>24931</v>
      </c>
      <c r="F160" s="944">
        <v>25005</v>
      </c>
      <c r="G160" s="593">
        <f t="shared" ref="G160:G171" si="15">F160-E160</f>
        <v>74</v>
      </c>
      <c r="N160" s="854"/>
    </row>
    <row r="161" spans="1:15" ht="21.75" customHeight="1" x14ac:dyDescent="0.5">
      <c r="A161" s="935" t="s">
        <v>290</v>
      </c>
      <c r="B161" s="936"/>
      <c r="C161" s="936"/>
      <c r="D161" s="741" t="s">
        <v>214</v>
      </c>
      <c r="E161" s="775">
        <f>'[1]15'!F161</f>
        <v>20604</v>
      </c>
      <c r="F161" s="944">
        <v>21257</v>
      </c>
      <c r="G161" s="593">
        <f t="shared" si="15"/>
        <v>653</v>
      </c>
      <c r="N161" s="854"/>
    </row>
    <row r="162" spans="1:15" ht="21.75" customHeight="1" x14ac:dyDescent="0.5">
      <c r="A162" s="935" t="s">
        <v>291</v>
      </c>
      <c r="B162" s="936"/>
      <c r="C162" s="936"/>
      <c r="D162" s="741" t="s">
        <v>214</v>
      </c>
      <c r="E162" s="775">
        <f>'[1]15'!F162</f>
        <v>41711</v>
      </c>
      <c r="F162" s="944">
        <v>42019</v>
      </c>
      <c r="G162" s="593">
        <f t="shared" si="15"/>
        <v>308</v>
      </c>
      <c r="N162" s="854"/>
    </row>
    <row r="163" spans="1:15" s="914" customFormat="1" ht="21.75" customHeight="1" x14ac:dyDescent="0.5">
      <c r="A163" s="1301" t="s">
        <v>292</v>
      </c>
      <c r="B163" s="1302"/>
      <c r="C163" s="1302"/>
      <c r="D163" s="1303" t="s">
        <v>214</v>
      </c>
      <c r="E163" s="775">
        <f>'[1]15'!F163</f>
        <v>3932</v>
      </c>
      <c r="F163" s="924">
        <v>3967</v>
      </c>
      <c r="G163" s="912">
        <f t="shared" si="15"/>
        <v>35</v>
      </c>
      <c r="H163" s="1304"/>
      <c r="I163" s="1305"/>
      <c r="J163" s="660"/>
      <c r="N163" s="858"/>
      <c r="O163" s="1306"/>
    </row>
    <row r="164" spans="1:15" ht="21.75" customHeight="1" x14ac:dyDescent="0.4">
      <c r="A164" s="937" t="s">
        <v>121</v>
      </c>
      <c r="B164" s="938"/>
      <c r="C164" s="938"/>
      <c r="D164" s="741" t="s">
        <v>214</v>
      </c>
      <c r="E164" s="634">
        <f>E62</f>
        <v>20419.18</v>
      </c>
      <c r="F164" s="634">
        <f>F62</f>
        <v>20419.18</v>
      </c>
      <c r="G164" s="593">
        <f t="shared" si="15"/>
        <v>0</v>
      </c>
      <c r="N164" s="854"/>
    </row>
    <row r="165" spans="1:15" ht="21.75" customHeight="1" x14ac:dyDescent="0.4">
      <c r="A165" s="937" t="s">
        <v>215</v>
      </c>
      <c r="B165" s="938"/>
      <c r="C165" s="938"/>
      <c r="D165" s="741" t="s">
        <v>214</v>
      </c>
      <c r="E165" s="634">
        <f t="shared" ref="E165:E171" si="16">E63</f>
        <v>1043</v>
      </c>
      <c r="F165" s="634">
        <v>1047</v>
      </c>
      <c r="G165" s="593">
        <f t="shared" si="15"/>
        <v>4</v>
      </c>
      <c r="N165" s="854"/>
    </row>
    <row r="166" spans="1:15" ht="21.75" customHeight="1" x14ac:dyDescent="0.5">
      <c r="A166" s="1470" t="s">
        <v>122</v>
      </c>
      <c r="B166" s="1470"/>
      <c r="C166" s="1470"/>
      <c r="D166" s="644" t="s">
        <v>214</v>
      </c>
      <c r="E166" s="634">
        <f t="shared" si="16"/>
        <v>92203</v>
      </c>
      <c r="F166" s="634">
        <v>92590</v>
      </c>
      <c r="G166" s="593">
        <f t="shared" si="15"/>
        <v>387</v>
      </c>
      <c r="N166" s="854"/>
    </row>
    <row r="167" spans="1:15" ht="21.75" customHeight="1" x14ac:dyDescent="0.5">
      <c r="A167" s="1470" t="s">
        <v>123</v>
      </c>
      <c r="B167" s="1470"/>
      <c r="C167" s="1470"/>
      <c r="D167" s="644" t="s">
        <v>214</v>
      </c>
      <c r="E167" s="634">
        <f t="shared" si="16"/>
        <v>102657</v>
      </c>
      <c r="F167" s="634">
        <v>103044</v>
      </c>
      <c r="G167" s="593">
        <f t="shared" si="15"/>
        <v>387</v>
      </c>
      <c r="N167" s="854"/>
    </row>
    <row r="168" spans="1:15" ht="21.75" customHeight="1" x14ac:dyDescent="0.5">
      <c r="A168" s="1470" t="s">
        <v>124</v>
      </c>
      <c r="B168" s="1470"/>
      <c r="C168" s="1470"/>
      <c r="D168" s="644" t="s">
        <v>214</v>
      </c>
      <c r="E168" s="634">
        <f t="shared" si="16"/>
        <v>96016</v>
      </c>
      <c r="F168" s="634">
        <v>96416</v>
      </c>
      <c r="G168" s="593">
        <f t="shared" si="15"/>
        <v>400</v>
      </c>
      <c r="N168" s="854"/>
    </row>
    <row r="169" spans="1:15" ht="22.5" customHeight="1" x14ac:dyDescent="0.5">
      <c r="A169" s="1470" t="s">
        <v>125</v>
      </c>
      <c r="B169" s="1470"/>
      <c r="C169" s="1470"/>
      <c r="D169" s="644" t="s">
        <v>214</v>
      </c>
      <c r="E169" s="634">
        <f t="shared" si="16"/>
        <v>156945</v>
      </c>
      <c r="F169" s="634">
        <v>157677</v>
      </c>
      <c r="G169" s="593">
        <f t="shared" si="15"/>
        <v>732</v>
      </c>
      <c r="N169" s="854"/>
    </row>
    <row r="170" spans="1:15" ht="24" customHeight="1" x14ac:dyDescent="0.5">
      <c r="A170" s="1470" t="s">
        <v>126</v>
      </c>
      <c r="B170" s="1470"/>
      <c r="C170" s="1470"/>
      <c r="D170" s="644" t="s">
        <v>214</v>
      </c>
      <c r="E170" s="634">
        <f t="shared" si="16"/>
        <v>48521</v>
      </c>
      <c r="F170" s="634">
        <v>48887</v>
      </c>
      <c r="G170" s="593">
        <f t="shared" si="15"/>
        <v>366</v>
      </c>
      <c r="N170" s="854"/>
    </row>
    <row r="171" spans="1:15" ht="27.75" x14ac:dyDescent="0.5">
      <c r="A171" s="1470" t="s">
        <v>127</v>
      </c>
      <c r="B171" s="1470"/>
      <c r="C171" s="1470"/>
      <c r="D171" s="644" t="s">
        <v>214</v>
      </c>
      <c r="E171" s="634">
        <f t="shared" si="16"/>
        <v>41946</v>
      </c>
      <c r="F171" s="634">
        <v>42245</v>
      </c>
      <c r="G171" s="593">
        <f t="shared" si="15"/>
        <v>299</v>
      </c>
      <c r="N171" s="854"/>
    </row>
    <row r="172" spans="1:15" x14ac:dyDescent="0.5">
      <c r="A172" s="939"/>
      <c r="B172" s="940"/>
      <c r="C172" s="940"/>
      <c r="D172" s="941"/>
      <c r="F172" s="942"/>
      <c r="G172" s="943">
        <f>SUM(G160:G171)</f>
        <v>3645</v>
      </c>
      <c r="N172" s="854"/>
    </row>
    <row r="173" spans="1:15" x14ac:dyDescent="0.5">
      <c r="N173" s="854"/>
    </row>
    <row r="174" spans="1:15" x14ac:dyDescent="0.5">
      <c r="N174" s="854"/>
    </row>
    <row r="175" spans="1:15" x14ac:dyDescent="0.5">
      <c r="N175" s="854"/>
    </row>
    <row r="176" spans="1:15" ht="18.75" customHeight="1" x14ac:dyDescent="0.5">
      <c r="N176" s="854"/>
    </row>
    <row r="177" spans="14:14" ht="23.25" customHeight="1" x14ac:dyDescent="0.5">
      <c r="N177" s="854"/>
    </row>
    <row r="178" spans="14:14" ht="23.25" customHeight="1" x14ac:dyDescent="0.5">
      <c r="N178" s="854"/>
    </row>
    <row r="179" spans="14:14" ht="23.25" customHeight="1" x14ac:dyDescent="0.5">
      <c r="N179" s="854"/>
    </row>
    <row r="180" spans="14:14" ht="23.25" customHeight="1" x14ac:dyDescent="0.5">
      <c r="N180" s="854"/>
    </row>
    <row r="181" spans="14:14" ht="23.25" customHeight="1" x14ac:dyDescent="0.5">
      <c r="N181" s="854"/>
    </row>
    <row r="182" spans="14:14" ht="23.25" customHeight="1" x14ac:dyDescent="0.5">
      <c r="N182" s="854"/>
    </row>
    <row r="183" spans="14:14" ht="23.25" customHeight="1" x14ac:dyDescent="0.5">
      <c r="N183" s="854"/>
    </row>
    <row r="184" spans="14:14" ht="23.25" customHeight="1" x14ac:dyDescent="0.5">
      <c r="N184" s="854"/>
    </row>
    <row r="185" spans="14:14" ht="23.25" customHeight="1" x14ac:dyDescent="0.5">
      <c r="N185" s="854"/>
    </row>
    <row r="186" spans="14:14" ht="23.25" customHeight="1" x14ac:dyDescent="0.5">
      <c r="N186" s="854"/>
    </row>
    <row r="187" spans="14:14" ht="23.25" customHeight="1" x14ac:dyDescent="0.5">
      <c r="N187" s="854"/>
    </row>
    <row r="188" spans="14:14" ht="23.25" customHeight="1" x14ac:dyDescent="0.5">
      <c r="N188" s="854"/>
    </row>
    <row r="189" spans="14:14" ht="23.25" customHeight="1" x14ac:dyDescent="0.5">
      <c r="N189" s="854"/>
    </row>
    <row r="190" spans="14:14" ht="23.25" customHeight="1" x14ac:dyDescent="0.5">
      <c r="N190" s="854"/>
    </row>
    <row r="191" spans="14:14" ht="23.25" customHeight="1" x14ac:dyDescent="0.5">
      <c r="N191" s="854"/>
    </row>
    <row r="192" spans="14:14" ht="23.25" customHeight="1" x14ac:dyDescent="0.5">
      <c r="N192" s="854"/>
    </row>
    <row r="193" spans="14:14" ht="23.25" customHeight="1" x14ac:dyDescent="0.5">
      <c r="N193" s="854"/>
    </row>
    <row r="194" spans="14:14" ht="23.25" customHeight="1" x14ac:dyDescent="0.5">
      <c r="N194" s="854"/>
    </row>
    <row r="195" spans="14:14" ht="23.25" customHeight="1" x14ac:dyDescent="0.5">
      <c r="N195" s="854"/>
    </row>
    <row r="196" spans="14:14" ht="23.25" customHeight="1" x14ac:dyDescent="0.5">
      <c r="N196" s="854"/>
    </row>
    <row r="197" spans="14:14" ht="23.25" customHeight="1" x14ac:dyDescent="0.5">
      <c r="N197" s="854"/>
    </row>
    <row r="198" spans="14:14" ht="23.25" customHeight="1" x14ac:dyDescent="0.5"/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zoomScale="55" zoomScaleSheetLayoutView="55" zoomScalePageLayoutView="60" workbookViewId="0">
      <selection activeCellId="1" sqref="A1:XFD1048576 A1:XFD1048576"/>
    </sheetView>
  </sheetViews>
  <sheetFormatPr defaultColWidth="22.33203125" defaultRowHeight="18.75" customHeight="1" x14ac:dyDescent="0.3"/>
  <cols>
    <col min="1" max="1" width="51.21875" style="488" customWidth="1"/>
    <col min="2" max="2" width="27.88671875" style="488" customWidth="1"/>
    <col min="3" max="3" width="20.88671875" style="488" customWidth="1"/>
    <col min="4" max="4" width="24.44140625" style="488" customWidth="1"/>
    <col min="5" max="5" width="29.109375" style="488" customWidth="1"/>
    <col min="6" max="6" width="28.33203125" style="488" customWidth="1"/>
    <col min="7" max="7" width="30.21875" style="488" customWidth="1"/>
    <col min="8" max="8" width="30.6640625" style="504" customWidth="1"/>
    <col min="9" max="9" width="26.21875" style="488" customWidth="1"/>
    <col min="10" max="10" width="29" style="505" customWidth="1"/>
    <col min="11" max="11" width="15.88671875" style="488" customWidth="1"/>
    <col min="12" max="16384" width="22.33203125" style="488"/>
  </cols>
  <sheetData>
    <row r="1" spans="1:12" ht="29.25" customHeight="1" x14ac:dyDescent="0.5">
      <c r="A1" s="1486" t="s">
        <v>293</v>
      </c>
      <c r="B1" s="1486"/>
      <c r="C1" s="1486"/>
      <c r="D1" s="1486"/>
      <c r="E1" s="1486"/>
      <c r="F1" s="1486"/>
      <c r="G1" s="1486"/>
      <c r="H1" s="1486"/>
      <c r="I1" s="1486"/>
      <c r="J1" s="1486"/>
    </row>
    <row r="2" spans="1:12" ht="23.25" customHeight="1" x14ac:dyDescent="0.5">
      <c r="A2" s="1364" t="s">
        <v>302</v>
      </c>
      <c r="B2" s="280">
        <v>44182</v>
      </c>
      <c r="C2" s="38" t="s">
        <v>84</v>
      </c>
      <c r="D2" s="1210">
        <v>0.41</v>
      </c>
      <c r="E2" s="190"/>
      <c r="F2" s="190"/>
      <c r="G2" s="190" t="s">
        <v>145</v>
      </c>
      <c r="H2" s="190" t="s">
        <v>20</v>
      </c>
      <c r="I2" s="190" t="s">
        <v>22</v>
      </c>
      <c r="J2" s="39" t="s">
        <v>146</v>
      </c>
    </row>
    <row r="3" spans="1:12" ht="17.25" customHeight="1" x14ac:dyDescent="0.3">
      <c r="A3" s="45"/>
      <c r="B3" s="461"/>
      <c r="C3" s="1327" t="s">
        <v>147</v>
      </c>
      <c r="D3" s="1211">
        <v>28</v>
      </c>
      <c r="E3" s="1490" t="s">
        <v>148</v>
      </c>
      <c r="F3" s="1491"/>
      <c r="G3" s="114"/>
      <c r="H3" s="48"/>
      <c r="I3" s="48"/>
      <c r="J3" s="48"/>
      <c r="K3" s="489"/>
      <c r="L3" s="490"/>
    </row>
    <row r="4" spans="1:12" ht="17.25" customHeight="1" x14ac:dyDescent="0.3">
      <c r="A4" s="44"/>
      <c r="B4" s="45"/>
      <c r="C4" s="38" t="s">
        <v>149</v>
      </c>
      <c r="D4" s="1210">
        <v>0.76</v>
      </c>
      <c r="E4" s="46"/>
      <c r="F4" s="46"/>
      <c r="G4" s="46"/>
      <c r="H4" s="46"/>
      <c r="I4" s="47"/>
      <c r="J4" s="40"/>
      <c r="K4" s="491"/>
      <c r="L4" s="490"/>
    </row>
    <row r="5" spans="1:12" ht="21" customHeight="1" thickBot="1" x14ac:dyDescent="0.55000000000000004">
      <c r="A5" s="215" t="s">
        <v>150</v>
      </c>
      <c r="B5" s="216"/>
      <c r="C5" s="217"/>
      <c r="D5" s="218"/>
      <c r="E5" s="219" t="s">
        <v>152</v>
      </c>
      <c r="F5" s="219" t="s">
        <v>138</v>
      </c>
      <c r="G5" s="220" t="s">
        <v>153</v>
      </c>
      <c r="H5" s="221" t="s">
        <v>154</v>
      </c>
      <c r="I5" s="222" t="s">
        <v>155</v>
      </c>
      <c r="J5" s="220" t="s">
        <v>156</v>
      </c>
      <c r="K5" s="492"/>
      <c r="L5" s="490"/>
    </row>
    <row r="6" spans="1:12" ht="21.75" customHeight="1" x14ac:dyDescent="0.3">
      <c r="A6" s="1487" t="s">
        <v>157</v>
      </c>
      <c r="B6" s="1488"/>
      <c r="C6" s="1489"/>
      <c r="D6" s="462"/>
      <c r="E6" s="462"/>
      <c r="F6" s="462"/>
      <c r="G6" s="462"/>
      <c r="H6" s="463"/>
      <c r="I6" s="463"/>
      <c r="J6" s="463"/>
      <c r="K6" s="493"/>
      <c r="L6" s="490"/>
    </row>
    <row r="7" spans="1:12" ht="21.75" customHeight="1" thickBot="1" x14ac:dyDescent="0.4">
      <c r="A7" s="247" t="s">
        <v>158</v>
      </c>
      <c r="B7" s="248"/>
      <c r="C7" s="249"/>
      <c r="D7" s="132" t="s">
        <v>159</v>
      </c>
      <c r="E7" s="309">
        <f>'[1]16'!F7</f>
        <v>2994232</v>
      </c>
      <c r="F7" s="309">
        <v>3014169</v>
      </c>
      <c r="G7" s="464">
        <f>F7-E7</f>
        <v>19937</v>
      </c>
      <c r="H7" s="56">
        <f>G7+'[1]16'!H7</f>
        <v>345724</v>
      </c>
      <c r="I7" s="157">
        <f>'[1]1'!I7</f>
        <v>12000</v>
      </c>
      <c r="J7" s="57">
        <f>H7/DAY(B2)</f>
        <v>20336.705882352941</v>
      </c>
      <c r="K7" s="494"/>
      <c r="L7" s="490"/>
    </row>
    <row r="8" spans="1:12" ht="21.75" customHeight="1" thickBot="1" x14ac:dyDescent="0.4">
      <c r="A8" s="243" t="s">
        <v>160</v>
      </c>
      <c r="B8" s="244"/>
      <c r="C8" s="245"/>
      <c r="D8" s="136" t="s">
        <v>39</v>
      </c>
      <c r="E8" s="317">
        <f>'[1]16'!F8</f>
        <v>3011741</v>
      </c>
      <c r="F8" s="317">
        <v>3031842</v>
      </c>
      <c r="G8" s="464">
        <f>F8-E8</f>
        <v>20101</v>
      </c>
      <c r="H8" s="56">
        <f>G8+'[1]16'!H8</f>
        <v>348803</v>
      </c>
      <c r="I8" s="567">
        <f>'[1]1'!I8</f>
        <v>12000</v>
      </c>
      <c r="J8" s="57">
        <f>H8/DAY(B2)</f>
        <v>20517.823529411766</v>
      </c>
      <c r="K8" s="494"/>
      <c r="L8" s="490"/>
    </row>
    <row r="9" spans="1:12" ht="21.75" customHeight="1" thickBot="1" x14ac:dyDescent="0.4">
      <c r="A9" s="63" t="s">
        <v>161</v>
      </c>
      <c r="B9" s="64"/>
      <c r="C9" s="65"/>
      <c r="D9" s="54" t="s">
        <v>159</v>
      </c>
      <c r="E9" s="309">
        <f>'[1]16'!F9</f>
        <v>2363878</v>
      </c>
      <c r="F9" s="261">
        <v>2366724</v>
      </c>
      <c r="G9" s="204">
        <f t="shared" ref="G9:G12" si="0">F9-E9</f>
        <v>2846</v>
      </c>
      <c r="H9" s="56">
        <f>G9+'[1]16'!H9</f>
        <v>109687.5</v>
      </c>
      <c r="I9" s="61">
        <f>I7-J7</f>
        <v>-8336.7058823529405</v>
      </c>
      <c r="J9" s="57">
        <f>H9/DAY(B2)</f>
        <v>6452.2058823529414</v>
      </c>
      <c r="K9" s="494"/>
      <c r="L9" s="490"/>
    </row>
    <row r="10" spans="1:12" ht="21.75" customHeight="1" thickBot="1" x14ac:dyDescent="0.4">
      <c r="A10" s="191" t="s">
        <v>162</v>
      </c>
      <c r="B10" s="192"/>
      <c r="C10" s="193"/>
      <c r="D10" s="54" t="s">
        <v>159</v>
      </c>
      <c r="E10" s="309">
        <f>'[1]16'!F10</f>
        <v>510439</v>
      </c>
      <c r="F10" s="261">
        <v>526794</v>
      </c>
      <c r="G10" s="204">
        <f t="shared" si="0"/>
        <v>16355</v>
      </c>
      <c r="H10" s="56">
        <f>G10+'[1]16'!H10</f>
        <v>223843.71000000002</v>
      </c>
      <c r="I10" s="68"/>
      <c r="J10" s="57">
        <f>H10/DAY(B2)</f>
        <v>13167.277058823531</v>
      </c>
      <c r="K10" s="494"/>
      <c r="L10" s="490"/>
    </row>
    <row r="11" spans="1:12" ht="21.75" customHeight="1" thickBot="1" x14ac:dyDescent="0.4">
      <c r="A11" s="191" t="s">
        <v>163</v>
      </c>
      <c r="B11" s="192"/>
      <c r="C11" s="193"/>
      <c r="D11" s="54" t="s">
        <v>159</v>
      </c>
      <c r="E11" s="309">
        <f>'[1]16'!F11</f>
        <v>35390</v>
      </c>
      <c r="F11" s="260">
        <v>35390</v>
      </c>
      <c r="G11" s="204">
        <f t="shared" si="0"/>
        <v>0</v>
      </c>
      <c r="H11" s="56">
        <f>G11+'[1]16'!H11</f>
        <v>0</v>
      </c>
      <c r="I11" s="68"/>
      <c r="J11" s="57">
        <f>H11/DAY(B2)</f>
        <v>0</v>
      </c>
      <c r="K11" s="494"/>
      <c r="L11" s="490"/>
    </row>
    <row r="12" spans="1:12" ht="21.75" customHeight="1" thickBot="1" x14ac:dyDescent="0.4">
      <c r="A12" s="191" t="s">
        <v>164</v>
      </c>
      <c r="B12" s="192"/>
      <c r="C12" s="193"/>
      <c r="D12" s="54" t="s">
        <v>159</v>
      </c>
      <c r="E12" s="309">
        <f>'[1]16'!F12</f>
        <v>37630</v>
      </c>
      <c r="F12" s="261">
        <v>37630</v>
      </c>
      <c r="G12" s="204">
        <f t="shared" si="0"/>
        <v>0</v>
      </c>
      <c r="H12" s="56">
        <f>G12+'[1]16'!H12</f>
        <v>0</v>
      </c>
      <c r="I12" s="68"/>
      <c r="J12" s="57">
        <f>H12/DAY(B2)</f>
        <v>0</v>
      </c>
      <c r="K12" s="494"/>
      <c r="L12" s="490"/>
    </row>
    <row r="13" spans="1:12" ht="21" customHeight="1" x14ac:dyDescent="0.3">
      <c r="A13" s="465" t="s">
        <v>165</v>
      </c>
      <c r="B13" s="466"/>
      <c r="C13" s="467"/>
      <c r="D13" s="54"/>
      <c r="E13" s="69"/>
      <c r="F13" s="69"/>
      <c r="G13" s="67">
        <f>G9+G10+G11+G12</f>
        <v>19201</v>
      </c>
      <c r="H13" s="56">
        <f>G13+'[1]16'!H13</f>
        <v>311671.90000000002</v>
      </c>
      <c r="I13" s="397">
        <f>G7-G13</f>
        <v>736</v>
      </c>
      <c r="J13" s="57">
        <f>H13/DAY(B2)</f>
        <v>18333.641176470588</v>
      </c>
      <c r="K13" s="494"/>
      <c r="L13" s="490"/>
    </row>
    <row r="14" spans="1:12" ht="17.25" customHeight="1" x14ac:dyDescent="0.3">
      <c r="A14" s="1477" t="s">
        <v>166</v>
      </c>
      <c r="B14" s="1478"/>
      <c r="C14" s="1479"/>
      <c r="D14" s="463"/>
      <c r="E14" s="463"/>
      <c r="F14" s="463"/>
      <c r="G14" s="468"/>
      <c r="H14" s="463"/>
      <c r="I14" s="463"/>
      <c r="J14" s="463"/>
      <c r="K14" s="495"/>
      <c r="L14" s="490"/>
    </row>
    <row r="15" spans="1:12" ht="21.75" customHeight="1" thickBot="1" x14ac:dyDescent="0.35">
      <c r="A15" s="182" t="s">
        <v>167</v>
      </c>
      <c r="B15" s="183"/>
      <c r="C15" s="184"/>
      <c r="D15" s="132" t="s">
        <v>168</v>
      </c>
      <c r="E15" s="158">
        <f>'[1]16'!F15</f>
        <v>1558039</v>
      </c>
      <c r="F15" s="133">
        <v>1558826</v>
      </c>
      <c r="G15" s="204">
        <f>(F15-E15)</f>
        <v>787</v>
      </c>
      <c r="H15" s="56">
        <f>G15+'[1]16'!H15</f>
        <v>11928.398999999976</v>
      </c>
      <c r="I15" s="157">
        <f>'[1]1'!I15</f>
        <v>800</v>
      </c>
      <c r="J15" s="57">
        <f>H15/DAY(B2)</f>
        <v>701.67052941176325</v>
      </c>
      <c r="K15" s="494"/>
      <c r="L15" s="490"/>
    </row>
    <row r="16" spans="1:12" ht="17.25" customHeight="1" x14ac:dyDescent="0.3">
      <c r="A16" s="223"/>
      <c r="B16" s="224"/>
      <c r="C16" s="225"/>
      <c r="D16" s="226"/>
      <c r="E16" s="211"/>
      <c r="F16" s="211"/>
      <c r="G16" s="204"/>
      <c r="H16" s="251"/>
      <c r="I16" s="403">
        <f>I15-J15</f>
        <v>98.329470588236745</v>
      </c>
      <c r="J16" s="228"/>
      <c r="K16" s="494"/>
      <c r="L16" s="490"/>
    </row>
    <row r="17" spans="1:12" ht="17.25" customHeight="1" x14ac:dyDescent="0.3">
      <c r="A17" s="1477" t="s">
        <v>169</v>
      </c>
      <c r="B17" s="1478"/>
      <c r="C17" s="1479"/>
      <c r="D17" s="463"/>
      <c r="E17" s="463"/>
      <c r="F17" s="463"/>
      <c r="G17" s="469"/>
      <c r="H17" s="463"/>
      <c r="I17" s="463"/>
      <c r="J17" s="463"/>
      <c r="K17" s="494"/>
      <c r="L17" s="490"/>
    </row>
    <row r="18" spans="1:12" ht="17.25" customHeight="1" thickBot="1" x14ac:dyDescent="0.35">
      <c r="A18" s="1474" t="s">
        <v>170</v>
      </c>
      <c r="B18" s="1475"/>
      <c r="C18" s="1476"/>
      <c r="D18" s="54" t="s">
        <v>171</v>
      </c>
      <c r="E18" s="158">
        <f>'[1]16'!F18</f>
        <v>10</v>
      </c>
      <c r="F18" s="81">
        <v>14</v>
      </c>
      <c r="G18" s="67">
        <f>F18*10</f>
        <v>140</v>
      </c>
      <c r="H18" s="56">
        <f>G18+'[1]16'!H18</f>
        <v>2330</v>
      </c>
      <c r="I18" s="157">
        <f>'[1]1'!I18</f>
        <v>65</v>
      </c>
      <c r="J18" s="57">
        <f>H18/DAY(B2)</f>
        <v>137.05882352941177</v>
      </c>
      <c r="K18" s="494"/>
      <c r="L18" s="490"/>
    </row>
    <row r="19" spans="1:12" ht="17.25" customHeight="1" thickBot="1" x14ac:dyDescent="0.35">
      <c r="A19" s="1474" t="s">
        <v>86</v>
      </c>
      <c r="B19" s="1475"/>
      <c r="C19" s="1476"/>
      <c r="D19" s="54" t="s">
        <v>171</v>
      </c>
      <c r="E19" s="158">
        <f>'[1]16'!F19</f>
        <v>130675</v>
      </c>
      <c r="F19" s="81">
        <v>130733</v>
      </c>
      <c r="G19" s="204">
        <f>F19-E19</f>
        <v>58</v>
      </c>
      <c r="H19" s="56">
        <f>G19+'[1]16'!H19</f>
        <v>932</v>
      </c>
      <c r="I19" s="79"/>
      <c r="J19" s="57">
        <f>H19/DAY(B2)</f>
        <v>54.823529411764703</v>
      </c>
      <c r="K19" s="494"/>
      <c r="L19" s="490"/>
    </row>
    <row r="20" spans="1:12" ht="17.25" customHeight="1" x14ac:dyDescent="0.35">
      <c r="A20" s="465" t="s">
        <v>172</v>
      </c>
      <c r="B20" s="466"/>
      <c r="C20" s="467"/>
      <c r="D20" s="119"/>
      <c r="E20" s="119"/>
      <c r="F20" s="119"/>
      <c r="G20" s="124">
        <f>G18+G19</f>
        <v>198</v>
      </c>
      <c r="H20" s="56">
        <f>G20+'[1]16'!H20</f>
        <v>3262</v>
      </c>
      <c r="I20" s="340">
        <f>I18-J20</f>
        <v>-126.88235294117646</v>
      </c>
      <c r="J20" s="57">
        <f>H20/DAY(B2)</f>
        <v>191.88235294117646</v>
      </c>
      <c r="K20" s="494"/>
      <c r="L20" s="490"/>
    </row>
    <row r="21" spans="1:12" ht="17.25" customHeight="1" x14ac:dyDescent="0.3">
      <c r="A21" s="1477" t="s">
        <v>173</v>
      </c>
      <c r="B21" s="1478"/>
      <c r="C21" s="1479"/>
      <c r="D21" s="463"/>
      <c r="E21" s="463"/>
      <c r="F21" s="463"/>
      <c r="G21" s="468"/>
      <c r="H21" s="463"/>
      <c r="I21" s="463"/>
      <c r="J21" s="463"/>
      <c r="K21" s="494"/>
      <c r="L21" s="490"/>
    </row>
    <row r="22" spans="1:12" ht="17.25" customHeight="1" thickBot="1" x14ac:dyDescent="0.35">
      <c r="A22" s="1324" t="s">
        <v>174</v>
      </c>
      <c r="B22" s="1325"/>
      <c r="C22" s="1326"/>
      <c r="D22" s="54" t="s">
        <v>175</v>
      </c>
      <c r="E22" s="158">
        <f>'[1]16'!F22</f>
        <v>2250</v>
      </c>
      <c r="F22" s="81">
        <v>2250</v>
      </c>
      <c r="G22" s="204">
        <v>0</v>
      </c>
      <c r="H22" s="56">
        <f>G22+'[1]16'!H22</f>
        <v>0</v>
      </c>
      <c r="I22" s="68"/>
      <c r="J22" s="57">
        <f>H22/DAY(B2)</f>
        <v>0</v>
      </c>
      <c r="K22" s="494"/>
      <c r="L22" s="490"/>
    </row>
    <row r="23" spans="1:12" ht="17.25" customHeight="1" thickBot="1" x14ac:dyDescent="0.35">
      <c r="A23" s="1324" t="s">
        <v>176</v>
      </c>
      <c r="B23" s="1325"/>
      <c r="C23" s="1326"/>
      <c r="D23" s="54" t="s">
        <v>175</v>
      </c>
      <c r="E23" s="158">
        <f>'[1]16'!F23</f>
        <v>2000</v>
      </c>
      <c r="F23" s="81">
        <v>2000</v>
      </c>
      <c r="G23" s="67">
        <v>0</v>
      </c>
      <c r="H23" s="56">
        <f>G23+'[1]16'!H23</f>
        <v>0</v>
      </c>
      <c r="I23" s="68"/>
      <c r="J23" s="57">
        <f>H23/DAY(B2)</f>
        <v>0</v>
      </c>
      <c r="K23" s="494"/>
      <c r="L23" s="490"/>
    </row>
    <row r="24" spans="1:12" ht="17.25" customHeight="1" thickBot="1" x14ac:dyDescent="0.35">
      <c r="A24" s="470" t="s">
        <v>177</v>
      </c>
      <c r="B24" s="471"/>
      <c r="C24" s="472"/>
      <c r="D24" s="53" t="s">
        <v>175</v>
      </c>
      <c r="E24" s="158">
        <f>'[1]16'!F24</f>
        <v>4250</v>
      </c>
      <c r="F24" s="90">
        <v>4250</v>
      </c>
      <c r="G24" s="67">
        <v>0</v>
      </c>
      <c r="H24" s="56">
        <v>0</v>
      </c>
      <c r="I24" s="68"/>
      <c r="J24" s="57">
        <f>H24/DAY(B2)</f>
        <v>0</v>
      </c>
      <c r="K24" s="494"/>
      <c r="L24" s="490"/>
    </row>
    <row r="25" spans="1:12" s="524" customFormat="1" ht="18.75" customHeight="1" x14ac:dyDescent="0.35">
      <c r="A25" s="1483" t="s">
        <v>178</v>
      </c>
      <c r="B25" s="1484"/>
      <c r="C25" s="1485"/>
      <c r="D25" s="419"/>
      <c r="E25" s="419"/>
      <c r="F25" s="419"/>
      <c r="G25" s="424"/>
      <c r="H25" s="420"/>
      <c r="I25" s="425"/>
      <c r="J25" s="421"/>
      <c r="K25" s="312"/>
      <c r="L25" s="527"/>
    </row>
    <row r="26" spans="1:12" s="524" customFormat="1" ht="18.75" customHeight="1" x14ac:dyDescent="0.35">
      <c r="A26" s="342" t="s">
        <v>179</v>
      </c>
      <c r="B26" s="343"/>
      <c r="C26" s="344"/>
      <c r="D26" s="345" t="s">
        <v>180</v>
      </c>
      <c r="E26" s="346"/>
      <c r="F26" s="346"/>
      <c r="G26" s="347"/>
      <c r="H26" s="274"/>
      <c r="I26" s="348"/>
      <c r="J26" s="311"/>
      <c r="K26" s="327"/>
      <c r="L26" s="527"/>
    </row>
    <row r="27" spans="1:12" s="524" customFormat="1" ht="18.75" customHeight="1" x14ac:dyDescent="0.4">
      <c r="A27" s="342" t="s">
        <v>20</v>
      </c>
      <c r="B27" s="343"/>
      <c r="C27" s="344"/>
      <c r="D27" s="349" t="s">
        <v>39</v>
      </c>
      <c r="E27" s="350">
        <f>G8</f>
        <v>20101</v>
      </c>
      <c r="F27" s="621">
        <v>9.5</v>
      </c>
      <c r="G27" s="393">
        <f>E27*F27</f>
        <v>190959.5</v>
      </c>
      <c r="H27" s="274">
        <f>G27+'[1]16'!H27</f>
        <v>3313628.5</v>
      </c>
      <c r="I27" s="351"/>
      <c r="J27" s="311">
        <f>H27/DAY(B2)</f>
        <v>194919.32352941178</v>
      </c>
      <c r="K27" s="312"/>
      <c r="L27" s="527"/>
    </row>
    <row r="28" spans="1:12" s="524" customFormat="1" ht="18.75" customHeight="1" x14ac:dyDescent="0.4">
      <c r="A28" s="342" t="s">
        <v>181</v>
      </c>
      <c r="B28" s="343"/>
      <c r="C28" s="344"/>
      <c r="D28" s="349" t="s">
        <v>182</v>
      </c>
      <c r="E28" s="352">
        <f>G15</f>
        <v>787</v>
      </c>
      <c r="F28" s="621">
        <v>36.5</v>
      </c>
      <c r="G28" s="393">
        <f>E28*F28</f>
        <v>28725.5</v>
      </c>
      <c r="H28" s="274">
        <f>G28+'[1]16'!H28</f>
        <v>435386.56349999912</v>
      </c>
      <c r="I28" s="353"/>
      <c r="J28" s="311">
        <f>H28/DAY(B2)</f>
        <v>25610.974323529361</v>
      </c>
      <c r="K28" s="312"/>
      <c r="L28" s="527"/>
    </row>
    <row r="29" spans="1:12" s="524" customFormat="1" ht="18.75" customHeight="1" x14ac:dyDescent="0.4">
      <c r="A29" s="342" t="s">
        <v>183</v>
      </c>
      <c r="B29" s="343"/>
      <c r="C29" s="344"/>
      <c r="D29" s="349" t="s">
        <v>184</v>
      </c>
      <c r="E29" s="354">
        <f>G24</f>
        <v>0</v>
      </c>
      <c r="F29" s="621">
        <v>69</v>
      </c>
      <c r="G29" s="393">
        <f>E29*F29</f>
        <v>0</v>
      </c>
      <c r="H29" s="274">
        <f>G29+'[1]16'!H29</f>
        <v>0</v>
      </c>
      <c r="I29" s="353"/>
      <c r="J29" s="311">
        <f>H29/DAY(B2)</f>
        <v>0</v>
      </c>
      <c r="K29" s="312"/>
      <c r="L29" s="527"/>
    </row>
    <row r="30" spans="1:12" s="524" customFormat="1" ht="18.75" customHeight="1" x14ac:dyDescent="0.4">
      <c r="A30" s="342" t="s">
        <v>185</v>
      </c>
      <c r="B30" s="343"/>
      <c r="C30" s="344"/>
      <c r="D30" s="349" t="s">
        <v>186</v>
      </c>
      <c r="E30" s="354">
        <f>G19</f>
        <v>58</v>
      </c>
      <c r="F30" s="621">
        <v>145</v>
      </c>
      <c r="G30" s="393">
        <f>E30*F30</f>
        <v>8410</v>
      </c>
      <c r="H30" s="274">
        <f>G30+'[1]16'!H30</f>
        <v>135140</v>
      </c>
      <c r="I30" s="353"/>
      <c r="J30" s="311">
        <f>H30/DAY(B2)</f>
        <v>7949.411764705882</v>
      </c>
      <c r="K30" s="312"/>
      <c r="L30" s="527"/>
    </row>
    <row r="31" spans="1:12" s="524" customFormat="1" ht="18.75" customHeight="1" x14ac:dyDescent="0.4">
      <c r="A31" s="342" t="s">
        <v>187</v>
      </c>
      <c r="B31" s="343"/>
      <c r="C31" s="344"/>
      <c r="D31" s="349" t="s">
        <v>171</v>
      </c>
      <c r="E31" s="354">
        <f>G18</f>
        <v>140</v>
      </c>
      <c r="F31" s="621">
        <v>80</v>
      </c>
      <c r="G31" s="393">
        <f>E31*F31</f>
        <v>11200</v>
      </c>
      <c r="H31" s="274">
        <f>G31+'[1]16'!H31</f>
        <v>184800</v>
      </c>
      <c r="I31" s="353"/>
      <c r="J31" s="311"/>
      <c r="K31" s="312">
        <f>E31*80%</f>
        <v>112</v>
      </c>
      <c r="L31" s="527"/>
    </row>
    <row r="32" spans="1:12" s="524" customFormat="1" ht="18.75" customHeight="1" x14ac:dyDescent="0.35">
      <c r="A32" s="440" t="s">
        <v>188</v>
      </c>
      <c r="B32" s="441"/>
      <c r="C32" s="442"/>
      <c r="D32" s="355"/>
      <c r="E32" s="355"/>
      <c r="F32" s="355"/>
      <c r="G32" s="394">
        <f>G27+G28+G29+G30+G31</f>
        <v>239295</v>
      </c>
      <c r="H32" s="274">
        <f>G32+'[1]16'!H32</f>
        <v>4068955.0634999992</v>
      </c>
      <c r="I32" s="356"/>
      <c r="J32" s="311">
        <f>H32/DAY(B2)</f>
        <v>239350.29785294112</v>
      </c>
      <c r="K32" s="312"/>
      <c r="L32" s="527"/>
    </row>
    <row r="33" spans="1:12" ht="17.25" customHeight="1" x14ac:dyDescent="0.3">
      <c r="A33" s="1480" t="s">
        <v>189</v>
      </c>
      <c r="B33" s="1481"/>
      <c r="C33" s="1481"/>
      <c r="D33" s="1481"/>
      <c r="E33" s="1481"/>
      <c r="F33" s="1481"/>
      <c r="G33" s="1481"/>
      <c r="H33" s="1481"/>
      <c r="I33" s="1481"/>
      <c r="J33" s="1482"/>
      <c r="K33" s="494"/>
      <c r="L33" s="490"/>
    </row>
    <row r="34" spans="1:12" ht="17.25" customHeight="1" x14ac:dyDescent="0.3">
      <c r="A34" s="1331" t="s">
        <v>190</v>
      </c>
      <c r="B34" s="1332"/>
      <c r="C34" s="1333"/>
      <c r="D34" s="463"/>
      <c r="E34" s="462"/>
      <c r="F34" s="462"/>
      <c r="G34" s="463"/>
      <c r="H34" s="463"/>
      <c r="I34" s="463"/>
      <c r="J34" s="463"/>
      <c r="K34" s="494"/>
      <c r="L34" s="490"/>
    </row>
    <row r="35" spans="1:12" ht="17.25" customHeight="1" thickBot="1" x14ac:dyDescent="0.35">
      <c r="A35" s="191" t="s">
        <v>191</v>
      </c>
      <c r="B35" s="192"/>
      <c r="C35" s="193"/>
      <c r="D35" s="54" t="s">
        <v>159</v>
      </c>
      <c r="E35" s="158">
        <f>'[1]16'!F35</f>
        <v>629027.67000000004</v>
      </c>
      <c r="F35" s="210">
        <v>629027.67000000004</v>
      </c>
      <c r="G35" s="204">
        <f t="shared" ref="G35:G46" si="1">F35-E35</f>
        <v>0</v>
      </c>
      <c r="H35" s="56">
        <f>G35+'[1]16'!H35</f>
        <v>0</v>
      </c>
      <c r="I35" s="55"/>
      <c r="J35" s="57">
        <f>H35/DAY(B2)</f>
        <v>0</v>
      </c>
      <c r="K35" s="494"/>
      <c r="L35" s="490"/>
    </row>
    <row r="36" spans="1:12" ht="17.25" customHeight="1" thickBot="1" x14ac:dyDescent="0.35">
      <c r="A36" s="191" t="s">
        <v>192</v>
      </c>
      <c r="B36" s="192"/>
      <c r="C36" s="193"/>
      <c r="D36" s="54" t="s">
        <v>159</v>
      </c>
      <c r="E36" s="158">
        <f>'[1]16'!F36</f>
        <v>242635</v>
      </c>
      <c r="F36" s="210">
        <v>243499</v>
      </c>
      <c r="G36" s="204">
        <f t="shared" si="1"/>
        <v>864</v>
      </c>
      <c r="H36" s="56">
        <f>G36+'[1]16'!H36</f>
        <v>14413.26999999999</v>
      </c>
      <c r="I36" s="55"/>
      <c r="J36" s="57">
        <f>H36/DAY(B2)</f>
        <v>847.83941176470523</v>
      </c>
      <c r="K36" s="494"/>
      <c r="L36" s="490"/>
    </row>
    <row r="37" spans="1:12" ht="17.25" customHeight="1" thickBot="1" x14ac:dyDescent="0.35">
      <c r="A37" s="191" t="s">
        <v>193</v>
      </c>
      <c r="B37" s="192"/>
      <c r="C37" s="193"/>
      <c r="D37" s="54" t="s">
        <v>159</v>
      </c>
      <c r="E37" s="158">
        <f>'[1]16'!F37</f>
        <v>415066</v>
      </c>
      <c r="F37" s="210">
        <v>415066</v>
      </c>
      <c r="G37" s="204">
        <f t="shared" si="1"/>
        <v>0</v>
      </c>
      <c r="H37" s="56">
        <f>G37+'[1]16'!H37</f>
        <v>0</v>
      </c>
      <c r="I37" s="55"/>
      <c r="J37" s="57">
        <f>H37/DAY(B2)</f>
        <v>0</v>
      </c>
      <c r="K37" s="494"/>
      <c r="L37" s="490"/>
    </row>
    <row r="38" spans="1:12" ht="17.25" customHeight="1" thickBot="1" x14ac:dyDescent="0.35">
      <c r="A38" s="191" t="s">
        <v>194</v>
      </c>
      <c r="B38" s="192"/>
      <c r="C38" s="193"/>
      <c r="D38" s="54" t="s">
        <v>159</v>
      </c>
      <c r="E38" s="158">
        <f>'[1]16'!F38</f>
        <v>150714</v>
      </c>
      <c r="F38" s="162">
        <v>150714</v>
      </c>
      <c r="G38" s="204">
        <f t="shared" si="1"/>
        <v>0</v>
      </c>
      <c r="H38" s="56">
        <f>G38+'[1]16'!H38</f>
        <v>0</v>
      </c>
      <c r="I38" s="55"/>
      <c r="J38" s="57">
        <f>H38/DAY(B2)</f>
        <v>0</v>
      </c>
      <c r="K38" s="494"/>
      <c r="L38" s="490"/>
    </row>
    <row r="39" spans="1:12" ht="17.25" customHeight="1" thickBot="1" x14ac:dyDescent="0.35">
      <c r="A39" s="191" t="s">
        <v>195</v>
      </c>
      <c r="B39" s="192"/>
      <c r="C39" s="193"/>
      <c r="D39" s="54" t="s">
        <v>159</v>
      </c>
      <c r="E39" s="158">
        <f>'[1]16'!F39</f>
        <v>912480</v>
      </c>
      <c r="F39" s="210">
        <v>912480</v>
      </c>
      <c r="G39" s="204">
        <f>F39-E39</f>
        <v>0</v>
      </c>
      <c r="H39" s="56">
        <f>G39+'[1]16'!H39</f>
        <v>0</v>
      </c>
      <c r="I39" s="55"/>
      <c r="J39" s="57">
        <f>H39/DAY(B2)</f>
        <v>0</v>
      </c>
      <c r="K39" s="494"/>
      <c r="L39" s="490"/>
    </row>
    <row r="40" spans="1:12" ht="17.25" customHeight="1" thickBot="1" x14ac:dyDescent="0.35">
      <c r="A40" s="75" t="s">
        <v>196</v>
      </c>
      <c r="B40" s="76"/>
      <c r="C40" s="77"/>
      <c r="D40" s="54" t="s">
        <v>159</v>
      </c>
      <c r="E40" s="158">
        <f>'[1]16'!F40</f>
        <v>0.17</v>
      </c>
      <c r="F40" s="210">
        <v>0.17</v>
      </c>
      <c r="G40" s="204">
        <f t="shared" si="1"/>
        <v>0</v>
      </c>
      <c r="H40" s="56">
        <f>G40+'[1]16'!H40</f>
        <v>0</v>
      </c>
      <c r="I40" s="55"/>
      <c r="J40" s="57">
        <f>H40/DAY(B2)</f>
        <v>0</v>
      </c>
      <c r="K40" s="495"/>
      <c r="L40" s="490"/>
    </row>
    <row r="41" spans="1:12" ht="17.25" customHeight="1" thickBot="1" x14ac:dyDescent="0.35">
      <c r="A41" s="191" t="s">
        <v>197</v>
      </c>
      <c r="B41" s="192"/>
      <c r="C41" s="193"/>
      <c r="D41" s="54" t="s">
        <v>159</v>
      </c>
      <c r="E41" s="158">
        <f>'[1]16'!F41</f>
        <v>300127.95</v>
      </c>
      <c r="F41" s="210">
        <v>300127.95</v>
      </c>
      <c r="G41" s="204">
        <f t="shared" si="1"/>
        <v>0</v>
      </c>
      <c r="H41" s="56">
        <f>G41+'[1]16'!H41</f>
        <v>0</v>
      </c>
      <c r="I41" s="55"/>
      <c r="J41" s="57">
        <f>H41/DAY(B2)</f>
        <v>0</v>
      </c>
      <c r="K41" s="494"/>
      <c r="L41" s="490"/>
    </row>
    <row r="42" spans="1:12" ht="17.25" customHeight="1" thickBot="1" x14ac:dyDescent="0.35">
      <c r="A42" s="191" t="s">
        <v>198</v>
      </c>
      <c r="B42" s="192"/>
      <c r="C42" s="193"/>
      <c r="D42" s="54" t="s">
        <v>159</v>
      </c>
      <c r="E42" s="158">
        <f>'[1]16'!F42</f>
        <v>58926</v>
      </c>
      <c r="F42" s="210">
        <v>58926</v>
      </c>
      <c r="G42" s="204">
        <f>F42-E42</f>
        <v>0</v>
      </c>
      <c r="H42" s="56">
        <f>G42+'[1]16'!H42</f>
        <v>58926</v>
      </c>
      <c r="I42" s="55"/>
      <c r="J42" s="57">
        <f>H42/DAY(B2)</f>
        <v>3466.2352941176468</v>
      </c>
      <c r="K42" s="494"/>
      <c r="L42" s="490"/>
    </row>
    <row r="43" spans="1:12" ht="17.25" customHeight="1" thickBot="1" x14ac:dyDescent="0.35">
      <c r="A43" s="191" t="s">
        <v>199</v>
      </c>
      <c r="B43" s="192"/>
      <c r="C43" s="193"/>
      <c r="D43" s="54" t="s">
        <v>159</v>
      </c>
      <c r="E43" s="158">
        <f>'[1]16'!F43</f>
        <v>667826</v>
      </c>
      <c r="F43" s="210">
        <v>669928</v>
      </c>
      <c r="G43" s="204">
        <f t="shared" si="1"/>
        <v>2102</v>
      </c>
      <c r="H43" s="56">
        <f>G43+'[1]16'!H43</f>
        <v>39178.689999999944</v>
      </c>
      <c r="I43" s="55"/>
      <c r="J43" s="57">
        <f>H43/DAY(B2)</f>
        <v>2304.6288235294087</v>
      </c>
      <c r="K43" s="494"/>
      <c r="L43" s="490"/>
    </row>
    <row r="44" spans="1:12" ht="17.25" customHeight="1" thickBot="1" x14ac:dyDescent="0.35">
      <c r="A44" s="191" t="s">
        <v>200</v>
      </c>
      <c r="B44" s="192"/>
      <c r="C44" s="193"/>
      <c r="D44" s="54" t="s">
        <v>159</v>
      </c>
      <c r="E44" s="158">
        <f>'[1]16'!F44</f>
        <v>0</v>
      </c>
      <c r="F44" s="210">
        <v>0</v>
      </c>
      <c r="G44" s="204">
        <f t="shared" si="1"/>
        <v>0</v>
      </c>
      <c r="H44" s="56">
        <f>G44+'[1]16'!H44</f>
        <v>0</v>
      </c>
      <c r="I44" s="55"/>
      <c r="J44" s="57">
        <f>H44/DAY(B2)</f>
        <v>0</v>
      </c>
      <c r="K44" s="494"/>
      <c r="L44" s="490"/>
    </row>
    <row r="45" spans="1:12" ht="17.25" customHeight="1" thickBot="1" x14ac:dyDescent="0.35">
      <c r="A45" s="191" t="s">
        <v>201</v>
      </c>
      <c r="B45" s="192"/>
      <c r="C45" s="193"/>
      <c r="D45" s="54" t="s">
        <v>159</v>
      </c>
      <c r="E45" s="158">
        <f>'[1]16'!F45</f>
        <v>614</v>
      </c>
      <c r="F45" s="210">
        <v>614</v>
      </c>
      <c r="G45" s="204">
        <f t="shared" si="1"/>
        <v>0</v>
      </c>
      <c r="H45" s="56">
        <f>G45+'[1]16'!H45</f>
        <v>-0.48000000000001819</v>
      </c>
      <c r="I45" s="55"/>
      <c r="J45" s="57">
        <f>H45/DAY(B2)</f>
        <v>-2.8235294117648128E-2</v>
      </c>
      <c r="K45" s="494"/>
      <c r="L45" s="490"/>
    </row>
    <row r="46" spans="1:12" ht="17.25" customHeight="1" thickBot="1" x14ac:dyDescent="0.35">
      <c r="A46" s="191" t="s">
        <v>202</v>
      </c>
      <c r="B46" s="192"/>
      <c r="C46" s="193"/>
      <c r="D46" s="54" t="s">
        <v>159</v>
      </c>
      <c r="E46" s="158">
        <f>'[1]16'!F46</f>
        <v>187.49</v>
      </c>
      <c r="F46" s="210">
        <v>187.49</v>
      </c>
      <c r="G46" s="204">
        <f t="shared" si="1"/>
        <v>0</v>
      </c>
      <c r="H46" s="56">
        <f>G46+'[1]16'!H46</f>
        <v>0</v>
      </c>
      <c r="I46" s="55"/>
      <c r="J46" s="57">
        <f>H46/DAY(B2)</f>
        <v>0</v>
      </c>
      <c r="K46" s="494"/>
      <c r="L46" s="490"/>
    </row>
    <row r="47" spans="1:12" ht="17.25" customHeight="1" x14ac:dyDescent="0.3">
      <c r="A47" s="465" t="s">
        <v>203</v>
      </c>
      <c r="B47" s="466"/>
      <c r="C47" s="467"/>
      <c r="D47" s="78"/>
      <c r="E47" s="53"/>
      <c r="F47" s="53"/>
      <c r="G47" s="67">
        <f>G35+G36+G37+G38+G39+G40+G41+G42+G43+G44+G45+G46</f>
        <v>2966</v>
      </c>
      <c r="H47" s="56">
        <f>G47+'[1]16'!H47</f>
        <v>112517.47999999992</v>
      </c>
      <c r="I47" s="55"/>
      <c r="J47" s="57">
        <f>H47/DAY(B2)</f>
        <v>6618.6752941176428</v>
      </c>
      <c r="K47" s="494"/>
      <c r="L47" s="490"/>
    </row>
    <row r="48" spans="1:12" ht="17.25" customHeight="1" x14ac:dyDescent="0.3">
      <c r="A48" s="1331" t="s">
        <v>204</v>
      </c>
      <c r="B48" s="1332"/>
      <c r="C48" s="1333"/>
      <c r="D48" s="463"/>
      <c r="E48" s="462"/>
      <c r="F48" s="462"/>
      <c r="G48" s="463"/>
      <c r="H48" s="463"/>
      <c r="I48" s="463"/>
      <c r="J48" s="463"/>
      <c r="K48" s="494"/>
      <c r="L48" s="490"/>
    </row>
    <row r="49" spans="1:12" ht="17.25" customHeight="1" thickBot="1" x14ac:dyDescent="0.35">
      <c r="A49" s="191" t="s">
        <v>191</v>
      </c>
      <c r="B49" s="174"/>
      <c r="C49" s="175"/>
      <c r="D49" s="54" t="s">
        <v>159</v>
      </c>
      <c r="E49" s="158">
        <f>'[1]16'!F49</f>
        <v>106384</v>
      </c>
      <c r="F49" s="210">
        <v>109182</v>
      </c>
      <c r="G49" s="204">
        <f t="shared" ref="G49:G58" si="2">F49-E49</f>
        <v>2798</v>
      </c>
      <c r="H49" s="56">
        <f>G49+'[1]16'!H49</f>
        <v>44572.483</v>
      </c>
      <c r="I49" s="55"/>
      <c r="J49" s="57">
        <f>H49/DAY(B2)</f>
        <v>2621.9107647058822</v>
      </c>
      <c r="K49" s="494">
        <f>E49+242</f>
        <v>106626</v>
      </c>
      <c r="L49" s="490"/>
    </row>
    <row r="50" spans="1:12" ht="17.25" customHeight="1" thickBot="1" x14ac:dyDescent="0.35">
      <c r="A50" s="191" t="s">
        <v>205</v>
      </c>
      <c r="B50" s="174"/>
      <c r="C50" s="175"/>
      <c r="D50" s="54" t="s">
        <v>159</v>
      </c>
      <c r="E50" s="158">
        <f>'[1]16'!F50</f>
        <v>316807</v>
      </c>
      <c r="F50" s="210">
        <v>317917</v>
      </c>
      <c r="G50" s="204">
        <f t="shared" si="2"/>
        <v>1110</v>
      </c>
      <c r="H50" s="56">
        <f>G50+'[1]16'!H50</f>
        <v>20507.469999999972</v>
      </c>
      <c r="I50" s="55"/>
      <c r="J50" s="57">
        <f>H50/DAY(B2)</f>
        <v>1206.3217647058807</v>
      </c>
      <c r="K50" s="494"/>
      <c r="L50" s="490"/>
    </row>
    <row r="51" spans="1:12" ht="17.25" customHeight="1" x14ac:dyDescent="0.3">
      <c r="A51" s="191" t="s">
        <v>193</v>
      </c>
      <c r="B51" s="174"/>
      <c r="C51" s="175"/>
      <c r="D51" s="54" t="s">
        <v>159</v>
      </c>
      <c r="E51" s="1196">
        <v>42804</v>
      </c>
      <c r="F51" s="1307">
        <v>44299</v>
      </c>
      <c r="G51" s="204">
        <f t="shared" si="2"/>
        <v>1495</v>
      </c>
      <c r="H51" s="56">
        <f>G51+'[1]16'!H51</f>
        <v>23432.032999999999</v>
      </c>
      <c r="I51" s="55"/>
      <c r="J51" s="57">
        <f>H51/DAY(B2)</f>
        <v>1378.3548823529411</v>
      </c>
      <c r="K51" s="494"/>
      <c r="L51" s="490"/>
    </row>
    <row r="52" spans="1:12" ht="17.25" customHeight="1" thickBot="1" x14ac:dyDescent="0.35">
      <c r="A52" s="191" t="s">
        <v>206</v>
      </c>
      <c r="B52" s="174"/>
      <c r="C52" s="175"/>
      <c r="D52" s="54" t="s">
        <v>159</v>
      </c>
      <c r="E52" s="158">
        <f>'[1]16'!F52</f>
        <v>402960</v>
      </c>
      <c r="F52" s="210">
        <v>404827</v>
      </c>
      <c r="G52" s="204">
        <f t="shared" si="2"/>
        <v>1867</v>
      </c>
      <c r="H52" s="56">
        <f>G52+'[1]16'!H52</f>
        <v>31471.209999999963</v>
      </c>
      <c r="I52" s="55"/>
      <c r="J52" s="57">
        <f>H52/DAY(B2)</f>
        <v>1851.2476470588213</v>
      </c>
      <c r="K52" s="494"/>
      <c r="L52" s="490"/>
    </row>
    <row r="53" spans="1:12" ht="17.25" customHeight="1" x14ac:dyDescent="0.3">
      <c r="A53" s="191" t="s">
        <v>195</v>
      </c>
      <c r="B53" s="174"/>
      <c r="C53" s="175"/>
      <c r="D53" s="54" t="s">
        <v>159</v>
      </c>
      <c r="E53" s="630">
        <v>113143</v>
      </c>
      <c r="F53" s="1307">
        <v>117318</v>
      </c>
      <c r="G53" s="204">
        <f t="shared" si="2"/>
        <v>4175</v>
      </c>
      <c r="H53" s="56">
        <f>G53+'[1]16'!H53</f>
        <v>67575.892999999996</v>
      </c>
      <c r="I53" s="55"/>
      <c r="J53" s="57">
        <f>H53/DAY(B2)</f>
        <v>3975.0525294117647</v>
      </c>
      <c r="K53" s="494"/>
      <c r="L53" s="490"/>
    </row>
    <row r="54" spans="1:12" ht="17.25" customHeight="1" thickBot="1" x14ac:dyDescent="0.35">
      <c r="A54" s="191" t="s">
        <v>207</v>
      </c>
      <c r="B54" s="174"/>
      <c r="C54" s="175"/>
      <c r="D54" s="54" t="s">
        <v>159</v>
      </c>
      <c r="E54" s="158">
        <f>'[1]16'!F54</f>
        <v>3566</v>
      </c>
      <c r="F54" s="210">
        <v>3675</v>
      </c>
      <c r="G54" s="204">
        <f t="shared" si="2"/>
        <v>109</v>
      </c>
      <c r="H54" s="56">
        <f>G54+'[1]16'!H54</f>
        <v>796.38999999999987</v>
      </c>
      <c r="I54" s="55"/>
      <c r="J54" s="57">
        <f>H54/DAY(B2)</f>
        <v>46.846470588235285</v>
      </c>
      <c r="K54" s="494"/>
      <c r="L54" s="490"/>
    </row>
    <row r="55" spans="1:12" ht="17.25" customHeight="1" thickBot="1" x14ac:dyDescent="0.35">
      <c r="A55" s="191" t="s">
        <v>208</v>
      </c>
      <c r="B55" s="174"/>
      <c r="C55" s="175"/>
      <c r="D55" s="54" t="s">
        <v>159</v>
      </c>
      <c r="E55" s="158">
        <f>'[1]16'!F55</f>
        <v>158492.73000000001</v>
      </c>
      <c r="F55" s="210">
        <v>158492.73000000001</v>
      </c>
      <c r="G55" s="204">
        <f t="shared" si="2"/>
        <v>0</v>
      </c>
      <c r="H55" s="56">
        <f>G55+'[1]16'!H55</f>
        <v>-0.26999999998952262</v>
      </c>
      <c r="I55" s="55"/>
      <c r="J55" s="57">
        <f>H55/DAY(B2)</f>
        <v>-1.5882352940560153E-2</v>
      </c>
      <c r="K55" s="494"/>
      <c r="L55" s="490"/>
    </row>
    <row r="56" spans="1:12" ht="17.25" customHeight="1" thickBot="1" x14ac:dyDescent="0.35">
      <c r="A56" s="191" t="s">
        <v>209</v>
      </c>
      <c r="B56" s="174"/>
      <c r="C56" s="175"/>
      <c r="D56" s="54" t="s">
        <v>210</v>
      </c>
      <c r="E56" s="158">
        <f>'[1]16'!F56</f>
        <v>452138</v>
      </c>
      <c r="F56" s="210">
        <v>456937</v>
      </c>
      <c r="G56" s="204">
        <f>F56-E56</f>
        <v>4799</v>
      </c>
      <c r="H56" s="56">
        <f>G56+'[1]16'!H56</f>
        <v>21095.969999999972</v>
      </c>
      <c r="I56" s="55"/>
      <c r="J56" s="57">
        <f>H56/DAY(B2)</f>
        <v>1240.9394117647043</v>
      </c>
      <c r="K56" s="493"/>
      <c r="L56" s="490"/>
    </row>
    <row r="57" spans="1:12" ht="17.25" customHeight="1" thickBot="1" x14ac:dyDescent="0.35">
      <c r="A57" s="191" t="s">
        <v>199</v>
      </c>
      <c r="B57" s="174"/>
      <c r="C57" s="175"/>
      <c r="D57" s="54" t="s">
        <v>159</v>
      </c>
      <c r="E57" s="158">
        <f>'[1]16'!F57</f>
        <v>0</v>
      </c>
      <c r="F57" s="210">
        <v>0</v>
      </c>
      <c r="G57" s="204">
        <f>F57-E57</f>
        <v>0</v>
      </c>
      <c r="H57" s="56">
        <f>G57+'[1]16'!H57</f>
        <v>0</v>
      </c>
      <c r="I57" s="55"/>
      <c r="J57" s="57">
        <f>H57/DAY(B2)</f>
        <v>0</v>
      </c>
      <c r="K57" s="494"/>
      <c r="L57" s="490"/>
    </row>
    <row r="58" spans="1:12" ht="17.25" customHeight="1" thickBot="1" x14ac:dyDescent="0.35">
      <c r="A58" s="191" t="s">
        <v>211</v>
      </c>
      <c r="B58" s="174"/>
      <c r="C58" s="175"/>
      <c r="D58" s="54" t="s">
        <v>159</v>
      </c>
      <c r="E58" s="158">
        <f>'[1]16'!F58</f>
        <v>22296</v>
      </c>
      <c r="F58" s="210">
        <v>22448</v>
      </c>
      <c r="G58" s="204">
        <f t="shared" si="2"/>
        <v>152</v>
      </c>
      <c r="H58" s="56">
        <f>G58+'[1]16'!H58</f>
        <v>2054.9670000000006</v>
      </c>
      <c r="I58" s="55"/>
      <c r="J58" s="57">
        <f>H58/DAY(B2)</f>
        <v>120.88041176470591</v>
      </c>
      <c r="K58" s="494"/>
      <c r="L58" s="490"/>
    </row>
    <row r="59" spans="1:12" ht="17.25" customHeight="1" x14ac:dyDescent="0.3">
      <c r="A59" s="465" t="s">
        <v>203</v>
      </c>
      <c r="B59" s="466"/>
      <c r="C59" s="467"/>
      <c r="D59" s="53"/>
      <c r="E59" s="53"/>
      <c r="F59" s="53"/>
      <c r="G59" s="67">
        <f>G49+G50+G51+G52+G53+G54+G55+G56+G57+G58</f>
        <v>16505</v>
      </c>
      <c r="H59" s="56">
        <f>G59+'[1]16'!H59</f>
        <v>211506.14599999989</v>
      </c>
      <c r="I59" s="55">
        <f>G7-G60</f>
        <v>466</v>
      </c>
      <c r="J59" s="57">
        <f>H59/DAY(B2)</f>
        <v>12441.537999999993</v>
      </c>
      <c r="K59" s="494"/>
      <c r="L59" s="490"/>
    </row>
    <row r="60" spans="1:12" ht="17.25" customHeight="1" x14ac:dyDescent="0.3">
      <c r="A60" s="189"/>
      <c r="B60" s="189"/>
      <c r="C60" s="189"/>
      <c r="D60" s="53" t="s">
        <v>212</v>
      </c>
      <c r="E60" s="53"/>
      <c r="F60" s="53"/>
      <c r="G60" s="67">
        <f>G47+G59</f>
        <v>19471</v>
      </c>
      <c r="H60" s="56">
        <f>G60+'[1]16'!H60</f>
        <v>337567.29599999991</v>
      </c>
      <c r="I60" s="55">
        <f>G13-G60</f>
        <v>-270</v>
      </c>
      <c r="J60" s="57">
        <f>H60/DAY(B2)</f>
        <v>19856.899764705879</v>
      </c>
      <c r="K60" s="494"/>
      <c r="L60" s="490"/>
    </row>
    <row r="61" spans="1:12" ht="17.25" customHeight="1" x14ac:dyDescent="0.5">
      <c r="A61" s="473" t="s">
        <v>213</v>
      </c>
      <c r="B61" s="474"/>
      <c r="C61" s="475"/>
      <c r="D61" s="476"/>
      <c r="E61" s="477"/>
      <c r="F61" s="477"/>
      <c r="G61" s="478"/>
      <c r="H61" s="478"/>
      <c r="I61" s="478"/>
      <c r="J61" s="478"/>
      <c r="K61" s="494"/>
      <c r="L61" s="490"/>
    </row>
    <row r="62" spans="1:12" ht="17.25" customHeight="1" thickBot="1" x14ac:dyDescent="0.35">
      <c r="A62" s="240" t="s">
        <v>121</v>
      </c>
      <c r="B62" s="241"/>
      <c r="C62" s="242"/>
      <c r="D62" s="53" t="s">
        <v>214</v>
      </c>
      <c r="E62" s="158">
        <f>'[1]16'!F62</f>
        <v>20419.18</v>
      </c>
      <c r="F62" s="201">
        <v>20419.18</v>
      </c>
      <c r="G62" s="204">
        <f t="shared" ref="G62:G69" si="3">F62-E62</f>
        <v>0</v>
      </c>
      <c r="H62" s="56">
        <f>G62+'[1]16'!H62</f>
        <v>0</v>
      </c>
      <c r="I62" s="200"/>
      <c r="J62" s="57">
        <f>H62/DAY(B2)</f>
        <v>0</v>
      </c>
      <c r="K62" s="494"/>
      <c r="L62" s="490"/>
    </row>
    <row r="63" spans="1:12" ht="17.25" customHeight="1" thickBot="1" x14ac:dyDescent="0.35">
      <c r="A63" s="240" t="s">
        <v>215</v>
      </c>
      <c r="B63" s="241"/>
      <c r="C63" s="242"/>
      <c r="D63" s="53" t="s">
        <v>214</v>
      </c>
      <c r="E63" s="158">
        <f>'[1]16'!F63</f>
        <v>1047</v>
      </c>
      <c r="F63" s="201">
        <v>1051</v>
      </c>
      <c r="G63" s="204">
        <f t="shared" si="3"/>
        <v>4</v>
      </c>
      <c r="H63" s="56">
        <f>G63+'[1]16'!H63</f>
        <v>194.63</v>
      </c>
      <c r="I63" s="200"/>
      <c r="J63" s="57">
        <f>H63/DAY(B2)</f>
        <v>11.448823529411765</v>
      </c>
      <c r="K63" s="494"/>
      <c r="L63" s="490"/>
    </row>
    <row r="64" spans="1:12" ht="17.25" customHeight="1" thickBot="1" x14ac:dyDescent="0.35">
      <c r="A64" s="1471" t="s">
        <v>122</v>
      </c>
      <c r="B64" s="1472"/>
      <c r="C64" s="1473"/>
      <c r="D64" s="54" t="s">
        <v>214</v>
      </c>
      <c r="E64" s="158">
        <f>'[1]16'!F64</f>
        <v>92590</v>
      </c>
      <c r="F64" s="81">
        <v>92956</v>
      </c>
      <c r="G64" s="204">
        <f t="shared" si="3"/>
        <v>366</v>
      </c>
      <c r="H64" s="56">
        <f>G64+'[1]16'!H64</f>
        <v>6216.9049999999988</v>
      </c>
      <c r="I64" s="68"/>
      <c r="J64" s="57">
        <f>H64/DAY(B2)</f>
        <v>365.70029411764699</v>
      </c>
      <c r="K64" s="494"/>
      <c r="L64" s="490"/>
    </row>
    <row r="65" spans="1:12" ht="17.25" customHeight="1" thickBot="1" x14ac:dyDescent="0.35">
      <c r="A65" s="1471" t="s">
        <v>123</v>
      </c>
      <c r="B65" s="1472"/>
      <c r="C65" s="1473"/>
      <c r="D65" s="54" t="s">
        <v>214</v>
      </c>
      <c r="E65" s="158">
        <f>'[1]16'!F65</f>
        <v>103044</v>
      </c>
      <c r="F65" s="81">
        <v>103420</v>
      </c>
      <c r="G65" s="204">
        <f t="shared" si="3"/>
        <v>376</v>
      </c>
      <c r="H65" s="56">
        <f>G65+'[1]16'!H65</f>
        <v>6784.0170000000071</v>
      </c>
      <c r="I65" s="79"/>
      <c r="J65" s="57">
        <f>H65/DAY(B2)</f>
        <v>399.0598235294122</v>
      </c>
      <c r="K65" s="494"/>
      <c r="L65" s="490"/>
    </row>
    <row r="66" spans="1:12" ht="17.25" customHeight="1" thickBot="1" x14ac:dyDescent="0.35">
      <c r="A66" s="1471" t="s">
        <v>124</v>
      </c>
      <c r="B66" s="1472"/>
      <c r="C66" s="1473"/>
      <c r="D66" s="54" t="s">
        <v>214</v>
      </c>
      <c r="E66" s="158">
        <f>'[1]16'!F66</f>
        <v>96416</v>
      </c>
      <c r="F66" s="81">
        <v>96800</v>
      </c>
      <c r="G66" s="204">
        <f t="shared" si="3"/>
        <v>384</v>
      </c>
      <c r="H66" s="56">
        <f>G66+'[1]16'!H66</f>
        <v>6795.1530000000057</v>
      </c>
      <c r="I66" s="68"/>
      <c r="J66" s="57">
        <f>H66/DAY(B2)</f>
        <v>399.71488235294152</v>
      </c>
      <c r="K66" s="494"/>
      <c r="L66" s="490"/>
    </row>
    <row r="67" spans="1:12" ht="17.25" customHeight="1" thickBot="1" x14ac:dyDescent="0.35">
      <c r="A67" s="1471" t="s">
        <v>125</v>
      </c>
      <c r="B67" s="1472"/>
      <c r="C67" s="1473"/>
      <c r="D67" s="54" t="s">
        <v>214</v>
      </c>
      <c r="E67" s="158">
        <f>'[1]16'!F67</f>
        <v>157677</v>
      </c>
      <c r="F67" s="81">
        <v>158388</v>
      </c>
      <c r="G67" s="204">
        <f t="shared" si="3"/>
        <v>711</v>
      </c>
      <c r="H67" s="56">
        <f>G67+'[1]16'!H67</f>
        <v>12345.950000000012</v>
      </c>
      <c r="I67" s="79"/>
      <c r="J67" s="57">
        <f>H67/DAY(B2)</f>
        <v>726.23235294117717</v>
      </c>
      <c r="K67" s="495"/>
      <c r="L67" s="490"/>
    </row>
    <row r="68" spans="1:12" ht="17.25" customHeight="1" thickBot="1" x14ac:dyDescent="0.35">
      <c r="A68" s="1471" t="s">
        <v>126</v>
      </c>
      <c r="B68" s="1472"/>
      <c r="C68" s="1473"/>
      <c r="D68" s="54" t="s">
        <v>214</v>
      </c>
      <c r="E68" s="158">
        <f>'[1]16'!F68</f>
        <v>48887</v>
      </c>
      <c r="F68" s="81">
        <v>49246</v>
      </c>
      <c r="G68" s="204">
        <f t="shared" si="3"/>
        <v>359</v>
      </c>
      <c r="H68" s="56">
        <f>G68+'[1]16'!H68</f>
        <v>6070.9210000000021</v>
      </c>
      <c r="I68" s="104"/>
      <c r="J68" s="57">
        <f>H68/DAY(B2)</f>
        <v>357.11300000000011</v>
      </c>
      <c r="K68" s="496"/>
      <c r="L68" s="490"/>
    </row>
    <row r="69" spans="1:12" ht="17.25" customHeight="1" thickBot="1" x14ac:dyDescent="0.35">
      <c r="A69" s="1471" t="s">
        <v>127</v>
      </c>
      <c r="B69" s="1472"/>
      <c r="C69" s="1473"/>
      <c r="D69" s="54" t="s">
        <v>214</v>
      </c>
      <c r="E69" s="158">
        <f>'[1]16'!F69</f>
        <v>42245</v>
      </c>
      <c r="F69" s="81">
        <v>42533</v>
      </c>
      <c r="G69" s="204">
        <f t="shared" si="3"/>
        <v>288</v>
      </c>
      <c r="H69" s="56">
        <f>G69+'[1]16'!H69</f>
        <v>4977.4329999999973</v>
      </c>
      <c r="I69" s="104"/>
      <c r="J69" s="57">
        <f>H69/DAY(B2)</f>
        <v>292.79017647058805</v>
      </c>
      <c r="K69" s="497"/>
      <c r="L69" s="490"/>
    </row>
    <row r="70" spans="1:12" ht="17.25" customHeight="1" x14ac:dyDescent="0.5">
      <c r="A70" s="1495" t="s">
        <v>216</v>
      </c>
      <c r="B70" s="1496"/>
      <c r="C70" s="1497"/>
      <c r="D70" s="54" t="s">
        <v>214</v>
      </c>
      <c r="E70" s="513"/>
      <c r="F70" s="479"/>
      <c r="G70" s="479"/>
      <c r="H70" s="56">
        <f>G70+'[1]13'!H70</f>
        <v>0</v>
      </c>
      <c r="I70" s="514"/>
      <c r="J70" s="515"/>
      <c r="K70" s="497"/>
      <c r="L70" s="490"/>
    </row>
    <row r="71" spans="1:12" ht="17.25" customHeight="1" x14ac:dyDescent="0.5">
      <c r="A71" s="1492" t="s">
        <v>217</v>
      </c>
      <c r="B71" s="1493"/>
      <c r="C71" s="1493"/>
      <c r="D71" s="1493"/>
      <c r="E71" s="1493"/>
      <c r="F71" s="1493"/>
      <c r="G71" s="1493"/>
      <c r="H71" s="1493"/>
      <c r="I71" s="1493"/>
      <c r="J71" s="1494"/>
      <c r="K71" s="496"/>
      <c r="L71" s="490"/>
    </row>
    <row r="72" spans="1:12" ht="17.25" customHeight="1" thickBot="1" x14ac:dyDescent="0.35">
      <c r="A72" s="1471" t="s">
        <v>218</v>
      </c>
      <c r="B72" s="1472"/>
      <c r="C72" s="1473"/>
      <c r="D72" s="54" t="s">
        <v>214</v>
      </c>
      <c r="E72" s="158">
        <f>'[1]16'!F72</f>
        <v>845170</v>
      </c>
      <c r="F72" s="1308">
        <v>845244</v>
      </c>
      <c r="G72" s="204">
        <f t="shared" ref="G72:G84" si="4">F72-E72</f>
        <v>74</v>
      </c>
      <c r="H72" s="56">
        <f>G72+'[1]16'!H72</f>
        <v>982</v>
      </c>
      <c r="I72" s="68"/>
      <c r="J72" s="57">
        <f>H72/DAY(B2)</f>
        <v>57.764705882352942</v>
      </c>
      <c r="K72" s="497"/>
      <c r="L72" s="490"/>
    </row>
    <row r="73" spans="1:12" ht="17.25" customHeight="1" thickBot="1" x14ac:dyDescent="0.35">
      <c r="A73" s="1471" t="s">
        <v>219</v>
      </c>
      <c r="B73" s="1472"/>
      <c r="C73" s="1473"/>
      <c r="D73" s="54" t="s">
        <v>214</v>
      </c>
      <c r="E73" s="158">
        <f>'[1]16'!F73</f>
        <v>885473</v>
      </c>
      <c r="F73" s="1212">
        <v>885474</v>
      </c>
      <c r="G73" s="204">
        <f t="shared" si="4"/>
        <v>1</v>
      </c>
      <c r="H73" s="56">
        <f>G73+'[1]16'!H73</f>
        <v>770</v>
      </c>
      <c r="I73" s="68"/>
      <c r="J73" s="57">
        <f>H73/DAY(B2)</f>
        <v>45.294117647058826</v>
      </c>
      <c r="K73" s="496"/>
      <c r="L73" s="490"/>
    </row>
    <row r="74" spans="1:12" ht="17.25" customHeight="1" thickBot="1" x14ac:dyDescent="0.35">
      <c r="A74" s="1471" t="s">
        <v>220</v>
      </c>
      <c r="B74" s="1472"/>
      <c r="C74" s="1473"/>
      <c r="D74" s="54" t="s">
        <v>214</v>
      </c>
      <c r="E74" s="158">
        <f>'[1]16'!F74</f>
        <v>880701</v>
      </c>
      <c r="F74" s="1212">
        <v>880728</v>
      </c>
      <c r="G74" s="204">
        <f t="shared" si="4"/>
        <v>27</v>
      </c>
      <c r="H74" s="56">
        <f>G74+'[1]16'!H74</f>
        <v>501</v>
      </c>
      <c r="I74" s="68"/>
      <c r="J74" s="57">
        <f>H74/DAY(B2)</f>
        <v>29.470588235294116</v>
      </c>
      <c r="K74" s="497"/>
      <c r="L74" s="490"/>
    </row>
    <row r="75" spans="1:12" ht="17.25" customHeight="1" thickBot="1" x14ac:dyDescent="0.35">
      <c r="A75" s="1498" t="s">
        <v>221</v>
      </c>
      <c r="B75" s="1499"/>
      <c r="C75" s="1500"/>
      <c r="D75" s="54" t="s">
        <v>214</v>
      </c>
      <c r="E75" s="158">
        <f>'[1]16'!F75</f>
        <v>729033</v>
      </c>
      <c r="F75" s="1212">
        <v>729198</v>
      </c>
      <c r="G75" s="204">
        <f t="shared" si="4"/>
        <v>165</v>
      </c>
      <c r="H75" s="56">
        <f>G75+'[1]16'!H75</f>
        <v>3018</v>
      </c>
      <c r="I75" s="68"/>
      <c r="J75" s="57">
        <f>H75/DAY(B2)</f>
        <v>177.52941176470588</v>
      </c>
      <c r="K75" s="496"/>
      <c r="L75" s="490"/>
    </row>
    <row r="76" spans="1:12" ht="17.25" customHeight="1" thickBot="1" x14ac:dyDescent="0.35">
      <c r="A76" s="1498" t="s">
        <v>222</v>
      </c>
      <c r="B76" s="1499"/>
      <c r="C76" s="1500"/>
      <c r="D76" s="54" t="s">
        <v>214</v>
      </c>
      <c r="E76" s="158">
        <f>'[1]16'!F76</f>
        <v>682963</v>
      </c>
      <c r="F76" s="1212">
        <v>683035</v>
      </c>
      <c r="G76" s="204">
        <f t="shared" si="4"/>
        <v>72</v>
      </c>
      <c r="H76" s="56">
        <f>G76+'[1]16'!H76</f>
        <v>2665</v>
      </c>
      <c r="I76" s="111"/>
      <c r="J76" s="57">
        <f>H76/DAY(B2)</f>
        <v>156.76470588235293</v>
      </c>
      <c r="K76" s="496"/>
      <c r="L76" s="490"/>
    </row>
    <row r="77" spans="1:12" ht="17.25" customHeight="1" thickBot="1" x14ac:dyDescent="0.35">
      <c r="A77" s="1471" t="s">
        <v>223</v>
      </c>
      <c r="B77" s="1472"/>
      <c r="C77" s="1473"/>
      <c r="D77" s="54" t="s">
        <v>214</v>
      </c>
      <c r="E77" s="158">
        <f>'[1]16'!F77</f>
        <v>694568</v>
      </c>
      <c r="F77" s="1212">
        <v>694628</v>
      </c>
      <c r="G77" s="204">
        <f t="shared" si="4"/>
        <v>60</v>
      </c>
      <c r="H77" s="56">
        <f>G77+'[1]16'!H77</f>
        <v>908</v>
      </c>
      <c r="I77" s="111"/>
      <c r="J77" s="57">
        <f>H77/DAY(B2)</f>
        <v>53.411764705882355</v>
      </c>
      <c r="K77" s="496"/>
      <c r="L77" s="490"/>
    </row>
    <row r="78" spans="1:12" ht="18.75" customHeight="1" thickBot="1" x14ac:dyDescent="0.35">
      <c r="A78" s="1321" t="s">
        <v>224</v>
      </c>
      <c r="B78" s="1322"/>
      <c r="C78" s="1323"/>
      <c r="D78" s="54" t="s">
        <v>214</v>
      </c>
      <c r="E78" s="158">
        <f>'[1]16'!F78</f>
        <v>624743</v>
      </c>
      <c r="F78" s="1212">
        <v>625143</v>
      </c>
      <c r="G78" s="204">
        <f t="shared" si="4"/>
        <v>400</v>
      </c>
      <c r="H78" s="56">
        <f>G78+'[1]16'!H78</f>
        <v>6890</v>
      </c>
      <c r="I78" s="111"/>
      <c r="J78" s="57">
        <f>H78/DAY(B2)</f>
        <v>405.29411764705884</v>
      </c>
      <c r="K78" s="496"/>
      <c r="L78" s="490"/>
    </row>
    <row r="79" spans="1:12" ht="17.25" customHeight="1" thickBot="1" x14ac:dyDescent="0.35">
      <c r="A79" s="1501" t="s">
        <v>112</v>
      </c>
      <c r="B79" s="1502"/>
      <c r="C79" s="1503"/>
      <c r="D79" s="80" t="s">
        <v>214</v>
      </c>
      <c r="E79" s="158">
        <f>'[1]16'!F79</f>
        <v>801080</v>
      </c>
      <c r="F79" s="1212">
        <v>801266</v>
      </c>
      <c r="G79" s="204">
        <f t="shared" si="4"/>
        <v>186</v>
      </c>
      <c r="H79" s="56">
        <f>G79+'[1]16'!H79</f>
        <v>6014</v>
      </c>
      <c r="I79" s="111"/>
      <c r="J79" s="57">
        <f>H79/DAY(B2)</f>
        <v>353.76470588235293</v>
      </c>
      <c r="K79" s="496"/>
      <c r="L79" s="490"/>
    </row>
    <row r="80" spans="1:12" ht="17.25" customHeight="1" thickBot="1" x14ac:dyDescent="0.35">
      <c r="A80" s="1501" t="s">
        <v>225</v>
      </c>
      <c r="B80" s="1502"/>
      <c r="C80" s="1503"/>
      <c r="D80" s="80" t="s">
        <v>214</v>
      </c>
      <c r="E80" s="158">
        <f>'[1]16'!F80</f>
        <v>470814.4</v>
      </c>
      <c r="F80" s="1212">
        <v>471127</v>
      </c>
      <c r="G80" s="204">
        <f t="shared" si="4"/>
        <v>312.59999999997672</v>
      </c>
      <c r="H80" s="56">
        <f>G80+'[1]16'!H80</f>
        <v>3803.1599999999744</v>
      </c>
      <c r="I80" s="111"/>
      <c r="J80" s="57">
        <f>H80/DAY(B2)</f>
        <v>223.71529411764556</v>
      </c>
      <c r="K80" s="496"/>
      <c r="L80" s="490"/>
    </row>
    <row r="81" spans="1:15" ht="17.25" customHeight="1" thickBot="1" x14ac:dyDescent="0.35">
      <c r="A81" s="1501" t="s">
        <v>226</v>
      </c>
      <c r="B81" s="1502"/>
      <c r="C81" s="1503"/>
      <c r="D81" s="80" t="s">
        <v>214</v>
      </c>
      <c r="E81" s="158">
        <f>'[1]16'!F81</f>
        <v>616944.64000000001</v>
      </c>
      <c r="F81" s="1212">
        <v>617099</v>
      </c>
      <c r="G81" s="204">
        <f t="shared" si="4"/>
        <v>154.35999999998603</v>
      </c>
      <c r="H81" s="56">
        <f>G81+'[1]16'!H81</f>
        <v>2710.4799999999814</v>
      </c>
      <c r="I81" s="111"/>
      <c r="J81" s="57">
        <f>H81/DAY(B2)</f>
        <v>159.43999999999892</v>
      </c>
      <c r="K81" s="496"/>
      <c r="L81" s="490"/>
    </row>
    <row r="82" spans="1:15" ht="17.25" customHeight="1" thickBot="1" x14ac:dyDescent="0.35">
      <c r="A82" s="1507" t="s">
        <v>115</v>
      </c>
      <c r="B82" s="1502"/>
      <c r="C82" s="1503"/>
      <c r="D82" s="206" t="s">
        <v>159</v>
      </c>
      <c r="E82" s="158">
        <f>'[1]16'!F82</f>
        <v>104036</v>
      </c>
      <c r="F82" s="195">
        <v>104095</v>
      </c>
      <c r="G82" s="204">
        <f t="shared" si="4"/>
        <v>59</v>
      </c>
      <c r="H82" s="56">
        <f>G82+'[1]16'!H82</f>
        <v>565.35000000000582</v>
      </c>
      <c r="I82" s="205"/>
      <c r="J82" s="57">
        <f>H82/DAY(B2)</f>
        <v>33.255882352941519</v>
      </c>
      <c r="K82" s="496"/>
      <c r="L82" s="490"/>
    </row>
    <row r="83" spans="1:15" ht="17.25" customHeight="1" thickBot="1" x14ac:dyDescent="0.35">
      <c r="A83" s="1507" t="s">
        <v>227</v>
      </c>
      <c r="B83" s="1502"/>
      <c r="C83" s="1503"/>
      <c r="D83" s="207" t="s">
        <v>159</v>
      </c>
      <c r="E83" s="158">
        <f>'[1]16'!F83</f>
        <v>968245</v>
      </c>
      <c r="F83" s="207">
        <v>968586</v>
      </c>
      <c r="G83" s="204">
        <f t="shared" si="4"/>
        <v>341</v>
      </c>
      <c r="H83" s="56">
        <f>G83+'[1]16'!H83</f>
        <v>6061</v>
      </c>
      <c r="I83" s="67"/>
      <c r="J83" s="57">
        <f>H83/DAY(B2)</f>
        <v>356.52941176470586</v>
      </c>
      <c r="K83" s="495"/>
      <c r="L83" s="490"/>
    </row>
    <row r="84" spans="1:15" ht="18.75" customHeight="1" thickBot="1" x14ac:dyDescent="0.35">
      <c r="A84" s="1329" t="s">
        <v>228</v>
      </c>
      <c r="B84" s="1329"/>
      <c r="C84" s="1330"/>
      <c r="D84" s="208" t="s">
        <v>159</v>
      </c>
      <c r="E84" s="158">
        <f>'[1]16'!F84</f>
        <v>390051</v>
      </c>
      <c r="F84" s="226">
        <v>390567</v>
      </c>
      <c r="G84" s="204">
        <f t="shared" si="4"/>
        <v>516</v>
      </c>
      <c r="H84" s="56">
        <f>G84+'[1]16'!H84</f>
        <v>9211</v>
      </c>
      <c r="I84" s="67"/>
      <c r="J84" s="57">
        <f>H84/DAY(B2)</f>
        <v>541.82352941176475</v>
      </c>
      <c r="K84" s="498"/>
      <c r="L84" s="490"/>
    </row>
    <row r="85" spans="1:15" s="500" customFormat="1" ht="17.25" customHeight="1" x14ac:dyDescent="0.3">
      <c r="A85" s="480" t="s">
        <v>82</v>
      </c>
      <c r="B85" s="481"/>
      <c r="C85" s="481"/>
      <c r="D85" s="88"/>
      <c r="E85" s="54"/>
      <c r="F85" s="54"/>
      <c r="G85" s="482">
        <f xml:space="preserve"> SUM(G72:G84)</f>
        <v>2367.9599999999627</v>
      </c>
      <c r="H85" s="56">
        <f>G85+'[1]16'!H85</f>
        <v>39542.519999999931</v>
      </c>
      <c r="I85" s="67"/>
      <c r="J85" s="57">
        <f>H85/DAY(B2)</f>
        <v>2326.03058823529</v>
      </c>
      <c r="K85" s="498"/>
      <c r="L85" s="499"/>
    </row>
    <row r="86" spans="1:15" s="871" customFormat="1" ht="29.25" x14ac:dyDescent="0.5">
      <c r="A86" s="866" t="s">
        <v>117</v>
      </c>
      <c r="B86" s="867"/>
      <c r="C86" s="867"/>
      <c r="D86" s="868" t="s">
        <v>210</v>
      </c>
      <c r="E86" s="748">
        <f>'[1]16'!F86</f>
        <v>442833</v>
      </c>
      <c r="F86" s="760">
        <v>442966</v>
      </c>
      <c r="G86" s="841">
        <f t="shared" ref="G86:G90" si="5">F86-E86</f>
        <v>133</v>
      </c>
      <c r="H86" s="841">
        <f t="shared" ref="H86:H88" si="6">G86</f>
        <v>133</v>
      </c>
      <c r="I86" s="769"/>
      <c r="J86" s="843">
        <f>H86/DAY(B2)</f>
        <v>7.8235294117647056</v>
      </c>
      <c r="K86" s="869"/>
      <c r="L86" s="870"/>
      <c r="O86" s="849"/>
    </row>
    <row r="87" spans="1:15" s="871" customFormat="1" ht="29.25" x14ac:dyDescent="0.5">
      <c r="A87" s="866" t="s">
        <v>118</v>
      </c>
      <c r="B87" s="867"/>
      <c r="C87" s="867"/>
      <c r="D87" s="868" t="s">
        <v>210</v>
      </c>
      <c r="E87" s="748">
        <f>'[1]16'!F87</f>
        <v>77382</v>
      </c>
      <c r="F87" s="760">
        <v>77414</v>
      </c>
      <c r="G87" s="841">
        <f t="shared" si="5"/>
        <v>32</v>
      </c>
      <c r="H87" s="841">
        <f t="shared" si="6"/>
        <v>32</v>
      </c>
      <c r="I87" s="769"/>
      <c r="J87" s="843">
        <f>H87/DAY(B2)</f>
        <v>1.8823529411764706</v>
      </c>
      <c r="K87" s="869"/>
      <c r="L87" s="870"/>
      <c r="O87" s="849"/>
    </row>
    <row r="88" spans="1:15" s="871" customFormat="1" ht="29.25" x14ac:dyDescent="0.5">
      <c r="A88" s="866" t="s">
        <v>119</v>
      </c>
      <c r="B88" s="867"/>
      <c r="C88" s="867"/>
      <c r="D88" s="868" t="s">
        <v>210</v>
      </c>
      <c r="E88" s="748">
        <f>'[1]16'!F88</f>
        <v>143622</v>
      </c>
      <c r="F88" s="760">
        <v>143695</v>
      </c>
      <c r="G88" s="841">
        <f t="shared" si="5"/>
        <v>73</v>
      </c>
      <c r="H88" s="841">
        <f t="shared" si="6"/>
        <v>73</v>
      </c>
      <c r="I88" s="769"/>
      <c r="J88" s="843">
        <f>H88/DAY(B2)</f>
        <v>4.2941176470588234</v>
      </c>
      <c r="K88" s="869"/>
      <c r="L88" s="870"/>
      <c r="O88" s="849"/>
    </row>
    <row r="89" spans="1:15" s="871" customFormat="1" ht="29.25" x14ac:dyDescent="0.5">
      <c r="A89" s="866" t="s">
        <v>230</v>
      </c>
      <c r="B89" s="867"/>
      <c r="C89" s="867"/>
      <c r="D89" s="868" t="s">
        <v>210</v>
      </c>
      <c r="E89" s="748">
        <f>'[1]16'!F89</f>
        <v>56638</v>
      </c>
      <c r="F89" s="760">
        <v>56706</v>
      </c>
      <c r="G89" s="841">
        <f t="shared" si="5"/>
        <v>68</v>
      </c>
      <c r="H89" s="841">
        <f>G89</f>
        <v>68</v>
      </c>
      <c r="I89" s="769"/>
      <c r="J89" s="843">
        <f>H89/DAY(B2)</f>
        <v>4</v>
      </c>
      <c r="K89" s="869"/>
      <c r="L89" s="870"/>
      <c r="N89" s="919"/>
      <c r="O89" s="410"/>
    </row>
    <row r="90" spans="1:15" s="871" customFormat="1" ht="29.25" x14ac:dyDescent="0.5">
      <c r="A90" s="866" t="s">
        <v>230</v>
      </c>
      <c r="B90" s="867"/>
      <c r="C90" s="867"/>
      <c r="D90" s="868" t="s">
        <v>210</v>
      </c>
      <c r="E90" s="748">
        <f>'[1]16'!F90</f>
        <v>2940</v>
      </c>
      <c r="F90" s="760">
        <v>2943</v>
      </c>
      <c r="G90" s="841">
        <f t="shared" si="5"/>
        <v>3</v>
      </c>
      <c r="H90" s="841">
        <f>G90</f>
        <v>3</v>
      </c>
      <c r="I90" s="769"/>
      <c r="J90" s="843">
        <f>H90/DAY(B2)</f>
        <v>0.17647058823529413</v>
      </c>
      <c r="K90" s="869"/>
      <c r="L90" s="870"/>
      <c r="N90" s="919"/>
      <c r="O90" s="410"/>
    </row>
    <row r="91" spans="1:15" s="500" customFormat="1" ht="17.25" customHeight="1" x14ac:dyDescent="0.3">
      <c r="A91" s="1334" t="s">
        <v>231</v>
      </c>
      <c r="B91" s="483"/>
      <c r="C91" s="1335"/>
      <c r="D91" s="463"/>
      <c r="E91" s="463"/>
      <c r="F91" s="463"/>
      <c r="G91" s="469"/>
      <c r="H91" s="463"/>
      <c r="I91" s="463"/>
      <c r="J91" s="463"/>
      <c r="K91" s="498"/>
      <c r="L91" s="499"/>
    </row>
    <row r="92" spans="1:15" ht="17.25" customHeight="1" thickBot="1" x14ac:dyDescent="0.35">
      <c r="A92" s="1474" t="s">
        <v>233</v>
      </c>
      <c r="B92" s="1475"/>
      <c r="C92" s="1476"/>
      <c r="D92" s="54" t="s">
        <v>171</v>
      </c>
      <c r="E92" s="158">
        <f>'[1]16'!F92</f>
        <v>232496</v>
      </c>
      <c r="F92" s="81">
        <v>232642</v>
      </c>
      <c r="G92" s="204">
        <f t="shared" ref="G92:G93" si="7">F92-E92</f>
        <v>146</v>
      </c>
      <c r="H92" s="56">
        <f>G92+'[1]16'!H92</f>
        <v>1667</v>
      </c>
      <c r="I92" s="68"/>
      <c r="J92" s="57">
        <f>H92/DAY(B2)</f>
        <v>98.058823529411768</v>
      </c>
      <c r="K92" s="495"/>
      <c r="L92" s="490"/>
    </row>
    <row r="93" spans="1:15" ht="17.25" customHeight="1" thickBot="1" x14ac:dyDescent="0.35">
      <c r="A93" s="1474" t="s">
        <v>234</v>
      </c>
      <c r="B93" s="1475"/>
      <c r="C93" s="1476"/>
      <c r="D93" s="54" t="s">
        <v>171</v>
      </c>
      <c r="E93" s="158">
        <f>'[1]16'!F93</f>
        <v>164998</v>
      </c>
      <c r="F93" s="81">
        <v>165084</v>
      </c>
      <c r="G93" s="204">
        <f t="shared" si="7"/>
        <v>86</v>
      </c>
      <c r="H93" s="56">
        <f>G93+'[1]16'!H93</f>
        <v>2442</v>
      </c>
      <c r="I93" s="68"/>
      <c r="J93" s="57">
        <f>H93/DAY(B2)</f>
        <v>143.64705882352942</v>
      </c>
      <c r="K93" s="498"/>
      <c r="L93" s="490"/>
    </row>
    <row r="94" spans="1:15" ht="17.25" customHeight="1" thickBot="1" x14ac:dyDescent="0.35">
      <c r="A94" s="1504" t="s">
        <v>235</v>
      </c>
      <c r="B94" s="1505"/>
      <c r="C94" s="1506"/>
      <c r="D94" s="54"/>
      <c r="E94" s="158">
        <f>'[1]16'!F94</f>
        <v>0</v>
      </c>
      <c r="F94" s="81"/>
      <c r="G94" s="204">
        <f>G92+G93</f>
        <v>232</v>
      </c>
      <c r="H94" s="56">
        <f>G94+'[1]16'!H94</f>
        <v>3846</v>
      </c>
      <c r="I94" s="68"/>
      <c r="J94" s="57">
        <f>H94/DAY(B2)</f>
        <v>226.23529411764707</v>
      </c>
      <c r="K94" s="498"/>
      <c r="L94" s="490"/>
    </row>
    <row r="95" spans="1:15" ht="17.25" customHeight="1" thickBot="1" x14ac:dyDescent="0.35">
      <c r="A95" s="1474" t="s">
        <v>236</v>
      </c>
      <c r="B95" s="1475"/>
      <c r="C95" s="1476"/>
      <c r="D95" s="54" t="s">
        <v>171</v>
      </c>
      <c r="E95" s="158">
        <f>'[1]16'!F95</f>
        <v>402605</v>
      </c>
      <c r="F95" s="81">
        <v>402668</v>
      </c>
      <c r="G95" s="204">
        <f t="shared" ref="G95:G100" si="8">F95-E95</f>
        <v>63</v>
      </c>
      <c r="H95" s="56">
        <f>G95+'[1]16'!H95</f>
        <v>1103</v>
      </c>
      <c r="I95" s="68"/>
      <c r="J95" s="57">
        <f>H95/DAY(B2)</f>
        <v>64.882352941176464</v>
      </c>
      <c r="K95" s="498"/>
      <c r="L95" s="490"/>
    </row>
    <row r="96" spans="1:15" ht="17.25" customHeight="1" thickBot="1" x14ac:dyDescent="0.35">
      <c r="A96" s="1324" t="s">
        <v>237</v>
      </c>
      <c r="B96" s="1325"/>
      <c r="C96" s="1326"/>
      <c r="D96" s="54" t="s">
        <v>171</v>
      </c>
      <c r="E96" s="158">
        <f>'[1]16'!F96</f>
        <v>99577</v>
      </c>
      <c r="F96" s="81">
        <v>99595</v>
      </c>
      <c r="G96" s="204">
        <f t="shared" si="8"/>
        <v>18</v>
      </c>
      <c r="H96" s="56">
        <f>G96+'[1]16'!H96</f>
        <v>484</v>
      </c>
      <c r="I96" s="68"/>
      <c r="J96" s="57">
        <f>H96/DAY(B2)</f>
        <v>28.470588235294116</v>
      </c>
      <c r="K96" s="493"/>
      <c r="L96" s="490"/>
    </row>
    <row r="97" spans="1:12" ht="17.25" customHeight="1" thickBot="1" x14ac:dyDescent="0.35">
      <c r="A97" s="1324" t="s">
        <v>238</v>
      </c>
      <c r="B97" s="1325"/>
      <c r="C97" s="1326"/>
      <c r="D97" s="54" t="s">
        <v>171</v>
      </c>
      <c r="E97" s="158">
        <f>'[1]16'!F97</f>
        <v>94677</v>
      </c>
      <c r="F97" s="195">
        <v>94696</v>
      </c>
      <c r="G97" s="204">
        <f t="shared" si="8"/>
        <v>19</v>
      </c>
      <c r="H97" s="56">
        <f>G97+'[1]16'!H97</f>
        <v>424</v>
      </c>
      <c r="I97" s="68"/>
      <c r="J97" s="57">
        <f>H97/DAY(B2)</f>
        <v>24.941176470588236</v>
      </c>
      <c r="K97" s="501"/>
      <c r="L97" s="490"/>
    </row>
    <row r="98" spans="1:12" ht="17.25" customHeight="1" thickBot="1" x14ac:dyDescent="0.35">
      <c r="A98" s="1324" t="s">
        <v>239</v>
      </c>
      <c r="B98" s="1325"/>
      <c r="C98" s="1326"/>
      <c r="D98" s="54" t="s">
        <v>171</v>
      </c>
      <c r="E98" s="158">
        <f>'[1]16'!F98</f>
        <v>143060</v>
      </c>
      <c r="F98" s="81">
        <v>143091</v>
      </c>
      <c r="G98" s="204">
        <f t="shared" si="8"/>
        <v>31</v>
      </c>
      <c r="H98" s="56">
        <f>G98+'[1]16'!H98</f>
        <v>945</v>
      </c>
      <c r="I98" s="68"/>
      <c r="J98" s="57">
        <f>H98/DAY(B2)</f>
        <v>55.588235294117645</v>
      </c>
      <c r="K98" s="498"/>
      <c r="L98" s="490"/>
    </row>
    <row r="99" spans="1:12" ht="17.25" customHeight="1" thickBot="1" x14ac:dyDescent="0.35">
      <c r="A99" s="1324" t="s">
        <v>240</v>
      </c>
      <c r="B99" s="1325"/>
      <c r="C99" s="1326"/>
      <c r="D99" s="54" t="s">
        <v>171</v>
      </c>
      <c r="E99" s="158">
        <f>'[1]16'!F99</f>
        <v>5286</v>
      </c>
      <c r="F99" s="81">
        <v>5297</v>
      </c>
      <c r="G99" s="204">
        <f t="shared" si="8"/>
        <v>11</v>
      </c>
      <c r="H99" s="56">
        <f>G99+'[1]16'!H99</f>
        <v>329</v>
      </c>
      <c r="I99" s="68"/>
      <c r="J99" s="57">
        <f>H99/DAY(B2)</f>
        <v>19.352941176470587</v>
      </c>
      <c r="K99" s="498"/>
      <c r="L99" s="490"/>
    </row>
    <row r="100" spans="1:12" ht="17.25" customHeight="1" thickBot="1" x14ac:dyDescent="0.35">
      <c r="A100" s="1324" t="s">
        <v>241</v>
      </c>
      <c r="B100" s="1325"/>
      <c r="C100" s="1326"/>
      <c r="D100" s="54" t="s">
        <v>171</v>
      </c>
      <c r="E100" s="158">
        <v>3796</v>
      </c>
      <c r="F100" s="81">
        <v>3807</v>
      </c>
      <c r="G100" s="204">
        <f t="shared" si="8"/>
        <v>11</v>
      </c>
      <c r="H100" s="56">
        <f>G100+'[1]16'!H100</f>
        <v>11</v>
      </c>
      <c r="I100" s="68"/>
      <c r="J100" s="57">
        <f>H100/DAY(B2)</f>
        <v>0.6470588235294118</v>
      </c>
      <c r="K100" s="498"/>
      <c r="L100" s="490"/>
    </row>
    <row r="101" spans="1:12" ht="17.25" customHeight="1" thickBot="1" x14ac:dyDescent="0.35">
      <c r="A101" s="1504" t="s">
        <v>242</v>
      </c>
      <c r="B101" s="1505"/>
      <c r="C101" s="1506"/>
      <c r="D101" s="54"/>
      <c r="E101" s="158"/>
      <c r="F101" s="226"/>
      <c r="G101" s="484">
        <f>SUM(G95:G100)</f>
        <v>153</v>
      </c>
      <c r="H101" s="56">
        <f>G101+'[1]16'!H101</f>
        <v>3296</v>
      </c>
      <c r="I101" s="139"/>
      <c r="J101" s="57">
        <f>H101/DAY(B2)</f>
        <v>193.88235294117646</v>
      </c>
      <c r="K101" s="498"/>
      <c r="L101" s="490"/>
    </row>
    <row r="102" spans="1:12" s="524" customFormat="1" ht="25.5" customHeight="1" x14ac:dyDescent="0.35">
      <c r="A102" s="557" t="s">
        <v>243</v>
      </c>
      <c r="B102" s="561"/>
      <c r="C102" s="561"/>
      <c r="D102" s="548"/>
      <c r="E102" s="549"/>
      <c r="F102" s="550"/>
      <c r="G102" s="551"/>
      <c r="H102" s="552"/>
      <c r="I102" s="553"/>
      <c r="J102" s="554"/>
    </row>
    <row r="103" spans="1:12" s="524" customFormat="1" ht="21.75" customHeight="1" x14ac:dyDescent="0.35">
      <c r="A103" s="1513" t="s">
        <v>244</v>
      </c>
      <c r="B103" s="1514"/>
      <c r="C103" s="527"/>
      <c r="D103" s="558"/>
      <c r="E103" s="528"/>
      <c r="F103" s="528"/>
      <c r="G103" s="528"/>
      <c r="H103" s="529"/>
      <c r="I103" s="528"/>
      <c r="J103" s="529"/>
    </row>
    <row r="104" spans="1:12" s="524" customFormat="1" ht="21.75" customHeight="1" x14ac:dyDescent="0.35">
      <c r="A104" s="1515" t="s">
        <v>245</v>
      </c>
      <c r="B104" s="1515"/>
      <c r="C104" s="1337"/>
      <c r="D104" s="558" t="s">
        <v>171</v>
      </c>
      <c r="E104" s="528">
        <f>'[1]16'!F104</f>
        <v>7010</v>
      </c>
      <c r="F104" s="528">
        <v>7010</v>
      </c>
      <c r="G104" s="528">
        <f>F104-E104</f>
        <v>0</v>
      </c>
      <c r="H104" s="529">
        <f>SUM(G104+'[1]1'!G76)</f>
        <v>57</v>
      </c>
      <c r="I104" s="528"/>
      <c r="J104" s="529">
        <f>H104/DAY(B2)</f>
        <v>3.3529411764705883</v>
      </c>
    </row>
    <row r="105" spans="1:12" s="524" customFormat="1" ht="21.75" customHeight="1" x14ac:dyDescent="0.35">
      <c r="A105" s="1515" t="s">
        <v>92</v>
      </c>
      <c r="B105" s="1515"/>
      <c r="C105" s="1337"/>
      <c r="D105" s="558" t="s">
        <v>171</v>
      </c>
      <c r="E105" s="528">
        <f>'[1]16'!F105</f>
        <v>34800</v>
      </c>
      <c r="F105" s="530">
        <v>34809</v>
      </c>
      <c r="G105" s="528">
        <f t="shared" ref="G105:G106" si="9">F105-E105</f>
        <v>9</v>
      </c>
      <c r="H105" s="529">
        <f>SUM(G105+'[1]1'!G77)</f>
        <v>64</v>
      </c>
      <c r="I105" s="528"/>
      <c r="J105" s="529">
        <f>H105/DAY(B2)</f>
        <v>3.7647058823529411</v>
      </c>
    </row>
    <row r="106" spans="1:12" s="524" customFormat="1" ht="21.75" customHeight="1" x14ac:dyDescent="0.35">
      <c r="A106" s="1515" t="s">
        <v>93</v>
      </c>
      <c r="B106" s="1515"/>
      <c r="C106" s="1515"/>
      <c r="D106" s="558" t="s">
        <v>171</v>
      </c>
      <c r="E106" s="528">
        <f>'[1]16'!F106</f>
        <v>18811</v>
      </c>
      <c r="F106" s="528">
        <v>18817</v>
      </c>
      <c r="G106" s="528">
        <f t="shared" si="9"/>
        <v>6</v>
      </c>
      <c r="H106" s="529">
        <f>SUM(G106+'[1]1'!G78)</f>
        <v>486</v>
      </c>
      <c r="I106" s="528"/>
      <c r="J106" s="529">
        <f>H106/DAY(B2)</f>
        <v>28.588235294117649</v>
      </c>
    </row>
    <row r="107" spans="1:12" s="524" customFormat="1" ht="21.75" customHeight="1" x14ac:dyDescent="0.35">
      <c r="A107" s="1516" t="s">
        <v>82</v>
      </c>
      <c r="B107" s="1516"/>
      <c r="C107" s="1337"/>
      <c r="D107" s="558"/>
      <c r="E107" s="528">
        <f>'[1]16'!F107</f>
        <v>0</v>
      </c>
      <c r="F107" s="528"/>
      <c r="G107" s="528">
        <f>SUM(G104:G106)</f>
        <v>15</v>
      </c>
      <c r="H107" s="529">
        <f>SUM(G107+'[1]1'!G79)</f>
        <v>216</v>
      </c>
      <c r="I107" s="528"/>
      <c r="J107" s="529">
        <f>H107/DAY(B2)</f>
        <v>12.705882352941176</v>
      </c>
    </row>
    <row r="108" spans="1:12" s="524" customFormat="1" ht="21.75" customHeight="1" x14ac:dyDescent="0.35">
      <c r="A108" s="1517" t="s">
        <v>94</v>
      </c>
      <c r="B108" s="1517"/>
      <c r="C108" s="1337"/>
      <c r="D108" s="558" t="s">
        <v>171</v>
      </c>
      <c r="E108" s="528">
        <f>'[1]16'!F108</f>
        <v>0</v>
      </c>
      <c r="F108" s="528"/>
      <c r="G108" s="528"/>
      <c r="H108" s="529"/>
      <c r="I108" s="528"/>
      <c r="J108" s="529"/>
    </row>
    <row r="109" spans="1:12" s="524" customFormat="1" ht="21.75" customHeight="1" x14ac:dyDescent="0.35">
      <c r="A109" s="1515" t="s">
        <v>246</v>
      </c>
      <c r="B109" s="1515"/>
      <c r="C109" s="1337"/>
      <c r="D109" s="558" t="s">
        <v>171</v>
      </c>
      <c r="E109" s="528">
        <f>'[1]16'!F109</f>
        <v>52223</v>
      </c>
      <c r="F109" s="530">
        <v>52243</v>
      </c>
      <c r="G109" s="528">
        <f>F109-E109</f>
        <v>20</v>
      </c>
      <c r="H109" s="529">
        <f>SUM(G109+'[1]1'!G81)</f>
        <v>173.28000000002794</v>
      </c>
      <c r="I109" s="528"/>
      <c r="J109" s="529">
        <f>H109/DAY(B2)</f>
        <v>10.192941176472232</v>
      </c>
    </row>
    <row r="110" spans="1:12" s="524" customFormat="1" ht="21.75" customHeight="1" x14ac:dyDescent="0.35">
      <c r="A110" s="1515" t="s">
        <v>247</v>
      </c>
      <c r="B110" s="1515"/>
      <c r="C110" s="1337"/>
      <c r="D110" s="558" t="s">
        <v>171</v>
      </c>
      <c r="E110" s="528">
        <f>'[1]16'!F110</f>
        <v>26182</v>
      </c>
      <c r="F110" s="528">
        <v>26206</v>
      </c>
      <c r="G110" s="528">
        <f t="shared" ref="G110:G111" si="10">F110-E110</f>
        <v>24</v>
      </c>
      <c r="H110" s="529">
        <f>SUM(G110+'[1]1'!G82)</f>
        <v>44.760000000009313</v>
      </c>
      <c r="I110" s="528"/>
      <c r="J110" s="529">
        <f>H110/DAY(B2)</f>
        <v>2.6329411764711361</v>
      </c>
    </row>
    <row r="111" spans="1:12" s="524" customFormat="1" ht="21.75" customHeight="1" x14ac:dyDescent="0.35">
      <c r="A111" s="1515" t="s">
        <v>248</v>
      </c>
      <c r="B111" s="1515"/>
      <c r="C111" s="1337"/>
      <c r="D111" s="558" t="s">
        <v>171</v>
      </c>
      <c r="E111" s="528">
        <f>'[1]16'!F111</f>
        <v>3471</v>
      </c>
      <c r="F111" s="528">
        <v>3472</v>
      </c>
      <c r="G111" s="528">
        <f t="shared" si="10"/>
        <v>1</v>
      </c>
      <c r="H111" s="529">
        <f>SUM(G111+'[1]1'!G83)</f>
        <v>347</v>
      </c>
      <c r="I111" s="528"/>
      <c r="J111" s="529">
        <f>H111/DAY(B2)</f>
        <v>20.411764705882351</v>
      </c>
    </row>
    <row r="112" spans="1:12" s="524" customFormat="1" ht="21.75" customHeight="1" x14ac:dyDescent="0.35">
      <c r="A112" s="1518" t="s">
        <v>136</v>
      </c>
      <c r="B112" s="1518"/>
      <c r="C112" s="1337"/>
      <c r="D112" s="558"/>
      <c r="E112" s="528">
        <f>'[1]16'!F112</f>
        <v>0</v>
      </c>
      <c r="F112" s="528"/>
      <c r="G112" s="528">
        <f>SUM(G109:G111)</f>
        <v>45</v>
      </c>
      <c r="H112" s="529">
        <f>SUM(G112+'[1]1'!G84)</f>
        <v>609</v>
      </c>
      <c r="I112" s="528"/>
      <c r="J112" s="529">
        <f>H112/DAY(B2)</f>
        <v>35.823529411764703</v>
      </c>
    </row>
    <row r="113" spans="1:12" s="524" customFormat="1" ht="21.75" customHeight="1" x14ac:dyDescent="0.35">
      <c r="A113" s="1517" t="s">
        <v>249</v>
      </c>
      <c r="B113" s="1517"/>
      <c r="C113" s="1337"/>
      <c r="D113" s="558"/>
      <c r="E113" s="528">
        <f>'[1]16'!F113</f>
        <v>0</v>
      </c>
      <c r="F113" s="528"/>
      <c r="G113" s="528"/>
      <c r="H113" s="529"/>
      <c r="I113" s="528"/>
      <c r="J113" s="529">
        <f>H113/DAY(B2)</f>
        <v>0</v>
      </c>
    </row>
    <row r="114" spans="1:12" s="524" customFormat="1" ht="21.75" customHeight="1" x14ac:dyDescent="0.35">
      <c r="A114" s="1515" t="s">
        <v>250</v>
      </c>
      <c r="B114" s="1515"/>
      <c r="C114" s="562"/>
      <c r="D114" s="558" t="s">
        <v>171</v>
      </c>
      <c r="E114" s="528">
        <f>'[1]16'!F114</f>
        <v>8980</v>
      </c>
      <c r="F114" s="532">
        <v>8993</v>
      </c>
      <c r="G114" s="532">
        <f>F114-E114</f>
        <v>13</v>
      </c>
      <c r="H114" s="532">
        <f>SUM(G114+'[1]1'!G91)</f>
        <v>13</v>
      </c>
      <c r="I114" s="528"/>
      <c r="J114" s="529">
        <f>H114/DAY(B2)</f>
        <v>0.76470588235294112</v>
      </c>
    </row>
    <row r="115" spans="1:12" s="524" customFormat="1" ht="21.75" customHeight="1" x14ac:dyDescent="0.35">
      <c r="A115" s="1515" t="s">
        <v>251</v>
      </c>
      <c r="B115" s="1515"/>
      <c r="C115" s="562"/>
      <c r="D115" s="558" t="s">
        <v>171</v>
      </c>
      <c r="E115" s="528">
        <f>'[1]16'!F115</f>
        <v>7016</v>
      </c>
      <c r="F115" s="532">
        <v>7038</v>
      </c>
      <c r="G115" s="532">
        <f t="shared" ref="G115:G116" si="11">F115-E115</f>
        <v>22</v>
      </c>
      <c r="H115" s="532">
        <f>SUM(G115+'[1]1'!G92)</f>
        <v>134</v>
      </c>
      <c r="I115" s="528"/>
      <c r="J115" s="529">
        <f>H115/DAY(B2)</f>
        <v>7.882352941176471</v>
      </c>
    </row>
    <row r="116" spans="1:12" s="524" customFormat="1" ht="21.75" customHeight="1" x14ac:dyDescent="0.35">
      <c r="A116" s="1515" t="s">
        <v>252</v>
      </c>
      <c r="B116" s="1515"/>
      <c r="C116" s="562"/>
      <c r="D116" s="558" t="s">
        <v>171</v>
      </c>
      <c r="E116" s="532"/>
      <c r="F116" s="532"/>
      <c r="G116" s="532">
        <f t="shared" si="11"/>
        <v>0</v>
      </c>
      <c r="H116" s="532">
        <f>SUM(G116+'[1]1'!G93)</f>
        <v>151</v>
      </c>
      <c r="I116" s="528"/>
      <c r="J116" s="529">
        <f>H116/DAY(B2)</f>
        <v>8.882352941176471</v>
      </c>
    </row>
    <row r="117" spans="1:12" s="537" customFormat="1" ht="23.25" x14ac:dyDescent="0.35">
      <c r="A117" s="1516" t="s">
        <v>82</v>
      </c>
      <c r="B117" s="1516"/>
      <c r="C117" s="562"/>
      <c r="D117" s="559"/>
      <c r="E117" s="532"/>
      <c r="F117" s="532"/>
      <c r="G117" s="532">
        <f>SUM(G114:G116)</f>
        <v>35</v>
      </c>
      <c r="H117" s="532">
        <f>SUM(G117+'[1]1'!G95)</f>
        <v>82</v>
      </c>
      <c r="I117" s="532"/>
      <c r="J117" s="529">
        <f>H117/DAY(B2)</f>
        <v>4.8235294117647056</v>
      </c>
    </row>
    <row r="118" spans="1:12" s="538" customFormat="1" ht="23.25" x14ac:dyDescent="0.35">
      <c r="A118" s="1519" t="s">
        <v>253</v>
      </c>
      <c r="B118" s="1519"/>
      <c r="C118" s="1336"/>
      <c r="D118" s="560" t="s">
        <v>171</v>
      </c>
      <c r="E118" s="556"/>
      <c r="F118" s="534">
        <f>SUM(G19+G92)</f>
        <v>204</v>
      </c>
      <c r="G118" s="534">
        <f>SUM(G19+G92)</f>
        <v>204</v>
      </c>
      <c r="H118" s="533">
        <f>SUM(G118+'[1]1'!G96)</f>
        <v>237</v>
      </c>
      <c r="I118" s="556"/>
      <c r="J118" s="534">
        <f>H118/DAY(B2)</f>
        <v>13.941176470588236</v>
      </c>
    </row>
    <row r="119" spans="1:12" s="538" customFormat="1" ht="23.25" x14ac:dyDescent="0.35">
      <c r="A119" s="1519" t="s">
        <v>254</v>
      </c>
      <c r="B119" s="1519"/>
      <c r="C119" s="1336"/>
      <c r="D119" s="560" t="s">
        <v>171</v>
      </c>
      <c r="E119" s="556"/>
      <c r="F119" s="534">
        <f>SUM(G95,G96,G97,G99,G100)</f>
        <v>122</v>
      </c>
      <c r="G119" s="534">
        <f>SUM(G95,G96,G97,G99,G100)</f>
        <v>122</v>
      </c>
      <c r="H119" s="533">
        <f>SUM(G119+'[1]1'!G98)</f>
        <v>189</v>
      </c>
      <c r="I119" s="556"/>
      <c r="J119" s="534">
        <f>H119/DAY(B2)</f>
        <v>11.117647058823529</v>
      </c>
    </row>
    <row r="120" spans="1:12" s="538" customFormat="1" ht="23.25" x14ac:dyDescent="0.35">
      <c r="A120" s="1519" t="s">
        <v>255</v>
      </c>
      <c r="B120" s="1519"/>
      <c r="C120" s="1336"/>
      <c r="D120" s="560" t="s">
        <v>171</v>
      </c>
      <c r="E120" s="556"/>
      <c r="F120" s="532">
        <f>SUM(G112)</f>
        <v>45</v>
      </c>
      <c r="G120" s="532">
        <f>SUM(G112)</f>
        <v>45</v>
      </c>
      <c r="H120" s="533">
        <f>SUM(G120+'[1]1'!G100)</f>
        <v>45</v>
      </c>
      <c r="I120" s="556"/>
      <c r="J120" s="534">
        <f>H120/DAY(B2)</f>
        <v>2.6470588235294117</v>
      </c>
    </row>
    <row r="121" spans="1:12" s="524" customFormat="1" ht="18.75" customHeight="1" x14ac:dyDescent="0.35">
      <c r="A121" s="1520"/>
      <c r="B121" s="1520"/>
      <c r="C121" s="1337"/>
      <c r="F121" s="524" t="s">
        <v>143</v>
      </c>
      <c r="H121" s="535"/>
      <c r="J121" s="536"/>
    </row>
    <row r="122" spans="1:12" ht="17.25" customHeight="1" x14ac:dyDescent="0.3">
      <c r="A122" s="1508" t="s">
        <v>256</v>
      </c>
      <c r="B122" s="1509"/>
      <c r="C122" s="1510"/>
      <c r="D122" s="463"/>
      <c r="E122" s="463"/>
      <c r="F122" s="463"/>
      <c r="G122" s="468"/>
      <c r="H122" s="468"/>
      <c r="I122" s="468"/>
      <c r="J122" s="468"/>
      <c r="K122" s="498"/>
      <c r="L122" s="490"/>
    </row>
    <row r="123" spans="1:12" ht="17.25" customHeight="1" thickBot="1" x14ac:dyDescent="0.35">
      <c r="A123" s="185" t="s">
        <v>257</v>
      </c>
      <c r="B123" s="186"/>
      <c r="C123" s="187"/>
      <c r="D123" s="136" t="s">
        <v>168</v>
      </c>
      <c r="E123" s="158">
        <f>'[1]16'!F123</f>
        <v>792102</v>
      </c>
      <c r="F123" s="137">
        <v>792295</v>
      </c>
      <c r="G123" s="204">
        <f t="shared" ref="G123:G127" si="12">F123-E123</f>
        <v>193</v>
      </c>
      <c r="H123" s="56">
        <f>G123+'[1]16'!H123</f>
        <v>3463.9300000000512</v>
      </c>
      <c r="I123" s="86"/>
      <c r="J123" s="57">
        <f>H123/DAY(B2)</f>
        <v>203.76058823529712</v>
      </c>
      <c r="K123" s="498"/>
      <c r="L123" s="490"/>
    </row>
    <row r="124" spans="1:12" ht="17.25" customHeight="1" thickBot="1" x14ac:dyDescent="0.35">
      <c r="A124" s="185" t="s">
        <v>258</v>
      </c>
      <c r="B124" s="186"/>
      <c r="C124" s="187"/>
      <c r="D124" s="136" t="s">
        <v>168</v>
      </c>
      <c r="E124" s="158">
        <f>'[1]16'!F124</f>
        <v>73581.899999999994</v>
      </c>
      <c r="F124" s="137">
        <v>73581.899999999994</v>
      </c>
      <c r="G124" s="204">
        <f t="shared" si="12"/>
        <v>0</v>
      </c>
      <c r="H124" s="56">
        <f>G124+'[1]16'!H124</f>
        <v>-0.30000000000291038</v>
      </c>
      <c r="I124" s="86"/>
      <c r="J124" s="57">
        <f>H124/DAY(B2)</f>
        <v>-1.7647058823700611E-2</v>
      </c>
      <c r="K124" s="498"/>
      <c r="L124" s="490"/>
    </row>
    <row r="125" spans="1:12" ht="17.25" customHeight="1" thickBot="1" x14ac:dyDescent="0.35">
      <c r="A125" s="1471" t="s">
        <v>259</v>
      </c>
      <c r="B125" s="1472"/>
      <c r="C125" s="1473"/>
      <c r="D125" s="54" t="s">
        <v>168</v>
      </c>
      <c r="E125" s="158">
        <f>'[1]16'!F125</f>
        <v>134474</v>
      </c>
      <c r="F125" s="66">
        <v>134545</v>
      </c>
      <c r="G125" s="204">
        <f t="shared" si="12"/>
        <v>71</v>
      </c>
      <c r="H125" s="56">
        <f>G125+'[1]16'!H125</f>
        <v>1422.1199999999953</v>
      </c>
      <c r="I125" s="86"/>
      <c r="J125" s="57">
        <f>H125/DAY(B2)</f>
        <v>83.654117647058555</v>
      </c>
      <c r="K125" s="498"/>
      <c r="L125" s="490"/>
    </row>
    <row r="126" spans="1:12" ht="17.25" customHeight="1" thickBot="1" x14ac:dyDescent="0.35">
      <c r="A126" s="485" t="s">
        <v>260</v>
      </c>
      <c r="B126" s="1325"/>
      <c r="C126" s="1326"/>
      <c r="D126" s="54" t="s">
        <v>168</v>
      </c>
      <c r="E126" s="158">
        <f>'[1]16'!F126</f>
        <v>56825</v>
      </c>
      <c r="F126" s="66">
        <v>56863</v>
      </c>
      <c r="G126" s="204">
        <f t="shared" si="12"/>
        <v>38</v>
      </c>
      <c r="H126" s="56">
        <f>G126+'[1]16'!H126</f>
        <v>514.80000000000291</v>
      </c>
      <c r="I126" s="86"/>
      <c r="J126" s="57">
        <f>H126/DAY(B2)</f>
        <v>30.28235294117664</v>
      </c>
      <c r="K126" s="498"/>
      <c r="L126" s="490"/>
    </row>
    <row r="127" spans="1:12" ht="17.25" customHeight="1" thickBot="1" x14ac:dyDescent="0.35">
      <c r="A127" s="485" t="s">
        <v>261</v>
      </c>
      <c r="B127" s="1325"/>
      <c r="C127" s="1326"/>
      <c r="D127" s="54" t="s">
        <v>168</v>
      </c>
      <c r="E127" s="158">
        <f>'[1]16'!F127</f>
        <v>8668</v>
      </c>
      <c r="F127" s="66">
        <v>8672</v>
      </c>
      <c r="G127" s="204">
        <f t="shared" si="12"/>
        <v>4</v>
      </c>
      <c r="H127" s="56">
        <f>G127+'[1]16'!H127</f>
        <v>31.899999999999636</v>
      </c>
      <c r="I127" s="68"/>
      <c r="J127" s="57">
        <f>H127/DAY(B2)</f>
        <v>1.8764705882352728</v>
      </c>
      <c r="K127" s="498"/>
      <c r="L127" s="490"/>
    </row>
    <row r="128" spans="1:12" s="278" customFormat="1" ht="21.75" customHeight="1" x14ac:dyDescent="0.35">
      <c r="A128" s="88" t="s">
        <v>262</v>
      </c>
      <c r="B128" s="519"/>
      <c r="C128" s="519"/>
      <c r="D128" s="265"/>
      <c r="E128" s="55"/>
      <c r="F128" s="261"/>
      <c r="G128" s="204">
        <f>G15-SUM(G123:G127)</f>
        <v>481</v>
      </c>
      <c r="H128" s="56">
        <f>G128+'[1]16'!H128</f>
        <v>583.10000000000582</v>
      </c>
      <c r="I128" s="323"/>
      <c r="J128" s="57">
        <f>H128/DAY(B2)</f>
        <v>34.300000000000345</v>
      </c>
      <c r="K128" s="388"/>
      <c r="L128" s="290"/>
    </row>
    <row r="129" spans="1:12" ht="17.25" customHeight="1" x14ac:dyDescent="0.3">
      <c r="A129" s="462" t="s">
        <v>263</v>
      </c>
      <c r="B129" s="462"/>
      <c r="C129" s="462"/>
      <c r="D129" s="462"/>
      <c r="E129" s="462"/>
      <c r="F129" s="462"/>
      <c r="G129" s="487"/>
      <c r="H129" s="487"/>
      <c r="I129" s="487"/>
      <c r="J129" s="487"/>
    </row>
    <row r="130" spans="1:12" ht="17.25" customHeight="1" thickBot="1" x14ac:dyDescent="0.35">
      <c r="A130" s="196" t="s">
        <v>264</v>
      </c>
      <c r="B130" s="196"/>
      <c r="C130" s="196"/>
      <c r="D130" s="54" t="s">
        <v>265</v>
      </c>
      <c r="E130" s="158">
        <f>'[1]16'!F130</f>
        <v>0</v>
      </c>
      <c r="F130" s="81">
        <v>0</v>
      </c>
      <c r="G130" s="204">
        <f t="shared" ref="G130:G140" si="13">F130-E130</f>
        <v>0</v>
      </c>
      <c r="H130" s="56">
        <f>G130+'[1]16'!H130</f>
        <v>0</v>
      </c>
      <c r="I130" s="68"/>
      <c r="J130" s="57">
        <f>H130/DAY(B2)</f>
        <v>0</v>
      </c>
    </row>
    <row r="131" spans="1:12" ht="17.25" customHeight="1" thickBot="1" x14ac:dyDescent="0.35">
      <c r="A131" s="196" t="s">
        <v>266</v>
      </c>
      <c r="B131" s="196"/>
      <c r="C131" s="196"/>
      <c r="D131" s="54" t="s">
        <v>265</v>
      </c>
      <c r="E131" s="158">
        <f>'[1]16'!F131</f>
        <v>0</v>
      </c>
      <c r="F131" s="81">
        <v>0</v>
      </c>
      <c r="G131" s="204">
        <f t="shared" si="13"/>
        <v>0</v>
      </c>
      <c r="H131" s="56">
        <f>G131+'[1]16'!H131</f>
        <v>0</v>
      </c>
      <c r="I131" s="68"/>
      <c r="J131" s="57">
        <f>H131/DAY(B2)</f>
        <v>0</v>
      </c>
    </row>
    <row r="132" spans="1:12" ht="17.25" customHeight="1" thickBot="1" x14ac:dyDescent="0.35">
      <c r="A132" s="196" t="s">
        <v>267</v>
      </c>
      <c r="B132" s="196"/>
      <c r="C132" s="196"/>
      <c r="D132" s="54" t="s">
        <v>265</v>
      </c>
      <c r="E132" s="158">
        <f>'[1]16'!F132</f>
        <v>38877</v>
      </c>
      <c r="F132" s="81">
        <v>38877</v>
      </c>
      <c r="G132" s="204">
        <f t="shared" si="13"/>
        <v>0</v>
      </c>
      <c r="H132" s="56">
        <f>G132+'[1]16'!H132</f>
        <v>0</v>
      </c>
      <c r="I132" s="68"/>
      <c r="J132" s="57">
        <f>H132/DAY(B2)</f>
        <v>0</v>
      </c>
    </row>
    <row r="133" spans="1:12" ht="17.25" customHeight="1" thickBot="1" x14ac:dyDescent="0.35">
      <c r="A133" s="196" t="s">
        <v>268</v>
      </c>
      <c r="B133" s="196"/>
      <c r="C133" s="196"/>
      <c r="D133" s="54" t="s">
        <v>265</v>
      </c>
      <c r="E133" s="158">
        <f>'[1]16'!F133</f>
        <v>299</v>
      </c>
      <c r="F133" s="81">
        <v>299</v>
      </c>
      <c r="G133" s="204">
        <f t="shared" si="13"/>
        <v>0</v>
      </c>
      <c r="H133" s="56">
        <f>G133+'[1]16'!H133</f>
        <v>299</v>
      </c>
      <c r="I133" s="68">
        <f>G130+G131+G132+G133</f>
        <v>0</v>
      </c>
      <c r="J133" s="57">
        <f>H133/DAY(B2)</f>
        <v>17.588235294117649</v>
      </c>
    </row>
    <row r="134" spans="1:12" ht="17.25" customHeight="1" thickBot="1" x14ac:dyDescent="0.35">
      <c r="A134" s="196" t="s">
        <v>269</v>
      </c>
      <c r="B134" s="196"/>
      <c r="C134" s="196"/>
      <c r="D134" s="54" t="s">
        <v>265</v>
      </c>
      <c r="E134" s="158">
        <f>'[1]16'!F134</f>
        <v>39735</v>
      </c>
      <c r="F134" s="81">
        <v>39735</v>
      </c>
      <c r="G134" s="204">
        <f t="shared" si="13"/>
        <v>0</v>
      </c>
      <c r="H134" s="56">
        <f>G134+'[1]16'!H134</f>
        <v>0</v>
      </c>
      <c r="I134" s="68"/>
      <c r="J134" s="57">
        <f>H134/DAY(B2)</f>
        <v>0</v>
      </c>
    </row>
    <row r="135" spans="1:12" ht="17.25" customHeight="1" thickBot="1" x14ac:dyDescent="0.35">
      <c r="A135" s="196" t="s">
        <v>270</v>
      </c>
      <c r="B135" s="196"/>
      <c r="C135" s="196"/>
      <c r="D135" s="54" t="s">
        <v>265</v>
      </c>
      <c r="E135" s="158">
        <f>'[1]16'!F135</f>
        <v>31805</v>
      </c>
      <c r="F135" s="81">
        <v>31829</v>
      </c>
      <c r="G135" s="204">
        <f t="shared" si="13"/>
        <v>24</v>
      </c>
      <c r="H135" s="56">
        <f>G135+'[1]16'!H135</f>
        <v>111.47999999999956</v>
      </c>
      <c r="I135" s="68"/>
      <c r="J135" s="57">
        <f>H135/DAY(B2)</f>
        <v>6.5576470588235036</v>
      </c>
    </row>
    <row r="136" spans="1:12" ht="17.25" customHeight="1" thickBot="1" x14ac:dyDescent="0.35">
      <c r="A136" s="196" t="s">
        <v>271</v>
      </c>
      <c r="B136" s="196"/>
      <c r="C136" s="196"/>
      <c r="D136" s="54" t="s">
        <v>265</v>
      </c>
      <c r="E136" s="158">
        <f>'[1]16'!F136</f>
        <v>21766.97</v>
      </c>
      <c r="F136" s="81">
        <v>21766.97</v>
      </c>
      <c r="G136" s="204">
        <f t="shared" si="13"/>
        <v>0</v>
      </c>
      <c r="H136" s="56">
        <f>G136+'[1]16'!H136</f>
        <v>92.25</v>
      </c>
      <c r="I136" s="68">
        <f>G134+G135+G136</f>
        <v>24</v>
      </c>
      <c r="J136" s="57">
        <f>H136/DAY(B2)</f>
        <v>5.4264705882352944</v>
      </c>
    </row>
    <row r="137" spans="1:12" ht="17.25" customHeight="1" thickBot="1" x14ac:dyDescent="0.35">
      <c r="A137" s="196" t="s">
        <v>272</v>
      </c>
      <c r="B137" s="196"/>
      <c r="C137" s="196"/>
      <c r="D137" s="54" t="s">
        <v>265</v>
      </c>
      <c r="E137" s="158">
        <f>'[1]16'!F137</f>
        <v>24932.57</v>
      </c>
      <c r="F137" s="81">
        <v>24940.76</v>
      </c>
      <c r="G137" s="204">
        <f t="shared" si="13"/>
        <v>8.1899999999986903</v>
      </c>
      <c r="H137" s="56">
        <f>G137+'[1]16'!H137</f>
        <v>8.25</v>
      </c>
      <c r="I137" s="68"/>
      <c r="J137" s="57">
        <f>H137/DAY(B2)</f>
        <v>0.48529411764705882</v>
      </c>
    </row>
    <row r="138" spans="1:12" ht="17.25" customHeight="1" thickBot="1" x14ac:dyDescent="0.35">
      <c r="A138" s="196" t="s">
        <v>273</v>
      </c>
      <c r="B138" s="196"/>
      <c r="C138" s="196"/>
      <c r="D138" s="54" t="s">
        <v>265</v>
      </c>
      <c r="E138" s="158">
        <f>'[1]16'!F138</f>
        <v>69985.02</v>
      </c>
      <c r="F138" s="81">
        <v>69987.350000000006</v>
      </c>
      <c r="G138" s="204">
        <f t="shared" si="13"/>
        <v>2.3300000000017462</v>
      </c>
      <c r="H138" s="56">
        <f>G138+'[1]16'!H138</f>
        <v>32.139999999999418</v>
      </c>
      <c r="I138" s="68">
        <f>G137+G138</f>
        <v>10.520000000000437</v>
      </c>
      <c r="J138" s="57">
        <f>H138/DAY(B2)</f>
        <v>1.8905882352940835</v>
      </c>
    </row>
    <row r="139" spans="1:12" ht="17.25" customHeight="1" thickBot="1" x14ac:dyDescent="0.35">
      <c r="A139" s="196" t="s">
        <v>274</v>
      </c>
      <c r="B139" s="196"/>
      <c r="C139" s="196"/>
      <c r="D139" s="54" t="s">
        <v>265</v>
      </c>
      <c r="E139" s="158">
        <f>'[1]16'!F139</f>
        <v>1033.45</v>
      </c>
      <c r="F139" s="81">
        <v>1038.8399999999999</v>
      </c>
      <c r="G139" s="204">
        <f t="shared" si="13"/>
        <v>5.3899999999998727</v>
      </c>
      <c r="H139" s="56">
        <f>G139+'[1]16'!H139</f>
        <v>97.309999999999945</v>
      </c>
      <c r="I139" s="113"/>
      <c r="J139" s="57">
        <f>H139/DAY(B2)</f>
        <v>5.7241176470588204</v>
      </c>
    </row>
    <row r="140" spans="1:12" ht="18.75" customHeight="1" thickBot="1" x14ac:dyDescent="0.35">
      <c r="A140" s="196" t="s">
        <v>275</v>
      </c>
      <c r="B140" s="196"/>
      <c r="C140" s="196"/>
      <c r="D140" s="54" t="s">
        <v>265</v>
      </c>
      <c r="E140" s="158">
        <f>'[1]16'!F140</f>
        <v>4156.9799999999996</v>
      </c>
      <c r="F140" s="81">
        <v>4156.9799999999996</v>
      </c>
      <c r="G140" s="204">
        <f t="shared" si="13"/>
        <v>0</v>
      </c>
      <c r="H140" s="56">
        <f>G140+'[1]16'!H140</f>
        <v>7.999999999992724E-2</v>
      </c>
      <c r="I140" s="113"/>
      <c r="J140" s="57">
        <f>H140/DAY(B2)</f>
        <v>4.7058823529368965E-3</v>
      </c>
    </row>
    <row r="141" spans="1:12" ht="17.25" customHeight="1" x14ac:dyDescent="0.3">
      <c r="A141" s="1511" t="s">
        <v>276</v>
      </c>
      <c r="B141" s="1512"/>
      <c r="C141" s="463"/>
      <c r="D141" s="463"/>
      <c r="E141" s="463"/>
      <c r="F141" s="463"/>
      <c r="G141" s="468"/>
      <c r="H141" s="468"/>
      <c r="I141" s="468"/>
      <c r="J141" s="468"/>
      <c r="K141" s="498"/>
      <c r="L141" s="490"/>
    </row>
    <row r="142" spans="1:12" ht="17.25" customHeight="1" x14ac:dyDescent="0.3">
      <c r="A142" s="1474" t="s">
        <v>277</v>
      </c>
      <c r="B142" s="1475"/>
      <c r="C142" s="1476"/>
      <c r="D142" s="54" t="s">
        <v>159</v>
      </c>
      <c r="E142" s="54"/>
      <c r="F142" s="54"/>
      <c r="G142" s="56">
        <v>3349</v>
      </c>
      <c r="H142" s="56">
        <f>G142+'[1]16'!H142</f>
        <v>85296.422999999952</v>
      </c>
      <c r="I142" s="68"/>
      <c r="J142" s="57">
        <f>H142/DAY(B2)</f>
        <v>5017.4366470588211</v>
      </c>
      <c r="K142" s="498"/>
      <c r="L142" s="490"/>
    </row>
    <row r="143" spans="1:12" ht="17.25" customHeight="1" x14ac:dyDescent="0.3">
      <c r="A143" s="1474" t="s">
        <v>278</v>
      </c>
      <c r="B143" s="1475"/>
      <c r="C143" s="1476"/>
      <c r="D143" s="54" t="s">
        <v>38</v>
      </c>
      <c r="E143" s="53"/>
      <c r="F143" s="53"/>
      <c r="G143" s="486">
        <f>G142/G7</f>
        <v>0.16797913427295982</v>
      </c>
      <c r="H143" s="56">
        <f>G143+'[1]16'!H143</f>
        <v>4.0360541387285318</v>
      </c>
      <c r="I143" s="83"/>
      <c r="J143" s="57">
        <f>H143/DAY(B2)</f>
        <v>0.23741494933697246</v>
      </c>
      <c r="K143" s="502"/>
      <c r="L143" s="490"/>
    </row>
    <row r="144" spans="1:12" ht="17.25" customHeight="1" x14ac:dyDescent="0.3">
      <c r="A144" s="1474" t="s">
        <v>279</v>
      </c>
      <c r="B144" s="1475"/>
      <c r="C144" s="1476"/>
      <c r="D144" s="54" t="s">
        <v>159</v>
      </c>
      <c r="E144" s="69"/>
      <c r="F144" s="69"/>
      <c r="G144" s="56">
        <f>G41+G42+G55+G56</f>
        <v>4799</v>
      </c>
      <c r="H144" s="56">
        <f>G144+'[1]16'!H144</f>
        <v>80715.139999999985</v>
      </c>
      <c r="I144" s="68"/>
      <c r="J144" s="57">
        <f>H144/DAY(B2)</f>
        <v>4747.9494117647046</v>
      </c>
      <c r="K144" s="502"/>
      <c r="L144" s="490"/>
    </row>
    <row r="145" spans="1:12" ht="17.25" customHeight="1" x14ac:dyDescent="0.3">
      <c r="A145" s="1474" t="s">
        <v>280</v>
      </c>
      <c r="B145" s="1475"/>
      <c r="C145" s="1476"/>
      <c r="D145" s="54" t="s">
        <v>38</v>
      </c>
      <c r="E145" s="69"/>
      <c r="F145" s="69"/>
      <c r="G145" s="486">
        <f>G144/G7</f>
        <v>0.24070823092742138</v>
      </c>
      <c r="H145" s="56">
        <f>G145+'[1]16'!H145</f>
        <v>3.9627092674886883</v>
      </c>
      <c r="I145" s="83"/>
      <c r="J145" s="57">
        <f>H145/DAY(B2)</f>
        <v>0.23310054514639345</v>
      </c>
      <c r="K145" s="502"/>
      <c r="L145" s="490"/>
    </row>
    <row r="146" spans="1:12" ht="17.25" customHeight="1" x14ac:dyDescent="0.3">
      <c r="A146" s="1474" t="s">
        <v>281</v>
      </c>
      <c r="B146" s="1475"/>
      <c r="C146" s="1476"/>
      <c r="D146" s="54" t="s">
        <v>159</v>
      </c>
      <c r="E146" s="69"/>
      <c r="F146" s="69"/>
      <c r="G146" s="56">
        <f>G39+G53</f>
        <v>4175</v>
      </c>
      <c r="H146" s="56">
        <f>G146+'[1]16'!H146</f>
        <v>71901.993000000002</v>
      </c>
      <c r="I146" s="85"/>
      <c r="J146" s="57">
        <f>H146/DAY(B2)</f>
        <v>4229.5290000000005</v>
      </c>
      <c r="K146" s="502"/>
      <c r="L146" s="490"/>
    </row>
    <row r="147" spans="1:12" ht="17.25" customHeight="1" x14ac:dyDescent="0.3">
      <c r="A147" s="1474" t="s">
        <v>282</v>
      </c>
      <c r="B147" s="1475"/>
      <c r="C147" s="1476"/>
      <c r="D147" s="54" t="s">
        <v>38</v>
      </c>
      <c r="E147" s="69"/>
      <c r="F147" s="69"/>
      <c r="G147" s="486">
        <f>G146/G7</f>
        <v>0.20940964036715654</v>
      </c>
      <c r="H147" s="56">
        <f>G147+'[1]16'!H147</f>
        <v>3.5437166231957051</v>
      </c>
      <c r="I147" s="85"/>
      <c r="J147" s="57">
        <f>H147/DAY(B2)</f>
        <v>0.20845391901151206</v>
      </c>
    </row>
    <row r="148" spans="1:12" ht="17.25" customHeight="1" x14ac:dyDescent="0.35">
      <c r="A148" s="1474" t="s">
        <v>283</v>
      </c>
      <c r="B148" s="1475"/>
      <c r="C148" s="1476"/>
      <c r="D148" s="54" t="s">
        <v>210</v>
      </c>
      <c r="E148" s="69"/>
      <c r="F148" s="69"/>
      <c r="G148" s="56">
        <f>G38+G52</f>
        <v>1867</v>
      </c>
      <c r="H148" s="56">
        <f>G148+'[1]16'!H148</f>
        <v>33704.570000000007</v>
      </c>
      <c r="I148" s="68"/>
      <c r="J148" s="57">
        <f>H148/DAY(B2)</f>
        <v>1982.6217647058827</v>
      </c>
      <c r="K148" s="503"/>
    </row>
    <row r="149" spans="1:12" ht="17.25" customHeight="1" x14ac:dyDescent="0.3">
      <c r="A149" s="1474" t="s">
        <v>284</v>
      </c>
      <c r="B149" s="1475"/>
      <c r="C149" s="1476"/>
      <c r="D149" s="54" t="s">
        <v>38</v>
      </c>
      <c r="E149" s="69"/>
      <c r="F149" s="69"/>
      <c r="G149" s="486">
        <f>G148/G7</f>
        <v>9.3644981692330848E-2</v>
      </c>
      <c r="H149" s="56">
        <f>G149+'[1]16'!H149</f>
        <v>1.6565856213794123</v>
      </c>
      <c r="I149" s="85"/>
      <c r="J149" s="57">
        <f>H149/DAY(B2)</f>
        <v>9.7446213022318373E-2</v>
      </c>
    </row>
    <row r="150" spans="1:12" ht="17.25" customHeight="1" x14ac:dyDescent="0.3">
      <c r="A150" s="1474" t="s">
        <v>285</v>
      </c>
      <c r="B150" s="1475"/>
      <c r="C150" s="1476"/>
      <c r="D150" s="54" t="s">
        <v>210</v>
      </c>
      <c r="E150" s="69"/>
      <c r="F150" s="69"/>
      <c r="G150" s="56">
        <f>G36+G50</f>
        <v>1974</v>
      </c>
      <c r="H150" s="56">
        <f>G150+'[1]16'!H150</f>
        <v>36361.179999999964</v>
      </c>
      <c r="I150" s="85"/>
      <c r="J150" s="57">
        <f>H150/DAY(B2)</f>
        <v>2138.8929411764684</v>
      </c>
    </row>
    <row r="151" spans="1:12" ht="17.25" customHeight="1" x14ac:dyDescent="0.3">
      <c r="A151" s="1474" t="s">
        <v>286</v>
      </c>
      <c r="B151" s="1475"/>
      <c r="C151" s="1476"/>
      <c r="D151" s="54" t="s">
        <v>38</v>
      </c>
      <c r="E151" s="69"/>
      <c r="F151" s="69"/>
      <c r="G151" s="486">
        <f>G150/G7</f>
        <v>9.9011887445453181E-2</v>
      </c>
      <c r="H151" s="56">
        <f>G151+'[1]16'!H151</f>
        <v>1.7817277966320935</v>
      </c>
      <c r="I151" s="68"/>
      <c r="J151" s="57">
        <f>H151/DAY(B2)</f>
        <v>0.10480751744894667</v>
      </c>
    </row>
    <row r="152" spans="1:12" ht="17.25" customHeight="1" x14ac:dyDescent="0.3">
      <c r="A152" s="1474" t="s">
        <v>287</v>
      </c>
      <c r="B152" s="1475"/>
      <c r="C152" s="1476"/>
      <c r="D152" s="54" t="s">
        <v>210</v>
      </c>
      <c r="E152" s="69"/>
      <c r="F152" s="69"/>
      <c r="G152" s="56">
        <f>G37+G51</f>
        <v>1495</v>
      </c>
      <c r="H152" s="56">
        <f>G152+'[1]16'!H152</f>
        <v>24978.512999999999</v>
      </c>
      <c r="I152" s="68"/>
      <c r="J152" s="57">
        <f>H152/DAY(B2)</f>
        <v>1469.324294117647</v>
      </c>
    </row>
    <row r="153" spans="1:12" ht="17.25" customHeight="1" x14ac:dyDescent="0.3">
      <c r="A153" s="1474" t="s">
        <v>288</v>
      </c>
      <c r="B153" s="1475"/>
      <c r="C153" s="1476"/>
      <c r="D153" s="54" t="s">
        <v>38</v>
      </c>
      <c r="E153" s="69"/>
      <c r="F153" s="69"/>
      <c r="G153" s="486">
        <f>G152/G7</f>
        <v>7.4986206550634496E-2</v>
      </c>
      <c r="H153" s="56">
        <f>G153+'[1]16'!H153</f>
        <v>1.3409252167155969</v>
      </c>
      <c r="I153" s="68"/>
      <c r="J153" s="57">
        <f>H153/DAY(B2)</f>
        <v>7.8877953924446881E-2</v>
      </c>
    </row>
    <row r="154" spans="1:12" s="537" customFormat="1" ht="44.25" customHeight="1" x14ac:dyDescent="0.35">
      <c r="A154" s="540"/>
      <c r="B154" s="541"/>
      <c r="C154" s="541"/>
      <c r="D154" s="541"/>
      <c r="E154" s="542"/>
      <c r="F154" s="543"/>
      <c r="G154" s="544"/>
      <c r="H154" s="545"/>
      <c r="I154" s="546"/>
      <c r="J154" s="547"/>
    </row>
    <row r="155" spans="1:12" s="537" customFormat="1" ht="21.75" customHeight="1" x14ac:dyDescent="0.35">
      <c r="A155" s="563"/>
      <c r="B155" s="532"/>
      <c r="C155" s="556"/>
      <c r="D155" s="532"/>
      <c r="E155" s="532"/>
      <c r="F155" s="532"/>
      <c r="G155" s="532"/>
      <c r="H155" s="534"/>
      <c r="I155" s="532"/>
      <c r="J155" s="534"/>
    </row>
    <row r="156" spans="1:12" s="537" customFormat="1" ht="21.75" customHeight="1" x14ac:dyDescent="0.35">
      <c r="A156" s="526"/>
      <c r="B156" s="532"/>
      <c r="C156" s="556"/>
      <c r="D156" s="532"/>
      <c r="E156" s="532"/>
      <c r="F156" s="532"/>
      <c r="G156" s="532"/>
      <c r="H156" s="534"/>
      <c r="I156" s="532"/>
      <c r="J156" s="534"/>
    </row>
    <row r="157" spans="1:12" s="537" customFormat="1" ht="21.75" customHeight="1" x14ac:dyDescent="0.35">
      <c r="A157" s="526"/>
      <c r="B157" s="532"/>
      <c r="C157" s="556"/>
      <c r="D157" s="532"/>
      <c r="E157" s="532"/>
      <c r="F157" s="532"/>
      <c r="G157" s="532"/>
      <c r="H157" s="534"/>
      <c r="I157" s="532"/>
      <c r="J157" s="534"/>
    </row>
    <row r="158" spans="1:12" s="537" customFormat="1" ht="21.75" customHeight="1" x14ac:dyDescent="0.35">
      <c r="A158" s="526"/>
      <c r="B158" s="532"/>
      <c r="C158" s="556"/>
      <c r="D158" s="532"/>
      <c r="E158" s="532"/>
      <c r="F158" s="532"/>
      <c r="G158" s="532"/>
      <c r="H158" s="534"/>
      <c r="I158" s="532"/>
      <c r="J158" s="534"/>
    </row>
    <row r="159" spans="1:12" s="537" customFormat="1" ht="21.75" customHeight="1" x14ac:dyDescent="0.35">
      <c r="A159" s="526"/>
      <c r="B159" s="532"/>
      <c r="C159" s="556"/>
      <c r="D159" s="532"/>
      <c r="E159" s="532"/>
      <c r="F159" s="532"/>
      <c r="G159" s="532"/>
      <c r="H159" s="534"/>
      <c r="I159" s="532"/>
      <c r="J159" s="534"/>
    </row>
    <row r="160" spans="1:12" s="537" customFormat="1" ht="21.75" customHeight="1" thickBot="1" x14ac:dyDescent="0.55000000000000004">
      <c r="A160" s="925" t="s">
        <v>289</v>
      </c>
      <c r="B160" s="926"/>
      <c r="C160" s="926"/>
      <c r="D160" s="631" t="s">
        <v>214</v>
      </c>
      <c r="E160" s="158">
        <f>'[1]16'!F160</f>
        <v>25005</v>
      </c>
      <c r="F160" s="775">
        <v>25078</v>
      </c>
      <c r="G160" s="593">
        <f t="shared" ref="G160:G171" si="14">F160-E160</f>
        <v>73</v>
      </c>
      <c r="H160" s="534"/>
      <c r="I160" s="532"/>
      <c r="J160" s="534"/>
    </row>
    <row r="161" spans="1:10" s="537" customFormat="1" ht="21.75" customHeight="1" thickBot="1" x14ac:dyDescent="0.55000000000000004">
      <c r="A161" s="925" t="s">
        <v>290</v>
      </c>
      <c r="B161" s="926"/>
      <c r="C161" s="926"/>
      <c r="D161" s="631" t="s">
        <v>214</v>
      </c>
      <c r="E161" s="158">
        <f>'[1]16'!F161</f>
        <v>21257</v>
      </c>
      <c r="F161" s="775">
        <v>21925</v>
      </c>
      <c r="G161" s="593">
        <f t="shared" si="14"/>
        <v>668</v>
      </c>
      <c r="H161" s="534"/>
      <c r="I161" s="532"/>
      <c r="J161" s="534"/>
    </row>
    <row r="162" spans="1:10" s="537" customFormat="1" ht="21.75" customHeight="1" thickBot="1" x14ac:dyDescent="0.55000000000000004">
      <c r="A162" s="925" t="s">
        <v>291</v>
      </c>
      <c r="B162" s="926"/>
      <c r="C162" s="926"/>
      <c r="D162" s="631" t="s">
        <v>214</v>
      </c>
      <c r="E162" s="158">
        <f>'[1]16'!F162</f>
        <v>42019</v>
      </c>
      <c r="F162" s="775">
        <v>42301</v>
      </c>
      <c r="G162" s="593">
        <f t="shared" si="14"/>
        <v>282</v>
      </c>
      <c r="H162" s="534"/>
      <c r="I162" s="532"/>
      <c r="J162" s="534"/>
    </row>
    <row r="163" spans="1:10" s="537" customFormat="1" ht="21.75" customHeight="1" thickBot="1" x14ac:dyDescent="0.55000000000000004">
      <c r="A163" s="925" t="s">
        <v>292</v>
      </c>
      <c r="B163" s="926"/>
      <c r="C163" s="926"/>
      <c r="D163" s="631" t="s">
        <v>214</v>
      </c>
      <c r="E163" s="158">
        <f>'[1]16'!F163</f>
        <v>3967</v>
      </c>
      <c r="F163" s="775">
        <v>3980</v>
      </c>
      <c r="G163" s="593">
        <f t="shared" si="14"/>
        <v>13</v>
      </c>
      <c r="H163" s="534"/>
      <c r="I163" s="532"/>
      <c r="J163" s="534"/>
    </row>
    <row r="164" spans="1:10" s="537" customFormat="1" ht="21.75" customHeight="1" x14ac:dyDescent="0.35">
      <c r="A164" s="927" t="s">
        <v>121</v>
      </c>
      <c r="B164" s="725"/>
      <c r="C164" s="725"/>
      <c r="D164" s="631" t="s">
        <v>214</v>
      </c>
      <c r="E164" s="634">
        <f>E62</f>
        <v>20419.18</v>
      </c>
      <c r="F164" s="634">
        <f>F62</f>
        <v>20419.18</v>
      </c>
      <c r="G164" s="593">
        <f t="shared" si="14"/>
        <v>0</v>
      </c>
      <c r="H164" s="534"/>
      <c r="I164" s="532"/>
      <c r="J164" s="534"/>
    </row>
    <row r="165" spans="1:10" s="537" customFormat="1" ht="21.75" customHeight="1" x14ac:dyDescent="0.35">
      <c r="A165" s="927" t="s">
        <v>215</v>
      </c>
      <c r="B165" s="725"/>
      <c r="C165" s="725"/>
      <c r="D165" s="631" t="s">
        <v>214</v>
      </c>
      <c r="E165" s="634">
        <f t="shared" ref="E165:F171" si="15">E63</f>
        <v>1047</v>
      </c>
      <c r="F165" s="634">
        <v>1051</v>
      </c>
      <c r="G165" s="593">
        <f t="shared" si="14"/>
        <v>4</v>
      </c>
      <c r="H165" s="534"/>
      <c r="I165" s="532"/>
      <c r="J165" s="534"/>
    </row>
    <row r="166" spans="1:10" s="537" customFormat="1" ht="21.75" customHeight="1" x14ac:dyDescent="0.5">
      <c r="A166" s="1450" t="s">
        <v>122</v>
      </c>
      <c r="B166" s="1450"/>
      <c r="C166" s="1450"/>
      <c r="D166" s="643" t="s">
        <v>214</v>
      </c>
      <c r="E166" s="634">
        <f t="shared" si="15"/>
        <v>92590</v>
      </c>
      <c r="F166" s="634">
        <f t="shared" si="15"/>
        <v>92956</v>
      </c>
      <c r="G166" s="593">
        <f t="shared" si="14"/>
        <v>366</v>
      </c>
      <c r="H166" s="532"/>
      <c r="I166" s="532"/>
      <c r="J166" s="534"/>
    </row>
    <row r="167" spans="1:10" s="537" customFormat="1" ht="21.75" customHeight="1" x14ac:dyDescent="0.5">
      <c r="A167" s="1450" t="s">
        <v>123</v>
      </c>
      <c r="B167" s="1450"/>
      <c r="C167" s="1450"/>
      <c r="D167" s="643" t="s">
        <v>214</v>
      </c>
      <c r="E167" s="634">
        <f t="shared" si="15"/>
        <v>103044</v>
      </c>
      <c r="F167" s="634">
        <f t="shared" si="15"/>
        <v>103420</v>
      </c>
      <c r="G167" s="593">
        <f t="shared" si="14"/>
        <v>376</v>
      </c>
      <c r="H167" s="532"/>
      <c r="I167" s="532"/>
      <c r="J167" s="534"/>
    </row>
    <row r="168" spans="1:10" s="537" customFormat="1" ht="21.75" customHeight="1" x14ac:dyDescent="0.5">
      <c r="A168" s="1450" t="s">
        <v>124</v>
      </c>
      <c r="B168" s="1450"/>
      <c r="C168" s="1450"/>
      <c r="D168" s="643" t="s">
        <v>214</v>
      </c>
      <c r="E168" s="634">
        <f t="shared" si="15"/>
        <v>96416</v>
      </c>
      <c r="F168" s="634">
        <f t="shared" si="15"/>
        <v>96800</v>
      </c>
      <c r="G168" s="593">
        <f t="shared" si="14"/>
        <v>384</v>
      </c>
      <c r="H168" s="533"/>
      <c r="I168" s="532"/>
      <c r="J168" s="534"/>
    </row>
    <row r="169" spans="1:10" s="537" customFormat="1" ht="24" customHeight="1" x14ac:dyDescent="0.5">
      <c r="A169" s="1450" t="s">
        <v>125</v>
      </c>
      <c r="B169" s="1450"/>
      <c r="C169" s="1450"/>
      <c r="D169" s="643" t="s">
        <v>214</v>
      </c>
      <c r="E169" s="634">
        <f t="shared" si="15"/>
        <v>157677</v>
      </c>
      <c r="F169" s="634">
        <f t="shared" si="15"/>
        <v>158388</v>
      </c>
      <c r="G169" s="593">
        <f t="shared" si="14"/>
        <v>711</v>
      </c>
      <c r="H169" s="533"/>
      <c r="I169" s="532"/>
      <c r="J169" s="534"/>
    </row>
    <row r="170" spans="1:10" s="537" customFormat="1" ht="24" customHeight="1" x14ac:dyDescent="0.5">
      <c r="A170" s="1450" t="s">
        <v>126</v>
      </c>
      <c r="B170" s="1450"/>
      <c r="C170" s="1450"/>
      <c r="D170" s="643" t="s">
        <v>214</v>
      </c>
      <c r="E170" s="634">
        <f t="shared" si="15"/>
        <v>48887</v>
      </c>
      <c r="F170" s="634">
        <f t="shared" si="15"/>
        <v>49246</v>
      </c>
      <c r="G170" s="593">
        <f t="shared" si="14"/>
        <v>359</v>
      </c>
      <c r="H170" s="533"/>
      <c r="I170" s="532"/>
      <c r="J170" s="534"/>
    </row>
    <row r="171" spans="1:10" s="538" customFormat="1" ht="27" x14ac:dyDescent="0.5">
      <c r="A171" s="1450" t="s">
        <v>127</v>
      </c>
      <c r="B171" s="1450"/>
      <c r="C171" s="1450"/>
      <c r="D171" s="643" t="s">
        <v>214</v>
      </c>
      <c r="E171" s="634">
        <f t="shared" si="15"/>
        <v>42245</v>
      </c>
      <c r="F171" s="634">
        <f t="shared" si="15"/>
        <v>42533</v>
      </c>
      <c r="G171" s="593">
        <f t="shared" si="14"/>
        <v>288</v>
      </c>
      <c r="H171" s="533"/>
      <c r="I171" s="526"/>
      <c r="J171" s="526"/>
    </row>
    <row r="172" spans="1:10" s="538" customFormat="1" ht="23.25" x14ac:dyDescent="0.35">
      <c r="A172" s="526"/>
      <c r="B172" s="526"/>
      <c r="C172" s="531"/>
      <c r="D172" s="531"/>
      <c r="E172" s="526"/>
      <c r="F172" s="531"/>
      <c r="G172" s="945">
        <f>SUM(G160:G171)</f>
        <v>3524</v>
      </c>
      <c r="H172" s="539"/>
      <c r="I172" s="526"/>
      <c r="J172" s="526"/>
    </row>
    <row r="173" spans="1:10" s="538" customFormat="1" ht="23.25" x14ac:dyDescent="0.35">
      <c r="A173" s="526"/>
      <c r="B173" s="526"/>
      <c r="C173" s="531"/>
      <c r="D173" s="531"/>
      <c r="E173" s="526"/>
      <c r="F173" s="555"/>
      <c r="G173" s="525"/>
      <c r="H173" s="533"/>
      <c r="I173" s="526"/>
      <c r="J173" s="526"/>
    </row>
    <row r="174" spans="1:10" s="538" customFormat="1" ht="23.25" x14ac:dyDescent="0.35">
      <c r="A174" s="526"/>
      <c r="B174" s="526"/>
      <c r="C174" s="526"/>
      <c r="D174" s="526"/>
      <c r="E174" s="526"/>
      <c r="F174" s="531"/>
      <c r="G174" s="526"/>
      <c r="H174" s="539"/>
      <c r="I174" s="526"/>
      <c r="J174" s="526"/>
    </row>
    <row r="175" spans="1:10" s="538" customFormat="1" ht="23.25" x14ac:dyDescent="0.35">
      <c r="A175" s="526"/>
      <c r="B175" s="526"/>
      <c r="C175" s="531"/>
      <c r="D175" s="531"/>
      <c r="E175" s="526"/>
      <c r="F175" s="531"/>
      <c r="G175" s="525"/>
      <c r="H175" s="533"/>
      <c r="I175" s="526"/>
      <c r="J175" s="526"/>
    </row>
    <row r="176" spans="1:10" s="537" customFormat="1" ht="18.75" customHeight="1" x14ac:dyDescent="0.35">
      <c r="H176" s="564"/>
      <c r="J176" s="565"/>
    </row>
    <row r="178" ht="17.25" customHeight="1" x14ac:dyDescent="0.3"/>
    <row r="181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7"/>
  <sheetViews>
    <sheetView view="pageBreakPreview" zoomScale="55" zoomScaleNormal="68" zoomScaleSheetLayoutView="55" workbookViewId="0">
      <selection sqref="A1:XFD1048576"/>
    </sheetView>
  </sheetViews>
  <sheetFormatPr defaultColWidth="22.33203125" defaultRowHeight="23.25" customHeight="1" x14ac:dyDescent="0.3"/>
  <cols>
    <col min="1" max="1" width="45.109375" style="278" customWidth="1"/>
    <col min="2" max="2" width="27.6640625" style="278" customWidth="1"/>
    <col min="3" max="3" width="15.88671875" style="278" customWidth="1"/>
    <col min="4" max="4" width="13.6640625" style="278" customWidth="1"/>
    <col min="5" max="5" width="26.33203125" style="278" customWidth="1"/>
    <col min="6" max="6" width="27.109375" style="278" customWidth="1"/>
    <col min="7" max="7" width="31.6640625" style="278" customWidth="1"/>
    <col min="8" max="8" width="29.77734375" style="391" customWidth="1"/>
    <col min="9" max="9" width="23.77734375" style="278" customWidth="1"/>
    <col min="10" max="10" width="23.77734375" style="392" customWidth="1"/>
    <col min="11" max="16384" width="22.33203125" style="278"/>
  </cols>
  <sheetData>
    <row r="1" spans="1:12" ht="23.25" customHeight="1" x14ac:dyDescent="0.5">
      <c r="A1" s="1521" t="s">
        <v>293</v>
      </c>
      <c r="B1" s="1521"/>
      <c r="C1" s="1521"/>
      <c r="D1" s="1521"/>
      <c r="E1" s="1521"/>
      <c r="F1" s="1521"/>
      <c r="G1" s="1521"/>
      <c r="H1" s="1521"/>
      <c r="I1" s="1521"/>
      <c r="J1" s="1521"/>
    </row>
    <row r="2" spans="1:12" ht="23.25" customHeight="1" x14ac:dyDescent="0.5">
      <c r="A2" s="279" t="s">
        <v>302</v>
      </c>
      <c r="B2" s="280">
        <v>44183</v>
      </c>
      <c r="C2" s="416" t="s">
        <v>84</v>
      </c>
      <c r="D2" s="281">
        <v>0.36</v>
      </c>
      <c r="E2" s="282"/>
      <c r="F2" s="282"/>
      <c r="G2" s="282" t="s">
        <v>145</v>
      </c>
      <c r="H2" s="282" t="s">
        <v>20</v>
      </c>
      <c r="I2" s="282" t="s">
        <v>22</v>
      </c>
      <c r="J2" s="283" t="s">
        <v>146</v>
      </c>
    </row>
    <row r="3" spans="1:12" ht="23.25" customHeight="1" x14ac:dyDescent="0.35">
      <c r="A3" s="285"/>
      <c r="B3" s="286"/>
      <c r="C3" s="1338" t="s">
        <v>147</v>
      </c>
      <c r="D3" s="415">
        <v>28</v>
      </c>
      <c r="E3" s="1528" t="s">
        <v>148</v>
      </c>
      <c r="F3" s="1529"/>
      <c r="G3" s="287">
        <f>'[1]1'!G3</f>
        <v>0</v>
      </c>
      <c r="H3" s="288">
        <f>'[1]1'!H3</f>
        <v>0</v>
      </c>
      <c r="I3" s="288">
        <f>'[1]1'!I3</f>
        <v>0</v>
      </c>
      <c r="J3" s="288">
        <f>'[1]1'!J3</f>
        <v>0</v>
      </c>
      <c r="K3" s="289"/>
      <c r="L3" s="290"/>
    </row>
    <row r="4" spans="1:12" ht="23.25" customHeight="1" x14ac:dyDescent="0.35">
      <c r="A4" s="291"/>
      <c r="B4" s="285"/>
      <c r="C4" s="416" t="s">
        <v>149</v>
      </c>
      <c r="D4" s="281">
        <v>0.76</v>
      </c>
      <c r="E4" s="292"/>
      <c r="F4" s="292"/>
      <c r="G4" s="292"/>
      <c r="H4" s="292"/>
      <c r="I4" s="293"/>
      <c r="J4" s="284"/>
      <c r="K4" s="294"/>
      <c r="L4" s="290"/>
    </row>
    <row r="5" spans="1:12" ht="23.25" customHeight="1" thickBot="1" x14ac:dyDescent="0.55000000000000004">
      <c r="A5" s="295" t="s">
        <v>150</v>
      </c>
      <c r="B5" s="296"/>
      <c r="C5" s="297"/>
      <c r="D5" s="298" t="s">
        <v>151</v>
      </c>
      <c r="E5" s="299" t="s">
        <v>152</v>
      </c>
      <c r="F5" s="299" t="s">
        <v>138</v>
      </c>
      <c r="G5" s="300" t="s">
        <v>153</v>
      </c>
      <c r="H5" s="301" t="s">
        <v>154</v>
      </c>
      <c r="I5" s="302" t="s">
        <v>155</v>
      </c>
      <c r="J5" s="300" t="s">
        <v>156</v>
      </c>
      <c r="K5" s="303"/>
      <c r="L5" s="290"/>
    </row>
    <row r="6" spans="1:12" ht="23.25" customHeight="1" x14ac:dyDescent="0.35">
      <c r="A6" s="1522" t="s">
        <v>157</v>
      </c>
      <c r="B6" s="1523"/>
      <c r="C6" s="1524"/>
      <c r="D6" s="419"/>
      <c r="E6" s="419"/>
      <c r="F6" s="419"/>
      <c r="G6" s="419"/>
      <c r="H6" s="518"/>
      <c r="I6" s="518"/>
      <c r="J6" s="518"/>
      <c r="K6" s="304"/>
      <c r="L6" s="290"/>
    </row>
    <row r="7" spans="1:12" ht="23.25" customHeight="1" thickBot="1" x14ac:dyDescent="0.4">
      <c r="A7" s="305" t="s">
        <v>158</v>
      </c>
      <c r="B7" s="306"/>
      <c r="C7" s="307"/>
      <c r="D7" s="308" t="s">
        <v>159</v>
      </c>
      <c r="E7" s="309">
        <f>'[1]17'!F7</f>
        <v>3014169</v>
      </c>
      <c r="F7" s="309">
        <v>3034327</v>
      </c>
      <c r="G7" s="1309">
        <f>F7-E7</f>
        <v>20158</v>
      </c>
      <c r="H7" s="274">
        <f>G7+'[1]17'!H7</f>
        <v>365882</v>
      </c>
      <c r="I7" s="273">
        <f>'[1]1'!I7</f>
        <v>12000</v>
      </c>
      <c r="J7" s="311">
        <f>H7/DAY(B2)</f>
        <v>20326.777777777777</v>
      </c>
      <c r="K7" s="312"/>
      <c r="L7" s="290"/>
    </row>
    <row r="8" spans="1:12" ht="23.25" customHeight="1" thickBot="1" x14ac:dyDescent="0.4">
      <c r="A8" s="313" t="s">
        <v>160</v>
      </c>
      <c r="B8" s="314"/>
      <c r="C8" s="315"/>
      <c r="D8" s="316" t="s">
        <v>39</v>
      </c>
      <c r="E8" s="317">
        <f>'[1]17'!F8</f>
        <v>3031842</v>
      </c>
      <c r="F8" s="317">
        <v>3052136</v>
      </c>
      <c r="G8" s="310">
        <f>F8-E8</f>
        <v>20294</v>
      </c>
      <c r="H8" s="274">
        <f>G8+'[1]17'!H8</f>
        <v>369097</v>
      </c>
      <c r="I8" s="566">
        <f>'[1]1'!I8</f>
        <v>12000</v>
      </c>
      <c r="J8" s="311">
        <f>H8/DAY(B2)</f>
        <v>20505.388888888891</v>
      </c>
      <c r="K8" s="312"/>
      <c r="L8" s="290"/>
    </row>
    <row r="9" spans="1:12" ht="23.25" customHeight="1" thickBot="1" x14ac:dyDescent="0.4">
      <c r="A9" s="319" t="s">
        <v>161</v>
      </c>
      <c r="B9" s="320"/>
      <c r="C9" s="321"/>
      <c r="D9" s="265" t="s">
        <v>159</v>
      </c>
      <c r="E9" s="309">
        <f>'[1]17'!F9</f>
        <v>2366724</v>
      </c>
      <c r="F9" s="261">
        <v>2369646</v>
      </c>
      <c r="G9" s="310">
        <f t="shared" ref="G9" si="0">F9-E9</f>
        <v>2922</v>
      </c>
      <c r="H9" s="274">
        <f>G9+'[1]17'!H9</f>
        <v>112609.5</v>
      </c>
      <c r="I9" s="275">
        <f>I7-J7</f>
        <v>-8326.7777777777774</v>
      </c>
      <c r="J9" s="311">
        <f>H9/DAY(B2)</f>
        <v>6256.083333333333</v>
      </c>
      <c r="K9" s="312"/>
      <c r="L9" s="414"/>
    </row>
    <row r="10" spans="1:12" ht="23.25" customHeight="1" thickBot="1" x14ac:dyDescent="0.4">
      <c r="A10" s="324" t="s">
        <v>162</v>
      </c>
      <c r="B10" s="325"/>
      <c r="C10" s="326"/>
      <c r="D10" s="265" t="s">
        <v>159</v>
      </c>
      <c r="E10" s="309">
        <f>'[1]17'!F10</f>
        <v>526794</v>
      </c>
      <c r="F10" s="261">
        <v>543253</v>
      </c>
      <c r="G10" s="310">
        <f>F10-E10</f>
        <v>16459</v>
      </c>
      <c r="H10" s="274">
        <f>G10+'[1]17'!H10</f>
        <v>240302.71000000002</v>
      </c>
      <c r="I10" s="323"/>
      <c r="J10" s="311">
        <f>H10/DAY(B2)</f>
        <v>13350.150555555556</v>
      </c>
      <c r="K10" s="312"/>
      <c r="L10" s="290"/>
    </row>
    <row r="11" spans="1:12" ht="23.25" customHeight="1" thickBot="1" x14ac:dyDescent="0.4">
      <c r="A11" s="324" t="s">
        <v>163</v>
      </c>
      <c r="B11" s="325"/>
      <c r="C11" s="326"/>
      <c r="D11" s="265" t="s">
        <v>159</v>
      </c>
      <c r="E11" s="309">
        <f>'[1]17'!F11</f>
        <v>35390</v>
      </c>
      <c r="F11" s="260">
        <v>35390</v>
      </c>
      <c r="G11" s="310">
        <f>F11-E11</f>
        <v>0</v>
      </c>
      <c r="H11" s="274">
        <f>G11+'[1]17'!H11</f>
        <v>0</v>
      </c>
      <c r="I11" s="323"/>
      <c r="J11" s="311">
        <f>H11/DAY(B2)</f>
        <v>0</v>
      </c>
      <c r="K11" s="312"/>
      <c r="L11" s="290"/>
    </row>
    <row r="12" spans="1:12" ht="23.25" customHeight="1" thickBot="1" x14ac:dyDescent="0.4">
      <c r="A12" s="324" t="s">
        <v>164</v>
      </c>
      <c r="B12" s="325"/>
      <c r="C12" s="326"/>
      <c r="D12" s="265" t="s">
        <v>159</v>
      </c>
      <c r="E12" s="309">
        <f>'[1]17'!F12</f>
        <v>37630</v>
      </c>
      <c r="F12" s="261">
        <v>37630</v>
      </c>
      <c r="G12" s="310">
        <f t="shared" ref="G12" si="1">F12-E12</f>
        <v>0</v>
      </c>
      <c r="H12" s="274">
        <f>G12+'[1]17'!H12</f>
        <v>0</v>
      </c>
      <c r="I12" s="323"/>
      <c r="J12" s="311">
        <f>H12/DAY(B2)</f>
        <v>0</v>
      </c>
      <c r="K12" s="312"/>
      <c r="L12" s="290"/>
    </row>
    <row r="13" spans="1:12" ht="23.25" customHeight="1" x14ac:dyDescent="0.35">
      <c r="A13" s="434" t="s">
        <v>165</v>
      </c>
      <c r="B13" s="435"/>
      <c r="C13" s="436"/>
      <c r="D13" s="265"/>
      <c r="E13" s="262"/>
      <c r="F13" s="262"/>
      <c r="G13" s="67">
        <f>G9+G10+G11+G12</f>
        <v>19381</v>
      </c>
      <c r="H13" s="274">
        <f>G13+'[1]17'!H13</f>
        <v>331052.90000000002</v>
      </c>
      <c r="I13" s="458">
        <f>G7-G13</f>
        <v>777</v>
      </c>
      <c r="J13" s="311">
        <f>H13/DAY(B2)</f>
        <v>18391.82777777778</v>
      </c>
      <c r="K13" s="312"/>
      <c r="L13" s="290"/>
    </row>
    <row r="14" spans="1:12" ht="23.25" customHeight="1" x14ac:dyDescent="0.35">
      <c r="A14" s="1525" t="s">
        <v>166</v>
      </c>
      <c r="B14" s="1526"/>
      <c r="C14" s="1527"/>
      <c r="D14" s="518"/>
      <c r="E14" s="518"/>
      <c r="F14" s="518"/>
      <c r="G14" s="422"/>
      <c r="H14" s="518"/>
      <c r="I14" s="518"/>
      <c r="J14" s="518"/>
      <c r="K14" s="327"/>
      <c r="L14" s="290"/>
    </row>
    <row r="15" spans="1:12" ht="23.25" customHeight="1" thickBot="1" x14ac:dyDescent="0.4">
      <c r="A15" s="328" t="s">
        <v>167</v>
      </c>
      <c r="B15" s="329"/>
      <c r="C15" s="330"/>
      <c r="D15" s="308" t="s">
        <v>168</v>
      </c>
      <c r="E15" s="309">
        <f>'[1]17'!F15</f>
        <v>1558826</v>
      </c>
      <c r="F15" s="263">
        <v>1559365</v>
      </c>
      <c r="G15" s="322">
        <f>(F15-E15)</f>
        <v>539</v>
      </c>
      <c r="H15" s="274">
        <f>G15+'[1]17'!H15</f>
        <v>12467.398999999976</v>
      </c>
      <c r="I15" s="273">
        <f>'[1]1'!I15</f>
        <v>800</v>
      </c>
      <c r="J15" s="311">
        <f>H15/DAY(B2)</f>
        <v>692.63327777777647</v>
      </c>
      <c r="K15" s="312"/>
      <c r="L15" s="290"/>
    </row>
    <row r="16" spans="1:12" ht="23.25" customHeight="1" x14ac:dyDescent="0.35">
      <c r="A16" s="331"/>
      <c r="B16" s="332"/>
      <c r="C16" s="333"/>
      <c r="D16" s="271"/>
      <c r="E16" s="334"/>
      <c r="F16" s="334"/>
      <c r="G16" s="322"/>
      <c r="H16" s="335"/>
      <c r="I16" s="395">
        <f>I15-J15</f>
        <v>107.36672222222353</v>
      </c>
      <c r="J16" s="336"/>
      <c r="K16" s="312"/>
      <c r="L16" s="290"/>
    </row>
    <row r="17" spans="1:12" ht="23.25" customHeight="1" x14ac:dyDescent="0.35">
      <c r="A17" s="1525" t="s">
        <v>169</v>
      </c>
      <c r="B17" s="1526"/>
      <c r="C17" s="1527"/>
      <c r="D17" s="518"/>
      <c r="E17" s="518"/>
      <c r="F17" s="518"/>
      <c r="G17" s="423"/>
      <c r="H17" s="518"/>
      <c r="I17" s="518"/>
      <c r="J17" s="518"/>
      <c r="K17" s="312"/>
      <c r="L17" s="290"/>
    </row>
    <row r="18" spans="1:12" ht="23.25" customHeight="1" thickBot="1" x14ac:dyDescent="0.4">
      <c r="A18" s="1530" t="s">
        <v>170</v>
      </c>
      <c r="B18" s="1531"/>
      <c r="C18" s="1532"/>
      <c r="D18" s="265" t="s">
        <v>171</v>
      </c>
      <c r="E18" s="309">
        <f>'[1]17'!F18</f>
        <v>14</v>
      </c>
      <c r="F18" s="264">
        <v>12</v>
      </c>
      <c r="G18" s="418">
        <f>F18*10</f>
        <v>120</v>
      </c>
      <c r="H18" s="274">
        <f>G18+'[1]17'!H18</f>
        <v>2450</v>
      </c>
      <c r="I18" s="273">
        <f>'[1]1'!I18</f>
        <v>65</v>
      </c>
      <c r="J18" s="311">
        <f>H18/DAY(B2)</f>
        <v>136.11111111111111</v>
      </c>
      <c r="K18" s="312"/>
      <c r="L18" s="290"/>
    </row>
    <row r="19" spans="1:12" ht="23.25" customHeight="1" thickBot="1" x14ac:dyDescent="0.4">
      <c r="A19" s="1530" t="s">
        <v>86</v>
      </c>
      <c r="B19" s="1531"/>
      <c r="C19" s="1532"/>
      <c r="D19" s="265" t="s">
        <v>171</v>
      </c>
      <c r="E19" s="309">
        <f>'[1]17'!F19</f>
        <v>130733</v>
      </c>
      <c r="F19" s="264">
        <v>130788</v>
      </c>
      <c r="G19" s="417">
        <f t="shared" ref="G19" si="2">F19-E19</f>
        <v>55</v>
      </c>
      <c r="H19" s="274">
        <f>G19+'[1]17'!H19</f>
        <v>987</v>
      </c>
      <c r="I19" s="337"/>
      <c r="J19" s="311">
        <f>H19/DAY(B2)</f>
        <v>54.833333333333336</v>
      </c>
      <c r="K19" s="312"/>
      <c r="L19" s="290"/>
    </row>
    <row r="20" spans="1:12" ht="23.25" customHeight="1" x14ac:dyDescent="0.35">
      <c r="A20" s="434" t="s">
        <v>172</v>
      </c>
      <c r="B20" s="435"/>
      <c r="C20" s="436"/>
      <c r="D20" s="338"/>
      <c r="E20" s="338"/>
      <c r="F20" s="338"/>
      <c r="G20" s="339">
        <f>G18+G19</f>
        <v>175</v>
      </c>
      <c r="H20" s="274">
        <f>G20+'[1]17'!H20</f>
        <v>3437</v>
      </c>
      <c r="I20" s="340">
        <f>I18-J20</f>
        <v>-125.94444444444446</v>
      </c>
      <c r="J20" s="311">
        <f>H20/DAY(B2)</f>
        <v>190.94444444444446</v>
      </c>
      <c r="K20" s="312"/>
      <c r="L20" s="290"/>
    </row>
    <row r="21" spans="1:12" ht="23.25" customHeight="1" x14ac:dyDescent="0.35">
      <c r="A21" s="1525" t="s">
        <v>173</v>
      </c>
      <c r="B21" s="1526"/>
      <c r="C21" s="1527"/>
      <c r="D21" s="518"/>
      <c r="E21" s="518"/>
      <c r="F21" s="518"/>
      <c r="G21" s="422"/>
      <c r="H21" s="518"/>
      <c r="I21" s="518"/>
      <c r="J21" s="518"/>
      <c r="K21" s="312"/>
      <c r="L21" s="290"/>
    </row>
    <row r="22" spans="1:12" ht="23.25" customHeight="1" thickBot="1" x14ac:dyDescent="0.4">
      <c r="A22" s="1339" t="s">
        <v>174</v>
      </c>
      <c r="B22" s="1340"/>
      <c r="C22" s="1341"/>
      <c r="D22" s="265" t="s">
        <v>175</v>
      </c>
      <c r="E22" s="309">
        <f>'[1]17'!F22</f>
        <v>2250</v>
      </c>
      <c r="F22" s="264">
        <v>2250</v>
      </c>
      <c r="G22" s="417">
        <f t="shared" ref="G22" si="3">F22-E22</f>
        <v>0</v>
      </c>
      <c r="H22" s="274">
        <f>G22+'[1]17'!H22</f>
        <v>0</v>
      </c>
      <c r="I22" s="323"/>
      <c r="J22" s="311">
        <f>H22/DAY(B2)</f>
        <v>0</v>
      </c>
      <c r="K22" s="312"/>
      <c r="L22" s="290"/>
    </row>
    <row r="23" spans="1:12" ht="23.25" customHeight="1" thickBot="1" x14ac:dyDescent="0.4">
      <c r="A23" s="1339" t="s">
        <v>176</v>
      </c>
      <c r="B23" s="1340"/>
      <c r="C23" s="1341"/>
      <c r="D23" s="265" t="s">
        <v>175</v>
      </c>
      <c r="E23" s="309">
        <f>'[1]17'!F23</f>
        <v>2000</v>
      </c>
      <c r="F23" s="264">
        <v>2000</v>
      </c>
      <c r="G23" s="276">
        <v>0</v>
      </c>
      <c r="H23" s="274">
        <f>G23+'[1]17'!H23</f>
        <v>0</v>
      </c>
      <c r="I23" s="323"/>
      <c r="J23" s="311">
        <f>H23/DAY(B2)</f>
        <v>0</v>
      </c>
      <c r="K23" s="312"/>
      <c r="L23" s="290"/>
    </row>
    <row r="24" spans="1:12" ht="23.25" customHeight="1" thickBot="1" x14ac:dyDescent="0.4">
      <c r="A24" s="437" t="s">
        <v>177</v>
      </c>
      <c r="B24" s="438"/>
      <c r="C24" s="439"/>
      <c r="D24" s="266" t="s">
        <v>175</v>
      </c>
      <c r="E24" s="309">
        <f>'[1]17'!F24</f>
        <v>4250</v>
      </c>
      <c r="F24" s="341">
        <v>4250</v>
      </c>
      <c r="G24" s="276">
        <v>0</v>
      </c>
      <c r="H24" s="274">
        <f>G24+'[1]17'!H24</f>
        <v>0</v>
      </c>
      <c r="I24" s="323"/>
      <c r="J24" s="311">
        <f>H24/DAY(B2)</f>
        <v>0</v>
      </c>
      <c r="K24" s="312"/>
      <c r="L24" s="290"/>
    </row>
    <row r="25" spans="1:12" s="524" customFormat="1" ht="18.75" customHeight="1" x14ac:dyDescent="0.35">
      <c r="A25" s="1483" t="s">
        <v>178</v>
      </c>
      <c r="B25" s="1484"/>
      <c r="C25" s="1485"/>
      <c r="D25" s="419"/>
      <c r="E25" s="419"/>
      <c r="F25" s="419"/>
      <c r="G25" s="424"/>
      <c r="H25" s="420"/>
      <c r="I25" s="425"/>
      <c r="J25" s="421"/>
      <c r="K25" s="312"/>
      <c r="L25" s="527"/>
    </row>
    <row r="26" spans="1:12" s="524" customFormat="1" ht="18.75" customHeight="1" x14ac:dyDescent="0.35">
      <c r="A26" s="342" t="s">
        <v>179</v>
      </c>
      <c r="B26" s="343"/>
      <c r="C26" s="344"/>
      <c r="D26" s="345" t="s">
        <v>180</v>
      </c>
      <c r="E26" s="346"/>
      <c r="F26" s="346"/>
      <c r="G26" s="347"/>
      <c r="H26" s="274"/>
      <c r="I26" s="348"/>
      <c r="J26" s="311"/>
      <c r="K26" s="327"/>
      <c r="L26" s="527"/>
    </row>
    <row r="27" spans="1:12" s="524" customFormat="1" ht="18.75" customHeight="1" x14ac:dyDescent="0.4">
      <c r="A27" s="342" t="s">
        <v>20</v>
      </c>
      <c r="B27" s="343"/>
      <c r="C27" s="344"/>
      <c r="D27" s="349" t="s">
        <v>39</v>
      </c>
      <c r="E27" s="350">
        <f>G8</f>
        <v>20294</v>
      </c>
      <c r="F27" s="621">
        <v>9.5</v>
      </c>
      <c r="G27" s="393">
        <f>E27*F27</f>
        <v>192793</v>
      </c>
      <c r="H27" s="274">
        <f>G27+'[1]17'!H27</f>
        <v>3506421.5</v>
      </c>
      <c r="I27" s="351"/>
      <c r="J27" s="311">
        <f>H27/DAY(B2)</f>
        <v>194801.19444444444</v>
      </c>
      <c r="K27" s="312"/>
      <c r="L27" s="527"/>
    </row>
    <row r="28" spans="1:12" s="524" customFormat="1" ht="18.75" customHeight="1" x14ac:dyDescent="0.4">
      <c r="A28" s="342" t="s">
        <v>181</v>
      </c>
      <c r="B28" s="343"/>
      <c r="C28" s="344"/>
      <c r="D28" s="349" t="s">
        <v>182</v>
      </c>
      <c r="E28" s="352">
        <f>G15</f>
        <v>539</v>
      </c>
      <c r="F28" s="621">
        <v>36.5</v>
      </c>
      <c r="G28" s="393">
        <f>E28*F28</f>
        <v>19673.5</v>
      </c>
      <c r="H28" s="274">
        <f>G28+'[1]17'!H28</f>
        <v>455060.06349999912</v>
      </c>
      <c r="I28" s="353"/>
      <c r="J28" s="311">
        <f>H28/DAY(B2)</f>
        <v>25281.114638888841</v>
      </c>
      <c r="K28" s="312"/>
      <c r="L28" s="527"/>
    </row>
    <row r="29" spans="1:12" s="524" customFormat="1" ht="18.75" customHeight="1" x14ac:dyDescent="0.4">
      <c r="A29" s="342" t="s">
        <v>183</v>
      </c>
      <c r="B29" s="343"/>
      <c r="C29" s="344"/>
      <c r="D29" s="349" t="s">
        <v>184</v>
      </c>
      <c r="E29" s="354">
        <f>G24</f>
        <v>0</v>
      </c>
      <c r="F29" s="621">
        <v>69</v>
      </c>
      <c r="G29" s="393">
        <f>E29*F29</f>
        <v>0</v>
      </c>
      <c r="H29" s="274">
        <f>G29+'[1]17'!H29</f>
        <v>0</v>
      </c>
      <c r="I29" s="353"/>
      <c r="J29" s="311">
        <f>H29/DAY(B2)</f>
        <v>0</v>
      </c>
      <c r="K29" s="312"/>
      <c r="L29" s="527"/>
    </row>
    <row r="30" spans="1:12" s="524" customFormat="1" ht="18.75" customHeight="1" x14ac:dyDescent="0.4">
      <c r="A30" s="342" t="s">
        <v>185</v>
      </c>
      <c r="B30" s="343"/>
      <c r="C30" s="344"/>
      <c r="D30" s="349" t="s">
        <v>186</v>
      </c>
      <c r="E30" s="354">
        <f>G19</f>
        <v>55</v>
      </c>
      <c r="F30" s="621">
        <v>145</v>
      </c>
      <c r="G30" s="393">
        <f>E30*F30</f>
        <v>7975</v>
      </c>
      <c r="H30" s="274">
        <f>G30+'[1]17'!H30</f>
        <v>143115</v>
      </c>
      <c r="I30" s="353"/>
      <c r="J30" s="311">
        <f>H30/DAY(B2)</f>
        <v>7950.833333333333</v>
      </c>
      <c r="K30" s="312"/>
      <c r="L30" s="527"/>
    </row>
    <row r="31" spans="1:12" s="524" customFormat="1" ht="18.75" customHeight="1" x14ac:dyDescent="0.4">
      <c r="A31" s="342" t="s">
        <v>187</v>
      </c>
      <c r="B31" s="343"/>
      <c r="C31" s="344"/>
      <c r="D31" s="349" t="s">
        <v>171</v>
      </c>
      <c r="E31" s="354">
        <f>G18</f>
        <v>120</v>
      </c>
      <c r="F31" s="621">
        <v>80</v>
      </c>
      <c r="G31" s="393">
        <f>E31*F31</f>
        <v>9600</v>
      </c>
      <c r="H31" s="274">
        <f>G31+'[1]17'!H31</f>
        <v>194400</v>
      </c>
      <c r="I31" s="353"/>
      <c r="J31" s="311">
        <f>H31/DAY(B2)</f>
        <v>10800</v>
      </c>
      <c r="K31" s="312"/>
      <c r="L31" s="527"/>
    </row>
    <row r="32" spans="1:12" s="524" customFormat="1" ht="18.75" customHeight="1" x14ac:dyDescent="0.35">
      <c r="A32" s="440" t="s">
        <v>188</v>
      </c>
      <c r="B32" s="441"/>
      <c r="C32" s="442"/>
      <c r="D32" s="355"/>
      <c r="E32" s="355"/>
      <c r="F32" s="355"/>
      <c r="G32" s="394">
        <f>G27+G28+G29+G30+G31</f>
        <v>230041.5</v>
      </c>
      <c r="H32" s="274">
        <f>G32+'[1]17'!H32</f>
        <v>4298996.5634999992</v>
      </c>
      <c r="I32" s="356"/>
      <c r="J32" s="311">
        <f>H32/DAY(B2)</f>
        <v>238833.14241666661</v>
      </c>
      <c r="K32" s="312"/>
      <c r="L32" s="527"/>
    </row>
    <row r="33" spans="1:12" ht="23.25" customHeight="1" x14ac:dyDescent="0.35">
      <c r="A33" s="1533" t="s">
        <v>189</v>
      </c>
      <c r="B33" s="1534"/>
      <c r="C33" s="1534"/>
      <c r="D33" s="1534"/>
      <c r="E33" s="1534"/>
      <c r="F33" s="1534"/>
      <c r="G33" s="1534"/>
      <c r="H33" s="1534"/>
      <c r="I33" s="1534"/>
      <c r="J33" s="1535"/>
      <c r="K33" s="312"/>
      <c r="L33" s="290"/>
    </row>
    <row r="34" spans="1:12" ht="23.25" customHeight="1" x14ac:dyDescent="0.35">
      <c r="A34" s="1347" t="s">
        <v>190</v>
      </c>
      <c r="B34" s="1348"/>
      <c r="C34" s="1349"/>
      <c r="D34" s="518"/>
      <c r="E34" s="419"/>
      <c r="F34" s="419"/>
      <c r="G34" s="518"/>
      <c r="H34" s="518"/>
      <c r="I34" s="518"/>
      <c r="J34" s="518"/>
      <c r="K34" s="312"/>
      <c r="L34" s="290"/>
    </row>
    <row r="35" spans="1:12" ht="23.25" customHeight="1" thickBot="1" x14ac:dyDescent="0.4">
      <c r="A35" s="324" t="s">
        <v>191</v>
      </c>
      <c r="B35" s="325"/>
      <c r="C35" s="326"/>
      <c r="D35" s="265" t="s">
        <v>159</v>
      </c>
      <c r="E35" s="309">
        <f>'[1]17'!F35</f>
        <v>629027.67000000004</v>
      </c>
      <c r="F35" s="357">
        <v>629027.67000000004</v>
      </c>
      <c r="G35" s="322">
        <f>F35-E35</f>
        <v>0</v>
      </c>
      <c r="H35" s="274">
        <f>G35+'[1]17'!H35</f>
        <v>0</v>
      </c>
      <c r="I35" s="260"/>
      <c r="J35" s="311">
        <f>H35/DAY(B2)</f>
        <v>0</v>
      </c>
      <c r="K35" s="312"/>
      <c r="L35" s="290"/>
    </row>
    <row r="36" spans="1:12" ht="23.25" customHeight="1" thickBot="1" x14ac:dyDescent="0.4">
      <c r="A36" s="324" t="s">
        <v>192</v>
      </c>
      <c r="B36" s="325"/>
      <c r="C36" s="326"/>
      <c r="D36" s="265" t="s">
        <v>159</v>
      </c>
      <c r="E36" s="309">
        <f>'[1]17'!F36</f>
        <v>243499</v>
      </c>
      <c r="F36" s="357">
        <v>244443</v>
      </c>
      <c r="G36" s="322">
        <f t="shared" ref="G36:G46" si="4">F36-E36</f>
        <v>944</v>
      </c>
      <c r="H36" s="274">
        <f>G36+'[1]17'!H36</f>
        <v>15357.26999999999</v>
      </c>
      <c r="I36" s="260"/>
      <c r="J36" s="311">
        <f>H36/DAY(B2)</f>
        <v>853.18166666666605</v>
      </c>
      <c r="K36" s="312"/>
      <c r="L36" s="290"/>
    </row>
    <row r="37" spans="1:12" ht="23.25" customHeight="1" thickBot="1" x14ac:dyDescent="0.4">
      <c r="A37" s="324" t="s">
        <v>193</v>
      </c>
      <c r="B37" s="325"/>
      <c r="C37" s="326"/>
      <c r="D37" s="265" t="s">
        <v>159</v>
      </c>
      <c r="E37" s="309">
        <f>'[1]17'!F37</f>
        <v>415066</v>
      </c>
      <c r="F37" s="357">
        <v>415066</v>
      </c>
      <c r="G37" s="322">
        <f>F37-E37</f>
        <v>0</v>
      </c>
      <c r="H37" s="274">
        <f>G37+'[1]17'!H37</f>
        <v>0</v>
      </c>
      <c r="I37" s="260"/>
      <c r="J37" s="311">
        <f>H37/DAY(B2)</f>
        <v>0</v>
      </c>
      <c r="K37" s="312"/>
      <c r="L37" s="290"/>
    </row>
    <row r="38" spans="1:12" ht="23.25" customHeight="1" thickBot="1" x14ac:dyDescent="0.4">
      <c r="A38" s="324" t="s">
        <v>194</v>
      </c>
      <c r="B38" s="325"/>
      <c r="C38" s="326"/>
      <c r="D38" s="265" t="s">
        <v>159</v>
      </c>
      <c r="E38" s="309">
        <f>'[1]17'!F38</f>
        <v>150714</v>
      </c>
      <c r="F38" s="358">
        <v>150714</v>
      </c>
      <c r="G38" s="322">
        <f t="shared" si="4"/>
        <v>0</v>
      </c>
      <c r="H38" s="274">
        <f>G38+'[1]17'!H38</f>
        <v>0</v>
      </c>
      <c r="I38" s="260"/>
      <c r="J38" s="311">
        <f>H38/DAY(B2)</f>
        <v>0</v>
      </c>
      <c r="K38" s="312"/>
      <c r="L38" s="290"/>
    </row>
    <row r="39" spans="1:12" ht="23.25" customHeight="1" thickBot="1" x14ac:dyDescent="0.4">
      <c r="A39" s="324" t="s">
        <v>195</v>
      </c>
      <c r="B39" s="325"/>
      <c r="C39" s="326"/>
      <c r="D39" s="265" t="s">
        <v>159</v>
      </c>
      <c r="E39" s="309">
        <f>'[1]17'!F39</f>
        <v>912480</v>
      </c>
      <c r="F39" s="357">
        <v>912480</v>
      </c>
      <c r="G39" s="322">
        <f>F39-E39</f>
        <v>0</v>
      </c>
      <c r="H39" s="274">
        <f>G39+'[1]17'!H39</f>
        <v>0</v>
      </c>
      <c r="I39" s="260"/>
      <c r="J39" s="311">
        <f>H39/DAY(B2)</f>
        <v>0</v>
      </c>
      <c r="K39" s="312"/>
      <c r="L39" s="290"/>
    </row>
    <row r="40" spans="1:12" ht="23.25" customHeight="1" thickBot="1" x14ac:dyDescent="0.4">
      <c r="A40" s="359" t="s">
        <v>196</v>
      </c>
      <c r="B40" s="360"/>
      <c r="C40" s="361"/>
      <c r="D40" s="265" t="s">
        <v>159</v>
      </c>
      <c r="E40" s="309">
        <v>0</v>
      </c>
      <c r="F40" s="357">
        <v>0</v>
      </c>
      <c r="G40" s="322">
        <f t="shared" si="4"/>
        <v>0</v>
      </c>
      <c r="H40" s="274">
        <f>G40+'[1]17'!H40</f>
        <v>0</v>
      </c>
      <c r="I40" s="260"/>
      <c r="J40" s="311">
        <f>H40/DAY(B2)</f>
        <v>0</v>
      </c>
      <c r="K40" s="327"/>
      <c r="L40" s="290"/>
    </row>
    <row r="41" spans="1:12" ht="23.25" customHeight="1" thickBot="1" x14ac:dyDescent="0.4">
      <c r="A41" s="324" t="s">
        <v>197</v>
      </c>
      <c r="B41" s="325"/>
      <c r="C41" s="326"/>
      <c r="D41" s="265" t="s">
        <v>159</v>
      </c>
      <c r="E41" s="309">
        <f>'[1]17'!F41</f>
        <v>300127.95</v>
      </c>
      <c r="F41" s="357">
        <v>300127.95</v>
      </c>
      <c r="G41" s="322">
        <f t="shared" si="4"/>
        <v>0</v>
      </c>
      <c r="H41" s="274">
        <f>G41+'[1]17'!H41</f>
        <v>0</v>
      </c>
      <c r="I41" s="260"/>
      <c r="J41" s="311">
        <f>H41/DAY(B2)</f>
        <v>0</v>
      </c>
      <c r="K41" s="312"/>
      <c r="L41" s="290"/>
    </row>
    <row r="42" spans="1:12" ht="23.25" customHeight="1" thickBot="1" x14ac:dyDescent="0.4">
      <c r="A42" s="324" t="s">
        <v>198</v>
      </c>
      <c r="B42" s="325"/>
      <c r="C42" s="326"/>
      <c r="D42" s="265" t="s">
        <v>159</v>
      </c>
      <c r="E42" s="309">
        <f>'[1]17'!F42</f>
        <v>58926</v>
      </c>
      <c r="F42" s="357">
        <v>58926</v>
      </c>
      <c r="G42" s="322">
        <f t="shared" si="4"/>
        <v>0</v>
      </c>
      <c r="H42" s="274">
        <f>G42+'[1]17'!H42</f>
        <v>58926</v>
      </c>
      <c r="I42" s="260"/>
      <c r="J42" s="311">
        <f>H42/DAY(B2)</f>
        <v>3273.6666666666665</v>
      </c>
      <c r="K42" s="312"/>
      <c r="L42" s="290"/>
    </row>
    <row r="43" spans="1:12" ht="23.25" customHeight="1" thickBot="1" x14ac:dyDescent="0.4">
      <c r="A43" s="324" t="s">
        <v>199</v>
      </c>
      <c r="B43" s="325"/>
      <c r="C43" s="326"/>
      <c r="D43" s="265" t="s">
        <v>159</v>
      </c>
      <c r="E43" s="309">
        <f>'[1]17'!F43</f>
        <v>669928</v>
      </c>
      <c r="F43" s="357">
        <v>672020</v>
      </c>
      <c r="G43" s="322">
        <f t="shared" si="4"/>
        <v>2092</v>
      </c>
      <c r="H43" s="274">
        <f>G43+'[1]17'!H43</f>
        <v>41270.689999999944</v>
      </c>
      <c r="I43" s="260"/>
      <c r="J43" s="311">
        <f>H43/DAY(B2)</f>
        <v>2292.8161111111081</v>
      </c>
      <c r="K43" s="312"/>
      <c r="L43" s="290"/>
    </row>
    <row r="44" spans="1:12" ht="23.25" customHeight="1" thickBot="1" x14ac:dyDescent="0.4">
      <c r="A44" s="324" t="s">
        <v>200</v>
      </c>
      <c r="B44" s="325"/>
      <c r="C44" s="326"/>
      <c r="D44" s="265" t="s">
        <v>159</v>
      </c>
      <c r="E44" s="309">
        <f>'[1]17'!F44</f>
        <v>0</v>
      </c>
      <c r="F44" s="357">
        <v>0</v>
      </c>
      <c r="G44" s="322">
        <f t="shared" si="4"/>
        <v>0</v>
      </c>
      <c r="H44" s="274">
        <f>G44+'[1]17'!H44</f>
        <v>0</v>
      </c>
      <c r="I44" s="260"/>
      <c r="J44" s="311">
        <f>H44/DAY(B2)</f>
        <v>0</v>
      </c>
      <c r="K44" s="312"/>
      <c r="L44" s="290"/>
    </row>
    <row r="45" spans="1:12" ht="23.25" customHeight="1" thickBot="1" x14ac:dyDescent="0.4">
      <c r="A45" s="324" t="s">
        <v>201</v>
      </c>
      <c r="B45" s="325"/>
      <c r="C45" s="326"/>
      <c r="D45" s="265" t="s">
        <v>159</v>
      </c>
      <c r="E45" s="309">
        <f>'[1]17'!F45</f>
        <v>614</v>
      </c>
      <c r="F45" s="357">
        <v>614</v>
      </c>
      <c r="G45" s="322">
        <f t="shared" si="4"/>
        <v>0</v>
      </c>
      <c r="H45" s="274">
        <f>G45+'[1]17'!H45</f>
        <v>-0.48000000000001819</v>
      </c>
      <c r="I45" s="260"/>
      <c r="J45" s="311">
        <f>H45/DAY(B2)</f>
        <v>-2.6666666666667678E-2</v>
      </c>
      <c r="K45" s="312"/>
      <c r="L45" s="290"/>
    </row>
    <row r="46" spans="1:12" ht="23.25" customHeight="1" thickBot="1" x14ac:dyDescent="0.4">
      <c r="A46" s="324" t="s">
        <v>202</v>
      </c>
      <c r="B46" s="325"/>
      <c r="C46" s="326"/>
      <c r="D46" s="265" t="s">
        <v>159</v>
      </c>
      <c r="E46" s="309">
        <f>'[1]17'!F46</f>
        <v>187.49</v>
      </c>
      <c r="F46" s="357">
        <v>187.44</v>
      </c>
      <c r="G46" s="322">
        <f t="shared" si="4"/>
        <v>-5.0000000000011369E-2</v>
      </c>
      <c r="H46" s="274">
        <f>G46+'[1]17'!H46</f>
        <v>-5.0000000000011369E-2</v>
      </c>
      <c r="I46" s="260"/>
      <c r="J46" s="311">
        <f>H46/DAY(B2)</f>
        <v>-2.7777777777784093E-3</v>
      </c>
      <c r="K46" s="312"/>
      <c r="L46" s="290"/>
    </row>
    <row r="47" spans="1:12" ht="23.25" customHeight="1" x14ac:dyDescent="0.35">
      <c r="A47" s="434" t="s">
        <v>203</v>
      </c>
      <c r="B47" s="435"/>
      <c r="C47" s="436"/>
      <c r="D47" s="362"/>
      <c r="E47" s="266"/>
      <c r="F47" s="266"/>
      <c r="G47" s="276">
        <f>G35+G36+G37+G38+G39+G40+G41+G42+G43+G44+G45+G46</f>
        <v>3035.95</v>
      </c>
      <c r="H47" s="274">
        <f>G47+'[1]17'!H47</f>
        <v>115553.42999999992</v>
      </c>
      <c r="I47" s="260"/>
      <c r="J47" s="311">
        <f>H47/DAY(B2)</f>
        <v>6419.6349999999957</v>
      </c>
      <c r="K47" s="312"/>
      <c r="L47" s="290"/>
    </row>
    <row r="48" spans="1:12" ht="23.25" customHeight="1" x14ac:dyDescent="0.35">
      <c r="A48" s="1347" t="s">
        <v>204</v>
      </c>
      <c r="B48" s="1348"/>
      <c r="C48" s="1349"/>
      <c r="D48" s="518"/>
      <c r="E48" s="419"/>
      <c r="F48" s="419"/>
      <c r="G48" s="518"/>
      <c r="H48" s="518"/>
      <c r="I48" s="518"/>
      <c r="J48" s="518"/>
      <c r="K48" s="312"/>
      <c r="L48" s="290"/>
    </row>
    <row r="49" spans="1:12" ht="23.25" customHeight="1" thickBot="1" x14ac:dyDescent="0.4">
      <c r="A49" s="324" t="s">
        <v>191</v>
      </c>
      <c r="B49" s="363"/>
      <c r="C49" s="364"/>
      <c r="D49" s="265" t="s">
        <v>159</v>
      </c>
      <c r="E49" s="309">
        <f>'[1]17'!F49</f>
        <v>109182</v>
      </c>
      <c r="F49" s="357">
        <v>112004</v>
      </c>
      <c r="G49" s="322">
        <f t="shared" ref="G49:G58" si="5">F49-E49</f>
        <v>2822</v>
      </c>
      <c r="H49" s="274">
        <f>G49+'[1]17'!H49</f>
        <v>47394.483</v>
      </c>
      <c r="I49" s="260"/>
      <c r="J49" s="311">
        <f>H49/DAY(B2)</f>
        <v>2633.0268333333333</v>
      </c>
      <c r="K49" s="312">
        <f>E49+247</f>
        <v>109429</v>
      </c>
      <c r="L49" s="290"/>
    </row>
    <row r="50" spans="1:12" ht="23.25" customHeight="1" thickBot="1" x14ac:dyDescent="0.4">
      <c r="A50" s="324" t="s">
        <v>205</v>
      </c>
      <c r="B50" s="363"/>
      <c r="C50" s="364"/>
      <c r="D50" s="265" t="s">
        <v>159</v>
      </c>
      <c r="E50" s="309">
        <f>'[1]17'!F50</f>
        <v>317917</v>
      </c>
      <c r="F50" s="357">
        <v>319101</v>
      </c>
      <c r="G50" s="322">
        <f t="shared" si="5"/>
        <v>1184</v>
      </c>
      <c r="H50" s="274">
        <f>G50+'[1]17'!H50</f>
        <v>21691.469999999972</v>
      </c>
      <c r="I50" s="260"/>
      <c r="J50" s="311">
        <f>H50/DAY(B2)</f>
        <v>1205.0816666666651</v>
      </c>
      <c r="K50" s="312"/>
      <c r="L50" s="290"/>
    </row>
    <row r="51" spans="1:12" ht="23.25" customHeight="1" thickBot="1" x14ac:dyDescent="0.4">
      <c r="A51" s="324" t="s">
        <v>193</v>
      </c>
      <c r="B51" s="363"/>
      <c r="C51" s="364"/>
      <c r="D51" s="265" t="s">
        <v>159</v>
      </c>
      <c r="E51" s="309">
        <f>'[1]17'!F51</f>
        <v>44299</v>
      </c>
      <c r="F51" s="357">
        <v>45807</v>
      </c>
      <c r="G51" s="322">
        <f t="shared" si="5"/>
        <v>1508</v>
      </c>
      <c r="H51" s="274">
        <f>G51+'[1]17'!H51</f>
        <v>24940.032999999999</v>
      </c>
      <c r="I51" s="260"/>
      <c r="J51" s="311">
        <f>H51/DAY(B2)</f>
        <v>1385.5573888888889</v>
      </c>
      <c r="K51" s="312"/>
      <c r="L51" s="290"/>
    </row>
    <row r="52" spans="1:12" ht="23.25" customHeight="1" thickBot="1" x14ac:dyDescent="0.4">
      <c r="A52" s="324" t="s">
        <v>206</v>
      </c>
      <c r="B52" s="363"/>
      <c r="C52" s="364"/>
      <c r="D52" s="265" t="s">
        <v>159</v>
      </c>
      <c r="E52" s="309">
        <f>'[1]17'!F52</f>
        <v>404827</v>
      </c>
      <c r="F52" s="357">
        <v>406652</v>
      </c>
      <c r="G52" s="322">
        <f t="shared" si="5"/>
        <v>1825</v>
      </c>
      <c r="H52" s="274">
        <f>G52+'[1]17'!H52</f>
        <v>33296.209999999963</v>
      </c>
      <c r="I52" s="260"/>
      <c r="J52" s="311">
        <f>H52/DAY(B2)</f>
        <v>1849.7894444444423</v>
      </c>
      <c r="K52" s="312"/>
      <c r="L52" s="290"/>
    </row>
    <row r="53" spans="1:12" ht="23.25" customHeight="1" thickBot="1" x14ac:dyDescent="0.4">
      <c r="A53" s="324" t="s">
        <v>195</v>
      </c>
      <c r="B53" s="363"/>
      <c r="C53" s="364"/>
      <c r="D53" s="265" t="s">
        <v>159</v>
      </c>
      <c r="E53" s="309">
        <f>'[1]17'!F53</f>
        <v>117318</v>
      </c>
      <c r="F53" s="1310">
        <v>121512</v>
      </c>
      <c r="G53" s="322">
        <f t="shared" si="5"/>
        <v>4194</v>
      </c>
      <c r="H53" s="274">
        <f>G53+'[1]17'!H53</f>
        <v>71769.892999999996</v>
      </c>
      <c r="I53" s="260"/>
      <c r="J53" s="311">
        <f>H53/DAY(B2)</f>
        <v>3987.2162777777776</v>
      </c>
      <c r="K53" s="312"/>
      <c r="L53" s="290"/>
    </row>
    <row r="54" spans="1:12" ht="23.25" customHeight="1" thickBot="1" x14ac:dyDescent="0.4">
      <c r="A54" s="324" t="s">
        <v>207</v>
      </c>
      <c r="B54" s="363"/>
      <c r="C54" s="364"/>
      <c r="D54" s="265" t="s">
        <v>159</v>
      </c>
      <c r="E54" s="309">
        <f>'[1]17'!F54</f>
        <v>3675</v>
      </c>
      <c r="F54" s="357">
        <v>3740</v>
      </c>
      <c r="G54" s="322">
        <f t="shared" si="5"/>
        <v>65</v>
      </c>
      <c r="H54" s="274">
        <f>G54+'[1]17'!H54</f>
        <v>861.38999999999987</v>
      </c>
      <c r="I54" s="260"/>
      <c r="J54" s="311">
        <f>H54/DAY(B2)</f>
        <v>47.85499999999999</v>
      </c>
      <c r="K54" s="312"/>
      <c r="L54" s="290"/>
    </row>
    <row r="55" spans="1:12" ht="23.25" customHeight="1" thickBot="1" x14ac:dyDescent="0.4">
      <c r="A55" s="324" t="s">
        <v>208</v>
      </c>
      <c r="B55" s="363"/>
      <c r="C55" s="364"/>
      <c r="D55" s="265" t="s">
        <v>159</v>
      </c>
      <c r="E55" s="309">
        <f>'[1]17'!F55</f>
        <v>158492.73000000001</v>
      </c>
      <c r="F55" s="357">
        <v>158492.73000000001</v>
      </c>
      <c r="G55" s="322">
        <f t="shared" si="5"/>
        <v>0</v>
      </c>
      <c r="H55" s="274">
        <f>G55+'[1]17'!H55</f>
        <v>-0.26999999998952262</v>
      </c>
      <c r="I55" s="260"/>
      <c r="J55" s="311">
        <f>H55/DAY(B2)</f>
        <v>-1.4999999999417923E-2</v>
      </c>
      <c r="K55" s="312"/>
      <c r="L55" s="290"/>
    </row>
    <row r="56" spans="1:12" ht="23.25" customHeight="1" thickBot="1" x14ac:dyDescent="0.4">
      <c r="A56" s="324" t="s">
        <v>209</v>
      </c>
      <c r="B56" s="363"/>
      <c r="C56" s="364"/>
      <c r="D56" s="265" t="s">
        <v>210</v>
      </c>
      <c r="E56" s="309">
        <f>'[1]17'!F56</f>
        <v>456937</v>
      </c>
      <c r="F56" s="357">
        <v>461775</v>
      </c>
      <c r="G56" s="322">
        <f t="shared" si="5"/>
        <v>4838</v>
      </c>
      <c r="H56" s="274">
        <f>G56+'[1]17'!H56</f>
        <v>25933.969999999972</v>
      </c>
      <c r="I56" s="260"/>
      <c r="J56" s="311">
        <f>H56/DAY(B2)</f>
        <v>1440.7761111111095</v>
      </c>
      <c r="K56" s="304"/>
      <c r="L56" s="290"/>
    </row>
    <row r="57" spans="1:12" ht="23.25" customHeight="1" thickBot="1" x14ac:dyDescent="0.4">
      <c r="A57" s="324" t="s">
        <v>199</v>
      </c>
      <c r="B57" s="363"/>
      <c r="C57" s="364"/>
      <c r="D57" s="265" t="s">
        <v>159</v>
      </c>
      <c r="E57" s="309">
        <f>'[1]17'!F57</f>
        <v>0</v>
      </c>
      <c r="F57" s="357">
        <v>0</v>
      </c>
      <c r="G57" s="322">
        <f t="shared" si="5"/>
        <v>0</v>
      </c>
      <c r="H57" s="274">
        <f>G57+'[1]17'!H57</f>
        <v>0</v>
      </c>
      <c r="I57" s="260"/>
      <c r="J57" s="311">
        <f>H57/DAY(B2)</f>
        <v>0</v>
      </c>
      <c r="K57" s="312"/>
      <c r="L57" s="290"/>
    </row>
    <row r="58" spans="1:12" ht="23.25" customHeight="1" thickBot="1" x14ac:dyDescent="0.4">
      <c r="A58" s="324" t="s">
        <v>211</v>
      </c>
      <c r="B58" s="363"/>
      <c r="C58" s="364"/>
      <c r="D58" s="265" t="s">
        <v>159</v>
      </c>
      <c r="E58" s="309">
        <f>'[1]17'!F58</f>
        <v>22448</v>
      </c>
      <c r="F58" s="357">
        <v>22473</v>
      </c>
      <c r="G58" s="322">
        <f t="shared" si="5"/>
        <v>25</v>
      </c>
      <c r="H58" s="274">
        <f>G58+'[1]17'!H58</f>
        <v>2079.9670000000006</v>
      </c>
      <c r="I58" s="260"/>
      <c r="J58" s="311">
        <f>H58/DAY(B2)</f>
        <v>115.55372222222225</v>
      </c>
      <c r="K58" s="312"/>
      <c r="L58" s="290"/>
    </row>
    <row r="59" spans="1:12" ht="23.25" customHeight="1" x14ac:dyDescent="0.35">
      <c r="A59" s="434" t="s">
        <v>203</v>
      </c>
      <c r="B59" s="435"/>
      <c r="C59" s="436"/>
      <c r="D59" s="266"/>
      <c r="E59" s="266"/>
      <c r="F59" s="266"/>
      <c r="G59" s="276">
        <f>G49+G50+G51+G52+G53+G54+G55+G56+G57+G58</f>
        <v>16461</v>
      </c>
      <c r="H59" s="274">
        <f>G59+'[1]17'!H59</f>
        <v>227967.14599999989</v>
      </c>
      <c r="I59" s="260">
        <f>G7-G60</f>
        <v>661.04999999999927</v>
      </c>
      <c r="J59" s="311">
        <f>H59/DAY(B2)</f>
        <v>12664.841444444439</v>
      </c>
      <c r="K59" s="312"/>
      <c r="L59" s="290"/>
    </row>
    <row r="60" spans="1:12" ht="23.25" customHeight="1" x14ac:dyDescent="0.35">
      <c r="A60" s="365"/>
      <c r="B60" s="365"/>
      <c r="C60" s="365"/>
      <c r="D60" s="266" t="s">
        <v>212</v>
      </c>
      <c r="E60" s="266"/>
      <c r="F60" s="266"/>
      <c r="G60" s="276">
        <f>G47+G59</f>
        <v>19496.95</v>
      </c>
      <c r="H60" s="274">
        <f>G60+'[1]17'!H60</f>
        <v>357064.24599999993</v>
      </c>
      <c r="I60" s="260">
        <f>G13-G60</f>
        <v>-115.95000000000073</v>
      </c>
      <c r="J60" s="311">
        <f>H60/DAY(B2)</f>
        <v>19836.902555555553</v>
      </c>
      <c r="K60" s="312"/>
      <c r="L60" s="290"/>
    </row>
    <row r="61" spans="1:12" ht="23.25" customHeight="1" x14ac:dyDescent="0.5">
      <c r="A61" s="426" t="s">
        <v>213</v>
      </c>
      <c r="B61" s="427"/>
      <c r="C61" s="428"/>
      <c r="D61" s="429"/>
      <c r="E61" s="430"/>
      <c r="F61" s="430"/>
      <c r="G61" s="431"/>
      <c r="H61" s="431"/>
      <c r="I61" s="431"/>
      <c r="J61" s="431"/>
      <c r="K61" s="312"/>
      <c r="L61" s="290"/>
    </row>
    <row r="62" spans="1:12" ht="23.25" customHeight="1" thickBot="1" x14ac:dyDescent="0.4">
      <c r="A62" s="366" t="s">
        <v>121</v>
      </c>
      <c r="B62" s="367"/>
      <c r="C62" s="368"/>
      <c r="D62" s="266" t="s">
        <v>214</v>
      </c>
      <c r="E62" s="309">
        <f>'[1]17'!F62</f>
        <v>20419.18</v>
      </c>
      <c r="F62" s="267">
        <v>20419.18</v>
      </c>
      <c r="G62" s="322">
        <f t="shared" ref="G62:G69" si="6">F62-E62</f>
        <v>0</v>
      </c>
      <c r="H62" s="274">
        <f>G62+'[1]17'!H62</f>
        <v>0</v>
      </c>
      <c r="I62" s="369"/>
      <c r="J62" s="311">
        <f>H62/DAY(B2)</f>
        <v>0</v>
      </c>
      <c r="K62" s="312"/>
      <c r="L62" s="290"/>
    </row>
    <row r="63" spans="1:12" ht="23.25" customHeight="1" thickBot="1" x14ac:dyDescent="0.4">
      <c r="A63" s="366" t="s">
        <v>215</v>
      </c>
      <c r="B63" s="367"/>
      <c r="C63" s="368"/>
      <c r="D63" s="266" t="s">
        <v>214</v>
      </c>
      <c r="E63" s="309">
        <f>'[1]17'!F63</f>
        <v>1051</v>
      </c>
      <c r="F63" s="267">
        <v>1055</v>
      </c>
      <c r="G63" s="322">
        <f t="shared" si="6"/>
        <v>4</v>
      </c>
      <c r="H63" s="274">
        <f>G63+'[1]17'!H63</f>
        <v>198.63</v>
      </c>
      <c r="I63" s="369"/>
      <c r="J63" s="311">
        <f>H63/DAY(B2)</f>
        <v>11.035</v>
      </c>
      <c r="K63" s="312"/>
      <c r="L63" s="290"/>
    </row>
    <row r="64" spans="1:12" ht="23.25" customHeight="1" thickBot="1" x14ac:dyDescent="0.4">
      <c r="A64" s="1536" t="s">
        <v>122</v>
      </c>
      <c r="B64" s="1537"/>
      <c r="C64" s="1538"/>
      <c r="D64" s="265" t="s">
        <v>214</v>
      </c>
      <c r="E64" s="309">
        <f>'[1]17'!F64</f>
        <v>92956</v>
      </c>
      <c r="F64" s="264">
        <v>93322</v>
      </c>
      <c r="G64" s="322">
        <f t="shared" si="6"/>
        <v>366</v>
      </c>
      <c r="H64" s="274">
        <f>G64+'[1]17'!H64</f>
        <v>6582.9049999999988</v>
      </c>
      <c r="I64" s="323"/>
      <c r="J64" s="311">
        <f>H64/DAY(B2)</f>
        <v>365.71694444444438</v>
      </c>
      <c r="K64" s="312"/>
      <c r="L64" s="290"/>
    </row>
    <row r="65" spans="1:12" ht="23.25" customHeight="1" thickBot="1" x14ac:dyDescent="0.4">
      <c r="A65" s="1536" t="s">
        <v>123</v>
      </c>
      <c r="B65" s="1537"/>
      <c r="C65" s="1538"/>
      <c r="D65" s="265" t="s">
        <v>214</v>
      </c>
      <c r="E65" s="309">
        <f>'[1]17'!F65</f>
        <v>103420</v>
      </c>
      <c r="F65" s="264">
        <v>103798</v>
      </c>
      <c r="G65" s="322">
        <f t="shared" si="6"/>
        <v>378</v>
      </c>
      <c r="H65" s="274">
        <f>G65+'[1]17'!H65</f>
        <v>7162.0170000000071</v>
      </c>
      <c r="I65" s="337"/>
      <c r="J65" s="311">
        <f>H65/DAY(B2)</f>
        <v>397.88983333333374</v>
      </c>
      <c r="K65" s="312"/>
      <c r="L65" s="290"/>
    </row>
    <row r="66" spans="1:12" ht="23.25" customHeight="1" thickBot="1" x14ac:dyDescent="0.4">
      <c r="A66" s="1536" t="s">
        <v>124</v>
      </c>
      <c r="B66" s="1537"/>
      <c r="C66" s="1538"/>
      <c r="D66" s="265" t="s">
        <v>214</v>
      </c>
      <c r="E66" s="309">
        <f>'[1]17'!F66</f>
        <v>96800</v>
      </c>
      <c r="F66" s="264">
        <v>97190</v>
      </c>
      <c r="G66" s="322">
        <f t="shared" si="6"/>
        <v>390</v>
      </c>
      <c r="H66" s="274">
        <f>G66+'[1]17'!H66</f>
        <v>7185.1530000000057</v>
      </c>
      <c r="I66" s="323"/>
      <c r="J66" s="311">
        <f>H66/DAY(B2)</f>
        <v>399.175166666667</v>
      </c>
      <c r="K66" s="312"/>
      <c r="L66" s="290"/>
    </row>
    <row r="67" spans="1:12" ht="23.25" customHeight="1" thickBot="1" x14ac:dyDescent="0.4">
      <c r="A67" s="1536" t="s">
        <v>125</v>
      </c>
      <c r="B67" s="1537"/>
      <c r="C67" s="1538"/>
      <c r="D67" s="265" t="s">
        <v>214</v>
      </c>
      <c r="E67" s="309">
        <f>'[1]17'!F67</f>
        <v>158388</v>
      </c>
      <c r="F67" s="264">
        <v>159116</v>
      </c>
      <c r="G67" s="322">
        <f t="shared" si="6"/>
        <v>728</v>
      </c>
      <c r="H67" s="274">
        <f>G67+'[1]17'!H67</f>
        <v>13073.950000000012</v>
      </c>
      <c r="I67" s="337"/>
      <c r="J67" s="311">
        <f>H67/DAY(B2)</f>
        <v>726.3305555555562</v>
      </c>
      <c r="K67" s="327"/>
      <c r="L67" s="290"/>
    </row>
    <row r="68" spans="1:12" ht="23.25" customHeight="1" thickBot="1" x14ac:dyDescent="0.4">
      <c r="A68" s="1536" t="s">
        <v>126</v>
      </c>
      <c r="B68" s="1537"/>
      <c r="C68" s="1538"/>
      <c r="D68" s="265" t="s">
        <v>214</v>
      </c>
      <c r="E68" s="309">
        <f>'[1]17'!F68</f>
        <v>49246</v>
      </c>
      <c r="F68" s="264">
        <v>49588</v>
      </c>
      <c r="G68" s="322">
        <f t="shared" si="6"/>
        <v>342</v>
      </c>
      <c r="H68" s="274">
        <f>G68+'[1]17'!H68</f>
        <v>6412.9210000000021</v>
      </c>
      <c r="I68" s="370"/>
      <c r="J68" s="311">
        <f>H68/DAY(B2)</f>
        <v>356.27338888888903</v>
      </c>
      <c r="K68" s="371"/>
      <c r="L68" s="290"/>
    </row>
    <row r="69" spans="1:12" ht="23.25" customHeight="1" thickBot="1" x14ac:dyDescent="0.4">
      <c r="A69" s="1536" t="s">
        <v>127</v>
      </c>
      <c r="B69" s="1537"/>
      <c r="C69" s="1538"/>
      <c r="D69" s="265" t="s">
        <v>214</v>
      </c>
      <c r="E69" s="309">
        <f>'[1]17'!F69</f>
        <v>42533</v>
      </c>
      <c r="F69" s="264">
        <v>42821</v>
      </c>
      <c r="G69" s="322">
        <f t="shared" si="6"/>
        <v>288</v>
      </c>
      <c r="H69" s="274">
        <f>G69+'[1]17'!H69</f>
        <v>5265.4329999999973</v>
      </c>
      <c r="I69" s="370"/>
      <c r="J69" s="311">
        <f>H69/DAY(B2)</f>
        <v>292.52405555555538</v>
      </c>
      <c r="K69" s="372"/>
      <c r="L69" s="290"/>
    </row>
    <row r="70" spans="1:12" ht="23.25" customHeight="1" x14ac:dyDescent="0.5">
      <c r="A70" s="1545" t="s">
        <v>216</v>
      </c>
      <c r="B70" s="1546"/>
      <c r="C70" s="1547"/>
      <c r="D70" s="265" t="s">
        <v>214</v>
      </c>
      <c r="E70" s="456"/>
      <c r="F70" s="457"/>
      <c r="G70" s="457"/>
      <c r="H70" s="274">
        <f>G70+'[1]13'!H70</f>
        <v>0</v>
      </c>
      <c r="I70" s="457"/>
      <c r="J70" s="457"/>
      <c r="K70" s="372"/>
      <c r="L70" s="290"/>
    </row>
    <row r="71" spans="1:12" ht="23.25" customHeight="1" x14ac:dyDescent="0.5">
      <c r="A71" s="1542" t="s">
        <v>217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371"/>
      <c r="L71" s="290"/>
    </row>
    <row r="72" spans="1:12" ht="23.25" customHeight="1" thickBot="1" x14ac:dyDescent="0.4">
      <c r="A72" s="1536" t="s">
        <v>218</v>
      </c>
      <c r="B72" s="1537"/>
      <c r="C72" s="1538"/>
      <c r="D72" s="265" t="s">
        <v>214</v>
      </c>
      <c r="E72" s="309">
        <f>'[1]17'!F72</f>
        <v>845244</v>
      </c>
      <c r="F72" s="268">
        <v>845296</v>
      </c>
      <c r="G72" s="322">
        <f t="shared" ref="G72:G84" si="7">F72-E72</f>
        <v>52</v>
      </c>
      <c r="H72" s="274">
        <f>G72+'[1]17'!H72</f>
        <v>1034</v>
      </c>
      <c r="I72" s="323"/>
      <c r="J72" s="311">
        <f>H72/DAY(B2)</f>
        <v>57.444444444444443</v>
      </c>
      <c r="K72" s="372"/>
      <c r="L72" s="290"/>
    </row>
    <row r="73" spans="1:12" ht="23.25" customHeight="1" thickBot="1" x14ac:dyDescent="0.4">
      <c r="A73" s="1536" t="s">
        <v>219</v>
      </c>
      <c r="B73" s="1537"/>
      <c r="C73" s="1538"/>
      <c r="D73" s="265" t="s">
        <v>214</v>
      </c>
      <c r="E73" s="309">
        <f>'[1]17'!F73</f>
        <v>885474</v>
      </c>
      <c r="F73" s="268">
        <v>885476</v>
      </c>
      <c r="G73" s="322">
        <f t="shared" si="7"/>
        <v>2</v>
      </c>
      <c r="H73" s="274">
        <f>G73+'[1]17'!H73</f>
        <v>772</v>
      </c>
      <c r="I73" s="323"/>
      <c r="J73" s="311">
        <f>H73/DAY(B2)</f>
        <v>42.888888888888886</v>
      </c>
      <c r="K73" s="371"/>
      <c r="L73" s="290"/>
    </row>
    <row r="74" spans="1:12" ht="23.25" customHeight="1" thickBot="1" x14ac:dyDescent="0.4">
      <c r="A74" s="1536" t="s">
        <v>220</v>
      </c>
      <c r="B74" s="1537"/>
      <c r="C74" s="1538"/>
      <c r="D74" s="265" t="s">
        <v>214</v>
      </c>
      <c r="E74" s="309">
        <f>'[1]17'!F74</f>
        <v>880728</v>
      </c>
      <c r="F74" s="268">
        <v>880755</v>
      </c>
      <c r="G74" s="322">
        <f t="shared" si="7"/>
        <v>27</v>
      </c>
      <c r="H74" s="274">
        <f>G74+'[1]17'!H74</f>
        <v>528</v>
      </c>
      <c r="I74" s="323"/>
      <c r="J74" s="311">
        <f>H74/DAY(B2)</f>
        <v>29.333333333333332</v>
      </c>
      <c r="K74" s="372"/>
      <c r="L74" s="290"/>
    </row>
    <row r="75" spans="1:12" ht="23.25" customHeight="1" thickBot="1" x14ac:dyDescent="0.4">
      <c r="A75" s="1539" t="s">
        <v>221</v>
      </c>
      <c r="B75" s="1540"/>
      <c r="C75" s="1541"/>
      <c r="D75" s="265" t="s">
        <v>214</v>
      </c>
      <c r="E75" s="309">
        <f>'[1]17'!F75</f>
        <v>729198</v>
      </c>
      <c r="F75" s="268">
        <v>729373</v>
      </c>
      <c r="G75" s="322">
        <f t="shared" si="7"/>
        <v>175</v>
      </c>
      <c r="H75" s="274">
        <f>G75+'[1]17'!H75</f>
        <v>3193</v>
      </c>
      <c r="I75" s="323"/>
      <c r="J75" s="311">
        <f>H75/DAY(B2)</f>
        <v>177.38888888888889</v>
      </c>
      <c r="K75" s="371"/>
      <c r="L75" s="290"/>
    </row>
    <row r="76" spans="1:12" ht="23.25" customHeight="1" thickBot="1" x14ac:dyDescent="0.4">
      <c r="A76" s="1539" t="s">
        <v>222</v>
      </c>
      <c r="B76" s="1540"/>
      <c r="C76" s="1541"/>
      <c r="D76" s="265" t="s">
        <v>214</v>
      </c>
      <c r="E76" s="309">
        <f>'[1]17'!F76</f>
        <v>683035</v>
      </c>
      <c r="F76" s="268">
        <v>683146</v>
      </c>
      <c r="G76" s="322">
        <f t="shared" si="7"/>
        <v>111</v>
      </c>
      <c r="H76" s="274">
        <f>G76+'[1]17'!H76</f>
        <v>2776</v>
      </c>
      <c r="I76" s="353"/>
      <c r="J76" s="311">
        <f>H76/DAY(B2)</f>
        <v>154.22222222222223</v>
      </c>
      <c r="K76" s="371"/>
      <c r="L76" s="290"/>
    </row>
    <row r="77" spans="1:12" ht="23.25" customHeight="1" thickBot="1" x14ac:dyDescent="0.4">
      <c r="A77" s="1536" t="s">
        <v>223</v>
      </c>
      <c r="B77" s="1537"/>
      <c r="C77" s="1538"/>
      <c r="D77" s="265" t="s">
        <v>214</v>
      </c>
      <c r="E77" s="309">
        <f>'[1]17'!F77</f>
        <v>694628</v>
      </c>
      <c r="F77" s="268">
        <v>694678</v>
      </c>
      <c r="G77" s="322">
        <f t="shared" si="7"/>
        <v>50</v>
      </c>
      <c r="H77" s="274">
        <f>G77+'[1]17'!H77</f>
        <v>958</v>
      </c>
      <c r="I77" s="353"/>
      <c r="J77" s="311">
        <f>H77/DAY(B2)</f>
        <v>53.222222222222221</v>
      </c>
      <c r="K77" s="371"/>
      <c r="L77" s="290"/>
    </row>
    <row r="78" spans="1:12" ht="23.25" customHeight="1" thickBot="1" x14ac:dyDescent="0.4">
      <c r="A78" s="1342" t="s">
        <v>224</v>
      </c>
      <c r="B78" s="1343"/>
      <c r="C78" s="1344"/>
      <c r="D78" s="265" t="s">
        <v>214</v>
      </c>
      <c r="E78" s="309">
        <f>'[1]17'!F78</f>
        <v>625143</v>
      </c>
      <c r="F78" s="268">
        <v>625583</v>
      </c>
      <c r="G78" s="322">
        <f t="shared" si="7"/>
        <v>440</v>
      </c>
      <c r="H78" s="274">
        <f>G78+'[1]17'!H78</f>
        <v>7330</v>
      </c>
      <c r="I78" s="353"/>
      <c r="J78" s="311">
        <f>H78/DAY(B2)</f>
        <v>407.22222222222223</v>
      </c>
      <c r="K78" s="371"/>
      <c r="L78" s="290"/>
    </row>
    <row r="79" spans="1:12" ht="23.25" customHeight="1" thickBot="1" x14ac:dyDescent="0.4">
      <c r="A79" s="1548" t="s">
        <v>112</v>
      </c>
      <c r="B79" s="1549"/>
      <c r="C79" s="1550"/>
      <c r="D79" s="373" t="s">
        <v>214</v>
      </c>
      <c r="E79" s="309">
        <f>'[1]17'!F79</f>
        <v>801266</v>
      </c>
      <c r="F79" s="268">
        <v>801450</v>
      </c>
      <c r="G79" s="322">
        <f t="shared" si="7"/>
        <v>184</v>
      </c>
      <c r="H79" s="274">
        <f>G79+'[1]17'!H79</f>
        <v>6198</v>
      </c>
      <c r="I79" s="353"/>
      <c r="J79" s="311">
        <f>H79/DAY(B2)</f>
        <v>344.33333333333331</v>
      </c>
      <c r="K79" s="371"/>
      <c r="L79" s="290"/>
    </row>
    <row r="80" spans="1:12" ht="23.25" customHeight="1" thickBot="1" x14ac:dyDescent="0.4">
      <c r="A80" s="1548" t="s">
        <v>225</v>
      </c>
      <c r="B80" s="1549"/>
      <c r="C80" s="1550"/>
      <c r="D80" s="373" t="s">
        <v>214</v>
      </c>
      <c r="E80" s="309">
        <f>'[1]17'!F80</f>
        <v>471127</v>
      </c>
      <c r="F80" s="268">
        <v>471419</v>
      </c>
      <c r="G80" s="322">
        <f t="shared" si="7"/>
        <v>292</v>
      </c>
      <c r="H80" s="274">
        <f>G80+'[1]17'!H80</f>
        <v>4095.1599999999744</v>
      </c>
      <c r="I80" s="353"/>
      <c r="J80" s="311">
        <f>H80/DAY(B2)</f>
        <v>227.50888888888747</v>
      </c>
      <c r="K80" s="371"/>
      <c r="L80" s="290"/>
    </row>
    <row r="81" spans="1:15" ht="23.25" customHeight="1" thickBot="1" x14ac:dyDescent="0.4">
      <c r="A81" s="1548" t="s">
        <v>226</v>
      </c>
      <c r="B81" s="1549"/>
      <c r="C81" s="1550"/>
      <c r="D81" s="373" t="s">
        <v>214</v>
      </c>
      <c r="E81" s="309">
        <f>'[1]17'!F81</f>
        <v>617099</v>
      </c>
      <c r="F81" s="268">
        <v>617271</v>
      </c>
      <c r="G81" s="322">
        <f t="shared" si="7"/>
        <v>172</v>
      </c>
      <c r="H81" s="274">
        <f>G81+'[1]17'!H81</f>
        <v>2882.4799999999814</v>
      </c>
      <c r="I81" s="353"/>
      <c r="J81" s="311">
        <f>H81/DAY(B2)</f>
        <v>160.13777777777673</v>
      </c>
      <c r="K81" s="371"/>
      <c r="L81" s="290"/>
    </row>
    <row r="82" spans="1:15" ht="23.25" customHeight="1" thickBot="1" x14ac:dyDescent="0.4">
      <c r="A82" s="1554" t="s">
        <v>115</v>
      </c>
      <c r="B82" s="1549"/>
      <c r="C82" s="1550"/>
      <c r="D82" s="374" t="s">
        <v>159</v>
      </c>
      <c r="E82" s="309">
        <f>'[1]17'!F82</f>
        <v>104095</v>
      </c>
      <c r="F82" s="269">
        <v>104120</v>
      </c>
      <c r="G82" s="322">
        <f t="shared" si="7"/>
        <v>25</v>
      </c>
      <c r="H82" s="274">
        <f>G82+'[1]17'!H82</f>
        <v>590.35000000000582</v>
      </c>
      <c r="I82" s="375"/>
      <c r="J82" s="311">
        <f>H82/DAY(B2)</f>
        <v>32.797222222222544</v>
      </c>
      <c r="K82" s="371"/>
      <c r="L82" s="290"/>
    </row>
    <row r="83" spans="1:15" ht="23.25" customHeight="1" thickBot="1" x14ac:dyDescent="0.4">
      <c r="A83" s="1554" t="s">
        <v>227</v>
      </c>
      <c r="B83" s="1549"/>
      <c r="C83" s="1550"/>
      <c r="D83" s="270" t="s">
        <v>159</v>
      </c>
      <c r="E83" s="309">
        <f>'[1]17'!F83</f>
        <v>968586</v>
      </c>
      <c r="F83" s="266">
        <v>968892</v>
      </c>
      <c r="G83" s="322">
        <f t="shared" si="7"/>
        <v>306</v>
      </c>
      <c r="H83" s="274">
        <f>G83+'[1]17'!H83</f>
        <v>6367</v>
      </c>
      <c r="I83" s="276"/>
      <c r="J83" s="311">
        <f>H83/DAY(B2)</f>
        <v>353.72222222222223</v>
      </c>
      <c r="K83" s="327"/>
      <c r="L83" s="290"/>
    </row>
    <row r="84" spans="1:15" ht="23.25" customHeight="1" thickBot="1" x14ac:dyDescent="0.4">
      <c r="A84" s="1345" t="s">
        <v>228</v>
      </c>
      <c r="B84" s="1345"/>
      <c r="C84" s="1346"/>
      <c r="D84" s="376" t="s">
        <v>159</v>
      </c>
      <c r="E84" s="309">
        <f>'[1]17'!F84</f>
        <v>390567</v>
      </c>
      <c r="F84" s="265">
        <v>391050</v>
      </c>
      <c r="G84" s="322">
        <f t="shared" si="7"/>
        <v>483</v>
      </c>
      <c r="H84" s="274">
        <f>G84+'[1]17'!H84</f>
        <v>9694</v>
      </c>
      <c r="I84" s="276"/>
      <c r="J84" s="311">
        <f>H84/DAY(B2)</f>
        <v>538.55555555555554</v>
      </c>
      <c r="K84" s="377"/>
      <c r="L84" s="290"/>
    </row>
    <row r="85" spans="1:15" s="380" customFormat="1" ht="23.25" customHeight="1" x14ac:dyDescent="0.35">
      <c r="A85" s="443" t="s">
        <v>82</v>
      </c>
      <c r="B85" s="444"/>
      <c r="C85" s="444"/>
      <c r="D85" s="378"/>
      <c r="E85" s="265"/>
      <c r="F85" s="265"/>
      <c r="G85" s="396">
        <f xml:space="preserve"> SUM(G72:G84)</f>
        <v>2319</v>
      </c>
      <c r="H85" s="274">
        <f>G85+'[1]17'!H85</f>
        <v>41861.519999999931</v>
      </c>
      <c r="I85" s="276"/>
      <c r="J85" s="311">
        <f>H85/DAY(B2)</f>
        <v>2325.6399999999962</v>
      </c>
      <c r="K85" s="377"/>
      <c r="L85" s="379"/>
    </row>
    <row r="86" spans="1:15" s="871" customFormat="1" ht="29.25" x14ac:dyDescent="0.5">
      <c r="A86" s="866" t="s">
        <v>117</v>
      </c>
      <c r="B86" s="867"/>
      <c r="C86" s="867"/>
      <c r="D86" s="868" t="s">
        <v>210</v>
      </c>
      <c r="E86" s="748">
        <f>'[1]17'!F86</f>
        <v>442966</v>
      </c>
      <c r="F86" s="764">
        <v>443111</v>
      </c>
      <c r="G86" s="841">
        <f t="shared" ref="G86:G90" si="8">F86-E86</f>
        <v>145</v>
      </c>
      <c r="H86" s="841">
        <f t="shared" ref="H86:H88" si="9">G86</f>
        <v>145</v>
      </c>
      <c r="I86" s="769"/>
      <c r="J86" s="843">
        <f>H86/DAY(B2)</f>
        <v>8.0555555555555554</v>
      </c>
      <c r="K86" s="869"/>
      <c r="L86" s="870"/>
      <c r="O86" s="849"/>
    </row>
    <row r="87" spans="1:15" s="871" customFormat="1" ht="29.25" x14ac:dyDescent="0.5">
      <c r="A87" s="866" t="s">
        <v>118</v>
      </c>
      <c r="B87" s="867"/>
      <c r="C87" s="867"/>
      <c r="D87" s="868" t="s">
        <v>210</v>
      </c>
      <c r="E87" s="748">
        <f>'[1]17'!F87</f>
        <v>77414</v>
      </c>
      <c r="F87" s="764">
        <v>77449</v>
      </c>
      <c r="G87" s="841">
        <f t="shared" si="8"/>
        <v>35</v>
      </c>
      <c r="H87" s="841">
        <f t="shared" si="9"/>
        <v>35</v>
      </c>
      <c r="I87" s="769"/>
      <c r="J87" s="843">
        <f>H87/DAY(B2)</f>
        <v>1.9444444444444444</v>
      </c>
      <c r="K87" s="869"/>
      <c r="L87" s="870"/>
      <c r="O87" s="849"/>
    </row>
    <row r="88" spans="1:15" s="871" customFormat="1" ht="29.25" x14ac:dyDescent="0.5">
      <c r="A88" s="866" t="s">
        <v>119</v>
      </c>
      <c r="B88" s="867"/>
      <c r="C88" s="867"/>
      <c r="D88" s="868" t="s">
        <v>210</v>
      </c>
      <c r="E88" s="748">
        <f>'[1]17'!F88</f>
        <v>143695</v>
      </c>
      <c r="F88" s="764">
        <v>143779</v>
      </c>
      <c r="G88" s="841">
        <f t="shared" si="8"/>
        <v>84</v>
      </c>
      <c r="H88" s="841">
        <f t="shared" si="9"/>
        <v>84</v>
      </c>
      <c r="I88" s="769"/>
      <c r="J88" s="843">
        <f>H88/DAY(B2)</f>
        <v>4.666666666666667</v>
      </c>
      <c r="K88" s="869"/>
      <c r="L88" s="870"/>
      <c r="O88" s="849"/>
    </row>
    <row r="89" spans="1:15" s="871" customFormat="1" ht="29.25" x14ac:dyDescent="0.5">
      <c r="A89" s="866" t="s">
        <v>230</v>
      </c>
      <c r="B89" s="867"/>
      <c r="C89" s="867"/>
      <c r="D89" s="868" t="s">
        <v>210</v>
      </c>
      <c r="E89" s="748">
        <f>'[1]17'!F89</f>
        <v>56706</v>
      </c>
      <c r="F89" s="764">
        <v>56772</v>
      </c>
      <c r="G89" s="841">
        <f t="shared" si="8"/>
        <v>66</v>
      </c>
      <c r="H89" s="841">
        <f>G89</f>
        <v>66</v>
      </c>
      <c r="I89" s="769"/>
      <c r="J89" s="843">
        <f>H89/DAY(B2)</f>
        <v>3.6666666666666665</v>
      </c>
      <c r="K89" s="869"/>
      <c r="L89" s="870"/>
      <c r="N89" s="919"/>
      <c r="O89" s="410"/>
    </row>
    <row r="90" spans="1:15" s="871" customFormat="1" ht="29.25" x14ac:dyDescent="0.5">
      <c r="A90" s="866" t="s">
        <v>230</v>
      </c>
      <c r="B90" s="867"/>
      <c r="C90" s="867"/>
      <c r="D90" s="868" t="s">
        <v>210</v>
      </c>
      <c r="E90" s="748">
        <f>'[1]17'!F90</f>
        <v>2943</v>
      </c>
      <c r="F90" s="764">
        <v>2949</v>
      </c>
      <c r="G90" s="841">
        <f t="shared" si="8"/>
        <v>6</v>
      </c>
      <c r="H90" s="841">
        <f>G90</f>
        <v>6</v>
      </c>
      <c r="I90" s="769"/>
      <c r="J90" s="843">
        <f>H90/DAY(B2)</f>
        <v>0.33333333333333331</v>
      </c>
      <c r="K90" s="869"/>
      <c r="L90" s="870"/>
      <c r="N90" s="919"/>
      <c r="O90" s="410"/>
    </row>
    <row r="91" spans="1:15" s="380" customFormat="1" ht="23.25" customHeight="1" x14ac:dyDescent="0.35">
      <c r="A91" s="1350" t="s">
        <v>231</v>
      </c>
      <c r="B91" s="432"/>
      <c r="C91" s="1351"/>
      <c r="D91" s="518"/>
      <c r="E91" s="518"/>
      <c r="F91" s="518"/>
      <c r="G91" s="423"/>
      <c r="H91" s="518"/>
      <c r="I91" s="518"/>
      <c r="J91" s="518"/>
      <c r="K91" s="377"/>
      <c r="L91" s="379"/>
    </row>
    <row r="92" spans="1:15" ht="23.25" customHeight="1" thickBot="1" x14ac:dyDescent="0.4">
      <c r="A92" s="1530" t="s">
        <v>233</v>
      </c>
      <c r="B92" s="1531"/>
      <c r="C92" s="1532"/>
      <c r="D92" s="265" t="s">
        <v>171</v>
      </c>
      <c r="E92" s="309">
        <f>'[1]17'!F92</f>
        <v>232642</v>
      </c>
      <c r="F92" s="264">
        <v>232734</v>
      </c>
      <c r="G92" s="322">
        <f t="shared" ref="G92:G93" si="10">F92-E92</f>
        <v>92</v>
      </c>
      <c r="H92" s="274">
        <f>G92+'[1]17'!H92</f>
        <v>1759</v>
      </c>
      <c r="I92" s="323"/>
      <c r="J92" s="311">
        <f>H92/DAY(B2)</f>
        <v>97.722222222222229</v>
      </c>
      <c r="K92" s="327"/>
      <c r="L92" s="290"/>
    </row>
    <row r="93" spans="1:15" ht="23.25" customHeight="1" thickBot="1" x14ac:dyDescent="0.4">
      <c r="A93" s="1530" t="s">
        <v>234</v>
      </c>
      <c r="B93" s="1531"/>
      <c r="C93" s="1532"/>
      <c r="D93" s="265" t="s">
        <v>171</v>
      </c>
      <c r="E93" s="309">
        <f>'[1]17'!F93</f>
        <v>165084</v>
      </c>
      <c r="F93" s="264">
        <v>165187</v>
      </c>
      <c r="G93" s="322">
        <f t="shared" si="10"/>
        <v>103</v>
      </c>
      <c r="H93" s="274">
        <f>G93+'[1]17'!H93</f>
        <v>2545</v>
      </c>
      <c r="I93" s="323"/>
      <c r="J93" s="311">
        <f>H93/DAY(B2)</f>
        <v>141.38888888888889</v>
      </c>
      <c r="K93" s="377"/>
      <c r="L93" s="290"/>
    </row>
    <row r="94" spans="1:15" ht="23.25" customHeight="1" thickBot="1" x14ac:dyDescent="0.4">
      <c r="A94" s="1551" t="s">
        <v>235</v>
      </c>
      <c r="B94" s="1552"/>
      <c r="C94" s="1553"/>
      <c r="D94" s="265"/>
      <c r="E94" s="309">
        <f>'[1]17'!F94</f>
        <v>0</v>
      </c>
      <c r="F94" s="264"/>
      <c r="G94" s="322">
        <f>G92+G93</f>
        <v>195</v>
      </c>
      <c r="H94" s="274">
        <f>G94+'[1]17'!H94</f>
        <v>4041</v>
      </c>
      <c r="I94" s="323"/>
      <c r="J94" s="311">
        <f>H94/DAY(B2)</f>
        <v>224.5</v>
      </c>
      <c r="K94" s="377"/>
      <c r="L94" s="290"/>
    </row>
    <row r="95" spans="1:15" ht="23.25" customHeight="1" thickBot="1" x14ac:dyDescent="0.4">
      <c r="A95" s="1530" t="s">
        <v>236</v>
      </c>
      <c r="B95" s="1531"/>
      <c r="C95" s="1532"/>
      <c r="D95" s="265" t="s">
        <v>171</v>
      </c>
      <c r="E95" s="309">
        <f>'[1]17'!F95</f>
        <v>402668</v>
      </c>
      <c r="F95" s="264">
        <v>402736</v>
      </c>
      <c r="G95" s="322">
        <f t="shared" ref="G95:G100" si="11">F95-E95</f>
        <v>68</v>
      </c>
      <c r="H95" s="274">
        <f>G95+'[1]17'!H95</f>
        <v>1171</v>
      </c>
      <c r="I95" s="323"/>
      <c r="J95" s="311">
        <f>H95/DAY(B2)</f>
        <v>65.055555555555557</v>
      </c>
      <c r="K95" s="377"/>
      <c r="L95" s="290"/>
    </row>
    <row r="96" spans="1:15" ht="23.25" customHeight="1" thickBot="1" x14ac:dyDescent="0.4">
      <c r="A96" s="1339" t="s">
        <v>237</v>
      </c>
      <c r="B96" s="1340"/>
      <c r="C96" s="1341"/>
      <c r="D96" s="265" t="s">
        <v>171</v>
      </c>
      <c r="E96" s="309">
        <f>'[1]17'!F96</f>
        <v>99595</v>
      </c>
      <c r="F96" s="264">
        <v>99613</v>
      </c>
      <c r="G96" s="322">
        <f t="shared" si="11"/>
        <v>18</v>
      </c>
      <c r="H96" s="274">
        <f>G96+'[1]17'!H96</f>
        <v>502</v>
      </c>
      <c r="I96" s="323"/>
      <c r="J96" s="311">
        <f>H96/DAY(B2)</f>
        <v>27.888888888888889</v>
      </c>
      <c r="K96" s="304"/>
      <c r="L96" s="290"/>
    </row>
    <row r="97" spans="1:12" ht="23.25" customHeight="1" thickBot="1" x14ac:dyDescent="0.4">
      <c r="A97" s="1339" t="s">
        <v>238</v>
      </c>
      <c r="B97" s="1340"/>
      <c r="C97" s="1341"/>
      <c r="D97" s="265" t="s">
        <v>171</v>
      </c>
      <c r="E97" s="309">
        <f>'[1]17'!F97</f>
        <v>94696</v>
      </c>
      <c r="F97" s="264">
        <v>94721</v>
      </c>
      <c r="G97" s="322">
        <f t="shared" si="11"/>
        <v>25</v>
      </c>
      <c r="H97" s="274">
        <f>G97+'[1]17'!H97</f>
        <v>449</v>
      </c>
      <c r="I97" s="323"/>
      <c r="J97" s="311">
        <f>H97/DAY(B2)</f>
        <v>24.944444444444443</v>
      </c>
      <c r="K97" s="381"/>
      <c r="L97" s="290"/>
    </row>
    <row r="98" spans="1:12" ht="23.25" customHeight="1" thickBot="1" x14ac:dyDescent="0.4">
      <c r="A98" s="1339" t="s">
        <v>239</v>
      </c>
      <c r="B98" s="1340"/>
      <c r="C98" s="1341"/>
      <c r="D98" s="265" t="s">
        <v>171</v>
      </c>
      <c r="E98" s="309">
        <f>'[1]17'!F98</f>
        <v>143091</v>
      </c>
      <c r="F98" s="264">
        <v>143118</v>
      </c>
      <c r="G98" s="322">
        <f t="shared" si="11"/>
        <v>27</v>
      </c>
      <c r="H98" s="274">
        <f>G98+'[1]17'!H98</f>
        <v>972</v>
      </c>
      <c r="I98" s="323"/>
      <c r="J98" s="311">
        <f>H98/DAY(B2)</f>
        <v>54</v>
      </c>
      <c r="K98" s="377"/>
      <c r="L98" s="290"/>
    </row>
    <row r="99" spans="1:12" ht="23.25" customHeight="1" thickBot="1" x14ac:dyDescent="0.4">
      <c r="A99" s="1339" t="s">
        <v>240</v>
      </c>
      <c r="B99" s="1340"/>
      <c r="C99" s="1341"/>
      <c r="D99" s="265" t="s">
        <v>171</v>
      </c>
      <c r="E99" s="309">
        <f>'[1]17'!F99</f>
        <v>5297</v>
      </c>
      <c r="F99" s="264">
        <v>5320</v>
      </c>
      <c r="G99" s="322">
        <f t="shared" si="11"/>
        <v>23</v>
      </c>
      <c r="H99" s="274">
        <f>G99+'[1]17'!H99</f>
        <v>352</v>
      </c>
      <c r="I99" s="323"/>
      <c r="J99" s="311">
        <f>H99/DAY(B2)</f>
        <v>19.555555555555557</v>
      </c>
      <c r="K99" s="377"/>
      <c r="L99" s="290"/>
    </row>
    <row r="100" spans="1:12" ht="23.25" customHeight="1" thickBot="1" x14ac:dyDescent="0.4">
      <c r="A100" s="1339" t="s">
        <v>241</v>
      </c>
      <c r="B100" s="1340"/>
      <c r="C100" s="1341"/>
      <c r="D100" s="265" t="s">
        <v>171</v>
      </c>
      <c r="E100" s="309">
        <f>'[1]17'!F100</f>
        <v>3807</v>
      </c>
      <c r="F100" s="264">
        <v>3816</v>
      </c>
      <c r="G100" s="322">
        <f t="shared" si="11"/>
        <v>9</v>
      </c>
      <c r="H100" s="274">
        <f>G100+'[1]17'!H100</f>
        <v>20</v>
      </c>
      <c r="I100" s="323"/>
      <c r="J100" s="311">
        <f>H100/DAY(B2)</f>
        <v>1.1111111111111112</v>
      </c>
      <c r="K100" s="377"/>
      <c r="L100" s="290"/>
    </row>
    <row r="101" spans="1:12" ht="23.25" customHeight="1" x14ac:dyDescent="0.35">
      <c r="A101" s="1551" t="s">
        <v>242</v>
      </c>
      <c r="B101" s="1552"/>
      <c r="C101" s="1553"/>
      <c r="D101" s="271"/>
      <c r="E101" s="271"/>
      <c r="F101" s="271"/>
      <c r="G101" s="445">
        <f>SUM(G95:G100)</f>
        <v>170</v>
      </c>
      <c r="H101" s="274">
        <f>G101+'[1]17'!H101</f>
        <v>3466</v>
      </c>
      <c r="I101" s="385"/>
      <c r="J101" s="311">
        <f>H101/DAY(B2)</f>
        <v>192.55555555555554</v>
      </c>
      <c r="K101" s="377"/>
      <c r="L101" s="290"/>
    </row>
    <row r="102" spans="1:12" s="524" customFormat="1" ht="25.5" customHeight="1" x14ac:dyDescent="0.35">
      <c r="A102" s="557" t="s">
        <v>243</v>
      </c>
      <c r="B102" s="561"/>
      <c r="C102" s="561"/>
      <c r="D102" s="548"/>
      <c r="E102" s="549"/>
      <c r="F102" s="550"/>
      <c r="G102" s="551"/>
      <c r="H102" s="552"/>
      <c r="I102" s="553"/>
      <c r="J102" s="554"/>
    </row>
    <row r="103" spans="1:12" s="524" customFormat="1" ht="21.75" customHeight="1" x14ac:dyDescent="0.35">
      <c r="A103" s="1513" t="s">
        <v>244</v>
      </c>
      <c r="B103" s="1514"/>
      <c r="C103" s="527"/>
      <c r="D103" s="558"/>
      <c r="E103" s="528"/>
      <c r="F103" s="528"/>
      <c r="G103" s="528"/>
      <c r="H103" s="529"/>
      <c r="I103" s="528"/>
      <c r="J103" s="529"/>
    </row>
    <row r="104" spans="1:12" s="524" customFormat="1" ht="21.75" customHeight="1" x14ac:dyDescent="0.35">
      <c r="A104" s="1515" t="s">
        <v>245</v>
      </c>
      <c r="B104" s="1515"/>
      <c r="C104" s="1337"/>
      <c r="D104" s="558" t="s">
        <v>171</v>
      </c>
      <c r="E104" s="528">
        <f>'[1]17'!F104</f>
        <v>7010</v>
      </c>
      <c r="F104" s="528">
        <v>7010</v>
      </c>
      <c r="G104" s="528">
        <f>F104-E104</f>
        <v>0</v>
      </c>
      <c r="H104" s="529">
        <f>SUM(G104+'[1]1'!G76)</f>
        <v>57</v>
      </c>
      <c r="I104" s="528"/>
      <c r="J104" s="529">
        <f>H104/DAY(B2)</f>
        <v>3.1666666666666665</v>
      </c>
    </row>
    <row r="105" spans="1:12" s="524" customFormat="1" ht="21.75" customHeight="1" x14ac:dyDescent="0.35">
      <c r="A105" s="1515" t="s">
        <v>92</v>
      </c>
      <c r="B105" s="1515"/>
      <c r="C105" s="1337"/>
      <c r="D105" s="558" t="s">
        <v>171</v>
      </c>
      <c r="E105" s="528">
        <f>'[1]17'!F105</f>
        <v>34809</v>
      </c>
      <c r="F105" s="530">
        <v>34809</v>
      </c>
      <c r="G105" s="528">
        <f t="shared" ref="G105:G106" si="12">F105-E105</f>
        <v>0</v>
      </c>
      <c r="H105" s="529">
        <f>SUM(G105+'[1]1'!G77)</f>
        <v>55</v>
      </c>
      <c r="I105" s="528"/>
      <c r="J105" s="529">
        <f>H105/DAY(B2)</f>
        <v>3.0555555555555554</v>
      </c>
    </row>
    <row r="106" spans="1:12" s="524" customFormat="1" ht="21.75" customHeight="1" x14ac:dyDescent="0.35">
      <c r="A106" s="1515" t="s">
        <v>93</v>
      </c>
      <c r="B106" s="1515"/>
      <c r="C106" s="1515"/>
      <c r="D106" s="558" t="s">
        <v>171</v>
      </c>
      <c r="E106" s="528">
        <f>'[1]17'!F106</f>
        <v>18817</v>
      </c>
      <c r="F106" s="528">
        <v>18822</v>
      </c>
      <c r="G106" s="528">
        <f t="shared" si="12"/>
        <v>5</v>
      </c>
      <c r="H106" s="529">
        <f>SUM(G106+'[1]1'!G78)</f>
        <v>485</v>
      </c>
      <c r="I106" s="528"/>
      <c r="J106" s="529">
        <f>H106/DAY(B2)</f>
        <v>26.944444444444443</v>
      </c>
    </row>
    <row r="107" spans="1:12" s="524" customFormat="1" ht="21.75" customHeight="1" x14ac:dyDescent="0.35">
      <c r="A107" s="1516" t="s">
        <v>82</v>
      </c>
      <c r="B107" s="1516"/>
      <c r="C107" s="1337"/>
      <c r="D107" s="558"/>
      <c r="E107" s="528">
        <f>'[1]17'!F107</f>
        <v>0</v>
      </c>
      <c r="F107" s="528"/>
      <c r="G107" s="528">
        <f>SUM(G104:G106)</f>
        <v>5</v>
      </c>
      <c r="H107" s="529">
        <f>SUM(G107+'[1]1'!G79)</f>
        <v>206</v>
      </c>
      <c r="I107" s="528"/>
      <c r="J107" s="529">
        <f>H107/DAY(B2)</f>
        <v>11.444444444444445</v>
      </c>
    </row>
    <row r="108" spans="1:12" s="524" customFormat="1" ht="21.75" customHeight="1" x14ac:dyDescent="0.35">
      <c r="A108" s="1517" t="s">
        <v>94</v>
      </c>
      <c r="B108" s="1517"/>
      <c r="C108" s="1337"/>
      <c r="D108" s="558" t="s">
        <v>171</v>
      </c>
      <c r="E108" s="528">
        <f>'[1]17'!F108</f>
        <v>0</v>
      </c>
      <c r="F108" s="528"/>
      <c r="G108" s="528"/>
      <c r="H108" s="529"/>
      <c r="I108" s="528"/>
      <c r="J108" s="529"/>
    </row>
    <row r="109" spans="1:12" s="524" customFormat="1" ht="21.75" customHeight="1" x14ac:dyDescent="0.35">
      <c r="A109" s="1515" t="s">
        <v>246</v>
      </c>
      <c r="B109" s="1515"/>
      <c r="C109" s="1337"/>
      <c r="D109" s="558" t="s">
        <v>171</v>
      </c>
      <c r="E109" s="528">
        <f>'[1]17'!F109</f>
        <v>52243</v>
      </c>
      <c r="F109" s="528">
        <v>52285</v>
      </c>
      <c r="G109" s="528">
        <f>F109-E109</f>
        <v>42</v>
      </c>
      <c r="H109" s="529">
        <f>SUM(G109+'[1]1'!G81)</f>
        <v>195.28000000002794</v>
      </c>
      <c r="I109" s="528"/>
      <c r="J109" s="529">
        <f>H109/DAY(B2)</f>
        <v>10.848888888890441</v>
      </c>
    </row>
    <row r="110" spans="1:12" s="524" customFormat="1" ht="21.75" customHeight="1" x14ac:dyDescent="0.35">
      <c r="A110" s="1515" t="s">
        <v>247</v>
      </c>
      <c r="B110" s="1515"/>
      <c r="C110" s="1337"/>
      <c r="D110" s="558" t="s">
        <v>171</v>
      </c>
      <c r="E110" s="528">
        <f>'[1]17'!F110</f>
        <v>26206</v>
      </c>
      <c r="F110" s="528">
        <v>26274</v>
      </c>
      <c r="G110" s="528">
        <f t="shared" ref="G110:G111" si="13">F110-E110</f>
        <v>68</v>
      </c>
      <c r="H110" s="529">
        <f>SUM(G110+'[1]1'!G82)</f>
        <v>88.760000000009313</v>
      </c>
      <c r="I110" s="528"/>
      <c r="J110" s="529">
        <f>H110/DAY(B2)</f>
        <v>4.9311111111116288</v>
      </c>
    </row>
    <row r="111" spans="1:12" s="524" customFormat="1" ht="21.75" customHeight="1" x14ac:dyDescent="0.35">
      <c r="A111" s="1515" t="s">
        <v>248</v>
      </c>
      <c r="B111" s="1515"/>
      <c r="C111" s="1337"/>
      <c r="D111" s="558" t="s">
        <v>171</v>
      </c>
      <c r="E111" s="528">
        <f>'[1]17'!F111</f>
        <v>3472</v>
      </c>
      <c r="F111" s="528">
        <v>3472</v>
      </c>
      <c r="G111" s="528">
        <f t="shared" si="13"/>
        <v>0</v>
      </c>
      <c r="H111" s="529">
        <f>SUM(G111+'[1]1'!G83)</f>
        <v>346</v>
      </c>
      <c r="I111" s="528"/>
      <c r="J111" s="529">
        <f>H111/DAY(B2)</f>
        <v>19.222222222222221</v>
      </c>
    </row>
    <row r="112" spans="1:12" s="524" customFormat="1" ht="21.75" customHeight="1" x14ac:dyDescent="0.35">
      <c r="A112" s="1518" t="s">
        <v>136</v>
      </c>
      <c r="B112" s="1518"/>
      <c r="C112" s="1337"/>
      <c r="D112" s="558"/>
      <c r="E112" s="528">
        <f>'[1]17'!F112</f>
        <v>0</v>
      </c>
      <c r="F112" s="528"/>
      <c r="G112" s="528">
        <f>SUM(G109:G111)</f>
        <v>110</v>
      </c>
      <c r="H112" s="529">
        <f>SUM(G112+'[1]1'!G84)</f>
        <v>674</v>
      </c>
      <c r="I112" s="528"/>
      <c r="J112" s="529">
        <f>H112/DAY(B2)</f>
        <v>37.444444444444443</v>
      </c>
    </row>
    <row r="113" spans="1:12" s="524" customFormat="1" ht="21.75" customHeight="1" x14ac:dyDescent="0.35">
      <c r="A113" s="1517" t="s">
        <v>249</v>
      </c>
      <c r="B113" s="1517"/>
      <c r="C113" s="1337"/>
      <c r="D113" s="558"/>
      <c r="E113" s="528">
        <f>'[1]17'!F113</f>
        <v>0</v>
      </c>
      <c r="F113" s="528"/>
      <c r="G113" s="528"/>
      <c r="H113" s="529"/>
      <c r="I113" s="528"/>
      <c r="J113" s="529">
        <f>H113/DAY(B2)</f>
        <v>0</v>
      </c>
    </row>
    <row r="114" spans="1:12" s="524" customFormat="1" ht="21.75" customHeight="1" x14ac:dyDescent="0.35">
      <c r="A114" s="1515" t="s">
        <v>250</v>
      </c>
      <c r="B114" s="1515"/>
      <c r="C114" s="562"/>
      <c r="D114" s="558" t="s">
        <v>171</v>
      </c>
      <c r="E114" s="528">
        <f>'[1]17'!F114</f>
        <v>8993</v>
      </c>
      <c r="F114" s="532">
        <v>9020</v>
      </c>
      <c r="G114" s="532">
        <f>F114-E114</f>
        <v>27</v>
      </c>
      <c r="H114" s="532">
        <f>SUM(G114+'[1]1'!G91)</f>
        <v>27</v>
      </c>
      <c r="I114" s="528"/>
      <c r="J114" s="529">
        <f>H114/DAY(B2)</f>
        <v>1.5</v>
      </c>
    </row>
    <row r="115" spans="1:12" s="524" customFormat="1" ht="21.75" customHeight="1" x14ac:dyDescent="0.35">
      <c r="A115" s="1515" t="s">
        <v>251</v>
      </c>
      <c r="B115" s="1515"/>
      <c r="C115" s="562"/>
      <c r="D115" s="558" t="s">
        <v>171</v>
      </c>
      <c r="E115" s="528">
        <f>'[1]17'!F115</f>
        <v>7038</v>
      </c>
      <c r="F115" s="532">
        <v>7046</v>
      </c>
      <c r="G115" s="532">
        <f t="shared" ref="G115:G116" si="14">F115-E115</f>
        <v>8</v>
      </c>
      <c r="H115" s="532">
        <f>SUM(G115+'[1]1'!G92)</f>
        <v>120</v>
      </c>
      <c r="I115" s="528"/>
      <c r="J115" s="529">
        <f>H115/DAY(B2)</f>
        <v>6.666666666666667</v>
      </c>
    </row>
    <row r="116" spans="1:12" s="524" customFormat="1" ht="21.75" customHeight="1" x14ac:dyDescent="0.35">
      <c r="A116" s="1515" t="s">
        <v>252</v>
      </c>
      <c r="B116" s="1515"/>
      <c r="C116" s="562"/>
      <c r="D116" s="558" t="s">
        <v>171</v>
      </c>
      <c r="E116" s="532"/>
      <c r="F116" s="532"/>
      <c r="G116" s="532">
        <f t="shared" si="14"/>
        <v>0</v>
      </c>
      <c r="H116" s="532">
        <f>SUM(G116+'[1]1'!G93)</f>
        <v>151</v>
      </c>
      <c r="I116" s="528"/>
      <c r="J116" s="529">
        <f>H116/DAY(B2)</f>
        <v>8.3888888888888893</v>
      </c>
    </row>
    <row r="117" spans="1:12" s="537" customFormat="1" x14ac:dyDescent="0.35">
      <c r="A117" s="1516" t="s">
        <v>82</v>
      </c>
      <c r="B117" s="1516"/>
      <c r="C117" s="562"/>
      <c r="D117" s="559"/>
      <c r="E117" s="532"/>
      <c r="F117" s="532"/>
      <c r="G117" s="532">
        <f>SUM(G114:G116)</f>
        <v>35</v>
      </c>
      <c r="H117" s="532">
        <f>SUM(G117+'[1]1'!G95)</f>
        <v>82</v>
      </c>
      <c r="I117" s="532"/>
      <c r="J117" s="529">
        <f>H117/DAY(B2)</f>
        <v>4.5555555555555554</v>
      </c>
    </row>
    <row r="118" spans="1:12" s="538" customFormat="1" x14ac:dyDescent="0.35">
      <c r="A118" s="1519" t="s">
        <v>253</v>
      </c>
      <c r="B118" s="1519"/>
      <c r="C118" s="1336"/>
      <c r="D118" s="560" t="s">
        <v>171</v>
      </c>
      <c r="E118" s="556"/>
      <c r="F118" s="534">
        <f>SUM(G19+G92)</f>
        <v>147</v>
      </c>
      <c r="G118" s="534">
        <f>SUM(G19+G92)</f>
        <v>147</v>
      </c>
      <c r="H118" s="533">
        <f>SUM(G118+'[1]1'!G96)</f>
        <v>180</v>
      </c>
      <c r="I118" s="556"/>
      <c r="J118" s="534">
        <f>H118/DAY(B2)</f>
        <v>10</v>
      </c>
    </row>
    <row r="119" spans="1:12" s="538" customFormat="1" x14ac:dyDescent="0.35">
      <c r="A119" s="1519" t="s">
        <v>254</v>
      </c>
      <c r="B119" s="1519"/>
      <c r="C119" s="1336"/>
      <c r="D119" s="560" t="s">
        <v>171</v>
      </c>
      <c r="E119" s="556"/>
      <c r="F119" s="534">
        <f>SUM(G95,G96,G97,G99,G100)</f>
        <v>143</v>
      </c>
      <c r="G119" s="534">
        <f>SUM(G95,G96,G97,G99,G100)</f>
        <v>143</v>
      </c>
      <c r="H119" s="533">
        <f>SUM(G119+'[1]1'!G98)</f>
        <v>210</v>
      </c>
      <c r="I119" s="556"/>
      <c r="J119" s="534">
        <f>H119/DAY(B2)</f>
        <v>11.666666666666666</v>
      </c>
    </row>
    <row r="120" spans="1:12" s="538" customFormat="1" x14ac:dyDescent="0.35">
      <c r="A120" s="1519" t="s">
        <v>255</v>
      </c>
      <c r="B120" s="1519"/>
      <c r="C120" s="1336"/>
      <c r="D120" s="560" t="s">
        <v>171</v>
      </c>
      <c r="E120" s="556"/>
      <c r="F120" s="532">
        <f>SUM(G112)</f>
        <v>110</v>
      </c>
      <c r="G120" s="532">
        <f>SUM(G112)</f>
        <v>110</v>
      </c>
      <c r="H120" s="533">
        <f>SUM(G120+'[1]1'!G100)</f>
        <v>110</v>
      </c>
      <c r="I120" s="556"/>
      <c r="J120" s="534">
        <f>H120/DAY(B2)</f>
        <v>6.1111111111111107</v>
      </c>
    </row>
    <row r="121" spans="1:12" s="524" customFormat="1" ht="18.75" customHeight="1" x14ac:dyDescent="0.35">
      <c r="A121" s="1520"/>
      <c r="B121" s="1520"/>
      <c r="C121" s="1337"/>
      <c r="F121" s="524" t="s">
        <v>143</v>
      </c>
      <c r="H121" s="535"/>
      <c r="J121" s="536"/>
    </row>
    <row r="122" spans="1:12" ht="23.25" customHeight="1" x14ac:dyDescent="0.35">
      <c r="A122" s="1555" t="s">
        <v>256</v>
      </c>
      <c r="B122" s="1556"/>
      <c r="C122" s="1557"/>
      <c r="D122" s="518"/>
      <c r="E122" s="518"/>
      <c r="F122" s="518"/>
      <c r="G122" s="422"/>
      <c r="H122" s="422"/>
      <c r="I122" s="422"/>
      <c r="J122" s="422"/>
      <c r="K122" s="377"/>
      <c r="L122" s="290"/>
    </row>
    <row r="123" spans="1:12" ht="23.25" customHeight="1" thickBot="1" x14ac:dyDescent="0.4">
      <c r="A123" s="382" t="s">
        <v>257</v>
      </c>
      <c r="B123" s="383"/>
      <c r="C123" s="384"/>
      <c r="D123" s="316" t="s">
        <v>168</v>
      </c>
      <c r="E123" s="309">
        <f>'[1]17'!F123</f>
        <v>792295</v>
      </c>
      <c r="F123" s="272">
        <v>792501</v>
      </c>
      <c r="G123" s="322">
        <f t="shared" ref="G123:G127" si="15">F123-E123</f>
        <v>206</v>
      </c>
      <c r="H123" s="274">
        <f>G123+'[1]17'!H123</f>
        <v>3669.9300000000512</v>
      </c>
      <c r="I123" s="386"/>
      <c r="J123" s="311">
        <f>H123/DAY(B2)</f>
        <v>203.88500000000283</v>
      </c>
      <c r="K123" s="377"/>
      <c r="L123" s="290"/>
    </row>
    <row r="124" spans="1:12" ht="23.25" customHeight="1" thickBot="1" x14ac:dyDescent="0.4">
      <c r="A124" s="382" t="s">
        <v>258</v>
      </c>
      <c r="B124" s="383"/>
      <c r="C124" s="384"/>
      <c r="D124" s="316" t="s">
        <v>168</v>
      </c>
      <c r="E124" s="309">
        <f>'[1]17'!F124</f>
        <v>73581.899999999994</v>
      </c>
      <c r="F124" s="272">
        <v>73581.899999999994</v>
      </c>
      <c r="G124" s="322">
        <f t="shared" si="15"/>
        <v>0</v>
      </c>
      <c r="H124" s="274">
        <f>G124+'[1]17'!H124</f>
        <v>-0.30000000000291038</v>
      </c>
      <c r="I124" s="386"/>
      <c r="J124" s="311">
        <f>H124/DAY(B2)</f>
        <v>-1.6666666666828353E-2</v>
      </c>
      <c r="K124" s="377"/>
      <c r="L124" s="290"/>
    </row>
    <row r="125" spans="1:12" ht="23.25" customHeight="1" thickBot="1" x14ac:dyDescent="0.4">
      <c r="A125" s="1536" t="s">
        <v>259</v>
      </c>
      <c r="B125" s="1537"/>
      <c r="C125" s="1538"/>
      <c r="D125" s="265" t="s">
        <v>168</v>
      </c>
      <c r="E125" s="309">
        <f>'[1]17'!F125</f>
        <v>134545</v>
      </c>
      <c r="F125" s="261">
        <v>134637</v>
      </c>
      <c r="G125" s="322">
        <f t="shared" si="15"/>
        <v>92</v>
      </c>
      <c r="H125" s="274">
        <f>G125+'[1]17'!H125</f>
        <v>1514.1199999999953</v>
      </c>
      <c r="I125" s="386"/>
      <c r="J125" s="311">
        <f>H125/DAY(B2)</f>
        <v>84.117777777777519</v>
      </c>
      <c r="K125" s="377"/>
      <c r="L125" s="290"/>
    </row>
    <row r="126" spans="1:12" ht="23.25" customHeight="1" thickBot="1" x14ac:dyDescent="0.4">
      <c r="A126" s="413" t="s">
        <v>260</v>
      </c>
      <c r="B126" s="1340"/>
      <c r="C126" s="1341"/>
      <c r="D126" s="265" t="s">
        <v>168</v>
      </c>
      <c r="E126" s="309">
        <f>'[1]17'!F126</f>
        <v>56863</v>
      </c>
      <c r="F126" s="261">
        <v>56905</v>
      </c>
      <c r="G126" s="322">
        <f>F126-E126</f>
        <v>42</v>
      </c>
      <c r="H126" s="274">
        <f>G126+'[1]17'!H126</f>
        <v>556.80000000000291</v>
      </c>
      <c r="I126" s="386"/>
      <c r="J126" s="311">
        <f>H126/DAY(B2)</f>
        <v>30.933333333333493</v>
      </c>
      <c r="K126" s="377"/>
      <c r="L126" s="290"/>
    </row>
    <row r="127" spans="1:12" ht="23.25" customHeight="1" thickBot="1" x14ac:dyDescent="0.4">
      <c r="A127" s="413" t="s">
        <v>261</v>
      </c>
      <c r="B127" s="1340"/>
      <c r="C127" s="1341"/>
      <c r="D127" s="265" t="s">
        <v>168</v>
      </c>
      <c r="E127" s="309">
        <f>'[1]17'!F127</f>
        <v>8672</v>
      </c>
      <c r="F127" s="261">
        <v>8677</v>
      </c>
      <c r="G127" s="322">
        <f t="shared" si="15"/>
        <v>5</v>
      </c>
      <c r="H127" s="274">
        <f>G127+'[1]17'!H127</f>
        <v>36.899999999999636</v>
      </c>
      <c r="I127" s="323"/>
      <c r="J127" s="311">
        <f>H127/DAY(B2)</f>
        <v>2.0499999999999798</v>
      </c>
      <c r="K127" s="377"/>
      <c r="L127" s="290"/>
    </row>
    <row r="128" spans="1:12" ht="21.75" customHeight="1" x14ac:dyDescent="0.35">
      <c r="A128" s="378" t="s">
        <v>262</v>
      </c>
      <c r="B128" s="519"/>
      <c r="C128" s="519"/>
      <c r="D128" s="265"/>
      <c r="E128" s="260"/>
      <c r="F128" s="261"/>
      <c r="G128" s="204">
        <f>G15-SUM(G123:G127)</f>
        <v>194</v>
      </c>
      <c r="H128" s="274">
        <f>G128+'[1]17'!H128</f>
        <v>777.10000000000582</v>
      </c>
      <c r="I128" s="323"/>
      <c r="J128" s="311">
        <f>H128/DAY(B2)</f>
        <v>43.172222222222544</v>
      </c>
      <c r="K128" s="388"/>
      <c r="L128" s="290"/>
    </row>
    <row r="129" spans="1:12" ht="23.25" customHeight="1" x14ac:dyDescent="0.35">
      <c r="A129" s="419" t="s">
        <v>263</v>
      </c>
      <c r="B129" s="419"/>
      <c r="C129" s="419"/>
      <c r="D129" s="419"/>
      <c r="E129" s="419"/>
      <c r="F129" s="419"/>
      <c r="G129" s="433"/>
      <c r="H129" s="433"/>
      <c r="I129" s="433"/>
      <c r="J129" s="433"/>
    </row>
    <row r="130" spans="1:12" ht="23.25" customHeight="1" thickBot="1" x14ac:dyDescent="0.4">
      <c r="A130" s="519" t="s">
        <v>264</v>
      </c>
      <c r="B130" s="519"/>
      <c r="C130" s="519"/>
      <c r="D130" s="265" t="s">
        <v>265</v>
      </c>
      <c r="E130" s="309">
        <f>'[1]17'!F130</f>
        <v>0</v>
      </c>
      <c r="F130" s="264">
        <v>0</v>
      </c>
      <c r="G130" s="322">
        <f t="shared" ref="G130:G140" si="16">F130-E130</f>
        <v>0</v>
      </c>
      <c r="H130" s="274">
        <f>G130+'[1]17'!H130</f>
        <v>0</v>
      </c>
      <c r="I130" s="323"/>
      <c r="J130" s="311">
        <f>H130/DAY(B2)</f>
        <v>0</v>
      </c>
    </row>
    <row r="131" spans="1:12" ht="23.25" customHeight="1" thickBot="1" x14ac:dyDescent="0.4">
      <c r="A131" s="519" t="s">
        <v>266</v>
      </c>
      <c r="B131" s="519"/>
      <c r="C131" s="519"/>
      <c r="D131" s="265" t="s">
        <v>265</v>
      </c>
      <c r="E131" s="309">
        <f>'[1]17'!F131</f>
        <v>0</v>
      </c>
      <c r="F131" s="264">
        <v>0</v>
      </c>
      <c r="G131" s="322">
        <f t="shared" si="16"/>
        <v>0</v>
      </c>
      <c r="H131" s="274">
        <f>G131+'[1]17'!H131</f>
        <v>0</v>
      </c>
      <c r="I131" s="323"/>
      <c r="J131" s="311">
        <f>H131/DAY(B2)</f>
        <v>0</v>
      </c>
    </row>
    <row r="132" spans="1:12" ht="23.25" customHeight="1" thickBot="1" x14ac:dyDescent="0.4">
      <c r="A132" s="519" t="s">
        <v>267</v>
      </c>
      <c r="B132" s="519"/>
      <c r="C132" s="519"/>
      <c r="D132" s="265" t="s">
        <v>265</v>
      </c>
      <c r="E132" s="309">
        <f>'[1]17'!F132</f>
        <v>38877</v>
      </c>
      <c r="F132" s="264">
        <v>38877</v>
      </c>
      <c r="G132" s="322">
        <f t="shared" si="16"/>
        <v>0</v>
      </c>
      <c r="H132" s="274">
        <f>G132+'[1]17'!H132</f>
        <v>0</v>
      </c>
      <c r="I132" s="323"/>
      <c r="J132" s="311">
        <f>H132/DAY(B2)</f>
        <v>0</v>
      </c>
    </row>
    <row r="133" spans="1:12" ht="23.25" customHeight="1" thickBot="1" x14ac:dyDescent="0.4">
      <c r="A133" s="519" t="s">
        <v>268</v>
      </c>
      <c r="B133" s="519"/>
      <c r="C133" s="519"/>
      <c r="D133" s="265" t="s">
        <v>265</v>
      </c>
      <c r="E133" s="309">
        <f>'[1]17'!F133</f>
        <v>299</v>
      </c>
      <c r="F133" s="264">
        <v>299</v>
      </c>
      <c r="G133" s="322">
        <f t="shared" si="16"/>
        <v>0</v>
      </c>
      <c r="H133" s="274">
        <f>G133+'[1]17'!H133</f>
        <v>299</v>
      </c>
      <c r="I133" s="323">
        <f>G130+G131+G132+G133</f>
        <v>0</v>
      </c>
      <c r="J133" s="311">
        <f>H133/DAY(B2)</f>
        <v>16.611111111111111</v>
      </c>
    </row>
    <row r="134" spans="1:12" ht="23.25" customHeight="1" thickBot="1" x14ac:dyDescent="0.4">
      <c r="A134" s="519" t="s">
        <v>269</v>
      </c>
      <c r="B134" s="519"/>
      <c r="C134" s="519"/>
      <c r="D134" s="265" t="s">
        <v>265</v>
      </c>
      <c r="E134" s="309">
        <f>'[1]17'!F134</f>
        <v>39735</v>
      </c>
      <c r="F134" s="264">
        <v>39735</v>
      </c>
      <c r="G134" s="322">
        <f t="shared" si="16"/>
        <v>0</v>
      </c>
      <c r="H134" s="274">
        <f>G134+'[1]17'!H134</f>
        <v>0</v>
      </c>
      <c r="I134" s="323"/>
      <c r="J134" s="311">
        <f>H134/DAY(B2)</f>
        <v>0</v>
      </c>
    </row>
    <row r="135" spans="1:12" ht="23.25" customHeight="1" x14ac:dyDescent="0.35">
      <c r="A135" s="519" t="s">
        <v>270</v>
      </c>
      <c r="B135" s="519"/>
      <c r="C135" s="519"/>
      <c r="D135" s="265" t="s">
        <v>265</v>
      </c>
      <c r="E135" s="264">
        <v>31829</v>
      </c>
      <c r="F135" s="264">
        <v>31853</v>
      </c>
      <c r="G135" s="322">
        <f t="shared" si="16"/>
        <v>24</v>
      </c>
      <c r="H135" s="274">
        <f>G135+'[1]17'!H135</f>
        <v>135.47999999999956</v>
      </c>
      <c r="I135" s="323"/>
      <c r="J135" s="311">
        <f>H135/DAY(B2)</f>
        <v>7.5266666666666424</v>
      </c>
    </row>
    <row r="136" spans="1:12" ht="23.25" customHeight="1" thickBot="1" x14ac:dyDescent="0.4">
      <c r="A136" s="519" t="s">
        <v>271</v>
      </c>
      <c r="B136" s="519"/>
      <c r="C136" s="519"/>
      <c r="D136" s="265" t="s">
        <v>265</v>
      </c>
      <c r="E136" s="309">
        <f>'[1]17'!F136</f>
        <v>21766.97</v>
      </c>
      <c r="F136" s="264">
        <v>21766.92</v>
      </c>
      <c r="G136" s="322">
        <f t="shared" si="16"/>
        <v>-5.0000000002910383E-2</v>
      </c>
      <c r="H136" s="274">
        <f>G136+'[1]17'!H136</f>
        <v>92.19999999999709</v>
      </c>
      <c r="I136" s="323">
        <f>G134+G135+G136</f>
        <v>23.94999999999709</v>
      </c>
      <c r="J136" s="311">
        <f>H136/DAY(B2)</f>
        <v>5.1222222222220601</v>
      </c>
    </row>
    <row r="137" spans="1:12" ht="23.25" customHeight="1" thickBot="1" x14ac:dyDescent="0.4">
      <c r="A137" s="519" t="s">
        <v>272</v>
      </c>
      <c r="B137" s="519"/>
      <c r="C137" s="519"/>
      <c r="D137" s="265" t="s">
        <v>265</v>
      </c>
      <c r="E137" s="309">
        <f>'[1]17'!F137</f>
        <v>24940.76</v>
      </c>
      <c r="F137" s="264">
        <v>24940.76</v>
      </c>
      <c r="G137" s="322">
        <f t="shared" si="16"/>
        <v>0</v>
      </c>
      <c r="H137" s="274">
        <f>G137+'[1]17'!H137</f>
        <v>8.25</v>
      </c>
      <c r="I137" s="323"/>
      <c r="J137" s="311">
        <f>H137/DAY(B2)</f>
        <v>0.45833333333333331</v>
      </c>
    </row>
    <row r="138" spans="1:12" ht="23.25" customHeight="1" thickBot="1" x14ac:dyDescent="0.4">
      <c r="A138" s="519" t="s">
        <v>273</v>
      </c>
      <c r="B138" s="519"/>
      <c r="C138" s="519"/>
      <c r="D138" s="265" t="s">
        <v>265</v>
      </c>
      <c r="E138" s="309">
        <f>'[1]17'!F138</f>
        <v>69987.350000000006</v>
      </c>
      <c r="F138" s="264">
        <v>69993.490000000005</v>
      </c>
      <c r="G138" s="322">
        <f t="shared" si="16"/>
        <v>6.1399999999994179</v>
      </c>
      <c r="H138" s="274">
        <f>G138+'[1]17'!H138</f>
        <v>38.279999999998836</v>
      </c>
      <c r="I138" s="323">
        <f>G137+G138</f>
        <v>6.1399999999994179</v>
      </c>
      <c r="J138" s="311">
        <f>H138/DAY(B2)</f>
        <v>2.1266666666666021</v>
      </c>
    </row>
    <row r="139" spans="1:12" ht="23.25" customHeight="1" thickBot="1" x14ac:dyDescent="0.4">
      <c r="A139" s="519" t="s">
        <v>274</v>
      </c>
      <c r="B139" s="519"/>
      <c r="C139" s="519"/>
      <c r="D139" s="265" t="s">
        <v>265</v>
      </c>
      <c r="E139" s="309">
        <f>'[1]17'!F139</f>
        <v>1038.8399999999999</v>
      </c>
      <c r="F139" s="264">
        <v>1044.92</v>
      </c>
      <c r="G139" s="322">
        <f t="shared" si="16"/>
        <v>6.0800000000001546</v>
      </c>
      <c r="H139" s="274">
        <f>G139+'[1]17'!H139</f>
        <v>103.3900000000001</v>
      </c>
      <c r="J139" s="311">
        <f>H139/DAY(B2)</f>
        <v>5.7438888888888942</v>
      </c>
    </row>
    <row r="140" spans="1:12" ht="23.25" customHeight="1" thickBot="1" x14ac:dyDescent="0.4">
      <c r="A140" s="519" t="s">
        <v>275</v>
      </c>
      <c r="B140" s="519"/>
      <c r="C140" s="519"/>
      <c r="D140" s="265" t="s">
        <v>265</v>
      </c>
      <c r="E140" s="309">
        <f>'[1]17'!F140</f>
        <v>4156.9799999999996</v>
      </c>
      <c r="F140" s="264">
        <v>4156.9799999999996</v>
      </c>
      <c r="G140" s="322">
        <f t="shared" si="16"/>
        <v>0</v>
      </c>
      <c r="H140" s="274">
        <f>G140+'[1]17'!H140</f>
        <v>7.999999999992724E-2</v>
      </c>
      <c r="J140" s="311">
        <f>H140/DAY(B2)</f>
        <v>4.4444444444404025E-3</v>
      </c>
    </row>
    <row r="141" spans="1:12" ht="23.25" customHeight="1" x14ac:dyDescent="0.35">
      <c r="A141" s="1558" t="s">
        <v>276</v>
      </c>
      <c r="B141" s="1559"/>
      <c r="C141" s="518"/>
      <c r="D141" s="518"/>
      <c r="E141" s="518"/>
      <c r="F141" s="518"/>
      <c r="G141" s="422"/>
      <c r="H141" s="422"/>
      <c r="I141" s="422"/>
      <c r="J141" s="422"/>
      <c r="K141" s="377"/>
      <c r="L141" s="290"/>
    </row>
    <row r="142" spans="1:12" ht="23.25" customHeight="1" x14ac:dyDescent="0.35">
      <c r="A142" s="1530" t="s">
        <v>277</v>
      </c>
      <c r="B142" s="1531"/>
      <c r="C142" s="1532"/>
      <c r="D142" s="265" t="s">
        <v>159</v>
      </c>
      <c r="E142" s="265"/>
      <c r="F142" s="265"/>
      <c r="G142" s="274">
        <f>G35+G43+G49+G57</f>
        <v>4914</v>
      </c>
      <c r="H142" s="274">
        <f>G142+'[1]17'!H142</f>
        <v>90210.422999999952</v>
      </c>
      <c r="I142" s="323"/>
      <c r="J142" s="311">
        <f>H142/DAY(B2)</f>
        <v>5011.6901666666636</v>
      </c>
      <c r="K142" s="377"/>
      <c r="L142" s="290"/>
    </row>
    <row r="143" spans="1:12" ht="23.25" customHeight="1" x14ac:dyDescent="0.35">
      <c r="A143" s="1530" t="s">
        <v>278</v>
      </c>
      <c r="B143" s="1531"/>
      <c r="C143" s="1532"/>
      <c r="D143" s="265" t="s">
        <v>38</v>
      </c>
      <c r="E143" s="266"/>
      <c r="F143" s="266"/>
      <c r="G143" s="277">
        <f>G142/G7</f>
        <v>0.24377418394682013</v>
      </c>
      <c r="H143" s="274">
        <f>G143+'[1]17'!H143</f>
        <v>4.2798283226753515</v>
      </c>
      <c r="I143" s="387"/>
      <c r="J143" s="311">
        <f>H143/DAY(B2)</f>
        <v>0.23776824014863063</v>
      </c>
      <c r="K143" s="388"/>
      <c r="L143" s="290"/>
    </row>
    <row r="144" spans="1:12" ht="23.25" customHeight="1" x14ac:dyDescent="0.35">
      <c r="A144" s="1530" t="s">
        <v>279</v>
      </c>
      <c r="B144" s="1531"/>
      <c r="C144" s="1532"/>
      <c r="D144" s="265" t="s">
        <v>159</v>
      </c>
      <c r="E144" s="262"/>
      <c r="F144" s="262"/>
      <c r="G144" s="274">
        <f>G41+G42+G55+G56</f>
        <v>4838</v>
      </c>
      <c r="H144" s="274">
        <f>G144+'[1]17'!H144</f>
        <v>85553.139999999985</v>
      </c>
      <c r="I144" s="323"/>
      <c r="J144" s="311">
        <f>H144/DAY(B2)</f>
        <v>4752.9522222222213</v>
      </c>
      <c r="K144" s="388"/>
      <c r="L144" s="290"/>
    </row>
    <row r="145" spans="1:12" ht="23.25" customHeight="1" x14ac:dyDescent="0.35">
      <c r="A145" s="1530" t="s">
        <v>280</v>
      </c>
      <c r="B145" s="1531"/>
      <c r="C145" s="1532"/>
      <c r="D145" s="265" t="s">
        <v>38</v>
      </c>
      <c r="E145" s="262"/>
      <c r="F145" s="262" t="s">
        <v>306</v>
      </c>
      <c r="G145" s="277">
        <f>G144/G7</f>
        <v>0.24000396864768331</v>
      </c>
      <c r="H145" s="274">
        <f>G145+'[1]17'!H145</f>
        <v>4.2027132361363719</v>
      </c>
      <c r="I145" s="387"/>
      <c r="J145" s="311">
        <f>H145/DAY(B2)</f>
        <v>0.23348406867424287</v>
      </c>
      <c r="K145" s="388"/>
      <c r="L145" s="290"/>
    </row>
    <row r="146" spans="1:12" ht="23.25" customHeight="1" x14ac:dyDescent="0.35">
      <c r="A146" s="1530" t="s">
        <v>281</v>
      </c>
      <c r="B146" s="1531"/>
      <c r="C146" s="1532"/>
      <c r="D146" s="265" t="s">
        <v>159</v>
      </c>
      <c r="E146" s="262"/>
      <c r="F146" s="262"/>
      <c r="G146" s="274">
        <f>G39+G53</f>
        <v>4194</v>
      </c>
      <c r="H146" s="274">
        <f>G146+'[1]17'!H146</f>
        <v>76095.993000000002</v>
      </c>
      <c r="I146" s="389"/>
      <c r="J146" s="311">
        <f>H146/DAY(B2)</f>
        <v>4227.555166666667</v>
      </c>
      <c r="K146" s="388"/>
      <c r="L146" s="290"/>
    </row>
    <row r="147" spans="1:12" ht="23.25" customHeight="1" x14ac:dyDescent="0.35">
      <c r="A147" s="1530" t="s">
        <v>282</v>
      </c>
      <c r="B147" s="1531"/>
      <c r="C147" s="1532"/>
      <c r="D147" s="265" t="s">
        <v>38</v>
      </c>
      <c r="E147" s="262"/>
      <c r="F147" s="262"/>
      <c r="G147" s="277">
        <f>G146/G7</f>
        <v>0.20805635479710288</v>
      </c>
      <c r="H147" s="274">
        <f>G147+'[1]17'!H147</f>
        <v>3.751772977992808</v>
      </c>
      <c r="I147" s="389"/>
      <c r="J147" s="311">
        <f>H147/DAY(B2)</f>
        <v>0.20843183211071156</v>
      </c>
    </row>
    <row r="148" spans="1:12" ht="23.25" customHeight="1" x14ac:dyDescent="0.35">
      <c r="A148" s="1530" t="s">
        <v>283</v>
      </c>
      <c r="B148" s="1531"/>
      <c r="C148" s="1532"/>
      <c r="D148" s="265" t="s">
        <v>210</v>
      </c>
      <c r="E148" s="262"/>
      <c r="F148" s="262"/>
      <c r="G148" s="274">
        <f>G38+G52</f>
        <v>1825</v>
      </c>
      <c r="H148" s="274">
        <f>G148+'[1]17'!H148</f>
        <v>35529.570000000007</v>
      </c>
      <c r="I148" s="323"/>
      <c r="J148" s="311">
        <f>H148/DAY(B2)</f>
        <v>1973.8650000000005</v>
      </c>
      <c r="K148" s="390"/>
    </row>
    <row r="149" spans="1:12" ht="23.25" customHeight="1" x14ac:dyDescent="0.35">
      <c r="A149" s="1530" t="s">
        <v>284</v>
      </c>
      <c r="B149" s="1531"/>
      <c r="C149" s="1532"/>
      <c r="D149" s="265" t="s">
        <v>38</v>
      </c>
      <c r="E149" s="262"/>
      <c r="F149" s="262"/>
      <c r="G149" s="277">
        <f>G148/G7</f>
        <v>9.0534775275324927E-2</v>
      </c>
      <c r="H149" s="274">
        <f>G149+'[1]17'!H149</f>
        <v>1.7471203966547373</v>
      </c>
      <c r="I149" s="389"/>
      <c r="J149" s="311">
        <f>H149/DAY(B2)</f>
        <v>9.7062244258596511E-2</v>
      </c>
    </row>
    <row r="150" spans="1:12" ht="23.25" customHeight="1" x14ac:dyDescent="0.35">
      <c r="A150" s="1530" t="s">
        <v>285</v>
      </c>
      <c r="B150" s="1531"/>
      <c r="C150" s="1532"/>
      <c r="D150" s="265" t="s">
        <v>210</v>
      </c>
      <c r="E150" s="262"/>
      <c r="F150" s="262"/>
      <c r="G150" s="274">
        <f>G36+G50</f>
        <v>2128</v>
      </c>
      <c r="H150" s="274">
        <f>G150+'[1]17'!H150</f>
        <v>38489.179999999964</v>
      </c>
      <c r="I150" s="389"/>
      <c r="J150" s="311">
        <f>H150/DAY(B2)</f>
        <v>2138.2877777777758</v>
      </c>
    </row>
    <row r="151" spans="1:12" ht="23.25" customHeight="1" x14ac:dyDescent="0.35">
      <c r="A151" s="1530" t="s">
        <v>286</v>
      </c>
      <c r="B151" s="1531"/>
      <c r="C151" s="1532"/>
      <c r="D151" s="265" t="s">
        <v>38</v>
      </c>
      <c r="E151" s="262"/>
      <c r="F151" s="262"/>
      <c r="G151" s="277">
        <f>G150/G7</f>
        <v>0.10556602837583094</v>
      </c>
      <c r="H151" s="274">
        <f>G151+'[1]17'!H151</f>
        <v>1.8872938250079243</v>
      </c>
      <c r="I151" s="323"/>
      <c r="J151" s="311">
        <f>H151/DAY(B2)</f>
        <v>0.10484965694488468</v>
      </c>
    </row>
    <row r="152" spans="1:12" ht="23.25" customHeight="1" x14ac:dyDescent="0.35">
      <c r="A152" s="1530" t="s">
        <v>287</v>
      </c>
      <c r="B152" s="1531"/>
      <c r="C152" s="1532"/>
      <c r="D152" s="265" t="s">
        <v>210</v>
      </c>
      <c r="E152" s="262"/>
      <c r="F152" s="262"/>
      <c r="G152" s="274">
        <f>G37+G51</f>
        <v>1508</v>
      </c>
      <c r="H152" s="274">
        <f>G152+'[1]17'!H152</f>
        <v>26486.512999999999</v>
      </c>
      <c r="I152" s="323"/>
      <c r="J152" s="311">
        <f>H152/DAY(B2)</f>
        <v>1471.4729444444445</v>
      </c>
    </row>
    <row r="153" spans="1:12" ht="23.25" customHeight="1" x14ac:dyDescent="0.35">
      <c r="A153" s="1530" t="s">
        <v>288</v>
      </c>
      <c r="B153" s="1531"/>
      <c r="C153" s="1532"/>
      <c r="D153" s="265" t="s">
        <v>38</v>
      </c>
      <c r="E153" s="262"/>
      <c r="F153" s="262"/>
      <c r="G153" s="277">
        <f>G152/G7</f>
        <v>7.4809008830241094E-2</v>
      </c>
      <c r="H153" s="274">
        <f>G153+'[1]17'!H153</f>
        <v>1.4157342255458381</v>
      </c>
      <c r="I153" s="323"/>
      <c r="J153" s="311">
        <f>H153/DAY(B2)</f>
        <v>7.865190141921323E-2</v>
      </c>
    </row>
    <row r="154" spans="1:12" s="537" customFormat="1" ht="44.25" customHeight="1" x14ac:dyDescent="0.35">
      <c r="A154" s="540"/>
      <c r="B154" s="541"/>
      <c r="C154" s="541"/>
      <c r="D154" s="541"/>
      <c r="E154" s="542"/>
      <c r="F154" s="543"/>
      <c r="G154" s="544"/>
      <c r="H154" s="545"/>
      <c r="I154" s="546"/>
      <c r="J154" s="547"/>
    </row>
    <row r="155" spans="1:12" s="537" customFormat="1" ht="21.75" customHeight="1" x14ac:dyDescent="0.35">
      <c r="A155" s="563"/>
      <c r="B155" s="532"/>
      <c r="C155" s="556"/>
      <c r="D155" s="532"/>
      <c r="E155" s="532"/>
      <c r="F155" s="532"/>
      <c r="G155" s="532"/>
      <c r="H155" s="534"/>
      <c r="I155" s="532"/>
      <c r="J155" s="534"/>
    </row>
    <row r="156" spans="1:12" s="537" customFormat="1" ht="21.75" customHeight="1" x14ac:dyDescent="0.35">
      <c r="A156" s="526"/>
      <c r="B156" s="532"/>
      <c r="C156" s="556"/>
      <c r="D156" s="532"/>
      <c r="E156" s="532"/>
      <c r="F156" s="532"/>
      <c r="G156" s="532"/>
      <c r="H156" s="534"/>
      <c r="I156" s="532"/>
      <c r="J156" s="534"/>
    </row>
    <row r="157" spans="1:12" s="537" customFormat="1" ht="21.75" customHeight="1" x14ac:dyDescent="0.35">
      <c r="A157" s="526"/>
      <c r="B157" s="532"/>
      <c r="C157" s="556"/>
      <c r="D157" s="532"/>
      <c r="E157" s="532"/>
      <c r="F157" s="532"/>
      <c r="G157" s="532"/>
      <c r="H157" s="534"/>
      <c r="I157" s="532"/>
      <c r="J157" s="534"/>
    </row>
    <row r="158" spans="1:12" s="537" customFormat="1" ht="21.75" customHeight="1" x14ac:dyDescent="0.35">
      <c r="A158" s="526"/>
      <c r="B158" s="532"/>
      <c r="C158" s="556"/>
      <c r="D158" s="532"/>
      <c r="E158" s="532"/>
      <c r="F158" s="532"/>
      <c r="G158" s="532"/>
      <c r="H158" s="534"/>
      <c r="I158" s="532"/>
      <c r="J158" s="534"/>
    </row>
    <row r="159" spans="1:12" s="537" customFormat="1" ht="21.75" customHeight="1" x14ac:dyDescent="0.35">
      <c r="A159" s="526"/>
      <c r="B159" s="532"/>
      <c r="C159" s="556"/>
      <c r="D159" s="532"/>
      <c r="E159" s="946"/>
      <c r="F159" s="532"/>
      <c r="G159" s="532"/>
      <c r="H159" s="534"/>
      <c r="I159" s="532"/>
      <c r="J159" s="534"/>
    </row>
    <row r="160" spans="1:12" s="537" customFormat="1" ht="21.75" customHeight="1" thickBot="1" x14ac:dyDescent="0.55000000000000004">
      <c r="A160" s="925" t="s">
        <v>289</v>
      </c>
      <c r="B160" s="926"/>
      <c r="C160" s="926"/>
      <c r="D160" s="631" t="s">
        <v>214</v>
      </c>
      <c r="E160" s="309">
        <f>'[1]17'!F160</f>
        <v>25078</v>
      </c>
      <c r="F160" s="775">
        <v>25150</v>
      </c>
      <c r="G160" s="593">
        <f t="shared" ref="G160:G165" si="17">F160-E160</f>
        <v>72</v>
      </c>
      <c r="H160" s="534"/>
      <c r="I160" s="532"/>
      <c r="J160" s="534"/>
    </row>
    <row r="161" spans="1:10" s="537" customFormat="1" ht="21.75" customHeight="1" thickBot="1" x14ac:dyDescent="0.55000000000000004">
      <c r="A161" s="925" t="s">
        <v>290</v>
      </c>
      <c r="B161" s="926"/>
      <c r="C161" s="926"/>
      <c r="D161" s="631" t="s">
        <v>214</v>
      </c>
      <c r="E161" s="309">
        <f>'[1]17'!F161</f>
        <v>21925</v>
      </c>
      <c r="F161" s="775">
        <v>22387</v>
      </c>
      <c r="G161" s="593">
        <f t="shared" si="17"/>
        <v>462</v>
      </c>
      <c r="H161" s="534"/>
      <c r="I161" s="532"/>
      <c r="J161" s="534"/>
    </row>
    <row r="162" spans="1:10" s="537" customFormat="1" ht="21.75" customHeight="1" thickBot="1" x14ac:dyDescent="0.55000000000000004">
      <c r="A162" s="925" t="s">
        <v>291</v>
      </c>
      <c r="B162" s="926"/>
      <c r="C162" s="926"/>
      <c r="D162" s="631" t="s">
        <v>214</v>
      </c>
      <c r="E162" s="309">
        <v>101</v>
      </c>
      <c r="F162" s="776">
        <v>435</v>
      </c>
      <c r="G162" s="593">
        <f t="shared" si="17"/>
        <v>334</v>
      </c>
      <c r="H162" s="534"/>
      <c r="I162" s="532"/>
      <c r="J162" s="534"/>
    </row>
    <row r="163" spans="1:10" s="537" customFormat="1" ht="21.75" customHeight="1" thickBot="1" x14ac:dyDescent="0.55000000000000004">
      <c r="A163" s="925" t="s">
        <v>292</v>
      </c>
      <c r="B163" s="926"/>
      <c r="C163" s="926"/>
      <c r="D163" s="631" t="s">
        <v>214</v>
      </c>
      <c r="E163" s="309">
        <f>'[1]17'!F163</f>
        <v>3980</v>
      </c>
      <c r="F163" s="775">
        <v>3993</v>
      </c>
      <c r="G163" s="593">
        <f t="shared" si="17"/>
        <v>13</v>
      </c>
      <c r="H163" s="534"/>
      <c r="I163" s="532"/>
      <c r="J163" s="534"/>
    </row>
    <row r="164" spans="1:10" s="537" customFormat="1" ht="21.75" customHeight="1" x14ac:dyDescent="0.35">
      <c r="A164" s="927" t="s">
        <v>121</v>
      </c>
      <c r="B164" s="725"/>
      <c r="C164" s="725"/>
      <c r="D164" s="631" t="s">
        <v>214</v>
      </c>
      <c r="E164" s="634">
        <f>E62</f>
        <v>20419.18</v>
      </c>
      <c r="F164" s="634">
        <v>20419</v>
      </c>
      <c r="G164" s="593">
        <f t="shared" si="17"/>
        <v>-0.18000000000029104</v>
      </c>
      <c r="H164" s="534"/>
      <c r="I164" s="532"/>
      <c r="J164" s="534"/>
    </row>
    <row r="165" spans="1:10" s="537" customFormat="1" ht="21.75" customHeight="1" x14ac:dyDescent="0.35">
      <c r="A165" s="927" t="s">
        <v>215</v>
      </c>
      <c r="B165" s="725"/>
      <c r="C165" s="725"/>
      <c r="D165" s="631" t="s">
        <v>214</v>
      </c>
      <c r="E165" s="634">
        <f t="shared" ref="E165:E171" si="18">E63</f>
        <v>1051</v>
      </c>
      <c r="F165" s="634">
        <v>1055</v>
      </c>
      <c r="G165" s="593">
        <f t="shared" si="17"/>
        <v>4</v>
      </c>
      <c r="H165" s="534"/>
      <c r="I165" s="532"/>
      <c r="J165" s="534"/>
    </row>
    <row r="166" spans="1:10" s="537" customFormat="1" ht="21.75" customHeight="1" x14ac:dyDescent="0.5">
      <c r="A166" s="1450" t="s">
        <v>122</v>
      </c>
      <c r="B166" s="1450"/>
      <c r="C166" s="1450"/>
      <c r="D166" s="643" t="s">
        <v>214</v>
      </c>
      <c r="E166" s="634">
        <f t="shared" si="18"/>
        <v>92956</v>
      </c>
      <c r="F166" s="634">
        <v>50768</v>
      </c>
      <c r="G166" s="593">
        <f>F64-E64</f>
        <v>366</v>
      </c>
      <c r="H166" s="534"/>
      <c r="I166" s="532"/>
      <c r="J166" s="534"/>
    </row>
    <row r="167" spans="1:10" s="537" customFormat="1" ht="21.75" customHeight="1" x14ac:dyDescent="0.5">
      <c r="A167" s="1450" t="s">
        <v>123</v>
      </c>
      <c r="B167" s="1450"/>
      <c r="C167" s="1450"/>
      <c r="D167" s="643" t="s">
        <v>214</v>
      </c>
      <c r="E167" s="634">
        <f t="shared" si="18"/>
        <v>103420</v>
      </c>
      <c r="F167" s="634">
        <v>48316</v>
      </c>
      <c r="G167" s="593">
        <f t="shared" ref="G167:G171" si="19">F65-E65</f>
        <v>378</v>
      </c>
      <c r="H167" s="532"/>
      <c r="I167" s="532"/>
      <c r="J167" s="534"/>
    </row>
    <row r="168" spans="1:10" s="537" customFormat="1" ht="21.75" customHeight="1" x14ac:dyDescent="0.5">
      <c r="A168" s="1450" t="s">
        <v>124</v>
      </c>
      <c r="B168" s="1450"/>
      <c r="C168" s="1450"/>
      <c r="D168" s="643" t="s">
        <v>214</v>
      </c>
      <c r="E168" s="634">
        <f t="shared" si="18"/>
        <v>96800</v>
      </c>
      <c r="F168" s="634">
        <v>43521</v>
      </c>
      <c r="G168" s="593">
        <f t="shared" si="19"/>
        <v>390</v>
      </c>
      <c r="H168" s="532"/>
      <c r="I168" s="532"/>
      <c r="J168" s="534"/>
    </row>
    <row r="169" spans="1:10" s="537" customFormat="1" ht="21.75" customHeight="1" x14ac:dyDescent="0.5">
      <c r="A169" s="1450" t="s">
        <v>125</v>
      </c>
      <c r="B169" s="1450"/>
      <c r="C169" s="1450"/>
      <c r="D169" s="643" t="s">
        <v>214</v>
      </c>
      <c r="E169" s="634">
        <f t="shared" si="18"/>
        <v>158388</v>
      </c>
      <c r="F169" s="634">
        <v>81491</v>
      </c>
      <c r="G169" s="593">
        <f t="shared" si="19"/>
        <v>728</v>
      </c>
      <c r="H169" s="533"/>
      <c r="I169" s="532"/>
      <c r="J169" s="534"/>
    </row>
    <row r="170" spans="1:10" s="537" customFormat="1" ht="23.25" customHeight="1" x14ac:dyDescent="0.5">
      <c r="A170" s="1450" t="s">
        <v>126</v>
      </c>
      <c r="B170" s="1450"/>
      <c r="C170" s="1450"/>
      <c r="D170" s="643" t="s">
        <v>214</v>
      </c>
      <c r="E170" s="634">
        <f t="shared" si="18"/>
        <v>49246</v>
      </c>
      <c r="F170" s="634">
        <v>8925</v>
      </c>
      <c r="G170" s="593">
        <f t="shared" si="19"/>
        <v>342</v>
      </c>
      <c r="H170" s="533"/>
      <c r="I170" s="532"/>
      <c r="J170" s="534"/>
    </row>
    <row r="171" spans="1:10" s="537" customFormat="1" ht="24" customHeight="1" x14ac:dyDescent="0.5">
      <c r="A171" s="1450" t="s">
        <v>127</v>
      </c>
      <c r="B171" s="1450"/>
      <c r="C171" s="1450"/>
      <c r="D171" s="643" t="s">
        <v>214</v>
      </c>
      <c r="E171" s="634">
        <f t="shared" si="18"/>
        <v>42533</v>
      </c>
      <c r="F171" s="634">
        <v>21492</v>
      </c>
      <c r="G171" s="593">
        <f t="shared" si="19"/>
        <v>288</v>
      </c>
      <c r="H171" s="533"/>
      <c r="I171" s="532"/>
      <c r="J171" s="534"/>
    </row>
    <row r="172" spans="1:10" s="538" customFormat="1" x14ac:dyDescent="0.35">
      <c r="A172" s="526"/>
      <c r="B172" s="526"/>
      <c r="C172" s="531"/>
      <c r="D172" s="531"/>
      <c r="E172" s="526"/>
      <c r="F172" s="555"/>
      <c r="G172" s="525">
        <f>SUM(G160:G171)</f>
        <v>3376.8199999999997</v>
      </c>
      <c r="H172" s="533"/>
      <c r="I172" s="526"/>
      <c r="J172" s="526"/>
    </row>
    <row r="173" spans="1:10" s="538" customFormat="1" x14ac:dyDescent="0.35">
      <c r="A173" s="526"/>
      <c r="B173" s="526"/>
      <c r="C173" s="531"/>
      <c r="D173" s="531"/>
      <c r="E173" s="526"/>
      <c r="F173" s="531"/>
      <c r="G173" s="526"/>
      <c r="H173" s="539"/>
      <c r="I173" s="526"/>
      <c r="J173" s="526"/>
    </row>
    <row r="174" spans="1:10" s="538" customFormat="1" x14ac:dyDescent="0.35">
      <c r="A174" s="526"/>
      <c r="B174" s="526"/>
      <c r="C174" s="531"/>
      <c r="D174" s="531"/>
      <c r="E174" s="526"/>
      <c r="F174" s="555"/>
      <c r="G174" s="525"/>
      <c r="H174" s="533"/>
      <c r="I174" s="526"/>
      <c r="J174" s="526"/>
    </row>
    <row r="175" spans="1:10" s="538" customFormat="1" x14ac:dyDescent="0.35">
      <c r="A175" s="526"/>
      <c r="B175" s="526"/>
      <c r="C175" s="526"/>
      <c r="D175" s="526"/>
      <c r="E175" s="526"/>
      <c r="F175" s="531"/>
      <c r="G175" s="526"/>
      <c r="H175" s="539"/>
      <c r="I175" s="526"/>
      <c r="J175" s="526"/>
    </row>
    <row r="176" spans="1:10" s="538" customFormat="1" x14ac:dyDescent="0.35">
      <c r="A176" s="526"/>
      <c r="B176" s="526"/>
      <c r="C176" s="531"/>
      <c r="D176" s="531"/>
      <c r="E176" s="526"/>
      <c r="F176" s="531"/>
      <c r="G176" s="525"/>
      <c r="H176" s="533"/>
      <c r="I176" s="526"/>
      <c r="J176" s="526"/>
    </row>
    <row r="177" spans="8:10" s="537" customFormat="1" ht="18.75" customHeight="1" x14ac:dyDescent="0.35">
      <c r="H177" s="564"/>
      <c r="J177" s="565"/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89"/>
  <sheetViews>
    <sheetView view="pageBreakPreview" zoomScale="55" zoomScaleNormal="40" zoomScaleSheetLayoutView="55" zoomScalePageLayoutView="60" workbookViewId="0">
      <selection sqref="A1:XFD1048576"/>
    </sheetView>
  </sheetViews>
  <sheetFormatPr defaultColWidth="22.33203125" defaultRowHeight="29.25" x14ac:dyDescent="0.5"/>
  <cols>
    <col min="1" max="1" width="59.6640625" style="574" bestFit="1" customWidth="1"/>
    <col min="2" max="2" width="30.77734375" style="577" customWidth="1"/>
    <col min="3" max="3" width="15.88671875" style="577" customWidth="1"/>
    <col min="4" max="4" width="13.6640625" style="658" customWidth="1"/>
    <col min="5" max="6" width="30" style="658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109375" style="404" customWidth="1"/>
    <col min="15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302</v>
      </c>
      <c r="B2" s="1173">
        <v>44185</v>
      </c>
      <c r="C2" s="1361" t="s">
        <v>84</v>
      </c>
      <c r="D2" s="732">
        <v>0.42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29</v>
      </c>
      <c r="E3" s="1422" t="s">
        <v>148</v>
      </c>
      <c r="F3" s="1423"/>
      <c r="G3" s="582">
        <f>'[1]1'!G3</f>
        <v>0</v>
      </c>
      <c r="H3" s="583">
        <f>'[1]1'!H3</f>
        <v>0</v>
      </c>
      <c r="I3" s="583">
        <f>'[1]1'!I3</f>
        <v>0</v>
      </c>
      <c r="J3" s="736">
        <f>'[1]1'!J3</f>
        <v>0</v>
      </c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0.76</v>
      </c>
      <c r="E4" s="584"/>
      <c r="F4" s="584"/>
      <c r="G4" s="584"/>
      <c r="H4" s="584"/>
      <c r="I4" s="585"/>
      <c r="J4" s="736"/>
      <c r="K4" s="400"/>
      <c r="L4" s="290"/>
    </row>
    <row r="5" spans="1:15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5" ht="30" thickBot="1" x14ac:dyDescent="0.45">
      <c r="A7" s="699" t="s">
        <v>158</v>
      </c>
      <c r="B7" s="700"/>
      <c r="C7" s="700"/>
      <c r="D7" s="643" t="s">
        <v>159</v>
      </c>
      <c r="E7" s="575">
        <f>'[1]19'!F7</f>
        <v>3055074</v>
      </c>
      <c r="F7" s="575">
        <v>3074452</v>
      </c>
      <c r="G7" s="593">
        <f>F7-E7</f>
        <v>19378</v>
      </c>
      <c r="H7" s="580">
        <f>G7+'[1]19'!H7</f>
        <v>406007</v>
      </c>
      <c r="I7" s="594">
        <f>'[1]1'!I7</f>
        <v>12000</v>
      </c>
      <c r="J7" s="673">
        <f>H7/DAY(B2)</f>
        <v>20300.349999999999</v>
      </c>
      <c r="K7" s="670">
        <v>11998</v>
      </c>
      <c r="L7" s="405">
        <f>G7-K7</f>
        <v>7380</v>
      </c>
      <c r="N7" s="410"/>
      <c r="O7" s="410"/>
    </row>
    <row r="8" spans="1:15" ht="27.75" thickBot="1" x14ac:dyDescent="0.45">
      <c r="A8" s="701" t="s">
        <v>160</v>
      </c>
      <c r="B8" s="702"/>
      <c r="C8" s="703"/>
      <c r="D8" s="738" t="s">
        <v>39</v>
      </c>
      <c r="E8" s="595">
        <f>'[1]19'!F8</f>
        <v>3073016</v>
      </c>
      <c r="F8" s="595">
        <v>3092523</v>
      </c>
      <c r="G8" s="596">
        <f>F8-E8</f>
        <v>19507</v>
      </c>
      <c r="H8" s="580">
        <f>G8+'[1]19'!H8</f>
        <v>409484</v>
      </c>
      <c r="I8" s="597">
        <f>'[1]1'!I8</f>
        <v>12000</v>
      </c>
      <c r="J8" s="673">
        <f>H8/DAY(B2)</f>
        <v>20474.2</v>
      </c>
      <c r="K8" s="670"/>
      <c r="L8" s="460"/>
      <c r="M8" s="522"/>
      <c r="N8" s="410"/>
      <c r="O8" s="410"/>
    </row>
    <row r="9" spans="1:15" x14ac:dyDescent="0.4">
      <c r="A9" s="704" t="s">
        <v>161</v>
      </c>
      <c r="B9" s="705"/>
      <c r="C9" s="705"/>
      <c r="D9" s="643" t="s">
        <v>159</v>
      </c>
      <c r="E9" s="598">
        <f>'[1]19'!F9</f>
        <v>2372582</v>
      </c>
      <c r="F9" s="598">
        <v>2375370</v>
      </c>
      <c r="G9" s="593">
        <f t="shared" ref="G9:G12" si="0">F9-E9</f>
        <v>2788</v>
      </c>
      <c r="H9" s="580">
        <f>G9+'[1]19'!H9</f>
        <v>118333.5</v>
      </c>
      <c r="I9" s="599">
        <f>I8-J8</f>
        <v>-8474.2000000000007</v>
      </c>
      <c r="J9" s="673">
        <f>H9/DAY(B2)</f>
        <v>5916.6750000000002</v>
      </c>
      <c r="K9" s="508"/>
      <c r="L9" s="405"/>
      <c r="N9" s="410"/>
      <c r="O9" s="410"/>
    </row>
    <row r="10" spans="1:15" x14ac:dyDescent="0.4">
      <c r="A10" s="699" t="s">
        <v>162</v>
      </c>
      <c r="B10" s="700"/>
      <c r="C10" s="700"/>
      <c r="D10" s="643" t="s">
        <v>159</v>
      </c>
      <c r="E10" s="598">
        <f>'[1]19'!F10</f>
        <v>560383.82999999996</v>
      </c>
      <c r="F10" s="598">
        <v>576267</v>
      </c>
      <c r="G10" s="593">
        <f t="shared" si="0"/>
        <v>15883.170000000042</v>
      </c>
      <c r="H10" s="580">
        <f>G10+'[1]19'!H10</f>
        <v>273316.71000000002</v>
      </c>
      <c r="I10" s="600"/>
      <c r="J10" s="673">
        <f>H10/DAY(B2)</f>
        <v>13665.835500000001</v>
      </c>
      <c r="K10" s="508"/>
      <c r="L10" s="405"/>
      <c r="N10" s="410"/>
      <c r="O10" s="410"/>
    </row>
    <row r="11" spans="1:15" x14ac:dyDescent="0.4">
      <c r="A11" s="699" t="s">
        <v>163</v>
      </c>
      <c r="B11" s="700"/>
      <c r="C11" s="700"/>
      <c r="D11" s="643" t="s">
        <v>159</v>
      </c>
      <c r="E11" s="575">
        <f>'[1]19'!F11</f>
        <v>35390</v>
      </c>
      <c r="F11" s="575">
        <v>35390</v>
      </c>
      <c r="G11" s="593">
        <f t="shared" si="0"/>
        <v>0</v>
      </c>
      <c r="H11" s="580">
        <f>G11+'[1]19'!H11</f>
        <v>0</v>
      </c>
      <c r="I11" s="600"/>
      <c r="J11" s="673">
        <f>H11/DAY(B2)</f>
        <v>0</v>
      </c>
      <c r="K11" s="508"/>
      <c r="L11" s="405"/>
      <c r="N11" s="410"/>
      <c r="O11" s="410"/>
    </row>
    <row r="12" spans="1:15" x14ac:dyDescent="0.4">
      <c r="A12" s="699" t="s">
        <v>164</v>
      </c>
      <c r="B12" s="700"/>
      <c r="C12" s="700"/>
      <c r="D12" s="643" t="s">
        <v>159</v>
      </c>
      <c r="E12" s="598">
        <f>'[1]19'!F12</f>
        <v>37630</v>
      </c>
      <c r="F12" s="598">
        <v>37630</v>
      </c>
      <c r="G12" s="593">
        <f t="shared" si="0"/>
        <v>0</v>
      </c>
      <c r="H12" s="580">
        <f>G12+'[1]19'!H12</f>
        <v>0</v>
      </c>
      <c r="I12" s="600"/>
      <c r="J12" s="673">
        <f>H12/DAY(B2)</f>
        <v>0</v>
      </c>
      <c r="K12" s="508"/>
      <c r="L12" s="405"/>
      <c r="N12" s="410"/>
      <c r="O12" s="410"/>
    </row>
    <row r="13" spans="1:15" x14ac:dyDescent="0.5">
      <c r="A13" s="706" t="s">
        <v>165</v>
      </c>
      <c r="B13" s="707"/>
      <c r="C13" s="707"/>
      <c r="D13" s="643"/>
      <c r="E13" s="575"/>
      <c r="F13" s="575"/>
      <c r="G13" s="601">
        <f>G9+G10+G11+G12</f>
        <v>18671.170000000042</v>
      </c>
      <c r="H13" s="580">
        <f>G13+'[1]19'!H13</f>
        <v>369790.9</v>
      </c>
      <c r="I13" s="602">
        <f>G7-G13</f>
        <v>706.82999999995809</v>
      </c>
      <c r="J13" s="673">
        <f>H13/DAY(B2)</f>
        <v>18489.545000000002</v>
      </c>
      <c r="K13" s="508"/>
      <c r="L13" s="405"/>
      <c r="N13" s="410"/>
      <c r="O13" s="410"/>
    </row>
    <row r="14" spans="1:15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410"/>
      <c r="O14" s="410"/>
    </row>
    <row r="15" spans="1:15" x14ac:dyDescent="0.5">
      <c r="A15" s="1354" t="s">
        <v>167</v>
      </c>
      <c r="B15" s="710"/>
      <c r="C15" s="710"/>
      <c r="D15" s="643" t="s">
        <v>168</v>
      </c>
      <c r="E15" s="604">
        <f>'[1]19'!F15</f>
        <v>1560161.69</v>
      </c>
      <c r="F15" s="604">
        <v>1560709</v>
      </c>
      <c r="G15" s="921">
        <f>(F15-E15)</f>
        <v>547.31000000005588</v>
      </c>
      <c r="H15" s="580">
        <f>G15+'[1]19'!H15</f>
        <v>13811.398999999976</v>
      </c>
      <c r="I15" s="594">
        <v>800</v>
      </c>
      <c r="J15" s="673">
        <f>H15/DAY(B2)</f>
        <v>690.56994999999881</v>
      </c>
      <c r="K15" s="508"/>
      <c r="L15" s="405"/>
      <c r="N15" s="410"/>
      <c r="O15" s="857"/>
    </row>
    <row r="16" spans="1:15" x14ac:dyDescent="0.4">
      <c r="A16" s="708"/>
      <c r="B16" s="709"/>
      <c r="C16" s="709"/>
      <c r="D16" s="644"/>
      <c r="E16" s="605"/>
      <c r="F16" s="605"/>
      <c r="G16" s="593"/>
      <c r="H16" s="606"/>
      <c r="I16" s="607">
        <f>I15-J15</f>
        <v>109.43005000000119</v>
      </c>
      <c r="J16" s="674"/>
      <c r="K16" s="508"/>
      <c r="L16" s="405"/>
      <c r="N16" s="410"/>
      <c r="O16" s="410"/>
    </row>
    <row r="17" spans="1:15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410"/>
      <c r="O17" s="410"/>
    </row>
    <row r="18" spans="1:15" ht="27.75" x14ac:dyDescent="0.5">
      <c r="A18" s="1398" t="s">
        <v>170</v>
      </c>
      <c r="B18" s="1399"/>
      <c r="C18" s="1400"/>
      <c r="D18" s="643" t="s">
        <v>171</v>
      </c>
      <c r="E18" s="604">
        <f>'[1]19'!F18</f>
        <v>15</v>
      </c>
      <c r="F18" s="604">
        <v>14</v>
      </c>
      <c r="G18" s="601">
        <f>F18*10</f>
        <v>140</v>
      </c>
      <c r="H18" s="580">
        <f>G18+'[1]19'!H18</f>
        <v>2740</v>
      </c>
      <c r="I18" s="594">
        <f>'[1]1'!I18</f>
        <v>65</v>
      </c>
      <c r="J18" s="673">
        <f>H18/DAY(B2)</f>
        <v>137</v>
      </c>
      <c r="K18" s="508"/>
      <c r="L18" s="405"/>
      <c r="N18" s="410"/>
      <c r="O18" s="410"/>
    </row>
    <row r="19" spans="1:15" ht="27.75" x14ac:dyDescent="0.5">
      <c r="A19" s="1398" t="s">
        <v>86</v>
      </c>
      <c r="B19" s="1399"/>
      <c r="C19" s="1400"/>
      <c r="D19" s="643" t="s">
        <v>171</v>
      </c>
      <c r="E19" s="604">
        <f>'[1]19'!F19</f>
        <v>130843</v>
      </c>
      <c r="F19" s="604">
        <v>130897</v>
      </c>
      <c r="G19" s="593">
        <f t="shared" ref="G19" si="1">F19-E19</f>
        <v>54</v>
      </c>
      <c r="H19" s="580">
        <f>G19+'[1]19'!H19</f>
        <v>1096</v>
      </c>
      <c r="I19" s="609"/>
      <c r="J19" s="673">
        <f>H19/DAY(B2)</f>
        <v>54.8</v>
      </c>
      <c r="K19" s="508"/>
      <c r="L19" s="405"/>
      <c r="N19" s="410"/>
      <c r="O19" s="410"/>
    </row>
    <row r="20" spans="1:15" x14ac:dyDescent="0.5">
      <c r="A20" s="706" t="s">
        <v>172</v>
      </c>
      <c r="B20" s="707"/>
      <c r="C20" s="707"/>
      <c r="D20" s="610"/>
      <c r="E20" s="610"/>
      <c r="F20" s="610"/>
      <c r="G20" s="611">
        <f>G18+G19</f>
        <v>194</v>
      </c>
      <c r="H20" s="580">
        <f>G20+'[1]19'!H20</f>
        <v>3836</v>
      </c>
      <c r="I20" s="612">
        <f>I18-J20</f>
        <v>-126.80000000000001</v>
      </c>
      <c r="J20" s="673">
        <f>H20/DAY(B2)</f>
        <v>191.8</v>
      </c>
      <c r="K20" s="508"/>
      <c r="L20" s="405"/>
      <c r="N20" s="410"/>
      <c r="O20" s="410"/>
    </row>
    <row r="21" spans="1:15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410"/>
      <c r="O21" s="410"/>
    </row>
    <row r="22" spans="1:15" x14ac:dyDescent="0.5">
      <c r="A22" s="1354" t="s">
        <v>174</v>
      </c>
      <c r="B22" s="710"/>
      <c r="C22" s="710"/>
      <c r="D22" s="643" t="s">
        <v>175</v>
      </c>
      <c r="E22" s="604">
        <f>'[1]19'!F22</f>
        <v>2250</v>
      </c>
      <c r="F22" s="604">
        <v>2250</v>
      </c>
      <c r="G22" s="601">
        <v>0</v>
      </c>
      <c r="H22" s="580">
        <f>G22+'[1]19'!H22</f>
        <v>0</v>
      </c>
      <c r="I22" s="600"/>
      <c r="J22" s="673">
        <f>H22/DAY(B2)</f>
        <v>0</v>
      </c>
      <c r="K22" s="508"/>
      <c r="L22" s="405"/>
      <c r="N22" s="410"/>
      <c r="O22" s="410"/>
    </row>
    <row r="23" spans="1:15" x14ac:dyDescent="0.5">
      <c r="A23" s="1354" t="s">
        <v>176</v>
      </c>
      <c r="B23" s="710"/>
      <c r="C23" s="710"/>
      <c r="D23" s="643" t="s">
        <v>175</v>
      </c>
      <c r="E23" s="604">
        <f>'[1]19'!F23</f>
        <v>2000</v>
      </c>
      <c r="F23" s="604">
        <v>2000</v>
      </c>
      <c r="G23" s="601">
        <v>0</v>
      </c>
      <c r="H23" s="580">
        <f>G23+'[1]19'!H23</f>
        <v>0</v>
      </c>
      <c r="I23" s="600"/>
      <c r="J23" s="673">
        <f>H23/DAY(B2)</f>
        <v>0</v>
      </c>
      <c r="K23" s="508"/>
      <c r="L23" s="405"/>
      <c r="N23" s="410"/>
      <c r="O23" s="410"/>
    </row>
    <row r="24" spans="1:15" x14ac:dyDescent="0.4">
      <c r="A24" s="711" t="s">
        <v>177</v>
      </c>
      <c r="B24" s="712"/>
      <c r="C24" s="712"/>
      <c r="D24" s="631" t="s">
        <v>175</v>
      </c>
      <c r="E24" s="604">
        <f>'[1]19'!F24</f>
        <v>4250</v>
      </c>
      <c r="F24" s="613">
        <v>4250</v>
      </c>
      <c r="G24" s="601">
        <v>0</v>
      </c>
      <c r="H24" s="580">
        <f>G24+'[1]19'!H24</f>
        <v>0</v>
      </c>
      <c r="I24" s="600"/>
      <c r="J24" s="673">
        <f>H24/DAY(B2)</f>
        <v>0</v>
      </c>
      <c r="K24" s="508"/>
      <c r="L24" s="405"/>
      <c r="N24" s="410"/>
      <c r="O24" s="410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536"/>
      <c r="O25" s="410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617"/>
      <c r="G26" s="618"/>
      <c r="H26" s="580"/>
      <c r="I26" s="619"/>
      <c r="J26" s="673"/>
      <c r="K26" s="402"/>
      <c r="L26" s="527"/>
      <c r="N26" s="536"/>
      <c r="O26" s="410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621">
        <f>G8</f>
        <v>19507</v>
      </c>
      <c r="F27" s="621">
        <v>9.5</v>
      </c>
      <c r="G27" s="622">
        <f>E27*F27</f>
        <v>185316.5</v>
      </c>
      <c r="H27" s="580">
        <f>G27+'[1]19'!H27</f>
        <v>3890098</v>
      </c>
      <c r="I27" s="623"/>
      <c r="J27" s="673">
        <f>H27/DAY(B2)</f>
        <v>194504.9</v>
      </c>
      <c r="K27" s="401"/>
      <c r="L27" s="527"/>
      <c r="N27" s="536"/>
      <c r="O27" s="410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621">
        <f>G15</f>
        <v>547.31000000005588</v>
      </c>
      <c r="F28" s="621">
        <v>36.5</v>
      </c>
      <c r="G28" s="622">
        <f>E28*F28</f>
        <v>19976.81500000204</v>
      </c>
      <c r="H28" s="580">
        <f>G28+'[1]19'!H28</f>
        <v>504116.06349999912</v>
      </c>
      <c r="I28" s="625"/>
      <c r="J28" s="673">
        <f>H28/DAY(B2)</f>
        <v>25205.803174999957</v>
      </c>
      <c r="K28" s="401"/>
      <c r="L28" s="527"/>
      <c r="N28" s="536"/>
      <c r="O28" s="410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621">
        <f>G24</f>
        <v>0</v>
      </c>
      <c r="F29" s="621">
        <v>69</v>
      </c>
      <c r="G29" s="622">
        <f>E29*F29</f>
        <v>0</v>
      </c>
      <c r="H29" s="580">
        <f>G29+'[1]19'!H29</f>
        <v>0</v>
      </c>
      <c r="I29" s="625"/>
      <c r="J29" s="673">
        <f>H29/DAY(B2)</f>
        <v>0</v>
      </c>
      <c r="K29" s="401"/>
      <c r="L29" s="527"/>
      <c r="N29" s="536"/>
      <c r="O29" s="410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621">
        <f>G19</f>
        <v>54</v>
      </c>
      <c r="F30" s="621">
        <v>145</v>
      </c>
      <c r="G30" s="622">
        <f>E30*F30</f>
        <v>7830</v>
      </c>
      <c r="H30" s="580">
        <f>G30+'[1]19'!H30</f>
        <v>158920</v>
      </c>
      <c r="I30" s="625"/>
      <c r="J30" s="673">
        <f>H30/DAY(B2)</f>
        <v>7946</v>
      </c>
      <c r="K30" s="401"/>
      <c r="L30" s="527"/>
      <c r="N30" s="536"/>
      <c r="O30" s="410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621">
        <f>G18</f>
        <v>140</v>
      </c>
      <c r="F31" s="621">
        <v>80</v>
      </c>
      <c r="G31" s="622">
        <f>E31*F31</f>
        <v>11200</v>
      </c>
      <c r="H31" s="580">
        <f>G31+'[1]19'!H31</f>
        <v>217600</v>
      </c>
      <c r="I31" s="625"/>
      <c r="J31" s="673">
        <f>H31/DAY(B2)</f>
        <v>10880</v>
      </c>
      <c r="K31" s="401"/>
      <c r="L31" s="527"/>
      <c r="N31" s="536"/>
      <c r="O31" s="410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627"/>
      <c r="G32" s="628">
        <f>G27+G28+G29+G30+G31</f>
        <v>224323.31500000204</v>
      </c>
      <c r="H32" s="580">
        <f>G32+'[1]19'!H32</f>
        <v>4770734.0634999992</v>
      </c>
      <c r="I32" s="629"/>
      <c r="J32" s="673">
        <f>H32/DAY(B2)</f>
        <v>238536.70317499997</v>
      </c>
      <c r="K32" s="401"/>
      <c r="L32" s="527"/>
      <c r="N32" s="536"/>
      <c r="O32" s="410"/>
    </row>
    <row r="33" spans="1:15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  <c r="O33" s="410"/>
    </row>
    <row r="34" spans="1:15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410"/>
      <c r="O34" s="410"/>
    </row>
    <row r="35" spans="1:15" x14ac:dyDescent="0.4">
      <c r="A35" s="699" t="s">
        <v>191</v>
      </c>
      <c r="B35" s="700"/>
      <c r="C35" s="700"/>
      <c r="D35" s="643" t="s">
        <v>159</v>
      </c>
      <c r="E35" s="630">
        <f>'[1]19'!F35</f>
        <v>629027</v>
      </c>
      <c r="F35" s="630">
        <v>629027</v>
      </c>
      <c r="G35" s="593">
        <f t="shared" ref="G35:G46" si="2">F35-E35</f>
        <v>0</v>
      </c>
      <c r="H35" s="580">
        <f>G35+'[1]19'!H35</f>
        <v>0</v>
      </c>
      <c r="I35" s="575"/>
      <c r="J35" s="673">
        <f>H35/DAY(B2)</f>
        <v>0</v>
      </c>
      <c r="K35" s="508">
        <v>1457.2799999999697</v>
      </c>
      <c r="L35" s="405">
        <f>G35-K35</f>
        <v>-1457.2799999999697</v>
      </c>
      <c r="N35" s="410"/>
      <c r="O35" s="749"/>
    </row>
    <row r="36" spans="1:15" x14ac:dyDescent="0.4">
      <c r="A36" s="699" t="s">
        <v>192</v>
      </c>
      <c r="B36" s="700"/>
      <c r="C36" s="700"/>
      <c r="D36" s="643" t="s">
        <v>159</v>
      </c>
      <c r="E36" s="630">
        <f>'[1]19'!F36</f>
        <v>245346</v>
      </c>
      <c r="F36" s="630">
        <v>246202</v>
      </c>
      <c r="G36" s="593">
        <f t="shared" si="2"/>
        <v>856</v>
      </c>
      <c r="H36" s="580">
        <f>G36+'[1]19'!H36</f>
        <v>17116.26999999999</v>
      </c>
      <c r="I36" s="575"/>
      <c r="J36" s="673">
        <f>H36/DAY(B2)</f>
        <v>855.81349999999952</v>
      </c>
      <c r="K36" s="508">
        <v>483.92999999999302</v>
      </c>
      <c r="L36" s="405">
        <f t="shared" ref="L36:L60" si="3">G36-K36</f>
        <v>372.07000000000698</v>
      </c>
      <c r="N36" s="410"/>
      <c r="O36" s="749"/>
    </row>
    <row r="37" spans="1:15" x14ac:dyDescent="0.4">
      <c r="A37" s="699" t="s">
        <v>193</v>
      </c>
      <c r="B37" s="700"/>
      <c r="C37" s="700"/>
      <c r="D37" s="643" t="s">
        <v>159</v>
      </c>
      <c r="E37" s="630">
        <f>'[1]19'!F37</f>
        <v>415066</v>
      </c>
      <c r="F37" s="630">
        <v>415066</v>
      </c>
      <c r="G37" s="593">
        <f t="shared" si="2"/>
        <v>0</v>
      </c>
      <c r="H37" s="580">
        <f>G37+'[1]19'!H37</f>
        <v>0</v>
      </c>
      <c r="I37" s="575"/>
      <c r="J37" s="673">
        <f>H37/DAY(B2)</f>
        <v>0</v>
      </c>
      <c r="K37" s="508">
        <v>1173.9200000000128</v>
      </c>
      <c r="L37" s="405">
        <f>G37-K37</f>
        <v>-1173.9200000000128</v>
      </c>
      <c r="N37" s="410"/>
      <c r="O37" s="410"/>
    </row>
    <row r="38" spans="1:15" x14ac:dyDescent="0.4">
      <c r="A38" s="699" t="s">
        <v>194</v>
      </c>
      <c r="B38" s="700"/>
      <c r="C38" s="700"/>
      <c r="D38" s="643" t="s">
        <v>159</v>
      </c>
      <c r="E38" s="589">
        <f>'[1]19'!F38</f>
        <v>150714</v>
      </c>
      <c r="F38" s="589">
        <v>150714</v>
      </c>
      <c r="G38" s="593">
        <f t="shared" si="2"/>
        <v>0</v>
      </c>
      <c r="H38" s="580">
        <f>G38+'[1]19'!H38</f>
        <v>0</v>
      </c>
      <c r="I38" s="575"/>
      <c r="J38" s="673">
        <f>H38/DAY(B2)</f>
        <v>0</v>
      </c>
      <c r="K38" s="508">
        <v>0</v>
      </c>
      <c r="L38" s="405">
        <f t="shared" si="3"/>
        <v>0</v>
      </c>
      <c r="N38" s="410"/>
      <c r="O38" s="410"/>
    </row>
    <row r="39" spans="1:15" x14ac:dyDescent="0.4">
      <c r="A39" s="699" t="s">
        <v>195</v>
      </c>
      <c r="B39" s="700"/>
      <c r="C39" s="700"/>
      <c r="D39" s="643" t="s">
        <v>159</v>
      </c>
      <c r="E39" s="630">
        <f>'[1]19'!F39</f>
        <v>912480</v>
      </c>
      <c r="F39" s="630">
        <v>912480</v>
      </c>
      <c r="G39" s="593">
        <f t="shared" si="2"/>
        <v>0</v>
      </c>
      <c r="H39" s="580">
        <f>G39+'[1]19'!H39</f>
        <v>0</v>
      </c>
      <c r="I39" s="575"/>
      <c r="J39" s="673">
        <f>H39/DAY(B2)</f>
        <v>0</v>
      </c>
      <c r="K39" s="508">
        <v>1987.0400000000373</v>
      </c>
      <c r="L39" s="405">
        <f t="shared" si="3"/>
        <v>-1987.0400000000373</v>
      </c>
      <c r="N39" s="410"/>
      <c r="O39" s="410"/>
    </row>
    <row r="40" spans="1:15" x14ac:dyDescent="0.4">
      <c r="A40" s="720" t="s">
        <v>196</v>
      </c>
      <c r="B40" s="721"/>
      <c r="C40" s="721"/>
      <c r="D40" s="643" t="s">
        <v>159</v>
      </c>
      <c r="E40" s="630">
        <f>'[1]19'!F40</f>
        <v>0</v>
      </c>
      <c r="F40" s="630">
        <v>0</v>
      </c>
      <c r="G40" s="593">
        <f t="shared" si="2"/>
        <v>0</v>
      </c>
      <c r="H40" s="580">
        <f>G40+'[1]19'!H40</f>
        <v>0</v>
      </c>
      <c r="I40" s="575"/>
      <c r="J40" s="673">
        <f>H40/DAY(B2)</f>
        <v>0</v>
      </c>
      <c r="K40" s="509">
        <v>0</v>
      </c>
      <c r="L40" s="405">
        <f t="shared" si="3"/>
        <v>0</v>
      </c>
      <c r="N40" s="410"/>
      <c r="O40" s="410"/>
    </row>
    <row r="41" spans="1:15" x14ac:dyDescent="0.4">
      <c r="A41" s="699" t="s">
        <v>197</v>
      </c>
      <c r="B41" s="700"/>
      <c r="C41" s="700"/>
      <c r="D41" s="643" t="s">
        <v>159</v>
      </c>
      <c r="E41" s="630">
        <f>'[1]19'!F41</f>
        <v>300127.95</v>
      </c>
      <c r="F41" s="630">
        <v>300127.95</v>
      </c>
      <c r="G41" s="593">
        <f t="shared" si="2"/>
        <v>0</v>
      </c>
      <c r="H41" s="580">
        <f>G41+'[1]19'!H41</f>
        <v>0</v>
      </c>
      <c r="I41" s="575"/>
      <c r="J41" s="673">
        <f>H41/DAY(B2)</f>
        <v>0</v>
      </c>
      <c r="K41" s="508">
        <v>0</v>
      </c>
      <c r="L41" s="405">
        <f t="shared" si="3"/>
        <v>0</v>
      </c>
      <c r="N41" s="410"/>
      <c r="O41" s="857"/>
    </row>
    <row r="42" spans="1:15" x14ac:dyDescent="0.4">
      <c r="A42" s="699" t="s">
        <v>198</v>
      </c>
      <c r="B42" s="700"/>
      <c r="C42" s="700"/>
      <c r="D42" s="643" t="s">
        <v>159</v>
      </c>
      <c r="E42" s="630">
        <f>'[1]19'!F42</f>
        <v>58926</v>
      </c>
      <c r="F42" s="630">
        <v>58926</v>
      </c>
      <c r="G42" s="593">
        <f t="shared" si="2"/>
        <v>0</v>
      </c>
      <c r="H42" s="580">
        <f>G42+'[1]19'!H42</f>
        <v>58926</v>
      </c>
      <c r="I42" s="575"/>
      <c r="J42" s="673">
        <f>H42/DAY(B2)</f>
        <v>2946.3</v>
      </c>
      <c r="K42" s="508">
        <v>3246.4500000000007</v>
      </c>
      <c r="L42" s="405">
        <f t="shared" si="3"/>
        <v>-3246.4500000000007</v>
      </c>
      <c r="N42" s="410"/>
      <c r="O42" s="410"/>
    </row>
    <row r="43" spans="1:15" x14ac:dyDescent="0.4">
      <c r="A43" s="699" t="s">
        <v>199</v>
      </c>
      <c r="B43" s="700"/>
      <c r="C43" s="700"/>
      <c r="D43" s="643" t="s">
        <v>159</v>
      </c>
      <c r="E43" s="630">
        <f>'[1]19'!F43</f>
        <v>674098</v>
      </c>
      <c r="F43" s="630">
        <v>676119</v>
      </c>
      <c r="G43" s="593">
        <f t="shared" si="2"/>
        <v>2021</v>
      </c>
      <c r="H43" s="580">
        <f>G43+'[1]19'!H43</f>
        <v>45369.689999999944</v>
      </c>
      <c r="I43" s="575"/>
      <c r="J43" s="673">
        <f>H43/DAY(B2)</f>
        <v>2268.4844999999973</v>
      </c>
      <c r="K43" s="508">
        <v>1559.2000000000116</v>
      </c>
      <c r="L43" s="405">
        <f t="shared" si="3"/>
        <v>461.79999999998836</v>
      </c>
      <c r="N43" s="410"/>
      <c r="O43" s="410"/>
    </row>
    <row r="44" spans="1:15" x14ac:dyDescent="0.4">
      <c r="A44" s="699" t="s">
        <v>200</v>
      </c>
      <c r="B44" s="700"/>
      <c r="C44" s="700"/>
      <c r="D44" s="643" t="s">
        <v>159</v>
      </c>
      <c r="E44" s="630">
        <f>'[1]19'!F44</f>
        <v>0</v>
      </c>
      <c r="F44" s="630">
        <v>0</v>
      </c>
      <c r="G44" s="593">
        <f t="shared" si="2"/>
        <v>0</v>
      </c>
      <c r="H44" s="580">
        <f>G44+'[1]19'!H44</f>
        <v>0</v>
      </c>
      <c r="I44" s="575"/>
      <c r="J44" s="673">
        <f>H44/DAY(B2)</f>
        <v>0</v>
      </c>
      <c r="K44" s="508">
        <v>0</v>
      </c>
      <c r="L44" s="405">
        <f t="shared" si="3"/>
        <v>0</v>
      </c>
      <c r="N44" s="410"/>
      <c r="O44" s="410"/>
    </row>
    <row r="45" spans="1:15" x14ac:dyDescent="0.4">
      <c r="A45" s="699" t="s">
        <v>201</v>
      </c>
      <c r="B45" s="700"/>
      <c r="C45" s="700"/>
      <c r="D45" s="643" t="s">
        <v>159</v>
      </c>
      <c r="E45" s="630">
        <f>'[1]19'!F45</f>
        <v>614</v>
      </c>
      <c r="F45" s="630">
        <v>614</v>
      </c>
      <c r="G45" s="593">
        <f t="shared" si="2"/>
        <v>0</v>
      </c>
      <c r="H45" s="580">
        <f>G45+'[1]19'!H45</f>
        <v>-0.48000000000001819</v>
      </c>
      <c r="I45" s="575"/>
      <c r="J45" s="673">
        <f>H45/DAY(B2)</f>
        <v>-2.4000000000000909E-2</v>
      </c>
      <c r="K45" s="508">
        <v>0</v>
      </c>
      <c r="L45" s="405">
        <f t="shared" si="3"/>
        <v>0</v>
      </c>
      <c r="N45" s="410"/>
      <c r="O45" s="410"/>
    </row>
    <row r="46" spans="1:15" x14ac:dyDescent="0.4">
      <c r="A46" s="699" t="s">
        <v>202</v>
      </c>
      <c r="B46" s="700"/>
      <c r="C46" s="700"/>
      <c r="D46" s="643" t="s">
        <v>159</v>
      </c>
      <c r="E46" s="630">
        <f>'[1]19'!F46</f>
        <v>187.44</v>
      </c>
      <c r="F46" s="630">
        <v>187.44</v>
      </c>
      <c r="G46" s="593">
        <f t="shared" si="2"/>
        <v>0</v>
      </c>
      <c r="H46" s="580">
        <f>G46+'[1]19'!H46</f>
        <v>-5.0000000000011369E-2</v>
      </c>
      <c r="I46" s="575"/>
      <c r="J46" s="673">
        <f>H46/DAY(B2)</f>
        <v>-2.5000000000005686E-3</v>
      </c>
      <c r="K46" s="508">
        <v>0</v>
      </c>
      <c r="L46" s="405">
        <f t="shared" si="3"/>
        <v>0</v>
      </c>
      <c r="N46" s="410"/>
      <c r="O46" s="410"/>
    </row>
    <row r="47" spans="1:15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2877</v>
      </c>
      <c r="H47" s="580">
        <f>G47+'[1]19'!H47</f>
        <v>121411.42999999992</v>
      </c>
      <c r="I47" s="575"/>
      <c r="J47" s="673">
        <f>H47/DAY(B2)</f>
        <v>6070.5714999999964</v>
      </c>
      <c r="K47" s="508">
        <v>9907.8200000000252</v>
      </c>
      <c r="L47" s="405">
        <f t="shared" si="3"/>
        <v>-7030.8200000000252</v>
      </c>
      <c r="N47" s="410"/>
      <c r="O47" s="410"/>
    </row>
    <row r="48" spans="1:15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>
        <f t="shared" si="3"/>
        <v>0</v>
      </c>
      <c r="N48" s="410"/>
      <c r="O48" s="410"/>
    </row>
    <row r="49" spans="1:15" x14ac:dyDescent="0.4">
      <c r="A49" s="699" t="s">
        <v>191</v>
      </c>
      <c r="B49" s="722"/>
      <c r="C49" s="722"/>
      <c r="D49" s="643" t="s">
        <v>159</v>
      </c>
      <c r="E49" s="630">
        <f>'[1]19'!F49</f>
        <v>114820</v>
      </c>
      <c r="F49" s="630">
        <v>117846</v>
      </c>
      <c r="G49" s="593">
        <f t="shared" ref="G49:G58" si="4">F49-E49</f>
        <v>3026</v>
      </c>
      <c r="H49" s="580">
        <f>G49+'[1]19'!H49</f>
        <v>53236.483</v>
      </c>
      <c r="I49" s="575"/>
      <c r="J49" s="673">
        <f>H49/DAY(B2)</f>
        <v>2661.8241499999999</v>
      </c>
      <c r="K49" s="508">
        <v>0</v>
      </c>
      <c r="L49" s="405">
        <f t="shared" si="3"/>
        <v>3026</v>
      </c>
      <c r="N49" s="410"/>
      <c r="O49" s="410"/>
    </row>
    <row r="50" spans="1:15" x14ac:dyDescent="0.4">
      <c r="A50" s="699" t="s">
        <v>205</v>
      </c>
      <c r="B50" s="722"/>
      <c r="C50" s="722"/>
      <c r="D50" s="643" t="s">
        <v>159</v>
      </c>
      <c r="E50" s="630">
        <f>'[1]19'!F50</f>
        <v>320574</v>
      </c>
      <c r="F50" s="630">
        <v>321760</v>
      </c>
      <c r="G50" s="593">
        <f t="shared" si="4"/>
        <v>1186</v>
      </c>
      <c r="H50" s="580">
        <f>G50+'[1]19'!H50</f>
        <v>24350.469999999972</v>
      </c>
      <c r="I50" s="575"/>
      <c r="J50" s="673">
        <f>H50/DAY(B2)</f>
        <v>1217.5234999999986</v>
      </c>
      <c r="K50" s="508">
        <v>631.67000000001281</v>
      </c>
      <c r="L50" s="405">
        <f t="shared" si="3"/>
        <v>554.32999999998719</v>
      </c>
      <c r="N50" s="410"/>
      <c r="O50" s="410"/>
    </row>
    <row r="51" spans="1:15" x14ac:dyDescent="0.4">
      <c r="A51" s="699" t="s">
        <v>193</v>
      </c>
      <c r="B51" s="722"/>
      <c r="C51" s="722"/>
      <c r="D51" s="643" t="s">
        <v>159</v>
      </c>
      <c r="E51" s="630">
        <f>'[1]19'!F51</f>
        <v>47294</v>
      </c>
      <c r="F51" s="630">
        <v>48734</v>
      </c>
      <c r="G51" s="593">
        <f t="shared" si="4"/>
        <v>1440</v>
      </c>
      <c r="H51" s="580">
        <f>G51+'[1]19'!H51</f>
        <v>27867.032999999999</v>
      </c>
      <c r="I51" s="575"/>
      <c r="J51" s="673">
        <f>H51/DAY(B2)</f>
        <v>1393.3516500000001</v>
      </c>
      <c r="K51" s="508">
        <v>0</v>
      </c>
      <c r="L51" s="405">
        <f t="shared" si="3"/>
        <v>1440</v>
      </c>
      <c r="N51" s="410"/>
      <c r="O51" s="410"/>
    </row>
    <row r="52" spans="1:15" x14ac:dyDescent="0.4">
      <c r="A52" s="699" t="s">
        <v>206</v>
      </c>
      <c r="B52" s="722"/>
      <c r="C52" s="722"/>
      <c r="D52" s="643" t="s">
        <v>159</v>
      </c>
      <c r="E52" s="630">
        <f>'[1]19'!F52</f>
        <v>408933</v>
      </c>
      <c r="F52" s="630">
        <v>410983</v>
      </c>
      <c r="G52" s="593">
        <f t="shared" si="4"/>
        <v>2050</v>
      </c>
      <c r="H52" s="580">
        <f>G52+'[1]19'!H52</f>
        <v>37627.209999999963</v>
      </c>
      <c r="I52" s="575"/>
      <c r="J52" s="673">
        <f>H52/DAY(B2)</f>
        <v>1881.3604999999982</v>
      </c>
      <c r="K52" s="508">
        <v>1057.5200000000186</v>
      </c>
      <c r="L52" s="405">
        <f t="shared" si="3"/>
        <v>992.47999999998137</v>
      </c>
      <c r="N52" s="410"/>
      <c r="O52" s="857"/>
    </row>
    <row r="53" spans="1:15" x14ac:dyDescent="0.4">
      <c r="A53" s="699" t="s">
        <v>195</v>
      </c>
      <c r="B53" s="722"/>
      <c r="C53" s="722"/>
      <c r="D53" s="643" t="s">
        <v>159</v>
      </c>
      <c r="E53" s="630">
        <f>'[1]19'!F53</f>
        <v>126046</v>
      </c>
      <c r="F53" s="630">
        <v>130100</v>
      </c>
      <c r="G53" s="593">
        <f t="shared" si="4"/>
        <v>4054</v>
      </c>
      <c r="H53" s="580">
        <f>G53+'[1]19'!H53</f>
        <v>80357.892999999996</v>
      </c>
      <c r="I53" s="575"/>
      <c r="J53" s="673">
        <f>H53/DAY(B2)</f>
        <v>4017.8946499999997</v>
      </c>
      <c r="K53" s="508">
        <v>106.48999999999978</v>
      </c>
      <c r="L53" s="405">
        <f t="shared" si="3"/>
        <v>3947.51</v>
      </c>
      <c r="N53" s="410"/>
      <c r="O53" s="410"/>
    </row>
    <row r="54" spans="1:15" x14ac:dyDescent="0.4">
      <c r="A54" s="699" t="s">
        <v>207</v>
      </c>
      <c r="B54" s="722"/>
      <c r="C54" s="722"/>
      <c r="D54" s="643" t="s">
        <v>159</v>
      </c>
      <c r="E54" s="630">
        <f>'[1]19'!F54</f>
        <v>3804.25</v>
      </c>
      <c r="F54" s="630">
        <v>3869</v>
      </c>
      <c r="G54" s="593">
        <f t="shared" si="4"/>
        <v>64.75</v>
      </c>
      <c r="H54" s="580">
        <f>G54+'[1]19'!H54</f>
        <v>990.38999999999987</v>
      </c>
      <c r="I54" s="575"/>
      <c r="J54" s="673">
        <f>H54/DAY(B2)</f>
        <v>49.519499999999994</v>
      </c>
      <c r="K54" s="508">
        <v>0</v>
      </c>
      <c r="L54" s="405">
        <f t="shared" si="3"/>
        <v>64.75</v>
      </c>
      <c r="N54" s="410"/>
      <c r="O54" s="410"/>
    </row>
    <row r="55" spans="1:15" x14ac:dyDescent="0.4">
      <c r="A55" s="699" t="s">
        <v>208</v>
      </c>
      <c r="B55" s="722"/>
      <c r="C55" s="722"/>
      <c r="D55" s="643" t="s">
        <v>159</v>
      </c>
      <c r="E55" s="630">
        <f>'[1]19'!F55</f>
        <v>158492.73000000001</v>
      </c>
      <c r="F55" s="630">
        <v>158492.73000000001</v>
      </c>
      <c r="G55" s="593">
        <f t="shared" si="4"/>
        <v>0</v>
      </c>
      <c r="H55" s="580">
        <f>G55+'[1]19'!H55</f>
        <v>-0.26999999998952262</v>
      </c>
      <c r="I55" s="575"/>
      <c r="J55" s="673">
        <f>H55/DAY(B2)</f>
        <v>-1.3499999999476131E-2</v>
      </c>
      <c r="K55" s="508">
        <v>0</v>
      </c>
      <c r="L55" s="405">
        <f t="shared" si="3"/>
        <v>0</v>
      </c>
      <c r="N55" s="410"/>
      <c r="O55" s="410"/>
    </row>
    <row r="56" spans="1:15" x14ac:dyDescent="0.4">
      <c r="A56" s="699" t="s">
        <v>209</v>
      </c>
      <c r="B56" s="722"/>
      <c r="C56" s="722"/>
      <c r="D56" s="643" t="s">
        <v>210</v>
      </c>
      <c r="E56" s="630">
        <f>'[1]19'!F56</f>
        <v>466233</v>
      </c>
      <c r="F56" s="630">
        <v>470147</v>
      </c>
      <c r="G56" s="593">
        <f t="shared" si="4"/>
        <v>3914</v>
      </c>
      <c r="H56" s="580">
        <f>G56+'[1]19'!H56</f>
        <v>34305.969999999972</v>
      </c>
      <c r="I56" s="575"/>
      <c r="J56" s="673">
        <f>H56/DAY(B2)</f>
        <v>1715.2984999999985</v>
      </c>
      <c r="K56" s="507">
        <v>0</v>
      </c>
      <c r="L56" s="405">
        <f t="shared" si="3"/>
        <v>3914</v>
      </c>
      <c r="N56" s="410"/>
      <c r="O56" s="410"/>
    </row>
    <row r="57" spans="1:15" x14ac:dyDescent="0.4">
      <c r="A57" s="699" t="s">
        <v>199</v>
      </c>
      <c r="B57" s="722"/>
      <c r="C57" s="722"/>
      <c r="D57" s="643" t="s">
        <v>159</v>
      </c>
      <c r="E57" s="630">
        <f>'[1]19'!F57</f>
        <v>0</v>
      </c>
      <c r="F57" s="630">
        <v>0</v>
      </c>
      <c r="G57" s="593">
        <f t="shared" si="4"/>
        <v>0</v>
      </c>
      <c r="H57" s="580">
        <f>G57+'[1]19'!H57</f>
        <v>0</v>
      </c>
      <c r="I57" s="575"/>
      <c r="J57" s="673">
        <f>H57/DAY(B2)</f>
        <v>0</v>
      </c>
      <c r="K57" s="508">
        <v>0</v>
      </c>
      <c r="L57" s="405">
        <f t="shared" si="3"/>
        <v>0</v>
      </c>
      <c r="N57" s="410"/>
      <c r="O57" s="410"/>
    </row>
    <row r="58" spans="1:15" x14ac:dyDescent="0.4">
      <c r="A58" s="699" t="s">
        <v>211</v>
      </c>
      <c r="B58" s="722"/>
      <c r="C58" s="722"/>
      <c r="D58" s="643" t="s">
        <v>159</v>
      </c>
      <c r="E58" s="630">
        <f>'[1]19'!F58</f>
        <v>22686</v>
      </c>
      <c r="F58" s="630">
        <v>22766</v>
      </c>
      <c r="G58" s="593">
        <f t="shared" si="4"/>
        <v>80</v>
      </c>
      <c r="H58" s="580">
        <f>G58+'[1]19'!H58</f>
        <v>2372.9670000000006</v>
      </c>
      <c r="I58" s="575"/>
      <c r="J58" s="673">
        <f>H58/DAY(B2)</f>
        <v>118.64835000000002</v>
      </c>
      <c r="K58" s="508">
        <v>0</v>
      </c>
      <c r="L58" s="405">
        <f t="shared" si="3"/>
        <v>80</v>
      </c>
      <c r="N58" s="410"/>
      <c r="O58" s="410"/>
    </row>
    <row r="59" spans="1:15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15814.75</v>
      </c>
      <c r="H59" s="580">
        <f>G59+'[1]19'!H59</f>
        <v>261108.14599999989</v>
      </c>
      <c r="I59" s="575">
        <f>G7-G60</f>
        <v>686.25</v>
      </c>
      <c r="J59" s="673">
        <f>H59/DAY(B2)</f>
        <v>13055.407299999995</v>
      </c>
      <c r="K59" s="508">
        <v>1795.6800000000312</v>
      </c>
      <c r="L59" s="405">
        <f t="shared" si="3"/>
        <v>14019.069999999969</v>
      </c>
      <c r="N59" s="410"/>
      <c r="O59" s="410"/>
    </row>
    <row r="60" spans="1:15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18691.75</v>
      </c>
      <c r="H60" s="580">
        <f>G60+'[1]19'!H60</f>
        <v>396063.24599999993</v>
      </c>
      <c r="I60" s="575">
        <f>G13-G60</f>
        <v>-20.57999999995809</v>
      </c>
      <c r="J60" s="673">
        <f>H60/DAY(B2)</f>
        <v>19803.162299999996</v>
      </c>
      <c r="K60" s="508">
        <v>11703.500000000056</v>
      </c>
      <c r="L60" s="405">
        <f t="shared" si="3"/>
        <v>6988.2499999999436</v>
      </c>
      <c r="N60" s="410"/>
      <c r="O60" s="410"/>
    </row>
    <row r="61" spans="1:15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410"/>
      <c r="O61" s="410"/>
    </row>
    <row r="62" spans="1:15" x14ac:dyDescent="0.4">
      <c r="A62" s="724" t="s">
        <v>121</v>
      </c>
      <c r="B62" s="725"/>
      <c r="C62" s="725"/>
      <c r="D62" s="631" t="s">
        <v>214</v>
      </c>
      <c r="E62" s="634">
        <f>'[1]19'!F62</f>
        <v>20419.2</v>
      </c>
      <c r="F62" s="634">
        <v>20419.2</v>
      </c>
      <c r="G62" s="593">
        <f t="shared" ref="G62:G69" si="5">F62-E62</f>
        <v>0</v>
      </c>
      <c r="H62" s="580">
        <f>G62+'[1]19'!H62</f>
        <v>2.0000000000436557E-2</v>
      </c>
      <c r="I62" s="635"/>
      <c r="J62" s="673">
        <f>H62/DAY(B2)</f>
        <v>1.0000000000218278E-3</v>
      </c>
      <c r="K62" s="508"/>
      <c r="L62" s="405"/>
      <c r="N62" s="410"/>
      <c r="O62" s="410"/>
    </row>
    <row r="63" spans="1:15" x14ac:dyDescent="0.4">
      <c r="A63" s="724" t="s">
        <v>215</v>
      </c>
      <c r="B63" s="725"/>
      <c r="C63" s="725"/>
      <c r="D63" s="631" t="s">
        <v>214</v>
      </c>
      <c r="E63" s="634">
        <f>'[1]19'!F63</f>
        <v>1059.72</v>
      </c>
      <c r="F63" s="634">
        <v>1063</v>
      </c>
      <c r="G63" s="593">
        <f t="shared" si="5"/>
        <v>3.2799999999999727</v>
      </c>
      <c r="H63" s="580">
        <f>G63+'[1]19'!H63</f>
        <v>206.63</v>
      </c>
      <c r="I63" s="635"/>
      <c r="J63" s="673">
        <f>H63/DAY(B2)</f>
        <v>10.3315</v>
      </c>
      <c r="K63" s="508"/>
      <c r="L63" s="405"/>
      <c r="N63" s="410"/>
      <c r="O63" s="410"/>
    </row>
    <row r="64" spans="1:15" ht="27.75" x14ac:dyDescent="0.5">
      <c r="A64" s="1395" t="s">
        <v>122</v>
      </c>
      <c r="B64" s="1396"/>
      <c r="C64" s="1397"/>
      <c r="D64" s="643" t="s">
        <v>214</v>
      </c>
      <c r="E64" s="604">
        <f>'[1]19'!F64</f>
        <v>93681</v>
      </c>
      <c r="F64" s="604">
        <v>94056</v>
      </c>
      <c r="G64" s="593">
        <f t="shared" si="5"/>
        <v>375</v>
      </c>
      <c r="H64" s="580">
        <f>G64+'[1]19'!H64</f>
        <v>7316.9049999999988</v>
      </c>
      <c r="I64" s="600"/>
      <c r="J64" s="673">
        <f>H64/DAY(B2)</f>
        <v>365.84524999999996</v>
      </c>
      <c r="K64" s="508"/>
      <c r="L64" s="405"/>
      <c r="N64" s="410"/>
      <c r="O64" s="410"/>
    </row>
    <row r="65" spans="1:15" ht="27.75" x14ac:dyDescent="0.5">
      <c r="A65" s="1395" t="s">
        <v>123</v>
      </c>
      <c r="B65" s="1396"/>
      <c r="C65" s="1397"/>
      <c r="D65" s="643" t="s">
        <v>214</v>
      </c>
      <c r="E65" s="604">
        <f>'[1]19'!F65</f>
        <v>104194</v>
      </c>
      <c r="F65" s="604">
        <v>104578</v>
      </c>
      <c r="G65" s="593">
        <f t="shared" si="5"/>
        <v>384</v>
      </c>
      <c r="H65" s="580">
        <f>G65+'[1]19'!H65</f>
        <v>7942.0170000000071</v>
      </c>
      <c r="I65" s="609"/>
      <c r="J65" s="673">
        <f>H65/DAY(B2)</f>
        <v>397.10085000000038</v>
      </c>
      <c r="K65" s="508"/>
      <c r="L65" s="405"/>
      <c r="N65" s="410"/>
      <c r="O65" s="410"/>
    </row>
    <row r="66" spans="1:15" ht="27.75" x14ac:dyDescent="0.5">
      <c r="A66" s="1395" t="s">
        <v>124</v>
      </c>
      <c r="B66" s="1396"/>
      <c r="C66" s="1397"/>
      <c r="D66" s="643" t="s">
        <v>214</v>
      </c>
      <c r="E66" s="604">
        <f>'[1]19'!F66</f>
        <v>97596</v>
      </c>
      <c r="F66" s="604">
        <v>98005</v>
      </c>
      <c r="G66" s="593">
        <f t="shared" si="5"/>
        <v>409</v>
      </c>
      <c r="H66" s="580">
        <f>G66+'[1]19'!H66</f>
        <v>8000.1530000000057</v>
      </c>
      <c r="I66" s="600"/>
      <c r="J66" s="673">
        <f>H66/DAY(B2)</f>
        <v>400.0076500000003</v>
      </c>
      <c r="K66" s="508"/>
      <c r="L66" s="405"/>
      <c r="N66" s="410"/>
      <c r="O66" s="410"/>
    </row>
    <row r="67" spans="1:15" ht="27.75" x14ac:dyDescent="0.5">
      <c r="A67" s="1395" t="s">
        <v>125</v>
      </c>
      <c r="B67" s="1396"/>
      <c r="C67" s="1397"/>
      <c r="D67" s="643" t="s">
        <v>214</v>
      </c>
      <c r="E67" s="604">
        <f>'[1]19'!F67</f>
        <v>159857</v>
      </c>
      <c r="F67" s="604">
        <v>160500</v>
      </c>
      <c r="G67" s="593">
        <f t="shared" si="5"/>
        <v>643</v>
      </c>
      <c r="H67" s="580">
        <f>G67+'[1]19'!H67</f>
        <v>14457.950000000012</v>
      </c>
      <c r="I67" s="609"/>
      <c r="J67" s="673">
        <f>H67/DAY(B2)</f>
        <v>722.8975000000006</v>
      </c>
      <c r="K67" s="509"/>
      <c r="L67" s="405"/>
      <c r="N67" s="410"/>
      <c r="O67" s="410"/>
    </row>
    <row r="68" spans="1:15" ht="27.75" x14ac:dyDescent="0.5">
      <c r="A68" s="1395" t="s">
        <v>126</v>
      </c>
      <c r="B68" s="1396"/>
      <c r="C68" s="1397"/>
      <c r="D68" s="643" t="s">
        <v>214</v>
      </c>
      <c r="E68" s="604">
        <f>'[1]19'!F68</f>
        <v>49921</v>
      </c>
      <c r="F68" s="604">
        <v>50248</v>
      </c>
      <c r="G68" s="593">
        <f t="shared" si="5"/>
        <v>327</v>
      </c>
      <c r="H68" s="580">
        <f>G68+'[1]19'!H68</f>
        <v>7072.9210000000021</v>
      </c>
      <c r="I68" s="636"/>
      <c r="J68" s="673">
        <f>H68/DAY(B2)</f>
        <v>353.64605000000012</v>
      </c>
      <c r="K68" s="510"/>
      <c r="L68" s="405"/>
      <c r="N68" s="410"/>
      <c r="O68" s="410"/>
    </row>
    <row r="69" spans="1:15" ht="27.75" x14ac:dyDescent="0.5">
      <c r="A69" s="1395" t="s">
        <v>127</v>
      </c>
      <c r="B69" s="1396"/>
      <c r="C69" s="1397"/>
      <c r="D69" s="643" t="s">
        <v>214</v>
      </c>
      <c r="E69" s="604">
        <f>'[1]19'!F69</f>
        <v>43107</v>
      </c>
      <c r="F69" s="604">
        <v>43386</v>
      </c>
      <c r="G69" s="593">
        <f t="shared" si="5"/>
        <v>279</v>
      </c>
      <c r="H69" s="580">
        <f>G69+'[1]19'!H69</f>
        <v>5830.4329999999973</v>
      </c>
      <c r="I69" s="636"/>
      <c r="J69" s="673">
        <f>H69/DAY(B2)</f>
        <v>291.52164999999985</v>
      </c>
      <c r="K69" s="511"/>
      <c r="L69" s="405"/>
      <c r="N69" s="410"/>
      <c r="O69" s="410"/>
    </row>
    <row r="70" spans="1:15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>
        <f>G70+'[1]13'!H70</f>
        <v>0</v>
      </c>
      <c r="I70" s="638"/>
      <c r="J70" s="677"/>
      <c r="K70" s="511"/>
      <c r="L70" s="405"/>
      <c r="N70" s="410"/>
      <c r="O70" s="410"/>
    </row>
    <row r="71" spans="1:15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410"/>
      <c r="O71" s="410"/>
    </row>
    <row r="72" spans="1:15" ht="27.75" x14ac:dyDescent="0.5">
      <c r="A72" s="1395" t="s">
        <v>218</v>
      </c>
      <c r="B72" s="1396"/>
      <c r="C72" s="1397"/>
      <c r="D72" s="643" t="s">
        <v>214</v>
      </c>
      <c r="E72" s="639">
        <f>'[1]19'!F72</f>
        <v>845380</v>
      </c>
      <c r="F72" s="639">
        <v>845458</v>
      </c>
      <c r="G72" s="593">
        <f t="shared" ref="G72:G84" si="6">F72-E72</f>
        <v>78</v>
      </c>
      <c r="H72" s="580">
        <f>G72+'[1]19'!H72</f>
        <v>1196</v>
      </c>
      <c r="I72" s="600"/>
      <c r="J72" s="673">
        <f>H72/DAY(B2)</f>
        <v>59.8</v>
      </c>
      <c r="K72" s="511"/>
      <c r="L72" s="405"/>
      <c r="N72" s="410"/>
      <c r="O72" s="410"/>
    </row>
    <row r="73" spans="1:15" ht="27.75" x14ac:dyDescent="0.5">
      <c r="A73" s="1395" t="s">
        <v>219</v>
      </c>
      <c r="B73" s="1396"/>
      <c r="C73" s="1397"/>
      <c r="D73" s="643" t="s">
        <v>214</v>
      </c>
      <c r="E73" s="640">
        <f>'[1]19'!F73</f>
        <v>885611</v>
      </c>
      <c r="F73" s="640">
        <v>885652</v>
      </c>
      <c r="G73" s="593">
        <f t="shared" si="6"/>
        <v>41</v>
      </c>
      <c r="H73" s="580">
        <f>G73+'[1]19'!H73</f>
        <v>948</v>
      </c>
      <c r="I73" s="600"/>
      <c r="J73" s="673">
        <f>H73/DAY(B2)</f>
        <v>47.4</v>
      </c>
      <c r="K73" s="510"/>
      <c r="L73" s="405"/>
      <c r="N73" s="410"/>
      <c r="O73" s="410"/>
    </row>
    <row r="74" spans="1:15" ht="27.75" x14ac:dyDescent="0.5">
      <c r="A74" s="1560" t="s">
        <v>220</v>
      </c>
      <c r="B74" s="1561"/>
      <c r="C74" s="1562"/>
      <c r="D74" s="643" t="s">
        <v>214</v>
      </c>
      <c r="E74" s="641">
        <f>'[1]19'!F74</f>
        <v>880809</v>
      </c>
      <c r="F74" s="641">
        <v>880863</v>
      </c>
      <c r="G74" s="593">
        <f t="shared" si="6"/>
        <v>54</v>
      </c>
      <c r="H74" s="580">
        <f>G74+'[1]19'!H74</f>
        <v>636</v>
      </c>
      <c r="I74" s="600"/>
      <c r="J74" s="673">
        <f>H74/DAY(B2)</f>
        <v>31.8</v>
      </c>
      <c r="K74" s="511"/>
      <c r="L74" s="405"/>
      <c r="N74" s="410"/>
      <c r="O74" s="410"/>
    </row>
    <row r="75" spans="1:15" ht="27.75" x14ac:dyDescent="0.5">
      <c r="A75" s="1447" t="s">
        <v>221</v>
      </c>
      <c r="B75" s="1448"/>
      <c r="C75" s="1449"/>
      <c r="D75" s="643" t="s">
        <v>214</v>
      </c>
      <c r="E75" s="641">
        <f>'[1]19'!F75</f>
        <v>729551</v>
      </c>
      <c r="F75" s="641">
        <v>729728</v>
      </c>
      <c r="G75" s="593">
        <f t="shared" si="6"/>
        <v>177</v>
      </c>
      <c r="H75" s="580">
        <f>G75+'[1]19'!H75</f>
        <v>3548</v>
      </c>
      <c r="I75" s="600"/>
      <c r="J75" s="673">
        <f>H75/DAY(B2)</f>
        <v>177.4</v>
      </c>
      <c r="K75" s="510"/>
      <c r="L75" s="405"/>
      <c r="N75" s="410"/>
      <c r="O75" s="410"/>
    </row>
    <row r="76" spans="1:15" ht="27.75" x14ac:dyDescent="0.5">
      <c r="A76" s="1447" t="s">
        <v>222</v>
      </c>
      <c r="B76" s="1448"/>
      <c r="C76" s="1449"/>
      <c r="D76" s="643" t="s">
        <v>214</v>
      </c>
      <c r="E76" s="641">
        <f>'[1]19'!F76</f>
        <v>683253</v>
      </c>
      <c r="F76" s="771">
        <v>683336</v>
      </c>
      <c r="G76" s="593">
        <f t="shared" si="6"/>
        <v>83</v>
      </c>
      <c r="H76" s="580">
        <f>G76+'[1]19'!H76</f>
        <v>2966</v>
      </c>
      <c r="I76" s="625"/>
      <c r="J76" s="673">
        <f>H76/DAY(B2)</f>
        <v>148.30000000000001</v>
      </c>
      <c r="K76" s="510"/>
      <c r="L76" s="405"/>
      <c r="N76" s="410"/>
      <c r="O76" s="410"/>
    </row>
    <row r="77" spans="1:15" ht="27.75" x14ac:dyDescent="0.5">
      <c r="A77" s="1395" t="s">
        <v>223</v>
      </c>
      <c r="B77" s="1396"/>
      <c r="C77" s="1397"/>
      <c r="D77" s="643" t="s">
        <v>214</v>
      </c>
      <c r="E77" s="641">
        <f>'[1]19'!F77</f>
        <v>694731</v>
      </c>
      <c r="F77" s="641">
        <v>694789</v>
      </c>
      <c r="G77" s="593">
        <f t="shared" si="6"/>
        <v>58</v>
      </c>
      <c r="H77" s="580">
        <f>G77+'[1]19'!H77</f>
        <v>1069</v>
      </c>
      <c r="I77" s="625"/>
      <c r="J77" s="673">
        <f>H77/DAY(B2)</f>
        <v>53.45</v>
      </c>
      <c r="K77" s="510"/>
      <c r="L77" s="405"/>
      <c r="N77" s="410"/>
      <c r="O77" s="410"/>
    </row>
    <row r="78" spans="1:15" ht="27.75" x14ac:dyDescent="0.5">
      <c r="A78" s="1357" t="s">
        <v>224</v>
      </c>
      <c r="B78" s="1320"/>
      <c r="C78" s="1320"/>
      <c r="D78" s="643" t="s">
        <v>214</v>
      </c>
      <c r="E78" s="641">
        <f>'[1]19'!F78</f>
        <v>626063</v>
      </c>
      <c r="F78" s="641">
        <v>626508</v>
      </c>
      <c r="G78" s="593">
        <f t="shared" si="6"/>
        <v>445</v>
      </c>
      <c r="H78" s="580">
        <f>G78+'[1]19'!H78</f>
        <v>8255</v>
      </c>
      <c r="I78" s="625"/>
      <c r="J78" s="673">
        <f>H78/DAY(B2)</f>
        <v>412.75</v>
      </c>
      <c r="K78" s="510"/>
      <c r="L78" s="405"/>
      <c r="N78" s="410"/>
      <c r="O78" s="410"/>
    </row>
    <row r="79" spans="1:15" ht="27.75" x14ac:dyDescent="0.5">
      <c r="A79" s="1447" t="s">
        <v>112</v>
      </c>
      <c r="B79" s="1448"/>
      <c r="C79" s="1449"/>
      <c r="D79" s="644" t="s">
        <v>214</v>
      </c>
      <c r="E79" s="641">
        <f>'[1]19'!F79</f>
        <v>801640</v>
      </c>
      <c r="F79" s="641">
        <v>801815</v>
      </c>
      <c r="G79" s="593">
        <f t="shared" si="6"/>
        <v>175</v>
      </c>
      <c r="H79" s="580">
        <f>G79+'[1]19'!H79</f>
        <v>6563</v>
      </c>
      <c r="I79" s="625"/>
      <c r="J79" s="673">
        <f>H79/DAY(B2)</f>
        <v>328.15</v>
      </c>
      <c r="K79" s="510"/>
      <c r="L79" s="405"/>
      <c r="N79" s="410"/>
      <c r="O79" s="410"/>
    </row>
    <row r="80" spans="1:15" ht="27.75" x14ac:dyDescent="0.5">
      <c r="A80" s="1447" t="s">
        <v>225</v>
      </c>
      <c r="B80" s="1448"/>
      <c r="C80" s="1449"/>
      <c r="D80" s="644" t="s">
        <v>214</v>
      </c>
      <c r="E80" s="640">
        <f>'[1]19'!F80</f>
        <v>471748</v>
      </c>
      <c r="F80" s="640">
        <v>472052</v>
      </c>
      <c r="G80" s="593">
        <f t="shared" si="6"/>
        <v>304</v>
      </c>
      <c r="H80" s="580">
        <f>G80+'[1]19'!H80</f>
        <v>4728.1599999999744</v>
      </c>
      <c r="I80" s="625"/>
      <c r="J80" s="673">
        <f>H80/DAY(B2)</f>
        <v>236.40799999999871</v>
      </c>
      <c r="K80" s="510"/>
      <c r="L80" s="405"/>
      <c r="N80" s="410"/>
      <c r="O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'[1]19'!F81</f>
        <v>617444</v>
      </c>
      <c r="F81" s="640">
        <v>617605</v>
      </c>
      <c r="G81" s="593">
        <f t="shared" si="6"/>
        <v>161</v>
      </c>
      <c r="H81" s="580">
        <f>G81+'[1]19'!H81</f>
        <v>3216.4799999999814</v>
      </c>
      <c r="I81" s="625"/>
      <c r="J81" s="673">
        <f>H81/DAY(B2)</f>
        <v>160.82399999999907</v>
      </c>
      <c r="K81" s="510"/>
      <c r="L81" s="405"/>
      <c r="N81" s="410"/>
      <c r="O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2">
        <f>'[1]19'!F82</f>
        <v>104158.88</v>
      </c>
      <c r="F82" s="642">
        <v>104191</v>
      </c>
      <c r="G82" s="593">
        <f t="shared" si="6"/>
        <v>32.119999999995343</v>
      </c>
      <c r="H82" s="580">
        <f>G82+'[1]19'!H82</f>
        <v>661.35000000000582</v>
      </c>
      <c r="I82" s="606"/>
      <c r="J82" s="673">
        <f>H82/DAY(B2)</f>
        <v>33.067500000000294</v>
      </c>
      <c r="K82" s="510"/>
      <c r="L82" s="405"/>
      <c r="N82" s="410"/>
      <c r="O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1">
        <f>'[1]19'!F83</f>
        <v>969294</v>
      </c>
      <c r="F83" s="631">
        <v>969670</v>
      </c>
      <c r="G83" s="593">
        <f t="shared" si="6"/>
        <v>376</v>
      </c>
      <c r="H83" s="580">
        <f>G83+'[1]19'!H83</f>
        <v>7145</v>
      </c>
      <c r="I83" s="601"/>
      <c r="J83" s="673">
        <f>H83/DAY(B2)</f>
        <v>357.25</v>
      </c>
      <c r="K83" s="509"/>
      <c r="L83" s="405"/>
      <c r="N83" s="410"/>
      <c r="O83" s="857"/>
    </row>
    <row r="84" spans="1:15" x14ac:dyDescent="0.5">
      <c r="A84" s="1360" t="s">
        <v>228</v>
      </c>
      <c r="B84" s="692"/>
      <c r="C84" s="692"/>
      <c r="D84" s="598" t="s">
        <v>159</v>
      </c>
      <c r="E84" s="748">
        <f>'[1]19'!F84</f>
        <v>391529</v>
      </c>
      <c r="F84" s="748">
        <v>391985</v>
      </c>
      <c r="G84" s="593">
        <f t="shared" si="6"/>
        <v>456</v>
      </c>
      <c r="H84" s="580">
        <f>G84+'[1]19'!H84</f>
        <v>10629</v>
      </c>
      <c r="I84" s="601"/>
      <c r="J84" s="673">
        <f>H84/DAY(B2)</f>
        <v>531.45000000000005</v>
      </c>
      <c r="K84" s="408"/>
      <c r="L84" s="405"/>
      <c r="N84" s="410"/>
      <c r="O84" s="410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SUM(G72:G84)</f>
        <v>2440.1199999999953</v>
      </c>
      <c r="H85" s="580">
        <f>G85+'[1]19'!H85</f>
        <v>47004.519999999931</v>
      </c>
      <c r="I85" s="601"/>
      <c r="J85" s="673">
        <f>H85/DAY(B2)</f>
        <v>2350.2259999999965</v>
      </c>
      <c r="K85" s="408"/>
      <c r="L85" s="406"/>
      <c r="N85" s="918"/>
      <c r="O85" s="857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64">
        <f>'[1]19'!F86</f>
        <v>443240</v>
      </c>
      <c r="F86" s="764">
        <v>443318</v>
      </c>
      <c r="G86" s="841">
        <f t="shared" ref="G86:G90" si="7">F86-E86</f>
        <v>78</v>
      </c>
      <c r="H86" s="841">
        <f t="shared" ref="H86:H90" si="8">G86</f>
        <v>78</v>
      </c>
      <c r="I86" s="769"/>
      <c r="J86" s="843">
        <f>H86/DAY(B2)</f>
        <v>3.9</v>
      </c>
      <c r="K86" s="869"/>
      <c r="L86" s="870"/>
      <c r="N86" s="919"/>
      <c r="O86" s="410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64">
        <f>'[1]19'!F87</f>
        <v>77467</v>
      </c>
      <c r="F87" s="764">
        <v>77479</v>
      </c>
      <c r="G87" s="841">
        <f t="shared" si="7"/>
        <v>12</v>
      </c>
      <c r="H87" s="841">
        <f t="shared" si="8"/>
        <v>12</v>
      </c>
      <c r="I87" s="769"/>
      <c r="J87" s="843">
        <f>H87/DAY(B2)</f>
        <v>0.6</v>
      </c>
      <c r="K87" s="869"/>
      <c r="L87" s="870"/>
      <c r="N87" s="919"/>
      <c r="O87" s="410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64">
        <f>'[1]19'!F88</f>
        <v>143841</v>
      </c>
      <c r="F88" s="764">
        <v>143869</v>
      </c>
      <c r="G88" s="841">
        <f t="shared" si="7"/>
        <v>28</v>
      </c>
      <c r="H88" s="841">
        <f t="shared" si="8"/>
        <v>28</v>
      </c>
      <c r="I88" s="769"/>
      <c r="J88" s="843">
        <f>H88/DAY(B2)</f>
        <v>1.4</v>
      </c>
      <c r="K88" s="869"/>
      <c r="L88" s="870"/>
      <c r="N88" s="919"/>
      <c r="O88" s="410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64">
        <f>'[1]19'!F89</f>
        <v>56827</v>
      </c>
      <c r="F89" s="764">
        <v>56899</v>
      </c>
      <c r="G89" s="841">
        <f t="shared" si="7"/>
        <v>72</v>
      </c>
      <c r="H89" s="841">
        <f t="shared" si="8"/>
        <v>72</v>
      </c>
      <c r="I89" s="769"/>
      <c r="J89" s="843">
        <f>H89/DAY(B2)</f>
        <v>3.6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64">
        <f>'[1]19'!F90</f>
        <v>2951</v>
      </c>
      <c r="F90" s="764">
        <v>2952</v>
      </c>
      <c r="G90" s="841">
        <f t="shared" si="7"/>
        <v>1</v>
      </c>
      <c r="H90" s="841">
        <f t="shared" si="8"/>
        <v>1</v>
      </c>
      <c r="I90" s="769"/>
      <c r="J90" s="843">
        <f>H90/DAY(B2)</f>
        <v>0.05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918"/>
      <c r="O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'[1]19'!F92</f>
        <v>232848</v>
      </c>
      <c r="F92" s="604">
        <v>232951</v>
      </c>
      <c r="G92" s="593">
        <f t="shared" ref="G92:G93" si="9">F92-E92</f>
        <v>103</v>
      </c>
      <c r="H92" s="580">
        <f>G92+'[1]19'!H92</f>
        <v>1976</v>
      </c>
      <c r="I92" s="600"/>
      <c r="J92" s="673">
        <f>H92/DAY(B2)</f>
        <v>98.8</v>
      </c>
      <c r="K92" s="509"/>
      <c r="L92" s="405"/>
      <c r="N92" s="410"/>
      <c r="O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'[1]19'!F93</f>
        <v>165342</v>
      </c>
      <c r="F93" s="604">
        <v>165485</v>
      </c>
      <c r="G93" s="593">
        <f t="shared" si="9"/>
        <v>143</v>
      </c>
      <c r="H93" s="580">
        <f>G93+'[1]19'!H93</f>
        <v>2843</v>
      </c>
      <c r="I93" s="600"/>
      <c r="J93" s="673">
        <f>H93/DAY(B2)</f>
        <v>142.15</v>
      </c>
      <c r="K93" s="408"/>
      <c r="L93" s="405"/>
      <c r="N93" s="410"/>
      <c r="O93" s="410"/>
    </row>
    <row r="94" spans="1:15" x14ac:dyDescent="0.5">
      <c r="A94" s="1392" t="s">
        <v>235</v>
      </c>
      <c r="B94" s="1393"/>
      <c r="C94" s="1394"/>
      <c r="D94" s="643"/>
      <c r="E94" s="604">
        <f>'[1]19'!F94</f>
        <v>0</v>
      </c>
      <c r="F94" s="604"/>
      <c r="G94" s="593">
        <f>G92+G93</f>
        <v>246</v>
      </c>
      <c r="H94" s="580">
        <f>G94+'[1]19'!H94</f>
        <v>4556</v>
      </c>
      <c r="I94" s="600"/>
      <c r="J94" s="673">
        <f>H94/DAY(B2)</f>
        <v>227.8</v>
      </c>
      <c r="K94" s="408"/>
      <c r="L94" s="405"/>
      <c r="N94" s="410"/>
      <c r="O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'[1]19'!F95</f>
        <v>402819</v>
      </c>
      <c r="F95" s="604">
        <v>402874</v>
      </c>
      <c r="G95" s="593">
        <f t="shared" ref="G95:G100" si="10">F95-E95</f>
        <v>55</v>
      </c>
      <c r="H95" s="580">
        <f>G95+'[1]19'!H95</f>
        <v>1309</v>
      </c>
      <c r="I95" s="600"/>
      <c r="J95" s="673">
        <f>H95/DAY(B2)</f>
        <v>65.45</v>
      </c>
      <c r="K95" s="408"/>
      <c r="L95" s="405"/>
      <c r="N95" s="410"/>
      <c r="O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'[1]19'!F96</f>
        <v>99638</v>
      </c>
      <c r="F96" s="604">
        <v>99667</v>
      </c>
      <c r="G96" s="593">
        <f t="shared" si="10"/>
        <v>29</v>
      </c>
      <c r="H96" s="580">
        <f>G96+'[1]19'!H96</f>
        <v>556</v>
      </c>
      <c r="I96" s="600"/>
      <c r="J96" s="673">
        <f>H96/DAY(B2)</f>
        <v>27.8</v>
      </c>
      <c r="K96" s="507"/>
      <c r="L96" s="405"/>
      <c r="N96" s="410"/>
      <c r="O96" s="410"/>
    </row>
    <row r="97" spans="1:15" ht="27.75" x14ac:dyDescent="0.5">
      <c r="A97" s="1354" t="s">
        <v>238</v>
      </c>
      <c r="B97" s="1355"/>
      <c r="C97" s="1355"/>
      <c r="D97" s="643" t="s">
        <v>171</v>
      </c>
      <c r="E97" s="604">
        <f>'[1]19'!F97</f>
        <v>94747</v>
      </c>
      <c r="F97" s="604">
        <v>94777</v>
      </c>
      <c r="G97" s="593">
        <f t="shared" si="10"/>
        <v>30</v>
      </c>
      <c r="H97" s="580">
        <f>G97+'[1]19'!H97</f>
        <v>505</v>
      </c>
      <c r="I97" s="600"/>
      <c r="J97" s="673">
        <f>H97/DAY(B2)</f>
        <v>25.25</v>
      </c>
      <c r="K97" s="512"/>
      <c r="L97" s="405"/>
      <c r="N97" s="410"/>
      <c r="O97" s="410"/>
    </row>
    <row r="98" spans="1:15" ht="27.75" x14ac:dyDescent="0.5">
      <c r="A98" s="1354" t="s">
        <v>239</v>
      </c>
      <c r="B98" s="1355"/>
      <c r="C98" s="1355"/>
      <c r="D98" s="643" t="s">
        <v>171</v>
      </c>
      <c r="E98" s="604">
        <f>'[1]19'!F98</f>
        <v>143176</v>
      </c>
      <c r="F98" s="604">
        <v>143263</v>
      </c>
      <c r="G98" s="593">
        <f t="shared" si="10"/>
        <v>87</v>
      </c>
      <c r="H98" s="580">
        <f>G98+'[1]19'!H98</f>
        <v>1117</v>
      </c>
      <c r="I98" s="600"/>
      <c r="J98" s="673">
        <f>H98/DAY(B2)</f>
        <v>55.85</v>
      </c>
      <c r="K98" s="408"/>
      <c r="L98" s="405"/>
      <c r="N98" s="410"/>
      <c r="O98" s="410"/>
    </row>
    <row r="99" spans="1:15" ht="27.75" x14ac:dyDescent="0.5">
      <c r="A99" s="1354" t="s">
        <v>240</v>
      </c>
      <c r="B99" s="1355"/>
      <c r="C99" s="1355"/>
      <c r="D99" s="643" t="s">
        <v>171</v>
      </c>
      <c r="E99" s="604">
        <f>'[1]19'!F99</f>
        <v>5349</v>
      </c>
      <c r="F99" s="604">
        <v>5374</v>
      </c>
      <c r="G99" s="593">
        <f t="shared" si="10"/>
        <v>25</v>
      </c>
      <c r="H99" s="580">
        <f>G99+'[1]19'!H99</f>
        <v>406</v>
      </c>
      <c r="I99" s="600"/>
      <c r="J99" s="673">
        <f>H99/DAY(B2)</f>
        <v>20.3</v>
      </c>
      <c r="K99" s="408"/>
      <c r="L99" s="405"/>
      <c r="N99" s="410"/>
      <c r="O99" s="410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604">
        <f>'[1]19'!F100</f>
        <v>3827</v>
      </c>
      <c r="F100" s="604">
        <v>3845</v>
      </c>
      <c r="G100" s="593">
        <f t="shared" si="10"/>
        <v>18</v>
      </c>
      <c r="H100" s="580">
        <f>G100+'[1]19'!H100</f>
        <v>49</v>
      </c>
      <c r="I100" s="600"/>
      <c r="J100" s="673">
        <f>H100/DAY(B2)</f>
        <v>2.4500000000000002</v>
      </c>
      <c r="K100" s="408"/>
      <c r="L100" s="405"/>
      <c r="N100" s="410"/>
      <c r="O100" s="410"/>
    </row>
    <row r="101" spans="1:15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244</v>
      </c>
      <c r="H101" s="580">
        <f>G101+'[1]19'!H101</f>
        <v>3942</v>
      </c>
      <c r="I101" s="646"/>
      <c r="J101" s="673">
        <f>H101/DAY(B2)</f>
        <v>197.1</v>
      </c>
      <c r="K101" s="408"/>
      <c r="L101" s="405"/>
      <c r="N101" s="410"/>
      <c r="O101" s="410"/>
    </row>
    <row r="102" spans="1:15" s="524" customFormat="1" ht="27" x14ac:dyDescent="0.35">
      <c r="A102" s="728" t="s">
        <v>243</v>
      </c>
      <c r="B102" s="729"/>
      <c r="C102" s="729"/>
      <c r="D102" s="742"/>
      <c r="E102" s="648"/>
      <c r="F102" s="648"/>
      <c r="G102" s="649"/>
      <c r="H102" s="650"/>
      <c r="I102" s="651"/>
      <c r="J102" s="678"/>
      <c r="N102" s="536"/>
      <c r="O102" s="410"/>
    </row>
    <row r="103" spans="1:15" s="524" customFormat="1" ht="27.75" x14ac:dyDescent="0.5">
      <c r="A103" s="1404" t="s">
        <v>244</v>
      </c>
      <c r="B103" s="1405"/>
      <c r="C103" s="694"/>
      <c r="D103" s="743"/>
      <c r="E103" s="652"/>
      <c r="F103" s="652"/>
      <c r="G103" s="652"/>
      <c r="H103" s="653"/>
      <c r="I103" s="652"/>
      <c r="J103" s="679"/>
      <c r="N103" s="536"/>
      <c r="O103" s="410"/>
    </row>
    <row r="104" spans="1:15" s="524" customFormat="1" ht="27.75" x14ac:dyDescent="0.5">
      <c r="A104" s="1406" t="s">
        <v>245</v>
      </c>
      <c r="B104" s="1407"/>
      <c r="C104" s="1363"/>
      <c r="D104" s="743" t="s">
        <v>171</v>
      </c>
      <c r="E104" s="652">
        <f>'[1]19'!F104</f>
        <v>7010</v>
      </c>
      <c r="F104" s="652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2.85</v>
      </c>
      <c r="N104" s="536"/>
      <c r="O104" s="410"/>
    </row>
    <row r="105" spans="1:15" s="524" customFormat="1" ht="27.75" x14ac:dyDescent="0.5">
      <c r="A105" s="1406" t="s">
        <v>92</v>
      </c>
      <c r="B105" s="1407"/>
      <c r="C105" s="1363"/>
      <c r="D105" s="743" t="s">
        <v>171</v>
      </c>
      <c r="E105" s="654">
        <f>'[1]19'!F105</f>
        <v>34821</v>
      </c>
      <c r="F105" s="654">
        <v>34821</v>
      </c>
      <c r="G105" s="652">
        <f t="shared" ref="G105:G106" si="11">F105-E105</f>
        <v>0</v>
      </c>
      <c r="H105" s="653">
        <f>SUM(G105+'[1]1'!G77)</f>
        <v>55</v>
      </c>
      <c r="I105" s="652"/>
      <c r="J105" s="679">
        <f>H105/DAY(B2)</f>
        <v>2.75</v>
      </c>
      <c r="N105" s="536"/>
      <c r="O105" s="410"/>
    </row>
    <row r="106" spans="1:15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'[1]19'!F106</f>
        <v>18827</v>
      </c>
      <c r="F106" s="652">
        <v>18830</v>
      </c>
      <c r="G106" s="652">
        <f t="shared" si="11"/>
        <v>3</v>
      </c>
      <c r="H106" s="653">
        <f>SUM(G106+'[1]1'!G78)</f>
        <v>483</v>
      </c>
      <c r="I106" s="652"/>
      <c r="J106" s="679">
        <f>H106/DAY(B2)</f>
        <v>24.15</v>
      </c>
      <c r="N106" s="536"/>
      <c r="O106" s="410"/>
    </row>
    <row r="107" spans="1:15" s="524" customFormat="1" ht="27.75" x14ac:dyDescent="0.5">
      <c r="A107" s="1409" t="s">
        <v>82</v>
      </c>
      <c r="B107" s="1410"/>
      <c r="C107" s="1363"/>
      <c r="D107" s="743"/>
      <c r="E107" s="652">
        <f>'[1]19'!F107</f>
        <v>0</v>
      </c>
      <c r="F107" s="652"/>
      <c r="G107" s="652">
        <f>SUM(G104:G106)</f>
        <v>3</v>
      </c>
      <c r="H107" s="653">
        <f>SUM(G107+'[1]1'!G79)</f>
        <v>204</v>
      </c>
      <c r="I107" s="652"/>
      <c r="J107" s="679">
        <f>H107/DAY(B2)</f>
        <v>10.199999999999999</v>
      </c>
      <c r="N107" s="536"/>
      <c r="O107" s="410"/>
    </row>
    <row r="108" spans="1:15" s="524" customFormat="1" ht="27.75" x14ac:dyDescent="0.5">
      <c r="A108" s="1411" t="s">
        <v>94</v>
      </c>
      <c r="B108" s="1412"/>
      <c r="C108" s="1363"/>
      <c r="D108" s="743" t="s">
        <v>171</v>
      </c>
      <c r="E108" s="652">
        <f>'[1]19'!F108</f>
        <v>0</v>
      </c>
      <c r="F108" s="652"/>
      <c r="G108" s="652"/>
      <c r="H108" s="653"/>
      <c r="I108" s="652"/>
      <c r="J108" s="679"/>
      <c r="N108" s="536"/>
      <c r="O108" s="410"/>
    </row>
    <row r="109" spans="1:15" s="524" customFormat="1" ht="27.75" x14ac:dyDescent="0.5">
      <c r="A109" s="1406" t="s">
        <v>246</v>
      </c>
      <c r="B109" s="1407"/>
      <c r="C109" s="1363"/>
      <c r="D109" s="743" t="s">
        <v>171</v>
      </c>
      <c r="E109" s="652">
        <f>'[1]19'!F109</f>
        <v>52381</v>
      </c>
      <c r="F109" s="652">
        <v>52434</v>
      </c>
      <c r="G109" s="652">
        <f>F109-E109</f>
        <v>53</v>
      </c>
      <c r="H109" s="653">
        <f>SUM(G109+'[1]1'!G81)</f>
        <v>206.28000000002794</v>
      </c>
      <c r="I109" s="652"/>
      <c r="J109" s="679">
        <f>H109/DAY(B2)</f>
        <v>10.314000000001396</v>
      </c>
      <c r="N109" s="536"/>
      <c r="O109" s="410"/>
    </row>
    <row r="110" spans="1:15" s="524" customFormat="1" ht="27.75" x14ac:dyDescent="0.5">
      <c r="A110" s="1406" t="s">
        <v>247</v>
      </c>
      <c r="B110" s="1407"/>
      <c r="C110" s="1363"/>
      <c r="D110" s="743" t="s">
        <v>171</v>
      </c>
      <c r="E110" s="652">
        <f>'[1]19'!F110</f>
        <v>26325</v>
      </c>
      <c r="F110" s="652">
        <v>26410</v>
      </c>
      <c r="G110" s="652">
        <f t="shared" ref="G110:G111" si="12">F110-E110</f>
        <v>85</v>
      </c>
      <c r="H110" s="653">
        <f>SUM(G110+'[1]1'!G82)</f>
        <v>105.76000000000931</v>
      </c>
      <c r="I110" s="652"/>
      <c r="J110" s="679">
        <f>H110/DAY(B2)</f>
        <v>5.2880000000004657</v>
      </c>
      <c r="N110" s="536"/>
      <c r="O110" s="410"/>
    </row>
    <row r="111" spans="1:15" s="524" customFormat="1" ht="27.75" x14ac:dyDescent="0.5">
      <c r="A111" s="1406" t="s">
        <v>248</v>
      </c>
      <c r="B111" s="1407"/>
      <c r="C111" s="1363"/>
      <c r="D111" s="743" t="s">
        <v>171</v>
      </c>
      <c r="E111" s="652">
        <f>'[1]19'!F111</f>
        <v>3488</v>
      </c>
      <c r="F111" s="652">
        <v>3490</v>
      </c>
      <c r="G111" s="652">
        <f t="shared" si="12"/>
        <v>2</v>
      </c>
      <c r="H111" s="653">
        <f>SUM(G111+'[1]1'!G83)</f>
        <v>348</v>
      </c>
      <c r="I111" s="652"/>
      <c r="J111" s="679">
        <f>H111/DAY(B2)</f>
        <v>17.399999999999999</v>
      </c>
      <c r="N111" s="536"/>
      <c r="O111" s="410"/>
    </row>
    <row r="112" spans="1:15" s="524" customFormat="1" ht="27.75" x14ac:dyDescent="0.5">
      <c r="A112" s="1435" t="s">
        <v>136</v>
      </c>
      <c r="B112" s="1436"/>
      <c r="C112" s="1363"/>
      <c r="D112" s="743"/>
      <c r="E112" s="652">
        <f>'[1]19'!F112</f>
        <v>0</v>
      </c>
      <c r="F112" s="652"/>
      <c r="G112" s="652">
        <f>SUM(G109:G111)</f>
        <v>140</v>
      </c>
      <c r="H112" s="653">
        <f>SUM(G112+'[1]1'!G84)</f>
        <v>704</v>
      </c>
      <c r="I112" s="652"/>
      <c r="J112" s="679">
        <f>H112/DAY(B2)</f>
        <v>35.200000000000003</v>
      </c>
      <c r="N112" s="536"/>
      <c r="O112" s="410"/>
    </row>
    <row r="113" spans="1:15" s="524" customFormat="1" ht="27.75" x14ac:dyDescent="0.5">
      <c r="A113" s="1411" t="s">
        <v>249</v>
      </c>
      <c r="B113" s="1412"/>
      <c r="C113" s="1363"/>
      <c r="D113" s="743"/>
      <c r="E113" s="652">
        <f>'[1]19'!F113</f>
        <v>0</v>
      </c>
      <c r="F113" s="652"/>
      <c r="G113" s="652"/>
      <c r="H113" s="653"/>
      <c r="I113" s="652"/>
      <c r="J113" s="679">
        <f>H113/DAY(B2)</f>
        <v>0</v>
      </c>
      <c r="N113" s="536"/>
      <c r="O113" s="410"/>
    </row>
    <row r="114" spans="1:15" s="524" customFormat="1" ht="27.75" x14ac:dyDescent="0.5">
      <c r="A114" s="1406" t="s">
        <v>250</v>
      </c>
      <c r="B114" s="1407"/>
      <c r="C114" s="695"/>
      <c r="D114" s="743" t="s">
        <v>171</v>
      </c>
      <c r="E114" s="654">
        <f>'[1]19'!F114</f>
        <v>9054</v>
      </c>
      <c r="F114" s="654">
        <v>9082</v>
      </c>
      <c r="G114" s="654">
        <f>F114-E114</f>
        <v>28</v>
      </c>
      <c r="H114" s="653">
        <f>SUM(G114+'[1]1'!G91)</f>
        <v>28</v>
      </c>
      <c r="I114" s="652"/>
      <c r="J114" s="679">
        <f>H114/DAY(B2)</f>
        <v>1.4</v>
      </c>
      <c r="N114" s="536"/>
      <c r="O114" s="410"/>
    </row>
    <row r="115" spans="1:15" s="524" customFormat="1" ht="27.75" x14ac:dyDescent="0.5">
      <c r="A115" s="1406" t="s">
        <v>251</v>
      </c>
      <c r="B115" s="1407"/>
      <c r="C115" s="695"/>
      <c r="D115" s="743" t="s">
        <v>171</v>
      </c>
      <c r="E115" s="654">
        <f>'[1]19'!F115</f>
        <v>7054</v>
      </c>
      <c r="F115" s="654">
        <v>7071</v>
      </c>
      <c r="G115" s="654">
        <f t="shared" ref="G115:G116" si="13">F115-E115</f>
        <v>17</v>
      </c>
      <c r="H115" s="653">
        <f>SUM(G115+'[1]1'!G92)</f>
        <v>129</v>
      </c>
      <c r="I115" s="652"/>
      <c r="J115" s="679">
        <f>H115/DAY(B2)</f>
        <v>6.45</v>
      </c>
      <c r="N115" s="536"/>
      <c r="O115" s="410"/>
    </row>
    <row r="116" spans="1:15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654"/>
      <c r="G116" s="654">
        <f t="shared" si="13"/>
        <v>0</v>
      </c>
      <c r="H116" s="653">
        <f>SUM(G116+'[1]1'!G93)</f>
        <v>151</v>
      </c>
      <c r="I116" s="652"/>
      <c r="J116" s="679">
        <f>H116/DAY(B2)</f>
        <v>7.55</v>
      </c>
      <c r="N116" s="536"/>
      <c r="O116" s="410"/>
    </row>
    <row r="117" spans="1:15" s="537" customFormat="1" ht="27.75" x14ac:dyDescent="0.5">
      <c r="A117" s="1409" t="s">
        <v>82</v>
      </c>
      <c r="B117" s="1410"/>
      <c r="C117" s="695"/>
      <c r="D117" s="744"/>
      <c r="E117" s="654"/>
      <c r="F117" s="654"/>
      <c r="G117" s="654">
        <f>SUM(G114:G116)</f>
        <v>45</v>
      </c>
      <c r="H117" s="653">
        <f>SUM(G117+'[1]1'!G95)</f>
        <v>92</v>
      </c>
      <c r="I117" s="654"/>
      <c r="J117" s="679">
        <f>H117/DAY(B2)</f>
        <v>4.5999999999999996</v>
      </c>
      <c r="N117" s="565"/>
      <c r="O117" s="410"/>
    </row>
    <row r="118" spans="1:15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656">
        <f>SUM(G19+G92)</f>
        <v>157</v>
      </c>
      <c r="G118" s="656">
        <f>SUM(G19+G92)</f>
        <v>157</v>
      </c>
      <c r="H118" s="653">
        <f>SUM(G118+'[1]1'!G96)</f>
        <v>190</v>
      </c>
      <c r="I118" s="655"/>
      <c r="J118" s="680">
        <f>H118/DAY(B2)</f>
        <v>9.5</v>
      </c>
      <c r="N118" s="920"/>
      <c r="O118" s="410"/>
    </row>
    <row r="119" spans="1:15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656">
        <f>SUM(G95,G96,G97,G99,G100)</f>
        <v>157</v>
      </c>
      <c r="G119" s="656">
        <f>SUM(G95,G96,G97,G99,G100)</f>
        <v>157</v>
      </c>
      <c r="H119" s="653">
        <f>SUM(G119+'[1]1'!G98)</f>
        <v>224</v>
      </c>
      <c r="I119" s="655"/>
      <c r="J119" s="680">
        <f>H119/DAY(B2)</f>
        <v>11.2</v>
      </c>
      <c r="N119" s="920"/>
      <c r="O119" s="410"/>
    </row>
    <row r="120" spans="1:15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654">
        <f>SUM(G112)</f>
        <v>140</v>
      </c>
      <c r="G120" s="654">
        <f>SUM(G112)</f>
        <v>140</v>
      </c>
      <c r="H120" s="653">
        <f>SUM(G120+'[1]1'!G100)</f>
        <v>140</v>
      </c>
      <c r="I120" s="655"/>
      <c r="J120" s="680">
        <f>H120/DAY(B2)</f>
        <v>7</v>
      </c>
      <c r="N120" s="920"/>
      <c r="O120" s="410"/>
    </row>
    <row r="121" spans="1:15" s="524" customFormat="1" ht="27.75" x14ac:dyDescent="0.5">
      <c r="A121" s="1439"/>
      <c r="B121" s="1440"/>
      <c r="C121" s="1363"/>
      <c r="D121" s="681"/>
      <c r="E121" s="681"/>
      <c r="F121" s="681" t="s">
        <v>143</v>
      </c>
      <c r="G121" s="681"/>
      <c r="H121" s="682"/>
      <c r="I121" s="681"/>
      <c r="J121" s="683"/>
      <c r="N121" s="536"/>
      <c r="O121" s="410"/>
    </row>
    <row r="122" spans="1:15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410"/>
      <c r="O122" s="410"/>
    </row>
    <row r="123" spans="1:15" ht="27.75" x14ac:dyDescent="0.5">
      <c r="A123" s="1354" t="s">
        <v>257</v>
      </c>
      <c r="B123" s="1355"/>
      <c r="C123" s="1355"/>
      <c r="D123" s="643" t="s">
        <v>168</v>
      </c>
      <c r="E123" s="598">
        <f>'[1]19'!F123</f>
        <v>792714</v>
      </c>
      <c r="F123" s="598">
        <v>792945</v>
      </c>
      <c r="G123" s="593">
        <f t="shared" ref="G123:G127" si="14">F123-E123</f>
        <v>231</v>
      </c>
      <c r="H123" s="580">
        <f>G123+'[1]19'!H123</f>
        <v>4113.9300000000512</v>
      </c>
      <c r="I123" s="646"/>
      <c r="J123" s="673">
        <f>H123/DAY(B2)</f>
        <v>205.69650000000257</v>
      </c>
      <c r="K123" s="408"/>
      <c r="L123" s="405"/>
      <c r="N123" s="410"/>
      <c r="O123" s="410"/>
    </row>
    <row r="124" spans="1:15" ht="27.75" x14ac:dyDescent="0.5">
      <c r="A124" s="1354" t="s">
        <v>258</v>
      </c>
      <c r="B124" s="1355"/>
      <c r="C124" s="1355"/>
      <c r="D124" s="643" t="s">
        <v>168</v>
      </c>
      <c r="E124" s="747">
        <f>'[1]19'!F124</f>
        <v>73581.899999999994</v>
      </c>
      <c r="F124" s="747">
        <v>73581.899999999994</v>
      </c>
      <c r="G124" s="593">
        <f t="shared" si="14"/>
        <v>0</v>
      </c>
      <c r="H124" s="580">
        <f>G124+'[1]19'!H124</f>
        <v>-0.30000000000291038</v>
      </c>
      <c r="I124" s="646"/>
      <c r="J124" s="673">
        <f>H124/DAY(B2)</f>
        <v>-1.5000000000145518E-2</v>
      </c>
      <c r="K124" s="408"/>
      <c r="L124" s="405"/>
      <c r="N124" s="410"/>
      <c r="O124" s="410"/>
    </row>
    <row r="125" spans="1:15" ht="27.75" x14ac:dyDescent="0.5">
      <c r="A125" s="1395" t="s">
        <v>259</v>
      </c>
      <c r="B125" s="1396"/>
      <c r="C125" s="1397"/>
      <c r="D125" s="643" t="s">
        <v>168</v>
      </c>
      <c r="E125" s="598">
        <f>'[1]19'!F125</f>
        <v>134707.57999999999</v>
      </c>
      <c r="F125" s="598">
        <v>134772</v>
      </c>
      <c r="G125" s="593">
        <f t="shared" si="14"/>
        <v>64.420000000012806</v>
      </c>
      <c r="H125" s="580">
        <f>G125+'[1]19'!H125</f>
        <v>1649.1199999999953</v>
      </c>
      <c r="I125" s="646"/>
      <c r="J125" s="673">
        <f>H125/DAY(B2)</f>
        <v>82.455999999999761</v>
      </c>
      <c r="K125" s="408"/>
      <c r="L125" s="405"/>
      <c r="N125" s="410"/>
      <c r="O125" s="410"/>
    </row>
    <row r="126" spans="1:15" ht="27.75" x14ac:dyDescent="0.5">
      <c r="A126" s="730" t="s">
        <v>260</v>
      </c>
      <c r="B126" s="1355"/>
      <c r="C126" s="1355"/>
      <c r="D126" s="643" t="s">
        <v>168</v>
      </c>
      <c r="E126" s="605">
        <f>'[1]19'!F126</f>
        <v>56953</v>
      </c>
      <c r="F126" s="605">
        <v>56993</v>
      </c>
      <c r="G126" s="593">
        <f t="shared" si="14"/>
        <v>40</v>
      </c>
      <c r="H126" s="580">
        <f>G126+'[1]19'!H126</f>
        <v>644.80000000000291</v>
      </c>
      <c r="I126" s="646"/>
      <c r="J126" s="673">
        <f>H126/DAY(B2)</f>
        <v>32.240000000000144</v>
      </c>
      <c r="K126" s="408"/>
      <c r="L126" s="405"/>
      <c r="N126" s="410"/>
      <c r="O126" s="410"/>
    </row>
    <row r="127" spans="1:15" ht="27.75" x14ac:dyDescent="0.5">
      <c r="A127" s="730" t="s">
        <v>261</v>
      </c>
      <c r="B127" s="1355"/>
      <c r="C127" s="1355"/>
      <c r="D127" s="643" t="s">
        <v>168</v>
      </c>
      <c r="E127" s="747">
        <f>'[1]19'!F127</f>
        <v>8679</v>
      </c>
      <c r="F127" s="747">
        <v>8680</v>
      </c>
      <c r="G127" s="593">
        <f t="shared" si="14"/>
        <v>1</v>
      </c>
      <c r="H127" s="580">
        <f>G127+'[1]19'!H127</f>
        <v>39.899999999999636</v>
      </c>
      <c r="I127" s="600"/>
      <c r="J127" s="673">
        <f>H127/DAY(B2)</f>
        <v>1.9949999999999819</v>
      </c>
      <c r="K127" s="408"/>
      <c r="L127" s="405"/>
      <c r="N127" s="410"/>
      <c r="O127" s="410"/>
    </row>
    <row r="128" spans="1:15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210.89000000004307</v>
      </c>
      <c r="H128" s="580">
        <f>G128+'[1]19'!H128</f>
        <v>1451.1000000000058</v>
      </c>
      <c r="I128" s="600"/>
      <c r="J128" s="673">
        <f>H128/DAY(B2)</f>
        <v>72.555000000000291</v>
      </c>
      <c r="K128" s="388"/>
      <c r="L128" s="290"/>
      <c r="N128" s="392"/>
      <c r="O128" s="410"/>
    </row>
    <row r="129" spans="1:15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410"/>
      <c r="O129" s="410"/>
    </row>
    <row r="130" spans="1:15" ht="27.75" x14ac:dyDescent="0.5">
      <c r="A130" s="1354" t="s">
        <v>264</v>
      </c>
      <c r="B130" s="1355"/>
      <c r="C130" s="1355"/>
      <c r="D130" s="643" t="s">
        <v>265</v>
      </c>
      <c r="E130" s="604">
        <f>'[1]19'!F130</f>
        <v>0</v>
      </c>
      <c r="F130" s="604">
        <v>0</v>
      </c>
      <c r="G130" s="593">
        <f t="shared" ref="G130:G140" si="15">F130-E130</f>
        <v>0</v>
      </c>
      <c r="H130" s="580">
        <f>G130+'[1]19'!H130</f>
        <v>0</v>
      </c>
      <c r="I130" s="600"/>
      <c r="J130" s="673">
        <f>H130/DAY(B2)</f>
        <v>0</v>
      </c>
      <c r="N130" s="410"/>
      <c r="O130" s="410"/>
    </row>
    <row r="131" spans="1:15" ht="27.75" x14ac:dyDescent="0.5">
      <c r="A131" s="1354" t="s">
        <v>266</v>
      </c>
      <c r="B131" s="1355"/>
      <c r="C131" s="1355"/>
      <c r="D131" s="643" t="s">
        <v>265</v>
      </c>
      <c r="E131" s="604">
        <f>'[1]19'!F131</f>
        <v>0</v>
      </c>
      <c r="F131" s="604">
        <v>0</v>
      </c>
      <c r="G131" s="593">
        <f t="shared" si="15"/>
        <v>0</v>
      </c>
      <c r="H131" s="580">
        <f>G131+'[1]19'!H131</f>
        <v>0</v>
      </c>
      <c r="I131" s="600"/>
      <c r="J131" s="673">
        <f>H131/DAY(B2)</f>
        <v>0</v>
      </c>
      <c r="N131" s="410"/>
      <c r="O131" s="410"/>
    </row>
    <row r="132" spans="1:15" ht="27.75" x14ac:dyDescent="0.5">
      <c r="A132" s="1354" t="s">
        <v>267</v>
      </c>
      <c r="B132" s="1355"/>
      <c r="C132" s="1355"/>
      <c r="D132" s="643" t="s">
        <v>265</v>
      </c>
      <c r="E132" s="662">
        <f>'[1]19'!F132+24</f>
        <v>38901</v>
      </c>
      <c r="F132" s="662">
        <v>38901</v>
      </c>
      <c r="G132" s="593">
        <f t="shared" si="15"/>
        <v>0</v>
      </c>
      <c r="H132" s="580">
        <f>G132+'[1]19'!H132</f>
        <v>0</v>
      </c>
      <c r="I132" s="600"/>
      <c r="J132" s="673">
        <f>H132/DAY(B2)</f>
        <v>0</v>
      </c>
      <c r="N132" s="410"/>
      <c r="O132" s="410"/>
    </row>
    <row r="133" spans="1:15" s="523" customFormat="1" ht="27.75" x14ac:dyDescent="0.5">
      <c r="A133" s="1213" t="s">
        <v>268</v>
      </c>
      <c r="B133" s="1214"/>
      <c r="C133" s="1214"/>
      <c r="D133" s="748" t="s">
        <v>265</v>
      </c>
      <c r="E133" s="662">
        <f>'[1]19'!F133</f>
        <v>299</v>
      </c>
      <c r="F133" s="662">
        <v>299</v>
      </c>
      <c r="G133" s="769">
        <f t="shared" si="15"/>
        <v>0</v>
      </c>
      <c r="H133" s="841">
        <f>G133+'[1]19'!H133</f>
        <v>299</v>
      </c>
      <c r="I133" s="1215">
        <f>G130+G131+G132+G133</f>
        <v>0</v>
      </c>
      <c r="J133" s="843">
        <f>H133/DAY(B2)</f>
        <v>14.95</v>
      </c>
      <c r="N133" s="849"/>
      <c r="O133" s="849"/>
    </row>
    <row r="134" spans="1:15" ht="27.75" x14ac:dyDescent="0.5">
      <c r="A134" s="1354" t="s">
        <v>269</v>
      </c>
      <c r="B134" s="1355"/>
      <c r="C134" s="1355"/>
      <c r="D134" s="643" t="s">
        <v>265</v>
      </c>
      <c r="E134" s="662">
        <f>'[1]19'!F134</f>
        <v>39735</v>
      </c>
      <c r="F134" s="662">
        <v>39735</v>
      </c>
      <c r="G134" s="593">
        <f t="shared" si="15"/>
        <v>0</v>
      </c>
      <c r="H134" s="580">
        <f>G134+'[1]19'!H134</f>
        <v>0</v>
      </c>
      <c r="I134" s="600"/>
      <c r="J134" s="673">
        <f>H134/DAY(B2)</f>
        <v>0</v>
      </c>
      <c r="N134" s="410"/>
      <c r="O134" s="410"/>
    </row>
    <row r="135" spans="1:15" ht="27.75" x14ac:dyDescent="0.5">
      <c r="A135" s="1354" t="s">
        <v>270</v>
      </c>
      <c r="B135" s="1355"/>
      <c r="C135" s="1355"/>
      <c r="D135" s="643" t="s">
        <v>265</v>
      </c>
      <c r="E135" s="662">
        <f>'[1]19'!F135</f>
        <v>31877.25</v>
      </c>
      <c r="F135" s="662">
        <v>31901</v>
      </c>
      <c r="G135" s="593">
        <f t="shared" si="15"/>
        <v>23.75</v>
      </c>
      <c r="H135" s="580">
        <f>G135+'[1]19'!H135</f>
        <v>183.47999999999956</v>
      </c>
      <c r="I135" s="600"/>
      <c r="J135" s="673">
        <f>H135/DAY(B2)</f>
        <v>9.1739999999999782</v>
      </c>
      <c r="N135" s="410"/>
      <c r="O135" s="410"/>
    </row>
    <row r="136" spans="1:15" ht="27.75" x14ac:dyDescent="0.5">
      <c r="A136" s="1354" t="s">
        <v>271</v>
      </c>
      <c r="B136" s="1355"/>
      <c r="C136" s="1355"/>
      <c r="D136" s="643" t="s">
        <v>265</v>
      </c>
      <c r="E136" s="662">
        <f>'[1]19'!F136</f>
        <v>21766.92</v>
      </c>
      <c r="F136" s="662">
        <v>21766.92</v>
      </c>
      <c r="G136" s="593">
        <f t="shared" si="15"/>
        <v>0</v>
      </c>
      <c r="H136" s="580">
        <f>G136+'[1]19'!H136</f>
        <v>92.19999999999709</v>
      </c>
      <c r="I136" s="600">
        <f>G134+G135+G136</f>
        <v>23.75</v>
      </c>
      <c r="J136" s="673">
        <f>H136/DAY(B2)</f>
        <v>4.6099999999998547</v>
      </c>
      <c r="N136" s="410"/>
      <c r="O136" s="410"/>
    </row>
    <row r="137" spans="1:15" ht="27.75" x14ac:dyDescent="0.5">
      <c r="A137" s="1354" t="s">
        <v>272</v>
      </c>
      <c r="B137" s="1355"/>
      <c r="C137" s="1355"/>
      <c r="D137" s="643" t="s">
        <v>265</v>
      </c>
      <c r="E137" s="662">
        <f>'[1]19'!F137</f>
        <v>24949.13</v>
      </c>
      <c r="F137" s="662">
        <v>24949.13</v>
      </c>
      <c r="G137" s="593">
        <f t="shared" si="15"/>
        <v>0</v>
      </c>
      <c r="H137" s="580">
        <f>G137+'[1]19'!H137</f>
        <v>16.620000000002619</v>
      </c>
      <c r="I137" s="600"/>
      <c r="J137" s="673">
        <f>H137/DAY(B2)</f>
        <v>0.83100000000013097</v>
      </c>
      <c r="N137" s="410"/>
      <c r="O137" s="410"/>
    </row>
    <row r="138" spans="1:15" ht="27.75" x14ac:dyDescent="0.5">
      <c r="A138" s="1354" t="s">
        <v>273</v>
      </c>
      <c r="B138" s="1355"/>
      <c r="C138" s="1355"/>
      <c r="D138" s="643" t="s">
        <v>265</v>
      </c>
      <c r="E138" s="662">
        <f>'[1]19'!F138</f>
        <v>69993.490000000005</v>
      </c>
      <c r="F138" s="662">
        <v>69999</v>
      </c>
      <c r="G138" s="593">
        <f t="shared" si="15"/>
        <v>5.5099999999947613</v>
      </c>
      <c r="H138" s="580">
        <f>G138+'[1]19'!H138</f>
        <v>43.789999999993597</v>
      </c>
      <c r="I138" s="600">
        <f>G137+G138</f>
        <v>5.5099999999947613</v>
      </c>
      <c r="J138" s="673">
        <f>H138/DAY(B2)</f>
        <v>2.18949999999968</v>
      </c>
      <c r="N138" s="410"/>
      <c r="O138" s="410"/>
    </row>
    <row r="139" spans="1:15" ht="27.75" x14ac:dyDescent="0.5">
      <c r="A139" s="1354" t="s">
        <v>274</v>
      </c>
      <c r="B139" s="1355"/>
      <c r="C139" s="1355"/>
      <c r="D139" s="643" t="s">
        <v>265</v>
      </c>
      <c r="E139" s="604">
        <f>'[1]19'!F139</f>
        <v>1050.5999999999999</v>
      </c>
      <c r="F139" s="604">
        <v>1056.52</v>
      </c>
      <c r="G139" s="593">
        <f t="shared" si="15"/>
        <v>5.9200000000000728</v>
      </c>
      <c r="H139" s="580">
        <f>G139+'[1]19'!H139</f>
        <v>114.99000000000001</v>
      </c>
      <c r="I139" s="663"/>
      <c r="J139" s="673">
        <f>H139/DAY(B2)</f>
        <v>5.7495000000000003</v>
      </c>
      <c r="N139" s="410"/>
      <c r="O139" s="410"/>
    </row>
    <row r="140" spans="1:15" ht="27.75" x14ac:dyDescent="0.5">
      <c r="A140" s="1354" t="s">
        <v>275</v>
      </c>
      <c r="B140" s="1355"/>
      <c r="C140" s="1355"/>
      <c r="D140" s="643" t="s">
        <v>265</v>
      </c>
      <c r="E140" s="604">
        <f>'[1]19'!F140</f>
        <v>4156.8999999999996</v>
      </c>
      <c r="F140" s="604">
        <v>4156.8999999999996</v>
      </c>
      <c r="G140" s="593">
        <f t="shared" si="15"/>
        <v>0</v>
      </c>
      <c r="H140" s="580">
        <f>G140+'[1]19'!H140</f>
        <v>0</v>
      </c>
      <c r="I140" s="663"/>
      <c r="J140" s="673">
        <f>H140/DAY(B2)</f>
        <v>0</v>
      </c>
      <c r="N140" s="410"/>
      <c r="O140" s="410"/>
    </row>
    <row r="141" spans="1:15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410"/>
      <c r="O141" s="410"/>
    </row>
    <row r="142" spans="1:15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5047</v>
      </c>
      <c r="H142" s="580">
        <f>G142+'[1]19'!H142</f>
        <v>100151.42299999995</v>
      </c>
      <c r="I142" s="600"/>
      <c r="J142" s="673">
        <f>H142/DAY(B2)</f>
        <v>5007.5711499999979</v>
      </c>
      <c r="K142" s="408"/>
      <c r="L142" s="405"/>
      <c r="N142" s="410"/>
      <c r="O142" s="410"/>
    </row>
    <row r="143" spans="1:15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0.2604499948395087</v>
      </c>
      <c r="H143" s="580">
        <f>G143+'[1]19'!H143</f>
        <v>4.776167843711419</v>
      </c>
      <c r="I143" s="665"/>
      <c r="J143" s="673">
        <f>H143/DAY(B2)</f>
        <v>0.23880839218557096</v>
      </c>
      <c r="K143" s="408"/>
      <c r="L143" s="405"/>
      <c r="N143" s="410"/>
      <c r="O143" s="410"/>
    </row>
    <row r="144" spans="1:15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3914</v>
      </c>
      <c r="H144" s="580">
        <f>G144+'[1]19'!H144</f>
        <v>93925.139999999985</v>
      </c>
      <c r="I144" s="600"/>
      <c r="J144" s="673">
        <f>H144/DAY(B2)</f>
        <v>4696.2569999999996</v>
      </c>
      <c r="K144" s="408"/>
      <c r="L144" s="405"/>
      <c r="N144" s="410"/>
      <c r="O144" s="410"/>
    </row>
    <row r="145" spans="1:15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0.20198162865104757</v>
      </c>
      <c r="H145" s="580">
        <f>G145+'[1]19'!H145</f>
        <v>4.6195693044654451</v>
      </c>
      <c r="I145" s="665"/>
      <c r="J145" s="673">
        <f>H145/DAY(B2)</f>
        <v>0.23097846522327226</v>
      </c>
      <c r="K145" s="408"/>
      <c r="L145" s="405"/>
      <c r="N145" s="410"/>
      <c r="O145" s="410"/>
    </row>
    <row r="146" spans="1:15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4054</v>
      </c>
      <c r="H146" s="580">
        <f>G146+'[1]19'!H146</f>
        <v>84683.993000000002</v>
      </c>
      <c r="I146" s="666"/>
      <c r="J146" s="673">
        <f>H146/DAY(B2)</f>
        <v>4234.1996500000005</v>
      </c>
      <c r="K146" s="408"/>
      <c r="L146" s="405"/>
      <c r="N146" s="410"/>
      <c r="O146" s="410"/>
    </row>
    <row r="147" spans="1:15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0.2092063164413252</v>
      </c>
      <c r="H147" s="580">
        <f>G147+'[1]19'!H147</f>
        <v>4.1795169143309856</v>
      </c>
      <c r="I147" s="666"/>
      <c r="J147" s="673">
        <f>H147/DAY(B2)</f>
        <v>0.20897584571654929</v>
      </c>
      <c r="N147" s="410"/>
      <c r="O147" s="410"/>
    </row>
    <row r="148" spans="1:15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2050</v>
      </c>
      <c r="H148" s="580">
        <f>G148+'[1]19'!H148</f>
        <v>39860.570000000007</v>
      </c>
      <c r="I148" s="600"/>
      <c r="J148" s="673">
        <f>H148/DAY(B2)</f>
        <v>1993.0285000000003</v>
      </c>
      <c r="K148" s="409"/>
      <c r="N148" s="410"/>
      <c r="O148" s="410"/>
    </row>
    <row r="149" spans="1:15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0.10579007121477965</v>
      </c>
      <c r="H149" s="580">
        <f>G149+'[1]19'!H149</f>
        <v>1.962854074174043</v>
      </c>
      <c r="I149" s="666"/>
      <c r="J149" s="673">
        <f>H149/DAY(B2)</f>
        <v>9.814270370870215E-2</v>
      </c>
      <c r="N149" s="410"/>
      <c r="O149" s="410"/>
    </row>
    <row r="150" spans="1:15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2042</v>
      </c>
      <c r="H150" s="580">
        <f>G150+'[1]19'!H150</f>
        <v>42907.179999999964</v>
      </c>
      <c r="I150" s="666"/>
      <c r="J150" s="673">
        <f>H150/DAY(B2)</f>
        <v>2145.3589999999981</v>
      </c>
      <c r="N150" s="410"/>
      <c r="O150" s="410"/>
    </row>
    <row r="151" spans="1:15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0.10537723191247807</v>
      </c>
      <c r="H151" s="580">
        <f>G151+'[1]19'!H151</f>
        <v>2.1071936384984618</v>
      </c>
      <c r="I151" s="600"/>
      <c r="J151" s="673">
        <f>H151/DAY(B2)</f>
        <v>0.10535968192492309</v>
      </c>
      <c r="N151" s="410"/>
      <c r="O151" s="410"/>
    </row>
    <row r="152" spans="1:15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1440</v>
      </c>
      <c r="H152" s="580">
        <f>G152+'[1]19'!H152</f>
        <v>29413.512999999999</v>
      </c>
      <c r="I152" s="600"/>
      <c r="J152" s="673">
        <f>H152/DAY(B2)</f>
        <v>1470.6756499999999</v>
      </c>
      <c r="L152" s="404" t="s">
        <v>307</v>
      </c>
      <c r="M152" s="404">
        <v>0.5</v>
      </c>
      <c r="N152" s="410">
        <v>50</v>
      </c>
      <c r="O152" s="410"/>
    </row>
    <row r="153" spans="1:15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7.4311074414284237E-2</v>
      </c>
      <c r="H153" s="580">
        <f>G153+'[1]19'!H153</f>
        <v>1.5617183129258523</v>
      </c>
      <c r="I153" s="689"/>
      <c r="J153" s="690">
        <f>H153/DAY(B2)</f>
        <v>7.8085915646292609E-2</v>
      </c>
      <c r="N153" s="410"/>
      <c r="O153" s="410"/>
    </row>
    <row r="154" spans="1:15" x14ac:dyDescent="0.5">
      <c r="A154" s="586"/>
      <c r="B154" s="576"/>
      <c r="C154" s="576"/>
      <c r="D154" s="667"/>
      <c r="E154" s="667"/>
      <c r="F154" s="667"/>
      <c r="G154" s="667"/>
      <c r="H154" s="668"/>
      <c r="I154" s="667"/>
      <c r="J154" s="669"/>
      <c r="O154" s="410"/>
    </row>
    <row r="160" spans="1:15" x14ac:dyDescent="0.5">
      <c r="A160" s="925" t="s">
        <v>289</v>
      </c>
      <c r="B160" s="926"/>
      <c r="C160" s="926"/>
      <c r="D160" s="631" t="s">
        <v>214</v>
      </c>
      <c r="E160" s="775">
        <f>'[1]19'!F160</f>
        <v>25221</v>
      </c>
      <c r="F160" s="775">
        <v>25291</v>
      </c>
      <c r="G160" s="593">
        <f t="shared" ref="G160:G171" si="16">F160-E160</f>
        <v>70</v>
      </c>
      <c r="K160" s="404">
        <v>70.399999999999636</v>
      </c>
      <c r="L160" s="404">
        <f t="shared" ref="L160:L171" si="17">G160-K160</f>
        <v>-0.3999999999996362</v>
      </c>
    </row>
    <row r="161" spans="1:12" ht="21.75" customHeight="1" x14ac:dyDescent="0.5">
      <c r="A161" s="925" t="s">
        <v>290</v>
      </c>
      <c r="B161" s="926"/>
      <c r="C161" s="926"/>
      <c r="D161" s="631" t="s">
        <v>214</v>
      </c>
      <c r="E161" s="775">
        <f>'[1]19'!F161</f>
        <v>22875.75</v>
      </c>
      <c r="F161" s="775">
        <v>23307</v>
      </c>
      <c r="G161" s="593">
        <f t="shared" si="16"/>
        <v>431.25</v>
      </c>
      <c r="K161" s="404">
        <v>124.25999999999999</v>
      </c>
      <c r="L161" s="404">
        <f t="shared" si="17"/>
        <v>306.99</v>
      </c>
    </row>
    <row r="162" spans="1:12" ht="21.75" customHeight="1" x14ac:dyDescent="0.5">
      <c r="A162" s="925" t="s">
        <v>291</v>
      </c>
      <c r="B162" s="926"/>
      <c r="C162" s="926"/>
      <c r="D162" s="631" t="s">
        <v>214</v>
      </c>
      <c r="E162" s="775">
        <f>'[1]19'!F162</f>
        <v>751</v>
      </c>
      <c r="F162" s="775">
        <v>1103</v>
      </c>
      <c r="G162" s="593">
        <f t="shared" si="16"/>
        <v>352</v>
      </c>
      <c r="K162" s="404">
        <v>138.98000000000002</v>
      </c>
      <c r="L162" s="404">
        <f t="shared" si="17"/>
        <v>213.01999999999998</v>
      </c>
    </row>
    <row r="163" spans="1:12" ht="21.75" customHeight="1" x14ac:dyDescent="0.5">
      <c r="A163" s="925" t="s">
        <v>292</v>
      </c>
      <c r="B163" s="926"/>
      <c r="C163" s="926"/>
      <c r="D163" s="631" t="s">
        <v>214</v>
      </c>
      <c r="E163" s="775">
        <f>'[1]19'!F163</f>
        <v>4006</v>
      </c>
      <c r="F163" s="775">
        <v>4022</v>
      </c>
      <c r="G163" s="593">
        <f t="shared" si="16"/>
        <v>16</v>
      </c>
      <c r="K163" s="404">
        <v>45.830000000000041</v>
      </c>
      <c r="L163" s="404">
        <f t="shared" si="17"/>
        <v>-29.830000000000041</v>
      </c>
    </row>
    <row r="164" spans="1:12" ht="21.75" customHeight="1" x14ac:dyDescent="0.4">
      <c r="A164" s="927" t="s">
        <v>121</v>
      </c>
      <c r="B164" s="725"/>
      <c r="C164" s="725"/>
      <c r="D164" s="631" t="s">
        <v>214</v>
      </c>
      <c r="E164" s="634">
        <f>E62</f>
        <v>20419.2</v>
      </c>
      <c r="F164" s="634">
        <v>0</v>
      </c>
      <c r="G164" s="593">
        <f t="shared" si="16"/>
        <v>-20419.2</v>
      </c>
      <c r="K164" s="404">
        <v>-0.18000000000029104</v>
      </c>
      <c r="L164" s="404">
        <f t="shared" si="17"/>
        <v>-20419.02</v>
      </c>
    </row>
    <row r="165" spans="1:12" ht="21.75" customHeight="1" x14ac:dyDescent="0.4">
      <c r="A165" s="927" t="s">
        <v>215</v>
      </c>
      <c r="B165" s="725"/>
      <c r="C165" s="725"/>
      <c r="D165" s="631" t="s">
        <v>214</v>
      </c>
      <c r="E165" s="634">
        <f t="shared" ref="E165:F171" si="18">E63</f>
        <v>1059.72</v>
      </c>
      <c r="F165" s="634">
        <f t="shared" si="18"/>
        <v>1063</v>
      </c>
      <c r="G165" s="593">
        <f t="shared" si="16"/>
        <v>3.2799999999999727</v>
      </c>
      <c r="K165" s="404">
        <v>0</v>
      </c>
      <c r="L165" s="404">
        <f t="shared" si="17"/>
        <v>3.2799999999999727</v>
      </c>
    </row>
    <row r="166" spans="1:12" ht="21.75" customHeight="1" x14ac:dyDescent="0.5">
      <c r="A166" s="1450" t="s">
        <v>122</v>
      </c>
      <c r="B166" s="1450"/>
      <c r="C166" s="1450"/>
      <c r="D166" s="643" t="s">
        <v>214</v>
      </c>
      <c r="E166" s="634">
        <f t="shared" si="18"/>
        <v>93681</v>
      </c>
      <c r="F166" s="634">
        <f t="shared" si="18"/>
        <v>94056</v>
      </c>
      <c r="G166" s="593">
        <f t="shared" si="16"/>
        <v>375</v>
      </c>
      <c r="K166" s="404">
        <v>193.55000000000291</v>
      </c>
      <c r="L166" s="404">
        <f t="shared" si="17"/>
        <v>181.44999999999709</v>
      </c>
    </row>
    <row r="167" spans="1:12" ht="21.75" customHeight="1" x14ac:dyDescent="0.5">
      <c r="A167" s="1450" t="s">
        <v>123</v>
      </c>
      <c r="B167" s="1450"/>
      <c r="C167" s="1450"/>
      <c r="D167" s="643" t="s">
        <v>214</v>
      </c>
      <c r="E167" s="634">
        <f t="shared" si="18"/>
        <v>104194</v>
      </c>
      <c r="F167" s="634">
        <f t="shared" si="18"/>
        <v>104578</v>
      </c>
      <c r="G167" s="593">
        <f t="shared" si="16"/>
        <v>384</v>
      </c>
      <c r="K167" s="404">
        <v>168.39999999999418</v>
      </c>
      <c r="L167" s="404">
        <f t="shared" si="17"/>
        <v>215.60000000000582</v>
      </c>
    </row>
    <row r="168" spans="1:12" ht="21.75" customHeight="1" x14ac:dyDescent="0.5">
      <c r="A168" s="1450" t="s">
        <v>124</v>
      </c>
      <c r="B168" s="1450"/>
      <c r="C168" s="1450"/>
      <c r="D168" s="643" t="s">
        <v>214</v>
      </c>
      <c r="E168" s="634">
        <f t="shared" si="18"/>
        <v>97596</v>
      </c>
      <c r="F168" s="634">
        <f t="shared" si="18"/>
        <v>98005</v>
      </c>
      <c r="G168" s="593">
        <f t="shared" si="16"/>
        <v>409</v>
      </c>
      <c r="K168" s="404">
        <v>221.18999999999505</v>
      </c>
      <c r="L168" s="404">
        <f t="shared" si="17"/>
        <v>187.81000000000495</v>
      </c>
    </row>
    <row r="169" spans="1:12" ht="24.75" customHeight="1" x14ac:dyDescent="0.5">
      <c r="A169" s="1450" t="s">
        <v>125</v>
      </c>
      <c r="B169" s="1450"/>
      <c r="C169" s="1450"/>
      <c r="D169" s="643" t="s">
        <v>214</v>
      </c>
      <c r="E169" s="634">
        <f t="shared" si="18"/>
        <v>159857</v>
      </c>
      <c r="F169" s="634">
        <f t="shared" si="18"/>
        <v>160500</v>
      </c>
      <c r="G169" s="593">
        <f t="shared" si="16"/>
        <v>643</v>
      </c>
      <c r="K169" s="404">
        <v>337.19000000000233</v>
      </c>
      <c r="L169" s="404">
        <f t="shared" si="17"/>
        <v>305.80999999999767</v>
      </c>
    </row>
    <row r="170" spans="1:12" ht="24" customHeight="1" x14ac:dyDescent="0.5">
      <c r="A170" s="1450" t="s">
        <v>126</v>
      </c>
      <c r="B170" s="1450"/>
      <c r="C170" s="1450"/>
      <c r="D170" s="643" t="s">
        <v>214</v>
      </c>
      <c r="E170" s="634">
        <f t="shared" si="18"/>
        <v>49921</v>
      </c>
      <c r="F170" s="634">
        <f t="shared" si="18"/>
        <v>50248</v>
      </c>
      <c r="G170" s="593">
        <f t="shared" si="16"/>
        <v>327</v>
      </c>
      <c r="K170" s="404">
        <v>115.09000000000015</v>
      </c>
      <c r="L170" s="404">
        <f t="shared" si="17"/>
        <v>211.90999999999985</v>
      </c>
    </row>
    <row r="171" spans="1:12" ht="27.75" x14ac:dyDescent="0.5">
      <c r="A171" s="1450" t="s">
        <v>127</v>
      </c>
      <c r="B171" s="1450"/>
      <c r="C171" s="1450"/>
      <c r="D171" s="643" t="s">
        <v>214</v>
      </c>
      <c r="E171" s="634">
        <f t="shared" si="18"/>
        <v>43107</v>
      </c>
      <c r="F171" s="634">
        <f t="shared" si="18"/>
        <v>43386</v>
      </c>
      <c r="G171" s="593">
        <f t="shared" si="16"/>
        <v>279</v>
      </c>
      <c r="K171" s="404">
        <v>11.799999999999272</v>
      </c>
      <c r="L171" s="404">
        <f t="shared" si="17"/>
        <v>267.20000000000073</v>
      </c>
    </row>
    <row r="172" spans="1:12" x14ac:dyDescent="0.5">
      <c r="G172" s="658">
        <f>SUM(G160:G171)</f>
        <v>-17129.670000000002</v>
      </c>
      <c r="L172" s="404">
        <f>SUM(L160:L171)</f>
        <v>-18556.179999999997</v>
      </c>
    </row>
    <row r="176" spans="1:12" ht="18.75" customHeight="1" x14ac:dyDescent="0.5"/>
    <row r="301" spans="6:6" x14ac:dyDescent="0.5">
      <c r="F301" s="658" t="s">
        <v>296</v>
      </c>
    </row>
    <row r="302" spans="6:6" x14ac:dyDescent="0.5">
      <c r="F302" s="658">
        <v>0</v>
      </c>
    </row>
    <row r="303" spans="6:6" x14ac:dyDescent="0.5">
      <c r="F303" s="658">
        <v>0</v>
      </c>
    </row>
    <row r="304" spans="6:6" x14ac:dyDescent="0.5">
      <c r="F304" s="658">
        <v>0</v>
      </c>
    </row>
    <row r="305" spans="6:6" x14ac:dyDescent="0.5">
      <c r="F305" s="658">
        <v>0</v>
      </c>
    </row>
    <row r="306" spans="6:6" x14ac:dyDescent="0.5">
      <c r="F306" s="658">
        <v>0</v>
      </c>
    </row>
    <row r="307" spans="6:6" x14ac:dyDescent="0.5">
      <c r="F307" s="658">
        <v>0</v>
      </c>
    </row>
    <row r="308" spans="6:6" x14ac:dyDescent="0.5">
      <c r="F308" s="658">
        <v>0</v>
      </c>
    </row>
    <row r="309" spans="6:6" x14ac:dyDescent="0.5">
      <c r="F309" s="658">
        <v>0</v>
      </c>
    </row>
    <row r="310" spans="6:6" x14ac:dyDescent="0.5">
      <c r="F310" s="658">
        <v>0</v>
      </c>
    </row>
    <row r="311" spans="6:6" x14ac:dyDescent="0.5">
      <c r="F311" s="658">
        <v>0</v>
      </c>
    </row>
    <row r="312" spans="6:6" x14ac:dyDescent="0.5">
      <c r="F312" s="658">
        <v>0</v>
      </c>
    </row>
    <row r="313" spans="6:6" x14ac:dyDescent="0.5">
      <c r="F313" s="658">
        <v>0</v>
      </c>
    </row>
    <row r="314" spans="6:6" x14ac:dyDescent="0.5">
      <c r="F314" s="658">
        <v>0</v>
      </c>
    </row>
    <row r="315" spans="6:6" x14ac:dyDescent="0.5">
      <c r="F315" s="658">
        <v>0</v>
      </c>
    </row>
    <row r="316" spans="6:6" x14ac:dyDescent="0.5">
      <c r="F316" s="658">
        <v>0</v>
      </c>
    </row>
    <row r="317" spans="6:6" x14ac:dyDescent="0.5">
      <c r="F317" s="658">
        <v>0</v>
      </c>
    </row>
    <row r="318" spans="6:6" x14ac:dyDescent="0.5">
      <c r="F318" s="658">
        <v>0</v>
      </c>
    </row>
    <row r="319" spans="6:6" x14ac:dyDescent="0.5">
      <c r="F319" s="658">
        <v>0</v>
      </c>
    </row>
    <row r="320" spans="6:6" x14ac:dyDescent="0.5">
      <c r="F320" s="658">
        <v>0</v>
      </c>
    </row>
    <row r="321" spans="6:6" x14ac:dyDescent="0.5">
      <c r="F321" s="658">
        <v>0</v>
      </c>
    </row>
    <row r="322" spans="6:6" x14ac:dyDescent="0.5">
      <c r="F322" s="658">
        <v>0</v>
      </c>
    </row>
    <row r="323" spans="6:6" x14ac:dyDescent="0.5">
      <c r="F323" s="658">
        <v>0</v>
      </c>
    </row>
    <row r="324" spans="6:6" x14ac:dyDescent="0.5">
      <c r="F324" s="658">
        <v>0</v>
      </c>
    </row>
    <row r="325" spans="6:6" x14ac:dyDescent="0.5">
      <c r="F325" s="658">
        <v>0</v>
      </c>
    </row>
    <row r="326" spans="6:6" x14ac:dyDescent="0.5">
      <c r="F326" s="658">
        <v>0</v>
      </c>
    </row>
    <row r="327" spans="6:6" x14ac:dyDescent="0.5">
      <c r="F327" s="658">
        <v>0</v>
      </c>
    </row>
    <row r="328" spans="6:6" x14ac:dyDescent="0.5">
      <c r="F328" s="658">
        <v>0</v>
      </c>
    </row>
    <row r="329" spans="6:6" x14ac:dyDescent="0.5">
      <c r="F329" s="658">
        <v>0</v>
      </c>
    </row>
    <row r="330" spans="6:6" x14ac:dyDescent="0.5">
      <c r="F330" s="658">
        <v>0</v>
      </c>
    </row>
    <row r="331" spans="6:6" x14ac:dyDescent="0.5">
      <c r="F331" s="658">
        <v>0</v>
      </c>
    </row>
    <row r="332" spans="6:6" x14ac:dyDescent="0.5">
      <c r="F332" s="658">
        <v>0</v>
      </c>
    </row>
    <row r="333" spans="6:6" x14ac:dyDescent="0.5">
      <c r="F333" s="658">
        <v>0</v>
      </c>
    </row>
    <row r="334" spans="6:6" x14ac:dyDescent="0.5">
      <c r="F334" s="658">
        <v>0</v>
      </c>
    </row>
    <row r="335" spans="6:6" x14ac:dyDescent="0.5">
      <c r="F335" s="658">
        <v>0</v>
      </c>
    </row>
    <row r="336" spans="6:6" x14ac:dyDescent="0.5">
      <c r="F336" s="658">
        <v>0</v>
      </c>
    </row>
    <row r="337" spans="6:6" x14ac:dyDescent="0.5">
      <c r="F337" s="658">
        <v>0</v>
      </c>
    </row>
    <row r="338" spans="6:6" x14ac:dyDescent="0.5">
      <c r="F338" s="658">
        <v>0</v>
      </c>
    </row>
    <row r="339" spans="6:6" x14ac:dyDescent="0.5">
      <c r="F339" s="658">
        <v>0</v>
      </c>
    </row>
    <row r="340" spans="6:6" x14ac:dyDescent="0.5">
      <c r="F340" s="658">
        <v>0</v>
      </c>
    </row>
    <row r="341" spans="6:6" x14ac:dyDescent="0.5">
      <c r="F341" s="658">
        <v>0</v>
      </c>
    </row>
    <row r="342" spans="6:6" x14ac:dyDescent="0.5">
      <c r="F342" s="658">
        <v>0</v>
      </c>
    </row>
    <row r="343" spans="6:6" x14ac:dyDescent="0.5">
      <c r="F343" s="658">
        <v>0</v>
      </c>
    </row>
    <row r="344" spans="6:6" x14ac:dyDescent="0.5">
      <c r="F344" s="658">
        <v>0</v>
      </c>
    </row>
    <row r="345" spans="6:6" x14ac:dyDescent="0.5">
      <c r="F345" s="658">
        <v>0</v>
      </c>
    </row>
    <row r="346" spans="6:6" x14ac:dyDescent="0.5">
      <c r="F346" s="658">
        <v>0</v>
      </c>
    </row>
    <row r="347" spans="6:6" x14ac:dyDescent="0.5">
      <c r="F347" s="658">
        <v>0</v>
      </c>
    </row>
    <row r="348" spans="6:6" x14ac:dyDescent="0.5">
      <c r="F348" s="658">
        <v>0</v>
      </c>
    </row>
    <row r="349" spans="6:6" x14ac:dyDescent="0.5">
      <c r="F349" s="658">
        <v>0</v>
      </c>
    </row>
    <row r="350" spans="6:6" x14ac:dyDescent="0.5">
      <c r="F350" s="658">
        <v>0</v>
      </c>
    </row>
    <row r="351" spans="6:6" x14ac:dyDescent="0.5">
      <c r="F351" s="658">
        <v>0</v>
      </c>
    </row>
    <row r="352" spans="6:6" x14ac:dyDescent="0.5">
      <c r="F352" s="658">
        <v>0</v>
      </c>
    </row>
    <row r="353" spans="6:6" x14ac:dyDescent="0.5">
      <c r="F353" s="658">
        <v>0</v>
      </c>
    </row>
    <row r="354" spans="6:6" x14ac:dyDescent="0.5">
      <c r="F354" s="658">
        <v>0</v>
      </c>
    </row>
    <row r="355" spans="6:6" x14ac:dyDescent="0.5">
      <c r="F355" s="658">
        <v>0</v>
      </c>
    </row>
    <row r="356" spans="6:6" x14ac:dyDescent="0.5">
      <c r="F356" s="658">
        <v>0</v>
      </c>
    </row>
    <row r="357" spans="6:6" x14ac:dyDescent="0.5">
      <c r="F357" s="658">
        <v>0</v>
      </c>
    </row>
    <row r="358" spans="6:6" x14ac:dyDescent="0.5">
      <c r="F358" s="658">
        <v>0</v>
      </c>
    </row>
    <row r="359" spans="6:6" x14ac:dyDescent="0.5">
      <c r="F359" s="658">
        <v>0</v>
      </c>
    </row>
    <row r="360" spans="6:6" x14ac:dyDescent="0.5">
      <c r="F360" s="658">
        <v>0</v>
      </c>
    </row>
    <row r="361" spans="6:6" x14ac:dyDescent="0.5">
      <c r="F361" s="658">
        <v>0</v>
      </c>
    </row>
    <row r="362" spans="6:6" x14ac:dyDescent="0.5">
      <c r="F362" s="658">
        <v>0</v>
      </c>
    </row>
    <row r="363" spans="6:6" x14ac:dyDescent="0.5">
      <c r="F363" s="658">
        <v>0</v>
      </c>
    </row>
    <row r="364" spans="6:6" x14ac:dyDescent="0.5">
      <c r="F364" s="658">
        <v>0</v>
      </c>
    </row>
    <row r="365" spans="6:6" x14ac:dyDescent="0.5">
      <c r="F365" s="658">
        <v>0</v>
      </c>
    </row>
    <row r="366" spans="6:6" x14ac:dyDescent="0.5">
      <c r="F366" s="658">
        <v>0</v>
      </c>
    </row>
    <row r="367" spans="6:6" x14ac:dyDescent="0.5">
      <c r="F367" s="658">
        <v>0</v>
      </c>
    </row>
    <row r="368" spans="6:6" x14ac:dyDescent="0.5">
      <c r="F368" s="658">
        <v>0</v>
      </c>
    </row>
    <row r="369" spans="6:6" x14ac:dyDescent="0.5">
      <c r="F369" s="658">
        <v>0</v>
      </c>
    </row>
    <row r="370" spans="6:6" x14ac:dyDescent="0.5">
      <c r="F370" s="658">
        <v>0</v>
      </c>
    </row>
    <row r="371" spans="6:6" x14ac:dyDescent="0.5">
      <c r="F371" s="658">
        <v>0</v>
      </c>
    </row>
    <row r="372" spans="6:6" x14ac:dyDescent="0.5">
      <c r="F372" s="658">
        <v>0</v>
      </c>
    </row>
    <row r="373" spans="6:6" x14ac:dyDescent="0.5">
      <c r="F373" s="658">
        <v>0</v>
      </c>
    </row>
    <row r="374" spans="6:6" x14ac:dyDescent="0.5">
      <c r="F374" s="658">
        <v>0</v>
      </c>
    </row>
    <row r="375" spans="6:6" x14ac:dyDescent="0.5">
      <c r="F375" s="658">
        <v>0</v>
      </c>
    </row>
    <row r="376" spans="6:6" x14ac:dyDescent="0.5">
      <c r="F376" s="658">
        <v>0</v>
      </c>
    </row>
    <row r="377" spans="6:6" x14ac:dyDescent="0.5">
      <c r="F377" s="658">
        <v>0</v>
      </c>
    </row>
    <row r="378" spans="6:6" x14ac:dyDescent="0.5">
      <c r="F378" s="658">
        <v>0</v>
      </c>
    </row>
    <row r="379" spans="6:6" x14ac:dyDescent="0.5">
      <c r="F379" s="658">
        <v>0</v>
      </c>
    </row>
    <row r="380" spans="6:6" x14ac:dyDescent="0.5">
      <c r="F380" s="658">
        <v>0</v>
      </c>
    </row>
    <row r="381" spans="6:6" x14ac:dyDescent="0.5">
      <c r="F381" s="658">
        <v>0</v>
      </c>
    </row>
    <row r="382" spans="6:6" x14ac:dyDescent="0.5">
      <c r="F382" s="658">
        <v>0</v>
      </c>
    </row>
    <row r="383" spans="6:6" x14ac:dyDescent="0.5">
      <c r="F383" s="658">
        <v>0</v>
      </c>
    </row>
    <row r="384" spans="6:6" x14ac:dyDescent="0.5">
      <c r="F384" s="658">
        <v>0</v>
      </c>
    </row>
    <row r="385" spans="6:6" x14ac:dyDescent="0.5">
      <c r="F385" s="658">
        <v>0</v>
      </c>
    </row>
    <row r="386" spans="6:6" x14ac:dyDescent="0.5">
      <c r="F386" s="658">
        <v>0</v>
      </c>
    </row>
    <row r="387" spans="6:6" x14ac:dyDescent="0.5">
      <c r="F387" s="658">
        <v>0</v>
      </c>
    </row>
    <row r="388" spans="6:6" x14ac:dyDescent="0.5">
      <c r="F388" s="658">
        <v>0</v>
      </c>
    </row>
    <row r="389" spans="6:6" x14ac:dyDescent="0.5">
      <c r="F389" s="658">
        <v>0</v>
      </c>
    </row>
    <row r="390" spans="6:6" x14ac:dyDescent="0.5">
      <c r="F390" s="658">
        <v>0</v>
      </c>
    </row>
    <row r="391" spans="6:6" x14ac:dyDescent="0.5">
      <c r="F391" s="658">
        <v>0</v>
      </c>
    </row>
    <row r="392" spans="6:6" x14ac:dyDescent="0.5">
      <c r="F392" s="658">
        <v>0</v>
      </c>
    </row>
    <row r="393" spans="6:6" x14ac:dyDescent="0.5">
      <c r="F393" s="658">
        <v>0</v>
      </c>
    </row>
    <row r="394" spans="6:6" x14ac:dyDescent="0.5">
      <c r="F394" s="658">
        <v>0</v>
      </c>
    </row>
    <row r="395" spans="6:6" x14ac:dyDescent="0.5">
      <c r="F395" s="658">
        <v>0</v>
      </c>
    </row>
    <row r="396" spans="6:6" x14ac:dyDescent="0.5">
      <c r="F396" s="658">
        <v>0</v>
      </c>
    </row>
    <row r="397" spans="6:6" x14ac:dyDescent="0.5">
      <c r="F397" s="658">
        <v>0</v>
      </c>
    </row>
    <row r="398" spans="6:6" x14ac:dyDescent="0.5">
      <c r="F398" s="658">
        <v>0</v>
      </c>
    </row>
    <row r="399" spans="6:6" x14ac:dyDescent="0.5">
      <c r="F399" s="658">
        <v>0</v>
      </c>
    </row>
    <row r="400" spans="6:6" x14ac:dyDescent="0.5">
      <c r="F400" s="658">
        <v>0</v>
      </c>
    </row>
    <row r="401" spans="6:6" x14ac:dyDescent="0.5">
      <c r="F401" s="658">
        <v>0</v>
      </c>
    </row>
    <row r="402" spans="6:6" x14ac:dyDescent="0.5">
      <c r="F402" s="658">
        <v>0</v>
      </c>
    </row>
    <row r="403" spans="6:6" x14ac:dyDescent="0.5">
      <c r="F403" s="658">
        <v>0</v>
      </c>
    </row>
    <row r="404" spans="6:6" x14ac:dyDescent="0.5">
      <c r="F404" s="658">
        <v>0</v>
      </c>
    </row>
    <row r="405" spans="6:6" x14ac:dyDescent="0.5">
      <c r="F405" s="658">
        <v>0</v>
      </c>
    </row>
    <row r="406" spans="6:6" x14ac:dyDescent="0.5">
      <c r="F406" s="658">
        <v>0</v>
      </c>
    </row>
    <row r="407" spans="6:6" x14ac:dyDescent="0.5">
      <c r="F407" s="658">
        <v>0</v>
      </c>
    </row>
    <row r="408" spans="6:6" x14ac:dyDescent="0.5">
      <c r="F408" s="658">
        <v>0</v>
      </c>
    </row>
    <row r="409" spans="6:6" x14ac:dyDescent="0.5">
      <c r="F409" s="658">
        <v>0</v>
      </c>
    </row>
    <row r="410" spans="6:6" x14ac:dyDescent="0.5">
      <c r="F410" s="658">
        <v>0</v>
      </c>
    </row>
    <row r="411" spans="6:6" x14ac:dyDescent="0.5">
      <c r="F411" s="658">
        <v>0</v>
      </c>
    </row>
    <row r="412" spans="6:6" x14ac:dyDescent="0.5">
      <c r="F412" s="658">
        <v>0</v>
      </c>
    </row>
    <row r="413" spans="6:6" x14ac:dyDescent="0.5">
      <c r="F413" s="658">
        <v>0</v>
      </c>
    </row>
    <row r="414" spans="6:6" x14ac:dyDescent="0.5">
      <c r="F414" s="658">
        <v>0</v>
      </c>
    </row>
    <row r="415" spans="6:6" x14ac:dyDescent="0.5">
      <c r="F415" s="658">
        <v>0</v>
      </c>
    </row>
    <row r="416" spans="6:6" x14ac:dyDescent="0.5">
      <c r="F416" s="658">
        <v>0</v>
      </c>
    </row>
    <row r="417" spans="6:6" x14ac:dyDescent="0.5">
      <c r="F417" s="658">
        <v>0</v>
      </c>
    </row>
    <row r="418" spans="6:6" x14ac:dyDescent="0.5">
      <c r="F418" s="658">
        <v>0</v>
      </c>
    </row>
    <row r="419" spans="6:6" x14ac:dyDescent="0.5">
      <c r="F419" s="658">
        <v>0</v>
      </c>
    </row>
    <row r="420" spans="6:6" x14ac:dyDescent="0.5">
      <c r="F420" s="658">
        <v>0</v>
      </c>
    </row>
    <row r="421" spans="6:6" x14ac:dyDescent="0.5">
      <c r="F421" s="658">
        <v>0</v>
      </c>
    </row>
    <row r="422" spans="6:6" x14ac:dyDescent="0.5">
      <c r="F422" s="658">
        <v>0</v>
      </c>
    </row>
    <row r="423" spans="6:6" x14ac:dyDescent="0.5">
      <c r="F423" s="658">
        <v>0</v>
      </c>
    </row>
    <row r="424" spans="6:6" x14ac:dyDescent="0.5">
      <c r="F424" s="658">
        <v>0</v>
      </c>
    </row>
    <row r="425" spans="6:6" x14ac:dyDescent="0.5">
      <c r="F425" s="658">
        <v>0</v>
      </c>
    </row>
    <row r="426" spans="6:6" x14ac:dyDescent="0.5">
      <c r="F426" s="658">
        <v>0</v>
      </c>
    </row>
    <row r="427" spans="6:6" x14ac:dyDescent="0.5">
      <c r="F427" s="658">
        <v>0</v>
      </c>
    </row>
    <row r="428" spans="6:6" x14ac:dyDescent="0.5">
      <c r="F428" s="658">
        <v>0</v>
      </c>
    </row>
    <row r="429" spans="6:6" x14ac:dyDescent="0.5">
      <c r="F429" s="658">
        <v>0</v>
      </c>
    </row>
    <row r="430" spans="6:6" x14ac:dyDescent="0.5">
      <c r="F430" s="658">
        <v>0</v>
      </c>
    </row>
    <row r="431" spans="6:6" x14ac:dyDescent="0.5">
      <c r="F431" s="658">
        <v>0</v>
      </c>
    </row>
    <row r="432" spans="6:6" x14ac:dyDescent="0.5">
      <c r="F432" s="658">
        <v>0</v>
      </c>
    </row>
    <row r="433" spans="6:6" x14ac:dyDescent="0.5">
      <c r="F433" s="658">
        <v>0</v>
      </c>
    </row>
    <row r="434" spans="6:6" x14ac:dyDescent="0.5">
      <c r="F434" s="658">
        <v>0</v>
      </c>
    </row>
    <row r="435" spans="6:6" x14ac:dyDescent="0.5">
      <c r="F435" s="658">
        <v>0</v>
      </c>
    </row>
    <row r="436" spans="6:6" x14ac:dyDescent="0.5">
      <c r="F436" s="658">
        <v>0</v>
      </c>
    </row>
    <row r="437" spans="6:6" x14ac:dyDescent="0.5">
      <c r="F437" s="658">
        <v>0</v>
      </c>
    </row>
    <row r="438" spans="6:6" x14ac:dyDescent="0.5">
      <c r="F438" s="658">
        <v>0</v>
      </c>
    </row>
    <row r="439" spans="6:6" x14ac:dyDescent="0.5">
      <c r="F439" s="658">
        <v>0</v>
      </c>
    </row>
    <row r="440" spans="6:6" x14ac:dyDescent="0.5">
      <c r="F440" s="658">
        <v>0</v>
      </c>
    </row>
    <row r="441" spans="6:6" x14ac:dyDescent="0.5">
      <c r="F441" s="658">
        <v>0</v>
      </c>
    </row>
    <row r="442" spans="6:6" x14ac:dyDescent="0.5">
      <c r="F442" s="658">
        <v>0</v>
      </c>
    </row>
    <row r="443" spans="6:6" x14ac:dyDescent="0.5">
      <c r="F443" s="658">
        <v>0</v>
      </c>
    </row>
    <row r="444" spans="6:6" x14ac:dyDescent="0.5">
      <c r="F444" s="658">
        <v>0</v>
      </c>
    </row>
    <row r="445" spans="6:6" x14ac:dyDescent="0.5">
      <c r="F445" s="658">
        <v>0</v>
      </c>
    </row>
    <row r="446" spans="6:6" x14ac:dyDescent="0.5">
      <c r="F446" s="658">
        <v>0</v>
      </c>
    </row>
    <row r="447" spans="6:6" x14ac:dyDescent="0.5">
      <c r="F447" s="658">
        <v>0</v>
      </c>
    </row>
    <row r="448" spans="6:6" x14ac:dyDescent="0.5">
      <c r="F448" s="658">
        <v>0</v>
      </c>
    </row>
    <row r="449" spans="6:6" x14ac:dyDescent="0.5">
      <c r="F449" s="658">
        <v>0</v>
      </c>
    </row>
    <row r="450" spans="6:6" x14ac:dyDescent="0.5">
      <c r="F450" s="658">
        <v>0</v>
      </c>
    </row>
    <row r="451" spans="6:6" x14ac:dyDescent="0.5">
      <c r="F451" s="658">
        <v>0</v>
      </c>
    </row>
    <row r="452" spans="6:6" x14ac:dyDescent="0.5">
      <c r="F452" s="658">
        <v>0</v>
      </c>
    </row>
    <row r="453" spans="6:6" x14ac:dyDescent="0.5">
      <c r="F453" s="658">
        <v>0</v>
      </c>
    </row>
    <row r="454" spans="6:6" x14ac:dyDescent="0.5">
      <c r="F454" s="658">
        <v>0</v>
      </c>
    </row>
    <row r="455" spans="6:6" x14ac:dyDescent="0.5">
      <c r="F455" s="658">
        <v>0</v>
      </c>
    </row>
    <row r="456" spans="6:6" x14ac:dyDescent="0.5">
      <c r="F456" s="658">
        <v>0</v>
      </c>
    </row>
    <row r="457" spans="6:6" x14ac:dyDescent="0.5">
      <c r="F457" s="658">
        <v>0</v>
      </c>
    </row>
    <row r="458" spans="6:6" x14ac:dyDescent="0.5">
      <c r="F458" s="658">
        <v>0</v>
      </c>
    </row>
    <row r="459" spans="6:6" x14ac:dyDescent="0.5">
      <c r="F459" s="658">
        <v>0</v>
      </c>
    </row>
    <row r="460" spans="6:6" x14ac:dyDescent="0.5">
      <c r="F460" s="658">
        <v>0</v>
      </c>
    </row>
    <row r="461" spans="6:6" x14ac:dyDescent="0.5">
      <c r="F461" s="658">
        <v>0</v>
      </c>
    </row>
    <row r="462" spans="6:6" x14ac:dyDescent="0.5">
      <c r="F462" s="658">
        <v>0</v>
      </c>
    </row>
    <row r="463" spans="6:6" x14ac:dyDescent="0.5">
      <c r="F463" s="658">
        <v>0</v>
      </c>
    </row>
    <row r="464" spans="6:6" x14ac:dyDescent="0.5">
      <c r="F464" s="658">
        <v>0</v>
      </c>
    </row>
    <row r="465" spans="6:6" x14ac:dyDescent="0.5">
      <c r="F465" s="658">
        <v>0</v>
      </c>
    </row>
    <row r="466" spans="6:6" x14ac:dyDescent="0.5">
      <c r="F466" s="658">
        <v>0</v>
      </c>
    </row>
    <row r="467" spans="6:6" x14ac:dyDescent="0.5">
      <c r="F467" s="658">
        <v>0</v>
      </c>
    </row>
    <row r="468" spans="6:6" x14ac:dyDescent="0.5">
      <c r="F468" s="658">
        <v>0</v>
      </c>
    </row>
    <row r="469" spans="6:6" x14ac:dyDescent="0.5">
      <c r="F469" s="658">
        <v>0</v>
      </c>
    </row>
    <row r="470" spans="6:6" x14ac:dyDescent="0.5">
      <c r="F470" s="658">
        <v>0</v>
      </c>
    </row>
    <row r="471" spans="6:6" x14ac:dyDescent="0.5">
      <c r="F471" s="658">
        <v>0</v>
      </c>
    </row>
    <row r="472" spans="6:6" x14ac:dyDescent="0.5">
      <c r="F472" s="658">
        <v>0</v>
      </c>
    </row>
    <row r="473" spans="6:6" x14ac:dyDescent="0.5">
      <c r="F473" s="658">
        <v>0</v>
      </c>
    </row>
    <row r="474" spans="6:6" x14ac:dyDescent="0.5">
      <c r="F474" s="658">
        <v>0</v>
      </c>
    </row>
    <row r="475" spans="6:6" x14ac:dyDescent="0.5">
      <c r="F475" s="658">
        <v>0</v>
      </c>
    </row>
    <row r="476" spans="6:6" x14ac:dyDescent="0.5">
      <c r="F476" s="658">
        <v>0</v>
      </c>
    </row>
    <row r="477" spans="6:6" x14ac:dyDescent="0.5">
      <c r="F477" s="658">
        <v>0</v>
      </c>
    </row>
    <row r="478" spans="6:6" x14ac:dyDescent="0.5">
      <c r="F478" s="658">
        <v>0</v>
      </c>
    </row>
    <row r="479" spans="6:6" x14ac:dyDescent="0.5">
      <c r="F479" s="658">
        <v>0</v>
      </c>
    </row>
    <row r="480" spans="6:6" x14ac:dyDescent="0.5">
      <c r="F480" s="658">
        <v>0</v>
      </c>
    </row>
    <row r="481" spans="6:6" x14ac:dyDescent="0.5">
      <c r="F481" s="658">
        <v>0</v>
      </c>
    </row>
    <row r="482" spans="6:6" x14ac:dyDescent="0.5">
      <c r="F482" s="658">
        <v>0</v>
      </c>
    </row>
    <row r="483" spans="6:6" x14ac:dyDescent="0.5">
      <c r="F483" s="658">
        <v>0</v>
      </c>
    </row>
    <row r="484" spans="6:6" x14ac:dyDescent="0.5">
      <c r="F484" s="658">
        <v>0</v>
      </c>
    </row>
    <row r="485" spans="6:6" x14ac:dyDescent="0.5">
      <c r="F485" s="658">
        <v>0</v>
      </c>
    </row>
    <row r="486" spans="6:6" x14ac:dyDescent="0.5">
      <c r="F486" s="658">
        <v>0</v>
      </c>
    </row>
    <row r="487" spans="6:6" x14ac:dyDescent="0.5">
      <c r="F487" s="658">
        <v>0</v>
      </c>
    </row>
    <row r="488" spans="6:6" x14ac:dyDescent="0.5">
      <c r="F488" s="658">
        <v>0</v>
      </c>
    </row>
    <row r="489" spans="6:6" x14ac:dyDescent="0.5">
      <c r="F489" s="658">
        <v>0</v>
      </c>
    </row>
    <row r="490" spans="6:6" x14ac:dyDescent="0.5">
      <c r="F490" s="658">
        <v>0</v>
      </c>
    </row>
    <row r="491" spans="6:6" x14ac:dyDescent="0.5">
      <c r="F491" s="658">
        <v>0</v>
      </c>
    </row>
    <row r="492" spans="6:6" x14ac:dyDescent="0.5">
      <c r="F492" s="658">
        <v>0</v>
      </c>
    </row>
    <row r="493" spans="6:6" x14ac:dyDescent="0.5">
      <c r="F493" s="658">
        <v>0</v>
      </c>
    </row>
    <row r="494" spans="6:6" x14ac:dyDescent="0.5">
      <c r="F494" s="658">
        <v>0</v>
      </c>
    </row>
    <row r="495" spans="6:6" x14ac:dyDescent="0.5">
      <c r="F495" s="658">
        <v>0</v>
      </c>
    </row>
    <row r="496" spans="6:6" x14ac:dyDescent="0.5">
      <c r="F496" s="658">
        <v>0</v>
      </c>
    </row>
    <row r="497" spans="6:6" x14ac:dyDescent="0.5">
      <c r="F497" s="658">
        <v>0</v>
      </c>
    </row>
    <row r="498" spans="6:6" x14ac:dyDescent="0.5">
      <c r="F498" s="658">
        <v>0</v>
      </c>
    </row>
    <row r="499" spans="6:6" x14ac:dyDescent="0.5">
      <c r="F499" s="658">
        <v>0</v>
      </c>
    </row>
    <row r="500" spans="6:6" x14ac:dyDescent="0.5">
      <c r="F500" s="658">
        <v>0</v>
      </c>
    </row>
    <row r="501" spans="6:6" x14ac:dyDescent="0.5">
      <c r="F501" s="658">
        <v>0</v>
      </c>
    </row>
    <row r="502" spans="6:6" x14ac:dyDescent="0.5">
      <c r="F502" s="658">
        <v>0</v>
      </c>
    </row>
    <row r="503" spans="6:6" x14ac:dyDescent="0.5">
      <c r="F503" s="658">
        <v>0</v>
      </c>
    </row>
    <row r="504" spans="6:6" x14ac:dyDescent="0.5">
      <c r="F504" s="658">
        <v>0</v>
      </c>
    </row>
    <row r="505" spans="6:6" x14ac:dyDescent="0.5">
      <c r="F505" s="658">
        <v>0</v>
      </c>
    </row>
    <row r="506" spans="6:6" x14ac:dyDescent="0.5">
      <c r="F506" s="658">
        <v>0</v>
      </c>
    </row>
    <row r="507" spans="6:6" x14ac:dyDescent="0.5">
      <c r="F507" s="658">
        <v>0</v>
      </c>
    </row>
    <row r="508" spans="6:6" x14ac:dyDescent="0.5">
      <c r="F508" s="658">
        <v>0</v>
      </c>
    </row>
    <row r="509" spans="6:6" x14ac:dyDescent="0.5">
      <c r="F509" s="658">
        <v>0</v>
      </c>
    </row>
    <row r="510" spans="6:6" x14ac:dyDescent="0.5">
      <c r="F510" s="658">
        <v>0</v>
      </c>
    </row>
    <row r="511" spans="6:6" x14ac:dyDescent="0.5">
      <c r="F511" s="658">
        <v>0</v>
      </c>
    </row>
    <row r="512" spans="6:6" x14ac:dyDescent="0.5">
      <c r="F512" s="658">
        <v>0</v>
      </c>
    </row>
    <row r="513" spans="6:6" x14ac:dyDescent="0.5">
      <c r="F513" s="658">
        <v>0</v>
      </c>
    </row>
    <row r="514" spans="6:6" x14ac:dyDescent="0.5">
      <c r="F514" s="658">
        <v>0</v>
      </c>
    </row>
    <row r="515" spans="6:6" x14ac:dyDescent="0.5">
      <c r="F515" s="658">
        <v>0</v>
      </c>
    </row>
    <row r="516" spans="6:6" x14ac:dyDescent="0.5">
      <c r="F516" s="658">
        <v>0</v>
      </c>
    </row>
    <row r="517" spans="6:6" x14ac:dyDescent="0.5">
      <c r="F517" s="658">
        <v>0</v>
      </c>
    </row>
    <row r="518" spans="6:6" x14ac:dyDescent="0.5">
      <c r="F518" s="658">
        <v>0</v>
      </c>
    </row>
    <row r="519" spans="6:6" x14ac:dyDescent="0.5">
      <c r="F519" s="658">
        <v>0</v>
      </c>
    </row>
    <row r="520" spans="6:6" x14ac:dyDescent="0.5">
      <c r="F520" s="658">
        <v>0</v>
      </c>
    </row>
    <row r="521" spans="6:6" x14ac:dyDescent="0.5">
      <c r="F521" s="658">
        <v>0</v>
      </c>
    </row>
    <row r="522" spans="6:6" x14ac:dyDescent="0.5">
      <c r="F522" s="658">
        <v>0</v>
      </c>
    </row>
    <row r="523" spans="6:6" x14ac:dyDescent="0.5">
      <c r="F523" s="658">
        <v>0</v>
      </c>
    </row>
    <row r="524" spans="6:6" x14ac:dyDescent="0.5">
      <c r="F524" s="658">
        <v>0</v>
      </c>
    </row>
    <row r="525" spans="6:6" x14ac:dyDescent="0.5">
      <c r="F525" s="658">
        <v>0</v>
      </c>
    </row>
    <row r="526" spans="6:6" x14ac:dyDescent="0.5">
      <c r="F526" s="658">
        <v>0</v>
      </c>
    </row>
    <row r="527" spans="6:6" x14ac:dyDescent="0.5">
      <c r="F527" s="658">
        <v>0</v>
      </c>
    </row>
    <row r="528" spans="6:6" x14ac:dyDescent="0.5">
      <c r="F528" s="658">
        <v>0</v>
      </c>
    </row>
    <row r="529" spans="6:6" x14ac:dyDescent="0.5">
      <c r="F529" s="658">
        <v>0</v>
      </c>
    </row>
    <row r="530" spans="6:6" x14ac:dyDescent="0.5">
      <c r="F530" s="658">
        <v>0</v>
      </c>
    </row>
    <row r="531" spans="6:6" x14ac:dyDescent="0.5">
      <c r="F531" s="658">
        <v>0</v>
      </c>
    </row>
    <row r="532" spans="6:6" x14ac:dyDescent="0.5">
      <c r="F532" s="658">
        <v>0</v>
      </c>
    </row>
    <row r="533" spans="6:6" x14ac:dyDescent="0.5">
      <c r="F533" s="658">
        <v>0</v>
      </c>
    </row>
    <row r="534" spans="6:6" x14ac:dyDescent="0.5">
      <c r="F534" s="658">
        <v>0</v>
      </c>
    </row>
    <row r="535" spans="6:6" x14ac:dyDescent="0.5">
      <c r="F535" s="658">
        <v>0</v>
      </c>
    </row>
    <row r="536" spans="6:6" x14ac:dyDescent="0.5">
      <c r="F536" s="658">
        <v>0</v>
      </c>
    </row>
    <row r="537" spans="6:6" x14ac:dyDescent="0.5">
      <c r="F537" s="658">
        <v>0</v>
      </c>
    </row>
    <row r="538" spans="6:6" x14ac:dyDescent="0.5">
      <c r="F538" s="658">
        <v>0</v>
      </c>
    </row>
    <row r="539" spans="6:6" x14ac:dyDescent="0.5">
      <c r="F539" s="658">
        <v>0</v>
      </c>
    </row>
    <row r="540" spans="6:6" x14ac:dyDescent="0.5">
      <c r="F540" s="658">
        <v>0</v>
      </c>
    </row>
    <row r="541" spans="6:6" x14ac:dyDescent="0.5">
      <c r="F541" s="658">
        <v>0</v>
      </c>
    </row>
    <row r="542" spans="6:6" x14ac:dyDescent="0.5">
      <c r="F542" s="658">
        <v>0</v>
      </c>
    </row>
    <row r="543" spans="6:6" x14ac:dyDescent="0.5">
      <c r="F543" s="658">
        <v>0</v>
      </c>
    </row>
    <row r="544" spans="6:6" x14ac:dyDescent="0.5">
      <c r="F544" s="658">
        <v>0</v>
      </c>
    </row>
    <row r="545" spans="6:6" x14ac:dyDescent="0.5">
      <c r="F545" s="658">
        <v>0</v>
      </c>
    </row>
    <row r="546" spans="6:6" x14ac:dyDescent="0.5">
      <c r="F546" s="658">
        <v>0</v>
      </c>
    </row>
    <row r="547" spans="6:6" x14ac:dyDescent="0.5">
      <c r="F547" s="658">
        <v>0</v>
      </c>
    </row>
    <row r="548" spans="6:6" x14ac:dyDescent="0.5">
      <c r="F548" s="658">
        <v>0</v>
      </c>
    </row>
    <row r="549" spans="6:6" x14ac:dyDescent="0.5">
      <c r="F549" s="658">
        <v>0</v>
      </c>
    </row>
    <row r="550" spans="6:6" x14ac:dyDescent="0.5">
      <c r="F550" s="658">
        <v>0</v>
      </c>
    </row>
    <row r="551" spans="6:6" x14ac:dyDescent="0.5">
      <c r="F551" s="658">
        <v>0</v>
      </c>
    </row>
    <row r="552" spans="6:6" x14ac:dyDescent="0.5">
      <c r="F552" s="658">
        <v>0</v>
      </c>
    </row>
    <row r="553" spans="6:6" x14ac:dyDescent="0.5">
      <c r="F553" s="658">
        <v>0</v>
      </c>
    </row>
    <row r="554" spans="6:6" x14ac:dyDescent="0.5">
      <c r="F554" s="658">
        <v>0</v>
      </c>
    </row>
    <row r="555" spans="6:6" x14ac:dyDescent="0.5">
      <c r="F555" s="658">
        <v>0</v>
      </c>
    </row>
    <row r="556" spans="6:6" x14ac:dyDescent="0.5">
      <c r="F556" s="658">
        <v>0</v>
      </c>
    </row>
    <row r="557" spans="6:6" x14ac:dyDescent="0.5">
      <c r="F557" s="658">
        <v>0</v>
      </c>
    </row>
    <row r="558" spans="6:6" x14ac:dyDescent="0.5">
      <c r="F558" s="658">
        <v>0</v>
      </c>
    </row>
    <row r="559" spans="6:6" x14ac:dyDescent="0.5">
      <c r="F559" s="658">
        <v>0</v>
      </c>
    </row>
    <row r="560" spans="6:6" x14ac:dyDescent="0.5">
      <c r="F560" s="658">
        <v>0</v>
      </c>
    </row>
    <row r="561" spans="6:6" x14ac:dyDescent="0.5">
      <c r="F561" s="658">
        <v>0</v>
      </c>
    </row>
    <row r="562" spans="6:6" x14ac:dyDescent="0.5">
      <c r="F562" s="658">
        <v>0</v>
      </c>
    </row>
    <row r="563" spans="6:6" x14ac:dyDescent="0.5">
      <c r="F563" s="658">
        <v>0</v>
      </c>
    </row>
    <row r="564" spans="6:6" x14ac:dyDescent="0.5">
      <c r="F564" s="658">
        <v>0</v>
      </c>
    </row>
    <row r="565" spans="6:6" x14ac:dyDescent="0.5">
      <c r="F565" s="658">
        <v>0</v>
      </c>
    </row>
    <row r="566" spans="6:6" x14ac:dyDescent="0.5">
      <c r="F566" s="658">
        <v>0</v>
      </c>
    </row>
    <row r="567" spans="6:6" x14ac:dyDescent="0.5">
      <c r="F567" s="658">
        <v>0</v>
      </c>
    </row>
    <row r="568" spans="6:6" x14ac:dyDescent="0.5">
      <c r="F568" s="658">
        <v>0</v>
      </c>
    </row>
    <row r="569" spans="6:6" x14ac:dyDescent="0.5">
      <c r="F569" s="658">
        <v>0</v>
      </c>
    </row>
    <row r="570" spans="6:6" x14ac:dyDescent="0.5">
      <c r="F570" s="658">
        <v>0</v>
      </c>
    </row>
    <row r="571" spans="6:6" x14ac:dyDescent="0.5">
      <c r="F571" s="658">
        <v>0</v>
      </c>
    </row>
    <row r="572" spans="6:6" x14ac:dyDescent="0.5">
      <c r="F572" s="658">
        <v>0</v>
      </c>
    </row>
    <row r="573" spans="6:6" x14ac:dyDescent="0.5">
      <c r="F573" s="658">
        <v>0</v>
      </c>
    </row>
    <row r="574" spans="6:6" x14ac:dyDescent="0.5">
      <c r="F574" s="658">
        <v>0</v>
      </c>
    </row>
    <row r="575" spans="6:6" x14ac:dyDescent="0.5">
      <c r="F575" s="658">
        <v>0</v>
      </c>
    </row>
    <row r="576" spans="6:6" x14ac:dyDescent="0.5">
      <c r="F576" s="658">
        <v>0</v>
      </c>
    </row>
    <row r="577" spans="6:6" x14ac:dyDescent="0.5">
      <c r="F577" s="658">
        <v>0</v>
      </c>
    </row>
    <row r="578" spans="6:6" x14ac:dyDescent="0.5">
      <c r="F578" s="658">
        <v>0</v>
      </c>
    </row>
    <row r="579" spans="6:6" x14ac:dyDescent="0.5">
      <c r="F579" s="658">
        <v>0</v>
      </c>
    </row>
    <row r="580" spans="6:6" x14ac:dyDescent="0.5">
      <c r="F580" s="658">
        <v>0</v>
      </c>
    </row>
    <row r="581" spans="6:6" x14ac:dyDescent="0.5">
      <c r="F581" s="658">
        <v>0</v>
      </c>
    </row>
    <row r="582" spans="6:6" x14ac:dyDescent="0.5">
      <c r="F582" s="658">
        <v>0</v>
      </c>
    </row>
    <row r="583" spans="6:6" x14ac:dyDescent="0.5">
      <c r="F583" s="658">
        <v>0</v>
      </c>
    </row>
    <row r="584" spans="6:6" x14ac:dyDescent="0.5">
      <c r="F584" s="658">
        <v>0</v>
      </c>
    </row>
    <row r="585" spans="6:6" x14ac:dyDescent="0.5">
      <c r="F585" s="658">
        <v>0</v>
      </c>
    </row>
    <row r="586" spans="6:6" x14ac:dyDescent="0.5">
      <c r="F586" s="658">
        <v>0</v>
      </c>
    </row>
    <row r="587" spans="6:6" x14ac:dyDescent="0.5">
      <c r="F587" s="658">
        <v>0</v>
      </c>
    </row>
    <row r="588" spans="6:6" x14ac:dyDescent="0.5">
      <c r="F588" s="658">
        <v>0</v>
      </c>
    </row>
    <row r="589" spans="6:6" x14ac:dyDescent="0.5">
      <c r="F589" s="658">
        <v>0</v>
      </c>
    </row>
    <row r="590" spans="6:6" x14ac:dyDescent="0.5">
      <c r="F590" s="658">
        <v>0</v>
      </c>
    </row>
    <row r="591" spans="6:6" x14ac:dyDescent="0.5">
      <c r="F591" s="658">
        <v>0</v>
      </c>
    </row>
    <row r="592" spans="6:6" x14ac:dyDescent="0.5">
      <c r="F592" s="658">
        <v>0</v>
      </c>
    </row>
    <row r="593" spans="6:6" x14ac:dyDescent="0.5">
      <c r="F593" s="658">
        <v>0</v>
      </c>
    </row>
    <row r="594" spans="6:6" x14ac:dyDescent="0.5">
      <c r="F594" s="658">
        <v>0</v>
      </c>
    </row>
    <row r="595" spans="6:6" x14ac:dyDescent="0.5">
      <c r="F595" s="658">
        <v>0</v>
      </c>
    </row>
    <row r="596" spans="6:6" x14ac:dyDescent="0.5">
      <c r="F596" s="658">
        <v>0</v>
      </c>
    </row>
    <row r="597" spans="6:6" x14ac:dyDescent="0.5">
      <c r="F597" s="658">
        <v>0</v>
      </c>
    </row>
    <row r="598" spans="6:6" x14ac:dyDescent="0.5">
      <c r="F598" s="658">
        <v>0</v>
      </c>
    </row>
    <row r="599" spans="6:6" x14ac:dyDescent="0.5">
      <c r="F599" s="658">
        <v>0</v>
      </c>
    </row>
    <row r="600" spans="6:6" x14ac:dyDescent="0.5">
      <c r="F600" s="658">
        <v>0</v>
      </c>
    </row>
    <row r="601" spans="6:6" x14ac:dyDescent="0.5">
      <c r="F601" s="658">
        <v>0</v>
      </c>
    </row>
    <row r="602" spans="6:6" x14ac:dyDescent="0.5">
      <c r="F602" s="658">
        <v>0</v>
      </c>
    </row>
    <row r="603" spans="6:6" x14ac:dyDescent="0.5">
      <c r="F603" s="658">
        <v>0</v>
      </c>
    </row>
    <row r="604" spans="6:6" x14ac:dyDescent="0.5">
      <c r="F604" s="658">
        <v>0</v>
      </c>
    </row>
    <row r="605" spans="6:6" x14ac:dyDescent="0.5">
      <c r="F605" s="658">
        <v>0</v>
      </c>
    </row>
    <row r="606" spans="6:6" x14ac:dyDescent="0.5">
      <c r="F606" s="658">
        <v>0</v>
      </c>
    </row>
    <row r="607" spans="6:6" x14ac:dyDescent="0.5">
      <c r="F607" s="658">
        <v>0</v>
      </c>
    </row>
    <row r="608" spans="6:6" x14ac:dyDescent="0.5">
      <c r="F608" s="658">
        <v>0</v>
      </c>
    </row>
    <row r="609" spans="6:6" x14ac:dyDescent="0.5">
      <c r="F609" s="658">
        <v>0</v>
      </c>
    </row>
    <row r="610" spans="6:6" x14ac:dyDescent="0.5">
      <c r="F610" s="658">
        <v>0</v>
      </c>
    </row>
    <row r="611" spans="6:6" x14ac:dyDescent="0.5">
      <c r="F611" s="658">
        <v>0</v>
      </c>
    </row>
    <row r="612" spans="6:6" x14ac:dyDescent="0.5">
      <c r="F612" s="658">
        <v>0</v>
      </c>
    </row>
    <row r="613" spans="6:6" x14ac:dyDescent="0.5">
      <c r="F613" s="658">
        <v>0</v>
      </c>
    </row>
    <row r="614" spans="6:6" x14ac:dyDescent="0.5">
      <c r="F614" s="658">
        <v>0</v>
      </c>
    </row>
    <row r="615" spans="6:6" x14ac:dyDescent="0.5">
      <c r="F615" s="658">
        <v>0</v>
      </c>
    </row>
    <row r="616" spans="6:6" x14ac:dyDescent="0.5">
      <c r="F616" s="658">
        <v>0</v>
      </c>
    </row>
    <row r="617" spans="6:6" x14ac:dyDescent="0.5">
      <c r="F617" s="658">
        <v>0</v>
      </c>
    </row>
    <row r="618" spans="6:6" x14ac:dyDescent="0.5">
      <c r="F618" s="658">
        <v>0</v>
      </c>
    </row>
    <row r="619" spans="6:6" x14ac:dyDescent="0.5">
      <c r="F619" s="658">
        <v>0</v>
      </c>
    </row>
    <row r="620" spans="6:6" x14ac:dyDescent="0.5">
      <c r="F620" s="658">
        <v>0</v>
      </c>
    </row>
    <row r="621" spans="6:6" x14ac:dyDescent="0.5">
      <c r="F621" s="658">
        <v>0</v>
      </c>
    </row>
    <row r="622" spans="6:6" x14ac:dyDescent="0.5">
      <c r="F622" s="658">
        <v>0</v>
      </c>
    </row>
    <row r="623" spans="6:6" x14ac:dyDescent="0.5">
      <c r="F623" s="658">
        <v>0</v>
      </c>
    </row>
    <row r="624" spans="6:6" x14ac:dyDescent="0.5">
      <c r="F624" s="658">
        <v>0</v>
      </c>
    </row>
    <row r="625" spans="6:6" x14ac:dyDescent="0.5">
      <c r="F625" s="658">
        <v>0</v>
      </c>
    </row>
    <row r="626" spans="6:6" x14ac:dyDescent="0.5">
      <c r="F626" s="658">
        <v>0</v>
      </c>
    </row>
    <row r="627" spans="6:6" x14ac:dyDescent="0.5">
      <c r="F627" s="658">
        <v>0</v>
      </c>
    </row>
    <row r="628" spans="6:6" x14ac:dyDescent="0.5">
      <c r="F628" s="658">
        <v>0</v>
      </c>
    </row>
    <row r="629" spans="6:6" x14ac:dyDescent="0.5">
      <c r="F629" s="658">
        <v>0</v>
      </c>
    </row>
    <row r="630" spans="6:6" x14ac:dyDescent="0.5">
      <c r="F630" s="658">
        <v>0</v>
      </c>
    </row>
    <row r="631" spans="6:6" x14ac:dyDescent="0.5">
      <c r="F631" s="658">
        <v>0</v>
      </c>
    </row>
    <row r="632" spans="6:6" x14ac:dyDescent="0.5">
      <c r="F632" s="658">
        <v>0</v>
      </c>
    </row>
    <row r="633" spans="6:6" x14ac:dyDescent="0.5">
      <c r="F633" s="658">
        <v>0</v>
      </c>
    </row>
    <row r="634" spans="6:6" x14ac:dyDescent="0.5">
      <c r="F634" s="658">
        <v>0</v>
      </c>
    </row>
    <row r="635" spans="6:6" x14ac:dyDescent="0.5">
      <c r="F635" s="658">
        <v>0</v>
      </c>
    </row>
    <row r="636" spans="6:6" x14ac:dyDescent="0.5">
      <c r="F636" s="658">
        <v>0</v>
      </c>
    </row>
    <row r="637" spans="6:6" x14ac:dyDescent="0.5">
      <c r="F637" s="658">
        <v>0</v>
      </c>
    </row>
    <row r="638" spans="6:6" x14ac:dyDescent="0.5">
      <c r="F638" s="658">
        <v>0</v>
      </c>
    </row>
    <row r="639" spans="6:6" x14ac:dyDescent="0.5">
      <c r="F639" s="658">
        <v>0</v>
      </c>
    </row>
    <row r="640" spans="6:6" x14ac:dyDescent="0.5">
      <c r="F640" s="658">
        <v>0</v>
      </c>
    </row>
    <row r="641" spans="6:6" x14ac:dyDescent="0.5">
      <c r="F641" s="658">
        <v>0</v>
      </c>
    </row>
    <row r="642" spans="6:6" x14ac:dyDescent="0.5">
      <c r="F642" s="658">
        <v>0</v>
      </c>
    </row>
    <row r="643" spans="6:6" x14ac:dyDescent="0.5">
      <c r="F643" s="658">
        <v>0</v>
      </c>
    </row>
    <row r="644" spans="6:6" x14ac:dyDescent="0.5">
      <c r="F644" s="658">
        <v>0</v>
      </c>
    </row>
    <row r="645" spans="6:6" x14ac:dyDescent="0.5">
      <c r="F645" s="658">
        <v>0</v>
      </c>
    </row>
    <row r="646" spans="6:6" x14ac:dyDescent="0.5">
      <c r="F646" s="658">
        <v>0</v>
      </c>
    </row>
    <row r="647" spans="6:6" x14ac:dyDescent="0.5">
      <c r="F647" s="658">
        <v>0</v>
      </c>
    </row>
    <row r="648" spans="6:6" x14ac:dyDescent="0.5">
      <c r="F648" s="658">
        <v>0</v>
      </c>
    </row>
    <row r="649" spans="6:6" x14ac:dyDescent="0.5">
      <c r="F649" s="658">
        <v>0</v>
      </c>
    </row>
    <row r="650" spans="6:6" x14ac:dyDescent="0.5">
      <c r="F650" s="658">
        <v>0</v>
      </c>
    </row>
    <row r="651" spans="6:6" x14ac:dyDescent="0.5">
      <c r="F651" s="658">
        <v>0</v>
      </c>
    </row>
    <row r="652" spans="6:6" x14ac:dyDescent="0.5">
      <c r="F652" s="658">
        <v>0</v>
      </c>
    </row>
    <row r="653" spans="6:6" x14ac:dyDescent="0.5">
      <c r="F653" s="658">
        <v>0</v>
      </c>
    </row>
    <row r="654" spans="6:6" x14ac:dyDescent="0.5">
      <c r="F654" s="658">
        <v>0</v>
      </c>
    </row>
    <row r="655" spans="6:6" x14ac:dyDescent="0.5">
      <c r="F655" s="658">
        <v>0</v>
      </c>
    </row>
    <row r="656" spans="6:6" x14ac:dyDescent="0.5">
      <c r="F656" s="658">
        <v>0</v>
      </c>
    </row>
    <row r="657" spans="6:6" x14ac:dyDescent="0.5">
      <c r="F657" s="658">
        <v>0</v>
      </c>
    </row>
    <row r="658" spans="6:6" x14ac:dyDescent="0.5">
      <c r="F658" s="658">
        <v>0</v>
      </c>
    </row>
    <row r="659" spans="6:6" x14ac:dyDescent="0.5">
      <c r="F659" s="658">
        <v>0</v>
      </c>
    </row>
    <row r="660" spans="6:6" x14ac:dyDescent="0.5">
      <c r="F660" s="658">
        <v>0</v>
      </c>
    </row>
    <row r="661" spans="6:6" x14ac:dyDescent="0.5">
      <c r="F661" s="658">
        <v>0</v>
      </c>
    </row>
    <row r="662" spans="6:6" x14ac:dyDescent="0.5">
      <c r="F662" s="658">
        <v>0</v>
      </c>
    </row>
    <row r="663" spans="6:6" x14ac:dyDescent="0.5">
      <c r="F663" s="658">
        <v>0</v>
      </c>
    </row>
    <row r="664" spans="6:6" x14ac:dyDescent="0.5">
      <c r="F664" s="658">
        <v>0</v>
      </c>
    </row>
    <row r="665" spans="6:6" x14ac:dyDescent="0.5">
      <c r="F665" s="658">
        <v>0</v>
      </c>
    </row>
    <row r="666" spans="6:6" x14ac:dyDescent="0.5">
      <c r="F666" s="658">
        <v>0</v>
      </c>
    </row>
    <row r="667" spans="6:6" x14ac:dyDescent="0.5">
      <c r="F667" s="658">
        <v>0</v>
      </c>
    </row>
    <row r="668" spans="6:6" x14ac:dyDescent="0.5">
      <c r="F668" s="658">
        <v>0</v>
      </c>
    </row>
    <row r="669" spans="6:6" x14ac:dyDescent="0.5">
      <c r="F669" s="658">
        <v>0</v>
      </c>
    </row>
    <row r="670" spans="6:6" x14ac:dyDescent="0.5">
      <c r="F670" s="658">
        <v>0</v>
      </c>
    </row>
    <row r="671" spans="6:6" x14ac:dyDescent="0.5">
      <c r="F671" s="658">
        <v>0</v>
      </c>
    </row>
    <row r="672" spans="6:6" x14ac:dyDescent="0.5">
      <c r="F672" s="658">
        <v>0</v>
      </c>
    </row>
    <row r="673" spans="6:6" x14ac:dyDescent="0.5">
      <c r="F673" s="658">
        <v>0</v>
      </c>
    </row>
    <row r="674" spans="6:6" x14ac:dyDescent="0.5">
      <c r="F674" s="658">
        <v>0</v>
      </c>
    </row>
    <row r="675" spans="6:6" x14ac:dyDescent="0.5">
      <c r="F675" s="658">
        <v>0</v>
      </c>
    </row>
    <row r="676" spans="6:6" x14ac:dyDescent="0.5">
      <c r="F676" s="658">
        <v>0</v>
      </c>
    </row>
    <row r="677" spans="6:6" x14ac:dyDescent="0.5">
      <c r="F677" s="658">
        <v>0</v>
      </c>
    </row>
    <row r="678" spans="6:6" x14ac:dyDescent="0.5">
      <c r="F678" s="658">
        <v>0</v>
      </c>
    </row>
    <row r="679" spans="6:6" x14ac:dyDescent="0.5">
      <c r="F679" s="658">
        <v>0</v>
      </c>
    </row>
    <row r="680" spans="6:6" x14ac:dyDescent="0.5">
      <c r="F680" s="658">
        <v>0</v>
      </c>
    </row>
    <row r="681" spans="6:6" x14ac:dyDescent="0.5">
      <c r="F681" s="658">
        <v>0</v>
      </c>
    </row>
    <row r="682" spans="6:6" x14ac:dyDescent="0.5">
      <c r="F682" s="658">
        <v>0</v>
      </c>
    </row>
    <row r="683" spans="6:6" x14ac:dyDescent="0.5">
      <c r="F683" s="658">
        <v>0</v>
      </c>
    </row>
    <row r="684" spans="6:6" x14ac:dyDescent="0.5">
      <c r="F684" s="658">
        <v>0</v>
      </c>
    </row>
    <row r="685" spans="6:6" x14ac:dyDescent="0.5">
      <c r="F685" s="658">
        <v>0</v>
      </c>
    </row>
    <row r="686" spans="6:6" x14ac:dyDescent="0.5">
      <c r="F686" s="658">
        <v>0</v>
      </c>
    </row>
    <row r="687" spans="6:6" x14ac:dyDescent="0.5">
      <c r="F687" s="658">
        <v>0</v>
      </c>
    </row>
    <row r="688" spans="6:6" x14ac:dyDescent="0.5">
      <c r="F688" s="658">
        <v>0</v>
      </c>
    </row>
    <row r="689" spans="6:6" x14ac:dyDescent="0.5">
      <c r="F689" s="658">
        <v>0</v>
      </c>
    </row>
    <row r="690" spans="6:6" x14ac:dyDescent="0.5">
      <c r="F690" s="658">
        <v>0</v>
      </c>
    </row>
    <row r="691" spans="6:6" x14ac:dyDescent="0.5">
      <c r="F691" s="658">
        <v>0</v>
      </c>
    </row>
    <row r="692" spans="6:6" x14ac:dyDescent="0.5">
      <c r="F692" s="658">
        <v>0</v>
      </c>
    </row>
    <row r="693" spans="6:6" x14ac:dyDescent="0.5">
      <c r="F693" s="658">
        <v>0</v>
      </c>
    </row>
    <row r="694" spans="6:6" x14ac:dyDescent="0.5">
      <c r="F694" s="658">
        <v>0</v>
      </c>
    </row>
    <row r="695" spans="6:6" x14ac:dyDescent="0.5">
      <c r="F695" s="658">
        <v>0</v>
      </c>
    </row>
    <row r="696" spans="6:6" x14ac:dyDescent="0.5">
      <c r="F696" s="658">
        <v>0</v>
      </c>
    </row>
    <row r="697" spans="6:6" x14ac:dyDescent="0.5">
      <c r="F697" s="658">
        <v>0</v>
      </c>
    </row>
    <row r="698" spans="6:6" x14ac:dyDescent="0.5">
      <c r="F698" s="658">
        <v>0</v>
      </c>
    </row>
    <row r="699" spans="6:6" x14ac:dyDescent="0.5">
      <c r="F699" s="658">
        <v>0</v>
      </c>
    </row>
    <row r="700" spans="6:6" x14ac:dyDescent="0.5">
      <c r="F700" s="658">
        <v>0</v>
      </c>
    </row>
    <row r="701" spans="6:6" x14ac:dyDescent="0.5">
      <c r="F701" s="658">
        <v>0</v>
      </c>
    </row>
    <row r="702" spans="6:6" x14ac:dyDescent="0.5">
      <c r="F702" s="658">
        <v>0</v>
      </c>
    </row>
    <row r="703" spans="6:6" x14ac:dyDescent="0.5">
      <c r="F703" s="658">
        <v>0</v>
      </c>
    </row>
    <row r="704" spans="6:6" x14ac:dyDescent="0.5">
      <c r="F704" s="658">
        <v>0</v>
      </c>
    </row>
    <row r="705" spans="6:6" x14ac:dyDescent="0.5">
      <c r="F705" s="658">
        <v>0</v>
      </c>
    </row>
    <row r="706" spans="6:6" x14ac:dyDescent="0.5">
      <c r="F706" s="658">
        <v>0</v>
      </c>
    </row>
    <row r="707" spans="6:6" x14ac:dyDescent="0.5">
      <c r="F707" s="658">
        <v>0</v>
      </c>
    </row>
    <row r="708" spans="6:6" x14ac:dyDescent="0.5">
      <c r="F708" s="658">
        <v>0</v>
      </c>
    </row>
    <row r="709" spans="6:6" x14ac:dyDescent="0.5">
      <c r="F709" s="658">
        <v>0</v>
      </c>
    </row>
    <row r="710" spans="6:6" x14ac:dyDescent="0.5">
      <c r="F710" s="658">
        <v>0</v>
      </c>
    </row>
    <row r="711" spans="6:6" x14ac:dyDescent="0.5">
      <c r="F711" s="658">
        <v>0</v>
      </c>
    </row>
    <row r="712" spans="6:6" x14ac:dyDescent="0.5">
      <c r="F712" s="658">
        <v>0</v>
      </c>
    </row>
    <row r="713" spans="6:6" x14ac:dyDescent="0.5">
      <c r="F713" s="658">
        <v>0</v>
      </c>
    </row>
    <row r="714" spans="6:6" x14ac:dyDescent="0.5">
      <c r="F714" s="658">
        <v>0</v>
      </c>
    </row>
    <row r="715" spans="6:6" x14ac:dyDescent="0.5">
      <c r="F715" s="658">
        <v>0</v>
      </c>
    </row>
    <row r="716" spans="6:6" x14ac:dyDescent="0.5">
      <c r="F716" s="658">
        <v>0</v>
      </c>
    </row>
    <row r="717" spans="6:6" x14ac:dyDescent="0.5">
      <c r="F717" s="658">
        <v>0</v>
      </c>
    </row>
    <row r="718" spans="6:6" x14ac:dyDescent="0.5">
      <c r="F718" s="658">
        <v>0</v>
      </c>
    </row>
    <row r="719" spans="6:6" x14ac:dyDescent="0.5">
      <c r="F719" s="658">
        <v>0</v>
      </c>
    </row>
    <row r="720" spans="6:6" x14ac:dyDescent="0.5">
      <c r="F720" s="658">
        <v>0</v>
      </c>
    </row>
    <row r="721" spans="6:6" x14ac:dyDescent="0.5">
      <c r="F721" s="658">
        <v>0</v>
      </c>
    </row>
    <row r="722" spans="6:6" x14ac:dyDescent="0.5">
      <c r="F722" s="658">
        <v>0</v>
      </c>
    </row>
    <row r="723" spans="6:6" x14ac:dyDescent="0.5">
      <c r="F723" s="658">
        <v>0</v>
      </c>
    </row>
    <row r="724" spans="6:6" x14ac:dyDescent="0.5">
      <c r="F724" s="658">
        <v>0</v>
      </c>
    </row>
    <row r="725" spans="6:6" x14ac:dyDescent="0.5">
      <c r="F725" s="658">
        <v>0</v>
      </c>
    </row>
    <row r="726" spans="6:6" x14ac:dyDescent="0.5">
      <c r="F726" s="658">
        <v>0</v>
      </c>
    </row>
    <row r="727" spans="6:6" x14ac:dyDescent="0.5">
      <c r="F727" s="658">
        <v>0</v>
      </c>
    </row>
    <row r="728" spans="6:6" x14ac:dyDescent="0.5">
      <c r="F728" s="658">
        <v>0</v>
      </c>
    </row>
    <row r="729" spans="6:6" x14ac:dyDescent="0.5">
      <c r="F729" s="658">
        <v>0</v>
      </c>
    </row>
    <row r="730" spans="6:6" x14ac:dyDescent="0.5">
      <c r="F730" s="658">
        <v>0</v>
      </c>
    </row>
    <row r="731" spans="6:6" x14ac:dyDescent="0.5">
      <c r="F731" s="658">
        <v>0</v>
      </c>
    </row>
    <row r="732" spans="6:6" x14ac:dyDescent="0.5">
      <c r="F732" s="658">
        <v>0</v>
      </c>
    </row>
    <row r="733" spans="6:6" x14ac:dyDescent="0.5">
      <c r="F733" s="658">
        <v>0</v>
      </c>
    </row>
    <row r="734" spans="6:6" x14ac:dyDescent="0.5">
      <c r="F734" s="658">
        <v>0</v>
      </c>
    </row>
    <row r="735" spans="6:6" x14ac:dyDescent="0.5">
      <c r="F735" s="658">
        <v>0</v>
      </c>
    </row>
    <row r="736" spans="6:6" x14ac:dyDescent="0.5">
      <c r="F736" s="658">
        <v>0</v>
      </c>
    </row>
    <row r="737" spans="6:6" x14ac:dyDescent="0.5">
      <c r="F737" s="658">
        <v>0</v>
      </c>
    </row>
    <row r="738" spans="6:6" x14ac:dyDescent="0.5">
      <c r="F738" s="658">
        <v>0</v>
      </c>
    </row>
    <row r="739" spans="6:6" x14ac:dyDescent="0.5">
      <c r="F739" s="658">
        <v>0</v>
      </c>
    </row>
    <row r="740" spans="6:6" x14ac:dyDescent="0.5">
      <c r="F740" s="658">
        <v>0</v>
      </c>
    </row>
    <row r="741" spans="6:6" x14ac:dyDescent="0.5">
      <c r="F741" s="658">
        <v>0</v>
      </c>
    </row>
    <row r="742" spans="6:6" x14ac:dyDescent="0.5">
      <c r="F742" s="658">
        <v>0</v>
      </c>
    </row>
    <row r="743" spans="6:6" x14ac:dyDescent="0.5">
      <c r="F743" s="658">
        <v>0</v>
      </c>
    </row>
    <row r="744" spans="6:6" x14ac:dyDescent="0.5">
      <c r="F744" s="658">
        <v>0</v>
      </c>
    </row>
    <row r="745" spans="6:6" x14ac:dyDescent="0.5">
      <c r="F745" s="658">
        <v>0</v>
      </c>
    </row>
    <row r="746" spans="6:6" x14ac:dyDescent="0.5">
      <c r="F746" s="658">
        <v>0</v>
      </c>
    </row>
    <row r="747" spans="6:6" x14ac:dyDescent="0.5">
      <c r="F747" s="658">
        <v>0</v>
      </c>
    </row>
    <row r="748" spans="6:6" x14ac:dyDescent="0.5">
      <c r="F748" s="658">
        <v>0</v>
      </c>
    </row>
    <row r="749" spans="6:6" x14ac:dyDescent="0.5">
      <c r="F749" s="658">
        <v>0</v>
      </c>
    </row>
    <row r="750" spans="6:6" x14ac:dyDescent="0.5">
      <c r="F750" s="658">
        <v>0</v>
      </c>
    </row>
    <row r="751" spans="6:6" x14ac:dyDescent="0.5">
      <c r="F751" s="658">
        <v>0</v>
      </c>
    </row>
    <row r="752" spans="6:6" x14ac:dyDescent="0.5">
      <c r="F752" s="658">
        <v>0</v>
      </c>
    </row>
    <row r="753" spans="6:6" x14ac:dyDescent="0.5">
      <c r="F753" s="658">
        <v>0</v>
      </c>
    </row>
    <row r="754" spans="6:6" x14ac:dyDescent="0.5">
      <c r="F754" s="658">
        <v>0</v>
      </c>
    </row>
    <row r="755" spans="6:6" x14ac:dyDescent="0.5">
      <c r="F755" s="658">
        <v>0</v>
      </c>
    </row>
    <row r="756" spans="6:6" x14ac:dyDescent="0.5">
      <c r="F756" s="658">
        <v>0</v>
      </c>
    </row>
    <row r="757" spans="6:6" x14ac:dyDescent="0.5">
      <c r="F757" s="658">
        <v>0</v>
      </c>
    </row>
    <row r="758" spans="6:6" x14ac:dyDescent="0.5">
      <c r="F758" s="658">
        <v>0</v>
      </c>
    </row>
    <row r="759" spans="6:6" x14ac:dyDescent="0.5">
      <c r="F759" s="658">
        <v>0</v>
      </c>
    </row>
    <row r="760" spans="6:6" x14ac:dyDescent="0.5">
      <c r="F760" s="658">
        <v>0</v>
      </c>
    </row>
    <row r="761" spans="6:6" x14ac:dyDescent="0.5">
      <c r="F761" s="658">
        <v>0</v>
      </c>
    </row>
    <row r="762" spans="6:6" x14ac:dyDescent="0.5">
      <c r="F762" s="658">
        <v>0</v>
      </c>
    </row>
    <row r="763" spans="6:6" x14ac:dyDescent="0.5">
      <c r="F763" s="658">
        <v>0</v>
      </c>
    </row>
    <row r="764" spans="6:6" x14ac:dyDescent="0.5">
      <c r="F764" s="658">
        <v>0</v>
      </c>
    </row>
    <row r="765" spans="6:6" x14ac:dyDescent="0.5">
      <c r="F765" s="658">
        <v>0</v>
      </c>
    </row>
    <row r="766" spans="6:6" x14ac:dyDescent="0.5">
      <c r="F766" s="658">
        <v>0</v>
      </c>
    </row>
    <row r="767" spans="6:6" x14ac:dyDescent="0.5">
      <c r="F767" s="658">
        <v>0</v>
      </c>
    </row>
    <row r="768" spans="6:6" x14ac:dyDescent="0.5">
      <c r="F768" s="658">
        <v>0</v>
      </c>
    </row>
    <row r="769" spans="6:6" x14ac:dyDescent="0.5">
      <c r="F769" s="658">
        <v>0</v>
      </c>
    </row>
    <row r="770" spans="6:6" x14ac:dyDescent="0.5">
      <c r="F770" s="658">
        <v>0</v>
      </c>
    </row>
    <row r="771" spans="6:6" x14ac:dyDescent="0.5">
      <c r="F771" s="658">
        <v>0</v>
      </c>
    </row>
    <row r="772" spans="6:6" x14ac:dyDescent="0.5">
      <c r="F772" s="658">
        <v>0</v>
      </c>
    </row>
    <row r="773" spans="6:6" x14ac:dyDescent="0.5">
      <c r="F773" s="658">
        <v>0</v>
      </c>
    </row>
    <row r="774" spans="6:6" x14ac:dyDescent="0.5">
      <c r="F774" s="658">
        <v>0</v>
      </c>
    </row>
    <row r="775" spans="6:6" x14ac:dyDescent="0.5">
      <c r="F775" s="658">
        <v>0</v>
      </c>
    </row>
    <row r="776" spans="6:6" x14ac:dyDescent="0.5">
      <c r="F776" s="658">
        <v>0</v>
      </c>
    </row>
    <row r="777" spans="6:6" x14ac:dyDescent="0.5">
      <c r="F777" s="658">
        <v>0</v>
      </c>
    </row>
    <row r="778" spans="6:6" x14ac:dyDescent="0.5">
      <c r="F778" s="658">
        <v>0</v>
      </c>
    </row>
    <row r="779" spans="6:6" x14ac:dyDescent="0.5">
      <c r="F779" s="658">
        <v>0</v>
      </c>
    </row>
    <row r="780" spans="6:6" x14ac:dyDescent="0.5">
      <c r="F780" s="658">
        <v>0</v>
      </c>
    </row>
    <row r="781" spans="6:6" x14ac:dyDescent="0.5">
      <c r="F781" s="658">
        <v>0</v>
      </c>
    </row>
    <row r="782" spans="6:6" x14ac:dyDescent="0.5">
      <c r="F782" s="658">
        <v>0</v>
      </c>
    </row>
    <row r="783" spans="6:6" x14ac:dyDescent="0.5">
      <c r="F783" s="658">
        <v>0</v>
      </c>
    </row>
    <row r="784" spans="6:6" x14ac:dyDescent="0.5">
      <c r="F784" s="658">
        <v>0</v>
      </c>
    </row>
    <row r="785" spans="6:6" x14ac:dyDescent="0.5">
      <c r="F785" s="658">
        <v>0</v>
      </c>
    </row>
    <row r="786" spans="6:6" x14ac:dyDescent="0.5">
      <c r="F786" s="658">
        <v>0</v>
      </c>
    </row>
    <row r="787" spans="6:6" x14ac:dyDescent="0.5">
      <c r="F787" s="658">
        <v>0</v>
      </c>
    </row>
    <row r="788" spans="6:6" x14ac:dyDescent="0.5">
      <c r="F788" s="658">
        <v>0</v>
      </c>
    </row>
    <row r="789" spans="6:6" x14ac:dyDescent="0.5">
      <c r="F789" s="658">
        <v>0</v>
      </c>
    </row>
    <row r="790" spans="6:6" x14ac:dyDescent="0.5">
      <c r="F790" s="658">
        <v>0</v>
      </c>
    </row>
    <row r="791" spans="6:6" x14ac:dyDescent="0.5">
      <c r="F791" s="658">
        <v>0</v>
      </c>
    </row>
    <row r="792" spans="6:6" x14ac:dyDescent="0.5">
      <c r="F792" s="658">
        <v>0</v>
      </c>
    </row>
    <row r="793" spans="6:6" x14ac:dyDescent="0.5">
      <c r="F793" s="658">
        <v>0</v>
      </c>
    </row>
    <row r="794" spans="6:6" x14ac:dyDescent="0.5">
      <c r="F794" s="658">
        <v>0</v>
      </c>
    </row>
    <row r="795" spans="6:6" x14ac:dyDescent="0.5">
      <c r="F795" s="658">
        <v>0</v>
      </c>
    </row>
    <row r="796" spans="6:6" x14ac:dyDescent="0.5">
      <c r="F796" s="658">
        <v>0</v>
      </c>
    </row>
    <row r="797" spans="6:6" x14ac:dyDescent="0.5">
      <c r="F797" s="658">
        <v>0</v>
      </c>
    </row>
    <row r="798" spans="6:6" x14ac:dyDescent="0.5">
      <c r="F798" s="658">
        <v>0</v>
      </c>
    </row>
    <row r="799" spans="6:6" x14ac:dyDescent="0.5">
      <c r="F799" s="658">
        <v>0</v>
      </c>
    </row>
    <row r="800" spans="6:6" x14ac:dyDescent="0.5">
      <c r="F800" s="658">
        <v>0</v>
      </c>
    </row>
    <row r="801" spans="6:6" x14ac:dyDescent="0.5">
      <c r="F801" s="658">
        <v>0</v>
      </c>
    </row>
    <row r="802" spans="6:6" x14ac:dyDescent="0.5">
      <c r="F802" s="658">
        <v>0</v>
      </c>
    </row>
    <row r="803" spans="6:6" x14ac:dyDescent="0.5">
      <c r="F803" s="658">
        <v>0</v>
      </c>
    </row>
    <row r="804" spans="6:6" x14ac:dyDescent="0.5">
      <c r="F804" s="658">
        <v>0</v>
      </c>
    </row>
    <row r="805" spans="6:6" x14ac:dyDescent="0.5">
      <c r="F805" s="658">
        <v>0</v>
      </c>
    </row>
    <row r="806" spans="6:6" x14ac:dyDescent="0.5">
      <c r="F806" s="658">
        <v>0</v>
      </c>
    </row>
    <row r="807" spans="6:6" x14ac:dyDescent="0.5">
      <c r="F807" s="658">
        <v>0</v>
      </c>
    </row>
    <row r="808" spans="6:6" x14ac:dyDescent="0.5">
      <c r="F808" s="658">
        <v>0</v>
      </c>
    </row>
    <row r="809" spans="6:6" x14ac:dyDescent="0.5">
      <c r="F809" s="658">
        <v>0</v>
      </c>
    </row>
    <row r="810" spans="6:6" x14ac:dyDescent="0.5">
      <c r="F810" s="658">
        <v>0</v>
      </c>
    </row>
    <row r="811" spans="6:6" x14ac:dyDescent="0.5">
      <c r="F811" s="658">
        <v>0</v>
      </c>
    </row>
    <row r="812" spans="6:6" x14ac:dyDescent="0.5">
      <c r="F812" s="658">
        <v>0</v>
      </c>
    </row>
    <row r="813" spans="6:6" x14ac:dyDescent="0.5">
      <c r="F813" s="658">
        <v>0</v>
      </c>
    </row>
    <row r="814" spans="6:6" x14ac:dyDescent="0.5">
      <c r="F814" s="658">
        <v>0</v>
      </c>
    </row>
    <row r="815" spans="6:6" x14ac:dyDescent="0.5">
      <c r="F815" s="658">
        <v>0</v>
      </c>
    </row>
    <row r="816" spans="6:6" x14ac:dyDescent="0.5">
      <c r="F816" s="658">
        <v>0</v>
      </c>
    </row>
    <row r="817" spans="6:6" x14ac:dyDescent="0.5">
      <c r="F817" s="658">
        <v>0</v>
      </c>
    </row>
    <row r="818" spans="6:6" x14ac:dyDescent="0.5">
      <c r="F818" s="658">
        <v>0</v>
      </c>
    </row>
    <row r="819" spans="6:6" x14ac:dyDescent="0.5">
      <c r="F819" s="658">
        <v>0</v>
      </c>
    </row>
    <row r="820" spans="6:6" x14ac:dyDescent="0.5">
      <c r="F820" s="658">
        <v>0</v>
      </c>
    </row>
    <row r="821" spans="6:6" x14ac:dyDescent="0.5">
      <c r="F821" s="658">
        <v>0</v>
      </c>
    </row>
    <row r="822" spans="6:6" x14ac:dyDescent="0.5">
      <c r="F822" s="658">
        <v>0</v>
      </c>
    </row>
    <row r="823" spans="6:6" x14ac:dyDescent="0.5">
      <c r="F823" s="658">
        <v>0</v>
      </c>
    </row>
    <row r="824" spans="6:6" x14ac:dyDescent="0.5">
      <c r="F824" s="658">
        <v>0</v>
      </c>
    </row>
    <row r="825" spans="6:6" x14ac:dyDescent="0.5">
      <c r="F825" s="658">
        <v>0</v>
      </c>
    </row>
    <row r="826" spans="6:6" x14ac:dyDescent="0.5">
      <c r="F826" s="658">
        <v>0</v>
      </c>
    </row>
    <row r="827" spans="6:6" x14ac:dyDescent="0.5">
      <c r="F827" s="658">
        <v>0</v>
      </c>
    </row>
    <row r="828" spans="6:6" x14ac:dyDescent="0.5">
      <c r="F828" s="658">
        <v>0</v>
      </c>
    </row>
    <row r="829" spans="6:6" x14ac:dyDescent="0.5">
      <c r="F829" s="658">
        <v>0</v>
      </c>
    </row>
    <row r="830" spans="6:6" x14ac:dyDescent="0.5">
      <c r="F830" s="658">
        <v>0</v>
      </c>
    </row>
    <row r="831" spans="6:6" x14ac:dyDescent="0.5">
      <c r="F831" s="658">
        <v>0</v>
      </c>
    </row>
    <row r="832" spans="6:6" x14ac:dyDescent="0.5">
      <c r="F832" s="658">
        <v>0</v>
      </c>
    </row>
    <row r="833" spans="6:6" x14ac:dyDescent="0.5">
      <c r="F833" s="658">
        <v>0</v>
      </c>
    </row>
    <row r="834" spans="6:6" x14ac:dyDescent="0.5">
      <c r="F834" s="658">
        <v>0</v>
      </c>
    </row>
    <row r="835" spans="6:6" x14ac:dyDescent="0.5">
      <c r="F835" s="658">
        <v>0</v>
      </c>
    </row>
    <row r="836" spans="6:6" x14ac:dyDescent="0.5">
      <c r="F836" s="658">
        <v>0</v>
      </c>
    </row>
    <row r="837" spans="6:6" x14ac:dyDescent="0.5">
      <c r="F837" s="658">
        <v>0</v>
      </c>
    </row>
    <row r="838" spans="6:6" x14ac:dyDescent="0.5">
      <c r="F838" s="658">
        <v>0</v>
      </c>
    </row>
    <row r="839" spans="6:6" x14ac:dyDescent="0.5">
      <c r="F839" s="658">
        <v>0</v>
      </c>
    </row>
    <row r="840" spans="6:6" x14ac:dyDescent="0.5">
      <c r="F840" s="658">
        <v>0</v>
      </c>
    </row>
    <row r="841" spans="6:6" x14ac:dyDescent="0.5">
      <c r="F841" s="658">
        <v>0</v>
      </c>
    </row>
    <row r="842" spans="6:6" x14ac:dyDescent="0.5">
      <c r="F842" s="658">
        <v>0</v>
      </c>
    </row>
    <row r="843" spans="6:6" x14ac:dyDescent="0.5">
      <c r="F843" s="658">
        <v>0</v>
      </c>
    </row>
    <row r="844" spans="6:6" x14ac:dyDescent="0.5">
      <c r="F844" s="658">
        <v>0</v>
      </c>
    </row>
    <row r="845" spans="6:6" x14ac:dyDescent="0.5">
      <c r="F845" s="658">
        <v>0</v>
      </c>
    </row>
    <row r="846" spans="6:6" x14ac:dyDescent="0.5">
      <c r="F846" s="658">
        <v>0</v>
      </c>
    </row>
    <row r="847" spans="6:6" x14ac:dyDescent="0.5">
      <c r="F847" s="658">
        <v>0</v>
      </c>
    </row>
    <row r="848" spans="6:6" x14ac:dyDescent="0.5">
      <c r="F848" s="658">
        <v>0</v>
      </c>
    </row>
    <row r="849" spans="6:6" x14ac:dyDescent="0.5">
      <c r="F849" s="658">
        <v>0</v>
      </c>
    </row>
    <row r="850" spans="6:6" x14ac:dyDescent="0.5">
      <c r="F850" s="658">
        <v>0</v>
      </c>
    </row>
    <row r="851" spans="6:6" x14ac:dyDescent="0.5">
      <c r="F851" s="658">
        <v>0</v>
      </c>
    </row>
    <row r="852" spans="6:6" x14ac:dyDescent="0.5">
      <c r="F852" s="658">
        <v>0</v>
      </c>
    </row>
    <row r="853" spans="6:6" x14ac:dyDescent="0.5">
      <c r="F853" s="658">
        <v>0</v>
      </c>
    </row>
    <row r="854" spans="6:6" x14ac:dyDescent="0.5">
      <c r="F854" s="658">
        <v>0</v>
      </c>
    </row>
    <row r="855" spans="6:6" x14ac:dyDescent="0.5">
      <c r="F855" s="658">
        <v>0</v>
      </c>
    </row>
    <row r="856" spans="6:6" x14ac:dyDescent="0.5">
      <c r="F856" s="658">
        <v>0</v>
      </c>
    </row>
    <row r="857" spans="6:6" x14ac:dyDescent="0.5">
      <c r="F857" s="658">
        <v>0</v>
      </c>
    </row>
    <row r="858" spans="6:6" x14ac:dyDescent="0.5">
      <c r="F858" s="658">
        <v>0</v>
      </c>
    </row>
    <row r="859" spans="6:6" x14ac:dyDescent="0.5">
      <c r="F859" s="658">
        <v>0</v>
      </c>
    </row>
    <row r="860" spans="6:6" x14ac:dyDescent="0.5">
      <c r="F860" s="658">
        <v>0</v>
      </c>
    </row>
    <row r="861" spans="6:6" x14ac:dyDescent="0.5">
      <c r="F861" s="658">
        <v>0</v>
      </c>
    </row>
    <row r="862" spans="6:6" x14ac:dyDescent="0.5">
      <c r="F862" s="658">
        <v>0</v>
      </c>
    </row>
    <row r="863" spans="6:6" x14ac:dyDescent="0.5">
      <c r="F863" s="658">
        <v>0</v>
      </c>
    </row>
    <row r="864" spans="6:6" x14ac:dyDescent="0.5">
      <c r="F864" s="658">
        <v>0</v>
      </c>
    </row>
    <row r="865" spans="6:6" x14ac:dyDescent="0.5">
      <c r="F865" s="658">
        <v>0</v>
      </c>
    </row>
    <row r="866" spans="6:6" x14ac:dyDescent="0.5">
      <c r="F866" s="658">
        <v>0</v>
      </c>
    </row>
    <row r="867" spans="6:6" x14ac:dyDescent="0.5">
      <c r="F867" s="658">
        <v>0</v>
      </c>
    </row>
    <row r="868" spans="6:6" x14ac:dyDescent="0.5">
      <c r="F868" s="658">
        <v>0</v>
      </c>
    </row>
    <row r="869" spans="6:6" x14ac:dyDescent="0.5">
      <c r="F869" s="658">
        <v>0</v>
      </c>
    </row>
    <row r="870" spans="6:6" x14ac:dyDescent="0.5">
      <c r="F870" s="658">
        <v>0</v>
      </c>
    </row>
    <row r="871" spans="6:6" x14ac:dyDescent="0.5">
      <c r="F871" s="658">
        <v>0</v>
      </c>
    </row>
    <row r="872" spans="6:6" x14ac:dyDescent="0.5">
      <c r="F872" s="658">
        <v>0</v>
      </c>
    </row>
    <row r="873" spans="6:6" x14ac:dyDescent="0.5">
      <c r="F873" s="658">
        <v>0</v>
      </c>
    </row>
    <row r="874" spans="6:6" x14ac:dyDescent="0.5">
      <c r="F874" s="658">
        <v>0</v>
      </c>
    </row>
    <row r="875" spans="6:6" x14ac:dyDescent="0.5">
      <c r="F875" s="658">
        <v>0</v>
      </c>
    </row>
    <row r="876" spans="6:6" x14ac:dyDescent="0.5">
      <c r="F876" s="658">
        <v>0</v>
      </c>
    </row>
    <row r="877" spans="6:6" x14ac:dyDescent="0.5">
      <c r="F877" s="658">
        <v>0</v>
      </c>
    </row>
    <row r="878" spans="6:6" x14ac:dyDescent="0.5">
      <c r="F878" s="658">
        <v>0</v>
      </c>
    </row>
    <row r="879" spans="6:6" x14ac:dyDescent="0.5">
      <c r="F879" s="658">
        <v>0</v>
      </c>
    </row>
    <row r="880" spans="6:6" x14ac:dyDescent="0.5">
      <c r="F880" s="658">
        <v>0</v>
      </c>
    </row>
    <row r="881" spans="6:6" x14ac:dyDescent="0.5">
      <c r="F881" s="658">
        <v>0</v>
      </c>
    </row>
    <row r="882" spans="6:6" x14ac:dyDescent="0.5">
      <c r="F882" s="658">
        <v>0</v>
      </c>
    </row>
    <row r="883" spans="6:6" x14ac:dyDescent="0.5">
      <c r="F883" s="658">
        <v>0</v>
      </c>
    </row>
    <row r="884" spans="6:6" x14ac:dyDescent="0.5">
      <c r="F884" s="658">
        <v>0</v>
      </c>
    </row>
    <row r="885" spans="6:6" x14ac:dyDescent="0.5">
      <c r="F885" s="658">
        <v>0</v>
      </c>
    </row>
    <row r="886" spans="6:6" x14ac:dyDescent="0.5">
      <c r="F886" s="658">
        <v>0</v>
      </c>
    </row>
    <row r="887" spans="6:6" x14ac:dyDescent="0.5">
      <c r="F887" s="658">
        <v>0</v>
      </c>
    </row>
    <row r="888" spans="6:6" x14ac:dyDescent="0.5">
      <c r="F888" s="658">
        <v>0</v>
      </c>
    </row>
    <row r="889" spans="6:6" x14ac:dyDescent="0.5">
      <c r="F889" s="658">
        <v>0</v>
      </c>
    </row>
    <row r="890" spans="6:6" x14ac:dyDescent="0.5">
      <c r="F890" s="658">
        <v>0</v>
      </c>
    </row>
    <row r="891" spans="6:6" x14ac:dyDescent="0.5">
      <c r="F891" s="658">
        <v>0</v>
      </c>
    </row>
    <row r="892" spans="6:6" x14ac:dyDescent="0.5">
      <c r="F892" s="658">
        <v>0</v>
      </c>
    </row>
    <row r="893" spans="6:6" x14ac:dyDescent="0.5">
      <c r="F893" s="658">
        <v>0</v>
      </c>
    </row>
    <row r="894" spans="6:6" x14ac:dyDescent="0.5">
      <c r="F894" s="658">
        <v>0</v>
      </c>
    </row>
    <row r="895" spans="6:6" x14ac:dyDescent="0.5">
      <c r="F895" s="658">
        <v>0</v>
      </c>
    </row>
    <row r="896" spans="6:6" x14ac:dyDescent="0.5">
      <c r="F896" s="658">
        <v>0</v>
      </c>
    </row>
    <row r="897" spans="6:6" x14ac:dyDescent="0.5">
      <c r="F897" s="658">
        <v>0</v>
      </c>
    </row>
    <row r="898" spans="6:6" x14ac:dyDescent="0.5">
      <c r="F898" s="658">
        <v>0</v>
      </c>
    </row>
    <row r="899" spans="6:6" x14ac:dyDescent="0.5">
      <c r="F899" s="658">
        <v>0</v>
      </c>
    </row>
    <row r="900" spans="6:6" x14ac:dyDescent="0.5">
      <c r="F900" s="658">
        <v>0</v>
      </c>
    </row>
    <row r="901" spans="6:6" x14ac:dyDescent="0.5">
      <c r="F901" s="658">
        <v>0</v>
      </c>
    </row>
    <row r="902" spans="6:6" x14ac:dyDescent="0.5">
      <c r="F902" s="658">
        <v>0</v>
      </c>
    </row>
    <row r="903" spans="6:6" x14ac:dyDescent="0.5">
      <c r="F903" s="658">
        <v>0</v>
      </c>
    </row>
    <row r="904" spans="6:6" x14ac:dyDescent="0.5">
      <c r="F904" s="658">
        <v>0</v>
      </c>
    </row>
    <row r="905" spans="6:6" x14ac:dyDescent="0.5">
      <c r="F905" s="658">
        <v>0</v>
      </c>
    </row>
    <row r="906" spans="6:6" x14ac:dyDescent="0.5">
      <c r="F906" s="658">
        <v>0</v>
      </c>
    </row>
    <row r="907" spans="6:6" x14ac:dyDescent="0.5">
      <c r="F907" s="658">
        <v>0</v>
      </c>
    </row>
    <row r="908" spans="6:6" x14ac:dyDescent="0.5">
      <c r="F908" s="658">
        <v>0</v>
      </c>
    </row>
    <row r="909" spans="6:6" x14ac:dyDescent="0.5">
      <c r="F909" s="658">
        <v>0</v>
      </c>
    </row>
    <row r="910" spans="6:6" x14ac:dyDescent="0.5">
      <c r="F910" s="658">
        <v>0</v>
      </c>
    </row>
    <row r="911" spans="6:6" x14ac:dyDescent="0.5">
      <c r="F911" s="658">
        <v>0</v>
      </c>
    </row>
    <row r="912" spans="6:6" x14ac:dyDescent="0.5">
      <c r="F912" s="658">
        <v>0</v>
      </c>
    </row>
    <row r="913" spans="6:6" x14ac:dyDescent="0.5">
      <c r="F913" s="658">
        <v>0</v>
      </c>
    </row>
    <row r="914" spans="6:6" x14ac:dyDescent="0.5">
      <c r="F914" s="658">
        <v>0</v>
      </c>
    </row>
    <row r="915" spans="6:6" x14ac:dyDescent="0.5">
      <c r="F915" s="658">
        <v>0</v>
      </c>
    </row>
    <row r="916" spans="6:6" x14ac:dyDescent="0.5">
      <c r="F916" s="658">
        <v>0</v>
      </c>
    </row>
    <row r="917" spans="6:6" x14ac:dyDescent="0.5">
      <c r="F917" s="658">
        <v>0</v>
      </c>
    </row>
    <row r="918" spans="6:6" x14ac:dyDescent="0.5">
      <c r="F918" s="658">
        <v>0</v>
      </c>
    </row>
    <row r="919" spans="6:6" x14ac:dyDescent="0.5">
      <c r="F919" s="658">
        <v>0</v>
      </c>
    </row>
    <row r="920" spans="6:6" x14ac:dyDescent="0.5">
      <c r="F920" s="658">
        <v>0</v>
      </c>
    </row>
    <row r="921" spans="6:6" x14ac:dyDescent="0.5">
      <c r="F921" s="658">
        <v>0</v>
      </c>
    </row>
    <row r="922" spans="6:6" x14ac:dyDescent="0.5">
      <c r="F922" s="658">
        <v>0</v>
      </c>
    </row>
    <row r="923" spans="6:6" x14ac:dyDescent="0.5">
      <c r="F923" s="658">
        <v>0</v>
      </c>
    </row>
    <row r="924" spans="6:6" x14ac:dyDescent="0.5">
      <c r="F924" s="658">
        <v>0</v>
      </c>
    </row>
    <row r="925" spans="6:6" x14ac:dyDescent="0.5">
      <c r="F925" s="658">
        <v>0</v>
      </c>
    </row>
    <row r="926" spans="6:6" x14ac:dyDescent="0.5">
      <c r="F926" s="658">
        <v>0</v>
      </c>
    </row>
    <row r="927" spans="6:6" x14ac:dyDescent="0.5">
      <c r="F927" s="658">
        <v>0</v>
      </c>
    </row>
    <row r="928" spans="6:6" x14ac:dyDescent="0.5">
      <c r="F928" s="658">
        <v>0</v>
      </c>
    </row>
    <row r="929" spans="6:6" x14ac:dyDescent="0.5">
      <c r="F929" s="658">
        <v>0</v>
      </c>
    </row>
    <row r="930" spans="6:6" x14ac:dyDescent="0.5">
      <c r="F930" s="658">
        <v>0</v>
      </c>
    </row>
    <row r="931" spans="6:6" x14ac:dyDescent="0.5">
      <c r="F931" s="658">
        <v>0</v>
      </c>
    </row>
    <row r="932" spans="6:6" x14ac:dyDescent="0.5">
      <c r="F932" s="658">
        <v>0</v>
      </c>
    </row>
    <row r="933" spans="6:6" x14ac:dyDescent="0.5">
      <c r="F933" s="658">
        <v>0</v>
      </c>
    </row>
    <row r="934" spans="6:6" x14ac:dyDescent="0.5">
      <c r="F934" s="658">
        <v>0</v>
      </c>
    </row>
    <row r="935" spans="6:6" x14ac:dyDescent="0.5">
      <c r="F935" s="658">
        <v>0</v>
      </c>
    </row>
    <row r="936" spans="6:6" x14ac:dyDescent="0.5">
      <c r="F936" s="658">
        <v>0</v>
      </c>
    </row>
    <row r="937" spans="6:6" x14ac:dyDescent="0.5">
      <c r="F937" s="658">
        <v>0</v>
      </c>
    </row>
    <row r="938" spans="6:6" x14ac:dyDescent="0.5">
      <c r="F938" s="658">
        <v>0</v>
      </c>
    </row>
    <row r="939" spans="6:6" x14ac:dyDescent="0.5">
      <c r="F939" s="658">
        <v>0</v>
      </c>
    </row>
    <row r="940" spans="6:6" x14ac:dyDescent="0.5">
      <c r="F940" s="658">
        <v>0</v>
      </c>
    </row>
    <row r="941" spans="6:6" x14ac:dyDescent="0.5">
      <c r="F941" s="658">
        <v>0</v>
      </c>
    </row>
    <row r="942" spans="6:6" x14ac:dyDescent="0.5">
      <c r="F942" s="658">
        <v>0</v>
      </c>
    </row>
    <row r="943" spans="6:6" x14ac:dyDescent="0.5">
      <c r="F943" s="658">
        <v>0</v>
      </c>
    </row>
    <row r="944" spans="6:6" x14ac:dyDescent="0.5">
      <c r="F944" s="658">
        <v>0</v>
      </c>
    </row>
    <row r="945" spans="6:6" x14ac:dyDescent="0.5">
      <c r="F945" s="658">
        <v>0</v>
      </c>
    </row>
    <row r="946" spans="6:6" x14ac:dyDescent="0.5">
      <c r="F946" s="658">
        <v>0</v>
      </c>
    </row>
    <row r="947" spans="6:6" x14ac:dyDescent="0.5">
      <c r="F947" s="658">
        <v>0</v>
      </c>
    </row>
    <row r="948" spans="6:6" x14ac:dyDescent="0.5">
      <c r="F948" s="658">
        <v>0</v>
      </c>
    </row>
    <row r="949" spans="6:6" x14ac:dyDescent="0.5">
      <c r="F949" s="658">
        <v>0</v>
      </c>
    </row>
    <row r="950" spans="6:6" x14ac:dyDescent="0.5">
      <c r="F950" s="658">
        <v>0</v>
      </c>
    </row>
    <row r="951" spans="6:6" x14ac:dyDescent="0.5">
      <c r="F951" s="658">
        <v>0</v>
      </c>
    </row>
    <row r="952" spans="6:6" x14ac:dyDescent="0.5">
      <c r="F952" s="658">
        <v>0</v>
      </c>
    </row>
    <row r="953" spans="6:6" x14ac:dyDescent="0.5">
      <c r="F953" s="658">
        <v>0</v>
      </c>
    </row>
    <row r="954" spans="6:6" x14ac:dyDescent="0.5">
      <c r="F954" s="658">
        <v>0</v>
      </c>
    </row>
    <row r="955" spans="6:6" x14ac:dyDescent="0.5">
      <c r="F955" s="658">
        <v>0</v>
      </c>
    </row>
    <row r="956" spans="6:6" x14ac:dyDescent="0.5">
      <c r="F956" s="658">
        <v>0</v>
      </c>
    </row>
    <row r="957" spans="6:6" x14ac:dyDescent="0.5">
      <c r="F957" s="658">
        <v>0</v>
      </c>
    </row>
    <row r="958" spans="6:6" x14ac:dyDescent="0.5">
      <c r="F958" s="658">
        <v>0</v>
      </c>
    </row>
    <row r="959" spans="6:6" x14ac:dyDescent="0.5">
      <c r="F959" s="658">
        <v>0</v>
      </c>
    </row>
    <row r="960" spans="6:6" x14ac:dyDescent="0.5">
      <c r="F960" s="658">
        <v>0</v>
      </c>
    </row>
    <row r="961" spans="6:6" x14ac:dyDescent="0.5">
      <c r="F961" s="658">
        <v>0</v>
      </c>
    </row>
    <row r="962" spans="6:6" x14ac:dyDescent="0.5">
      <c r="F962" s="658">
        <v>0</v>
      </c>
    </row>
    <row r="963" spans="6:6" x14ac:dyDescent="0.5">
      <c r="F963" s="658">
        <v>0</v>
      </c>
    </row>
    <row r="964" spans="6:6" x14ac:dyDescent="0.5">
      <c r="F964" s="658">
        <v>0</v>
      </c>
    </row>
    <row r="965" spans="6:6" x14ac:dyDescent="0.5">
      <c r="F965" s="658">
        <v>0</v>
      </c>
    </row>
    <row r="966" spans="6:6" x14ac:dyDescent="0.5">
      <c r="F966" s="658">
        <v>0</v>
      </c>
    </row>
    <row r="967" spans="6:6" x14ac:dyDescent="0.5">
      <c r="F967" s="658">
        <v>0</v>
      </c>
    </row>
    <row r="968" spans="6:6" x14ac:dyDescent="0.5">
      <c r="F968" s="658">
        <v>0</v>
      </c>
    </row>
    <row r="969" spans="6:6" x14ac:dyDescent="0.5">
      <c r="F969" s="658">
        <v>0</v>
      </c>
    </row>
    <row r="970" spans="6:6" x14ac:dyDescent="0.5">
      <c r="F970" s="658">
        <v>0</v>
      </c>
    </row>
    <row r="971" spans="6:6" x14ac:dyDescent="0.5">
      <c r="F971" s="658">
        <v>0</v>
      </c>
    </row>
    <row r="972" spans="6:6" x14ac:dyDescent="0.5">
      <c r="F972" s="658">
        <v>0</v>
      </c>
    </row>
    <row r="973" spans="6:6" x14ac:dyDescent="0.5">
      <c r="F973" s="658">
        <v>0</v>
      </c>
    </row>
    <row r="974" spans="6:6" x14ac:dyDescent="0.5">
      <c r="F974" s="658">
        <v>0</v>
      </c>
    </row>
    <row r="975" spans="6:6" x14ac:dyDescent="0.5">
      <c r="F975" s="658">
        <v>0</v>
      </c>
    </row>
    <row r="976" spans="6:6" x14ac:dyDescent="0.5">
      <c r="F976" s="658">
        <v>0</v>
      </c>
    </row>
    <row r="977" spans="6:6" x14ac:dyDescent="0.5">
      <c r="F977" s="658">
        <v>0</v>
      </c>
    </row>
    <row r="978" spans="6:6" x14ac:dyDescent="0.5">
      <c r="F978" s="658">
        <v>0</v>
      </c>
    </row>
    <row r="979" spans="6:6" x14ac:dyDescent="0.5">
      <c r="F979" s="658">
        <v>0</v>
      </c>
    </row>
    <row r="980" spans="6:6" x14ac:dyDescent="0.5">
      <c r="F980" s="658">
        <v>0</v>
      </c>
    </row>
    <row r="981" spans="6:6" x14ac:dyDescent="0.5">
      <c r="F981" s="658">
        <v>0</v>
      </c>
    </row>
    <row r="982" spans="6:6" x14ac:dyDescent="0.5">
      <c r="F982" s="658">
        <v>0</v>
      </c>
    </row>
    <row r="983" spans="6:6" x14ac:dyDescent="0.5">
      <c r="F983" s="658">
        <v>0</v>
      </c>
    </row>
    <row r="984" spans="6:6" x14ac:dyDescent="0.5">
      <c r="F984" s="658">
        <v>0</v>
      </c>
    </row>
    <row r="985" spans="6:6" x14ac:dyDescent="0.5">
      <c r="F985" s="658">
        <v>0</v>
      </c>
    </row>
    <row r="986" spans="6:6" x14ac:dyDescent="0.5">
      <c r="F986" s="658">
        <v>0</v>
      </c>
    </row>
    <row r="987" spans="6:6" x14ac:dyDescent="0.5">
      <c r="F987" s="658">
        <v>0</v>
      </c>
    </row>
    <row r="988" spans="6:6" x14ac:dyDescent="0.5">
      <c r="F988" s="658">
        <v>0</v>
      </c>
    </row>
    <row r="989" spans="6:6" x14ac:dyDescent="0.5">
      <c r="F989" s="658">
        <v>0</v>
      </c>
    </row>
    <row r="990" spans="6:6" x14ac:dyDescent="0.5">
      <c r="F990" s="658">
        <v>0</v>
      </c>
    </row>
    <row r="991" spans="6:6" x14ac:dyDescent="0.5">
      <c r="F991" s="658">
        <v>0</v>
      </c>
    </row>
    <row r="992" spans="6:6" x14ac:dyDescent="0.5">
      <c r="F992" s="658">
        <v>0</v>
      </c>
    </row>
    <row r="993" spans="6:6" x14ac:dyDescent="0.5">
      <c r="F993" s="658">
        <v>0</v>
      </c>
    </row>
    <row r="994" spans="6:6" x14ac:dyDescent="0.5">
      <c r="F994" s="658">
        <v>0</v>
      </c>
    </row>
    <row r="995" spans="6:6" x14ac:dyDescent="0.5">
      <c r="F995" s="658">
        <v>0</v>
      </c>
    </row>
    <row r="996" spans="6:6" x14ac:dyDescent="0.5">
      <c r="F996" s="658">
        <v>0</v>
      </c>
    </row>
    <row r="997" spans="6:6" x14ac:dyDescent="0.5">
      <c r="F997" s="658">
        <v>0</v>
      </c>
    </row>
    <row r="998" spans="6:6" x14ac:dyDescent="0.5">
      <c r="F998" s="658">
        <v>0</v>
      </c>
    </row>
    <row r="999" spans="6:6" x14ac:dyDescent="0.5">
      <c r="F999" s="658">
        <v>0</v>
      </c>
    </row>
    <row r="1000" spans="6:6" x14ac:dyDescent="0.5">
      <c r="F1000" s="658">
        <v>0</v>
      </c>
    </row>
    <row r="1001" spans="6:6" x14ac:dyDescent="0.5">
      <c r="F1001" s="658">
        <v>0</v>
      </c>
    </row>
    <row r="1002" spans="6:6" x14ac:dyDescent="0.5">
      <c r="F1002" s="658">
        <v>0</v>
      </c>
    </row>
    <row r="1003" spans="6:6" x14ac:dyDescent="0.5">
      <c r="F1003" s="658">
        <v>0</v>
      </c>
    </row>
    <row r="1004" spans="6:6" x14ac:dyDescent="0.5">
      <c r="F1004" s="658">
        <v>0</v>
      </c>
    </row>
    <row r="1005" spans="6:6" x14ac:dyDescent="0.5">
      <c r="F1005" s="658">
        <v>0</v>
      </c>
    </row>
    <row r="1006" spans="6:6" x14ac:dyDescent="0.5">
      <c r="F1006" s="658">
        <v>0</v>
      </c>
    </row>
    <row r="1007" spans="6:6" x14ac:dyDescent="0.5">
      <c r="F1007" s="658">
        <v>0</v>
      </c>
    </row>
    <row r="1008" spans="6:6" x14ac:dyDescent="0.5">
      <c r="F1008" s="658">
        <v>0</v>
      </c>
    </row>
    <row r="1009" spans="6:6" x14ac:dyDescent="0.5">
      <c r="F1009" s="658">
        <v>0</v>
      </c>
    </row>
    <row r="1010" spans="6:6" x14ac:dyDescent="0.5">
      <c r="F1010" s="658">
        <v>0</v>
      </c>
    </row>
    <row r="1011" spans="6:6" x14ac:dyDescent="0.5">
      <c r="F1011" s="658">
        <v>0</v>
      </c>
    </row>
    <row r="1012" spans="6:6" x14ac:dyDescent="0.5">
      <c r="F1012" s="658">
        <v>0</v>
      </c>
    </row>
    <row r="1013" spans="6:6" x14ac:dyDescent="0.5">
      <c r="F1013" s="658">
        <v>0</v>
      </c>
    </row>
    <row r="1014" spans="6:6" x14ac:dyDescent="0.5">
      <c r="F1014" s="658">
        <v>0</v>
      </c>
    </row>
    <row r="1015" spans="6:6" x14ac:dyDescent="0.5">
      <c r="F1015" s="658">
        <v>0</v>
      </c>
    </row>
    <row r="1016" spans="6:6" x14ac:dyDescent="0.5">
      <c r="F1016" s="658">
        <v>0</v>
      </c>
    </row>
    <row r="1017" spans="6:6" x14ac:dyDescent="0.5">
      <c r="F1017" s="658">
        <v>0</v>
      </c>
    </row>
    <row r="1018" spans="6:6" x14ac:dyDescent="0.5">
      <c r="F1018" s="658">
        <v>0</v>
      </c>
    </row>
    <row r="1019" spans="6:6" x14ac:dyDescent="0.5">
      <c r="F1019" s="658">
        <v>0</v>
      </c>
    </row>
    <row r="1020" spans="6:6" x14ac:dyDescent="0.5">
      <c r="F1020" s="658">
        <v>0</v>
      </c>
    </row>
    <row r="1021" spans="6:6" x14ac:dyDescent="0.5">
      <c r="F1021" s="658">
        <v>0</v>
      </c>
    </row>
    <row r="1022" spans="6:6" x14ac:dyDescent="0.5">
      <c r="F1022" s="658">
        <v>0</v>
      </c>
    </row>
    <row r="1023" spans="6:6" x14ac:dyDescent="0.5">
      <c r="F1023" s="658">
        <v>0</v>
      </c>
    </row>
    <row r="1024" spans="6:6" x14ac:dyDescent="0.5">
      <c r="F1024" s="658">
        <v>0</v>
      </c>
    </row>
    <row r="1025" spans="6:6" x14ac:dyDescent="0.5">
      <c r="F1025" s="658">
        <v>0</v>
      </c>
    </row>
    <row r="1026" spans="6:6" x14ac:dyDescent="0.5">
      <c r="F1026" s="658">
        <v>0</v>
      </c>
    </row>
    <row r="1027" spans="6:6" x14ac:dyDescent="0.5">
      <c r="F1027" s="658">
        <v>0</v>
      </c>
    </row>
    <row r="1028" spans="6:6" x14ac:dyDescent="0.5">
      <c r="F1028" s="658">
        <v>0</v>
      </c>
    </row>
    <row r="1029" spans="6:6" x14ac:dyDescent="0.5">
      <c r="F1029" s="658">
        <v>0</v>
      </c>
    </row>
    <row r="1030" spans="6:6" x14ac:dyDescent="0.5">
      <c r="F1030" s="658">
        <v>0</v>
      </c>
    </row>
    <row r="1031" spans="6:6" x14ac:dyDescent="0.5">
      <c r="F1031" s="658">
        <v>0</v>
      </c>
    </row>
    <row r="1032" spans="6:6" x14ac:dyDescent="0.5">
      <c r="F1032" s="658">
        <v>0</v>
      </c>
    </row>
    <row r="1033" spans="6:6" x14ac:dyDescent="0.5">
      <c r="F1033" s="658">
        <v>0</v>
      </c>
    </row>
    <row r="1034" spans="6:6" x14ac:dyDescent="0.5">
      <c r="F1034" s="658">
        <v>0</v>
      </c>
    </row>
    <row r="1035" spans="6:6" x14ac:dyDescent="0.5">
      <c r="F1035" s="658">
        <v>0</v>
      </c>
    </row>
    <row r="1036" spans="6:6" x14ac:dyDescent="0.5">
      <c r="F1036" s="658">
        <v>0</v>
      </c>
    </row>
    <row r="1037" spans="6:6" x14ac:dyDescent="0.5">
      <c r="F1037" s="658">
        <v>0</v>
      </c>
    </row>
    <row r="1038" spans="6:6" x14ac:dyDescent="0.5">
      <c r="F1038" s="658">
        <v>0</v>
      </c>
    </row>
    <row r="1039" spans="6:6" x14ac:dyDescent="0.5">
      <c r="F1039" s="658">
        <v>0</v>
      </c>
    </row>
    <row r="1040" spans="6:6" x14ac:dyDescent="0.5">
      <c r="F1040" s="658">
        <v>0</v>
      </c>
    </row>
    <row r="1041" spans="6:6" x14ac:dyDescent="0.5">
      <c r="F1041" s="658">
        <v>0</v>
      </c>
    </row>
    <row r="1042" spans="6:6" x14ac:dyDescent="0.5">
      <c r="F1042" s="658">
        <v>0</v>
      </c>
    </row>
    <row r="1043" spans="6:6" x14ac:dyDescent="0.5">
      <c r="F1043" s="658">
        <v>0</v>
      </c>
    </row>
    <row r="1044" spans="6:6" x14ac:dyDescent="0.5">
      <c r="F1044" s="658">
        <v>0</v>
      </c>
    </row>
    <row r="1045" spans="6:6" x14ac:dyDescent="0.5">
      <c r="F1045" s="658">
        <v>0</v>
      </c>
    </row>
    <row r="1046" spans="6:6" x14ac:dyDescent="0.5">
      <c r="F1046" s="658">
        <v>0</v>
      </c>
    </row>
    <row r="1047" spans="6:6" x14ac:dyDescent="0.5">
      <c r="F1047" s="658">
        <v>0</v>
      </c>
    </row>
    <row r="1048" spans="6:6" x14ac:dyDescent="0.5">
      <c r="F1048" s="658">
        <v>0</v>
      </c>
    </row>
    <row r="1049" spans="6:6" x14ac:dyDescent="0.5">
      <c r="F1049" s="658">
        <v>0</v>
      </c>
    </row>
    <row r="1050" spans="6:6" x14ac:dyDescent="0.5">
      <c r="F1050" s="658">
        <v>0</v>
      </c>
    </row>
    <row r="1051" spans="6:6" x14ac:dyDescent="0.5">
      <c r="F1051" s="658">
        <v>0</v>
      </c>
    </row>
    <row r="1052" spans="6:6" x14ac:dyDescent="0.5">
      <c r="F1052" s="658">
        <v>0</v>
      </c>
    </row>
    <row r="1053" spans="6:6" x14ac:dyDescent="0.5">
      <c r="F1053" s="658">
        <v>0</v>
      </c>
    </row>
    <row r="1054" spans="6:6" x14ac:dyDescent="0.5">
      <c r="F1054" s="658">
        <v>0</v>
      </c>
    </row>
    <row r="1055" spans="6:6" x14ac:dyDescent="0.5">
      <c r="F1055" s="658">
        <v>0</v>
      </c>
    </row>
    <row r="1056" spans="6:6" x14ac:dyDescent="0.5">
      <c r="F1056" s="658">
        <v>0</v>
      </c>
    </row>
    <row r="1057" spans="6:6" x14ac:dyDescent="0.5">
      <c r="F1057" s="658">
        <v>0</v>
      </c>
    </row>
    <row r="1058" spans="6:6" x14ac:dyDescent="0.5">
      <c r="F1058" s="658">
        <v>0</v>
      </c>
    </row>
    <row r="1059" spans="6:6" x14ac:dyDescent="0.5">
      <c r="F1059" s="658">
        <v>0</v>
      </c>
    </row>
    <row r="1060" spans="6:6" x14ac:dyDescent="0.5">
      <c r="F1060" s="658">
        <v>0</v>
      </c>
    </row>
    <row r="1061" spans="6:6" x14ac:dyDescent="0.5">
      <c r="F1061" s="658">
        <v>0</v>
      </c>
    </row>
    <row r="1062" spans="6:6" x14ac:dyDescent="0.5">
      <c r="F1062" s="658">
        <v>0</v>
      </c>
    </row>
    <row r="1063" spans="6:6" x14ac:dyDescent="0.5">
      <c r="F1063" s="658">
        <v>0</v>
      </c>
    </row>
    <row r="1064" spans="6:6" x14ac:dyDescent="0.5">
      <c r="F1064" s="658">
        <v>0</v>
      </c>
    </row>
    <row r="1065" spans="6:6" x14ac:dyDescent="0.5">
      <c r="F1065" s="658">
        <v>0</v>
      </c>
    </row>
    <row r="1066" spans="6:6" x14ac:dyDescent="0.5">
      <c r="F1066" s="658">
        <v>0</v>
      </c>
    </row>
    <row r="1067" spans="6:6" x14ac:dyDescent="0.5">
      <c r="F1067" s="658">
        <v>0</v>
      </c>
    </row>
    <row r="1068" spans="6:6" x14ac:dyDescent="0.5">
      <c r="F1068" s="658">
        <v>0</v>
      </c>
    </row>
    <row r="1069" spans="6:6" x14ac:dyDescent="0.5">
      <c r="F1069" s="658">
        <v>0</v>
      </c>
    </row>
    <row r="1070" spans="6:6" x14ac:dyDescent="0.5">
      <c r="F1070" s="658">
        <v>0</v>
      </c>
    </row>
    <row r="1071" spans="6:6" x14ac:dyDescent="0.5">
      <c r="F1071" s="658">
        <v>0</v>
      </c>
    </row>
    <row r="1072" spans="6:6" x14ac:dyDescent="0.5">
      <c r="F1072" s="658">
        <v>0</v>
      </c>
    </row>
    <row r="1073" spans="6:6" x14ac:dyDescent="0.5">
      <c r="F1073" s="658">
        <v>0</v>
      </c>
    </row>
    <row r="1074" spans="6:6" x14ac:dyDescent="0.5">
      <c r="F1074" s="658">
        <v>0</v>
      </c>
    </row>
    <row r="1075" spans="6:6" x14ac:dyDescent="0.5">
      <c r="F1075" s="658">
        <v>0</v>
      </c>
    </row>
    <row r="1076" spans="6:6" x14ac:dyDescent="0.5">
      <c r="F1076" s="658">
        <v>0</v>
      </c>
    </row>
    <row r="1077" spans="6:6" x14ac:dyDescent="0.5">
      <c r="F1077" s="658">
        <v>0</v>
      </c>
    </row>
    <row r="1078" spans="6:6" x14ac:dyDescent="0.5">
      <c r="F1078" s="658">
        <v>0</v>
      </c>
    </row>
    <row r="1079" spans="6:6" x14ac:dyDescent="0.5">
      <c r="F1079" s="658">
        <v>0</v>
      </c>
    </row>
    <row r="1080" spans="6:6" x14ac:dyDescent="0.5">
      <c r="F1080" s="658">
        <v>0</v>
      </c>
    </row>
    <row r="1081" spans="6:6" x14ac:dyDescent="0.5">
      <c r="F1081" s="658">
        <v>0</v>
      </c>
    </row>
    <row r="1082" spans="6:6" x14ac:dyDescent="0.5">
      <c r="F1082" s="658">
        <v>0</v>
      </c>
    </row>
    <row r="1083" spans="6:6" x14ac:dyDescent="0.5">
      <c r="F1083" s="658">
        <v>0</v>
      </c>
    </row>
    <row r="1084" spans="6:6" x14ac:dyDescent="0.5">
      <c r="F1084" s="658">
        <v>0</v>
      </c>
    </row>
    <row r="1085" spans="6:6" x14ac:dyDescent="0.5">
      <c r="F1085" s="658">
        <v>0</v>
      </c>
    </row>
    <row r="1086" spans="6:6" x14ac:dyDescent="0.5">
      <c r="F1086" s="658">
        <v>0</v>
      </c>
    </row>
    <row r="1087" spans="6:6" x14ac:dyDescent="0.5">
      <c r="F1087" s="658">
        <v>0</v>
      </c>
    </row>
    <row r="1088" spans="6:6" x14ac:dyDescent="0.5">
      <c r="F1088" s="658">
        <v>0</v>
      </c>
    </row>
    <row r="1089" spans="6:6" x14ac:dyDescent="0.5">
      <c r="F1089" s="658">
        <v>0</v>
      </c>
    </row>
    <row r="1090" spans="6:6" x14ac:dyDescent="0.5">
      <c r="F1090" s="658">
        <v>0</v>
      </c>
    </row>
    <row r="1091" spans="6:6" x14ac:dyDescent="0.5">
      <c r="F1091" s="658">
        <v>0</v>
      </c>
    </row>
    <row r="1092" spans="6:6" x14ac:dyDescent="0.5">
      <c r="F1092" s="658">
        <v>0</v>
      </c>
    </row>
    <row r="1093" spans="6:6" x14ac:dyDescent="0.5">
      <c r="F1093" s="658">
        <v>0</v>
      </c>
    </row>
    <row r="1094" spans="6:6" x14ac:dyDescent="0.5">
      <c r="F1094" s="658">
        <v>0</v>
      </c>
    </row>
    <row r="1095" spans="6:6" x14ac:dyDescent="0.5">
      <c r="F1095" s="658">
        <v>0</v>
      </c>
    </row>
    <row r="1096" spans="6:6" x14ac:dyDescent="0.5">
      <c r="F1096" s="658">
        <v>0</v>
      </c>
    </row>
    <row r="1097" spans="6:6" x14ac:dyDescent="0.5">
      <c r="F1097" s="658">
        <v>0</v>
      </c>
    </row>
    <row r="1098" spans="6:6" x14ac:dyDescent="0.5">
      <c r="F1098" s="658">
        <v>0</v>
      </c>
    </row>
    <row r="1099" spans="6:6" x14ac:dyDescent="0.5">
      <c r="F1099" s="658">
        <v>0</v>
      </c>
    </row>
    <row r="1100" spans="6:6" x14ac:dyDescent="0.5">
      <c r="F1100" s="658">
        <v>0</v>
      </c>
    </row>
    <row r="1101" spans="6:6" x14ac:dyDescent="0.5">
      <c r="F1101" s="658">
        <v>0</v>
      </c>
    </row>
    <row r="1102" spans="6:6" x14ac:dyDescent="0.5">
      <c r="F1102" s="658">
        <v>0</v>
      </c>
    </row>
    <row r="1103" spans="6:6" x14ac:dyDescent="0.5">
      <c r="F1103" s="658">
        <v>0</v>
      </c>
    </row>
    <row r="1104" spans="6:6" x14ac:dyDescent="0.5">
      <c r="F1104" s="658">
        <v>0</v>
      </c>
    </row>
    <row r="1105" spans="6:6" x14ac:dyDescent="0.5">
      <c r="F1105" s="658">
        <v>0</v>
      </c>
    </row>
    <row r="1106" spans="6:6" x14ac:dyDescent="0.5">
      <c r="F1106" s="658">
        <v>0</v>
      </c>
    </row>
    <row r="1107" spans="6:6" x14ac:dyDescent="0.5">
      <c r="F1107" s="658">
        <v>0</v>
      </c>
    </row>
    <row r="1108" spans="6:6" x14ac:dyDescent="0.5">
      <c r="F1108" s="658">
        <v>0</v>
      </c>
    </row>
    <row r="1109" spans="6:6" x14ac:dyDescent="0.5">
      <c r="F1109" s="658">
        <v>0</v>
      </c>
    </row>
    <row r="1110" spans="6:6" x14ac:dyDescent="0.5">
      <c r="F1110" s="658">
        <v>0</v>
      </c>
    </row>
    <row r="1111" spans="6:6" x14ac:dyDescent="0.5">
      <c r="F1111" s="658">
        <v>0</v>
      </c>
    </row>
    <row r="1112" spans="6:6" x14ac:dyDescent="0.5">
      <c r="F1112" s="658">
        <v>0</v>
      </c>
    </row>
    <row r="1113" spans="6:6" x14ac:dyDescent="0.5">
      <c r="F1113" s="658">
        <v>0</v>
      </c>
    </row>
    <row r="1114" spans="6:6" x14ac:dyDescent="0.5">
      <c r="F1114" s="658">
        <v>0</v>
      </c>
    </row>
    <row r="1115" spans="6:6" x14ac:dyDescent="0.5">
      <c r="F1115" s="658">
        <v>0</v>
      </c>
    </row>
    <row r="1116" spans="6:6" x14ac:dyDescent="0.5">
      <c r="F1116" s="658">
        <v>0</v>
      </c>
    </row>
    <row r="1117" spans="6:6" x14ac:dyDescent="0.5">
      <c r="F1117" s="658">
        <v>0</v>
      </c>
    </row>
    <row r="1118" spans="6:6" x14ac:dyDescent="0.5">
      <c r="F1118" s="658">
        <v>0</v>
      </c>
    </row>
    <row r="1119" spans="6:6" x14ac:dyDescent="0.5">
      <c r="F1119" s="658">
        <v>0</v>
      </c>
    </row>
    <row r="1120" spans="6:6" x14ac:dyDescent="0.5">
      <c r="F1120" s="658">
        <v>0</v>
      </c>
    </row>
    <row r="1121" spans="6:6" x14ac:dyDescent="0.5">
      <c r="F1121" s="658">
        <v>0</v>
      </c>
    </row>
    <row r="1122" spans="6:6" x14ac:dyDescent="0.5">
      <c r="F1122" s="658">
        <v>0</v>
      </c>
    </row>
    <row r="1123" spans="6:6" x14ac:dyDescent="0.5">
      <c r="F1123" s="658">
        <v>0</v>
      </c>
    </row>
    <row r="1124" spans="6:6" x14ac:dyDescent="0.5">
      <c r="F1124" s="658">
        <v>0</v>
      </c>
    </row>
    <row r="1125" spans="6:6" x14ac:dyDescent="0.5">
      <c r="F1125" s="658">
        <v>0</v>
      </c>
    </row>
    <row r="1126" spans="6:6" x14ac:dyDescent="0.5">
      <c r="F1126" s="658">
        <v>0</v>
      </c>
    </row>
    <row r="1127" spans="6:6" x14ac:dyDescent="0.5">
      <c r="F1127" s="658">
        <v>0</v>
      </c>
    </row>
    <row r="1128" spans="6:6" x14ac:dyDescent="0.5">
      <c r="F1128" s="658">
        <v>0</v>
      </c>
    </row>
    <row r="1129" spans="6:6" x14ac:dyDescent="0.5">
      <c r="F1129" s="658">
        <v>0</v>
      </c>
    </row>
    <row r="1130" spans="6:6" x14ac:dyDescent="0.5">
      <c r="F1130" s="658">
        <v>0</v>
      </c>
    </row>
    <row r="1131" spans="6:6" x14ac:dyDescent="0.5">
      <c r="F1131" s="658">
        <v>0</v>
      </c>
    </row>
    <row r="1132" spans="6:6" x14ac:dyDescent="0.5">
      <c r="F1132" s="658">
        <v>0</v>
      </c>
    </row>
    <row r="1133" spans="6:6" x14ac:dyDescent="0.5">
      <c r="F1133" s="658">
        <v>0</v>
      </c>
    </row>
    <row r="1134" spans="6:6" x14ac:dyDescent="0.5">
      <c r="F1134" s="658">
        <v>0</v>
      </c>
    </row>
    <row r="1135" spans="6:6" x14ac:dyDescent="0.5">
      <c r="F1135" s="658">
        <v>0</v>
      </c>
    </row>
    <row r="1136" spans="6:6" x14ac:dyDescent="0.5">
      <c r="F1136" s="658">
        <v>0</v>
      </c>
    </row>
    <row r="1137" spans="6:6" x14ac:dyDescent="0.5">
      <c r="F1137" s="658">
        <v>0</v>
      </c>
    </row>
    <row r="1138" spans="6:6" x14ac:dyDescent="0.5">
      <c r="F1138" s="658">
        <v>0</v>
      </c>
    </row>
    <row r="1139" spans="6:6" x14ac:dyDescent="0.5">
      <c r="F1139" s="658">
        <v>0</v>
      </c>
    </row>
    <row r="1140" spans="6:6" x14ac:dyDescent="0.5">
      <c r="F1140" s="658">
        <v>0</v>
      </c>
    </row>
    <row r="1141" spans="6:6" x14ac:dyDescent="0.5">
      <c r="F1141" s="658">
        <v>0</v>
      </c>
    </row>
    <row r="1142" spans="6:6" x14ac:dyDescent="0.5">
      <c r="F1142" s="658">
        <v>0</v>
      </c>
    </row>
    <row r="1143" spans="6:6" x14ac:dyDescent="0.5">
      <c r="F1143" s="658">
        <v>0</v>
      </c>
    </row>
    <row r="1144" spans="6:6" x14ac:dyDescent="0.5">
      <c r="F1144" s="658">
        <v>0</v>
      </c>
    </row>
    <row r="1145" spans="6:6" x14ac:dyDescent="0.5">
      <c r="F1145" s="658">
        <v>0</v>
      </c>
    </row>
    <row r="1146" spans="6:6" x14ac:dyDescent="0.5">
      <c r="F1146" s="658">
        <v>0</v>
      </c>
    </row>
    <row r="1147" spans="6:6" x14ac:dyDescent="0.5">
      <c r="F1147" s="658">
        <v>0</v>
      </c>
    </row>
    <row r="1148" spans="6:6" x14ac:dyDescent="0.5">
      <c r="F1148" s="658">
        <v>0</v>
      </c>
    </row>
    <row r="1149" spans="6:6" x14ac:dyDescent="0.5">
      <c r="F1149" s="658">
        <v>0</v>
      </c>
    </row>
    <row r="1150" spans="6:6" x14ac:dyDescent="0.5">
      <c r="F1150" s="658">
        <v>0</v>
      </c>
    </row>
    <row r="1151" spans="6:6" x14ac:dyDescent="0.5">
      <c r="F1151" s="658">
        <v>0</v>
      </c>
    </row>
    <row r="1152" spans="6:6" x14ac:dyDescent="0.5">
      <c r="F1152" s="658">
        <v>0</v>
      </c>
    </row>
    <row r="1153" spans="6:6" x14ac:dyDescent="0.5">
      <c r="F1153" s="658">
        <v>0</v>
      </c>
    </row>
    <row r="1154" spans="6:6" x14ac:dyDescent="0.5">
      <c r="F1154" s="658">
        <v>0</v>
      </c>
    </row>
    <row r="1155" spans="6:6" x14ac:dyDescent="0.5">
      <c r="F1155" s="658">
        <v>0</v>
      </c>
    </row>
    <row r="1156" spans="6:6" x14ac:dyDescent="0.5">
      <c r="F1156" s="658">
        <v>0</v>
      </c>
    </row>
    <row r="1157" spans="6:6" x14ac:dyDescent="0.5">
      <c r="F1157" s="658">
        <v>0</v>
      </c>
    </row>
    <row r="1158" spans="6:6" x14ac:dyDescent="0.5">
      <c r="F1158" s="658">
        <v>0</v>
      </c>
    </row>
    <row r="1159" spans="6:6" x14ac:dyDescent="0.5">
      <c r="F1159" s="658">
        <v>0</v>
      </c>
    </row>
    <row r="1160" spans="6:6" x14ac:dyDescent="0.5">
      <c r="F1160" s="658">
        <v>0</v>
      </c>
    </row>
    <row r="1161" spans="6:6" x14ac:dyDescent="0.5">
      <c r="F1161" s="658">
        <v>0</v>
      </c>
    </row>
    <row r="1162" spans="6:6" x14ac:dyDescent="0.5">
      <c r="F1162" s="658">
        <v>0</v>
      </c>
    </row>
    <row r="1163" spans="6:6" x14ac:dyDescent="0.5">
      <c r="F1163" s="658">
        <v>0</v>
      </c>
    </row>
    <row r="1164" spans="6:6" x14ac:dyDescent="0.5">
      <c r="F1164" s="658">
        <v>0</v>
      </c>
    </row>
    <row r="1165" spans="6:6" x14ac:dyDescent="0.5">
      <c r="F1165" s="658">
        <v>0</v>
      </c>
    </row>
    <row r="1166" spans="6:6" x14ac:dyDescent="0.5">
      <c r="F1166" s="658">
        <v>0</v>
      </c>
    </row>
    <row r="1167" spans="6:6" x14ac:dyDescent="0.5">
      <c r="F1167" s="658">
        <v>0</v>
      </c>
    </row>
    <row r="1168" spans="6:6" x14ac:dyDescent="0.5">
      <c r="F1168" s="658">
        <v>0</v>
      </c>
    </row>
    <row r="1169" spans="6:6" x14ac:dyDescent="0.5">
      <c r="F1169" s="658">
        <v>0</v>
      </c>
    </row>
    <row r="1170" spans="6:6" x14ac:dyDescent="0.5">
      <c r="F1170" s="658">
        <v>0</v>
      </c>
    </row>
    <row r="1171" spans="6:6" x14ac:dyDescent="0.5">
      <c r="F1171" s="658">
        <v>0</v>
      </c>
    </row>
    <row r="1172" spans="6:6" x14ac:dyDescent="0.5">
      <c r="F1172" s="658">
        <v>0</v>
      </c>
    </row>
    <row r="1173" spans="6:6" x14ac:dyDescent="0.5">
      <c r="F1173" s="658">
        <v>0</v>
      </c>
    </row>
    <row r="1174" spans="6:6" x14ac:dyDescent="0.5">
      <c r="F1174" s="658">
        <v>0</v>
      </c>
    </row>
    <row r="1175" spans="6:6" x14ac:dyDescent="0.5">
      <c r="F1175" s="658">
        <v>0</v>
      </c>
    </row>
    <row r="1176" spans="6:6" x14ac:dyDescent="0.5">
      <c r="F1176" s="658">
        <v>0</v>
      </c>
    </row>
    <row r="1177" spans="6:6" x14ac:dyDescent="0.5">
      <c r="F1177" s="658">
        <v>0</v>
      </c>
    </row>
    <row r="1178" spans="6:6" x14ac:dyDescent="0.5">
      <c r="F1178" s="658">
        <v>0</v>
      </c>
    </row>
    <row r="1179" spans="6:6" x14ac:dyDescent="0.5">
      <c r="F1179" s="658">
        <v>0</v>
      </c>
    </row>
    <row r="1180" spans="6:6" x14ac:dyDescent="0.5">
      <c r="F1180" s="658">
        <v>0</v>
      </c>
    </row>
    <row r="1181" spans="6:6" x14ac:dyDescent="0.5">
      <c r="F1181" s="658">
        <v>0</v>
      </c>
    </row>
    <row r="1182" spans="6:6" x14ac:dyDescent="0.5">
      <c r="F1182" s="658">
        <v>0</v>
      </c>
    </row>
    <row r="1183" spans="6:6" x14ac:dyDescent="0.5">
      <c r="F1183" s="658">
        <v>0</v>
      </c>
    </row>
    <row r="1184" spans="6:6" x14ac:dyDescent="0.5">
      <c r="F1184" s="658">
        <v>0</v>
      </c>
    </row>
    <row r="1185" spans="6:6" x14ac:dyDescent="0.5">
      <c r="F1185" s="658">
        <v>0</v>
      </c>
    </row>
    <row r="1186" spans="6:6" x14ac:dyDescent="0.5">
      <c r="F1186" s="658">
        <v>0</v>
      </c>
    </row>
    <row r="1187" spans="6:6" x14ac:dyDescent="0.5">
      <c r="F1187" s="658">
        <v>0</v>
      </c>
    </row>
    <row r="1188" spans="6:6" x14ac:dyDescent="0.5">
      <c r="F1188" s="658">
        <v>0</v>
      </c>
    </row>
    <row r="1189" spans="6:6" x14ac:dyDescent="0.5">
      <c r="F1189" s="658">
        <v>0</v>
      </c>
    </row>
    <row r="1190" spans="6:6" x14ac:dyDescent="0.5">
      <c r="F1190" s="658">
        <v>0</v>
      </c>
    </row>
    <row r="1191" spans="6:6" x14ac:dyDescent="0.5">
      <c r="F1191" s="658">
        <v>0</v>
      </c>
    </row>
    <row r="1192" spans="6:6" x14ac:dyDescent="0.5">
      <c r="F1192" s="658">
        <v>0</v>
      </c>
    </row>
    <row r="1193" spans="6:6" x14ac:dyDescent="0.5">
      <c r="F1193" s="658">
        <v>0</v>
      </c>
    </row>
    <row r="1194" spans="6:6" x14ac:dyDescent="0.5">
      <c r="F1194" s="658">
        <v>0</v>
      </c>
    </row>
    <row r="1195" spans="6:6" x14ac:dyDescent="0.5">
      <c r="F1195" s="658">
        <v>0</v>
      </c>
    </row>
    <row r="1196" spans="6:6" x14ac:dyDescent="0.5">
      <c r="F1196" s="658">
        <v>0</v>
      </c>
    </row>
    <row r="1197" spans="6:6" x14ac:dyDescent="0.5">
      <c r="F1197" s="658">
        <v>0</v>
      </c>
    </row>
    <row r="1198" spans="6:6" x14ac:dyDescent="0.5">
      <c r="F1198" s="658">
        <v>0</v>
      </c>
    </row>
    <row r="1199" spans="6:6" x14ac:dyDescent="0.5">
      <c r="F1199" s="658">
        <v>0</v>
      </c>
    </row>
    <row r="1200" spans="6:6" x14ac:dyDescent="0.5">
      <c r="F1200" s="658">
        <v>0</v>
      </c>
    </row>
    <row r="1201" spans="6:6" x14ac:dyDescent="0.5">
      <c r="F1201" s="658">
        <v>0</v>
      </c>
    </row>
    <row r="1202" spans="6:6" x14ac:dyDescent="0.5">
      <c r="F1202" s="658">
        <v>0</v>
      </c>
    </row>
    <row r="1203" spans="6:6" x14ac:dyDescent="0.5">
      <c r="F1203" s="658">
        <v>0</v>
      </c>
    </row>
    <row r="1204" spans="6:6" x14ac:dyDescent="0.5">
      <c r="F1204" s="658">
        <v>0</v>
      </c>
    </row>
    <row r="1205" spans="6:6" x14ac:dyDescent="0.5">
      <c r="F1205" s="658">
        <v>0</v>
      </c>
    </row>
    <row r="1206" spans="6:6" x14ac:dyDescent="0.5">
      <c r="F1206" s="658">
        <v>0</v>
      </c>
    </row>
    <row r="1207" spans="6:6" x14ac:dyDescent="0.5">
      <c r="F1207" s="658">
        <v>0</v>
      </c>
    </row>
    <row r="1208" spans="6:6" x14ac:dyDescent="0.5">
      <c r="F1208" s="658">
        <v>0</v>
      </c>
    </row>
    <row r="1209" spans="6:6" x14ac:dyDescent="0.5">
      <c r="F1209" s="658">
        <v>0</v>
      </c>
    </row>
    <row r="1210" spans="6:6" x14ac:dyDescent="0.5">
      <c r="F1210" s="658">
        <v>0</v>
      </c>
    </row>
    <row r="1211" spans="6:6" x14ac:dyDescent="0.5">
      <c r="F1211" s="658">
        <v>0</v>
      </c>
    </row>
    <row r="1212" spans="6:6" x14ac:dyDescent="0.5">
      <c r="F1212" s="658">
        <v>0</v>
      </c>
    </row>
    <row r="1213" spans="6:6" x14ac:dyDescent="0.5">
      <c r="F1213" s="658">
        <v>0</v>
      </c>
    </row>
    <row r="1214" spans="6:6" x14ac:dyDescent="0.5">
      <c r="F1214" s="658">
        <v>0</v>
      </c>
    </row>
    <row r="1215" spans="6:6" x14ac:dyDescent="0.5">
      <c r="F1215" s="658">
        <v>0</v>
      </c>
    </row>
    <row r="1216" spans="6:6" x14ac:dyDescent="0.5">
      <c r="F1216" s="658">
        <v>0</v>
      </c>
    </row>
    <row r="1217" spans="6:6" x14ac:dyDescent="0.5">
      <c r="F1217" s="658">
        <v>0</v>
      </c>
    </row>
    <row r="1218" spans="6:6" x14ac:dyDescent="0.5">
      <c r="F1218" s="658">
        <v>0</v>
      </c>
    </row>
    <row r="1219" spans="6:6" x14ac:dyDescent="0.5">
      <c r="F1219" s="658">
        <v>0</v>
      </c>
    </row>
    <row r="1220" spans="6:6" x14ac:dyDescent="0.5">
      <c r="F1220" s="658">
        <v>0</v>
      </c>
    </row>
    <row r="1221" spans="6:6" x14ac:dyDescent="0.5">
      <c r="F1221" s="658">
        <v>0</v>
      </c>
    </row>
    <row r="1222" spans="6:6" x14ac:dyDescent="0.5">
      <c r="F1222" s="658">
        <v>0</v>
      </c>
    </row>
    <row r="1223" spans="6:6" x14ac:dyDescent="0.5">
      <c r="F1223" s="658">
        <v>0</v>
      </c>
    </row>
    <row r="1224" spans="6:6" x14ac:dyDescent="0.5">
      <c r="F1224" s="658">
        <v>0</v>
      </c>
    </row>
    <row r="1225" spans="6:6" x14ac:dyDescent="0.5">
      <c r="F1225" s="658">
        <v>0</v>
      </c>
    </row>
    <row r="1226" spans="6:6" x14ac:dyDescent="0.5">
      <c r="F1226" s="658">
        <v>0</v>
      </c>
    </row>
    <row r="1227" spans="6:6" x14ac:dyDescent="0.5">
      <c r="F1227" s="658">
        <v>0</v>
      </c>
    </row>
    <row r="1228" spans="6:6" x14ac:dyDescent="0.5">
      <c r="F1228" s="658">
        <v>0</v>
      </c>
    </row>
    <row r="1229" spans="6:6" x14ac:dyDescent="0.5">
      <c r="F1229" s="658">
        <v>0</v>
      </c>
    </row>
    <row r="1230" spans="6:6" x14ac:dyDescent="0.5">
      <c r="F1230" s="658">
        <v>0</v>
      </c>
    </row>
    <row r="1231" spans="6:6" x14ac:dyDescent="0.5">
      <c r="F1231" s="658">
        <v>0</v>
      </c>
    </row>
    <row r="1232" spans="6:6" x14ac:dyDescent="0.5">
      <c r="F1232" s="658">
        <v>0</v>
      </c>
    </row>
    <row r="1233" spans="6:6" x14ac:dyDescent="0.5">
      <c r="F1233" s="658">
        <v>0</v>
      </c>
    </row>
    <row r="1234" spans="6:6" x14ac:dyDescent="0.5">
      <c r="F1234" s="658">
        <v>0</v>
      </c>
    </row>
    <row r="1235" spans="6:6" x14ac:dyDescent="0.5">
      <c r="F1235" s="658">
        <v>0</v>
      </c>
    </row>
    <row r="1236" spans="6:6" x14ac:dyDescent="0.5">
      <c r="F1236" s="658">
        <v>0</v>
      </c>
    </row>
    <row r="1237" spans="6:6" x14ac:dyDescent="0.5">
      <c r="F1237" s="658">
        <v>0</v>
      </c>
    </row>
    <row r="1238" spans="6:6" x14ac:dyDescent="0.5">
      <c r="F1238" s="658">
        <v>0</v>
      </c>
    </row>
    <row r="1239" spans="6:6" x14ac:dyDescent="0.5">
      <c r="F1239" s="658">
        <v>0</v>
      </c>
    </row>
    <row r="1240" spans="6:6" x14ac:dyDescent="0.5">
      <c r="F1240" s="658">
        <v>0</v>
      </c>
    </row>
    <row r="1241" spans="6:6" x14ac:dyDescent="0.5">
      <c r="F1241" s="658">
        <v>0</v>
      </c>
    </row>
    <row r="1242" spans="6:6" x14ac:dyDescent="0.5">
      <c r="F1242" s="658">
        <v>0</v>
      </c>
    </row>
    <row r="1243" spans="6:6" x14ac:dyDescent="0.5">
      <c r="F1243" s="658">
        <v>0</v>
      </c>
    </row>
    <row r="1244" spans="6:6" x14ac:dyDescent="0.5">
      <c r="F1244" s="658">
        <v>0</v>
      </c>
    </row>
    <row r="1245" spans="6:6" x14ac:dyDescent="0.5">
      <c r="F1245" s="658">
        <v>0</v>
      </c>
    </row>
    <row r="1246" spans="6:6" x14ac:dyDescent="0.5">
      <c r="F1246" s="658">
        <v>0</v>
      </c>
    </row>
    <row r="1247" spans="6:6" x14ac:dyDescent="0.5">
      <c r="F1247" s="658">
        <v>0</v>
      </c>
    </row>
    <row r="1248" spans="6:6" x14ac:dyDescent="0.5">
      <c r="F1248" s="658">
        <v>0</v>
      </c>
    </row>
    <row r="1249" spans="6:6" x14ac:dyDescent="0.5">
      <c r="F1249" s="658">
        <v>0</v>
      </c>
    </row>
    <row r="1250" spans="6:6" x14ac:dyDescent="0.5">
      <c r="F1250" s="658">
        <v>0</v>
      </c>
    </row>
    <row r="1251" spans="6:6" x14ac:dyDescent="0.5">
      <c r="F1251" s="658">
        <v>0</v>
      </c>
    </row>
    <row r="1252" spans="6:6" x14ac:dyDescent="0.5">
      <c r="F1252" s="658">
        <v>0</v>
      </c>
    </row>
    <row r="1253" spans="6:6" x14ac:dyDescent="0.5">
      <c r="F1253" s="658">
        <v>0</v>
      </c>
    </row>
    <row r="1254" spans="6:6" x14ac:dyDescent="0.5">
      <c r="F1254" s="658">
        <v>0</v>
      </c>
    </row>
    <row r="1255" spans="6:6" x14ac:dyDescent="0.5">
      <c r="F1255" s="658">
        <v>0</v>
      </c>
    </row>
    <row r="1256" spans="6:6" x14ac:dyDescent="0.5">
      <c r="F1256" s="658">
        <v>0</v>
      </c>
    </row>
    <row r="1257" spans="6:6" x14ac:dyDescent="0.5">
      <c r="F1257" s="658">
        <v>0</v>
      </c>
    </row>
    <row r="1258" spans="6:6" x14ac:dyDescent="0.5">
      <c r="F1258" s="658">
        <v>0</v>
      </c>
    </row>
    <row r="1259" spans="6:6" x14ac:dyDescent="0.5">
      <c r="F1259" s="658">
        <v>0</v>
      </c>
    </row>
    <row r="1260" spans="6:6" x14ac:dyDescent="0.5">
      <c r="F1260" s="658">
        <v>0</v>
      </c>
    </row>
    <row r="1261" spans="6:6" x14ac:dyDescent="0.5">
      <c r="F1261" s="658">
        <v>0</v>
      </c>
    </row>
    <row r="1262" spans="6:6" x14ac:dyDescent="0.5">
      <c r="F1262" s="658">
        <v>0</v>
      </c>
    </row>
    <row r="1263" spans="6:6" x14ac:dyDescent="0.5">
      <c r="F1263" s="658">
        <v>0</v>
      </c>
    </row>
    <row r="1264" spans="6:6" x14ac:dyDescent="0.5">
      <c r="F1264" s="658">
        <v>0</v>
      </c>
    </row>
    <row r="1265" spans="6:6" x14ac:dyDescent="0.5">
      <c r="F1265" s="658">
        <v>0</v>
      </c>
    </row>
    <row r="1266" spans="6:6" x14ac:dyDescent="0.5">
      <c r="F1266" s="658">
        <v>0</v>
      </c>
    </row>
    <row r="1267" spans="6:6" x14ac:dyDescent="0.5">
      <c r="F1267" s="658">
        <v>0</v>
      </c>
    </row>
    <row r="1268" spans="6:6" x14ac:dyDescent="0.5">
      <c r="F1268" s="658">
        <v>0</v>
      </c>
    </row>
    <row r="1269" spans="6:6" x14ac:dyDescent="0.5">
      <c r="F1269" s="658">
        <v>0</v>
      </c>
    </row>
    <row r="1270" spans="6:6" x14ac:dyDescent="0.5">
      <c r="F1270" s="658">
        <v>0</v>
      </c>
    </row>
    <row r="1271" spans="6:6" x14ac:dyDescent="0.5">
      <c r="F1271" s="658">
        <v>0</v>
      </c>
    </row>
    <row r="1272" spans="6:6" x14ac:dyDescent="0.5">
      <c r="F1272" s="658">
        <v>0</v>
      </c>
    </row>
    <row r="1273" spans="6:6" x14ac:dyDescent="0.5">
      <c r="F1273" s="658">
        <v>0</v>
      </c>
    </row>
    <row r="1274" spans="6:6" x14ac:dyDescent="0.5">
      <c r="F1274" s="658">
        <v>0</v>
      </c>
    </row>
    <row r="1275" spans="6:6" x14ac:dyDescent="0.5">
      <c r="F1275" s="658">
        <v>0</v>
      </c>
    </row>
    <row r="1276" spans="6:6" x14ac:dyDescent="0.5">
      <c r="F1276" s="658">
        <v>0</v>
      </c>
    </row>
    <row r="1277" spans="6:6" x14ac:dyDescent="0.5">
      <c r="F1277" s="658">
        <v>0</v>
      </c>
    </row>
    <row r="1278" spans="6:6" x14ac:dyDescent="0.5">
      <c r="F1278" s="658">
        <v>0</v>
      </c>
    </row>
    <row r="1279" spans="6:6" x14ac:dyDescent="0.5">
      <c r="F1279" s="658">
        <v>0</v>
      </c>
    </row>
    <row r="1280" spans="6:6" x14ac:dyDescent="0.5">
      <c r="F1280" s="658">
        <v>0</v>
      </c>
    </row>
    <row r="1281" spans="6:6" x14ac:dyDescent="0.5">
      <c r="F1281" s="658">
        <v>0</v>
      </c>
    </row>
    <row r="1282" spans="6:6" x14ac:dyDescent="0.5">
      <c r="F1282" s="658">
        <v>0</v>
      </c>
    </row>
    <row r="1283" spans="6:6" x14ac:dyDescent="0.5">
      <c r="F1283" s="658">
        <v>0</v>
      </c>
    </row>
    <row r="1284" spans="6:6" x14ac:dyDescent="0.5">
      <c r="F1284" s="658">
        <v>0</v>
      </c>
    </row>
    <row r="1285" spans="6:6" x14ac:dyDescent="0.5">
      <c r="F1285" s="658">
        <v>0</v>
      </c>
    </row>
    <row r="1286" spans="6:6" x14ac:dyDescent="0.5">
      <c r="F1286" s="658">
        <v>0</v>
      </c>
    </row>
    <row r="1287" spans="6:6" x14ac:dyDescent="0.5">
      <c r="F1287" s="658">
        <v>0</v>
      </c>
    </row>
    <row r="1288" spans="6:6" x14ac:dyDescent="0.5">
      <c r="F1288" s="658">
        <v>0</v>
      </c>
    </row>
    <row r="1289" spans="6:6" x14ac:dyDescent="0.5">
      <c r="F1289" s="658">
        <v>0</v>
      </c>
    </row>
    <row r="1290" spans="6:6" x14ac:dyDescent="0.5">
      <c r="F1290" s="658">
        <v>0</v>
      </c>
    </row>
    <row r="1291" spans="6:6" x14ac:dyDescent="0.5">
      <c r="F1291" s="658">
        <v>0</v>
      </c>
    </row>
    <row r="1292" spans="6:6" x14ac:dyDescent="0.5">
      <c r="F1292" s="658">
        <v>0</v>
      </c>
    </row>
    <row r="1293" spans="6:6" x14ac:dyDescent="0.5">
      <c r="F1293" s="658">
        <v>0</v>
      </c>
    </row>
    <row r="1294" spans="6:6" x14ac:dyDescent="0.5">
      <c r="F1294" s="658">
        <v>0</v>
      </c>
    </row>
    <row r="1295" spans="6:6" x14ac:dyDescent="0.5">
      <c r="F1295" s="658">
        <v>0</v>
      </c>
    </row>
    <row r="1296" spans="6:6" x14ac:dyDescent="0.5">
      <c r="F1296" s="658">
        <v>0</v>
      </c>
    </row>
    <row r="1297" spans="6:6" x14ac:dyDescent="0.5">
      <c r="F1297" s="658">
        <v>0</v>
      </c>
    </row>
    <row r="1298" spans="6:6" x14ac:dyDescent="0.5">
      <c r="F1298" s="658">
        <v>0</v>
      </c>
    </row>
    <row r="1299" spans="6:6" x14ac:dyDescent="0.5">
      <c r="F1299" s="658">
        <v>0</v>
      </c>
    </row>
    <row r="1300" spans="6:6" x14ac:dyDescent="0.5">
      <c r="F1300" s="658">
        <v>0</v>
      </c>
    </row>
    <row r="1301" spans="6:6" x14ac:dyDescent="0.5">
      <c r="F1301" s="658">
        <v>0</v>
      </c>
    </row>
    <row r="1302" spans="6:6" x14ac:dyDescent="0.5">
      <c r="F1302" s="658">
        <v>0</v>
      </c>
    </row>
    <row r="1303" spans="6:6" x14ac:dyDescent="0.5">
      <c r="F1303" s="658">
        <v>0</v>
      </c>
    </row>
    <row r="1304" spans="6:6" x14ac:dyDescent="0.5">
      <c r="F1304" s="658">
        <v>0</v>
      </c>
    </row>
    <row r="1305" spans="6:6" x14ac:dyDescent="0.5">
      <c r="F1305" s="658">
        <v>0</v>
      </c>
    </row>
    <row r="1306" spans="6:6" x14ac:dyDescent="0.5">
      <c r="F1306" s="658">
        <v>0</v>
      </c>
    </row>
    <row r="1307" spans="6:6" x14ac:dyDescent="0.5">
      <c r="F1307" s="658">
        <v>0</v>
      </c>
    </row>
    <row r="1308" spans="6:6" x14ac:dyDescent="0.5">
      <c r="F1308" s="658">
        <v>0</v>
      </c>
    </row>
    <row r="1309" spans="6:6" x14ac:dyDescent="0.5">
      <c r="F1309" s="658">
        <v>0</v>
      </c>
    </row>
    <row r="1310" spans="6:6" x14ac:dyDescent="0.5">
      <c r="F1310" s="658">
        <v>0</v>
      </c>
    </row>
    <row r="1311" spans="6:6" x14ac:dyDescent="0.5">
      <c r="F1311" s="658">
        <v>0</v>
      </c>
    </row>
    <row r="1312" spans="6:6" x14ac:dyDescent="0.5">
      <c r="F1312" s="658">
        <v>0</v>
      </c>
    </row>
    <row r="1313" spans="6:6" x14ac:dyDescent="0.5">
      <c r="F1313" s="658">
        <v>0</v>
      </c>
    </row>
    <row r="1314" spans="6:6" x14ac:dyDescent="0.5">
      <c r="F1314" s="658">
        <v>0</v>
      </c>
    </row>
    <row r="1315" spans="6:6" x14ac:dyDescent="0.5">
      <c r="F1315" s="658">
        <v>0</v>
      </c>
    </row>
    <row r="1316" spans="6:6" x14ac:dyDescent="0.5">
      <c r="F1316" s="658">
        <v>0</v>
      </c>
    </row>
    <row r="1317" spans="6:6" x14ac:dyDescent="0.5">
      <c r="F1317" s="658">
        <v>0</v>
      </c>
    </row>
    <row r="1318" spans="6:6" x14ac:dyDescent="0.5">
      <c r="F1318" s="658">
        <v>0</v>
      </c>
    </row>
    <row r="1319" spans="6:6" x14ac:dyDescent="0.5">
      <c r="F1319" s="658">
        <v>0</v>
      </c>
    </row>
    <row r="1320" spans="6:6" x14ac:dyDescent="0.5">
      <c r="F1320" s="658">
        <v>0</v>
      </c>
    </row>
    <row r="1321" spans="6:6" x14ac:dyDescent="0.5">
      <c r="F1321" s="658">
        <v>0</v>
      </c>
    </row>
    <row r="1322" spans="6:6" x14ac:dyDescent="0.5">
      <c r="F1322" s="658">
        <v>0</v>
      </c>
    </row>
    <row r="1323" spans="6:6" x14ac:dyDescent="0.5">
      <c r="F1323" s="658">
        <v>0</v>
      </c>
    </row>
    <row r="1324" spans="6:6" x14ac:dyDescent="0.5">
      <c r="F1324" s="658">
        <v>0</v>
      </c>
    </row>
    <row r="1325" spans="6:6" x14ac:dyDescent="0.5">
      <c r="F1325" s="658">
        <v>0</v>
      </c>
    </row>
    <row r="1326" spans="6:6" x14ac:dyDescent="0.5">
      <c r="F1326" s="658">
        <v>0</v>
      </c>
    </row>
    <row r="1327" spans="6:6" x14ac:dyDescent="0.5">
      <c r="F1327" s="658">
        <v>0</v>
      </c>
    </row>
    <row r="1328" spans="6:6" x14ac:dyDescent="0.5">
      <c r="F1328" s="658">
        <v>0</v>
      </c>
    </row>
    <row r="1329" spans="6:6" x14ac:dyDescent="0.5">
      <c r="F1329" s="658">
        <v>0</v>
      </c>
    </row>
    <row r="1330" spans="6:6" x14ac:dyDescent="0.5">
      <c r="F1330" s="658">
        <v>0</v>
      </c>
    </row>
    <row r="1331" spans="6:6" x14ac:dyDescent="0.5">
      <c r="F1331" s="658">
        <v>0</v>
      </c>
    </row>
    <row r="1332" spans="6:6" x14ac:dyDescent="0.5">
      <c r="F1332" s="658">
        <v>0</v>
      </c>
    </row>
    <row r="1333" spans="6:6" x14ac:dyDescent="0.5">
      <c r="F1333" s="658">
        <v>0</v>
      </c>
    </row>
    <row r="1334" spans="6:6" x14ac:dyDescent="0.5">
      <c r="F1334" s="658">
        <v>0</v>
      </c>
    </row>
    <row r="1335" spans="6:6" x14ac:dyDescent="0.5">
      <c r="F1335" s="658">
        <v>0</v>
      </c>
    </row>
    <row r="1336" spans="6:6" x14ac:dyDescent="0.5">
      <c r="F1336" s="658">
        <v>0</v>
      </c>
    </row>
    <row r="1337" spans="6:6" x14ac:dyDescent="0.5">
      <c r="F1337" s="658">
        <v>0</v>
      </c>
    </row>
    <row r="1338" spans="6:6" x14ac:dyDescent="0.5">
      <c r="F1338" s="658">
        <v>0</v>
      </c>
    </row>
    <row r="1339" spans="6:6" x14ac:dyDescent="0.5">
      <c r="F1339" s="658">
        <v>0</v>
      </c>
    </row>
    <row r="1340" spans="6:6" x14ac:dyDescent="0.5">
      <c r="F1340" s="658">
        <v>0</v>
      </c>
    </row>
    <row r="1341" spans="6:6" x14ac:dyDescent="0.5">
      <c r="F1341" s="658">
        <v>0</v>
      </c>
    </row>
    <row r="1342" spans="6:6" x14ac:dyDescent="0.5">
      <c r="F1342" s="658">
        <v>0</v>
      </c>
    </row>
    <row r="1343" spans="6:6" x14ac:dyDescent="0.5">
      <c r="F1343" s="658">
        <v>0</v>
      </c>
    </row>
    <row r="1344" spans="6:6" x14ac:dyDescent="0.5">
      <c r="F1344" s="658">
        <v>0</v>
      </c>
    </row>
    <row r="1345" spans="6:6" x14ac:dyDescent="0.5">
      <c r="F1345" s="658">
        <v>0</v>
      </c>
    </row>
    <row r="1346" spans="6:6" x14ac:dyDescent="0.5">
      <c r="F1346" s="658">
        <v>0</v>
      </c>
    </row>
    <row r="1347" spans="6:6" x14ac:dyDescent="0.5">
      <c r="F1347" s="658">
        <v>0</v>
      </c>
    </row>
    <row r="1348" spans="6:6" x14ac:dyDescent="0.5">
      <c r="F1348" s="658">
        <v>0</v>
      </c>
    </row>
    <row r="1349" spans="6:6" x14ac:dyDescent="0.5">
      <c r="F1349" s="658">
        <v>0</v>
      </c>
    </row>
    <row r="1350" spans="6:6" x14ac:dyDescent="0.5">
      <c r="F1350" s="658">
        <v>0</v>
      </c>
    </row>
    <row r="1351" spans="6:6" x14ac:dyDescent="0.5">
      <c r="F1351" s="658">
        <v>0</v>
      </c>
    </row>
    <row r="1352" spans="6:6" x14ac:dyDescent="0.5">
      <c r="F1352" s="658">
        <v>0</v>
      </c>
    </row>
    <row r="1353" spans="6:6" x14ac:dyDescent="0.5">
      <c r="F1353" s="658">
        <v>0</v>
      </c>
    </row>
    <row r="1354" spans="6:6" x14ac:dyDescent="0.5">
      <c r="F1354" s="658">
        <v>0</v>
      </c>
    </row>
    <row r="1355" spans="6:6" x14ac:dyDescent="0.5">
      <c r="F1355" s="658">
        <v>0</v>
      </c>
    </row>
    <row r="1356" spans="6:6" x14ac:dyDescent="0.5">
      <c r="F1356" s="658">
        <v>0</v>
      </c>
    </row>
    <row r="1357" spans="6:6" x14ac:dyDescent="0.5">
      <c r="F1357" s="658">
        <v>0</v>
      </c>
    </row>
    <row r="1358" spans="6:6" x14ac:dyDescent="0.5">
      <c r="F1358" s="658">
        <v>0</v>
      </c>
    </row>
    <row r="1359" spans="6:6" x14ac:dyDescent="0.5">
      <c r="F1359" s="658">
        <v>0</v>
      </c>
    </row>
    <row r="1360" spans="6:6" x14ac:dyDescent="0.5">
      <c r="F1360" s="658">
        <v>0</v>
      </c>
    </row>
    <row r="1361" spans="6:6" x14ac:dyDescent="0.5">
      <c r="F1361" s="658">
        <v>0</v>
      </c>
    </row>
    <row r="1362" spans="6:6" x14ac:dyDescent="0.5">
      <c r="F1362" s="658">
        <v>0</v>
      </c>
    </row>
    <row r="1363" spans="6:6" x14ac:dyDescent="0.5">
      <c r="F1363" s="658">
        <v>0</v>
      </c>
    </row>
    <row r="1364" spans="6:6" x14ac:dyDescent="0.5">
      <c r="F1364" s="658">
        <v>0</v>
      </c>
    </row>
    <row r="1365" spans="6:6" x14ac:dyDescent="0.5">
      <c r="F1365" s="658">
        <v>0</v>
      </c>
    </row>
    <row r="1366" spans="6:6" x14ac:dyDescent="0.5">
      <c r="F1366" s="658">
        <v>0</v>
      </c>
    </row>
    <row r="1367" spans="6:6" x14ac:dyDescent="0.5">
      <c r="F1367" s="658">
        <v>0</v>
      </c>
    </row>
    <row r="1368" spans="6:6" x14ac:dyDescent="0.5">
      <c r="F1368" s="658">
        <v>0</v>
      </c>
    </row>
    <row r="1369" spans="6:6" x14ac:dyDescent="0.5">
      <c r="F1369" s="658">
        <v>0</v>
      </c>
    </row>
    <row r="1370" spans="6:6" x14ac:dyDescent="0.5">
      <c r="F1370" s="658">
        <v>0</v>
      </c>
    </row>
    <row r="1371" spans="6:6" x14ac:dyDescent="0.5">
      <c r="F1371" s="658">
        <v>0</v>
      </c>
    </row>
    <row r="1372" spans="6:6" x14ac:dyDescent="0.5">
      <c r="F1372" s="658">
        <v>0</v>
      </c>
    </row>
    <row r="1373" spans="6:6" x14ac:dyDescent="0.5">
      <c r="F1373" s="658">
        <v>0</v>
      </c>
    </row>
    <row r="1374" spans="6:6" x14ac:dyDescent="0.5">
      <c r="F1374" s="658">
        <v>0</v>
      </c>
    </row>
    <row r="1375" spans="6:6" x14ac:dyDescent="0.5">
      <c r="F1375" s="658">
        <v>0</v>
      </c>
    </row>
    <row r="1376" spans="6:6" x14ac:dyDescent="0.5">
      <c r="F1376" s="658">
        <v>0</v>
      </c>
    </row>
    <row r="1377" spans="6:6" x14ac:dyDescent="0.5">
      <c r="F1377" s="658">
        <v>0</v>
      </c>
    </row>
    <row r="1378" spans="6:6" x14ac:dyDescent="0.5">
      <c r="F1378" s="658">
        <v>0</v>
      </c>
    </row>
    <row r="1379" spans="6:6" x14ac:dyDescent="0.5">
      <c r="F1379" s="658">
        <v>0</v>
      </c>
    </row>
    <row r="1380" spans="6:6" x14ac:dyDescent="0.5">
      <c r="F1380" s="658">
        <v>0</v>
      </c>
    </row>
    <row r="1381" spans="6:6" x14ac:dyDescent="0.5">
      <c r="F1381" s="658">
        <v>0</v>
      </c>
    </row>
    <row r="1382" spans="6:6" x14ac:dyDescent="0.5">
      <c r="F1382" s="658">
        <v>0</v>
      </c>
    </row>
    <row r="1383" spans="6:6" x14ac:dyDescent="0.5">
      <c r="F1383" s="658">
        <v>0</v>
      </c>
    </row>
    <row r="1384" spans="6:6" x14ac:dyDescent="0.5">
      <c r="F1384" s="658">
        <v>0</v>
      </c>
    </row>
    <row r="1385" spans="6:6" x14ac:dyDescent="0.5">
      <c r="F1385" s="658">
        <v>0</v>
      </c>
    </row>
    <row r="1386" spans="6:6" x14ac:dyDescent="0.5">
      <c r="F1386" s="658">
        <v>0</v>
      </c>
    </row>
    <row r="1387" spans="6:6" x14ac:dyDescent="0.5">
      <c r="F1387" s="658">
        <v>0</v>
      </c>
    </row>
    <row r="1388" spans="6:6" x14ac:dyDescent="0.5">
      <c r="F1388" s="658">
        <v>0</v>
      </c>
    </row>
    <row r="1389" spans="6:6" x14ac:dyDescent="0.5">
      <c r="F1389" s="658">
        <v>0</v>
      </c>
    </row>
    <row r="1390" spans="6:6" x14ac:dyDescent="0.5">
      <c r="F1390" s="658">
        <v>0</v>
      </c>
    </row>
    <row r="1391" spans="6:6" x14ac:dyDescent="0.5">
      <c r="F1391" s="658">
        <v>0</v>
      </c>
    </row>
    <row r="1392" spans="6:6" x14ac:dyDescent="0.5">
      <c r="F1392" s="658">
        <v>0</v>
      </c>
    </row>
    <row r="1393" spans="6:6" x14ac:dyDescent="0.5">
      <c r="F1393" s="658">
        <v>0</v>
      </c>
    </row>
    <row r="1394" spans="6:6" x14ac:dyDescent="0.5">
      <c r="F1394" s="658">
        <v>0</v>
      </c>
    </row>
    <row r="1395" spans="6:6" x14ac:dyDescent="0.5">
      <c r="F1395" s="658">
        <v>0</v>
      </c>
    </row>
    <row r="1396" spans="6:6" x14ac:dyDescent="0.5">
      <c r="F1396" s="658">
        <v>0</v>
      </c>
    </row>
    <row r="1397" spans="6:6" x14ac:dyDescent="0.5">
      <c r="F1397" s="658">
        <v>0</v>
      </c>
    </row>
    <row r="1398" spans="6:6" x14ac:dyDescent="0.5">
      <c r="F1398" s="658">
        <v>0</v>
      </c>
    </row>
    <row r="1399" spans="6:6" x14ac:dyDescent="0.5">
      <c r="F1399" s="658">
        <v>0</v>
      </c>
    </row>
    <row r="1400" spans="6:6" x14ac:dyDescent="0.5">
      <c r="F1400" s="658">
        <v>0</v>
      </c>
    </row>
    <row r="1401" spans="6:6" x14ac:dyDescent="0.5">
      <c r="F1401" s="658">
        <v>0</v>
      </c>
    </row>
    <row r="1402" spans="6:6" x14ac:dyDescent="0.5">
      <c r="F1402" s="658">
        <v>0</v>
      </c>
    </row>
    <row r="1403" spans="6:6" x14ac:dyDescent="0.5">
      <c r="F1403" s="658">
        <v>0</v>
      </c>
    </row>
    <row r="1404" spans="6:6" x14ac:dyDescent="0.5">
      <c r="F1404" s="658">
        <v>0</v>
      </c>
    </row>
    <row r="1405" spans="6:6" x14ac:dyDescent="0.5">
      <c r="F1405" s="658">
        <v>0</v>
      </c>
    </row>
    <row r="1406" spans="6:6" x14ac:dyDescent="0.5">
      <c r="F1406" s="658">
        <v>0</v>
      </c>
    </row>
    <row r="1407" spans="6:6" x14ac:dyDescent="0.5">
      <c r="F1407" s="658">
        <v>0</v>
      </c>
    </row>
    <row r="1408" spans="6:6" x14ac:dyDescent="0.5">
      <c r="F1408" s="658">
        <v>0</v>
      </c>
    </row>
    <row r="1409" spans="6:6" x14ac:dyDescent="0.5">
      <c r="F1409" s="658">
        <v>0</v>
      </c>
    </row>
    <row r="1410" spans="6:6" x14ac:dyDescent="0.5">
      <c r="F1410" s="658">
        <v>0</v>
      </c>
    </row>
    <row r="1411" spans="6:6" x14ac:dyDescent="0.5">
      <c r="F1411" s="658">
        <v>0</v>
      </c>
    </row>
    <row r="1412" spans="6:6" x14ac:dyDescent="0.5">
      <c r="F1412" s="658">
        <v>0</v>
      </c>
    </row>
    <row r="1413" spans="6:6" x14ac:dyDescent="0.5">
      <c r="F1413" s="658">
        <v>0</v>
      </c>
    </row>
    <row r="1414" spans="6:6" x14ac:dyDescent="0.5">
      <c r="F1414" s="658">
        <v>0</v>
      </c>
    </row>
    <row r="1415" spans="6:6" x14ac:dyDescent="0.5">
      <c r="F1415" s="658">
        <v>0</v>
      </c>
    </row>
    <row r="1416" spans="6:6" x14ac:dyDescent="0.5">
      <c r="F1416" s="658">
        <v>0</v>
      </c>
    </row>
    <row r="1417" spans="6:6" x14ac:dyDescent="0.5">
      <c r="F1417" s="658">
        <v>0</v>
      </c>
    </row>
    <row r="1418" spans="6:6" x14ac:dyDescent="0.5">
      <c r="F1418" s="658">
        <v>0</v>
      </c>
    </row>
    <row r="1419" spans="6:6" x14ac:dyDescent="0.5">
      <c r="F1419" s="658">
        <v>0</v>
      </c>
    </row>
    <row r="1420" spans="6:6" x14ac:dyDescent="0.5">
      <c r="F1420" s="658">
        <v>0</v>
      </c>
    </row>
    <row r="1421" spans="6:6" x14ac:dyDescent="0.5">
      <c r="F1421" s="658">
        <v>0</v>
      </c>
    </row>
    <row r="1422" spans="6:6" x14ac:dyDescent="0.5">
      <c r="F1422" s="658">
        <v>0</v>
      </c>
    </row>
    <row r="1423" spans="6:6" x14ac:dyDescent="0.5">
      <c r="F1423" s="658">
        <v>0</v>
      </c>
    </row>
    <row r="1424" spans="6:6" x14ac:dyDescent="0.5">
      <c r="F1424" s="658">
        <v>0</v>
      </c>
    </row>
    <row r="1425" spans="6:6" x14ac:dyDescent="0.5">
      <c r="F1425" s="658">
        <v>0</v>
      </c>
    </row>
    <row r="1426" spans="6:6" x14ac:dyDescent="0.5">
      <c r="F1426" s="658">
        <v>0</v>
      </c>
    </row>
    <row r="1427" spans="6:6" x14ac:dyDescent="0.5">
      <c r="F1427" s="658">
        <v>0</v>
      </c>
    </row>
    <row r="1428" spans="6:6" x14ac:dyDescent="0.5">
      <c r="F1428" s="658">
        <v>0</v>
      </c>
    </row>
    <row r="1429" spans="6:6" x14ac:dyDescent="0.5">
      <c r="F1429" s="658">
        <v>0</v>
      </c>
    </row>
    <row r="1430" spans="6:6" x14ac:dyDescent="0.5">
      <c r="F1430" s="658">
        <v>0</v>
      </c>
    </row>
    <row r="1431" spans="6:6" x14ac:dyDescent="0.5">
      <c r="F1431" s="658">
        <v>0</v>
      </c>
    </row>
    <row r="1432" spans="6:6" x14ac:dyDescent="0.5">
      <c r="F1432" s="658">
        <v>0</v>
      </c>
    </row>
    <row r="1433" spans="6:6" x14ac:dyDescent="0.5">
      <c r="F1433" s="658">
        <v>0</v>
      </c>
    </row>
    <row r="1434" spans="6:6" x14ac:dyDescent="0.5">
      <c r="F1434" s="658">
        <v>0</v>
      </c>
    </row>
    <row r="1435" spans="6:6" x14ac:dyDescent="0.5">
      <c r="F1435" s="658">
        <v>0</v>
      </c>
    </row>
    <row r="1436" spans="6:6" x14ac:dyDescent="0.5">
      <c r="F1436" s="658">
        <v>0</v>
      </c>
    </row>
    <row r="1437" spans="6:6" x14ac:dyDescent="0.5">
      <c r="F1437" s="658">
        <v>0</v>
      </c>
    </row>
    <row r="1438" spans="6:6" x14ac:dyDescent="0.5">
      <c r="F1438" s="658">
        <v>0</v>
      </c>
    </row>
    <row r="1439" spans="6:6" x14ac:dyDescent="0.5">
      <c r="F1439" s="658">
        <v>0</v>
      </c>
    </row>
    <row r="1440" spans="6:6" x14ac:dyDescent="0.5">
      <c r="F1440" s="658">
        <v>0</v>
      </c>
    </row>
    <row r="1441" spans="6:6" x14ac:dyDescent="0.5">
      <c r="F1441" s="658">
        <v>0</v>
      </c>
    </row>
    <row r="1442" spans="6:6" x14ac:dyDescent="0.5">
      <c r="F1442" s="658">
        <v>0</v>
      </c>
    </row>
    <row r="1443" spans="6:6" x14ac:dyDescent="0.5">
      <c r="F1443" s="658">
        <v>0</v>
      </c>
    </row>
    <row r="1444" spans="6:6" x14ac:dyDescent="0.5">
      <c r="F1444" s="658">
        <v>0</v>
      </c>
    </row>
    <row r="1445" spans="6:6" x14ac:dyDescent="0.5">
      <c r="F1445" s="658">
        <v>0</v>
      </c>
    </row>
    <row r="1446" spans="6:6" x14ac:dyDescent="0.5">
      <c r="F1446" s="658">
        <v>0</v>
      </c>
    </row>
    <row r="1447" spans="6:6" x14ac:dyDescent="0.5">
      <c r="F1447" s="658">
        <v>0</v>
      </c>
    </row>
    <row r="1448" spans="6:6" x14ac:dyDescent="0.5">
      <c r="F1448" s="658">
        <v>0</v>
      </c>
    </row>
    <row r="1449" spans="6:6" x14ac:dyDescent="0.5">
      <c r="F1449" s="658">
        <v>0</v>
      </c>
    </row>
    <row r="1450" spans="6:6" x14ac:dyDescent="0.5">
      <c r="F1450" s="658">
        <v>0</v>
      </c>
    </row>
    <row r="1451" spans="6:6" x14ac:dyDescent="0.5">
      <c r="F1451" s="658">
        <v>0</v>
      </c>
    </row>
    <row r="1452" spans="6:6" x14ac:dyDescent="0.5">
      <c r="F1452" s="658">
        <v>0</v>
      </c>
    </row>
    <row r="1453" spans="6:6" x14ac:dyDescent="0.5">
      <c r="F1453" s="658">
        <v>0</v>
      </c>
    </row>
    <row r="1454" spans="6:6" x14ac:dyDescent="0.5">
      <c r="F1454" s="658">
        <v>0</v>
      </c>
    </row>
    <row r="1455" spans="6:6" x14ac:dyDescent="0.5">
      <c r="F1455" s="658">
        <v>0</v>
      </c>
    </row>
    <row r="1456" spans="6:6" x14ac:dyDescent="0.5">
      <c r="F1456" s="658">
        <v>0</v>
      </c>
    </row>
    <row r="1457" spans="6:6" x14ac:dyDescent="0.5">
      <c r="F1457" s="658">
        <v>0</v>
      </c>
    </row>
    <row r="1458" spans="6:6" x14ac:dyDescent="0.5">
      <c r="F1458" s="658">
        <v>0</v>
      </c>
    </row>
    <row r="1459" spans="6:6" x14ac:dyDescent="0.5">
      <c r="F1459" s="658">
        <v>0</v>
      </c>
    </row>
    <row r="1460" spans="6:6" x14ac:dyDescent="0.5">
      <c r="F1460" s="658">
        <v>0</v>
      </c>
    </row>
    <row r="1461" spans="6:6" x14ac:dyDescent="0.5">
      <c r="F1461" s="658">
        <v>0</v>
      </c>
    </row>
    <row r="1462" spans="6:6" x14ac:dyDescent="0.5">
      <c r="F1462" s="658">
        <v>0</v>
      </c>
    </row>
    <row r="1463" spans="6:6" x14ac:dyDescent="0.5">
      <c r="F1463" s="658">
        <v>0</v>
      </c>
    </row>
    <row r="1464" spans="6:6" x14ac:dyDescent="0.5">
      <c r="F1464" s="658">
        <v>0</v>
      </c>
    </row>
    <row r="1465" spans="6:6" x14ac:dyDescent="0.5">
      <c r="F1465" s="658">
        <v>0</v>
      </c>
    </row>
    <row r="1466" spans="6:6" x14ac:dyDescent="0.5">
      <c r="F1466" s="658">
        <v>0</v>
      </c>
    </row>
    <row r="1467" spans="6:6" x14ac:dyDescent="0.5">
      <c r="F1467" s="658">
        <v>0</v>
      </c>
    </row>
    <row r="1468" spans="6:6" x14ac:dyDescent="0.5">
      <c r="F1468" s="658">
        <v>0</v>
      </c>
    </row>
    <row r="1469" spans="6:6" x14ac:dyDescent="0.5">
      <c r="F1469" s="658">
        <v>0</v>
      </c>
    </row>
    <row r="1470" spans="6:6" x14ac:dyDescent="0.5">
      <c r="F1470" s="658">
        <v>0</v>
      </c>
    </row>
    <row r="1471" spans="6:6" x14ac:dyDescent="0.5">
      <c r="F1471" s="658">
        <v>0</v>
      </c>
    </row>
    <row r="1472" spans="6:6" x14ac:dyDescent="0.5">
      <c r="F1472" s="658">
        <v>0</v>
      </c>
    </row>
    <row r="1473" spans="6:6" x14ac:dyDescent="0.5">
      <c r="F1473" s="658">
        <v>0</v>
      </c>
    </row>
    <row r="1474" spans="6:6" x14ac:dyDescent="0.5">
      <c r="F1474" s="658">
        <v>0</v>
      </c>
    </row>
    <row r="1475" spans="6:6" x14ac:dyDescent="0.5">
      <c r="F1475" s="658">
        <v>0</v>
      </c>
    </row>
    <row r="1476" spans="6:6" x14ac:dyDescent="0.5">
      <c r="F1476" s="658">
        <v>0</v>
      </c>
    </row>
    <row r="1477" spans="6:6" x14ac:dyDescent="0.5">
      <c r="F1477" s="658">
        <v>0</v>
      </c>
    </row>
    <row r="1478" spans="6:6" x14ac:dyDescent="0.5">
      <c r="F1478" s="658">
        <v>0</v>
      </c>
    </row>
    <row r="1479" spans="6:6" x14ac:dyDescent="0.5">
      <c r="F1479" s="658">
        <v>0</v>
      </c>
    </row>
    <row r="1480" spans="6:6" x14ac:dyDescent="0.5">
      <c r="F1480" s="658">
        <v>0</v>
      </c>
    </row>
    <row r="1481" spans="6:6" x14ac:dyDescent="0.5">
      <c r="F1481" s="658">
        <v>0</v>
      </c>
    </row>
    <row r="1482" spans="6:6" x14ac:dyDescent="0.5">
      <c r="F1482" s="658">
        <v>0</v>
      </c>
    </row>
    <row r="1483" spans="6:6" x14ac:dyDescent="0.5">
      <c r="F1483" s="658">
        <v>0</v>
      </c>
    </row>
    <row r="1484" spans="6:6" x14ac:dyDescent="0.5">
      <c r="F1484" s="658">
        <v>0</v>
      </c>
    </row>
    <row r="1485" spans="6:6" x14ac:dyDescent="0.5">
      <c r="F1485" s="658">
        <v>0</v>
      </c>
    </row>
    <row r="1486" spans="6:6" x14ac:dyDescent="0.5">
      <c r="F1486" s="658">
        <v>0</v>
      </c>
    </row>
    <row r="1487" spans="6:6" x14ac:dyDescent="0.5">
      <c r="F1487" s="658">
        <v>0</v>
      </c>
    </row>
    <row r="1488" spans="6:6" x14ac:dyDescent="0.5">
      <c r="F1488" s="658">
        <v>0</v>
      </c>
    </row>
    <row r="1489" spans="6:6" x14ac:dyDescent="0.5">
      <c r="F1489" s="658">
        <v>0</v>
      </c>
    </row>
    <row r="1490" spans="6:6" x14ac:dyDescent="0.5">
      <c r="F1490" s="658">
        <v>0</v>
      </c>
    </row>
    <row r="1491" spans="6:6" x14ac:dyDescent="0.5">
      <c r="F1491" s="658">
        <v>0</v>
      </c>
    </row>
    <row r="1492" spans="6:6" x14ac:dyDescent="0.5">
      <c r="F1492" s="658">
        <v>0</v>
      </c>
    </row>
    <row r="1493" spans="6:6" x14ac:dyDescent="0.5">
      <c r="F1493" s="658">
        <v>0</v>
      </c>
    </row>
    <row r="1494" spans="6:6" x14ac:dyDescent="0.5">
      <c r="F1494" s="658">
        <v>0</v>
      </c>
    </row>
    <row r="1495" spans="6:6" x14ac:dyDescent="0.5">
      <c r="F1495" s="658">
        <v>0</v>
      </c>
    </row>
    <row r="1496" spans="6:6" x14ac:dyDescent="0.5">
      <c r="F1496" s="658">
        <v>0</v>
      </c>
    </row>
    <row r="1497" spans="6:6" x14ac:dyDescent="0.5">
      <c r="F1497" s="658">
        <v>0</v>
      </c>
    </row>
    <row r="1498" spans="6:6" x14ac:dyDescent="0.5">
      <c r="F1498" s="658">
        <v>0</v>
      </c>
    </row>
    <row r="1499" spans="6:6" x14ac:dyDescent="0.5">
      <c r="F1499" s="658">
        <v>0</v>
      </c>
    </row>
    <row r="1500" spans="6:6" x14ac:dyDescent="0.5">
      <c r="F1500" s="658">
        <v>0</v>
      </c>
    </row>
    <row r="1501" spans="6:6" x14ac:dyDescent="0.5">
      <c r="F1501" s="658">
        <v>0</v>
      </c>
    </row>
    <row r="1502" spans="6:6" x14ac:dyDescent="0.5">
      <c r="F1502" s="658">
        <v>0</v>
      </c>
    </row>
    <row r="1503" spans="6:6" x14ac:dyDescent="0.5">
      <c r="F1503" s="658">
        <v>0</v>
      </c>
    </row>
    <row r="1504" spans="6:6" x14ac:dyDescent="0.5">
      <c r="F1504" s="658">
        <v>0</v>
      </c>
    </row>
    <row r="1505" spans="6:6" x14ac:dyDescent="0.5">
      <c r="F1505" s="658">
        <v>0</v>
      </c>
    </row>
    <row r="1506" spans="6:6" x14ac:dyDescent="0.5">
      <c r="F1506" s="658">
        <v>0</v>
      </c>
    </row>
    <row r="1507" spans="6:6" x14ac:dyDescent="0.5">
      <c r="F1507" s="658">
        <v>0</v>
      </c>
    </row>
    <row r="1508" spans="6:6" x14ac:dyDescent="0.5">
      <c r="F1508" s="658">
        <v>0</v>
      </c>
    </row>
    <row r="1509" spans="6:6" x14ac:dyDescent="0.5">
      <c r="F1509" s="658">
        <v>0</v>
      </c>
    </row>
    <row r="1510" spans="6:6" x14ac:dyDescent="0.5">
      <c r="F1510" s="658">
        <v>0</v>
      </c>
    </row>
    <row r="1511" spans="6:6" x14ac:dyDescent="0.5">
      <c r="F1511" s="658">
        <v>0</v>
      </c>
    </row>
    <row r="1512" spans="6:6" x14ac:dyDescent="0.5">
      <c r="F1512" s="658">
        <v>0</v>
      </c>
    </row>
    <row r="1513" spans="6:6" x14ac:dyDescent="0.5">
      <c r="F1513" s="658">
        <v>0</v>
      </c>
    </row>
    <row r="1514" spans="6:6" x14ac:dyDescent="0.5">
      <c r="F1514" s="658">
        <v>0</v>
      </c>
    </row>
    <row r="1515" spans="6:6" x14ac:dyDescent="0.5">
      <c r="F1515" s="658">
        <v>0</v>
      </c>
    </row>
    <row r="1516" spans="6:6" x14ac:dyDescent="0.5">
      <c r="F1516" s="658">
        <v>0</v>
      </c>
    </row>
    <row r="1517" spans="6:6" x14ac:dyDescent="0.5">
      <c r="F1517" s="658">
        <v>0</v>
      </c>
    </row>
    <row r="1518" spans="6:6" x14ac:dyDescent="0.5">
      <c r="F1518" s="658">
        <v>0</v>
      </c>
    </row>
    <row r="1519" spans="6:6" x14ac:dyDescent="0.5">
      <c r="F1519" s="658">
        <v>0</v>
      </c>
    </row>
    <row r="1520" spans="6:6" x14ac:dyDescent="0.5">
      <c r="F1520" s="658">
        <v>0</v>
      </c>
    </row>
    <row r="1521" spans="6:6" x14ac:dyDescent="0.5">
      <c r="F1521" s="658">
        <v>0</v>
      </c>
    </row>
    <row r="1522" spans="6:6" x14ac:dyDescent="0.5">
      <c r="F1522" s="658">
        <v>0</v>
      </c>
    </row>
    <row r="1523" spans="6:6" x14ac:dyDescent="0.5">
      <c r="F1523" s="658">
        <v>0</v>
      </c>
    </row>
    <row r="1524" spans="6:6" x14ac:dyDescent="0.5">
      <c r="F1524" s="658">
        <v>0</v>
      </c>
    </row>
    <row r="1525" spans="6:6" x14ac:dyDescent="0.5">
      <c r="F1525" s="658">
        <v>0</v>
      </c>
    </row>
    <row r="1526" spans="6:6" x14ac:dyDescent="0.5">
      <c r="F1526" s="658">
        <v>0</v>
      </c>
    </row>
    <row r="1527" spans="6:6" x14ac:dyDescent="0.5">
      <c r="F1527" s="658">
        <v>0</v>
      </c>
    </row>
    <row r="1528" spans="6:6" x14ac:dyDescent="0.5">
      <c r="F1528" s="658">
        <v>0</v>
      </c>
    </row>
    <row r="1529" spans="6:6" x14ac:dyDescent="0.5">
      <c r="F1529" s="658">
        <v>0</v>
      </c>
    </row>
    <row r="1530" spans="6:6" x14ac:dyDescent="0.5">
      <c r="F1530" s="658">
        <v>0</v>
      </c>
    </row>
    <row r="1531" spans="6:6" x14ac:dyDescent="0.5">
      <c r="F1531" s="658">
        <v>0</v>
      </c>
    </row>
    <row r="1532" spans="6:6" x14ac:dyDescent="0.5">
      <c r="F1532" s="658">
        <v>0</v>
      </c>
    </row>
    <row r="1533" spans="6:6" x14ac:dyDescent="0.5">
      <c r="F1533" s="658">
        <v>0</v>
      </c>
    </row>
    <row r="1534" spans="6:6" x14ac:dyDescent="0.5">
      <c r="F1534" s="658">
        <v>0</v>
      </c>
    </row>
    <row r="1535" spans="6:6" x14ac:dyDescent="0.5">
      <c r="F1535" s="658">
        <v>0</v>
      </c>
    </row>
    <row r="1536" spans="6:6" x14ac:dyDescent="0.5">
      <c r="F1536" s="658">
        <v>0</v>
      </c>
    </row>
    <row r="1537" spans="6:6" x14ac:dyDescent="0.5">
      <c r="F1537" s="658">
        <v>0</v>
      </c>
    </row>
    <row r="1538" spans="6:6" x14ac:dyDescent="0.5">
      <c r="F1538" s="658">
        <v>0</v>
      </c>
    </row>
    <row r="1539" spans="6:6" x14ac:dyDescent="0.5">
      <c r="F1539" s="658">
        <v>0</v>
      </c>
    </row>
    <row r="1540" spans="6:6" x14ac:dyDescent="0.5">
      <c r="F1540" s="658">
        <v>0</v>
      </c>
    </row>
    <row r="1541" spans="6:6" x14ac:dyDescent="0.5">
      <c r="F1541" s="658">
        <v>0</v>
      </c>
    </row>
    <row r="1542" spans="6:6" x14ac:dyDescent="0.5">
      <c r="F1542" s="658">
        <v>0</v>
      </c>
    </row>
    <row r="1543" spans="6:6" x14ac:dyDescent="0.5">
      <c r="F1543" s="658">
        <v>0</v>
      </c>
    </row>
    <row r="1544" spans="6:6" x14ac:dyDescent="0.5">
      <c r="F1544" s="658">
        <v>0</v>
      </c>
    </row>
    <row r="1545" spans="6:6" x14ac:dyDescent="0.5">
      <c r="F1545" s="658">
        <v>0</v>
      </c>
    </row>
    <row r="1546" spans="6:6" x14ac:dyDescent="0.5">
      <c r="F1546" s="658">
        <v>0</v>
      </c>
    </row>
    <row r="1547" spans="6:6" x14ac:dyDescent="0.5">
      <c r="F1547" s="658">
        <v>0</v>
      </c>
    </row>
    <row r="1548" spans="6:6" x14ac:dyDescent="0.5">
      <c r="F1548" s="658">
        <v>0</v>
      </c>
    </row>
    <row r="1549" spans="6:6" x14ac:dyDescent="0.5">
      <c r="F1549" s="658">
        <v>0</v>
      </c>
    </row>
    <row r="1550" spans="6:6" x14ac:dyDescent="0.5">
      <c r="F1550" s="658">
        <v>0</v>
      </c>
    </row>
    <row r="1551" spans="6:6" x14ac:dyDescent="0.5">
      <c r="F1551" s="658">
        <v>0</v>
      </c>
    </row>
    <row r="1552" spans="6:6" x14ac:dyDescent="0.5">
      <c r="F1552" s="658">
        <v>0</v>
      </c>
    </row>
    <row r="1553" spans="6:6" x14ac:dyDescent="0.5">
      <c r="F1553" s="658">
        <v>0</v>
      </c>
    </row>
    <row r="1554" spans="6:6" x14ac:dyDescent="0.5">
      <c r="F1554" s="658">
        <v>0</v>
      </c>
    </row>
    <row r="1555" spans="6:6" x14ac:dyDescent="0.5">
      <c r="F1555" s="658">
        <v>0</v>
      </c>
    </row>
    <row r="1556" spans="6:6" x14ac:dyDescent="0.5">
      <c r="F1556" s="658">
        <v>0</v>
      </c>
    </row>
    <row r="1557" spans="6:6" x14ac:dyDescent="0.5">
      <c r="F1557" s="658">
        <v>0</v>
      </c>
    </row>
    <row r="1558" spans="6:6" x14ac:dyDescent="0.5">
      <c r="F1558" s="658">
        <v>0</v>
      </c>
    </row>
    <row r="1559" spans="6:6" x14ac:dyDescent="0.5">
      <c r="F1559" s="658">
        <v>0</v>
      </c>
    </row>
    <row r="1560" spans="6:6" x14ac:dyDescent="0.5">
      <c r="F1560" s="658">
        <v>0</v>
      </c>
    </row>
    <row r="1561" spans="6:6" x14ac:dyDescent="0.5">
      <c r="F1561" s="658">
        <v>0</v>
      </c>
    </row>
    <row r="1562" spans="6:6" x14ac:dyDescent="0.5">
      <c r="F1562" s="658">
        <v>0</v>
      </c>
    </row>
    <row r="1563" spans="6:6" x14ac:dyDescent="0.5">
      <c r="F1563" s="658">
        <v>0</v>
      </c>
    </row>
    <row r="1564" spans="6:6" x14ac:dyDescent="0.5">
      <c r="F1564" s="658">
        <v>0</v>
      </c>
    </row>
    <row r="1565" spans="6:6" x14ac:dyDescent="0.5">
      <c r="F1565" s="658">
        <v>0</v>
      </c>
    </row>
    <row r="1566" spans="6:6" x14ac:dyDescent="0.5">
      <c r="F1566" s="658">
        <v>0</v>
      </c>
    </row>
    <row r="1567" spans="6:6" x14ac:dyDescent="0.5">
      <c r="F1567" s="658">
        <v>0</v>
      </c>
    </row>
    <row r="1568" spans="6:6" x14ac:dyDescent="0.5">
      <c r="F1568" s="658">
        <v>0</v>
      </c>
    </row>
    <row r="1569" spans="6:6" x14ac:dyDescent="0.5">
      <c r="F1569" s="658">
        <v>0</v>
      </c>
    </row>
    <row r="1570" spans="6:6" x14ac:dyDescent="0.5">
      <c r="F1570" s="658">
        <v>0</v>
      </c>
    </row>
    <row r="1571" spans="6:6" x14ac:dyDescent="0.5">
      <c r="F1571" s="658">
        <v>0</v>
      </c>
    </row>
    <row r="1572" spans="6:6" x14ac:dyDescent="0.5">
      <c r="F1572" s="658">
        <v>0</v>
      </c>
    </row>
    <row r="1573" spans="6:6" x14ac:dyDescent="0.5">
      <c r="F1573" s="658">
        <v>0</v>
      </c>
    </row>
    <row r="1574" spans="6:6" x14ac:dyDescent="0.5">
      <c r="F1574" s="658">
        <v>0</v>
      </c>
    </row>
    <row r="1575" spans="6:6" x14ac:dyDescent="0.5">
      <c r="F1575" s="658">
        <v>0</v>
      </c>
    </row>
    <row r="1576" spans="6:6" x14ac:dyDescent="0.5">
      <c r="F1576" s="658">
        <v>0</v>
      </c>
    </row>
    <row r="1577" spans="6:6" x14ac:dyDescent="0.5">
      <c r="F1577" s="658">
        <v>0</v>
      </c>
    </row>
    <row r="1578" spans="6:6" x14ac:dyDescent="0.5">
      <c r="F1578" s="658">
        <v>0</v>
      </c>
    </row>
    <row r="1579" spans="6:6" x14ac:dyDescent="0.5">
      <c r="F1579" s="658">
        <v>0</v>
      </c>
    </row>
    <row r="1580" spans="6:6" x14ac:dyDescent="0.5">
      <c r="F1580" s="658">
        <v>0</v>
      </c>
    </row>
    <row r="1581" spans="6:6" x14ac:dyDescent="0.5">
      <c r="F1581" s="658">
        <v>0</v>
      </c>
    </row>
    <row r="1582" spans="6:6" x14ac:dyDescent="0.5">
      <c r="F1582" s="658">
        <v>0</v>
      </c>
    </row>
    <row r="1583" spans="6:6" x14ac:dyDescent="0.5">
      <c r="F1583" s="658">
        <v>0</v>
      </c>
    </row>
    <row r="1584" spans="6:6" x14ac:dyDescent="0.5">
      <c r="F1584" s="658">
        <v>0</v>
      </c>
    </row>
    <row r="1585" spans="6:6" x14ac:dyDescent="0.5">
      <c r="F1585" s="658">
        <v>0</v>
      </c>
    </row>
    <row r="1586" spans="6:6" x14ac:dyDescent="0.5">
      <c r="F1586" s="658">
        <v>0</v>
      </c>
    </row>
    <row r="1587" spans="6:6" x14ac:dyDescent="0.5">
      <c r="F1587" s="658">
        <v>0</v>
      </c>
    </row>
    <row r="1588" spans="6:6" x14ac:dyDescent="0.5">
      <c r="F1588" s="658">
        <v>0</v>
      </c>
    </row>
    <row r="1589" spans="6:6" x14ac:dyDescent="0.5">
      <c r="F1589" s="658">
        <v>0</v>
      </c>
    </row>
    <row r="1590" spans="6:6" x14ac:dyDescent="0.5">
      <c r="F1590" s="658">
        <v>0</v>
      </c>
    </row>
    <row r="1591" spans="6:6" x14ac:dyDescent="0.5">
      <c r="F1591" s="658">
        <v>0</v>
      </c>
    </row>
    <row r="1592" spans="6:6" x14ac:dyDescent="0.5">
      <c r="F1592" s="658">
        <v>0</v>
      </c>
    </row>
    <row r="1593" spans="6:6" x14ac:dyDescent="0.5">
      <c r="F1593" s="658">
        <v>0</v>
      </c>
    </row>
    <row r="1594" spans="6:6" x14ac:dyDescent="0.5">
      <c r="F1594" s="658">
        <v>0</v>
      </c>
    </row>
    <row r="1595" spans="6:6" x14ac:dyDescent="0.5">
      <c r="F1595" s="658">
        <v>0</v>
      </c>
    </row>
    <row r="1596" spans="6:6" x14ac:dyDescent="0.5">
      <c r="F1596" s="658">
        <v>0</v>
      </c>
    </row>
    <row r="1597" spans="6:6" x14ac:dyDescent="0.5">
      <c r="F1597" s="658">
        <v>0</v>
      </c>
    </row>
    <row r="1598" spans="6:6" x14ac:dyDescent="0.5">
      <c r="F1598" s="658">
        <v>0</v>
      </c>
    </row>
    <row r="1599" spans="6:6" x14ac:dyDescent="0.5">
      <c r="F1599" s="658">
        <v>0</v>
      </c>
    </row>
    <row r="1600" spans="6:6" x14ac:dyDescent="0.5">
      <c r="F1600" s="658">
        <v>0</v>
      </c>
    </row>
    <row r="1601" spans="6:6" x14ac:dyDescent="0.5">
      <c r="F1601" s="658">
        <v>0</v>
      </c>
    </row>
    <row r="1602" spans="6:6" x14ac:dyDescent="0.5">
      <c r="F1602" s="658">
        <v>0</v>
      </c>
    </row>
    <row r="1603" spans="6:6" x14ac:dyDescent="0.5">
      <c r="F1603" s="658">
        <v>0</v>
      </c>
    </row>
    <row r="1604" spans="6:6" x14ac:dyDescent="0.5">
      <c r="F1604" s="658">
        <v>0</v>
      </c>
    </row>
    <row r="1605" spans="6:6" x14ac:dyDescent="0.5">
      <c r="F1605" s="658">
        <v>0</v>
      </c>
    </row>
    <row r="1606" spans="6:6" x14ac:dyDescent="0.5">
      <c r="F1606" s="658">
        <v>0</v>
      </c>
    </row>
    <row r="1607" spans="6:6" x14ac:dyDescent="0.5">
      <c r="F1607" s="658">
        <v>0</v>
      </c>
    </row>
    <row r="1608" spans="6:6" x14ac:dyDescent="0.5">
      <c r="F1608" s="658">
        <v>0</v>
      </c>
    </row>
    <row r="1609" spans="6:6" x14ac:dyDescent="0.5">
      <c r="F1609" s="658">
        <v>0</v>
      </c>
    </row>
    <row r="1610" spans="6:6" x14ac:dyDescent="0.5">
      <c r="F1610" s="658">
        <v>0</v>
      </c>
    </row>
    <row r="1611" spans="6:6" x14ac:dyDescent="0.5">
      <c r="F1611" s="658">
        <v>0</v>
      </c>
    </row>
    <row r="1612" spans="6:6" x14ac:dyDescent="0.5">
      <c r="F1612" s="658">
        <v>0</v>
      </c>
    </row>
    <row r="1613" spans="6:6" x14ac:dyDescent="0.5">
      <c r="F1613" s="658">
        <v>0</v>
      </c>
    </row>
    <row r="1614" spans="6:6" x14ac:dyDescent="0.5">
      <c r="F1614" s="658">
        <v>0</v>
      </c>
    </row>
    <row r="1615" spans="6:6" x14ac:dyDescent="0.5">
      <c r="F1615" s="658">
        <v>0</v>
      </c>
    </row>
    <row r="1616" spans="6:6" x14ac:dyDescent="0.5">
      <c r="F1616" s="658">
        <v>0</v>
      </c>
    </row>
    <row r="1617" spans="6:6" x14ac:dyDescent="0.5">
      <c r="F1617" s="658">
        <v>0</v>
      </c>
    </row>
    <row r="1618" spans="6:6" x14ac:dyDescent="0.5">
      <c r="F1618" s="658">
        <v>0</v>
      </c>
    </row>
    <row r="1619" spans="6:6" x14ac:dyDescent="0.5">
      <c r="F1619" s="658">
        <v>0</v>
      </c>
    </row>
    <row r="1620" spans="6:6" x14ac:dyDescent="0.5">
      <c r="F1620" s="658">
        <v>0</v>
      </c>
    </row>
    <row r="1621" spans="6:6" x14ac:dyDescent="0.5">
      <c r="F1621" s="658">
        <v>0</v>
      </c>
    </row>
    <row r="1622" spans="6:6" x14ac:dyDescent="0.5">
      <c r="F1622" s="658">
        <v>0</v>
      </c>
    </row>
    <row r="1623" spans="6:6" x14ac:dyDescent="0.5">
      <c r="F1623" s="658">
        <v>0</v>
      </c>
    </row>
    <row r="1624" spans="6:6" x14ac:dyDescent="0.5">
      <c r="F1624" s="658">
        <v>0</v>
      </c>
    </row>
    <row r="1625" spans="6:6" x14ac:dyDescent="0.5">
      <c r="F1625" s="658">
        <v>0</v>
      </c>
    </row>
    <row r="1626" spans="6:6" x14ac:dyDescent="0.5">
      <c r="F1626" s="658">
        <v>0</v>
      </c>
    </row>
    <row r="1627" spans="6:6" x14ac:dyDescent="0.5">
      <c r="F1627" s="658">
        <v>0</v>
      </c>
    </row>
    <row r="1628" spans="6:6" x14ac:dyDescent="0.5">
      <c r="F1628" s="658">
        <v>0</v>
      </c>
    </row>
    <row r="1629" spans="6:6" x14ac:dyDescent="0.5">
      <c r="F1629" s="658">
        <v>0</v>
      </c>
    </row>
    <row r="1630" spans="6:6" x14ac:dyDescent="0.5">
      <c r="F1630" s="658">
        <v>0</v>
      </c>
    </row>
    <row r="1631" spans="6:6" x14ac:dyDescent="0.5">
      <c r="F1631" s="658">
        <v>0</v>
      </c>
    </row>
    <row r="1632" spans="6:6" x14ac:dyDescent="0.5">
      <c r="F1632" s="658">
        <v>0</v>
      </c>
    </row>
    <row r="1633" spans="6:6" x14ac:dyDescent="0.5">
      <c r="F1633" s="658">
        <v>0</v>
      </c>
    </row>
    <row r="1634" spans="6:6" x14ac:dyDescent="0.5">
      <c r="F1634" s="658">
        <v>0</v>
      </c>
    </row>
    <row r="1635" spans="6:6" x14ac:dyDescent="0.5">
      <c r="F1635" s="658">
        <v>0</v>
      </c>
    </row>
    <row r="1636" spans="6:6" x14ac:dyDescent="0.5">
      <c r="F1636" s="658">
        <v>0</v>
      </c>
    </row>
    <row r="1637" spans="6:6" x14ac:dyDescent="0.5">
      <c r="F1637" s="658">
        <v>0</v>
      </c>
    </row>
    <row r="1638" spans="6:6" x14ac:dyDescent="0.5">
      <c r="F1638" s="658">
        <v>0</v>
      </c>
    </row>
    <row r="1639" spans="6:6" x14ac:dyDescent="0.5">
      <c r="F1639" s="658">
        <v>0</v>
      </c>
    </row>
    <row r="1640" spans="6:6" x14ac:dyDescent="0.5">
      <c r="F1640" s="658">
        <v>0</v>
      </c>
    </row>
    <row r="1641" spans="6:6" x14ac:dyDescent="0.5">
      <c r="F1641" s="658">
        <v>0</v>
      </c>
    </row>
    <row r="1642" spans="6:6" x14ac:dyDescent="0.5">
      <c r="F1642" s="658">
        <v>0</v>
      </c>
    </row>
    <row r="1643" spans="6:6" x14ac:dyDescent="0.5">
      <c r="F1643" s="658">
        <v>0</v>
      </c>
    </row>
    <row r="1644" spans="6:6" x14ac:dyDescent="0.5">
      <c r="F1644" s="658">
        <v>0</v>
      </c>
    </row>
    <row r="1645" spans="6:6" x14ac:dyDescent="0.5">
      <c r="F1645" s="658">
        <v>0</v>
      </c>
    </row>
    <row r="1646" spans="6:6" x14ac:dyDescent="0.5">
      <c r="F1646" s="658">
        <v>0</v>
      </c>
    </row>
    <row r="1647" spans="6:6" x14ac:dyDescent="0.5">
      <c r="F1647" s="658">
        <v>0</v>
      </c>
    </row>
    <row r="1648" spans="6:6" x14ac:dyDescent="0.5">
      <c r="F1648" s="658">
        <v>0</v>
      </c>
    </row>
    <row r="1649" spans="6:6" x14ac:dyDescent="0.5">
      <c r="F1649" s="658">
        <v>0</v>
      </c>
    </row>
    <row r="1650" spans="6:6" x14ac:dyDescent="0.5">
      <c r="F1650" s="658">
        <v>0</v>
      </c>
    </row>
    <row r="1651" spans="6:6" x14ac:dyDescent="0.5">
      <c r="F1651" s="658">
        <v>0</v>
      </c>
    </row>
    <row r="1652" spans="6:6" x14ac:dyDescent="0.5">
      <c r="F1652" s="658">
        <v>0</v>
      </c>
    </row>
    <row r="1653" spans="6:6" x14ac:dyDescent="0.5">
      <c r="F1653" s="658">
        <v>0</v>
      </c>
    </row>
    <row r="1654" spans="6:6" x14ac:dyDescent="0.5">
      <c r="F1654" s="658">
        <v>0</v>
      </c>
    </row>
    <row r="1655" spans="6:6" x14ac:dyDescent="0.5">
      <c r="F1655" s="658">
        <v>0</v>
      </c>
    </row>
    <row r="1656" spans="6:6" x14ac:dyDescent="0.5">
      <c r="F1656" s="658">
        <v>0</v>
      </c>
    </row>
    <row r="1657" spans="6:6" x14ac:dyDescent="0.5">
      <c r="F1657" s="658">
        <v>0</v>
      </c>
    </row>
    <row r="1658" spans="6:6" x14ac:dyDescent="0.5">
      <c r="F1658" s="658">
        <v>0</v>
      </c>
    </row>
    <row r="1659" spans="6:6" x14ac:dyDescent="0.5">
      <c r="F1659" s="658">
        <v>0</v>
      </c>
    </row>
    <row r="1660" spans="6:6" x14ac:dyDescent="0.5">
      <c r="F1660" s="658">
        <v>0</v>
      </c>
    </row>
    <row r="1661" spans="6:6" x14ac:dyDescent="0.5">
      <c r="F1661" s="658">
        <v>0</v>
      </c>
    </row>
    <row r="1662" spans="6:6" x14ac:dyDescent="0.5">
      <c r="F1662" s="658">
        <v>0</v>
      </c>
    </row>
    <row r="1663" spans="6:6" x14ac:dyDescent="0.5">
      <c r="F1663" s="658">
        <v>0</v>
      </c>
    </row>
    <row r="1664" spans="6:6" x14ac:dyDescent="0.5">
      <c r="F1664" s="658">
        <v>0</v>
      </c>
    </row>
    <row r="1665" spans="6:6" x14ac:dyDescent="0.5">
      <c r="F1665" s="658">
        <v>0</v>
      </c>
    </row>
    <row r="1666" spans="6:6" x14ac:dyDescent="0.5">
      <c r="F1666" s="658">
        <v>0</v>
      </c>
    </row>
    <row r="1667" spans="6:6" x14ac:dyDescent="0.5">
      <c r="F1667" s="658">
        <v>0</v>
      </c>
    </row>
    <row r="1668" spans="6:6" x14ac:dyDescent="0.5">
      <c r="F1668" s="658">
        <v>0</v>
      </c>
    </row>
    <row r="1669" spans="6:6" x14ac:dyDescent="0.5">
      <c r="F1669" s="658">
        <v>0</v>
      </c>
    </row>
    <row r="1670" spans="6:6" x14ac:dyDescent="0.5">
      <c r="F1670" s="658">
        <v>0</v>
      </c>
    </row>
    <row r="1671" spans="6:6" x14ac:dyDescent="0.5">
      <c r="F1671" s="658">
        <v>0</v>
      </c>
    </row>
    <row r="1672" spans="6:6" x14ac:dyDescent="0.5">
      <c r="F1672" s="658">
        <v>0</v>
      </c>
    </row>
    <row r="1673" spans="6:6" x14ac:dyDescent="0.5">
      <c r="F1673" s="658">
        <v>0</v>
      </c>
    </row>
    <row r="1674" spans="6:6" x14ac:dyDescent="0.5">
      <c r="F1674" s="658">
        <v>0</v>
      </c>
    </row>
    <row r="1675" spans="6:6" x14ac:dyDescent="0.5">
      <c r="F1675" s="658">
        <v>0</v>
      </c>
    </row>
    <row r="1676" spans="6:6" x14ac:dyDescent="0.5">
      <c r="F1676" s="658">
        <v>0</v>
      </c>
    </row>
    <row r="1677" spans="6:6" x14ac:dyDescent="0.5">
      <c r="F1677" s="658">
        <v>0</v>
      </c>
    </row>
    <row r="1678" spans="6:6" x14ac:dyDescent="0.5">
      <c r="F1678" s="658">
        <v>0</v>
      </c>
    </row>
    <row r="1679" spans="6:6" x14ac:dyDescent="0.5">
      <c r="F1679" s="658">
        <v>0</v>
      </c>
    </row>
    <row r="1680" spans="6:6" x14ac:dyDescent="0.5">
      <c r="F1680" s="658">
        <v>0</v>
      </c>
    </row>
    <row r="1681" spans="6:6" x14ac:dyDescent="0.5">
      <c r="F1681" s="658">
        <v>0</v>
      </c>
    </row>
    <row r="1682" spans="6:6" x14ac:dyDescent="0.5">
      <c r="F1682" s="658">
        <v>0</v>
      </c>
    </row>
    <row r="1683" spans="6:6" x14ac:dyDescent="0.5">
      <c r="F1683" s="658">
        <v>0</v>
      </c>
    </row>
    <row r="1684" spans="6:6" x14ac:dyDescent="0.5">
      <c r="F1684" s="658">
        <v>0</v>
      </c>
    </row>
    <row r="1685" spans="6:6" x14ac:dyDescent="0.5">
      <c r="F1685" s="658">
        <v>0</v>
      </c>
    </row>
    <row r="1686" spans="6:6" x14ac:dyDescent="0.5">
      <c r="F1686" s="658">
        <v>0</v>
      </c>
    </row>
    <row r="1687" spans="6:6" x14ac:dyDescent="0.5">
      <c r="F1687" s="658">
        <v>0</v>
      </c>
    </row>
    <row r="1688" spans="6:6" x14ac:dyDescent="0.5">
      <c r="F1688" s="658">
        <v>0</v>
      </c>
    </row>
    <row r="1689" spans="6:6" x14ac:dyDescent="0.5">
      <c r="F1689" s="658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89"/>
  <sheetViews>
    <sheetView view="pageBreakPreview" zoomScale="55" zoomScaleSheetLayoutView="55" zoomScalePageLayoutView="78" workbookViewId="0">
      <selection sqref="A1:XFD1048576"/>
    </sheetView>
  </sheetViews>
  <sheetFormatPr defaultColWidth="22.33203125" defaultRowHeight="29.25" x14ac:dyDescent="0.5"/>
  <cols>
    <col min="1" max="1" width="59.6640625" style="574" bestFit="1" customWidth="1"/>
    <col min="2" max="2" width="30.77734375" style="577" customWidth="1"/>
    <col min="3" max="3" width="15.88671875" style="577" customWidth="1"/>
    <col min="4" max="4" width="13.6640625" style="658" customWidth="1"/>
    <col min="5" max="6" width="30" style="658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109375" style="404" customWidth="1"/>
    <col min="15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302</v>
      </c>
      <c r="B2" s="1173">
        <v>44185</v>
      </c>
      <c r="C2" s="1361" t="s">
        <v>84</v>
      </c>
      <c r="D2" s="732">
        <v>0.42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29</v>
      </c>
      <c r="E3" s="1422" t="s">
        <v>148</v>
      </c>
      <c r="F3" s="1423"/>
      <c r="G3" s="582">
        <f>'[1]1'!G3</f>
        <v>0</v>
      </c>
      <c r="H3" s="583">
        <f>'[1]1'!H3</f>
        <v>0</v>
      </c>
      <c r="I3" s="583">
        <f>'[1]1'!I3</f>
        <v>0</v>
      </c>
      <c r="J3" s="736">
        <f>'[1]1'!J3</f>
        <v>0</v>
      </c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0.76</v>
      </c>
      <c r="E4" s="584"/>
      <c r="F4" s="584"/>
      <c r="G4" s="584"/>
      <c r="H4" s="584"/>
      <c r="I4" s="585"/>
      <c r="J4" s="736"/>
      <c r="K4" s="400"/>
      <c r="L4" s="290"/>
    </row>
    <row r="5" spans="1:15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5" ht="30" thickBot="1" x14ac:dyDescent="0.45">
      <c r="A7" s="699" t="s">
        <v>158</v>
      </c>
      <c r="B7" s="700"/>
      <c r="C7" s="700"/>
      <c r="D7" s="643" t="s">
        <v>159</v>
      </c>
      <c r="E7" s="575">
        <f>'[1]19'!F7</f>
        <v>3055074</v>
      </c>
      <c r="F7" s="575">
        <v>3074452</v>
      </c>
      <c r="G7" s="593">
        <f>F7-E7</f>
        <v>19378</v>
      </c>
      <c r="H7" s="580">
        <f>G7+'[1]19'!H7</f>
        <v>406007</v>
      </c>
      <c r="I7" s="594">
        <f>'[1]1'!I7</f>
        <v>12000</v>
      </c>
      <c r="J7" s="673">
        <f>H7/DAY(B2)</f>
        <v>20300.349999999999</v>
      </c>
      <c r="K7" s="670">
        <v>11998</v>
      </c>
      <c r="L7" s="405">
        <f>G7-K7</f>
        <v>7380</v>
      </c>
      <c r="N7" s="410"/>
      <c r="O7" s="410"/>
    </row>
    <row r="8" spans="1:15" ht="27.75" thickBot="1" x14ac:dyDescent="0.45">
      <c r="A8" s="701" t="s">
        <v>160</v>
      </c>
      <c r="B8" s="702"/>
      <c r="C8" s="703"/>
      <c r="D8" s="738" t="s">
        <v>39</v>
      </c>
      <c r="E8" s="595">
        <f>'[1]19'!F8</f>
        <v>3073016</v>
      </c>
      <c r="F8" s="595">
        <v>3092523</v>
      </c>
      <c r="G8" s="596">
        <f>F8-E8</f>
        <v>19507</v>
      </c>
      <c r="H8" s="580">
        <f>G8+'[1]19'!H8</f>
        <v>409484</v>
      </c>
      <c r="I8" s="597">
        <f>'[1]1'!I8</f>
        <v>12000</v>
      </c>
      <c r="J8" s="673">
        <f>H8/DAY(B2)</f>
        <v>20474.2</v>
      </c>
      <c r="K8" s="670"/>
      <c r="L8" s="460"/>
      <c r="M8" s="522"/>
      <c r="N8" s="410"/>
      <c r="O8" s="410"/>
    </row>
    <row r="9" spans="1:15" x14ac:dyDescent="0.4">
      <c r="A9" s="704" t="s">
        <v>161</v>
      </c>
      <c r="B9" s="705"/>
      <c r="C9" s="705"/>
      <c r="D9" s="643" t="s">
        <v>159</v>
      </c>
      <c r="E9" s="598">
        <f>'[1]19'!F9</f>
        <v>2372582</v>
      </c>
      <c r="F9" s="598">
        <v>2375370</v>
      </c>
      <c r="G9" s="593">
        <f t="shared" ref="G9:G12" si="0">F9-E9</f>
        <v>2788</v>
      </c>
      <c r="H9" s="580">
        <f>G9+'[1]19'!H9</f>
        <v>118333.5</v>
      </c>
      <c r="I9" s="599">
        <f>I8-J8</f>
        <v>-8474.2000000000007</v>
      </c>
      <c r="J9" s="673">
        <f>H9/DAY(B2)</f>
        <v>5916.6750000000002</v>
      </c>
      <c r="K9" s="508"/>
      <c r="L9" s="405"/>
      <c r="N9" s="410"/>
      <c r="O9" s="410"/>
    </row>
    <row r="10" spans="1:15" x14ac:dyDescent="0.4">
      <c r="A10" s="699" t="s">
        <v>162</v>
      </c>
      <c r="B10" s="700"/>
      <c r="C10" s="700"/>
      <c r="D10" s="643" t="s">
        <v>159</v>
      </c>
      <c r="E10" s="598">
        <f>'[1]19'!F10</f>
        <v>560383.82999999996</v>
      </c>
      <c r="F10" s="598">
        <v>576267</v>
      </c>
      <c r="G10" s="593">
        <f t="shared" si="0"/>
        <v>15883.170000000042</v>
      </c>
      <c r="H10" s="580">
        <f>G10+'[1]19'!H10</f>
        <v>273316.71000000002</v>
      </c>
      <c r="I10" s="600"/>
      <c r="J10" s="673">
        <f>H10/DAY(B2)</f>
        <v>13665.835500000001</v>
      </c>
      <c r="K10" s="508"/>
      <c r="L10" s="405"/>
      <c r="N10" s="410"/>
      <c r="O10" s="410"/>
    </row>
    <row r="11" spans="1:15" x14ac:dyDescent="0.4">
      <c r="A11" s="699" t="s">
        <v>163</v>
      </c>
      <c r="B11" s="700"/>
      <c r="C11" s="700"/>
      <c r="D11" s="643" t="s">
        <v>159</v>
      </c>
      <c r="E11" s="575">
        <f>'[1]19'!F11</f>
        <v>35390</v>
      </c>
      <c r="F11" s="575">
        <v>35390</v>
      </c>
      <c r="G11" s="593">
        <f t="shared" si="0"/>
        <v>0</v>
      </c>
      <c r="H11" s="580">
        <f>G11+'[1]19'!H11</f>
        <v>0</v>
      </c>
      <c r="I11" s="600"/>
      <c r="J11" s="673">
        <f>H11/DAY(B2)</f>
        <v>0</v>
      </c>
      <c r="K11" s="508"/>
      <c r="L11" s="405"/>
      <c r="N11" s="410"/>
      <c r="O11" s="410"/>
    </row>
    <row r="12" spans="1:15" x14ac:dyDescent="0.4">
      <c r="A12" s="699" t="s">
        <v>164</v>
      </c>
      <c r="B12" s="700"/>
      <c r="C12" s="700"/>
      <c r="D12" s="643" t="s">
        <v>159</v>
      </c>
      <c r="E12" s="598">
        <f>'[1]19'!F12</f>
        <v>37630</v>
      </c>
      <c r="F12" s="598">
        <v>37630</v>
      </c>
      <c r="G12" s="593">
        <f t="shared" si="0"/>
        <v>0</v>
      </c>
      <c r="H12" s="580">
        <f>G12+'[1]19'!H12</f>
        <v>0</v>
      </c>
      <c r="I12" s="600"/>
      <c r="J12" s="673">
        <f>H12/DAY(B2)</f>
        <v>0</v>
      </c>
      <c r="K12" s="508"/>
      <c r="L12" s="405"/>
      <c r="N12" s="410"/>
      <c r="O12" s="410"/>
    </row>
    <row r="13" spans="1:15" x14ac:dyDescent="0.5">
      <c r="A13" s="706" t="s">
        <v>165</v>
      </c>
      <c r="B13" s="707"/>
      <c r="C13" s="707"/>
      <c r="D13" s="643"/>
      <c r="E13" s="575"/>
      <c r="F13" s="575"/>
      <c r="G13" s="601">
        <f>G9+G10+G11+G12</f>
        <v>18671.170000000042</v>
      </c>
      <c r="H13" s="580">
        <f>G13+'[1]19'!H13</f>
        <v>369790.9</v>
      </c>
      <c r="I13" s="602">
        <f>G7-G13</f>
        <v>706.82999999995809</v>
      </c>
      <c r="J13" s="673">
        <f>H13/DAY(B2)</f>
        <v>18489.545000000002</v>
      </c>
      <c r="K13" s="508"/>
      <c r="L13" s="405"/>
      <c r="N13" s="410"/>
      <c r="O13" s="410"/>
    </row>
    <row r="14" spans="1:15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410"/>
      <c r="O14" s="410"/>
    </row>
    <row r="15" spans="1:15" x14ac:dyDescent="0.5">
      <c r="A15" s="1354" t="s">
        <v>167</v>
      </c>
      <c r="B15" s="710"/>
      <c r="C15" s="710"/>
      <c r="D15" s="643" t="s">
        <v>168</v>
      </c>
      <c r="E15" s="604">
        <f>'[1]19'!F15</f>
        <v>1560161.69</v>
      </c>
      <c r="F15" s="604">
        <v>1560709</v>
      </c>
      <c r="G15" s="921">
        <f>(F15-E15)</f>
        <v>547.31000000005588</v>
      </c>
      <c r="H15" s="580">
        <f>G15+'[1]19'!H15</f>
        <v>13811.398999999976</v>
      </c>
      <c r="I15" s="594">
        <v>800</v>
      </c>
      <c r="J15" s="673">
        <f>H15/DAY(B2)</f>
        <v>690.56994999999881</v>
      </c>
      <c r="K15" s="508"/>
      <c r="L15" s="405"/>
      <c r="N15" s="410"/>
      <c r="O15" s="857"/>
    </row>
    <row r="16" spans="1:15" x14ac:dyDescent="0.4">
      <c r="A16" s="708"/>
      <c r="B16" s="709"/>
      <c r="C16" s="709"/>
      <c r="D16" s="644"/>
      <c r="E16" s="605"/>
      <c r="F16" s="605"/>
      <c r="G16" s="593"/>
      <c r="H16" s="606"/>
      <c r="I16" s="607">
        <f>I15-J15</f>
        <v>109.43005000000119</v>
      </c>
      <c r="J16" s="674"/>
      <c r="K16" s="508"/>
      <c r="L16" s="405"/>
      <c r="N16" s="410"/>
      <c r="O16" s="410"/>
    </row>
    <row r="17" spans="1:15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410"/>
      <c r="O17" s="410"/>
    </row>
    <row r="18" spans="1:15" ht="27.75" x14ac:dyDescent="0.5">
      <c r="A18" s="1398" t="s">
        <v>170</v>
      </c>
      <c r="B18" s="1399"/>
      <c r="C18" s="1400"/>
      <c r="D18" s="643" t="s">
        <v>171</v>
      </c>
      <c r="E18" s="604">
        <f>'[1]19'!F18</f>
        <v>15</v>
      </c>
      <c r="F18" s="604">
        <v>14</v>
      </c>
      <c r="G18" s="601">
        <f>F18*10</f>
        <v>140</v>
      </c>
      <c r="H18" s="580">
        <f>G18+'[1]19'!H18</f>
        <v>2740</v>
      </c>
      <c r="I18" s="594">
        <f>'[1]1'!I18</f>
        <v>65</v>
      </c>
      <c r="J18" s="673">
        <f>H18/DAY(B2)</f>
        <v>137</v>
      </c>
      <c r="K18" s="508"/>
      <c r="L18" s="405"/>
      <c r="N18" s="410"/>
      <c r="O18" s="410"/>
    </row>
    <row r="19" spans="1:15" ht="27.75" x14ac:dyDescent="0.5">
      <c r="A19" s="1398" t="s">
        <v>86</v>
      </c>
      <c r="B19" s="1399"/>
      <c r="C19" s="1400"/>
      <c r="D19" s="643" t="s">
        <v>171</v>
      </c>
      <c r="E19" s="604">
        <f>'[1]19'!F19</f>
        <v>130843</v>
      </c>
      <c r="F19" s="604">
        <v>130897</v>
      </c>
      <c r="G19" s="593">
        <f t="shared" ref="G19" si="1">F19-E19</f>
        <v>54</v>
      </c>
      <c r="H19" s="580">
        <f>G19+'[1]19'!H19</f>
        <v>1096</v>
      </c>
      <c r="I19" s="609"/>
      <c r="J19" s="673">
        <f>H19/DAY(B2)</f>
        <v>54.8</v>
      </c>
      <c r="K19" s="508"/>
      <c r="L19" s="405"/>
      <c r="N19" s="410"/>
      <c r="O19" s="410"/>
    </row>
    <row r="20" spans="1:15" x14ac:dyDescent="0.5">
      <c r="A20" s="706" t="s">
        <v>172</v>
      </c>
      <c r="B20" s="707"/>
      <c r="C20" s="707"/>
      <c r="D20" s="610"/>
      <c r="E20" s="610"/>
      <c r="F20" s="610"/>
      <c r="G20" s="611">
        <f>G18+G19</f>
        <v>194</v>
      </c>
      <c r="H20" s="580">
        <f>G20+'[1]19'!H20</f>
        <v>3836</v>
      </c>
      <c r="I20" s="612">
        <f>I18-J20</f>
        <v>-126.80000000000001</v>
      </c>
      <c r="J20" s="673">
        <f>H20/DAY(B2)</f>
        <v>191.8</v>
      </c>
      <c r="K20" s="508"/>
      <c r="L20" s="405"/>
      <c r="N20" s="410"/>
      <c r="O20" s="410"/>
    </row>
    <row r="21" spans="1:15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410"/>
      <c r="O21" s="410"/>
    </row>
    <row r="22" spans="1:15" x14ac:dyDescent="0.5">
      <c r="A22" s="1354" t="s">
        <v>174</v>
      </c>
      <c r="B22" s="710"/>
      <c r="C22" s="710"/>
      <c r="D22" s="643" t="s">
        <v>175</v>
      </c>
      <c r="E22" s="604">
        <f>'[1]19'!F22</f>
        <v>2250</v>
      </c>
      <c r="F22" s="604">
        <v>2250</v>
      </c>
      <c r="G22" s="601">
        <v>0</v>
      </c>
      <c r="H22" s="580">
        <f>G22+'[1]19'!H22</f>
        <v>0</v>
      </c>
      <c r="I22" s="600"/>
      <c r="J22" s="673">
        <f>H22/DAY(B2)</f>
        <v>0</v>
      </c>
      <c r="K22" s="508"/>
      <c r="L22" s="405"/>
      <c r="N22" s="410"/>
      <c r="O22" s="410"/>
    </row>
    <row r="23" spans="1:15" x14ac:dyDescent="0.5">
      <c r="A23" s="1354" t="s">
        <v>176</v>
      </c>
      <c r="B23" s="710"/>
      <c r="C23" s="710"/>
      <c r="D23" s="643" t="s">
        <v>175</v>
      </c>
      <c r="E23" s="604">
        <f>'[1]19'!F23</f>
        <v>2000</v>
      </c>
      <c r="F23" s="604">
        <v>2000</v>
      </c>
      <c r="G23" s="601">
        <v>0</v>
      </c>
      <c r="H23" s="580">
        <f>G23+'[1]19'!H23</f>
        <v>0</v>
      </c>
      <c r="I23" s="600"/>
      <c r="J23" s="673">
        <f>H23/DAY(B2)</f>
        <v>0</v>
      </c>
      <c r="K23" s="508"/>
      <c r="L23" s="405"/>
      <c r="N23" s="410"/>
      <c r="O23" s="410"/>
    </row>
    <row r="24" spans="1:15" x14ac:dyDescent="0.4">
      <c r="A24" s="711" t="s">
        <v>177</v>
      </c>
      <c r="B24" s="712"/>
      <c r="C24" s="712"/>
      <c r="D24" s="631" t="s">
        <v>175</v>
      </c>
      <c r="E24" s="604">
        <f>'[1]19'!F24</f>
        <v>4250</v>
      </c>
      <c r="F24" s="613">
        <v>4250</v>
      </c>
      <c r="G24" s="601">
        <v>0</v>
      </c>
      <c r="H24" s="580">
        <f>G24+'[1]19'!H24</f>
        <v>0</v>
      </c>
      <c r="I24" s="600"/>
      <c r="J24" s="673">
        <f>H24/DAY(B2)</f>
        <v>0</v>
      </c>
      <c r="K24" s="508"/>
      <c r="L24" s="405"/>
      <c r="N24" s="410"/>
      <c r="O24" s="410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536"/>
      <c r="O25" s="410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617"/>
      <c r="G26" s="618"/>
      <c r="H26" s="580"/>
      <c r="I26" s="619"/>
      <c r="J26" s="673"/>
      <c r="K26" s="402"/>
      <c r="L26" s="527"/>
      <c r="N26" s="536"/>
      <c r="O26" s="410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621">
        <f>G8</f>
        <v>19507</v>
      </c>
      <c r="F27" s="621">
        <v>9.5</v>
      </c>
      <c r="G27" s="622">
        <f>E27*F27</f>
        <v>185316.5</v>
      </c>
      <c r="H27" s="580">
        <f>G27+'[1]19'!H27</f>
        <v>3890098</v>
      </c>
      <c r="I27" s="623"/>
      <c r="J27" s="673">
        <f>H27/DAY(B2)</f>
        <v>194504.9</v>
      </c>
      <c r="K27" s="401"/>
      <c r="L27" s="527"/>
      <c r="N27" s="536"/>
      <c r="O27" s="410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621">
        <f>G15</f>
        <v>547.31000000005588</v>
      </c>
      <c r="F28" s="621">
        <v>36.5</v>
      </c>
      <c r="G28" s="622">
        <f>E28*F28</f>
        <v>19976.81500000204</v>
      </c>
      <c r="H28" s="580">
        <f>G28+'[1]19'!H28</f>
        <v>504116.06349999912</v>
      </c>
      <c r="I28" s="625"/>
      <c r="J28" s="673">
        <f>H28/DAY(B2)</f>
        <v>25205.803174999957</v>
      </c>
      <c r="K28" s="401"/>
      <c r="L28" s="527"/>
      <c r="N28" s="536"/>
      <c r="O28" s="410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621">
        <f>G24</f>
        <v>0</v>
      </c>
      <c r="F29" s="621">
        <v>69</v>
      </c>
      <c r="G29" s="622">
        <f>E29*F29</f>
        <v>0</v>
      </c>
      <c r="H29" s="580">
        <f>G29+'[1]19'!H29</f>
        <v>0</v>
      </c>
      <c r="I29" s="625"/>
      <c r="J29" s="673">
        <f>H29/DAY(B2)</f>
        <v>0</v>
      </c>
      <c r="K29" s="401"/>
      <c r="L29" s="527"/>
      <c r="N29" s="536"/>
      <c r="O29" s="410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621">
        <f>G19</f>
        <v>54</v>
      </c>
      <c r="F30" s="621">
        <v>145</v>
      </c>
      <c r="G30" s="622">
        <f>E30*F30</f>
        <v>7830</v>
      </c>
      <c r="H30" s="580">
        <f>G30+'[1]19'!H30</f>
        <v>158920</v>
      </c>
      <c r="I30" s="625"/>
      <c r="J30" s="673">
        <f>H30/DAY(B2)</f>
        <v>7946</v>
      </c>
      <c r="K30" s="401"/>
      <c r="L30" s="527"/>
      <c r="N30" s="536"/>
      <c r="O30" s="410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621">
        <f>G18</f>
        <v>140</v>
      </c>
      <c r="F31" s="621">
        <v>80</v>
      </c>
      <c r="G31" s="622">
        <f>E31*F31</f>
        <v>11200</v>
      </c>
      <c r="H31" s="580">
        <f>G31+'[1]19'!H31</f>
        <v>217600</v>
      </c>
      <c r="I31" s="625"/>
      <c r="J31" s="673">
        <f>H31/DAY(B2)</f>
        <v>10880</v>
      </c>
      <c r="K31" s="401"/>
      <c r="L31" s="527"/>
      <c r="N31" s="536"/>
      <c r="O31" s="410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627"/>
      <c r="G32" s="628">
        <f>G27+G28+G29+G30+G31</f>
        <v>224323.31500000204</v>
      </c>
      <c r="H32" s="580">
        <f>G32+'[1]19'!H32</f>
        <v>4770734.0634999992</v>
      </c>
      <c r="I32" s="629"/>
      <c r="J32" s="673">
        <f>H32/DAY(B2)</f>
        <v>238536.70317499997</v>
      </c>
      <c r="K32" s="401"/>
      <c r="L32" s="527"/>
      <c r="N32" s="536"/>
      <c r="O32" s="410"/>
    </row>
    <row r="33" spans="1:15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  <c r="O33" s="410"/>
    </row>
    <row r="34" spans="1:15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410"/>
      <c r="O34" s="410"/>
    </row>
    <row r="35" spans="1:15" x14ac:dyDescent="0.4">
      <c r="A35" s="699" t="s">
        <v>191</v>
      </c>
      <c r="B35" s="700"/>
      <c r="C35" s="700"/>
      <c r="D35" s="643" t="s">
        <v>159</v>
      </c>
      <c r="E35" s="630">
        <f>'[1]19'!F35</f>
        <v>629027</v>
      </c>
      <c r="F35" s="630">
        <v>629027</v>
      </c>
      <c r="G35" s="593">
        <f t="shared" ref="G35:G46" si="2">F35-E35</f>
        <v>0</v>
      </c>
      <c r="H35" s="580">
        <f>G35+'[1]19'!H35</f>
        <v>0</v>
      </c>
      <c r="I35" s="575"/>
      <c r="J35" s="673">
        <f>H35/DAY(B2)</f>
        <v>0</v>
      </c>
      <c r="K35" s="508">
        <v>1457.2799999999697</v>
      </c>
      <c r="L35" s="405">
        <f>G35-K35</f>
        <v>-1457.2799999999697</v>
      </c>
      <c r="N35" s="410"/>
      <c r="O35" s="749"/>
    </row>
    <row r="36" spans="1:15" x14ac:dyDescent="0.4">
      <c r="A36" s="699" t="s">
        <v>192</v>
      </c>
      <c r="B36" s="700"/>
      <c r="C36" s="700"/>
      <c r="D36" s="643" t="s">
        <v>159</v>
      </c>
      <c r="E36" s="630">
        <f>'[1]19'!F36</f>
        <v>245346</v>
      </c>
      <c r="F36" s="630">
        <v>246202</v>
      </c>
      <c r="G36" s="593">
        <f t="shared" si="2"/>
        <v>856</v>
      </c>
      <c r="H36" s="580">
        <f>G36+'[1]19'!H36</f>
        <v>17116.26999999999</v>
      </c>
      <c r="I36" s="575"/>
      <c r="J36" s="673">
        <f>H36/DAY(B2)</f>
        <v>855.81349999999952</v>
      </c>
      <c r="K36" s="508">
        <v>483.92999999999302</v>
      </c>
      <c r="L36" s="405">
        <f t="shared" ref="L36:L60" si="3">G36-K36</f>
        <v>372.07000000000698</v>
      </c>
      <c r="N36" s="410"/>
      <c r="O36" s="749"/>
    </row>
    <row r="37" spans="1:15" x14ac:dyDescent="0.4">
      <c r="A37" s="699" t="s">
        <v>193</v>
      </c>
      <c r="B37" s="700"/>
      <c r="C37" s="700"/>
      <c r="D37" s="643" t="s">
        <v>159</v>
      </c>
      <c r="E37" s="630">
        <f>'[1]19'!F37</f>
        <v>415066</v>
      </c>
      <c r="F37" s="630">
        <v>415066</v>
      </c>
      <c r="G37" s="593">
        <f t="shared" si="2"/>
        <v>0</v>
      </c>
      <c r="H37" s="580">
        <f>G37+'[1]19'!H37</f>
        <v>0</v>
      </c>
      <c r="I37" s="575"/>
      <c r="J37" s="673">
        <f>H37/DAY(B2)</f>
        <v>0</v>
      </c>
      <c r="K37" s="508">
        <v>1173.9200000000128</v>
      </c>
      <c r="L37" s="405">
        <f>G37-K37</f>
        <v>-1173.9200000000128</v>
      </c>
      <c r="N37" s="410"/>
      <c r="O37" s="410"/>
    </row>
    <row r="38" spans="1:15" x14ac:dyDescent="0.4">
      <c r="A38" s="699" t="s">
        <v>194</v>
      </c>
      <c r="B38" s="700"/>
      <c r="C38" s="700"/>
      <c r="D38" s="643" t="s">
        <v>159</v>
      </c>
      <c r="E38" s="589">
        <f>'[1]19'!F38</f>
        <v>150714</v>
      </c>
      <c r="F38" s="589">
        <v>150714</v>
      </c>
      <c r="G38" s="593">
        <f t="shared" si="2"/>
        <v>0</v>
      </c>
      <c r="H38" s="580">
        <f>G38+'[1]19'!H38</f>
        <v>0</v>
      </c>
      <c r="I38" s="575"/>
      <c r="J38" s="673">
        <f>H38/DAY(B2)</f>
        <v>0</v>
      </c>
      <c r="K38" s="508">
        <v>0</v>
      </c>
      <c r="L38" s="405">
        <f t="shared" si="3"/>
        <v>0</v>
      </c>
      <c r="N38" s="410"/>
      <c r="O38" s="410"/>
    </row>
    <row r="39" spans="1:15" x14ac:dyDescent="0.4">
      <c r="A39" s="699" t="s">
        <v>195</v>
      </c>
      <c r="B39" s="700"/>
      <c r="C39" s="700"/>
      <c r="D39" s="643" t="s">
        <v>159</v>
      </c>
      <c r="E39" s="630">
        <f>'[1]19'!F39</f>
        <v>912480</v>
      </c>
      <c r="F39" s="630">
        <v>912480</v>
      </c>
      <c r="G39" s="593">
        <f t="shared" si="2"/>
        <v>0</v>
      </c>
      <c r="H39" s="580">
        <f>G39+'[1]19'!H39</f>
        <v>0</v>
      </c>
      <c r="I39" s="575"/>
      <c r="J39" s="673">
        <f>H39/DAY(B2)</f>
        <v>0</v>
      </c>
      <c r="K39" s="508">
        <v>1987.0400000000373</v>
      </c>
      <c r="L39" s="405">
        <f t="shared" si="3"/>
        <v>-1987.0400000000373</v>
      </c>
      <c r="N39" s="410"/>
      <c r="O39" s="410"/>
    </row>
    <row r="40" spans="1:15" x14ac:dyDescent="0.4">
      <c r="A40" s="720" t="s">
        <v>196</v>
      </c>
      <c r="B40" s="721"/>
      <c r="C40" s="721"/>
      <c r="D40" s="643" t="s">
        <v>159</v>
      </c>
      <c r="E40" s="630">
        <f>'[1]19'!F40</f>
        <v>0</v>
      </c>
      <c r="F40" s="630">
        <v>0</v>
      </c>
      <c r="G40" s="593">
        <f t="shared" si="2"/>
        <v>0</v>
      </c>
      <c r="H40" s="580">
        <f>G40+'[1]19'!H40</f>
        <v>0</v>
      </c>
      <c r="I40" s="575"/>
      <c r="J40" s="673">
        <f>H40/DAY(B2)</f>
        <v>0</v>
      </c>
      <c r="K40" s="509">
        <v>0</v>
      </c>
      <c r="L40" s="405">
        <f t="shared" si="3"/>
        <v>0</v>
      </c>
      <c r="N40" s="410"/>
      <c r="O40" s="410"/>
    </row>
    <row r="41" spans="1:15" x14ac:dyDescent="0.4">
      <c r="A41" s="699" t="s">
        <v>197</v>
      </c>
      <c r="B41" s="700"/>
      <c r="C41" s="700"/>
      <c r="D41" s="643" t="s">
        <v>159</v>
      </c>
      <c r="E41" s="630">
        <f>'[1]19'!F41</f>
        <v>300127.95</v>
      </c>
      <c r="F41" s="630">
        <v>300127.95</v>
      </c>
      <c r="G41" s="593">
        <f t="shared" si="2"/>
        <v>0</v>
      </c>
      <c r="H41" s="580">
        <f>G41+'[1]19'!H41</f>
        <v>0</v>
      </c>
      <c r="I41" s="575"/>
      <c r="J41" s="673">
        <f>H41/DAY(B2)</f>
        <v>0</v>
      </c>
      <c r="K41" s="508">
        <v>0</v>
      </c>
      <c r="L41" s="405">
        <f t="shared" si="3"/>
        <v>0</v>
      </c>
      <c r="N41" s="410"/>
      <c r="O41" s="857"/>
    </row>
    <row r="42" spans="1:15" x14ac:dyDescent="0.4">
      <c r="A42" s="699" t="s">
        <v>198</v>
      </c>
      <c r="B42" s="700"/>
      <c r="C42" s="700"/>
      <c r="D42" s="643" t="s">
        <v>159</v>
      </c>
      <c r="E42" s="630">
        <f>'[1]19'!F42</f>
        <v>58926</v>
      </c>
      <c r="F42" s="630">
        <v>58926</v>
      </c>
      <c r="G42" s="593">
        <f t="shared" si="2"/>
        <v>0</v>
      </c>
      <c r="H42" s="580">
        <f>G42+'[1]19'!H42</f>
        <v>58926</v>
      </c>
      <c r="I42" s="575"/>
      <c r="J42" s="673">
        <f>H42/DAY(B2)</f>
        <v>2946.3</v>
      </c>
      <c r="K42" s="508">
        <v>3246.4500000000007</v>
      </c>
      <c r="L42" s="405">
        <f t="shared" si="3"/>
        <v>-3246.4500000000007</v>
      </c>
      <c r="N42" s="410"/>
      <c r="O42" s="410"/>
    </row>
    <row r="43" spans="1:15" x14ac:dyDescent="0.4">
      <c r="A43" s="699" t="s">
        <v>199</v>
      </c>
      <c r="B43" s="700"/>
      <c r="C43" s="700"/>
      <c r="D43" s="643" t="s">
        <v>159</v>
      </c>
      <c r="E43" s="630">
        <f>'[1]19'!F43</f>
        <v>674098</v>
      </c>
      <c r="F43" s="630">
        <v>676119</v>
      </c>
      <c r="G43" s="593">
        <f t="shared" si="2"/>
        <v>2021</v>
      </c>
      <c r="H43" s="580">
        <f>G43+'[1]19'!H43</f>
        <v>45369.689999999944</v>
      </c>
      <c r="I43" s="575"/>
      <c r="J43" s="673">
        <f>H43/DAY(B2)</f>
        <v>2268.4844999999973</v>
      </c>
      <c r="K43" s="508">
        <v>1559.2000000000116</v>
      </c>
      <c r="L43" s="405">
        <f t="shared" si="3"/>
        <v>461.79999999998836</v>
      </c>
      <c r="N43" s="410"/>
      <c r="O43" s="410"/>
    </row>
    <row r="44" spans="1:15" x14ac:dyDescent="0.4">
      <c r="A44" s="699" t="s">
        <v>200</v>
      </c>
      <c r="B44" s="700"/>
      <c r="C44" s="700"/>
      <c r="D44" s="643" t="s">
        <v>159</v>
      </c>
      <c r="E44" s="630">
        <f>'[1]19'!F44</f>
        <v>0</v>
      </c>
      <c r="F44" s="630">
        <v>0</v>
      </c>
      <c r="G44" s="593">
        <f t="shared" si="2"/>
        <v>0</v>
      </c>
      <c r="H44" s="580">
        <f>G44+'[1]19'!H44</f>
        <v>0</v>
      </c>
      <c r="I44" s="575"/>
      <c r="J44" s="673">
        <f>H44/DAY(B2)</f>
        <v>0</v>
      </c>
      <c r="K44" s="508">
        <v>0</v>
      </c>
      <c r="L44" s="405">
        <f t="shared" si="3"/>
        <v>0</v>
      </c>
      <c r="N44" s="410"/>
      <c r="O44" s="410"/>
    </row>
    <row r="45" spans="1:15" x14ac:dyDescent="0.4">
      <c r="A45" s="699" t="s">
        <v>201</v>
      </c>
      <c r="B45" s="700"/>
      <c r="C45" s="700"/>
      <c r="D45" s="643" t="s">
        <v>159</v>
      </c>
      <c r="E45" s="630">
        <f>'[1]19'!F45</f>
        <v>614</v>
      </c>
      <c r="F45" s="630">
        <v>614</v>
      </c>
      <c r="G45" s="593">
        <f t="shared" si="2"/>
        <v>0</v>
      </c>
      <c r="H45" s="580">
        <f>G45+'[1]19'!H45</f>
        <v>-0.48000000000001819</v>
      </c>
      <c r="I45" s="575"/>
      <c r="J45" s="673">
        <f>H45/DAY(B2)</f>
        <v>-2.4000000000000909E-2</v>
      </c>
      <c r="K45" s="508">
        <v>0</v>
      </c>
      <c r="L45" s="405">
        <f t="shared" si="3"/>
        <v>0</v>
      </c>
      <c r="N45" s="410"/>
      <c r="O45" s="410"/>
    </row>
    <row r="46" spans="1:15" x14ac:dyDescent="0.4">
      <c r="A46" s="699" t="s">
        <v>202</v>
      </c>
      <c r="B46" s="700"/>
      <c r="C46" s="700"/>
      <c r="D46" s="643" t="s">
        <v>159</v>
      </c>
      <c r="E46" s="630">
        <f>'[1]19'!F46</f>
        <v>187.44</v>
      </c>
      <c r="F46" s="630">
        <v>187.44</v>
      </c>
      <c r="G46" s="593">
        <f t="shared" si="2"/>
        <v>0</v>
      </c>
      <c r="H46" s="580">
        <f>G46+'[1]19'!H46</f>
        <v>-5.0000000000011369E-2</v>
      </c>
      <c r="I46" s="575"/>
      <c r="J46" s="673">
        <f>H46/DAY(B2)</f>
        <v>-2.5000000000005686E-3</v>
      </c>
      <c r="K46" s="508">
        <v>0</v>
      </c>
      <c r="L46" s="405">
        <f t="shared" si="3"/>
        <v>0</v>
      </c>
      <c r="N46" s="410"/>
      <c r="O46" s="410"/>
    </row>
    <row r="47" spans="1:15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2877</v>
      </c>
      <c r="H47" s="580">
        <f>G47+'[1]19'!H47</f>
        <v>121411.42999999992</v>
      </c>
      <c r="I47" s="575"/>
      <c r="J47" s="673">
        <f>H47/DAY(B2)</f>
        <v>6070.5714999999964</v>
      </c>
      <c r="K47" s="508">
        <v>9907.8200000000252</v>
      </c>
      <c r="L47" s="405">
        <f t="shared" si="3"/>
        <v>-7030.8200000000252</v>
      </c>
      <c r="N47" s="410"/>
      <c r="O47" s="410"/>
    </row>
    <row r="48" spans="1:15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>
        <f t="shared" si="3"/>
        <v>0</v>
      </c>
      <c r="N48" s="410"/>
      <c r="O48" s="410"/>
    </row>
    <row r="49" spans="1:15" x14ac:dyDescent="0.4">
      <c r="A49" s="699" t="s">
        <v>191</v>
      </c>
      <c r="B49" s="722"/>
      <c r="C49" s="722"/>
      <c r="D49" s="643" t="s">
        <v>159</v>
      </c>
      <c r="E49" s="630">
        <f>'[1]19'!F49</f>
        <v>114820</v>
      </c>
      <c r="F49" s="630">
        <v>117846</v>
      </c>
      <c r="G49" s="593">
        <f t="shared" ref="G49:G58" si="4">F49-E49</f>
        <v>3026</v>
      </c>
      <c r="H49" s="580">
        <f>G49+'[1]19'!H49</f>
        <v>53236.483</v>
      </c>
      <c r="I49" s="575"/>
      <c r="J49" s="673">
        <f>H49/DAY(B2)</f>
        <v>2661.8241499999999</v>
      </c>
      <c r="K49" s="508">
        <v>0</v>
      </c>
      <c r="L49" s="405">
        <f t="shared" si="3"/>
        <v>3026</v>
      </c>
      <c r="N49" s="410"/>
      <c r="O49" s="410"/>
    </row>
    <row r="50" spans="1:15" x14ac:dyDescent="0.4">
      <c r="A50" s="699" t="s">
        <v>205</v>
      </c>
      <c r="B50" s="722"/>
      <c r="C50" s="722"/>
      <c r="D50" s="643" t="s">
        <v>159</v>
      </c>
      <c r="E50" s="630">
        <f>'[1]19'!F50</f>
        <v>320574</v>
      </c>
      <c r="F50" s="630">
        <v>321760</v>
      </c>
      <c r="G50" s="593">
        <f t="shared" si="4"/>
        <v>1186</v>
      </c>
      <c r="H50" s="580">
        <f>G50+'[1]19'!H50</f>
        <v>24350.469999999972</v>
      </c>
      <c r="I50" s="575"/>
      <c r="J50" s="673">
        <f>H50/DAY(B2)</f>
        <v>1217.5234999999986</v>
      </c>
      <c r="K50" s="508">
        <v>631.67000000001281</v>
      </c>
      <c r="L50" s="405">
        <f t="shared" si="3"/>
        <v>554.32999999998719</v>
      </c>
      <c r="N50" s="410"/>
      <c r="O50" s="410"/>
    </row>
    <row r="51" spans="1:15" x14ac:dyDescent="0.4">
      <c r="A51" s="699" t="s">
        <v>193</v>
      </c>
      <c r="B51" s="722"/>
      <c r="C51" s="722"/>
      <c r="D51" s="643" t="s">
        <v>159</v>
      </c>
      <c r="E51" s="630">
        <f>'[1]19'!F51</f>
        <v>47294</v>
      </c>
      <c r="F51" s="630">
        <v>48734</v>
      </c>
      <c r="G51" s="593">
        <f t="shared" si="4"/>
        <v>1440</v>
      </c>
      <c r="H51" s="580">
        <f>G51+'[1]19'!H51</f>
        <v>27867.032999999999</v>
      </c>
      <c r="I51" s="575"/>
      <c r="J51" s="673">
        <f>H51/DAY(B2)</f>
        <v>1393.3516500000001</v>
      </c>
      <c r="K51" s="508">
        <v>0</v>
      </c>
      <c r="L51" s="405">
        <f t="shared" si="3"/>
        <v>1440</v>
      </c>
      <c r="N51" s="410"/>
      <c r="O51" s="410"/>
    </row>
    <row r="52" spans="1:15" x14ac:dyDescent="0.4">
      <c r="A52" s="699" t="s">
        <v>206</v>
      </c>
      <c r="B52" s="722"/>
      <c r="C52" s="722"/>
      <c r="D52" s="643" t="s">
        <v>159</v>
      </c>
      <c r="E52" s="630">
        <f>'[1]19'!F52</f>
        <v>408933</v>
      </c>
      <c r="F52" s="630">
        <v>410983</v>
      </c>
      <c r="G52" s="593">
        <f t="shared" si="4"/>
        <v>2050</v>
      </c>
      <c r="H52" s="580">
        <f>G52+'[1]19'!H52</f>
        <v>37627.209999999963</v>
      </c>
      <c r="I52" s="575"/>
      <c r="J52" s="673">
        <f>H52/DAY(B2)</f>
        <v>1881.3604999999982</v>
      </c>
      <c r="K52" s="508">
        <v>1057.5200000000186</v>
      </c>
      <c r="L52" s="405">
        <f t="shared" si="3"/>
        <v>992.47999999998137</v>
      </c>
      <c r="N52" s="410"/>
      <c r="O52" s="857"/>
    </row>
    <row r="53" spans="1:15" x14ac:dyDescent="0.4">
      <c r="A53" s="699" t="s">
        <v>195</v>
      </c>
      <c r="B53" s="722"/>
      <c r="C53" s="722"/>
      <c r="D53" s="643" t="s">
        <v>159</v>
      </c>
      <c r="E53" s="630">
        <f>'[1]19'!F53</f>
        <v>126046</v>
      </c>
      <c r="F53" s="630">
        <v>130100</v>
      </c>
      <c r="G53" s="593">
        <f t="shared" si="4"/>
        <v>4054</v>
      </c>
      <c r="H53" s="580">
        <f>G53+'[1]19'!H53</f>
        <v>80357.892999999996</v>
      </c>
      <c r="I53" s="575"/>
      <c r="J53" s="673">
        <f>H53/DAY(B2)</f>
        <v>4017.8946499999997</v>
      </c>
      <c r="K53" s="508">
        <v>106.48999999999978</v>
      </c>
      <c r="L53" s="405">
        <f t="shared" si="3"/>
        <v>3947.51</v>
      </c>
      <c r="N53" s="410"/>
      <c r="O53" s="410"/>
    </row>
    <row r="54" spans="1:15" x14ac:dyDescent="0.4">
      <c r="A54" s="699" t="s">
        <v>207</v>
      </c>
      <c r="B54" s="722"/>
      <c r="C54" s="722"/>
      <c r="D54" s="643" t="s">
        <v>159</v>
      </c>
      <c r="E54" s="630">
        <f>'[1]19'!F54</f>
        <v>3804.25</v>
      </c>
      <c r="F54" s="630">
        <v>3869</v>
      </c>
      <c r="G54" s="593">
        <f t="shared" si="4"/>
        <v>64.75</v>
      </c>
      <c r="H54" s="580">
        <f>G54+'[1]19'!H54</f>
        <v>990.38999999999987</v>
      </c>
      <c r="I54" s="575"/>
      <c r="J54" s="673">
        <f>H54/DAY(B2)</f>
        <v>49.519499999999994</v>
      </c>
      <c r="K54" s="508">
        <v>0</v>
      </c>
      <c r="L54" s="405">
        <f t="shared" si="3"/>
        <v>64.75</v>
      </c>
      <c r="N54" s="410"/>
      <c r="O54" s="410"/>
    </row>
    <row r="55" spans="1:15" x14ac:dyDescent="0.4">
      <c r="A55" s="699" t="s">
        <v>208</v>
      </c>
      <c r="B55" s="722"/>
      <c r="C55" s="722"/>
      <c r="D55" s="643" t="s">
        <v>159</v>
      </c>
      <c r="E55" s="630">
        <f>'[1]19'!F55</f>
        <v>158492.73000000001</v>
      </c>
      <c r="F55" s="630">
        <v>158492.73000000001</v>
      </c>
      <c r="G55" s="593">
        <f t="shared" si="4"/>
        <v>0</v>
      </c>
      <c r="H55" s="580">
        <f>G55+'[1]19'!H55</f>
        <v>-0.26999999998952262</v>
      </c>
      <c r="I55" s="575"/>
      <c r="J55" s="673">
        <f>H55/DAY(B2)</f>
        <v>-1.3499999999476131E-2</v>
      </c>
      <c r="K55" s="508">
        <v>0</v>
      </c>
      <c r="L55" s="405">
        <f t="shared" si="3"/>
        <v>0</v>
      </c>
      <c r="N55" s="410"/>
      <c r="O55" s="410"/>
    </row>
    <row r="56" spans="1:15" x14ac:dyDescent="0.4">
      <c r="A56" s="699" t="s">
        <v>209</v>
      </c>
      <c r="B56" s="722"/>
      <c r="C56" s="722"/>
      <c r="D56" s="643" t="s">
        <v>210</v>
      </c>
      <c r="E56" s="630">
        <f>'[1]19'!F56</f>
        <v>466233</v>
      </c>
      <c r="F56" s="630">
        <v>470147</v>
      </c>
      <c r="G56" s="593">
        <f t="shared" si="4"/>
        <v>3914</v>
      </c>
      <c r="H56" s="580">
        <f>G56+'[1]19'!H56</f>
        <v>34305.969999999972</v>
      </c>
      <c r="I56" s="575"/>
      <c r="J56" s="673">
        <f>H56/DAY(B2)</f>
        <v>1715.2984999999985</v>
      </c>
      <c r="K56" s="507">
        <v>0</v>
      </c>
      <c r="L56" s="405">
        <f t="shared" si="3"/>
        <v>3914</v>
      </c>
      <c r="N56" s="410"/>
      <c r="O56" s="410"/>
    </row>
    <row r="57" spans="1:15" x14ac:dyDescent="0.4">
      <c r="A57" s="699" t="s">
        <v>199</v>
      </c>
      <c r="B57" s="722"/>
      <c r="C57" s="722"/>
      <c r="D57" s="643" t="s">
        <v>159</v>
      </c>
      <c r="E57" s="630">
        <f>'[1]19'!F57</f>
        <v>0</v>
      </c>
      <c r="F57" s="630">
        <v>0</v>
      </c>
      <c r="G57" s="593">
        <f t="shared" si="4"/>
        <v>0</v>
      </c>
      <c r="H57" s="580">
        <f>G57+'[1]19'!H57</f>
        <v>0</v>
      </c>
      <c r="I57" s="575"/>
      <c r="J57" s="673">
        <f>H57/DAY(B2)</f>
        <v>0</v>
      </c>
      <c r="K57" s="508">
        <v>0</v>
      </c>
      <c r="L57" s="405">
        <f t="shared" si="3"/>
        <v>0</v>
      </c>
      <c r="N57" s="410"/>
      <c r="O57" s="410"/>
    </row>
    <row r="58" spans="1:15" x14ac:dyDescent="0.4">
      <c r="A58" s="699" t="s">
        <v>211</v>
      </c>
      <c r="B58" s="722"/>
      <c r="C58" s="722"/>
      <c r="D58" s="643" t="s">
        <v>159</v>
      </c>
      <c r="E58" s="630">
        <f>'[1]19'!F58</f>
        <v>22686</v>
      </c>
      <c r="F58" s="630">
        <v>22766</v>
      </c>
      <c r="G58" s="593">
        <f t="shared" si="4"/>
        <v>80</v>
      </c>
      <c r="H58" s="580">
        <f>G58+'[1]19'!H58</f>
        <v>2372.9670000000006</v>
      </c>
      <c r="I58" s="575"/>
      <c r="J58" s="673">
        <f>H58/DAY(B2)</f>
        <v>118.64835000000002</v>
      </c>
      <c r="K58" s="508">
        <v>0</v>
      </c>
      <c r="L58" s="405">
        <f t="shared" si="3"/>
        <v>80</v>
      </c>
      <c r="N58" s="410"/>
      <c r="O58" s="410"/>
    </row>
    <row r="59" spans="1:15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15814.75</v>
      </c>
      <c r="H59" s="580">
        <f>G59+'[1]19'!H59</f>
        <v>261108.14599999989</v>
      </c>
      <c r="I59" s="575">
        <f>G7-G60</f>
        <v>686.25</v>
      </c>
      <c r="J59" s="673">
        <f>H59/DAY(B2)</f>
        <v>13055.407299999995</v>
      </c>
      <c r="K59" s="508">
        <v>1795.6800000000312</v>
      </c>
      <c r="L59" s="405">
        <f t="shared" si="3"/>
        <v>14019.069999999969</v>
      </c>
      <c r="N59" s="410"/>
      <c r="O59" s="410"/>
    </row>
    <row r="60" spans="1:15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18691.75</v>
      </c>
      <c r="H60" s="580">
        <f>G60+'[1]19'!H60</f>
        <v>396063.24599999993</v>
      </c>
      <c r="I60" s="575">
        <f>G13-G60</f>
        <v>-20.57999999995809</v>
      </c>
      <c r="J60" s="673">
        <f>H60/DAY(B2)</f>
        <v>19803.162299999996</v>
      </c>
      <c r="K60" s="508">
        <v>11703.500000000056</v>
      </c>
      <c r="L60" s="405">
        <f t="shared" si="3"/>
        <v>6988.2499999999436</v>
      </c>
      <c r="N60" s="410"/>
      <c r="O60" s="410"/>
    </row>
    <row r="61" spans="1:15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410"/>
      <c r="O61" s="410"/>
    </row>
    <row r="62" spans="1:15" x14ac:dyDescent="0.4">
      <c r="A62" s="724" t="s">
        <v>121</v>
      </c>
      <c r="B62" s="725"/>
      <c r="C62" s="725"/>
      <c r="D62" s="631" t="s">
        <v>214</v>
      </c>
      <c r="E62" s="634">
        <f>'[1]19'!F62</f>
        <v>20419.2</v>
      </c>
      <c r="F62" s="634">
        <v>20419.2</v>
      </c>
      <c r="G62" s="593">
        <f t="shared" ref="G62:G69" si="5">F62-E62</f>
        <v>0</v>
      </c>
      <c r="H62" s="580">
        <f>G62+'[1]19'!H62</f>
        <v>2.0000000000436557E-2</v>
      </c>
      <c r="I62" s="635"/>
      <c r="J62" s="673">
        <f>H62/DAY(B2)</f>
        <v>1.0000000000218278E-3</v>
      </c>
      <c r="K62" s="508"/>
      <c r="L62" s="405"/>
      <c r="N62" s="410"/>
      <c r="O62" s="410"/>
    </row>
    <row r="63" spans="1:15" x14ac:dyDescent="0.4">
      <c r="A63" s="724" t="s">
        <v>215</v>
      </c>
      <c r="B63" s="725"/>
      <c r="C63" s="725"/>
      <c r="D63" s="631" t="s">
        <v>214</v>
      </c>
      <c r="E63" s="634">
        <f>'[1]19'!F63</f>
        <v>1059.72</v>
      </c>
      <c r="F63" s="634">
        <v>1063</v>
      </c>
      <c r="G63" s="593">
        <f t="shared" si="5"/>
        <v>3.2799999999999727</v>
      </c>
      <c r="H63" s="580">
        <f>G63+'[1]19'!H63</f>
        <v>206.63</v>
      </c>
      <c r="I63" s="635"/>
      <c r="J63" s="673">
        <f>H63/DAY(B2)</f>
        <v>10.3315</v>
      </c>
      <c r="K63" s="508"/>
      <c r="L63" s="405"/>
      <c r="N63" s="410"/>
      <c r="O63" s="410"/>
    </row>
    <row r="64" spans="1:15" ht="27.75" x14ac:dyDescent="0.5">
      <c r="A64" s="1395" t="s">
        <v>122</v>
      </c>
      <c r="B64" s="1396"/>
      <c r="C64" s="1397"/>
      <c r="D64" s="643" t="s">
        <v>214</v>
      </c>
      <c r="E64" s="604">
        <f>'[1]19'!F64</f>
        <v>93681</v>
      </c>
      <c r="F64" s="604">
        <v>94056</v>
      </c>
      <c r="G64" s="593">
        <f t="shared" si="5"/>
        <v>375</v>
      </c>
      <c r="H64" s="580">
        <f>G64+'[1]19'!H64</f>
        <v>7316.9049999999988</v>
      </c>
      <c r="I64" s="600"/>
      <c r="J64" s="673">
        <f>H64/DAY(B2)</f>
        <v>365.84524999999996</v>
      </c>
      <c r="K64" s="508"/>
      <c r="L64" s="405"/>
      <c r="N64" s="410"/>
      <c r="O64" s="410"/>
    </row>
    <row r="65" spans="1:15" ht="27.75" x14ac:dyDescent="0.5">
      <c r="A65" s="1395" t="s">
        <v>123</v>
      </c>
      <c r="B65" s="1396"/>
      <c r="C65" s="1397"/>
      <c r="D65" s="643" t="s">
        <v>214</v>
      </c>
      <c r="E65" s="604">
        <f>'[1]19'!F65</f>
        <v>104194</v>
      </c>
      <c r="F65" s="604">
        <v>104578</v>
      </c>
      <c r="G65" s="593">
        <f t="shared" si="5"/>
        <v>384</v>
      </c>
      <c r="H65" s="580">
        <f>G65+'[1]19'!H65</f>
        <v>7942.0170000000071</v>
      </c>
      <c r="I65" s="609"/>
      <c r="J65" s="673">
        <f>H65/DAY(B2)</f>
        <v>397.10085000000038</v>
      </c>
      <c r="K65" s="508"/>
      <c r="L65" s="405"/>
      <c r="N65" s="410"/>
      <c r="O65" s="410"/>
    </row>
    <row r="66" spans="1:15" ht="27.75" x14ac:dyDescent="0.5">
      <c r="A66" s="1395" t="s">
        <v>124</v>
      </c>
      <c r="B66" s="1396"/>
      <c r="C66" s="1397"/>
      <c r="D66" s="643" t="s">
        <v>214</v>
      </c>
      <c r="E66" s="604">
        <f>'[1]19'!F66</f>
        <v>97596</v>
      </c>
      <c r="F66" s="604">
        <v>98005</v>
      </c>
      <c r="G66" s="593">
        <f t="shared" si="5"/>
        <v>409</v>
      </c>
      <c r="H66" s="580">
        <f>G66+'[1]19'!H66</f>
        <v>8000.1530000000057</v>
      </c>
      <c r="I66" s="600"/>
      <c r="J66" s="673">
        <f>H66/DAY(B2)</f>
        <v>400.0076500000003</v>
      </c>
      <c r="K66" s="508"/>
      <c r="L66" s="405"/>
      <c r="N66" s="410"/>
      <c r="O66" s="410"/>
    </row>
    <row r="67" spans="1:15" ht="27.75" x14ac:dyDescent="0.5">
      <c r="A67" s="1395" t="s">
        <v>125</v>
      </c>
      <c r="B67" s="1396"/>
      <c r="C67" s="1397"/>
      <c r="D67" s="643" t="s">
        <v>214</v>
      </c>
      <c r="E67" s="604">
        <f>'[1]19'!F67</f>
        <v>159857</v>
      </c>
      <c r="F67" s="604">
        <v>160500</v>
      </c>
      <c r="G67" s="593">
        <f t="shared" si="5"/>
        <v>643</v>
      </c>
      <c r="H67" s="580">
        <f>G67+'[1]19'!H67</f>
        <v>14457.950000000012</v>
      </c>
      <c r="I67" s="609"/>
      <c r="J67" s="673">
        <f>H67/DAY(B2)</f>
        <v>722.8975000000006</v>
      </c>
      <c r="K67" s="509"/>
      <c r="L67" s="405"/>
      <c r="N67" s="410"/>
      <c r="O67" s="410"/>
    </row>
    <row r="68" spans="1:15" ht="27.75" x14ac:dyDescent="0.5">
      <c r="A68" s="1395" t="s">
        <v>126</v>
      </c>
      <c r="B68" s="1396"/>
      <c r="C68" s="1397"/>
      <c r="D68" s="643" t="s">
        <v>214</v>
      </c>
      <c r="E68" s="604">
        <f>'[1]19'!F68</f>
        <v>49921</v>
      </c>
      <c r="F68" s="604">
        <v>50248</v>
      </c>
      <c r="G68" s="593">
        <f t="shared" si="5"/>
        <v>327</v>
      </c>
      <c r="H68" s="580">
        <f>G68+'[1]19'!H68</f>
        <v>7072.9210000000021</v>
      </c>
      <c r="I68" s="636"/>
      <c r="J68" s="673">
        <f>H68/DAY(B2)</f>
        <v>353.64605000000012</v>
      </c>
      <c r="K68" s="510"/>
      <c r="L68" s="405"/>
      <c r="N68" s="410"/>
      <c r="O68" s="410"/>
    </row>
    <row r="69" spans="1:15" ht="27.75" x14ac:dyDescent="0.5">
      <c r="A69" s="1395" t="s">
        <v>127</v>
      </c>
      <c r="B69" s="1396"/>
      <c r="C69" s="1397"/>
      <c r="D69" s="643" t="s">
        <v>214</v>
      </c>
      <c r="E69" s="604">
        <f>'[1]19'!F69</f>
        <v>43107</v>
      </c>
      <c r="F69" s="604">
        <v>43386</v>
      </c>
      <c r="G69" s="593">
        <f t="shared" si="5"/>
        <v>279</v>
      </c>
      <c r="H69" s="580">
        <f>G69+'[1]19'!H69</f>
        <v>5830.4329999999973</v>
      </c>
      <c r="I69" s="636"/>
      <c r="J69" s="673">
        <f>H69/DAY(B2)</f>
        <v>291.52164999999985</v>
      </c>
      <c r="K69" s="511"/>
      <c r="L69" s="405"/>
      <c r="N69" s="410"/>
      <c r="O69" s="410"/>
    </row>
    <row r="70" spans="1:15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>
        <f>G70+'[1]13'!H70</f>
        <v>0</v>
      </c>
      <c r="I70" s="638"/>
      <c r="J70" s="677"/>
      <c r="K70" s="511"/>
      <c r="L70" s="405"/>
      <c r="N70" s="410"/>
      <c r="O70" s="410"/>
    </row>
    <row r="71" spans="1:15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410"/>
      <c r="O71" s="410"/>
    </row>
    <row r="72" spans="1:15" ht="27.75" x14ac:dyDescent="0.5">
      <c r="A72" s="1395" t="s">
        <v>218</v>
      </c>
      <c r="B72" s="1396"/>
      <c r="C72" s="1397"/>
      <c r="D72" s="643" t="s">
        <v>214</v>
      </c>
      <c r="E72" s="639">
        <f>'[1]19'!F72</f>
        <v>845380</v>
      </c>
      <c r="F72" s="639">
        <v>845458</v>
      </c>
      <c r="G72" s="593">
        <f t="shared" ref="G72:G84" si="6">F72-E72</f>
        <v>78</v>
      </c>
      <c r="H72" s="580">
        <f>G72+'[1]19'!H72</f>
        <v>1196</v>
      </c>
      <c r="I72" s="600"/>
      <c r="J72" s="673">
        <f>H72/DAY(B2)</f>
        <v>59.8</v>
      </c>
      <c r="K72" s="511"/>
      <c r="L72" s="405"/>
      <c r="N72" s="410"/>
      <c r="O72" s="410"/>
    </row>
    <row r="73" spans="1:15" ht="27.75" x14ac:dyDescent="0.5">
      <c r="A73" s="1395" t="s">
        <v>219</v>
      </c>
      <c r="B73" s="1396"/>
      <c r="C73" s="1397"/>
      <c r="D73" s="643" t="s">
        <v>214</v>
      </c>
      <c r="E73" s="640">
        <f>'[1]19'!F73</f>
        <v>885611</v>
      </c>
      <c r="F73" s="640">
        <v>885652</v>
      </c>
      <c r="G73" s="593">
        <f t="shared" si="6"/>
        <v>41</v>
      </c>
      <c r="H73" s="580">
        <f>G73+'[1]19'!H73</f>
        <v>948</v>
      </c>
      <c r="I73" s="600"/>
      <c r="J73" s="673">
        <f>H73/DAY(B2)</f>
        <v>47.4</v>
      </c>
      <c r="K73" s="510"/>
      <c r="L73" s="405"/>
      <c r="N73" s="410"/>
      <c r="O73" s="410"/>
    </row>
    <row r="74" spans="1:15" ht="27.75" x14ac:dyDescent="0.5">
      <c r="A74" s="1560" t="s">
        <v>220</v>
      </c>
      <c r="B74" s="1561"/>
      <c r="C74" s="1562"/>
      <c r="D74" s="643" t="s">
        <v>214</v>
      </c>
      <c r="E74" s="641">
        <f>'[1]19'!F74</f>
        <v>880809</v>
      </c>
      <c r="F74" s="641">
        <v>880863</v>
      </c>
      <c r="G74" s="593">
        <f t="shared" si="6"/>
        <v>54</v>
      </c>
      <c r="H74" s="580">
        <f>G74+'[1]19'!H74</f>
        <v>636</v>
      </c>
      <c r="I74" s="600"/>
      <c r="J74" s="673">
        <f>H74/DAY(B2)</f>
        <v>31.8</v>
      </c>
      <c r="K74" s="511"/>
      <c r="L74" s="405"/>
      <c r="N74" s="410"/>
      <c r="O74" s="410"/>
    </row>
    <row r="75" spans="1:15" ht="27.75" x14ac:dyDescent="0.5">
      <c r="A75" s="1447" t="s">
        <v>221</v>
      </c>
      <c r="B75" s="1448"/>
      <c r="C75" s="1449"/>
      <c r="D75" s="643" t="s">
        <v>214</v>
      </c>
      <c r="E75" s="641">
        <f>'[1]19'!F75</f>
        <v>729551</v>
      </c>
      <c r="F75" s="641">
        <v>729728</v>
      </c>
      <c r="G75" s="593">
        <f t="shared" si="6"/>
        <v>177</v>
      </c>
      <c r="H75" s="580">
        <f>G75+'[1]19'!H75</f>
        <v>3548</v>
      </c>
      <c r="I75" s="600"/>
      <c r="J75" s="673">
        <f>H75/DAY(B2)</f>
        <v>177.4</v>
      </c>
      <c r="K75" s="510"/>
      <c r="L75" s="405"/>
      <c r="N75" s="410"/>
      <c r="O75" s="410"/>
    </row>
    <row r="76" spans="1:15" ht="27.75" x14ac:dyDescent="0.5">
      <c r="A76" s="1447" t="s">
        <v>222</v>
      </c>
      <c r="B76" s="1448"/>
      <c r="C76" s="1449"/>
      <c r="D76" s="643" t="s">
        <v>214</v>
      </c>
      <c r="E76" s="641">
        <f>'[1]19'!F76</f>
        <v>683253</v>
      </c>
      <c r="F76" s="771">
        <v>683336</v>
      </c>
      <c r="G76" s="593">
        <f t="shared" si="6"/>
        <v>83</v>
      </c>
      <c r="H76" s="580">
        <f>G76+'[1]19'!H76</f>
        <v>2966</v>
      </c>
      <c r="I76" s="625"/>
      <c r="J76" s="673">
        <f>H76/DAY(B2)</f>
        <v>148.30000000000001</v>
      </c>
      <c r="K76" s="510"/>
      <c r="L76" s="405"/>
      <c r="N76" s="410"/>
      <c r="O76" s="410"/>
    </row>
    <row r="77" spans="1:15" ht="27.75" x14ac:dyDescent="0.5">
      <c r="A77" s="1395" t="s">
        <v>223</v>
      </c>
      <c r="B77" s="1396"/>
      <c r="C77" s="1397"/>
      <c r="D77" s="643" t="s">
        <v>214</v>
      </c>
      <c r="E77" s="641">
        <f>'[1]19'!F77</f>
        <v>694731</v>
      </c>
      <c r="F77" s="641">
        <v>694789</v>
      </c>
      <c r="G77" s="593">
        <f t="shared" si="6"/>
        <v>58</v>
      </c>
      <c r="H77" s="580">
        <f>G77+'[1]19'!H77</f>
        <v>1069</v>
      </c>
      <c r="I77" s="625"/>
      <c r="J77" s="673">
        <f>H77/DAY(B2)</f>
        <v>53.45</v>
      </c>
      <c r="K77" s="510"/>
      <c r="L77" s="405"/>
      <c r="N77" s="410"/>
      <c r="O77" s="410"/>
    </row>
    <row r="78" spans="1:15" ht="27.75" x14ac:dyDescent="0.5">
      <c r="A78" s="1357" t="s">
        <v>224</v>
      </c>
      <c r="B78" s="1320"/>
      <c r="C78" s="1320"/>
      <c r="D78" s="643" t="s">
        <v>214</v>
      </c>
      <c r="E78" s="641">
        <f>'[1]19'!F78</f>
        <v>626063</v>
      </c>
      <c r="F78" s="641">
        <v>626508</v>
      </c>
      <c r="G78" s="593">
        <f t="shared" si="6"/>
        <v>445</v>
      </c>
      <c r="H78" s="580">
        <f>G78+'[1]19'!H78</f>
        <v>8255</v>
      </c>
      <c r="I78" s="625"/>
      <c r="J78" s="673">
        <f>H78/DAY(B2)</f>
        <v>412.75</v>
      </c>
      <c r="K78" s="510"/>
      <c r="L78" s="405"/>
      <c r="N78" s="410"/>
      <c r="O78" s="410"/>
    </row>
    <row r="79" spans="1:15" ht="27.75" x14ac:dyDescent="0.5">
      <c r="A79" s="1447" t="s">
        <v>112</v>
      </c>
      <c r="B79" s="1448"/>
      <c r="C79" s="1449"/>
      <c r="D79" s="644" t="s">
        <v>214</v>
      </c>
      <c r="E79" s="641">
        <f>'[1]19'!F79</f>
        <v>801640</v>
      </c>
      <c r="F79" s="641">
        <v>801815</v>
      </c>
      <c r="G79" s="593">
        <f t="shared" si="6"/>
        <v>175</v>
      </c>
      <c r="H79" s="580">
        <f>G79+'[1]19'!H79</f>
        <v>6563</v>
      </c>
      <c r="I79" s="625"/>
      <c r="J79" s="673">
        <f>H79/DAY(B2)</f>
        <v>328.15</v>
      </c>
      <c r="K79" s="510"/>
      <c r="L79" s="405"/>
      <c r="N79" s="410"/>
      <c r="O79" s="410"/>
    </row>
    <row r="80" spans="1:15" ht="27.75" x14ac:dyDescent="0.5">
      <c r="A80" s="1447" t="s">
        <v>225</v>
      </c>
      <c r="B80" s="1448"/>
      <c r="C80" s="1449"/>
      <c r="D80" s="644" t="s">
        <v>214</v>
      </c>
      <c r="E80" s="640">
        <f>'[1]19'!F80</f>
        <v>471748</v>
      </c>
      <c r="F80" s="640">
        <v>472052</v>
      </c>
      <c r="G80" s="593">
        <f t="shared" si="6"/>
        <v>304</v>
      </c>
      <c r="H80" s="580">
        <f>G80+'[1]19'!H80</f>
        <v>4728.1599999999744</v>
      </c>
      <c r="I80" s="625"/>
      <c r="J80" s="673">
        <f>H80/DAY(B2)</f>
        <v>236.40799999999871</v>
      </c>
      <c r="K80" s="510"/>
      <c r="L80" s="405"/>
      <c r="N80" s="410"/>
      <c r="O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'[1]19'!F81</f>
        <v>617444</v>
      </c>
      <c r="F81" s="640">
        <v>617605</v>
      </c>
      <c r="G81" s="593">
        <f t="shared" si="6"/>
        <v>161</v>
      </c>
      <c r="H81" s="580">
        <f>G81+'[1]19'!H81</f>
        <v>3216.4799999999814</v>
      </c>
      <c r="I81" s="625"/>
      <c r="J81" s="673">
        <f>H81/DAY(B2)</f>
        <v>160.82399999999907</v>
      </c>
      <c r="K81" s="510"/>
      <c r="L81" s="405"/>
      <c r="N81" s="410"/>
      <c r="O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2">
        <f>'[1]19'!F82</f>
        <v>104158.88</v>
      </c>
      <c r="F82" s="642">
        <v>104191</v>
      </c>
      <c r="G82" s="593">
        <f t="shared" si="6"/>
        <v>32.119999999995343</v>
      </c>
      <c r="H82" s="580">
        <f>G82+'[1]19'!H82</f>
        <v>661.35000000000582</v>
      </c>
      <c r="I82" s="606"/>
      <c r="J82" s="673">
        <f>H82/DAY(B2)</f>
        <v>33.067500000000294</v>
      </c>
      <c r="K82" s="510"/>
      <c r="L82" s="405"/>
      <c r="N82" s="410"/>
      <c r="O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1">
        <f>'[1]19'!F83</f>
        <v>969294</v>
      </c>
      <c r="F83" s="631">
        <v>969670</v>
      </c>
      <c r="G83" s="593">
        <f t="shared" si="6"/>
        <v>376</v>
      </c>
      <c r="H83" s="580">
        <f>G83+'[1]19'!H83</f>
        <v>7145</v>
      </c>
      <c r="I83" s="601"/>
      <c r="J83" s="673">
        <f>H83/DAY(B2)</f>
        <v>357.25</v>
      </c>
      <c r="K83" s="509"/>
      <c r="L83" s="405"/>
      <c r="N83" s="410"/>
      <c r="O83" s="857"/>
    </row>
    <row r="84" spans="1:15" x14ac:dyDescent="0.5">
      <c r="A84" s="1360" t="s">
        <v>228</v>
      </c>
      <c r="B84" s="692"/>
      <c r="C84" s="692"/>
      <c r="D84" s="598" t="s">
        <v>159</v>
      </c>
      <c r="E84" s="748">
        <f>'[1]19'!F84</f>
        <v>391529</v>
      </c>
      <c r="F84" s="748">
        <v>391985</v>
      </c>
      <c r="G84" s="593">
        <f t="shared" si="6"/>
        <v>456</v>
      </c>
      <c r="H84" s="580">
        <f>G84+'[1]19'!H84</f>
        <v>10629</v>
      </c>
      <c r="I84" s="601"/>
      <c r="J84" s="673">
        <f>H84/DAY(B2)</f>
        <v>531.45000000000005</v>
      </c>
      <c r="K84" s="408"/>
      <c r="L84" s="405"/>
      <c r="N84" s="410"/>
      <c r="O84" s="410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SUM(G72:G84)</f>
        <v>2440.1199999999953</v>
      </c>
      <c r="H85" s="580">
        <f>G85+'[1]19'!H85</f>
        <v>47004.519999999931</v>
      </c>
      <c r="I85" s="601"/>
      <c r="J85" s="673">
        <f>H85/DAY(B2)</f>
        <v>2350.2259999999965</v>
      </c>
      <c r="K85" s="408"/>
      <c r="L85" s="406"/>
      <c r="N85" s="918"/>
      <c r="O85" s="857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64">
        <f>'[1]19'!F86</f>
        <v>443240</v>
      </c>
      <c r="F86" s="764">
        <v>443318</v>
      </c>
      <c r="G86" s="841">
        <f t="shared" ref="G86:G90" si="7">F86-E86</f>
        <v>78</v>
      </c>
      <c r="H86" s="841">
        <f t="shared" ref="H86:H90" si="8">G86</f>
        <v>78</v>
      </c>
      <c r="I86" s="769"/>
      <c r="J86" s="843">
        <f>H86/DAY(B2)</f>
        <v>3.9</v>
      </c>
      <c r="K86" s="869"/>
      <c r="L86" s="870"/>
      <c r="N86" s="919"/>
      <c r="O86" s="410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64">
        <f>'[1]19'!F87</f>
        <v>77467</v>
      </c>
      <c r="F87" s="764">
        <v>77479</v>
      </c>
      <c r="G87" s="841">
        <f t="shared" si="7"/>
        <v>12</v>
      </c>
      <c r="H87" s="841">
        <f t="shared" si="8"/>
        <v>12</v>
      </c>
      <c r="I87" s="769"/>
      <c r="J87" s="843">
        <f>H87/DAY(B2)</f>
        <v>0.6</v>
      </c>
      <c r="K87" s="869"/>
      <c r="L87" s="870"/>
      <c r="N87" s="919"/>
      <c r="O87" s="410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64">
        <f>'[1]19'!F88</f>
        <v>143841</v>
      </c>
      <c r="F88" s="764">
        <v>143869</v>
      </c>
      <c r="G88" s="841">
        <f t="shared" si="7"/>
        <v>28</v>
      </c>
      <c r="H88" s="841">
        <f t="shared" si="8"/>
        <v>28</v>
      </c>
      <c r="I88" s="769"/>
      <c r="J88" s="843">
        <f>H88/DAY(B2)</f>
        <v>1.4</v>
      </c>
      <c r="K88" s="869"/>
      <c r="L88" s="870"/>
      <c r="N88" s="919"/>
      <c r="O88" s="410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64">
        <f>'[1]19'!F89</f>
        <v>56827</v>
      </c>
      <c r="F89" s="764">
        <v>56899</v>
      </c>
      <c r="G89" s="841">
        <f t="shared" si="7"/>
        <v>72</v>
      </c>
      <c r="H89" s="841">
        <f t="shared" si="8"/>
        <v>72</v>
      </c>
      <c r="I89" s="769"/>
      <c r="J89" s="843">
        <f>H89/DAY(B2)</f>
        <v>3.6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64">
        <f>'[1]19'!F90</f>
        <v>2951</v>
      </c>
      <c r="F90" s="764">
        <v>2952</v>
      </c>
      <c r="G90" s="841">
        <f t="shared" si="7"/>
        <v>1</v>
      </c>
      <c r="H90" s="841">
        <f t="shared" si="8"/>
        <v>1</v>
      </c>
      <c r="I90" s="769"/>
      <c r="J90" s="843">
        <f>H90/DAY(B2)</f>
        <v>0.05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918"/>
      <c r="O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'[1]19'!F92</f>
        <v>232848</v>
      </c>
      <c r="F92" s="604">
        <v>232951</v>
      </c>
      <c r="G92" s="593">
        <f t="shared" ref="G92:G93" si="9">F92-E92</f>
        <v>103</v>
      </c>
      <c r="H92" s="580">
        <f>G92+'[1]19'!H92</f>
        <v>1976</v>
      </c>
      <c r="I92" s="600"/>
      <c r="J92" s="673">
        <f>H92/DAY(B2)</f>
        <v>98.8</v>
      </c>
      <c r="K92" s="509"/>
      <c r="L92" s="405"/>
      <c r="N92" s="410"/>
      <c r="O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'[1]19'!F93</f>
        <v>165342</v>
      </c>
      <c r="F93" s="604">
        <v>165485</v>
      </c>
      <c r="G93" s="593">
        <f t="shared" si="9"/>
        <v>143</v>
      </c>
      <c r="H93" s="580">
        <f>G93+'[1]19'!H93</f>
        <v>2843</v>
      </c>
      <c r="I93" s="600"/>
      <c r="J93" s="673">
        <f>H93/DAY(B2)</f>
        <v>142.15</v>
      </c>
      <c r="K93" s="408"/>
      <c r="L93" s="405"/>
      <c r="N93" s="410"/>
      <c r="O93" s="410"/>
    </row>
    <row r="94" spans="1:15" x14ac:dyDescent="0.5">
      <c r="A94" s="1392" t="s">
        <v>235</v>
      </c>
      <c r="B94" s="1393"/>
      <c r="C94" s="1394"/>
      <c r="D94" s="643"/>
      <c r="E94" s="604">
        <f>'[1]19'!F94</f>
        <v>0</v>
      </c>
      <c r="F94" s="604"/>
      <c r="G94" s="593">
        <f>G92+G93</f>
        <v>246</v>
      </c>
      <c r="H94" s="580">
        <f>G94+'[1]19'!H94</f>
        <v>4556</v>
      </c>
      <c r="I94" s="600"/>
      <c r="J94" s="673">
        <f>H94/DAY(B2)</f>
        <v>227.8</v>
      </c>
      <c r="K94" s="408"/>
      <c r="L94" s="405"/>
      <c r="N94" s="410"/>
      <c r="O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'[1]19'!F95</f>
        <v>402819</v>
      </c>
      <c r="F95" s="604">
        <v>402874</v>
      </c>
      <c r="G95" s="593">
        <f t="shared" ref="G95:G100" si="10">F95-E95</f>
        <v>55</v>
      </c>
      <c r="H95" s="580">
        <f>G95+'[1]19'!H95</f>
        <v>1309</v>
      </c>
      <c r="I95" s="600"/>
      <c r="J95" s="673">
        <f>H95/DAY(B2)</f>
        <v>65.45</v>
      </c>
      <c r="K95" s="408"/>
      <c r="L95" s="405"/>
      <c r="N95" s="410"/>
      <c r="O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'[1]19'!F96</f>
        <v>99638</v>
      </c>
      <c r="F96" s="604">
        <v>99667</v>
      </c>
      <c r="G96" s="593">
        <f t="shared" si="10"/>
        <v>29</v>
      </c>
      <c r="H96" s="580">
        <f>G96+'[1]19'!H96</f>
        <v>556</v>
      </c>
      <c r="I96" s="600"/>
      <c r="J96" s="673">
        <f>H96/DAY(B2)</f>
        <v>27.8</v>
      </c>
      <c r="K96" s="507"/>
      <c r="L96" s="405"/>
      <c r="N96" s="410"/>
      <c r="O96" s="410"/>
    </row>
    <row r="97" spans="1:15" ht="27.75" x14ac:dyDescent="0.5">
      <c r="A97" s="1354" t="s">
        <v>238</v>
      </c>
      <c r="B97" s="1355"/>
      <c r="C97" s="1355"/>
      <c r="D97" s="643" t="s">
        <v>171</v>
      </c>
      <c r="E97" s="604">
        <f>'[1]19'!F97</f>
        <v>94747</v>
      </c>
      <c r="F97" s="604">
        <v>94777</v>
      </c>
      <c r="G97" s="593">
        <f t="shared" si="10"/>
        <v>30</v>
      </c>
      <c r="H97" s="580">
        <f>G97+'[1]19'!H97</f>
        <v>505</v>
      </c>
      <c r="I97" s="600"/>
      <c r="J97" s="673">
        <f>H97/DAY(B2)</f>
        <v>25.25</v>
      </c>
      <c r="K97" s="512"/>
      <c r="L97" s="405"/>
      <c r="N97" s="410"/>
      <c r="O97" s="410"/>
    </row>
    <row r="98" spans="1:15" ht="27.75" x14ac:dyDescent="0.5">
      <c r="A98" s="1354" t="s">
        <v>239</v>
      </c>
      <c r="B98" s="1355"/>
      <c r="C98" s="1355"/>
      <c r="D98" s="643" t="s">
        <v>171</v>
      </c>
      <c r="E98" s="604">
        <f>'[1]19'!F98</f>
        <v>143176</v>
      </c>
      <c r="F98" s="604">
        <v>143263</v>
      </c>
      <c r="G98" s="593">
        <f t="shared" si="10"/>
        <v>87</v>
      </c>
      <c r="H98" s="580">
        <f>G98+'[1]19'!H98</f>
        <v>1117</v>
      </c>
      <c r="I98" s="600"/>
      <c r="J98" s="673">
        <f>H98/DAY(B2)</f>
        <v>55.85</v>
      </c>
      <c r="K98" s="408"/>
      <c r="L98" s="405"/>
      <c r="N98" s="410"/>
      <c r="O98" s="410"/>
    </row>
    <row r="99" spans="1:15" ht="27.75" x14ac:dyDescent="0.5">
      <c r="A99" s="1354" t="s">
        <v>240</v>
      </c>
      <c r="B99" s="1355"/>
      <c r="C99" s="1355"/>
      <c r="D99" s="643" t="s">
        <v>171</v>
      </c>
      <c r="E99" s="604">
        <f>'[1]19'!F99</f>
        <v>5349</v>
      </c>
      <c r="F99" s="604">
        <v>5374</v>
      </c>
      <c r="G99" s="593">
        <f t="shared" si="10"/>
        <v>25</v>
      </c>
      <c r="H99" s="580">
        <f>G99+'[1]19'!H99</f>
        <v>406</v>
      </c>
      <c r="I99" s="600"/>
      <c r="J99" s="673">
        <f>H99/DAY(B2)</f>
        <v>20.3</v>
      </c>
      <c r="K99" s="408"/>
      <c r="L99" s="405"/>
      <c r="N99" s="410"/>
      <c r="O99" s="410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604">
        <f>'[1]19'!F100</f>
        <v>3827</v>
      </c>
      <c r="F100" s="604">
        <v>3845</v>
      </c>
      <c r="G100" s="593">
        <f t="shared" si="10"/>
        <v>18</v>
      </c>
      <c r="H100" s="580">
        <f>G100+'[1]19'!H100</f>
        <v>49</v>
      </c>
      <c r="I100" s="600"/>
      <c r="J100" s="673">
        <f>H100/DAY(B2)</f>
        <v>2.4500000000000002</v>
      </c>
      <c r="K100" s="408"/>
      <c r="L100" s="405"/>
      <c r="N100" s="410"/>
      <c r="O100" s="410"/>
    </row>
    <row r="101" spans="1:15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244</v>
      </c>
      <c r="H101" s="580">
        <f>G101+'[1]19'!H101</f>
        <v>3942</v>
      </c>
      <c r="I101" s="646"/>
      <c r="J101" s="673">
        <f>H101/DAY(B2)</f>
        <v>197.1</v>
      </c>
      <c r="K101" s="408"/>
      <c r="L101" s="405"/>
      <c r="N101" s="410"/>
      <c r="O101" s="410"/>
    </row>
    <row r="102" spans="1:15" s="524" customFormat="1" ht="27" x14ac:dyDescent="0.35">
      <c r="A102" s="728" t="s">
        <v>243</v>
      </c>
      <c r="B102" s="729"/>
      <c r="C102" s="729"/>
      <c r="D102" s="742"/>
      <c r="E102" s="648"/>
      <c r="F102" s="648"/>
      <c r="G102" s="649"/>
      <c r="H102" s="650"/>
      <c r="I102" s="651"/>
      <c r="J102" s="678"/>
      <c r="N102" s="536"/>
      <c r="O102" s="410"/>
    </row>
    <row r="103" spans="1:15" s="524" customFormat="1" ht="27.75" x14ac:dyDescent="0.5">
      <c r="A103" s="1404" t="s">
        <v>244</v>
      </c>
      <c r="B103" s="1405"/>
      <c r="C103" s="694"/>
      <c r="D103" s="743"/>
      <c r="E103" s="652"/>
      <c r="F103" s="652"/>
      <c r="G103" s="652"/>
      <c r="H103" s="653"/>
      <c r="I103" s="652"/>
      <c r="J103" s="679"/>
      <c r="N103" s="536"/>
      <c r="O103" s="410"/>
    </row>
    <row r="104" spans="1:15" s="524" customFormat="1" ht="27.75" x14ac:dyDescent="0.5">
      <c r="A104" s="1406" t="s">
        <v>245</v>
      </c>
      <c r="B104" s="1407"/>
      <c r="C104" s="1363"/>
      <c r="D104" s="743" t="s">
        <v>171</v>
      </c>
      <c r="E104" s="652">
        <f>'[1]19'!F104</f>
        <v>7010</v>
      </c>
      <c r="F104" s="652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2.85</v>
      </c>
      <c r="N104" s="536"/>
      <c r="O104" s="410"/>
    </row>
    <row r="105" spans="1:15" s="524" customFormat="1" ht="27.75" x14ac:dyDescent="0.5">
      <c r="A105" s="1406" t="s">
        <v>92</v>
      </c>
      <c r="B105" s="1407"/>
      <c r="C105" s="1363"/>
      <c r="D105" s="743" t="s">
        <v>171</v>
      </c>
      <c r="E105" s="654">
        <f>'[1]19'!F105</f>
        <v>34821</v>
      </c>
      <c r="F105" s="654">
        <v>34821</v>
      </c>
      <c r="G105" s="652">
        <f t="shared" ref="G105:G106" si="11">F105-E105</f>
        <v>0</v>
      </c>
      <c r="H105" s="653">
        <f>SUM(G105+'[1]1'!G77)</f>
        <v>55</v>
      </c>
      <c r="I105" s="652"/>
      <c r="J105" s="679">
        <f>H105/DAY(B2)</f>
        <v>2.75</v>
      </c>
      <c r="N105" s="536"/>
      <c r="O105" s="410"/>
    </row>
    <row r="106" spans="1:15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'[1]19'!F106</f>
        <v>18827</v>
      </c>
      <c r="F106" s="652">
        <v>18830</v>
      </c>
      <c r="G106" s="652">
        <f t="shared" si="11"/>
        <v>3</v>
      </c>
      <c r="H106" s="653">
        <f>SUM(G106+'[1]1'!G78)</f>
        <v>483</v>
      </c>
      <c r="I106" s="652"/>
      <c r="J106" s="679">
        <f>H106/DAY(B2)</f>
        <v>24.15</v>
      </c>
      <c r="N106" s="536"/>
      <c r="O106" s="410"/>
    </row>
    <row r="107" spans="1:15" s="524" customFormat="1" ht="27.75" x14ac:dyDescent="0.5">
      <c r="A107" s="1409" t="s">
        <v>82</v>
      </c>
      <c r="B107" s="1410"/>
      <c r="C107" s="1363"/>
      <c r="D107" s="743"/>
      <c r="E107" s="652">
        <f>'[1]19'!F107</f>
        <v>0</v>
      </c>
      <c r="F107" s="652"/>
      <c r="G107" s="652">
        <f>SUM(G104:G106)</f>
        <v>3</v>
      </c>
      <c r="H107" s="653">
        <f>SUM(G107+'[1]1'!G79)</f>
        <v>204</v>
      </c>
      <c r="I107" s="652"/>
      <c r="J107" s="679">
        <f>H107/DAY(B2)</f>
        <v>10.199999999999999</v>
      </c>
      <c r="N107" s="536"/>
      <c r="O107" s="410"/>
    </row>
    <row r="108" spans="1:15" s="524" customFormat="1" ht="27.75" x14ac:dyDescent="0.5">
      <c r="A108" s="1411" t="s">
        <v>94</v>
      </c>
      <c r="B108" s="1412"/>
      <c r="C108" s="1363"/>
      <c r="D108" s="743" t="s">
        <v>171</v>
      </c>
      <c r="E108" s="652">
        <f>'[1]19'!F108</f>
        <v>0</v>
      </c>
      <c r="F108" s="652"/>
      <c r="G108" s="652"/>
      <c r="H108" s="653"/>
      <c r="I108" s="652"/>
      <c r="J108" s="679"/>
      <c r="N108" s="536"/>
      <c r="O108" s="410"/>
    </row>
    <row r="109" spans="1:15" s="524" customFormat="1" ht="27.75" x14ac:dyDescent="0.5">
      <c r="A109" s="1406" t="s">
        <v>246</v>
      </c>
      <c r="B109" s="1407"/>
      <c r="C109" s="1363"/>
      <c r="D109" s="743" t="s">
        <v>171</v>
      </c>
      <c r="E109" s="652">
        <f>'[1]19'!F109</f>
        <v>52381</v>
      </c>
      <c r="F109" s="652">
        <v>52434</v>
      </c>
      <c r="G109" s="652">
        <f>F109-E109</f>
        <v>53</v>
      </c>
      <c r="H109" s="653">
        <f>SUM(G109+'[1]1'!G81)</f>
        <v>206.28000000002794</v>
      </c>
      <c r="I109" s="652"/>
      <c r="J109" s="679">
        <f>H109/DAY(B2)</f>
        <v>10.314000000001396</v>
      </c>
      <c r="N109" s="536"/>
      <c r="O109" s="410"/>
    </row>
    <row r="110" spans="1:15" s="524" customFormat="1" ht="27.75" x14ac:dyDescent="0.5">
      <c r="A110" s="1406" t="s">
        <v>247</v>
      </c>
      <c r="B110" s="1407"/>
      <c r="C110" s="1363"/>
      <c r="D110" s="743" t="s">
        <v>171</v>
      </c>
      <c r="E110" s="652">
        <f>'[1]19'!F110</f>
        <v>26325</v>
      </c>
      <c r="F110" s="652">
        <v>26410</v>
      </c>
      <c r="G110" s="652">
        <f t="shared" ref="G110:G111" si="12">F110-E110</f>
        <v>85</v>
      </c>
      <c r="H110" s="653">
        <f>SUM(G110+'[1]1'!G82)</f>
        <v>105.76000000000931</v>
      </c>
      <c r="I110" s="652"/>
      <c r="J110" s="679">
        <f>H110/DAY(B2)</f>
        <v>5.2880000000004657</v>
      </c>
      <c r="N110" s="536"/>
      <c r="O110" s="410"/>
    </row>
    <row r="111" spans="1:15" s="524" customFormat="1" ht="27.75" x14ac:dyDescent="0.5">
      <c r="A111" s="1406" t="s">
        <v>248</v>
      </c>
      <c r="B111" s="1407"/>
      <c r="C111" s="1363"/>
      <c r="D111" s="743" t="s">
        <v>171</v>
      </c>
      <c r="E111" s="652">
        <f>'[1]19'!F111</f>
        <v>3488</v>
      </c>
      <c r="F111" s="652">
        <v>3490</v>
      </c>
      <c r="G111" s="652">
        <f t="shared" si="12"/>
        <v>2</v>
      </c>
      <c r="H111" s="653">
        <f>SUM(G111+'[1]1'!G83)</f>
        <v>348</v>
      </c>
      <c r="I111" s="652"/>
      <c r="J111" s="679">
        <f>H111/DAY(B2)</f>
        <v>17.399999999999999</v>
      </c>
      <c r="N111" s="536"/>
      <c r="O111" s="410"/>
    </row>
    <row r="112" spans="1:15" s="524" customFormat="1" ht="27.75" x14ac:dyDescent="0.5">
      <c r="A112" s="1435" t="s">
        <v>136</v>
      </c>
      <c r="B112" s="1436"/>
      <c r="C112" s="1363"/>
      <c r="D112" s="743"/>
      <c r="E112" s="652">
        <f>'[1]19'!F112</f>
        <v>0</v>
      </c>
      <c r="F112" s="652"/>
      <c r="G112" s="652">
        <f>SUM(G109:G111)</f>
        <v>140</v>
      </c>
      <c r="H112" s="653">
        <f>SUM(G112+'[1]1'!G84)</f>
        <v>704</v>
      </c>
      <c r="I112" s="652"/>
      <c r="J112" s="679">
        <f>H112/DAY(B2)</f>
        <v>35.200000000000003</v>
      </c>
      <c r="N112" s="536"/>
      <c r="O112" s="410"/>
    </row>
    <row r="113" spans="1:15" s="524" customFormat="1" ht="27.75" x14ac:dyDescent="0.5">
      <c r="A113" s="1411" t="s">
        <v>249</v>
      </c>
      <c r="B113" s="1412"/>
      <c r="C113" s="1363"/>
      <c r="D113" s="743"/>
      <c r="E113" s="652">
        <f>'[1]19'!F113</f>
        <v>0</v>
      </c>
      <c r="F113" s="652"/>
      <c r="G113" s="652"/>
      <c r="H113" s="653"/>
      <c r="I113" s="652"/>
      <c r="J113" s="679">
        <f>H113/DAY(B2)</f>
        <v>0</v>
      </c>
      <c r="N113" s="536"/>
      <c r="O113" s="410"/>
    </row>
    <row r="114" spans="1:15" s="524" customFormat="1" ht="27.75" x14ac:dyDescent="0.5">
      <c r="A114" s="1406" t="s">
        <v>250</v>
      </c>
      <c r="B114" s="1407"/>
      <c r="C114" s="695"/>
      <c r="D114" s="743" t="s">
        <v>171</v>
      </c>
      <c r="E114" s="654">
        <f>'[1]19'!F114</f>
        <v>9054</v>
      </c>
      <c r="F114" s="654">
        <v>9082</v>
      </c>
      <c r="G114" s="654">
        <f>F114-E114</f>
        <v>28</v>
      </c>
      <c r="H114" s="653">
        <f>SUM(G114+'[1]1'!G91)</f>
        <v>28</v>
      </c>
      <c r="I114" s="652"/>
      <c r="J114" s="679">
        <f>H114/DAY(B2)</f>
        <v>1.4</v>
      </c>
      <c r="N114" s="536"/>
      <c r="O114" s="410"/>
    </row>
    <row r="115" spans="1:15" s="524" customFormat="1" ht="27.75" x14ac:dyDescent="0.5">
      <c r="A115" s="1406" t="s">
        <v>251</v>
      </c>
      <c r="B115" s="1407"/>
      <c r="C115" s="695"/>
      <c r="D115" s="743" t="s">
        <v>171</v>
      </c>
      <c r="E115" s="654">
        <f>'[1]19'!F115</f>
        <v>7054</v>
      </c>
      <c r="F115" s="654">
        <v>7071</v>
      </c>
      <c r="G115" s="654">
        <f t="shared" ref="G115:G116" si="13">F115-E115</f>
        <v>17</v>
      </c>
      <c r="H115" s="653">
        <f>SUM(G115+'[1]1'!G92)</f>
        <v>129</v>
      </c>
      <c r="I115" s="652"/>
      <c r="J115" s="679">
        <f>H115/DAY(B2)</f>
        <v>6.45</v>
      </c>
      <c r="N115" s="536"/>
      <c r="O115" s="410"/>
    </row>
    <row r="116" spans="1:15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654"/>
      <c r="G116" s="654">
        <f t="shared" si="13"/>
        <v>0</v>
      </c>
      <c r="H116" s="653">
        <f>SUM(G116+'[1]1'!G93)</f>
        <v>151</v>
      </c>
      <c r="I116" s="652"/>
      <c r="J116" s="679">
        <f>H116/DAY(B2)</f>
        <v>7.55</v>
      </c>
      <c r="N116" s="536"/>
      <c r="O116" s="410"/>
    </row>
    <row r="117" spans="1:15" s="537" customFormat="1" ht="27.75" x14ac:dyDescent="0.5">
      <c r="A117" s="1409" t="s">
        <v>82</v>
      </c>
      <c r="B117" s="1410"/>
      <c r="C117" s="695"/>
      <c r="D117" s="744"/>
      <c r="E117" s="654"/>
      <c r="F117" s="654"/>
      <c r="G117" s="654">
        <f>SUM(G114:G116)</f>
        <v>45</v>
      </c>
      <c r="H117" s="653">
        <f>SUM(G117+'[1]1'!G95)</f>
        <v>92</v>
      </c>
      <c r="I117" s="654"/>
      <c r="J117" s="679">
        <f>H117/DAY(B2)</f>
        <v>4.5999999999999996</v>
      </c>
      <c r="N117" s="565"/>
      <c r="O117" s="410"/>
    </row>
    <row r="118" spans="1:15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656">
        <f>SUM(G19+G92)</f>
        <v>157</v>
      </c>
      <c r="G118" s="656">
        <f>SUM(G19+G92)</f>
        <v>157</v>
      </c>
      <c r="H118" s="653">
        <f>SUM(G118+'[1]1'!G96)</f>
        <v>190</v>
      </c>
      <c r="I118" s="655"/>
      <c r="J118" s="680">
        <f>H118/DAY(B2)</f>
        <v>9.5</v>
      </c>
      <c r="N118" s="920"/>
      <c r="O118" s="410"/>
    </row>
    <row r="119" spans="1:15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656">
        <f>SUM(G95,G96,G97,G99,G100)</f>
        <v>157</v>
      </c>
      <c r="G119" s="656">
        <f>SUM(G95,G96,G97,G99,G100)</f>
        <v>157</v>
      </c>
      <c r="H119" s="653">
        <f>SUM(G119+'[1]1'!G98)</f>
        <v>224</v>
      </c>
      <c r="I119" s="655"/>
      <c r="J119" s="680">
        <f>H119/DAY(B2)</f>
        <v>11.2</v>
      </c>
      <c r="N119" s="920"/>
      <c r="O119" s="410"/>
    </row>
    <row r="120" spans="1:15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654">
        <f>SUM(G112)</f>
        <v>140</v>
      </c>
      <c r="G120" s="654">
        <f>SUM(G112)</f>
        <v>140</v>
      </c>
      <c r="H120" s="653">
        <f>SUM(G120+'[1]1'!G100)</f>
        <v>140</v>
      </c>
      <c r="I120" s="655"/>
      <c r="J120" s="680">
        <f>H120/DAY(B2)</f>
        <v>7</v>
      </c>
      <c r="N120" s="920"/>
      <c r="O120" s="410"/>
    </row>
    <row r="121" spans="1:15" s="524" customFormat="1" ht="27.75" x14ac:dyDescent="0.5">
      <c r="A121" s="1439"/>
      <c r="B121" s="1440"/>
      <c r="C121" s="1363"/>
      <c r="D121" s="681"/>
      <c r="E121" s="681"/>
      <c r="F121" s="681" t="s">
        <v>143</v>
      </c>
      <c r="G121" s="681"/>
      <c r="H121" s="682"/>
      <c r="I121" s="681"/>
      <c r="J121" s="683"/>
      <c r="N121" s="536"/>
      <c r="O121" s="410"/>
    </row>
    <row r="122" spans="1:15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410"/>
      <c r="O122" s="410"/>
    </row>
    <row r="123" spans="1:15" ht="27.75" x14ac:dyDescent="0.5">
      <c r="A123" s="1354" t="s">
        <v>257</v>
      </c>
      <c r="B123" s="1355"/>
      <c r="C123" s="1355"/>
      <c r="D123" s="643" t="s">
        <v>168</v>
      </c>
      <c r="E123" s="598">
        <f>'[1]19'!F123</f>
        <v>792714</v>
      </c>
      <c r="F123" s="598">
        <v>792945</v>
      </c>
      <c r="G123" s="593">
        <f t="shared" ref="G123:G127" si="14">F123-E123</f>
        <v>231</v>
      </c>
      <c r="H123" s="580">
        <f>G123+'[1]19'!H123</f>
        <v>4113.9300000000512</v>
      </c>
      <c r="I123" s="646"/>
      <c r="J123" s="673">
        <f>H123/DAY(B2)</f>
        <v>205.69650000000257</v>
      </c>
      <c r="K123" s="408"/>
      <c r="L123" s="405"/>
      <c r="N123" s="410"/>
      <c r="O123" s="410"/>
    </row>
    <row r="124" spans="1:15" ht="27.75" x14ac:dyDescent="0.5">
      <c r="A124" s="1354" t="s">
        <v>258</v>
      </c>
      <c r="B124" s="1355"/>
      <c r="C124" s="1355"/>
      <c r="D124" s="643" t="s">
        <v>168</v>
      </c>
      <c r="E124" s="747">
        <f>'[1]19'!F124</f>
        <v>73581.899999999994</v>
      </c>
      <c r="F124" s="747">
        <v>73581.899999999994</v>
      </c>
      <c r="G124" s="593">
        <f t="shared" si="14"/>
        <v>0</v>
      </c>
      <c r="H124" s="580">
        <f>G124+'[1]19'!H124</f>
        <v>-0.30000000000291038</v>
      </c>
      <c r="I124" s="646"/>
      <c r="J124" s="673">
        <f>H124/DAY(B2)</f>
        <v>-1.5000000000145518E-2</v>
      </c>
      <c r="K124" s="408"/>
      <c r="L124" s="405"/>
      <c r="N124" s="410"/>
      <c r="O124" s="410"/>
    </row>
    <row r="125" spans="1:15" ht="27.75" x14ac:dyDescent="0.5">
      <c r="A125" s="1395" t="s">
        <v>259</v>
      </c>
      <c r="B125" s="1396"/>
      <c r="C125" s="1397"/>
      <c r="D125" s="643" t="s">
        <v>168</v>
      </c>
      <c r="E125" s="598">
        <f>'[1]19'!F125</f>
        <v>134707.57999999999</v>
      </c>
      <c r="F125" s="598">
        <v>134772</v>
      </c>
      <c r="G125" s="593">
        <f t="shared" si="14"/>
        <v>64.420000000012806</v>
      </c>
      <c r="H125" s="580">
        <f>G125+'[1]19'!H125</f>
        <v>1649.1199999999953</v>
      </c>
      <c r="I125" s="646"/>
      <c r="J125" s="673">
        <f>H125/DAY(B2)</f>
        <v>82.455999999999761</v>
      </c>
      <c r="K125" s="408"/>
      <c r="L125" s="405"/>
      <c r="N125" s="410"/>
      <c r="O125" s="410"/>
    </row>
    <row r="126" spans="1:15" ht="27.75" x14ac:dyDescent="0.5">
      <c r="A126" s="730" t="s">
        <v>260</v>
      </c>
      <c r="B126" s="1355"/>
      <c r="C126" s="1355"/>
      <c r="D126" s="643" t="s">
        <v>168</v>
      </c>
      <c r="E126" s="605">
        <f>'[1]19'!F126</f>
        <v>56953</v>
      </c>
      <c r="F126" s="605">
        <v>56993</v>
      </c>
      <c r="G126" s="593">
        <f t="shared" si="14"/>
        <v>40</v>
      </c>
      <c r="H126" s="580">
        <f>G126+'[1]19'!H126</f>
        <v>644.80000000000291</v>
      </c>
      <c r="I126" s="646"/>
      <c r="J126" s="673">
        <f>H126/DAY(B2)</f>
        <v>32.240000000000144</v>
      </c>
      <c r="K126" s="408"/>
      <c r="L126" s="405"/>
      <c r="N126" s="410"/>
      <c r="O126" s="410"/>
    </row>
    <row r="127" spans="1:15" ht="27.75" x14ac:dyDescent="0.5">
      <c r="A127" s="730" t="s">
        <v>261</v>
      </c>
      <c r="B127" s="1355"/>
      <c r="C127" s="1355"/>
      <c r="D127" s="643" t="s">
        <v>168</v>
      </c>
      <c r="E127" s="747">
        <f>'[1]19'!F127</f>
        <v>8679</v>
      </c>
      <c r="F127" s="747">
        <v>8680</v>
      </c>
      <c r="G127" s="593">
        <f t="shared" si="14"/>
        <v>1</v>
      </c>
      <c r="H127" s="580">
        <f>G127+'[1]19'!H127</f>
        <v>39.899999999999636</v>
      </c>
      <c r="I127" s="600"/>
      <c r="J127" s="673">
        <f>H127/DAY(B2)</f>
        <v>1.9949999999999819</v>
      </c>
      <c r="K127" s="408"/>
      <c r="L127" s="405"/>
      <c r="N127" s="410"/>
      <c r="O127" s="410"/>
    </row>
    <row r="128" spans="1:15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210.89000000004307</v>
      </c>
      <c r="H128" s="580">
        <f>G128+'[1]19'!H128</f>
        <v>1451.1000000000058</v>
      </c>
      <c r="I128" s="600"/>
      <c r="J128" s="673">
        <f>H128/DAY(B2)</f>
        <v>72.555000000000291</v>
      </c>
      <c r="K128" s="388"/>
      <c r="L128" s="290"/>
      <c r="N128" s="392"/>
      <c r="O128" s="410"/>
    </row>
    <row r="129" spans="1:15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410"/>
      <c r="O129" s="410"/>
    </row>
    <row r="130" spans="1:15" ht="27.75" x14ac:dyDescent="0.5">
      <c r="A130" s="1354" t="s">
        <v>264</v>
      </c>
      <c r="B130" s="1355"/>
      <c r="C130" s="1355"/>
      <c r="D130" s="643" t="s">
        <v>265</v>
      </c>
      <c r="E130" s="604">
        <f>'[1]19'!F130</f>
        <v>0</v>
      </c>
      <c r="F130" s="604">
        <v>0</v>
      </c>
      <c r="G130" s="593">
        <f t="shared" ref="G130:G140" si="15">F130-E130</f>
        <v>0</v>
      </c>
      <c r="H130" s="580">
        <f>G130+'[1]19'!H130</f>
        <v>0</v>
      </c>
      <c r="I130" s="600"/>
      <c r="J130" s="673">
        <f>H130/DAY(B2)</f>
        <v>0</v>
      </c>
      <c r="N130" s="410"/>
      <c r="O130" s="410"/>
    </row>
    <row r="131" spans="1:15" ht="27.75" x14ac:dyDescent="0.5">
      <c r="A131" s="1354" t="s">
        <v>266</v>
      </c>
      <c r="B131" s="1355"/>
      <c r="C131" s="1355"/>
      <c r="D131" s="643" t="s">
        <v>265</v>
      </c>
      <c r="E131" s="604">
        <f>'[1]19'!F131</f>
        <v>0</v>
      </c>
      <c r="F131" s="604">
        <v>0</v>
      </c>
      <c r="G131" s="593">
        <f t="shared" si="15"/>
        <v>0</v>
      </c>
      <c r="H131" s="580">
        <f>G131+'[1]19'!H131</f>
        <v>0</v>
      </c>
      <c r="I131" s="600"/>
      <c r="J131" s="673">
        <f>H131/DAY(B2)</f>
        <v>0</v>
      </c>
      <c r="N131" s="410"/>
      <c r="O131" s="410"/>
    </row>
    <row r="132" spans="1:15" ht="27.75" x14ac:dyDescent="0.5">
      <c r="A132" s="1354" t="s">
        <v>267</v>
      </c>
      <c r="B132" s="1355"/>
      <c r="C132" s="1355"/>
      <c r="D132" s="643" t="s">
        <v>265</v>
      </c>
      <c r="E132" s="662">
        <f>'[1]19'!F132+24</f>
        <v>38901</v>
      </c>
      <c r="F132" s="662">
        <v>38901</v>
      </c>
      <c r="G132" s="593">
        <f t="shared" si="15"/>
        <v>0</v>
      </c>
      <c r="H132" s="580">
        <f>G132+'[1]19'!H132</f>
        <v>0</v>
      </c>
      <c r="I132" s="600"/>
      <c r="J132" s="673">
        <f>H132/DAY(B2)</f>
        <v>0</v>
      </c>
      <c r="N132" s="410"/>
      <c r="O132" s="410"/>
    </row>
    <row r="133" spans="1:15" s="523" customFormat="1" ht="27.75" x14ac:dyDescent="0.5">
      <c r="A133" s="1213" t="s">
        <v>268</v>
      </c>
      <c r="B133" s="1214"/>
      <c r="C133" s="1214"/>
      <c r="D133" s="748" t="s">
        <v>265</v>
      </c>
      <c r="E133" s="662">
        <f>'[1]19'!F133</f>
        <v>299</v>
      </c>
      <c r="F133" s="662">
        <v>299</v>
      </c>
      <c r="G133" s="769">
        <f t="shared" si="15"/>
        <v>0</v>
      </c>
      <c r="H133" s="841">
        <f>G133+'[1]19'!H133</f>
        <v>299</v>
      </c>
      <c r="I133" s="1215">
        <f>G130+G131+G132+G133</f>
        <v>0</v>
      </c>
      <c r="J133" s="843">
        <f>H133/DAY(B2)</f>
        <v>14.95</v>
      </c>
      <c r="N133" s="849"/>
      <c r="O133" s="849"/>
    </row>
    <row r="134" spans="1:15" ht="27.75" x14ac:dyDescent="0.5">
      <c r="A134" s="1354" t="s">
        <v>269</v>
      </c>
      <c r="B134" s="1355"/>
      <c r="C134" s="1355"/>
      <c r="D134" s="643" t="s">
        <v>265</v>
      </c>
      <c r="E134" s="662">
        <f>'[1]19'!F134</f>
        <v>39735</v>
      </c>
      <c r="F134" s="662">
        <v>39735</v>
      </c>
      <c r="G134" s="593">
        <f t="shared" si="15"/>
        <v>0</v>
      </c>
      <c r="H134" s="580">
        <f>G134+'[1]19'!H134</f>
        <v>0</v>
      </c>
      <c r="I134" s="600"/>
      <c r="J134" s="673">
        <f>H134/DAY(B2)</f>
        <v>0</v>
      </c>
      <c r="N134" s="410"/>
      <c r="O134" s="410"/>
    </row>
    <row r="135" spans="1:15" ht="27.75" x14ac:dyDescent="0.5">
      <c r="A135" s="1354" t="s">
        <v>270</v>
      </c>
      <c r="B135" s="1355"/>
      <c r="C135" s="1355"/>
      <c r="D135" s="643" t="s">
        <v>265</v>
      </c>
      <c r="E135" s="662">
        <f>'[1]19'!F135</f>
        <v>31877.25</v>
      </c>
      <c r="F135" s="662">
        <v>31901</v>
      </c>
      <c r="G135" s="593">
        <f t="shared" si="15"/>
        <v>23.75</v>
      </c>
      <c r="H135" s="580">
        <f>G135+'[1]19'!H135</f>
        <v>183.47999999999956</v>
      </c>
      <c r="I135" s="600"/>
      <c r="J135" s="673">
        <f>H135/DAY(B2)</f>
        <v>9.1739999999999782</v>
      </c>
      <c r="N135" s="410"/>
      <c r="O135" s="410"/>
    </row>
    <row r="136" spans="1:15" ht="27.75" x14ac:dyDescent="0.5">
      <c r="A136" s="1354" t="s">
        <v>271</v>
      </c>
      <c r="B136" s="1355"/>
      <c r="C136" s="1355"/>
      <c r="D136" s="643" t="s">
        <v>265</v>
      </c>
      <c r="E136" s="662">
        <f>'[1]19'!F136</f>
        <v>21766.92</v>
      </c>
      <c r="F136" s="662">
        <v>21766.92</v>
      </c>
      <c r="G136" s="593">
        <f t="shared" si="15"/>
        <v>0</v>
      </c>
      <c r="H136" s="580">
        <f>G136+'[1]19'!H136</f>
        <v>92.19999999999709</v>
      </c>
      <c r="I136" s="600">
        <f>G134+G135+G136</f>
        <v>23.75</v>
      </c>
      <c r="J136" s="673">
        <f>H136/DAY(B2)</f>
        <v>4.6099999999998547</v>
      </c>
      <c r="N136" s="410"/>
      <c r="O136" s="410"/>
    </row>
    <row r="137" spans="1:15" ht="27.75" x14ac:dyDescent="0.5">
      <c r="A137" s="1354" t="s">
        <v>272</v>
      </c>
      <c r="B137" s="1355"/>
      <c r="C137" s="1355"/>
      <c r="D137" s="643" t="s">
        <v>265</v>
      </c>
      <c r="E137" s="662">
        <f>'[1]19'!F137</f>
        <v>24949.13</v>
      </c>
      <c r="F137" s="662">
        <v>24949.13</v>
      </c>
      <c r="G137" s="593">
        <f t="shared" si="15"/>
        <v>0</v>
      </c>
      <c r="H137" s="580">
        <f>G137+'[1]19'!H137</f>
        <v>16.620000000002619</v>
      </c>
      <c r="I137" s="600"/>
      <c r="J137" s="673">
        <f>H137/DAY(B2)</f>
        <v>0.83100000000013097</v>
      </c>
      <c r="N137" s="410"/>
      <c r="O137" s="410"/>
    </row>
    <row r="138" spans="1:15" ht="27.75" x14ac:dyDescent="0.5">
      <c r="A138" s="1354" t="s">
        <v>273</v>
      </c>
      <c r="B138" s="1355"/>
      <c r="C138" s="1355"/>
      <c r="D138" s="643" t="s">
        <v>265</v>
      </c>
      <c r="E138" s="662">
        <f>'[1]19'!F138</f>
        <v>69993.490000000005</v>
      </c>
      <c r="F138" s="662">
        <v>69999</v>
      </c>
      <c r="G138" s="593">
        <f t="shared" si="15"/>
        <v>5.5099999999947613</v>
      </c>
      <c r="H138" s="580">
        <f>G138+'[1]19'!H138</f>
        <v>43.789999999993597</v>
      </c>
      <c r="I138" s="600">
        <f>G137+G138</f>
        <v>5.5099999999947613</v>
      </c>
      <c r="J138" s="673">
        <f>H138/DAY(B2)</f>
        <v>2.18949999999968</v>
      </c>
      <c r="N138" s="410"/>
      <c r="O138" s="410"/>
    </row>
    <row r="139" spans="1:15" ht="27.75" x14ac:dyDescent="0.5">
      <c r="A139" s="1354" t="s">
        <v>274</v>
      </c>
      <c r="B139" s="1355"/>
      <c r="C139" s="1355"/>
      <c r="D139" s="643" t="s">
        <v>265</v>
      </c>
      <c r="E139" s="604">
        <f>'[1]19'!F139</f>
        <v>1050.5999999999999</v>
      </c>
      <c r="F139" s="604">
        <v>1056.52</v>
      </c>
      <c r="G139" s="593">
        <f t="shared" si="15"/>
        <v>5.9200000000000728</v>
      </c>
      <c r="H139" s="580">
        <f>G139+'[1]19'!H139</f>
        <v>114.99000000000001</v>
      </c>
      <c r="I139" s="663"/>
      <c r="J139" s="673">
        <f>H139/DAY(B2)</f>
        <v>5.7495000000000003</v>
      </c>
      <c r="N139" s="410"/>
      <c r="O139" s="410"/>
    </row>
    <row r="140" spans="1:15" ht="27.75" x14ac:dyDescent="0.5">
      <c r="A140" s="1354" t="s">
        <v>275</v>
      </c>
      <c r="B140" s="1355"/>
      <c r="C140" s="1355"/>
      <c r="D140" s="643" t="s">
        <v>265</v>
      </c>
      <c r="E140" s="604">
        <f>'[1]19'!F140</f>
        <v>4156.8999999999996</v>
      </c>
      <c r="F140" s="604">
        <v>4156.8999999999996</v>
      </c>
      <c r="G140" s="593">
        <f t="shared" si="15"/>
        <v>0</v>
      </c>
      <c r="H140" s="580">
        <f>G140+'[1]19'!H140</f>
        <v>0</v>
      </c>
      <c r="I140" s="663"/>
      <c r="J140" s="673">
        <f>H140/DAY(B2)</f>
        <v>0</v>
      </c>
      <c r="N140" s="410"/>
      <c r="O140" s="410"/>
    </row>
    <row r="141" spans="1:15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410"/>
      <c r="O141" s="410"/>
    </row>
    <row r="142" spans="1:15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5047</v>
      </c>
      <c r="H142" s="580">
        <f>G142+'[1]19'!H142</f>
        <v>100151.42299999995</v>
      </c>
      <c r="I142" s="600"/>
      <c r="J142" s="673">
        <f>H142/DAY(B2)</f>
        <v>5007.5711499999979</v>
      </c>
      <c r="K142" s="408"/>
      <c r="L142" s="405"/>
      <c r="N142" s="410"/>
      <c r="O142" s="410"/>
    </row>
    <row r="143" spans="1:15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0.2604499948395087</v>
      </c>
      <c r="H143" s="580">
        <f>G143+'[1]19'!H143</f>
        <v>4.776167843711419</v>
      </c>
      <c r="I143" s="665"/>
      <c r="J143" s="673">
        <f>H143/DAY(B2)</f>
        <v>0.23880839218557096</v>
      </c>
      <c r="K143" s="408"/>
      <c r="L143" s="405"/>
      <c r="N143" s="410"/>
      <c r="O143" s="410"/>
    </row>
    <row r="144" spans="1:15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3914</v>
      </c>
      <c r="H144" s="580">
        <f>G144+'[1]19'!H144</f>
        <v>93925.139999999985</v>
      </c>
      <c r="I144" s="600"/>
      <c r="J144" s="673">
        <f>H144/DAY(B2)</f>
        <v>4696.2569999999996</v>
      </c>
      <c r="K144" s="408"/>
      <c r="L144" s="405"/>
      <c r="N144" s="410"/>
      <c r="O144" s="410"/>
    </row>
    <row r="145" spans="1:15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0.20198162865104757</v>
      </c>
      <c r="H145" s="580">
        <f>G145+'[1]19'!H145</f>
        <v>4.6195693044654451</v>
      </c>
      <c r="I145" s="665"/>
      <c r="J145" s="673">
        <f>H145/DAY(B2)</f>
        <v>0.23097846522327226</v>
      </c>
      <c r="K145" s="408"/>
      <c r="L145" s="405"/>
      <c r="N145" s="410"/>
      <c r="O145" s="410"/>
    </row>
    <row r="146" spans="1:15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4054</v>
      </c>
      <c r="H146" s="580">
        <f>G146+'[1]19'!H146</f>
        <v>84683.993000000002</v>
      </c>
      <c r="I146" s="666"/>
      <c r="J146" s="673">
        <f>H146/DAY(B2)</f>
        <v>4234.1996500000005</v>
      </c>
      <c r="K146" s="408"/>
      <c r="L146" s="405"/>
      <c r="N146" s="410"/>
      <c r="O146" s="410"/>
    </row>
    <row r="147" spans="1:15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0.2092063164413252</v>
      </c>
      <c r="H147" s="580">
        <f>G147+'[1]19'!H147</f>
        <v>4.1795169143309856</v>
      </c>
      <c r="I147" s="666"/>
      <c r="J147" s="673">
        <f>H147/DAY(B2)</f>
        <v>0.20897584571654929</v>
      </c>
      <c r="N147" s="410"/>
      <c r="O147" s="410"/>
    </row>
    <row r="148" spans="1:15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2050</v>
      </c>
      <c r="H148" s="580">
        <f>G148+'[1]19'!H148</f>
        <v>39860.570000000007</v>
      </c>
      <c r="I148" s="600"/>
      <c r="J148" s="673">
        <f>H148/DAY(B2)</f>
        <v>1993.0285000000003</v>
      </c>
      <c r="K148" s="409"/>
      <c r="N148" s="410"/>
      <c r="O148" s="410"/>
    </row>
    <row r="149" spans="1:15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0.10579007121477965</v>
      </c>
      <c r="H149" s="580">
        <f>G149+'[1]19'!H149</f>
        <v>1.962854074174043</v>
      </c>
      <c r="I149" s="666"/>
      <c r="J149" s="673">
        <f>H149/DAY(B2)</f>
        <v>9.814270370870215E-2</v>
      </c>
      <c r="N149" s="410"/>
      <c r="O149" s="410"/>
    </row>
    <row r="150" spans="1:15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2042</v>
      </c>
      <c r="H150" s="580">
        <f>G150+'[1]19'!H150</f>
        <v>42907.179999999964</v>
      </c>
      <c r="I150" s="666"/>
      <c r="J150" s="673">
        <f>H150/DAY(B2)</f>
        <v>2145.3589999999981</v>
      </c>
      <c r="N150" s="410"/>
      <c r="O150" s="410"/>
    </row>
    <row r="151" spans="1:15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0.10537723191247807</v>
      </c>
      <c r="H151" s="580">
        <f>G151+'[1]19'!H151</f>
        <v>2.1071936384984618</v>
      </c>
      <c r="I151" s="600"/>
      <c r="J151" s="673">
        <f>H151/DAY(B2)</f>
        <v>0.10535968192492309</v>
      </c>
      <c r="N151" s="410"/>
      <c r="O151" s="410"/>
    </row>
    <row r="152" spans="1:15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1440</v>
      </c>
      <c r="H152" s="580">
        <f>G152+'[1]19'!H152</f>
        <v>29413.512999999999</v>
      </c>
      <c r="I152" s="600"/>
      <c r="J152" s="673">
        <f>H152/DAY(B2)</f>
        <v>1470.6756499999999</v>
      </c>
      <c r="L152" s="404" t="s">
        <v>307</v>
      </c>
      <c r="M152" s="404">
        <v>0.5</v>
      </c>
      <c r="N152" s="410">
        <v>50</v>
      </c>
      <c r="O152" s="410"/>
    </row>
    <row r="153" spans="1:15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7.4311074414284237E-2</v>
      </c>
      <c r="H153" s="580">
        <f>G153+'[1]19'!H153</f>
        <v>1.5617183129258523</v>
      </c>
      <c r="I153" s="689"/>
      <c r="J153" s="690">
        <f>H153/DAY(B2)</f>
        <v>7.8085915646292609E-2</v>
      </c>
      <c r="N153" s="410"/>
      <c r="O153" s="410"/>
    </row>
    <row r="154" spans="1:15" x14ac:dyDescent="0.5">
      <c r="A154" s="586"/>
      <c r="B154" s="576"/>
      <c r="C154" s="576"/>
      <c r="D154" s="667"/>
      <c r="E154" s="667"/>
      <c r="F154" s="667"/>
      <c r="G154" s="667"/>
      <c r="H154" s="668"/>
      <c r="I154" s="667"/>
      <c r="J154" s="669"/>
      <c r="O154" s="410"/>
    </row>
    <row r="160" spans="1:15" x14ac:dyDescent="0.5">
      <c r="A160" s="925" t="s">
        <v>289</v>
      </c>
      <c r="B160" s="926"/>
      <c r="C160" s="926"/>
      <c r="D160" s="631" t="s">
        <v>214</v>
      </c>
      <c r="E160" s="775">
        <f>'[1]19'!F160</f>
        <v>25221</v>
      </c>
      <c r="F160" s="775">
        <v>25291</v>
      </c>
      <c r="G160" s="593">
        <f t="shared" ref="G160:G171" si="16">F160-E160</f>
        <v>70</v>
      </c>
      <c r="K160" s="404">
        <v>70.399999999999636</v>
      </c>
      <c r="L160" s="404">
        <f t="shared" ref="L160:L171" si="17">G160-K160</f>
        <v>-0.3999999999996362</v>
      </c>
    </row>
    <row r="161" spans="1:12" ht="24.75" customHeight="1" x14ac:dyDescent="0.5">
      <c r="A161" s="925" t="s">
        <v>290</v>
      </c>
      <c r="B161" s="926"/>
      <c r="C161" s="926"/>
      <c r="D161" s="631" t="s">
        <v>214</v>
      </c>
      <c r="E161" s="775">
        <f>'[1]19'!F161</f>
        <v>22875.75</v>
      </c>
      <c r="F161" s="775">
        <v>23307</v>
      </c>
      <c r="G161" s="593">
        <f t="shared" si="16"/>
        <v>431.25</v>
      </c>
      <c r="K161" s="404">
        <v>124.25999999999999</v>
      </c>
      <c r="L161" s="404">
        <f t="shared" si="17"/>
        <v>306.99</v>
      </c>
    </row>
    <row r="162" spans="1:12" ht="24.75" customHeight="1" x14ac:dyDescent="0.5">
      <c r="A162" s="925" t="s">
        <v>291</v>
      </c>
      <c r="B162" s="926"/>
      <c r="C162" s="926"/>
      <c r="D162" s="631" t="s">
        <v>214</v>
      </c>
      <c r="E162" s="775">
        <f>'[1]19'!F162</f>
        <v>751</v>
      </c>
      <c r="F162" s="775">
        <v>1103</v>
      </c>
      <c r="G162" s="593">
        <f t="shared" si="16"/>
        <v>352</v>
      </c>
      <c r="K162" s="404">
        <v>138.98000000000002</v>
      </c>
      <c r="L162" s="404">
        <f t="shared" si="17"/>
        <v>213.01999999999998</v>
      </c>
    </row>
    <row r="163" spans="1:12" ht="24.75" customHeight="1" x14ac:dyDescent="0.5">
      <c r="A163" s="925" t="s">
        <v>292</v>
      </c>
      <c r="B163" s="926"/>
      <c r="C163" s="926"/>
      <c r="D163" s="631" t="s">
        <v>214</v>
      </c>
      <c r="E163" s="775">
        <f>'[1]19'!F163</f>
        <v>4006</v>
      </c>
      <c r="F163" s="775">
        <v>4022</v>
      </c>
      <c r="G163" s="593">
        <f t="shared" si="16"/>
        <v>16</v>
      </c>
      <c r="K163" s="404">
        <v>45.830000000000041</v>
      </c>
      <c r="L163" s="404">
        <f t="shared" si="17"/>
        <v>-29.830000000000041</v>
      </c>
    </row>
    <row r="164" spans="1:12" ht="24.75" customHeight="1" x14ac:dyDescent="0.4">
      <c r="A164" s="927" t="s">
        <v>121</v>
      </c>
      <c r="B164" s="725"/>
      <c r="C164" s="725"/>
      <c r="D164" s="631" t="s">
        <v>214</v>
      </c>
      <c r="E164" s="634">
        <f>E62</f>
        <v>20419.2</v>
      </c>
      <c r="F164" s="634">
        <v>0</v>
      </c>
      <c r="G164" s="593">
        <f t="shared" si="16"/>
        <v>-20419.2</v>
      </c>
      <c r="K164" s="404">
        <v>-0.18000000000029104</v>
      </c>
      <c r="L164" s="404">
        <f t="shared" si="17"/>
        <v>-20419.02</v>
      </c>
    </row>
    <row r="165" spans="1:12" ht="24.75" customHeight="1" x14ac:dyDescent="0.4">
      <c r="A165" s="927" t="s">
        <v>215</v>
      </c>
      <c r="B165" s="725"/>
      <c r="C165" s="725"/>
      <c r="D165" s="631" t="s">
        <v>214</v>
      </c>
      <c r="E165" s="634">
        <f t="shared" ref="E165:F171" si="18">E63</f>
        <v>1059.72</v>
      </c>
      <c r="F165" s="634">
        <f t="shared" si="18"/>
        <v>1063</v>
      </c>
      <c r="G165" s="593">
        <f t="shared" si="16"/>
        <v>3.2799999999999727</v>
      </c>
      <c r="K165" s="404">
        <v>0</v>
      </c>
      <c r="L165" s="404">
        <f t="shared" si="17"/>
        <v>3.2799999999999727</v>
      </c>
    </row>
    <row r="166" spans="1:12" ht="24.75" customHeight="1" x14ac:dyDescent="0.5">
      <c r="A166" s="1450" t="s">
        <v>122</v>
      </c>
      <c r="B166" s="1450"/>
      <c r="C166" s="1450"/>
      <c r="D166" s="643" t="s">
        <v>214</v>
      </c>
      <c r="E166" s="634">
        <f t="shared" si="18"/>
        <v>93681</v>
      </c>
      <c r="F166" s="634">
        <f t="shared" si="18"/>
        <v>94056</v>
      </c>
      <c r="G166" s="593">
        <f t="shared" si="16"/>
        <v>375</v>
      </c>
      <c r="K166" s="404">
        <v>193.55000000000291</v>
      </c>
      <c r="L166" s="404">
        <f t="shared" si="17"/>
        <v>181.44999999999709</v>
      </c>
    </row>
    <row r="167" spans="1:12" ht="24.75" customHeight="1" x14ac:dyDescent="0.5">
      <c r="A167" s="1450" t="s">
        <v>123</v>
      </c>
      <c r="B167" s="1450"/>
      <c r="C167" s="1450"/>
      <c r="D167" s="643" t="s">
        <v>214</v>
      </c>
      <c r="E167" s="634">
        <f t="shared" si="18"/>
        <v>104194</v>
      </c>
      <c r="F167" s="634">
        <f t="shared" si="18"/>
        <v>104578</v>
      </c>
      <c r="G167" s="593">
        <f t="shared" si="16"/>
        <v>384</v>
      </c>
      <c r="K167" s="404">
        <v>168.39999999999418</v>
      </c>
      <c r="L167" s="404">
        <f t="shared" si="17"/>
        <v>215.60000000000582</v>
      </c>
    </row>
    <row r="168" spans="1:12" ht="24.75" customHeight="1" x14ac:dyDescent="0.5">
      <c r="A168" s="1450" t="s">
        <v>124</v>
      </c>
      <c r="B168" s="1450"/>
      <c r="C168" s="1450"/>
      <c r="D168" s="643" t="s">
        <v>214</v>
      </c>
      <c r="E168" s="634">
        <f t="shared" si="18"/>
        <v>97596</v>
      </c>
      <c r="F168" s="634">
        <f t="shared" si="18"/>
        <v>98005</v>
      </c>
      <c r="G168" s="593">
        <f t="shared" si="16"/>
        <v>409</v>
      </c>
      <c r="K168" s="404">
        <v>221.18999999999505</v>
      </c>
      <c r="L168" s="404">
        <f t="shared" si="17"/>
        <v>187.81000000000495</v>
      </c>
    </row>
    <row r="169" spans="1:12" ht="24.75" customHeight="1" x14ac:dyDescent="0.5">
      <c r="A169" s="1450" t="s">
        <v>125</v>
      </c>
      <c r="B169" s="1450"/>
      <c r="C169" s="1450"/>
      <c r="D169" s="643" t="s">
        <v>214</v>
      </c>
      <c r="E169" s="634">
        <f t="shared" si="18"/>
        <v>159857</v>
      </c>
      <c r="F169" s="634">
        <f t="shared" si="18"/>
        <v>160500</v>
      </c>
      <c r="G169" s="593">
        <f t="shared" si="16"/>
        <v>643</v>
      </c>
      <c r="K169" s="404">
        <v>337.19000000000233</v>
      </c>
      <c r="L169" s="404">
        <f t="shared" si="17"/>
        <v>305.80999999999767</v>
      </c>
    </row>
    <row r="170" spans="1:12" ht="24.75" customHeight="1" x14ac:dyDescent="0.5">
      <c r="A170" s="1450" t="s">
        <v>126</v>
      </c>
      <c r="B170" s="1450"/>
      <c r="C170" s="1450"/>
      <c r="D170" s="643" t="s">
        <v>214</v>
      </c>
      <c r="E170" s="634">
        <f t="shared" si="18"/>
        <v>49921</v>
      </c>
      <c r="F170" s="634">
        <f t="shared" si="18"/>
        <v>50248</v>
      </c>
      <c r="G170" s="593">
        <f t="shared" si="16"/>
        <v>327</v>
      </c>
      <c r="K170" s="404">
        <v>115.09000000000015</v>
      </c>
      <c r="L170" s="404">
        <f t="shared" si="17"/>
        <v>211.90999999999985</v>
      </c>
    </row>
    <row r="171" spans="1:12" ht="24.75" customHeight="1" x14ac:dyDescent="0.5">
      <c r="A171" s="1450" t="s">
        <v>127</v>
      </c>
      <c r="B171" s="1450"/>
      <c r="C171" s="1450"/>
      <c r="D171" s="643" t="s">
        <v>214</v>
      </c>
      <c r="E171" s="634">
        <f t="shared" si="18"/>
        <v>43107</v>
      </c>
      <c r="F171" s="634">
        <f t="shared" si="18"/>
        <v>43386</v>
      </c>
      <c r="G171" s="593">
        <f t="shared" si="16"/>
        <v>279</v>
      </c>
      <c r="K171" s="404">
        <v>11.799999999999272</v>
      </c>
      <c r="L171" s="404">
        <f t="shared" si="17"/>
        <v>267.20000000000073</v>
      </c>
    </row>
    <row r="172" spans="1:12" ht="24.75" customHeight="1" x14ac:dyDescent="0.5">
      <c r="G172" s="658">
        <f>SUM(G160:G171)</f>
        <v>-17129.670000000002</v>
      </c>
      <c r="L172" s="404">
        <f>SUM(L160:L171)</f>
        <v>-18556.179999999997</v>
      </c>
    </row>
    <row r="173" spans="1:12" ht="24.75" customHeight="1" x14ac:dyDescent="0.5"/>
    <row r="174" spans="1:12" ht="24.75" customHeight="1" x14ac:dyDescent="0.5"/>
    <row r="175" spans="1:12" ht="24.75" customHeight="1" x14ac:dyDescent="0.5"/>
    <row r="176" spans="1:12" ht="24.75" customHeight="1" x14ac:dyDescent="0.5"/>
    <row r="301" spans="6:6" x14ac:dyDescent="0.5">
      <c r="F301" s="658" t="s">
        <v>296</v>
      </c>
    </row>
    <row r="302" spans="6:6" x14ac:dyDescent="0.5">
      <c r="F302" s="658">
        <v>0</v>
      </c>
    </row>
    <row r="303" spans="6:6" x14ac:dyDescent="0.5">
      <c r="F303" s="658">
        <v>0</v>
      </c>
    </row>
    <row r="304" spans="6:6" x14ac:dyDescent="0.5">
      <c r="F304" s="658">
        <v>0</v>
      </c>
    </row>
    <row r="305" spans="6:6" x14ac:dyDescent="0.5">
      <c r="F305" s="658">
        <v>0</v>
      </c>
    </row>
    <row r="306" spans="6:6" x14ac:dyDescent="0.5">
      <c r="F306" s="658">
        <v>0</v>
      </c>
    </row>
    <row r="307" spans="6:6" x14ac:dyDescent="0.5">
      <c r="F307" s="658">
        <v>0</v>
      </c>
    </row>
    <row r="308" spans="6:6" x14ac:dyDescent="0.5">
      <c r="F308" s="658">
        <v>0</v>
      </c>
    </row>
    <row r="309" spans="6:6" x14ac:dyDescent="0.5">
      <c r="F309" s="658">
        <v>0</v>
      </c>
    </row>
    <row r="310" spans="6:6" x14ac:dyDescent="0.5">
      <c r="F310" s="658">
        <v>0</v>
      </c>
    </row>
    <row r="311" spans="6:6" x14ac:dyDescent="0.5">
      <c r="F311" s="658">
        <v>0</v>
      </c>
    </row>
    <row r="312" spans="6:6" x14ac:dyDescent="0.5">
      <c r="F312" s="658">
        <v>0</v>
      </c>
    </row>
    <row r="313" spans="6:6" x14ac:dyDescent="0.5">
      <c r="F313" s="658">
        <v>0</v>
      </c>
    </row>
    <row r="314" spans="6:6" x14ac:dyDescent="0.5">
      <c r="F314" s="658">
        <v>0</v>
      </c>
    </row>
    <row r="315" spans="6:6" x14ac:dyDescent="0.5">
      <c r="F315" s="658">
        <v>0</v>
      </c>
    </row>
    <row r="316" spans="6:6" x14ac:dyDescent="0.5">
      <c r="F316" s="658">
        <v>0</v>
      </c>
    </row>
    <row r="317" spans="6:6" x14ac:dyDescent="0.5">
      <c r="F317" s="658">
        <v>0</v>
      </c>
    </row>
    <row r="318" spans="6:6" x14ac:dyDescent="0.5">
      <c r="F318" s="658">
        <v>0</v>
      </c>
    </row>
    <row r="319" spans="6:6" x14ac:dyDescent="0.5">
      <c r="F319" s="658">
        <v>0</v>
      </c>
    </row>
    <row r="320" spans="6:6" x14ac:dyDescent="0.5">
      <c r="F320" s="658">
        <v>0</v>
      </c>
    </row>
    <row r="321" spans="6:6" x14ac:dyDescent="0.5">
      <c r="F321" s="658">
        <v>0</v>
      </c>
    </row>
    <row r="322" spans="6:6" x14ac:dyDescent="0.5">
      <c r="F322" s="658">
        <v>0</v>
      </c>
    </row>
    <row r="323" spans="6:6" x14ac:dyDescent="0.5">
      <c r="F323" s="658">
        <v>0</v>
      </c>
    </row>
    <row r="324" spans="6:6" x14ac:dyDescent="0.5">
      <c r="F324" s="658">
        <v>0</v>
      </c>
    </row>
    <row r="325" spans="6:6" x14ac:dyDescent="0.5">
      <c r="F325" s="658">
        <v>0</v>
      </c>
    </row>
    <row r="326" spans="6:6" x14ac:dyDescent="0.5">
      <c r="F326" s="658">
        <v>0</v>
      </c>
    </row>
    <row r="327" spans="6:6" x14ac:dyDescent="0.5">
      <c r="F327" s="658">
        <v>0</v>
      </c>
    </row>
    <row r="328" spans="6:6" x14ac:dyDescent="0.5">
      <c r="F328" s="658">
        <v>0</v>
      </c>
    </row>
    <row r="329" spans="6:6" x14ac:dyDescent="0.5">
      <c r="F329" s="658">
        <v>0</v>
      </c>
    </row>
    <row r="330" spans="6:6" x14ac:dyDescent="0.5">
      <c r="F330" s="658">
        <v>0</v>
      </c>
    </row>
    <row r="331" spans="6:6" x14ac:dyDescent="0.5">
      <c r="F331" s="658">
        <v>0</v>
      </c>
    </row>
    <row r="332" spans="6:6" x14ac:dyDescent="0.5">
      <c r="F332" s="658">
        <v>0</v>
      </c>
    </row>
    <row r="333" spans="6:6" x14ac:dyDescent="0.5">
      <c r="F333" s="658">
        <v>0</v>
      </c>
    </row>
    <row r="334" spans="6:6" x14ac:dyDescent="0.5">
      <c r="F334" s="658">
        <v>0</v>
      </c>
    </row>
    <row r="335" spans="6:6" x14ac:dyDescent="0.5">
      <c r="F335" s="658">
        <v>0</v>
      </c>
    </row>
    <row r="336" spans="6:6" x14ac:dyDescent="0.5">
      <c r="F336" s="658">
        <v>0</v>
      </c>
    </row>
    <row r="337" spans="6:6" x14ac:dyDescent="0.5">
      <c r="F337" s="658">
        <v>0</v>
      </c>
    </row>
    <row r="338" spans="6:6" x14ac:dyDescent="0.5">
      <c r="F338" s="658">
        <v>0</v>
      </c>
    </row>
    <row r="339" spans="6:6" x14ac:dyDescent="0.5">
      <c r="F339" s="658">
        <v>0</v>
      </c>
    </row>
    <row r="340" spans="6:6" x14ac:dyDescent="0.5">
      <c r="F340" s="658">
        <v>0</v>
      </c>
    </row>
    <row r="341" spans="6:6" x14ac:dyDescent="0.5">
      <c r="F341" s="658">
        <v>0</v>
      </c>
    </row>
    <row r="342" spans="6:6" x14ac:dyDescent="0.5">
      <c r="F342" s="658">
        <v>0</v>
      </c>
    </row>
    <row r="343" spans="6:6" x14ac:dyDescent="0.5">
      <c r="F343" s="658">
        <v>0</v>
      </c>
    </row>
    <row r="344" spans="6:6" x14ac:dyDescent="0.5">
      <c r="F344" s="658">
        <v>0</v>
      </c>
    </row>
    <row r="345" spans="6:6" x14ac:dyDescent="0.5">
      <c r="F345" s="658">
        <v>0</v>
      </c>
    </row>
    <row r="346" spans="6:6" x14ac:dyDescent="0.5">
      <c r="F346" s="658">
        <v>0</v>
      </c>
    </row>
    <row r="347" spans="6:6" x14ac:dyDescent="0.5">
      <c r="F347" s="658">
        <v>0</v>
      </c>
    </row>
    <row r="348" spans="6:6" x14ac:dyDescent="0.5">
      <c r="F348" s="658">
        <v>0</v>
      </c>
    </row>
    <row r="349" spans="6:6" x14ac:dyDescent="0.5">
      <c r="F349" s="658">
        <v>0</v>
      </c>
    </row>
    <row r="350" spans="6:6" x14ac:dyDescent="0.5">
      <c r="F350" s="658">
        <v>0</v>
      </c>
    </row>
    <row r="351" spans="6:6" x14ac:dyDescent="0.5">
      <c r="F351" s="658">
        <v>0</v>
      </c>
    </row>
    <row r="352" spans="6:6" x14ac:dyDescent="0.5">
      <c r="F352" s="658">
        <v>0</v>
      </c>
    </row>
    <row r="353" spans="6:6" x14ac:dyDescent="0.5">
      <c r="F353" s="658">
        <v>0</v>
      </c>
    </row>
    <row r="354" spans="6:6" x14ac:dyDescent="0.5">
      <c r="F354" s="658">
        <v>0</v>
      </c>
    </row>
    <row r="355" spans="6:6" x14ac:dyDescent="0.5">
      <c r="F355" s="658">
        <v>0</v>
      </c>
    </row>
    <row r="356" spans="6:6" x14ac:dyDescent="0.5">
      <c r="F356" s="658">
        <v>0</v>
      </c>
    </row>
    <row r="357" spans="6:6" x14ac:dyDescent="0.5">
      <c r="F357" s="658">
        <v>0</v>
      </c>
    </row>
    <row r="358" spans="6:6" x14ac:dyDescent="0.5">
      <c r="F358" s="658">
        <v>0</v>
      </c>
    </row>
    <row r="359" spans="6:6" x14ac:dyDescent="0.5">
      <c r="F359" s="658">
        <v>0</v>
      </c>
    </row>
    <row r="360" spans="6:6" x14ac:dyDescent="0.5">
      <c r="F360" s="658">
        <v>0</v>
      </c>
    </row>
    <row r="361" spans="6:6" x14ac:dyDescent="0.5">
      <c r="F361" s="658">
        <v>0</v>
      </c>
    </row>
    <row r="362" spans="6:6" x14ac:dyDescent="0.5">
      <c r="F362" s="658">
        <v>0</v>
      </c>
    </row>
    <row r="363" spans="6:6" x14ac:dyDescent="0.5">
      <c r="F363" s="658">
        <v>0</v>
      </c>
    </row>
    <row r="364" spans="6:6" x14ac:dyDescent="0.5">
      <c r="F364" s="658">
        <v>0</v>
      </c>
    </row>
    <row r="365" spans="6:6" x14ac:dyDescent="0.5">
      <c r="F365" s="658">
        <v>0</v>
      </c>
    </row>
    <row r="366" spans="6:6" x14ac:dyDescent="0.5">
      <c r="F366" s="658">
        <v>0</v>
      </c>
    </row>
    <row r="367" spans="6:6" x14ac:dyDescent="0.5">
      <c r="F367" s="658">
        <v>0</v>
      </c>
    </row>
    <row r="368" spans="6:6" x14ac:dyDescent="0.5">
      <c r="F368" s="658">
        <v>0</v>
      </c>
    </row>
    <row r="369" spans="6:6" x14ac:dyDescent="0.5">
      <c r="F369" s="658">
        <v>0</v>
      </c>
    </row>
    <row r="370" spans="6:6" x14ac:dyDescent="0.5">
      <c r="F370" s="658">
        <v>0</v>
      </c>
    </row>
    <row r="371" spans="6:6" x14ac:dyDescent="0.5">
      <c r="F371" s="658">
        <v>0</v>
      </c>
    </row>
    <row r="372" spans="6:6" x14ac:dyDescent="0.5">
      <c r="F372" s="658">
        <v>0</v>
      </c>
    </row>
    <row r="373" spans="6:6" x14ac:dyDescent="0.5">
      <c r="F373" s="658">
        <v>0</v>
      </c>
    </row>
    <row r="374" spans="6:6" x14ac:dyDescent="0.5">
      <c r="F374" s="658">
        <v>0</v>
      </c>
    </row>
    <row r="375" spans="6:6" x14ac:dyDescent="0.5">
      <c r="F375" s="658">
        <v>0</v>
      </c>
    </row>
    <row r="376" spans="6:6" x14ac:dyDescent="0.5">
      <c r="F376" s="658">
        <v>0</v>
      </c>
    </row>
    <row r="377" spans="6:6" x14ac:dyDescent="0.5">
      <c r="F377" s="658">
        <v>0</v>
      </c>
    </row>
    <row r="378" spans="6:6" x14ac:dyDescent="0.5">
      <c r="F378" s="658">
        <v>0</v>
      </c>
    </row>
    <row r="379" spans="6:6" x14ac:dyDescent="0.5">
      <c r="F379" s="658">
        <v>0</v>
      </c>
    </row>
    <row r="380" spans="6:6" x14ac:dyDescent="0.5">
      <c r="F380" s="658">
        <v>0</v>
      </c>
    </row>
    <row r="381" spans="6:6" x14ac:dyDescent="0.5">
      <c r="F381" s="658">
        <v>0</v>
      </c>
    </row>
    <row r="382" spans="6:6" x14ac:dyDescent="0.5">
      <c r="F382" s="658">
        <v>0</v>
      </c>
    </row>
    <row r="383" spans="6:6" x14ac:dyDescent="0.5">
      <c r="F383" s="658">
        <v>0</v>
      </c>
    </row>
    <row r="384" spans="6:6" x14ac:dyDescent="0.5">
      <c r="F384" s="658">
        <v>0</v>
      </c>
    </row>
    <row r="385" spans="6:6" x14ac:dyDescent="0.5">
      <c r="F385" s="658">
        <v>0</v>
      </c>
    </row>
    <row r="386" spans="6:6" x14ac:dyDescent="0.5">
      <c r="F386" s="658">
        <v>0</v>
      </c>
    </row>
    <row r="387" spans="6:6" x14ac:dyDescent="0.5">
      <c r="F387" s="658">
        <v>0</v>
      </c>
    </row>
    <row r="388" spans="6:6" x14ac:dyDescent="0.5">
      <c r="F388" s="658">
        <v>0</v>
      </c>
    </row>
    <row r="389" spans="6:6" x14ac:dyDescent="0.5">
      <c r="F389" s="658">
        <v>0</v>
      </c>
    </row>
    <row r="390" spans="6:6" x14ac:dyDescent="0.5">
      <c r="F390" s="658">
        <v>0</v>
      </c>
    </row>
    <row r="391" spans="6:6" x14ac:dyDescent="0.5">
      <c r="F391" s="658">
        <v>0</v>
      </c>
    </row>
    <row r="392" spans="6:6" x14ac:dyDescent="0.5">
      <c r="F392" s="658">
        <v>0</v>
      </c>
    </row>
    <row r="393" spans="6:6" x14ac:dyDescent="0.5">
      <c r="F393" s="658">
        <v>0</v>
      </c>
    </row>
    <row r="394" spans="6:6" x14ac:dyDescent="0.5">
      <c r="F394" s="658">
        <v>0</v>
      </c>
    </row>
    <row r="395" spans="6:6" x14ac:dyDescent="0.5">
      <c r="F395" s="658">
        <v>0</v>
      </c>
    </row>
    <row r="396" spans="6:6" x14ac:dyDescent="0.5">
      <c r="F396" s="658">
        <v>0</v>
      </c>
    </row>
    <row r="397" spans="6:6" x14ac:dyDescent="0.5">
      <c r="F397" s="658">
        <v>0</v>
      </c>
    </row>
    <row r="398" spans="6:6" x14ac:dyDescent="0.5">
      <c r="F398" s="658">
        <v>0</v>
      </c>
    </row>
    <row r="399" spans="6:6" x14ac:dyDescent="0.5">
      <c r="F399" s="658">
        <v>0</v>
      </c>
    </row>
    <row r="400" spans="6:6" x14ac:dyDescent="0.5">
      <c r="F400" s="658">
        <v>0</v>
      </c>
    </row>
    <row r="401" spans="6:6" x14ac:dyDescent="0.5">
      <c r="F401" s="658">
        <v>0</v>
      </c>
    </row>
    <row r="402" spans="6:6" x14ac:dyDescent="0.5">
      <c r="F402" s="658">
        <v>0</v>
      </c>
    </row>
    <row r="403" spans="6:6" x14ac:dyDescent="0.5">
      <c r="F403" s="658">
        <v>0</v>
      </c>
    </row>
    <row r="404" spans="6:6" x14ac:dyDescent="0.5">
      <c r="F404" s="658">
        <v>0</v>
      </c>
    </row>
    <row r="405" spans="6:6" x14ac:dyDescent="0.5">
      <c r="F405" s="658">
        <v>0</v>
      </c>
    </row>
    <row r="406" spans="6:6" x14ac:dyDescent="0.5">
      <c r="F406" s="658">
        <v>0</v>
      </c>
    </row>
    <row r="407" spans="6:6" x14ac:dyDescent="0.5">
      <c r="F407" s="658">
        <v>0</v>
      </c>
    </row>
    <row r="408" spans="6:6" x14ac:dyDescent="0.5">
      <c r="F408" s="658">
        <v>0</v>
      </c>
    </row>
    <row r="409" spans="6:6" x14ac:dyDescent="0.5">
      <c r="F409" s="658">
        <v>0</v>
      </c>
    </row>
    <row r="410" spans="6:6" x14ac:dyDescent="0.5">
      <c r="F410" s="658">
        <v>0</v>
      </c>
    </row>
    <row r="411" spans="6:6" x14ac:dyDescent="0.5">
      <c r="F411" s="658">
        <v>0</v>
      </c>
    </row>
    <row r="412" spans="6:6" x14ac:dyDescent="0.5">
      <c r="F412" s="658">
        <v>0</v>
      </c>
    </row>
    <row r="413" spans="6:6" x14ac:dyDescent="0.5">
      <c r="F413" s="658">
        <v>0</v>
      </c>
    </row>
    <row r="414" spans="6:6" x14ac:dyDescent="0.5">
      <c r="F414" s="658">
        <v>0</v>
      </c>
    </row>
    <row r="415" spans="6:6" x14ac:dyDescent="0.5">
      <c r="F415" s="658">
        <v>0</v>
      </c>
    </row>
    <row r="416" spans="6:6" x14ac:dyDescent="0.5">
      <c r="F416" s="658">
        <v>0</v>
      </c>
    </row>
    <row r="417" spans="6:6" x14ac:dyDescent="0.5">
      <c r="F417" s="658">
        <v>0</v>
      </c>
    </row>
    <row r="418" spans="6:6" x14ac:dyDescent="0.5">
      <c r="F418" s="658">
        <v>0</v>
      </c>
    </row>
    <row r="419" spans="6:6" x14ac:dyDescent="0.5">
      <c r="F419" s="658">
        <v>0</v>
      </c>
    </row>
    <row r="420" spans="6:6" x14ac:dyDescent="0.5">
      <c r="F420" s="658">
        <v>0</v>
      </c>
    </row>
    <row r="421" spans="6:6" x14ac:dyDescent="0.5">
      <c r="F421" s="658">
        <v>0</v>
      </c>
    </row>
    <row r="422" spans="6:6" x14ac:dyDescent="0.5">
      <c r="F422" s="658">
        <v>0</v>
      </c>
    </row>
    <row r="423" spans="6:6" x14ac:dyDescent="0.5">
      <c r="F423" s="658">
        <v>0</v>
      </c>
    </row>
    <row r="424" spans="6:6" x14ac:dyDescent="0.5">
      <c r="F424" s="658">
        <v>0</v>
      </c>
    </row>
    <row r="425" spans="6:6" x14ac:dyDescent="0.5">
      <c r="F425" s="658">
        <v>0</v>
      </c>
    </row>
    <row r="426" spans="6:6" x14ac:dyDescent="0.5">
      <c r="F426" s="658">
        <v>0</v>
      </c>
    </row>
    <row r="427" spans="6:6" x14ac:dyDescent="0.5">
      <c r="F427" s="658">
        <v>0</v>
      </c>
    </row>
    <row r="428" spans="6:6" x14ac:dyDescent="0.5">
      <c r="F428" s="658">
        <v>0</v>
      </c>
    </row>
    <row r="429" spans="6:6" x14ac:dyDescent="0.5">
      <c r="F429" s="658">
        <v>0</v>
      </c>
    </row>
    <row r="430" spans="6:6" x14ac:dyDescent="0.5">
      <c r="F430" s="658">
        <v>0</v>
      </c>
    </row>
    <row r="431" spans="6:6" x14ac:dyDescent="0.5">
      <c r="F431" s="658">
        <v>0</v>
      </c>
    </row>
    <row r="432" spans="6:6" x14ac:dyDescent="0.5">
      <c r="F432" s="658">
        <v>0</v>
      </c>
    </row>
    <row r="433" spans="6:6" x14ac:dyDescent="0.5">
      <c r="F433" s="658">
        <v>0</v>
      </c>
    </row>
    <row r="434" spans="6:6" x14ac:dyDescent="0.5">
      <c r="F434" s="658">
        <v>0</v>
      </c>
    </row>
    <row r="435" spans="6:6" x14ac:dyDescent="0.5">
      <c r="F435" s="658">
        <v>0</v>
      </c>
    </row>
    <row r="436" spans="6:6" x14ac:dyDescent="0.5">
      <c r="F436" s="658">
        <v>0</v>
      </c>
    </row>
    <row r="437" spans="6:6" x14ac:dyDescent="0.5">
      <c r="F437" s="658">
        <v>0</v>
      </c>
    </row>
    <row r="438" spans="6:6" x14ac:dyDescent="0.5">
      <c r="F438" s="658">
        <v>0</v>
      </c>
    </row>
    <row r="439" spans="6:6" x14ac:dyDescent="0.5">
      <c r="F439" s="658">
        <v>0</v>
      </c>
    </row>
    <row r="440" spans="6:6" x14ac:dyDescent="0.5">
      <c r="F440" s="658">
        <v>0</v>
      </c>
    </row>
    <row r="441" spans="6:6" x14ac:dyDescent="0.5">
      <c r="F441" s="658">
        <v>0</v>
      </c>
    </row>
    <row r="442" spans="6:6" x14ac:dyDescent="0.5">
      <c r="F442" s="658">
        <v>0</v>
      </c>
    </row>
    <row r="443" spans="6:6" x14ac:dyDescent="0.5">
      <c r="F443" s="658">
        <v>0</v>
      </c>
    </row>
    <row r="444" spans="6:6" x14ac:dyDescent="0.5">
      <c r="F444" s="658">
        <v>0</v>
      </c>
    </row>
    <row r="445" spans="6:6" x14ac:dyDescent="0.5">
      <c r="F445" s="658">
        <v>0</v>
      </c>
    </row>
    <row r="446" spans="6:6" x14ac:dyDescent="0.5">
      <c r="F446" s="658">
        <v>0</v>
      </c>
    </row>
    <row r="447" spans="6:6" x14ac:dyDescent="0.5">
      <c r="F447" s="658">
        <v>0</v>
      </c>
    </row>
    <row r="448" spans="6:6" x14ac:dyDescent="0.5">
      <c r="F448" s="658">
        <v>0</v>
      </c>
    </row>
    <row r="449" spans="6:6" x14ac:dyDescent="0.5">
      <c r="F449" s="658">
        <v>0</v>
      </c>
    </row>
    <row r="450" spans="6:6" x14ac:dyDescent="0.5">
      <c r="F450" s="658">
        <v>0</v>
      </c>
    </row>
    <row r="451" spans="6:6" x14ac:dyDescent="0.5">
      <c r="F451" s="658">
        <v>0</v>
      </c>
    </row>
    <row r="452" spans="6:6" x14ac:dyDescent="0.5">
      <c r="F452" s="658">
        <v>0</v>
      </c>
    </row>
    <row r="453" spans="6:6" x14ac:dyDescent="0.5">
      <c r="F453" s="658">
        <v>0</v>
      </c>
    </row>
    <row r="454" spans="6:6" x14ac:dyDescent="0.5">
      <c r="F454" s="658">
        <v>0</v>
      </c>
    </row>
    <row r="455" spans="6:6" x14ac:dyDescent="0.5">
      <c r="F455" s="658">
        <v>0</v>
      </c>
    </row>
    <row r="456" spans="6:6" x14ac:dyDescent="0.5">
      <c r="F456" s="658">
        <v>0</v>
      </c>
    </row>
    <row r="457" spans="6:6" x14ac:dyDescent="0.5">
      <c r="F457" s="658">
        <v>0</v>
      </c>
    </row>
    <row r="458" spans="6:6" x14ac:dyDescent="0.5">
      <c r="F458" s="658">
        <v>0</v>
      </c>
    </row>
    <row r="459" spans="6:6" x14ac:dyDescent="0.5">
      <c r="F459" s="658">
        <v>0</v>
      </c>
    </row>
    <row r="460" spans="6:6" x14ac:dyDescent="0.5">
      <c r="F460" s="658">
        <v>0</v>
      </c>
    </row>
    <row r="461" spans="6:6" x14ac:dyDescent="0.5">
      <c r="F461" s="658">
        <v>0</v>
      </c>
    </row>
    <row r="462" spans="6:6" x14ac:dyDescent="0.5">
      <c r="F462" s="658">
        <v>0</v>
      </c>
    </row>
    <row r="463" spans="6:6" x14ac:dyDescent="0.5">
      <c r="F463" s="658">
        <v>0</v>
      </c>
    </row>
    <row r="464" spans="6:6" x14ac:dyDescent="0.5">
      <c r="F464" s="658">
        <v>0</v>
      </c>
    </row>
    <row r="465" spans="6:6" x14ac:dyDescent="0.5">
      <c r="F465" s="658">
        <v>0</v>
      </c>
    </row>
    <row r="466" spans="6:6" x14ac:dyDescent="0.5">
      <c r="F466" s="658">
        <v>0</v>
      </c>
    </row>
    <row r="467" spans="6:6" x14ac:dyDescent="0.5">
      <c r="F467" s="658">
        <v>0</v>
      </c>
    </row>
    <row r="468" spans="6:6" x14ac:dyDescent="0.5">
      <c r="F468" s="658">
        <v>0</v>
      </c>
    </row>
    <row r="469" spans="6:6" x14ac:dyDescent="0.5">
      <c r="F469" s="658">
        <v>0</v>
      </c>
    </row>
    <row r="470" spans="6:6" x14ac:dyDescent="0.5">
      <c r="F470" s="658">
        <v>0</v>
      </c>
    </row>
    <row r="471" spans="6:6" x14ac:dyDescent="0.5">
      <c r="F471" s="658">
        <v>0</v>
      </c>
    </row>
    <row r="472" spans="6:6" x14ac:dyDescent="0.5">
      <c r="F472" s="658">
        <v>0</v>
      </c>
    </row>
    <row r="473" spans="6:6" x14ac:dyDescent="0.5">
      <c r="F473" s="658">
        <v>0</v>
      </c>
    </row>
    <row r="474" spans="6:6" x14ac:dyDescent="0.5">
      <c r="F474" s="658">
        <v>0</v>
      </c>
    </row>
    <row r="475" spans="6:6" x14ac:dyDescent="0.5">
      <c r="F475" s="658">
        <v>0</v>
      </c>
    </row>
    <row r="476" spans="6:6" x14ac:dyDescent="0.5">
      <c r="F476" s="658">
        <v>0</v>
      </c>
    </row>
    <row r="477" spans="6:6" x14ac:dyDescent="0.5">
      <c r="F477" s="658">
        <v>0</v>
      </c>
    </row>
    <row r="478" spans="6:6" x14ac:dyDescent="0.5">
      <c r="F478" s="658">
        <v>0</v>
      </c>
    </row>
    <row r="479" spans="6:6" x14ac:dyDescent="0.5">
      <c r="F479" s="658">
        <v>0</v>
      </c>
    </row>
    <row r="480" spans="6:6" x14ac:dyDescent="0.5">
      <c r="F480" s="658">
        <v>0</v>
      </c>
    </row>
    <row r="481" spans="6:6" x14ac:dyDescent="0.5">
      <c r="F481" s="658">
        <v>0</v>
      </c>
    </row>
    <row r="482" spans="6:6" x14ac:dyDescent="0.5">
      <c r="F482" s="658">
        <v>0</v>
      </c>
    </row>
    <row r="483" spans="6:6" x14ac:dyDescent="0.5">
      <c r="F483" s="658">
        <v>0</v>
      </c>
    </row>
    <row r="484" spans="6:6" x14ac:dyDescent="0.5">
      <c r="F484" s="658">
        <v>0</v>
      </c>
    </row>
    <row r="485" spans="6:6" x14ac:dyDescent="0.5">
      <c r="F485" s="658">
        <v>0</v>
      </c>
    </row>
    <row r="486" spans="6:6" x14ac:dyDescent="0.5">
      <c r="F486" s="658">
        <v>0</v>
      </c>
    </row>
    <row r="487" spans="6:6" x14ac:dyDescent="0.5">
      <c r="F487" s="658">
        <v>0</v>
      </c>
    </row>
    <row r="488" spans="6:6" x14ac:dyDescent="0.5">
      <c r="F488" s="658">
        <v>0</v>
      </c>
    </row>
    <row r="489" spans="6:6" x14ac:dyDescent="0.5">
      <c r="F489" s="658">
        <v>0</v>
      </c>
    </row>
    <row r="490" spans="6:6" x14ac:dyDescent="0.5">
      <c r="F490" s="658">
        <v>0</v>
      </c>
    </row>
    <row r="491" spans="6:6" x14ac:dyDescent="0.5">
      <c r="F491" s="658">
        <v>0</v>
      </c>
    </row>
    <row r="492" spans="6:6" x14ac:dyDescent="0.5">
      <c r="F492" s="658">
        <v>0</v>
      </c>
    </row>
    <row r="493" spans="6:6" x14ac:dyDescent="0.5">
      <c r="F493" s="658">
        <v>0</v>
      </c>
    </row>
    <row r="494" spans="6:6" x14ac:dyDescent="0.5">
      <c r="F494" s="658">
        <v>0</v>
      </c>
    </row>
    <row r="495" spans="6:6" x14ac:dyDescent="0.5">
      <c r="F495" s="658">
        <v>0</v>
      </c>
    </row>
    <row r="496" spans="6:6" x14ac:dyDescent="0.5">
      <c r="F496" s="658">
        <v>0</v>
      </c>
    </row>
    <row r="497" spans="6:6" x14ac:dyDescent="0.5">
      <c r="F497" s="658">
        <v>0</v>
      </c>
    </row>
    <row r="498" spans="6:6" x14ac:dyDescent="0.5">
      <c r="F498" s="658">
        <v>0</v>
      </c>
    </row>
    <row r="499" spans="6:6" x14ac:dyDescent="0.5">
      <c r="F499" s="658">
        <v>0</v>
      </c>
    </row>
    <row r="500" spans="6:6" x14ac:dyDescent="0.5">
      <c r="F500" s="658">
        <v>0</v>
      </c>
    </row>
    <row r="501" spans="6:6" x14ac:dyDescent="0.5">
      <c r="F501" s="658">
        <v>0</v>
      </c>
    </row>
    <row r="502" spans="6:6" x14ac:dyDescent="0.5">
      <c r="F502" s="658">
        <v>0</v>
      </c>
    </row>
    <row r="503" spans="6:6" x14ac:dyDescent="0.5">
      <c r="F503" s="658">
        <v>0</v>
      </c>
    </row>
    <row r="504" spans="6:6" x14ac:dyDescent="0.5">
      <c r="F504" s="658">
        <v>0</v>
      </c>
    </row>
    <row r="505" spans="6:6" x14ac:dyDescent="0.5">
      <c r="F505" s="658">
        <v>0</v>
      </c>
    </row>
    <row r="506" spans="6:6" x14ac:dyDescent="0.5">
      <c r="F506" s="658">
        <v>0</v>
      </c>
    </row>
    <row r="507" spans="6:6" x14ac:dyDescent="0.5">
      <c r="F507" s="658">
        <v>0</v>
      </c>
    </row>
    <row r="508" spans="6:6" x14ac:dyDescent="0.5">
      <c r="F508" s="658">
        <v>0</v>
      </c>
    </row>
    <row r="509" spans="6:6" x14ac:dyDescent="0.5">
      <c r="F509" s="658">
        <v>0</v>
      </c>
    </row>
    <row r="510" spans="6:6" x14ac:dyDescent="0.5">
      <c r="F510" s="658">
        <v>0</v>
      </c>
    </row>
    <row r="511" spans="6:6" x14ac:dyDescent="0.5">
      <c r="F511" s="658">
        <v>0</v>
      </c>
    </row>
    <row r="512" spans="6:6" x14ac:dyDescent="0.5">
      <c r="F512" s="658">
        <v>0</v>
      </c>
    </row>
    <row r="513" spans="6:6" x14ac:dyDescent="0.5">
      <c r="F513" s="658">
        <v>0</v>
      </c>
    </row>
    <row r="514" spans="6:6" x14ac:dyDescent="0.5">
      <c r="F514" s="658">
        <v>0</v>
      </c>
    </row>
    <row r="515" spans="6:6" x14ac:dyDescent="0.5">
      <c r="F515" s="658">
        <v>0</v>
      </c>
    </row>
    <row r="516" spans="6:6" x14ac:dyDescent="0.5">
      <c r="F516" s="658">
        <v>0</v>
      </c>
    </row>
    <row r="517" spans="6:6" x14ac:dyDescent="0.5">
      <c r="F517" s="658">
        <v>0</v>
      </c>
    </row>
    <row r="518" spans="6:6" x14ac:dyDescent="0.5">
      <c r="F518" s="658">
        <v>0</v>
      </c>
    </row>
    <row r="519" spans="6:6" x14ac:dyDescent="0.5">
      <c r="F519" s="658">
        <v>0</v>
      </c>
    </row>
    <row r="520" spans="6:6" x14ac:dyDescent="0.5">
      <c r="F520" s="658">
        <v>0</v>
      </c>
    </row>
    <row r="521" spans="6:6" x14ac:dyDescent="0.5">
      <c r="F521" s="658">
        <v>0</v>
      </c>
    </row>
    <row r="522" spans="6:6" x14ac:dyDescent="0.5">
      <c r="F522" s="658">
        <v>0</v>
      </c>
    </row>
    <row r="523" spans="6:6" x14ac:dyDescent="0.5">
      <c r="F523" s="658">
        <v>0</v>
      </c>
    </row>
    <row r="524" spans="6:6" x14ac:dyDescent="0.5">
      <c r="F524" s="658">
        <v>0</v>
      </c>
    </row>
    <row r="525" spans="6:6" x14ac:dyDescent="0.5">
      <c r="F525" s="658">
        <v>0</v>
      </c>
    </row>
    <row r="526" spans="6:6" x14ac:dyDescent="0.5">
      <c r="F526" s="658">
        <v>0</v>
      </c>
    </row>
    <row r="527" spans="6:6" x14ac:dyDescent="0.5">
      <c r="F527" s="658">
        <v>0</v>
      </c>
    </row>
    <row r="528" spans="6:6" x14ac:dyDescent="0.5">
      <c r="F528" s="658">
        <v>0</v>
      </c>
    </row>
    <row r="529" spans="6:6" x14ac:dyDescent="0.5">
      <c r="F529" s="658">
        <v>0</v>
      </c>
    </row>
    <row r="530" spans="6:6" x14ac:dyDescent="0.5">
      <c r="F530" s="658">
        <v>0</v>
      </c>
    </row>
    <row r="531" spans="6:6" x14ac:dyDescent="0.5">
      <c r="F531" s="658">
        <v>0</v>
      </c>
    </row>
    <row r="532" spans="6:6" x14ac:dyDescent="0.5">
      <c r="F532" s="658">
        <v>0</v>
      </c>
    </row>
    <row r="533" spans="6:6" x14ac:dyDescent="0.5">
      <c r="F533" s="658">
        <v>0</v>
      </c>
    </row>
    <row r="534" spans="6:6" x14ac:dyDescent="0.5">
      <c r="F534" s="658">
        <v>0</v>
      </c>
    </row>
    <row r="535" spans="6:6" x14ac:dyDescent="0.5">
      <c r="F535" s="658">
        <v>0</v>
      </c>
    </row>
    <row r="536" spans="6:6" x14ac:dyDescent="0.5">
      <c r="F536" s="658">
        <v>0</v>
      </c>
    </row>
    <row r="537" spans="6:6" x14ac:dyDescent="0.5">
      <c r="F537" s="658">
        <v>0</v>
      </c>
    </row>
    <row r="538" spans="6:6" x14ac:dyDescent="0.5">
      <c r="F538" s="658">
        <v>0</v>
      </c>
    </row>
    <row r="539" spans="6:6" x14ac:dyDescent="0.5">
      <c r="F539" s="658">
        <v>0</v>
      </c>
    </row>
    <row r="540" spans="6:6" x14ac:dyDescent="0.5">
      <c r="F540" s="658">
        <v>0</v>
      </c>
    </row>
    <row r="541" spans="6:6" x14ac:dyDescent="0.5">
      <c r="F541" s="658">
        <v>0</v>
      </c>
    </row>
    <row r="542" spans="6:6" x14ac:dyDescent="0.5">
      <c r="F542" s="658">
        <v>0</v>
      </c>
    </row>
    <row r="543" spans="6:6" x14ac:dyDescent="0.5">
      <c r="F543" s="658">
        <v>0</v>
      </c>
    </row>
    <row r="544" spans="6:6" x14ac:dyDescent="0.5">
      <c r="F544" s="658">
        <v>0</v>
      </c>
    </row>
    <row r="545" spans="6:6" x14ac:dyDescent="0.5">
      <c r="F545" s="658">
        <v>0</v>
      </c>
    </row>
    <row r="546" spans="6:6" x14ac:dyDescent="0.5">
      <c r="F546" s="658">
        <v>0</v>
      </c>
    </row>
    <row r="547" spans="6:6" x14ac:dyDescent="0.5">
      <c r="F547" s="658">
        <v>0</v>
      </c>
    </row>
    <row r="548" spans="6:6" x14ac:dyDescent="0.5">
      <c r="F548" s="658">
        <v>0</v>
      </c>
    </row>
    <row r="549" spans="6:6" x14ac:dyDescent="0.5">
      <c r="F549" s="658">
        <v>0</v>
      </c>
    </row>
    <row r="550" spans="6:6" x14ac:dyDescent="0.5">
      <c r="F550" s="658">
        <v>0</v>
      </c>
    </row>
    <row r="551" spans="6:6" x14ac:dyDescent="0.5">
      <c r="F551" s="658">
        <v>0</v>
      </c>
    </row>
    <row r="552" spans="6:6" x14ac:dyDescent="0.5">
      <c r="F552" s="658">
        <v>0</v>
      </c>
    </row>
    <row r="553" spans="6:6" x14ac:dyDescent="0.5">
      <c r="F553" s="658">
        <v>0</v>
      </c>
    </row>
    <row r="554" spans="6:6" x14ac:dyDescent="0.5">
      <c r="F554" s="658">
        <v>0</v>
      </c>
    </row>
    <row r="555" spans="6:6" x14ac:dyDescent="0.5">
      <c r="F555" s="658">
        <v>0</v>
      </c>
    </row>
    <row r="556" spans="6:6" x14ac:dyDescent="0.5">
      <c r="F556" s="658">
        <v>0</v>
      </c>
    </row>
    <row r="557" spans="6:6" x14ac:dyDescent="0.5">
      <c r="F557" s="658">
        <v>0</v>
      </c>
    </row>
    <row r="558" spans="6:6" x14ac:dyDescent="0.5">
      <c r="F558" s="658">
        <v>0</v>
      </c>
    </row>
    <row r="559" spans="6:6" x14ac:dyDescent="0.5">
      <c r="F559" s="658">
        <v>0</v>
      </c>
    </row>
    <row r="560" spans="6:6" x14ac:dyDescent="0.5">
      <c r="F560" s="658">
        <v>0</v>
      </c>
    </row>
    <row r="561" spans="6:6" x14ac:dyDescent="0.5">
      <c r="F561" s="658">
        <v>0</v>
      </c>
    </row>
    <row r="562" spans="6:6" x14ac:dyDescent="0.5">
      <c r="F562" s="658">
        <v>0</v>
      </c>
    </row>
    <row r="563" spans="6:6" x14ac:dyDescent="0.5">
      <c r="F563" s="658">
        <v>0</v>
      </c>
    </row>
    <row r="564" spans="6:6" x14ac:dyDescent="0.5">
      <c r="F564" s="658">
        <v>0</v>
      </c>
    </row>
    <row r="565" spans="6:6" x14ac:dyDescent="0.5">
      <c r="F565" s="658">
        <v>0</v>
      </c>
    </row>
    <row r="566" spans="6:6" x14ac:dyDescent="0.5">
      <c r="F566" s="658">
        <v>0</v>
      </c>
    </row>
    <row r="567" spans="6:6" x14ac:dyDescent="0.5">
      <c r="F567" s="658">
        <v>0</v>
      </c>
    </row>
    <row r="568" spans="6:6" x14ac:dyDescent="0.5">
      <c r="F568" s="658">
        <v>0</v>
      </c>
    </row>
    <row r="569" spans="6:6" x14ac:dyDescent="0.5">
      <c r="F569" s="658">
        <v>0</v>
      </c>
    </row>
    <row r="570" spans="6:6" x14ac:dyDescent="0.5">
      <c r="F570" s="658">
        <v>0</v>
      </c>
    </row>
    <row r="571" spans="6:6" x14ac:dyDescent="0.5">
      <c r="F571" s="658">
        <v>0</v>
      </c>
    </row>
    <row r="572" spans="6:6" x14ac:dyDescent="0.5">
      <c r="F572" s="658">
        <v>0</v>
      </c>
    </row>
    <row r="573" spans="6:6" x14ac:dyDescent="0.5">
      <c r="F573" s="658">
        <v>0</v>
      </c>
    </row>
    <row r="574" spans="6:6" x14ac:dyDescent="0.5">
      <c r="F574" s="658">
        <v>0</v>
      </c>
    </row>
    <row r="575" spans="6:6" x14ac:dyDescent="0.5">
      <c r="F575" s="658">
        <v>0</v>
      </c>
    </row>
    <row r="576" spans="6:6" x14ac:dyDescent="0.5">
      <c r="F576" s="658">
        <v>0</v>
      </c>
    </row>
    <row r="577" spans="6:6" x14ac:dyDescent="0.5">
      <c r="F577" s="658">
        <v>0</v>
      </c>
    </row>
    <row r="578" spans="6:6" x14ac:dyDescent="0.5">
      <c r="F578" s="658">
        <v>0</v>
      </c>
    </row>
    <row r="579" spans="6:6" x14ac:dyDescent="0.5">
      <c r="F579" s="658">
        <v>0</v>
      </c>
    </row>
    <row r="580" spans="6:6" x14ac:dyDescent="0.5">
      <c r="F580" s="658">
        <v>0</v>
      </c>
    </row>
    <row r="581" spans="6:6" x14ac:dyDescent="0.5">
      <c r="F581" s="658">
        <v>0</v>
      </c>
    </row>
    <row r="582" spans="6:6" x14ac:dyDescent="0.5">
      <c r="F582" s="658">
        <v>0</v>
      </c>
    </row>
    <row r="583" spans="6:6" x14ac:dyDescent="0.5">
      <c r="F583" s="658">
        <v>0</v>
      </c>
    </row>
    <row r="584" spans="6:6" x14ac:dyDescent="0.5">
      <c r="F584" s="658">
        <v>0</v>
      </c>
    </row>
    <row r="585" spans="6:6" x14ac:dyDescent="0.5">
      <c r="F585" s="658">
        <v>0</v>
      </c>
    </row>
    <row r="586" spans="6:6" x14ac:dyDescent="0.5">
      <c r="F586" s="658">
        <v>0</v>
      </c>
    </row>
    <row r="587" spans="6:6" x14ac:dyDescent="0.5">
      <c r="F587" s="658">
        <v>0</v>
      </c>
    </row>
    <row r="588" spans="6:6" x14ac:dyDescent="0.5">
      <c r="F588" s="658">
        <v>0</v>
      </c>
    </row>
    <row r="589" spans="6:6" x14ac:dyDescent="0.5">
      <c r="F589" s="658">
        <v>0</v>
      </c>
    </row>
    <row r="590" spans="6:6" x14ac:dyDescent="0.5">
      <c r="F590" s="658">
        <v>0</v>
      </c>
    </row>
    <row r="591" spans="6:6" x14ac:dyDescent="0.5">
      <c r="F591" s="658">
        <v>0</v>
      </c>
    </row>
    <row r="592" spans="6:6" x14ac:dyDescent="0.5">
      <c r="F592" s="658">
        <v>0</v>
      </c>
    </row>
    <row r="593" spans="6:6" x14ac:dyDescent="0.5">
      <c r="F593" s="658">
        <v>0</v>
      </c>
    </row>
    <row r="594" spans="6:6" x14ac:dyDescent="0.5">
      <c r="F594" s="658">
        <v>0</v>
      </c>
    </row>
    <row r="595" spans="6:6" x14ac:dyDescent="0.5">
      <c r="F595" s="658">
        <v>0</v>
      </c>
    </row>
    <row r="596" spans="6:6" x14ac:dyDescent="0.5">
      <c r="F596" s="658">
        <v>0</v>
      </c>
    </row>
    <row r="597" spans="6:6" x14ac:dyDescent="0.5">
      <c r="F597" s="658">
        <v>0</v>
      </c>
    </row>
    <row r="598" spans="6:6" x14ac:dyDescent="0.5">
      <c r="F598" s="658">
        <v>0</v>
      </c>
    </row>
    <row r="599" spans="6:6" x14ac:dyDescent="0.5">
      <c r="F599" s="658">
        <v>0</v>
      </c>
    </row>
    <row r="600" spans="6:6" x14ac:dyDescent="0.5">
      <c r="F600" s="658">
        <v>0</v>
      </c>
    </row>
    <row r="601" spans="6:6" x14ac:dyDescent="0.5">
      <c r="F601" s="658">
        <v>0</v>
      </c>
    </row>
    <row r="602" spans="6:6" x14ac:dyDescent="0.5">
      <c r="F602" s="658">
        <v>0</v>
      </c>
    </row>
    <row r="603" spans="6:6" x14ac:dyDescent="0.5">
      <c r="F603" s="658">
        <v>0</v>
      </c>
    </row>
    <row r="604" spans="6:6" x14ac:dyDescent="0.5">
      <c r="F604" s="658">
        <v>0</v>
      </c>
    </row>
    <row r="605" spans="6:6" x14ac:dyDescent="0.5">
      <c r="F605" s="658">
        <v>0</v>
      </c>
    </row>
    <row r="606" spans="6:6" x14ac:dyDescent="0.5">
      <c r="F606" s="658">
        <v>0</v>
      </c>
    </row>
    <row r="607" spans="6:6" x14ac:dyDescent="0.5">
      <c r="F607" s="658">
        <v>0</v>
      </c>
    </row>
    <row r="608" spans="6:6" x14ac:dyDescent="0.5">
      <c r="F608" s="658">
        <v>0</v>
      </c>
    </row>
    <row r="609" spans="6:6" x14ac:dyDescent="0.5">
      <c r="F609" s="658">
        <v>0</v>
      </c>
    </row>
    <row r="610" spans="6:6" x14ac:dyDescent="0.5">
      <c r="F610" s="658">
        <v>0</v>
      </c>
    </row>
    <row r="611" spans="6:6" x14ac:dyDescent="0.5">
      <c r="F611" s="658">
        <v>0</v>
      </c>
    </row>
    <row r="612" spans="6:6" x14ac:dyDescent="0.5">
      <c r="F612" s="658">
        <v>0</v>
      </c>
    </row>
    <row r="613" spans="6:6" x14ac:dyDescent="0.5">
      <c r="F613" s="658">
        <v>0</v>
      </c>
    </row>
    <row r="614" spans="6:6" x14ac:dyDescent="0.5">
      <c r="F614" s="658">
        <v>0</v>
      </c>
    </row>
    <row r="615" spans="6:6" x14ac:dyDescent="0.5">
      <c r="F615" s="658">
        <v>0</v>
      </c>
    </row>
    <row r="616" spans="6:6" x14ac:dyDescent="0.5">
      <c r="F616" s="658">
        <v>0</v>
      </c>
    </row>
    <row r="617" spans="6:6" x14ac:dyDescent="0.5">
      <c r="F617" s="658">
        <v>0</v>
      </c>
    </row>
    <row r="618" spans="6:6" x14ac:dyDescent="0.5">
      <c r="F618" s="658">
        <v>0</v>
      </c>
    </row>
    <row r="619" spans="6:6" x14ac:dyDescent="0.5">
      <c r="F619" s="658">
        <v>0</v>
      </c>
    </row>
    <row r="620" spans="6:6" x14ac:dyDescent="0.5">
      <c r="F620" s="658">
        <v>0</v>
      </c>
    </row>
    <row r="621" spans="6:6" x14ac:dyDescent="0.5">
      <c r="F621" s="658">
        <v>0</v>
      </c>
    </row>
    <row r="622" spans="6:6" x14ac:dyDescent="0.5">
      <c r="F622" s="658">
        <v>0</v>
      </c>
    </row>
    <row r="623" spans="6:6" x14ac:dyDescent="0.5">
      <c r="F623" s="658">
        <v>0</v>
      </c>
    </row>
    <row r="624" spans="6:6" x14ac:dyDescent="0.5">
      <c r="F624" s="658">
        <v>0</v>
      </c>
    </row>
    <row r="625" spans="6:6" x14ac:dyDescent="0.5">
      <c r="F625" s="658">
        <v>0</v>
      </c>
    </row>
    <row r="626" spans="6:6" x14ac:dyDescent="0.5">
      <c r="F626" s="658">
        <v>0</v>
      </c>
    </row>
    <row r="627" spans="6:6" x14ac:dyDescent="0.5">
      <c r="F627" s="658">
        <v>0</v>
      </c>
    </row>
    <row r="628" spans="6:6" x14ac:dyDescent="0.5">
      <c r="F628" s="658">
        <v>0</v>
      </c>
    </row>
    <row r="629" spans="6:6" x14ac:dyDescent="0.5">
      <c r="F629" s="658">
        <v>0</v>
      </c>
    </row>
    <row r="630" spans="6:6" x14ac:dyDescent="0.5">
      <c r="F630" s="658">
        <v>0</v>
      </c>
    </row>
    <row r="631" spans="6:6" x14ac:dyDescent="0.5">
      <c r="F631" s="658">
        <v>0</v>
      </c>
    </row>
    <row r="632" spans="6:6" x14ac:dyDescent="0.5">
      <c r="F632" s="658">
        <v>0</v>
      </c>
    </row>
    <row r="633" spans="6:6" x14ac:dyDescent="0.5">
      <c r="F633" s="658">
        <v>0</v>
      </c>
    </row>
    <row r="634" spans="6:6" x14ac:dyDescent="0.5">
      <c r="F634" s="658">
        <v>0</v>
      </c>
    </row>
    <row r="635" spans="6:6" x14ac:dyDescent="0.5">
      <c r="F635" s="658">
        <v>0</v>
      </c>
    </row>
    <row r="636" spans="6:6" x14ac:dyDescent="0.5">
      <c r="F636" s="658">
        <v>0</v>
      </c>
    </row>
    <row r="637" spans="6:6" x14ac:dyDescent="0.5">
      <c r="F637" s="658">
        <v>0</v>
      </c>
    </row>
    <row r="638" spans="6:6" x14ac:dyDescent="0.5">
      <c r="F638" s="658">
        <v>0</v>
      </c>
    </row>
    <row r="639" spans="6:6" x14ac:dyDescent="0.5">
      <c r="F639" s="658">
        <v>0</v>
      </c>
    </row>
    <row r="640" spans="6:6" x14ac:dyDescent="0.5">
      <c r="F640" s="658">
        <v>0</v>
      </c>
    </row>
    <row r="641" spans="6:6" x14ac:dyDescent="0.5">
      <c r="F641" s="658">
        <v>0</v>
      </c>
    </row>
    <row r="642" spans="6:6" x14ac:dyDescent="0.5">
      <c r="F642" s="658">
        <v>0</v>
      </c>
    </row>
    <row r="643" spans="6:6" x14ac:dyDescent="0.5">
      <c r="F643" s="658">
        <v>0</v>
      </c>
    </row>
    <row r="644" spans="6:6" x14ac:dyDescent="0.5">
      <c r="F644" s="658">
        <v>0</v>
      </c>
    </row>
    <row r="645" spans="6:6" x14ac:dyDescent="0.5">
      <c r="F645" s="658">
        <v>0</v>
      </c>
    </row>
    <row r="646" spans="6:6" x14ac:dyDescent="0.5">
      <c r="F646" s="658">
        <v>0</v>
      </c>
    </row>
    <row r="647" spans="6:6" x14ac:dyDescent="0.5">
      <c r="F647" s="658">
        <v>0</v>
      </c>
    </row>
    <row r="648" spans="6:6" x14ac:dyDescent="0.5">
      <c r="F648" s="658">
        <v>0</v>
      </c>
    </row>
    <row r="649" spans="6:6" x14ac:dyDescent="0.5">
      <c r="F649" s="658">
        <v>0</v>
      </c>
    </row>
    <row r="650" spans="6:6" x14ac:dyDescent="0.5">
      <c r="F650" s="658">
        <v>0</v>
      </c>
    </row>
    <row r="651" spans="6:6" x14ac:dyDescent="0.5">
      <c r="F651" s="658">
        <v>0</v>
      </c>
    </row>
    <row r="652" spans="6:6" x14ac:dyDescent="0.5">
      <c r="F652" s="658">
        <v>0</v>
      </c>
    </row>
    <row r="653" spans="6:6" x14ac:dyDescent="0.5">
      <c r="F653" s="658">
        <v>0</v>
      </c>
    </row>
    <row r="654" spans="6:6" x14ac:dyDescent="0.5">
      <c r="F654" s="658">
        <v>0</v>
      </c>
    </row>
    <row r="655" spans="6:6" x14ac:dyDescent="0.5">
      <c r="F655" s="658">
        <v>0</v>
      </c>
    </row>
    <row r="656" spans="6:6" x14ac:dyDescent="0.5">
      <c r="F656" s="658">
        <v>0</v>
      </c>
    </row>
    <row r="657" spans="6:6" x14ac:dyDescent="0.5">
      <c r="F657" s="658">
        <v>0</v>
      </c>
    </row>
    <row r="658" spans="6:6" x14ac:dyDescent="0.5">
      <c r="F658" s="658">
        <v>0</v>
      </c>
    </row>
    <row r="659" spans="6:6" x14ac:dyDescent="0.5">
      <c r="F659" s="658">
        <v>0</v>
      </c>
    </row>
    <row r="660" spans="6:6" x14ac:dyDescent="0.5">
      <c r="F660" s="658">
        <v>0</v>
      </c>
    </row>
    <row r="661" spans="6:6" x14ac:dyDescent="0.5">
      <c r="F661" s="658">
        <v>0</v>
      </c>
    </row>
    <row r="662" spans="6:6" x14ac:dyDescent="0.5">
      <c r="F662" s="658">
        <v>0</v>
      </c>
    </row>
    <row r="663" spans="6:6" x14ac:dyDescent="0.5">
      <c r="F663" s="658">
        <v>0</v>
      </c>
    </row>
    <row r="664" spans="6:6" x14ac:dyDescent="0.5">
      <c r="F664" s="658">
        <v>0</v>
      </c>
    </row>
    <row r="665" spans="6:6" x14ac:dyDescent="0.5">
      <c r="F665" s="658">
        <v>0</v>
      </c>
    </row>
    <row r="666" spans="6:6" x14ac:dyDescent="0.5">
      <c r="F666" s="658">
        <v>0</v>
      </c>
    </row>
    <row r="667" spans="6:6" x14ac:dyDescent="0.5">
      <c r="F667" s="658">
        <v>0</v>
      </c>
    </row>
    <row r="668" spans="6:6" x14ac:dyDescent="0.5">
      <c r="F668" s="658">
        <v>0</v>
      </c>
    </row>
    <row r="669" spans="6:6" x14ac:dyDescent="0.5">
      <c r="F669" s="658">
        <v>0</v>
      </c>
    </row>
    <row r="670" spans="6:6" x14ac:dyDescent="0.5">
      <c r="F670" s="658">
        <v>0</v>
      </c>
    </row>
    <row r="671" spans="6:6" x14ac:dyDescent="0.5">
      <c r="F671" s="658">
        <v>0</v>
      </c>
    </row>
    <row r="672" spans="6:6" x14ac:dyDescent="0.5">
      <c r="F672" s="658">
        <v>0</v>
      </c>
    </row>
    <row r="673" spans="6:6" x14ac:dyDescent="0.5">
      <c r="F673" s="658">
        <v>0</v>
      </c>
    </row>
    <row r="674" spans="6:6" x14ac:dyDescent="0.5">
      <c r="F674" s="658">
        <v>0</v>
      </c>
    </row>
    <row r="675" spans="6:6" x14ac:dyDescent="0.5">
      <c r="F675" s="658">
        <v>0</v>
      </c>
    </row>
    <row r="676" spans="6:6" x14ac:dyDescent="0.5">
      <c r="F676" s="658">
        <v>0</v>
      </c>
    </row>
    <row r="677" spans="6:6" x14ac:dyDescent="0.5">
      <c r="F677" s="658">
        <v>0</v>
      </c>
    </row>
    <row r="678" spans="6:6" x14ac:dyDescent="0.5">
      <c r="F678" s="658">
        <v>0</v>
      </c>
    </row>
    <row r="679" spans="6:6" x14ac:dyDescent="0.5">
      <c r="F679" s="658">
        <v>0</v>
      </c>
    </row>
    <row r="680" spans="6:6" x14ac:dyDescent="0.5">
      <c r="F680" s="658">
        <v>0</v>
      </c>
    </row>
    <row r="681" spans="6:6" x14ac:dyDescent="0.5">
      <c r="F681" s="658">
        <v>0</v>
      </c>
    </row>
    <row r="682" spans="6:6" x14ac:dyDescent="0.5">
      <c r="F682" s="658">
        <v>0</v>
      </c>
    </row>
    <row r="683" spans="6:6" x14ac:dyDescent="0.5">
      <c r="F683" s="658">
        <v>0</v>
      </c>
    </row>
    <row r="684" spans="6:6" x14ac:dyDescent="0.5">
      <c r="F684" s="658">
        <v>0</v>
      </c>
    </row>
    <row r="685" spans="6:6" x14ac:dyDescent="0.5">
      <c r="F685" s="658">
        <v>0</v>
      </c>
    </row>
    <row r="686" spans="6:6" x14ac:dyDescent="0.5">
      <c r="F686" s="658">
        <v>0</v>
      </c>
    </row>
    <row r="687" spans="6:6" x14ac:dyDescent="0.5">
      <c r="F687" s="658">
        <v>0</v>
      </c>
    </row>
    <row r="688" spans="6:6" x14ac:dyDescent="0.5">
      <c r="F688" s="658">
        <v>0</v>
      </c>
    </row>
    <row r="689" spans="6:6" x14ac:dyDescent="0.5">
      <c r="F689" s="658">
        <v>0</v>
      </c>
    </row>
    <row r="690" spans="6:6" x14ac:dyDescent="0.5">
      <c r="F690" s="658">
        <v>0</v>
      </c>
    </row>
    <row r="691" spans="6:6" x14ac:dyDescent="0.5">
      <c r="F691" s="658">
        <v>0</v>
      </c>
    </row>
    <row r="692" spans="6:6" x14ac:dyDescent="0.5">
      <c r="F692" s="658">
        <v>0</v>
      </c>
    </row>
    <row r="693" spans="6:6" x14ac:dyDescent="0.5">
      <c r="F693" s="658">
        <v>0</v>
      </c>
    </row>
    <row r="694" spans="6:6" x14ac:dyDescent="0.5">
      <c r="F694" s="658">
        <v>0</v>
      </c>
    </row>
    <row r="695" spans="6:6" x14ac:dyDescent="0.5">
      <c r="F695" s="658">
        <v>0</v>
      </c>
    </row>
    <row r="696" spans="6:6" x14ac:dyDescent="0.5">
      <c r="F696" s="658">
        <v>0</v>
      </c>
    </row>
    <row r="697" spans="6:6" x14ac:dyDescent="0.5">
      <c r="F697" s="658">
        <v>0</v>
      </c>
    </row>
    <row r="698" spans="6:6" x14ac:dyDescent="0.5">
      <c r="F698" s="658">
        <v>0</v>
      </c>
    </row>
    <row r="699" spans="6:6" x14ac:dyDescent="0.5">
      <c r="F699" s="658">
        <v>0</v>
      </c>
    </row>
    <row r="700" spans="6:6" x14ac:dyDescent="0.5">
      <c r="F700" s="658">
        <v>0</v>
      </c>
    </row>
    <row r="701" spans="6:6" x14ac:dyDescent="0.5">
      <c r="F701" s="658">
        <v>0</v>
      </c>
    </row>
    <row r="702" spans="6:6" x14ac:dyDescent="0.5">
      <c r="F702" s="658">
        <v>0</v>
      </c>
    </row>
    <row r="703" spans="6:6" x14ac:dyDescent="0.5">
      <c r="F703" s="658">
        <v>0</v>
      </c>
    </row>
    <row r="704" spans="6:6" x14ac:dyDescent="0.5">
      <c r="F704" s="658">
        <v>0</v>
      </c>
    </row>
    <row r="705" spans="6:6" x14ac:dyDescent="0.5">
      <c r="F705" s="658">
        <v>0</v>
      </c>
    </row>
    <row r="706" spans="6:6" x14ac:dyDescent="0.5">
      <c r="F706" s="658">
        <v>0</v>
      </c>
    </row>
    <row r="707" spans="6:6" x14ac:dyDescent="0.5">
      <c r="F707" s="658">
        <v>0</v>
      </c>
    </row>
    <row r="708" spans="6:6" x14ac:dyDescent="0.5">
      <c r="F708" s="658">
        <v>0</v>
      </c>
    </row>
    <row r="709" spans="6:6" x14ac:dyDescent="0.5">
      <c r="F709" s="658">
        <v>0</v>
      </c>
    </row>
    <row r="710" spans="6:6" x14ac:dyDescent="0.5">
      <c r="F710" s="658">
        <v>0</v>
      </c>
    </row>
    <row r="711" spans="6:6" x14ac:dyDescent="0.5">
      <c r="F711" s="658">
        <v>0</v>
      </c>
    </row>
    <row r="712" spans="6:6" x14ac:dyDescent="0.5">
      <c r="F712" s="658">
        <v>0</v>
      </c>
    </row>
    <row r="713" spans="6:6" x14ac:dyDescent="0.5">
      <c r="F713" s="658">
        <v>0</v>
      </c>
    </row>
    <row r="714" spans="6:6" x14ac:dyDescent="0.5">
      <c r="F714" s="658">
        <v>0</v>
      </c>
    </row>
    <row r="715" spans="6:6" x14ac:dyDescent="0.5">
      <c r="F715" s="658">
        <v>0</v>
      </c>
    </row>
    <row r="716" spans="6:6" x14ac:dyDescent="0.5">
      <c r="F716" s="658">
        <v>0</v>
      </c>
    </row>
    <row r="717" spans="6:6" x14ac:dyDescent="0.5">
      <c r="F717" s="658">
        <v>0</v>
      </c>
    </row>
    <row r="718" spans="6:6" x14ac:dyDescent="0.5">
      <c r="F718" s="658">
        <v>0</v>
      </c>
    </row>
    <row r="719" spans="6:6" x14ac:dyDescent="0.5">
      <c r="F719" s="658">
        <v>0</v>
      </c>
    </row>
    <row r="720" spans="6:6" x14ac:dyDescent="0.5">
      <c r="F720" s="658">
        <v>0</v>
      </c>
    </row>
    <row r="721" spans="6:6" x14ac:dyDescent="0.5">
      <c r="F721" s="658">
        <v>0</v>
      </c>
    </row>
    <row r="722" spans="6:6" x14ac:dyDescent="0.5">
      <c r="F722" s="658">
        <v>0</v>
      </c>
    </row>
    <row r="723" spans="6:6" x14ac:dyDescent="0.5">
      <c r="F723" s="658">
        <v>0</v>
      </c>
    </row>
    <row r="724" spans="6:6" x14ac:dyDescent="0.5">
      <c r="F724" s="658">
        <v>0</v>
      </c>
    </row>
    <row r="725" spans="6:6" x14ac:dyDescent="0.5">
      <c r="F725" s="658">
        <v>0</v>
      </c>
    </row>
    <row r="726" spans="6:6" x14ac:dyDescent="0.5">
      <c r="F726" s="658">
        <v>0</v>
      </c>
    </row>
    <row r="727" spans="6:6" x14ac:dyDescent="0.5">
      <c r="F727" s="658">
        <v>0</v>
      </c>
    </row>
    <row r="728" spans="6:6" x14ac:dyDescent="0.5">
      <c r="F728" s="658">
        <v>0</v>
      </c>
    </row>
    <row r="729" spans="6:6" x14ac:dyDescent="0.5">
      <c r="F729" s="658">
        <v>0</v>
      </c>
    </row>
    <row r="730" spans="6:6" x14ac:dyDescent="0.5">
      <c r="F730" s="658">
        <v>0</v>
      </c>
    </row>
    <row r="731" spans="6:6" x14ac:dyDescent="0.5">
      <c r="F731" s="658">
        <v>0</v>
      </c>
    </row>
    <row r="732" spans="6:6" x14ac:dyDescent="0.5">
      <c r="F732" s="658">
        <v>0</v>
      </c>
    </row>
    <row r="733" spans="6:6" x14ac:dyDescent="0.5">
      <c r="F733" s="658">
        <v>0</v>
      </c>
    </row>
    <row r="734" spans="6:6" x14ac:dyDescent="0.5">
      <c r="F734" s="658">
        <v>0</v>
      </c>
    </row>
    <row r="735" spans="6:6" x14ac:dyDescent="0.5">
      <c r="F735" s="658">
        <v>0</v>
      </c>
    </row>
    <row r="736" spans="6:6" x14ac:dyDescent="0.5">
      <c r="F736" s="658">
        <v>0</v>
      </c>
    </row>
    <row r="737" spans="6:6" x14ac:dyDescent="0.5">
      <c r="F737" s="658">
        <v>0</v>
      </c>
    </row>
    <row r="738" spans="6:6" x14ac:dyDescent="0.5">
      <c r="F738" s="658">
        <v>0</v>
      </c>
    </row>
    <row r="739" spans="6:6" x14ac:dyDescent="0.5">
      <c r="F739" s="658">
        <v>0</v>
      </c>
    </row>
    <row r="740" spans="6:6" x14ac:dyDescent="0.5">
      <c r="F740" s="658">
        <v>0</v>
      </c>
    </row>
    <row r="741" spans="6:6" x14ac:dyDescent="0.5">
      <c r="F741" s="658">
        <v>0</v>
      </c>
    </row>
    <row r="742" spans="6:6" x14ac:dyDescent="0.5">
      <c r="F742" s="658">
        <v>0</v>
      </c>
    </row>
    <row r="743" spans="6:6" x14ac:dyDescent="0.5">
      <c r="F743" s="658">
        <v>0</v>
      </c>
    </row>
    <row r="744" spans="6:6" x14ac:dyDescent="0.5">
      <c r="F744" s="658">
        <v>0</v>
      </c>
    </row>
    <row r="745" spans="6:6" x14ac:dyDescent="0.5">
      <c r="F745" s="658">
        <v>0</v>
      </c>
    </row>
    <row r="746" spans="6:6" x14ac:dyDescent="0.5">
      <c r="F746" s="658">
        <v>0</v>
      </c>
    </row>
    <row r="747" spans="6:6" x14ac:dyDescent="0.5">
      <c r="F747" s="658">
        <v>0</v>
      </c>
    </row>
    <row r="748" spans="6:6" x14ac:dyDescent="0.5">
      <c r="F748" s="658">
        <v>0</v>
      </c>
    </row>
    <row r="749" spans="6:6" x14ac:dyDescent="0.5">
      <c r="F749" s="658">
        <v>0</v>
      </c>
    </row>
    <row r="750" spans="6:6" x14ac:dyDescent="0.5">
      <c r="F750" s="658">
        <v>0</v>
      </c>
    </row>
    <row r="751" spans="6:6" x14ac:dyDescent="0.5">
      <c r="F751" s="658">
        <v>0</v>
      </c>
    </row>
    <row r="752" spans="6:6" x14ac:dyDescent="0.5">
      <c r="F752" s="658">
        <v>0</v>
      </c>
    </row>
    <row r="753" spans="6:6" x14ac:dyDescent="0.5">
      <c r="F753" s="658">
        <v>0</v>
      </c>
    </row>
    <row r="754" spans="6:6" x14ac:dyDescent="0.5">
      <c r="F754" s="658">
        <v>0</v>
      </c>
    </row>
    <row r="755" spans="6:6" x14ac:dyDescent="0.5">
      <c r="F755" s="658">
        <v>0</v>
      </c>
    </row>
    <row r="756" spans="6:6" x14ac:dyDescent="0.5">
      <c r="F756" s="658">
        <v>0</v>
      </c>
    </row>
    <row r="757" spans="6:6" x14ac:dyDescent="0.5">
      <c r="F757" s="658">
        <v>0</v>
      </c>
    </row>
    <row r="758" spans="6:6" x14ac:dyDescent="0.5">
      <c r="F758" s="658">
        <v>0</v>
      </c>
    </row>
    <row r="759" spans="6:6" x14ac:dyDescent="0.5">
      <c r="F759" s="658">
        <v>0</v>
      </c>
    </row>
    <row r="760" spans="6:6" x14ac:dyDescent="0.5">
      <c r="F760" s="658">
        <v>0</v>
      </c>
    </row>
    <row r="761" spans="6:6" x14ac:dyDescent="0.5">
      <c r="F761" s="658">
        <v>0</v>
      </c>
    </row>
    <row r="762" spans="6:6" x14ac:dyDescent="0.5">
      <c r="F762" s="658">
        <v>0</v>
      </c>
    </row>
    <row r="763" spans="6:6" x14ac:dyDescent="0.5">
      <c r="F763" s="658">
        <v>0</v>
      </c>
    </row>
    <row r="764" spans="6:6" x14ac:dyDescent="0.5">
      <c r="F764" s="658">
        <v>0</v>
      </c>
    </row>
    <row r="765" spans="6:6" x14ac:dyDescent="0.5">
      <c r="F765" s="658">
        <v>0</v>
      </c>
    </row>
    <row r="766" spans="6:6" x14ac:dyDescent="0.5">
      <c r="F766" s="658">
        <v>0</v>
      </c>
    </row>
    <row r="767" spans="6:6" x14ac:dyDescent="0.5">
      <c r="F767" s="658">
        <v>0</v>
      </c>
    </row>
    <row r="768" spans="6:6" x14ac:dyDescent="0.5">
      <c r="F768" s="658">
        <v>0</v>
      </c>
    </row>
    <row r="769" spans="6:6" x14ac:dyDescent="0.5">
      <c r="F769" s="658">
        <v>0</v>
      </c>
    </row>
    <row r="770" spans="6:6" x14ac:dyDescent="0.5">
      <c r="F770" s="658">
        <v>0</v>
      </c>
    </row>
    <row r="771" spans="6:6" x14ac:dyDescent="0.5">
      <c r="F771" s="658">
        <v>0</v>
      </c>
    </row>
    <row r="772" spans="6:6" x14ac:dyDescent="0.5">
      <c r="F772" s="658">
        <v>0</v>
      </c>
    </row>
    <row r="773" spans="6:6" x14ac:dyDescent="0.5">
      <c r="F773" s="658">
        <v>0</v>
      </c>
    </row>
    <row r="774" spans="6:6" x14ac:dyDescent="0.5">
      <c r="F774" s="658">
        <v>0</v>
      </c>
    </row>
    <row r="775" spans="6:6" x14ac:dyDescent="0.5">
      <c r="F775" s="658">
        <v>0</v>
      </c>
    </row>
    <row r="776" spans="6:6" x14ac:dyDescent="0.5">
      <c r="F776" s="658">
        <v>0</v>
      </c>
    </row>
    <row r="777" spans="6:6" x14ac:dyDescent="0.5">
      <c r="F777" s="658">
        <v>0</v>
      </c>
    </row>
    <row r="778" spans="6:6" x14ac:dyDescent="0.5">
      <c r="F778" s="658">
        <v>0</v>
      </c>
    </row>
    <row r="779" spans="6:6" x14ac:dyDescent="0.5">
      <c r="F779" s="658">
        <v>0</v>
      </c>
    </row>
    <row r="780" spans="6:6" x14ac:dyDescent="0.5">
      <c r="F780" s="658">
        <v>0</v>
      </c>
    </row>
    <row r="781" spans="6:6" x14ac:dyDescent="0.5">
      <c r="F781" s="658">
        <v>0</v>
      </c>
    </row>
    <row r="782" spans="6:6" x14ac:dyDescent="0.5">
      <c r="F782" s="658">
        <v>0</v>
      </c>
    </row>
    <row r="783" spans="6:6" x14ac:dyDescent="0.5">
      <c r="F783" s="658">
        <v>0</v>
      </c>
    </row>
    <row r="784" spans="6:6" x14ac:dyDescent="0.5">
      <c r="F784" s="658">
        <v>0</v>
      </c>
    </row>
    <row r="785" spans="6:6" x14ac:dyDescent="0.5">
      <c r="F785" s="658">
        <v>0</v>
      </c>
    </row>
    <row r="786" spans="6:6" x14ac:dyDescent="0.5">
      <c r="F786" s="658">
        <v>0</v>
      </c>
    </row>
    <row r="787" spans="6:6" x14ac:dyDescent="0.5">
      <c r="F787" s="658">
        <v>0</v>
      </c>
    </row>
    <row r="788" spans="6:6" x14ac:dyDescent="0.5">
      <c r="F788" s="658">
        <v>0</v>
      </c>
    </row>
    <row r="789" spans="6:6" x14ac:dyDescent="0.5">
      <c r="F789" s="658">
        <v>0</v>
      </c>
    </row>
    <row r="790" spans="6:6" x14ac:dyDescent="0.5">
      <c r="F790" s="658">
        <v>0</v>
      </c>
    </row>
    <row r="791" spans="6:6" x14ac:dyDescent="0.5">
      <c r="F791" s="658">
        <v>0</v>
      </c>
    </row>
    <row r="792" spans="6:6" x14ac:dyDescent="0.5">
      <c r="F792" s="658">
        <v>0</v>
      </c>
    </row>
    <row r="793" spans="6:6" x14ac:dyDescent="0.5">
      <c r="F793" s="658">
        <v>0</v>
      </c>
    </row>
    <row r="794" spans="6:6" x14ac:dyDescent="0.5">
      <c r="F794" s="658">
        <v>0</v>
      </c>
    </row>
    <row r="795" spans="6:6" x14ac:dyDescent="0.5">
      <c r="F795" s="658">
        <v>0</v>
      </c>
    </row>
    <row r="796" spans="6:6" x14ac:dyDescent="0.5">
      <c r="F796" s="658">
        <v>0</v>
      </c>
    </row>
    <row r="797" spans="6:6" x14ac:dyDescent="0.5">
      <c r="F797" s="658">
        <v>0</v>
      </c>
    </row>
    <row r="798" spans="6:6" x14ac:dyDescent="0.5">
      <c r="F798" s="658">
        <v>0</v>
      </c>
    </row>
    <row r="799" spans="6:6" x14ac:dyDescent="0.5">
      <c r="F799" s="658">
        <v>0</v>
      </c>
    </row>
    <row r="800" spans="6:6" x14ac:dyDescent="0.5">
      <c r="F800" s="658">
        <v>0</v>
      </c>
    </row>
    <row r="801" spans="6:6" x14ac:dyDescent="0.5">
      <c r="F801" s="658">
        <v>0</v>
      </c>
    </row>
    <row r="802" spans="6:6" x14ac:dyDescent="0.5">
      <c r="F802" s="658">
        <v>0</v>
      </c>
    </row>
    <row r="803" spans="6:6" x14ac:dyDescent="0.5">
      <c r="F803" s="658">
        <v>0</v>
      </c>
    </row>
    <row r="804" spans="6:6" x14ac:dyDescent="0.5">
      <c r="F804" s="658">
        <v>0</v>
      </c>
    </row>
    <row r="805" spans="6:6" x14ac:dyDescent="0.5">
      <c r="F805" s="658">
        <v>0</v>
      </c>
    </row>
    <row r="806" spans="6:6" x14ac:dyDescent="0.5">
      <c r="F806" s="658">
        <v>0</v>
      </c>
    </row>
    <row r="807" spans="6:6" x14ac:dyDescent="0.5">
      <c r="F807" s="658">
        <v>0</v>
      </c>
    </row>
    <row r="808" spans="6:6" x14ac:dyDescent="0.5">
      <c r="F808" s="658">
        <v>0</v>
      </c>
    </row>
    <row r="809" spans="6:6" x14ac:dyDescent="0.5">
      <c r="F809" s="658">
        <v>0</v>
      </c>
    </row>
    <row r="810" spans="6:6" x14ac:dyDescent="0.5">
      <c r="F810" s="658">
        <v>0</v>
      </c>
    </row>
    <row r="811" spans="6:6" x14ac:dyDescent="0.5">
      <c r="F811" s="658">
        <v>0</v>
      </c>
    </row>
    <row r="812" spans="6:6" x14ac:dyDescent="0.5">
      <c r="F812" s="658">
        <v>0</v>
      </c>
    </row>
    <row r="813" spans="6:6" x14ac:dyDescent="0.5">
      <c r="F813" s="658">
        <v>0</v>
      </c>
    </row>
    <row r="814" spans="6:6" x14ac:dyDescent="0.5">
      <c r="F814" s="658">
        <v>0</v>
      </c>
    </row>
    <row r="815" spans="6:6" x14ac:dyDescent="0.5">
      <c r="F815" s="658">
        <v>0</v>
      </c>
    </row>
    <row r="816" spans="6:6" x14ac:dyDescent="0.5">
      <c r="F816" s="658">
        <v>0</v>
      </c>
    </row>
    <row r="817" spans="6:6" x14ac:dyDescent="0.5">
      <c r="F817" s="658">
        <v>0</v>
      </c>
    </row>
    <row r="818" spans="6:6" x14ac:dyDescent="0.5">
      <c r="F818" s="658">
        <v>0</v>
      </c>
    </row>
    <row r="819" spans="6:6" x14ac:dyDescent="0.5">
      <c r="F819" s="658">
        <v>0</v>
      </c>
    </row>
    <row r="820" spans="6:6" x14ac:dyDescent="0.5">
      <c r="F820" s="658">
        <v>0</v>
      </c>
    </row>
    <row r="821" spans="6:6" x14ac:dyDescent="0.5">
      <c r="F821" s="658">
        <v>0</v>
      </c>
    </row>
    <row r="822" spans="6:6" x14ac:dyDescent="0.5">
      <c r="F822" s="658">
        <v>0</v>
      </c>
    </row>
    <row r="823" spans="6:6" x14ac:dyDescent="0.5">
      <c r="F823" s="658">
        <v>0</v>
      </c>
    </row>
    <row r="824" spans="6:6" x14ac:dyDescent="0.5">
      <c r="F824" s="658">
        <v>0</v>
      </c>
    </row>
    <row r="825" spans="6:6" x14ac:dyDescent="0.5">
      <c r="F825" s="658">
        <v>0</v>
      </c>
    </row>
    <row r="826" spans="6:6" x14ac:dyDescent="0.5">
      <c r="F826" s="658">
        <v>0</v>
      </c>
    </row>
    <row r="827" spans="6:6" x14ac:dyDescent="0.5">
      <c r="F827" s="658">
        <v>0</v>
      </c>
    </row>
    <row r="828" spans="6:6" x14ac:dyDescent="0.5">
      <c r="F828" s="658">
        <v>0</v>
      </c>
    </row>
    <row r="829" spans="6:6" x14ac:dyDescent="0.5">
      <c r="F829" s="658">
        <v>0</v>
      </c>
    </row>
    <row r="830" spans="6:6" x14ac:dyDescent="0.5">
      <c r="F830" s="658">
        <v>0</v>
      </c>
    </row>
    <row r="831" spans="6:6" x14ac:dyDescent="0.5">
      <c r="F831" s="658">
        <v>0</v>
      </c>
    </row>
    <row r="832" spans="6:6" x14ac:dyDescent="0.5">
      <c r="F832" s="658">
        <v>0</v>
      </c>
    </row>
    <row r="833" spans="6:6" x14ac:dyDescent="0.5">
      <c r="F833" s="658">
        <v>0</v>
      </c>
    </row>
    <row r="834" spans="6:6" x14ac:dyDescent="0.5">
      <c r="F834" s="658">
        <v>0</v>
      </c>
    </row>
    <row r="835" spans="6:6" x14ac:dyDescent="0.5">
      <c r="F835" s="658">
        <v>0</v>
      </c>
    </row>
    <row r="836" spans="6:6" x14ac:dyDescent="0.5">
      <c r="F836" s="658">
        <v>0</v>
      </c>
    </row>
    <row r="837" spans="6:6" x14ac:dyDescent="0.5">
      <c r="F837" s="658">
        <v>0</v>
      </c>
    </row>
    <row r="838" spans="6:6" x14ac:dyDescent="0.5">
      <c r="F838" s="658">
        <v>0</v>
      </c>
    </row>
    <row r="839" spans="6:6" x14ac:dyDescent="0.5">
      <c r="F839" s="658">
        <v>0</v>
      </c>
    </row>
    <row r="840" spans="6:6" x14ac:dyDescent="0.5">
      <c r="F840" s="658">
        <v>0</v>
      </c>
    </row>
    <row r="841" spans="6:6" x14ac:dyDescent="0.5">
      <c r="F841" s="658">
        <v>0</v>
      </c>
    </row>
    <row r="842" spans="6:6" x14ac:dyDescent="0.5">
      <c r="F842" s="658">
        <v>0</v>
      </c>
    </row>
    <row r="843" spans="6:6" x14ac:dyDescent="0.5">
      <c r="F843" s="658">
        <v>0</v>
      </c>
    </row>
    <row r="844" spans="6:6" x14ac:dyDescent="0.5">
      <c r="F844" s="658">
        <v>0</v>
      </c>
    </row>
    <row r="845" spans="6:6" x14ac:dyDescent="0.5">
      <c r="F845" s="658">
        <v>0</v>
      </c>
    </row>
    <row r="846" spans="6:6" x14ac:dyDescent="0.5">
      <c r="F846" s="658">
        <v>0</v>
      </c>
    </row>
    <row r="847" spans="6:6" x14ac:dyDescent="0.5">
      <c r="F847" s="658">
        <v>0</v>
      </c>
    </row>
    <row r="848" spans="6:6" x14ac:dyDescent="0.5">
      <c r="F848" s="658">
        <v>0</v>
      </c>
    </row>
    <row r="849" spans="6:6" x14ac:dyDescent="0.5">
      <c r="F849" s="658">
        <v>0</v>
      </c>
    </row>
    <row r="850" spans="6:6" x14ac:dyDescent="0.5">
      <c r="F850" s="658">
        <v>0</v>
      </c>
    </row>
    <row r="851" spans="6:6" x14ac:dyDescent="0.5">
      <c r="F851" s="658">
        <v>0</v>
      </c>
    </row>
    <row r="852" spans="6:6" x14ac:dyDescent="0.5">
      <c r="F852" s="658">
        <v>0</v>
      </c>
    </row>
    <row r="853" spans="6:6" x14ac:dyDescent="0.5">
      <c r="F853" s="658">
        <v>0</v>
      </c>
    </row>
    <row r="854" spans="6:6" x14ac:dyDescent="0.5">
      <c r="F854" s="658">
        <v>0</v>
      </c>
    </row>
    <row r="855" spans="6:6" x14ac:dyDescent="0.5">
      <c r="F855" s="658">
        <v>0</v>
      </c>
    </row>
    <row r="856" spans="6:6" x14ac:dyDescent="0.5">
      <c r="F856" s="658">
        <v>0</v>
      </c>
    </row>
    <row r="857" spans="6:6" x14ac:dyDescent="0.5">
      <c r="F857" s="658">
        <v>0</v>
      </c>
    </row>
    <row r="858" spans="6:6" x14ac:dyDescent="0.5">
      <c r="F858" s="658">
        <v>0</v>
      </c>
    </row>
    <row r="859" spans="6:6" x14ac:dyDescent="0.5">
      <c r="F859" s="658">
        <v>0</v>
      </c>
    </row>
    <row r="860" spans="6:6" x14ac:dyDescent="0.5">
      <c r="F860" s="658">
        <v>0</v>
      </c>
    </row>
    <row r="861" spans="6:6" x14ac:dyDescent="0.5">
      <c r="F861" s="658">
        <v>0</v>
      </c>
    </row>
    <row r="862" spans="6:6" x14ac:dyDescent="0.5">
      <c r="F862" s="658">
        <v>0</v>
      </c>
    </row>
    <row r="863" spans="6:6" x14ac:dyDescent="0.5">
      <c r="F863" s="658">
        <v>0</v>
      </c>
    </row>
    <row r="864" spans="6:6" x14ac:dyDescent="0.5">
      <c r="F864" s="658">
        <v>0</v>
      </c>
    </row>
    <row r="865" spans="6:6" x14ac:dyDescent="0.5">
      <c r="F865" s="658">
        <v>0</v>
      </c>
    </row>
    <row r="866" spans="6:6" x14ac:dyDescent="0.5">
      <c r="F866" s="658">
        <v>0</v>
      </c>
    </row>
    <row r="867" spans="6:6" x14ac:dyDescent="0.5">
      <c r="F867" s="658">
        <v>0</v>
      </c>
    </row>
    <row r="868" spans="6:6" x14ac:dyDescent="0.5">
      <c r="F868" s="658">
        <v>0</v>
      </c>
    </row>
    <row r="869" spans="6:6" x14ac:dyDescent="0.5">
      <c r="F869" s="658">
        <v>0</v>
      </c>
    </row>
    <row r="870" spans="6:6" x14ac:dyDescent="0.5">
      <c r="F870" s="658">
        <v>0</v>
      </c>
    </row>
    <row r="871" spans="6:6" x14ac:dyDescent="0.5">
      <c r="F871" s="658">
        <v>0</v>
      </c>
    </row>
    <row r="872" spans="6:6" x14ac:dyDescent="0.5">
      <c r="F872" s="658">
        <v>0</v>
      </c>
    </row>
    <row r="873" spans="6:6" x14ac:dyDescent="0.5">
      <c r="F873" s="658">
        <v>0</v>
      </c>
    </row>
    <row r="874" spans="6:6" x14ac:dyDescent="0.5">
      <c r="F874" s="658">
        <v>0</v>
      </c>
    </row>
    <row r="875" spans="6:6" x14ac:dyDescent="0.5">
      <c r="F875" s="658">
        <v>0</v>
      </c>
    </row>
    <row r="876" spans="6:6" x14ac:dyDescent="0.5">
      <c r="F876" s="658">
        <v>0</v>
      </c>
    </row>
    <row r="877" spans="6:6" x14ac:dyDescent="0.5">
      <c r="F877" s="658">
        <v>0</v>
      </c>
    </row>
    <row r="878" spans="6:6" x14ac:dyDescent="0.5">
      <c r="F878" s="658">
        <v>0</v>
      </c>
    </row>
    <row r="879" spans="6:6" x14ac:dyDescent="0.5">
      <c r="F879" s="658">
        <v>0</v>
      </c>
    </row>
    <row r="880" spans="6:6" x14ac:dyDescent="0.5">
      <c r="F880" s="658">
        <v>0</v>
      </c>
    </row>
    <row r="881" spans="6:6" x14ac:dyDescent="0.5">
      <c r="F881" s="658">
        <v>0</v>
      </c>
    </row>
    <row r="882" spans="6:6" x14ac:dyDescent="0.5">
      <c r="F882" s="658">
        <v>0</v>
      </c>
    </row>
    <row r="883" spans="6:6" x14ac:dyDescent="0.5">
      <c r="F883" s="658">
        <v>0</v>
      </c>
    </row>
    <row r="884" spans="6:6" x14ac:dyDescent="0.5">
      <c r="F884" s="658">
        <v>0</v>
      </c>
    </row>
    <row r="885" spans="6:6" x14ac:dyDescent="0.5">
      <c r="F885" s="658">
        <v>0</v>
      </c>
    </row>
    <row r="886" spans="6:6" x14ac:dyDescent="0.5">
      <c r="F886" s="658">
        <v>0</v>
      </c>
    </row>
    <row r="887" spans="6:6" x14ac:dyDescent="0.5">
      <c r="F887" s="658">
        <v>0</v>
      </c>
    </row>
    <row r="888" spans="6:6" x14ac:dyDescent="0.5">
      <c r="F888" s="658">
        <v>0</v>
      </c>
    </row>
    <row r="889" spans="6:6" x14ac:dyDescent="0.5">
      <c r="F889" s="658">
        <v>0</v>
      </c>
    </row>
    <row r="890" spans="6:6" x14ac:dyDescent="0.5">
      <c r="F890" s="658">
        <v>0</v>
      </c>
    </row>
    <row r="891" spans="6:6" x14ac:dyDescent="0.5">
      <c r="F891" s="658">
        <v>0</v>
      </c>
    </row>
    <row r="892" spans="6:6" x14ac:dyDescent="0.5">
      <c r="F892" s="658">
        <v>0</v>
      </c>
    </row>
    <row r="893" spans="6:6" x14ac:dyDescent="0.5">
      <c r="F893" s="658">
        <v>0</v>
      </c>
    </row>
    <row r="894" spans="6:6" x14ac:dyDescent="0.5">
      <c r="F894" s="658">
        <v>0</v>
      </c>
    </row>
    <row r="895" spans="6:6" x14ac:dyDescent="0.5">
      <c r="F895" s="658">
        <v>0</v>
      </c>
    </row>
    <row r="896" spans="6:6" x14ac:dyDescent="0.5">
      <c r="F896" s="658">
        <v>0</v>
      </c>
    </row>
    <row r="897" spans="6:6" x14ac:dyDescent="0.5">
      <c r="F897" s="658">
        <v>0</v>
      </c>
    </row>
    <row r="898" spans="6:6" x14ac:dyDescent="0.5">
      <c r="F898" s="658">
        <v>0</v>
      </c>
    </row>
    <row r="899" spans="6:6" x14ac:dyDescent="0.5">
      <c r="F899" s="658">
        <v>0</v>
      </c>
    </row>
    <row r="900" spans="6:6" x14ac:dyDescent="0.5">
      <c r="F900" s="658">
        <v>0</v>
      </c>
    </row>
    <row r="901" spans="6:6" x14ac:dyDescent="0.5">
      <c r="F901" s="658">
        <v>0</v>
      </c>
    </row>
    <row r="902" spans="6:6" x14ac:dyDescent="0.5">
      <c r="F902" s="658">
        <v>0</v>
      </c>
    </row>
    <row r="903" spans="6:6" x14ac:dyDescent="0.5">
      <c r="F903" s="658">
        <v>0</v>
      </c>
    </row>
    <row r="904" spans="6:6" x14ac:dyDescent="0.5">
      <c r="F904" s="658">
        <v>0</v>
      </c>
    </row>
    <row r="905" spans="6:6" x14ac:dyDescent="0.5">
      <c r="F905" s="658">
        <v>0</v>
      </c>
    </row>
    <row r="906" spans="6:6" x14ac:dyDescent="0.5">
      <c r="F906" s="658">
        <v>0</v>
      </c>
    </row>
    <row r="907" spans="6:6" x14ac:dyDescent="0.5">
      <c r="F907" s="658">
        <v>0</v>
      </c>
    </row>
    <row r="908" spans="6:6" x14ac:dyDescent="0.5">
      <c r="F908" s="658">
        <v>0</v>
      </c>
    </row>
    <row r="909" spans="6:6" x14ac:dyDescent="0.5">
      <c r="F909" s="658">
        <v>0</v>
      </c>
    </row>
    <row r="910" spans="6:6" x14ac:dyDescent="0.5">
      <c r="F910" s="658">
        <v>0</v>
      </c>
    </row>
    <row r="911" spans="6:6" x14ac:dyDescent="0.5">
      <c r="F911" s="658">
        <v>0</v>
      </c>
    </row>
    <row r="912" spans="6:6" x14ac:dyDescent="0.5">
      <c r="F912" s="658">
        <v>0</v>
      </c>
    </row>
    <row r="913" spans="6:6" x14ac:dyDescent="0.5">
      <c r="F913" s="658">
        <v>0</v>
      </c>
    </row>
    <row r="914" spans="6:6" x14ac:dyDescent="0.5">
      <c r="F914" s="658">
        <v>0</v>
      </c>
    </row>
    <row r="915" spans="6:6" x14ac:dyDescent="0.5">
      <c r="F915" s="658">
        <v>0</v>
      </c>
    </row>
    <row r="916" spans="6:6" x14ac:dyDescent="0.5">
      <c r="F916" s="658">
        <v>0</v>
      </c>
    </row>
    <row r="917" spans="6:6" x14ac:dyDescent="0.5">
      <c r="F917" s="658">
        <v>0</v>
      </c>
    </row>
    <row r="918" spans="6:6" x14ac:dyDescent="0.5">
      <c r="F918" s="658">
        <v>0</v>
      </c>
    </row>
    <row r="919" spans="6:6" x14ac:dyDescent="0.5">
      <c r="F919" s="658">
        <v>0</v>
      </c>
    </row>
    <row r="920" spans="6:6" x14ac:dyDescent="0.5">
      <c r="F920" s="658">
        <v>0</v>
      </c>
    </row>
    <row r="921" spans="6:6" x14ac:dyDescent="0.5">
      <c r="F921" s="658">
        <v>0</v>
      </c>
    </row>
    <row r="922" spans="6:6" x14ac:dyDescent="0.5">
      <c r="F922" s="658">
        <v>0</v>
      </c>
    </row>
    <row r="923" spans="6:6" x14ac:dyDescent="0.5">
      <c r="F923" s="658">
        <v>0</v>
      </c>
    </row>
    <row r="924" spans="6:6" x14ac:dyDescent="0.5">
      <c r="F924" s="658">
        <v>0</v>
      </c>
    </row>
    <row r="925" spans="6:6" x14ac:dyDescent="0.5">
      <c r="F925" s="658">
        <v>0</v>
      </c>
    </row>
    <row r="926" spans="6:6" x14ac:dyDescent="0.5">
      <c r="F926" s="658">
        <v>0</v>
      </c>
    </row>
    <row r="927" spans="6:6" x14ac:dyDescent="0.5">
      <c r="F927" s="658">
        <v>0</v>
      </c>
    </row>
    <row r="928" spans="6:6" x14ac:dyDescent="0.5">
      <c r="F928" s="658">
        <v>0</v>
      </c>
    </row>
    <row r="929" spans="6:6" x14ac:dyDescent="0.5">
      <c r="F929" s="658">
        <v>0</v>
      </c>
    </row>
    <row r="930" spans="6:6" x14ac:dyDescent="0.5">
      <c r="F930" s="658">
        <v>0</v>
      </c>
    </row>
    <row r="931" spans="6:6" x14ac:dyDescent="0.5">
      <c r="F931" s="658">
        <v>0</v>
      </c>
    </row>
    <row r="932" spans="6:6" x14ac:dyDescent="0.5">
      <c r="F932" s="658">
        <v>0</v>
      </c>
    </row>
    <row r="933" spans="6:6" x14ac:dyDescent="0.5">
      <c r="F933" s="658">
        <v>0</v>
      </c>
    </row>
    <row r="934" spans="6:6" x14ac:dyDescent="0.5">
      <c r="F934" s="658">
        <v>0</v>
      </c>
    </row>
    <row r="935" spans="6:6" x14ac:dyDescent="0.5">
      <c r="F935" s="658">
        <v>0</v>
      </c>
    </row>
    <row r="936" spans="6:6" x14ac:dyDescent="0.5">
      <c r="F936" s="658">
        <v>0</v>
      </c>
    </row>
    <row r="937" spans="6:6" x14ac:dyDescent="0.5">
      <c r="F937" s="658">
        <v>0</v>
      </c>
    </row>
    <row r="938" spans="6:6" x14ac:dyDescent="0.5">
      <c r="F938" s="658">
        <v>0</v>
      </c>
    </row>
    <row r="939" spans="6:6" x14ac:dyDescent="0.5">
      <c r="F939" s="658">
        <v>0</v>
      </c>
    </row>
    <row r="940" spans="6:6" x14ac:dyDescent="0.5">
      <c r="F940" s="658">
        <v>0</v>
      </c>
    </row>
    <row r="941" spans="6:6" x14ac:dyDescent="0.5">
      <c r="F941" s="658">
        <v>0</v>
      </c>
    </row>
    <row r="942" spans="6:6" x14ac:dyDescent="0.5">
      <c r="F942" s="658">
        <v>0</v>
      </c>
    </row>
    <row r="943" spans="6:6" x14ac:dyDescent="0.5">
      <c r="F943" s="658">
        <v>0</v>
      </c>
    </row>
    <row r="944" spans="6:6" x14ac:dyDescent="0.5">
      <c r="F944" s="658">
        <v>0</v>
      </c>
    </row>
    <row r="945" spans="6:6" x14ac:dyDescent="0.5">
      <c r="F945" s="658">
        <v>0</v>
      </c>
    </row>
    <row r="946" spans="6:6" x14ac:dyDescent="0.5">
      <c r="F946" s="658">
        <v>0</v>
      </c>
    </row>
    <row r="947" spans="6:6" x14ac:dyDescent="0.5">
      <c r="F947" s="658">
        <v>0</v>
      </c>
    </row>
    <row r="948" spans="6:6" x14ac:dyDescent="0.5">
      <c r="F948" s="658">
        <v>0</v>
      </c>
    </row>
    <row r="949" spans="6:6" x14ac:dyDescent="0.5">
      <c r="F949" s="658">
        <v>0</v>
      </c>
    </row>
    <row r="950" spans="6:6" x14ac:dyDescent="0.5">
      <c r="F950" s="658">
        <v>0</v>
      </c>
    </row>
    <row r="951" spans="6:6" x14ac:dyDescent="0.5">
      <c r="F951" s="658">
        <v>0</v>
      </c>
    </row>
    <row r="952" spans="6:6" x14ac:dyDescent="0.5">
      <c r="F952" s="658">
        <v>0</v>
      </c>
    </row>
    <row r="953" spans="6:6" x14ac:dyDescent="0.5">
      <c r="F953" s="658">
        <v>0</v>
      </c>
    </row>
    <row r="954" spans="6:6" x14ac:dyDescent="0.5">
      <c r="F954" s="658">
        <v>0</v>
      </c>
    </row>
    <row r="955" spans="6:6" x14ac:dyDescent="0.5">
      <c r="F955" s="658">
        <v>0</v>
      </c>
    </row>
    <row r="956" spans="6:6" x14ac:dyDescent="0.5">
      <c r="F956" s="658">
        <v>0</v>
      </c>
    </row>
    <row r="957" spans="6:6" x14ac:dyDescent="0.5">
      <c r="F957" s="658">
        <v>0</v>
      </c>
    </row>
    <row r="958" spans="6:6" x14ac:dyDescent="0.5">
      <c r="F958" s="658">
        <v>0</v>
      </c>
    </row>
    <row r="959" spans="6:6" x14ac:dyDescent="0.5">
      <c r="F959" s="658">
        <v>0</v>
      </c>
    </row>
    <row r="960" spans="6:6" x14ac:dyDescent="0.5">
      <c r="F960" s="658">
        <v>0</v>
      </c>
    </row>
    <row r="961" spans="6:6" x14ac:dyDescent="0.5">
      <c r="F961" s="658">
        <v>0</v>
      </c>
    </row>
    <row r="962" spans="6:6" x14ac:dyDescent="0.5">
      <c r="F962" s="658">
        <v>0</v>
      </c>
    </row>
    <row r="963" spans="6:6" x14ac:dyDescent="0.5">
      <c r="F963" s="658">
        <v>0</v>
      </c>
    </row>
    <row r="964" spans="6:6" x14ac:dyDescent="0.5">
      <c r="F964" s="658">
        <v>0</v>
      </c>
    </row>
    <row r="965" spans="6:6" x14ac:dyDescent="0.5">
      <c r="F965" s="658">
        <v>0</v>
      </c>
    </row>
    <row r="966" spans="6:6" x14ac:dyDescent="0.5">
      <c r="F966" s="658">
        <v>0</v>
      </c>
    </row>
    <row r="967" spans="6:6" x14ac:dyDescent="0.5">
      <c r="F967" s="658">
        <v>0</v>
      </c>
    </row>
    <row r="968" spans="6:6" x14ac:dyDescent="0.5">
      <c r="F968" s="658">
        <v>0</v>
      </c>
    </row>
    <row r="969" spans="6:6" x14ac:dyDescent="0.5">
      <c r="F969" s="658">
        <v>0</v>
      </c>
    </row>
    <row r="970" spans="6:6" x14ac:dyDescent="0.5">
      <c r="F970" s="658">
        <v>0</v>
      </c>
    </row>
    <row r="971" spans="6:6" x14ac:dyDescent="0.5">
      <c r="F971" s="658">
        <v>0</v>
      </c>
    </row>
    <row r="972" spans="6:6" x14ac:dyDescent="0.5">
      <c r="F972" s="658">
        <v>0</v>
      </c>
    </row>
    <row r="973" spans="6:6" x14ac:dyDescent="0.5">
      <c r="F973" s="658">
        <v>0</v>
      </c>
    </row>
    <row r="974" spans="6:6" x14ac:dyDescent="0.5">
      <c r="F974" s="658">
        <v>0</v>
      </c>
    </row>
    <row r="975" spans="6:6" x14ac:dyDescent="0.5">
      <c r="F975" s="658">
        <v>0</v>
      </c>
    </row>
    <row r="976" spans="6:6" x14ac:dyDescent="0.5">
      <c r="F976" s="658">
        <v>0</v>
      </c>
    </row>
    <row r="977" spans="6:6" x14ac:dyDescent="0.5">
      <c r="F977" s="658">
        <v>0</v>
      </c>
    </row>
    <row r="978" spans="6:6" x14ac:dyDescent="0.5">
      <c r="F978" s="658">
        <v>0</v>
      </c>
    </row>
    <row r="979" spans="6:6" x14ac:dyDescent="0.5">
      <c r="F979" s="658">
        <v>0</v>
      </c>
    </row>
    <row r="980" spans="6:6" x14ac:dyDescent="0.5">
      <c r="F980" s="658">
        <v>0</v>
      </c>
    </row>
    <row r="981" spans="6:6" x14ac:dyDescent="0.5">
      <c r="F981" s="658">
        <v>0</v>
      </c>
    </row>
    <row r="982" spans="6:6" x14ac:dyDescent="0.5">
      <c r="F982" s="658">
        <v>0</v>
      </c>
    </row>
    <row r="983" spans="6:6" x14ac:dyDescent="0.5">
      <c r="F983" s="658">
        <v>0</v>
      </c>
    </row>
    <row r="984" spans="6:6" x14ac:dyDescent="0.5">
      <c r="F984" s="658">
        <v>0</v>
      </c>
    </row>
    <row r="985" spans="6:6" x14ac:dyDescent="0.5">
      <c r="F985" s="658">
        <v>0</v>
      </c>
    </row>
    <row r="986" spans="6:6" x14ac:dyDescent="0.5">
      <c r="F986" s="658">
        <v>0</v>
      </c>
    </row>
    <row r="987" spans="6:6" x14ac:dyDescent="0.5">
      <c r="F987" s="658">
        <v>0</v>
      </c>
    </row>
    <row r="988" spans="6:6" x14ac:dyDescent="0.5">
      <c r="F988" s="658">
        <v>0</v>
      </c>
    </row>
    <row r="989" spans="6:6" x14ac:dyDescent="0.5">
      <c r="F989" s="658">
        <v>0</v>
      </c>
    </row>
    <row r="990" spans="6:6" x14ac:dyDescent="0.5">
      <c r="F990" s="658">
        <v>0</v>
      </c>
    </row>
    <row r="991" spans="6:6" x14ac:dyDescent="0.5">
      <c r="F991" s="658">
        <v>0</v>
      </c>
    </row>
    <row r="992" spans="6:6" x14ac:dyDescent="0.5">
      <c r="F992" s="658">
        <v>0</v>
      </c>
    </row>
    <row r="993" spans="6:6" x14ac:dyDescent="0.5">
      <c r="F993" s="658">
        <v>0</v>
      </c>
    </row>
    <row r="994" spans="6:6" x14ac:dyDescent="0.5">
      <c r="F994" s="658">
        <v>0</v>
      </c>
    </row>
    <row r="995" spans="6:6" x14ac:dyDescent="0.5">
      <c r="F995" s="658">
        <v>0</v>
      </c>
    </row>
    <row r="996" spans="6:6" x14ac:dyDescent="0.5">
      <c r="F996" s="658">
        <v>0</v>
      </c>
    </row>
    <row r="997" spans="6:6" x14ac:dyDescent="0.5">
      <c r="F997" s="658">
        <v>0</v>
      </c>
    </row>
    <row r="998" spans="6:6" x14ac:dyDescent="0.5">
      <c r="F998" s="658">
        <v>0</v>
      </c>
    </row>
    <row r="999" spans="6:6" x14ac:dyDescent="0.5">
      <c r="F999" s="658">
        <v>0</v>
      </c>
    </row>
    <row r="1000" spans="6:6" x14ac:dyDescent="0.5">
      <c r="F1000" s="658">
        <v>0</v>
      </c>
    </row>
    <row r="1001" spans="6:6" x14ac:dyDescent="0.5">
      <c r="F1001" s="658">
        <v>0</v>
      </c>
    </row>
    <row r="1002" spans="6:6" x14ac:dyDescent="0.5">
      <c r="F1002" s="658">
        <v>0</v>
      </c>
    </row>
    <row r="1003" spans="6:6" x14ac:dyDescent="0.5">
      <c r="F1003" s="658">
        <v>0</v>
      </c>
    </row>
    <row r="1004" spans="6:6" x14ac:dyDescent="0.5">
      <c r="F1004" s="658">
        <v>0</v>
      </c>
    </row>
    <row r="1005" spans="6:6" x14ac:dyDescent="0.5">
      <c r="F1005" s="658">
        <v>0</v>
      </c>
    </row>
    <row r="1006" spans="6:6" x14ac:dyDescent="0.5">
      <c r="F1006" s="658">
        <v>0</v>
      </c>
    </row>
    <row r="1007" spans="6:6" x14ac:dyDescent="0.5">
      <c r="F1007" s="658">
        <v>0</v>
      </c>
    </row>
    <row r="1008" spans="6:6" x14ac:dyDescent="0.5">
      <c r="F1008" s="658">
        <v>0</v>
      </c>
    </row>
    <row r="1009" spans="6:6" x14ac:dyDescent="0.5">
      <c r="F1009" s="658">
        <v>0</v>
      </c>
    </row>
    <row r="1010" spans="6:6" x14ac:dyDescent="0.5">
      <c r="F1010" s="658">
        <v>0</v>
      </c>
    </row>
    <row r="1011" spans="6:6" x14ac:dyDescent="0.5">
      <c r="F1011" s="658">
        <v>0</v>
      </c>
    </row>
    <row r="1012" spans="6:6" x14ac:dyDescent="0.5">
      <c r="F1012" s="658">
        <v>0</v>
      </c>
    </row>
    <row r="1013" spans="6:6" x14ac:dyDescent="0.5">
      <c r="F1013" s="658">
        <v>0</v>
      </c>
    </row>
    <row r="1014" spans="6:6" x14ac:dyDescent="0.5">
      <c r="F1014" s="658">
        <v>0</v>
      </c>
    </row>
    <row r="1015" spans="6:6" x14ac:dyDescent="0.5">
      <c r="F1015" s="658">
        <v>0</v>
      </c>
    </row>
    <row r="1016" spans="6:6" x14ac:dyDescent="0.5">
      <c r="F1016" s="658">
        <v>0</v>
      </c>
    </row>
    <row r="1017" spans="6:6" x14ac:dyDescent="0.5">
      <c r="F1017" s="658">
        <v>0</v>
      </c>
    </row>
    <row r="1018" spans="6:6" x14ac:dyDescent="0.5">
      <c r="F1018" s="658">
        <v>0</v>
      </c>
    </row>
    <row r="1019" spans="6:6" x14ac:dyDescent="0.5">
      <c r="F1019" s="658">
        <v>0</v>
      </c>
    </row>
    <row r="1020" spans="6:6" x14ac:dyDescent="0.5">
      <c r="F1020" s="658">
        <v>0</v>
      </c>
    </row>
    <row r="1021" spans="6:6" x14ac:dyDescent="0.5">
      <c r="F1021" s="658">
        <v>0</v>
      </c>
    </row>
    <row r="1022" spans="6:6" x14ac:dyDescent="0.5">
      <c r="F1022" s="658">
        <v>0</v>
      </c>
    </row>
    <row r="1023" spans="6:6" x14ac:dyDescent="0.5">
      <c r="F1023" s="658">
        <v>0</v>
      </c>
    </row>
    <row r="1024" spans="6:6" x14ac:dyDescent="0.5">
      <c r="F1024" s="658">
        <v>0</v>
      </c>
    </row>
    <row r="1025" spans="6:6" x14ac:dyDescent="0.5">
      <c r="F1025" s="658">
        <v>0</v>
      </c>
    </row>
    <row r="1026" spans="6:6" x14ac:dyDescent="0.5">
      <c r="F1026" s="658">
        <v>0</v>
      </c>
    </row>
    <row r="1027" spans="6:6" x14ac:dyDescent="0.5">
      <c r="F1027" s="658">
        <v>0</v>
      </c>
    </row>
    <row r="1028" spans="6:6" x14ac:dyDescent="0.5">
      <c r="F1028" s="658">
        <v>0</v>
      </c>
    </row>
    <row r="1029" spans="6:6" x14ac:dyDescent="0.5">
      <c r="F1029" s="658">
        <v>0</v>
      </c>
    </row>
    <row r="1030" spans="6:6" x14ac:dyDescent="0.5">
      <c r="F1030" s="658">
        <v>0</v>
      </c>
    </row>
    <row r="1031" spans="6:6" x14ac:dyDescent="0.5">
      <c r="F1031" s="658">
        <v>0</v>
      </c>
    </row>
    <row r="1032" spans="6:6" x14ac:dyDescent="0.5">
      <c r="F1032" s="658">
        <v>0</v>
      </c>
    </row>
    <row r="1033" spans="6:6" x14ac:dyDescent="0.5">
      <c r="F1033" s="658">
        <v>0</v>
      </c>
    </row>
    <row r="1034" spans="6:6" x14ac:dyDescent="0.5">
      <c r="F1034" s="658">
        <v>0</v>
      </c>
    </row>
    <row r="1035" spans="6:6" x14ac:dyDescent="0.5">
      <c r="F1035" s="658">
        <v>0</v>
      </c>
    </row>
    <row r="1036" spans="6:6" x14ac:dyDescent="0.5">
      <c r="F1036" s="658">
        <v>0</v>
      </c>
    </row>
    <row r="1037" spans="6:6" x14ac:dyDescent="0.5">
      <c r="F1037" s="658">
        <v>0</v>
      </c>
    </row>
    <row r="1038" spans="6:6" x14ac:dyDescent="0.5">
      <c r="F1038" s="658">
        <v>0</v>
      </c>
    </row>
    <row r="1039" spans="6:6" x14ac:dyDescent="0.5">
      <c r="F1039" s="658">
        <v>0</v>
      </c>
    </row>
    <row r="1040" spans="6:6" x14ac:dyDescent="0.5">
      <c r="F1040" s="658">
        <v>0</v>
      </c>
    </row>
    <row r="1041" spans="6:6" x14ac:dyDescent="0.5">
      <c r="F1041" s="658">
        <v>0</v>
      </c>
    </row>
    <row r="1042" spans="6:6" x14ac:dyDescent="0.5">
      <c r="F1042" s="658">
        <v>0</v>
      </c>
    </row>
    <row r="1043" spans="6:6" x14ac:dyDescent="0.5">
      <c r="F1043" s="658">
        <v>0</v>
      </c>
    </row>
    <row r="1044" spans="6:6" x14ac:dyDescent="0.5">
      <c r="F1044" s="658">
        <v>0</v>
      </c>
    </row>
    <row r="1045" spans="6:6" x14ac:dyDescent="0.5">
      <c r="F1045" s="658">
        <v>0</v>
      </c>
    </row>
    <row r="1046" spans="6:6" x14ac:dyDescent="0.5">
      <c r="F1046" s="658">
        <v>0</v>
      </c>
    </row>
    <row r="1047" spans="6:6" x14ac:dyDescent="0.5">
      <c r="F1047" s="658">
        <v>0</v>
      </c>
    </row>
    <row r="1048" spans="6:6" x14ac:dyDescent="0.5">
      <c r="F1048" s="658">
        <v>0</v>
      </c>
    </row>
    <row r="1049" spans="6:6" x14ac:dyDescent="0.5">
      <c r="F1049" s="658">
        <v>0</v>
      </c>
    </row>
    <row r="1050" spans="6:6" x14ac:dyDescent="0.5">
      <c r="F1050" s="658">
        <v>0</v>
      </c>
    </row>
    <row r="1051" spans="6:6" x14ac:dyDescent="0.5">
      <c r="F1051" s="658">
        <v>0</v>
      </c>
    </row>
    <row r="1052" spans="6:6" x14ac:dyDescent="0.5">
      <c r="F1052" s="658">
        <v>0</v>
      </c>
    </row>
    <row r="1053" spans="6:6" x14ac:dyDescent="0.5">
      <c r="F1053" s="658">
        <v>0</v>
      </c>
    </row>
    <row r="1054" spans="6:6" x14ac:dyDescent="0.5">
      <c r="F1054" s="658">
        <v>0</v>
      </c>
    </row>
    <row r="1055" spans="6:6" x14ac:dyDescent="0.5">
      <c r="F1055" s="658">
        <v>0</v>
      </c>
    </row>
    <row r="1056" spans="6:6" x14ac:dyDescent="0.5">
      <c r="F1056" s="658">
        <v>0</v>
      </c>
    </row>
    <row r="1057" spans="6:6" x14ac:dyDescent="0.5">
      <c r="F1057" s="658">
        <v>0</v>
      </c>
    </row>
    <row r="1058" spans="6:6" x14ac:dyDescent="0.5">
      <c r="F1058" s="658">
        <v>0</v>
      </c>
    </row>
    <row r="1059" spans="6:6" x14ac:dyDescent="0.5">
      <c r="F1059" s="658">
        <v>0</v>
      </c>
    </row>
    <row r="1060" spans="6:6" x14ac:dyDescent="0.5">
      <c r="F1060" s="658">
        <v>0</v>
      </c>
    </row>
    <row r="1061" spans="6:6" x14ac:dyDescent="0.5">
      <c r="F1061" s="658">
        <v>0</v>
      </c>
    </row>
    <row r="1062" spans="6:6" x14ac:dyDescent="0.5">
      <c r="F1062" s="658">
        <v>0</v>
      </c>
    </row>
    <row r="1063" spans="6:6" x14ac:dyDescent="0.5">
      <c r="F1063" s="658">
        <v>0</v>
      </c>
    </row>
    <row r="1064" spans="6:6" x14ac:dyDescent="0.5">
      <c r="F1064" s="658">
        <v>0</v>
      </c>
    </row>
    <row r="1065" spans="6:6" x14ac:dyDescent="0.5">
      <c r="F1065" s="658">
        <v>0</v>
      </c>
    </row>
    <row r="1066" spans="6:6" x14ac:dyDescent="0.5">
      <c r="F1066" s="658">
        <v>0</v>
      </c>
    </row>
    <row r="1067" spans="6:6" x14ac:dyDescent="0.5">
      <c r="F1067" s="658">
        <v>0</v>
      </c>
    </row>
    <row r="1068" spans="6:6" x14ac:dyDescent="0.5">
      <c r="F1068" s="658">
        <v>0</v>
      </c>
    </row>
    <row r="1069" spans="6:6" x14ac:dyDescent="0.5">
      <c r="F1069" s="658">
        <v>0</v>
      </c>
    </row>
    <row r="1070" spans="6:6" x14ac:dyDescent="0.5">
      <c r="F1070" s="658">
        <v>0</v>
      </c>
    </row>
    <row r="1071" spans="6:6" x14ac:dyDescent="0.5">
      <c r="F1071" s="658">
        <v>0</v>
      </c>
    </row>
    <row r="1072" spans="6:6" x14ac:dyDescent="0.5">
      <c r="F1072" s="658">
        <v>0</v>
      </c>
    </row>
    <row r="1073" spans="6:6" x14ac:dyDescent="0.5">
      <c r="F1073" s="658">
        <v>0</v>
      </c>
    </row>
    <row r="1074" spans="6:6" x14ac:dyDescent="0.5">
      <c r="F1074" s="658">
        <v>0</v>
      </c>
    </row>
    <row r="1075" spans="6:6" x14ac:dyDescent="0.5">
      <c r="F1075" s="658">
        <v>0</v>
      </c>
    </row>
    <row r="1076" spans="6:6" x14ac:dyDescent="0.5">
      <c r="F1076" s="658">
        <v>0</v>
      </c>
    </row>
    <row r="1077" spans="6:6" x14ac:dyDescent="0.5">
      <c r="F1077" s="658">
        <v>0</v>
      </c>
    </row>
    <row r="1078" spans="6:6" x14ac:dyDescent="0.5">
      <c r="F1078" s="658">
        <v>0</v>
      </c>
    </row>
    <row r="1079" spans="6:6" x14ac:dyDescent="0.5">
      <c r="F1079" s="658">
        <v>0</v>
      </c>
    </row>
    <row r="1080" spans="6:6" x14ac:dyDescent="0.5">
      <c r="F1080" s="658">
        <v>0</v>
      </c>
    </row>
    <row r="1081" spans="6:6" x14ac:dyDescent="0.5">
      <c r="F1081" s="658">
        <v>0</v>
      </c>
    </row>
    <row r="1082" spans="6:6" x14ac:dyDescent="0.5">
      <c r="F1082" s="658">
        <v>0</v>
      </c>
    </row>
    <row r="1083" spans="6:6" x14ac:dyDescent="0.5">
      <c r="F1083" s="658">
        <v>0</v>
      </c>
    </row>
    <row r="1084" spans="6:6" x14ac:dyDescent="0.5">
      <c r="F1084" s="658">
        <v>0</v>
      </c>
    </row>
    <row r="1085" spans="6:6" x14ac:dyDescent="0.5">
      <c r="F1085" s="658">
        <v>0</v>
      </c>
    </row>
    <row r="1086" spans="6:6" x14ac:dyDescent="0.5">
      <c r="F1086" s="658">
        <v>0</v>
      </c>
    </row>
    <row r="1087" spans="6:6" x14ac:dyDescent="0.5">
      <c r="F1087" s="658">
        <v>0</v>
      </c>
    </row>
    <row r="1088" spans="6:6" x14ac:dyDescent="0.5">
      <c r="F1088" s="658">
        <v>0</v>
      </c>
    </row>
    <row r="1089" spans="6:6" x14ac:dyDescent="0.5">
      <c r="F1089" s="658">
        <v>0</v>
      </c>
    </row>
    <row r="1090" spans="6:6" x14ac:dyDescent="0.5">
      <c r="F1090" s="658">
        <v>0</v>
      </c>
    </row>
    <row r="1091" spans="6:6" x14ac:dyDescent="0.5">
      <c r="F1091" s="658">
        <v>0</v>
      </c>
    </row>
    <row r="1092" spans="6:6" x14ac:dyDescent="0.5">
      <c r="F1092" s="658">
        <v>0</v>
      </c>
    </row>
    <row r="1093" spans="6:6" x14ac:dyDescent="0.5">
      <c r="F1093" s="658">
        <v>0</v>
      </c>
    </row>
    <row r="1094" spans="6:6" x14ac:dyDescent="0.5">
      <c r="F1094" s="658">
        <v>0</v>
      </c>
    </row>
    <row r="1095" spans="6:6" x14ac:dyDescent="0.5">
      <c r="F1095" s="658">
        <v>0</v>
      </c>
    </row>
    <row r="1096" spans="6:6" x14ac:dyDescent="0.5">
      <c r="F1096" s="658">
        <v>0</v>
      </c>
    </row>
    <row r="1097" spans="6:6" x14ac:dyDescent="0.5">
      <c r="F1097" s="658">
        <v>0</v>
      </c>
    </row>
    <row r="1098" spans="6:6" x14ac:dyDescent="0.5">
      <c r="F1098" s="658">
        <v>0</v>
      </c>
    </row>
    <row r="1099" spans="6:6" x14ac:dyDescent="0.5">
      <c r="F1099" s="658">
        <v>0</v>
      </c>
    </row>
    <row r="1100" spans="6:6" x14ac:dyDescent="0.5">
      <c r="F1100" s="658">
        <v>0</v>
      </c>
    </row>
    <row r="1101" spans="6:6" x14ac:dyDescent="0.5">
      <c r="F1101" s="658">
        <v>0</v>
      </c>
    </row>
    <row r="1102" spans="6:6" x14ac:dyDescent="0.5">
      <c r="F1102" s="658">
        <v>0</v>
      </c>
    </row>
    <row r="1103" spans="6:6" x14ac:dyDescent="0.5">
      <c r="F1103" s="658">
        <v>0</v>
      </c>
    </row>
    <row r="1104" spans="6:6" x14ac:dyDescent="0.5">
      <c r="F1104" s="658">
        <v>0</v>
      </c>
    </row>
    <row r="1105" spans="6:6" x14ac:dyDescent="0.5">
      <c r="F1105" s="658">
        <v>0</v>
      </c>
    </row>
    <row r="1106" spans="6:6" x14ac:dyDescent="0.5">
      <c r="F1106" s="658">
        <v>0</v>
      </c>
    </row>
    <row r="1107" spans="6:6" x14ac:dyDescent="0.5">
      <c r="F1107" s="658">
        <v>0</v>
      </c>
    </row>
    <row r="1108" spans="6:6" x14ac:dyDescent="0.5">
      <c r="F1108" s="658">
        <v>0</v>
      </c>
    </row>
    <row r="1109" spans="6:6" x14ac:dyDescent="0.5">
      <c r="F1109" s="658">
        <v>0</v>
      </c>
    </row>
    <row r="1110" spans="6:6" x14ac:dyDescent="0.5">
      <c r="F1110" s="658">
        <v>0</v>
      </c>
    </row>
    <row r="1111" spans="6:6" x14ac:dyDescent="0.5">
      <c r="F1111" s="658">
        <v>0</v>
      </c>
    </row>
    <row r="1112" spans="6:6" x14ac:dyDescent="0.5">
      <c r="F1112" s="658">
        <v>0</v>
      </c>
    </row>
    <row r="1113" spans="6:6" x14ac:dyDescent="0.5">
      <c r="F1113" s="658">
        <v>0</v>
      </c>
    </row>
    <row r="1114" spans="6:6" x14ac:dyDescent="0.5">
      <c r="F1114" s="658">
        <v>0</v>
      </c>
    </row>
    <row r="1115" spans="6:6" x14ac:dyDescent="0.5">
      <c r="F1115" s="658">
        <v>0</v>
      </c>
    </row>
    <row r="1116" spans="6:6" x14ac:dyDescent="0.5">
      <c r="F1116" s="658">
        <v>0</v>
      </c>
    </row>
    <row r="1117" spans="6:6" x14ac:dyDescent="0.5">
      <c r="F1117" s="658">
        <v>0</v>
      </c>
    </row>
    <row r="1118" spans="6:6" x14ac:dyDescent="0.5">
      <c r="F1118" s="658">
        <v>0</v>
      </c>
    </row>
    <row r="1119" spans="6:6" x14ac:dyDescent="0.5">
      <c r="F1119" s="658">
        <v>0</v>
      </c>
    </row>
    <row r="1120" spans="6:6" x14ac:dyDescent="0.5">
      <c r="F1120" s="658">
        <v>0</v>
      </c>
    </row>
    <row r="1121" spans="6:6" x14ac:dyDescent="0.5">
      <c r="F1121" s="658">
        <v>0</v>
      </c>
    </row>
    <row r="1122" spans="6:6" x14ac:dyDescent="0.5">
      <c r="F1122" s="658">
        <v>0</v>
      </c>
    </row>
    <row r="1123" spans="6:6" x14ac:dyDescent="0.5">
      <c r="F1123" s="658">
        <v>0</v>
      </c>
    </row>
    <row r="1124" spans="6:6" x14ac:dyDescent="0.5">
      <c r="F1124" s="658">
        <v>0</v>
      </c>
    </row>
    <row r="1125" spans="6:6" x14ac:dyDescent="0.5">
      <c r="F1125" s="658">
        <v>0</v>
      </c>
    </row>
    <row r="1126" spans="6:6" x14ac:dyDescent="0.5">
      <c r="F1126" s="658">
        <v>0</v>
      </c>
    </row>
    <row r="1127" spans="6:6" x14ac:dyDescent="0.5">
      <c r="F1127" s="658">
        <v>0</v>
      </c>
    </row>
    <row r="1128" spans="6:6" x14ac:dyDescent="0.5">
      <c r="F1128" s="658">
        <v>0</v>
      </c>
    </row>
    <row r="1129" spans="6:6" x14ac:dyDescent="0.5">
      <c r="F1129" s="658">
        <v>0</v>
      </c>
    </row>
    <row r="1130" spans="6:6" x14ac:dyDescent="0.5">
      <c r="F1130" s="658">
        <v>0</v>
      </c>
    </row>
    <row r="1131" spans="6:6" x14ac:dyDescent="0.5">
      <c r="F1131" s="658">
        <v>0</v>
      </c>
    </row>
    <row r="1132" spans="6:6" x14ac:dyDescent="0.5">
      <c r="F1132" s="658">
        <v>0</v>
      </c>
    </row>
    <row r="1133" spans="6:6" x14ac:dyDescent="0.5">
      <c r="F1133" s="658">
        <v>0</v>
      </c>
    </row>
    <row r="1134" spans="6:6" x14ac:dyDescent="0.5">
      <c r="F1134" s="658">
        <v>0</v>
      </c>
    </row>
    <row r="1135" spans="6:6" x14ac:dyDescent="0.5">
      <c r="F1135" s="658">
        <v>0</v>
      </c>
    </row>
    <row r="1136" spans="6:6" x14ac:dyDescent="0.5">
      <c r="F1136" s="658">
        <v>0</v>
      </c>
    </row>
    <row r="1137" spans="6:6" x14ac:dyDescent="0.5">
      <c r="F1137" s="658">
        <v>0</v>
      </c>
    </row>
    <row r="1138" spans="6:6" x14ac:dyDescent="0.5">
      <c r="F1138" s="658">
        <v>0</v>
      </c>
    </row>
    <row r="1139" spans="6:6" x14ac:dyDescent="0.5">
      <c r="F1139" s="658">
        <v>0</v>
      </c>
    </row>
    <row r="1140" spans="6:6" x14ac:dyDescent="0.5">
      <c r="F1140" s="658">
        <v>0</v>
      </c>
    </row>
    <row r="1141" spans="6:6" x14ac:dyDescent="0.5">
      <c r="F1141" s="658">
        <v>0</v>
      </c>
    </row>
    <row r="1142" spans="6:6" x14ac:dyDescent="0.5">
      <c r="F1142" s="658">
        <v>0</v>
      </c>
    </row>
    <row r="1143" spans="6:6" x14ac:dyDescent="0.5">
      <c r="F1143" s="658">
        <v>0</v>
      </c>
    </row>
    <row r="1144" spans="6:6" x14ac:dyDescent="0.5">
      <c r="F1144" s="658">
        <v>0</v>
      </c>
    </row>
    <row r="1145" spans="6:6" x14ac:dyDescent="0.5">
      <c r="F1145" s="658">
        <v>0</v>
      </c>
    </row>
    <row r="1146" spans="6:6" x14ac:dyDescent="0.5">
      <c r="F1146" s="658">
        <v>0</v>
      </c>
    </row>
    <row r="1147" spans="6:6" x14ac:dyDescent="0.5">
      <c r="F1147" s="658">
        <v>0</v>
      </c>
    </row>
    <row r="1148" spans="6:6" x14ac:dyDescent="0.5">
      <c r="F1148" s="658">
        <v>0</v>
      </c>
    </row>
    <row r="1149" spans="6:6" x14ac:dyDescent="0.5">
      <c r="F1149" s="658">
        <v>0</v>
      </c>
    </row>
    <row r="1150" spans="6:6" x14ac:dyDescent="0.5">
      <c r="F1150" s="658">
        <v>0</v>
      </c>
    </row>
    <row r="1151" spans="6:6" x14ac:dyDescent="0.5">
      <c r="F1151" s="658">
        <v>0</v>
      </c>
    </row>
    <row r="1152" spans="6:6" x14ac:dyDescent="0.5">
      <c r="F1152" s="658">
        <v>0</v>
      </c>
    </row>
    <row r="1153" spans="6:6" x14ac:dyDescent="0.5">
      <c r="F1153" s="658">
        <v>0</v>
      </c>
    </row>
    <row r="1154" spans="6:6" x14ac:dyDescent="0.5">
      <c r="F1154" s="658">
        <v>0</v>
      </c>
    </row>
    <row r="1155" spans="6:6" x14ac:dyDescent="0.5">
      <c r="F1155" s="658">
        <v>0</v>
      </c>
    </row>
    <row r="1156" spans="6:6" x14ac:dyDescent="0.5">
      <c r="F1156" s="658">
        <v>0</v>
      </c>
    </row>
    <row r="1157" spans="6:6" x14ac:dyDescent="0.5">
      <c r="F1157" s="658">
        <v>0</v>
      </c>
    </row>
    <row r="1158" spans="6:6" x14ac:dyDescent="0.5">
      <c r="F1158" s="658">
        <v>0</v>
      </c>
    </row>
    <row r="1159" spans="6:6" x14ac:dyDescent="0.5">
      <c r="F1159" s="658">
        <v>0</v>
      </c>
    </row>
    <row r="1160" spans="6:6" x14ac:dyDescent="0.5">
      <c r="F1160" s="658">
        <v>0</v>
      </c>
    </row>
    <row r="1161" spans="6:6" x14ac:dyDescent="0.5">
      <c r="F1161" s="658">
        <v>0</v>
      </c>
    </row>
    <row r="1162" spans="6:6" x14ac:dyDescent="0.5">
      <c r="F1162" s="658">
        <v>0</v>
      </c>
    </row>
    <row r="1163" spans="6:6" x14ac:dyDescent="0.5">
      <c r="F1163" s="658">
        <v>0</v>
      </c>
    </row>
    <row r="1164" spans="6:6" x14ac:dyDescent="0.5">
      <c r="F1164" s="658">
        <v>0</v>
      </c>
    </row>
    <row r="1165" spans="6:6" x14ac:dyDescent="0.5">
      <c r="F1165" s="658">
        <v>0</v>
      </c>
    </row>
    <row r="1166" spans="6:6" x14ac:dyDescent="0.5">
      <c r="F1166" s="658">
        <v>0</v>
      </c>
    </row>
    <row r="1167" spans="6:6" x14ac:dyDescent="0.5">
      <c r="F1167" s="658">
        <v>0</v>
      </c>
    </row>
    <row r="1168" spans="6:6" x14ac:dyDescent="0.5">
      <c r="F1168" s="658">
        <v>0</v>
      </c>
    </row>
    <row r="1169" spans="6:6" x14ac:dyDescent="0.5">
      <c r="F1169" s="658">
        <v>0</v>
      </c>
    </row>
    <row r="1170" spans="6:6" x14ac:dyDescent="0.5">
      <c r="F1170" s="658">
        <v>0</v>
      </c>
    </row>
    <row r="1171" spans="6:6" x14ac:dyDescent="0.5">
      <c r="F1171" s="658">
        <v>0</v>
      </c>
    </row>
    <row r="1172" spans="6:6" x14ac:dyDescent="0.5">
      <c r="F1172" s="658">
        <v>0</v>
      </c>
    </row>
    <row r="1173" spans="6:6" x14ac:dyDescent="0.5">
      <c r="F1173" s="658">
        <v>0</v>
      </c>
    </row>
    <row r="1174" spans="6:6" x14ac:dyDescent="0.5">
      <c r="F1174" s="658">
        <v>0</v>
      </c>
    </row>
    <row r="1175" spans="6:6" x14ac:dyDescent="0.5">
      <c r="F1175" s="658">
        <v>0</v>
      </c>
    </row>
    <row r="1176" spans="6:6" x14ac:dyDescent="0.5">
      <c r="F1176" s="658">
        <v>0</v>
      </c>
    </row>
    <row r="1177" spans="6:6" x14ac:dyDescent="0.5">
      <c r="F1177" s="658">
        <v>0</v>
      </c>
    </row>
    <row r="1178" spans="6:6" x14ac:dyDescent="0.5">
      <c r="F1178" s="658">
        <v>0</v>
      </c>
    </row>
    <row r="1179" spans="6:6" x14ac:dyDescent="0.5">
      <c r="F1179" s="658">
        <v>0</v>
      </c>
    </row>
    <row r="1180" spans="6:6" x14ac:dyDescent="0.5">
      <c r="F1180" s="658">
        <v>0</v>
      </c>
    </row>
    <row r="1181" spans="6:6" x14ac:dyDescent="0.5">
      <c r="F1181" s="658">
        <v>0</v>
      </c>
    </row>
    <row r="1182" spans="6:6" x14ac:dyDescent="0.5">
      <c r="F1182" s="658">
        <v>0</v>
      </c>
    </row>
    <row r="1183" spans="6:6" x14ac:dyDescent="0.5">
      <c r="F1183" s="658">
        <v>0</v>
      </c>
    </row>
    <row r="1184" spans="6:6" x14ac:dyDescent="0.5">
      <c r="F1184" s="658">
        <v>0</v>
      </c>
    </row>
    <row r="1185" spans="6:6" x14ac:dyDescent="0.5">
      <c r="F1185" s="658">
        <v>0</v>
      </c>
    </row>
    <row r="1186" spans="6:6" x14ac:dyDescent="0.5">
      <c r="F1186" s="658">
        <v>0</v>
      </c>
    </row>
    <row r="1187" spans="6:6" x14ac:dyDescent="0.5">
      <c r="F1187" s="658">
        <v>0</v>
      </c>
    </row>
    <row r="1188" spans="6:6" x14ac:dyDescent="0.5">
      <c r="F1188" s="658">
        <v>0</v>
      </c>
    </row>
    <row r="1189" spans="6:6" x14ac:dyDescent="0.5">
      <c r="F1189" s="658">
        <v>0</v>
      </c>
    </row>
    <row r="1190" spans="6:6" x14ac:dyDescent="0.5">
      <c r="F1190" s="658">
        <v>0</v>
      </c>
    </row>
    <row r="1191" spans="6:6" x14ac:dyDescent="0.5">
      <c r="F1191" s="658">
        <v>0</v>
      </c>
    </row>
    <row r="1192" spans="6:6" x14ac:dyDescent="0.5">
      <c r="F1192" s="658">
        <v>0</v>
      </c>
    </row>
    <row r="1193" spans="6:6" x14ac:dyDescent="0.5">
      <c r="F1193" s="658">
        <v>0</v>
      </c>
    </row>
    <row r="1194" spans="6:6" x14ac:dyDescent="0.5">
      <c r="F1194" s="658">
        <v>0</v>
      </c>
    </row>
    <row r="1195" spans="6:6" x14ac:dyDescent="0.5">
      <c r="F1195" s="658">
        <v>0</v>
      </c>
    </row>
    <row r="1196" spans="6:6" x14ac:dyDescent="0.5">
      <c r="F1196" s="658">
        <v>0</v>
      </c>
    </row>
    <row r="1197" spans="6:6" x14ac:dyDescent="0.5">
      <c r="F1197" s="658">
        <v>0</v>
      </c>
    </row>
    <row r="1198" spans="6:6" x14ac:dyDescent="0.5">
      <c r="F1198" s="658">
        <v>0</v>
      </c>
    </row>
    <row r="1199" spans="6:6" x14ac:dyDescent="0.5">
      <c r="F1199" s="658">
        <v>0</v>
      </c>
    </row>
    <row r="1200" spans="6:6" x14ac:dyDescent="0.5">
      <c r="F1200" s="658">
        <v>0</v>
      </c>
    </row>
    <row r="1201" spans="6:6" x14ac:dyDescent="0.5">
      <c r="F1201" s="658">
        <v>0</v>
      </c>
    </row>
    <row r="1202" spans="6:6" x14ac:dyDescent="0.5">
      <c r="F1202" s="658">
        <v>0</v>
      </c>
    </row>
    <row r="1203" spans="6:6" x14ac:dyDescent="0.5">
      <c r="F1203" s="658">
        <v>0</v>
      </c>
    </row>
    <row r="1204" spans="6:6" x14ac:dyDescent="0.5">
      <c r="F1204" s="658">
        <v>0</v>
      </c>
    </row>
    <row r="1205" spans="6:6" x14ac:dyDescent="0.5">
      <c r="F1205" s="658">
        <v>0</v>
      </c>
    </row>
    <row r="1206" spans="6:6" x14ac:dyDescent="0.5">
      <c r="F1206" s="658">
        <v>0</v>
      </c>
    </row>
    <row r="1207" spans="6:6" x14ac:dyDescent="0.5">
      <c r="F1207" s="658">
        <v>0</v>
      </c>
    </row>
    <row r="1208" spans="6:6" x14ac:dyDescent="0.5">
      <c r="F1208" s="658">
        <v>0</v>
      </c>
    </row>
    <row r="1209" spans="6:6" x14ac:dyDescent="0.5">
      <c r="F1209" s="658">
        <v>0</v>
      </c>
    </row>
    <row r="1210" spans="6:6" x14ac:dyDescent="0.5">
      <c r="F1210" s="658">
        <v>0</v>
      </c>
    </row>
    <row r="1211" spans="6:6" x14ac:dyDescent="0.5">
      <c r="F1211" s="658">
        <v>0</v>
      </c>
    </row>
    <row r="1212" spans="6:6" x14ac:dyDescent="0.5">
      <c r="F1212" s="658">
        <v>0</v>
      </c>
    </row>
    <row r="1213" spans="6:6" x14ac:dyDescent="0.5">
      <c r="F1213" s="658">
        <v>0</v>
      </c>
    </row>
    <row r="1214" spans="6:6" x14ac:dyDescent="0.5">
      <c r="F1214" s="658">
        <v>0</v>
      </c>
    </row>
    <row r="1215" spans="6:6" x14ac:dyDescent="0.5">
      <c r="F1215" s="658">
        <v>0</v>
      </c>
    </row>
    <row r="1216" spans="6:6" x14ac:dyDescent="0.5">
      <c r="F1216" s="658">
        <v>0</v>
      </c>
    </row>
    <row r="1217" spans="6:6" x14ac:dyDescent="0.5">
      <c r="F1217" s="658">
        <v>0</v>
      </c>
    </row>
    <row r="1218" spans="6:6" x14ac:dyDescent="0.5">
      <c r="F1218" s="658">
        <v>0</v>
      </c>
    </row>
    <row r="1219" spans="6:6" x14ac:dyDescent="0.5">
      <c r="F1219" s="658">
        <v>0</v>
      </c>
    </row>
    <row r="1220" spans="6:6" x14ac:dyDescent="0.5">
      <c r="F1220" s="658">
        <v>0</v>
      </c>
    </row>
    <row r="1221" spans="6:6" x14ac:dyDescent="0.5">
      <c r="F1221" s="658">
        <v>0</v>
      </c>
    </row>
    <row r="1222" spans="6:6" x14ac:dyDescent="0.5">
      <c r="F1222" s="658">
        <v>0</v>
      </c>
    </row>
    <row r="1223" spans="6:6" x14ac:dyDescent="0.5">
      <c r="F1223" s="658">
        <v>0</v>
      </c>
    </row>
    <row r="1224" spans="6:6" x14ac:dyDescent="0.5">
      <c r="F1224" s="658">
        <v>0</v>
      </c>
    </row>
    <row r="1225" spans="6:6" x14ac:dyDescent="0.5">
      <c r="F1225" s="658">
        <v>0</v>
      </c>
    </row>
    <row r="1226" spans="6:6" x14ac:dyDescent="0.5">
      <c r="F1226" s="658">
        <v>0</v>
      </c>
    </row>
    <row r="1227" spans="6:6" x14ac:dyDescent="0.5">
      <c r="F1227" s="658">
        <v>0</v>
      </c>
    </row>
    <row r="1228" spans="6:6" x14ac:dyDescent="0.5">
      <c r="F1228" s="658">
        <v>0</v>
      </c>
    </row>
    <row r="1229" spans="6:6" x14ac:dyDescent="0.5">
      <c r="F1229" s="658">
        <v>0</v>
      </c>
    </row>
    <row r="1230" spans="6:6" x14ac:dyDescent="0.5">
      <c r="F1230" s="658">
        <v>0</v>
      </c>
    </row>
    <row r="1231" spans="6:6" x14ac:dyDescent="0.5">
      <c r="F1231" s="658">
        <v>0</v>
      </c>
    </row>
    <row r="1232" spans="6:6" x14ac:dyDescent="0.5">
      <c r="F1232" s="658">
        <v>0</v>
      </c>
    </row>
    <row r="1233" spans="6:6" x14ac:dyDescent="0.5">
      <c r="F1233" s="658">
        <v>0</v>
      </c>
    </row>
    <row r="1234" spans="6:6" x14ac:dyDescent="0.5">
      <c r="F1234" s="658">
        <v>0</v>
      </c>
    </row>
    <row r="1235" spans="6:6" x14ac:dyDescent="0.5">
      <c r="F1235" s="658">
        <v>0</v>
      </c>
    </row>
    <row r="1236" spans="6:6" x14ac:dyDescent="0.5">
      <c r="F1236" s="658">
        <v>0</v>
      </c>
    </row>
    <row r="1237" spans="6:6" x14ac:dyDescent="0.5">
      <c r="F1237" s="658">
        <v>0</v>
      </c>
    </row>
    <row r="1238" spans="6:6" x14ac:dyDescent="0.5">
      <c r="F1238" s="658">
        <v>0</v>
      </c>
    </row>
    <row r="1239" spans="6:6" x14ac:dyDescent="0.5">
      <c r="F1239" s="658">
        <v>0</v>
      </c>
    </row>
    <row r="1240" spans="6:6" x14ac:dyDescent="0.5">
      <c r="F1240" s="658">
        <v>0</v>
      </c>
    </row>
    <row r="1241" spans="6:6" x14ac:dyDescent="0.5">
      <c r="F1241" s="658">
        <v>0</v>
      </c>
    </row>
    <row r="1242" spans="6:6" x14ac:dyDescent="0.5">
      <c r="F1242" s="658">
        <v>0</v>
      </c>
    </row>
    <row r="1243" spans="6:6" x14ac:dyDescent="0.5">
      <c r="F1243" s="658">
        <v>0</v>
      </c>
    </row>
    <row r="1244" spans="6:6" x14ac:dyDescent="0.5">
      <c r="F1244" s="658">
        <v>0</v>
      </c>
    </row>
    <row r="1245" spans="6:6" x14ac:dyDescent="0.5">
      <c r="F1245" s="658">
        <v>0</v>
      </c>
    </row>
    <row r="1246" spans="6:6" x14ac:dyDescent="0.5">
      <c r="F1246" s="658">
        <v>0</v>
      </c>
    </row>
    <row r="1247" spans="6:6" x14ac:dyDescent="0.5">
      <c r="F1247" s="658">
        <v>0</v>
      </c>
    </row>
    <row r="1248" spans="6:6" x14ac:dyDescent="0.5">
      <c r="F1248" s="658">
        <v>0</v>
      </c>
    </row>
    <row r="1249" spans="6:6" x14ac:dyDescent="0.5">
      <c r="F1249" s="658">
        <v>0</v>
      </c>
    </row>
    <row r="1250" spans="6:6" x14ac:dyDescent="0.5">
      <c r="F1250" s="658">
        <v>0</v>
      </c>
    </row>
    <row r="1251" spans="6:6" x14ac:dyDescent="0.5">
      <c r="F1251" s="658">
        <v>0</v>
      </c>
    </row>
    <row r="1252" spans="6:6" x14ac:dyDescent="0.5">
      <c r="F1252" s="658">
        <v>0</v>
      </c>
    </row>
    <row r="1253" spans="6:6" x14ac:dyDescent="0.5">
      <c r="F1253" s="658">
        <v>0</v>
      </c>
    </row>
    <row r="1254" spans="6:6" x14ac:dyDescent="0.5">
      <c r="F1254" s="658">
        <v>0</v>
      </c>
    </row>
    <row r="1255" spans="6:6" x14ac:dyDescent="0.5">
      <c r="F1255" s="658">
        <v>0</v>
      </c>
    </row>
    <row r="1256" spans="6:6" x14ac:dyDescent="0.5">
      <c r="F1256" s="658">
        <v>0</v>
      </c>
    </row>
    <row r="1257" spans="6:6" x14ac:dyDescent="0.5">
      <c r="F1257" s="658">
        <v>0</v>
      </c>
    </row>
    <row r="1258" spans="6:6" x14ac:dyDescent="0.5">
      <c r="F1258" s="658">
        <v>0</v>
      </c>
    </row>
    <row r="1259" spans="6:6" x14ac:dyDescent="0.5">
      <c r="F1259" s="658">
        <v>0</v>
      </c>
    </row>
    <row r="1260" spans="6:6" x14ac:dyDescent="0.5">
      <c r="F1260" s="658">
        <v>0</v>
      </c>
    </row>
    <row r="1261" spans="6:6" x14ac:dyDescent="0.5">
      <c r="F1261" s="658">
        <v>0</v>
      </c>
    </row>
    <row r="1262" spans="6:6" x14ac:dyDescent="0.5">
      <c r="F1262" s="658">
        <v>0</v>
      </c>
    </row>
    <row r="1263" spans="6:6" x14ac:dyDescent="0.5">
      <c r="F1263" s="658">
        <v>0</v>
      </c>
    </row>
    <row r="1264" spans="6:6" x14ac:dyDescent="0.5">
      <c r="F1264" s="658">
        <v>0</v>
      </c>
    </row>
    <row r="1265" spans="6:6" x14ac:dyDescent="0.5">
      <c r="F1265" s="658">
        <v>0</v>
      </c>
    </row>
    <row r="1266" spans="6:6" x14ac:dyDescent="0.5">
      <c r="F1266" s="658">
        <v>0</v>
      </c>
    </row>
    <row r="1267" spans="6:6" x14ac:dyDescent="0.5">
      <c r="F1267" s="658">
        <v>0</v>
      </c>
    </row>
    <row r="1268" spans="6:6" x14ac:dyDescent="0.5">
      <c r="F1268" s="658">
        <v>0</v>
      </c>
    </row>
    <row r="1269" spans="6:6" x14ac:dyDescent="0.5">
      <c r="F1269" s="658">
        <v>0</v>
      </c>
    </row>
    <row r="1270" spans="6:6" x14ac:dyDescent="0.5">
      <c r="F1270" s="658">
        <v>0</v>
      </c>
    </row>
    <row r="1271" spans="6:6" x14ac:dyDescent="0.5">
      <c r="F1271" s="658">
        <v>0</v>
      </c>
    </row>
    <row r="1272" spans="6:6" x14ac:dyDescent="0.5">
      <c r="F1272" s="658">
        <v>0</v>
      </c>
    </row>
    <row r="1273" spans="6:6" x14ac:dyDescent="0.5">
      <c r="F1273" s="658">
        <v>0</v>
      </c>
    </row>
    <row r="1274" spans="6:6" x14ac:dyDescent="0.5">
      <c r="F1274" s="658">
        <v>0</v>
      </c>
    </row>
    <row r="1275" spans="6:6" x14ac:dyDescent="0.5">
      <c r="F1275" s="658">
        <v>0</v>
      </c>
    </row>
    <row r="1276" spans="6:6" x14ac:dyDescent="0.5">
      <c r="F1276" s="658">
        <v>0</v>
      </c>
    </row>
    <row r="1277" spans="6:6" x14ac:dyDescent="0.5">
      <c r="F1277" s="658">
        <v>0</v>
      </c>
    </row>
    <row r="1278" spans="6:6" x14ac:dyDescent="0.5">
      <c r="F1278" s="658">
        <v>0</v>
      </c>
    </row>
    <row r="1279" spans="6:6" x14ac:dyDescent="0.5">
      <c r="F1279" s="658">
        <v>0</v>
      </c>
    </row>
    <row r="1280" spans="6:6" x14ac:dyDescent="0.5">
      <c r="F1280" s="658">
        <v>0</v>
      </c>
    </row>
    <row r="1281" spans="6:6" x14ac:dyDescent="0.5">
      <c r="F1281" s="658">
        <v>0</v>
      </c>
    </row>
    <row r="1282" spans="6:6" x14ac:dyDescent="0.5">
      <c r="F1282" s="658">
        <v>0</v>
      </c>
    </row>
    <row r="1283" spans="6:6" x14ac:dyDescent="0.5">
      <c r="F1283" s="658">
        <v>0</v>
      </c>
    </row>
    <row r="1284" spans="6:6" x14ac:dyDescent="0.5">
      <c r="F1284" s="658">
        <v>0</v>
      </c>
    </row>
    <row r="1285" spans="6:6" x14ac:dyDescent="0.5">
      <c r="F1285" s="658">
        <v>0</v>
      </c>
    </row>
    <row r="1286" spans="6:6" x14ac:dyDescent="0.5">
      <c r="F1286" s="658">
        <v>0</v>
      </c>
    </row>
    <row r="1287" spans="6:6" x14ac:dyDescent="0.5">
      <c r="F1287" s="658">
        <v>0</v>
      </c>
    </row>
    <row r="1288" spans="6:6" x14ac:dyDescent="0.5">
      <c r="F1288" s="658">
        <v>0</v>
      </c>
    </row>
    <row r="1289" spans="6:6" x14ac:dyDescent="0.5">
      <c r="F1289" s="658">
        <v>0</v>
      </c>
    </row>
    <row r="1290" spans="6:6" x14ac:dyDescent="0.5">
      <c r="F1290" s="658">
        <v>0</v>
      </c>
    </row>
    <row r="1291" spans="6:6" x14ac:dyDescent="0.5">
      <c r="F1291" s="658">
        <v>0</v>
      </c>
    </row>
    <row r="1292" spans="6:6" x14ac:dyDescent="0.5">
      <c r="F1292" s="658">
        <v>0</v>
      </c>
    </row>
    <row r="1293" spans="6:6" x14ac:dyDescent="0.5">
      <c r="F1293" s="658">
        <v>0</v>
      </c>
    </row>
    <row r="1294" spans="6:6" x14ac:dyDescent="0.5">
      <c r="F1294" s="658">
        <v>0</v>
      </c>
    </row>
    <row r="1295" spans="6:6" x14ac:dyDescent="0.5">
      <c r="F1295" s="658">
        <v>0</v>
      </c>
    </row>
    <row r="1296" spans="6:6" x14ac:dyDescent="0.5">
      <c r="F1296" s="658">
        <v>0</v>
      </c>
    </row>
    <row r="1297" spans="6:6" x14ac:dyDescent="0.5">
      <c r="F1297" s="658">
        <v>0</v>
      </c>
    </row>
    <row r="1298" spans="6:6" x14ac:dyDescent="0.5">
      <c r="F1298" s="658">
        <v>0</v>
      </c>
    </row>
    <row r="1299" spans="6:6" x14ac:dyDescent="0.5">
      <c r="F1299" s="658">
        <v>0</v>
      </c>
    </row>
    <row r="1300" spans="6:6" x14ac:dyDescent="0.5">
      <c r="F1300" s="658">
        <v>0</v>
      </c>
    </row>
    <row r="1301" spans="6:6" x14ac:dyDescent="0.5">
      <c r="F1301" s="658">
        <v>0</v>
      </c>
    </row>
    <row r="1302" spans="6:6" x14ac:dyDescent="0.5">
      <c r="F1302" s="658">
        <v>0</v>
      </c>
    </row>
    <row r="1303" spans="6:6" x14ac:dyDescent="0.5">
      <c r="F1303" s="658">
        <v>0</v>
      </c>
    </row>
    <row r="1304" spans="6:6" x14ac:dyDescent="0.5">
      <c r="F1304" s="658">
        <v>0</v>
      </c>
    </row>
    <row r="1305" spans="6:6" x14ac:dyDescent="0.5">
      <c r="F1305" s="658">
        <v>0</v>
      </c>
    </row>
    <row r="1306" spans="6:6" x14ac:dyDescent="0.5">
      <c r="F1306" s="658">
        <v>0</v>
      </c>
    </row>
    <row r="1307" spans="6:6" x14ac:dyDescent="0.5">
      <c r="F1307" s="658">
        <v>0</v>
      </c>
    </row>
    <row r="1308" spans="6:6" x14ac:dyDescent="0.5">
      <c r="F1308" s="658">
        <v>0</v>
      </c>
    </row>
    <row r="1309" spans="6:6" x14ac:dyDescent="0.5">
      <c r="F1309" s="658">
        <v>0</v>
      </c>
    </row>
    <row r="1310" spans="6:6" x14ac:dyDescent="0.5">
      <c r="F1310" s="658">
        <v>0</v>
      </c>
    </row>
    <row r="1311" spans="6:6" x14ac:dyDescent="0.5">
      <c r="F1311" s="658">
        <v>0</v>
      </c>
    </row>
    <row r="1312" spans="6:6" x14ac:dyDescent="0.5">
      <c r="F1312" s="658">
        <v>0</v>
      </c>
    </row>
    <row r="1313" spans="6:6" x14ac:dyDescent="0.5">
      <c r="F1313" s="658">
        <v>0</v>
      </c>
    </row>
    <row r="1314" spans="6:6" x14ac:dyDescent="0.5">
      <c r="F1314" s="658">
        <v>0</v>
      </c>
    </row>
    <row r="1315" spans="6:6" x14ac:dyDescent="0.5">
      <c r="F1315" s="658">
        <v>0</v>
      </c>
    </row>
    <row r="1316" spans="6:6" x14ac:dyDescent="0.5">
      <c r="F1316" s="658">
        <v>0</v>
      </c>
    </row>
    <row r="1317" spans="6:6" x14ac:dyDescent="0.5">
      <c r="F1317" s="658">
        <v>0</v>
      </c>
    </row>
    <row r="1318" spans="6:6" x14ac:dyDescent="0.5">
      <c r="F1318" s="658">
        <v>0</v>
      </c>
    </row>
    <row r="1319" spans="6:6" x14ac:dyDescent="0.5">
      <c r="F1319" s="658">
        <v>0</v>
      </c>
    </row>
    <row r="1320" spans="6:6" x14ac:dyDescent="0.5">
      <c r="F1320" s="658">
        <v>0</v>
      </c>
    </row>
    <row r="1321" spans="6:6" x14ac:dyDescent="0.5">
      <c r="F1321" s="658">
        <v>0</v>
      </c>
    </row>
    <row r="1322" spans="6:6" x14ac:dyDescent="0.5">
      <c r="F1322" s="658">
        <v>0</v>
      </c>
    </row>
    <row r="1323" spans="6:6" x14ac:dyDescent="0.5">
      <c r="F1323" s="658">
        <v>0</v>
      </c>
    </row>
    <row r="1324" spans="6:6" x14ac:dyDescent="0.5">
      <c r="F1324" s="658">
        <v>0</v>
      </c>
    </row>
    <row r="1325" spans="6:6" x14ac:dyDescent="0.5">
      <c r="F1325" s="658">
        <v>0</v>
      </c>
    </row>
    <row r="1326" spans="6:6" x14ac:dyDescent="0.5">
      <c r="F1326" s="658">
        <v>0</v>
      </c>
    </row>
    <row r="1327" spans="6:6" x14ac:dyDescent="0.5">
      <c r="F1327" s="658">
        <v>0</v>
      </c>
    </row>
    <row r="1328" spans="6:6" x14ac:dyDescent="0.5">
      <c r="F1328" s="658">
        <v>0</v>
      </c>
    </row>
    <row r="1329" spans="6:6" x14ac:dyDescent="0.5">
      <c r="F1329" s="658">
        <v>0</v>
      </c>
    </row>
    <row r="1330" spans="6:6" x14ac:dyDescent="0.5">
      <c r="F1330" s="658">
        <v>0</v>
      </c>
    </row>
    <row r="1331" spans="6:6" x14ac:dyDescent="0.5">
      <c r="F1331" s="658">
        <v>0</v>
      </c>
    </row>
    <row r="1332" spans="6:6" x14ac:dyDescent="0.5">
      <c r="F1332" s="658">
        <v>0</v>
      </c>
    </row>
    <row r="1333" spans="6:6" x14ac:dyDescent="0.5">
      <c r="F1333" s="658">
        <v>0</v>
      </c>
    </row>
    <row r="1334" spans="6:6" x14ac:dyDescent="0.5">
      <c r="F1334" s="658">
        <v>0</v>
      </c>
    </row>
    <row r="1335" spans="6:6" x14ac:dyDescent="0.5">
      <c r="F1335" s="658">
        <v>0</v>
      </c>
    </row>
    <row r="1336" spans="6:6" x14ac:dyDescent="0.5">
      <c r="F1336" s="658">
        <v>0</v>
      </c>
    </row>
    <row r="1337" spans="6:6" x14ac:dyDescent="0.5">
      <c r="F1337" s="658">
        <v>0</v>
      </c>
    </row>
    <row r="1338" spans="6:6" x14ac:dyDescent="0.5">
      <c r="F1338" s="658">
        <v>0</v>
      </c>
    </row>
    <row r="1339" spans="6:6" x14ac:dyDescent="0.5">
      <c r="F1339" s="658">
        <v>0</v>
      </c>
    </row>
    <row r="1340" spans="6:6" x14ac:dyDescent="0.5">
      <c r="F1340" s="658">
        <v>0</v>
      </c>
    </row>
    <row r="1341" spans="6:6" x14ac:dyDescent="0.5">
      <c r="F1341" s="658">
        <v>0</v>
      </c>
    </row>
    <row r="1342" spans="6:6" x14ac:dyDescent="0.5">
      <c r="F1342" s="658">
        <v>0</v>
      </c>
    </row>
    <row r="1343" spans="6:6" x14ac:dyDescent="0.5">
      <c r="F1343" s="658">
        <v>0</v>
      </c>
    </row>
    <row r="1344" spans="6:6" x14ac:dyDescent="0.5">
      <c r="F1344" s="658">
        <v>0</v>
      </c>
    </row>
    <row r="1345" spans="6:6" x14ac:dyDescent="0.5">
      <c r="F1345" s="658">
        <v>0</v>
      </c>
    </row>
    <row r="1346" spans="6:6" x14ac:dyDescent="0.5">
      <c r="F1346" s="658">
        <v>0</v>
      </c>
    </row>
    <row r="1347" spans="6:6" x14ac:dyDescent="0.5">
      <c r="F1347" s="658">
        <v>0</v>
      </c>
    </row>
    <row r="1348" spans="6:6" x14ac:dyDescent="0.5">
      <c r="F1348" s="658">
        <v>0</v>
      </c>
    </row>
    <row r="1349" spans="6:6" x14ac:dyDescent="0.5">
      <c r="F1349" s="658">
        <v>0</v>
      </c>
    </row>
    <row r="1350" spans="6:6" x14ac:dyDescent="0.5">
      <c r="F1350" s="658">
        <v>0</v>
      </c>
    </row>
    <row r="1351" spans="6:6" x14ac:dyDescent="0.5">
      <c r="F1351" s="658">
        <v>0</v>
      </c>
    </row>
    <row r="1352" spans="6:6" x14ac:dyDescent="0.5">
      <c r="F1352" s="658">
        <v>0</v>
      </c>
    </row>
    <row r="1353" spans="6:6" x14ac:dyDescent="0.5">
      <c r="F1353" s="658">
        <v>0</v>
      </c>
    </row>
    <row r="1354" spans="6:6" x14ac:dyDescent="0.5">
      <c r="F1354" s="658">
        <v>0</v>
      </c>
    </row>
    <row r="1355" spans="6:6" x14ac:dyDescent="0.5">
      <c r="F1355" s="658">
        <v>0</v>
      </c>
    </row>
    <row r="1356" spans="6:6" x14ac:dyDescent="0.5">
      <c r="F1356" s="658">
        <v>0</v>
      </c>
    </row>
    <row r="1357" spans="6:6" x14ac:dyDescent="0.5">
      <c r="F1357" s="658">
        <v>0</v>
      </c>
    </row>
    <row r="1358" spans="6:6" x14ac:dyDescent="0.5">
      <c r="F1358" s="658">
        <v>0</v>
      </c>
    </row>
    <row r="1359" spans="6:6" x14ac:dyDescent="0.5">
      <c r="F1359" s="658">
        <v>0</v>
      </c>
    </row>
    <row r="1360" spans="6:6" x14ac:dyDescent="0.5">
      <c r="F1360" s="658">
        <v>0</v>
      </c>
    </row>
    <row r="1361" spans="6:6" x14ac:dyDescent="0.5">
      <c r="F1361" s="658">
        <v>0</v>
      </c>
    </row>
    <row r="1362" spans="6:6" x14ac:dyDescent="0.5">
      <c r="F1362" s="658">
        <v>0</v>
      </c>
    </row>
    <row r="1363" spans="6:6" x14ac:dyDescent="0.5">
      <c r="F1363" s="658">
        <v>0</v>
      </c>
    </row>
    <row r="1364" spans="6:6" x14ac:dyDescent="0.5">
      <c r="F1364" s="658">
        <v>0</v>
      </c>
    </row>
    <row r="1365" spans="6:6" x14ac:dyDescent="0.5">
      <c r="F1365" s="658">
        <v>0</v>
      </c>
    </row>
    <row r="1366" spans="6:6" x14ac:dyDescent="0.5">
      <c r="F1366" s="658">
        <v>0</v>
      </c>
    </row>
    <row r="1367" spans="6:6" x14ac:dyDescent="0.5">
      <c r="F1367" s="658">
        <v>0</v>
      </c>
    </row>
    <row r="1368" spans="6:6" x14ac:dyDescent="0.5">
      <c r="F1368" s="658">
        <v>0</v>
      </c>
    </row>
    <row r="1369" spans="6:6" x14ac:dyDescent="0.5">
      <c r="F1369" s="658">
        <v>0</v>
      </c>
    </row>
    <row r="1370" spans="6:6" x14ac:dyDescent="0.5">
      <c r="F1370" s="658">
        <v>0</v>
      </c>
    </row>
    <row r="1371" spans="6:6" x14ac:dyDescent="0.5">
      <c r="F1371" s="658">
        <v>0</v>
      </c>
    </row>
    <row r="1372" spans="6:6" x14ac:dyDescent="0.5">
      <c r="F1372" s="658">
        <v>0</v>
      </c>
    </row>
    <row r="1373" spans="6:6" x14ac:dyDescent="0.5">
      <c r="F1373" s="658">
        <v>0</v>
      </c>
    </row>
    <row r="1374" spans="6:6" x14ac:dyDescent="0.5">
      <c r="F1374" s="658">
        <v>0</v>
      </c>
    </row>
    <row r="1375" spans="6:6" x14ac:dyDescent="0.5">
      <c r="F1375" s="658">
        <v>0</v>
      </c>
    </row>
    <row r="1376" spans="6:6" x14ac:dyDescent="0.5">
      <c r="F1376" s="658">
        <v>0</v>
      </c>
    </row>
    <row r="1377" spans="6:6" x14ac:dyDescent="0.5">
      <c r="F1377" s="658">
        <v>0</v>
      </c>
    </row>
    <row r="1378" spans="6:6" x14ac:dyDescent="0.5">
      <c r="F1378" s="658">
        <v>0</v>
      </c>
    </row>
    <row r="1379" spans="6:6" x14ac:dyDescent="0.5">
      <c r="F1379" s="658">
        <v>0</v>
      </c>
    </row>
    <row r="1380" spans="6:6" x14ac:dyDescent="0.5">
      <c r="F1380" s="658">
        <v>0</v>
      </c>
    </row>
    <row r="1381" spans="6:6" x14ac:dyDescent="0.5">
      <c r="F1381" s="658">
        <v>0</v>
      </c>
    </row>
    <row r="1382" spans="6:6" x14ac:dyDescent="0.5">
      <c r="F1382" s="658">
        <v>0</v>
      </c>
    </row>
    <row r="1383" spans="6:6" x14ac:dyDescent="0.5">
      <c r="F1383" s="658">
        <v>0</v>
      </c>
    </row>
    <row r="1384" spans="6:6" x14ac:dyDescent="0.5">
      <c r="F1384" s="658">
        <v>0</v>
      </c>
    </row>
    <row r="1385" spans="6:6" x14ac:dyDescent="0.5">
      <c r="F1385" s="658">
        <v>0</v>
      </c>
    </row>
    <row r="1386" spans="6:6" x14ac:dyDescent="0.5">
      <c r="F1386" s="658">
        <v>0</v>
      </c>
    </row>
    <row r="1387" spans="6:6" x14ac:dyDescent="0.5">
      <c r="F1387" s="658">
        <v>0</v>
      </c>
    </row>
    <row r="1388" spans="6:6" x14ac:dyDescent="0.5">
      <c r="F1388" s="658">
        <v>0</v>
      </c>
    </row>
    <row r="1389" spans="6:6" x14ac:dyDescent="0.5">
      <c r="F1389" s="658">
        <v>0</v>
      </c>
    </row>
    <row r="1390" spans="6:6" x14ac:dyDescent="0.5">
      <c r="F1390" s="658">
        <v>0</v>
      </c>
    </row>
    <row r="1391" spans="6:6" x14ac:dyDescent="0.5">
      <c r="F1391" s="658">
        <v>0</v>
      </c>
    </row>
    <row r="1392" spans="6:6" x14ac:dyDescent="0.5">
      <c r="F1392" s="658">
        <v>0</v>
      </c>
    </row>
    <row r="1393" spans="6:6" x14ac:dyDescent="0.5">
      <c r="F1393" s="658">
        <v>0</v>
      </c>
    </row>
    <row r="1394" spans="6:6" x14ac:dyDescent="0.5">
      <c r="F1394" s="658">
        <v>0</v>
      </c>
    </row>
    <row r="1395" spans="6:6" x14ac:dyDescent="0.5">
      <c r="F1395" s="658">
        <v>0</v>
      </c>
    </row>
    <row r="1396" spans="6:6" x14ac:dyDescent="0.5">
      <c r="F1396" s="658">
        <v>0</v>
      </c>
    </row>
    <row r="1397" spans="6:6" x14ac:dyDescent="0.5">
      <c r="F1397" s="658">
        <v>0</v>
      </c>
    </row>
    <row r="1398" spans="6:6" x14ac:dyDescent="0.5">
      <c r="F1398" s="658">
        <v>0</v>
      </c>
    </row>
    <row r="1399" spans="6:6" x14ac:dyDescent="0.5">
      <c r="F1399" s="658">
        <v>0</v>
      </c>
    </row>
    <row r="1400" spans="6:6" x14ac:dyDescent="0.5">
      <c r="F1400" s="658">
        <v>0</v>
      </c>
    </row>
    <row r="1401" spans="6:6" x14ac:dyDescent="0.5">
      <c r="F1401" s="658">
        <v>0</v>
      </c>
    </row>
    <row r="1402" spans="6:6" x14ac:dyDescent="0.5">
      <c r="F1402" s="658">
        <v>0</v>
      </c>
    </row>
    <row r="1403" spans="6:6" x14ac:dyDescent="0.5">
      <c r="F1403" s="658">
        <v>0</v>
      </c>
    </row>
    <row r="1404" spans="6:6" x14ac:dyDescent="0.5">
      <c r="F1404" s="658">
        <v>0</v>
      </c>
    </row>
    <row r="1405" spans="6:6" x14ac:dyDescent="0.5">
      <c r="F1405" s="658">
        <v>0</v>
      </c>
    </row>
    <row r="1406" spans="6:6" x14ac:dyDescent="0.5">
      <c r="F1406" s="658">
        <v>0</v>
      </c>
    </row>
    <row r="1407" spans="6:6" x14ac:dyDescent="0.5">
      <c r="F1407" s="658">
        <v>0</v>
      </c>
    </row>
    <row r="1408" spans="6:6" x14ac:dyDescent="0.5">
      <c r="F1408" s="658">
        <v>0</v>
      </c>
    </row>
    <row r="1409" spans="6:6" x14ac:dyDescent="0.5">
      <c r="F1409" s="658">
        <v>0</v>
      </c>
    </row>
    <row r="1410" spans="6:6" x14ac:dyDescent="0.5">
      <c r="F1410" s="658">
        <v>0</v>
      </c>
    </row>
    <row r="1411" spans="6:6" x14ac:dyDescent="0.5">
      <c r="F1411" s="658">
        <v>0</v>
      </c>
    </row>
    <row r="1412" spans="6:6" x14ac:dyDescent="0.5">
      <c r="F1412" s="658">
        <v>0</v>
      </c>
    </row>
    <row r="1413" spans="6:6" x14ac:dyDescent="0.5">
      <c r="F1413" s="658">
        <v>0</v>
      </c>
    </row>
    <row r="1414" spans="6:6" x14ac:dyDescent="0.5">
      <c r="F1414" s="658">
        <v>0</v>
      </c>
    </row>
    <row r="1415" spans="6:6" x14ac:dyDescent="0.5">
      <c r="F1415" s="658">
        <v>0</v>
      </c>
    </row>
    <row r="1416" spans="6:6" x14ac:dyDescent="0.5">
      <c r="F1416" s="658">
        <v>0</v>
      </c>
    </row>
    <row r="1417" spans="6:6" x14ac:dyDescent="0.5">
      <c r="F1417" s="658">
        <v>0</v>
      </c>
    </row>
    <row r="1418" spans="6:6" x14ac:dyDescent="0.5">
      <c r="F1418" s="658">
        <v>0</v>
      </c>
    </row>
    <row r="1419" spans="6:6" x14ac:dyDescent="0.5">
      <c r="F1419" s="658">
        <v>0</v>
      </c>
    </row>
    <row r="1420" spans="6:6" x14ac:dyDescent="0.5">
      <c r="F1420" s="658">
        <v>0</v>
      </c>
    </row>
    <row r="1421" spans="6:6" x14ac:dyDescent="0.5">
      <c r="F1421" s="658">
        <v>0</v>
      </c>
    </row>
    <row r="1422" spans="6:6" x14ac:dyDescent="0.5">
      <c r="F1422" s="658">
        <v>0</v>
      </c>
    </row>
    <row r="1423" spans="6:6" x14ac:dyDescent="0.5">
      <c r="F1423" s="658">
        <v>0</v>
      </c>
    </row>
    <row r="1424" spans="6:6" x14ac:dyDescent="0.5">
      <c r="F1424" s="658">
        <v>0</v>
      </c>
    </row>
    <row r="1425" spans="6:6" x14ac:dyDescent="0.5">
      <c r="F1425" s="658">
        <v>0</v>
      </c>
    </row>
    <row r="1426" spans="6:6" x14ac:dyDescent="0.5">
      <c r="F1426" s="658">
        <v>0</v>
      </c>
    </row>
    <row r="1427" spans="6:6" x14ac:dyDescent="0.5">
      <c r="F1427" s="658">
        <v>0</v>
      </c>
    </row>
    <row r="1428" spans="6:6" x14ac:dyDescent="0.5">
      <c r="F1428" s="658">
        <v>0</v>
      </c>
    </row>
    <row r="1429" spans="6:6" x14ac:dyDescent="0.5">
      <c r="F1429" s="658">
        <v>0</v>
      </c>
    </row>
    <row r="1430" spans="6:6" x14ac:dyDescent="0.5">
      <c r="F1430" s="658">
        <v>0</v>
      </c>
    </row>
    <row r="1431" spans="6:6" x14ac:dyDescent="0.5">
      <c r="F1431" s="658">
        <v>0</v>
      </c>
    </row>
    <row r="1432" spans="6:6" x14ac:dyDescent="0.5">
      <c r="F1432" s="658">
        <v>0</v>
      </c>
    </row>
    <row r="1433" spans="6:6" x14ac:dyDescent="0.5">
      <c r="F1433" s="658">
        <v>0</v>
      </c>
    </row>
    <row r="1434" spans="6:6" x14ac:dyDescent="0.5">
      <c r="F1434" s="658">
        <v>0</v>
      </c>
    </row>
    <row r="1435" spans="6:6" x14ac:dyDescent="0.5">
      <c r="F1435" s="658">
        <v>0</v>
      </c>
    </row>
    <row r="1436" spans="6:6" x14ac:dyDescent="0.5">
      <c r="F1436" s="658">
        <v>0</v>
      </c>
    </row>
    <row r="1437" spans="6:6" x14ac:dyDescent="0.5">
      <c r="F1437" s="658">
        <v>0</v>
      </c>
    </row>
    <row r="1438" spans="6:6" x14ac:dyDescent="0.5">
      <c r="F1438" s="658">
        <v>0</v>
      </c>
    </row>
    <row r="1439" spans="6:6" x14ac:dyDescent="0.5">
      <c r="F1439" s="658">
        <v>0</v>
      </c>
    </row>
    <row r="1440" spans="6:6" x14ac:dyDescent="0.5">
      <c r="F1440" s="658">
        <v>0</v>
      </c>
    </row>
    <row r="1441" spans="6:6" x14ac:dyDescent="0.5">
      <c r="F1441" s="658">
        <v>0</v>
      </c>
    </row>
    <row r="1442" spans="6:6" x14ac:dyDescent="0.5">
      <c r="F1442" s="658">
        <v>0</v>
      </c>
    </row>
    <row r="1443" spans="6:6" x14ac:dyDescent="0.5">
      <c r="F1443" s="658">
        <v>0</v>
      </c>
    </row>
    <row r="1444" spans="6:6" x14ac:dyDescent="0.5">
      <c r="F1444" s="658">
        <v>0</v>
      </c>
    </row>
    <row r="1445" spans="6:6" x14ac:dyDescent="0.5">
      <c r="F1445" s="658">
        <v>0</v>
      </c>
    </row>
    <row r="1446" spans="6:6" x14ac:dyDescent="0.5">
      <c r="F1446" s="658">
        <v>0</v>
      </c>
    </row>
    <row r="1447" spans="6:6" x14ac:dyDescent="0.5">
      <c r="F1447" s="658">
        <v>0</v>
      </c>
    </row>
    <row r="1448" spans="6:6" x14ac:dyDescent="0.5">
      <c r="F1448" s="658">
        <v>0</v>
      </c>
    </row>
    <row r="1449" spans="6:6" x14ac:dyDescent="0.5">
      <c r="F1449" s="658">
        <v>0</v>
      </c>
    </row>
    <row r="1450" spans="6:6" x14ac:dyDescent="0.5">
      <c r="F1450" s="658">
        <v>0</v>
      </c>
    </row>
    <row r="1451" spans="6:6" x14ac:dyDescent="0.5">
      <c r="F1451" s="658">
        <v>0</v>
      </c>
    </row>
    <row r="1452" spans="6:6" x14ac:dyDescent="0.5">
      <c r="F1452" s="658">
        <v>0</v>
      </c>
    </row>
    <row r="1453" spans="6:6" x14ac:dyDescent="0.5">
      <c r="F1453" s="658">
        <v>0</v>
      </c>
    </row>
    <row r="1454" spans="6:6" x14ac:dyDescent="0.5">
      <c r="F1454" s="658">
        <v>0</v>
      </c>
    </row>
    <row r="1455" spans="6:6" x14ac:dyDescent="0.5">
      <c r="F1455" s="658">
        <v>0</v>
      </c>
    </row>
    <row r="1456" spans="6:6" x14ac:dyDescent="0.5">
      <c r="F1456" s="658">
        <v>0</v>
      </c>
    </row>
    <row r="1457" spans="6:6" x14ac:dyDescent="0.5">
      <c r="F1457" s="658">
        <v>0</v>
      </c>
    </row>
    <row r="1458" spans="6:6" x14ac:dyDescent="0.5">
      <c r="F1458" s="658">
        <v>0</v>
      </c>
    </row>
    <row r="1459" spans="6:6" x14ac:dyDescent="0.5">
      <c r="F1459" s="658">
        <v>0</v>
      </c>
    </row>
    <row r="1460" spans="6:6" x14ac:dyDescent="0.5">
      <c r="F1460" s="658">
        <v>0</v>
      </c>
    </row>
    <row r="1461" spans="6:6" x14ac:dyDescent="0.5">
      <c r="F1461" s="658">
        <v>0</v>
      </c>
    </row>
    <row r="1462" spans="6:6" x14ac:dyDescent="0.5">
      <c r="F1462" s="658">
        <v>0</v>
      </c>
    </row>
    <row r="1463" spans="6:6" x14ac:dyDescent="0.5">
      <c r="F1463" s="658">
        <v>0</v>
      </c>
    </row>
    <row r="1464" spans="6:6" x14ac:dyDescent="0.5">
      <c r="F1464" s="658">
        <v>0</v>
      </c>
    </row>
    <row r="1465" spans="6:6" x14ac:dyDescent="0.5">
      <c r="F1465" s="658">
        <v>0</v>
      </c>
    </row>
    <row r="1466" spans="6:6" x14ac:dyDescent="0.5">
      <c r="F1466" s="658">
        <v>0</v>
      </c>
    </row>
    <row r="1467" spans="6:6" x14ac:dyDescent="0.5">
      <c r="F1467" s="658">
        <v>0</v>
      </c>
    </row>
    <row r="1468" spans="6:6" x14ac:dyDescent="0.5">
      <c r="F1468" s="658">
        <v>0</v>
      </c>
    </row>
    <row r="1469" spans="6:6" x14ac:dyDescent="0.5">
      <c r="F1469" s="658">
        <v>0</v>
      </c>
    </row>
    <row r="1470" spans="6:6" x14ac:dyDescent="0.5">
      <c r="F1470" s="658">
        <v>0</v>
      </c>
    </row>
    <row r="1471" spans="6:6" x14ac:dyDescent="0.5">
      <c r="F1471" s="658">
        <v>0</v>
      </c>
    </row>
    <row r="1472" spans="6:6" x14ac:dyDescent="0.5">
      <c r="F1472" s="658">
        <v>0</v>
      </c>
    </row>
    <row r="1473" spans="6:6" x14ac:dyDescent="0.5">
      <c r="F1473" s="658">
        <v>0</v>
      </c>
    </row>
    <row r="1474" spans="6:6" x14ac:dyDescent="0.5">
      <c r="F1474" s="658">
        <v>0</v>
      </c>
    </row>
    <row r="1475" spans="6:6" x14ac:dyDescent="0.5">
      <c r="F1475" s="658">
        <v>0</v>
      </c>
    </row>
    <row r="1476" spans="6:6" x14ac:dyDescent="0.5">
      <c r="F1476" s="658">
        <v>0</v>
      </c>
    </row>
    <row r="1477" spans="6:6" x14ac:dyDescent="0.5">
      <c r="F1477" s="658">
        <v>0</v>
      </c>
    </row>
    <row r="1478" spans="6:6" x14ac:dyDescent="0.5">
      <c r="F1478" s="658">
        <v>0</v>
      </c>
    </row>
    <row r="1479" spans="6:6" x14ac:dyDescent="0.5">
      <c r="F1479" s="658">
        <v>0</v>
      </c>
    </row>
    <row r="1480" spans="6:6" x14ac:dyDescent="0.5">
      <c r="F1480" s="658">
        <v>0</v>
      </c>
    </row>
    <row r="1481" spans="6:6" x14ac:dyDescent="0.5">
      <c r="F1481" s="658">
        <v>0</v>
      </c>
    </row>
    <row r="1482" spans="6:6" x14ac:dyDescent="0.5">
      <c r="F1482" s="658">
        <v>0</v>
      </c>
    </row>
    <row r="1483" spans="6:6" x14ac:dyDescent="0.5">
      <c r="F1483" s="658">
        <v>0</v>
      </c>
    </row>
    <row r="1484" spans="6:6" x14ac:dyDescent="0.5">
      <c r="F1484" s="658">
        <v>0</v>
      </c>
    </row>
    <row r="1485" spans="6:6" x14ac:dyDescent="0.5">
      <c r="F1485" s="658">
        <v>0</v>
      </c>
    </row>
    <row r="1486" spans="6:6" x14ac:dyDescent="0.5">
      <c r="F1486" s="658">
        <v>0</v>
      </c>
    </row>
    <row r="1487" spans="6:6" x14ac:dyDescent="0.5">
      <c r="F1487" s="658">
        <v>0</v>
      </c>
    </row>
    <row r="1488" spans="6:6" x14ac:dyDescent="0.5">
      <c r="F1488" s="658">
        <v>0</v>
      </c>
    </row>
    <row r="1489" spans="6:6" x14ac:dyDescent="0.5">
      <c r="F1489" s="658">
        <v>0</v>
      </c>
    </row>
    <row r="1490" spans="6:6" x14ac:dyDescent="0.5">
      <c r="F1490" s="658">
        <v>0</v>
      </c>
    </row>
    <row r="1491" spans="6:6" x14ac:dyDescent="0.5">
      <c r="F1491" s="658">
        <v>0</v>
      </c>
    </row>
    <row r="1492" spans="6:6" x14ac:dyDescent="0.5">
      <c r="F1492" s="658">
        <v>0</v>
      </c>
    </row>
    <row r="1493" spans="6:6" x14ac:dyDescent="0.5">
      <c r="F1493" s="658">
        <v>0</v>
      </c>
    </row>
    <row r="1494" spans="6:6" x14ac:dyDescent="0.5">
      <c r="F1494" s="658">
        <v>0</v>
      </c>
    </row>
    <row r="1495" spans="6:6" x14ac:dyDescent="0.5">
      <c r="F1495" s="658">
        <v>0</v>
      </c>
    </row>
    <row r="1496" spans="6:6" x14ac:dyDescent="0.5">
      <c r="F1496" s="658">
        <v>0</v>
      </c>
    </row>
    <row r="1497" spans="6:6" x14ac:dyDescent="0.5">
      <c r="F1497" s="658">
        <v>0</v>
      </c>
    </row>
    <row r="1498" spans="6:6" x14ac:dyDescent="0.5">
      <c r="F1498" s="658">
        <v>0</v>
      </c>
    </row>
    <row r="1499" spans="6:6" x14ac:dyDescent="0.5">
      <c r="F1499" s="658">
        <v>0</v>
      </c>
    </row>
    <row r="1500" spans="6:6" x14ac:dyDescent="0.5">
      <c r="F1500" s="658">
        <v>0</v>
      </c>
    </row>
    <row r="1501" spans="6:6" x14ac:dyDescent="0.5">
      <c r="F1501" s="658">
        <v>0</v>
      </c>
    </row>
    <row r="1502" spans="6:6" x14ac:dyDescent="0.5">
      <c r="F1502" s="658">
        <v>0</v>
      </c>
    </row>
    <row r="1503" spans="6:6" x14ac:dyDescent="0.5">
      <c r="F1503" s="658">
        <v>0</v>
      </c>
    </row>
    <row r="1504" spans="6:6" x14ac:dyDescent="0.5">
      <c r="F1504" s="658">
        <v>0</v>
      </c>
    </row>
    <row r="1505" spans="6:6" x14ac:dyDescent="0.5">
      <c r="F1505" s="658">
        <v>0</v>
      </c>
    </row>
    <row r="1506" spans="6:6" x14ac:dyDescent="0.5">
      <c r="F1506" s="658">
        <v>0</v>
      </c>
    </row>
    <row r="1507" spans="6:6" x14ac:dyDescent="0.5">
      <c r="F1507" s="658">
        <v>0</v>
      </c>
    </row>
    <row r="1508" spans="6:6" x14ac:dyDescent="0.5">
      <c r="F1508" s="658">
        <v>0</v>
      </c>
    </row>
    <row r="1509" spans="6:6" x14ac:dyDescent="0.5">
      <c r="F1509" s="658">
        <v>0</v>
      </c>
    </row>
    <row r="1510" spans="6:6" x14ac:dyDescent="0.5">
      <c r="F1510" s="658">
        <v>0</v>
      </c>
    </row>
    <row r="1511" spans="6:6" x14ac:dyDescent="0.5">
      <c r="F1511" s="658">
        <v>0</v>
      </c>
    </row>
    <row r="1512" spans="6:6" x14ac:dyDescent="0.5">
      <c r="F1512" s="658">
        <v>0</v>
      </c>
    </row>
    <row r="1513" spans="6:6" x14ac:dyDescent="0.5">
      <c r="F1513" s="658">
        <v>0</v>
      </c>
    </row>
    <row r="1514" spans="6:6" x14ac:dyDescent="0.5">
      <c r="F1514" s="658">
        <v>0</v>
      </c>
    </row>
    <row r="1515" spans="6:6" x14ac:dyDescent="0.5">
      <c r="F1515" s="658">
        <v>0</v>
      </c>
    </row>
    <row r="1516" spans="6:6" x14ac:dyDescent="0.5">
      <c r="F1516" s="658">
        <v>0</v>
      </c>
    </row>
    <row r="1517" spans="6:6" x14ac:dyDescent="0.5">
      <c r="F1517" s="658">
        <v>0</v>
      </c>
    </row>
    <row r="1518" spans="6:6" x14ac:dyDescent="0.5">
      <c r="F1518" s="658">
        <v>0</v>
      </c>
    </row>
    <row r="1519" spans="6:6" x14ac:dyDescent="0.5">
      <c r="F1519" s="658">
        <v>0</v>
      </c>
    </row>
    <row r="1520" spans="6:6" x14ac:dyDescent="0.5">
      <c r="F1520" s="658">
        <v>0</v>
      </c>
    </row>
    <row r="1521" spans="6:6" x14ac:dyDescent="0.5">
      <c r="F1521" s="658">
        <v>0</v>
      </c>
    </row>
    <row r="1522" spans="6:6" x14ac:dyDescent="0.5">
      <c r="F1522" s="658">
        <v>0</v>
      </c>
    </row>
    <row r="1523" spans="6:6" x14ac:dyDescent="0.5">
      <c r="F1523" s="658">
        <v>0</v>
      </c>
    </row>
    <row r="1524" spans="6:6" x14ac:dyDescent="0.5">
      <c r="F1524" s="658">
        <v>0</v>
      </c>
    </row>
    <row r="1525" spans="6:6" x14ac:dyDescent="0.5">
      <c r="F1525" s="658">
        <v>0</v>
      </c>
    </row>
    <row r="1526" spans="6:6" x14ac:dyDescent="0.5">
      <c r="F1526" s="658">
        <v>0</v>
      </c>
    </row>
    <row r="1527" spans="6:6" x14ac:dyDescent="0.5">
      <c r="F1527" s="658">
        <v>0</v>
      </c>
    </row>
    <row r="1528" spans="6:6" x14ac:dyDescent="0.5">
      <c r="F1528" s="658">
        <v>0</v>
      </c>
    </row>
    <row r="1529" spans="6:6" x14ac:dyDescent="0.5">
      <c r="F1529" s="658">
        <v>0</v>
      </c>
    </row>
    <row r="1530" spans="6:6" x14ac:dyDescent="0.5">
      <c r="F1530" s="658">
        <v>0</v>
      </c>
    </row>
    <row r="1531" spans="6:6" x14ac:dyDescent="0.5">
      <c r="F1531" s="658">
        <v>0</v>
      </c>
    </row>
    <row r="1532" spans="6:6" x14ac:dyDescent="0.5">
      <c r="F1532" s="658">
        <v>0</v>
      </c>
    </row>
    <row r="1533" spans="6:6" x14ac:dyDescent="0.5">
      <c r="F1533" s="658">
        <v>0</v>
      </c>
    </row>
    <row r="1534" spans="6:6" x14ac:dyDescent="0.5">
      <c r="F1534" s="658">
        <v>0</v>
      </c>
    </row>
    <row r="1535" spans="6:6" x14ac:dyDescent="0.5">
      <c r="F1535" s="658">
        <v>0</v>
      </c>
    </row>
    <row r="1536" spans="6:6" x14ac:dyDescent="0.5">
      <c r="F1536" s="658">
        <v>0</v>
      </c>
    </row>
    <row r="1537" spans="6:6" x14ac:dyDescent="0.5">
      <c r="F1537" s="658">
        <v>0</v>
      </c>
    </row>
    <row r="1538" spans="6:6" x14ac:dyDescent="0.5">
      <c r="F1538" s="658">
        <v>0</v>
      </c>
    </row>
    <row r="1539" spans="6:6" x14ac:dyDescent="0.5">
      <c r="F1539" s="658">
        <v>0</v>
      </c>
    </row>
    <row r="1540" spans="6:6" x14ac:dyDescent="0.5">
      <c r="F1540" s="658">
        <v>0</v>
      </c>
    </row>
    <row r="1541" spans="6:6" x14ac:dyDescent="0.5">
      <c r="F1541" s="658">
        <v>0</v>
      </c>
    </row>
    <row r="1542" spans="6:6" x14ac:dyDescent="0.5">
      <c r="F1542" s="658">
        <v>0</v>
      </c>
    </row>
    <row r="1543" spans="6:6" x14ac:dyDescent="0.5">
      <c r="F1543" s="658">
        <v>0</v>
      </c>
    </row>
    <row r="1544" spans="6:6" x14ac:dyDescent="0.5">
      <c r="F1544" s="658">
        <v>0</v>
      </c>
    </row>
    <row r="1545" spans="6:6" x14ac:dyDescent="0.5">
      <c r="F1545" s="658">
        <v>0</v>
      </c>
    </row>
    <row r="1546" spans="6:6" x14ac:dyDescent="0.5">
      <c r="F1546" s="658">
        <v>0</v>
      </c>
    </row>
    <row r="1547" spans="6:6" x14ac:dyDescent="0.5">
      <c r="F1547" s="658">
        <v>0</v>
      </c>
    </row>
    <row r="1548" spans="6:6" x14ac:dyDescent="0.5">
      <c r="F1548" s="658">
        <v>0</v>
      </c>
    </row>
    <row r="1549" spans="6:6" x14ac:dyDescent="0.5">
      <c r="F1549" s="658">
        <v>0</v>
      </c>
    </row>
    <row r="1550" spans="6:6" x14ac:dyDescent="0.5">
      <c r="F1550" s="658">
        <v>0</v>
      </c>
    </row>
    <row r="1551" spans="6:6" x14ac:dyDescent="0.5">
      <c r="F1551" s="658">
        <v>0</v>
      </c>
    </row>
    <row r="1552" spans="6:6" x14ac:dyDescent="0.5">
      <c r="F1552" s="658">
        <v>0</v>
      </c>
    </row>
    <row r="1553" spans="6:6" x14ac:dyDescent="0.5">
      <c r="F1553" s="658">
        <v>0</v>
      </c>
    </row>
    <row r="1554" spans="6:6" x14ac:dyDescent="0.5">
      <c r="F1554" s="658">
        <v>0</v>
      </c>
    </row>
    <row r="1555" spans="6:6" x14ac:dyDescent="0.5">
      <c r="F1555" s="658">
        <v>0</v>
      </c>
    </row>
    <row r="1556" spans="6:6" x14ac:dyDescent="0.5">
      <c r="F1556" s="658">
        <v>0</v>
      </c>
    </row>
    <row r="1557" spans="6:6" x14ac:dyDescent="0.5">
      <c r="F1557" s="658">
        <v>0</v>
      </c>
    </row>
    <row r="1558" spans="6:6" x14ac:dyDescent="0.5">
      <c r="F1558" s="658">
        <v>0</v>
      </c>
    </row>
    <row r="1559" spans="6:6" x14ac:dyDescent="0.5">
      <c r="F1559" s="658">
        <v>0</v>
      </c>
    </row>
    <row r="1560" spans="6:6" x14ac:dyDescent="0.5">
      <c r="F1560" s="658">
        <v>0</v>
      </c>
    </row>
    <row r="1561" spans="6:6" x14ac:dyDescent="0.5">
      <c r="F1561" s="658">
        <v>0</v>
      </c>
    </row>
    <row r="1562" spans="6:6" x14ac:dyDescent="0.5">
      <c r="F1562" s="658">
        <v>0</v>
      </c>
    </row>
    <row r="1563" spans="6:6" x14ac:dyDescent="0.5">
      <c r="F1563" s="658">
        <v>0</v>
      </c>
    </row>
    <row r="1564" spans="6:6" x14ac:dyDescent="0.5">
      <c r="F1564" s="658">
        <v>0</v>
      </c>
    </row>
    <row r="1565" spans="6:6" x14ac:dyDescent="0.5">
      <c r="F1565" s="658">
        <v>0</v>
      </c>
    </row>
    <row r="1566" spans="6:6" x14ac:dyDescent="0.5">
      <c r="F1566" s="658">
        <v>0</v>
      </c>
    </row>
    <row r="1567" spans="6:6" x14ac:dyDescent="0.5">
      <c r="F1567" s="658">
        <v>0</v>
      </c>
    </row>
    <row r="1568" spans="6:6" x14ac:dyDescent="0.5">
      <c r="F1568" s="658">
        <v>0</v>
      </c>
    </row>
    <row r="1569" spans="6:6" x14ac:dyDescent="0.5">
      <c r="F1569" s="658">
        <v>0</v>
      </c>
    </row>
    <row r="1570" spans="6:6" x14ac:dyDescent="0.5">
      <c r="F1570" s="658">
        <v>0</v>
      </c>
    </row>
    <row r="1571" spans="6:6" x14ac:dyDescent="0.5">
      <c r="F1571" s="658">
        <v>0</v>
      </c>
    </row>
    <row r="1572" spans="6:6" x14ac:dyDescent="0.5">
      <c r="F1572" s="658">
        <v>0</v>
      </c>
    </row>
    <row r="1573" spans="6:6" x14ac:dyDescent="0.5">
      <c r="F1573" s="658">
        <v>0</v>
      </c>
    </row>
    <row r="1574" spans="6:6" x14ac:dyDescent="0.5">
      <c r="F1574" s="658">
        <v>0</v>
      </c>
    </row>
    <row r="1575" spans="6:6" x14ac:dyDescent="0.5">
      <c r="F1575" s="658">
        <v>0</v>
      </c>
    </row>
    <row r="1576" spans="6:6" x14ac:dyDescent="0.5">
      <c r="F1576" s="658">
        <v>0</v>
      </c>
    </row>
    <row r="1577" spans="6:6" x14ac:dyDescent="0.5">
      <c r="F1577" s="658">
        <v>0</v>
      </c>
    </row>
    <row r="1578" spans="6:6" x14ac:dyDescent="0.5">
      <c r="F1578" s="658">
        <v>0</v>
      </c>
    </row>
    <row r="1579" spans="6:6" x14ac:dyDescent="0.5">
      <c r="F1579" s="658">
        <v>0</v>
      </c>
    </row>
    <row r="1580" spans="6:6" x14ac:dyDescent="0.5">
      <c r="F1580" s="658">
        <v>0</v>
      </c>
    </row>
    <row r="1581" spans="6:6" x14ac:dyDescent="0.5">
      <c r="F1581" s="658">
        <v>0</v>
      </c>
    </row>
    <row r="1582" spans="6:6" x14ac:dyDescent="0.5">
      <c r="F1582" s="658">
        <v>0</v>
      </c>
    </row>
    <row r="1583" spans="6:6" x14ac:dyDescent="0.5">
      <c r="F1583" s="658">
        <v>0</v>
      </c>
    </row>
    <row r="1584" spans="6:6" x14ac:dyDescent="0.5">
      <c r="F1584" s="658">
        <v>0</v>
      </c>
    </row>
    <row r="1585" spans="6:6" x14ac:dyDescent="0.5">
      <c r="F1585" s="658">
        <v>0</v>
      </c>
    </row>
    <row r="1586" spans="6:6" x14ac:dyDescent="0.5">
      <c r="F1586" s="658">
        <v>0</v>
      </c>
    </row>
    <row r="1587" spans="6:6" x14ac:dyDescent="0.5">
      <c r="F1587" s="658">
        <v>0</v>
      </c>
    </row>
    <row r="1588" spans="6:6" x14ac:dyDescent="0.5">
      <c r="F1588" s="658">
        <v>0</v>
      </c>
    </row>
    <row r="1589" spans="6:6" x14ac:dyDescent="0.5">
      <c r="F1589" s="658">
        <v>0</v>
      </c>
    </row>
    <row r="1590" spans="6:6" x14ac:dyDescent="0.5">
      <c r="F1590" s="658">
        <v>0</v>
      </c>
    </row>
    <row r="1591" spans="6:6" x14ac:dyDescent="0.5">
      <c r="F1591" s="658">
        <v>0</v>
      </c>
    </row>
    <row r="1592" spans="6:6" x14ac:dyDescent="0.5">
      <c r="F1592" s="658">
        <v>0</v>
      </c>
    </row>
    <row r="1593" spans="6:6" x14ac:dyDescent="0.5">
      <c r="F1593" s="658">
        <v>0</v>
      </c>
    </row>
    <row r="1594" spans="6:6" x14ac:dyDescent="0.5">
      <c r="F1594" s="658">
        <v>0</v>
      </c>
    </row>
    <row r="1595" spans="6:6" x14ac:dyDescent="0.5">
      <c r="F1595" s="658">
        <v>0</v>
      </c>
    </row>
    <row r="1596" spans="6:6" x14ac:dyDescent="0.5">
      <c r="F1596" s="658">
        <v>0</v>
      </c>
    </row>
    <row r="1597" spans="6:6" x14ac:dyDescent="0.5">
      <c r="F1597" s="658">
        <v>0</v>
      </c>
    </row>
    <row r="1598" spans="6:6" x14ac:dyDescent="0.5">
      <c r="F1598" s="658">
        <v>0</v>
      </c>
    </row>
    <row r="1599" spans="6:6" x14ac:dyDescent="0.5">
      <c r="F1599" s="658">
        <v>0</v>
      </c>
    </row>
    <row r="1600" spans="6:6" x14ac:dyDescent="0.5">
      <c r="F1600" s="658">
        <v>0</v>
      </c>
    </row>
    <row r="1601" spans="6:6" x14ac:dyDescent="0.5">
      <c r="F1601" s="658">
        <v>0</v>
      </c>
    </row>
    <row r="1602" spans="6:6" x14ac:dyDescent="0.5">
      <c r="F1602" s="658">
        <v>0</v>
      </c>
    </row>
    <row r="1603" spans="6:6" x14ac:dyDescent="0.5">
      <c r="F1603" s="658">
        <v>0</v>
      </c>
    </row>
    <row r="1604" spans="6:6" x14ac:dyDescent="0.5">
      <c r="F1604" s="658">
        <v>0</v>
      </c>
    </row>
    <row r="1605" spans="6:6" x14ac:dyDescent="0.5">
      <c r="F1605" s="658">
        <v>0</v>
      </c>
    </row>
    <row r="1606" spans="6:6" x14ac:dyDescent="0.5">
      <c r="F1606" s="658">
        <v>0</v>
      </c>
    </row>
    <row r="1607" spans="6:6" x14ac:dyDescent="0.5">
      <c r="F1607" s="658">
        <v>0</v>
      </c>
    </row>
    <row r="1608" spans="6:6" x14ac:dyDescent="0.5">
      <c r="F1608" s="658">
        <v>0</v>
      </c>
    </row>
    <row r="1609" spans="6:6" x14ac:dyDescent="0.5">
      <c r="F1609" s="658">
        <v>0</v>
      </c>
    </row>
    <row r="1610" spans="6:6" x14ac:dyDescent="0.5">
      <c r="F1610" s="658">
        <v>0</v>
      </c>
    </row>
    <row r="1611" spans="6:6" x14ac:dyDescent="0.5">
      <c r="F1611" s="658">
        <v>0</v>
      </c>
    </row>
    <row r="1612" spans="6:6" x14ac:dyDescent="0.5">
      <c r="F1612" s="658">
        <v>0</v>
      </c>
    </row>
    <row r="1613" spans="6:6" x14ac:dyDescent="0.5">
      <c r="F1613" s="658">
        <v>0</v>
      </c>
    </row>
    <row r="1614" spans="6:6" x14ac:dyDescent="0.5">
      <c r="F1614" s="658">
        <v>0</v>
      </c>
    </row>
    <row r="1615" spans="6:6" x14ac:dyDescent="0.5">
      <c r="F1615" s="658">
        <v>0</v>
      </c>
    </row>
    <row r="1616" spans="6:6" x14ac:dyDescent="0.5">
      <c r="F1616" s="658">
        <v>0</v>
      </c>
    </row>
    <row r="1617" spans="6:6" x14ac:dyDescent="0.5">
      <c r="F1617" s="658">
        <v>0</v>
      </c>
    </row>
    <row r="1618" spans="6:6" x14ac:dyDescent="0.5">
      <c r="F1618" s="658">
        <v>0</v>
      </c>
    </row>
    <row r="1619" spans="6:6" x14ac:dyDescent="0.5">
      <c r="F1619" s="658">
        <v>0</v>
      </c>
    </row>
    <row r="1620" spans="6:6" x14ac:dyDescent="0.5">
      <c r="F1620" s="658">
        <v>0</v>
      </c>
    </row>
    <row r="1621" spans="6:6" x14ac:dyDescent="0.5">
      <c r="F1621" s="658">
        <v>0</v>
      </c>
    </row>
    <row r="1622" spans="6:6" x14ac:dyDescent="0.5">
      <c r="F1622" s="658">
        <v>0</v>
      </c>
    </row>
    <row r="1623" spans="6:6" x14ac:dyDescent="0.5">
      <c r="F1623" s="658">
        <v>0</v>
      </c>
    </row>
    <row r="1624" spans="6:6" x14ac:dyDescent="0.5">
      <c r="F1624" s="658">
        <v>0</v>
      </c>
    </row>
    <row r="1625" spans="6:6" x14ac:dyDescent="0.5">
      <c r="F1625" s="658">
        <v>0</v>
      </c>
    </row>
    <row r="1626" spans="6:6" x14ac:dyDescent="0.5">
      <c r="F1626" s="658">
        <v>0</v>
      </c>
    </row>
    <row r="1627" spans="6:6" x14ac:dyDescent="0.5">
      <c r="F1627" s="658">
        <v>0</v>
      </c>
    </row>
    <row r="1628" spans="6:6" x14ac:dyDescent="0.5">
      <c r="F1628" s="658">
        <v>0</v>
      </c>
    </row>
    <row r="1629" spans="6:6" x14ac:dyDescent="0.5">
      <c r="F1629" s="658">
        <v>0</v>
      </c>
    </row>
    <row r="1630" spans="6:6" x14ac:dyDescent="0.5">
      <c r="F1630" s="658">
        <v>0</v>
      </c>
    </row>
    <row r="1631" spans="6:6" x14ac:dyDescent="0.5">
      <c r="F1631" s="658">
        <v>0</v>
      </c>
    </row>
    <row r="1632" spans="6:6" x14ac:dyDescent="0.5">
      <c r="F1632" s="658">
        <v>0</v>
      </c>
    </row>
    <row r="1633" spans="6:6" x14ac:dyDescent="0.5">
      <c r="F1633" s="658">
        <v>0</v>
      </c>
    </row>
    <row r="1634" spans="6:6" x14ac:dyDescent="0.5">
      <c r="F1634" s="658">
        <v>0</v>
      </c>
    </row>
    <row r="1635" spans="6:6" x14ac:dyDescent="0.5">
      <c r="F1635" s="658">
        <v>0</v>
      </c>
    </row>
    <row r="1636" spans="6:6" x14ac:dyDescent="0.5">
      <c r="F1636" s="658">
        <v>0</v>
      </c>
    </row>
    <row r="1637" spans="6:6" x14ac:dyDescent="0.5">
      <c r="F1637" s="658">
        <v>0</v>
      </c>
    </row>
    <row r="1638" spans="6:6" x14ac:dyDescent="0.5">
      <c r="F1638" s="658">
        <v>0</v>
      </c>
    </row>
    <row r="1639" spans="6:6" x14ac:dyDescent="0.5">
      <c r="F1639" s="658">
        <v>0</v>
      </c>
    </row>
    <row r="1640" spans="6:6" x14ac:dyDescent="0.5">
      <c r="F1640" s="658">
        <v>0</v>
      </c>
    </row>
    <row r="1641" spans="6:6" x14ac:dyDescent="0.5">
      <c r="F1641" s="658">
        <v>0</v>
      </c>
    </row>
    <row r="1642" spans="6:6" x14ac:dyDescent="0.5">
      <c r="F1642" s="658">
        <v>0</v>
      </c>
    </row>
    <row r="1643" spans="6:6" x14ac:dyDescent="0.5">
      <c r="F1643" s="658">
        <v>0</v>
      </c>
    </row>
    <row r="1644" spans="6:6" x14ac:dyDescent="0.5">
      <c r="F1644" s="658">
        <v>0</v>
      </c>
    </row>
    <row r="1645" spans="6:6" x14ac:dyDescent="0.5">
      <c r="F1645" s="658">
        <v>0</v>
      </c>
    </row>
    <row r="1646" spans="6:6" x14ac:dyDescent="0.5">
      <c r="F1646" s="658">
        <v>0</v>
      </c>
    </row>
    <row r="1647" spans="6:6" x14ac:dyDescent="0.5">
      <c r="F1647" s="658">
        <v>0</v>
      </c>
    </row>
    <row r="1648" spans="6:6" x14ac:dyDescent="0.5">
      <c r="F1648" s="658">
        <v>0</v>
      </c>
    </row>
    <row r="1649" spans="6:6" x14ac:dyDescent="0.5">
      <c r="F1649" s="658">
        <v>0</v>
      </c>
    </row>
    <row r="1650" spans="6:6" x14ac:dyDescent="0.5">
      <c r="F1650" s="658">
        <v>0</v>
      </c>
    </row>
    <row r="1651" spans="6:6" x14ac:dyDescent="0.5">
      <c r="F1651" s="658">
        <v>0</v>
      </c>
    </row>
    <row r="1652" spans="6:6" x14ac:dyDescent="0.5">
      <c r="F1652" s="658">
        <v>0</v>
      </c>
    </row>
    <row r="1653" spans="6:6" x14ac:dyDescent="0.5">
      <c r="F1653" s="658">
        <v>0</v>
      </c>
    </row>
    <row r="1654" spans="6:6" x14ac:dyDescent="0.5">
      <c r="F1654" s="658">
        <v>0</v>
      </c>
    </row>
    <row r="1655" spans="6:6" x14ac:dyDescent="0.5">
      <c r="F1655" s="658">
        <v>0</v>
      </c>
    </row>
    <row r="1656" spans="6:6" x14ac:dyDescent="0.5">
      <c r="F1656" s="658">
        <v>0</v>
      </c>
    </row>
    <row r="1657" spans="6:6" x14ac:dyDescent="0.5">
      <c r="F1657" s="658">
        <v>0</v>
      </c>
    </row>
    <row r="1658" spans="6:6" x14ac:dyDescent="0.5">
      <c r="F1658" s="658">
        <v>0</v>
      </c>
    </row>
    <row r="1659" spans="6:6" x14ac:dyDescent="0.5">
      <c r="F1659" s="658">
        <v>0</v>
      </c>
    </row>
    <row r="1660" spans="6:6" x14ac:dyDescent="0.5">
      <c r="F1660" s="658">
        <v>0</v>
      </c>
    </row>
    <row r="1661" spans="6:6" x14ac:dyDescent="0.5">
      <c r="F1661" s="658">
        <v>0</v>
      </c>
    </row>
    <row r="1662" spans="6:6" x14ac:dyDescent="0.5">
      <c r="F1662" s="658">
        <v>0</v>
      </c>
    </row>
    <row r="1663" spans="6:6" x14ac:dyDescent="0.5">
      <c r="F1663" s="658">
        <v>0</v>
      </c>
    </row>
    <row r="1664" spans="6:6" x14ac:dyDescent="0.5">
      <c r="F1664" s="658">
        <v>0</v>
      </c>
    </row>
    <row r="1665" spans="6:6" x14ac:dyDescent="0.5">
      <c r="F1665" s="658">
        <v>0</v>
      </c>
    </row>
    <row r="1666" spans="6:6" x14ac:dyDescent="0.5">
      <c r="F1666" s="658">
        <v>0</v>
      </c>
    </row>
    <row r="1667" spans="6:6" x14ac:dyDescent="0.5">
      <c r="F1667" s="658">
        <v>0</v>
      </c>
    </row>
    <row r="1668" spans="6:6" x14ac:dyDescent="0.5">
      <c r="F1668" s="658">
        <v>0</v>
      </c>
    </row>
    <row r="1669" spans="6:6" x14ac:dyDescent="0.5">
      <c r="F1669" s="658">
        <v>0</v>
      </c>
    </row>
    <row r="1670" spans="6:6" x14ac:dyDescent="0.5">
      <c r="F1670" s="658">
        <v>0</v>
      </c>
    </row>
    <row r="1671" spans="6:6" x14ac:dyDescent="0.5">
      <c r="F1671" s="658">
        <v>0</v>
      </c>
    </row>
    <row r="1672" spans="6:6" x14ac:dyDescent="0.5">
      <c r="F1672" s="658">
        <v>0</v>
      </c>
    </row>
    <row r="1673" spans="6:6" x14ac:dyDescent="0.5">
      <c r="F1673" s="658">
        <v>0</v>
      </c>
    </row>
    <row r="1674" spans="6:6" x14ac:dyDescent="0.5">
      <c r="F1674" s="658">
        <v>0</v>
      </c>
    </row>
    <row r="1675" spans="6:6" x14ac:dyDescent="0.5">
      <c r="F1675" s="658">
        <v>0</v>
      </c>
    </row>
    <row r="1676" spans="6:6" x14ac:dyDescent="0.5">
      <c r="F1676" s="658">
        <v>0</v>
      </c>
    </row>
    <row r="1677" spans="6:6" x14ac:dyDescent="0.5">
      <c r="F1677" s="658">
        <v>0</v>
      </c>
    </row>
    <row r="1678" spans="6:6" x14ac:dyDescent="0.5">
      <c r="F1678" s="658">
        <v>0</v>
      </c>
    </row>
    <row r="1679" spans="6:6" x14ac:dyDescent="0.5">
      <c r="F1679" s="658">
        <v>0</v>
      </c>
    </row>
    <row r="1680" spans="6:6" x14ac:dyDescent="0.5">
      <c r="F1680" s="658">
        <v>0</v>
      </c>
    </row>
    <row r="1681" spans="6:6" x14ac:dyDescent="0.5">
      <c r="F1681" s="658">
        <v>0</v>
      </c>
    </row>
    <row r="1682" spans="6:6" x14ac:dyDescent="0.5">
      <c r="F1682" s="658">
        <v>0</v>
      </c>
    </row>
    <row r="1683" spans="6:6" x14ac:dyDescent="0.5">
      <c r="F1683" s="658">
        <v>0</v>
      </c>
    </row>
    <row r="1684" spans="6:6" x14ac:dyDescent="0.5">
      <c r="F1684" s="658">
        <v>0</v>
      </c>
    </row>
    <row r="1685" spans="6:6" x14ac:dyDescent="0.5">
      <c r="F1685" s="658">
        <v>0</v>
      </c>
    </row>
    <row r="1686" spans="6:6" x14ac:dyDescent="0.5">
      <c r="F1686" s="658">
        <v>0</v>
      </c>
    </row>
    <row r="1687" spans="6:6" x14ac:dyDescent="0.5">
      <c r="F1687" s="658">
        <v>0</v>
      </c>
    </row>
    <row r="1688" spans="6:6" x14ac:dyDescent="0.5">
      <c r="F1688" s="658">
        <v>0</v>
      </c>
    </row>
    <row r="1689" spans="6:6" x14ac:dyDescent="0.5">
      <c r="F1689" s="658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89"/>
  <sheetViews>
    <sheetView view="pageBreakPreview" zoomScale="55" zoomScaleNormal="60" zoomScaleSheetLayoutView="55" zoomScalePageLayoutView="20" workbookViewId="0">
      <selection activeCell="A121" sqref="A1:XFD1048576"/>
    </sheetView>
  </sheetViews>
  <sheetFormatPr defaultColWidth="22.33203125" defaultRowHeight="29.25" x14ac:dyDescent="0.5"/>
  <cols>
    <col min="1" max="1" width="35.77734375" style="574" customWidth="1"/>
    <col min="2" max="2" width="28" style="577" customWidth="1"/>
    <col min="3" max="3" width="15.88671875" style="577" customWidth="1"/>
    <col min="4" max="4" width="13.6640625" style="658" customWidth="1"/>
    <col min="5" max="5" width="23.88671875" style="658" customWidth="1"/>
    <col min="6" max="6" width="23.5546875" style="658" customWidth="1"/>
    <col min="7" max="7" width="21" style="658" customWidth="1"/>
    <col min="8" max="8" width="28.88671875" style="659" customWidth="1"/>
    <col min="9" max="9" width="20.33203125" style="658" customWidth="1"/>
    <col min="10" max="10" width="21.77734375" style="660" customWidth="1"/>
    <col min="11" max="11" width="43.21875" style="404" hidden="1" customWidth="1"/>
    <col min="12" max="13" width="0" style="404" hidden="1" customWidth="1"/>
    <col min="14" max="14" width="25.109375" style="404" customWidth="1"/>
    <col min="15" max="16384" width="22.33203125" style="404"/>
  </cols>
  <sheetData>
    <row r="1" spans="1:15" ht="33.75" x14ac:dyDescent="0.65">
      <c r="A1" s="1413" t="s">
        <v>143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302</v>
      </c>
      <c r="B2" s="1173">
        <v>44186</v>
      </c>
      <c r="C2" s="1361" t="s">
        <v>84</v>
      </c>
      <c r="D2" s="732">
        <v>0.2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28</v>
      </c>
      <c r="E3" s="1422" t="s">
        <v>148</v>
      </c>
      <c r="F3" s="1423"/>
      <c r="G3" s="582">
        <f>'[1]1'!G3</f>
        <v>0</v>
      </c>
      <c r="H3" s="583">
        <f>'[1]1'!H3</f>
        <v>0</v>
      </c>
      <c r="I3" s="583">
        <f>'[1]1'!I3</f>
        <v>0</v>
      </c>
      <c r="J3" s="736">
        <f>'[1]1'!J3</f>
        <v>0</v>
      </c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0.76</v>
      </c>
      <c r="E4" s="584"/>
      <c r="F4" s="584"/>
      <c r="G4" s="584"/>
      <c r="H4" s="584"/>
      <c r="I4" s="585"/>
      <c r="J4" s="736"/>
      <c r="K4" s="400"/>
      <c r="L4" s="290"/>
    </row>
    <row r="5" spans="1:15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5" ht="30" thickBot="1" x14ac:dyDescent="0.45">
      <c r="A7" s="699" t="s">
        <v>158</v>
      </c>
      <c r="B7" s="700"/>
      <c r="C7" s="700"/>
      <c r="D7" s="643" t="s">
        <v>159</v>
      </c>
      <c r="E7" s="575">
        <f>'[1]20'!F7</f>
        <v>3074452</v>
      </c>
      <c r="F7" s="575">
        <v>3093428</v>
      </c>
      <c r="G7" s="593">
        <f>F7-E7</f>
        <v>18976</v>
      </c>
      <c r="H7" s="580">
        <f>G7+'[1]20'!H7</f>
        <v>424983</v>
      </c>
      <c r="I7" s="594">
        <f>'[1]1'!I7</f>
        <v>12000</v>
      </c>
      <c r="J7" s="673">
        <f>H7/DAY(B2)</f>
        <v>20237.285714285714</v>
      </c>
      <c r="K7" s="670">
        <v>12199</v>
      </c>
      <c r="L7" s="405">
        <f>G7-K7</f>
        <v>6777</v>
      </c>
      <c r="N7" s="410"/>
      <c r="O7" s="410"/>
    </row>
    <row r="8" spans="1:15" ht="27.75" thickBot="1" x14ac:dyDescent="0.45">
      <c r="A8" s="701" t="s">
        <v>160</v>
      </c>
      <c r="B8" s="702"/>
      <c r="C8" s="703"/>
      <c r="D8" s="738" t="s">
        <v>39</v>
      </c>
      <c r="E8" s="595">
        <f>'[1]20'!F8</f>
        <v>3092523</v>
      </c>
      <c r="F8" s="595">
        <v>3111663</v>
      </c>
      <c r="G8" s="596">
        <f>F8-E8</f>
        <v>19140</v>
      </c>
      <c r="H8" s="580">
        <f>G8+'[1]20'!H8</f>
        <v>428624</v>
      </c>
      <c r="I8" s="597">
        <f>'[1]1'!I8</f>
        <v>12000</v>
      </c>
      <c r="J8" s="673">
        <f>H8/DAY(B2)</f>
        <v>20410.666666666668</v>
      </c>
      <c r="K8" s="670">
        <v>12262</v>
      </c>
      <c r="L8" s="460">
        <f>G8-K8</f>
        <v>6878</v>
      </c>
      <c r="M8" s="522"/>
      <c r="N8" s="410"/>
      <c r="O8" s="410"/>
    </row>
    <row r="9" spans="1:15" x14ac:dyDescent="0.4">
      <c r="A9" s="704" t="s">
        <v>161</v>
      </c>
      <c r="B9" s="705"/>
      <c r="C9" s="705"/>
      <c r="D9" s="643" t="s">
        <v>159</v>
      </c>
      <c r="E9" s="598">
        <f>'[1]20'!F9</f>
        <v>2375370</v>
      </c>
      <c r="F9" s="598">
        <v>2378079</v>
      </c>
      <c r="G9" s="593">
        <f t="shared" ref="G9:G12" si="0">F9-E9</f>
        <v>2709</v>
      </c>
      <c r="H9" s="580">
        <f>G9+'[1]20'!H9</f>
        <v>121042.5</v>
      </c>
      <c r="I9" s="599">
        <f>I8-J8</f>
        <v>-8410.6666666666679</v>
      </c>
      <c r="J9" s="673">
        <f>H9/DAY(B2)</f>
        <v>5763.9285714285716</v>
      </c>
      <c r="K9" s="508"/>
      <c r="L9" s="405"/>
      <c r="N9" s="410"/>
      <c r="O9" s="410"/>
    </row>
    <row r="10" spans="1:15" x14ac:dyDescent="0.4">
      <c r="A10" s="699" t="s">
        <v>162</v>
      </c>
      <c r="B10" s="700"/>
      <c r="C10" s="700"/>
      <c r="D10" s="643" t="s">
        <v>159</v>
      </c>
      <c r="E10" s="598">
        <f>'[1]20'!F10</f>
        <v>576267</v>
      </c>
      <c r="F10" s="598">
        <v>591824</v>
      </c>
      <c r="G10" s="593">
        <f t="shared" si="0"/>
        <v>15557</v>
      </c>
      <c r="H10" s="580">
        <f>G10+'[1]20'!H10</f>
        <v>288873.71000000002</v>
      </c>
      <c r="I10" s="600"/>
      <c r="J10" s="673">
        <f>H10/DAY(B2)</f>
        <v>13755.890952380953</v>
      </c>
      <c r="K10" s="508"/>
      <c r="L10" s="405"/>
      <c r="N10" s="410"/>
      <c r="O10" s="410"/>
    </row>
    <row r="11" spans="1:15" x14ac:dyDescent="0.4">
      <c r="A11" s="699" t="s">
        <v>163</v>
      </c>
      <c r="B11" s="700"/>
      <c r="C11" s="700"/>
      <c r="D11" s="643" t="s">
        <v>159</v>
      </c>
      <c r="E11" s="575">
        <f>'[1]20'!F11</f>
        <v>35390</v>
      </c>
      <c r="F11" s="575">
        <v>35390</v>
      </c>
      <c r="G11" s="593">
        <f t="shared" si="0"/>
        <v>0</v>
      </c>
      <c r="H11" s="580">
        <f>G11+'[1]20'!H11</f>
        <v>0</v>
      </c>
      <c r="I11" s="600"/>
      <c r="J11" s="673">
        <f>H11/DAY(B2)</f>
        <v>0</v>
      </c>
      <c r="K11" s="508"/>
      <c r="L11" s="405"/>
      <c r="N11" s="410"/>
      <c r="O11" s="410"/>
    </row>
    <row r="12" spans="1:15" x14ac:dyDescent="0.4">
      <c r="A12" s="699" t="s">
        <v>164</v>
      </c>
      <c r="B12" s="700"/>
      <c r="C12" s="700"/>
      <c r="D12" s="643" t="s">
        <v>159</v>
      </c>
      <c r="E12" s="598">
        <f>'[1]20'!F12</f>
        <v>37630</v>
      </c>
      <c r="F12" s="598">
        <v>37630</v>
      </c>
      <c r="G12" s="593">
        <f t="shared" si="0"/>
        <v>0</v>
      </c>
      <c r="H12" s="580">
        <f>G12+'[1]20'!H12</f>
        <v>0</v>
      </c>
      <c r="I12" s="600"/>
      <c r="J12" s="673">
        <f>H12/DAY(B2)</f>
        <v>0</v>
      </c>
      <c r="K12" s="508"/>
      <c r="L12" s="405"/>
      <c r="N12" s="410"/>
      <c r="O12" s="410"/>
    </row>
    <row r="13" spans="1:15" x14ac:dyDescent="0.5">
      <c r="A13" s="706" t="s">
        <v>165</v>
      </c>
      <c r="B13" s="707"/>
      <c r="C13" s="707"/>
      <c r="D13" s="643"/>
      <c r="E13" s="575"/>
      <c r="F13" s="575"/>
      <c r="G13" s="601">
        <f>G9+G10+G11+G12</f>
        <v>18266</v>
      </c>
      <c r="H13" s="580">
        <f>G13+'[1]20'!H13</f>
        <v>388056.9</v>
      </c>
      <c r="I13" s="602">
        <f>G7-G13</f>
        <v>710</v>
      </c>
      <c r="J13" s="673">
        <f>H13/DAY(B2)</f>
        <v>18478.900000000001</v>
      </c>
      <c r="K13" s="508"/>
      <c r="L13" s="405"/>
      <c r="N13" s="410"/>
      <c r="O13" s="410"/>
    </row>
    <row r="14" spans="1:15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410"/>
      <c r="O14" s="410"/>
    </row>
    <row r="15" spans="1:15" x14ac:dyDescent="0.5">
      <c r="A15" s="1354" t="s">
        <v>167</v>
      </c>
      <c r="B15" s="710"/>
      <c r="C15" s="710"/>
      <c r="D15" s="643" t="s">
        <v>168</v>
      </c>
      <c r="E15" s="604">
        <f>'[1]20'!F15</f>
        <v>1560709</v>
      </c>
      <c r="F15" s="604">
        <v>1561521</v>
      </c>
      <c r="G15" s="921">
        <f>(F15-E15)</f>
        <v>812</v>
      </c>
      <c r="H15" s="580">
        <f>G15+'[1]20'!H15</f>
        <v>14623.398999999976</v>
      </c>
      <c r="I15" s="594">
        <v>800</v>
      </c>
      <c r="J15" s="673">
        <f>H15/DAY(B2)</f>
        <v>696.35233333333213</v>
      </c>
      <c r="K15" s="508"/>
      <c r="L15" s="405"/>
      <c r="N15" s="410"/>
      <c r="O15" s="857"/>
    </row>
    <row r="16" spans="1:15" x14ac:dyDescent="0.4">
      <c r="A16" s="708"/>
      <c r="B16" s="709"/>
      <c r="C16" s="709"/>
      <c r="D16" s="644"/>
      <c r="E16" s="605"/>
      <c r="F16" s="605"/>
      <c r="G16" s="593"/>
      <c r="H16" s="606"/>
      <c r="I16" s="607">
        <f>I15-J15</f>
        <v>103.64766666666787</v>
      </c>
      <c r="J16" s="674"/>
      <c r="K16" s="508"/>
      <c r="L16" s="405"/>
      <c r="N16" s="410"/>
      <c r="O16" s="410"/>
    </row>
    <row r="17" spans="1:15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410"/>
      <c r="O17" s="410"/>
    </row>
    <row r="18" spans="1:15" ht="27.75" x14ac:dyDescent="0.5">
      <c r="A18" s="1398" t="s">
        <v>170</v>
      </c>
      <c r="B18" s="1399"/>
      <c r="C18" s="1400"/>
      <c r="D18" s="643" t="s">
        <v>171</v>
      </c>
      <c r="E18" s="604">
        <f>'[1]20'!F18</f>
        <v>14</v>
      </c>
      <c r="F18" s="604">
        <v>12</v>
      </c>
      <c r="G18" s="601">
        <f>F18*10</f>
        <v>120</v>
      </c>
      <c r="H18" s="580">
        <f>G18+'[1]20'!H18</f>
        <v>2860</v>
      </c>
      <c r="I18" s="594">
        <f>'[1]1'!I18</f>
        <v>65</v>
      </c>
      <c r="J18" s="673">
        <f>H18/DAY(B2)</f>
        <v>136.1904761904762</v>
      </c>
      <c r="K18" s="508"/>
      <c r="L18" s="405"/>
      <c r="N18" s="410"/>
      <c r="O18" s="410"/>
    </row>
    <row r="19" spans="1:15" ht="27.75" x14ac:dyDescent="0.5">
      <c r="A19" s="1398" t="s">
        <v>86</v>
      </c>
      <c r="B19" s="1399"/>
      <c r="C19" s="1400"/>
      <c r="D19" s="643" t="s">
        <v>171</v>
      </c>
      <c r="E19" s="604">
        <f>'[1]20'!F19</f>
        <v>130897</v>
      </c>
      <c r="F19" s="604">
        <v>130952</v>
      </c>
      <c r="G19" s="593">
        <f t="shared" ref="G19" si="1">F19-E19</f>
        <v>55</v>
      </c>
      <c r="H19" s="580">
        <f>G19+'[1]20'!H19</f>
        <v>1151</v>
      </c>
      <c r="I19" s="609"/>
      <c r="J19" s="673">
        <f>H19/DAY(B2)</f>
        <v>54.80952380952381</v>
      </c>
      <c r="K19" s="508"/>
      <c r="L19" s="405"/>
      <c r="N19" s="410"/>
      <c r="O19" s="410"/>
    </row>
    <row r="20" spans="1:15" x14ac:dyDescent="0.5">
      <c r="A20" s="706" t="s">
        <v>172</v>
      </c>
      <c r="B20" s="707"/>
      <c r="C20" s="707"/>
      <c r="D20" s="610"/>
      <c r="E20" s="610"/>
      <c r="F20" s="610"/>
      <c r="G20" s="611">
        <f>G18+G19</f>
        <v>175</v>
      </c>
      <c r="H20" s="580">
        <f>G20+'[1]20'!H20</f>
        <v>4011</v>
      </c>
      <c r="I20" s="612">
        <f>I18-J20</f>
        <v>-126</v>
      </c>
      <c r="J20" s="673">
        <f>H20/DAY(B2)</f>
        <v>191</v>
      </c>
      <c r="K20" s="508"/>
      <c r="L20" s="405"/>
      <c r="N20" s="410"/>
      <c r="O20" s="410"/>
    </row>
    <row r="21" spans="1:15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410"/>
      <c r="O21" s="410"/>
    </row>
    <row r="22" spans="1:15" x14ac:dyDescent="0.5">
      <c r="A22" s="1354" t="s">
        <v>174</v>
      </c>
      <c r="B22" s="710"/>
      <c r="C22" s="710"/>
      <c r="D22" s="643" t="s">
        <v>175</v>
      </c>
      <c r="E22" s="604">
        <f>'[1]20'!F22</f>
        <v>2250</v>
      </c>
      <c r="F22" s="604">
        <v>2250</v>
      </c>
      <c r="G22" s="601">
        <f t="shared" ref="G22" si="2">(F22-E22)</f>
        <v>0</v>
      </c>
      <c r="H22" s="580">
        <f>G22+'[1]20'!H22</f>
        <v>0</v>
      </c>
      <c r="I22" s="600"/>
      <c r="J22" s="673">
        <f>H22/DAY(B2)</f>
        <v>0</v>
      </c>
      <c r="K22" s="508"/>
      <c r="L22" s="405"/>
      <c r="N22" s="410"/>
      <c r="O22" s="410"/>
    </row>
    <row r="23" spans="1:15" x14ac:dyDescent="0.5">
      <c r="A23" s="1354" t="s">
        <v>176</v>
      </c>
      <c r="B23" s="710"/>
      <c r="C23" s="710"/>
      <c r="D23" s="643" t="s">
        <v>175</v>
      </c>
      <c r="E23" s="604">
        <f>'[1]20'!F23</f>
        <v>2000</v>
      </c>
      <c r="F23" s="604">
        <v>2000</v>
      </c>
      <c r="G23" s="601">
        <v>0</v>
      </c>
      <c r="H23" s="580">
        <f>G23+'[1]20'!H23</f>
        <v>0</v>
      </c>
      <c r="I23" s="600"/>
      <c r="J23" s="673">
        <f>H23/DAY(B2)</f>
        <v>0</v>
      </c>
      <c r="K23" s="508"/>
      <c r="L23" s="405"/>
      <c r="N23" s="410"/>
      <c r="O23" s="410"/>
    </row>
    <row r="24" spans="1:15" x14ac:dyDescent="0.4">
      <c r="A24" s="711" t="s">
        <v>177</v>
      </c>
      <c r="B24" s="712"/>
      <c r="C24" s="712"/>
      <c r="D24" s="631" t="s">
        <v>175</v>
      </c>
      <c r="E24" s="613">
        <f>'[1]20'!F24</f>
        <v>4250</v>
      </c>
      <c r="F24" s="613">
        <v>4250</v>
      </c>
      <c r="G24" s="601">
        <v>0</v>
      </c>
      <c r="H24" s="580">
        <f>G24+'[1]20'!H24</f>
        <v>0</v>
      </c>
      <c r="I24" s="600"/>
      <c r="J24" s="673">
        <f>H24/DAY(B2)</f>
        <v>0</v>
      </c>
      <c r="K24" s="508"/>
      <c r="L24" s="405"/>
      <c r="N24" s="410"/>
      <c r="O24" s="410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536"/>
      <c r="O25" s="410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617"/>
      <c r="G26" s="618"/>
      <c r="H26" s="580"/>
      <c r="I26" s="619"/>
      <c r="J26" s="673"/>
      <c r="K26" s="402"/>
      <c r="L26" s="527"/>
      <c r="N26" s="536"/>
      <c r="O26" s="410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621">
        <f>G8</f>
        <v>19140</v>
      </c>
      <c r="F27" s="621">
        <v>9.5</v>
      </c>
      <c r="G27" s="622">
        <f>E27*F27</f>
        <v>181830</v>
      </c>
      <c r="H27" s="580">
        <f>G27+'[1]20'!H27</f>
        <v>4071928</v>
      </c>
      <c r="I27" s="623"/>
      <c r="J27" s="673">
        <f>H27/DAY(B2)</f>
        <v>193901.33333333334</v>
      </c>
      <c r="K27" s="401"/>
      <c r="L27" s="527"/>
      <c r="N27" s="536"/>
      <c r="O27" s="410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621">
        <f>G15</f>
        <v>812</v>
      </c>
      <c r="F28" s="621">
        <v>36.5</v>
      </c>
      <c r="G28" s="622">
        <f t="shared" ref="G28:G30" si="3">E28*F28</f>
        <v>29638</v>
      </c>
      <c r="H28" s="580">
        <f>G28+'[1]20'!H28</f>
        <v>533754.06349999912</v>
      </c>
      <c r="I28" s="625"/>
      <c r="J28" s="673">
        <f>H28/DAY(B2)</f>
        <v>25416.860166666625</v>
      </c>
      <c r="K28" s="401"/>
      <c r="L28" s="527"/>
      <c r="N28" s="536"/>
      <c r="O28" s="410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621">
        <f>G24</f>
        <v>0</v>
      </c>
      <c r="F29" s="621">
        <v>69</v>
      </c>
      <c r="G29" s="622">
        <f t="shared" si="3"/>
        <v>0</v>
      </c>
      <c r="H29" s="580">
        <f>G29+'[1]20'!H29</f>
        <v>0</v>
      </c>
      <c r="I29" s="625"/>
      <c r="J29" s="673">
        <f>H29/DAY(B2)</f>
        <v>0</v>
      </c>
      <c r="K29" s="401"/>
      <c r="L29" s="527"/>
      <c r="N29" s="536"/>
      <c r="O29" s="410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621">
        <f>G19</f>
        <v>55</v>
      </c>
      <c r="F30" s="621">
        <v>145</v>
      </c>
      <c r="G30" s="622">
        <f t="shared" si="3"/>
        <v>7975</v>
      </c>
      <c r="H30" s="580">
        <f>G30+'[1]20'!H30</f>
        <v>166895</v>
      </c>
      <c r="I30" s="625"/>
      <c r="J30" s="673">
        <f>H30/DAY(B2)</f>
        <v>7947.3809523809523</v>
      </c>
      <c r="K30" s="401"/>
      <c r="L30" s="527"/>
      <c r="N30" s="536"/>
      <c r="O30" s="410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621">
        <f>G18</f>
        <v>120</v>
      </c>
      <c r="F31" s="621">
        <v>80</v>
      </c>
      <c r="G31" s="622">
        <f>E31*F31</f>
        <v>9600</v>
      </c>
      <c r="H31" s="580">
        <f>G31+'[1]20'!H31</f>
        <v>227200</v>
      </c>
      <c r="I31" s="625"/>
      <c r="J31" s="673">
        <f>H31/DAY(B2)</f>
        <v>10819.047619047618</v>
      </c>
      <c r="K31" s="401"/>
      <c r="L31" s="527"/>
      <c r="N31" s="536"/>
      <c r="O31" s="410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627"/>
      <c r="G32" s="628">
        <f>G27+G28+G29+G30+G31</f>
        <v>229043</v>
      </c>
      <c r="H32" s="580">
        <f>G32+'[1]20'!H32</f>
        <v>4999777.0634999992</v>
      </c>
      <c r="I32" s="629"/>
      <c r="J32" s="673">
        <f>H32/DAY(B2)</f>
        <v>238084.62207142854</v>
      </c>
      <c r="K32" s="401"/>
      <c r="L32" s="527"/>
      <c r="N32" s="536"/>
      <c r="O32" s="410"/>
    </row>
    <row r="33" spans="1:15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  <c r="O33" s="410"/>
    </row>
    <row r="34" spans="1:15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410"/>
      <c r="O34" s="410"/>
    </row>
    <row r="35" spans="1:15" x14ac:dyDescent="0.4">
      <c r="A35" s="699" t="s">
        <v>191</v>
      </c>
      <c r="B35" s="700"/>
      <c r="C35" s="700"/>
      <c r="D35" s="643" t="s">
        <v>159</v>
      </c>
      <c r="E35" s="630">
        <f>'[1]20'!F35</f>
        <v>629027</v>
      </c>
      <c r="F35" s="630">
        <v>629027</v>
      </c>
      <c r="G35" s="593">
        <f t="shared" ref="G35:G46" si="4">F35-E35</f>
        <v>0</v>
      </c>
      <c r="H35" s="580">
        <f>G35+'[1]20'!H35</f>
        <v>0</v>
      </c>
      <c r="I35" s="575"/>
      <c r="J35" s="673">
        <f>H35/DAY(B2)</f>
        <v>0</v>
      </c>
      <c r="K35" s="508">
        <v>1520.2800000000279</v>
      </c>
      <c r="L35" s="405">
        <f t="shared" ref="L35:L60" si="5">G35-K35</f>
        <v>-1520.2800000000279</v>
      </c>
      <c r="N35" s="410"/>
      <c r="O35" s="749"/>
    </row>
    <row r="36" spans="1:15" x14ac:dyDescent="0.4">
      <c r="A36" s="699" t="s">
        <v>192</v>
      </c>
      <c r="B36" s="700"/>
      <c r="C36" s="700"/>
      <c r="D36" s="643" t="s">
        <v>159</v>
      </c>
      <c r="E36" s="630">
        <f>'[1]20'!F36</f>
        <v>246202</v>
      </c>
      <c r="F36" s="630">
        <v>246947</v>
      </c>
      <c r="G36" s="593">
        <f t="shared" si="4"/>
        <v>745</v>
      </c>
      <c r="H36" s="580">
        <f>G36+'[1]20'!H36</f>
        <v>17861.26999999999</v>
      </c>
      <c r="I36" s="575"/>
      <c r="J36" s="673">
        <f>H36/DAY(B2)</f>
        <v>850.53666666666618</v>
      </c>
      <c r="K36" s="508">
        <v>485.22000000000116</v>
      </c>
      <c r="L36" s="405">
        <f t="shared" si="5"/>
        <v>259.77999999999884</v>
      </c>
      <c r="N36" s="410"/>
      <c r="O36" s="749"/>
    </row>
    <row r="37" spans="1:15" x14ac:dyDescent="0.4">
      <c r="A37" s="699" t="s">
        <v>193</v>
      </c>
      <c r="B37" s="700"/>
      <c r="C37" s="700"/>
      <c r="D37" s="643" t="s">
        <v>159</v>
      </c>
      <c r="E37" s="630">
        <f>'[1]20'!F37</f>
        <v>415066</v>
      </c>
      <c r="F37" s="630">
        <v>415066</v>
      </c>
      <c r="G37" s="593">
        <f t="shared" si="4"/>
        <v>0</v>
      </c>
      <c r="H37" s="580">
        <f>G37+'[1]20'!H37</f>
        <v>0</v>
      </c>
      <c r="I37" s="575"/>
      <c r="J37" s="673">
        <f>H37/DAY(B2)</f>
        <v>0</v>
      </c>
      <c r="K37" s="508">
        <v>1194.8999999999942</v>
      </c>
      <c r="L37" s="405">
        <f t="shared" si="5"/>
        <v>-1194.8999999999942</v>
      </c>
      <c r="N37" s="410"/>
      <c r="O37" s="410"/>
    </row>
    <row r="38" spans="1:15" x14ac:dyDescent="0.4">
      <c r="A38" s="699" t="s">
        <v>194</v>
      </c>
      <c r="B38" s="700"/>
      <c r="C38" s="700"/>
      <c r="D38" s="643" t="s">
        <v>159</v>
      </c>
      <c r="E38" s="589">
        <f>'[1]20'!F38</f>
        <v>150714</v>
      </c>
      <c r="F38" s="589">
        <v>150714.38</v>
      </c>
      <c r="G38" s="593">
        <f t="shared" si="4"/>
        <v>0.38000000000465661</v>
      </c>
      <c r="H38" s="580">
        <f>G38+'[1]20'!H38</f>
        <v>0.38000000000465661</v>
      </c>
      <c r="I38" s="575"/>
      <c r="J38" s="673">
        <f>H38/DAY(B2)</f>
        <v>1.8095238095459838E-2</v>
      </c>
      <c r="K38" s="508">
        <v>0</v>
      </c>
      <c r="L38" s="405">
        <f t="shared" si="5"/>
        <v>0.38000000000465661</v>
      </c>
      <c r="N38" s="410"/>
      <c r="O38" s="410"/>
    </row>
    <row r="39" spans="1:15" x14ac:dyDescent="0.4">
      <c r="A39" s="699" t="s">
        <v>195</v>
      </c>
      <c r="B39" s="700"/>
      <c r="C39" s="700"/>
      <c r="D39" s="643" t="s">
        <v>159</v>
      </c>
      <c r="E39" s="630">
        <f>'[1]20'!F39</f>
        <v>912480</v>
      </c>
      <c r="F39" s="630">
        <v>912480</v>
      </c>
      <c r="G39" s="593">
        <f t="shared" si="4"/>
        <v>0</v>
      </c>
      <c r="H39" s="580">
        <f>G39+'[1]20'!H39</f>
        <v>0</v>
      </c>
      <c r="I39" s="575"/>
      <c r="J39" s="673">
        <f>H39/DAY(B2)</f>
        <v>0</v>
      </c>
      <c r="K39" s="508">
        <v>2147.359999999986</v>
      </c>
      <c r="L39" s="405">
        <f t="shared" si="5"/>
        <v>-2147.359999999986</v>
      </c>
      <c r="N39" s="410"/>
      <c r="O39" s="410"/>
    </row>
    <row r="40" spans="1:15" x14ac:dyDescent="0.4">
      <c r="A40" s="720" t="s">
        <v>196</v>
      </c>
      <c r="B40" s="721"/>
      <c r="C40" s="721"/>
      <c r="D40" s="643" t="s">
        <v>159</v>
      </c>
      <c r="E40" s="630">
        <f>'[1]20'!F40</f>
        <v>0</v>
      </c>
      <c r="F40" s="630">
        <v>0</v>
      </c>
      <c r="G40" s="593">
        <f t="shared" si="4"/>
        <v>0</v>
      </c>
      <c r="H40" s="580">
        <f>G40+'[1]20'!H40</f>
        <v>0</v>
      </c>
      <c r="I40" s="575"/>
      <c r="J40" s="673">
        <f>H40/DAY(B2)</f>
        <v>0</v>
      </c>
      <c r="K40" s="509">
        <v>0</v>
      </c>
      <c r="L40" s="405">
        <f t="shared" si="5"/>
        <v>0</v>
      </c>
      <c r="N40" s="410"/>
      <c r="O40" s="410"/>
    </row>
    <row r="41" spans="1:15" x14ac:dyDescent="0.4">
      <c r="A41" s="699" t="s">
        <v>197</v>
      </c>
      <c r="B41" s="700"/>
      <c r="C41" s="700"/>
      <c r="D41" s="643" t="s">
        <v>159</v>
      </c>
      <c r="E41" s="630">
        <v>300127.95</v>
      </c>
      <c r="F41" s="630">
        <v>300127.95</v>
      </c>
      <c r="G41" s="593">
        <f t="shared" si="4"/>
        <v>0</v>
      </c>
      <c r="H41" s="580">
        <f>G41+'[1]20'!H41</f>
        <v>0</v>
      </c>
      <c r="I41" s="575"/>
      <c r="J41" s="673">
        <f>H41/DAY(B2)</f>
        <v>0</v>
      </c>
      <c r="K41" s="508">
        <v>0</v>
      </c>
      <c r="L41" s="405">
        <f t="shared" si="5"/>
        <v>0</v>
      </c>
      <c r="N41" s="410"/>
      <c r="O41" s="857"/>
    </row>
    <row r="42" spans="1:15" x14ac:dyDescent="0.4">
      <c r="A42" s="699" t="s">
        <v>198</v>
      </c>
      <c r="B42" s="700"/>
      <c r="C42" s="700"/>
      <c r="D42" s="643" t="s">
        <v>159</v>
      </c>
      <c r="E42" s="630">
        <f>'[1]20'!F42</f>
        <v>58926</v>
      </c>
      <c r="F42" s="630">
        <v>58926</v>
      </c>
      <c r="G42" s="593">
        <f t="shared" si="4"/>
        <v>0</v>
      </c>
      <c r="H42" s="580">
        <f>G42+'[1]20'!H42</f>
        <v>58926</v>
      </c>
      <c r="I42" s="575"/>
      <c r="J42" s="673">
        <f>H42/DAY(B2)</f>
        <v>2806</v>
      </c>
      <c r="K42" s="508">
        <v>3228.5699999999997</v>
      </c>
      <c r="L42" s="405">
        <f t="shared" si="5"/>
        <v>-3228.5699999999997</v>
      </c>
      <c r="N42" s="410"/>
      <c r="O42" s="410"/>
    </row>
    <row r="43" spans="1:15" x14ac:dyDescent="0.4">
      <c r="A43" s="699" t="s">
        <v>199</v>
      </c>
      <c r="B43" s="700"/>
      <c r="C43" s="700"/>
      <c r="D43" s="643" t="s">
        <v>159</v>
      </c>
      <c r="E43" s="630">
        <f>'[1]20'!F43</f>
        <v>676119</v>
      </c>
      <c r="F43" s="630">
        <v>678199</v>
      </c>
      <c r="G43" s="593">
        <f t="shared" si="4"/>
        <v>2080</v>
      </c>
      <c r="H43" s="580">
        <f>G43+'[1]20'!H43</f>
        <v>47449.689999999944</v>
      </c>
      <c r="I43" s="575"/>
      <c r="J43" s="673">
        <f>H43/DAY(B2)</f>
        <v>2259.5090476190448</v>
      </c>
      <c r="K43" s="508">
        <v>1595.679999999993</v>
      </c>
      <c r="L43" s="405">
        <f t="shared" si="5"/>
        <v>484.32000000000698</v>
      </c>
      <c r="N43" s="410"/>
      <c r="O43" s="410"/>
    </row>
    <row r="44" spans="1:15" x14ac:dyDescent="0.4">
      <c r="A44" s="699" t="s">
        <v>200</v>
      </c>
      <c r="B44" s="700"/>
      <c r="C44" s="700"/>
      <c r="D44" s="643" t="s">
        <v>159</v>
      </c>
      <c r="E44" s="630">
        <f>'[1]20'!F44</f>
        <v>0</v>
      </c>
      <c r="F44" s="630">
        <v>0</v>
      </c>
      <c r="G44" s="593">
        <f t="shared" si="4"/>
        <v>0</v>
      </c>
      <c r="H44" s="580">
        <f>G44+'[1]20'!H44</f>
        <v>0</v>
      </c>
      <c r="I44" s="575"/>
      <c r="J44" s="673">
        <f>H44/DAY(B2)</f>
        <v>0</v>
      </c>
      <c r="K44" s="508">
        <v>0</v>
      </c>
      <c r="L44" s="405">
        <f t="shared" si="5"/>
        <v>0</v>
      </c>
      <c r="N44" s="410"/>
      <c r="O44" s="410"/>
    </row>
    <row r="45" spans="1:15" x14ac:dyDescent="0.4">
      <c r="A45" s="699" t="s">
        <v>201</v>
      </c>
      <c r="B45" s="700"/>
      <c r="C45" s="700"/>
      <c r="D45" s="643" t="s">
        <v>159</v>
      </c>
      <c r="E45" s="630">
        <f>'[1]20'!F45</f>
        <v>614</v>
      </c>
      <c r="F45" s="630">
        <v>614</v>
      </c>
      <c r="G45" s="593">
        <f t="shared" si="4"/>
        <v>0</v>
      </c>
      <c r="H45" s="580">
        <f>G45+'[1]20'!H45</f>
        <v>-0.48000000000001819</v>
      </c>
      <c r="I45" s="575"/>
      <c r="J45" s="673">
        <f>H45/DAY(B2)</f>
        <v>-2.2857142857143724E-2</v>
      </c>
      <c r="K45" s="508">
        <v>0</v>
      </c>
      <c r="L45" s="405">
        <f t="shared" si="5"/>
        <v>0</v>
      </c>
      <c r="N45" s="410"/>
      <c r="O45" s="410"/>
    </row>
    <row r="46" spans="1:15" x14ac:dyDescent="0.4">
      <c r="A46" s="699" t="s">
        <v>202</v>
      </c>
      <c r="B46" s="700"/>
      <c r="C46" s="700"/>
      <c r="D46" s="643" t="s">
        <v>159</v>
      </c>
      <c r="E46" s="630">
        <f>'[1]20'!F46</f>
        <v>187.44</v>
      </c>
      <c r="F46" s="630">
        <v>187.44</v>
      </c>
      <c r="G46" s="593">
        <f t="shared" si="4"/>
        <v>0</v>
      </c>
      <c r="H46" s="580">
        <f>G46+'[1]20'!H46</f>
        <v>-5.0000000000011369E-2</v>
      </c>
      <c r="I46" s="575"/>
      <c r="J46" s="673">
        <f>H46/DAY(B2)</f>
        <v>-2.3809523809529224E-3</v>
      </c>
      <c r="K46" s="508">
        <v>5.0000000000011369E-2</v>
      </c>
      <c r="L46" s="405">
        <f t="shared" si="5"/>
        <v>-5.0000000000011369E-2</v>
      </c>
      <c r="N46" s="410"/>
      <c r="O46" s="410"/>
    </row>
    <row r="47" spans="1:15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2825.3800000000047</v>
      </c>
      <c r="H47" s="580">
        <f>G47+'[1]20'!H47</f>
        <v>124236.80999999992</v>
      </c>
      <c r="I47" s="575"/>
      <c r="J47" s="673">
        <f>H47/DAY(B2)</f>
        <v>5916.0385714285676</v>
      </c>
      <c r="K47" s="508">
        <v>10172.060000000001</v>
      </c>
      <c r="L47" s="405">
        <f t="shared" si="5"/>
        <v>-7346.6799999999967</v>
      </c>
      <c r="N47" s="410"/>
      <c r="O47" s="410"/>
    </row>
    <row r="48" spans="1:15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>
        <f t="shared" si="5"/>
        <v>0</v>
      </c>
      <c r="N48" s="410"/>
      <c r="O48" s="410"/>
    </row>
    <row r="49" spans="1:15" x14ac:dyDescent="0.4">
      <c r="A49" s="699" t="s">
        <v>191</v>
      </c>
      <c r="B49" s="722"/>
      <c r="C49" s="722"/>
      <c r="D49" s="643" t="s">
        <v>159</v>
      </c>
      <c r="E49" s="630">
        <f>'[1]20'!F49</f>
        <v>117846</v>
      </c>
      <c r="F49" s="630">
        <v>120545</v>
      </c>
      <c r="G49" s="593">
        <f t="shared" ref="G49:G58" si="6">F49-E49</f>
        <v>2699</v>
      </c>
      <c r="H49" s="580">
        <f>G49+'[1]20'!H49</f>
        <v>55935.483</v>
      </c>
      <c r="I49" s="575"/>
      <c r="J49" s="673">
        <f>H49/DAY(B2)</f>
        <v>2663.5944285714286</v>
      </c>
      <c r="K49" s="508">
        <v>0</v>
      </c>
      <c r="L49" s="405">
        <f t="shared" si="5"/>
        <v>2699</v>
      </c>
      <c r="N49" s="410"/>
      <c r="O49" s="410"/>
    </row>
    <row r="50" spans="1:15" x14ac:dyDescent="0.4">
      <c r="A50" s="699" t="s">
        <v>205</v>
      </c>
      <c r="B50" s="722"/>
      <c r="C50" s="722"/>
      <c r="D50" s="643" t="s">
        <v>159</v>
      </c>
      <c r="E50" s="630">
        <f>'[1]20'!F50</f>
        <v>321760</v>
      </c>
      <c r="F50" s="630">
        <v>323283</v>
      </c>
      <c r="G50" s="593">
        <f>F50-E50</f>
        <v>1523</v>
      </c>
      <c r="H50" s="580">
        <f>G50+'[1]20'!H50</f>
        <v>25873.469999999972</v>
      </c>
      <c r="I50" s="575"/>
      <c r="J50" s="673">
        <f>H50/DAY(B2)</f>
        <v>1232.0699999999986</v>
      </c>
      <c r="K50" s="508">
        <v>700.86999999999534</v>
      </c>
      <c r="L50" s="405">
        <f t="shared" si="5"/>
        <v>822.13000000000466</v>
      </c>
      <c r="N50" s="410"/>
      <c r="O50" s="410"/>
    </row>
    <row r="51" spans="1:15" x14ac:dyDescent="0.4">
      <c r="A51" s="699" t="s">
        <v>193</v>
      </c>
      <c r="B51" s="722"/>
      <c r="C51" s="722"/>
      <c r="D51" s="643" t="s">
        <v>159</v>
      </c>
      <c r="E51" s="630">
        <f>'[1]20'!F51</f>
        <v>48734</v>
      </c>
      <c r="F51" s="630">
        <v>50155</v>
      </c>
      <c r="G51" s="593">
        <f t="shared" si="6"/>
        <v>1421</v>
      </c>
      <c r="H51" s="580">
        <f>G51+'[1]20'!H51</f>
        <v>29288.032999999999</v>
      </c>
      <c r="I51" s="575"/>
      <c r="J51" s="673">
        <f>H51/DAY(B2)</f>
        <v>1394.6682380952382</v>
      </c>
      <c r="K51" s="508">
        <v>0</v>
      </c>
      <c r="L51" s="405">
        <f t="shared" si="5"/>
        <v>1421</v>
      </c>
      <c r="N51" s="410"/>
      <c r="O51" s="410"/>
    </row>
    <row r="52" spans="1:15" x14ac:dyDescent="0.4">
      <c r="A52" s="699" t="s">
        <v>206</v>
      </c>
      <c r="B52" s="722"/>
      <c r="C52" s="722"/>
      <c r="D52" s="643" t="s">
        <v>159</v>
      </c>
      <c r="E52" s="630">
        <f>'[1]20'!F52</f>
        <v>410983</v>
      </c>
      <c r="F52" s="630">
        <v>412823</v>
      </c>
      <c r="G52" s="593">
        <f t="shared" si="6"/>
        <v>1840</v>
      </c>
      <c r="H52" s="580">
        <f>G52+'[1]20'!H52</f>
        <v>39467.209999999963</v>
      </c>
      <c r="I52" s="575"/>
      <c r="J52" s="673">
        <f>H52/DAY(B2)</f>
        <v>1879.3909523809507</v>
      </c>
      <c r="K52" s="508">
        <v>985.97999999998137</v>
      </c>
      <c r="L52" s="405">
        <f t="shared" si="5"/>
        <v>854.02000000001863</v>
      </c>
      <c r="N52" s="410"/>
      <c r="O52" s="857"/>
    </row>
    <row r="53" spans="1:15" x14ac:dyDescent="0.4">
      <c r="A53" s="699" t="s">
        <v>195</v>
      </c>
      <c r="B53" s="722"/>
      <c r="C53" s="722"/>
      <c r="D53" s="643" t="s">
        <v>159</v>
      </c>
      <c r="E53" s="630">
        <f>'[1]20'!F53</f>
        <v>130100</v>
      </c>
      <c r="F53" s="630">
        <v>134496</v>
      </c>
      <c r="G53" s="593">
        <f t="shared" si="6"/>
        <v>4396</v>
      </c>
      <c r="H53" s="580">
        <f>G53+'[1]20'!H53</f>
        <v>84753.892999999996</v>
      </c>
      <c r="I53" s="575"/>
      <c r="J53" s="673">
        <f>H53/DAY(B2)</f>
        <v>4035.8996666666667</v>
      </c>
      <c r="K53" s="508">
        <v>107.60000000000036</v>
      </c>
      <c r="L53" s="405">
        <f t="shared" si="5"/>
        <v>4288.3999999999996</v>
      </c>
      <c r="N53" s="410"/>
      <c r="O53" s="410"/>
    </row>
    <row r="54" spans="1:15" x14ac:dyDescent="0.4">
      <c r="A54" s="699" t="s">
        <v>207</v>
      </c>
      <c r="B54" s="722"/>
      <c r="C54" s="722"/>
      <c r="D54" s="643" t="s">
        <v>159</v>
      </c>
      <c r="E54" s="630">
        <f>'[1]20'!F54</f>
        <v>3869</v>
      </c>
      <c r="F54" s="630">
        <v>3869</v>
      </c>
      <c r="G54" s="593">
        <f t="shared" si="6"/>
        <v>0</v>
      </c>
      <c r="H54" s="580">
        <f>G54+'[1]20'!H54</f>
        <v>990.38999999999987</v>
      </c>
      <c r="I54" s="575"/>
      <c r="J54" s="673">
        <f>H54/DAY(B2)</f>
        <v>47.161428571428566</v>
      </c>
      <c r="K54" s="508">
        <v>0</v>
      </c>
      <c r="L54" s="405">
        <f t="shared" si="5"/>
        <v>0</v>
      </c>
      <c r="N54" s="410"/>
      <c r="O54" s="410"/>
    </row>
    <row r="55" spans="1:15" x14ac:dyDescent="0.4">
      <c r="A55" s="699" t="s">
        <v>208</v>
      </c>
      <c r="B55" s="722"/>
      <c r="C55" s="722"/>
      <c r="D55" s="643" t="s">
        <v>159</v>
      </c>
      <c r="E55" s="630">
        <f>'[1]20'!F55</f>
        <v>158492.73000000001</v>
      </c>
      <c r="F55" s="630">
        <v>158492.73000000001</v>
      </c>
      <c r="G55" s="593">
        <f t="shared" si="6"/>
        <v>0</v>
      </c>
      <c r="H55" s="580">
        <f>G55+'[1]20'!H55</f>
        <v>-0.26999999998952262</v>
      </c>
      <c r="I55" s="575"/>
      <c r="J55" s="673">
        <f>H55/DAY(B2)</f>
        <v>-1.2857142856643935E-2</v>
      </c>
      <c r="K55" s="508">
        <v>0</v>
      </c>
      <c r="L55" s="405">
        <f t="shared" si="5"/>
        <v>0</v>
      </c>
      <c r="N55" s="410"/>
      <c r="O55" s="410"/>
    </row>
    <row r="56" spans="1:15" x14ac:dyDescent="0.4">
      <c r="A56" s="699" t="s">
        <v>209</v>
      </c>
      <c r="B56" s="722"/>
      <c r="C56" s="722"/>
      <c r="D56" s="643" t="s">
        <v>210</v>
      </c>
      <c r="E56" s="630">
        <f>'[1]20'!F56</f>
        <v>470147</v>
      </c>
      <c r="F56" s="630">
        <v>473718</v>
      </c>
      <c r="G56" s="593">
        <f t="shared" si="6"/>
        <v>3571</v>
      </c>
      <c r="H56" s="580">
        <f>G56+'[1]20'!H56</f>
        <v>37876.969999999972</v>
      </c>
      <c r="I56" s="575"/>
      <c r="J56" s="673">
        <f>H56/DAY(B2)</f>
        <v>1803.6652380952369</v>
      </c>
      <c r="K56" s="507">
        <v>0</v>
      </c>
      <c r="L56" s="405">
        <f t="shared" si="5"/>
        <v>3571</v>
      </c>
      <c r="N56" s="410"/>
      <c r="O56" s="410"/>
    </row>
    <row r="57" spans="1:15" x14ac:dyDescent="0.4">
      <c r="A57" s="699" t="s">
        <v>199</v>
      </c>
      <c r="B57" s="722"/>
      <c r="C57" s="722"/>
      <c r="D57" s="643" t="s">
        <v>159</v>
      </c>
      <c r="E57" s="630">
        <f>'[1]20'!F57</f>
        <v>0</v>
      </c>
      <c r="F57" s="630">
        <v>0</v>
      </c>
      <c r="G57" s="593">
        <f t="shared" si="6"/>
        <v>0</v>
      </c>
      <c r="H57" s="580">
        <f>G57+'[1]20'!H57</f>
        <v>0</v>
      </c>
      <c r="I57" s="575"/>
      <c r="J57" s="673">
        <f>H57/DAY(B2)</f>
        <v>0</v>
      </c>
      <c r="K57" s="508">
        <v>0</v>
      </c>
      <c r="L57" s="405">
        <f t="shared" si="5"/>
        <v>0</v>
      </c>
      <c r="N57" s="410"/>
      <c r="O57" s="410"/>
    </row>
    <row r="58" spans="1:15" x14ac:dyDescent="0.4">
      <c r="A58" s="699" t="s">
        <v>211</v>
      </c>
      <c r="B58" s="722"/>
      <c r="C58" s="722"/>
      <c r="D58" s="643" t="s">
        <v>159</v>
      </c>
      <c r="E58" s="630">
        <f>'[1]20'!F58</f>
        <v>22766</v>
      </c>
      <c r="F58" s="630">
        <v>23007</v>
      </c>
      <c r="G58" s="593">
        <f t="shared" si="6"/>
        <v>241</v>
      </c>
      <c r="H58" s="580">
        <f>G58+'[1]20'!H58</f>
        <v>2613.9670000000006</v>
      </c>
      <c r="I58" s="575"/>
      <c r="J58" s="673">
        <f>H58/DAY(B2)</f>
        <v>124.47461904761907</v>
      </c>
      <c r="K58" s="508">
        <v>0</v>
      </c>
      <c r="L58" s="405">
        <f t="shared" si="5"/>
        <v>241</v>
      </c>
      <c r="N58" s="410"/>
      <c r="O58" s="410"/>
    </row>
    <row r="59" spans="1:15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15691</v>
      </c>
      <c r="H59" s="580">
        <f>G59+'[1]20'!H59</f>
        <v>276799.14599999989</v>
      </c>
      <c r="I59" s="575">
        <f>G7-G60</f>
        <v>459.61999999999534</v>
      </c>
      <c r="J59" s="673">
        <f>H59/DAY(B2)</f>
        <v>13180.911714285709</v>
      </c>
      <c r="K59" s="508">
        <v>1794.4499999999771</v>
      </c>
      <c r="L59" s="405">
        <f t="shared" si="5"/>
        <v>13896.550000000023</v>
      </c>
      <c r="N59" s="410"/>
      <c r="O59" s="410"/>
    </row>
    <row r="60" spans="1:15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18516.380000000005</v>
      </c>
      <c r="H60" s="580">
        <f>G60+'[1]20'!H60</f>
        <v>414579.62599999993</v>
      </c>
      <c r="I60" s="575">
        <f>G13-G60</f>
        <v>-250.38000000000466</v>
      </c>
      <c r="J60" s="673">
        <f>H60/DAY(B2)</f>
        <v>19741.886952380948</v>
      </c>
      <c r="K60" s="508">
        <v>11966.509999999978</v>
      </c>
      <c r="L60" s="405">
        <f t="shared" si="5"/>
        <v>6549.8700000000263</v>
      </c>
      <c r="N60" s="410"/>
      <c r="O60" s="410"/>
    </row>
    <row r="61" spans="1:15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410"/>
      <c r="O61" s="410"/>
    </row>
    <row r="62" spans="1:15" x14ac:dyDescent="0.4">
      <c r="A62" s="724" t="s">
        <v>121</v>
      </c>
      <c r="B62" s="725"/>
      <c r="C62" s="725"/>
      <c r="D62" s="631" t="s">
        <v>214</v>
      </c>
      <c r="E62" s="634">
        <f>'[1]20'!F62</f>
        <v>20419.2</v>
      </c>
      <c r="F62" s="634">
        <v>20419.2</v>
      </c>
      <c r="G62" s="593">
        <f t="shared" ref="G62:G69" si="7">F62-E62</f>
        <v>0</v>
      </c>
      <c r="H62" s="580">
        <f>G62+'[1]20'!H62</f>
        <v>2.0000000000436557E-2</v>
      </c>
      <c r="I62" s="635"/>
      <c r="J62" s="673">
        <f>H62/DAY(B2)</f>
        <v>9.5238095240174087E-4</v>
      </c>
      <c r="K62" s="508"/>
      <c r="L62" s="405"/>
      <c r="N62" s="410"/>
      <c r="O62" s="410"/>
    </row>
    <row r="63" spans="1:15" x14ac:dyDescent="0.4">
      <c r="A63" s="724" t="s">
        <v>215</v>
      </c>
      <c r="B63" s="725"/>
      <c r="C63" s="725"/>
      <c r="D63" s="631" t="s">
        <v>214</v>
      </c>
      <c r="E63" s="634">
        <f>'[1]20'!F63</f>
        <v>1063</v>
      </c>
      <c r="F63" s="634">
        <v>1068</v>
      </c>
      <c r="G63" s="593">
        <f t="shared" si="7"/>
        <v>5</v>
      </c>
      <c r="H63" s="580">
        <f>G63+'[1]20'!H63</f>
        <v>211.63</v>
      </c>
      <c r="I63" s="635"/>
      <c r="J63" s="673">
        <f>H63/DAY(B2)</f>
        <v>10.077619047619047</v>
      </c>
      <c r="K63" s="508"/>
      <c r="L63" s="405"/>
      <c r="N63" s="410"/>
      <c r="O63" s="410"/>
    </row>
    <row r="64" spans="1:15" ht="27.75" x14ac:dyDescent="0.5">
      <c r="A64" s="1395" t="s">
        <v>122</v>
      </c>
      <c r="B64" s="1396"/>
      <c r="C64" s="1397"/>
      <c r="D64" s="643" t="s">
        <v>214</v>
      </c>
      <c r="E64" s="604">
        <f>'[1]20'!F64</f>
        <v>94056</v>
      </c>
      <c r="F64" s="604">
        <v>94451</v>
      </c>
      <c r="G64" s="593">
        <f t="shared" si="7"/>
        <v>395</v>
      </c>
      <c r="H64" s="580">
        <f>G64+'[1]20'!H64</f>
        <v>7711.9049999999988</v>
      </c>
      <c r="I64" s="600"/>
      <c r="J64" s="673">
        <f>H64/DAY(B2)</f>
        <v>367.23357142857139</v>
      </c>
      <c r="K64" s="508"/>
      <c r="L64" s="405"/>
      <c r="N64" s="410"/>
      <c r="O64" s="410"/>
    </row>
    <row r="65" spans="1:15" ht="27.75" x14ac:dyDescent="0.5">
      <c r="A65" s="1395" t="s">
        <v>123</v>
      </c>
      <c r="B65" s="1396"/>
      <c r="C65" s="1397"/>
      <c r="D65" s="643" t="s">
        <v>214</v>
      </c>
      <c r="E65" s="604">
        <f>'[1]20'!F65</f>
        <v>104578</v>
      </c>
      <c r="F65" s="604">
        <v>104958</v>
      </c>
      <c r="G65" s="593">
        <f t="shared" si="7"/>
        <v>380</v>
      </c>
      <c r="H65" s="580">
        <f>G65+'[1]20'!H65</f>
        <v>8322.0170000000071</v>
      </c>
      <c r="I65" s="609"/>
      <c r="J65" s="673">
        <f>H65/DAY(B2)</f>
        <v>396.28652380952417</v>
      </c>
      <c r="K65" s="508"/>
      <c r="L65" s="405"/>
      <c r="N65" s="410"/>
      <c r="O65" s="410"/>
    </row>
    <row r="66" spans="1:15" ht="27.75" x14ac:dyDescent="0.5">
      <c r="A66" s="1395" t="s">
        <v>124</v>
      </c>
      <c r="B66" s="1396"/>
      <c r="C66" s="1397"/>
      <c r="D66" s="643" t="s">
        <v>214</v>
      </c>
      <c r="E66" s="604">
        <f>'[1]20'!F66</f>
        <v>98005</v>
      </c>
      <c r="F66" s="604">
        <v>98413</v>
      </c>
      <c r="G66" s="593">
        <f t="shared" si="7"/>
        <v>408</v>
      </c>
      <c r="H66" s="580">
        <f>G66+'[1]20'!H66</f>
        <v>8408.1530000000057</v>
      </c>
      <c r="I66" s="600"/>
      <c r="J66" s="673">
        <f>H66/DAY(B2)</f>
        <v>400.38823809523836</v>
      </c>
      <c r="K66" s="508"/>
      <c r="L66" s="405"/>
      <c r="N66" s="410"/>
      <c r="O66" s="410"/>
    </row>
    <row r="67" spans="1:15" ht="27.75" x14ac:dyDescent="0.5">
      <c r="A67" s="1395" t="s">
        <v>125</v>
      </c>
      <c r="B67" s="1396"/>
      <c r="C67" s="1397"/>
      <c r="D67" s="643" t="s">
        <v>214</v>
      </c>
      <c r="E67" s="604">
        <f>'[1]20'!F67</f>
        <v>160500</v>
      </c>
      <c r="F67" s="604">
        <v>161358</v>
      </c>
      <c r="G67" s="593">
        <f t="shared" si="7"/>
        <v>858</v>
      </c>
      <c r="H67" s="580">
        <f>G67+'[1]20'!H67</f>
        <v>15315.950000000012</v>
      </c>
      <c r="I67" s="609"/>
      <c r="J67" s="673">
        <f>H67/DAY(B2)</f>
        <v>729.33095238095291</v>
      </c>
      <c r="K67" s="509"/>
      <c r="L67" s="405"/>
      <c r="N67" s="410"/>
      <c r="O67" s="410"/>
    </row>
    <row r="68" spans="1:15" ht="27.75" x14ac:dyDescent="0.5">
      <c r="A68" s="1395" t="s">
        <v>126</v>
      </c>
      <c r="B68" s="1396"/>
      <c r="C68" s="1397"/>
      <c r="D68" s="643" t="s">
        <v>214</v>
      </c>
      <c r="E68" s="604">
        <f>'[1]20'!F68</f>
        <v>50248</v>
      </c>
      <c r="F68" s="604">
        <v>50564</v>
      </c>
      <c r="G68" s="593">
        <f t="shared" si="7"/>
        <v>316</v>
      </c>
      <c r="H68" s="580">
        <f>G68+'[1]20'!H68</f>
        <v>7388.9210000000021</v>
      </c>
      <c r="I68" s="636"/>
      <c r="J68" s="673">
        <f>H68/DAY(B2)</f>
        <v>351.85338095238103</v>
      </c>
      <c r="K68" s="510"/>
      <c r="L68" s="405"/>
      <c r="N68" s="410"/>
      <c r="O68" s="410"/>
    </row>
    <row r="69" spans="1:15" ht="27.75" x14ac:dyDescent="0.5">
      <c r="A69" s="1395" t="s">
        <v>127</v>
      </c>
      <c r="B69" s="1396"/>
      <c r="C69" s="1397"/>
      <c r="D69" s="643" t="s">
        <v>214</v>
      </c>
      <c r="E69" s="604">
        <f>'[1]20'!F69</f>
        <v>43386</v>
      </c>
      <c r="F69" s="604">
        <v>43668</v>
      </c>
      <c r="G69" s="593">
        <f t="shared" si="7"/>
        <v>282</v>
      </c>
      <c r="H69" s="580">
        <f>G69+'[1]20'!H69</f>
        <v>6112.4329999999973</v>
      </c>
      <c r="I69" s="636"/>
      <c r="J69" s="673">
        <f>H69/DAY(B2)</f>
        <v>291.06823809523797</v>
      </c>
      <c r="K69" s="511"/>
      <c r="L69" s="405"/>
      <c r="N69" s="410"/>
      <c r="O69" s="410"/>
    </row>
    <row r="70" spans="1:15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>
        <f>G70+'[1]20'!H70</f>
        <v>0</v>
      </c>
      <c r="I70" s="638"/>
      <c r="J70" s="677"/>
      <c r="K70" s="511"/>
      <c r="L70" s="405"/>
      <c r="N70" s="410"/>
      <c r="O70" s="410"/>
    </row>
    <row r="71" spans="1:15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410"/>
      <c r="O71" s="410"/>
    </row>
    <row r="72" spans="1:15" ht="27.75" x14ac:dyDescent="0.5">
      <c r="A72" s="1395" t="s">
        <v>218</v>
      </c>
      <c r="B72" s="1396"/>
      <c r="C72" s="1397"/>
      <c r="D72" s="643" t="s">
        <v>214</v>
      </c>
      <c r="E72" s="639">
        <f>'[1]20'!F72</f>
        <v>845458</v>
      </c>
      <c r="F72" s="639">
        <v>845520</v>
      </c>
      <c r="G72" s="593">
        <f t="shared" ref="G72:G84" si="8">F72-E72</f>
        <v>62</v>
      </c>
      <c r="H72" s="580">
        <f>G72+'[1]20'!H72</f>
        <v>1258</v>
      </c>
      <c r="I72" s="600"/>
      <c r="J72" s="673">
        <f>H72/DAY(B2)</f>
        <v>59.904761904761905</v>
      </c>
      <c r="K72" s="511"/>
      <c r="L72" s="405"/>
      <c r="N72" s="410"/>
      <c r="O72" s="410"/>
    </row>
    <row r="73" spans="1:15" ht="27.75" x14ac:dyDescent="0.5">
      <c r="A73" s="1395" t="s">
        <v>219</v>
      </c>
      <c r="B73" s="1396"/>
      <c r="C73" s="1397"/>
      <c r="D73" s="643" t="s">
        <v>214</v>
      </c>
      <c r="E73" s="640">
        <f>'[1]20'!F73</f>
        <v>885652</v>
      </c>
      <c r="F73" s="640">
        <v>885654</v>
      </c>
      <c r="G73" s="593">
        <f t="shared" si="8"/>
        <v>2</v>
      </c>
      <c r="H73" s="580">
        <f>G73+'[1]20'!H73</f>
        <v>950</v>
      </c>
      <c r="I73" s="600"/>
      <c r="J73" s="673">
        <f>H73/DAY(B2)</f>
        <v>45.238095238095241</v>
      </c>
      <c r="K73" s="510"/>
      <c r="L73" s="405"/>
      <c r="N73" s="410"/>
      <c r="O73" s="410"/>
    </row>
    <row r="74" spans="1:15" ht="27.75" x14ac:dyDescent="0.5">
      <c r="A74" s="1560" t="s">
        <v>220</v>
      </c>
      <c r="B74" s="1561"/>
      <c r="C74" s="1562"/>
      <c r="D74" s="643" t="s">
        <v>214</v>
      </c>
      <c r="E74" s="641">
        <f>'[1]20'!F74</f>
        <v>880863</v>
      </c>
      <c r="F74" s="641">
        <v>880903</v>
      </c>
      <c r="G74" s="593">
        <f t="shared" si="8"/>
        <v>40</v>
      </c>
      <c r="H74" s="580">
        <f>G74+'[1]20'!H74</f>
        <v>676</v>
      </c>
      <c r="I74" s="600"/>
      <c r="J74" s="673">
        <f>H74/DAY(B2)</f>
        <v>32.19047619047619</v>
      </c>
      <c r="K74" s="511"/>
      <c r="L74" s="405"/>
      <c r="N74" s="410"/>
      <c r="O74" s="410"/>
    </row>
    <row r="75" spans="1:15" ht="27.75" x14ac:dyDescent="0.5">
      <c r="A75" s="1447" t="s">
        <v>221</v>
      </c>
      <c r="B75" s="1448"/>
      <c r="C75" s="1449"/>
      <c r="D75" s="643" t="s">
        <v>214</v>
      </c>
      <c r="E75" s="641">
        <f>'[1]20'!F75</f>
        <v>729728</v>
      </c>
      <c r="F75" s="641">
        <v>729900</v>
      </c>
      <c r="G75" s="593">
        <f t="shared" si="8"/>
        <v>172</v>
      </c>
      <c r="H75" s="580">
        <f>G75+'[1]20'!H75</f>
        <v>3720</v>
      </c>
      <c r="I75" s="600"/>
      <c r="J75" s="673">
        <f>H75/DAY(B2)</f>
        <v>177.14285714285714</v>
      </c>
      <c r="K75" s="510"/>
      <c r="L75" s="405"/>
      <c r="N75" s="410"/>
      <c r="O75" s="410"/>
    </row>
    <row r="76" spans="1:15" ht="27.75" x14ac:dyDescent="0.5">
      <c r="A76" s="1447" t="s">
        <v>222</v>
      </c>
      <c r="B76" s="1448"/>
      <c r="C76" s="1449"/>
      <c r="D76" s="643" t="s">
        <v>214</v>
      </c>
      <c r="E76" s="640">
        <f>'[1]20'!F76</f>
        <v>683336</v>
      </c>
      <c r="F76" s="772">
        <v>683430</v>
      </c>
      <c r="G76" s="593">
        <f t="shared" si="8"/>
        <v>94</v>
      </c>
      <c r="H76" s="580">
        <f>G76+'[1]20'!H76</f>
        <v>3060</v>
      </c>
      <c r="I76" s="625"/>
      <c r="J76" s="673">
        <f>H76/DAY(B2)</f>
        <v>145.71428571428572</v>
      </c>
      <c r="K76" s="510"/>
      <c r="L76" s="405"/>
      <c r="N76" s="410"/>
      <c r="O76" s="410"/>
    </row>
    <row r="77" spans="1:15" ht="27.75" x14ac:dyDescent="0.5">
      <c r="A77" s="1395" t="s">
        <v>223</v>
      </c>
      <c r="B77" s="1396"/>
      <c r="C77" s="1397"/>
      <c r="D77" s="643" t="s">
        <v>214</v>
      </c>
      <c r="E77" s="641">
        <f>'[1]20'!F77</f>
        <v>694789</v>
      </c>
      <c r="F77" s="641">
        <v>694843</v>
      </c>
      <c r="G77" s="593">
        <f t="shared" si="8"/>
        <v>54</v>
      </c>
      <c r="H77" s="580">
        <f>G77+'[1]20'!H77</f>
        <v>1123</v>
      </c>
      <c r="I77" s="625"/>
      <c r="J77" s="673">
        <f>H77/DAY(B2)</f>
        <v>53.476190476190474</v>
      </c>
      <c r="K77" s="510"/>
      <c r="L77" s="405"/>
      <c r="N77" s="410"/>
      <c r="O77" s="410"/>
    </row>
    <row r="78" spans="1:15" ht="27.75" x14ac:dyDescent="0.5">
      <c r="A78" s="1357" t="s">
        <v>224</v>
      </c>
      <c r="B78" s="1320"/>
      <c r="C78" s="1320"/>
      <c r="D78" s="643" t="s">
        <v>214</v>
      </c>
      <c r="E78" s="641">
        <f>'[1]20'!F78</f>
        <v>626508</v>
      </c>
      <c r="F78" s="641">
        <v>626957</v>
      </c>
      <c r="G78" s="593">
        <f t="shared" si="8"/>
        <v>449</v>
      </c>
      <c r="H78" s="580">
        <f>G78+'[1]20'!H78</f>
        <v>8704</v>
      </c>
      <c r="I78" s="625"/>
      <c r="J78" s="673">
        <f>H78/DAY(B2)</f>
        <v>414.47619047619048</v>
      </c>
      <c r="K78" s="510"/>
      <c r="L78" s="405"/>
      <c r="N78" s="410"/>
      <c r="O78" s="410"/>
    </row>
    <row r="79" spans="1:15" ht="27.75" x14ac:dyDescent="0.5">
      <c r="A79" s="1447" t="s">
        <v>143</v>
      </c>
      <c r="B79" s="1448"/>
      <c r="C79" s="1449"/>
      <c r="D79" s="644" t="s">
        <v>214</v>
      </c>
      <c r="E79" s="641">
        <f>'[1]20'!F79</f>
        <v>801815</v>
      </c>
      <c r="F79" s="641">
        <v>802000</v>
      </c>
      <c r="G79" s="593">
        <f t="shared" si="8"/>
        <v>185</v>
      </c>
      <c r="H79" s="580">
        <f>G79+'[1]20'!H79</f>
        <v>6748</v>
      </c>
      <c r="I79" s="625"/>
      <c r="J79" s="673">
        <f>H79/DAY(B2)</f>
        <v>321.33333333333331</v>
      </c>
      <c r="K79" s="510"/>
      <c r="L79" s="405"/>
      <c r="N79" s="410"/>
      <c r="O79" s="410"/>
    </row>
    <row r="80" spans="1:15" ht="27.75" x14ac:dyDescent="0.5">
      <c r="A80" s="1447" t="s">
        <v>225</v>
      </c>
      <c r="B80" s="1448"/>
      <c r="C80" s="1449"/>
      <c r="D80" s="644" t="s">
        <v>214</v>
      </c>
      <c r="E80" s="640">
        <f>'[1]20'!F80</f>
        <v>472052</v>
      </c>
      <c r="F80" s="640">
        <v>472376</v>
      </c>
      <c r="G80" s="593">
        <f t="shared" si="8"/>
        <v>324</v>
      </c>
      <c r="H80" s="580">
        <f>G80+'[1]20'!H80</f>
        <v>5052.1599999999744</v>
      </c>
      <c r="I80" s="625"/>
      <c r="J80" s="673">
        <f>H80/DAY(B2)</f>
        <v>240.57904761904641</v>
      </c>
      <c r="K80" s="510"/>
      <c r="L80" s="405"/>
      <c r="N80" s="410"/>
      <c r="O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'[1]20'!F81</f>
        <v>617605</v>
      </c>
      <c r="F81" s="640">
        <v>617783</v>
      </c>
      <c r="G81" s="593">
        <f t="shared" si="8"/>
        <v>178</v>
      </c>
      <c r="H81" s="580">
        <f>G81+'[1]20'!H81</f>
        <v>3394.4799999999814</v>
      </c>
      <c r="I81" s="625"/>
      <c r="J81" s="673">
        <f>H81/DAY(B2)</f>
        <v>161.64190476190387</v>
      </c>
      <c r="K81" s="510"/>
      <c r="L81" s="405"/>
      <c r="N81" s="410"/>
      <c r="O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2">
        <f>'[1]20'!F82</f>
        <v>104191</v>
      </c>
      <c r="F82" s="642">
        <v>104215</v>
      </c>
      <c r="G82" s="593">
        <f t="shared" si="8"/>
        <v>24</v>
      </c>
      <c r="H82" s="580">
        <f>G82+'[1]20'!H82</f>
        <v>685.35000000000582</v>
      </c>
      <c r="I82" s="606"/>
      <c r="J82" s="673">
        <f>H82/DAY(B2)</f>
        <v>32.635714285714563</v>
      </c>
      <c r="K82" s="510"/>
      <c r="L82" s="405"/>
      <c r="N82" s="410"/>
      <c r="O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1">
        <f>'[1]20'!F83</f>
        <v>969670</v>
      </c>
      <c r="F83" s="631">
        <v>970027</v>
      </c>
      <c r="G83" s="593">
        <f t="shared" si="8"/>
        <v>357</v>
      </c>
      <c r="H83" s="580">
        <f>G83+'[1]20'!H83</f>
        <v>7502</v>
      </c>
      <c r="I83" s="601"/>
      <c r="J83" s="673">
        <f>H83/DAY(B2)</f>
        <v>357.23809523809524</v>
      </c>
      <c r="K83" s="509"/>
      <c r="L83" s="405"/>
      <c r="N83" s="410"/>
      <c r="O83" s="857"/>
    </row>
    <row r="84" spans="1:15" x14ac:dyDescent="0.5">
      <c r="A84" s="1360" t="s">
        <v>228</v>
      </c>
      <c r="B84" s="692"/>
      <c r="C84" s="692"/>
      <c r="D84" s="598" t="s">
        <v>159</v>
      </c>
      <c r="E84" s="748">
        <f>'[1]20'!F84</f>
        <v>391985</v>
      </c>
      <c r="F84" s="748">
        <v>392489</v>
      </c>
      <c r="G84" s="593">
        <f t="shared" si="8"/>
        <v>504</v>
      </c>
      <c r="H84" s="580">
        <f>G84+'[1]20'!H84</f>
        <v>11133</v>
      </c>
      <c r="I84" s="601"/>
      <c r="J84" s="673">
        <f>H84/DAY(B2)</f>
        <v>530.14285714285711</v>
      </c>
      <c r="K84" s="408"/>
      <c r="L84" s="405"/>
      <c r="N84" s="410"/>
      <c r="O84" s="410"/>
    </row>
    <row r="85" spans="1:15" s="407" customFormat="1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SUM(G72:G84)</f>
        <v>2445</v>
      </c>
      <c r="H85" s="580">
        <f>G85+'[1]20'!H85</f>
        <v>49449.519999999931</v>
      </c>
      <c r="I85" s="601"/>
      <c r="J85" s="673">
        <f>H85/DAY(B2)</f>
        <v>2354.7390476190444</v>
      </c>
      <c r="K85" s="408"/>
      <c r="L85" s="406"/>
      <c r="N85" s="918"/>
      <c r="O85" s="857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64">
        <f>'[1]20'!F86</f>
        <v>443318</v>
      </c>
      <c r="F86" s="764">
        <v>443441</v>
      </c>
      <c r="G86" s="841">
        <f t="shared" ref="G86:G90" si="9">F86-E86</f>
        <v>123</v>
      </c>
      <c r="H86" s="841">
        <f t="shared" ref="H86:H88" si="10">G86</f>
        <v>123</v>
      </c>
      <c r="I86" s="769"/>
      <c r="J86" s="843">
        <f>H86/DAY(B2)</f>
        <v>5.8571428571428568</v>
      </c>
      <c r="K86" s="869"/>
      <c r="L86" s="870"/>
      <c r="N86" s="919"/>
      <c r="O86" s="410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64">
        <f>'[1]20'!F87</f>
        <v>77479</v>
      </c>
      <c r="F87" s="764">
        <v>77511</v>
      </c>
      <c r="G87" s="841">
        <f t="shared" si="9"/>
        <v>32</v>
      </c>
      <c r="H87" s="841">
        <f t="shared" si="10"/>
        <v>32</v>
      </c>
      <c r="I87" s="769"/>
      <c r="J87" s="843">
        <f>H87/DAY(B2)</f>
        <v>1.5238095238095237</v>
      </c>
      <c r="K87" s="869"/>
      <c r="L87" s="870"/>
      <c r="N87" s="919"/>
      <c r="O87" s="410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64">
        <f>'[1]20'!F88</f>
        <v>143869</v>
      </c>
      <c r="F88" s="764">
        <v>143946</v>
      </c>
      <c r="G88" s="841">
        <f t="shared" si="9"/>
        <v>77</v>
      </c>
      <c r="H88" s="841">
        <f t="shared" si="10"/>
        <v>77</v>
      </c>
      <c r="I88" s="769"/>
      <c r="J88" s="843">
        <f>H88/DAY(B2)</f>
        <v>3.6666666666666665</v>
      </c>
      <c r="K88" s="869"/>
      <c r="L88" s="870"/>
      <c r="N88" s="919"/>
      <c r="O88" s="410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64">
        <f>'[1]20'!F89</f>
        <v>56899</v>
      </c>
      <c r="F89" s="764">
        <v>56966</v>
      </c>
      <c r="G89" s="841">
        <f t="shared" si="9"/>
        <v>67</v>
      </c>
      <c r="H89" s="841">
        <f>G89</f>
        <v>67</v>
      </c>
      <c r="I89" s="769"/>
      <c r="J89" s="843">
        <f>H89/DAY(B2)</f>
        <v>3.1904761904761907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64">
        <f>'[1]20'!F90</f>
        <v>2952</v>
      </c>
      <c r="F90" s="764">
        <v>2956</v>
      </c>
      <c r="G90" s="841">
        <f t="shared" si="9"/>
        <v>4</v>
      </c>
      <c r="H90" s="841">
        <f>G90</f>
        <v>4</v>
      </c>
      <c r="I90" s="769"/>
      <c r="J90" s="843">
        <f>H90/DAY(B2)</f>
        <v>0.19047619047619047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918"/>
      <c r="O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'[1]20'!F92</f>
        <v>232951</v>
      </c>
      <c r="F92" s="604">
        <v>233015</v>
      </c>
      <c r="G92" s="593">
        <f t="shared" ref="G92:G93" si="11">F92-E92</f>
        <v>64</v>
      </c>
      <c r="H92" s="580">
        <f>G92+'[1]20'!H92</f>
        <v>2040</v>
      </c>
      <c r="I92" s="600"/>
      <c r="J92" s="673">
        <f>H92/DAY(B2)</f>
        <v>97.142857142857139</v>
      </c>
      <c r="K92" s="509"/>
      <c r="L92" s="405"/>
      <c r="N92" s="410"/>
      <c r="O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'[1]20'!F93</f>
        <v>165485</v>
      </c>
      <c r="F93" s="604">
        <v>165630</v>
      </c>
      <c r="G93" s="593">
        <f t="shared" si="11"/>
        <v>145</v>
      </c>
      <c r="H93" s="580">
        <f>G93+'[1]20'!H93</f>
        <v>2988</v>
      </c>
      <c r="I93" s="600"/>
      <c r="J93" s="673">
        <f>H93/DAY(B2)</f>
        <v>142.28571428571428</v>
      </c>
      <c r="K93" s="408"/>
      <c r="L93" s="405"/>
      <c r="N93" s="410"/>
      <c r="O93" s="410"/>
    </row>
    <row r="94" spans="1:15" x14ac:dyDescent="0.5">
      <c r="A94" s="1392" t="s">
        <v>235</v>
      </c>
      <c r="B94" s="1393"/>
      <c r="C94" s="1394"/>
      <c r="D94" s="643"/>
      <c r="E94" s="604">
        <f>'[1]20'!F94</f>
        <v>0</v>
      </c>
      <c r="F94" s="604"/>
      <c r="G94" s="593">
        <f>G92+G93</f>
        <v>209</v>
      </c>
      <c r="H94" s="580">
        <f>G94+'[1]20'!H94</f>
        <v>4765</v>
      </c>
      <c r="I94" s="600"/>
      <c r="J94" s="673">
        <f>H94/DAY(B2)</f>
        <v>226.9047619047619</v>
      </c>
      <c r="K94" s="408"/>
      <c r="L94" s="405"/>
      <c r="N94" s="410"/>
      <c r="O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'[1]20'!F95</f>
        <v>402874</v>
      </c>
      <c r="F95" s="604">
        <v>402946</v>
      </c>
      <c r="G95" s="593">
        <f t="shared" ref="G95:G100" si="12">F95-E95</f>
        <v>72</v>
      </c>
      <c r="H95" s="580">
        <f>G95+'[1]20'!H95</f>
        <v>1381</v>
      </c>
      <c r="I95" s="600"/>
      <c r="J95" s="673">
        <f>H95/DAY(B2)</f>
        <v>65.761904761904759</v>
      </c>
      <c r="K95" s="408"/>
      <c r="L95" s="405"/>
      <c r="N95" s="410"/>
      <c r="O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'[1]20'!F96</f>
        <v>99667</v>
      </c>
      <c r="F96" s="604">
        <v>99684</v>
      </c>
      <c r="G96" s="593">
        <f t="shared" si="12"/>
        <v>17</v>
      </c>
      <c r="H96" s="580">
        <f>G96+'[1]20'!H96</f>
        <v>573</v>
      </c>
      <c r="I96" s="600"/>
      <c r="J96" s="673">
        <f>H96/DAY(B2)</f>
        <v>27.285714285714285</v>
      </c>
      <c r="K96" s="507"/>
      <c r="L96" s="405"/>
      <c r="N96" s="410"/>
      <c r="O96" s="410"/>
    </row>
    <row r="97" spans="1:15" ht="27.75" x14ac:dyDescent="0.5">
      <c r="A97" s="1354" t="s">
        <v>238</v>
      </c>
      <c r="B97" s="1355"/>
      <c r="C97" s="1355"/>
      <c r="D97" s="643" t="s">
        <v>171</v>
      </c>
      <c r="E97" s="604">
        <f>'[1]20'!F97</f>
        <v>94777</v>
      </c>
      <c r="F97" s="604">
        <v>94795</v>
      </c>
      <c r="G97" s="593">
        <f t="shared" si="12"/>
        <v>18</v>
      </c>
      <c r="H97" s="580">
        <f>G97+'[1]20'!H97</f>
        <v>523</v>
      </c>
      <c r="I97" s="600"/>
      <c r="J97" s="673">
        <f>H97/DAY(B2)</f>
        <v>24.904761904761905</v>
      </c>
      <c r="K97" s="512"/>
      <c r="L97" s="405"/>
      <c r="N97" s="410"/>
      <c r="O97" s="410"/>
    </row>
    <row r="98" spans="1:15" ht="27.75" x14ac:dyDescent="0.5">
      <c r="A98" s="1354" t="s">
        <v>239</v>
      </c>
      <c r="B98" s="1355"/>
      <c r="C98" s="1355"/>
      <c r="D98" s="643" t="s">
        <v>171</v>
      </c>
      <c r="E98" s="604">
        <f>'[1]20'!F98</f>
        <v>143263</v>
      </c>
      <c r="F98" s="604">
        <v>143318</v>
      </c>
      <c r="G98" s="593">
        <f t="shared" si="12"/>
        <v>55</v>
      </c>
      <c r="H98" s="580">
        <f>G98+'[1]20'!H98</f>
        <v>1172</v>
      </c>
      <c r="I98" s="600"/>
      <c r="J98" s="673">
        <f>H98/DAY(B2)</f>
        <v>55.80952380952381</v>
      </c>
      <c r="K98" s="408"/>
      <c r="L98" s="405"/>
      <c r="N98" s="410"/>
      <c r="O98" s="410"/>
    </row>
    <row r="99" spans="1:15" ht="27.75" x14ac:dyDescent="0.5">
      <c r="A99" s="1354" t="s">
        <v>240</v>
      </c>
      <c r="B99" s="1355"/>
      <c r="C99" s="1355"/>
      <c r="D99" s="643" t="s">
        <v>171</v>
      </c>
      <c r="E99" s="604">
        <f>'[1]20'!F99</f>
        <v>5374</v>
      </c>
      <c r="F99" s="604">
        <v>5380</v>
      </c>
      <c r="G99" s="593">
        <f t="shared" si="12"/>
        <v>6</v>
      </c>
      <c r="H99" s="580">
        <f>G99+'[1]20'!H99</f>
        <v>412</v>
      </c>
      <c r="I99" s="600"/>
      <c r="J99" s="673">
        <f>H99/DAY(B2)</f>
        <v>19.61904761904762</v>
      </c>
      <c r="K99" s="408"/>
      <c r="L99" s="405"/>
      <c r="N99" s="410"/>
      <c r="O99" s="410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604">
        <f>'[1]20'!F100</f>
        <v>3845</v>
      </c>
      <c r="F100" s="604">
        <v>3854</v>
      </c>
      <c r="G100" s="593">
        <f t="shared" si="12"/>
        <v>9</v>
      </c>
      <c r="H100" s="580">
        <f>G100+'[1]20'!H100</f>
        <v>58</v>
      </c>
      <c r="I100" s="600"/>
      <c r="J100" s="673">
        <f>H100/DAY(B2)</f>
        <v>2.7619047619047619</v>
      </c>
      <c r="K100" s="408"/>
      <c r="L100" s="405"/>
      <c r="N100" s="410"/>
      <c r="O100" s="410"/>
    </row>
    <row r="101" spans="1:15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177</v>
      </c>
      <c r="H101" s="580">
        <f>G101+'[1]20'!H101</f>
        <v>4119</v>
      </c>
      <c r="I101" s="646"/>
      <c r="J101" s="673">
        <f>H101/DAY(B2)</f>
        <v>196.14285714285714</v>
      </c>
      <c r="K101" s="408"/>
      <c r="L101" s="405"/>
      <c r="N101" s="410"/>
      <c r="O101" s="410"/>
    </row>
    <row r="102" spans="1:15" s="524" customFormat="1" ht="27" x14ac:dyDescent="0.35">
      <c r="A102" s="728" t="s">
        <v>243</v>
      </c>
      <c r="B102" s="729"/>
      <c r="C102" s="729"/>
      <c r="D102" s="742"/>
      <c r="E102" s="648"/>
      <c r="F102" s="648"/>
      <c r="G102" s="649"/>
      <c r="H102" s="650"/>
      <c r="I102" s="651"/>
      <c r="J102" s="678"/>
      <c r="N102" s="536"/>
      <c r="O102" s="410"/>
    </row>
    <row r="103" spans="1:15" s="524" customFormat="1" ht="27.75" x14ac:dyDescent="0.5">
      <c r="A103" s="1404" t="s">
        <v>244</v>
      </c>
      <c r="B103" s="1405"/>
      <c r="C103" s="694"/>
      <c r="D103" s="743"/>
      <c r="E103" s="652"/>
      <c r="F103" s="652"/>
      <c r="G103" s="652"/>
      <c r="H103" s="653"/>
      <c r="I103" s="652"/>
      <c r="J103" s="679"/>
      <c r="N103" s="536"/>
      <c r="O103" s="410"/>
    </row>
    <row r="104" spans="1:15" s="524" customFormat="1" ht="27.75" x14ac:dyDescent="0.5">
      <c r="A104" s="1406" t="s">
        <v>245</v>
      </c>
      <c r="B104" s="1407"/>
      <c r="C104" s="1363"/>
      <c r="D104" s="743" t="s">
        <v>171</v>
      </c>
      <c r="E104" s="652">
        <f>'[1]20'!F104</f>
        <v>7010</v>
      </c>
      <c r="F104" s="652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2.7142857142857144</v>
      </c>
      <c r="N104" s="536"/>
      <c r="O104" s="410"/>
    </row>
    <row r="105" spans="1:15" s="524" customFormat="1" ht="27.75" x14ac:dyDescent="0.5">
      <c r="A105" s="1406" t="s">
        <v>92</v>
      </c>
      <c r="B105" s="1407"/>
      <c r="C105" s="1363"/>
      <c r="D105" s="743" t="s">
        <v>171</v>
      </c>
      <c r="E105" s="654">
        <f>'[1]20'!F105</f>
        <v>34821</v>
      </c>
      <c r="F105" s="654">
        <v>34836</v>
      </c>
      <c r="G105" s="652">
        <f t="shared" ref="G105:G106" si="13">F105-E105</f>
        <v>15</v>
      </c>
      <c r="H105" s="653">
        <f>SUM(G105+'[1]1'!G77)</f>
        <v>70</v>
      </c>
      <c r="I105" s="652"/>
      <c r="J105" s="679">
        <f>H105/DAY(B2)</f>
        <v>3.3333333333333335</v>
      </c>
      <c r="N105" s="536"/>
      <c r="O105" s="410"/>
    </row>
    <row r="106" spans="1:15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'[1]20'!F106</f>
        <v>18830</v>
      </c>
      <c r="F106" s="652">
        <v>18836</v>
      </c>
      <c r="G106" s="652">
        <f t="shared" si="13"/>
        <v>6</v>
      </c>
      <c r="H106" s="653">
        <f>SUM(G106+'[1]1'!G78)</f>
        <v>486</v>
      </c>
      <c r="I106" s="652"/>
      <c r="J106" s="679">
        <f>H106/DAY(B2)</f>
        <v>23.142857142857142</v>
      </c>
      <c r="N106" s="536"/>
      <c r="O106" s="410"/>
    </row>
    <row r="107" spans="1:15" s="524" customFormat="1" ht="27.75" x14ac:dyDescent="0.5">
      <c r="A107" s="1409" t="s">
        <v>82</v>
      </c>
      <c r="B107" s="1410"/>
      <c r="C107" s="1363"/>
      <c r="D107" s="743"/>
      <c r="E107" s="652">
        <f>'[1]20'!F107</f>
        <v>0</v>
      </c>
      <c r="F107" s="652"/>
      <c r="G107" s="652">
        <f>SUM(G104:G106)</f>
        <v>21</v>
      </c>
      <c r="H107" s="653">
        <f>SUM(G107+'[1]1'!G79)</f>
        <v>222</v>
      </c>
      <c r="I107" s="652"/>
      <c r="J107" s="679">
        <f>H107/DAY(B2)</f>
        <v>10.571428571428571</v>
      </c>
      <c r="N107" s="536"/>
      <c r="O107" s="410"/>
    </row>
    <row r="108" spans="1:15" s="524" customFormat="1" ht="27.75" x14ac:dyDescent="0.5">
      <c r="A108" s="1411" t="s">
        <v>94</v>
      </c>
      <c r="B108" s="1412"/>
      <c r="C108" s="1363"/>
      <c r="D108" s="743" t="s">
        <v>171</v>
      </c>
      <c r="E108" s="652">
        <f>'[1]20'!F108</f>
        <v>0</v>
      </c>
      <c r="F108" s="652"/>
      <c r="G108" s="652"/>
      <c r="H108" s="653"/>
      <c r="I108" s="652"/>
      <c r="J108" s="679"/>
      <c r="N108" s="536"/>
      <c r="O108" s="410"/>
    </row>
    <row r="109" spans="1:15" s="524" customFormat="1" ht="27.75" x14ac:dyDescent="0.5">
      <c r="A109" s="1406" t="s">
        <v>246</v>
      </c>
      <c r="B109" s="1407"/>
      <c r="C109" s="1363"/>
      <c r="D109" s="743" t="s">
        <v>171</v>
      </c>
      <c r="E109" s="652">
        <f>'[1]20'!F109</f>
        <v>52434</v>
      </c>
      <c r="F109" s="652">
        <v>52506</v>
      </c>
      <c r="G109" s="652">
        <f>F109-E109</f>
        <v>72</v>
      </c>
      <c r="H109" s="653">
        <f>SUM(G109+'[1]1'!G81)</f>
        <v>225.28000000002794</v>
      </c>
      <c r="I109" s="652"/>
      <c r="J109" s="679">
        <f>H109/DAY(B2)</f>
        <v>10.727619047620378</v>
      </c>
      <c r="N109" s="536"/>
      <c r="O109" s="410"/>
    </row>
    <row r="110" spans="1:15" s="524" customFormat="1" ht="27.75" x14ac:dyDescent="0.5">
      <c r="A110" s="1406" t="s">
        <v>247</v>
      </c>
      <c r="B110" s="1407"/>
      <c r="C110" s="1363"/>
      <c r="D110" s="743" t="s">
        <v>171</v>
      </c>
      <c r="E110" s="652">
        <f>'[1]20'!F110</f>
        <v>26410</v>
      </c>
      <c r="F110" s="652">
        <v>26463</v>
      </c>
      <c r="G110" s="652">
        <f t="shared" ref="G110:G111" si="14">F110-E110</f>
        <v>53</v>
      </c>
      <c r="H110" s="653">
        <f>SUM(G110+'[1]1'!G82)</f>
        <v>73.760000000009313</v>
      </c>
      <c r="I110" s="652"/>
      <c r="J110" s="679">
        <f>H110/DAY(B2)</f>
        <v>3.5123809523813958</v>
      </c>
      <c r="N110" s="536"/>
      <c r="O110" s="410"/>
    </row>
    <row r="111" spans="1:15" s="524" customFormat="1" ht="27.75" x14ac:dyDescent="0.5">
      <c r="A111" s="1406" t="s">
        <v>248</v>
      </c>
      <c r="B111" s="1407"/>
      <c r="C111" s="1363"/>
      <c r="D111" s="743" t="s">
        <v>171</v>
      </c>
      <c r="E111" s="652">
        <f>'[1]20'!F111</f>
        <v>3490</v>
      </c>
      <c r="F111" s="652">
        <v>3501</v>
      </c>
      <c r="G111" s="652">
        <f t="shared" si="14"/>
        <v>11</v>
      </c>
      <c r="H111" s="653">
        <f>SUM(G111+'[1]1'!G83)</f>
        <v>357</v>
      </c>
      <c r="I111" s="652"/>
      <c r="J111" s="679">
        <f>H111/DAY(B2)</f>
        <v>17</v>
      </c>
      <c r="N111" s="536"/>
      <c r="O111" s="410"/>
    </row>
    <row r="112" spans="1:15" s="524" customFormat="1" ht="27.75" x14ac:dyDescent="0.5">
      <c r="A112" s="1435" t="s">
        <v>136</v>
      </c>
      <c r="B112" s="1436"/>
      <c r="C112" s="1363"/>
      <c r="D112" s="743"/>
      <c r="E112" s="652">
        <f>'[1]20'!F112</f>
        <v>0</v>
      </c>
      <c r="F112" s="652"/>
      <c r="G112" s="652">
        <f>SUM(G109:G111)</f>
        <v>136</v>
      </c>
      <c r="H112" s="653">
        <f>SUM(G112+'[1]1'!G84)</f>
        <v>700</v>
      </c>
      <c r="I112" s="652"/>
      <c r="J112" s="679">
        <f>H112/DAY(B2)</f>
        <v>33.333333333333336</v>
      </c>
      <c r="N112" s="536"/>
      <c r="O112" s="410"/>
    </row>
    <row r="113" spans="1:15" s="524" customFormat="1" ht="27.75" x14ac:dyDescent="0.5">
      <c r="A113" s="1411" t="s">
        <v>249</v>
      </c>
      <c r="B113" s="1412"/>
      <c r="C113" s="1363"/>
      <c r="D113" s="743"/>
      <c r="E113" s="652">
        <f>'[1]20'!F113</f>
        <v>0</v>
      </c>
      <c r="F113" s="652"/>
      <c r="G113" s="652"/>
      <c r="H113" s="653"/>
      <c r="I113" s="652"/>
      <c r="J113" s="679">
        <f>H113/DAY(B2)</f>
        <v>0</v>
      </c>
      <c r="N113" s="536"/>
      <c r="O113" s="410"/>
    </row>
    <row r="114" spans="1:15" s="524" customFormat="1" ht="27.75" x14ac:dyDescent="0.5">
      <c r="A114" s="1406" t="s">
        <v>250</v>
      </c>
      <c r="B114" s="1407"/>
      <c r="C114" s="695"/>
      <c r="D114" s="743" t="s">
        <v>171</v>
      </c>
      <c r="E114" s="654">
        <f>'[1]20'!F114</f>
        <v>9082</v>
      </c>
      <c r="F114" s="654">
        <v>9091</v>
      </c>
      <c r="G114" s="654">
        <f>F114-E114</f>
        <v>9</v>
      </c>
      <c r="H114" s="653">
        <f>SUM(G114+'[1]1'!G91)</f>
        <v>9</v>
      </c>
      <c r="I114" s="652"/>
      <c r="J114" s="679">
        <f>H114/DAY(B2)</f>
        <v>0.42857142857142855</v>
      </c>
      <c r="N114" s="536"/>
      <c r="O114" s="410"/>
    </row>
    <row r="115" spans="1:15" s="524" customFormat="1" ht="27.75" x14ac:dyDescent="0.5">
      <c r="A115" s="1406" t="s">
        <v>251</v>
      </c>
      <c r="B115" s="1407"/>
      <c r="C115" s="695"/>
      <c r="D115" s="743" t="s">
        <v>171</v>
      </c>
      <c r="E115" s="654">
        <f>'[1]20'!F115</f>
        <v>7071</v>
      </c>
      <c r="F115" s="654">
        <v>7075</v>
      </c>
      <c r="G115" s="654">
        <f t="shared" ref="G115:G116" si="15">F115-E115</f>
        <v>4</v>
      </c>
      <c r="H115" s="653">
        <f>SUM(G115+'[1]1'!G92)</f>
        <v>116</v>
      </c>
      <c r="I115" s="652"/>
      <c r="J115" s="679">
        <f>H115/DAY(B2)</f>
        <v>5.5238095238095237</v>
      </c>
      <c r="N115" s="536"/>
      <c r="O115" s="410"/>
    </row>
    <row r="116" spans="1:15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654"/>
      <c r="G116" s="654">
        <f t="shared" si="15"/>
        <v>0</v>
      </c>
      <c r="H116" s="653">
        <f>SUM(G116+'[1]1'!G93)</f>
        <v>151</v>
      </c>
      <c r="I116" s="652"/>
      <c r="J116" s="679">
        <f>H116/DAY(B2)</f>
        <v>7.1904761904761907</v>
      </c>
      <c r="N116" s="536"/>
      <c r="O116" s="410"/>
    </row>
    <row r="117" spans="1:15" s="537" customFormat="1" ht="27.75" x14ac:dyDescent="0.5">
      <c r="A117" s="1409" t="s">
        <v>82</v>
      </c>
      <c r="B117" s="1410"/>
      <c r="C117" s="695"/>
      <c r="D117" s="744"/>
      <c r="E117" s="654"/>
      <c r="F117" s="654"/>
      <c r="G117" s="654">
        <f>SUM(G114:G116)</f>
        <v>13</v>
      </c>
      <c r="H117" s="653">
        <f>SUM(G117+'[1]1'!G95)</f>
        <v>60</v>
      </c>
      <c r="I117" s="654"/>
      <c r="J117" s="679">
        <f>H117/DAY(B2)</f>
        <v>2.8571428571428572</v>
      </c>
      <c r="N117" s="565"/>
      <c r="O117" s="410"/>
    </row>
    <row r="118" spans="1:15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656">
        <f>SUM(G19+G92)</f>
        <v>119</v>
      </c>
      <c r="G118" s="656">
        <f>SUM(G19+G92)</f>
        <v>119</v>
      </c>
      <c r="H118" s="653">
        <f>SUM(G118+'[1]1'!G96)</f>
        <v>152</v>
      </c>
      <c r="I118" s="655"/>
      <c r="J118" s="680">
        <f>H118/DAY(B2)</f>
        <v>7.2380952380952381</v>
      </c>
      <c r="N118" s="920"/>
      <c r="O118" s="410"/>
    </row>
    <row r="119" spans="1:15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656">
        <f>SUM(G95,G96,G97,G99,G100)</f>
        <v>122</v>
      </c>
      <c r="G119" s="656">
        <f>SUM(G95,G96,G97,G99,G100)</f>
        <v>122</v>
      </c>
      <c r="H119" s="653">
        <f>SUM(G119+'[1]1'!G98)</f>
        <v>189</v>
      </c>
      <c r="I119" s="655"/>
      <c r="J119" s="680">
        <f>H119/DAY(B2)</f>
        <v>9</v>
      </c>
      <c r="N119" s="920"/>
      <c r="O119" s="410"/>
    </row>
    <row r="120" spans="1:15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654">
        <f>SUM(G112)</f>
        <v>136</v>
      </c>
      <c r="G120" s="654">
        <f>SUM(G112)</f>
        <v>136</v>
      </c>
      <c r="H120" s="653">
        <f>SUM(G120+'[1]1'!G100)</f>
        <v>136</v>
      </c>
      <c r="I120" s="655"/>
      <c r="J120" s="680">
        <f>H120/DAY(B2)</f>
        <v>6.4761904761904763</v>
      </c>
      <c r="N120" s="920"/>
      <c r="O120" s="410"/>
    </row>
    <row r="121" spans="1:15" s="524" customFormat="1" ht="27.75" x14ac:dyDescent="0.5">
      <c r="A121" s="1439"/>
      <c r="B121" s="1440"/>
      <c r="C121" s="1363"/>
      <c r="D121" s="681"/>
      <c r="E121" s="681"/>
      <c r="F121" s="681" t="s">
        <v>143</v>
      </c>
      <c r="G121" s="681"/>
      <c r="H121" s="682"/>
      <c r="I121" s="681"/>
      <c r="J121" s="683"/>
      <c r="N121" s="536"/>
      <c r="O121" s="410"/>
    </row>
    <row r="122" spans="1:15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410"/>
      <c r="O122" s="410"/>
    </row>
    <row r="123" spans="1:15" ht="27.75" x14ac:dyDescent="0.5">
      <c r="A123" s="1354" t="s">
        <v>257</v>
      </c>
      <c r="B123" s="1355"/>
      <c r="C123" s="1355"/>
      <c r="D123" s="643" t="s">
        <v>168</v>
      </c>
      <c r="E123" s="598">
        <f>'[1]20'!F123</f>
        <v>792945</v>
      </c>
      <c r="F123" s="598">
        <v>793141</v>
      </c>
      <c r="G123" s="593">
        <f t="shared" ref="G123:G127" si="16">F123-E123</f>
        <v>196</v>
      </c>
      <c r="H123" s="580">
        <f>G123+'[1]20'!H123</f>
        <v>4309.9300000000512</v>
      </c>
      <c r="I123" s="646"/>
      <c r="J123" s="673">
        <f>H123/DAY(B2)</f>
        <v>205.23476190476435</v>
      </c>
      <c r="K123" s="408"/>
      <c r="L123" s="405"/>
      <c r="N123" s="410"/>
      <c r="O123" s="410"/>
    </row>
    <row r="124" spans="1:15" ht="27.75" x14ac:dyDescent="0.5">
      <c r="A124" s="1354" t="s">
        <v>258</v>
      </c>
      <c r="B124" s="1355"/>
      <c r="C124" s="1355"/>
      <c r="D124" s="643" t="s">
        <v>168</v>
      </c>
      <c r="E124" s="747">
        <f>'[1]20'!F124</f>
        <v>73581.899999999994</v>
      </c>
      <c r="F124" s="747">
        <v>73581.899999999994</v>
      </c>
      <c r="G124" s="593">
        <f t="shared" si="16"/>
        <v>0</v>
      </c>
      <c r="H124" s="580">
        <f>G124+'[1]20'!H124</f>
        <v>-0.30000000000291038</v>
      </c>
      <c r="I124" s="646"/>
      <c r="J124" s="673">
        <f>H124/DAY(B2)</f>
        <v>-1.4285714285852876E-2</v>
      </c>
      <c r="K124" s="408"/>
      <c r="L124" s="405"/>
      <c r="N124" s="410"/>
      <c r="O124" s="410"/>
    </row>
    <row r="125" spans="1:15" ht="27.75" x14ac:dyDescent="0.5">
      <c r="A125" s="1395" t="s">
        <v>259</v>
      </c>
      <c r="B125" s="1396"/>
      <c r="C125" s="1397"/>
      <c r="D125" s="643" t="s">
        <v>168</v>
      </c>
      <c r="E125" s="598">
        <f>'[1]20'!F125</f>
        <v>134772</v>
      </c>
      <c r="F125" s="598">
        <v>134830</v>
      </c>
      <c r="G125" s="593">
        <f t="shared" si="16"/>
        <v>58</v>
      </c>
      <c r="H125" s="580">
        <f>G125+'[1]20'!H125</f>
        <v>1707.1199999999953</v>
      </c>
      <c r="I125" s="646"/>
      <c r="J125" s="673">
        <f>H125/DAY(B2)</f>
        <v>81.291428571428355</v>
      </c>
      <c r="K125" s="408"/>
      <c r="L125" s="405"/>
      <c r="N125" s="410"/>
      <c r="O125" s="410"/>
    </row>
    <row r="126" spans="1:15" ht="27.75" x14ac:dyDescent="0.5">
      <c r="A126" s="730" t="s">
        <v>260</v>
      </c>
      <c r="B126" s="1355"/>
      <c r="C126" s="1355"/>
      <c r="D126" s="643" t="s">
        <v>168</v>
      </c>
      <c r="E126" s="605">
        <f>'[1]20'!F126</f>
        <v>56993</v>
      </c>
      <c r="F126" s="605">
        <v>57038</v>
      </c>
      <c r="G126" s="593">
        <f t="shared" si="16"/>
        <v>45</v>
      </c>
      <c r="H126" s="580">
        <f>G126+'[1]20'!H126</f>
        <v>689.80000000000291</v>
      </c>
      <c r="I126" s="646"/>
      <c r="J126" s="673">
        <f>H126/DAY(B2)</f>
        <v>32.847619047619183</v>
      </c>
      <c r="K126" s="408"/>
      <c r="L126" s="405"/>
      <c r="N126" s="410"/>
      <c r="O126" s="410"/>
    </row>
    <row r="127" spans="1:15" ht="27.75" x14ac:dyDescent="0.5">
      <c r="A127" s="730" t="s">
        <v>261</v>
      </c>
      <c r="B127" s="1355"/>
      <c r="C127" s="1355"/>
      <c r="D127" s="643" t="s">
        <v>168</v>
      </c>
      <c r="E127" s="747">
        <f>'[1]20'!F127</f>
        <v>8680</v>
      </c>
      <c r="F127" s="747">
        <v>8682</v>
      </c>
      <c r="G127" s="593">
        <f t="shared" si="16"/>
        <v>2</v>
      </c>
      <c r="H127" s="580">
        <f>G127+'[1]20'!H127</f>
        <v>41.899999999999636</v>
      </c>
      <c r="I127" s="600"/>
      <c r="J127" s="673">
        <f>H127/DAY(B2)</f>
        <v>1.9952380952380779</v>
      </c>
      <c r="K127" s="408"/>
      <c r="L127" s="405"/>
      <c r="N127" s="410"/>
      <c r="O127" s="410"/>
    </row>
    <row r="128" spans="1:15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511</v>
      </c>
      <c r="H128" s="580">
        <f>G128+'[1]20'!H128</f>
        <v>1962.1000000000058</v>
      </c>
      <c r="I128" s="600"/>
      <c r="J128" s="673">
        <f>H128/DAY(B2)</f>
        <v>93.433333333333607</v>
      </c>
      <c r="K128" s="388"/>
      <c r="L128" s="290"/>
      <c r="N128" s="392"/>
      <c r="O128" s="410"/>
    </row>
    <row r="129" spans="1:15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410"/>
      <c r="O129" s="410"/>
    </row>
    <row r="130" spans="1:15" ht="27.75" x14ac:dyDescent="0.5">
      <c r="A130" s="1354" t="s">
        <v>264</v>
      </c>
      <c r="B130" s="1355"/>
      <c r="C130" s="1355"/>
      <c r="D130" s="643" t="s">
        <v>265</v>
      </c>
      <c r="E130" s="604">
        <f>'[1]20'!F130</f>
        <v>0</v>
      </c>
      <c r="F130" s="604">
        <v>0</v>
      </c>
      <c r="G130" s="593">
        <f t="shared" ref="G130:G140" si="17">F130-E130</f>
        <v>0</v>
      </c>
      <c r="H130" s="580">
        <f>G130+'[1]20'!H130</f>
        <v>0</v>
      </c>
      <c r="I130" s="600"/>
      <c r="J130" s="673">
        <f>H130/DAY(B2)</f>
        <v>0</v>
      </c>
      <c r="N130" s="410"/>
      <c r="O130" s="410"/>
    </row>
    <row r="131" spans="1:15" ht="27.75" x14ac:dyDescent="0.5">
      <c r="A131" s="1354" t="s">
        <v>266</v>
      </c>
      <c r="B131" s="1355"/>
      <c r="C131" s="1355"/>
      <c r="D131" s="643" t="s">
        <v>265</v>
      </c>
      <c r="E131" s="604">
        <f>'[1]20'!F131</f>
        <v>0</v>
      </c>
      <c r="F131" s="604">
        <v>0</v>
      </c>
      <c r="G131" s="593">
        <f t="shared" si="17"/>
        <v>0</v>
      </c>
      <c r="H131" s="580">
        <f>G131+'[1]20'!H131</f>
        <v>0</v>
      </c>
      <c r="I131" s="600"/>
      <c r="J131" s="673">
        <f>H131/DAY(B2)</f>
        <v>0</v>
      </c>
      <c r="N131" s="410"/>
      <c r="O131" s="410"/>
    </row>
    <row r="132" spans="1:15" ht="27.75" x14ac:dyDescent="0.5">
      <c r="A132" s="1354" t="s">
        <v>267</v>
      </c>
      <c r="B132" s="1355"/>
      <c r="C132" s="1355"/>
      <c r="D132" s="643" t="s">
        <v>265</v>
      </c>
      <c r="E132" s="662">
        <f>'[1]20'!F132</f>
        <v>38901</v>
      </c>
      <c r="F132" s="662">
        <v>38901</v>
      </c>
      <c r="G132" s="593">
        <f t="shared" si="17"/>
        <v>0</v>
      </c>
      <c r="H132" s="580">
        <f>G132+'[1]20'!H132</f>
        <v>0</v>
      </c>
      <c r="I132" s="600"/>
      <c r="J132" s="673">
        <f>H132/DAY(B2)</f>
        <v>0</v>
      </c>
      <c r="N132" s="410"/>
      <c r="O132" s="410"/>
    </row>
    <row r="133" spans="1:15" s="523" customFormat="1" ht="27.75" x14ac:dyDescent="0.5">
      <c r="A133" s="1213" t="s">
        <v>268</v>
      </c>
      <c r="B133" s="1214"/>
      <c r="C133" s="1214"/>
      <c r="D133" s="748" t="s">
        <v>265</v>
      </c>
      <c r="E133" s="662">
        <f>'[1]20'!F133</f>
        <v>299</v>
      </c>
      <c r="F133" s="662">
        <v>299</v>
      </c>
      <c r="G133" s="769">
        <f t="shared" si="17"/>
        <v>0</v>
      </c>
      <c r="H133" s="841">
        <f>G133+'[1]20'!H133</f>
        <v>299</v>
      </c>
      <c r="I133" s="1215">
        <f>G130+G131+G132+G133</f>
        <v>0</v>
      </c>
      <c r="J133" s="843">
        <f>H133/DAY(B2)</f>
        <v>14.238095238095237</v>
      </c>
      <c r="N133" s="849"/>
      <c r="O133" s="849"/>
    </row>
    <row r="134" spans="1:15" ht="27.75" x14ac:dyDescent="0.5">
      <c r="A134" s="1354" t="s">
        <v>269</v>
      </c>
      <c r="B134" s="1355"/>
      <c r="C134" s="1355"/>
      <c r="D134" s="643" t="s">
        <v>265</v>
      </c>
      <c r="E134" s="662">
        <f>'[1]20'!F134</f>
        <v>39735</v>
      </c>
      <c r="F134" s="662">
        <v>39735</v>
      </c>
      <c r="G134" s="593">
        <f t="shared" si="17"/>
        <v>0</v>
      </c>
      <c r="H134" s="580">
        <f>G134+'[1]20'!H134</f>
        <v>0</v>
      </c>
      <c r="I134" s="600"/>
      <c r="J134" s="673">
        <f>H134/DAY(B2)</f>
        <v>0</v>
      </c>
      <c r="N134" s="410"/>
      <c r="O134" s="410"/>
    </row>
    <row r="135" spans="1:15" ht="27.75" x14ac:dyDescent="0.5">
      <c r="A135" s="1354" t="s">
        <v>270</v>
      </c>
      <c r="B135" s="1355"/>
      <c r="C135" s="1355"/>
      <c r="D135" s="643" t="s">
        <v>265</v>
      </c>
      <c r="E135" s="662">
        <f>'[1]20'!F135</f>
        <v>31901</v>
      </c>
      <c r="F135" s="662">
        <v>31925</v>
      </c>
      <c r="G135" s="593">
        <f t="shared" si="17"/>
        <v>24</v>
      </c>
      <c r="H135" s="580">
        <f>G135+'[1]20'!H135</f>
        <v>207.47999999999956</v>
      </c>
      <c r="I135" s="600"/>
      <c r="J135" s="673">
        <f>H135/DAY(B2)</f>
        <v>9.8799999999999795</v>
      </c>
      <c r="N135" s="410"/>
      <c r="O135" s="410"/>
    </row>
    <row r="136" spans="1:15" ht="27.75" x14ac:dyDescent="0.5">
      <c r="A136" s="1354" t="s">
        <v>271</v>
      </c>
      <c r="B136" s="1355"/>
      <c r="C136" s="1355"/>
      <c r="D136" s="643" t="s">
        <v>265</v>
      </c>
      <c r="E136" s="662">
        <f>'[1]20'!F136</f>
        <v>21766.92</v>
      </c>
      <c r="F136" s="662">
        <v>21766.92</v>
      </c>
      <c r="G136" s="593">
        <f t="shared" si="17"/>
        <v>0</v>
      </c>
      <c r="H136" s="580">
        <f>G136+'[1]20'!H136</f>
        <v>92.19999999999709</v>
      </c>
      <c r="I136" s="600">
        <f>G134+G135+G136</f>
        <v>24</v>
      </c>
      <c r="J136" s="673">
        <f>H136/DAY(B2)</f>
        <v>4.3904761904760523</v>
      </c>
      <c r="N136" s="410"/>
      <c r="O136" s="410"/>
    </row>
    <row r="137" spans="1:15" ht="27.75" x14ac:dyDescent="0.5">
      <c r="A137" s="1354" t="s">
        <v>272</v>
      </c>
      <c r="B137" s="1355"/>
      <c r="C137" s="1355"/>
      <c r="D137" s="643" t="s">
        <v>265</v>
      </c>
      <c r="E137" s="662">
        <f>'[1]20'!F137</f>
        <v>24949.13</v>
      </c>
      <c r="F137" s="662">
        <v>24958.95</v>
      </c>
      <c r="G137" s="593">
        <f t="shared" si="17"/>
        <v>9.819999999999709</v>
      </c>
      <c r="H137" s="580">
        <f>G137+'[1]20'!H137</f>
        <v>26.440000000002328</v>
      </c>
      <c r="I137" s="600"/>
      <c r="J137" s="673">
        <f>H137/DAY(B2)</f>
        <v>1.25904761904773</v>
      </c>
      <c r="N137" s="410"/>
      <c r="O137" s="410"/>
    </row>
    <row r="138" spans="1:15" ht="27.75" x14ac:dyDescent="0.5">
      <c r="A138" s="1354" t="s">
        <v>273</v>
      </c>
      <c r="B138" s="1355"/>
      <c r="C138" s="1355"/>
      <c r="D138" s="643" t="s">
        <v>265</v>
      </c>
      <c r="E138" s="662">
        <f>'[1]20'!F138</f>
        <v>69999</v>
      </c>
      <c r="F138" s="662">
        <v>70001</v>
      </c>
      <c r="G138" s="593">
        <f t="shared" si="17"/>
        <v>2</v>
      </c>
      <c r="H138" s="580">
        <f>G138+'[1]20'!H138</f>
        <v>45.789999999993597</v>
      </c>
      <c r="I138" s="600">
        <f>G137+G138</f>
        <v>11.819999999999709</v>
      </c>
      <c r="J138" s="673">
        <f>H138/DAY(B2)</f>
        <v>2.1804761904758854</v>
      </c>
      <c r="N138" s="410"/>
      <c r="O138" s="410"/>
    </row>
    <row r="139" spans="1:15" ht="27.75" x14ac:dyDescent="0.5">
      <c r="A139" s="1354" t="s">
        <v>274</v>
      </c>
      <c r="B139" s="1355"/>
      <c r="C139" s="1355"/>
      <c r="D139" s="643" t="s">
        <v>265</v>
      </c>
      <c r="E139" s="604">
        <f>'[1]20'!F139</f>
        <v>1056.52</v>
      </c>
      <c r="F139" s="604">
        <v>1062.6300000000001</v>
      </c>
      <c r="G139" s="593">
        <f t="shared" si="17"/>
        <v>6.1100000000001273</v>
      </c>
      <c r="H139" s="580">
        <f>G139+'[1]20'!H139</f>
        <v>121.10000000000014</v>
      </c>
      <c r="I139" s="663"/>
      <c r="J139" s="673">
        <f>H139/DAY(B2)</f>
        <v>5.7666666666666728</v>
      </c>
      <c r="N139" s="410"/>
      <c r="O139" s="410"/>
    </row>
    <row r="140" spans="1:15" ht="27.75" x14ac:dyDescent="0.5">
      <c r="A140" s="1354" t="s">
        <v>275</v>
      </c>
      <c r="B140" s="1355"/>
      <c r="C140" s="1355"/>
      <c r="D140" s="643" t="s">
        <v>265</v>
      </c>
      <c r="E140" s="604">
        <f>'[1]20'!F140</f>
        <v>4156.8999999999996</v>
      </c>
      <c r="F140" s="604">
        <v>4156.8999999999996</v>
      </c>
      <c r="G140" s="593">
        <f t="shared" si="17"/>
        <v>0</v>
      </c>
      <c r="H140" s="580">
        <f>G140+'[1]20'!H140</f>
        <v>0</v>
      </c>
      <c r="I140" s="663"/>
      <c r="J140" s="673">
        <f>H140/DAY(B2)</f>
        <v>0</v>
      </c>
      <c r="N140" s="410"/>
      <c r="O140" s="410"/>
    </row>
    <row r="141" spans="1:15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N141" s="410"/>
      <c r="O141" s="410"/>
    </row>
    <row r="142" spans="1:15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4779</v>
      </c>
      <c r="H142" s="580">
        <f>G142+'[1]20'!H142</f>
        <v>104930.42299999995</v>
      </c>
      <c r="I142" s="600"/>
      <c r="J142" s="673">
        <f>H142/DAY(B2)</f>
        <v>4996.6868095238069</v>
      </c>
      <c r="K142" s="408"/>
      <c r="L142" s="405"/>
      <c r="N142" s="410"/>
      <c r="O142" s="410"/>
    </row>
    <row r="143" spans="1:15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0.25184443507588533</v>
      </c>
      <c r="H143" s="580">
        <f>G143+'[1]20'!H143</f>
        <v>5.0280122787873047</v>
      </c>
      <c r="I143" s="665"/>
      <c r="J143" s="673">
        <f>H143/DAY(B2)</f>
        <v>0.2394291561327288</v>
      </c>
      <c r="K143" s="408"/>
      <c r="L143" s="405"/>
      <c r="N143" s="410"/>
      <c r="O143" s="410"/>
    </row>
    <row r="144" spans="1:15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3571</v>
      </c>
      <c r="H144" s="580">
        <f>G144+'[1]20'!H144</f>
        <v>97496.139999999985</v>
      </c>
      <c r="I144" s="600"/>
      <c r="J144" s="673">
        <f>H144/DAY(B2)</f>
        <v>4642.6733333333323</v>
      </c>
      <c r="K144" s="408"/>
      <c r="L144" s="405"/>
      <c r="N144" s="410"/>
      <c r="O144" s="410"/>
    </row>
    <row r="145" spans="1:15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0.18818507588532885</v>
      </c>
      <c r="H145" s="580">
        <f>G145+'[1]20'!H145</f>
        <v>4.8077543803507741</v>
      </c>
      <c r="I145" s="665"/>
      <c r="J145" s="673">
        <f>H145/DAY(B2)</f>
        <v>0.22894068477860829</v>
      </c>
      <c r="K145" s="408"/>
      <c r="L145" s="405"/>
      <c r="N145" s="410"/>
      <c r="O145" s="410"/>
    </row>
    <row r="146" spans="1:15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4396</v>
      </c>
      <c r="H146" s="580">
        <f>G146+'[1]20'!H146</f>
        <v>89079.993000000002</v>
      </c>
      <c r="I146" s="666"/>
      <c r="J146" s="673">
        <f>H146/DAY(B2)</f>
        <v>4241.904428571429</v>
      </c>
      <c r="K146" s="408"/>
      <c r="L146" s="405"/>
      <c r="N146" s="410"/>
      <c r="O146" s="410"/>
    </row>
    <row r="147" spans="1:15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0.23166104553119729</v>
      </c>
      <c r="H147" s="580">
        <f>G147+'[1]20'!H147</f>
        <v>4.411177959862183</v>
      </c>
      <c r="I147" s="666"/>
      <c r="J147" s="673">
        <f>H147/DAY(B2)</f>
        <v>0.21005609332677061</v>
      </c>
      <c r="N147" s="410"/>
      <c r="O147" s="410"/>
    </row>
    <row r="148" spans="1:15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1840.3800000000047</v>
      </c>
      <c r="H148" s="580">
        <f>G148+'[1]20'!H148</f>
        <v>41700.950000000012</v>
      </c>
      <c r="I148" s="600"/>
      <c r="J148" s="673">
        <f>H148/DAY(B2)</f>
        <v>1985.7595238095244</v>
      </c>
      <c r="K148" s="409"/>
      <c r="N148" s="410"/>
      <c r="O148" s="410"/>
    </row>
    <row r="149" spans="1:15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9.6984612141652854E-2</v>
      </c>
      <c r="H149" s="580">
        <f>G149+'[1]20'!H149</f>
        <v>2.0598386863156959</v>
      </c>
      <c r="I149" s="666"/>
      <c r="J149" s="673">
        <f>H149/DAY(B2)</f>
        <v>9.808755649122361E-2</v>
      </c>
      <c r="N149" s="410"/>
      <c r="O149" s="410"/>
    </row>
    <row r="150" spans="1:15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2268</v>
      </c>
      <c r="H150" s="580">
        <f>G150+'[1]20'!H150</f>
        <v>45175.179999999964</v>
      </c>
      <c r="I150" s="666"/>
      <c r="J150" s="673">
        <f>H150/DAY(B2)</f>
        <v>2151.1990476190458</v>
      </c>
      <c r="N150" s="410"/>
      <c r="O150" s="410"/>
    </row>
    <row r="151" spans="1:15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0.11951939291736931</v>
      </c>
      <c r="H151" s="580">
        <f>G151+'[1]20'!H151</f>
        <v>2.226713031415831</v>
      </c>
      <c r="I151" s="600"/>
      <c r="J151" s="673">
        <f>H151/DAY(B2)</f>
        <v>0.10603395387694434</v>
      </c>
      <c r="N151" s="410"/>
      <c r="O151" s="410"/>
    </row>
    <row r="152" spans="1:15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1421</v>
      </c>
      <c r="H152" s="580">
        <f>G152+'[1]20'!H152</f>
        <v>30834.512999999999</v>
      </c>
      <c r="I152" s="600"/>
      <c r="J152" s="673">
        <f>H152/DAY(B2)</f>
        <v>1468.3101428571429</v>
      </c>
      <c r="N152" s="410"/>
      <c r="O152" s="410"/>
    </row>
    <row r="153" spans="1:15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7.4884064080944349E-2</v>
      </c>
      <c r="H153" s="580">
        <f>G153+'[1]20'!H153</f>
        <v>1.6366023770067966</v>
      </c>
      <c r="I153" s="689"/>
      <c r="J153" s="690">
        <f>H153/DAY(B2)</f>
        <v>7.7933446524133171E-2</v>
      </c>
      <c r="N153" s="410"/>
      <c r="O153" s="410"/>
    </row>
    <row r="154" spans="1:15" x14ac:dyDescent="0.5">
      <c r="A154" s="586"/>
      <c r="B154" s="576"/>
      <c r="C154" s="576"/>
      <c r="D154" s="667"/>
      <c r="E154" s="667"/>
      <c r="F154" s="667"/>
      <c r="G154" s="667"/>
      <c r="H154" s="668"/>
      <c r="I154" s="667"/>
      <c r="J154" s="669"/>
      <c r="O154" s="410"/>
    </row>
    <row r="160" spans="1:15" x14ac:dyDescent="0.5">
      <c r="A160" s="925" t="s">
        <v>289</v>
      </c>
      <c r="B160" s="926"/>
      <c r="C160" s="926"/>
      <c r="D160" s="631" t="s">
        <v>214</v>
      </c>
      <c r="E160" s="775">
        <v>25291</v>
      </c>
      <c r="F160" s="775">
        <v>25363</v>
      </c>
      <c r="G160" s="593">
        <f t="shared" ref="G160:G171" si="18">F160-E160</f>
        <v>72</v>
      </c>
      <c r="K160" s="404">
        <v>68.829999999999927</v>
      </c>
      <c r="L160" s="404">
        <f t="shared" ref="L160:L171" si="19">G160-K160</f>
        <v>3.1700000000000728</v>
      </c>
    </row>
    <row r="161" spans="1:12" ht="21.75" customHeight="1" x14ac:dyDescent="0.5">
      <c r="A161" s="925" t="s">
        <v>290</v>
      </c>
      <c r="B161" s="926"/>
      <c r="C161" s="926"/>
      <c r="D161" s="631" t="s">
        <v>214</v>
      </c>
      <c r="E161" s="775">
        <v>23307</v>
      </c>
      <c r="F161" s="775">
        <v>23766</v>
      </c>
      <c r="G161" s="593">
        <f t="shared" si="18"/>
        <v>459</v>
      </c>
      <c r="K161" s="404">
        <v>122.46000000000004</v>
      </c>
      <c r="L161" s="404">
        <f t="shared" si="19"/>
        <v>336.53999999999996</v>
      </c>
    </row>
    <row r="162" spans="1:12" ht="21.75" customHeight="1" x14ac:dyDescent="0.5">
      <c r="A162" s="925" t="s">
        <v>291</v>
      </c>
      <c r="B162" s="926"/>
      <c r="C162" s="926"/>
      <c r="D162" s="631" t="s">
        <v>214</v>
      </c>
      <c r="E162" s="775">
        <v>1103</v>
      </c>
      <c r="F162" s="775">
        <v>1365</v>
      </c>
      <c r="G162" s="593">
        <f t="shared" si="18"/>
        <v>262</v>
      </c>
      <c r="K162" s="404">
        <v>139.42000000000007</v>
      </c>
      <c r="L162" s="404">
        <f t="shared" si="19"/>
        <v>122.57999999999993</v>
      </c>
    </row>
    <row r="163" spans="1:12" ht="21.75" customHeight="1" x14ac:dyDescent="0.5">
      <c r="A163" s="925" t="s">
        <v>292</v>
      </c>
      <c r="B163" s="926"/>
      <c r="C163" s="926"/>
      <c r="D163" s="631" t="s">
        <v>214</v>
      </c>
      <c r="E163" s="775">
        <v>4022</v>
      </c>
      <c r="F163" s="775">
        <v>4055</v>
      </c>
      <c r="G163" s="593">
        <f t="shared" si="18"/>
        <v>33</v>
      </c>
      <c r="K163" s="404">
        <v>49.659999999999968</v>
      </c>
      <c r="L163" s="404">
        <f t="shared" si="19"/>
        <v>-16.659999999999968</v>
      </c>
    </row>
    <row r="164" spans="1:12" ht="21.75" customHeight="1" x14ac:dyDescent="0.4">
      <c r="A164" s="927" t="s">
        <v>121</v>
      </c>
      <c r="B164" s="725"/>
      <c r="C164" s="725"/>
      <c r="D164" s="631" t="s">
        <v>214</v>
      </c>
      <c r="E164" s="634">
        <f>E62</f>
        <v>20419.2</v>
      </c>
      <c r="F164" s="634">
        <f>F62</f>
        <v>20419.2</v>
      </c>
      <c r="G164" s="593">
        <f t="shared" si="18"/>
        <v>0</v>
      </c>
      <c r="K164" s="404">
        <v>0</v>
      </c>
      <c r="L164" s="404">
        <f t="shared" si="19"/>
        <v>0</v>
      </c>
    </row>
    <row r="165" spans="1:12" ht="21.75" customHeight="1" x14ac:dyDescent="0.4">
      <c r="A165" s="927" t="s">
        <v>215</v>
      </c>
      <c r="B165" s="725"/>
      <c r="C165" s="725"/>
      <c r="D165" s="631" t="s">
        <v>214</v>
      </c>
      <c r="E165" s="634">
        <f t="shared" ref="E165:F171" si="20">E63</f>
        <v>1063</v>
      </c>
      <c r="F165" s="634">
        <f t="shared" si="20"/>
        <v>1068</v>
      </c>
      <c r="G165" s="593">
        <f t="shared" si="18"/>
        <v>5</v>
      </c>
      <c r="K165" s="404">
        <v>0</v>
      </c>
      <c r="L165" s="404">
        <f t="shared" si="19"/>
        <v>5</v>
      </c>
    </row>
    <row r="166" spans="1:12" ht="21.75" customHeight="1" x14ac:dyDescent="0.5">
      <c r="A166" s="1450" t="s">
        <v>122</v>
      </c>
      <c r="B166" s="1450"/>
      <c r="C166" s="1450"/>
      <c r="D166" s="643" t="s">
        <v>214</v>
      </c>
      <c r="E166" s="634">
        <f t="shared" si="20"/>
        <v>94056</v>
      </c>
      <c r="F166" s="634">
        <f t="shared" si="20"/>
        <v>94451</v>
      </c>
      <c r="G166" s="593">
        <f t="shared" si="18"/>
        <v>395</v>
      </c>
      <c r="K166" s="404">
        <v>201.76000000000204</v>
      </c>
      <c r="L166" s="404">
        <f t="shared" si="19"/>
        <v>193.23999999999796</v>
      </c>
    </row>
    <row r="167" spans="1:12" ht="21.75" customHeight="1" x14ac:dyDescent="0.5">
      <c r="A167" s="1450" t="s">
        <v>123</v>
      </c>
      <c r="B167" s="1450"/>
      <c r="C167" s="1450"/>
      <c r="D167" s="643" t="s">
        <v>214</v>
      </c>
      <c r="E167" s="634">
        <f t="shared" si="20"/>
        <v>104578</v>
      </c>
      <c r="F167" s="634">
        <f t="shared" si="20"/>
        <v>104958</v>
      </c>
      <c r="G167" s="593">
        <f t="shared" si="18"/>
        <v>380</v>
      </c>
      <c r="K167" s="404">
        <v>191.63000000000466</v>
      </c>
      <c r="L167" s="404">
        <f t="shared" si="19"/>
        <v>188.36999999999534</v>
      </c>
    </row>
    <row r="168" spans="1:12" ht="21.75" customHeight="1" x14ac:dyDescent="0.5">
      <c r="A168" s="1450" t="s">
        <v>124</v>
      </c>
      <c r="B168" s="1450"/>
      <c r="C168" s="1450"/>
      <c r="D168" s="643" t="s">
        <v>214</v>
      </c>
      <c r="E168" s="634">
        <f t="shared" si="20"/>
        <v>98005</v>
      </c>
      <c r="F168" s="634">
        <f t="shared" si="20"/>
        <v>98413</v>
      </c>
      <c r="G168" s="593">
        <f t="shared" si="18"/>
        <v>408</v>
      </c>
      <c r="K168" s="404">
        <v>231.68000000000029</v>
      </c>
      <c r="L168" s="404">
        <f t="shared" si="19"/>
        <v>176.31999999999971</v>
      </c>
    </row>
    <row r="169" spans="1:12" ht="26.25" customHeight="1" x14ac:dyDescent="0.5">
      <c r="A169" s="1450" t="s">
        <v>125</v>
      </c>
      <c r="B169" s="1450"/>
      <c r="C169" s="1450"/>
      <c r="D169" s="643" t="s">
        <v>214</v>
      </c>
      <c r="E169" s="634">
        <f t="shared" si="20"/>
        <v>160500</v>
      </c>
      <c r="F169" s="634">
        <f t="shared" si="20"/>
        <v>161358</v>
      </c>
      <c r="G169" s="593">
        <f t="shared" si="18"/>
        <v>858</v>
      </c>
      <c r="K169" s="404">
        <v>344.30000000000291</v>
      </c>
      <c r="L169" s="404">
        <f t="shared" si="19"/>
        <v>513.69999999999709</v>
      </c>
    </row>
    <row r="170" spans="1:12" ht="24" customHeight="1" x14ac:dyDescent="0.5">
      <c r="A170" s="1450" t="s">
        <v>126</v>
      </c>
      <c r="B170" s="1450"/>
      <c r="C170" s="1450"/>
      <c r="D170" s="643" t="s">
        <v>214</v>
      </c>
      <c r="E170" s="634">
        <f t="shared" si="20"/>
        <v>50248</v>
      </c>
      <c r="F170" s="634">
        <f t="shared" si="20"/>
        <v>50564</v>
      </c>
      <c r="G170" s="593">
        <f t="shared" si="18"/>
        <v>316</v>
      </c>
      <c r="K170" s="404">
        <v>140.90999999999985</v>
      </c>
      <c r="L170" s="404">
        <f t="shared" si="19"/>
        <v>175.09000000000015</v>
      </c>
    </row>
    <row r="171" spans="1:12" ht="27.75" x14ac:dyDescent="0.5">
      <c r="A171" s="1450" t="s">
        <v>127</v>
      </c>
      <c r="B171" s="1450"/>
      <c r="C171" s="1450"/>
      <c r="D171" s="643" t="s">
        <v>214</v>
      </c>
      <c r="E171" s="634">
        <f t="shared" si="20"/>
        <v>43386</v>
      </c>
      <c r="F171" s="634">
        <f t="shared" si="20"/>
        <v>43668</v>
      </c>
      <c r="G171" s="593">
        <f t="shared" si="18"/>
        <v>282</v>
      </c>
      <c r="K171" s="404">
        <v>57.709999999999127</v>
      </c>
      <c r="L171" s="404">
        <f t="shared" si="19"/>
        <v>224.29000000000087</v>
      </c>
    </row>
    <row r="172" spans="1:12" x14ac:dyDescent="0.5">
      <c r="G172" s="658">
        <f>SUM(G160:G171)</f>
        <v>3470</v>
      </c>
    </row>
    <row r="176" spans="1:12" ht="18.75" customHeight="1" x14ac:dyDescent="0.5"/>
    <row r="177" spans="6:6" ht="21" customHeight="1" x14ac:dyDescent="0.5">
      <c r="F177" s="658" t="s">
        <v>308</v>
      </c>
    </row>
    <row r="301" ht="21" customHeight="1" x14ac:dyDescent="0.5"/>
    <row r="302" ht="21" customHeight="1" x14ac:dyDescent="0.5"/>
    <row r="303" ht="21" customHeight="1" x14ac:dyDescent="0.5"/>
    <row r="304" ht="21" customHeight="1" x14ac:dyDescent="0.5"/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zoomScale="70" zoomScaleNormal="71" zoomScaleSheetLayoutView="70" workbookViewId="0">
      <selection activeCell="A2" activeCellId="1" sqref="A1:XFD1048576 A1:A1048576"/>
    </sheetView>
  </sheetViews>
  <sheetFormatPr defaultColWidth="22.33203125" defaultRowHeight="20.25" x14ac:dyDescent="0.35"/>
  <cols>
    <col min="1" max="1" width="51.21875" style="1145" customWidth="1"/>
    <col min="2" max="2" width="24.88671875" style="1145" customWidth="1"/>
    <col min="3" max="3" width="15.88671875" style="1145" customWidth="1"/>
    <col min="4" max="4" width="13.6640625" style="1145" customWidth="1"/>
    <col min="5" max="5" width="27.77734375" style="1145" customWidth="1"/>
    <col min="6" max="6" width="23.33203125" style="1145" customWidth="1"/>
    <col min="7" max="7" width="15.5546875" style="1145" bestFit="1" customWidth="1"/>
    <col min="8" max="8" width="39.21875" style="1146" customWidth="1"/>
    <col min="9" max="9" width="14.88671875" style="1145" customWidth="1"/>
    <col min="10" max="10" width="24" style="1147" customWidth="1"/>
    <col min="11" max="11" width="43.21875" style="948" hidden="1" customWidth="1"/>
    <col min="12" max="13" width="0" style="948" hidden="1" customWidth="1"/>
    <col min="14" max="14" width="25.109375" style="1148" customWidth="1"/>
    <col min="15" max="15" width="9.33203125" style="948" customWidth="1"/>
    <col min="16" max="16384" width="22.33203125" style="948"/>
  </cols>
  <sheetData>
    <row r="1" spans="1:15" ht="22.5" x14ac:dyDescent="0.45">
      <c r="A1" s="1578" t="s">
        <v>293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x14ac:dyDescent="0.35">
      <c r="A2" s="949" t="s">
        <v>302</v>
      </c>
      <c r="B2" s="1220">
        <v>44187</v>
      </c>
      <c r="C2" s="950" t="s">
        <v>84</v>
      </c>
      <c r="D2" s="951">
        <v>0.38</v>
      </c>
      <c r="E2" s="952"/>
      <c r="F2" s="952"/>
      <c r="G2" s="952" t="s">
        <v>145</v>
      </c>
      <c r="H2" s="952" t="s">
        <v>20</v>
      </c>
      <c r="I2" s="952" t="s">
        <v>22</v>
      </c>
      <c r="J2" s="953" t="s">
        <v>146</v>
      </c>
      <c r="N2" s="1148" t="s">
        <v>145</v>
      </c>
    </row>
    <row r="3" spans="1:15" x14ac:dyDescent="0.35">
      <c r="A3" s="954"/>
      <c r="B3" s="955"/>
      <c r="C3" s="950" t="s">
        <v>147</v>
      </c>
      <c r="D3" s="956">
        <v>29</v>
      </c>
      <c r="E3" s="1581" t="s">
        <v>148</v>
      </c>
      <c r="F3" s="1582"/>
      <c r="G3" s="957">
        <f>'[1]1'!G3</f>
        <v>0</v>
      </c>
      <c r="H3" s="958">
        <f>'[1]1'!H3</f>
        <v>0</v>
      </c>
      <c r="I3" s="958">
        <f>'[1]1'!I3</f>
        <v>0</v>
      </c>
      <c r="J3" s="959">
        <f>'[1]1'!J3</f>
        <v>0</v>
      </c>
      <c r="K3" s="960"/>
      <c r="L3" s="961"/>
      <c r="N3" s="1148">
        <v>0</v>
      </c>
    </row>
    <row r="4" spans="1:15" x14ac:dyDescent="0.35">
      <c r="A4" s="962"/>
      <c r="B4" s="963"/>
      <c r="C4" s="950" t="s">
        <v>149</v>
      </c>
      <c r="D4" s="951">
        <v>0.76</v>
      </c>
      <c r="E4" s="964"/>
      <c r="F4" s="964"/>
      <c r="G4" s="964"/>
      <c r="H4" s="964"/>
      <c r="I4" s="965"/>
      <c r="J4" s="959"/>
      <c r="K4" s="966"/>
      <c r="L4" s="961"/>
    </row>
    <row r="5" spans="1:15" x14ac:dyDescent="0.35">
      <c r="A5" s="967" t="s">
        <v>150</v>
      </c>
      <c r="B5" s="968"/>
      <c r="C5" s="968"/>
      <c r="D5" s="968" t="s">
        <v>151</v>
      </c>
      <c r="E5" s="969" t="s">
        <v>152</v>
      </c>
      <c r="F5" s="969" t="s">
        <v>138</v>
      </c>
      <c r="G5" s="970" t="s">
        <v>153</v>
      </c>
      <c r="H5" s="971" t="s">
        <v>154</v>
      </c>
      <c r="I5" s="972" t="s">
        <v>155</v>
      </c>
      <c r="J5" s="973" t="s">
        <v>156</v>
      </c>
      <c r="K5" s="974"/>
      <c r="L5" s="961"/>
      <c r="N5" s="1148" t="s">
        <v>153</v>
      </c>
    </row>
    <row r="6" spans="1:15" x14ac:dyDescent="0.35">
      <c r="A6" s="1575" t="s">
        <v>157</v>
      </c>
      <c r="B6" s="1576"/>
      <c r="C6" s="1577"/>
      <c r="D6" s="975"/>
      <c r="E6" s="975"/>
      <c r="F6" s="975"/>
      <c r="G6" s="975"/>
      <c r="H6" s="976"/>
      <c r="I6" s="976"/>
      <c r="J6" s="977"/>
      <c r="K6" s="978"/>
      <c r="L6" s="961"/>
    </row>
    <row r="7" spans="1:15" ht="21" thickBot="1" x14ac:dyDescent="0.4">
      <c r="A7" s="979" t="s">
        <v>158</v>
      </c>
      <c r="B7" s="980"/>
      <c r="C7" s="980"/>
      <c r="D7" s="981" t="s">
        <v>159</v>
      </c>
      <c r="E7" s="982">
        <f>'[1]21'!F7</f>
        <v>3093428</v>
      </c>
      <c r="F7" s="982">
        <v>3111256</v>
      </c>
      <c r="G7" s="983">
        <f>F7-E7</f>
        <v>17828</v>
      </c>
      <c r="H7" s="984">
        <f>G7+'[1]21'!H7</f>
        <v>442811</v>
      </c>
      <c r="I7" s="985">
        <f>'[1]1'!I7</f>
        <v>12000</v>
      </c>
      <c r="J7" s="986">
        <f>H7/DAY(B2)</f>
        <v>20127.772727272728</v>
      </c>
      <c r="K7" s="987"/>
      <c r="L7" s="961"/>
      <c r="N7" s="1148">
        <v>12493</v>
      </c>
      <c r="O7" s="988">
        <f>N7-G7</f>
        <v>-5335</v>
      </c>
    </row>
    <row r="8" spans="1:15" ht="21" thickBot="1" x14ac:dyDescent="0.4">
      <c r="A8" s="989" t="s">
        <v>160</v>
      </c>
      <c r="B8" s="990"/>
      <c r="C8" s="991"/>
      <c r="D8" s="992" t="s">
        <v>39</v>
      </c>
      <c r="E8" s="982">
        <f>'[1]21'!F8</f>
        <v>3111663</v>
      </c>
      <c r="F8" s="993">
        <v>3129722</v>
      </c>
      <c r="G8" s="994">
        <f>F8-E8</f>
        <v>18059</v>
      </c>
      <c r="H8" s="984">
        <f>G8+'[1]21'!H8</f>
        <v>446683</v>
      </c>
      <c r="I8" s="995">
        <f>'[1]1'!I8</f>
        <v>12000</v>
      </c>
      <c r="J8" s="986">
        <f>H8/DAY(B2)</f>
        <v>20303.772727272728</v>
      </c>
      <c r="K8" s="987"/>
      <c r="L8" s="996"/>
      <c r="M8" s="997"/>
      <c r="N8" s="1148">
        <v>12551</v>
      </c>
      <c r="O8" s="988">
        <f t="shared" ref="O8:O71" si="0">N8-G8</f>
        <v>-5508</v>
      </c>
    </row>
    <row r="9" spans="1:15" x14ac:dyDescent="0.35">
      <c r="A9" s="998" t="s">
        <v>161</v>
      </c>
      <c r="B9" s="999"/>
      <c r="C9" s="999"/>
      <c r="D9" s="981" t="s">
        <v>159</v>
      </c>
      <c r="E9" s="982">
        <f>'[1]21'!F9</f>
        <v>2378079</v>
      </c>
      <c r="F9" s="1000">
        <v>2380742</v>
      </c>
      <c r="G9" s="983">
        <f t="shared" ref="G9:G12" si="1">F9-E9</f>
        <v>2663</v>
      </c>
      <c r="H9" s="984">
        <f>G9+'[1]21'!H9</f>
        <v>123705.5</v>
      </c>
      <c r="I9" s="1001">
        <f>I8-J8</f>
        <v>-8303.7727272727279</v>
      </c>
      <c r="J9" s="986">
        <f>H9/DAY(B2)</f>
        <v>5622.977272727273</v>
      </c>
      <c r="K9" s="1002"/>
      <c r="L9" s="961"/>
      <c r="N9" s="1148">
        <v>12017.049999999988</v>
      </c>
      <c r="O9" s="988">
        <f t="shared" si="0"/>
        <v>9354.0499999999884</v>
      </c>
    </row>
    <row r="10" spans="1:15" x14ac:dyDescent="0.35">
      <c r="A10" s="979" t="s">
        <v>162</v>
      </c>
      <c r="B10" s="980"/>
      <c r="C10" s="980"/>
      <c r="D10" s="981" t="s">
        <v>159</v>
      </c>
      <c r="E10" s="982">
        <f>'[1]21'!F10</f>
        <v>591824</v>
      </c>
      <c r="F10" s="1000">
        <v>606269</v>
      </c>
      <c r="G10" s="983">
        <f t="shared" si="1"/>
        <v>14445</v>
      </c>
      <c r="H10" s="984">
        <f>G10+'[1]21'!H10</f>
        <v>303318.71000000002</v>
      </c>
      <c r="I10" s="1003"/>
      <c r="J10" s="986">
        <f>H10/DAY(B2)</f>
        <v>13787.214090909092</v>
      </c>
      <c r="K10" s="1002"/>
      <c r="L10" s="961"/>
      <c r="N10" s="1148">
        <v>0</v>
      </c>
      <c r="O10" s="988">
        <f t="shared" si="0"/>
        <v>-14445</v>
      </c>
    </row>
    <row r="11" spans="1:15" x14ac:dyDescent="0.35">
      <c r="A11" s="979" t="s">
        <v>163</v>
      </c>
      <c r="B11" s="980"/>
      <c r="C11" s="980"/>
      <c r="D11" s="981" t="s">
        <v>159</v>
      </c>
      <c r="E11" s="982">
        <f>'[1]21'!F11</f>
        <v>35390</v>
      </c>
      <c r="F11" s="982">
        <v>35390</v>
      </c>
      <c r="G11" s="983">
        <f t="shared" si="1"/>
        <v>0</v>
      </c>
      <c r="H11" s="984">
        <f>G11+'[1]21'!H11</f>
        <v>0</v>
      </c>
      <c r="I11" s="1003"/>
      <c r="J11" s="986">
        <f>H11/DAY(B2)</f>
        <v>0</v>
      </c>
      <c r="K11" s="1002"/>
      <c r="L11" s="961"/>
      <c r="N11" s="1148">
        <v>0</v>
      </c>
      <c r="O11" s="988">
        <f t="shared" si="0"/>
        <v>0</v>
      </c>
    </row>
    <row r="12" spans="1:15" x14ac:dyDescent="0.35">
      <c r="A12" s="979" t="s">
        <v>164</v>
      </c>
      <c r="B12" s="980"/>
      <c r="C12" s="980"/>
      <c r="D12" s="981" t="s">
        <v>159</v>
      </c>
      <c r="E12" s="982">
        <f>'[1]21'!F12</f>
        <v>37630</v>
      </c>
      <c r="F12" s="1000">
        <v>37630</v>
      </c>
      <c r="G12" s="983">
        <f t="shared" si="1"/>
        <v>0</v>
      </c>
      <c r="H12" s="984">
        <f>G12+'[1]21'!H12</f>
        <v>0</v>
      </c>
      <c r="I12" s="1003"/>
      <c r="J12" s="986">
        <f>H12/DAY(B2)</f>
        <v>0</v>
      </c>
      <c r="K12" s="1002"/>
      <c r="L12" s="961"/>
      <c r="N12" s="1148">
        <v>0</v>
      </c>
      <c r="O12" s="988">
        <f t="shared" si="0"/>
        <v>0</v>
      </c>
    </row>
    <row r="13" spans="1:15" x14ac:dyDescent="0.35">
      <c r="A13" s="1004" t="s">
        <v>165</v>
      </c>
      <c r="B13" s="1005"/>
      <c r="C13" s="1005"/>
      <c r="D13" s="981"/>
      <c r="E13" s="982"/>
      <c r="F13" s="982"/>
      <c r="G13" s="1006">
        <f>G9+G10+G11+G12</f>
        <v>17108</v>
      </c>
      <c r="H13" s="984">
        <f>G13+'[1]21'!H13</f>
        <v>405164.9</v>
      </c>
      <c r="I13" s="1007">
        <f>G7-G13</f>
        <v>720</v>
      </c>
      <c r="J13" s="986">
        <f>H13/DAY(B2)</f>
        <v>18416.586363636365</v>
      </c>
      <c r="K13" s="1002"/>
      <c r="L13" s="961"/>
      <c r="N13" s="1148">
        <v>12017.049999999988</v>
      </c>
      <c r="O13" s="988">
        <f t="shared" si="0"/>
        <v>-5090.9500000000116</v>
      </c>
    </row>
    <row r="14" spans="1:15" x14ac:dyDescent="0.35">
      <c r="A14" s="1569" t="s">
        <v>166</v>
      </c>
      <c r="B14" s="1570"/>
      <c r="C14" s="1571"/>
      <c r="D14" s="976"/>
      <c r="E14" s="976"/>
      <c r="F14" s="976"/>
      <c r="G14" s="1008"/>
      <c r="H14" s="976"/>
      <c r="I14" s="976"/>
      <c r="J14" s="977"/>
      <c r="K14" s="1009"/>
      <c r="L14" s="961"/>
      <c r="O14" s="988">
        <f t="shared" si="0"/>
        <v>0</v>
      </c>
    </row>
    <row r="15" spans="1:15" x14ac:dyDescent="0.35">
      <c r="A15" s="1010" t="s">
        <v>167</v>
      </c>
      <c r="B15" s="1011"/>
      <c r="C15" s="1011"/>
      <c r="D15" s="981" t="s">
        <v>168</v>
      </c>
      <c r="E15" s="982">
        <f>'[1]21'!F15</f>
        <v>1561521</v>
      </c>
      <c r="F15" s="1012">
        <v>1562212</v>
      </c>
      <c r="G15" s="983">
        <f>(F15-E15)</f>
        <v>691</v>
      </c>
      <c r="H15" s="984">
        <f>G15+'[1]21'!H15</f>
        <v>15314.398999999976</v>
      </c>
      <c r="I15" s="985">
        <v>800</v>
      </c>
      <c r="J15" s="986">
        <f>H15/DAY(B2)</f>
        <v>696.10904545454434</v>
      </c>
      <c r="K15" s="1002"/>
      <c r="L15" s="961"/>
      <c r="N15" s="1148">
        <v>499.20999999996275</v>
      </c>
      <c r="O15" s="988">
        <f t="shared" si="0"/>
        <v>-191.79000000003725</v>
      </c>
    </row>
    <row r="16" spans="1:15" x14ac:dyDescent="0.35">
      <c r="A16" s="1013"/>
      <c r="B16" s="1014"/>
      <c r="C16" s="1014"/>
      <c r="D16" s="1015"/>
      <c r="E16" s="1016"/>
      <c r="F16" s="1016"/>
      <c r="G16" s="983"/>
      <c r="H16" s="1017"/>
      <c r="I16" s="1018">
        <f>I15-J15</f>
        <v>103.89095454545566</v>
      </c>
      <c r="J16" s="1019"/>
      <c r="K16" s="1002"/>
      <c r="L16" s="961"/>
      <c r="O16" s="988">
        <f t="shared" si="0"/>
        <v>0</v>
      </c>
    </row>
    <row r="17" spans="1:15" x14ac:dyDescent="0.35">
      <c r="A17" s="1569" t="s">
        <v>169</v>
      </c>
      <c r="B17" s="1570"/>
      <c r="C17" s="1571"/>
      <c r="D17" s="976"/>
      <c r="E17" s="976"/>
      <c r="F17" s="976"/>
      <c r="G17" s="1020"/>
      <c r="H17" s="976"/>
      <c r="I17" s="976"/>
      <c r="J17" s="977"/>
      <c r="K17" s="1002"/>
      <c r="L17" s="961"/>
      <c r="O17" s="988">
        <f t="shared" si="0"/>
        <v>0</v>
      </c>
    </row>
    <row r="18" spans="1:15" x14ac:dyDescent="0.35">
      <c r="A18" s="1566" t="s">
        <v>170</v>
      </c>
      <c r="B18" s="1567"/>
      <c r="C18" s="1568"/>
      <c r="D18" s="981" t="s">
        <v>171</v>
      </c>
      <c r="E18" s="982">
        <f>'[1]21'!F18</f>
        <v>12</v>
      </c>
      <c r="F18" s="1012">
        <v>10</v>
      </c>
      <c r="G18" s="1006">
        <f>F18*10</f>
        <v>100</v>
      </c>
      <c r="H18" s="984">
        <f>G18+'[1]21'!H18</f>
        <v>2960</v>
      </c>
      <c r="I18" s="985">
        <f>'[1]1'!I18</f>
        <v>65</v>
      </c>
      <c r="J18" s="986">
        <f>H18/DAY(B2)</f>
        <v>134.54545454545453</v>
      </c>
      <c r="K18" s="1002"/>
      <c r="L18" s="961"/>
      <c r="N18" s="1148">
        <v>20</v>
      </c>
      <c r="O18" s="988">
        <f t="shared" si="0"/>
        <v>-80</v>
      </c>
    </row>
    <row r="19" spans="1:15" x14ac:dyDescent="0.35">
      <c r="A19" s="1566" t="s">
        <v>86</v>
      </c>
      <c r="B19" s="1567"/>
      <c r="C19" s="1568"/>
      <c r="D19" s="981" t="s">
        <v>171</v>
      </c>
      <c r="E19" s="982">
        <f>'[1]21'!F19</f>
        <v>130952</v>
      </c>
      <c r="F19" s="1012">
        <v>131007</v>
      </c>
      <c r="G19" s="983">
        <f t="shared" ref="G19" si="2">F19-E19</f>
        <v>55</v>
      </c>
      <c r="H19" s="984">
        <f>G19+'[1]21'!H19</f>
        <v>1206</v>
      </c>
      <c r="I19" s="1021"/>
      <c r="J19" s="986">
        <f>H19/DAY(B2)</f>
        <v>54.81818181818182</v>
      </c>
      <c r="K19" s="1002"/>
      <c r="L19" s="961"/>
      <c r="N19" s="1148">
        <v>53</v>
      </c>
      <c r="O19" s="988">
        <f t="shared" si="0"/>
        <v>-2</v>
      </c>
    </row>
    <row r="20" spans="1:15" x14ac:dyDescent="0.35">
      <c r="A20" s="1004" t="s">
        <v>172</v>
      </c>
      <c r="B20" s="1005"/>
      <c r="C20" s="1005"/>
      <c r="D20" s="1022"/>
      <c r="E20" s="1022"/>
      <c r="F20" s="1022"/>
      <c r="G20" s="1023">
        <f>G18+G19</f>
        <v>155</v>
      </c>
      <c r="H20" s="984">
        <f>G20+'[1]21'!H20</f>
        <v>4166</v>
      </c>
      <c r="I20" s="1024">
        <f>I18-J20</f>
        <v>-124.36363636363637</v>
      </c>
      <c r="J20" s="986">
        <f>H20/DAY(B2)</f>
        <v>189.36363636363637</v>
      </c>
      <c r="K20" s="1002"/>
      <c r="L20" s="961"/>
      <c r="N20" s="1148">
        <v>73</v>
      </c>
      <c r="O20" s="988">
        <f t="shared" si="0"/>
        <v>-82</v>
      </c>
    </row>
    <row r="21" spans="1:15" x14ac:dyDescent="0.35">
      <c r="A21" s="1569" t="s">
        <v>173</v>
      </c>
      <c r="B21" s="1570"/>
      <c r="C21" s="1571"/>
      <c r="D21" s="976"/>
      <c r="E21" s="976"/>
      <c r="F21" s="976"/>
      <c r="G21" s="1008"/>
      <c r="H21" s="976"/>
      <c r="I21" s="976"/>
      <c r="J21" s="977"/>
      <c r="K21" s="1002"/>
      <c r="L21" s="961"/>
      <c r="O21" s="988">
        <f t="shared" si="0"/>
        <v>0</v>
      </c>
    </row>
    <row r="22" spans="1:15" x14ac:dyDescent="0.35">
      <c r="A22" s="1010" t="s">
        <v>174</v>
      </c>
      <c r="B22" s="1011"/>
      <c r="C22" s="1011"/>
      <c r="D22" s="981" t="s">
        <v>175</v>
      </c>
      <c r="E22" s="1012">
        <f>'[1]21'!F22</f>
        <v>2250</v>
      </c>
      <c r="F22" s="1012">
        <v>2250</v>
      </c>
      <c r="G22" s="1006">
        <f>(F22-E22)</f>
        <v>0</v>
      </c>
      <c r="H22" s="984">
        <f>G22+'[1]21'!H22</f>
        <v>0</v>
      </c>
      <c r="I22" s="1003"/>
      <c r="J22" s="986">
        <f>H22/DAY(B2)</f>
        <v>0</v>
      </c>
      <c r="K22" s="1002"/>
      <c r="L22" s="961"/>
      <c r="N22" s="1148">
        <v>0</v>
      </c>
      <c r="O22" s="988">
        <f t="shared" si="0"/>
        <v>0</v>
      </c>
    </row>
    <row r="23" spans="1:15" x14ac:dyDescent="0.35">
      <c r="A23" s="1010" t="s">
        <v>176</v>
      </c>
      <c r="B23" s="1011"/>
      <c r="C23" s="1011"/>
      <c r="D23" s="981" t="s">
        <v>175</v>
      </c>
      <c r="E23" s="1012">
        <f>'[1]21'!F23</f>
        <v>2000</v>
      </c>
      <c r="F23" s="1012">
        <v>2000</v>
      </c>
      <c r="G23" s="1006">
        <v>0</v>
      </c>
      <c r="H23" s="984">
        <f>G23+'[1]21'!H23</f>
        <v>0</v>
      </c>
      <c r="I23" s="1003"/>
      <c r="J23" s="986">
        <f>H23/DAY(B2)</f>
        <v>0</v>
      </c>
      <c r="K23" s="1002"/>
      <c r="L23" s="961"/>
      <c r="N23" s="1148">
        <v>0</v>
      </c>
      <c r="O23" s="988">
        <f t="shared" si="0"/>
        <v>0</v>
      </c>
    </row>
    <row r="24" spans="1:15" x14ac:dyDescent="0.35">
      <c r="A24" s="1025" t="s">
        <v>177</v>
      </c>
      <c r="B24" s="1026"/>
      <c r="C24" s="1026"/>
      <c r="D24" s="968" t="s">
        <v>175</v>
      </c>
      <c r="E24" s="1012">
        <f>'[1]21'!F24</f>
        <v>4250</v>
      </c>
      <c r="F24" s="1027">
        <v>4250</v>
      </c>
      <c r="G24" s="1006">
        <v>0</v>
      </c>
      <c r="H24" s="984">
        <f>G24+'[1]21'!H24</f>
        <v>0</v>
      </c>
      <c r="I24" s="1003"/>
      <c r="J24" s="986">
        <f>H24/DAY(B2)</f>
        <v>0</v>
      </c>
      <c r="K24" s="1002"/>
      <c r="L24" s="961"/>
      <c r="N24" s="1148">
        <v>0</v>
      </c>
      <c r="O24" s="988">
        <f t="shared" si="0"/>
        <v>0</v>
      </c>
    </row>
    <row r="25" spans="1:15" s="1033" customFormat="1" x14ac:dyDescent="0.3">
      <c r="A25" s="1575" t="s">
        <v>178</v>
      </c>
      <c r="B25" s="1576"/>
      <c r="C25" s="1577"/>
      <c r="D25" s="975"/>
      <c r="E25" s="975"/>
      <c r="F25" s="975"/>
      <c r="G25" s="1028"/>
      <c r="H25" s="1029"/>
      <c r="I25" s="1030"/>
      <c r="J25" s="1031"/>
      <c r="K25" s="1002"/>
      <c r="L25" s="1032"/>
      <c r="N25" s="1149"/>
      <c r="O25" s="988">
        <f t="shared" si="0"/>
        <v>0</v>
      </c>
    </row>
    <row r="26" spans="1:15" s="1033" customFormat="1" x14ac:dyDescent="0.35">
      <c r="A26" s="1034" t="s">
        <v>179</v>
      </c>
      <c r="B26" s="1035"/>
      <c r="C26" s="1036"/>
      <c r="D26" s="1037" t="s">
        <v>180</v>
      </c>
      <c r="E26" s="1038"/>
      <c r="F26" s="1038"/>
      <c r="G26" s="1039"/>
      <c r="H26" s="984"/>
      <c r="I26" s="1040"/>
      <c r="J26" s="986"/>
      <c r="K26" s="1009"/>
      <c r="L26" s="1032"/>
      <c r="N26" s="1149"/>
      <c r="O26" s="988">
        <f t="shared" si="0"/>
        <v>0</v>
      </c>
    </row>
    <row r="27" spans="1:15" s="1033" customFormat="1" ht="22.5" x14ac:dyDescent="0.4">
      <c r="A27" s="1034" t="s">
        <v>20</v>
      </c>
      <c r="B27" s="1035"/>
      <c r="C27" s="1036"/>
      <c r="D27" s="1041" t="s">
        <v>39</v>
      </c>
      <c r="E27" s="1042">
        <f>G8</f>
        <v>18059</v>
      </c>
      <c r="F27" s="621">
        <v>9.5</v>
      </c>
      <c r="G27" s="1043">
        <f>E27*F27</f>
        <v>171560.5</v>
      </c>
      <c r="H27" s="984">
        <f>G27+'[1]21'!H27</f>
        <v>4243488.5</v>
      </c>
      <c r="I27" s="1044"/>
      <c r="J27" s="986">
        <f>H27/DAY(B2)</f>
        <v>192885.84090909091</v>
      </c>
      <c r="K27" s="1002"/>
      <c r="L27" s="1032"/>
      <c r="N27" s="1149">
        <v>125510</v>
      </c>
      <c r="O27" s="988">
        <f t="shared" si="0"/>
        <v>-46050.5</v>
      </c>
    </row>
    <row r="28" spans="1:15" s="1033" customFormat="1" ht="22.5" x14ac:dyDescent="0.4">
      <c r="A28" s="1034" t="s">
        <v>181</v>
      </c>
      <c r="B28" s="1035"/>
      <c r="C28" s="1036"/>
      <c r="D28" s="1041" t="s">
        <v>182</v>
      </c>
      <c r="E28" s="1042">
        <f>G15</f>
        <v>691</v>
      </c>
      <c r="F28" s="621">
        <v>36.5</v>
      </c>
      <c r="G28" s="1043">
        <f>E28*F28</f>
        <v>25221.5</v>
      </c>
      <c r="H28" s="984">
        <f>G28+'[1]21'!H28</f>
        <v>558975.56349999912</v>
      </c>
      <c r="I28" s="1045"/>
      <c r="J28" s="986">
        <f>H28/DAY(B2)</f>
        <v>25407.980159090868</v>
      </c>
      <c r="K28" s="1002"/>
      <c r="L28" s="1032"/>
      <c r="N28" s="1149">
        <v>17472.349999998696</v>
      </c>
      <c r="O28" s="988">
        <f t="shared" si="0"/>
        <v>-7749.1500000013039</v>
      </c>
    </row>
    <row r="29" spans="1:15" s="1033" customFormat="1" ht="22.5" x14ac:dyDescent="0.4">
      <c r="A29" s="1034" t="s">
        <v>183</v>
      </c>
      <c r="B29" s="1035"/>
      <c r="C29" s="1036"/>
      <c r="D29" s="1041" t="s">
        <v>184</v>
      </c>
      <c r="E29" s="1042">
        <f>G24</f>
        <v>0</v>
      </c>
      <c r="F29" s="621">
        <v>69</v>
      </c>
      <c r="G29" s="1043">
        <f>E29*F29</f>
        <v>0</v>
      </c>
      <c r="H29" s="984">
        <f>G29+'[1]21'!H29</f>
        <v>0</v>
      </c>
      <c r="I29" s="1045"/>
      <c r="J29" s="986">
        <f>H29/DAY(B2)</f>
        <v>0</v>
      </c>
      <c r="K29" s="1002"/>
      <c r="L29" s="1032"/>
      <c r="N29" s="1149">
        <v>0</v>
      </c>
      <c r="O29" s="988">
        <f t="shared" si="0"/>
        <v>0</v>
      </c>
    </row>
    <row r="30" spans="1:15" s="1033" customFormat="1" ht="22.5" x14ac:dyDescent="0.4">
      <c r="A30" s="1034" t="s">
        <v>185</v>
      </c>
      <c r="B30" s="1035"/>
      <c r="C30" s="1036"/>
      <c r="D30" s="1041" t="s">
        <v>186</v>
      </c>
      <c r="E30" s="1042">
        <f>G19</f>
        <v>55</v>
      </c>
      <c r="F30" s="621">
        <v>145</v>
      </c>
      <c r="G30" s="1043">
        <f>E30*F30</f>
        <v>7975</v>
      </c>
      <c r="H30" s="984">
        <f>G30+'[1]21'!H30</f>
        <v>174870</v>
      </c>
      <c r="I30" s="1045"/>
      <c r="J30" s="986">
        <f>H30/DAY(B2)</f>
        <v>7948.636363636364</v>
      </c>
      <c r="K30" s="1002"/>
      <c r="L30" s="1032"/>
      <c r="N30" s="1149">
        <v>7102</v>
      </c>
      <c r="O30" s="988">
        <f t="shared" si="0"/>
        <v>-873</v>
      </c>
    </row>
    <row r="31" spans="1:15" s="1033" customFormat="1" ht="22.5" x14ac:dyDescent="0.4">
      <c r="A31" s="1034" t="s">
        <v>187</v>
      </c>
      <c r="B31" s="1035"/>
      <c r="C31" s="1036"/>
      <c r="D31" s="1041" t="s">
        <v>171</v>
      </c>
      <c r="E31" s="1042">
        <f>G18</f>
        <v>100</v>
      </c>
      <c r="F31" s="621">
        <v>80</v>
      </c>
      <c r="G31" s="1043">
        <f>E31*F31</f>
        <v>8000</v>
      </c>
      <c r="H31" s="984">
        <f>G31+'[1]21'!H31</f>
        <v>235200</v>
      </c>
      <c r="I31" s="1045"/>
      <c r="J31" s="986">
        <f>H31/DAY(B2)</f>
        <v>10690.90909090909</v>
      </c>
      <c r="K31" s="1002"/>
      <c r="L31" s="1032"/>
      <c r="N31" s="1149">
        <v>1600</v>
      </c>
      <c r="O31" s="988">
        <f t="shared" si="0"/>
        <v>-6400</v>
      </c>
    </row>
    <row r="32" spans="1:15" s="1033" customFormat="1" x14ac:dyDescent="0.35">
      <c r="A32" s="1046" t="s">
        <v>188</v>
      </c>
      <c r="B32" s="1047"/>
      <c r="C32" s="1048"/>
      <c r="D32" s="1049"/>
      <c r="E32" s="1049"/>
      <c r="F32" s="1049"/>
      <c r="G32" s="1050">
        <f>G27+G28+G29+G30+G31</f>
        <v>212757</v>
      </c>
      <c r="H32" s="984">
        <f>G32+'[1]21'!H32</f>
        <v>5212534.0634999992</v>
      </c>
      <c r="I32" s="1051"/>
      <c r="J32" s="986">
        <f>H32/DAY(B2)</f>
        <v>236933.36652272724</v>
      </c>
      <c r="K32" s="1002"/>
      <c r="L32" s="1032"/>
      <c r="N32" s="1149">
        <v>151684.3499999987</v>
      </c>
      <c r="O32" s="988">
        <f t="shared" si="0"/>
        <v>-61072.650000001304</v>
      </c>
    </row>
    <row r="33" spans="1:15" ht="18.75" x14ac:dyDescent="0.3">
      <c r="A33" s="1572" t="s">
        <v>189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1002"/>
      <c r="L33" s="961"/>
      <c r="O33" s="988">
        <f t="shared" si="0"/>
        <v>0</v>
      </c>
    </row>
    <row r="34" spans="1:15" x14ac:dyDescent="0.35">
      <c r="A34" s="1052" t="s">
        <v>190</v>
      </c>
      <c r="B34" s="1053"/>
      <c r="C34" s="1053"/>
      <c r="D34" s="976"/>
      <c r="E34" s="975"/>
      <c r="F34" s="975"/>
      <c r="G34" s="976"/>
      <c r="H34" s="976"/>
      <c r="I34" s="976"/>
      <c r="J34" s="977"/>
      <c r="K34" s="1002"/>
      <c r="L34" s="961"/>
      <c r="O34" s="988">
        <f t="shared" si="0"/>
        <v>0</v>
      </c>
    </row>
    <row r="35" spans="1:15" x14ac:dyDescent="0.35">
      <c r="A35" s="979" t="s">
        <v>191</v>
      </c>
      <c r="B35" s="980"/>
      <c r="C35" s="980"/>
      <c r="D35" s="981" t="s">
        <v>159</v>
      </c>
      <c r="E35" s="982">
        <f>'[1]21'!F35</f>
        <v>629027</v>
      </c>
      <c r="F35" s="1054">
        <v>629027</v>
      </c>
      <c r="G35" s="983">
        <f t="shared" ref="G35:G46" si="3">F35-E35</f>
        <v>0</v>
      </c>
      <c r="H35" s="984">
        <f>G35+'[1]21'!H35</f>
        <v>0</v>
      </c>
      <c r="I35" s="982"/>
      <c r="J35" s="986">
        <f>H35/DAY(B2)</f>
        <v>0</v>
      </c>
      <c r="K35" s="1002"/>
      <c r="L35" s="961"/>
      <c r="N35" s="1148">
        <v>1529.8400000000256</v>
      </c>
      <c r="O35" s="988">
        <f t="shared" si="0"/>
        <v>1529.8400000000256</v>
      </c>
    </row>
    <row r="36" spans="1:15" x14ac:dyDescent="0.35">
      <c r="A36" s="979" t="s">
        <v>192</v>
      </c>
      <c r="B36" s="980"/>
      <c r="C36" s="980"/>
      <c r="D36" s="981" t="s">
        <v>159</v>
      </c>
      <c r="E36" s="982">
        <f>'[1]21'!F36</f>
        <v>246947</v>
      </c>
      <c r="F36" s="1054">
        <v>247672</v>
      </c>
      <c r="G36" s="983">
        <f t="shared" si="3"/>
        <v>725</v>
      </c>
      <c r="H36" s="984">
        <f>G36+'[1]21'!H36</f>
        <v>18586.26999999999</v>
      </c>
      <c r="I36" s="982"/>
      <c r="J36" s="986">
        <f>H36/DAY(B2)</f>
        <v>844.83045454545402</v>
      </c>
      <c r="K36" s="1002"/>
      <c r="L36" s="961"/>
      <c r="N36" s="1148">
        <v>466.20999999999185</v>
      </c>
      <c r="O36" s="988">
        <f t="shared" si="0"/>
        <v>-258.79000000000815</v>
      </c>
    </row>
    <row r="37" spans="1:15" x14ac:dyDescent="0.35">
      <c r="A37" s="979" t="s">
        <v>193</v>
      </c>
      <c r="B37" s="980"/>
      <c r="C37" s="980"/>
      <c r="D37" s="981" t="s">
        <v>159</v>
      </c>
      <c r="E37" s="982">
        <f>'[1]21'!F37</f>
        <v>415066</v>
      </c>
      <c r="F37" s="1054">
        <v>415066</v>
      </c>
      <c r="G37" s="983">
        <f t="shared" si="3"/>
        <v>0</v>
      </c>
      <c r="H37" s="984">
        <f>G37+'[1]21'!H37</f>
        <v>0</v>
      </c>
      <c r="I37" s="982"/>
      <c r="J37" s="986">
        <f>H37/DAY(B2)</f>
        <v>0</v>
      </c>
      <c r="K37" s="1002"/>
      <c r="L37" s="961"/>
      <c r="N37" s="1148">
        <v>1215.359999999986</v>
      </c>
      <c r="O37" s="988">
        <f t="shared" si="0"/>
        <v>1215.359999999986</v>
      </c>
    </row>
    <row r="38" spans="1:15" x14ac:dyDescent="0.35">
      <c r="A38" s="979" t="s">
        <v>194</v>
      </c>
      <c r="B38" s="980"/>
      <c r="C38" s="980"/>
      <c r="D38" s="981" t="s">
        <v>159</v>
      </c>
      <c r="E38" s="982">
        <f>'[1]21'!F38</f>
        <v>150714.38</v>
      </c>
      <c r="F38" s="971">
        <v>150714.38</v>
      </c>
      <c r="G38" s="983">
        <f t="shared" si="3"/>
        <v>0</v>
      </c>
      <c r="H38" s="984">
        <f>G38+'[1]21'!H38</f>
        <v>0.38000000000465661</v>
      </c>
      <c r="I38" s="982"/>
      <c r="J38" s="986">
        <f>H38/DAY(B2)</f>
        <v>1.7272727272938937E-2</v>
      </c>
      <c r="K38" s="1002"/>
      <c r="L38" s="961"/>
      <c r="N38" s="1148">
        <v>0</v>
      </c>
      <c r="O38" s="988">
        <f t="shared" si="0"/>
        <v>0</v>
      </c>
    </row>
    <row r="39" spans="1:15" x14ac:dyDescent="0.35">
      <c r="A39" s="979" t="s">
        <v>195</v>
      </c>
      <c r="B39" s="980"/>
      <c r="C39" s="980"/>
      <c r="D39" s="981" t="s">
        <v>159</v>
      </c>
      <c r="E39" s="982">
        <f>'[1]21'!F39</f>
        <v>912480</v>
      </c>
      <c r="F39" s="1054">
        <v>912480</v>
      </c>
      <c r="G39" s="983">
        <f t="shared" si="3"/>
        <v>0</v>
      </c>
      <c r="H39" s="984">
        <f>G39+'[1]21'!H39</f>
        <v>0</v>
      </c>
      <c r="I39" s="982"/>
      <c r="J39" s="986">
        <f>H39/DAY(B2)</f>
        <v>0</v>
      </c>
      <c r="K39" s="1002"/>
      <c r="L39" s="961"/>
      <c r="N39" s="1148">
        <v>2046.7600000000093</v>
      </c>
      <c r="O39" s="988">
        <f t="shared" si="0"/>
        <v>2046.7600000000093</v>
      </c>
    </row>
    <row r="40" spans="1:15" x14ac:dyDescent="0.35">
      <c r="A40" s="1055" t="s">
        <v>196</v>
      </c>
      <c r="B40" s="1056"/>
      <c r="C40" s="1056"/>
      <c r="D40" s="981" t="s">
        <v>159</v>
      </c>
      <c r="E40" s="982">
        <f>'[1]21'!F40</f>
        <v>0</v>
      </c>
      <c r="F40" s="1054">
        <v>0</v>
      </c>
      <c r="G40" s="983">
        <f t="shared" si="3"/>
        <v>0</v>
      </c>
      <c r="H40" s="984">
        <f>G40+'[1]21'!H40</f>
        <v>0</v>
      </c>
      <c r="I40" s="982"/>
      <c r="J40" s="986">
        <f>H40/DAY(B2)</f>
        <v>0</v>
      </c>
      <c r="K40" s="1009"/>
      <c r="L40" s="961"/>
      <c r="N40" s="1148">
        <v>0</v>
      </c>
      <c r="O40" s="988">
        <f t="shared" si="0"/>
        <v>0</v>
      </c>
    </row>
    <row r="41" spans="1:15" x14ac:dyDescent="0.35">
      <c r="A41" s="979" t="s">
        <v>197</v>
      </c>
      <c r="B41" s="980"/>
      <c r="C41" s="980"/>
      <c r="D41" s="981" t="s">
        <v>159</v>
      </c>
      <c r="E41" s="982">
        <f>'[1]21'!F41</f>
        <v>300127.95</v>
      </c>
      <c r="F41" s="1054">
        <v>300127.95</v>
      </c>
      <c r="G41" s="983">
        <f t="shared" si="3"/>
        <v>0</v>
      </c>
      <c r="H41" s="984">
        <f>G41+'[1]21'!H41</f>
        <v>0</v>
      </c>
      <c r="I41" s="982"/>
      <c r="J41" s="986">
        <f>H41/DAY(B2)</f>
        <v>0</v>
      </c>
      <c r="K41" s="1002"/>
      <c r="L41" s="961"/>
      <c r="N41" s="1148">
        <v>0.95000000001164153</v>
      </c>
      <c r="O41" s="988">
        <f t="shared" si="0"/>
        <v>0.95000000001164153</v>
      </c>
    </row>
    <row r="42" spans="1:15" x14ac:dyDescent="0.35">
      <c r="A42" s="979" t="s">
        <v>198</v>
      </c>
      <c r="B42" s="980"/>
      <c r="C42" s="980"/>
      <c r="D42" s="981" t="s">
        <v>159</v>
      </c>
      <c r="E42" s="982">
        <f>'[1]21'!F42</f>
        <v>58926</v>
      </c>
      <c r="F42" s="1054">
        <v>58926</v>
      </c>
      <c r="G42" s="983">
        <f t="shared" si="3"/>
        <v>0</v>
      </c>
      <c r="H42" s="984">
        <f>G42+'[1]21'!H42</f>
        <v>58926</v>
      </c>
      <c r="I42" s="982"/>
      <c r="J42" s="986">
        <f>H42/DAY(B2)</f>
        <v>2678.4545454545455</v>
      </c>
      <c r="K42" s="1002"/>
      <c r="L42" s="961"/>
      <c r="N42" s="1148">
        <v>3270.130000000001</v>
      </c>
      <c r="O42" s="988">
        <f t="shared" si="0"/>
        <v>3270.130000000001</v>
      </c>
    </row>
    <row r="43" spans="1:15" x14ac:dyDescent="0.35">
      <c r="A43" s="979" t="s">
        <v>199</v>
      </c>
      <c r="B43" s="980"/>
      <c r="C43" s="980"/>
      <c r="D43" s="981" t="s">
        <v>159</v>
      </c>
      <c r="E43" s="982">
        <f>'[1]21'!F43</f>
        <v>678199</v>
      </c>
      <c r="F43" s="1054">
        <v>680253</v>
      </c>
      <c r="G43" s="983">
        <f>F43-E43</f>
        <v>2054</v>
      </c>
      <c r="H43" s="984">
        <f>G43+'[1]21'!H43</f>
        <v>49503.689999999944</v>
      </c>
      <c r="I43" s="982"/>
      <c r="J43" s="986">
        <f>H43/DAY(B2)</f>
        <v>2250.1677272727247</v>
      </c>
      <c r="K43" s="1002"/>
      <c r="L43" s="961"/>
      <c r="N43" s="1148">
        <v>1586.2399999999907</v>
      </c>
      <c r="O43" s="988">
        <f t="shared" si="0"/>
        <v>-467.76000000000931</v>
      </c>
    </row>
    <row r="44" spans="1:15" x14ac:dyDescent="0.35">
      <c r="A44" s="979" t="s">
        <v>200</v>
      </c>
      <c r="B44" s="980"/>
      <c r="C44" s="980"/>
      <c r="D44" s="981" t="s">
        <v>159</v>
      </c>
      <c r="E44" s="982">
        <f>'[1]21'!F44</f>
        <v>0</v>
      </c>
      <c r="F44" s="1054">
        <v>0</v>
      </c>
      <c r="G44" s="983">
        <f t="shared" si="3"/>
        <v>0</v>
      </c>
      <c r="H44" s="984">
        <f>G44+'[1]21'!H44</f>
        <v>0</v>
      </c>
      <c r="I44" s="982"/>
      <c r="J44" s="986">
        <f>H44/DAY(B2)</f>
        <v>0</v>
      </c>
      <c r="K44" s="1002"/>
      <c r="L44" s="961"/>
      <c r="N44" s="1148">
        <v>0</v>
      </c>
      <c r="O44" s="988">
        <f t="shared" si="0"/>
        <v>0</v>
      </c>
    </row>
    <row r="45" spans="1:15" x14ac:dyDescent="0.35">
      <c r="A45" s="979" t="s">
        <v>201</v>
      </c>
      <c r="B45" s="980"/>
      <c r="C45" s="980"/>
      <c r="D45" s="981" t="s">
        <v>159</v>
      </c>
      <c r="E45" s="982">
        <f>'[1]21'!F45</f>
        <v>614</v>
      </c>
      <c r="F45" s="1054">
        <v>614</v>
      </c>
      <c r="G45" s="983">
        <f t="shared" si="3"/>
        <v>0</v>
      </c>
      <c r="H45" s="984">
        <f>G45+'[1]21'!H45</f>
        <v>-0.48000000000001819</v>
      </c>
      <c r="I45" s="982"/>
      <c r="J45" s="986">
        <f>H45/DAY(B2)</f>
        <v>-2.1818181818182646E-2</v>
      </c>
      <c r="K45" s="1002"/>
      <c r="L45" s="961"/>
      <c r="N45" s="1148">
        <v>0.48000000000001819</v>
      </c>
      <c r="O45" s="988">
        <f t="shared" si="0"/>
        <v>0.48000000000001819</v>
      </c>
    </row>
    <row r="46" spans="1:15" x14ac:dyDescent="0.35">
      <c r="A46" s="979" t="s">
        <v>202</v>
      </c>
      <c r="B46" s="980"/>
      <c r="C46" s="980"/>
      <c r="D46" s="981" t="s">
        <v>159</v>
      </c>
      <c r="E46" s="982">
        <f>'[1]21'!F46</f>
        <v>187.44</v>
      </c>
      <c r="F46" s="1054">
        <v>187</v>
      </c>
      <c r="G46" s="983">
        <f t="shared" si="3"/>
        <v>-0.43999999999999773</v>
      </c>
      <c r="H46" s="984">
        <f>G46+'[1]21'!H46</f>
        <v>-0.49000000000000909</v>
      </c>
      <c r="I46" s="982"/>
      <c r="J46" s="986">
        <f>H46/DAY(B2)</f>
        <v>-2.2272727272727687E-2</v>
      </c>
      <c r="K46" s="1002"/>
      <c r="L46" s="961"/>
      <c r="N46" s="1148">
        <v>0</v>
      </c>
      <c r="O46" s="988">
        <f t="shared" si="0"/>
        <v>0.43999999999999773</v>
      </c>
    </row>
    <row r="47" spans="1:15" x14ac:dyDescent="0.35">
      <c r="A47" s="1004" t="s">
        <v>203</v>
      </c>
      <c r="B47" s="1005"/>
      <c r="C47" s="1005"/>
      <c r="D47" s="972"/>
      <c r="E47" s="968"/>
      <c r="F47" s="968"/>
      <c r="G47" s="1006">
        <f>G35+G36+G37+G38+G39+G40+G41+G42+G43+G44+G45+G46</f>
        <v>2778.56</v>
      </c>
      <c r="H47" s="984">
        <f>G47+'[1]21'!H47</f>
        <v>127015.36999999992</v>
      </c>
      <c r="I47" s="982"/>
      <c r="J47" s="986">
        <f>H47/DAY(B2)</f>
        <v>5773.4259090909054</v>
      </c>
      <c r="K47" s="1002"/>
      <c r="L47" s="961"/>
      <c r="N47" s="1150">
        <v>10115.970000000016</v>
      </c>
      <c r="O47" s="988">
        <f t="shared" si="0"/>
        <v>7337.4100000000162</v>
      </c>
    </row>
    <row r="48" spans="1:15" x14ac:dyDescent="0.35">
      <c r="A48" s="1052" t="s">
        <v>204</v>
      </c>
      <c r="B48" s="1053"/>
      <c r="C48" s="1053"/>
      <c r="D48" s="976"/>
      <c r="E48" s="975"/>
      <c r="F48" s="975"/>
      <c r="G48" s="976"/>
      <c r="H48" s="976"/>
      <c r="I48" s="976"/>
      <c r="J48" s="977"/>
      <c r="K48" s="1002"/>
      <c r="L48" s="961"/>
      <c r="O48" s="988">
        <f t="shared" si="0"/>
        <v>0</v>
      </c>
    </row>
    <row r="49" spans="1:15" x14ac:dyDescent="0.35">
      <c r="A49" s="979" t="s">
        <v>191</v>
      </c>
      <c r="B49" s="1057"/>
      <c r="C49" s="1057"/>
      <c r="D49" s="981" t="s">
        <v>159</v>
      </c>
      <c r="E49" s="982">
        <f>'[1]21'!F49</f>
        <v>120545</v>
      </c>
      <c r="F49" s="1054">
        <v>123180</v>
      </c>
      <c r="G49" s="983">
        <f t="shared" ref="G49:G58" si="4">F49-E49</f>
        <v>2635</v>
      </c>
      <c r="H49" s="984">
        <f>G49+'[1]21'!H49</f>
        <v>58570.483</v>
      </c>
      <c r="I49" s="982"/>
      <c r="J49" s="986">
        <f>H49/DAY(B2)</f>
        <v>2662.2946818181817</v>
      </c>
      <c r="K49" s="1002"/>
      <c r="L49" s="961"/>
      <c r="N49" s="1148">
        <v>0</v>
      </c>
      <c r="O49" s="988">
        <f t="shared" si="0"/>
        <v>-2635</v>
      </c>
    </row>
    <row r="50" spans="1:15" x14ac:dyDescent="0.35">
      <c r="A50" s="979" t="s">
        <v>205</v>
      </c>
      <c r="B50" s="1057"/>
      <c r="C50" s="1057"/>
      <c r="D50" s="981" t="s">
        <v>159</v>
      </c>
      <c r="E50" s="982">
        <f>'[1]21'!F50</f>
        <v>323283</v>
      </c>
      <c r="F50" s="1054">
        <v>324379</v>
      </c>
      <c r="G50" s="983">
        <f t="shared" si="4"/>
        <v>1096</v>
      </c>
      <c r="H50" s="984">
        <f>G50+'[1]21'!H50</f>
        <v>26969.469999999972</v>
      </c>
      <c r="I50" s="982"/>
      <c r="J50" s="986">
        <f>H50/DAY(B2)</f>
        <v>1225.8849999999986</v>
      </c>
      <c r="K50" s="1002"/>
      <c r="L50" s="961"/>
      <c r="N50" s="1148">
        <v>812.01999999998952</v>
      </c>
      <c r="O50" s="988">
        <f t="shared" si="0"/>
        <v>-283.98000000001048</v>
      </c>
    </row>
    <row r="51" spans="1:15" x14ac:dyDescent="0.35">
      <c r="A51" s="979" t="s">
        <v>193</v>
      </c>
      <c r="B51" s="1057"/>
      <c r="C51" s="1057"/>
      <c r="D51" s="981" t="s">
        <v>159</v>
      </c>
      <c r="E51" s="982">
        <f>'[1]21'!F51</f>
        <v>50155</v>
      </c>
      <c r="F51" s="1054">
        <v>51586</v>
      </c>
      <c r="G51" s="983">
        <f t="shared" si="4"/>
        <v>1431</v>
      </c>
      <c r="H51" s="984">
        <f>G51+'[1]21'!H51</f>
        <v>30719.032999999999</v>
      </c>
      <c r="I51" s="982"/>
      <c r="J51" s="986">
        <f>H51/DAY(B2)</f>
        <v>1396.3196818181818</v>
      </c>
      <c r="K51" s="1002"/>
      <c r="L51" s="961"/>
      <c r="N51" s="1148">
        <v>0</v>
      </c>
      <c r="O51" s="988">
        <f t="shared" si="0"/>
        <v>-1431</v>
      </c>
    </row>
    <row r="52" spans="1:15" x14ac:dyDescent="0.35">
      <c r="A52" s="979" t="s">
        <v>206</v>
      </c>
      <c r="B52" s="1057"/>
      <c r="C52" s="1057"/>
      <c r="D52" s="981" t="s">
        <v>159</v>
      </c>
      <c r="E52" s="982">
        <f>'[1]21'!F52</f>
        <v>412823</v>
      </c>
      <c r="F52" s="1054">
        <v>414633</v>
      </c>
      <c r="G52" s="983">
        <f t="shared" si="4"/>
        <v>1810</v>
      </c>
      <c r="H52" s="984">
        <f>G52+'[1]21'!H52</f>
        <v>41277.209999999963</v>
      </c>
      <c r="I52" s="982"/>
      <c r="J52" s="986">
        <f>H52/DAY(B2)</f>
        <v>1876.2368181818165</v>
      </c>
      <c r="K52" s="1002"/>
      <c r="L52" s="961"/>
      <c r="N52" s="1148">
        <v>1058.2600000000093</v>
      </c>
      <c r="O52" s="988">
        <f t="shared" si="0"/>
        <v>-751.73999999999069</v>
      </c>
    </row>
    <row r="53" spans="1:15" x14ac:dyDescent="0.35">
      <c r="A53" s="979" t="s">
        <v>195</v>
      </c>
      <c r="B53" s="1057"/>
      <c r="C53" s="1057"/>
      <c r="D53" s="981" t="s">
        <v>159</v>
      </c>
      <c r="E53" s="982">
        <f>'[1]21'!F53</f>
        <v>134496</v>
      </c>
      <c r="F53" s="1054">
        <v>138695</v>
      </c>
      <c r="G53" s="983">
        <f t="shared" si="4"/>
        <v>4199</v>
      </c>
      <c r="H53" s="984">
        <f>G53+'[1]21'!H53</f>
        <v>88952.892999999996</v>
      </c>
      <c r="I53" s="982"/>
      <c r="J53" s="986">
        <f>H53/DAY(B2)</f>
        <v>4043.313318181818</v>
      </c>
      <c r="K53" s="1002"/>
      <c r="L53" s="961"/>
      <c r="N53" s="1148">
        <v>104.8799999999992</v>
      </c>
      <c r="O53" s="988">
        <f t="shared" si="0"/>
        <v>-4094.1200000000008</v>
      </c>
    </row>
    <row r="54" spans="1:15" x14ac:dyDescent="0.35">
      <c r="A54" s="979" t="s">
        <v>207</v>
      </c>
      <c r="B54" s="1057"/>
      <c r="C54" s="1057"/>
      <c r="D54" s="981" t="s">
        <v>159</v>
      </c>
      <c r="E54" s="982">
        <f>'[1]21'!F54</f>
        <v>3869</v>
      </c>
      <c r="F54" s="1054">
        <v>3965</v>
      </c>
      <c r="G54" s="983">
        <f t="shared" si="4"/>
        <v>96</v>
      </c>
      <c r="H54" s="984">
        <f>G54+'[1]21'!H54</f>
        <v>1086.3899999999999</v>
      </c>
      <c r="I54" s="982"/>
      <c r="J54" s="986">
        <f>H54/DAY(B2)</f>
        <v>49.381363636363631</v>
      </c>
      <c r="K54" s="1002"/>
      <c r="L54" s="961"/>
      <c r="N54" s="1148">
        <v>0</v>
      </c>
      <c r="O54" s="988">
        <f t="shared" si="0"/>
        <v>-96</v>
      </c>
    </row>
    <row r="55" spans="1:15" x14ac:dyDescent="0.35">
      <c r="A55" s="979" t="s">
        <v>208</v>
      </c>
      <c r="B55" s="1057"/>
      <c r="C55" s="1057"/>
      <c r="D55" s="981" t="s">
        <v>159</v>
      </c>
      <c r="E55" s="982">
        <f>'[1]21'!F55</f>
        <v>158492.73000000001</v>
      </c>
      <c r="F55" s="1054">
        <v>158492.73000000001</v>
      </c>
      <c r="G55" s="983">
        <f t="shared" si="4"/>
        <v>0</v>
      </c>
      <c r="H55" s="984">
        <f>G55+'[1]21'!H55</f>
        <v>-0.26999999998952262</v>
      </c>
      <c r="I55" s="982"/>
      <c r="J55" s="986">
        <f>H55/DAY(B2)</f>
        <v>-1.2272727272251028E-2</v>
      </c>
      <c r="K55" s="1002"/>
      <c r="L55" s="961"/>
      <c r="N55" s="1148">
        <v>0</v>
      </c>
      <c r="O55" s="988">
        <f t="shared" si="0"/>
        <v>0</v>
      </c>
    </row>
    <row r="56" spans="1:15" x14ac:dyDescent="0.35">
      <c r="A56" s="979" t="s">
        <v>209</v>
      </c>
      <c r="B56" s="1057"/>
      <c r="C56" s="1057"/>
      <c r="D56" s="981" t="s">
        <v>210</v>
      </c>
      <c r="E56" s="982">
        <f>'[1]21'!F56</f>
        <v>473718</v>
      </c>
      <c r="F56" s="1054">
        <v>476824</v>
      </c>
      <c r="G56" s="983">
        <f t="shared" si="4"/>
        <v>3106</v>
      </c>
      <c r="H56" s="984">
        <f>G56+'[1]21'!H56</f>
        <v>40982.969999999972</v>
      </c>
      <c r="I56" s="982"/>
      <c r="J56" s="986">
        <f>H56/DAY(B2)</f>
        <v>1862.8622727272714</v>
      </c>
      <c r="K56" s="978"/>
      <c r="L56" s="961"/>
      <c r="N56" s="1148">
        <v>0</v>
      </c>
      <c r="O56" s="988">
        <f t="shared" si="0"/>
        <v>-3106</v>
      </c>
    </row>
    <row r="57" spans="1:15" x14ac:dyDescent="0.35">
      <c r="A57" s="979" t="s">
        <v>199</v>
      </c>
      <c r="B57" s="1057"/>
      <c r="C57" s="1057"/>
      <c r="D57" s="981" t="s">
        <v>159</v>
      </c>
      <c r="E57" s="982">
        <f>'[1]21'!F57</f>
        <v>0</v>
      </c>
      <c r="F57" s="1054">
        <v>0</v>
      </c>
      <c r="G57" s="983">
        <f t="shared" si="4"/>
        <v>0</v>
      </c>
      <c r="H57" s="984">
        <f>G57+'[1]21'!H57</f>
        <v>0</v>
      </c>
      <c r="I57" s="982"/>
      <c r="J57" s="986">
        <f>H57/DAY(B2)</f>
        <v>0</v>
      </c>
      <c r="K57" s="1002"/>
      <c r="L57" s="961"/>
      <c r="N57" s="1148">
        <v>0</v>
      </c>
      <c r="O57" s="988">
        <f t="shared" si="0"/>
        <v>0</v>
      </c>
    </row>
    <row r="58" spans="1:15" x14ac:dyDescent="0.35">
      <c r="A58" s="979" t="s">
        <v>211</v>
      </c>
      <c r="B58" s="1057"/>
      <c r="C58" s="1057"/>
      <c r="D58" s="981" t="s">
        <v>159</v>
      </c>
      <c r="E58" s="982">
        <f>'[1]21'!F58</f>
        <v>23007</v>
      </c>
      <c r="F58" s="1054">
        <v>23320</v>
      </c>
      <c r="G58" s="983">
        <f t="shared" si="4"/>
        <v>313</v>
      </c>
      <c r="H58" s="984">
        <f>G58+'[1]21'!H58</f>
        <v>2926.9670000000006</v>
      </c>
      <c r="I58" s="982"/>
      <c r="J58" s="986">
        <f>H58/DAY(B2)</f>
        <v>133.04395454545457</v>
      </c>
      <c r="K58" s="1002"/>
      <c r="L58" s="961"/>
      <c r="N58" s="1148">
        <v>120.15000000000146</v>
      </c>
      <c r="O58" s="988">
        <f t="shared" si="0"/>
        <v>-192.84999999999854</v>
      </c>
    </row>
    <row r="59" spans="1:15" x14ac:dyDescent="0.35">
      <c r="A59" s="1004" t="s">
        <v>203</v>
      </c>
      <c r="B59" s="1005"/>
      <c r="C59" s="1005"/>
      <c r="D59" s="968"/>
      <c r="E59" s="968"/>
      <c r="F59" s="968"/>
      <c r="G59" s="1006">
        <f>G49+G50+G51+G52+G53+G54+G55+G56+G57+G58</f>
        <v>14686</v>
      </c>
      <c r="H59" s="984">
        <f>G59+'[1]21'!H59</f>
        <v>291485.14599999989</v>
      </c>
      <c r="I59" s="982">
        <f>G7-G60</f>
        <v>363.43999999999869</v>
      </c>
      <c r="J59" s="986">
        <f>H59/DAY(B2)</f>
        <v>13249.324818181813</v>
      </c>
      <c r="K59" s="1002"/>
      <c r="L59" s="961"/>
      <c r="N59" s="1148">
        <v>2095.3099999999995</v>
      </c>
      <c r="O59" s="988">
        <f t="shared" si="0"/>
        <v>-12590.69</v>
      </c>
    </row>
    <row r="60" spans="1:15" x14ac:dyDescent="0.35">
      <c r="A60" s="979"/>
      <c r="B60" s="980"/>
      <c r="C60" s="980"/>
      <c r="D60" s="968" t="s">
        <v>212</v>
      </c>
      <c r="E60" s="968"/>
      <c r="F60" s="968"/>
      <c r="G60" s="1006">
        <f>G47+G59</f>
        <v>17464.560000000001</v>
      </c>
      <c r="H60" s="984">
        <f>G60+'[1]21'!H60</f>
        <v>432044.18599999993</v>
      </c>
      <c r="I60" s="982">
        <f>G13-G60</f>
        <v>-356.56000000000131</v>
      </c>
      <c r="J60" s="986">
        <f>H60/DAY(B2)</f>
        <v>19638.372090909088</v>
      </c>
      <c r="K60" s="1002"/>
      <c r="L60" s="961"/>
      <c r="N60" s="1148">
        <v>12211.280000000015</v>
      </c>
      <c r="O60" s="988">
        <f t="shared" si="0"/>
        <v>-5253.2799999999861</v>
      </c>
    </row>
    <row r="61" spans="1:15" x14ac:dyDescent="0.35">
      <c r="A61" s="1058" t="s">
        <v>213</v>
      </c>
      <c r="B61" s="1059"/>
      <c r="C61" s="1059"/>
      <c r="D61" s="1059"/>
      <c r="E61" s="1060"/>
      <c r="F61" s="1060"/>
      <c r="G61" s="1059"/>
      <c r="H61" s="1059"/>
      <c r="I61" s="1059"/>
      <c r="J61" s="1061"/>
      <c r="K61" s="1002"/>
      <c r="L61" s="961"/>
      <c r="O61" s="988">
        <f t="shared" si="0"/>
        <v>0</v>
      </c>
    </row>
    <row r="62" spans="1:15" x14ac:dyDescent="0.35">
      <c r="A62" s="1062" t="s">
        <v>121</v>
      </c>
      <c r="B62" s="1063"/>
      <c r="C62" s="1063"/>
      <c r="D62" s="968" t="s">
        <v>214</v>
      </c>
      <c r="E62" s="982">
        <f>'[1]21'!F62</f>
        <v>20419.2</v>
      </c>
      <c r="F62" s="1064">
        <v>20419.2</v>
      </c>
      <c r="G62" s="983">
        <f t="shared" ref="G62:G69" si="5">F62-E62</f>
        <v>0</v>
      </c>
      <c r="H62" s="984">
        <f>G62+'[1]21'!H62</f>
        <v>2.0000000000436557E-2</v>
      </c>
      <c r="I62" s="1065"/>
      <c r="J62" s="986">
        <f>H62/DAY(B2)</f>
        <v>9.0909090911075259E-4</v>
      </c>
      <c r="K62" s="1002"/>
      <c r="L62" s="961"/>
      <c r="N62" s="1148">
        <v>0</v>
      </c>
      <c r="O62" s="988">
        <f t="shared" si="0"/>
        <v>0</v>
      </c>
    </row>
    <row r="63" spans="1:15" x14ac:dyDescent="0.35">
      <c r="A63" s="1062" t="s">
        <v>215</v>
      </c>
      <c r="B63" s="1063"/>
      <c r="C63" s="1063"/>
      <c r="D63" s="968" t="s">
        <v>214</v>
      </c>
      <c r="E63" s="982">
        <f>'[1]21'!F63</f>
        <v>1068</v>
      </c>
      <c r="F63" s="1064">
        <v>1072</v>
      </c>
      <c r="G63" s="983">
        <f t="shared" si="5"/>
        <v>4</v>
      </c>
      <c r="H63" s="984">
        <f>G63+'[1]21'!H63</f>
        <v>215.63</v>
      </c>
      <c r="I63" s="1065"/>
      <c r="J63" s="986">
        <f>H63/DAY(B2)</f>
        <v>9.8013636363636358</v>
      </c>
      <c r="K63" s="1002"/>
      <c r="L63" s="961"/>
      <c r="N63" s="1148">
        <v>0</v>
      </c>
      <c r="O63" s="988">
        <f t="shared" si="0"/>
        <v>-4</v>
      </c>
    </row>
    <row r="64" spans="1:15" x14ac:dyDescent="0.35">
      <c r="A64" s="1563" t="s">
        <v>122</v>
      </c>
      <c r="B64" s="1564"/>
      <c r="C64" s="1565"/>
      <c r="D64" s="981" t="s">
        <v>214</v>
      </c>
      <c r="E64" s="982">
        <f>'[1]21'!F64</f>
        <v>94451</v>
      </c>
      <c r="F64" s="1012">
        <v>94892</v>
      </c>
      <c r="G64" s="983">
        <f t="shared" si="5"/>
        <v>441</v>
      </c>
      <c r="H64" s="984">
        <f>G64+'[1]21'!H64</f>
        <v>8152.9049999999988</v>
      </c>
      <c r="I64" s="1003"/>
      <c r="J64" s="986">
        <f>H64/DAY(B2)</f>
        <v>370.58659090909083</v>
      </c>
      <c r="K64" s="1002"/>
      <c r="L64" s="961"/>
      <c r="N64" s="1148">
        <v>178.5199999999968</v>
      </c>
      <c r="O64" s="988">
        <f t="shared" si="0"/>
        <v>-262.4800000000032</v>
      </c>
    </row>
    <row r="65" spans="1:15" x14ac:dyDescent="0.35">
      <c r="A65" s="1563" t="s">
        <v>123</v>
      </c>
      <c r="B65" s="1564"/>
      <c r="C65" s="1565"/>
      <c r="D65" s="981" t="s">
        <v>214</v>
      </c>
      <c r="E65" s="982">
        <f>'[1]21'!F65</f>
        <v>104958</v>
      </c>
      <c r="F65" s="1012">
        <v>105353</v>
      </c>
      <c r="G65" s="983">
        <f t="shared" si="5"/>
        <v>395</v>
      </c>
      <c r="H65" s="984">
        <f>G65+'[1]21'!H65</f>
        <v>8717.0170000000071</v>
      </c>
      <c r="I65" s="1021"/>
      <c r="J65" s="986">
        <f>H65/DAY(B2)</f>
        <v>396.22804545454579</v>
      </c>
      <c r="K65" s="1002"/>
      <c r="L65" s="961"/>
      <c r="N65" s="1148">
        <v>198.38999999999942</v>
      </c>
      <c r="O65" s="988">
        <f t="shared" si="0"/>
        <v>-196.61000000000058</v>
      </c>
    </row>
    <row r="66" spans="1:15" x14ac:dyDescent="0.35">
      <c r="A66" s="1563" t="s">
        <v>124</v>
      </c>
      <c r="B66" s="1564"/>
      <c r="C66" s="1565"/>
      <c r="D66" s="981" t="s">
        <v>214</v>
      </c>
      <c r="E66" s="982">
        <f>'[1]21'!F66</f>
        <v>98413</v>
      </c>
      <c r="F66" s="1012">
        <v>98837</v>
      </c>
      <c r="G66" s="983">
        <f t="shared" si="5"/>
        <v>424</v>
      </c>
      <c r="H66" s="984">
        <f>G66+'[1]21'!H66</f>
        <v>8832.1530000000057</v>
      </c>
      <c r="I66" s="1003"/>
      <c r="J66" s="986">
        <f>H66/DAY(B2)</f>
        <v>401.46150000000029</v>
      </c>
      <c r="K66" s="1002"/>
      <c r="L66" s="961"/>
      <c r="N66" s="1148">
        <v>226.35000000000582</v>
      </c>
      <c r="O66" s="988">
        <f t="shared" si="0"/>
        <v>-197.64999999999418</v>
      </c>
    </row>
    <row r="67" spans="1:15" x14ac:dyDescent="0.35">
      <c r="A67" s="1563" t="s">
        <v>125</v>
      </c>
      <c r="B67" s="1564"/>
      <c r="C67" s="1565"/>
      <c r="D67" s="981" t="s">
        <v>214</v>
      </c>
      <c r="E67" s="982">
        <f>'[1]21'!F67</f>
        <v>161358</v>
      </c>
      <c r="F67" s="1012">
        <v>162041</v>
      </c>
      <c r="G67" s="983">
        <f t="shared" si="5"/>
        <v>683</v>
      </c>
      <c r="H67" s="984">
        <f>G67+'[1]21'!H67</f>
        <v>15998.950000000012</v>
      </c>
      <c r="I67" s="1021"/>
      <c r="J67" s="986">
        <f>H67/DAY(B2)</f>
        <v>727.22500000000048</v>
      </c>
      <c r="K67" s="1009"/>
      <c r="L67" s="961"/>
      <c r="N67" s="1148">
        <v>312.47000000000116</v>
      </c>
      <c r="O67" s="988">
        <f t="shared" si="0"/>
        <v>-370.52999999999884</v>
      </c>
    </row>
    <row r="68" spans="1:15" x14ac:dyDescent="0.35">
      <c r="A68" s="1563" t="s">
        <v>126</v>
      </c>
      <c r="B68" s="1564"/>
      <c r="C68" s="1565"/>
      <c r="D68" s="981" t="s">
        <v>214</v>
      </c>
      <c r="E68" s="982">
        <f>'[1]21'!F68</f>
        <v>50564</v>
      </c>
      <c r="F68" s="1012">
        <v>50883</v>
      </c>
      <c r="G68" s="983">
        <f t="shared" si="5"/>
        <v>319</v>
      </c>
      <c r="H68" s="984">
        <f>G68+'[1]21'!H68</f>
        <v>7707.9210000000021</v>
      </c>
      <c r="I68" s="1066"/>
      <c r="J68" s="986">
        <f>H68/DAY(B2)</f>
        <v>350.36004545454557</v>
      </c>
      <c r="K68" s="1067"/>
      <c r="L68" s="961"/>
      <c r="N68" s="1148">
        <v>142.1200000000008</v>
      </c>
      <c r="O68" s="988">
        <f t="shared" si="0"/>
        <v>-176.8799999999992</v>
      </c>
    </row>
    <row r="69" spans="1:15" x14ac:dyDescent="0.35">
      <c r="A69" s="1563" t="s">
        <v>127</v>
      </c>
      <c r="B69" s="1564"/>
      <c r="C69" s="1565"/>
      <c r="D69" s="981" t="s">
        <v>214</v>
      </c>
      <c r="E69" s="982">
        <f>'[1]21'!F69</f>
        <v>43668</v>
      </c>
      <c r="F69" s="1012">
        <v>43956</v>
      </c>
      <c r="G69" s="983">
        <f t="shared" si="5"/>
        <v>288</v>
      </c>
      <c r="H69" s="984">
        <f>G69+'[1]21'!H69</f>
        <v>6400.4329999999973</v>
      </c>
      <c r="I69" s="1066"/>
      <c r="J69" s="986">
        <f>H69/DAY(B2)</f>
        <v>290.92877272727259</v>
      </c>
      <c r="K69" s="1068"/>
      <c r="L69" s="961"/>
      <c r="N69" s="1148">
        <v>12.869999999998981</v>
      </c>
      <c r="O69" s="988">
        <f t="shared" si="0"/>
        <v>-275.13000000000102</v>
      </c>
    </row>
    <row r="70" spans="1:15" x14ac:dyDescent="0.35">
      <c r="A70" s="1586" t="s">
        <v>216</v>
      </c>
      <c r="B70" s="1587"/>
      <c r="C70" s="1588"/>
      <c r="D70" s="981" t="s">
        <v>214</v>
      </c>
      <c r="E70" s="1352"/>
      <c r="F70" s="1069"/>
      <c r="G70" s="1069"/>
      <c r="H70" s="984">
        <f>G70+'[1]21'!H70</f>
        <v>0</v>
      </c>
      <c r="I70" s="1069"/>
      <c r="J70" s="1070"/>
      <c r="K70" s="1068"/>
      <c r="L70" s="961"/>
      <c r="O70" s="988">
        <f t="shared" si="0"/>
        <v>0</v>
      </c>
    </row>
    <row r="71" spans="1:15" ht="22.5" x14ac:dyDescent="0.45">
      <c r="A71" s="1583" t="s">
        <v>217</v>
      </c>
      <c r="B71" s="1584"/>
      <c r="C71" s="1584"/>
      <c r="D71" s="1584"/>
      <c r="E71" s="1584"/>
      <c r="F71" s="1584"/>
      <c r="G71" s="1584"/>
      <c r="H71" s="1584"/>
      <c r="I71" s="1584"/>
      <c r="J71" s="1585"/>
      <c r="K71" s="1067"/>
      <c r="L71" s="961"/>
      <c r="O71" s="988">
        <f t="shared" si="0"/>
        <v>0</v>
      </c>
    </row>
    <row r="72" spans="1:15" x14ac:dyDescent="0.35">
      <c r="A72" s="1563" t="s">
        <v>218</v>
      </c>
      <c r="B72" s="1564"/>
      <c r="C72" s="1565"/>
      <c r="D72" s="981" t="s">
        <v>214</v>
      </c>
      <c r="E72" s="982">
        <f>'[1]21'!F72</f>
        <v>845520</v>
      </c>
      <c r="F72" s="1071">
        <v>845623</v>
      </c>
      <c r="G72" s="983">
        <f t="shared" ref="G72:G84" si="6">F72-E72</f>
        <v>103</v>
      </c>
      <c r="H72" s="984">
        <f>G72+'[1]21'!H72</f>
        <v>1361</v>
      </c>
      <c r="I72" s="1003"/>
      <c r="J72" s="986">
        <f>H72/DAY(B2)</f>
        <v>61.863636363636367</v>
      </c>
      <c r="K72" s="1068"/>
      <c r="L72" s="961"/>
      <c r="N72" s="1148">
        <v>18</v>
      </c>
      <c r="O72" s="988">
        <f t="shared" ref="O72:O135" si="7">N72-G72</f>
        <v>-85</v>
      </c>
    </row>
    <row r="73" spans="1:15" x14ac:dyDescent="0.35">
      <c r="A73" s="1563" t="s">
        <v>219</v>
      </c>
      <c r="B73" s="1564"/>
      <c r="C73" s="1565"/>
      <c r="D73" s="981" t="s">
        <v>214</v>
      </c>
      <c r="E73" s="982">
        <f>'[1]21'!F73</f>
        <v>885654</v>
      </c>
      <c r="F73" s="1072">
        <v>885655</v>
      </c>
      <c r="G73" s="983">
        <f t="shared" si="6"/>
        <v>1</v>
      </c>
      <c r="H73" s="984">
        <f>G73+'[1]21'!H73</f>
        <v>951</v>
      </c>
      <c r="I73" s="1003"/>
      <c r="J73" s="986">
        <f>H73/DAY(B2)</f>
        <v>43.227272727272727</v>
      </c>
      <c r="K73" s="1067"/>
      <c r="L73" s="961"/>
      <c r="N73" s="1148">
        <v>2</v>
      </c>
      <c r="O73" s="988">
        <f t="shared" si="7"/>
        <v>1</v>
      </c>
    </row>
    <row r="74" spans="1:15" x14ac:dyDescent="0.35">
      <c r="A74" s="1563" t="s">
        <v>220</v>
      </c>
      <c r="B74" s="1564"/>
      <c r="C74" s="1565"/>
      <c r="D74" s="981" t="s">
        <v>214</v>
      </c>
      <c r="E74" s="982">
        <f>'[1]21'!F74</f>
        <v>880903</v>
      </c>
      <c r="F74" s="1073">
        <v>880943</v>
      </c>
      <c r="G74" s="983">
        <f t="shared" si="6"/>
        <v>40</v>
      </c>
      <c r="H74" s="984">
        <f>G74+'[1]21'!H74</f>
        <v>716</v>
      </c>
      <c r="I74" s="1003"/>
      <c r="J74" s="986">
        <f>H74/DAY(B2)</f>
        <v>32.545454545454547</v>
      </c>
      <c r="K74" s="1068"/>
      <c r="L74" s="961"/>
      <c r="N74" s="1148">
        <v>5</v>
      </c>
      <c r="O74" s="988">
        <f t="shared" si="7"/>
        <v>-35</v>
      </c>
    </row>
    <row r="75" spans="1:15" x14ac:dyDescent="0.35">
      <c r="A75" s="1589" t="s">
        <v>221</v>
      </c>
      <c r="B75" s="1590"/>
      <c r="C75" s="1591"/>
      <c r="D75" s="981" t="s">
        <v>214</v>
      </c>
      <c r="E75" s="982">
        <f>'[1]21'!F75</f>
        <v>729900</v>
      </c>
      <c r="F75" s="1073">
        <v>730060</v>
      </c>
      <c r="G75" s="983">
        <f t="shared" si="6"/>
        <v>160</v>
      </c>
      <c r="H75" s="984">
        <f>G75+'[1]21'!H75</f>
        <v>3880</v>
      </c>
      <c r="I75" s="1003"/>
      <c r="J75" s="986">
        <f>H75/DAY(B2)</f>
        <v>176.36363636363637</v>
      </c>
      <c r="K75" s="1067"/>
      <c r="L75" s="961"/>
      <c r="N75" s="1148">
        <v>48</v>
      </c>
      <c r="O75" s="988">
        <f t="shared" si="7"/>
        <v>-112</v>
      </c>
    </row>
    <row r="76" spans="1:15" x14ac:dyDescent="0.35">
      <c r="A76" s="1589" t="s">
        <v>222</v>
      </c>
      <c r="B76" s="1590"/>
      <c r="C76" s="1591"/>
      <c r="D76" s="981" t="s">
        <v>214</v>
      </c>
      <c r="E76" s="982">
        <f>'[1]21'!F76</f>
        <v>683430</v>
      </c>
      <c r="F76" s="1072">
        <v>683510</v>
      </c>
      <c r="G76" s="983">
        <f t="shared" si="6"/>
        <v>80</v>
      </c>
      <c r="H76" s="984">
        <f>G76+'[1]21'!H76</f>
        <v>3140</v>
      </c>
      <c r="I76" s="1045"/>
      <c r="J76" s="986">
        <f>H76/DAY(B2)</f>
        <v>142.72727272727272</v>
      </c>
      <c r="K76" s="1067"/>
      <c r="L76" s="961"/>
      <c r="N76" s="1148">
        <v>5</v>
      </c>
      <c r="O76" s="988">
        <f t="shared" si="7"/>
        <v>-75</v>
      </c>
    </row>
    <row r="77" spans="1:15" x14ac:dyDescent="0.35">
      <c r="A77" s="1563" t="s">
        <v>223</v>
      </c>
      <c r="B77" s="1564"/>
      <c r="C77" s="1565"/>
      <c r="D77" s="981" t="s">
        <v>214</v>
      </c>
      <c r="E77" s="982">
        <f>'[1]21'!F77</f>
        <v>694843</v>
      </c>
      <c r="F77" s="1072">
        <v>694893</v>
      </c>
      <c r="G77" s="983">
        <f t="shared" si="6"/>
        <v>50</v>
      </c>
      <c r="H77" s="984">
        <f>G77+'[1]21'!H77</f>
        <v>1173</v>
      </c>
      <c r="I77" s="1045"/>
      <c r="J77" s="986">
        <f>H77/DAY(B2)</f>
        <v>53.31818181818182</v>
      </c>
      <c r="K77" s="1067"/>
      <c r="L77" s="961"/>
      <c r="N77" s="1148">
        <v>2</v>
      </c>
      <c r="O77" s="988">
        <f t="shared" si="7"/>
        <v>-48</v>
      </c>
    </row>
    <row r="78" spans="1:15" x14ac:dyDescent="0.35">
      <c r="A78" s="1074" t="s">
        <v>224</v>
      </c>
      <c r="B78" s="1353"/>
      <c r="C78" s="1353"/>
      <c r="D78" s="981" t="s">
        <v>214</v>
      </c>
      <c r="E78" s="982">
        <f>'[1]21'!F78</f>
        <v>626957</v>
      </c>
      <c r="F78" s="1073">
        <v>627351</v>
      </c>
      <c r="G78" s="983">
        <f t="shared" si="6"/>
        <v>394</v>
      </c>
      <c r="H78" s="984">
        <f>G78+'[1]21'!H78</f>
        <v>9098</v>
      </c>
      <c r="I78" s="1045"/>
      <c r="J78" s="986">
        <f>H78/DAY(B2)</f>
        <v>413.54545454545456</v>
      </c>
      <c r="K78" s="1067"/>
      <c r="L78" s="961"/>
      <c r="N78" s="1148">
        <v>28</v>
      </c>
      <c r="O78" s="988">
        <f t="shared" si="7"/>
        <v>-366</v>
      </c>
    </row>
    <row r="79" spans="1:15" x14ac:dyDescent="0.35">
      <c r="A79" s="1589" t="s">
        <v>112</v>
      </c>
      <c r="B79" s="1590"/>
      <c r="C79" s="1591"/>
      <c r="D79" s="1015" t="s">
        <v>214</v>
      </c>
      <c r="E79" s="982">
        <f>'[1]21'!F79</f>
        <v>802000</v>
      </c>
      <c r="F79" s="1073">
        <v>802186</v>
      </c>
      <c r="G79" s="983">
        <f t="shared" si="6"/>
        <v>186</v>
      </c>
      <c r="H79" s="984">
        <f>G79+'[1]21'!H79</f>
        <v>6934</v>
      </c>
      <c r="I79" s="1045"/>
      <c r="J79" s="986">
        <f>H79/DAY(B2)</f>
        <v>315.18181818181819</v>
      </c>
      <c r="K79" s="1067"/>
      <c r="L79" s="961"/>
      <c r="N79" s="1148">
        <v>139</v>
      </c>
      <c r="O79" s="988">
        <f t="shared" si="7"/>
        <v>-47</v>
      </c>
    </row>
    <row r="80" spans="1:15" x14ac:dyDescent="0.35">
      <c r="A80" s="1589" t="s">
        <v>225</v>
      </c>
      <c r="B80" s="1590"/>
      <c r="C80" s="1591"/>
      <c r="D80" s="1015" t="s">
        <v>214</v>
      </c>
      <c r="E80" s="982">
        <f>'[1]21'!F80</f>
        <v>472376</v>
      </c>
      <c r="F80" s="1072">
        <v>472676</v>
      </c>
      <c r="G80" s="983">
        <f t="shared" si="6"/>
        <v>300</v>
      </c>
      <c r="H80" s="984">
        <f>G80+'[1]21'!H80</f>
        <v>5352.1599999999744</v>
      </c>
      <c r="I80" s="1045"/>
      <c r="J80" s="986">
        <f>H80/DAY(B2)</f>
        <v>243.27999999999884</v>
      </c>
      <c r="K80" s="1067"/>
      <c r="L80" s="961"/>
      <c r="N80" s="1148">
        <v>177</v>
      </c>
      <c r="O80" s="988">
        <f t="shared" si="7"/>
        <v>-123</v>
      </c>
    </row>
    <row r="81" spans="1:15" x14ac:dyDescent="0.35">
      <c r="A81" s="1589" t="s">
        <v>226</v>
      </c>
      <c r="B81" s="1590"/>
      <c r="C81" s="1591"/>
      <c r="D81" s="1015" t="s">
        <v>214</v>
      </c>
      <c r="E81" s="982">
        <f>'[1]21'!F81</f>
        <v>617783</v>
      </c>
      <c r="F81" s="1072">
        <v>617940</v>
      </c>
      <c r="G81" s="983">
        <f t="shared" si="6"/>
        <v>157</v>
      </c>
      <c r="H81" s="984">
        <f>G81+'[1]21'!H81</f>
        <v>3551.4799999999814</v>
      </c>
      <c r="I81" s="1045"/>
      <c r="J81" s="986">
        <f>H81/DAY(B2)</f>
        <v>161.43090909090824</v>
      </c>
      <c r="K81" s="1067"/>
      <c r="L81" s="961"/>
      <c r="N81" s="1148">
        <v>86</v>
      </c>
      <c r="O81" s="988">
        <f t="shared" si="7"/>
        <v>-71</v>
      </c>
    </row>
    <row r="82" spans="1:15" x14ac:dyDescent="0.35">
      <c r="A82" s="1589" t="s">
        <v>115</v>
      </c>
      <c r="B82" s="1590"/>
      <c r="C82" s="1591"/>
      <c r="D82" s="1016" t="s">
        <v>159</v>
      </c>
      <c r="E82" s="982">
        <f>'[1]21'!F82</f>
        <v>104215</v>
      </c>
      <c r="F82" s="1075">
        <v>104228</v>
      </c>
      <c r="G82" s="983">
        <f t="shared" si="6"/>
        <v>13</v>
      </c>
      <c r="H82" s="984">
        <f>G82+'[1]21'!H82</f>
        <v>698.35000000000582</v>
      </c>
      <c r="I82" s="1017"/>
      <c r="J82" s="986">
        <f>H82/DAY(B2)</f>
        <v>31.743181818182084</v>
      </c>
      <c r="K82" s="1067"/>
      <c r="L82" s="961"/>
      <c r="N82" s="1148">
        <v>29</v>
      </c>
      <c r="O82" s="988">
        <f t="shared" si="7"/>
        <v>16</v>
      </c>
    </row>
    <row r="83" spans="1:15" x14ac:dyDescent="0.35">
      <c r="A83" s="1589" t="s">
        <v>227</v>
      </c>
      <c r="B83" s="1590"/>
      <c r="C83" s="1591"/>
      <c r="D83" s="1076" t="s">
        <v>159</v>
      </c>
      <c r="E83" s="982">
        <f>'[1]21'!F83</f>
        <v>970027</v>
      </c>
      <c r="F83" s="968">
        <v>970349</v>
      </c>
      <c r="G83" s="983">
        <f t="shared" si="6"/>
        <v>322</v>
      </c>
      <c r="H83" s="984">
        <f>G83+'[1]21'!H83</f>
        <v>7824</v>
      </c>
      <c r="I83" s="1006"/>
      <c r="J83" s="986">
        <f>H83/DAY(B2)</f>
        <v>355.63636363636363</v>
      </c>
      <c r="K83" s="1009"/>
      <c r="L83" s="961"/>
      <c r="N83" s="1148">
        <v>228</v>
      </c>
      <c r="O83" s="988">
        <f t="shared" si="7"/>
        <v>-94</v>
      </c>
    </row>
    <row r="84" spans="1:15" x14ac:dyDescent="0.35">
      <c r="A84" s="1077" t="s">
        <v>228</v>
      </c>
      <c r="B84" s="1078"/>
      <c r="C84" s="1078"/>
      <c r="D84" s="1000" t="s">
        <v>159</v>
      </c>
      <c r="E84" s="982">
        <f>'[1]21'!F84</f>
        <v>392489</v>
      </c>
      <c r="F84" s="1079">
        <v>392999</v>
      </c>
      <c r="G84" s="983">
        <f t="shared" si="6"/>
        <v>510</v>
      </c>
      <c r="H84" s="984">
        <f>G84+'[1]21'!H84</f>
        <v>11643</v>
      </c>
      <c r="I84" s="1006"/>
      <c r="J84" s="986">
        <f>H84/DAY(B2)</f>
        <v>529.22727272727275</v>
      </c>
      <c r="K84" s="1080"/>
      <c r="L84" s="961"/>
      <c r="N84" s="1148">
        <v>423</v>
      </c>
      <c r="O84" s="988">
        <f t="shared" si="7"/>
        <v>-87</v>
      </c>
    </row>
    <row r="85" spans="1:15" s="1084" customFormat="1" x14ac:dyDescent="0.35">
      <c r="A85" s="1081" t="s">
        <v>82</v>
      </c>
      <c r="B85" s="1082"/>
      <c r="C85" s="1082"/>
      <c r="D85" s="1021"/>
      <c r="E85" s="982"/>
      <c r="F85" s="981"/>
      <c r="G85" s="984">
        <f xml:space="preserve"> SUM(G72:G84)</f>
        <v>2316</v>
      </c>
      <c r="H85" s="984">
        <f>G85+'[1]21'!H85</f>
        <v>51765.519999999931</v>
      </c>
      <c r="I85" s="1006"/>
      <c r="J85" s="986">
        <f>H85/DAY(B2)</f>
        <v>2352.9781818181787</v>
      </c>
      <c r="K85" s="1080"/>
      <c r="L85" s="1083"/>
      <c r="N85" s="1151">
        <v>1190</v>
      </c>
      <c r="O85" s="988">
        <f t="shared" si="7"/>
        <v>-1126</v>
      </c>
    </row>
    <row r="86" spans="1:15" s="1094" customFormat="1" x14ac:dyDescent="0.35">
      <c r="A86" s="1085" t="s">
        <v>117</v>
      </c>
      <c r="B86" s="1086"/>
      <c r="C86" s="1086"/>
      <c r="D86" s="1087" t="s">
        <v>210</v>
      </c>
      <c r="E86" s="982">
        <f>'[1]21'!F86</f>
        <v>443441</v>
      </c>
      <c r="F86" s="1088">
        <v>443560</v>
      </c>
      <c r="G86" s="1089">
        <f t="shared" ref="G86:G90" si="8">F86-E86</f>
        <v>119</v>
      </c>
      <c r="H86" s="1089">
        <f t="shared" ref="H86:H90" si="9">G86</f>
        <v>119</v>
      </c>
      <c r="I86" s="1090"/>
      <c r="J86" s="1091">
        <f>H86/DAY(B2)</f>
        <v>5.4090909090909092</v>
      </c>
      <c r="K86" s="1092"/>
      <c r="L86" s="1093"/>
      <c r="N86" s="1152">
        <v>171</v>
      </c>
      <c r="O86" s="988">
        <f t="shared" si="7"/>
        <v>52</v>
      </c>
    </row>
    <row r="87" spans="1:15" s="1094" customFormat="1" x14ac:dyDescent="0.35">
      <c r="A87" s="1085" t="s">
        <v>118</v>
      </c>
      <c r="B87" s="1086"/>
      <c r="C87" s="1086"/>
      <c r="D87" s="1087" t="s">
        <v>210</v>
      </c>
      <c r="E87" s="982">
        <f>'[1]21'!F87</f>
        <v>77511</v>
      </c>
      <c r="F87" s="1088">
        <v>77548</v>
      </c>
      <c r="G87" s="1089">
        <f t="shared" si="8"/>
        <v>37</v>
      </c>
      <c r="H87" s="1089">
        <f t="shared" si="9"/>
        <v>37</v>
      </c>
      <c r="I87" s="1090"/>
      <c r="J87" s="1091">
        <f>H87/DAY(B2)</f>
        <v>1.6818181818181819</v>
      </c>
      <c r="K87" s="1092"/>
      <c r="L87" s="1093"/>
      <c r="N87" s="1152">
        <v>21</v>
      </c>
      <c r="O87" s="988">
        <f t="shared" si="7"/>
        <v>-16</v>
      </c>
    </row>
    <row r="88" spans="1:15" s="1094" customFormat="1" x14ac:dyDescent="0.35">
      <c r="A88" s="1085" t="s">
        <v>119</v>
      </c>
      <c r="B88" s="1086"/>
      <c r="C88" s="1086"/>
      <c r="D88" s="1087" t="s">
        <v>210</v>
      </c>
      <c r="E88" s="982">
        <f>'[1]21'!F88</f>
        <v>143946</v>
      </c>
      <c r="F88" s="1079">
        <v>144010</v>
      </c>
      <c r="G88" s="1089">
        <f t="shared" si="8"/>
        <v>64</v>
      </c>
      <c r="H88" s="1089">
        <f t="shared" si="9"/>
        <v>64</v>
      </c>
      <c r="I88" s="1090"/>
      <c r="J88" s="1091">
        <f>H88/DAY(B2)</f>
        <v>2.9090909090909092</v>
      </c>
      <c r="K88" s="1092"/>
      <c r="L88" s="1093"/>
      <c r="N88" s="1152">
        <v>86</v>
      </c>
      <c r="O88" s="988">
        <f t="shared" si="7"/>
        <v>22</v>
      </c>
    </row>
    <row r="89" spans="1:15" s="1094" customFormat="1" x14ac:dyDescent="0.35">
      <c r="A89" s="1085" t="s">
        <v>230</v>
      </c>
      <c r="B89" s="1086"/>
      <c r="C89" s="1086"/>
      <c r="D89" s="1087" t="s">
        <v>210</v>
      </c>
      <c r="E89" s="982">
        <f>'[1]21'!F89</f>
        <v>56966</v>
      </c>
      <c r="F89" s="1088">
        <v>57089</v>
      </c>
      <c r="G89" s="1089">
        <f t="shared" si="8"/>
        <v>123</v>
      </c>
      <c r="H89" s="1089">
        <f t="shared" si="9"/>
        <v>123</v>
      </c>
      <c r="I89" s="1090"/>
      <c r="J89" s="1091" t="e">
        <f t="shared" ref="J89:J90" si="10">H89/DAY(B3)</f>
        <v>#DIV/0!</v>
      </c>
      <c r="K89" s="1092"/>
      <c r="L89" s="1093"/>
      <c r="N89" s="1153">
        <v>25</v>
      </c>
      <c r="O89" s="988">
        <f t="shared" si="7"/>
        <v>-98</v>
      </c>
    </row>
    <row r="90" spans="1:15" s="1094" customFormat="1" x14ac:dyDescent="0.35">
      <c r="A90" s="1085" t="s">
        <v>230</v>
      </c>
      <c r="B90" s="1086"/>
      <c r="C90" s="1086"/>
      <c r="D90" s="1087" t="s">
        <v>210</v>
      </c>
      <c r="E90" s="982">
        <f>'[1]21'!F90</f>
        <v>2956</v>
      </c>
      <c r="F90" s="1088">
        <v>2962</v>
      </c>
      <c r="G90" s="1089">
        <f t="shared" si="8"/>
        <v>6</v>
      </c>
      <c r="H90" s="1089">
        <f t="shared" si="9"/>
        <v>6</v>
      </c>
      <c r="I90" s="1090"/>
      <c r="J90" s="1091" t="e">
        <f t="shared" si="10"/>
        <v>#DIV/0!</v>
      </c>
      <c r="K90" s="1092"/>
      <c r="L90" s="1093"/>
      <c r="N90" s="1153">
        <v>1</v>
      </c>
      <c r="O90" s="988">
        <f t="shared" si="7"/>
        <v>-5</v>
      </c>
    </row>
    <row r="91" spans="1:15" s="1084" customFormat="1" x14ac:dyDescent="0.35">
      <c r="A91" s="1095" t="s">
        <v>231</v>
      </c>
      <c r="B91" s="976"/>
      <c r="C91" s="976"/>
      <c r="D91" s="976"/>
      <c r="E91" s="976"/>
      <c r="F91" s="976"/>
      <c r="G91" s="1020"/>
      <c r="H91" s="976"/>
      <c r="I91" s="976"/>
      <c r="J91" s="977"/>
      <c r="K91" s="1080"/>
      <c r="L91" s="1083"/>
      <c r="N91" s="1151"/>
      <c r="O91" s="988">
        <f t="shared" si="7"/>
        <v>0</v>
      </c>
    </row>
    <row r="92" spans="1:15" x14ac:dyDescent="0.35">
      <c r="A92" s="1566" t="s">
        <v>233</v>
      </c>
      <c r="B92" s="1567"/>
      <c r="C92" s="1568"/>
      <c r="D92" s="981" t="s">
        <v>171</v>
      </c>
      <c r="E92" s="982">
        <f>'[1]21'!F92</f>
        <v>233015</v>
      </c>
      <c r="F92" s="1012">
        <v>233069</v>
      </c>
      <c r="G92" s="983">
        <f t="shared" ref="G92:G93" si="11">F92-E92</f>
        <v>54</v>
      </c>
      <c r="H92" s="984">
        <f>G92+'[1]21'!H92</f>
        <v>2094</v>
      </c>
      <c r="I92" s="1003"/>
      <c r="J92" s="986">
        <f>H92/DAY(B2)</f>
        <v>95.181818181818187</v>
      </c>
      <c r="K92" s="1009"/>
      <c r="L92" s="961"/>
      <c r="N92" s="1148">
        <v>29</v>
      </c>
      <c r="O92" s="988">
        <f t="shared" si="7"/>
        <v>-25</v>
      </c>
    </row>
    <row r="93" spans="1:15" x14ac:dyDescent="0.35">
      <c r="A93" s="1566" t="s">
        <v>234</v>
      </c>
      <c r="B93" s="1567"/>
      <c r="C93" s="1568"/>
      <c r="D93" s="981" t="s">
        <v>171</v>
      </c>
      <c r="E93" s="982">
        <f>'[1]21'!F93</f>
        <v>165630</v>
      </c>
      <c r="F93" s="1012">
        <v>165723</v>
      </c>
      <c r="G93" s="983">
        <f t="shared" si="11"/>
        <v>93</v>
      </c>
      <c r="H93" s="984">
        <f>G93+'[1]21'!H93</f>
        <v>3081</v>
      </c>
      <c r="I93" s="1003"/>
      <c r="J93" s="986">
        <f>H93/DAY(B2)</f>
        <v>140.04545454545453</v>
      </c>
      <c r="K93" s="1080"/>
      <c r="L93" s="961"/>
      <c r="N93" s="1148">
        <v>40</v>
      </c>
      <c r="O93" s="988">
        <f t="shared" si="7"/>
        <v>-53</v>
      </c>
    </row>
    <row r="94" spans="1:15" x14ac:dyDescent="0.35">
      <c r="A94" s="1592" t="s">
        <v>235</v>
      </c>
      <c r="B94" s="1593"/>
      <c r="C94" s="1594"/>
      <c r="D94" s="981"/>
      <c r="E94" s="982">
        <f>'[1]21'!F94</f>
        <v>0</v>
      </c>
      <c r="F94" s="1012"/>
      <c r="G94" s="983">
        <f>G92+G93</f>
        <v>147</v>
      </c>
      <c r="H94" s="984">
        <f>G94+'[1]21'!H94</f>
        <v>4912</v>
      </c>
      <c r="I94" s="1003"/>
      <c r="J94" s="986">
        <f>H94/DAY(B2)</f>
        <v>223.27272727272728</v>
      </c>
      <c r="K94" s="1080"/>
      <c r="L94" s="961"/>
      <c r="N94" s="1148">
        <v>69</v>
      </c>
      <c r="O94" s="988">
        <f t="shared" si="7"/>
        <v>-78</v>
      </c>
    </row>
    <row r="95" spans="1:15" x14ac:dyDescent="0.35">
      <c r="A95" s="1566" t="s">
        <v>236</v>
      </c>
      <c r="B95" s="1567"/>
      <c r="C95" s="1568"/>
      <c r="D95" s="981" t="s">
        <v>171</v>
      </c>
      <c r="E95" s="982">
        <f>'[1]21'!F95</f>
        <v>402946</v>
      </c>
      <c r="F95" s="1012">
        <v>403005</v>
      </c>
      <c r="G95" s="983">
        <f t="shared" ref="G95:G100" si="12">F95-E95</f>
        <v>59</v>
      </c>
      <c r="H95" s="984">
        <f>G95+'[1]21'!H95</f>
        <v>1440</v>
      </c>
      <c r="I95" s="1003"/>
      <c r="J95" s="986">
        <f>H95/DAY(B2)</f>
        <v>65.454545454545453</v>
      </c>
      <c r="K95" s="1080"/>
      <c r="L95" s="961"/>
      <c r="N95" s="1148">
        <v>49</v>
      </c>
      <c r="O95" s="988">
        <f t="shared" si="7"/>
        <v>-10</v>
      </c>
    </row>
    <row r="96" spans="1:15" x14ac:dyDescent="0.35">
      <c r="A96" s="1010" t="s">
        <v>237</v>
      </c>
      <c r="B96" s="1011"/>
      <c r="C96" s="1011"/>
      <c r="D96" s="981" t="s">
        <v>171</v>
      </c>
      <c r="E96" s="982">
        <f>'[1]21'!F96</f>
        <v>99684</v>
      </c>
      <c r="F96" s="1012">
        <v>99703</v>
      </c>
      <c r="G96" s="983">
        <f t="shared" si="12"/>
        <v>19</v>
      </c>
      <c r="H96" s="984">
        <f>G96+'[1]21'!H96</f>
        <v>592</v>
      </c>
      <c r="I96" s="1003"/>
      <c r="J96" s="986">
        <f>H96/DAY(B2)</f>
        <v>26.90909090909091</v>
      </c>
      <c r="K96" s="978"/>
      <c r="L96" s="961"/>
      <c r="N96" s="1148">
        <v>7</v>
      </c>
      <c r="O96" s="988">
        <f t="shared" si="7"/>
        <v>-12</v>
      </c>
    </row>
    <row r="97" spans="1:15" x14ac:dyDescent="0.35">
      <c r="A97" s="1010" t="s">
        <v>238</v>
      </c>
      <c r="B97" s="1011"/>
      <c r="C97" s="1011"/>
      <c r="D97" s="981" t="s">
        <v>171</v>
      </c>
      <c r="E97" s="982">
        <f>'[1]21'!F97</f>
        <v>94795</v>
      </c>
      <c r="F97" s="1012">
        <v>94814</v>
      </c>
      <c r="G97" s="983">
        <f t="shared" si="12"/>
        <v>19</v>
      </c>
      <c r="H97" s="984">
        <f>G97+'[1]21'!H97</f>
        <v>542</v>
      </c>
      <c r="I97" s="1003"/>
      <c r="J97" s="986">
        <f>H97/DAY(B2)</f>
        <v>24.636363636363637</v>
      </c>
      <c r="K97" s="1096"/>
      <c r="L97" s="961"/>
      <c r="N97" s="1148">
        <v>12</v>
      </c>
      <c r="O97" s="988">
        <f t="shared" si="7"/>
        <v>-7</v>
      </c>
    </row>
    <row r="98" spans="1:15" x14ac:dyDescent="0.35">
      <c r="A98" s="1010" t="s">
        <v>239</v>
      </c>
      <c r="B98" s="1011"/>
      <c r="C98" s="1011"/>
      <c r="D98" s="981" t="s">
        <v>171</v>
      </c>
      <c r="E98" s="982">
        <f>'[1]21'!F98</f>
        <v>143318</v>
      </c>
      <c r="F98" s="1012">
        <v>143342</v>
      </c>
      <c r="G98" s="983">
        <f t="shared" si="12"/>
        <v>24</v>
      </c>
      <c r="H98" s="984">
        <f>G98+'[1]21'!H98</f>
        <v>1196</v>
      </c>
      <c r="I98" s="1003"/>
      <c r="J98" s="986">
        <f>H98/DAY(B2)</f>
        <v>54.363636363636367</v>
      </c>
      <c r="K98" s="1080"/>
      <c r="L98" s="961"/>
      <c r="N98" s="1148">
        <v>16</v>
      </c>
      <c r="O98" s="988">
        <f t="shared" si="7"/>
        <v>-8</v>
      </c>
    </row>
    <row r="99" spans="1:15" x14ac:dyDescent="0.35">
      <c r="A99" s="1010" t="s">
        <v>240</v>
      </c>
      <c r="B99" s="1011"/>
      <c r="C99" s="1011"/>
      <c r="D99" s="981" t="s">
        <v>171</v>
      </c>
      <c r="E99" s="982">
        <f>'[1]21'!F99</f>
        <v>5380</v>
      </c>
      <c r="F99" s="1012">
        <v>5387</v>
      </c>
      <c r="G99" s="983">
        <f t="shared" si="12"/>
        <v>7</v>
      </c>
      <c r="H99" s="984">
        <f>G99+'[1]21'!H99</f>
        <v>419</v>
      </c>
      <c r="I99" s="1003"/>
      <c r="J99" s="986">
        <f>H99/DAY(B2)</f>
        <v>19.045454545454547</v>
      </c>
      <c r="K99" s="1080"/>
      <c r="L99" s="961"/>
      <c r="N99" s="1148">
        <v>3</v>
      </c>
      <c r="O99" s="988">
        <f t="shared" si="7"/>
        <v>-4</v>
      </c>
    </row>
    <row r="100" spans="1:15" x14ac:dyDescent="0.35">
      <c r="A100" s="1010" t="s">
        <v>241</v>
      </c>
      <c r="B100" s="1011"/>
      <c r="C100" s="1011"/>
      <c r="D100" s="981" t="s">
        <v>171</v>
      </c>
      <c r="E100" s="982">
        <f>'[1]21'!F100</f>
        <v>3854</v>
      </c>
      <c r="F100" s="1012">
        <v>3864</v>
      </c>
      <c r="G100" s="983">
        <f t="shared" si="12"/>
        <v>10</v>
      </c>
      <c r="H100" s="984">
        <f>G100+'[1]21'!H100</f>
        <v>68</v>
      </c>
      <c r="I100" s="1003"/>
      <c r="J100" s="986">
        <f>H100/DAY(B2)</f>
        <v>3.0909090909090908</v>
      </c>
      <c r="K100" s="1080"/>
      <c r="L100" s="961"/>
      <c r="N100" s="1148">
        <v>0</v>
      </c>
      <c r="O100" s="988">
        <f t="shared" si="7"/>
        <v>-10</v>
      </c>
    </row>
    <row r="101" spans="1:15" x14ac:dyDescent="0.35">
      <c r="A101" s="1592" t="s">
        <v>242</v>
      </c>
      <c r="B101" s="1593"/>
      <c r="C101" s="1594"/>
      <c r="D101" s="1015"/>
      <c r="E101" s="1015"/>
      <c r="F101" s="1015"/>
      <c r="G101" s="1097">
        <f>SUM(G95:G100)</f>
        <v>138</v>
      </c>
      <c r="H101" s="984">
        <f>G101+'[1]21'!H101</f>
        <v>4257</v>
      </c>
      <c r="I101" s="1098"/>
      <c r="J101" s="986">
        <f>H101/DAY(B2)</f>
        <v>193.5</v>
      </c>
      <c r="K101" s="1080"/>
      <c r="L101" s="961"/>
      <c r="N101" s="1148">
        <v>87</v>
      </c>
      <c r="O101" s="988">
        <f t="shared" si="7"/>
        <v>-51</v>
      </c>
    </row>
    <row r="102" spans="1:15" s="1033" customFormat="1" x14ac:dyDescent="0.25">
      <c r="A102" s="1099" t="s">
        <v>243</v>
      </c>
      <c r="B102" s="1100"/>
      <c r="C102" s="1100"/>
      <c r="D102" s="1101"/>
      <c r="E102" s="1102"/>
      <c r="F102" s="1103"/>
      <c r="G102" s="1104"/>
      <c r="H102" s="1105"/>
      <c r="I102" s="1106"/>
      <c r="J102" s="1107"/>
      <c r="N102" s="1149"/>
      <c r="O102" s="988">
        <f t="shared" si="7"/>
        <v>0</v>
      </c>
    </row>
    <row r="103" spans="1:15" s="1033" customFormat="1" x14ac:dyDescent="0.35">
      <c r="A103" s="1600" t="s">
        <v>244</v>
      </c>
      <c r="B103" s="1601"/>
      <c r="C103" s="1108"/>
      <c r="D103" s="1109"/>
      <c r="E103" s="1110"/>
      <c r="F103" s="1110"/>
      <c r="G103" s="1110"/>
      <c r="H103" s="1111"/>
      <c r="I103" s="1110"/>
      <c r="J103" s="1112"/>
      <c r="N103" s="1149"/>
      <c r="O103" s="988">
        <f t="shared" si="7"/>
        <v>0</v>
      </c>
    </row>
    <row r="104" spans="1:15" s="1033" customFormat="1" x14ac:dyDescent="0.35">
      <c r="A104" s="1602" t="s">
        <v>245</v>
      </c>
      <c r="B104" s="1603"/>
      <c r="C104" s="1113"/>
      <c r="D104" s="1109" t="s">
        <v>171</v>
      </c>
      <c r="E104" s="1110">
        <f>'[1]21'!F104</f>
        <v>7010</v>
      </c>
      <c r="F104" s="1110">
        <v>7010</v>
      </c>
      <c r="G104" s="1110">
        <f>F104-E104</f>
        <v>0</v>
      </c>
      <c r="H104" s="1111">
        <f>SUM(G104+'[1]1'!G76)</f>
        <v>57</v>
      </c>
      <c r="I104" s="1110"/>
      <c r="J104" s="1112">
        <f>H104/DAY(B2)</f>
        <v>2.5909090909090908</v>
      </c>
      <c r="N104" s="1149">
        <v>0</v>
      </c>
      <c r="O104" s="988">
        <f t="shared" si="7"/>
        <v>0</v>
      </c>
    </row>
    <row r="105" spans="1:15" s="1033" customFormat="1" x14ac:dyDescent="0.35">
      <c r="A105" s="1602" t="s">
        <v>92</v>
      </c>
      <c r="B105" s="1603"/>
      <c r="C105" s="1113"/>
      <c r="D105" s="1109" t="s">
        <v>171</v>
      </c>
      <c r="E105" s="1110">
        <f>'[1]21'!F105</f>
        <v>34836</v>
      </c>
      <c r="F105" s="1114">
        <v>34845</v>
      </c>
      <c r="G105" s="1110">
        <f t="shared" ref="G105:G106" si="13">F105-E105</f>
        <v>9</v>
      </c>
      <c r="H105" s="1111">
        <f>SUM(G105+'[1]1'!G77)</f>
        <v>64</v>
      </c>
      <c r="I105" s="1110"/>
      <c r="J105" s="1112">
        <f>H105/DAY(B2)</f>
        <v>2.9090909090909092</v>
      </c>
      <c r="N105" s="1149">
        <v>12</v>
      </c>
      <c r="O105" s="988">
        <f t="shared" si="7"/>
        <v>3</v>
      </c>
    </row>
    <row r="106" spans="1:15" s="1033" customFormat="1" x14ac:dyDescent="0.35">
      <c r="A106" s="1602" t="s">
        <v>93</v>
      </c>
      <c r="B106" s="1604"/>
      <c r="C106" s="1603"/>
      <c r="D106" s="1109" t="s">
        <v>171</v>
      </c>
      <c r="E106" s="1110">
        <f>'[1]21'!F106</f>
        <v>18836</v>
      </c>
      <c r="F106" s="1110">
        <v>18842</v>
      </c>
      <c r="G106" s="1110">
        <f t="shared" si="13"/>
        <v>6</v>
      </c>
      <c r="H106" s="1111">
        <f>SUM(G106+'[1]1'!G78)</f>
        <v>486</v>
      </c>
      <c r="I106" s="1110"/>
      <c r="J106" s="1112">
        <f>H106/DAY(B2)</f>
        <v>22.09090909090909</v>
      </c>
      <c r="N106" s="1149">
        <v>4</v>
      </c>
      <c r="O106" s="988">
        <f t="shared" si="7"/>
        <v>-2</v>
      </c>
    </row>
    <row r="107" spans="1:15" s="1033" customFormat="1" x14ac:dyDescent="0.35">
      <c r="A107" s="1605" t="s">
        <v>82</v>
      </c>
      <c r="B107" s="1606"/>
      <c r="C107" s="1113"/>
      <c r="D107" s="1109"/>
      <c r="E107" s="1110">
        <f>'[1]21'!F107</f>
        <v>0</v>
      </c>
      <c r="F107" s="1110"/>
      <c r="G107" s="1110">
        <f>SUM(G104:G106)</f>
        <v>15</v>
      </c>
      <c r="H107" s="1111">
        <f>SUM(G107+'[1]1'!G79)</f>
        <v>216</v>
      </c>
      <c r="I107" s="1110"/>
      <c r="J107" s="1112">
        <f>H107/DAY(B2)</f>
        <v>9.8181818181818183</v>
      </c>
      <c r="N107" s="1149">
        <v>16</v>
      </c>
      <c r="O107" s="988">
        <f t="shared" si="7"/>
        <v>1</v>
      </c>
    </row>
    <row r="108" spans="1:15" s="1033" customFormat="1" x14ac:dyDescent="0.35">
      <c r="A108" s="1607" t="s">
        <v>94</v>
      </c>
      <c r="B108" s="1608"/>
      <c r="C108" s="1113"/>
      <c r="D108" s="1109" t="s">
        <v>171</v>
      </c>
      <c r="E108" s="1110">
        <f>'[1]21'!F108</f>
        <v>0</v>
      </c>
      <c r="F108" s="1110"/>
      <c r="G108" s="1110"/>
      <c r="H108" s="1111"/>
      <c r="I108" s="1110"/>
      <c r="J108" s="1112"/>
      <c r="N108" s="1149"/>
      <c r="O108" s="988">
        <f t="shared" si="7"/>
        <v>0</v>
      </c>
    </row>
    <row r="109" spans="1:15" s="1033" customFormat="1" x14ac:dyDescent="0.35">
      <c r="A109" s="1602" t="s">
        <v>246</v>
      </c>
      <c r="B109" s="1603"/>
      <c r="C109" s="1113"/>
      <c r="D109" s="1109" t="s">
        <v>171</v>
      </c>
      <c r="E109" s="1110">
        <f>'[1]21'!F109</f>
        <v>52506</v>
      </c>
      <c r="F109" s="1110">
        <v>52547</v>
      </c>
      <c r="G109" s="1110">
        <f>F109-E109</f>
        <v>41</v>
      </c>
      <c r="H109" s="1111">
        <f>SUM(G109+'[1]1'!G81)</f>
        <v>194.28000000002794</v>
      </c>
      <c r="I109" s="1110"/>
      <c r="J109" s="1112">
        <f>H109/DAY(B2)</f>
        <v>8.8309090909103602</v>
      </c>
      <c r="N109" s="1149">
        <v>39</v>
      </c>
      <c r="O109" s="988">
        <f t="shared" si="7"/>
        <v>-2</v>
      </c>
    </row>
    <row r="110" spans="1:15" s="1033" customFormat="1" x14ac:dyDescent="0.35">
      <c r="A110" s="1602" t="s">
        <v>247</v>
      </c>
      <c r="B110" s="1603"/>
      <c r="C110" s="1113"/>
      <c r="D110" s="1109" t="s">
        <v>171</v>
      </c>
      <c r="E110" s="1110">
        <f>'[1]21'!F110</f>
        <v>26463</v>
      </c>
      <c r="F110" s="1110">
        <v>26478</v>
      </c>
      <c r="G110" s="1110">
        <f t="shared" ref="G110:G111" si="14">F110-E110</f>
        <v>15</v>
      </c>
      <c r="H110" s="1111">
        <f>SUM(G110+'[1]1'!G82)</f>
        <v>35.760000000009313</v>
      </c>
      <c r="I110" s="1110"/>
      <c r="J110" s="1112">
        <f>H110/DAY(B2)</f>
        <v>1.6254545454549687</v>
      </c>
      <c r="N110" s="1149">
        <v>8</v>
      </c>
      <c r="O110" s="988">
        <f t="shared" si="7"/>
        <v>-7</v>
      </c>
    </row>
    <row r="111" spans="1:15" s="1033" customFormat="1" x14ac:dyDescent="0.35">
      <c r="A111" s="1602" t="s">
        <v>248</v>
      </c>
      <c r="B111" s="1603"/>
      <c r="C111" s="1113"/>
      <c r="D111" s="1109" t="s">
        <v>171</v>
      </c>
      <c r="E111" s="1110">
        <f>'[1]21'!F111</f>
        <v>3501</v>
      </c>
      <c r="F111" s="1110">
        <v>3513</v>
      </c>
      <c r="G111" s="1110">
        <f t="shared" si="14"/>
        <v>12</v>
      </c>
      <c r="H111" s="1111">
        <f>SUM(G111+'[1]1'!G83)</f>
        <v>358</v>
      </c>
      <c r="I111" s="1110"/>
      <c r="J111" s="1112">
        <f>H111/DAY(B2)</f>
        <v>16.272727272727273</v>
      </c>
      <c r="N111" s="1149">
        <v>0</v>
      </c>
      <c r="O111" s="988">
        <f t="shared" si="7"/>
        <v>-12</v>
      </c>
    </row>
    <row r="112" spans="1:15" s="1033" customFormat="1" x14ac:dyDescent="0.35">
      <c r="A112" s="1612" t="s">
        <v>136</v>
      </c>
      <c r="B112" s="1613"/>
      <c r="C112" s="1113"/>
      <c r="D112" s="1109"/>
      <c r="E112" s="1110">
        <f>'[1]21'!F112</f>
        <v>0</v>
      </c>
      <c r="F112" s="1110"/>
      <c r="G112" s="1110">
        <f>SUM(G109:G111)</f>
        <v>68</v>
      </c>
      <c r="H112" s="1111">
        <f>SUM(G112+'[1]1'!G84)</f>
        <v>632</v>
      </c>
      <c r="I112" s="1110"/>
      <c r="J112" s="1112">
        <f>H112/DAY(B2)</f>
        <v>28.727272727272727</v>
      </c>
      <c r="N112" s="1149">
        <v>47</v>
      </c>
      <c r="O112" s="988">
        <f t="shared" si="7"/>
        <v>-21</v>
      </c>
    </row>
    <row r="113" spans="1:15" s="1033" customFormat="1" x14ac:dyDescent="0.35">
      <c r="A113" s="1607" t="s">
        <v>249</v>
      </c>
      <c r="B113" s="1608"/>
      <c r="C113" s="1113"/>
      <c r="D113" s="1109"/>
      <c r="E113" s="1110">
        <f>'[1]21'!F113</f>
        <v>0</v>
      </c>
      <c r="F113" s="1110"/>
      <c r="G113" s="1110"/>
      <c r="H113" s="1111"/>
      <c r="I113" s="1110"/>
      <c r="J113" s="1112">
        <f>H113/DAY(B2)</f>
        <v>0</v>
      </c>
      <c r="N113" s="1149"/>
      <c r="O113" s="988">
        <f t="shared" si="7"/>
        <v>0</v>
      </c>
    </row>
    <row r="114" spans="1:15" s="1033" customFormat="1" x14ac:dyDescent="0.35">
      <c r="A114" s="1602" t="s">
        <v>250</v>
      </c>
      <c r="B114" s="1603"/>
      <c r="C114" s="1115"/>
      <c r="D114" s="1109" t="s">
        <v>171</v>
      </c>
      <c r="E114" s="1110">
        <f>'[1]21'!F114</f>
        <v>9091</v>
      </c>
      <c r="F114" s="1114">
        <v>9099</v>
      </c>
      <c r="G114" s="1114">
        <f>F114-E114</f>
        <v>8</v>
      </c>
      <c r="H114" s="1111">
        <f>SUM(G114+'[1]1'!G91)</f>
        <v>8</v>
      </c>
      <c r="I114" s="1110"/>
      <c r="J114" s="1112">
        <f>H114/DAY(B2)</f>
        <v>0.36363636363636365</v>
      </c>
      <c r="N114" s="1149">
        <v>3</v>
      </c>
      <c r="O114" s="988">
        <f t="shared" si="7"/>
        <v>-5</v>
      </c>
    </row>
    <row r="115" spans="1:15" s="1033" customFormat="1" x14ac:dyDescent="0.35">
      <c r="A115" s="1602" t="s">
        <v>251</v>
      </c>
      <c r="B115" s="1603"/>
      <c r="C115" s="1115"/>
      <c r="D115" s="1109" t="s">
        <v>171</v>
      </c>
      <c r="E115" s="1110">
        <f>'[1]21'!F115</f>
        <v>7075</v>
      </c>
      <c r="F115" s="1114">
        <v>7091</v>
      </c>
      <c r="G115" s="1114">
        <f t="shared" ref="G115:G116" si="15">F115-E115</f>
        <v>16</v>
      </c>
      <c r="H115" s="1111">
        <f>SUM(G115+'[1]1'!G92)</f>
        <v>128</v>
      </c>
      <c r="I115" s="1110"/>
      <c r="J115" s="1112">
        <f>H115/DAY(B2)</f>
        <v>5.8181818181818183</v>
      </c>
      <c r="N115" s="1149">
        <v>4</v>
      </c>
      <c r="O115" s="988">
        <f t="shared" si="7"/>
        <v>-12</v>
      </c>
    </row>
    <row r="116" spans="1:15" s="1033" customFormat="1" x14ac:dyDescent="0.35">
      <c r="A116" s="1602" t="s">
        <v>252</v>
      </c>
      <c r="B116" s="1603"/>
      <c r="C116" s="1115"/>
      <c r="D116" s="1109" t="s">
        <v>171</v>
      </c>
      <c r="E116" s="1114"/>
      <c r="F116" s="1114"/>
      <c r="G116" s="1114">
        <f t="shared" si="15"/>
        <v>0</v>
      </c>
      <c r="H116" s="1111">
        <f>SUM(G116+'[1]1'!G93)</f>
        <v>151</v>
      </c>
      <c r="I116" s="1110"/>
      <c r="J116" s="1112">
        <f>H116/DAY(B2)</f>
        <v>6.8636363636363633</v>
      </c>
      <c r="N116" s="1149">
        <v>0</v>
      </c>
      <c r="O116" s="988">
        <f t="shared" si="7"/>
        <v>0</v>
      </c>
    </row>
    <row r="117" spans="1:15" s="1117" customFormat="1" x14ac:dyDescent="0.35">
      <c r="A117" s="1605" t="s">
        <v>82</v>
      </c>
      <c r="B117" s="1606"/>
      <c r="C117" s="1115"/>
      <c r="D117" s="1116"/>
      <c r="E117" s="1114"/>
      <c r="F117" s="1114"/>
      <c r="G117" s="1114">
        <f>SUM(G114:G116)</f>
        <v>24</v>
      </c>
      <c r="H117" s="1111">
        <f>SUM(G117+'[1]1'!G95)</f>
        <v>71</v>
      </c>
      <c r="I117" s="1114"/>
      <c r="J117" s="1112">
        <f>H117/DAY(B2)</f>
        <v>3.2272727272727271</v>
      </c>
      <c r="N117" s="1154">
        <v>7</v>
      </c>
      <c r="O117" s="988">
        <f t="shared" si="7"/>
        <v>-17</v>
      </c>
    </row>
    <row r="118" spans="1:15" s="907" customFormat="1" x14ac:dyDescent="0.35">
      <c r="A118" s="1616" t="s">
        <v>253</v>
      </c>
      <c r="B118" s="1617"/>
      <c r="C118" s="1118"/>
      <c r="D118" s="1119" t="s">
        <v>171</v>
      </c>
      <c r="E118" s="1120"/>
      <c r="F118" s="1121">
        <f>SUM(G19+G92)</f>
        <v>109</v>
      </c>
      <c r="G118" s="1121">
        <f>SUM(G19+G92)</f>
        <v>109</v>
      </c>
      <c r="H118" s="1111">
        <f>SUM(G118+'[1]1'!G96)</f>
        <v>142</v>
      </c>
      <c r="I118" s="1120"/>
      <c r="J118" s="1122">
        <f>H118/DAY(B2)</f>
        <v>6.4545454545454541</v>
      </c>
      <c r="N118" s="1155">
        <v>82</v>
      </c>
      <c r="O118" s="988">
        <f t="shared" si="7"/>
        <v>-27</v>
      </c>
    </row>
    <row r="119" spans="1:15" s="907" customFormat="1" x14ac:dyDescent="0.35">
      <c r="A119" s="1616" t="s">
        <v>254</v>
      </c>
      <c r="B119" s="1617"/>
      <c r="C119" s="1118"/>
      <c r="D119" s="1119" t="s">
        <v>171</v>
      </c>
      <c r="E119" s="1120"/>
      <c r="F119" s="1121">
        <f>SUM(G95,G96,G97,G99,G100)</f>
        <v>114</v>
      </c>
      <c r="G119" s="1121">
        <f>SUM(G95,G96,G97,G99,G100)</f>
        <v>114</v>
      </c>
      <c r="H119" s="1111">
        <f>SUM(G119+'[1]1'!G98)</f>
        <v>181</v>
      </c>
      <c r="I119" s="1120"/>
      <c r="J119" s="1122">
        <f>H119/DAY(B2)</f>
        <v>8.2272727272727266</v>
      </c>
      <c r="N119" s="1155">
        <v>71</v>
      </c>
      <c r="O119" s="988">
        <f t="shared" si="7"/>
        <v>-43</v>
      </c>
    </row>
    <row r="120" spans="1:15" s="907" customFormat="1" x14ac:dyDescent="0.35">
      <c r="A120" s="1616" t="s">
        <v>255</v>
      </c>
      <c r="B120" s="1617"/>
      <c r="C120" s="1118"/>
      <c r="D120" s="1119" t="s">
        <v>171</v>
      </c>
      <c r="E120" s="1120"/>
      <c r="F120" s="1114">
        <f>SUM(G112)</f>
        <v>68</v>
      </c>
      <c r="G120" s="1114">
        <f>SUM(G112)</f>
        <v>68</v>
      </c>
      <c r="H120" s="1111">
        <f>SUM(G120+'[1]1'!G100)</f>
        <v>68</v>
      </c>
      <c r="I120" s="1120"/>
      <c r="J120" s="1122">
        <f>H120/DAY(B2)</f>
        <v>3.0909090909090908</v>
      </c>
      <c r="N120" s="1155">
        <v>47</v>
      </c>
      <c r="O120" s="988">
        <f t="shared" si="7"/>
        <v>-21</v>
      </c>
    </row>
    <row r="121" spans="1:15" s="1033" customFormat="1" x14ac:dyDescent="0.35">
      <c r="A121" s="1614"/>
      <c r="B121" s="1615"/>
      <c r="C121" s="1113"/>
      <c r="D121" s="1108"/>
      <c r="E121" s="1108"/>
      <c r="F121" s="1108" t="s">
        <v>143</v>
      </c>
      <c r="G121" s="1108"/>
      <c r="H121" s="1123"/>
      <c r="I121" s="1108"/>
      <c r="J121" s="1124"/>
      <c r="N121" s="1149"/>
      <c r="O121" s="988">
        <f t="shared" si="7"/>
        <v>0</v>
      </c>
    </row>
    <row r="122" spans="1:15" x14ac:dyDescent="0.35">
      <c r="A122" s="1595" t="s">
        <v>256</v>
      </c>
      <c r="B122" s="1596"/>
      <c r="C122" s="1597"/>
      <c r="D122" s="976"/>
      <c r="E122" s="976"/>
      <c r="F122" s="976"/>
      <c r="G122" s="1008"/>
      <c r="H122" s="1008"/>
      <c r="I122" s="1008"/>
      <c r="J122" s="1125"/>
      <c r="K122" s="1080"/>
      <c r="L122" s="961"/>
      <c r="O122" s="988">
        <f t="shared" si="7"/>
        <v>0</v>
      </c>
    </row>
    <row r="123" spans="1:15" x14ac:dyDescent="0.35">
      <c r="A123" s="1010" t="s">
        <v>257</v>
      </c>
      <c r="B123" s="1011"/>
      <c r="C123" s="1011"/>
      <c r="D123" s="981" t="s">
        <v>168</v>
      </c>
      <c r="E123" s="982">
        <f>'[1]21'!F123</f>
        <v>793141</v>
      </c>
      <c r="F123" s="1000">
        <v>793359</v>
      </c>
      <c r="G123" s="983">
        <f t="shared" ref="G123:G127" si="16">F123-E123</f>
        <v>218</v>
      </c>
      <c r="H123" s="984">
        <f>G123+'[1]21'!H123</f>
        <v>4527.9300000000512</v>
      </c>
      <c r="I123" s="1098"/>
      <c r="J123" s="986">
        <f>H123/DAY(B2)</f>
        <v>205.81500000000233</v>
      </c>
      <c r="K123" s="1080"/>
      <c r="L123" s="961"/>
      <c r="N123" s="1148">
        <v>100.59000000008382</v>
      </c>
      <c r="O123" s="988">
        <f t="shared" si="7"/>
        <v>-117.40999999991618</v>
      </c>
    </row>
    <row r="124" spans="1:15" x14ac:dyDescent="0.35">
      <c r="A124" s="1010" t="s">
        <v>258</v>
      </c>
      <c r="B124" s="1011"/>
      <c r="C124" s="1011"/>
      <c r="D124" s="981" t="s">
        <v>168</v>
      </c>
      <c r="E124" s="982">
        <f>'[1]21'!F124</f>
        <v>73581.899999999994</v>
      </c>
      <c r="F124" s="1016">
        <v>73581.899999999994</v>
      </c>
      <c r="G124" s="983">
        <f t="shared" si="16"/>
        <v>0</v>
      </c>
      <c r="H124" s="984">
        <f>G124+'[1]21'!H124</f>
        <v>-0.30000000000291038</v>
      </c>
      <c r="I124" s="1098"/>
      <c r="J124" s="986">
        <f>H124/DAY(B2)</f>
        <v>-1.3636363636495926E-2</v>
      </c>
      <c r="K124" s="1080"/>
      <c r="L124" s="961"/>
      <c r="N124" s="1148">
        <v>0</v>
      </c>
      <c r="O124" s="988">
        <f t="shared" si="7"/>
        <v>0</v>
      </c>
    </row>
    <row r="125" spans="1:15" x14ac:dyDescent="0.35">
      <c r="A125" s="1563" t="s">
        <v>259</v>
      </c>
      <c r="B125" s="1564"/>
      <c r="C125" s="1565"/>
      <c r="D125" s="981" t="s">
        <v>168</v>
      </c>
      <c r="E125" s="982">
        <f>'[1]21'!F125</f>
        <v>134830</v>
      </c>
      <c r="F125" s="1000">
        <v>134910</v>
      </c>
      <c r="G125" s="983">
        <f t="shared" si="16"/>
        <v>80</v>
      </c>
      <c r="H125" s="984">
        <f>G125+'[1]21'!H125</f>
        <v>1787.1199999999953</v>
      </c>
      <c r="I125" s="1098"/>
      <c r="J125" s="986">
        <f>H125/DAY(B2)</f>
        <v>81.232727272727061</v>
      </c>
      <c r="K125" s="1080"/>
      <c r="L125" s="961"/>
      <c r="N125" s="1148">
        <v>62</v>
      </c>
      <c r="O125" s="988">
        <f t="shared" si="7"/>
        <v>-18</v>
      </c>
    </row>
    <row r="126" spans="1:15" x14ac:dyDescent="0.35">
      <c r="A126" s="1127" t="s">
        <v>260</v>
      </c>
      <c r="B126" s="1011"/>
      <c r="C126" s="1011"/>
      <c r="D126" s="981" t="s">
        <v>168</v>
      </c>
      <c r="E126" s="982">
        <f>'[1]21'!F126</f>
        <v>57038</v>
      </c>
      <c r="F126" s="1016">
        <v>57059</v>
      </c>
      <c r="G126" s="983">
        <f t="shared" si="16"/>
        <v>21</v>
      </c>
      <c r="H126" s="984">
        <f>G126+'[1]21'!H126</f>
        <v>710.80000000000291</v>
      </c>
      <c r="I126" s="1098"/>
      <c r="J126" s="986">
        <f>H126/DAY(B2)</f>
        <v>32.30909090909104</v>
      </c>
      <c r="K126" s="1080"/>
      <c r="L126" s="961"/>
      <c r="N126" s="1148">
        <v>0</v>
      </c>
      <c r="O126" s="988">
        <f t="shared" si="7"/>
        <v>-21</v>
      </c>
    </row>
    <row r="127" spans="1:15" x14ac:dyDescent="0.35">
      <c r="A127" s="1127" t="s">
        <v>261</v>
      </c>
      <c r="B127" s="1011"/>
      <c r="C127" s="1011"/>
      <c r="D127" s="981" t="s">
        <v>168</v>
      </c>
      <c r="E127" s="982">
        <f>'[1]21'!F127</f>
        <v>8682</v>
      </c>
      <c r="F127" s="1016">
        <v>8683</v>
      </c>
      <c r="G127" s="983">
        <f t="shared" si="16"/>
        <v>1</v>
      </c>
      <c r="H127" s="984">
        <f>G127+'[1]21'!H127</f>
        <v>42.899999999999636</v>
      </c>
      <c r="I127" s="1003"/>
      <c r="J127" s="986">
        <f>H127/DAY(B2)</f>
        <v>1.9499999999999835</v>
      </c>
      <c r="K127" s="1080"/>
      <c r="L127" s="961"/>
      <c r="N127" s="1148">
        <v>0</v>
      </c>
      <c r="O127" s="988">
        <f t="shared" si="7"/>
        <v>-1</v>
      </c>
    </row>
    <row r="128" spans="1:15" x14ac:dyDescent="0.35">
      <c r="A128" s="1127" t="s">
        <v>262</v>
      </c>
      <c r="B128" s="1011"/>
      <c r="C128" s="1011"/>
      <c r="D128" s="981"/>
      <c r="E128" s="982"/>
      <c r="F128" s="1000"/>
      <c r="G128" s="983">
        <f>G15-SUM(G123:G127)</f>
        <v>371</v>
      </c>
      <c r="H128" s="984">
        <f>G128+'[1]21'!H128</f>
        <v>2333.1000000000058</v>
      </c>
      <c r="I128" s="1003"/>
      <c r="J128" s="986">
        <f>H128/DAY(B2)</f>
        <v>106.05000000000027</v>
      </c>
      <c r="K128" s="1080"/>
      <c r="L128" s="961"/>
      <c r="N128" s="1148">
        <v>336.61999999987893</v>
      </c>
      <c r="O128" s="988">
        <f t="shared" si="7"/>
        <v>-34.380000000121072</v>
      </c>
    </row>
    <row r="129" spans="1:15" x14ac:dyDescent="0.35">
      <c r="A129" s="1128" t="s">
        <v>263</v>
      </c>
      <c r="B129" s="975"/>
      <c r="C129" s="975"/>
      <c r="D129" s="975"/>
      <c r="E129" s="975"/>
      <c r="F129" s="975"/>
      <c r="G129" s="1129"/>
      <c r="H129" s="1129"/>
      <c r="I129" s="1129"/>
      <c r="J129" s="1130"/>
      <c r="O129" s="988">
        <f t="shared" si="7"/>
        <v>0</v>
      </c>
    </row>
    <row r="130" spans="1:15" x14ac:dyDescent="0.35">
      <c r="A130" s="1010" t="s">
        <v>264</v>
      </c>
      <c r="B130" s="1011"/>
      <c r="C130" s="1011"/>
      <c r="D130" s="981" t="s">
        <v>265</v>
      </c>
      <c r="E130" s="982">
        <f>'[1]21'!F130</f>
        <v>0</v>
      </c>
      <c r="F130" s="1012">
        <v>0</v>
      </c>
      <c r="G130" s="983">
        <f t="shared" ref="G130:G140" si="17">F130-E130</f>
        <v>0</v>
      </c>
      <c r="H130" s="984">
        <f>G130+'[1]21'!H130</f>
        <v>0</v>
      </c>
      <c r="I130" s="1003"/>
      <c r="J130" s="986">
        <f>H130/DAY(B2)</f>
        <v>0</v>
      </c>
      <c r="N130" s="1148">
        <v>0</v>
      </c>
      <c r="O130" s="988">
        <f t="shared" si="7"/>
        <v>0</v>
      </c>
    </row>
    <row r="131" spans="1:15" x14ac:dyDescent="0.35">
      <c r="A131" s="1010" t="s">
        <v>266</v>
      </c>
      <c r="B131" s="1011"/>
      <c r="C131" s="1011"/>
      <c r="D131" s="981" t="s">
        <v>265</v>
      </c>
      <c r="E131" s="982">
        <f>'[1]21'!F131</f>
        <v>0</v>
      </c>
      <c r="F131" s="1012">
        <v>0</v>
      </c>
      <c r="G131" s="983">
        <f t="shared" si="17"/>
        <v>0</v>
      </c>
      <c r="H131" s="984">
        <f>G131+'[1]21'!H131</f>
        <v>0</v>
      </c>
      <c r="I131" s="1003"/>
      <c r="J131" s="986">
        <f>H131/DAY(B2)</f>
        <v>0</v>
      </c>
      <c r="N131" s="1148">
        <v>0</v>
      </c>
      <c r="O131" s="988">
        <f t="shared" si="7"/>
        <v>0</v>
      </c>
    </row>
    <row r="132" spans="1:15" x14ac:dyDescent="0.35">
      <c r="A132" s="1010" t="s">
        <v>267</v>
      </c>
      <c r="B132" s="1011"/>
      <c r="C132" s="1011"/>
      <c r="D132" s="981" t="s">
        <v>265</v>
      </c>
      <c r="E132" s="982">
        <f>'[1]21'!F132</f>
        <v>38901</v>
      </c>
      <c r="F132" s="1131">
        <v>38901</v>
      </c>
      <c r="G132" s="983">
        <f t="shared" si="17"/>
        <v>0</v>
      </c>
      <c r="H132" s="984">
        <f>G132+'[1]21'!H132</f>
        <v>0</v>
      </c>
      <c r="I132" s="1003"/>
      <c r="J132" s="986">
        <f>H132/DAY(B2)</f>
        <v>0</v>
      </c>
      <c r="N132" s="1148">
        <v>0</v>
      </c>
      <c r="O132" s="988">
        <f t="shared" si="7"/>
        <v>0</v>
      </c>
    </row>
    <row r="133" spans="1:15" x14ac:dyDescent="0.35">
      <c r="A133" s="1010" t="s">
        <v>268</v>
      </c>
      <c r="B133" s="1011"/>
      <c r="C133" s="1011"/>
      <c r="D133" s="981" t="s">
        <v>265</v>
      </c>
      <c r="E133" s="982">
        <f>'[1]21'!F133</f>
        <v>299</v>
      </c>
      <c r="F133" s="1131">
        <v>299</v>
      </c>
      <c r="G133" s="983">
        <f t="shared" si="17"/>
        <v>0</v>
      </c>
      <c r="H133" s="984">
        <f>G133+'[1]21'!H133</f>
        <v>299</v>
      </c>
      <c r="I133" s="1003">
        <f>G130+G131+G132+G133</f>
        <v>0</v>
      </c>
      <c r="J133" s="986">
        <f>H133/DAY(B2)</f>
        <v>13.590909090909092</v>
      </c>
      <c r="N133" s="1148">
        <v>24.040000000000873</v>
      </c>
      <c r="O133" s="988">
        <f t="shared" si="7"/>
        <v>24.040000000000873</v>
      </c>
    </row>
    <row r="134" spans="1:15" x14ac:dyDescent="0.35">
      <c r="A134" s="1010" t="s">
        <v>269</v>
      </c>
      <c r="B134" s="1011"/>
      <c r="C134" s="1011"/>
      <c r="D134" s="981" t="s">
        <v>265</v>
      </c>
      <c r="E134" s="982">
        <f>'[1]21'!F134</f>
        <v>39735</v>
      </c>
      <c r="F134" s="1131">
        <v>39735</v>
      </c>
      <c r="G134" s="983">
        <f t="shared" si="17"/>
        <v>0</v>
      </c>
      <c r="H134" s="984">
        <f>G134+'[1]21'!H134</f>
        <v>0</v>
      </c>
      <c r="I134" s="1003"/>
      <c r="J134" s="986">
        <f>H134/DAY(B2)</f>
        <v>0</v>
      </c>
      <c r="N134" s="1148">
        <v>0</v>
      </c>
      <c r="O134" s="988">
        <f t="shared" si="7"/>
        <v>0</v>
      </c>
    </row>
    <row r="135" spans="1:15" x14ac:dyDescent="0.35">
      <c r="A135" s="1010" t="s">
        <v>270</v>
      </c>
      <c r="B135" s="1011"/>
      <c r="C135" s="1011"/>
      <c r="D135" s="981" t="s">
        <v>265</v>
      </c>
      <c r="E135" s="982">
        <f>'[1]21'!F135</f>
        <v>31925</v>
      </c>
      <c r="F135" s="1131">
        <v>31949</v>
      </c>
      <c r="G135" s="983">
        <f t="shared" si="17"/>
        <v>24</v>
      </c>
      <c r="H135" s="984">
        <f>G135+'[1]21'!H135</f>
        <v>231.47999999999956</v>
      </c>
      <c r="I135" s="1003"/>
      <c r="J135" s="986">
        <f>H135/DAY(B2)</f>
        <v>10.521818181818162</v>
      </c>
      <c r="N135" s="1148">
        <v>0</v>
      </c>
      <c r="O135" s="988">
        <f t="shared" si="7"/>
        <v>-24</v>
      </c>
    </row>
    <row r="136" spans="1:15" x14ac:dyDescent="0.35">
      <c r="A136" s="1010" t="s">
        <v>271</v>
      </c>
      <c r="B136" s="1011"/>
      <c r="C136" s="1011"/>
      <c r="D136" s="981" t="s">
        <v>265</v>
      </c>
      <c r="E136" s="982">
        <f>'[1]21'!F136</f>
        <v>21766.92</v>
      </c>
      <c r="F136" s="1131">
        <v>21774.04</v>
      </c>
      <c r="G136" s="983">
        <f t="shared" si="17"/>
        <v>7.1200000000026193</v>
      </c>
      <c r="H136" s="984">
        <f>G136+'[1]21'!H136</f>
        <v>99.319999999999709</v>
      </c>
      <c r="I136" s="1003">
        <f>G134+G135+G136</f>
        <v>31.120000000002619</v>
      </c>
      <c r="J136" s="986">
        <f>H136/DAY(B2)</f>
        <v>4.5145454545454413</v>
      </c>
      <c r="N136" s="1148">
        <v>0</v>
      </c>
      <c r="O136" s="988">
        <f t="shared" ref="O136:O154" si="18">N136-G136</f>
        <v>-7.1200000000026193</v>
      </c>
    </row>
    <row r="137" spans="1:15" x14ac:dyDescent="0.35">
      <c r="A137" s="1010" t="s">
        <v>272</v>
      </c>
      <c r="B137" s="1011"/>
      <c r="C137" s="1011"/>
      <c r="D137" s="981" t="s">
        <v>265</v>
      </c>
      <c r="E137" s="982">
        <f>'[1]21'!F137</f>
        <v>24958.95</v>
      </c>
      <c r="F137" s="1131">
        <v>24958.94</v>
      </c>
      <c r="G137" s="983">
        <f t="shared" si="17"/>
        <v>-1.0000000002037268E-2</v>
      </c>
      <c r="H137" s="984">
        <f>G137+'[1]21'!H137</f>
        <v>26.430000000000291</v>
      </c>
      <c r="I137" s="1003"/>
      <c r="J137" s="986">
        <f>H137/DAY(B2)</f>
        <v>1.2013636363636495</v>
      </c>
      <c r="N137" s="1148">
        <v>7.2299999999995634</v>
      </c>
      <c r="O137" s="988">
        <f t="shared" si="18"/>
        <v>7.2400000000016007</v>
      </c>
    </row>
    <row r="138" spans="1:15" x14ac:dyDescent="0.35">
      <c r="A138" s="1010" t="s">
        <v>273</v>
      </c>
      <c r="B138" s="1011"/>
      <c r="C138" s="1011"/>
      <c r="D138" s="981" t="s">
        <v>265</v>
      </c>
      <c r="E138" s="982">
        <f>'[1]21'!F138</f>
        <v>70001</v>
      </c>
      <c r="F138" s="1131">
        <v>70001</v>
      </c>
      <c r="G138" s="983">
        <f t="shared" si="17"/>
        <v>0</v>
      </c>
      <c r="H138" s="984">
        <f>G138+'[1]21'!H138</f>
        <v>45.789999999993597</v>
      </c>
      <c r="I138" s="1003">
        <f>G137+G138</f>
        <v>-1.0000000002037268E-2</v>
      </c>
      <c r="J138" s="986">
        <f>H138/DAY(B2)</f>
        <v>2.0813636363633452</v>
      </c>
      <c r="N138" s="1148">
        <v>0</v>
      </c>
      <c r="O138" s="988">
        <f t="shared" si="18"/>
        <v>0</v>
      </c>
    </row>
    <row r="139" spans="1:15" x14ac:dyDescent="0.35">
      <c r="A139" s="1010" t="s">
        <v>274</v>
      </c>
      <c r="B139" s="1011"/>
      <c r="C139" s="1011"/>
      <c r="D139" s="981" t="s">
        <v>265</v>
      </c>
      <c r="E139" s="982">
        <f>'[1]21'!F139</f>
        <v>1062.6300000000001</v>
      </c>
      <c r="F139" s="1012">
        <v>1062.6300000000001</v>
      </c>
      <c r="G139" s="983">
        <f t="shared" si="17"/>
        <v>0</v>
      </c>
      <c r="H139" s="984">
        <f>G139+'[1]21'!H139</f>
        <v>121.10000000000014</v>
      </c>
      <c r="I139" s="1132"/>
      <c r="J139" s="986">
        <f>H139/DAY(B2)</f>
        <v>5.5045454545454611</v>
      </c>
      <c r="N139" s="1148">
        <v>0</v>
      </c>
      <c r="O139" s="988">
        <f t="shared" si="18"/>
        <v>0</v>
      </c>
    </row>
    <row r="140" spans="1:15" x14ac:dyDescent="0.35">
      <c r="A140" s="1010" t="s">
        <v>275</v>
      </c>
      <c r="B140" s="1011"/>
      <c r="C140" s="1011"/>
      <c r="D140" s="981" t="s">
        <v>265</v>
      </c>
      <c r="E140" s="982">
        <f>'[1]21'!F140</f>
        <v>4156.8999999999996</v>
      </c>
      <c r="F140" s="1012">
        <v>4164.18</v>
      </c>
      <c r="G140" s="983">
        <f t="shared" si="17"/>
        <v>7.2800000000006548</v>
      </c>
      <c r="H140" s="984">
        <f>G140+'[1]21'!H140</f>
        <v>7.2800000000006548</v>
      </c>
      <c r="I140" s="1132"/>
      <c r="J140" s="986">
        <f>H140/DAY(B2)</f>
        <v>0.33090909090912068</v>
      </c>
      <c r="N140" s="1148">
        <v>3.3299999999999272</v>
      </c>
      <c r="O140" s="988">
        <f t="shared" si="18"/>
        <v>-3.9500000000007276</v>
      </c>
    </row>
    <row r="141" spans="1:15" x14ac:dyDescent="0.35">
      <c r="A141" s="1598" t="s">
        <v>276</v>
      </c>
      <c r="B141" s="1599"/>
      <c r="C141" s="976"/>
      <c r="D141" s="976"/>
      <c r="E141" s="976"/>
      <c r="F141" s="976"/>
      <c r="G141" s="1008"/>
      <c r="H141" s="1008"/>
      <c r="I141" s="1008"/>
      <c r="J141" s="1125"/>
      <c r="K141" s="1080"/>
      <c r="L141" s="961"/>
      <c r="O141" s="988">
        <f t="shared" si="18"/>
        <v>0</v>
      </c>
    </row>
    <row r="142" spans="1:15" x14ac:dyDescent="0.35">
      <c r="A142" s="1566" t="s">
        <v>277</v>
      </c>
      <c r="B142" s="1567"/>
      <c r="C142" s="1568"/>
      <c r="D142" s="981" t="s">
        <v>159</v>
      </c>
      <c r="E142" s="981"/>
      <c r="F142" s="981"/>
      <c r="G142" s="984">
        <f>G35+G43+G49+G57</f>
        <v>4689</v>
      </c>
      <c r="H142" s="984">
        <f>G142+'[1]21'!H142</f>
        <v>109619.42299999995</v>
      </c>
      <c r="I142" s="1003"/>
      <c r="J142" s="986">
        <f>H142/DAY(B2)</f>
        <v>4982.7010454545434</v>
      </c>
      <c r="K142" s="1080"/>
      <c r="L142" s="961"/>
      <c r="N142" s="1148">
        <v>3116.0800000000163</v>
      </c>
      <c r="O142" s="988">
        <f t="shared" si="18"/>
        <v>-1572.9199999999837</v>
      </c>
    </row>
    <row r="143" spans="1:15" x14ac:dyDescent="0.35">
      <c r="A143" s="1566" t="s">
        <v>278</v>
      </c>
      <c r="B143" s="1567"/>
      <c r="C143" s="1568"/>
      <c r="D143" s="981" t="s">
        <v>38</v>
      </c>
      <c r="E143" s="968"/>
      <c r="F143" s="968"/>
      <c r="G143" s="1133">
        <f>G142/G7</f>
        <v>0.26301323760376938</v>
      </c>
      <c r="H143" s="984">
        <f>G143+'[1]21'!H143</f>
        <v>5.2910255163910742</v>
      </c>
      <c r="I143" s="1134"/>
      <c r="J143" s="986">
        <f>H143/DAY(B2)</f>
        <v>0.24050115983595791</v>
      </c>
      <c r="K143" s="1080"/>
      <c r="L143" s="961"/>
      <c r="N143" s="1148">
        <v>0.24942607860401955</v>
      </c>
      <c r="O143" s="988">
        <f t="shared" si="18"/>
        <v>-1.3587158999749827E-2</v>
      </c>
    </row>
    <row r="144" spans="1:15" x14ac:dyDescent="0.35">
      <c r="A144" s="1566" t="s">
        <v>279</v>
      </c>
      <c r="B144" s="1567"/>
      <c r="C144" s="1568"/>
      <c r="D144" s="981" t="s">
        <v>159</v>
      </c>
      <c r="E144" s="982"/>
      <c r="F144" s="982"/>
      <c r="G144" s="984">
        <f>G41+G42+G55+G56</f>
        <v>3106</v>
      </c>
      <c r="H144" s="984">
        <f>G144+'[1]21'!H144</f>
        <v>100602.13999999998</v>
      </c>
      <c r="I144" s="1003"/>
      <c r="J144" s="986">
        <f>H144/DAY(B2)</f>
        <v>4572.8245454545449</v>
      </c>
      <c r="K144" s="1080"/>
      <c r="L144" s="961"/>
      <c r="N144" s="1148">
        <v>3271.0800000000127</v>
      </c>
      <c r="O144" s="988">
        <f t="shared" si="18"/>
        <v>165.08000000001266</v>
      </c>
    </row>
    <row r="145" spans="1:15" x14ac:dyDescent="0.35">
      <c r="A145" s="1566" t="s">
        <v>280</v>
      </c>
      <c r="B145" s="1567"/>
      <c r="C145" s="1568"/>
      <c r="D145" s="981" t="s">
        <v>38</v>
      </c>
      <c r="E145" s="982"/>
      <c r="F145" s="982"/>
      <c r="G145" s="1133">
        <f>G144/G7</f>
        <v>0.17422032757460176</v>
      </c>
      <c r="H145" s="984">
        <f>G145+'[1]21'!H145</f>
        <v>4.9819747079253762</v>
      </c>
      <c r="I145" s="1134"/>
      <c r="J145" s="986">
        <f>H145/DAY(B2)</f>
        <v>0.22645339581478982</v>
      </c>
      <c r="K145" s="1080"/>
      <c r="L145" s="961"/>
      <c r="N145" s="1148">
        <v>0.26183302649483814</v>
      </c>
      <c r="O145" s="988">
        <f t="shared" si="18"/>
        <v>8.7612698920236376E-2</v>
      </c>
    </row>
    <row r="146" spans="1:15" x14ac:dyDescent="0.35">
      <c r="A146" s="1566" t="s">
        <v>281</v>
      </c>
      <c r="B146" s="1567"/>
      <c r="C146" s="1568"/>
      <c r="D146" s="981" t="s">
        <v>159</v>
      </c>
      <c r="E146" s="982"/>
      <c r="F146" s="982"/>
      <c r="G146" s="984">
        <f>G39+G53</f>
        <v>4199</v>
      </c>
      <c r="H146" s="984">
        <f>G146+'[1]21'!H146</f>
        <v>93278.993000000002</v>
      </c>
      <c r="I146" s="1135"/>
      <c r="J146" s="986">
        <f>H146/DAY(B2)</f>
        <v>4239.9542272727276</v>
      </c>
      <c r="K146" s="1080"/>
      <c r="L146" s="961"/>
      <c r="N146" s="1148">
        <v>2151.6400000000085</v>
      </c>
      <c r="O146" s="988">
        <f t="shared" si="18"/>
        <v>-2047.3599999999915</v>
      </c>
    </row>
    <row r="147" spans="1:15" x14ac:dyDescent="0.35">
      <c r="A147" s="1566" t="s">
        <v>282</v>
      </c>
      <c r="B147" s="1567"/>
      <c r="C147" s="1568"/>
      <c r="D147" s="981" t="s">
        <v>38</v>
      </c>
      <c r="E147" s="982"/>
      <c r="F147" s="982"/>
      <c r="G147" s="1133">
        <f>G146/G7</f>
        <v>0.23552838231994616</v>
      </c>
      <c r="H147" s="984">
        <f>G147+'[1]21'!H147</f>
        <v>4.6467063421821289</v>
      </c>
      <c r="I147" s="1135"/>
      <c r="J147" s="986">
        <f>H147/DAY(B2)</f>
        <v>0.21121392464464223</v>
      </c>
      <c r="N147" s="1148">
        <v>0.17222764748259092</v>
      </c>
      <c r="O147" s="988">
        <f t="shared" si="18"/>
        <v>-6.3300734837355238E-2</v>
      </c>
    </row>
    <row r="148" spans="1:15" x14ac:dyDescent="0.35">
      <c r="A148" s="1566" t="s">
        <v>283</v>
      </c>
      <c r="B148" s="1567"/>
      <c r="C148" s="1568"/>
      <c r="D148" s="981" t="s">
        <v>210</v>
      </c>
      <c r="E148" s="982"/>
      <c r="F148" s="982"/>
      <c r="G148" s="984">
        <f>G38+G52</f>
        <v>1810</v>
      </c>
      <c r="H148" s="984">
        <f>G148+'[1]21'!H148</f>
        <v>43510.950000000012</v>
      </c>
      <c r="I148" s="1003"/>
      <c r="J148" s="986">
        <f>H148/DAY(B2)</f>
        <v>1977.7704545454551</v>
      </c>
      <c r="K148" s="1136"/>
      <c r="N148" s="1148">
        <v>1058.2600000000093</v>
      </c>
      <c r="O148" s="988">
        <f t="shared" si="18"/>
        <v>-751.73999999999069</v>
      </c>
    </row>
    <row r="149" spans="1:15" x14ac:dyDescent="0.35">
      <c r="A149" s="1566" t="s">
        <v>284</v>
      </c>
      <c r="B149" s="1567"/>
      <c r="C149" s="1568"/>
      <c r="D149" s="981" t="s">
        <v>38</v>
      </c>
      <c r="E149" s="982"/>
      <c r="F149" s="982"/>
      <c r="G149" s="1133">
        <f>G148/G7</f>
        <v>0.10152568992595916</v>
      </c>
      <c r="H149" s="984">
        <f>G149+'[1]21'!H149</f>
        <v>2.161364376241655</v>
      </c>
      <c r="I149" s="1135"/>
      <c r="J149" s="986">
        <f>H149/DAY(B2)</f>
        <v>9.8243835283711597E-2</v>
      </c>
      <c r="N149" s="1148">
        <v>8.4708236612503748E-2</v>
      </c>
      <c r="O149" s="988">
        <f t="shared" si="18"/>
        <v>-1.6817453313455411E-2</v>
      </c>
    </row>
    <row r="150" spans="1:15" x14ac:dyDescent="0.35">
      <c r="A150" s="1566" t="s">
        <v>285</v>
      </c>
      <c r="B150" s="1567"/>
      <c r="C150" s="1568"/>
      <c r="D150" s="981" t="s">
        <v>210</v>
      </c>
      <c r="E150" s="982"/>
      <c r="F150" s="982"/>
      <c r="G150" s="984">
        <f>G36+G50</f>
        <v>1821</v>
      </c>
      <c r="H150" s="984">
        <f>G150+'[1]21'!H150</f>
        <v>46996.179999999964</v>
      </c>
      <c r="I150" s="1135"/>
      <c r="J150" s="986">
        <f>H150/DAY(B2)</f>
        <v>2136.1899999999982</v>
      </c>
      <c r="N150" s="1148">
        <v>1278.2299999999814</v>
      </c>
      <c r="O150" s="988">
        <f t="shared" si="18"/>
        <v>-542.77000000001863</v>
      </c>
    </row>
    <row r="151" spans="1:15" x14ac:dyDescent="0.35">
      <c r="A151" s="1566" t="s">
        <v>286</v>
      </c>
      <c r="B151" s="1567"/>
      <c r="C151" s="1568"/>
      <c r="D151" s="981" t="s">
        <v>38</v>
      </c>
      <c r="E151" s="982"/>
      <c r="F151" s="982"/>
      <c r="G151" s="1133">
        <f>G150/G7</f>
        <v>0.10214269688131029</v>
      </c>
      <c r="H151" s="984">
        <f>G151+'[1]21'!H151</f>
        <v>2.3288557282971412</v>
      </c>
      <c r="I151" s="1003"/>
      <c r="J151" s="986">
        <f>H151/DAY(B2)</f>
        <v>0.10585707855896097</v>
      </c>
      <c r="N151" s="1148">
        <v>0.10231569679020103</v>
      </c>
      <c r="O151" s="988">
        <f t="shared" si="18"/>
        <v>1.7299990889073358E-4</v>
      </c>
    </row>
    <row r="152" spans="1:15" x14ac:dyDescent="0.35">
      <c r="A152" s="1566" t="s">
        <v>287</v>
      </c>
      <c r="B152" s="1567"/>
      <c r="C152" s="1568"/>
      <c r="D152" s="981" t="s">
        <v>210</v>
      </c>
      <c r="E152" s="982"/>
      <c r="F152" s="982"/>
      <c r="G152" s="984">
        <f>G37+G51</f>
        <v>1431</v>
      </c>
      <c r="H152" s="984">
        <f>G152+'[1]21'!H152</f>
        <v>32265.512999999999</v>
      </c>
      <c r="I152" s="1003"/>
      <c r="J152" s="986">
        <f>H152/DAY(B2)</f>
        <v>1466.6142272727272</v>
      </c>
      <c r="N152" s="1148">
        <v>1215.359999999986</v>
      </c>
      <c r="O152" s="988">
        <f t="shared" si="18"/>
        <v>-215.64000000001397</v>
      </c>
    </row>
    <row r="153" spans="1:15" ht="21" thickBot="1" x14ac:dyDescent="0.4">
      <c r="A153" s="1609" t="s">
        <v>288</v>
      </c>
      <c r="B153" s="1610"/>
      <c r="C153" s="1611"/>
      <c r="D153" s="1137" t="s">
        <v>38</v>
      </c>
      <c r="E153" s="1138"/>
      <c r="F153" s="1138"/>
      <c r="G153" s="1139">
        <f>G152/G7</f>
        <v>8.0266995737042851E-2</v>
      </c>
      <c r="H153" s="984">
        <f>G153+'[1]21'!H153</f>
        <v>1.7168693727438393</v>
      </c>
      <c r="I153" s="1140"/>
      <c r="J153" s="1141">
        <f>H153/DAY(B2)</f>
        <v>7.8039516942901788E-2</v>
      </c>
      <c r="N153" s="1148">
        <v>9.7283278636035059E-2</v>
      </c>
      <c r="O153" s="988">
        <f t="shared" si="18"/>
        <v>1.7016282898992208E-2</v>
      </c>
    </row>
    <row r="154" spans="1:15" x14ac:dyDescent="0.35">
      <c r="A154" s="1142"/>
      <c r="B154" s="1142"/>
      <c r="C154" s="1142"/>
      <c r="D154" s="1142"/>
      <c r="E154" s="1142"/>
      <c r="F154" s="1142"/>
      <c r="G154" s="1142"/>
      <c r="H154" s="1143"/>
      <c r="I154" s="1142"/>
      <c r="J154" s="1144"/>
      <c r="O154" s="988">
        <f t="shared" si="18"/>
        <v>0</v>
      </c>
    </row>
    <row r="160" spans="1:15" x14ac:dyDescent="0.35">
      <c r="A160" s="1311" t="s">
        <v>289</v>
      </c>
      <c r="B160" s="1311"/>
      <c r="C160" s="1311"/>
      <c r="D160" s="1076" t="s">
        <v>214</v>
      </c>
      <c r="E160" s="1007">
        <f>'[1]21'!F160</f>
        <v>25363</v>
      </c>
      <c r="F160" s="1312">
        <v>25436</v>
      </c>
      <c r="G160" s="983">
        <f t="shared" ref="G160:G171" si="19">F160-E160</f>
        <v>73</v>
      </c>
      <c r="H160" s="1146">
        <v>68.809999999999491</v>
      </c>
      <c r="N160" s="1148">
        <v>68.809999999999491</v>
      </c>
    </row>
    <row r="161" spans="1:14" x14ac:dyDescent="0.35">
      <c r="A161" s="1311" t="s">
        <v>290</v>
      </c>
      <c r="B161" s="1311"/>
      <c r="C161" s="1311"/>
      <c r="D161" s="1076" t="s">
        <v>214</v>
      </c>
      <c r="E161" s="1007">
        <f>'[1]21'!F161</f>
        <v>23766</v>
      </c>
      <c r="F161" s="1312">
        <v>24216</v>
      </c>
      <c r="G161" s="983">
        <f t="shared" si="19"/>
        <v>450</v>
      </c>
      <c r="H161" s="1146">
        <v>128.56999999999994</v>
      </c>
      <c r="N161" s="1148">
        <v>128.56999999999994</v>
      </c>
    </row>
    <row r="162" spans="1:14" x14ac:dyDescent="0.35">
      <c r="A162" s="1311" t="s">
        <v>291</v>
      </c>
      <c r="B162" s="1311"/>
      <c r="C162" s="1311"/>
      <c r="D162" s="1076" t="s">
        <v>214</v>
      </c>
      <c r="E162" s="1007">
        <f>'[1]21'!F162</f>
        <v>1365</v>
      </c>
      <c r="F162" s="1312">
        <v>1627</v>
      </c>
      <c r="G162" s="983">
        <f t="shared" si="19"/>
        <v>262</v>
      </c>
      <c r="H162" s="1146">
        <v>141.49</v>
      </c>
      <c r="N162" s="1148">
        <v>141.49</v>
      </c>
    </row>
    <row r="163" spans="1:14" x14ac:dyDescent="0.35">
      <c r="A163" s="1311" t="s">
        <v>292</v>
      </c>
      <c r="B163" s="1311"/>
      <c r="C163" s="1311"/>
      <c r="D163" s="1076" t="s">
        <v>214</v>
      </c>
      <c r="E163" s="1007">
        <f>'[1]21'!F163</f>
        <v>4055</v>
      </c>
      <c r="F163" s="1312">
        <v>4084</v>
      </c>
      <c r="G163" s="983">
        <f t="shared" si="19"/>
        <v>29</v>
      </c>
      <c r="H163" s="1146">
        <v>45.430000000000007</v>
      </c>
      <c r="N163" s="1148">
        <v>45.430000000000007</v>
      </c>
    </row>
    <row r="164" spans="1:14" x14ac:dyDescent="0.35">
      <c r="A164" s="1313" t="s">
        <v>121</v>
      </c>
      <c r="B164" s="1313"/>
      <c r="C164" s="1313"/>
      <c r="D164" s="1076" t="s">
        <v>214</v>
      </c>
      <c r="E164" s="1064">
        <f>E62</f>
        <v>20419.2</v>
      </c>
      <c r="F164" s="1064">
        <f>F62</f>
        <v>20419.2</v>
      </c>
      <c r="G164" s="983">
        <f t="shared" si="19"/>
        <v>0</v>
      </c>
      <c r="H164" s="1146">
        <v>0</v>
      </c>
      <c r="N164" s="1148">
        <v>0</v>
      </c>
    </row>
    <row r="165" spans="1:14" x14ac:dyDescent="0.35">
      <c r="A165" s="1313" t="s">
        <v>215</v>
      </c>
      <c r="B165" s="1313"/>
      <c r="C165" s="1313"/>
      <c r="D165" s="1076" t="s">
        <v>214</v>
      </c>
      <c r="E165" s="1064">
        <f t="shared" ref="E165:F171" si="20">E63</f>
        <v>1068</v>
      </c>
      <c r="F165" s="1064">
        <f t="shared" si="20"/>
        <v>1072</v>
      </c>
      <c r="G165" s="983">
        <f t="shared" si="19"/>
        <v>4</v>
      </c>
      <c r="H165" s="1146">
        <v>0</v>
      </c>
      <c r="N165" s="1148">
        <v>0</v>
      </c>
    </row>
    <row r="166" spans="1:14" x14ac:dyDescent="0.35">
      <c r="A166" s="1618" t="s">
        <v>122</v>
      </c>
      <c r="B166" s="1618"/>
      <c r="C166" s="1618"/>
      <c r="D166" s="1015" t="s">
        <v>214</v>
      </c>
      <c r="E166" s="1064">
        <f t="shared" si="20"/>
        <v>94451</v>
      </c>
      <c r="F166" s="1064">
        <f t="shared" si="20"/>
        <v>94892</v>
      </c>
      <c r="G166" s="983">
        <f t="shared" si="19"/>
        <v>441</v>
      </c>
      <c r="H166" s="1146">
        <v>178.5199999999968</v>
      </c>
      <c r="N166" s="1148">
        <v>178.5199999999968</v>
      </c>
    </row>
    <row r="167" spans="1:14" x14ac:dyDescent="0.35">
      <c r="A167" s="1618" t="s">
        <v>123</v>
      </c>
      <c r="B167" s="1618"/>
      <c r="C167" s="1618"/>
      <c r="D167" s="1015" t="s">
        <v>214</v>
      </c>
      <c r="E167" s="1064">
        <f t="shared" si="20"/>
        <v>104958</v>
      </c>
      <c r="F167" s="1064">
        <f t="shared" si="20"/>
        <v>105353</v>
      </c>
      <c r="G167" s="983">
        <f t="shared" si="19"/>
        <v>395</v>
      </c>
      <c r="H167" s="1146">
        <v>198.38999999999942</v>
      </c>
      <c r="N167" s="1148">
        <v>198.38999999999942</v>
      </c>
    </row>
    <row r="168" spans="1:14" x14ac:dyDescent="0.35">
      <c r="A168" s="1618" t="s">
        <v>124</v>
      </c>
      <c r="B168" s="1618"/>
      <c r="C168" s="1618"/>
      <c r="D168" s="1015" t="s">
        <v>214</v>
      </c>
      <c r="E168" s="1064">
        <f t="shared" si="20"/>
        <v>98413</v>
      </c>
      <c r="F168" s="1064">
        <f t="shared" si="20"/>
        <v>98837</v>
      </c>
      <c r="G168" s="983">
        <f t="shared" si="19"/>
        <v>424</v>
      </c>
      <c r="H168" s="1146">
        <v>226.35000000000582</v>
      </c>
      <c r="N168" s="1148">
        <v>226.35000000000582</v>
      </c>
    </row>
    <row r="169" spans="1:14" x14ac:dyDescent="0.35">
      <c r="A169" s="1618" t="s">
        <v>125</v>
      </c>
      <c r="B169" s="1618"/>
      <c r="C169" s="1618"/>
      <c r="D169" s="1015" t="s">
        <v>214</v>
      </c>
      <c r="E169" s="1064">
        <f t="shared" si="20"/>
        <v>161358</v>
      </c>
      <c r="F169" s="1064">
        <f t="shared" si="20"/>
        <v>162041</v>
      </c>
      <c r="G169" s="983">
        <f t="shared" si="19"/>
        <v>683</v>
      </c>
      <c r="H169" s="1146">
        <v>312.47000000000116</v>
      </c>
      <c r="N169" s="1148">
        <v>312.47000000000116</v>
      </c>
    </row>
    <row r="170" spans="1:14" x14ac:dyDescent="0.35">
      <c r="A170" s="1618" t="s">
        <v>126</v>
      </c>
      <c r="B170" s="1618"/>
      <c r="C170" s="1618"/>
      <c r="D170" s="1015" t="s">
        <v>214</v>
      </c>
      <c r="E170" s="1064">
        <f t="shared" si="20"/>
        <v>50564</v>
      </c>
      <c r="F170" s="1064">
        <f t="shared" si="20"/>
        <v>50883</v>
      </c>
      <c r="G170" s="983">
        <f t="shared" si="19"/>
        <v>319</v>
      </c>
      <c r="H170" s="1146">
        <v>142.1200000000008</v>
      </c>
      <c r="N170" s="1148">
        <v>142.1200000000008</v>
      </c>
    </row>
    <row r="171" spans="1:14" x14ac:dyDescent="0.35">
      <c r="A171" s="1618" t="s">
        <v>127</v>
      </c>
      <c r="B171" s="1618"/>
      <c r="C171" s="1618"/>
      <c r="D171" s="1015" t="s">
        <v>214</v>
      </c>
      <c r="E171" s="1064">
        <f t="shared" si="20"/>
        <v>43668</v>
      </c>
      <c r="F171" s="1064">
        <f t="shared" si="20"/>
        <v>43956</v>
      </c>
      <c r="G171" s="983">
        <f t="shared" si="19"/>
        <v>288</v>
      </c>
      <c r="H171" s="1146">
        <v>12.869999999998981</v>
      </c>
      <c r="N171" s="1148">
        <v>12.869999999998981</v>
      </c>
    </row>
    <row r="172" spans="1:14" x14ac:dyDescent="0.35">
      <c r="A172" s="1314"/>
      <c r="B172" s="1314"/>
      <c r="C172" s="1314"/>
      <c r="D172" s="1314"/>
      <c r="E172" s="1314"/>
      <c r="F172" s="1314"/>
      <c r="G172" s="1315">
        <f>SUM(G160:G171)</f>
        <v>3368</v>
      </c>
      <c r="N172" s="1148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100" zoomScale="70" zoomScaleNormal="80" zoomScaleSheetLayoutView="70" workbookViewId="0">
      <selection activeCell="A100" sqref="A100:XFD100"/>
    </sheetView>
  </sheetViews>
  <sheetFormatPr defaultColWidth="22.33203125" defaultRowHeight="20.25" x14ac:dyDescent="0.35"/>
  <cols>
    <col min="1" max="1" width="43.5546875" style="1145" customWidth="1"/>
    <col min="2" max="2" width="24.88671875" style="1145" customWidth="1"/>
    <col min="3" max="3" width="15.88671875" style="1145" customWidth="1"/>
    <col min="4" max="4" width="13.6640625" style="1145" customWidth="1"/>
    <col min="5" max="5" width="32.109375" style="1145" customWidth="1"/>
    <col min="6" max="6" width="30" style="1145" customWidth="1"/>
    <col min="7" max="7" width="15.5546875" style="1145" bestFit="1" customWidth="1"/>
    <col min="8" max="8" width="39.21875" style="1146" customWidth="1"/>
    <col min="9" max="9" width="11.21875" style="1145" bestFit="1" customWidth="1"/>
    <col min="10" max="10" width="24" style="1147" customWidth="1"/>
    <col min="11" max="11" width="43.21875" style="948" hidden="1" customWidth="1"/>
    <col min="12" max="13" width="0" style="948" hidden="1" customWidth="1"/>
    <col min="14" max="14" width="25.109375" style="1148" customWidth="1"/>
    <col min="15" max="15" width="6.77734375" style="948" bestFit="1" customWidth="1"/>
    <col min="16" max="16384" width="22.33203125" style="948"/>
  </cols>
  <sheetData>
    <row r="1" spans="1:15" ht="22.5" x14ac:dyDescent="0.45">
      <c r="A1" s="1578" t="s">
        <v>293</v>
      </c>
      <c r="B1" s="1579"/>
      <c r="C1" s="1579"/>
      <c r="D1" s="1579"/>
      <c r="E1" s="1579"/>
      <c r="F1" s="1579"/>
      <c r="G1" s="1579"/>
      <c r="H1" s="1579"/>
      <c r="I1" s="1579"/>
      <c r="J1" s="1580"/>
      <c r="K1" s="948">
        <v>10002.799999999999</v>
      </c>
    </row>
    <row r="2" spans="1:15" x14ac:dyDescent="0.35">
      <c r="A2" s="949" t="s">
        <v>302</v>
      </c>
      <c r="B2" s="1220">
        <v>44188</v>
      </c>
      <c r="C2" s="950" t="s">
        <v>84</v>
      </c>
      <c r="D2" s="951">
        <v>0.35</v>
      </c>
      <c r="E2" s="952"/>
      <c r="F2" s="952"/>
      <c r="G2" s="952" t="s">
        <v>145</v>
      </c>
      <c r="H2" s="952" t="s">
        <v>20</v>
      </c>
      <c r="I2" s="952" t="s">
        <v>22</v>
      </c>
      <c r="J2" s="953" t="s">
        <v>146</v>
      </c>
    </row>
    <row r="3" spans="1:15" x14ac:dyDescent="0.35">
      <c r="A3" s="954"/>
      <c r="B3" s="955"/>
      <c r="C3" s="950" t="s">
        <v>147</v>
      </c>
      <c r="D3" s="956">
        <v>29</v>
      </c>
      <c r="E3" s="1581" t="s">
        <v>148</v>
      </c>
      <c r="F3" s="1582"/>
      <c r="G3" s="957">
        <f>'[1]1'!G3</f>
        <v>0</v>
      </c>
      <c r="H3" s="958">
        <f>'[1]1'!H3</f>
        <v>0</v>
      </c>
      <c r="I3" s="958">
        <f>'[1]1'!I3</f>
        <v>0</v>
      </c>
      <c r="J3" s="959">
        <f>'[1]1'!J3</f>
        <v>0</v>
      </c>
      <c r="K3" s="960"/>
      <c r="L3" s="961"/>
    </row>
    <row r="4" spans="1:15" x14ac:dyDescent="0.35">
      <c r="A4" s="962"/>
      <c r="B4" s="963"/>
      <c r="C4" s="950" t="s">
        <v>149</v>
      </c>
      <c r="D4" s="951">
        <v>0.76</v>
      </c>
      <c r="E4" s="964"/>
      <c r="F4" s="964"/>
      <c r="G4" s="964"/>
      <c r="H4" s="964"/>
      <c r="I4" s="965"/>
      <c r="J4" s="959"/>
      <c r="K4" s="966"/>
      <c r="L4" s="961"/>
    </row>
    <row r="5" spans="1:15" x14ac:dyDescent="0.35">
      <c r="A5" s="967" t="s">
        <v>150</v>
      </c>
      <c r="B5" s="968"/>
      <c r="C5" s="968"/>
      <c r="D5" s="968" t="s">
        <v>151</v>
      </c>
      <c r="E5" s="969" t="s">
        <v>152</v>
      </c>
      <c r="F5" s="969" t="s">
        <v>138</v>
      </c>
      <c r="G5" s="970" t="s">
        <v>153</v>
      </c>
      <c r="H5" s="971" t="s">
        <v>154</v>
      </c>
      <c r="I5" s="972" t="s">
        <v>155</v>
      </c>
      <c r="J5" s="973" t="s">
        <v>156</v>
      </c>
      <c r="K5" s="974"/>
      <c r="L5" s="961"/>
    </row>
    <row r="6" spans="1:15" x14ac:dyDescent="0.35">
      <c r="A6" s="1575" t="s">
        <v>157</v>
      </c>
      <c r="B6" s="1576"/>
      <c r="C6" s="1577"/>
      <c r="D6" s="975"/>
      <c r="E6" s="975"/>
      <c r="F6" s="975"/>
      <c r="G6" s="975"/>
      <c r="H6" s="976"/>
      <c r="I6" s="976"/>
      <c r="J6" s="977"/>
      <c r="K6" s="978"/>
      <c r="L6" s="961"/>
    </row>
    <row r="7" spans="1:15" ht="21" thickBot="1" x14ac:dyDescent="0.4">
      <c r="A7" s="979" t="s">
        <v>158</v>
      </c>
      <c r="B7" s="980"/>
      <c r="C7" s="980"/>
      <c r="D7" s="981" t="s">
        <v>159</v>
      </c>
      <c r="E7" s="982">
        <f>'[1]22'!F7</f>
        <v>3111256</v>
      </c>
      <c r="F7" s="982">
        <v>3129966</v>
      </c>
      <c r="G7" s="983">
        <f>F7-E7</f>
        <v>18710</v>
      </c>
      <c r="H7" s="984">
        <f>G7+'[1]22'!H7</f>
        <v>461521</v>
      </c>
      <c r="I7" s="985">
        <f>'[1]1'!I7</f>
        <v>12000</v>
      </c>
      <c r="J7" s="986">
        <f>H7/DAY(B2)</f>
        <v>20066.130434782608</v>
      </c>
      <c r="K7" s="987"/>
      <c r="L7" s="961"/>
      <c r="O7" s="988"/>
    </row>
    <row r="8" spans="1:15" ht="21" thickBot="1" x14ac:dyDescent="0.4">
      <c r="A8" s="989" t="s">
        <v>160</v>
      </c>
      <c r="B8" s="990"/>
      <c r="C8" s="991"/>
      <c r="D8" s="992" t="s">
        <v>39</v>
      </c>
      <c r="E8" s="982">
        <f>'[1]22'!F8</f>
        <v>3129722</v>
      </c>
      <c r="F8" s="993">
        <v>3148610</v>
      </c>
      <c r="G8" s="994">
        <f>F8-E8</f>
        <v>18888</v>
      </c>
      <c r="H8" s="984">
        <f>G8+'[1]22'!H8</f>
        <v>465571</v>
      </c>
      <c r="I8" s="995">
        <f>'[1]1'!I8</f>
        <v>12000</v>
      </c>
      <c r="J8" s="986">
        <f>H8/DAY(B2)</f>
        <v>20242.217391304348</v>
      </c>
      <c r="K8" s="987"/>
      <c r="L8" s="996"/>
      <c r="M8" s="997"/>
      <c r="O8" s="988"/>
    </row>
    <row r="9" spans="1:15" x14ac:dyDescent="0.35">
      <c r="A9" s="998" t="s">
        <v>161</v>
      </c>
      <c r="B9" s="999"/>
      <c r="C9" s="999"/>
      <c r="D9" s="981" t="s">
        <v>159</v>
      </c>
      <c r="E9" s="982">
        <f>'[1]22'!F9</f>
        <v>2380742</v>
      </c>
      <c r="F9" s="1000">
        <v>2383445</v>
      </c>
      <c r="G9" s="983">
        <f t="shared" ref="G9:G12" si="0">F9-E9</f>
        <v>2703</v>
      </c>
      <c r="H9" s="984">
        <f>G9+'[1]22'!H9</f>
        <v>126408.5</v>
      </c>
      <c r="I9" s="1001">
        <f>I8-J8</f>
        <v>-8242.217391304348</v>
      </c>
      <c r="J9" s="986">
        <f>H9/DAY(B2)</f>
        <v>5496.021739130435</v>
      </c>
      <c r="K9" s="1002"/>
      <c r="L9" s="961"/>
      <c r="O9" s="988"/>
    </row>
    <row r="10" spans="1:15" x14ac:dyDescent="0.35">
      <c r="A10" s="979" t="s">
        <v>162</v>
      </c>
      <c r="B10" s="980"/>
      <c r="C10" s="980"/>
      <c r="D10" s="981" t="s">
        <v>159</v>
      </c>
      <c r="E10" s="982">
        <f>'[1]22'!F10</f>
        <v>606269</v>
      </c>
      <c r="F10" s="1000">
        <v>621625</v>
      </c>
      <c r="G10" s="983">
        <f t="shared" si="0"/>
        <v>15356</v>
      </c>
      <c r="H10" s="984">
        <f>G10+'[1]22'!H10</f>
        <v>318674.71000000002</v>
      </c>
      <c r="I10" s="1003"/>
      <c r="J10" s="986">
        <f>H10/DAY(B2)</f>
        <v>13855.422173913044</v>
      </c>
      <c r="K10" s="1002"/>
      <c r="L10" s="961"/>
      <c r="O10" s="988"/>
    </row>
    <row r="11" spans="1:15" x14ac:dyDescent="0.35">
      <c r="A11" s="979" t="s">
        <v>163</v>
      </c>
      <c r="B11" s="980"/>
      <c r="C11" s="980"/>
      <c r="D11" s="981" t="s">
        <v>159</v>
      </c>
      <c r="E11" s="982">
        <f>'[1]22'!F11</f>
        <v>35390</v>
      </c>
      <c r="F11" s="982">
        <v>35390</v>
      </c>
      <c r="G11" s="983">
        <f t="shared" si="0"/>
        <v>0</v>
      </c>
      <c r="H11" s="984">
        <f>G11+'[1]22'!H11</f>
        <v>0</v>
      </c>
      <c r="I11" s="1003"/>
      <c r="J11" s="986">
        <f>H11/DAY(B2)</f>
        <v>0</v>
      </c>
      <c r="K11" s="1002"/>
      <c r="L11" s="961"/>
      <c r="O11" s="988"/>
    </row>
    <row r="12" spans="1:15" x14ac:dyDescent="0.35">
      <c r="A12" s="979" t="s">
        <v>164</v>
      </c>
      <c r="B12" s="980"/>
      <c r="C12" s="980"/>
      <c r="D12" s="981" t="s">
        <v>159</v>
      </c>
      <c r="E12" s="982">
        <f>'[1]22'!F12</f>
        <v>37630</v>
      </c>
      <c r="F12" s="1000">
        <v>37630</v>
      </c>
      <c r="G12" s="983">
        <f t="shared" si="0"/>
        <v>0</v>
      </c>
      <c r="H12" s="984">
        <f>G12+'[1]22'!H12</f>
        <v>0</v>
      </c>
      <c r="I12" s="1003"/>
      <c r="J12" s="986">
        <f>H12/DAY(B2)</f>
        <v>0</v>
      </c>
      <c r="K12" s="1002"/>
      <c r="L12" s="961"/>
      <c r="O12" s="988"/>
    </row>
    <row r="13" spans="1:15" x14ac:dyDescent="0.35">
      <c r="A13" s="1004" t="s">
        <v>165</v>
      </c>
      <c r="B13" s="1005"/>
      <c r="C13" s="1005"/>
      <c r="D13" s="981"/>
      <c r="E13" s="982"/>
      <c r="F13" s="982"/>
      <c r="G13" s="1006">
        <f>G9+G10+G11+G12</f>
        <v>18059</v>
      </c>
      <c r="H13" s="984">
        <f>G13+'[1]22'!H13</f>
        <v>423223.9</v>
      </c>
      <c r="I13" s="1007">
        <f>G7-G13</f>
        <v>651</v>
      </c>
      <c r="J13" s="986">
        <f>H13/DAY(B2)</f>
        <v>18401.039130434783</v>
      </c>
      <c r="K13" s="1002"/>
      <c r="L13" s="961"/>
      <c r="O13" s="988"/>
    </row>
    <row r="14" spans="1:15" x14ac:dyDescent="0.35">
      <c r="A14" s="1569" t="s">
        <v>166</v>
      </c>
      <c r="B14" s="1570"/>
      <c r="C14" s="1571"/>
      <c r="D14" s="976"/>
      <c r="E14" s="976"/>
      <c r="F14" s="976"/>
      <c r="G14" s="1008"/>
      <c r="H14" s="976"/>
      <c r="I14" s="976"/>
      <c r="J14" s="977"/>
      <c r="K14" s="1009"/>
      <c r="L14" s="961"/>
      <c r="O14" s="988"/>
    </row>
    <row r="15" spans="1:15" x14ac:dyDescent="0.35">
      <c r="A15" s="1010" t="s">
        <v>167</v>
      </c>
      <c r="B15" s="1011"/>
      <c r="C15" s="1011"/>
      <c r="D15" s="981" t="s">
        <v>168</v>
      </c>
      <c r="E15" s="982">
        <f>'[1]22'!F15</f>
        <v>1562212</v>
      </c>
      <c r="F15" s="1012">
        <v>1562937</v>
      </c>
      <c r="G15" s="1157">
        <f>(F15-E15)</f>
        <v>725</v>
      </c>
      <c r="H15" s="984">
        <f>G15+'[1]22'!H15</f>
        <v>16039.398999999976</v>
      </c>
      <c r="I15" s="985">
        <f>'[1]1'!I15</f>
        <v>800</v>
      </c>
      <c r="J15" s="986">
        <f>H15/DAY(B2)</f>
        <v>697.36517391304244</v>
      </c>
      <c r="K15" s="1002"/>
      <c r="L15" s="961"/>
      <c r="O15" s="988"/>
    </row>
    <row r="16" spans="1:15" x14ac:dyDescent="0.35">
      <c r="A16" s="1013"/>
      <c r="B16" s="1014"/>
      <c r="C16" s="1014"/>
      <c r="D16" s="1015"/>
      <c r="E16" s="1016"/>
      <c r="F16" s="1016"/>
      <c r="G16" s="983"/>
      <c r="H16" s="1017"/>
      <c r="I16" s="1018">
        <f>I15-J15</f>
        <v>102.63482608695756</v>
      </c>
      <c r="J16" s="1019"/>
      <c r="K16" s="1002"/>
      <c r="L16" s="961"/>
      <c r="O16" s="988"/>
    </row>
    <row r="17" spans="1:15" x14ac:dyDescent="0.35">
      <c r="A17" s="1569" t="s">
        <v>169</v>
      </c>
      <c r="B17" s="1570"/>
      <c r="C17" s="1571"/>
      <c r="D17" s="976"/>
      <c r="E17" s="976"/>
      <c r="F17" s="976"/>
      <c r="G17" s="1020"/>
      <c r="H17" s="976"/>
      <c r="I17" s="976"/>
      <c r="J17" s="977"/>
      <c r="K17" s="1002"/>
      <c r="L17" s="961"/>
      <c r="O17" s="988"/>
    </row>
    <row r="18" spans="1:15" x14ac:dyDescent="0.35">
      <c r="A18" s="1566" t="s">
        <v>170</v>
      </c>
      <c r="B18" s="1567"/>
      <c r="C18" s="1568"/>
      <c r="D18" s="981" t="s">
        <v>171</v>
      </c>
      <c r="E18" s="982">
        <f>'[1]22'!F18</f>
        <v>10</v>
      </c>
      <c r="F18" s="1012">
        <v>12</v>
      </c>
      <c r="G18" s="1006">
        <f>F18*10</f>
        <v>120</v>
      </c>
      <c r="H18" s="984">
        <f>G18+'[1]22'!H18</f>
        <v>3080</v>
      </c>
      <c r="I18" s="985">
        <f>'[1]1'!I18</f>
        <v>65</v>
      </c>
      <c r="J18" s="986">
        <f>H18/DAY(B2)</f>
        <v>133.91304347826087</v>
      </c>
      <c r="K18" s="1002"/>
      <c r="L18" s="961"/>
      <c r="O18" s="988"/>
    </row>
    <row r="19" spans="1:15" x14ac:dyDescent="0.35">
      <c r="A19" s="1566" t="s">
        <v>86</v>
      </c>
      <c r="B19" s="1567"/>
      <c r="C19" s="1568"/>
      <c r="D19" s="981" t="s">
        <v>171</v>
      </c>
      <c r="E19" s="982">
        <f>'[1]22'!F19</f>
        <v>131007</v>
      </c>
      <c r="F19" s="1012">
        <v>131056</v>
      </c>
      <c r="G19" s="983">
        <f t="shared" ref="G19" si="1">F19-E19</f>
        <v>49</v>
      </c>
      <c r="H19" s="984">
        <f>G19+'[1]22'!H19</f>
        <v>1255</v>
      </c>
      <c r="I19" s="985">
        <f>'[1]1'!I19</f>
        <v>0</v>
      </c>
      <c r="J19" s="986">
        <f>H19/DAY(B2)</f>
        <v>54.565217391304351</v>
      </c>
      <c r="K19" s="1002"/>
      <c r="L19" s="961"/>
      <c r="N19" s="1148">
        <v>126171</v>
      </c>
      <c r="O19" s="988"/>
    </row>
    <row r="20" spans="1:15" x14ac:dyDescent="0.35">
      <c r="A20" s="1004" t="s">
        <v>172</v>
      </c>
      <c r="B20" s="1005"/>
      <c r="C20" s="1005"/>
      <c r="D20" s="1022"/>
      <c r="E20" s="1022"/>
      <c r="F20" s="1022"/>
      <c r="G20" s="1023">
        <f>G18+G19</f>
        <v>169</v>
      </c>
      <c r="H20" s="984">
        <f>G20+'[1]22'!H20</f>
        <v>4335</v>
      </c>
      <c r="I20" s="1024">
        <f>I18-J20</f>
        <v>-123.47826086956522</v>
      </c>
      <c r="J20" s="986">
        <f>H20/DAY(B2)</f>
        <v>188.47826086956522</v>
      </c>
      <c r="K20" s="1002"/>
      <c r="L20" s="961"/>
      <c r="N20" s="1148">
        <f>N19-F19</f>
        <v>-4885</v>
      </c>
      <c r="O20" s="988"/>
    </row>
    <row r="21" spans="1:15" x14ac:dyDescent="0.35">
      <c r="A21" s="1569" t="s">
        <v>173</v>
      </c>
      <c r="B21" s="1570"/>
      <c r="C21" s="1571"/>
      <c r="D21" s="976"/>
      <c r="E21" s="976"/>
      <c r="F21" s="976"/>
      <c r="G21" s="1008"/>
      <c r="H21" s="976"/>
      <c r="I21" s="976"/>
      <c r="J21" s="977"/>
      <c r="K21" s="1002"/>
      <c r="L21" s="961"/>
      <c r="O21" s="988"/>
    </row>
    <row r="22" spans="1:15" x14ac:dyDescent="0.35">
      <c r="A22" s="1010" t="s">
        <v>174</v>
      </c>
      <c r="B22" s="1011"/>
      <c r="C22" s="1011"/>
      <c r="D22" s="981" t="s">
        <v>175</v>
      </c>
      <c r="E22" s="982">
        <f>'[1]22'!F22</f>
        <v>2250</v>
      </c>
      <c r="F22" s="1012">
        <v>2250</v>
      </c>
      <c r="G22" s="1006">
        <f t="shared" ref="G22" si="2">(F22-E22)</f>
        <v>0</v>
      </c>
      <c r="H22" s="984">
        <f>G22+'[1]22'!H22</f>
        <v>0</v>
      </c>
      <c r="I22" s="1003"/>
      <c r="J22" s="986">
        <f>H22/DAY(B2)</f>
        <v>0</v>
      </c>
      <c r="K22" s="1002"/>
      <c r="L22" s="961"/>
      <c r="O22" s="988"/>
    </row>
    <row r="23" spans="1:15" x14ac:dyDescent="0.35">
      <c r="A23" s="1010" t="s">
        <v>176</v>
      </c>
      <c r="B23" s="1011"/>
      <c r="C23" s="1011"/>
      <c r="D23" s="981" t="s">
        <v>175</v>
      </c>
      <c r="E23" s="982">
        <f>'[1]22'!F23</f>
        <v>2000</v>
      </c>
      <c r="F23" s="1012">
        <v>2000</v>
      </c>
      <c r="G23" s="1006">
        <v>0</v>
      </c>
      <c r="H23" s="984">
        <f>G23+'[1]22'!H23</f>
        <v>0</v>
      </c>
      <c r="I23" s="1003"/>
      <c r="J23" s="986">
        <f>H23/DAY(B2)</f>
        <v>0</v>
      </c>
      <c r="K23" s="1002"/>
      <c r="L23" s="961"/>
      <c r="O23" s="988"/>
    </row>
    <row r="24" spans="1:15" x14ac:dyDescent="0.35">
      <c r="A24" s="1025" t="s">
        <v>177</v>
      </c>
      <c r="B24" s="1026"/>
      <c r="C24" s="1026"/>
      <c r="D24" s="968" t="s">
        <v>175</v>
      </c>
      <c r="E24" s="982">
        <f>'[1]22'!F24</f>
        <v>4250</v>
      </c>
      <c r="F24" s="1027">
        <v>4250</v>
      </c>
      <c r="G24" s="1006">
        <v>0</v>
      </c>
      <c r="H24" s="984">
        <f>G24+'[1]22'!H24</f>
        <v>0</v>
      </c>
      <c r="I24" s="1003"/>
      <c r="J24" s="986">
        <f>H24/DAY(B2)</f>
        <v>0</v>
      </c>
      <c r="K24" s="1002"/>
      <c r="L24" s="961"/>
      <c r="O24" s="988"/>
    </row>
    <row r="25" spans="1:15" s="1033" customFormat="1" x14ac:dyDescent="0.3">
      <c r="A25" s="1575" t="s">
        <v>178</v>
      </c>
      <c r="B25" s="1576"/>
      <c r="C25" s="1577"/>
      <c r="D25" s="975"/>
      <c r="E25" s="975"/>
      <c r="F25" s="975"/>
      <c r="G25" s="1028"/>
      <c r="H25" s="1029"/>
      <c r="I25" s="1030"/>
      <c r="J25" s="1031"/>
      <c r="K25" s="1002"/>
      <c r="L25" s="1032"/>
      <c r="N25" s="1149"/>
      <c r="O25" s="988"/>
    </row>
    <row r="26" spans="1:15" s="1033" customFormat="1" x14ac:dyDescent="0.35">
      <c r="A26" s="1034" t="s">
        <v>179</v>
      </c>
      <c r="B26" s="1035"/>
      <c r="C26" s="1036"/>
      <c r="D26" s="1037" t="s">
        <v>180</v>
      </c>
      <c r="E26" s="1038"/>
      <c r="F26" s="1038"/>
      <c r="G26" s="1039"/>
      <c r="H26" s="984"/>
      <c r="I26" s="1040"/>
      <c r="J26" s="986"/>
      <c r="K26" s="1009"/>
      <c r="L26" s="1032"/>
      <c r="N26" s="1149"/>
      <c r="O26" s="988"/>
    </row>
    <row r="27" spans="1:15" s="1033" customFormat="1" ht="22.5" x14ac:dyDescent="0.4">
      <c r="A27" s="1034" t="s">
        <v>20</v>
      </c>
      <c r="B27" s="1035"/>
      <c r="C27" s="1036"/>
      <c r="D27" s="1041" t="s">
        <v>39</v>
      </c>
      <c r="E27" s="1042">
        <f>G8</f>
        <v>18888</v>
      </c>
      <c r="F27" s="621">
        <v>9.5</v>
      </c>
      <c r="G27" s="1043">
        <f>E27*F27</f>
        <v>179436</v>
      </c>
      <c r="H27" s="984">
        <f>G27+'[1]22'!H27</f>
        <v>4422924.5</v>
      </c>
      <c r="I27" s="1044"/>
      <c r="J27" s="986">
        <f>H27/DAY(B2)</f>
        <v>192301.0652173913</v>
      </c>
      <c r="K27" s="1002"/>
      <c r="L27" s="1032"/>
      <c r="N27" s="1149"/>
      <c r="O27" s="988"/>
    </row>
    <row r="28" spans="1:15" s="1033" customFormat="1" ht="22.5" x14ac:dyDescent="0.4">
      <c r="A28" s="1034" t="s">
        <v>181</v>
      </c>
      <c r="B28" s="1035"/>
      <c r="C28" s="1036"/>
      <c r="D28" s="1041" t="s">
        <v>182</v>
      </c>
      <c r="E28" s="1042">
        <f>G15</f>
        <v>725</v>
      </c>
      <c r="F28" s="621">
        <v>36.5</v>
      </c>
      <c r="G28" s="1043">
        <f>E28*F28</f>
        <v>26462.5</v>
      </c>
      <c r="H28" s="984">
        <f>G28+'[1]22'!H28</f>
        <v>585438.06349999912</v>
      </c>
      <c r="I28" s="1045"/>
      <c r="J28" s="986">
        <f>H28/DAY(B2)</f>
        <v>25453.828847826047</v>
      </c>
      <c r="K28" s="1002"/>
      <c r="L28" s="1032"/>
      <c r="N28" s="1149"/>
      <c r="O28" s="988"/>
    </row>
    <row r="29" spans="1:15" s="1033" customFormat="1" ht="22.5" x14ac:dyDescent="0.4">
      <c r="A29" s="1034" t="s">
        <v>183</v>
      </c>
      <c r="B29" s="1035"/>
      <c r="C29" s="1036"/>
      <c r="D29" s="1041" t="s">
        <v>184</v>
      </c>
      <c r="E29" s="1042">
        <f>G24</f>
        <v>0</v>
      </c>
      <c r="F29" s="621">
        <v>69</v>
      </c>
      <c r="G29" s="1043">
        <f>E29*F29</f>
        <v>0</v>
      </c>
      <c r="H29" s="984">
        <f>G29+'[1]22'!H29</f>
        <v>0</v>
      </c>
      <c r="I29" s="1045"/>
      <c r="J29" s="986">
        <f>H29/DAY(B2)</f>
        <v>0</v>
      </c>
      <c r="K29" s="1002"/>
      <c r="L29" s="1032"/>
      <c r="N29" s="1149"/>
      <c r="O29" s="988"/>
    </row>
    <row r="30" spans="1:15" s="1033" customFormat="1" ht="22.5" x14ac:dyDescent="0.4">
      <c r="A30" s="1034" t="s">
        <v>185</v>
      </c>
      <c r="B30" s="1035"/>
      <c r="C30" s="1036"/>
      <c r="D30" s="1041" t="s">
        <v>186</v>
      </c>
      <c r="E30" s="1042">
        <f>G19</f>
        <v>49</v>
      </c>
      <c r="F30" s="621">
        <v>145</v>
      </c>
      <c r="G30" s="1043">
        <f>E30*F30</f>
        <v>7105</v>
      </c>
      <c r="H30" s="984">
        <f>G30+'[1]22'!H30</f>
        <v>181975</v>
      </c>
      <c r="I30" s="1045"/>
      <c r="J30" s="986">
        <f>H30/DAY(B2)</f>
        <v>7911.95652173913</v>
      </c>
      <c r="K30" s="1002"/>
      <c r="L30" s="1032"/>
      <c r="N30" s="1149"/>
      <c r="O30" s="988"/>
    </row>
    <row r="31" spans="1:15" s="1033" customFormat="1" ht="22.5" x14ac:dyDescent="0.4">
      <c r="A31" s="1034" t="s">
        <v>187</v>
      </c>
      <c r="B31" s="1035"/>
      <c r="C31" s="1036"/>
      <c r="D31" s="1041" t="s">
        <v>171</v>
      </c>
      <c r="E31" s="1042">
        <f>G18</f>
        <v>120</v>
      </c>
      <c r="F31" s="621">
        <v>80</v>
      </c>
      <c r="G31" s="1043">
        <f>E31*F31</f>
        <v>9600</v>
      </c>
      <c r="H31" s="984">
        <f>G31+'[1]22'!H31</f>
        <v>244800</v>
      </c>
      <c r="I31" s="1045"/>
      <c r="J31" s="986">
        <f>H31/DAY(B2)</f>
        <v>10643.478260869566</v>
      </c>
      <c r="K31" s="1002"/>
      <c r="L31" s="1032"/>
      <c r="N31" s="1149"/>
      <c r="O31" s="988"/>
    </row>
    <row r="32" spans="1:15" s="1033" customFormat="1" x14ac:dyDescent="0.35">
      <c r="A32" s="1046" t="s">
        <v>188</v>
      </c>
      <c r="B32" s="1047"/>
      <c r="C32" s="1048"/>
      <c r="D32" s="1049"/>
      <c r="E32" s="1049"/>
      <c r="F32" s="1049"/>
      <c r="G32" s="1050">
        <f>G27+G28+G29+G30+G31</f>
        <v>222603.5</v>
      </c>
      <c r="H32" s="984">
        <f>G32+'[1]22'!H32</f>
        <v>5435137.5634999992</v>
      </c>
      <c r="I32" s="1051"/>
      <c r="J32" s="986">
        <f>H32/DAY(B2)</f>
        <v>236310.32884782605</v>
      </c>
      <c r="K32" s="1002"/>
      <c r="L32" s="1032"/>
      <c r="N32" s="1149"/>
      <c r="O32" s="988"/>
    </row>
    <row r="33" spans="1:15" ht="18.75" x14ac:dyDescent="0.3">
      <c r="A33" s="1572" t="s">
        <v>189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1002"/>
      <c r="L33" s="961"/>
      <c r="O33" s="988"/>
    </row>
    <row r="34" spans="1:15" x14ac:dyDescent="0.35">
      <c r="A34" s="1052" t="s">
        <v>190</v>
      </c>
      <c r="B34" s="1053"/>
      <c r="C34" s="1053"/>
      <c r="D34" s="976"/>
      <c r="E34" s="975"/>
      <c r="F34" s="975"/>
      <c r="G34" s="976"/>
      <c r="H34" s="976"/>
      <c r="I34" s="976"/>
      <c r="J34" s="977"/>
      <c r="K34" s="1002"/>
      <c r="L34" s="961"/>
      <c r="O34" s="988"/>
    </row>
    <row r="35" spans="1:15" x14ac:dyDescent="0.35">
      <c r="A35" s="979" t="s">
        <v>191</v>
      </c>
      <c r="B35" s="980"/>
      <c r="C35" s="980"/>
      <c r="D35" s="981" t="s">
        <v>159</v>
      </c>
      <c r="E35" s="982">
        <f>'[1]22'!F35</f>
        <v>629027</v>
      </c>
      <c r="F35" s="1054">
        <v>629027</v>
      </c>
      <c r="G35" s="983">
        <f t="shared" ref="G35:G46" si="3">F35-E35</f>
        <v>0</v>
      </c>
      <c r="H35" s="984">
        <f>G35+'[1]22'!H35</f>
        <v>0</v>
      </c>
      <c r="I35" s="982"/>
      <c r="J35" s="986">
        <f>H35/DAY(B2)</f>
        <v>0</v>
      </c>
      <c r="K35" s="1002"/>
      <c r="L35" s="961"/>
      <c r="O35" s="988"/>
    </row>
    <row r="36" spans="1:15" x14ac:dyDescent="0.35">
      <c r="A36" s="979" t="s">
        <v>192</v>
      </c>
      <c r="B36" s="980"/>
      <c r="C36" s="980"/>
      <c r="D36" s="981" t="s">
        <v>159</v>
      </c>
      <c r="E36" s="982">
        <f>'[1]22'!F36</f>
        <v>247672</v>
      </c>
      <c r="F36" s="1054">
        <v>248440</v>
      </c>
      <c r="G36" s="983">
        <f t="shared" si="3"/>
        <v>768</v>
      </c>
      <c r="H36" s="984">
        <f>G36+'[1]22'!H36</f>
        <v>19354.26999999999</v>
      </c>
      <c r="I36" s="982"/>
      <c r="J36" s="986">
        <f>H36/DAY(B2)</f>
        <v>841.48999999999955</v>
      </c>
      <c r="K36" s="1002"/>
      <c r="L36" s="961"/>
      <c r="O36" s="988"/>
    </row>
    <row r="37" spans="1:15" x14ac:dyDescent="0.35">
      <c r="A37" s="979" t="s">
        <v>193</v>
      </c>
      <c r="B37" s="980"/>
      <c r="C37" s="980"/>
      <c r="D37" s="981" t="s">
        <v>159</v>
      </c>
      <c r="E37" s="982">
        <f>'[1]22'!F37</f>
        <v>415066</v>
      </c>
      <c r="F37" s="1054">
        <v>415066</v>
      </c>
      <c r="G37" s="983">
        <f t="shared" si="3"/>
        <v>0</v>
      </c>
      <c r="H37" s="984">
        <f>G37+'[1]22'!H37</f>
        <v>0</v>
      </c>
      <c r="I37" s="982"/>
      <c r="J37" s="986">
        <f>H37/DAY(B2)</f>
        <v>0</v>
      </c>
      <c r="K37" s="1002"/>
      <c r="L37" s="961"/>
      <c r="O37" s="988"/>
    </row>
    <row r="38" spans="1:15" x14ac:dyDescent="0.35">
      <c r="A38" s="979" t="s">
        <v>194</v>
      </c>
      <c r="B38" s="980"/>
      <c r="C38" s="980"/>
      <c r="D38" s="981" t="s">
        <v>159</v>
      </c>
      <c r="E38" s="982">
        <f>'[1]22'!F38</f>
        <v>150714.38</v>
      </c>
      <c r="F38" s="971">
        <v>150714.38</v>
      </c>
      <c r="G38" s="983">
        <f t="shared" si="3"/>
        <v>0</v>
      </c>
      <c r="H38" s="984">
        <f>G38+'[1]22'!H38</f>
        <v>0.38000000000465661</v>
      </c>
      <c r="I38" s="982"/>
      <c r="J38" s="986">
        <f>H38/DAY(B2)</f>
        <v>1.6521739130637245E-2</v>
      </c>
      <c r="K38" s="1002"/>
      <c r="L38" s="961"/>
      <c r="O38" s="988"/>
    </row>
    <row r="39" spans="1:15" x14ac:dyDescent="0.35">
      <c r="A39" s="979" t="s">
        <v>195</v>
      </c>
      <c r="B39" s="980"/>
      <c r="C39" s="980"/>
      <c r="D39" s="981" t="s">
        <v>159</v>
      </c>
      <c r="E39" s="982">
        <f>'[1]22'!F39</f>
        <v>912480</v>
      </c>
      <c r="F39" s="1054">
        <v>912480</v>
      </c>
      <c r="G39" s="983">
        <f t="shared" si="3"/>
        <v>0</v>
      </c>
      <c r="H39" s="984">
        <f>G39+'[1]22'!H39</f>
        <v>0</v>
      </c>
      <c r="I39" s="982"/>
      <c r="J39" s="986">
        <f>H39/DAY(B2)</f>
        <v>0</v>
      </c>
      <c r="K39" s="1002"/>
      <c r="L39" s="961"/>
      <c r="O39" s="988"/>
    </row>
    <row r="40" spans="1:15" x14ac:dyDescent="0.35">
      <c r="A40" s="1055" t="s">
        <v>196</v>
      </c>
      <c r="B40" s="1056"/>
      <c r="C40" s="1056"/>
      <c r="D40" s="981" t="s">
        <v>159</v>
      </c>
      <c r="E40" s="982">
        <f>'[1]22'!F40</f>
        <v>0</v>
      </c>
      <c r="F40" s="1054">
        <v>0</v>
      </c>
      <c r="G40" s="983">
        <f t="shared" si="3"/>
        <v>0</v>
      </c>
      <c r="H40" s="984">
        <f>G40+'[1]22'!H40</f>
        <v>0</v>
      </c>
      <c r="I40" s="982"/>
      <c r="J40" s="986">
        <f>H40/DAY(B2)</f>
        <v>0</v>
      </c>
      <c r="K40" s="1009"/>
      <c r="L40" s="961"/>
      <c r="O40" s="988"/>
    </row>
    <row r="41" spans="1:15" x14ac:dyDescent="0.35">
      <c r="A41" s="979" t="s">
        <v>197</v>
      </c>
      <c r="B41" s="980"/>
      <c r="C41" s="980"/>
      <c r="D41" s="981" t="s">
        <v>159</v>
      </c>
      <c r="E41" s="982">
        <f>'[1]22'!F41</f>
        <v>300127.95</v>
      </c>
      <c r="F41" s="1054">
        <v>300127.95</v>
      </c>
      <c r="G41" s="983">
        <f t="shared" si="3"/>
        <v>0</v>
      </c>
      <c r="H41" s="984">
        <f>G41+'[1]22'!H41</f>
        <v>0</v>
      </c>
      <c r="I41" s="982"/>
      <c r="J41" s="986">
        <f>H41/DAY(B2)</f>
        <v>0</v>
      </c>
      <c r="K41" s="1002"/>
      <c r="L41" s="961"/>
      <c r="O41" s="988"/>
    </row>
    <row r="42" spans="1:15" x14ac:dyDescent="0.35">
      <c r="A42" s="979" t="s">
        <v>198</v>
      </c>
      <c r="B42" s="980"/>
      <c r="C42" s="980"/>
      <c r="D42" s="981" t="s">
        <v>159</v>
      </c>
      <c r="E42" s="982">
        <f>'[1]22'!F42</f>
        <v>58926</v>
      </c>
      <c r="F42" s="1054">
        <v>58926</v>
      </c>
      <c r="G42" s="983">
        <f t="shared" si="3"/>
        <v>0</v>
      </c>
      <c r="H42" s="984">
        <f>G42+'[1]22'!H42</f>
        <v>58926</v>
      </c>
      <c r="I42" s="982"/>
      <c r="J42" s="986">
        <f>H42/DAY(B2)</f>
        <v>2562</v>
      </c>
      <c r="K42" s="1002"/>
      <c r="L42" s="961"/>
      <c r="O42" s="988"/>
    </row>
    <row r="43" spans="1:15" x14ac:dyDescent="0.35">
      <c r="A43" s="979" t="s">
        <v>199</v>
      </c>
      <c r="B43" s="980"/>
      <c r="C43" s="980"/>
      <c r="D43" s="981" t="s">
        <v>159</v>
      </c>
      <c r="E43" s="982">
        <f>'[1]22'!F43</f>
        <v>680253</v>
      </c>
      <c r="F43" s="1054">
        <v>682300</v>
      </c>
      <c r="G43" s="983">
        <f t="shared" si="3"/>
        <v>2047</v>
      </c>
      <c r="H43" s="984">
        <f>G43+'[1]22'!H43</f>
        <v>51550.689999999944</v>
      </c>
      <c r="I43" s="982"/>
      <c r="J43" s="986">
        <f>H43/DAY(B2)</f>
        <v>2241.3343478260845</v>
      </c>
      <c r="K43" s="1002"/>
      <c r="L43" s="961"/>
      <c r="O43" s="988"/>
    </row>
    <row r="44" spans="1:15" x14ac:dyDescent="0.35">
      <c r="A44" s="979" t="s">
        <v>200</v>
      </c>
      <c r="B44" s="980"/>
      <c r="C44" s="980"/>
      <c r="D44" s="981" t="s">
        <v>159</v>
      </c>
      <c r="E44" s="982">
        <f>'[1]22'!F44</f>
        <v>0</v>
      </c>
      <c r="F44" s="1054">
        <v>0</v>
      </c>
      <c r="G44" s="983">
        <f t="shared" si="3"/>
        <v>0</v>
      </c>
      <c r="H44" s="984">
        <f>G44+'[1]22'!H44</f>
        <v>0</v>
      </c>
      <c r="I44" s="982"/>
      <c r="J44" s="986">
        <f>H44/DAY(B2)</f>
        <v>0</v>
      </c>
      <c r="K44" s="1002"/>
      <c r="L44" s="961"/>
      <c r="O44" s="988"/>
    </row>
    <row r="45" spans="1:15" x14ac:dyDescent="0.35">
      <c r="A45" s="979" t="s">
        <v>201</v>
      </c>
      <c r="B45" s="980"/>
      <c r="C45" s="980"/>
      <c r="D45" s="981" t="s">
        <v>159</v>
      </c>
      <c r="E45" s="982">
        <f>'[1]22'!F45</f>
        <v>614</v>
      </c>
      <c r="F45" s="1054">
        <v>614</v>
      </c>
      <c r="G45" s="983">
        <f t="shared" si="3"/>
        <v>0</v>
      </c>
      <c r="H45" s="984">
        <f>G45+'[1]22'!H45</f>
        <v>-0.48000000000001819</v>
      </c>
      <c r="I45" s="982"/>
      <c r="J45" s="986">
        <f>H45/DAY(B2)</f>
        <v>-2.0869565217392094E-2</v>
      </c>
      <c r="K45" s="1002"/>
      <c r="L45" s="961"/>
      <c r="O45" s="988"/>
    </row>
    <row r="46" spans="1:15" x14ac:dyDescent="0.35">
      <c r="A46" s="979" t="s">
        <v>202</v>
      </c>
      <c r="B46" s="980"/>
      <c r="C46" s="980"/>
      <c r="D46" s="981" t="s">
        <v>159</v>
      </c>
      <c r="E46" s="982">
        <f>'[1]22'!F46</f>
        <v>187</v>
      </c>
      <c r="F46" s="1054">
        <v>187</v>
      </c>
      <c r="G46" s="983">
        <f t="shared" si="3"/>
        <v>0</v>
      </c>
      <c r="H46" s="984">
        <f>G46+'[1]22'!H46</f>
        <v>-0.49000000000000909</v>
      </c>
      <c r="I46" s="982"/>
      <c r="J46" s="986">
        <f>H46/DAY(B2)</f>
        <v>-2.1304347826087353E-2</v>
      </c>
      <c r="K46" s="1002"/>
      <c r="L46" s="961"/>
      <c r="O46" s="988"/>
    </row>
    <row r="47" spans="1:15" x14ac:dyDescent="0.35">
      <c r="A47" s="1004" t="s">
        <v>203</v>
      </c>
      <c r="B47" s="1005"/>
      <c r="C47" s="1005"/>
      <c r="D47" s="972"/>
      <c r="E47" s="968"/>
      <c r="F47" s="968"/>
      <c r="G47" s="1006">
        <f>G35+G36+G37+G38+G39+G40+G41+G42+G43+G44+G45+G46</f>
        <v>2815</v>
      </c>
      <c r="H47" s="984">
        <f>G47+'[1]22'!H47</f>
        <v>129830.36999999992</v>
      </c>
      <c r="I47" s="982"/>
      <c r="J47" s="986">
        <f>H47/DAY(B2)</f>
        <v>5644.7986956521709</v>
      </c>
      <c r="K47" s="1002"/>
      <c r="L47" s="961"/>
      <c r="N47" s="1150"/>
      <c r="O47" s="988"/>
    </row>
    <row r="48" spans="1:15" x14ac:dyDescent="0.35">
      <c r="A48" s="1052" t="s">
        <v>204</v>
      </c>
      <c r="B48" s="1053"/>
      <c r="C48" s="1053"/>
      <c r="D48" s="976"/>
      <c r="E48" s="975"/>
      <c r="F48" s="975"/>
      <c r="G48" s="976"/>
      <c r="H48" s="976"/>
      <c r="I48" s="976"/>
      <c r="J48" s="977"/>
      <c r="K48" s="1002"/>
      <c r="L48" s="961"/>
      <c r="O48" s="988"/>
    </row>
    <row r="49" spans="1:15" x14ac:dyDescent="0.35">
      <c r="A49" s="979" t="s">
        <v>191</v>
      </c>
      <c r="B49" s="1057"/>
      <c r="C49" s="1057"/>
      <c r="D49" s="981" t="s">
        <v>159</v>
      </c>
      <c r="E49" s="982">
        <f>'[1]22'!F49</f>
        <v>123180</v>
      </c>
      <c r="F49" s="1054">
        <v>125957</v>
      </c>
      <c r="G49" s="983">
        <f t="shared" ref="G49:G58" si="4">F49-E49</f>
        <v>2777</v>
      </c>
      <c r="H49" s="984">
        <f>G49+'[1]22'!H49</f>
        <v>61347.483</v>
      </c>
      <c r="I49" s="982"/>
      <c r="J49" s="986">
        <f>H49/DAY(B2)</f>
        <v>2667.2818695652172</v>
      </c>
      <c r="K49" s="1002"/>
      <c r="L49" s="961"/>
      <c r="O49" s="988"/>
    </row>
    <row r="50" spans="1:15" x14ac:dyDescent="0.35">
      <c r="A50" s="979" t="s">
        <v>205</v>
      </c>
      <c r="B50" s="1057"/>
      <c r="C50" s="1057"/>
      <c r="D50" s="981" t="s">
        <v>159</v>
      </c>
      <c r="E50" s="982">
        <f>'[1]22'!F50</f>
        <v>324379</v>
      </c>
      <c r="F50" s="1054">
        <v>325548</v>
      </c>
      <c r="G50" s="983">
        <f t="shared" si="4"/>
        <v>1169</v>
      </c>
      <c r="H50" s="984">
        <f>G50+'[1]22'!H50</f>
        <v>28138.469999999972</v>
      </c>
      <c r="I50" s="982"/>
      <c r="J50" s="986">
        <f>H50/DAY(B2)</f>
        <v>1223.4117391304335</v>
      </c>
      <c r="K50" s="1002"/>
      <c r="L50" s="961"/>
      <c r="O50" s="988"/>
    </row>
    <row r="51" spans="1:15" x14ac:dyDescent="0.35">
      <c r="A51" s="979" t="s">
        <v>193</v>
      </c>
      <c r="B51" s="1057"/>
      <c r="C51" s="1057"/>
      <c r="D51" s="981" t="s">
        <v>159</v>
      </c>
      <c r="E51" s="982">
        <f>'[1]22'!F51</f>
        <v>51586</v>
      </c>
      <c r="F51" s="1054">
        <v>53054</v>
      </c>
      <c r="G51" s="983">
        <f t="shared" si="4"/>
        <v>1468</v>
      </c>
      <c r="H51" s="984">
        <f>G51+'[1]22'!H51</f>
        <v>32187.032999999999</v>
      </c>
      <c r="I51" s="982"/>
      <c r="J51" s="986">
        <f>H51/DAY(B2)</f>
        <v>1399.4362173913044</v>
      </c>
      <c r="K51" s="1002"/>
      <c r="L51" s="961"/>
      <c r="O51" s="988"/>
    </row>
    <row r="52" spans="1:15" x14ac:dyDescent="0.35">
      <c r="A52" s="979" t="s">
        <v>206</v>
      </c>
      <c r="B52" s="1057"/>
      <c r="C52" s="1057"/>
      <c r="D52" s="981" t="s">
        <v>159</v>
      </c>
      <c r="E52" s="982">
        <f>'[1]22'!F52</f>
        <v>414633</v>
      </c>
      <c r="F52" s="1054">
        <v>416612</v>
      </c>
      <c r="G52" s="983">
        <f t="shared" si="4"/>
        <v>1979</v>
      </c>
      <c r="H52" s="984">
        <f>G52+'[1]22'!H52</f>
        <v>43256.209999999963</v>
      </c>
      <c r="I52" s="982"/>
      <c r="J52" s="986">
        <f>H52/DAY(B2)</f>
        <v>1880.7047826086941</v>
      </c>
      <c r="K52" s="1002"/>
      <c r="L52" s="961"/>
      <c r="O52" s="988"/>
    </row>
    <row r="53" spans="1:15" x14ac:dyDescent="0.35">
      <c r="A53" s="979" t="s">
        <v>195</v>
      </c>
      <c r="B53" s="1057"/>
      <c r="C53" s="1057"/>
      <c r="D53" s="981" t="s">
        <v>159</v>
      </c>
      <c r="E53" s="982">
        <f>'[1]22'!F53</f>
        <v>138695</v>
      </c>
      <c r="F53" s="1054">
        <v>142883</v>
      </c>
      <c r="G53" s="983">
        <f t="shared" si="4"/>
        <v>4188</v>
      </c>
      <c r="H53" s="984">
        <f>G53+'[1]22'!H53</f>
        <v>93140.892999999996</v>
      </c>
      <c r="I53" s="982"/>
      <c r="J53" s="986">
        <f>H53/DAY(B2)</f>
        <v>4049.6040434782608</v>
      </c>
      <c r="K53" s="1002"/>
      <c r="L53" s="961"/>
      <c r="O53" s="988"/>
    </row>
    <row r="54" spans="1:15" x14ac:dyDescent="0.35">
      <c r="A54" s="979" t="s">
        <v>207</v>
      </c>
      <c r="B54" s="1057"/>
      <c r="C54" s="1057"/>
      <c r="D54" s="981" t="s">
        <v>159</v>
      </c>
      <c r="E54" s="982">
        <f>'[1]22'!F54</f>
        <v>3965</v>
      </c>
      <c r="F54" s="1054">
        <v>4022</v>
      </c>
      <c r="G54" s="983">
        <f t="shared" si="4"/>
        <v>57</v>
      </c>
      <c r="H54" s="984">
        <f>G54+'[1]22'!H54</f>
        <v>1143.3899999999999</v>
      </c>
      <c r="I54" s="982"/>
      <c r="J54" s="986">
        <f>H54/DAY(B2)</f>
        <v>49.712608695652172</v>
      </c>
      <c r="K54" s="1002"/>
      <c r="L54" s="961"/>
      <c r="O54" s="988"/>
    </row>
    <row r="55" spans="1:15" x14ac:dyDescent="0.35">
      <c r="A55" s="979" t="s">
        <v>208</v>
      </c>
      <c r="B55" s="1057"/>
      <c r="C55" s="1057"/>
      <c r="D55" s="981" t="s">
        <v>159</v>
      </c>
      <c r="E55" s="982">
        <f>'[1]22'!F55</f>
        <v>158492.73000000001</v>
      </c>
      <c r="F55" s="1054">
        <v>158492.73000000001</v>
      </c>
      <c r="G55" s="983">
        <f t="shared" si="4"/>
        <v>0</v>
      </c>
      <c r="H55" s="984">
        <f>G55+'[1]22'!H55</f>
        <v>-0.26999999998952262</v>
      </c>
      <c r="I55" s="982"/>
      <c r="J55" s="986">
        <f>H55/DAY(B2)</f>
        <v>-1.1739130434327071E-2</v>
      </c>
      <c r="K55" s="1002"/>
      <c r="L55" s="961"/>
      <c r="O55" s="988"/>
    </row>
    <row r="56" spans="1:15" x14ac:dyDescent="0.35">
      <c r="A56" s="979" t="s">
        <v>209</v>
      </c>
      <c r="B56" s="1057"/>
      <c r="C56" s="1057"/>
      <c r="D56" s="981" t="s">
        <v>210</v>
      </c>
      <c r="E56" s="982">
        <f>'[1]22'!F56</f>
        <v>476824</v>
      </c>
      <c r="F56" s="1054">
        <v>480373</v>
      </c>
      <c r="G56" s="983">
        <f t="shared" si="4"/>
        <v>3549</v>
      </c>
      <c r="H56" s="984">
        <f>G56+'[1]22'!H56</f>
        <v>44531.969999999972</v>
      </c>
      <c r="I56" s="982"/>
      <c r="J56" s="986">
        <f>H56/DAY(B2)</f>
        <v>1936.172608695651</v>
      </c>
      <c r="K56" s="978"/>
      <c r="L56" s="961"/>
      <c r="O56" s="988"/>
    </row>
    <row r="57" spans="1:15" x14ac:dyDescent="0.35">
      <c r="A57" s="979" t="s">
        <v>199</v>
      </c>
      <c r="B57" s="1057"/>
      <c r="C57" s="1057"/>
      <c r="D57" s="981" t="s">
        <v>159</v>
      </c>
      <c r="E57" s="982">
        <f>'[1]22'!F57</f>
        <v>0</v>
      </c>
      <c r="F57" s="1054">
        <v>0</v>
      </c>
      <c r="G57" s="983">
        <f t="shared" si="4"/>
        <v>0</v>
      </c>
      <c r="H57" s="984">
        <f>G57+'[1]22'!H57</f>
        <v>0</v>
      </c>
      <c r="I57" s="982"/>
      <c r="J57" s="986">
        <f>H57/DAY(B2)</f>
        <v>0</v>
      </c>
      <c r="K57" s="1002"/>
      <c r="L57" s="961"/>
      <c r="O57" s="988"/>
    </row>
    <row r="58" spans="1:15" x14ac:dyDescent="0.35">
      <c r="A58" s="979" t="s">
        <v>211</v>
      </c>
      <c r="B58" s="1057"/>
      <c r="C58" s="1057"/>
      <c r="D58" s="981" t="s">
        <v>159</v>
      </c>
      <c r="E58" s="982">
        <f>'[1]22'!F58</f>
        <v>23320</v>
      </c>
      <c r="F58" s="1054">
        <v>23582</v>
      </c>
      <c r="G58" s="983">
        <f t="shared" si="4"/>
        <v>262</v>
      </c>
      <c r="H58" s="984">
        <f>G58+'[1]22'!H58</f>
        <v>3188.9670000000006</v>
      </c>
      <c r="I58" s="982"/>
      <c r="J58" s="986">
        <f>H58/DAY(B2)</f>
        <v>138.6507391304348</v>
      </c>
      <c r="K58" s="1002"/>
      <c r="L58" s="961"/>
      <c r="O58" s="988"/>
    </row>
    <row r="59" spans="1:15" x14ac:dyDescent="0.35">
      <c r="A59" s="1004" t="s">
        <v>203</v>
      </c>
      <c r="B59" s="1005"/>
      <c r="C59" s="1005"/>
      <c r="D59" s="968"/>
      <c r="E59" s="968"/>
      <c r="F59" s="968"/>
      <c r="G59" s="1006">
        <f>G49+G50+G51+G52+G53+G54+G55+G56+G57+G58</f>
        <v>15449</v>
      </c>
      <c r="H59" s="984">
        <f>G59+'[1]22'!H59</f>
        <v>306934.14599999989</v>
      </c>
      <c r="I59" s="982">
        <f>G7-G60</f>
        <v>446</v>
      </c>
      <c r="J59" s="986">
        <f>H59/DAY(B2)</f>
        <v>13344.962869565212</v>
      </c>
      <c r="K59" s="1002"/>
      <c r="L59" s="961"/>
      <c r="O59" s="988"/>
    </row>
    <row r="60" spans="1:15" x14ac:dyDescent="0.35">
      <c r="A60" s="979"/>
      <c r="B60" s="980"/>
      <c r="C60" s="980"/>
      <c r="D60" s="968" t="s">
        <v>212</v>
      </c>
      <c r="E60" s="968"/>
      <c r="F60" s="968"/>
      <c r="G60" s="1006">
        <f>G47+G59</f>
        <v>18264</v>
      </c>
      <c r="H60" s="984">
        <f>G60+'[1]22'!H60</f>
        <v>450308.18599999993</v>
      </c>
      <c r="I60" s="982">
        <f>G13-G60</f>
        <v>-205</v>
      </c>
      <c r="J60" s="986">
        <f>H60/DAY(B2)</f>
        <v>19578.616782608693</v>
      </c>
      <c r="K60" s="1002"/>
      <c r="L60" s="961"/>
      <c r="O60" s="988"/>
    </row>
    <row r="61" spans="1:15" x14ac:dyDescent="0.35">
      <c r="A61" s="1058" t="s">
        <v>213</v>
      </c>
      <c r="B61" s="1059"/>
      <c r="C61" s="1059"/>
      <c r="D61" s="1059"/>
      <c r="E61" s="1060"/>
      <c r="F61" s="1060"/>
      <c r="G61" s="1059"/>
      <c r="H61" s="1059"/>
      <c r="I61" s="1059"/>
      <c r="J61" s="1061"/>
      <c r="K61" s="1002"/>
      <c r="L61" s="961"/>
      <c r="O61" s="988"/>
    </row>
    <row r="62" spans="1:15" x14ac:dyDescent="0.35">
      <c r="A62" s="1062" t="s">
        <v>121</v>
      </c>
      <c r="B62" s="1063"/>
      <c r="C62" s="1063"/>
      <c r="D62" s="968" t="s">
        <v>214</v>
      </c>
      <c r="E62" s="982">
        <f>'[1]22'!F62</f>
        <v>20419.2</v>
      </c>
      <c r="F62" s="1064">
        <v>20419</v>
      </c>
      <c r="G62" s="983">
        <f t="shared" ref="G62:G69" si="5">F62-E62</f>
        <v>-0.2000000000007276</v>
      </c>
      <c r="H62" s="984">
        <f>G62+'[1]22'!H62</f>
        <v>-0.18000000000029104</v>
      </c>
      <c r="I62" s="1065"/>
      <c r="J62" s="986">
        <f>H62/DAY(B2)</f>
        <v>-7.8260869565343928E-3</v>
      </c>
      <c r="K62" s="1002"/>
      <c r="L62" s="961"/>
      <c r="O62" s="988"/>
    </row>
    <row r="63" spans="1:15" x14ac:dyDescent="0.35">
      <c r="A63" s="1062" t="s">
        <v>215</v>
      </c>
      <c r="B63" s="1063"/>
      <c r="C63" s="1063"/>
      <c r="D63" s="968" t="s">
        <v>214</v>
      </c>
      <c r="E63" s="982">
        <f>'[1]22'!F63</f>
        <v>1072</v>
      </c>
      <c r="F63" s="1064">
        <v>1076</v>
      </c>
      <c r="G63" s="983">
        <f t="shared" si="5"/>
        <v>4</v>
      </c>
      <c r="H63" s="984">
        <f>G63+'[1]22'!H63</f>
        <v>219.63</v>
      </c>
      <c r="I63" s="1065"/>
      <c r="J63" s="986">
        <f>H63/DAY(B2)</f>
        <v>9.549130434782608</v>
      </c>
      <c r="K63" s="1002"/>
      <c r="L63" s="961"/>
      <c r="O63" s="988"/>
    </row>
    <row r="64" spans="1:15" x14ac:dyDescent="0.35">
      <c r="A64" s="1563" t="s">
        <v>122</v>
      </c>
      <c r="B64" s="1564"/>
      <c r="C64" s="1565"/>
      <c r="D64" s="981" t="s">
        <v>214</v>
      </c>
      <c r="E64" s="982">
        <f>'[1]22'!F64</f>
        <v>94892</v>
      </c>
      <c r="F64" s="1012">
        <v>95284</v>
      </c>
      <c r="G64" s="983">
        <f t="shared" si="5"/>
        <v>392</v>
      </c>
      <c r="H64" s="984">
        <f>G64+'[1]22'!H64</f>
        <v>8544.9049999999988</v>
      </c>
      <c r="I64" s="1003"/>
      <c r="J64" s="986">
        <f>H64/DAY(B2)</f>
        <v>371.51760869565214</v>
      </c>
      <c r="K64" s="1002"/>
      <c r="L64" s="961"/>
      <c r="O64" s="988"/>
    </row>
    <row r="65" spans="1:15" x14ac:dyDescent="0.35">
      <c r="A65" s="1563" t="s">
        <v>123</v>
      </c>
      <c r="B65" s="1564"/>
      <c r="C65" s="1565"/>
      <c r="D65" s="981" t="s">
        <v>214</v>
      </c>
      <c r="E65" s="982">
        <f>'[1]22'!F65</f>
        <v>105353</v>
      </c>
      <c r="F65" s="1012">
        <v>105754</v>
      </c>
      <c r="G65" s="983">
        <f t="shared" si="5"/>
        <v>401</v>
      </c>
      <c r="H65" s="984">
        <f>G65+'[1]22'!H65</f>
        <v>9118.0170000000071</v>
      </c>
      <c r="I65" s="1021"/>
      <c r="J65" s="986">
        <f>H65/DAY(B2)</f>
        <v>396.43552173913076</v>
      </c>
      <c r="K65" s="1002"/>
      <c r="L65" s="961"/>
      <c r="O65" s="988"/>
    </row>
    <row r="66" spans="1:15" x14ac:dyDescent="0.35">
      <c r="A66" s="1563" t="s">
        <v>124</v>
      </c>
      <c r="B66" s="1564"/>
      <c r="C66" s="1565"/>
      <c r="D66" s="981" t="s">
        <v>214</v>
      </c>
      <c r="E66" s="982">
        <f>'[1]22'!F66</f>
        <v>98837</v>
      </c>
      <c r="F66" s="1012">
        <v>99236</v>
      </c>
      <c r="G66" s="983">
        <f t="shared" si="5"/>
        <v>399</v>
      </c>
      <c r="H66" s="984">
        <f>G66+'[1]22'!H66</f>
        <v>9231.1530000000057</v>
      </c>
      <c r="I66" s="1003"/>
      <c r="J66" s="986">
        <f>H66/DAY(B2)</f>
        <v>401.35447826086983</v>
      </c>
      <c r="K66" s="1002"/>
      <c r="L66" s="961"/>
      <c r="O66" s="988"/>
    </row>
    <row r="67" spans="1:15" x14ac:dyDescent="0.35">
      <c r="A67" s="1563" t="s">
        <v>125</v>
      </c>
      <c r="B67" s="1564"/>
      <c r="C67" s="1565"/>
      <c r="D67" s="981" t="s">
        <v>214</v>
      </c>
      <c r="E67" s="982">
        <f>'[1]22'!F67</f>
        <v>162041</v>
      </c>
      <c r="F67" s="1012">
        <v>162735</v>
      </c>
      <c r="G67" s="983">
        <f t="shared" si="5"/>
        <v>694</v>
      </c>
      <c r="H67" s="984">
        <f>G67+'[1]22'!H67</f>
        <v>16692.950000000012</v>
      </c>
      <c r="I67" s="1021"/>
      <c r="J67" s="986">
        <f>H67/DAY(B2)</f>
        <v>725.78043478260918</v>
      </c>
      <c r="K67" s="1009"/>
      <c r="L67" s="961"/>
      <c r="O67" s="988"/>
    </row>
    <row r="68" spans="1:15" x14ac:dyDescent="0.35">
      <c r="A68" s="1563" t="s">
        <v>126</v>
      </c>
      <c r="B68" s="1564"/>
      <c r="C68" s="1565"/>
      <c r="D68" s="981" t="s">
        <v>214</v>
      </c>
      <c r="E68" s="982">
        <f>'[1]22'!F68</f>
        <v>50883</v>
      </c>
      <c r="F68" s="1012">
        <v>51207</v>
      </c>
      <c r="G68" s="983">
        <f t="shared" si="5"/>
        <v>324</v>
      </c>
      <c r="H68" s="984">
        <f>G68+'[1]22'!H68</f>
        <v>8031.9210000000021</v>
      </c>
      <c r="I68" s="1066"/>
      <c r="J68" s="986">
        <f>H68/DAY(B2)</f>
        <v>349.21395652173925</v>
      </c>
      <c r="K68" s="1067"/>
      <c r="L68" s="961"/>
      <c r="O68" s="988"/>
    </row>
    <row r="69" spans="1:15" x14ac:dyDescent="0.35">
      <c r="A69" s="1563" t="s">
        <v>127</v>
      </c>
      <c r="B69" s="1564"/>
      <c r="C69" s="1565"/>
      <c r="D69" s="981" t="s">
        <v>214</v>
      </c>
      <c r="E69" s="982">
        <f>'[1]22'!F69</f>
        <v>43956</v>
      </c>
      <c r="F69" s="1012">
        <v>44238</v>
      </c>
      <c r="G69" s="983">
        <f t="shared" si="5"/>
        <v>282</v>
      </c>
      <c r="H69" s="984">
        <f>G69+'[1]22'!H69</f>
        <v>6682.4329999999973</v>
      </c>
      <c r="I69" s="1066"/>
      <c r="J69" s="986">
        <f>H69/DAY(B2)</f>
        <v>290.54056521739119</v>
      </c>
      <c r="K69" s="1068"/>
      <c r="L69" s="961"/>
      <c r="O69" s="988"/>
    </row>
    <row r="70" spans="1:15" x14ac:dyDescent="0.35">
      <c r="A70" s="1586" t="s">
        <v>216</v>
      </c>
      <c r="B70" s="1587"/>
      <c r="C70" s="1588"/>
      <c r="D70" s="981" t="s">
        <v>214</v>
      </c>
      <c r="E70" s="1352"/>
      <c r="F70" s="1069"/>
      <c r="G70" s="1069"/>
      <c r="H70" s="984">
        <f>G70+'[1]13'!H70</f>
        <v>0</v>
      </c>
      <c r="I70" s="1069"/>
      <c r="J70" s="1070"/>
      <c r="K70" s="1068"/>
      <c r="L70" s="961"/>
      <c r="O70" s="988"/>
    </row>
    <row r="71" spans="1:15" ht="22.5" x14ac:dyDescent="0.45">
      <c r="A71" s="1583" t="s">
        <v>217</v>
      </c>
      <c r="B71" s="1584"/>
      <c r="C71" s="1584"/>
      <c r="D71" s="1584"/>
      <c r="E71" s="1584"/>
      <c r="F71" s="1584"/>
      <c r="G71" s="1584"/>
      <c r="H71" s="1584"/>
      <c r="I71" s="1584"/>
      <c r="J71" s="1585"/>
      <c r="K71" s="1067"/>
      <c r="L71" s="961"/>
      <c r="O71" s="988"/>
    </row>
    <row r="72" spans="1:15" x14ac:dyDescent="0.35">
      <c r="A72" s="1563" t="s">
        <v>218</v>
      </c>
      <c r="B72" s="1564"/>
      <c r="C72" s="1565"/>
      <c r="D72" s="981" t="s">
        <v>214</v>
      </c>
      <c r="E72" s="982">
        <f>'[1]22'!F72</f>
        <v>845623</v>
      </c>
      <c r="F72" s="1071">
        <v>845688</v>
      </c>
      <c r="G72" s="983">
        <f t="shared" ref="G72:G84" si="6">F72-E72</f>
        <v>65</v>
      </c>
      <c r="H72" s="984">
        <f>G72+'[1]22'!H72</f>
        <v>1426</v>
      </c>
      <c r="I72" s="1003"/>
      <c r="J72" s="986">
        <f>H72/DAY(B2)</f>
        <v>62</v>
      </c>
      <c r="K72" s="1068"/>
      <c r="L72" s="961"/>
      <c r="O72" s="988"/>
    </row>
    <row r="73" spans="1:15" x14ac:dyDescent="0.35">
      <c r="A73" s="1563" t="s">
        <v>219</v>
      </c>
      <c r="B73" s="1564"/>
      <c r="C73" s="1565"/>
      <c r="D73" s="981" t="s">
        <v>214</v>
      </c>
      <c r="E73" s="982">
        <f>'[1]22'!F73</f>
        <v>885655</v>
      </c>
      <c r="F73" s="1072">
        <v>885657</v>
      </c>
      <c r="G73" s="983">
        <f t="shared" si="6"/>
        <v>2</v>
      </c>
      <c r="H73" s="984">
        <f>G73+'[1]22'!H73</f>
        <v>953</v>
      </c>
      <c r="I73" s="1003"/>
      <c r="J73" s="986">
        <f>H73/DAY(B2)</f>
        <v>41.434782608695649</v>
      </c>
      <c r="K73" s="1067"/>
      <c r="L73" s="961"/>
      <c r="O73" s="988"/>
    </row>
    <row r="74" spans="1:15" x14ac:dyDescent="0.35">
      <c r="A74" s="1563" t="s">
        <v>220</v>
      </c>
      <c r="B74" s="1564"/>
      <c r="C74" s="1565"/>
      <c r="D74" s="981" t="s">
        <v>214</v>
      </c>
      <c r="E74" s="982">
        <f>'[1]22'!F74</f>
        <v>880943</v>
      </c>
      <c r="F74" s="1073">
        <v>880978</v>
      </c>
      <c r="G74" s="983">
        <f t="shared" si="6"/>
        <v>35</v>
      </c>
      <c r="H74" s="984">
        <f>G74+'[1]22'!H74</f>
        <v>751</v>
      </c>
      <c r="I74" s="1003"/>
      <c r="J74" s="986">
        <f>H74/DAY(B2)</f>
        <v>32.652173913043477</v>
      </c>
      <c r="K74" s="1068"/>
      <c r="L74" s="961"/>
      <c r="O74" s="988"/>
    </row>
    <row r="75" spans="1:15" x14ac:dyDescent="0.35">
      <c r="A75" s="1589" t="s">
        <v>221</v>
      </c>
      <c r="B75" s="1590"/>
      <c r="C75" s="1591"/>
      <c r="D75" s="981" t="s">
        <v>214</v>
      </c>
      <c r="E75" s="982">
        <f>'[1]22'!F75</f>
        <v>730060</v>
      </c>
      <c r="F75" s="1073">
        <v>730234</v>
      </c>
      <c r="G75" s="983">
        <f t="shared" si="6"/>
        <v>174</v>
      </c>
      <c r="H75" s="984">
        <f>G75+'[1]22'!H75</f>
        <v>4054</v>
      </c>
      <c r="I75" s="1003"/>
      <c r="J75" s="986">
        <f>H75/DAY(B2)</f>
        <v>176.2608695652174</v>
      </c>
      <c r="K75" s="1067"/>
      <c r="L75" s="961"/>
      <c r="O75" s="988"/>
    </row>
    <row r="76" spans="1:15" x14ac:dyDescent="0.35">
      <c r="A76" s="1589" t="s">
        <v>222</v>
      </c>
      <c r="B76" s="1590"/>
      <c r="C76" s="1591"/>
      <c r="D76" s="981" t="s">
        <v>214</v>
      </c>
      <c r="E76" s="982">
        <f>'[1]22'!F76</f>
        <v>683510</v>
      </c>
      <c r="F76" s="1072">
        <v>683591</v>
      </c>
      <c r="G76" s="983">
        <f t="shared" si="6"/>
        <v>81</v>
      </c>
      <c r="H76" s="984">
        <f>G76+'[1]22'!H76</f>
        <v>3221</v>
      </c>
      <c r="I76" s="1045"/>
      <c r="J76" s="986">
        <f>H76/DAY(B2)</f>
        <v>140.04347826086956</v>
      </c>
      <c r="K76" s="1067"/>
      <c r="L76" s="961"/>
      <c r="O76" s="988"/>
    </row>
    <row r="77" spans="1:15" x14ac:dyDescent="0.35">
      <c r="A77" s="1563" t="s">
        <v>223</v>
      </c>
      <c r="B77" s="1564"/>
      <c r="C77" s="1565"/>
      <c r="D77" s="981" t="s">
        <v>214</v>
      </c>
      <c r="E77" s="982">
        <f>'[1]22'!F77</f>
        <v>694893</v>
      </c>
      <c r="F77" s="1072">
        <v>694945</v>
      </c>
      <c r="G77" s="983">
        <f t="shared" si="6"/>
        <v>52</v>
      </c>
      <c r="H77" s="984">
        <f>G77+'[1]22'!H77</f>
        <v>1225</v>
      </c>
      <c r="I77" s="1045"/>
      <c r="J77" s="986">
        <f>H77/DAY(B2)</f>
        <v>53.260869565217391</v>
      </c>
      <c r="K77" s="1067"/>
      <c r="L77" s="961"/>
      <c r="O77" s="988"/>
    </row>
    <row r="78" spans="1:15" x14ac:dyDescent="0.35">
      <c r="A78" s="1074" t="s">
        <v>224</v>
      </c>
      <c r="B78" s="1353"/>
      <c r="C78" s="1353"/>
      <c r="D78" s="981" t="s">
        <v>214</v>
      </c>
      <c r="E78" s="982">
        <f>'[1]22'!F78</f>
        <v>627351</v>
      </c>
      <c r="F78" s="1073">
        <v>627714</v>
      </c>
      <c r="G78" s="983">
        <f t="shared" si="6"/>
        <v>363</v>
      </c>
      <c r="H78" s="984">
        <f>G78+'[1]22'!H78</f>
        <v>9461</v>
      </c>
      <c r="I78" s="1045"/>
      <c r="J78" s="986">
        <f>H78/DAY(B2)</f>
        <v>411.3478260869565</v>
      </c>
      <c r="K78" s="1067"/>
      <c r="L78" s="961"/>
      <c r="O78" s="988"/>
    </row>
    <row r="79" spans="1:15" x14ac:dyDescent="0.35">
      <c r="A79" s="1589" t="s">
        <v>112</v>
      </c>
      <c r="B79" s="1590"/>
      <c r="C79" s="1591"/>
      <c r="D79" s="1015" t="s">
        <v>214</v>
      </c>
      <c r="E79" s="982">
        <f>'[1]22'!F79</f>
        <v>802186</v>
      </c>
      <c r="F79" s="1073">
        <v>802358</v>
      </c>
      <c r="G79" s="983">
        <f t="shared" si="6"/>
        <v>172</v>
      </c>
      <c r="H79" s="984">
        <f>G79+'[1]22'!H79</f>
        <v>7106</v>
      </c>
      <c r="I79" s="1045"/>
      <c r="J79" s="986">
        <f>H79/DAY(B2)</f>
        <v>308.95652173913044</v>
      </c>
      <c r="K79" s="1067"/>
      <c r="L79" s="961"/>
      <c r="O79" s="988"/>
    </row>
    <row r="80" spans="1:15" x14ac:dyDescent="0.35">
      <c r="A80" s="1589" t="s">
        <v>225</v>
      </c>
      <c r="B80" s="1590"/>
      <c r="C80" s="1591"/>
      <c r="D80" s="1015" t="s">
        <v>214</v>
      </c>
      <c r="E80" s="982">
        <f>'[1]22'!F80</f>
        <v>472676</v>
      </c>
      <c r="F80" s="1072">
        <v>472961</v>
      </c>
      <c r="G80" s="983">
        <f t="shared" si="6"/>
        <v>285</v>
      </c>
      <c r="H80" s="984">
        <f>G80+'[1]22'!H80</f>
        <v>5637.1599999999744</v>
      </c>
      <c r="I80" s="1045"/>
      <c r="J80" s="986">
        <f>H80/DAY(B2)</f>
        <v>245.09391304347716</v>
      </c>
      <c r="K80" s="1067"/>
      <c r="L80" s="961"/>
      <c r="O80" s="988"/>
    </row>
    <row r="81" spans="1:15" x14ac:dyDescent="0.35">
      <c r="A81" s="1589" t="s">
        <v>226</v>
      </c>
      <c r="B81" s="1590"/>
      <c r="C81" s="1591"/>
      <c r="D81" s="1015" t="s">
        <v>214</v>
      </c>
      <c r="E81" s="982">
        <f>'[1]22'!F81</f>
        <v>617940</v>
      </c>
      <c r="F81" s="1072">
        <v>618102</v>
      </c>
      <c r="G81" s="983">
        <f t="shared" si="6"/>
        <v>162</v>
      </c>
      <c r="H81" s="984">
        <f>G81+'[1]22'!H81</f>
        <v>3713.4799999999814</v>
      </c>
      <c r="I81" s="1045"/>
      <c r="J81" s="986">
        <f>H81/DAY(B2)</f>
        <v>161.45565217391223</v>
      </c>
      <c r="K81" s="1067"/>
      <c r="L81" s="961"/>
      <c r="O81" s="988"/>
    </row>
    <row r="82" spans="1:15" x14ac:dyDescent="0.35">
      <c r="A82" s="1589" t="s">
        <v>115</v>
      </c>
      <c r="B82" s="1590"/>
      <c r="C82" s="1591"/>
      <c r="D82" s="1016" t="s">
        <v>159</v>
      </c>
      <c r="E82" s="982">
        <f>'[1]22'!F82</f>
        <v>104228</v>
      </c>
      <c r="F82" s="1075">
        <v>104259</v>
      </c>
      <c r="G82" s="983">
        <f t="shared" si="6"/>
        <v>31</v>
      </c>
      <c r="H82" s="984">
        <f>G82+'[1]22'!H82</f>
        <v>729.35000000000582</v>
      </c>
      <c r="I82" s="1017"/>
      <c r="J82" s="986">
        <f>H82/DAY(B2)</f>
        <v>31.710869565217646</v>
      </c>
      <c r="K82" s="1067"/>
      <c r="L82" s="961"/>
      <c r="O82" s="988"/>
    </row>
    <row r="83" spans="1:15" x14ac:dyDescent="0.35">
      <c r="A83" s="1589" t="s">
        <v>227</v>
      </c>
      <c r="B83" s="1590"/>
      <c r="C83" s="1591"/>
      <c r="D83" s="1076" t="s">
        <v>159</v>
      </c>
      <c r="E83" s="982">
        <f>'[1]22'!F83</f>
        <v>970349</v>
      </c>
      <c r="F83" s="968">
        <v>970685</v>
      </c>
      <c r="G83" s="983">
        <f t="shared" si="6"/>
        <v>336</v>
      </c>
      <c r="H83" s="984">
        <f>G83+'[1]22'!H83</f>
        <v>8160</v>
      </c>
      <c r="I83" s="1006"/>
      <c r="J83" s="986">
        <f>H83/DAY(B2)</f>
        <v>354.78260869565219</v>
      </c>
      <c r="K83" s="1009"/>
      <c r="L83" s="961"/>
      <c r="O83" s="988"/>
    </row>
    <row r="84" spans="1:15" x14ac:dyDescent="0.35">
      <c r="A84" s="1077" t="s">
        <v>228</v>
      </c>
      <c r="B84" s="1078"/>
      <c r="C84" s="1078"/>
      <c r="D84" s="1000" t="s">
        <v>159</v>
      </c>
      <c r="E84" s="982">
        <f>'[1]22'!F84</f>
        <v>392999</v>
      </c>
      <c r="F84" s="1079">
        <v>393463</v>
      </c>
      <c r="G84" s="983">
        <f t="shared" si="6"/>
        <v>464</v>
      </c>
      <c r="H84" s="984">
        <f>G84+'[1]22'!H84</f>
        <v>12107</v>
      </c>
      <c r="I84" s="1006"/>
      <c r="J84" s="986">
        <f>H84/DAY(B2)</f>
        <v>526.39130434782612</v>
      </c>
      <c r="K84" s="1080"/>
      <c r="L84" s="961"/>
      <c r="O84" s="988"/>
    </row>
    <row r="85" spans="1:15" s="1084" customFormat="1" x14ac:dyDescent="0.35">
      <c r="A85" s="1081" t="s">
        <v>82</v>
      </c>
      <c r="B85" s="1082"/>
      <c r="C85" s="1082"/>
      <c r="D85" s="1021"/>
      <c r="E85" s="982"/>
      <c r="F85" s="981"/>
      <c r="G85" s="984">
        <f xml:space="preserve"> SUM(G72:G84)</f>
        <v>2222</v>
      </c>
      <c r="H85" s="984">
        <f>G85+'[1]22'!H85</f>
        <v>53987.519999999931</v>
      </c>
      <c r="I85" s="1006"/>
      <c r="J85" s="986">
        <f>H85/DAY(B2)</f>
        <v>2347.2834782608666</v>
      </c>
      <c r="K85" s="1080"/>
      <c r="L85" s="1083"/>
      <c r="N85" s="1151"/>
      <c r="O85" s="988"/>
    </row>
    <row r="86" spans="1:15" s="1094" customFormat="1" x14ac:dyDescent="0.35">
      <c r="A86" s="1085" t="s">
        <v>117</v>
      </c>
      <c r="B86" s="1086"/>
      <c r="C86" s="1086"/>
      <c r="D86" s="1087" t="s">
        <v>210</v>
      </c>
      <c r="E86" s="982">
        <f>'[1]22'!F86</f>
        <v>443560</v>
      </c>
      <c r="F86" s="1088">
        <v>443678</v>
      </c>
      <c r="G86" s="1089">
        <f t="shared" ref="G86:G90" si="7">F86-E86</f>
        <v>118</v>
      </c>
      <c r="H86" s="1089">
        <f t="shared" ref="H86:H88" si="8">G86</f>
        <v>118</v>
      </c>
      <c r="I86" s="1090"/>
      <c r="J86" s="1091">
        <f>H86/DAY(B2)</f>
        <v>5.1304347826086953</v>
      </c>
      <c r="K86" s="1092"/>
      <c r="L86" s="1093"/>
      <c r="N86" s="1152"/>
      <c r="O86" s="988"/>
    </row>
    <row r="87" spans="1:15" s="1094" customFormat="1" x14ac:dyDescent="0.35">
      <c r="A87" s="1085" t="s">
        <v>118</v>
      </c>
      <c r="B87" s="1086"/>
      <c r="C87" s="1086"/>
      <c r="D87" s="1087" t="s">
        <v>210</v>
      </c>
      <c r="E87" s="982">
        <f>'[1]22'!F87</f>
        <v>77548</v>
      </c>
      <c r="F87" s="1088">
        <v>77585</v>
      </c>
      <c r="G87" s="1089">
        <f t="shared" si="7"/>
        <v>37</v>
      </c>
      <c r="H87" s="1089">
        <f t="shared" si="8"/>
        <v>37</v>
      </c>
      <c r="I87" s="1090"/>
      <c r="J87" s="1091">
        <f>H87/DAY(B2)</f>
        <v>1.6086956521739131</v>
      </c>
      <c r="K87" s="1092"/>
      <c r="L87" s="1093"/>
      <c r="N87" s="1152"/>
      <c r="O87" s="988"/>
    </row>
    <row r="88" spans="1:15" s="1094" customFormat="1" x14ac:dyDescent="0.35">
      <c r="A88" s="1085" t="s">
        <v>119</v>
      </c>
      <c r="B88" s="1086"/>
      <c r="C88" s="1086"/>
      <c r="D88" s="1087" t="s">
        <v>210</v>
      </c>
      <c r="E88" s="982">
        <f>'[1]22'!F88</f>
        <v>144010</v>
      </c>
      <c r="F88" s="1088">
        <v>144101</v>
      </c>
      <c r="G88" s="1089">
        <f t="shared" si="7"/>
        <v>91</v>
      </c>
      <c r="H88" s="1089">
        <f t="shared" si="8"/>
        <v>91</v>
      </c>
      <c r="I88" s="1090"/>
      <c r="J88" s="1091">
        <f>H88/DAY(B2)</f>
        <v>3.9565217391304346</v>
      </c>
      <c r="K88" s="1092"/>
      <c r="L88" s="1093"/>
      <c r="N88" s="1152"/>
      <c r="O88" s="988"/>
    </row>
    <row r="89" spans="1:15" s="1094" customFormat="1" x14ac:dyDescent="0.35">
      <c r="A89" s="1085" t="s">
        <v>230</v>
      </c>
      <c r="B89" s="1086"/>
      <c r="C89" s="1086"/>
      <c r="D89" s="1087" t="s">
        <v>210</v>
      </c>
      <c r="E89" s="982">
        <f>'[1]22'!F89</f>
        <v>57089</v>
      </c>
      <c r="F89" s="1088">
        <v>57157</v>
      </c>
      <c r="G89" s="1089">
        <f t="shared" si="7"/>
        <v>68</v>
      </c>
      <c r="H89" s="1089">
        <f>G89</f>
        <v>68</v>
      </c>
      <c r="I89" s="1090"/>
      <c r="J89" s="1091">
        <f>H89/DAY(B2)</f>
        <v>2.9565217391304346</v>
      </c>
      <c r="K89" s="1092"/>
      <c r="L89" s="1093"/>
      <c r="N89" s="1153"/>
      <c r="O89" s="988"/>
    </row>
    <row r="90" spans="1:15" s="1094" customFormat="1" x14ac:dyDescent="0.35">
      <c r="A90" s="1085" t="s">
        <v>230</v>
      </c>
      <c r="B90" s="1086"/>
      <c r="C90" s="1086"/>
      <c r="D90" s="1087" t="s">
        <v>210</v>
      </c>
      <c r="E90" s="982">
        <f>'[1]22'!F90</f>
        <v>2962</v>
      </c>
      <c r="F90" s="1088">
        <v>2966</v>
      </c>
      <c r="G90" s="1089">
        <f t="shared" si="7"/>
        <v>4</v>
      </c>
      <c r="H90" s="1089">
        <f>G90</f>
        <v>4</v>
      </c>
      <c r="I90" s="1090"/>
      <c r="J90" s="1091">
        <f>H90/DAY(B2)</f>
        <v>0.17391304347826086</v>
      </c>
      <c r="K90" s="1092"/>
      <c r="L90" s="1093"/>
      <c r="N90" s="1153"/>
      <c r="O90" s="988"/>
    </row>
    <row r="91" spans="1:15" s="1084" customFormat="1" x14ac:dyDescent="0.35">
      <c r="A91" s="1095" t="s">
        <v>231</v>
      </c>
      <c r="B91" s="976"/>
      <c r="C91" s="976"/>
      <c r="D91" s="976"/>
      <c r="E91" s="976"/>
      <c r="F91" s="976"/>
      <c r="G91" s="1020"/>
      <c r="H91" s="976"/>
      <c r="I91" s="976"/>
      <c r="J91" s="977"/>
      <c r="K91" s="1080"/>
      <c r="L91" s="1083"/>
      <c r="N91" s="1151"/>
      <c r="O91" s="988"/>
    </row>
    <row r="92" spans="1:15" x14ac:dyDescent="0.35">
      <c r="A92" s="1566" t="s">
        <v>233</v>
      </c>
      <c r="B92" s="1567"/>
      <c r="C92" s="1568"/>
      <c r="D92" s="981" t="s">
        <v>171</v>
      </c>
      <c r="E92" s="982">
        <f>'[1]22'!F92</f>
        <v>233069</v>
      </c>
      <c r="F92" s="1012">
        <v>233154</v>
      </c>
      <c r="G92" s="983">
        <f t="shared" ref="G92:G93" si="9">F92-E92</f>
        <v>85</v>
      </c>
      <c r="H92" s="984">
        <f>G92+'[1]22'!H92</f>
        <v>2179</v>
      </c>
      <c r="I92" s="1003"/>
      <c r="J92" s="986">
        <f>H92/DAY(B2)</f>
        <v>94.739130434782609</v>
      </c>
      <c r="K92" s="1009"/>
      <c r="L92" s="961"/>
      <c r="O92" s="988"/>
    </row>
    <row r="93" spans="1:15" x14ac:dyDescent="0.35">
      <c r="A93" s="1566" t="s">
        <v>234</v>
      </c>
      <c r="B93" s="1567"/>
      <c r="C93" s="1568"/>
      <c r="D93" s="981" t="s">
        <v>171</v>
      </c>
      <c r="E93" s="982">
        <f>'[1]22'!F93</f>
        <v>165723</v>
      </c>
      <c r="F93" s="1012">
        <v>165826</v>
      </c>
      <c r="G93" s="983">
        <f t="shared" si="9"/>
        <v>103</v>
      </c>
      <c r="H93" s="984">
        <f>G93+'[1]22'!H93</f>
        <v>3184</v>
      </c>
      <c r="I93" s="1003"/>
      <c r="J93" s="986">
        <f>H93/DAY(B2)</f>
        <v>138.43478260869566</v>
      </c>
      <c r="K93" s="1080"/>
      <c r="L93" s="961"/>
      <c r="O93" s="988"/>
    </row>
    <row r="94" spans="1:15" x14ac:dyDescent="0.35">
      <c r="A94" s="1592" t="s">
        <v>235</v>
      </c>
      <c r="B94" s="1593"/>
      <c r="C94" s="1594"/>
      <c r="D94" s="981"/>
      <c r="E94" s="982">
        <f>'[1]22'!F94</f>
        <v>0</v>
      </c>
      <c r="F94" s="1012"/>
      <c r="G94" s="983">
        <f>G92+G93</f>
        <v>188</v>
      </c>
      <c r="H94" s="984">
        <f>G94+'[1]22'!H94</f>
        <v>5100</v>
      </c>
      <c r="I94" s="1003"/>
      <c r="J94" s="986">
        <f>H94/DAY(B2)</f>
        <v>221.7391304347826</v>
      </c>
      <c r="K94" s="1080"/>
      <c r="L94" s="961"/>
      <c r="O94" s="988"/>
    </row>
    <row r="95" spans="1:15" x14ac:dyDescent="0.35">
      <c r="A95" s="1566" t="s">
        <v>236</v>
      </c>
      <c r="B95" s="1567"/>
      <c r="C95" s="1568"/>
      <c r="D95" s="981" t="s">
        <v>171</v>
      </c>
      <c r="E95" s="982">
        <f>'[1]22'!F95</f>
        <v>403005</v>
      </c>
      <c r="F95" s="1012">
        <v>403067</v>
      </c>
      <c r="G95" s="983">
        <f t="shared" ref="G95:G100" si="10">F95-E95</f>
        <v>62</v>
      </c>
      <c r="H95" s="984">
        <f>G95+'[1]22'!H95</f>
        <v>1502</v>
      </c>
      <c r="I95" s="1003"/>
      <c r="J95" s="986">
        <f>H95/DAY(B2)</f>
        <v>65.304347826086953</v>
      </c>
      <c r="K95" s="1080"/>
      <c r="L95" s="961"/>
      <c r="O95" s="988"/>
    </row>
    <row r="96" spans="1:15" x14ac:dyDescent="0.35">
      <c r="A96" s="1010" t="s">
        <v>237</v>
      </c>
      <c r="B96" s="1011"/>
      <c r="C96" s="1011"/>
      <c r="D96" s="981" t="s">
        <v>171</v>
      </c>
      <c r="E96" s="982">
        <f>'[1]22'!F96</f>
        <v>99703</v>
      </c>
      <c r="F96" s="1012">
        <v>99724</v>
      </c>
      <c r="G96" s="983">
        <f t="shared" si="10"/>
        <v>21</v>
      </c>
      <c r="H96" s="984">
        <f>G96+'[1]22'!H96</f>
        <v>613</v>
      </c>
      <c r="I96" s="1003"/>
      <c r="J96" s="986">
        <f>H96/DAY(B2)</f>
        <v>26.652173913043477</v>
      </c>
      <c r="K96" s="978"/>
      <c r="L96" s="961"/>
      <c r="O96" s="988"/>
    </row>
    <row r="97" spans="1:15" x14ac:dyDescent="0.35">
      <c r="A97" s="1010" t="s">
        <v>238</v>
      </c>
      <c r="B97" s="1011"/>
      <c r="C97" s="1011"/>
      <c r="D97" s="981" t="s">
        <v>171</v>
      </c>
      <c r="E97" s="982">
        <f>'[1]22'!F97</f>
        <v>94814</v>
      </c>
      <c r="F97" s="1012">
        <v>94831</v>
      </c>
      <c r="G97" s="983">
        <f t="shared" si="10"/>
        <v>17</v>
      </c>
      <c r="H97" s="984">
        <f>G97+'[1]22'!H97</f>
        <v>559</v>
      </c>
      <c r="I97" s="1003"/>
      <c r="J97" s="986">
        <f>H97/DAY(B2)</f>
        <v>24.304347826086957</v>
      </c>
      <c r="K97" s="1096"/>
      <c r="L97" s="961"/>
      <c r="O97" s="988"/>
    </row>
    <row r="98" spans="1:15" x14ac:dyDescent="0.35">
      <c r="A98" s="1010" t="s">
        <v>239</v>
      </c>
      <c r="B98" s="1011"/>
      <c r="C98" s="1011"/>
      <c r="D98" s="981" t="s">
        <v>171</v>
      </c>
      <c r="E98" s="982">
        <f>'[1]22'!F98</f>
        <v>143342</v>
      </c>
      <c r="F98" s="1012">
        <v>143389</v>
      </c>
      <c r="G98" s="983">
        <f t="shared" si="10"/>
        <v>47</v>
      </c>
      <c r="H98" s="984">
        <f>G98+'[1]22'!H98</f>
        <v>1243</v>
      </c>
      <c r="I98" s="1003"/>
      <c r="J98" s="986">
        <f>H98/DAY(B2)</f>
        <v>54.043478260869563</v>
      </c>
      <c r="K98" s="1080"/>
      <c r="L98" s="961"/>
      <c r="O98" s="988"/>
    </row>
    <row r="99" spans="1:15" x14ac:dyDescent="0.35">
      <c r="A99" s="1010" t="s">
        <v>240</v>
      </c>
      <c r="B99" s="1011"/>
      <c r="C99" s="1011"/>
      <c r="D99" s="981" t="s">
        <v>171</v>
      </c>
      <c r="E99" s="982">
        <f>'[1]22'!F99</f>
        <v>5387</v>
      </c>
      <c r="F99" s="1012">
        <v>5394</v>
      </c>
      <c r="G99" s="983">
        <f t="shared" si="10"/>
        <v>7</v>
      </c>
      <c r="H99" s="984">
        <f>G99+'[1]22'!H99</f>
        <v>426</v>
      </c>
      <c r="I99" s="1003"/>
      <c r="J99" s="986">
        <f>H99/DAY(B2)</f>
        <v>18.521739130434781</v>
      </c>
      <c r="K99" s="1080"/>
      <c r="L99" s="961"/>
      <c r="O99" s="988"/>
    </row>
    <row r="100" spans="1:15" x14ac:dyDescent="0.35">
      <c r="A100" s="1010" t="s">
        <v>241</v>
      </c>
      <c r="B100" s="1011"/>
      <c r="C100" s="1011"/>
      <c r="D100" s="981" t="s">
        <v>171</v>
      </c>
      <c r="E100" s="982">
        <f>'[1]22'!F100</f>
        <v>3864</v>
      </c>
      <c r="F100" s="1012">
        <v>3871</v>
      </c>
      <c r="G100" s="983">
        <f t="shared" si="10"/>
        <v>7</v>
      </c>
      <c r="H100" s="984">
        <f>G100+'[1]22'!H100</f>
        <v>75</v>
      </c>
      <c r="I100" s="1003"/>
      <c r="J100" s="986">
        <f>H100/DAY(B2)</f>
        <v>3.2608695652173911</v>
      </c>
      <c r="K100" s="1080"/>
      <c r="L100" s="961"/>
      <c r="O100" s="988"/>
    </row>
    <row r="101" spans="1:15" x14ac:dyDescent="0.35">
      <c r="A101" s="1592" t="s">
        <v>242</v>
      </c>
      <c r="B101" s="1593"/>
      <c r="C101" s="1594"/>
      <c r="D101" s="1015"/>
      <c r="E101" s="1015"/>
      <c r="F101" s="1015"/>
      <c r="G101" s="1097">
        <f>SUM(G95:G100)</f>
        <v>161</v>
      </c>
      <c r="H101" s="984">
        <f>G101+'[1]22'!H101</f>
        <v>4418</v>
      </c>
      <c r="I101" s="1098"/>
      <c r="J101" s="986">
        <f>H101/DAY(B2)</f>
        <v>192.08695652173913</v>
      </c>
      <c r="K101" s="1080"/>
      <c r="L101" s="961"/>
      <c r="O101" s="988"/>
    </row>
    <row r="102" spans="1:15" s="1033" customFormat="1" x14ac:dyDescent="0.25">
      <c r="A102" s="1099" t="s">
        <v>243</v>
      </c>
      <c r="B102" s="1100"/>
      <c r="C102" s="1100"/>
      <c r="D102" s="1101"/>
      <c r="E102" s="1102"/>
      <c r="F102" s="1103"/>
      <c r="G102" s="1104"/>
      <c r="H102" s="1105"/>
      <c r="I102" s="1106"/>
      <c r="J102" s="1107"/>
      <c r="N102" s="1149"/>
      <c r="O102" s="988"/>
    </row>
    <row r="103" spans="1:15" s="1033" customFormat="1" x14ac:dyDescent="0.35">
      <c r="A103" s="1600" t="s">
        <v>244</v>
      </c>
      <c r="B103" s="1601"/>
      <c r="C103" s="1108"/>
      <c r="D103" s="1109"/>
      <c r="E103" s="1110"/>
      <c r="F103" s="1110"/>
      <c r="G103" s="1110"/>
      <c r="H103" s="1111"/>
      <c r="I103" s="1110"/>
      <c r="J103" s="1112"/>
      <c r="N103" s="1149"/>
      <c r="O103" s="988"/>
    </row>
    <row r="104" spans="1:15" s="1033" customFormat="1" x14ac:dyDescent="0.35">
      <c r="A104" s="1602" t="s">
        <v>245</v>
      </c>
      <c r="B104" s="1603"/>
      <c r="C104" s="1113"/>
      <c r="D104" s="1109" t="s">
        <v>171</v>
      </c>
      <c r="E104" s="1110">
        <f>'[1]22'!F104</f>
        <v>7010</v>
      </c>
      <c r="F104" s="1110">
        <v>7010</v>
      </c>
      <c r="G104" s="1110">
        <f>F104-E104</f>
        <v>0</v>
      </c>
      <c r="H104" s="1111">
        <f>SUM(G104+'[1]1'!G76)</f>
        <v>57</v>
      </c>
      <c r="I104" s="1110"/>
      <c r="J104" s="1112">
        <f>H104/DAY(B2)</f>
        <v>2.4782608695652173</v>
      </c>
      <c r="N104" s="1149"/>
      <c r="O104" s="988"/>
    </row>
    <row r="105" spans="1:15" s="1033" customFormat="1" x14ac:dyDescent="0.35">
      <c r="A105" s="1602" t="s">
        <v>92</v>
      </c>
      <c r="B105" s="1603"/>
      <c r="C105" s="1113"/>
      <c r="D105" s="1109" t="s">
        <v>171</v>
      </c>
      <c r="E105" s="1110">
        <f>'[1]22'!F105</f>
        <v>34845</v>
      </c>
      <c r="F105" s="1114">
        <v>34852</v>
      </c>
      <c r="G105" s="1110">
        <f t="shared" ref="G105:G106" si="11">F105-E105</f>
        <v>7</v>
      </c>
      <c r="H105" s="1111">
        <f>SUM(G105+'[1]1'!G77)</f>
        <v>62</v>
      </c>
      <c r="I105" s="1110"/>
      <c r="J105" s="1112">
        <f>H105/DAY(B2)</f>
        <v>2.6956521739130435</v>
      </c>
      <c r="N105" s="1149"/>
      <c r="O105" s="988"/>
    </row>
    <row r="106" spans="1:15" s="1033" customFormat="1" x14ac:dyDescent="0.35">
      <c r="A106" s="1602" t="s">
        <v>93</v>
      </c>
      <c r="B106" s="1604"/>
      <c r="C106" s="1603"/>
      <c r="D106" s="1109" t="s">
        <v>171</v>
      </c>
      <c r="E106" s="1110">
        <f>'[1]22'!F106</f>
        <v>18842</v>
      </c>
      <c r="F106" s="1110">
        <v>18846</v>
      </c>
      <c r="G106" s="1110">
        <f t="shared" si="11"/>
        <v>4</v>
      </c>
      <c r="H106" s="1111">
        <f>SUM(G106+'[1]1'!G78)</f>
        <v>484</v>
      </c>
      <c r="I106" s="1110"/>
      <c r="J106" s="1112">
        <f>H106/DAY(B2)</f>
        <v>21.043478260869566</v>
      </c>
      <c r="N106" s="1149"/>
      <c r="O106" s="988"/>
    </row>
    <row r="107" spans="1:15" s="1033" customFormat="1" x14ac:dyDescent="0.35">
      <c r="A107" s="1605" t="s">
        <v>82</v>
      </c>
      <c r="B107" s="1606"/>
      <c r="C107" s="1113"/>
      <c r="D107" s="1109"/>
      <c r="E107" s="1110">
        <f>'[1]22'!F107</f>
        <v>0</v>
      </c>
      <c r="F107" s="1110"/>
      <c r="G107" s="1110">
        <f>SUM(G104:G106)</f>
        <v>11</v>
      </c>
      <c r="H107" s="1111">
        <f>SUM(G107+'[1]1'!G79)</f>
        <v>212</v>
      </c>
      <c r="I107" s="1110"/>
      <c r="J107" s="1112">
        <f>H107/DAY(B2)</f>
        <v>9.2173913043478262</v>
      </c>
      <c r="N107" s="1149"/>
      <c r="O107" s="988"/>
    </row>
    <row r="108" spans="1:15" s="1033" customFormat="1" x14ac:dyDescent="0.35">
      <c r="A108" s="1607" t="s">
        <v>94</v>
      </c>
      <c r="B108" s="1608"/>
      <c r="C108" s="1113"/>
      <c r="D108" s="1109" t="s">
        <v>171</v>
      </c>
      <c r="E108" s="1110">
        <f>'[1]22'!F108</f>
        <v>0</v>
      </c>
      <c r="F108" s="1110"/>
      <c r="G108" s="1110"/>
      <c r="H108" s="1111"/>
      <c r="I108" s="1110"/>
      <c r="J108" s="1112"/>
      <c r="N108" s="1149"/>
      <c r="O108" s="988"/>
    </row>
    <row r="109" spans="1:15" s="1033" customFormat="1" x14ac:dyDescent="0.35">
      <c r="A109" s="1602" t="s">
        <v>246</v>
      </c>
      <c r="B109" s="1603"/>
      <c r="C109" s="1113"/>
      <c r="D109" s="1109" t="s">
        <v>171</v>
      </c>
      <c r="E109" s="1110">
        <f>'[1]22'!F109</f>
        <v>52547</v>
      </c>
      <c r="F109" s="1110">
        <v>52602</v>
      </c>
      <c r="G109" s="1110">
        <f>F109-E109</f>
        <v>55</v>
      </c>
      <c r="H109" s="1111">
        <f>SUM(G109+'[1]1'!G81)</f>
        <v>208.28000000002794</v>
      </c>
      <c r="I109" s="1110"/>
      <c r="J109" s="1112">
        <f>H109/DAY(B2)</f>
        <v>9.0556521739142575</v>
      </c>
      <c r="N109" s="1149"/>
      <c r="O109" s="988"/>
    </row>
    <row r="110" spans="1:15" s="1033" customFormat="1" x14ac:dyDescent="0.35">
      <c r="A110" s="1602" t="s">
        <v>247</v>
      </c>
      <c r="B110" s="1603"/>
      <c r="C110" s="1113"/>
      <c r="D110" s="1109" t="s">
        <v>171</v>
      </c>
      <c r="E110" s="1110">
        <f>'[1]22'!F110</f>
        <v>26478</v>
      </c>
      <c r="F110" s="1110">
        <v>26522</v>
      </c>
      <c r="G110" s="1110">
        <f t="shared" ref="G110:G111" si="12">F110-E110</f>
        <v>44</v>
      </c>
      <c r="H110" s="1111">
        <f>SUM(G110+'[1]1'!G82)</f>
        <v>64.760000000009313</v>
      </c>
      <c r="I110" s="1110"/>
      <c r="J110" s="1112">
        <f>H110/DAY(B2)</f>
        <v>2.8156521739134486</v>
      </c>
      <c r="N110" s="1149"/>
      <c r="O110" s="988"/>
    </row>
    <row r="111" spans="1:15" s="1033" customFormat="1" x14ac:dyDescent="0.35">
      <c r="A111" s="1602" t="s">
        <v>248</v>
      </c>
      <c r="B111" s="1603"/>
      <c r="C111" s="1113"/>
      <c r="D111" s="1109" t="s">
        <v>171</v>
      </c>
      <c r="E111" s="1110">
        <f>'[1]22'!F111</f>
        <v>3513</v>
      </c>
      <c r="F111" s="1110">
        <v>3513</v>
      </c>
      <c r="G111" s="1110">
        <f t="shared" si="12"/>
        <v>0</v>
      </c>
      <c r="H111" s="1111">
        <f>SUM(G111+'[1]1'!G83)</f>
        <v>346</v>
      </c>
      <c r="I111" s="1110"/>
      <c r="J111" s="1112">
        <f>H111/DAY(B2)</f>
        <v>15.043478260869565</v>
      </c>
      <c r="N111" s="1149"/>
      <c r="O111" s="988"/>
    </row>
    <row r="112" spans="1:15" s="1033" customFormat="1" x14ac:dyDescent="0.35">
      <c r="A112" s="1612" t="s">
        <v>136</v>
      </c>
      <c r="B112" s="1613"/>
      <c r="C112" s="1113"/>
      <c r="D112" s="1109"/>
      <c r="E112" s="1110">
        <f>'[1]22'!F112</f>
        <v>0</v>
      </c>
      <c r="F112" s="1110"/>
      <c r="G112" s="1110">
        <f>SUM(G109:G111)</f>
        <v>99</v>
      </c>
      <c r="H112" s="1111">
        <f>SUM(G112+'[1]1'!G84)</f>
        <v>663</v>
      </c>
      <c r="I112" s="1110"/>
      <c r="J112" s="1112">
        <f>H112/DAY(B2)</f>
        <v>28.826086956521738</v>
      </c>
      <c r="N112" s="1149"/>
      <c r="O112" s="988"/>
    </row>
    <row r="113" spans="1:15" s="1033" customFormat="1" x14ac:dyDescent="0.35">
      <c r="A113" s="1607" t="s">
        <v>249</v>
      </c>
      <c r="B113" s="1608"/>
      <c r="C113" s="1113"/>
      <c r="D113" s="1109"/>
      <c r="E113" s="1110">
        <f>'[1]22'!F113</f>
        <v>0</v>
      </c>
      <c r="F113" s="1110"/>
      <c r="G113" s="1110"/>
      <c r="H113" s="1111"/>
      <c r="I113" s="1110"/>
      <c r="J113" s="1112">
        <f>H113/DAY(B2)</f>
        <v>0</v>
      </c>
      <c r="N113" s="1149"/>
      <c r="O113" s="988"/>
    </row>
    <row r="114" spans="1:15" s="1033" customFormat="1" x14ac:dyDescent="0.35">
      <c r="A114" s="1602" t="s">
        <v>250</v>
      </c>
      <c r="B114" s="1603"/>
      <c r="C114" s="1115"/>
      <c r="D114" s="1109" t="s">
        <v>171</v>
      </c>
      <c r="E114" s="1110">
        <f>'[1]22'!F114</f>
        <v>9099</v>
      </c>
      <c r="F114" s="1114">
        <v>9109</v>
      </c>
      <c r="G114" s="1114">
        <f>F114-E114</f>
        <v>10</v>
      </c>
      <c r="H114" s="1111">
        <f>SUM(G114+'[1]1'!G91)</f>
        <v>10</v>
      </c>
      <c r="I114" s="1110"/>
      <c r="J114" s="1112">
        <f>H114/DAY(B2)</f>
        <v>0.43478260869565216</v>
      </c>
      <c r="N114" s="1149"/>
      <c r="O114" s="988"/>
    </row>
    <row r="115" spans="1:15" s="1033" customFormat="1" x14ac:dyDescent="0.35">
      <c r="A115" s="1602" t="s">
        <v>251</v>
      </c>
      <c r="B115" s="1603"/>
      <c r="C115" s="1115"/>
      <c r="D115" s="1109" t="s">
        <v>171</v>
      </c>
      <c r="E115" s="1110">
        <f>'[1]22'!F115</f>
        <v>7091</v>
      </c>
      <c r="F115" s="1114">
        <v>7108</v>
      </c>
      <c r="G115" s="1114">
        <f t="shared" ref="G115:G116" si="13">F115-E115</f>
        <v>17</v>
      </c>
      <c r="H115" s="1111">
        <f>SUM(G115+'[1]1'!G92)</f>
        <v>129</v>
      </c>
      <c r="I115" s="1110"/>
      <c r="J115" s="1112">
        <f>H115/DAY(B2)</f>
        <v>5.6086956521739131</v>
      </c>
      <c r="N115" s="1149"/>
      <c r="O115" s="988"/>
    </row>
    <row r="116" spans="1:15" s="1033" customFormat="1" x14ac:dyDescent="0.35">
      <c r="A116" s="1602" t="s">
        <v>252</v>
      </c>
      <c r="B116" s="1603"/>
      <c r="C116" s="1115"/>
      <c r="D116" s="1109" t="s">
        <v>171</v>
      </c>
      <c r="E116" s="1114"/>
      <c r="F116" s="1114"/>
      <c r="G116" s="1114">
        <f t="shared" si="13"/>
        <v>0</v>
      </c>
      <c r="H116" s="1111">
        <f>SUM(G116+'[1]1'!G93)</f>
        <v>151</v>
      </c>
      <c r="I116" s="1110"/>
      <c r="J116" s="1112">
        <f>H116/DAY(B2)</f>
        <v>6.5652173913043477</v>
      </c>
      <c r="N116" s="1149"/>
      <c r="O116" s="988"/>
    </row>
    <row r="117" spans="1:15" s="1117" customFormat="1" x14ac:dyDescent="0.35">
      <c r="A117" s="1605" t="s">
        <v>82</v>
      </c>
      <c r="B117" s="1606"/>
      <c r="C117" s="1115"/>
      <c r="D117" s="1116"/>
      <c r="E117" s="1114"/>
      <c r="F117" s="1114"/>
      <c r="G117" s="1114">
        <f>SUM(G114:G116)</f>
        <v>27</v>
      </c>
      <c r="H117" s="1111">
        <f>SUM(G117+'[1]1'!G95)</f>
        <v>74</v>
      </c>
      <c r="I117" s="1114"/>
      <c r="J117" s="1112">
        <f>H117/DAY(B2)</f>
        <v>3.2173913043478262</v>
      </c>
      <c r="N117" s="1154"/>
      <c r="O117" s="988"/>
    </row>
    <row r="118" spans="1:15" s="907" customFormat="1" x14ac:dyDescent="0.35">
      <c r="A118" s="1616" t="s">
        <v>253</v>
      </c>
      <c r="B118" s="1617"/>
      <c r="C118" s="1118"/>
      <c r="D118" s="1119" t="s">
        <v>171</v>
      </c>
      <c r="E118" s="1120"/>
      <c r="F118" s="1121">
        <f>SUM(G19+G92)</f>
        <v>134</v>
      </c>
      <c r="G118" s="1121">
        <f>SUM(G19+G92)</f>
        <v>134</v>
      </c>
      <c r="H118" s="1111">
        <f>SUM(G118+'[1]1'!G96)</f>
        <v>167</v>
      </c>
      <c r="I118" s="1120"/>
      <c r="J118" s="1122">
        <f>H118/DAY(B2)</f>
        <v>7.2608695652173916</v>
      </c>
      <c r="N118" s="1155" t="s">
        <v>143</v>
      </c>
      <c r="O118" s="988"/>
    </row>
    <row r="119" spans="1:15" s="907" customFormat="1" x14ac:dyDescent="0.35">
      <c r="A119" s="1616" t="s">
        <v>254</v>
      </c>
      <c r="B119" s="1617"/>
      <c r="C119" s="1118"/>
      <c r="D119" s="1119" t="s">
        <v>171</v>
      </c>
      <c r="E119" s="1120"/>
      <c r="F119" s="1121">
        <f>SUM(G95,G96,G97,G99,G100)</f>
        <v>114</v>
      </c>
      <c r="G119" s="1121">
        <f>SUM(G95,G96,G97,G99,G100)</f>
        <v>114</v>
      </c>
      <c r="H119" s="1111">
        <f>SUM(G119+'[1]1'!G98)</f>
        <v>181</v>
      </c>
      <c r="I119" s="1120"/>
      <c r="J119" s="1122">
        <f>H119/DAY(B2)</f>
        <v>7.8695652173913047</v>
      </c>
      <c r="N119" s="1155"/>
      <c r="O119" s="988"/>
    </row>
    <row r="120" spans="1:15" s="907" customFormat="1" x14ac:dyDescent="0.35">
      <c r="A120" s="1616" t="s">
        <v>255</v>
      </c>
      <c r="B120" s="1617"/>
      <c r="C120" s="1118"/>
      <c r="D120" s="1119" t="s">
        <v>171</v>
      </c>
      <c r="E120" s="1120"/>
      <c r="F120" s="1114">
        <f>SUM(G112)</f>
        <v>99</v>
      </c>
      <c r="G120" s="1114">
        <f>SUM(G112)</f>
        <v>99</v>
      </c>
      <c r="H120" s="1111">
        <f>SUM(G120+'[1]1'!G100)</f>
        <v>99</v>
      </c>
      <c r="I120" s="1120"/>
      <c r="J120" s="1122">
        <f>H120/DAY(B2)</f>
        <v>4.3043478260869561</v>
      </c>
      <c r="N120" s="1155"/>
      <c r="O120" s="988"/>
    </row>
    <row r="121" spans="1:15" s="1033" customFormat="1" x14ac:dyDescent="0.35">
      <c r="A121" s="1614"/>
      <c r="B121" s="1615"/>
      <c r="C121" s="1113"/>
      <c r="D121" s="1108"/>
      <c r="E121" s="1108"/>
      <c r="F121" s="1108" t="s">
        <v>143</v>
      </c>
      <c r="G121" s="1108"/>
      <c r="H121" s="1123"/>
      <c r="I121" s="1108"/>
      <c r="J121" s="1124"/>
      <c r="N121" s="1149"/>
      <c r="O121" s="988"/>
    </row>
    <row r="122" spans="1:15" x14ac:dyDescent="0.35">
      <c r="A122" s="1595" t="s">
        <v>256</v>
      </c>
      <c r="B122" s="1596"/>
      <c r="C122" s="1597"/>
      <c r="D122" s="976"/>
      <c r="E122" s="976"/>
      <c r="F122" s="976"/>
      <c r="G122" s="1008"/>
      <c r="H122" s="1008"/>
      <c r="I122" s="1008"/>
      <c r="J122" s="1125"/>
      <c r="K122" s="1080"/>
      <c r="L122" s="961"/>
      <c r="O122" s="988"/>
    </row>
    <row r="123" spans="1:15" x14ac:dyDescent="0.35">
      <c r="A123" s="1010" t="s">
        <v>257</v>
      </c>
      <c r="B123" s="1011"/>
      <c r="C123" s="1011"/>
      <c r="D123" s="981" t="s">
        <v>168</v>
      </c>
      <c r="E123" s="982">
        <f>'[1]22'!F123</f>
        <v>793359</v>
      </c>
      <c r="F123" s="1000">
        <v>793554</v>
      </c>
      <c r="G123" s="983">
        <f>F123-E123</f>
        <v>195</v>
      </c>
      <c r="H123" s="984">
        <f>G123+'[1]22'!H123</f>
        <v>4722.9300000000512</v>
      </c>
      <c r="I123" s="1098"/>
      <c r="J123" s="986">
        <f>H123/DAY(B2)</f>
        <v>205.34478260869787</v>
      </c>
      <c r="K123" s="1080"/>
      <c r="L123" s="961"/>
      <c r="O123" s="988"/>
    </row>
    <row r="124" spans="1:15" x14ac:dyDescent="0.35">
      <c r="A124" s="1010" t="s">
        <v>258</v>
      </c>
      <c r="B124" s="1011"/>
      <c r="C124" s="1011"/>
      <c r="D124" s="981" t="s">
        <v>168</v>
      </c>
      <c r="E124" s="982">
        <f>'[1]22'!F124</f>
        <v>73581.899999999994</v>
      </c>
      <c r="F124" s="1126">
        <v>73581.899999999994</v>
      </c>
      <c r="G124" s="983">
        <f t="shared" ref="G124:G127" si="14">F124-E124</f>
        <v>0</v>
      </c>
      <c r="H124" s="984">
        <f>G124+'[1]22'!H124</f>
        <v>-0.30000000000291038</v>
      </c>
      <c r="I124" s="1098"/>
      <c r="J124" s="986">
        <f>H124/DAY(B2)</f>
        <v>-1.3043478260996104E-2</v>
      </c>
      <c r="K124" s="1080"/>
      <c r="L124" s="961"/>
      <c r="O124" s="988"/>
    </row>
    <row r="125" spans="1:15" x14ac:dyDescent="0.35">
      <c r="A125" s="1563" t="s">
        <v>259</v>
      </c>
      <c r="B125" s="1564"/>
      <c r="C125" s="1565"/>
      <c r="D125" s="981" t="s">
        <v>168</v>
      </c>
      <c r="E125" s="982">
        <f>'[1]22'!F125</f>
        <v>134910</v>
      </c>
      <c r="F125" s="1000">
        <v>134967</v>
      </c>
      <c r="G125" s="983">
        <f t="shared" si="14"/>
        <v>57</v>
      </c>
      <c r="H125" s="984">
        <f>G125+'[1]22'!H125</f>
        <v>1844.1199999999953</v>
      </c>
      <c r="I125" s="1098"/>
      <c r="J125" s="986">
        <f>H125/DAY(B2)</f>
        <v>80.179130434782408</v>
      </c>
      <c r="K125" s="1080"/>
      <c r="L125" s="961"/>
      <c r="O125" s="988"/>
    </row>
    <row r="126" spans="1:15" x14ac:dyDescent="0.35">
      <c r="A126" s="1127" t="s">
        <v>260</v>
      </c>
      <c r="B126" s="1011"/>
      <c r="C126" s="1011"/>
      <c r="D126" s="981" t="s">
        <v>168</v>
      </c>
      <c r="E126" s="982">
        <f>'[1]22'!F126</f>
        <v>57059</v>
      </c>
      <c r="F126" s="1126">
        <v>57095</v>
      </c>
      <c r="G126" s="983">
        <f t="shared" si="14"/>
        <v>36</v>
      </c>
      <c r="H126" s="984">
        <f>G126+'[1]22'!H126</f>
        <v>746.80000000000291</v>
      </c>
      <c r="I126" s="1098"/>
      <c r="J126" s="986">
        <f>H126/DAY(B2)</f>
        <v>32.469565217391434</v>
      </c>
      <c r="K126" s="1080"/>
      <c r="L126" s="961"/>
      <c r="O126" s="988"/>
    </row>
    <row r="127" spans="1:15" x14ac:dyDescent="0.35">
      <c r="A127" s="1127" t="s">
        <v>261</v>
      </c>
      <c r="B127" s="1011"/>
      <c r="C127" s="1011"/>
      <c r="D127" s="981" t="s">
        <v>168</v>
      </c>
      <c r="E127" s="982">
        <f>'[1]22'!F127</f>
        <v>8683</v>
      </c>
      <c r="F127" s="1126">
        <v>8685</v>
      </c>
      <c r="G127" s="983">
        <f t="shared" si="14"/>
        <v>2</v>
      </c>
      <c r="H127" s="984">
        <f>G127+'[1]22'!H127</f>
        <v>44.899999999999636</v>
      </c>
      <c r="I127" s="1003"/>
      <c r="J127" s="986">
        <f>H127/DAY(B2)</f>
        <v>1.9521739130434625</v>
      </c>
      <c r="K127" s="1080"/>
      <c r="L127" s="961"/>
      <c r="O127" s="988"/>
    </row>
    <row r="128" spans="1:15" x14ac:dyDescent="0.35">
      <c r="A128" s="1127" t="s">
        <v>262</v>
      </c>
      <c r="B128" s="1011"/>
      <c r="C128" s="1011"/>
      <c r="D128" s="981"/>
      <c r="E128" s="982"/>
      <c r="F128" s="1000"/>
      <c r="G128" s="983">
        <f>G15-SUM(G123:G127)</f>
        <v>435</v>
      </c>
      <c r="H128" s="984">
        <f>G128+'[1]22'!H128</f>
        <v>2768.1000000000058</v>
      </c>
      <c r="I128" s="1003"/>
      <c r="J128" s="986">
        <f>H128/DAY(B2)</f>
        <v>120.35217391304373</v>
      </c>
      <c r="K128" s="1080"/>
      <c r="L128" s="961"/>
      <c r="O128" s="988"/>
    </row>
    <row r="129" spans="1:15" x14ac:dyDescent="0.35">
      <c r="A129" s="1128" t="s">
        <v>263</v>
      </c>
      <c r="B129" s="975"/>
      <c r="C129" s="975"/>
      <c r="D129" s="975"/>
      <c r="E129" s="975"/>
      <c r="F129" s="975"/>
      <c r="G129" s="1129"/>
      <c r="H129" s="1129"/>
      <c r="I129" s="1129"/>
      <c r="J129" s="1130"/>
      <c r="O129" s="988"/>
    </row>
    <row r="130" spans="1:15" x14ac:dyDescent="0.35">
      <c r="A130" s="1010" t="s">
        <v>264</v>
      </c>
      <c r="B130" s="1011"/>
      <c r="C130" s="1011"/>
      <c r="D130" s="981" t="s">
        <v>265</v>
      </c>
      <c r="E130" s="982">
        <f>'[1]22'!F130</f>
        <v>0</v>
      </c>
      <c r="F130" s="1012">
        <v>0</v>
      </c>
      <c r="G130" s="983">
        <f t="shared" ref="G130:G140" si="15">F130-E130</f>
        <v>0</v>
      </c>
      <c r="H130" s="984">
        <f>G130+'[1]22'!H130</f>
        <v>0</v>
      </c>
      <c r="I130" s="1003"/>
      <c r="J130" s="986">
        <f>H130/DAY(B2)</f>
        <v>0</v>
      </c>
      <c r="O130" s="988"/>
    </row>
    <row r="131" spans="1:15" x14ac:dyDescent="0.35">
      <c r="A131" s="1010" t="s">
        <v>266</v>
      </c>
      <c r="B131" s="1011"/>
      <c r="C131" s="1011"/>
      <c r="D131" s="981" t="s">
        <v>265</v>
      </c>
      <c r="E131" s="982">
        <f>'[1]22'!F131</f>
        <v>0</v>
      </c>
      <c r="F131" s="1012">
        <v>0</v>
      </c>
      <c r="G131" s="983">
        <f t="shared" si="15"/>
        <v>0</v>
      </c>
      <c r="H131" s="984">
        <f>G131+'[1]22'!H131</f>
        <v>0</v>
      </c>
      <c r="I131" s="1003"/>
      <c r="J131" s="986">
        <f>H131/DAY(B2)</f>
        <v>0</v>
      </c>
      <c r="O131" s="988"/>
    </row>
    <row r="132" spans="1:15" x14ac:dyDescent="0.35">
      <c r="A132" s="1010" t="s">
        <v>267</v>
      </c>
      <c r="B132" s="1011"/>
      <c r="C132" s="1011"/>
      <c r="D132" s="981" t="s">
        <v>265</v>
      </c>
      <c r="E132" s="982">
        <f>'[1]22'!F132</f>
        <v>38901</v>
      </c>
      <c r="F132" s="1131">
        <v>38901</v>
      </c>
      <c r="G132" s="983">
        <f t="shared" si="15"/>
        <v>0</v>
      </c>
      <c r="H132" s="984">
        <f>G132+'[1]22'!H132</f>
        <v>0</v>
      </c>
      <c r="I132" s="1003"/>
      <c r="J132" s="986">
        <f>H132/DAY(B2)</f>
        <v>0</v>
      </c>
      <c r="O132" s="988"/>
    </row>
    <row r="133" spans="1:15" x14ac:dyDescent="0.35">
      <c r="A133" s="1010" t="s">
        <v>268</v>
      </c>
      <c r="B133" s="1011"/>
      <c r="C133" s="1011"/>
      <c r="D133" s="981" t="s">
        <v>265</v>
      </c>
      <c r="E133" s="982">
        <f>'[1]22'!F133</f>
        <v>299</v>
      </c>
      <c r="F133" s="1131">
        <v>299</v>
      </c>
      <c r="G133" s="983">
        <f t="shared" si="15"/>
        <v>0</v>
      </c>
      <c r="H133" s="984">
        <f>G133+'[1]22'!H133</f>
        <v>299</v>
      </c>
      <c r="I133" s="1003">
        <f>G132+G133+G134+G135</f>
        <v>24</v>
      </c>
      <c r="J133" s="986">
        <f>H133/DAY(B2)</f>
        <v>13</v>
      </c>
      <c r="O133" s="988"/>
    </row>
    <row r="134" spans="1:15" x14ac:dyDescent="0.35">
      <c r="A134" s="1010" t="s">
        <v>269</v>
      </c>
      <c r="B134" s="1011"/>
      <c r="C134" s="1011"/>
      <c r="D134" s="981" t="s">
        <v>265</v>
      </c>
      <c r="E134" s="982">
        <f>'[1]22'!F134</f>
        <v>39735</v>
      </c>
      <c r="F134" s="1131">
        <v>39735</v>
      </c>
      <c r="G134" s="983">
        <f t="shared" si="15"/>
        <v>0</v>
      </c>
      <c r="H134" s="984">
        <v>24</v>
      </c>
      <c r="I134" s="1003"/>
      <c r="J134" s="986">
        <f>H134/DAY(B2)</f>
        <v>1.0434782608695652</v>
      </c>
      <c r="O134" s="988"/>
    </row>
    <row r="135" spans="1:15" x14ac:dyDescent="0.35">
      <c r="A135" s="1010" t="s">
        <v>270</v>
      </c>
      <c r="B135" s="1011"/>
      <c r="C135" s="1011"/>
      <c r="D135" s="981" t="s">
        <v>265</v>
      </c>
      <c r="E135" s="982">
        <f>'[1]22'!F135</f>
        <v>31949</v>
      </c>
      <c r="F135" s="1131">
        <v>31973</v>
      </c>
      <c r="G135" s="983">
        <f t="shared" si="15"/>
        <v>24</v>
      </c>
      <c r="H135" s="984">
        <v>13</v>
      </c>
      <c r="I135" s="1003"/>
      <c r="J135" s="986">
        <f>H135/DAY(B2)</f>
        <v>0.56521739130434778</v>
      </c>
      <c r="O135" s="988"/>
    </row>
    <row r="136" spans="1:15" x14ac:dyDescent="0.35">
      <c r="A136" s="1010" t="s">
        <v>271</v>
      </c>
      <c r="B136" s="1011"/>
      <c r="C136" s="1011"/>
      <c r="D136" s="981" t="s">
        <v>265</v>
      </c>
      <c r="E136" s="982">
        <f>'[1]22'!F136</f>
        <v>21774.04</v>
      </c>
      <c r="F136" s="1131">
        <v>21774.04</v>
      </c>
      <c r="G136" s="983">
        <f t="shared" si="15"/>
        <v>0</v>
      </c>
      <c r="H136" s="984">
        <f>G136+'[1]22'!H136</f>
        <v>99.319999999999709</v>
      </c>
      <c r="I136" s="1003">
        <f>G134+G135+G136</f>
        <v>24</v>
      </c>
      <c r="J136" s="986">
        <f>H136/DAY(B2)</f>
        <v>4.3182608695652052</v>
      </c>
      <c r="O136" s="988"/>
    </row>
    <row r="137" spans="1:15" x14ac:dyDescent="0.35">
      <c r="A137" s="1010" t="s">
        <v>272</v>
      </c>
      <c r="B137" s="1011"/>
      <c r="C137" s="1011"/>
      <c r="D137" s="981" t="s">
        <v>265</v>
      </c>
      <c r="E137" s="982">
        <f>'[1]22'!F137</f>
        <v>24958.94</v>
      </c>
      <c r="F137" s="1131">
        <v>24967.03</v>
      </c>
      <c r="G137" s="983">
        <f t="shared" si="15"/>
        <v>8.0900000000001455</v>
      </c>
      <c r="H137" s="984">
        <v>8</v>
      </c>
      <c r="I137" s="1003"/>
      <c r="J137" s="986">
        <f>H137/DAY(B2)</f>
        <v>0.34782608695652173</v>
      </c>
      <c r="O137" s="988"/>
    </row>
    <row r="138" spans="1:15" x14ac:dyDescent="0.35">
      <c r="A138" s="1010" t="s">
        <v>273</v>
      </c>
      <c r="B138" s="1011"/>
      <c r="C138" s="1011"/>
      <c r="D138" s="981" t="s">
        <v>265</v>
      </c>
      <c r="E138" s="982">
        <f>'[1]22'!F138</f>
        <v>70001</v>
      </c>
      <c r="F138" s="1131">
        <v>70001</v>
      </c>
      <c r="G138" s="983">
        <f t="shared" si="15"/>
        <v>0</v>
      </c>
      <c r="H138" s="984">
        <v>15</v>
      </c>
      <c r="I138" s="1003">
        <f>G137+G138</f>
        <v>8.0900000000001455</v>
      </c>
      <c r="J138" s="986">
        <f>H138/DAY(B2)</f>
        <v>0.65217391304347827</v>
      </c>
      <c r="O138" s="988"/>
    </row>
    <row r="139" spans="1:15" x14ac:dyDescent="0.35">
      <c r="A139" s="1010" t="s">
        <v>274</v>
      </c>
      <c r="B139" s="1011"/>
      <c r="C139" s="1011"/>
      <c r="D139" s="981" t="s">
        <v>265</v>
      </c>
      <c r="E139" s="982">
        <f>'[1]22'!F139</f>
        <v>1062.6300000000001</v>
      </c>
      <c r="F139" s="1012">
        <v>1062.6300000000001</v>
      </c>
      <c r="G139" s="983">
        <f t="shared" si="15"/>
        <v>0</v>
      </c>
      <c r="H139" s="984">
        <f>G139+'[1]22'!H139</f>
        <v>121.10000000000014</v>
      </c>
      <c r="I139" s="1132"/>
      <c r="J139" s="986">
        <f>H139/DAY(B2)</f>
        <v>5.2652173913043541</v>
      </c>
      <c r="O139" s="988"/>
    </row>
    <row r="140" spans="1:15" x14ac:dyDescent="0.35">
      <c r="A140" s="1010" t="s">
        <v>275</v>
      </c>
      <c r="B140" s="1011"/>
      <c r="C140" s="1011"/>
      <c r="D140" s="981" t="s">
        <v>265</v>
      </c>
      <c r="E140" s="982">
        <f>'[1]22'!F140</f>
        <v>4164.18</v>
      </c>
      <c r="F140" s="1012">
        <v>4170.68</v>
      </c>
      <c r="G140" s="983">
        <f t="shared" si="15"/>
        <v>6.5</v>
      </c>
      <c r="H140" s="984">
        <f>G140+'[1]22'!H140</f>
        <v>13.780000000000655</v>
      </c>
      <c r="I140" s="1132"/>
      <c r="J140" s="986">
        <f>H140/DAY(B2)</f>
        <v>0.59913043478263717</v>
      </c>
      <c r="O140" s="988"/>
    </row>
    <row r="141" spans="1:15" x14ac:dyDescent="0.35">
      <c r="A141" s="1598" t="s">
        <v>276</v>
      </c>
      <c r="B141" s="1599"/>
      <c r="C141" s="976"/>
      <c r="D141" s="976"/>
      <c r="E141" s="976"/>
      <c r="F141" s="976"/>
      <c r="G141" s="1008"/>
      <c r="H141" s="1008"/>
      <c r="I141" s="1008"/>
      <c r="J141" s="1125"/>
      <c r="K141" s="1080"/>
      <c r="L141" s="961"/>
      <c r="O141" s="988"/>
    </row>
    <row r="142" spans="1:15" x14ac:dyDescent="0.35">
      <c r="A142" s="1566" t="s">
        <v>277</v>
      </c>
      <c r="B142" s="1567"/>
      <c r="C142" s="1568"/>
      <c r="D142" s="981" t="s">
        <v>159</v>
      </c>
      <c r="E142" s="981"/>
      <c r="F142" s="981"/>
      <c r="G142" s="984">
        <f>G35+G43+G49+G57</f>
        <v>4824</v>
      </c>
      <c r="H142" s="984">
        <f>G142+'[1]22'!H142</f>
        <v>114443.42299999995</v>
      </c>
      <c r="I142" s="1003"/>
      <c r="J142" s="986">
        <f>H142/DAY(B2)</f>
        <v>4975.8009999999977</v>
      </c>
      <c r="K142" s="1080"/>
      <c r="L142" s="961"/>
      <c r="O142" s="988"/>
    </row>
    <row r="143" spans="1:15" x14ac:dyDescent="0.35">
      <c r="A143" s="1566" t="s">
        <v>278</v>
      </c>
      <c r="B143" s="1567"/>
      <c r="C143" s="1568"/>
      <c r="D143" s="981" t="s">
        <v>38</v>
      </c>
      <c r="E143" s="968"/>
      <c r="F143" s="968"/>
      <c r="G143" s="1133">
        <f>G142/G7</f>
        <v>0.25783003741314803</v>
      </c>
      <c r="H143" s="984">
        <f>G143+'[1]22'!H143</f>
        <v>5.5488555538042226</v>
      </c>
      <c r="I143" s="1134"/>
      <c r="J143" s="986">
        <f>H143/DAY(B2)</f>
        <v>0.24125458929583576</v>
      </c>
      <c r="K143" s="1080"/>
      <c r="L143" s="961"/>
      <c r="O143" s="988"/>
    </row>
    <row r="144" spans="1:15" x14ac:dyDescent="0.35">
      <c r="A144" s="1566" t="s">
        <v>279</v>
      </c>
      <c r="B144" s="1567"/>
      <c r="C144" s="1568"/>
      <c r="D144" s="981" t="s">
        <v>159</v>
      </c>
      <c r="E144" s="982"/>
      <c r="F144" s="982"/>
      <c r="G144" s="984">
        <f>G41+G42+G55+G56</f>
        <v>3549</v>
      </c>
      <c r="H144" s="984">
        <f>G144+'[1]22'!H144</f>
        <v>104151.13999999998</v>
      </c>
      <c r="I144" s="1003"/>
      <c r="J144" s="986">
        <f>H144/DAY(B2)</f>
        <v>4528.3104347826084</v>
      </c>
      <c r="K144" s="1080"/>
      <c r="L144" s="961"/>
      <c r="O144" s="988"/>
    </row>
    <row r="145" spans="1:15" x14ac:dyDescent="0.35">
      <c r="A145" s="1566" t="s">
        <v>280</v>
      </c>
      <c r="B145" s="1567"/>
      <c r="C145" s="1568"/>
      <c r="D145" s="981" t="s">
        <v>38</v>
      </c>
      <c r="E145" s="982"/>
      <c r="F145" s="982"/>
      <c r="G145" s="1133">
        <f>G144/G7</f>
        <v>0.18968466060929984</v>
      </c>
      <c r="H145" s="984">
        <f>G145+'[1]22'!H145</f>
        <v>5.1716593685346757</v>
      </c>
      <c r="I145" s="1134"/>
      <c r="J145" s="986">
        <f>H145/DAY(B2)</f>
        <v>0.22485475515368156</v>
      </c>
      <c r="K145" s="1080"/>
      <c r="L145" s="961"/>
      <c r="O145" s="988"/>
    </row>
    <row r="146" spans="1:15" x14ac:dyDescent="0.35">
      <c r="A146" s="1566" t="s">
        <v>281</v>
      </c>
      <c r="B146" s="1567"/>
      <c r="C146" s="1568"/>
      <c r="D146" s="981" t="s">
        <v>159</v>
      </c>
      <c r="E146" s="982"/>
      <c r="F146" s="982"/>
      <c r="G146" s="984">
        <f>G39+G53</f>
        <v>4188</v>
      </c>
      <c r="H146" s="984">
        <f>G146+'[1]22'!H146</f>
        <v>97466.993000000002</v>
      </c>
      <c r="I146" s="1135"/>
      <c r="J146" s="986">
        <f>H146/DAY(B2)</f>
        <v>4237.6953478260866</v>
      </c>
      <c r="K146" s="1080"/>
      <c r="L146" s="961"/>
      <c r="O146" s="988"/>
    </row>
    <row r="147" spans="1:15" x14ac:dyDescent="0.35">
      <c r="A147" s="1566" t="s">
        <v>282</v>
      </c>
      <c r="B147" s="1567"/>
      <c r="C147" s="1568"/>
      <c r="D147" s="981" t="s">
        <v>38</v>
      </c>
      <c r="E147" s="982"/>
      <c r="F147" s="982"/>
      <c r="G147" s="1133">
        <f>G146/G7</f>
        <v>0.22383752004275789</v>
      </c>
      <c r="H147" s="984">
        <f>G147+'[1]22'!H147</f>
        <v>4.8705438622248867</v>
      </c>
      <c r="I147" s="1135"/>
      <c r="J147" s="986">
        <f>H147/DAY(B2)</f>
        <v>0.21176277661847334</v>
      </c>
      <c r="O147" s="988"/>
    </row>
    <row r="148" spans="1:15" x14ac:dyDescent="0.35">
      <c r="A148" s="1566" t="s">
        <v>283</v>
      </c>
      <c r="B148" s="1567"/>
      <c r="C148" s="1568"/>
      <c r="D148" s="981" t="s">
        <v>210</v>
      </c>
      <c r="E148" s="982"/>
      <c r="F148" s="982"/>
      <c r="G148" s="984">
        <f>G38+G52</f>
        <v>1979</v>
      </c>
      <c r="H148" s="984">
        <f>G148+'[1]22'!H148</f>
        <v>45489.950000000012</v>
      </c>
      <c r="I148" s="1003"/>
      <c r="J148" s="986">
        <f>H148/DAY(B2)</f>
        <v>1977.8239130434788</v>
      </c>
      <c r="K148" s="1136"/>
      <c r="O148" s="988"/>
    </row>
    <row r="149" spans="1:15" x14ac:dyDescent="0.35">
      <c r="A149" s="1566" t="s">
        <v>284</v>
      </c>
      <c r="B149" s="1567"/>
      <c r="C149" s="1568"/>
      <c r="D149" s="981" t="s">
        <v>38</v>
      </c>
      <c r="E149" s="982"/>
      <c r="F149" s="982"/>
      <c r="G149" s="1133">
        <f>G148/G7</f>
        <v>0.10577231427044362</v>
      </c>
      <c r="H149" s="984">
        <f>G149+'[1]22'!H149</f>
        <v>2.2671366905120984</v>
      </c>
      <c r="I149" s="1135"/>
      <c r="J149" s="986">
        <f>H149/DAY(B2)</f>
        <v>9.8571160457047752E-2</v>
      </c>
      <c r="O149" s="988"/>
    </row>
    <row r="150" spans="1:15" x14ac:dyDescent="0.35">
      <c r="A150" s="1566" t="s">
        <v>285</v>
      </c>
      <c r="B150" s="1567"/>
      <c r="C150" s="1568"/>
      <c r="D150" s="981" t="s">
        <v>210</v>
      </c>
      <c r="E150" s="982"/>
      <c r="F150" s="982"/>
      <c r="G150" s="984">
        <f>G36+G50</f>
        <v>1937</v>
      </c>
      <c r="H150" s="984">
        <f>G150+'[1]22'!H150</f>
        <v>48933.179999999964</v>
      </c>
      <c r="I150" s="1135"/>
      <c r="J150" s="986">
        <f>H150/DAY(B2)</f>
        <v>2127.5295652173895</v>
      </c>
      <c r="O150" s="988"/>
    </row>
    <row r="151" spans="1:15" x14ac:dyDescent="0.35">
      <c r="A151" s="1566" t="s">
        <v>286</v>
      </c>
      <c r="B151" s="1567"/>
      <c r="C151" s="1568"/>
      <c r="D151" s="981" t="s">
        <v>38</v>
      </c>
      <c r="E151" s="982"/>
      <c r="F151" s="982"/>
      <c r="G151" s="1133">
        <f>G150/G7</f>
        <v>0.10352752538749332</v>
      </c>
      <c r="H151" s="984">
        <f>G151+'[1]22'!H151</f>
        <v>2.4323832536846344</v>
      </c>
      <c r="I151" s="1003"/>
      <c r="J151" s="986">
        <f>H151/DAY(B2)</f>
        <v>0.10575579363846237</v>
      </c>
      <c r="O151" s="988"/>
    </row>
    <row r="152" spans="1:15" x14ac:dyDescent="0.35">
      <c r="A152" s="1566" t="s">
        <v>287</v>
      </c>
      <c r="B152" s="1567"/>
      <c r="C152" s="1568"/>
      <c r="D152" s="981" t="s">
        <v>210</v>
      </c>
      <c r="E152" s="982"/>
      <c r="F152" s="982"/>
      <c r="G152" s="984">
        <f>G37+G51</f>
        <v>1468</v>
      </c>
      <c r="H152" s="984">
        <f>G152+'[1]22'!H152</f>
        <v>33733.512999999999</v>
      </c>
      <c r="I152" s="1003"/>
      <c r="J152" s="986">
        <f>H152/DAY(B2)</f>
        <v>1466.6744782608696</v>
      </c>
      <c r="O152" s="988"/>
    </row>
    <row r="153" spans="1:15" ht="21" thickBot="1" x14ac:dyDescent="0.4">
      <c r="A153" s="1609" t="s">
        <v>288</v>
      </c>
      <c r="B153" s="1610"/>
      <c r="C153" s="1611"/>
      <c r="D153" s="1137" t="s">
        <v>38</v>
      </c>
      <c r="E153" s="1138"/>
      <c r="F153" s="1138"/>
      <c r="G153" s="1139">
        <f>G152/G7</f>
        <v>7.8460716194548363E-2</v>
      </c>
      <c r="H153" s="984">
        <f>G153+'[1]22'!H153</f>
        <v>1.7953300889383876</v>
      </c>
      <c r="I153" s="1140"/>
      <c r="J153" s="1141">
        <f>H153/DAY(B2)</f>
        <v>7.8057829953842944E-2</v>
      </c>
      <c r="O153" s="988"/>
    </row>
    <row r="154" spans="1:15" x14ac:dyDescent="0.35">
      <c r="A154" s="1142"/>
      <c r="B154" s="1142"/>
      <c r="C154" s="1142"/>
      <c r="D154" s="1142"/>
      <c r="E154" s="1142"/>
      <c r="F154" s="1142"/>
      <c r="G154" s="1142"/>
      <c r="H154" s="1143"/>
      <c r="I154" s="1142"/>
      <c r="J154" s="1144"/>
      <c r="O154" s="988"/>
    </row>
    <row r="160" spans="1:15" x14ac:dyDescent="0.35">
      <c r="A160" s="1132" t="s">
        <v>289</v>
      </c>
      <c r="B160" s="1132"/>
      <c r="C160" s="1132"/>
      <c r="D160" s="968" t="s">
        <v>214</v>
      </c>
      <c r="E160" s="982">
        <f>'[1]22'!F160</f>
        <v>25436</v>
      </c>
      <c r="F160" s="1156">
        <v>25507</v>
      </c>
      <c r="G160" s="983">
        <f t="shared" ref="G160:G171" si="16">F160-E160</f>
        <v>71</v>
      </c>
    </row>
    <row r="161" spans="1:10" ht="21.75" customHeight="1" x14ac:dyDescent="0.35">
      <c r="A161" s="1132" t="s">
        <v>290</v>
      </c>
      <c r="B161" s="1132"/>
      <c r="C161" s="1132"/>
      <c r="D161" s="968" t="s">
        <v>214</v>
      </c>
      <c r="E161" s="982">
        <f>'[1]22'!F161</f>
        <v>24216</v>
      </c>
      <c r="F161" s="1156">
        <v>24669</v>
      </c>
      <c r="G161" s="983">
        <f t="shared" si="16"/>
        <v>453</v>
      </c>
    </row>
    <row r="162" spans="1:10" ht="21.75" customHeight="1" x14ac:dyDescent="0.35">
      <c r="A162" s="1132" t="s">
        <v>291</v>
      </c>
      <c r="B162" s="1132"/>
      <c r="C162" s="1132"/>
      <c r="D162" s="968" t="s">
        <v>214</v>
      </c>
      <c r="E162" s="982">
        <f>'[1]22'!F162</f>
        <v>1627</v>
      </c>
      <c r="F162" s="1156">
        <v>1894</v>
      </c>
      <c r="G162" s="983">
        <f t="shared" si="16"/>
        <v>267</v>
      </c>
    </row>
    <row r="163" spans="1:10" ht="21.75" customHeight="1" x14ac:dyDescent="0.35">
      <c r="A163" s="1132" t="s">
        <v>292</v>
      </c>
      <c r="B163" s="1132"/>
      <c r="C163" s="1132"/>
      <c r="D163" s="968" t="s">
        <v>214</v>
      </c>
      <c r="E163" s="982">
        <f>'[1]22'!F163</f>
        <v>4084</v>
      </c>
      <c r="F163" s="1156">
        <v>4110</v>
      </c>
      <c r="G163" s="983">
        <f t="shared" si="16"/>
        <v>26</v>
      </c>
    </row>
    <row r="164" spans="1:10" ht="21.75" customHeight="1" x14ac:dyDescent="0.35">
      <c r="A164" s="1063" t="s">
        <v>121</v>
      </c>
      <c r="B164" s="1063"/>
      <c r="C164" s="1063"/>
      <c r="D164" s="968" t="s">
        <v>214</v>
      </c>
      <c r="E164" s="1064">
        <f>E62</f>
        <v>20419.2</v>
      </c>
      <c r="F164" s="1064">
        <f>F62</f>
        <v>20419</v>
      </c>
      <c r="G164" s="983">
        <f t="shared" si="16"/>
        <v>-0.2000000000007276</v>
      </c>
      <c r="J164" s="1216"/>
    </row>
    <row r="165" spans="1:10" ht="21.75" customHeight="1" x14ac:dyDescent="0.35">
      <c r="A165" s="1063" t="s">
        <v>215</v>
      </c>
      <c r="B165" s="1063"/>
      <c r="C165" s="1063"/>
      <c r="D165" s="968" t="s">
        <v>214</v>
      </c>
      <c r="E165" s="1064">
        <f t="shared" ref="E165:F171" si="17">E63</f>
        <v>1072</v>
      </c>
      <c r="F165" s="1064">
        <f t="shared" si="17"/>
        <v>1076</v>
      </c>
      <c r="G165" s="983">
        <f t="shared" si="16"/>
        <v>4</v>
      </c>
    </row>
    <row r="166" spans="1:10" ht="21.75" customHeight="1" x14ac:dyDescent="0.35">
      <c r="A166" s="1619" t="s">
        <v>122</v>
      </c>
      <c r="B166" s="1619"/>
      <c r="C166" s="1619"/>
      <c r="D166" s="981" t="s">
        <v>214</v>
      </c>
      <c r="E166" s="1064">
        <f t="shared" si="17"/>
        <v>94892</v>
      </c>
      <c r="F166" s="1064">
        <f t="shared" si="17"/>
        <v>95284</v>
      </c>
      <c r="G166" s="983">
        <f t="shared" si="16"/>
        <v>392</v>
      </c>
    </row>
    <row r="167" spans="1:10" ht="21.75" customHeight="1" x14ac:dyDescent="0.35">
      <c r="A167" s="1619" t="s">
        <v>123</v>
      </c>
      <c r="B167" s="1619"/>
      <c r="C167" s="1619"/>
      <c r="D167" s="981" t="s">
        <v>214</v>
      </c>
      <c r="E167" s="1064">
        <f t="shared" si="17"/>
        <v>105353</v>
      </c>
      <c r="F167" s="1064">
        <f t="shared" si="17"/>
        <v>105754</v>
      </c>
      <c r="G167" s="983">
        <f t="shared" si="16"/>
        <v>401</v>
      </c>
    </row>
    <row r="168" spans="1:10" ht="21.75" customHeight="1" x14ac:dyDescent="0.35">
      <c r="A168" s="1619" t="s">
        <v>124</v>
      </c>
      <c r="B168" s="1619"/>
      <c r="C168" s="1619"/>
      <c r="D168" s="981" t="s">
        <v>214</v>
      </c>
      <c r="E168" s="1064">
        <f t="shared" si="17"/>
        <v>98837</v>
      </c>
      <c r="F168" s="1064">
        <f t="shared" si="17"/>
        <v>99236</v>
      </c>
      <c r="G168" s="983">
        <f t="shared" si="16"/>
        <v>399</v>
      </c>
    </row>
    <row r="169" spans="1:10" x14ac:dyDescent="0.35">
      <c r="A169" s="1619" t="s">
        <v>125</v>
      </c>
      <c r="B169" s="1619"/>
      <c r="C169" s="1619"/>
      <c r="D169" s="981" t="s">
        <v>214</v>
      </c>
      <c r="E169" s="1064">
        <f t="shared" si="17"/>
        <v>162041</v>
      </c>
      <c r="F169" s="1064">
        <f t="shared" si="17"/>
        <v>162735</v>
      </c>
      <c r="G169" s="983">
        <f t="shared" si="16"/>
        <v>694</v>
      </c>
    </row>
    <row r="170" spans="1:10" ht="24" customHeight="1" x14ac:dyDescent="0.55000000000000004">
      <c r="A170" s="1619" t="s">
        <v>126</v>
      </c>
      <c r="B170" s="1619"/>
      <c r="C170" s="1619"/>
      <c r="D170" s="981" t="s">
        <v>214</v>
      </c>
      <c r="E170" s="1064">
        <f t="shared" si="17"/>
        <v>50883</v>
      </c>
      <c r="F170" s="1064">
        <f t="shared" si="17"/>
        <v>51207</v>
      </c>
      <c r="G170" s="983">
        <f t="shared" si="16"/>
        <v>324</v>
      </c>
      <c r="J170" s="1217"/>
    </row>
    <row r="171" spans="1:10" x14ac:dyDescent="0.35">
      <c r="A171" s="1619" t="s">
        <v>127</v>
      </c>
      <c r="B171" s="1619"/>
      <c r="C171" s="1619"/>
      <c r="D171" s="981" t="s">
        <v>214</v>
      </c>
      <c r="E171" s="1064">
        <f t="shared" si="17"/>
        <v>43956</v>
      </c>
      <c r="F171" s="1064">
        <f t="shared" si="17"/>
        <v>44238</v>
      </c>
      <c r="G171" s="983">
        <f t="shared" si="16"/>
        <v>282</v>
      </c>
    </row>
    <row r="172" spans="1:10" x14ac:dyDescent="0.35">
      <c r="G172" s="1147">
        <f>SUM(G160:G171)</f>
        <v>3312.7999999999993</v>
      </c>
    </row>
    <row r="173" spans="1:10" x14ac:dyDescent="0.35">
      <c r="J173" s="1218"/>
    </row>
    <row r="176" spans="1:10" ht="18.75" customHeight="1" x14ac:dyDescent="0.3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zoomScale="68" zoomScaleNormal="44" zoomScaleSheetLayoutView="68" workbookViewId="0">
      <selection activeCell="A91" sqref="A1:XFD1048576"/>
    </sheetView>
  </sheetViews>
  <sheetFormatPr defaultColWidth="22.33203125" defaultRowHeight="20.25" x14ac:dyDescent="0.35"/>
  <cols>
    <col min="1" max="1" width="51.21875" style="1145" customWidth="1"/>
    <col min="2" max="2" width="24.88671875" style="1145" customWidth="1"/>
    <col min="3" max="3" width="12.44140625" style="1145" customWidth="1"/>
    <col min="4" max="4" width="13.6640625" style="1145" customWidth="1"/>
    <col min="5" max="5" width="28.109375" style="1145" customWidth="1"/>
    <col min="6" max="6" width="23.77734375" style="1145" customWidth="1"/>
    <col min="7" max="7" width="15.5546875" style="1145" bestFit="1" customWidth="1"/>
    <col min="8" max="8" width="36.33203125" style="1146" customWidth="1"/>
    <col min="9" max="9" width="14.44140625" style="1145" customWidth="1"/>
    <col min="10" max="10" width="24" style="1147" customWidth="1"/>
    <col min="11" max="11" width="43.21875" style="948" hidden="1" customWidth="1"/>
    <col min="12" max="13" width="0" style="948" hidden="1" customWidth="1"/>
    <col min="14" max="14" width="25.109375" style="1148" customWidth="1"/>
    <col min="15" max="15" width="6.77734375" style="948" bestFit="1" customWidth="1"/>
    <col min="16" max="16384" width="22.33203125" style="948"/>
  </cols>
  <sheetData>
    <row r="1" spans="1:15" ht="22.5" x14ac:dyDescent="0.45">
      <c r="A1" s="1578" t="s">
        <v>293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x14ac:dyDescent="0.35">
      <c r="A2" s="949" t="s">
        <v>302</v>
      </c>
      <c r="B2" s="1220">
        <v>44189</v>
      </c>
      <c r="C2" s="950" t="s">
        <v>84</v>
      </c>
      <c r="D2" s="951">
        <v>0.35</v>
      </c>
      <c r="E2" s="952"/>
      <c r="F2" s="952"/>
      <c r="G2" s="952" t="s">
        <v>145</v>
      </c>
      <c r="H2" s="952" t="s">
        <v>20</v>
      </c>
      <c r="I2" s="952" t="s">
        <v>22</v>
      </c>
      <c r="J2" s="953" t="s">
        <v>146</v>
      </c>
    </row>
    <row r="3" spans="1:15" x14ac:dyDescent="0.35">
      <c r="A3" s="954"/>
      <c r="B3" s="955"/>
      <c r="C3" s="950" t="s">
        <v>147</v>
      </c>
      <c r="D3" s="956">
        <v>30</v>
      </c>
      <c r="E3" s="1581" t="s">
        <v>148</v>
      </c>
      <c r="F3" s="1582"/>
      <c r="G3" s="957">
        <f>'[1]1'!G3</f>
        <v>0</v>
      </c>
      <c r="H3" s="958">
        <f>'[1]1'!H3</f>
        <v>0</v>
      </c>
      <c r="I3" s="958">
        <f>'[1]1'!I3</f>
        <v>0</v>
      </c>
      <c r="J3" s="959">
        <f>'[1]1'!J3</f>
        <v>0</v>
      </c>
      <c r="K3" s="960"/>
      <c r="L3" s="961"/>
    </row>
    <row r="4" spans="1:15" x14ac:dyDescent="0.35">
      <c r="A4" s="962"/>
      <c r="B4" s="963"/>
      <c r="C4" s="950" t="s">
        <v>149</v>
      </c>
      <c r="D4" s="951">
        <v>0.76</v>
      </c>
      <c r="E4" s="964"/>
      <c r="F4" s="964"/>
      <c r="G4" s="964"/>
      <c r="H4" s="964"/>
      <c r="I4" s="965"/>
      <c r="J4" s="959" t="s">
        <v>309</v>
      </c>
      <c r="K4" s="966"/>
      <c r="L4" s="961"/>
    </row>
    <row r="5" spans="1:15" x14ac:dyDescent="0.35">
      <c r="A5" s="967" t="s">
        <v>150</v>
      </c>
      <c r="B5" s="968"/>
      <c r="C5" s="968"/>
      <c r="D5" s="968" t="s">
        <v>151</v>
      </c>
      <c r="E5" s="969" t="s">
        <v>152</v>
      </c>
      <c r="F5" s="969" t="s">
        <v>138</v>
      </c>
      <c r="G5" s="970" t="s">
        <v>153</v>
      </c>
      <c r="H5" s="971" t="s">
        <v>154</v>
      </c>
      <c r="I5" s="972" t="s">
        <v>155</v>
      </c>
      <c r="J5" s="973" t="s">
        <v>156</v>
      </c>
      <c r="K5" s="974"/>
      <c r="L5" s="961"/>
    </row>
    <row r="6" spans="1:15" x14ac:dyDescent="0.35">
      <c r="A6" s="1575" t="s">
        <v>157</v>
      </c>
      <c r="B6" s="1576"/>
      <c r="C6" s="1577"/>
      <c r="D6" s="975"/>
      <c r="E6" s="975"/>
      <c r="F6" s="975"/>
      <c r="G6" s="975"/>
      <c r="H6" s="976"/>
      <c r="I6" s="976"/>
      <c r="J6" s="977"/>
      <c r="K6" s="978"/>
      <c r="L6" s="961"/>
    </row>
    <row r="7" spans="1:15" ht="21" thickBot="1" x14ac:dyDescent="0.4">
      <c r="A7" s="979" t="s">
        <v>158</v>
      </c>
      <c r="B7" s="980"/>
      <c r="C7" s="980"/>
      <c r="D7" s="981" t="s">
        <v>159</v>
      </c>
      <c r="E7" s="982">
        <f>'[1]23'!F7</f>
        <v>3129966</v>
      </c>
      <c r="F7" s="982">
        <v>3149034</v>
      </c>
      <c r="G7" s="983">
        <f>F7-E7</f>
        <v>19068</v>
      </c>
      <c r="H7" s="984">
        <f>G7+'[1]23'!H7</f>
        <v>480589</v>
      </c>
      <c r="I7" s="985">
        <f>'[1]1'!I7</f>
        <v>12000</v>
      </c>
      <c r="J7" s="986">
        <f>H7/DAY(B2)</f>
        <v>20024.541666666668</v>
      </c>
      <c r="K7" s="987"/>
      <c r="L7" s="961"/>
      <c r="O7" s="988"/>
    </row>
    <row r="8" spans="1:15" ht="21" thickBot="1" x14ac:dyDescent="0.4">
      <c r="A8" s="989" t="s">
        <v>160</v>
      </c>
      <c r="B8" s="990"/>
      <c r="C8" s="991"/>
      <c r="D8" s="992" t="s">
        <v>39</v>
      </c>
      <c r="E8" s="982">
        <f>'[1]23'!F8</f>
        <v>3148610</v>
      </c>
      <c r="F8" s="993">
        <v>3167837</v>
      </c>
      <c r="G8" s="994">
        <f>F8-E8</f>
        <v>19227</v>
      </c>
      <c r="H8" s="984">
        <f>G8+'[1]23'!H8</f>
        <v>484798</v>
      </c>
      <c r="I8" s="995">
        <f>'[1]1'!I8</f>
        <v>12000</v>
      </c>
      <c r="J8" s="986">
        <f>H8/DAY(B2)</f>
        <v>20199.916666666668</v>
      </c>
      <c r="K8" s="987"/>
      <c r="L8" s="996"/>
      <c r="M8" s="997"/>
      <c r="O8" s="988"/>
    </row>
    <row r="9" spans="1:15" x14ac:dyDescent="0.35">
      <c r="A9" s="998" t="s">
        <v>161</v>
      </c>
      <c r="B9" s="999"/>
      <c r="C9" s="999"/>
      <c r="D9" s="981" t="s">
        <v>159</v>
      </c>
      <c r="E9" s="982">
        <f>'[1]23'!F9</f>
        <v>2383445</v>
      </c>
      <c r="F9" s="1000">
        <v>2386120</v>
      </c>
      <c r="G9" s="983">
        <f t="shared" ref="G9:G12" si="0">F9-E9</f>
        <v>2675</v>
      </c>
      <c r="H9" s="984">
        <f>G9+'[1]23'!H9</f>
        <v>129083.5</v>
      </c>
      <c r="I9" s="1001">
        <f>I8-J8</f>
        <v>-8199.9166666666679</v>
      </c>
      <c r="J9" s="986">
        <f>H9/DAY(B2)</f>
        <v>5378.479166666667</v>
      </c>
      <c r="K9" s="1002"/>
      <c r="L9" s="961"/>
      <c r="O9" s="988"/>
    </row>
    <row r="10" spans="1:15" x14ac:dyDescent="0.35">
      <c r="A10" s="979" t="s">
        <v>162</v>
      </c>
      <c r="B10" s="980"/>
      <c r="C10" s="980"/>
      <c r="D10" s="981" t="s">
        <v>159</v>
      </c>
      <c r="E10" s="982">
        <f>'[1]23'!F10</f>
        <v>621625</v>
      </c>
      <c r="F10" s="1000">
        <v>637312</v>
      </c>
      <c r="G10" s="983">
        <f t="shared" si="0"/>
        <v>15687</v>
      </c>
      <c r="H10" s="984">
        <f>G10+'[1]23'!H10</f>
        <v>334361.71000000002</v>
      </c>
      <c r="I10" s="1003"/>
      <c r="J10" s="986">
        <f>H10/DAY(B2)</f>
        <v>13931.737916666667</v>
      </c>
      <c r="K10" s="1002"/>
      <c r="L10" s="961"/>
      <c r="M10" s="948" t="s">
        <v>310</v>
      </c>
      <c r="O10" s="988"/>
    </row>
    <row r="11" spans="1:15" x14ac:dyDescent="0.35">
      <c r="A11" s="979" t="s">
        <v>163</v>
      </c>
      <c r="B11" s="980"/>
      <c r="C11" s="980"/>
      <c r="D11" s="981" t="s">
        <v>159</v>
      </c>
      <c r="E11" s="982">
        <f>'[1]23'!F11</f>
        <v>35390</v>
      </c>
      <c r="F11" s="982">
        <v>35390</v>
      </c>
      <c r="G11" s="983">
        <f t="shared" si="0"/>
        <v>0</v>
      </c>
      <c r="H11" s="984">
        <f>G11+'[1]23'!H11</f>
        <v>0</v>
      </c>
      <c r="I11" s="1003"/>
      <c r="J11" s="986">
        <f>H11/DAY(B2)</f>
        <v>0</v>
      </c>
      <c r="K11" s="1002"/>
      <c r="L11" s="961"/>
      <c r="O11" s="988"/>
    </row>
    <row r="12" spans="1:15" x14ac:dyDescent="0.35">
      <c r="A12" s="979" t="s">
        <v>164</v>
      </c>
      <c r="B12" s="980"/>
      <c r="C12" s="980"/>
      <c r="D12" s="981" t="s">
        <v>159</v>
      </c>
      <c r="E12" s="982">
        <f>'[1]23'!F12</f>
        <v>37630</v>
      </c>
      <c r="F12" s="1000">
        <v>37630</v>
      </c>
      <c r="G12" s="983">
        <f t="shared" si="0"/>
        <v>0</v>
      </c>
      <c r="H12" s="984">
        <f>G12+'[1]23'!H12</f>
        <v>0</v>
      </c>
      <c r="I12" s="1003"/>
      <c r="J12" s="986">
        <f>H12/DAY(B2)</f>
        <v>0</v>
      </c>
      <c r="K12" s="1002"/>
      <c r="L12" s="961"/>
      <c r="O12" s="988"/>
    </row>
    <row r="13" spans="1:15" x14ac:dyDescent="0.35">
      <c r="A13" s="1004" t="s">
        <v>165</v>
      </c>
      <c r="B13" s="1005"/>
      <c r="C13" s="1005"/>
      <c r="D13" s="981"/>
      <c r="E13" s="982"/>
      <c r="F13" s="982"/>
      <c r="G13" s="1006">
        <f>G9+G10+G11+G12</f>
        <v>18362</v>
      </c>
      <c r="H13" s="984">
        <f>G13+'[1]23'!H13</f>
        <v>441585.9</v>
      </c>
      <c r="I13" s="1007">
        <f>G7-G13</f>
        <v>706</v>
      </c>
      <c r="J13" s="986">
        <f>H13/DAY(B2)</f>
        <v>18399.412500000002</v>
      </c>
      <c r="K13" s="1002"/>
      <c r="L13" s="961"/>
      <c r="O13" s="988"/>
    </row>
    <row r="14" spans="1:15" x14ac:dyDescent="0.35">
      <c r="A14" s="1569" t="s">
        <v>166</v>
      </c>
      <c r="B14" s="1570"/>
      <c r="C14" s="1571"/>
      <c r="D14" s="976"/>
      <c r="E14" s="976"/>
      <c r="F14" s="976"/>
      <c r="G14" s="1008"/>
      <c r="H14" s="976"/>
      <c r="I14" s="976"/>
      <c r="J14" s="977"/>
      <c r="K14" s="1009"/>
      <c r="L14" s="961"/>
      <c r="O14" s="988"/>
    </row>
    <row r="15" spans="1:15" x14ac:dyDescent="0.35">
      <c r="A15" s="1010" t="s">
        <v>167</v>
      </c>
      <c r="B15" s="1011"/>
      <c r="C15" s="1011"/>
      <c r="D15" s="981" t="s">
        <v>168</v>
      </c>
      <c r="E15" s="982">
        <f>'[1]23'!F15</f>
        <v>1562937</v>
      </c>
      <c r="F15" s="1012">
        <v>1563656</v>
      </c>
      <c r="G15" s="1157">
        <f>(F15-E15)</f>
        <v>719</v>
      </c>
      <c r="H15" s="984">
        <f>G15+'[1]23'!H15</f>
        <v>16758.398999999976</v>
      </c>
      <c r="I15" s="985">
        <f>'[1]1'!I15</f>
        <v>800</v>
      </c>
      <c r="J15" s="986">
        <f>H15/DAY(B2)</f>
        <v>698.26662499999895</v>
      </c>
      <c r="K15" s="1002"/>
      <c r="L15" s="961"/>
      <c r="O15" s="988"/>
    </row>
    <row r="16" spans="1:15" x14ac:dyDescent="0.35">
      <c r="A16" s="1013"/>
      <c r="B16" s="1014"/>
      <c r="C16" s="1014"/>
      <c r="D16" s="1015"/>
      <c r="E16" s="1016"/>
      <c r="F16" s="1016"/>
      <c r="G16" s="983"/>
      <c r="H16" s="1017"/>
      <c r="I16" s="1018">
        <f>I15-J15</f>
        <v>101.73337500000105</v>
      </c>
      <c r="J16" s="1019"/>
      <c r="K16" s="1002"/>
      <c r="L16" s="961"/>
      <c r="N16" s="1150"/>
      <c r="O16" s="988"/>
    </row>
    <row r="17" spans="1:15" x14ac:dyDescent="0.35">
      <c r="A17" s="1569" t="s">
        <v>169</v>
      </c>
      <c r="B17" s="1570"/>
      <c r="C17" s="1571"/>
      <c r="D17" s="976"/>
      <c r="E17" s="976"/>
      <c r="F17" s="976"/>
      <c r="G17" s="1020"/>
      <c r="H17" s="976">
        <f>G17+'[1]22'!H17</f>
        <v>0</v>
      </c>
      <c r="I17" s="976"/>
      <c r="J17" s="977"/>
      <c r="K17" s="1002"/>
      <c r="L17" s="961"/>
      <c r="O17" s="988"/>
    </row>
    <row r="18" spans="1:15" x14ac:dyDescent="0.35">
      <c r="A18" s="1566" t="s">
        <v>170</v>
      </c>
      <c r="B18" s="1567"/>
      <c r="C18" s="1568"/>
      <c r="D18" s="981" t="s">
        <v>171</v>
      </c>
      <c r="E18" s="982">
        <f>'[1]23'!F18</f>
        <v>12</v>
      </c>
      <c r="F18" s="1012">
        <v>16</v>
      </c>
      <c r="G18" s="1006">
        <f>F18*10</f>
        <v>160</v>
      </c>
      <c r="H18" s="984">
        <f>G18+'[1]23'!H18</f>
        <v>3240</v>
      </c>
      <c r="I18" s="985">
        <f>'[1]1'!I18</f>
        <v>65</v>
      </c>
      <c r="J18" s="986">
        <f>H18/DAY(B2)</f>
        <v>135</v>
      </c>
      <c r="K18" s="1002"/>
      <c r="L18" s="961"/>
      <c r="O18" s="988"/>
    </row>
    <row r="19" spans="1:15" x14ac:dyDescent="0.35">
      <c r="A19" s="1566" t="s">
        <v>86</v>
      </c>
      <c r="B19" s="1567"/>
      <c r="C19" s="1568"/>
      <c r="D19" s="981" t="s">
        <v>171</v>
      </c>
      <c r="E19" s="982">
        <f>'[1]23'!F19</f>
        <v>131056</v>
      </c>
      <c r="F19" s="1012">
        <v>131110</v>
      </c>
      <c r="G19" s="983">
        <f t="shared" ref="G19" si="1">F19-E19</f>
        <v>54</v>
      </c>
      <c r="H19" s="984">
        <f>G19+'[1]23'!H19</f>
        <v>1309</v>
      </c>
      <c r="I19" s="1021"/>
      <c r="J19" s="986">
        <f>H19/DAY(B2)</f>
        <v>54.541666666666664</v>
      </c>
      <c r="K19" s="1002"/>
      <c r="L19" s="961"/>
      <c r="O19" s="988"/>
    </row>
    <row r="20" spans="1:15" x14ac:dyDescent="0.35">
      <c r="A20" s="1004" t="s">
        <v>172</v>
      </c>
      <c r="B20" s="1005"/>
      <c r="C20" s="1005"/>
      <c r="D20" s="1022"/>
      <c r="E20" s="1022"/>
      <c r="F20" s="1022"/>
      <c r="G20" s="1023">
        <f>G18+G19</f>
        <v>214</v>
      </c>
      <c r="H20" s="984">
        <f>G20+'[1]23'!H20</f>
        <v>4549</v>
      </c>
      <c r="I20" s="1024">
        <f>I18-J20</f>
        <v>-124.54166666666666</v>
      </c>
      <c r="J20" s="986">
        <f>H20/DAY(B2)</f>
        <v>189.54166666666666</v>
      </c>
      <c r="K20" s="1002"/>
      <c r="L20" s="961"/>
      <c r="O20" s="988"/>
    </row>
    <row r="21" spans="1:15" x14ac:dyDescent="0.35">
      <c r="A21" s="1569" t="s">
        <v>173</v>
      </c>
      <c r="B21" s="1570"/>
      <c r="C21" s="1571"/>
      <c r="D21" s="976"/>
      <c r="E21" s="976"/>
      <c r="F21" s="976"/>
      <c r="G21" s="1008"/>
      <c r="H21" s="976"/>
      <c r="I21" s="976"/>
      <c r="J21" s="977"/>
      <c r="K21" s="1002"/>
      <c r="L21" s="961"/>
      <c r="O21" s="988"/>
    </row>
    <row r="22" spans="1:15" x14ac:dyDescent="0.35">
      <c r="A22" s="1010" t="s">
        <v>174</v>
      </c>
      <c r="B22" s="1011"/>
      <c r="C22" s="1011"/>
      <c r="D22" s="981" t="s">
        <v>175</v>
      </c>
      <c r="E22" s="1012">
        <f>'[1]23'!F22</f>
        <v>2250</v>
      </c>
      <c r="F22" s="1012">
        <v>2250</v>
      </c>
      <c r="G22" s="1006">
        <f t="shared" ref="G22" si="2">(F22-E22)</f>
        <v>0</v>
      </c>
      <c r="H22" s="984">
        <f>G22+'[1]23'!H22</f>
        <v>0</v>
      </c>
      <c r="I22" s="1003"/>
      <c r="J22" s="986">
        <f>H22/DAY(B2)</f>
        <v>0</v>
      </c>
      <c r="K22" s="1002"/>
      <c r="L22" s="961"/>
      <c r="O22" s="988"/>
    </row>
    <row r="23" spans="1:15" x14ac:dyDescent="0.35">
      <c r="A23" s="1010" t="s">
        <v>176</v>
      </c>
      <c r="B23" s="1011"/>
      <c r="C23" s="1011"/>
      <c r="D23" s="981" t="s">
        <v>175</v>
      </c>
      <c r="E23" s="1012">
        <f>'[1]23'!F23</f>
        <v>2000</v>
      </c>
      <c r="F23" s="1012">
        <v>2000</v>
      </c>
      <c r="G23" s="1006">
        <v>0</v>
      </c>
      <c r="H23" s="984">
        <f>G23+'[1]23'!H23</f>
        <v>0</v>
      </c>
      <c r="I23" s="1003"/>
      <c r="J23" s="986">
        <f>H23/DAY(B2)</f>
        <v>0</v>
      </c>
      <c r="K23" s="1002"/>
      <c r="L23" s="961"/>
      <c r="O23" s="988"/>
    </row>
    <row r="24" spans="1:15" x14ac:dyDescent="0.35">
      <c r="A24" s="1025" t="s">
        <v>177</v>
      </c>
      <c r="B24" s="1026"/>
      <c r="C24" s="1026"/>
      <c r="D24" s="968" t="s">
        <v>175</v>
      </c>
      <c r="E24" s="1012">
        <f>'[1]23'!F24</f>
        <v>4250</v>
      </c>
      <c r="F24" s="1027">
        <v>4250</v>
      </c>
      <c r="G24" s="1006">
        <v>0</v>
      </c>
      <c r="H24" s="984">
        <f>G24+'[1]23'!H24</f>
        <v>0</v>
      </c>
      <c r="I24" s="1003"/>
      <c r="J24" s="986">
        <f>H24/DAY(B2)</f>
        <v>0</v>
      </c>
      <c r="K24" s="1002"/>
      <c r="L24" s="961"/>
      <c r="O24" s="988"/>
    </row>
    <row r="25" spans="1:15" s="1033" customFormat="1" x14ac:dyDescent="0.3">
      <c r="A25" s="1575" t="s">
        <v>178</v>
      </c>
      <c r="B25" s="1576"/>
      <c r="C25" s="1577"/>
      <c r="D25" s="975"/>
      <c r="E25" s="975"/>
      <c r="F25" s="975"/>
      <c r="G25" s="1028"/>
      <c r="H25" s="1029"/>
      <c r="I25" s="1030"/>
      <c r="J25" s="1031"/>
      <c r="K25" s="1002"/>
      <c r="L25" s="1032"/>
      <c r="N25" s="1149"/>
      <c r="O25" s="988"/>
    </row>
    <row r="26" spans="1:15" s="1033" customFormat="1" x14ac:dyDescent="0.35">
      <c r="A26" s="1034" t="s">
        <v>179</v>
      </c>
      <c r="B26" s="1035"/>
      <c r="C26" s="1036"/>
      <c r="D26" s="1037" t="s">
        <v>180</v>
      </c>
      <c r="E26" s="1038"/>
      <c r="F26" s="1038"/>
      <c r="G26" s="1039"/>
      <c r="H26" s="984"/>
      <c r="I26" s="1040"/>
      <c r="J26" s="986"/>
      <c r="K26" s="1009"/>
      <c r="L26" s="1032"/>
      <c r="N26" s="1149"/>
      <c r="O26" s="988"/>
    </row>
    <row r="27" spans="1:15" s="1033" customFormat="1" ht="22.5" x14ac:dyDescent="0.4">
      <c r="A27" s="1034" t="s">
        <v>20</v>
      </c>
      <c r="B27" s="1035"/>
      <c r="C27" s="1036"/>
      <c r="D27" s="1041" t="s">
        <v>39</v>
      </c>
      <c r="E27" s="1042">
        <f>G8</f>
        <v>19227</v>
      </c>
      <c r="F27" s="621">
        <v>9.5</v>
      </c>
      <c r="G27" s="1043">
        <f>E27*F27</f>
        <v>182656.5</v>
      </c>
      <c r="H27" s="984">
        <f>G27+'[1]23'!H27</f>
        <v>4605581</v>
      </c>
      <c r="I27" s="1044"/>
      <c r="J27" s="986">
        <f>H27/DAY(B2)</f>
        <v>191899.20833333334</v>
      </c>
      <c r="K27" s="1002"/>
      <c r="L27" s="1032"/>
      <c r="N27" s="1149"/>
      <c r="O27" s="988"/>
    </row>
    <row r="28" spans="1:15" s="1033" customFormat="1" ht="22.5" x14ac:dyDescent="0.4">
      <c r="A28" s="1034" t="s">
        <v>181</v>
      </c>
      <c r="B28" s="1035"/>
      <c r="C28" s="1036"/>
      <c r="D28" s="1041" t="s">
        <v>182</v>
      </c>
      <c r="E28" s="1042">
        <f>G15</f>
        <v>719</v>
      </c>
      <c r="F28" s="621">
        <v>36.5</v>
      </c>
      <c r="G28" s="1043">
        <f>E28*F28</f>
        <v>26243.5</v>
      </c>
      <c r="H28" s="984">
        <f>G28+'[1]23'!H28</f>
        <v>611681.56349999912</v>
      </c>
      <c r="I28" s="1045"/>
      <c r="J28" s="986">
        <f>H28/DAY(B2)</f>
        <v>25486.731812499962</v>
      </c>
      <c r="K28" s="1002"/>
      <c r="L28" s="1032"/>
      <c r="N28" s="1149"/>
      <c r="O28" s="988"/>
    </row>
    <row r="29" spans="1:15" s="1033" customFormat="1" ht="22.5" x14ac:dyDescent="0.4">
      <c r="A29" s="1034" t="s">
        <v>183</v>
      </c>
      <c r="B29" s="1035"/>
      <c r="C29" s="1036"/>
      <c r="D29" s="1041" t="s">
        <v>184</v>
      </c>
      <c r="E29" s="1042">
        <f>G24</f>
        <v>0</v>
      </c>
      <c r="F29" s="621">
        <v>69</v>
      </c>
      <c r="G29" s="1043">
        <f>E29*F29</f>
        <v>0</v>
      </c>
      <c r="H29" s="984">
        <f>G29+'[1]23'!H29</f>
        <v>0</v>
      </c>
      <c r="I29" s="1045"/>
      <c r="J29" s="986">
        <f>H29/DAY(B2)</f>
        <v>0</v>
      </c>
      <c r="K29" s="1002"/>
      <c r="L29" s="1032"/>
      <c r="N29" s="1149"/>
      <c r="O29" s="988"/>
    </row>
    <row r="30" spans="1:15" s="1033" customFormat="1" ht="22.5" x14ac:dyDescent="0.4">
      <c r="A30" s="1034" t="s">
        <v>185</v>
      </c>
      <c r="B30" s="1035"/>
      <c r="C30" s="1036"/>
      <c r="D30" s="1041" t="s">
        <v>186</v>
      </c>
      <c r="E30" s="1042">
        <f>G19</f>
        <v>54</v>
      </c>
      <c r="F30" s="621">
        <v>145</v>
      </c>
      <c r="G30" s="1043">
        <f>E30*F30</f>
        <v>7830</v>
      </c>
      <c r="H30" s="984">
        <f>G30+'[1]23'!H30</f>
        <v>189805</v>
      </c>
      <c r="I30" s="1045"/>
      <c r="J30" s="986">
        <f>H30/DAY(B2)</f>
        <v>7908.541666666667</v>
      </c>
      <c r="K30" s="1002"/>
      <c r="L30" s="1032"/>
      <c r="N30" s="1149"/>
      <c r="O30" s="988"/>
    </row>
    <row r="31" spans="1:15" s="1033" customFormat="1" ht="22.5" x14ac:dyDescent="0.4">
      <c r="A31" s="1034" t="s">
        <v>187</v>
      </c>
      <c r="B31" s="1035"/>
      <c r="C31" s="1036"/>
      <c r="D31" s="1041" t="s">
        <v>171</v>
      </c>
      <c r="E31" s="1042">
        <f>G18</f>
        <v>160</v>
      </c>
      <c r="F31" s="621">
        <v>80</v>
      </c>
      <c r="G31" s="1043">
        <f>E31*F31</f>
        <v>12800</v>
      </c>
      <c r="H31" s="984">
        <f>G31+'[1]23'!H31</f>
        <v>257600</v>
      </c>
      <c r="I31" s="1045"/>
      <c r="J31" s="986">
        <f>H31/DAY(B2)</f>
        <v>10733.333333333334</v>
      </c>
      <c r="K31" s="1002"/>
      <c r="L31" s="1032"/>
      <c r="N31" s="1149"/>
      <c r="O31" s="988"/>
    </row>
    <row r="32" spans="1:15" s="1033" customFormat="1" x14ac:dyDescent="0.35">
      <c r="A32" s="1046" t="s">
        <v>188</v>
      </c>
      <c r="B32" s="1047"/>
      <c r="C32" s="1048"/>
      <c r="D32" s="1049"/>
      <c r="E32" s="1049"/>
      <c r="F32" s="1049"/>
      <c r="G32" s="1050">
        <f>G27+G28+G29+G30+G31</f>
        <v>229530</v>
      </c>
      <c r="H32" s="984">
        <f>G32+'[1]23'!H32</f>
        <v>5664667.5634999992</v>
      </c>
      <c r="I32" s="1051"/>
      <c r="J32" s="986" t="s">
        <v>306</v>
      </c>
      <c r="K32" s="1002"/>
      <c r="L32" s="1032"/>
      <c r="N32" s="1149"/>
      <c r="O32" s="988"/>
    </row>
    <row r="33" spans="1:15" ht="18.75" x14ac:dyDescent="0.3">
      <c r="A33" s="1572" t="s">
        <v>189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1002"/>
      <c r="L33" s="961"/>
      <c r="O33" s="988"/>
    </row>
    <row r="34" spans="1:15" x14ac:dyDescent="0.35">
      <c r="A34" s="1052" t="s">
        <v>190</v>
      </c>
      <c r="B34" s="1053"/>
      <c r="C34" s="1053"/>
      <c r="D34" s="976"/>
      <c r="E34" s="975"/>
      <c r="F34" s="975"/>
      <c r="G34" s="976"/>
      <c r="H34" s="976"/>
      <c r="I34" s="976"/>
      <c r="J34" s="977"/>
      <c r="K34" s="1002"/>
      <c r="L34" s="961"/>
      <c r="O34" s="988"/>
    </row>
    <row r="35" spans="1:15" x14ac:dyDescent="0.35">
      <c r="A35" s="979" t="s">
        <v>191</v>
      </c>
      <c r="B35" s="980"/>
      <c r="C35" s="980"/>
      <c r="D35" s="981" t="s">
        <v>159</v>
      </c>
      <c r="E35" s="982">
        <f>'[1]23'!F35</f>
        <v>629027</v>
      </c>
      <c r="F35" s="1054">
        <v>629027</v>
      </c>
      <c r="G35" s="983">
        <f t="shared" ref="G35:G46" si="3">F35-E35</f>
        <v>0</v>
      </c>
      <c r="H35" s="984">
        <f>G35+'[1]23'!H35</f>
        <v>0</v>
      </c>
      <c r="I35" s="982"/>
      <c r="J35" s="986">
        <f>H35/DAY(B2)</f>
        <v>0</v>
      </c>
      <c r="K35" s="1002"/>
      <c r="L35" s="961"/>
      <c r="O35" s="988"/>
    </row>
    <row r="36" spans="1:15" x14ac:dyDescent="0.35">
      <c r="A36" s="979" t="s">
        <v>192</v>
      </c>
      <c r="B36" s="980"/>
      <c r="C36" s="980"/>
      <c r="D36" s="981" t="s">
        <v>159</v>
      </c>
      <c r="E36" s="982">
        <f>'[1]23'!F36</f>
        <v>248440</v>
      </c>
      <c r="F36" s="1054">
        <v>249170</v>
      </c>
      <c r="G36" s="983">
        <f t="shared" si="3"/>
        <v>730</v>
      </c>
      <c r="H36" s="984">
        <f>G36+'[1]23'!H36</f>
        <v>20084.26999999999</v>
      </c>
      <c r="I36" s="982"/>
      <c r="J36" s="986">
        <f>H36/DAY(B2)</f>
        <v>836.84458333333293</v>
      </c>
      <c r="K36" s="1002"/>
      <c r="L36" s="961"/>
      <c r="O36" s="988"/>
    </row>
    <row r="37" spans="1:15" x14ac:dyDescent="0.35">
      <c r="A37" s="979" t="s">
        <v>193</v>
      </c>
      <c r="B37" s="980"/>
      <c r="C37" s="980"/>
      <c r="D37" s="981" t="s">
        <v>159</v>
      </c>
      <c r="E37" s="982">
        <f>'[1]23'!F37</f>
        <v>415066</v>
      </c>
      <c r="F37" s="1054">
        <v>415066</v>
      </c>
      <c r="G37" s="983">
        <f t="shared" si="3"/>
        <v>0</v>
      </c>
      <c r="H37" s="984">
        <f>G37+'[1]23'!H37</f>
        <v>0</v>
      </c>
      <c r="I37" s="982"/>
      <c r="J37" s="986">
        <f>H37/DAY(B2)</f>
        <v>0</v>
      </c>
      <c r="K37" s="1002"/>
      <c r="L37" s="961"/>
      <c r="O37" s="988"/>
    </row>
    <row r="38" spans="1:15" x14ac:dyDescent="0.35">
      <c r="A38" s="979" t="s">
        <v>194</v>
      </c>
      <c r="B38" s="980"/>
      <c r="C38" s="980"/>
      <c r="D38" s="981" t="s">
        <v>159</v>
      </c>
      <c r="E38" s="982">
        <f>'[1]23'!F38</f>
        <v>150714.38</v>
      </c>
      <c r="F38" s="971">
        <v>150714.38</v>
      </c>
      <c r="G38" s="983">
        <f t="shared" si="3"/>
        <v>0</v>
      </c>
      <c r="H38" s="984">
        <f>G38+'[1]23'!H38</f>
        <v>0.38000000000465661</v>
      </c>
      <c r="I38" s="982"/>
      <c r="J38" s="986">
        <f>H38/DAY(B2)</f>
        <v>1.583333333352736E-2</v>
      </c>
      <c r="K38" s="1002"/>
      <c r="L38" s="961"/>
      <c r="O38" s="988"/>
    </row>
    <row r="39" spans="1:15" x14ac:dyDescent="0.35">
      <c r="A39" s="979" t="s">
        <v>195</v>
      </c>
      <c r="B39" s="980"/>
      <c r="C39" s="980"/>
      <c r="D39" s="981" t="s">
        <v>159</v>
      </c>
      <c r="E39" s="982">
        <f>'[1]23'!F39</f>
        <v>912480</v>
      </c>
      <c r="F39" s="1054">
        <v>912480</v>
      </c>
      <c r="G39" s="983">
        <f t="shared" si="3"/>
        <v>0</v>
      </c>
      <c r="H39" s="984">
        <f>G39+'[1]23'!H39</f>
        <v>0</v>
      </c>
      <c r="I39" s="982"/>
      <c r="J39" s="986">
        <f>H39/DAY(B2)</f>
        <v>0</v>
      </c>
      <c r="K39" s="1002"/>
      <c r="L39" s="961"/>
      <c r="N39" s="1148">
        <f>20*38.64</f>
        <v>772.8</v>
      </c>
      <c r="O39" s="988"/>
    </row>
    <row r="40" spans="1:15" x14ac:dyDescent="0.35">
      <c r="A40" s="1055" t="s">
        <v>196</v>
      </c>
      <c r="B40" s="1056"/>
      <c r="C40" s="1056"/>
      <c r="D40" s="981" t="s">
        <v>159</v>
      </c>
      <c r="E40" s="982">
        <f>'[1]23'!F40</f>
        <v>0</v>
      </c>
      <c r="F40" s="1054">
        <v>0</v>
      </c>
      <c r="G40" s="983">
        <f t="shared" si="3"/>
        <v>0</v>
      </c>
      <c r="H40" s="984">
        <f>G40+'[1]23'!H40</f>
        <v>0</v>
      </c>
      <c r="I40" s="982"/>
      <c r="J40" s="986">
        <f>H40/DAY(B2)</f>
        <v>0</v>
      </c>
      <c r="K40" s="1009"/>
      <c r="L40" s="961"/>
      <c r="O40" s="988"/>
    </row>
    <row r="41" spans="1:15" x14ac:dyDescent="0.35">
      <c r="A41" s="979" t="s">
        <v>197</v>
      </c>
      <c r="B41" s="980"/>
      <c r="C41" s="980"/>
      <c r="D41" s="981" t="s">
        <v>159</v>
      </c>
      <c r="E41" s="982">
        <f>'[1]23'!F41</f>
        <v>300127.95</v>
      </c>
      <c r="F41" s="1054">
        <v>300127.95</v>
      </c>
      <c r="G41" s="983">
        <f t="shared" si="3"/>
        <v>0</v>
      </c>
      <c r="H41" s="984">
        <f>G41+'[1]23'!H41</f>
        <v>0</v>
      </c>
      <c r="I41" s="982"/>
      <c r="J41" s="986">
        <f>H41/DAY(B2)</f>
        <v>0</v>
      </c>
      <c r="K41" s="1002"/>
      <c r="L41" s="961"/>
      <c r="O41" s="988"/>
    </row>
    <row r="42" spans="1:15" x14ac:dyDescent="0.35">
      <c r="A42" s="979" t="s">
        <v>198</v>
      </c>
      <c r="B42" s="980"/>
      <c r="C42" s="980"/>
      <c r="D42" s="981" t="s">
        <v>159</v>
      </c>
      <c r="E42" s="982">
        <f>'[1]23'!F42</f>
        <v>58926</v>
      </c>
      <c r="F42" s="1054">
        <v>58926</v>
      </c>
      <c r="G42" s="983">
        <f t="shared" si="3"/>
        <v>0</v>
      </c>
      <c r="H42" s="984">
        <f>G42+'[1]23'!H42</f>
        <v>58926</v>
      </c>
      <c r="I42" s="982"/>
      <c r="J42" s="986">
        <f>H42/DAY(B2)</f>
        <v>2455.25</v>
      </c>
      <c r="K42" s="1002"/>
      <c r="L42" s="961"/>
      <c r="O42" s="988"/>
    </row>
    <row r="43" spans="1:15" x14ac:dyDescent="0.35">
      <c r="A43" s="979" t="s">
        <v>199</v>
      </c>
      <c r="B43" s="980"/>
      <c r="C43" s="980"/>
      <c r="D43" s="981" t="s">
        <v>159</v>
      </c>
      <c r="E43" s="982">
        <f>'[1]23'!F43</f>
        <v>682300</v>
      </c>
      <c r="F43" s="1054">
        <v>684359</v>
      </c>
      <c r="G43" s="983">
        <f t="shared" si="3"/>
        <v>2059</v>
      </c>
      <c r="H43" s="984">
        <f>G43+'[1]23'!H43</f>
        <v>53609.689999999944</v>
      </c>
      <c r="I43" s="982"/>
      <c r="J43" s="986">
        <f>H43/DAY(B2)</f>
        <v>2233.7370833333312</v>
      </c>
      <c r="K43" s="1002"/>
      <c r="L43" s="961"/>
      <c r="O43" s="988"/>
    </row>
    <row r="44" spans="1:15" x14ac:dyDescent="0.35">
      <c r="A44" s="979" t="s">
        <v>200</v>
      </c>
      <c r="B44" s="980"/>
      <c r="C44" s="980"/>
      <c r="D44" s="981" t="s">
        <v>159</v>
      </c>
      <c r="E44" s="982">
        <f>'[1]23'!F44</f>
        <v>0</v>
      </c>
      <c r="F44" s="1054">
        <v>0</v>
      </c>
      <c r="G44" s="983">
        <f t="shared" si="3"/>
        <v>0</v>
      </c>
      <c r="H44" s="984">
        <f>G44+'[1]23'!H44</f>
        <v>0</v>
      </c>
      <c r="I44" s="982"/>
      <c r="J44" s="986">
        <f>H44/DAY(B2)</f>
        <v>0</v>
      </c>
      <c r="K44" s="1002"/>
      <c r="L44" s="961"/>
      <c r="O44" s="988"/>
    </row>
    <row r="45" spans="1:15" x14ac:dyDescent="0.35">
      <c r="A45" s="979" t="s">
        <v>201</v>
      </c>
      <c r="B45" s="980"/>
      <c r="C45" s="980"/>
      <c r="D45" s="981" t="s">
        <v>159</v>
      </c>
      <c r="E45" s="982">
        <f>'[1]23'!F45</f>
        <v>614</v>
      </c>
      <c r="F45" s="1054">
        <v>614</v>
      </c>
      <c r="G45" s="983">
        <f t="shared" si="3"/>
        <v>0</v>
      </c>
      <c r="H45" s="984">
        <f>G45+'[1]23'!H45</f>
        <v>-0.48000000000001819</v>
      </c>
      <c r="I45" s="982"/>
      <c r="J45" s="986">
        <f>H45/DAY(B2)</f>
        <v>-2.0000000000000757E-2</v>
      </c>
      <c r="K45" s="1002"/>
      <c r="L45" s="961"/>
      <c r="O45" s="988"/>
    </row>
    <row r="46" spans="1:15" x14ac:dyDescent="0.35">
      <c r="A46" s="979" t="s">
        <v>202</v>
      </c>
      <c r="B46" s="980"/>
      <c r="C46" s="980"/>
      <c r="D46" s="981" t="s">
        <v>159</v>
      </c>
      <c r="E46" s="982">
        <f>'[1]23'!F46</f>
        <v>187</v>
      </c>
      <c r="F46" s="1054">
        <v>187</v>
      </c>
      <c r="G46" s="983">
        <f t="shared" si="3"/>
        <v>0</v>
      </c>
      <c r="H46" s="984">
        <f>G46+'[1]23'!H46</f>
        <v>-0.49000000000000909</v>
      </c>
      <c r="I46" s="982"/>
      <c r="J46" s="986">
        <f>H46/DAY(B2)</f>
        <v>-2.0416666666667044E-2</v>
      </c>
      <c r="K46" s="1002"/>
      <c r="L46" s="961"/>
      <c r="O46" s="988"/>
    </row>
    <row r="47" spans="1:15" x14ac:dyDescent="0.35">
      <c r="A47" s="1004" t="s">
        <v>203</v>
      </c>
      <c r="B47" s="1005"/>
      <c r="C47" s="1005"/>
      <c r="D47" s="972"/>
      <c r="E47" s="968"/>
      <c r="F47" s="968"/>
      <c r="G47" s="1006">
        <f>G35+G36+G37+G38+G39+G40+G41+G42+G43+G44+G45+G46</f>
        <v>2789</v>
      </c>
      <c r="H47" s="984">
        <f>G47+'[1]23'!H47</f>
        <v>132619.36999999994</v>
      </c>
      <c r="I47" s="982"/>
      <c r="J47" s="986">
        <f>H47/DAY(B2)</f>
        <v>5525.8070833333304</v>
      </c>
      <c r="K47" s="1002"/>
      <c r="L47" s="961"/>
      <c r="N47" s="1150"/>
      <c r="O47" s="988"/>
    </row>
    <row r="48" spans="1:15" x14ac:dyDescent="0.35">
      <c r="A48" s="1052" t="s">
        <v>204</v>
      </c>
      <c r="B48" s="1053"/>
      <c r="C48" s="1053"/>
      <c r="D48" s="976"/>
      <c r="E48" s="975"/>
      <c r="F48" s="975"/>
      <c r="G48" s="976"/>
      <c r="H48" s="976"/>
      <c r="I48" s="976"/>
      <c r="J48" s="977"/>
      <c r="K48" s="1002"/>
      <c r="L48" s="961"/>
      <c r="O48" s="988"/>
    </row>
    <row r="49" spans="1:15" x14ac:dyDescent="0.35">
      <c r="A49" s="979" t="s">
        <v>191</v>
      </c>
      <c r="B49" s="1057"/>
      <c r="C49" s="1057"/>
      <c r="D49" s="981" t="s">
        <v>159</v>
      </c>
      <c r="E49" s="982">
        <f>'[1]23'!F49</f>
        <v>125957</v>
      </c>
      <c r="F49" s="1054">
        <v>128957</v>
      </c>
      <c r="G49" s="983">
        <f t="shared" ref="G49:G58" si="4">F49-E49</f>
        <v>3000</v>
      </c>
      <c r="H49" s="984">
        <f>G49+'[1]23'!H49</f>
        <v>64347.483</v>
      </c>
      <c r="I49" s="982"/>
      <c r="J49" s="986">
        <f>H49/DAY(B2)</f>
        <v>2681.145125</v>
      </c>
      <c r="K49" s="1002"/>
      <c r="L49" s="961"/>
      <c r="O49" s="988"/>
    </row>
    <row r="50" spans="1:15" x14ac:dyDescent="0.35">
      <c r="A50" s="979" t="s">
        <v>205</v>
      </c>
      <c r="B50" s="1057"/>
      <c r="C50" s="1057"/>
      <c r="D50" s="981" t="s">
        <v>159</v>
      </c>
      <c r="E50" s="982">
        <f>'[1]23'!F50</f>
        <v>325548</v>
      </c>
      <c r="F50" s="1054">
        <v>326668</v>
      </c>
      <c r="G50" s="983">
        <f t="shared" si="4"/>
        <v>1120</v>
      </c>
      <c r="H50" s="984">
        <f>G50+'[1]23'!H50</f>
        <v>29258.469999999972</v>
      </c>
      <c r="I50" s="982"/>
      <c r="J50" s="986">
        <f>H50/DAY(B2)</f>
        <v>1219.1029166666656</v>
      </c>
      <c r="K50" s="1002"/>
      <c r="L50" s="961"/>
      <c r="O50" s="988"/>
    </row>
    <row r="51" spans="1:15" x14ac:dyDescent="0.35">
      <c r="A51" s="979" t="s">
        <v>193</v>
      </c>
      <c r="B51" s="1057"/>
      <c r="C51" s="1057"/>
      <c r="D51" s="981" t="s">
        <v>159</v>
      </c>
      <c r="E51" s="982">
        <f>'[1]23'!F51</f>
        <v>53054</v>
      </c>
      <c r="F51" s="1054">
        <v>54519</v>
      </c>
      <c r="G51" s="983">
        <f t="shared" si="4"/>
        <v>1465</v>
      </c>
      <c r="H51" s="984">
        <f>G51+'[1]23'!H51</f>
        <v>33652.032999999996</v>
      </c>
      <c r="I51" s="982"/>
      <c r="J51" s="986">
        <f>H51/DAY(B2)</f>
        <v>1402.1680416666666</v>
      </c>
      <c r="K51" s="1002"/>
      <c r="L51" s="961"/>
      <c r="O51" s="988"/>
    </row>
    <row r="52" spans="1:15" x14ac:dyDescent="0.35">
      <c r="A52" s="979" t="s">
        <v>206</v>
      </c>
      <c r="B52" s="1057"/>
      <c r="C52" s="1057"/>
      <c r="D52" s="981" t="s">
        <v>159</v>
      </c>
      <c r="E52" s="982">
        <f>'[1]23'!F52</f>
        <v>416612</v>
      </c>
      <c r="F52" s="1054">
        <v>418560</v>
      </c>
      <c r="G52" s="983">
        <f t="shared" si="4"/>
        <v>1948</v>
      </c>
      <c r="H52" s="984">
        <f>G52+'[1]23'!H52</f>
        <v>45204.209999999963</v>
      </c>
      <c r="I52" s="982"/>
      <c r="J52" s="986">
        <f>H52/DAY(B2)</f>
        <v>1883.5087499999984</v>
      </c>
      <c r="K52" s="1002"/>
      <c r="L52" s="961"/>
      <c r="O52" s="988"/>
    </row>
    <row r="53" spans="1:15" x14ac:dyDescent="0.35">
      <c r="A53" s="979" t="s">
        <v>195</v>
      </c>
      <c r="B53" s="1057"/>
      <c r="C53" s="1057"/>
      <c r="D53" s="981" t="s">
        <v>159</v>
      </c>
      <c r="E53" s="982">
        <f>'[1]23'!F53</f>
        <v>142883</v>
      </c>
      <c r="F53" s="1054">
        <v>147114</v>
      </c>
      <c r="G53" s="983">
        <f t="shared" si="4"/>
        <v>4231</v>
      </c>
      <c r="H53" s="984">
        <f>G53+'[1]23'!H53</f>
        <v>97371.892999999996</v>
      </c>
      <c r="I53" s="982"/>
      <c r="J53" s="986">
        <f>H53/DAY(B2)</f>
        <v>4057.1622083333332</v>
      </c>
      <c r="K53" s="1002"/>
      <c r="L53" s="961"/>
      <c r="O53" s="988"/>
    </row>
    <row r="54" spans="1:15" x14ac:dyDescent="0.35">
      <c r="A54" s="979" t="s">
        <v>207</v>
      </c>
      <c r="B54" s="1057"/>
      <c r="C54" s="1057"/>
      <c r="D54" s="981" t="s">
        <v>159</v>
      </c>
      <c r="E54" s="982">
        <f>'[1]23'!F54</f>
        <v>4022</v>
      </c>
      <c r="F54" s="1054">
        <v>4090</v>
      </c>
      <c r="G54" s="983">
        <f t="shared" si="4"/>
        <v>68</v>
      </c>
      <c r="H54" s="984">
        <f>G54+'[1]23'!H54</f>
        <v>1211.3899999999999</v>
      </c>
      <c r="I54" s="982"/>
      <c r="J54" s="986">
        <f>H54/DAY(B2)</f>
        <v>50.474583333333328</v>
      </c>
      <c r="K54" s="1002"/>
      <c r="L54" s="961"/>
      <c r="O54" s="988"/>
    </row>
    <row r="55" spans="1:15" x14ac:dyDescent="0.35">
      <c r="A55" s="979" t="s">
        <v>208</v>
      </c>
      <c r="B55" s="1057"/>
      <c r="C55" s="1057"/>
      <c r="D55" s="981" t="s">
        <v>159</v>
      </c>
      <c r="E55" s="982">
        <f>'[1]23'!F55</f>
        <v>158492.73000000001</v>
      </c>
      <c r="F55" s="1054">
        <v>158492.73000000001</v>
      </c>
      <c r="G55" s="983">
        <f t="shared" si="4"/>
        <v>0</v>
      </c>
      <c r="H55" s="984">
        <f>G55+'[1]23'!H55</f>
        <v>-0.26999999998952262</v>
      </c>
      <c r="I55" s="982"/>
      <c r="J55" s="986">
        <f>H55/DAY(B2)</f>
        <v>-1.1249999999563443E-2</v>
      </c>
      <c r="K55" s="1002"/>
      <c r="L55" s="961"/>
      <c r="O55" s="988"/>
    </row>
    <row r="56" spans="1:15" x14ac:dyDescent="0.35">
      <c r="A56" s="979" t="s">
        <v>209</v>
      </c>
      <c r="B56" s="1057"/>
      <c r="C56" s="1057"/>
      <c r="D56" s="981" t="s">
        <v>210</v>
      </c>
      <c r="E56" s="982">
        <f>'[1]23'!F56</f>
        <v>480373</v>
      </c>
      <c r="F56" s="1054">
        <v>484212</v>
      </c>
      <c r="G56" s="983">
        <f t="shared" si="4"/>
        <v>3839</v>
      </c>
      <c r="H56" s="984">
        <f>G56+'[1]23'!H56</f>
        <v>48370.969999999972</v>
      </c>
      <c r="I56" s="982"/>
      <c r="J56" s="986">
        <f>H56/DAY(B2)</f>
        <v>2015.4570833333321</v>
      </c>
      <c r="K56" s="978"/>
      <c r="L56" s="961"/>
      <c r="O56" s="988"/>
    </row>
    <row r="57" spans="1:15" x14ac:dyDescent="0.35">
      <c r="A57" s="979" t="s">
        <v>199</v>
      </c>
      <c r="B57" s="1057"/>
      <c r="C57" s="1057"/>
      <c r="D57" s="981" t="s">
        <v>159</v>
      </c>
      <c r="E57" s="982">
        <f>'[1]23'!F57</f>
        <v>0</v>
      </c>
      <c r="F57" s="1054">
        <v>0</v>
      </c>
      <c r="G57" s="983">
        <f t="shared" si="4"/>
        <v>0</v>
      </c>
      <c r="H57" s="984">
        <f>G57+'[1]23'!H57</f>
        <v>0</v>
      </c>
      <c r="I57" s="982"/>
      <c r="J57" s="986">
        <f>H57/DAY(B2)</f>
        <v>0</v>
      </c>
      <c r="K57" s="1002"/>
      <c r="L57" s="961"/>
      <c r="O57" s="988"/>
    </row>
    <row r="58" spans="1:15" x14ac:dyDescent="0.35">
      <c r="A58" s="979" t="s">
        <v>211</v>
      </c>
      <c r="B58" s="1057"/>
      <c r="C58" s="1057"/>
      <c r="D58" s="981" t="s">
        <v>159</v>
      </c>
      <c r="E58" s="982">
        <f>'[1]23'!F58</f>
        <v>23582</v>
      </c>
      <c r="F58" s="1054">
        <v>23779</v>
      </c>
      <c r="G58" s="983">
        <f t="shared" si="4"/>
        <v>197</v>
      </c>
      <c r="H58" s="984">
        <f>G58+'[1]23'!H58</f>
        <v>3385.9670000000006</v>
      </c>
      <c r="I58" s="982"/>
      <c r="J58" s="986">
        <f>H58/DAY(B2)</f>
        <v>141.08195833333335</v>
      </c>
      <c r="K58" s="1002"/>
      <c r="L58" s="961"/>
      <c r="O58" s="988"/>
    </row>
    <row r="59" spans="1:15" x14ac:dyDescent="0.35">
      <c r="A59" s="1004" t="s">
        <v>203</v>
      </c>
      <c r="B59" s="1005"/>
      <c r="C59" s="1005"/>
      <c r="D59" s="968"/>
      <c r="E59" s="968"/>
      <c r="F59" s="968"/>
      <c r="G59" s="1006">
        <f>G49+G50+G51+G52+G53+G54+G55+G56+G57+G58</f>
        <v>15868</v>
      </c>
      <c r="H59" s="984">
        <f>G59+'[1]23'!H59</f>
        <v>322802.14599999989</v>
      </c>
      <c r="I59" s="982">
        <f>G7-G60</f>
        <v>411</v>
      </c>
      <c r="J59" s="986">
        <f>H59/DAY(B2)</f>
        <v>13450.089416666662</v>
      </c>
      <c r="K59" s="1002"/>
      <c r="L59" s="961"/>
      <c r="O59" s="988"/>
    </row>
    <row r="60" spans="1:15" x14ac:dyDescent="0.35">
      <c r="A60" s="979"/>
      <c r="B60" s="980"/>
      <c r="C60" s="980"/>
      <c r="D60" s="968" t="s">
        <v>212</v>
      </c>
      <c r="E60" s="968"/>
      <c r="F60" s="968"/>
      <c r="G60" s="1006">
        <f>G47+G59</f>
        <v>18657</v>
      </c>
      <c r="H60" s="984">
        <f>G60+'[1]23'!H60</f>
        <v>468965.18599999993</v>
      </c>
      <c r="I60" s="982">
        <f>G13-G60</f>
        <v>-295</v>
      </c>
      <c r="J60" s="986">
        <f>H60/DAY(B2)</f>
        <v>19540.216083333329</v>
      </c>
      <c r="K60" s="1002"/>
      <c r="L60" s="961"/>
      <c r="O60" s="988"/>
    </row>
    <row r="61" spans="1:15" x14ac:dyDescent="0.35">
      <c r="A61" s="1058" t="s">
        <v>213</v>
      </c>
      <c r="B61" s="1059"/>
      <c r="C61" s="1059"/>
      <c r="D61" s="1059"/>
      <c r="E61" s="1060"/>
      <c r="F61" s="1060"/>
      <c r="G61" s="1059"/>
      <c r="H61" s="1059"/>
      <c r="I61" s="1059"/>
      <c r="J61" s="1061"/>
      <c r="K61" s="1002"/>
      <c r="L61" s="961"/>
      <c r="O61" s="988"/>
    </row>
    <row r="62" spans="1:15" x14ac:dyDescent="0.35">
      <c r="A62" s="1062" t="s">
        <v>121</v>
      </c>
      <c r="B62" s="1063"/>
      <c r="C62" s="1063"/>
      <c r="D62" s="968" t="s">
        <v>214</v>
      </c>
      <c r="E62" s="982">
        <f>'[1]23'!F62</f>
        <v>20419</v>
      </c>
      <c r="F62" s="1064">
        <v>20419.18</v>
      </c>
      <c r="G62" s="983">
        <f t="shared" ref="G62:G69" si="5">F62-E62</f>
        <v>0.18000000000029104</v>
      </c>
      <c r="H62" s="984">
        <f>G62+'[1]23'!H62</f>
        <v>0</v>
      </c>
      <c r="I62" s="1065"/>
      <c r="J62" s="986">
        <f>H62/DAY(B2)</f>
        <v>0</v>
      </c>
      <c r="K62" s="1002"/>
      <c r="L62" s="961"/>
      <c r="O62" s="988"/>
    </row>
    <row r="63" spans="1:15" x14ac:dyDescent="0.35">
      <c r="A63" s="1062" t="s">
        <v>215</v>
      </c>
      <c r="B63" s="1063"/>
      <c r="C63" s="1063"/>
      <c r="D63" s="968" t="s">
        <v>214</v>
      </c>
      <c r="E63" s="982">
        <f>'[1]23'!F63</f>
        <v>1076</v>
      </c>
      <c r="F63" s="1064">
        <v>1078</v>
      </c>
      <c r="G63" s="983">
        <f t="shared" si="5"/>
        <v>2</v>
      </c>
      <c r="H63" s="984">
        <f>G63+'[1]23'!H63</f>
        <v>221.63</v>
      </c>
      <c r="I63" s="1065"/>
      <c r="J63" s="986">
        <f>H63/DAY(B2)</f>
        <v>9.2345833333333331</v>
      </c>
      <c r="K63" s="1002"/>
      <c r="L63" s="961"/>
      <c r="O63" s="988"/>
    </row>
    <row r="64" spans="1:15" x14ac:dyDescent="0.35">
      <c r="A64" s="1563" t="s">
        <v>122</v>
      </c>
      <c r="B64" s="1564"/>
      <c r="C64" s="1565"/>
      <c r="D64" s="981" t="s">
        <v>214</v>
      </c>
      <c r="E64" s="982">
        <f>'[1]23'!F64</f>
        <v>95284</v>
      </c>
      <c r="F64" s="1012">
        <v>95660</v>
      </c>
      <c r="G64" s="983">
        <f t="shared" si="5"/>
        <v>376</v>
      </c>
      <c r="H64" s="984">
        <f>G64+'[1]23'!H64</f>
        <v>8920.9049999999988</v>
      </c>
      <c r="I64" s="1003"/>
      <c r="J64" s="986">
        <f>H64/DAY(B2)</f>
        <v>371.70437499999997</v>
      </c>
      <c r="K64" s="1002"/>
      <c r="L64" s="961"/>
      <c r="O64" s="988"/>
    </row>
    <row r="65" spans="1:15" x14ac:dyDescent="0.35">
      <c r="A65" s="1563" t="s">
        <v>123</v>
      </c>
      <c r="B65" s="1564"/>
      <c r="C65" s="1565"/>
      <c r="D65" s="981" t="s">
        <v>214</v>
      </c>
      <c r="E65" s="982">
        <f>'[1]23'!F65</f>
        <v>105754</v>
      </c>
      <c r="F65" s="1012">
        <v>106159</v>
      </c>
      <c r="G65" s="983">
        <f t="shared" si="5"/>
        <v>405</v>
      </c>
      <c r="H65" s="984">
        <f>G65+'[1]23'!H65</f>
        <v>9523.0170000000071</v>
      </c>
      <c r="I65" s="1021"/>
      <c r="J65" s="986">
        <f>H65/DAY(B2)</f>
        <v>396.79237500000028</v>
      </c>
      <c r="K65" s="1002"/>
      <c r="L65" s="961"/>
      <c r="O65" s="988"/>
    </row>
    <row r="66" spans="1:15" x14ac:dyDescent="0.35">
      <c r="A66" s="1563" t="s">
        <v>124</v>
      </c>
      <c r="B66" s="1564"/>
      <c r="C66" s="1565"/>
      <c r="D66" s="981" t="s">
        <v>214</v>
      </c>
      <c r="E66" s="982">
        <f>'[1]23'!F66</f>
        <v>99236</v>
      </c>
      <c r="F66" s="1012">
        <v>99631</v>
      </c>
      <c r="G66" s="983">
        <f t="shared" si="5"/>
        <v>395</v>
      </c>
      <c r="H66" s="984">
        <f>G66+'[1]23'!H66</f>
        <v>9626.1530000000057</v>
      </c>
      <c r="I66" s="1003"/>
      <c r="J66" s="986">
        <f>H66/DAY(B2)</f>
        <v>401.08970833333359</v>
      </c>
      <c r="K66" s="1002"/>
      <c r="L66" s="961"/>
      <c r="O66" s="988"/>
    </row>
    <row r="67" spans="1:15" x14ac:dyDescent="0.35">
      <c r="A67" s="1563" t="s">
        <v>125</v>
      </c>
      <c r="B67" s="1564"/>
      <c r="C67" s="1565"/>
      <c r="D67" s="981" t="s">
        <v>214</v>
      </c>
      <c r="E67" s="982">
        <f>'[1]23'!F67</f>
        <v>162735</v>
      </c>
      <c r="F67" s="1012">
        <v>163431</v>
      </c>
      <c r="G67" s="983">
        <f t="shared" si="5"/>
        <v>696</v>
      </c>
      <c r="H67" s="984">
        <f>G67+'[1]23'!H67</f>
        <v>17388.950000000012</v>
      </c>
      <c r="I67" s="1021"/>
      <c r="J67" s="986">
        <f>H67/DAY(B2)</f>
        <v>724.53958333333378</v>
      </c>
      <c r="K67" s="1009"/>
      <c r="L67" s="961"/>
      <c r="O67" s="988"/>
    </row>
    <row r="68" spans="1:15" x14ac:dyDescent="0.35">
      <c r="A68" s="1563" t="s">
        <v>126</v>
      </c>
      <c r="B68" s="1564"/>
      <c r="C68" s="1565"/>
      <c r="D68" s="981" t="s">
        <v>214</v>
      </c>
      <c r="E68" s="982">
        <f>'[1]23'!F68</f>
        <v>51207</v>
      </c>
      <c r="F68" s="1012">
        <v>51536</v>
      </c>
      <c r="G68" s="983">
        <f t="shared" si="5"/>
        <v>329</v>
      </c>
      <c r="H68" s="984">
        <f>G68+'[1]23'!H68</f>
        <v>8360.9210000000021</v>
      </c>
      <c r="I68" s="1066"/>
      <c r="J68" s="986">
        <f>H68/DAY(B2)</f>
        <v>348.3717083333334</v>
      </c>
      <c r="K68" s="1067"/>
      <c r="L68" s="961"/>
      <c r="O68" s="988"/>
    </row>
    <row r="69" spans="1:15" x14ac:dyDescent="0.35">
      <c r="A69" s="1563" t="s">
        <v>127</v>
      </c>
      <c r="B69" s="1564"/>
      <c r="C69" s="1565"/>
      <c r="D69" s="981" t="s">
        <v>214</v>
      </c>
      <c r="E69" s="982">
        <f>'[1]23'!F69</f>
        <v>44238</v>
      </c>
      <c r="F69" s="1012">
        <v>44523</v>
      </c>
      <c r="G69" s="983">
        <f t="shared" si="5"/>
        <v>285</v>
      </c>
      <c r="H69" s="984">
        <f>G69+'[1]23'!H69</f>
        <v>6967.4329999999973</v>
      </c>
      <c r="I69" s="1066"/>
      <c r="J69" s="986">
        <f>H69/DAY(B2)</f>
        <v>290.30970833333322</v>
      </c>
      <c r="K69" s="1068"/>
      <c r="L69" s="961"/>
      <c r="O69" s="988"/>
    </row>
    <row r="70" spans="1:15" x14ac:dyDescent="0.35">
      <c r="A70" s="1586" t="s">
        <v>216</v>
      </c>
      <c r="B70" s="1587"/>
      <c r="C70" s="1588"/>
      <c r="D70" s="981" t="s">
        <v>214</v>
      </c>
      <c r="E70" s="1352"/>
      <c r="F70" s="1069"/>
      <c r="G70" s="1069"/>
      <c r="H70" s="984">
        <f>G70+'[1]23'!H70</f>
        <v>0</v>
      </c>
      <c r="I70" s="1069"/>
      <c r="J70" s="1070"/>
      <c r="K70" s="1068"/>
      <c r="L70" s="961"/>
      <c r="O70" s="988"/>
    </row>
    <row r="71" spans="1:15" ht="22.5" x14ac:dyDescent="0.45">
      <c r="A71" s="1583" t="s">
        <v>217</v>
      </c>
      <c r="B71" s="1584"/>
      <c r="C71" s="1584"/>
      <c r="D71" s="1584"/>
      <c r="E71" s="1584"/>
      <c r="F71" s="1584"/>
      <c r="G71" s="1584"/>
      <c r="H71" s="1584"/>
      <c r="I71" s="1584"/>
      <c r="J71" s="1585"/>
      <c r="K71" s="1067"/>
      <c r="L71" s="961"/>
      <c r="O71" s="988"/>
    </row>
    <row r="72" spans="1:15" x14ac:dyDescent="0.35">
      <c r="A72" s="1563" t="s">
        <v>218</v>
      </c>
      <c r="B72" s="1564"/>
      <c r="C72" s="1565"/>
      <c r="D72" s="981" t="s">
        <v>214</v>
      </c>
      <c r="E72" s="982">
        <f>'[1]23'!F72</f>
        <v>845688</v>
      </c>
      <c r="F72" s="1071">
        <v>845747</v>
      </c>
      <c r="G72" s="983">
        <f t="shared" ref="G72:G90" si="6">F72-E72</f>
        <v>59</v>
      </c>
      <c r="H72" s="984">
        <f>G72+'[1]23'!H72</f>
        <v>1485</v>
      </c>
      <c r="I72" s="1003"/>
      <c r="J72" s="986">
        <f>H72/DAY(B2)</f>
        <v>61.875</v>
      </c>
      <c r="K72" s="1068"/>
      <c r="L72" s="961"/>
      <c r="O72" s="988"/>
    </row>
    <row r="73" spans="1:15" x14ac:dyDescent="0.35">
      <c r="A73" s="1563" t="s">
        <v>219</v>
      </c>
      <c r="B73" s="1564"/>
      <c r="C73" s="1565"/>
      <c r="D73" s="981" t="s">
        <v>214</v>
      </c>
      <c r="E73" s="982">
        <f>'[1]23'!F73</f>
        <v>885657</v>
      </c>
      <c r="F73" s="1072">
        <v>885661</v>
      </c>
      <c r="G73" s="983">
        <f t="shared" si="6"/>
        <v>4</v>
      </c>
      <c r="H73" s="984">
        <f>G73+'[1]23'!H73</f>
        <v>957</v>
      </c>
      <c r="I73" s="1003"/>
      <c r="J73" s="986">
        <f>H73/DAY(B2)</f>
        <v>39.875</v>
      </c>
      <c r="K73" s="1067"/>
      <c r="L73" s="961"/>
      <c r="O73" s="988"/>
    </row>
    <row r="74" spans="1:15" x14ac:dyDescent="0.35">
      <c r="A74" s="1563" t="s">
        <v>220</v>
      </c>
      <c r="B74" s="1564"/>
      <c r="C74" s="1565"/>
      <c r="D74" s="981" t="s">
        <v>214</v>
      </c>
      <c r="E74" s="982">
        <f>'[1]23'!F74</f>
        <v>880978</v>
      </c>
      <c r="F74" s="1073">
        <v>881015</v>
      </c>
      <c r="G74" s="983">
        <f t="shared" si="6"/>
        <v>37</v>
      </c>
      <c r="H74" s="984">
        <f>G74+'[1]23'!H74</f>
        <v>788</v>
      </c>
      <c r="I74" s="1003"/>
      <c r="J74" s="986">
        <f>H74/DAY(B2)</f>
        <v>32.833333333333336</v>
      </c>
      <c r="K74" s="1068"/>
      <c r="L74" s="961"/>
      <c r="O74" s="988"/>
    </row>
    <row r="75" spans="1:15" x14ac:dyDescent="0.35">
      <c r="A75" s="1589" t="s">
        <v>221</v>
      </c>
      <c r="B75" s="1590"/>
      <c r="C75" s="1591"/>
      <c r="D75" s="981" t="s">
        <v>214</v>
      </c>
      <c r="E75" s="982">
        <f>'[1]23'!F75</f>
        <v>730234</v>
      </c>
      <c r="F75" s="1073">
        <v>730414</v>
      </c>
      <c r="G75" s="983">
        <f t="shared" si="6"/>
        <v>180</v>
      </c>
      <c r="H75" s="984">
        <f>G75+'[1]23'!H75</f>
        <v>4234</v>
      </c>
      <c r="I75" s="1003"/>
      <c r="J75" s="986">
        <f>H75/DAY(B2)</f>
        <v>176.41666666666666</v>
      </c>
      <c r="K75" s="1067"/>
      <c r="L75" s="961"/>
      <c r="O75" s="988"/>
    </row>
    <row r="76" spans="1:15" x14ac:dyDescent="0.35">
      <c r="A76" s="1589" t="s">
        <v>222</v>
      </c>
      <c r="B76" s="1590"/>
      <c r="C76" s="1591"/>
      <c r="D76" s="981" t="s">
        <v>214</v>
      </c>
      <c r="E76" s="982">
        <f>'[1]23'!F76</f>
        <v>683591</v>
      </c>
      <c r="F76" s="1072">
        <v>683669</v>
      </c>
      <c r="G76" s="983">
        <f t="shared" si="6"/>
        <v>78</v>
      </c>
      <c r="H76" s="984">
        <f>G76+'[1]23'!H76</f>
        <v>3299</v>
      </c>
      <c r="I76" s="1045"/>
      <c r="J76" s="986">
        <f>H76/DAY(B2)</f>
        <v>137.45833333333334</v>
      </c>
      <c r="K76" s="1067"/>
      <c r="L76" s="961"/>
      <c r="O76" s="988"/>
    </row>
    <row r="77" spans="1:15" x14ac:dyDescent="0.35">
      <c r="A77" s="1563" t="s">
        <v>223</v>
      </c>
      <c r="B77" s="1564"/>
      <c r="C77" s="1565"/>
      <c r="D77" s="981" t="s">
        <v>214</v>
      </c>
      <c r="E77" s="982">
        <f>'[1]23'!F77</f>
        <v>694945</v>
      </c>
      <c r="F77" s="1072">
        <v>694994</v>
      </c>
      <c r="G77" s="983">
        <f t="shared" si="6"/>
        <v>49</v>
      </c>
      <c r="H77" s="984">
        <f>G77+'[1]23'!H77</f>
        <v>1274</v>
      </c>
      <c r="I77" s="1045"/>
      <c r="J77" s="986">
        <f>H77/DAY(B2)</f>
        <v>53.083333333333336</v>
      </c>
      <c r="K77" s="1067"/>
      <c r="L77" s="961"/>
      <c r="O77" s="988"/>
    </row>
    <row r="78" spans="1:15" x14ac:dyDescent="0.35">
      <c r="A78" s="1074" t="s">
        <v>224</v>
      </c>
      <c r="B78" s="1353"/>
      <c r="C78" s="1353"/>
      <c r="D78" s="981" t="s">
        <v>214</v>
      </c>
      <c r="E78" s="982">
        <f>'[1]23'!F78</f>
        <v>627714</v>
      </c>
      <c r="F78" s="1073">
        <v>628068</v>
      </c>
      <c r="G78" s="983">
        <f t="shared" si="6"/>
        <v>354</v>
      </c>
      <c r="H78" s="984">
        <f>G78+'[1]23'!H78</f>
        <v>9815</v>
      </c>
      <c r="I78" s="1045"/>
      <c r="J78" s="986">
        <f>H78/DAY(B2)</f>
        <v>408.95833333333331</v>
      </c>
      <c r="K78" s="1067"/>
      <c r="L78" s="961"/>
      <c r="O78" s="988"/>
    </row>
    <row r="79" spans="1:15" x14ac:dyDescent="0.35">
      <c r="A79" s="1589" t="s">
        <v>112</v>
      </c>
      <c r="B79" s="1590"/>
      <c r="C79" s="1591"/>
      <c r="D79" s="1015" t="s">
        <v>214</v>
      </c>
      <c r="E79" s="982">
        <f>'[1]23'!F79</f>
        <v>802358</v>
      </c>
      <c r="F79" s="1073">
        <v>802529</v>
      </c>
      <c r="G79" s="983">
        <f t="shared" si="6"/>
        <v>171</v>
      </c>
      <c r="H79" s="984">
        <f>G79+'[1]23'!H79</f>
        <v>7277</v>
      </c>
      <c r="I79" s="1045"/>
      <c r="J79" s="986">
        <f>H79/DAY(B2)</f>
        <v>303.20833333333331</v>
      </c>
      <c r="K79" s="1067"/>
      <c r="L79" s="961"/>
      <c r="O79" s="988"/>
    </row>
    <row r="80" spans="1:15" x14ac:dyDescent="0.35">
      <c r="A80" s="1589" t="s">
        <v>225</v>
      </c>
      <c r="B80" s="1590"/>
      <c r="C80" s="1591"/>
      <c r="D80" s="1015" t="s">
        <v>214</v>
      </c>
      <c r="E80" s="982">
        <f>'[1]23'!F80</f>
        <v>472961</v>
      </c>
      <c r="F80" s="1072">
        <v>473242</v>
      </c>
      <c r="G80" s="983">
        <f t="shared" si="6"/>
        <v>281</v>
      </c>
      <c r="H80" s="984">
        <f>G80+'[1]23'!H80</f>
        <v>5918.1599999999744</v>
      </c>
      <c r="I80" s="1045"/>
      <c r="J80" s="986">
        <f>H80/DAY(B2)</f>
        <v>246.58999999999892</v>
      </c>
      <c r="K80" s="1067"/>
      <c r="L80" s="961"/>
      <c r="O80" s="988"/>
    </row>
    <row r="81" spans="1:15" x14ac:dyDescent="0.35">
      <c r="A81" s="1589" t="s">
        <v>226</v>
      </c>
      <c r="B81" s="1590"/>
      <c r="C81" s="1591"/>
      <c r="D81" s="1015" t="s">
        <v>214</v>
      </c>
      <c r="E81" s="982">
        <f>'[1]23'!F81</f>
        <v>618102</v>
      </c>
      <c r="F81" s="1072">
        <v>618260</v>
      </c>
      <c r="G81" s="983">
        <f t="shared" si="6"/>
        <v>158</v>
      </c>
      <c r="H81" s="984">
        <f>G81+'[1]23'!H81</f>
        <v>3871.4799999999814</v>
      </c>
      <c r="I81" s="1045"/>
      <c r="J81" s="986">
        <f>H81/DAY(B2)</f>
        <v>161.3116666666659</v>
      </c>
      <c r="K81" s="1067"/>
      <c r="L81" s="961"/>
      <c r="O81" s="988"/>
    </row>
    <row r="82" spans="1:15" x14ac:dyDescent="0.35">
      <c r="A82" s="1589" t="s">
        <v>115</v>
      </c>
      <c r="B82" s="1590"/>
      <c r="C82" s="1591"/>
      <c r="D82" s="1016" t="s">
        <v>159</v>
      </c>
      <c r="E82" s="982">
        <f>'[1]23'!F82</f>
        <v>104259</v>
      </c>
      <c r="F82" s="1075">
        <v>104275</v>
      </c>
      <c r="G82" s="983">
        <f t="shared" si="6"/>
        <v>16</v>
      </c>
      <c r="H82" s="984">
        <f>G82+'[1]23'!H82</f>
        <v>745.35000000000582</v>
      </c>
      <c r="I82" s="1017"/>
      <c r="J82" s="986">
        <f>H82/DAY(B2)</f>
        <v>31.056250000000244</v>
      </c>
      <c r="K82" s="1067"/>
      <c r="L82" s="961"/>
      <c r="O82" s="988"/>
    </row>
    <row r="83" spans="1:15" x14ac:dyDescent="0.35">
      <c r="A83" s="1589" t="s">
        <v>227</v>
      </c>
      <c r="B83" s="1590"/>
      <c r="C83" s="1591"/>
      <c r="D83" s="1076" t="s">
        <v>159</v>
      </c>
      <c r="E83" s="982">
        <f>'[1]23'!F83</f>
        <v>970685</v>
      </c>
      <c r="F83" s="968">
        <v>971015</v>
      </c>
      <c r="G83" s="983">
        <f>F83-E83</f>
        <v>330</v>
      </c>
      <c r="H83" s="984">
        <f>G83+'[1]23'!H83</f>
        <v>8490</v>
      </c>
      <c r="I83" s="1006"/>
      <c r="J83" s="986">
        <f>H83/DAY(B2)</f>
        <v>353.75</v>
      </c>
      <c r="K83" s="1009"/>
      <c r="L83" s="961"/>
      <c r="O83" s="988"/>
    </row>
    <row r="84" spans="1:15" x14ac:dyDescent="0.35">
      <c r="A84" s="1077" t="s">
        <v>228</v>
      </c>
      <c r="B84" s="1078"/>
      <c r="C84" s="1078"/>
      <c r="D84" s="1000" t="s">
        <v>159</v>
      </c>
      <c r="E84" s="982">
        <f>'[1]23'!F84</f>
        <v>393463</v>
      </c>
      <c r="F84" s="1079">
        <v>393940</v>
      </c>
      <c r="G84" s="983">
        <f t="shared" si="6"/>
        <v>477</v>
      </c>
      <c r="H84" s="984">
        <f>G84+'[1]23'!H84</f>
        <v>12584</v>
      </c>
      <c r="I84" s="1006"/>
      <c r="J84" s="986">
        <f>H84/DAY(B2)</f>
        <v>524.33333333333337</v>
      </c>
      <c r="K84" s="1080"/>
      <c r="L84" s="961"/>
      <c r="O84" s="988"/>
    </row>
    <row r="85" spans="1:15" s="1084" customFormat="1" x14ac:dyDescent="0.35">
      <c r="A85" s="1081" t="s">
        <v>82</v>
      </c>
      <c r="B85" s="1082"/>
      <c r="C85" s="1082"/>
      <c r="D85" s="1021"/>
      <c r="E85" s="982">
        <f>'[1]23'!F85</f>
        <v>0</v>
      </c>
      <c r="F85" s="981"/>
      <c r="G85" s="984">
        <f xml:space="preserve"> SUM(G72:G84)</f>
        <v>2194</v>
      </c>
      <c r="H85" s="984">
        <f>G85+'[1]23'!H85</f>
        <v>56181.519999999931</v>
      </c>
      <c r="I85" s="1006"/>
      <c r="J85" s="986">
        <f>H85/DAY(B2)</f>
        <v>2340.8966666666638</v>
      </c>
      <c r="K85" s="1080"/>
      <c r="L85" s="1083"/>
      <c r="N85" s="1151"/>
      <c r="O85" s="988"/>
    </row>
    <row r="86" spans="1:15" s="1094" customFormat="1" x14ac:dyDescent="0.35">
      <c r="A86" s="1085" t="s">
        <v>117</v>
      </c>
      <c r="B86" s="1086"/>
      <c r="C86" s="1086"/>
      <c r="D86" s="1087" t="s">
        <v>210</v>
      </c>
      <c r="E86" s="982">
        <f>'[1]23'!F86</f>
        <v>443678</v>
      </c>
      <c r="F86" s="1088">
        <v>443785</v>
      </c>
      <c r="G86" s="1089">
        <f t="shared" si="6"/>
        <v>107</v>
      </c>
      <c r="H86" s="1089">
        <f t="shared" ref="H86:H88" si="7">G86</f>
        <v>107</v>
      </c>
      <c r="I86" s="1090"/>
      <c r="J86" s="1091">
        <f>H86/DAY(B2)</f>
        <v>4.458333333333333</v>
      </c>
      <c r="K86" s="1092"/>
      <c r="L86" s="1093"/>
      <c r="N86" s="1152"/>
      <c r="O86" s="988"/>
    </row>
    <row r="87" spans="1:15" s="1094" customFormat="1" x14ac:dyDescent="0.35">
      <c r="A87" s="1085" t="s">
        <v>118</v>
      </c>
      <c r="B87" s="1086"/>
      <c r="C87" s="1086"/>
      <c r="D87" s="1087" t="s">
        <v>210</v>
      </c>
      <c r="E87" s="982">
        <f>'[1]23'!F87</f>
        <v>77585</v>
      </c>
      <c r="F87" s="1088">
        <v>77615</v>
      </c>
      <c r="G87" s="1089">
        <f t="shared" si="6"/>
        <v>30</v>
      </c>
      <c r="H87" s="1089">
        <f t="shared" si="7"/>
        <v>30</v>
      </c>
      <c r="I87" s="1090"/>
      <c r="J87" s="1091">
        <f>H87/DAY(B2)</f>
        <v>1.25</v>
      </c>
      <c r="K87" s="1092"/>
      <c r="L87" s="1093"/>
      <c r="N87" s="1152"/>
      <c r="O87" s="988"/>
    </row>
    <row r="88" spans="1:15" s="1094" customFormat="1" x14ac:dyDescent="0.35">
      <c r="A88" s="1085" t="s">
        <v>119</v>
      </c>
      <c r="B88" s="1086"/>
      <c r="C88" s="1086"/>
      <c r="D88" s="1087" t="s">
        <v>210</v>
      </c>
      <c r="E88" s="982">
        <f>'[1]23'!F88</f>
        <v>144101</v>
      </c>
      <c r="F88" s="1088">
        <v>144201</v>
      </c>
      <c r="G88" s="1089">
        <f t="shared" si="6"/>
        <v>100</v>
      </c>
      <c r="H88" s="1089">
        <f t="shared" si="7"/>
        <v>100</v>
      </c>
      <c r="I88" s="1090"/>
      <c r="J88" s="1091">
        <f>H88/DAY(B2)</f>
        <v>4.166666666666667</v>
      </c>
      <c r="K88" s="1092"/>
      <c r="L88" s="1093"/>
      <c r="N88" s="1152"/>
      <c r="O88" s="988"/>
    </row>
    <row r="89" spans="1:15" s="1094" customFormat="1" x14ac:dyDescent="0.35">
      <c r="A89" s="1085" t="s">
        <v>230</v>
      </c>
      <c r="B89" s="1086"/>
      <c r="C89" s="1086"/>
      <c r="D89" s="1087" t="s">
        <v>210</v>
      </c>
      <c r="E89" s="982">
        <f>'[1]23'!F89</f>
        <v>57157</v>
      </c>
      <c r="F89" s="1088">
        <v>57220</v>
      </c>
      <c r="G89" s="1089">
        <f t="shared" si="6"/>
        <v>63</v>
      </c>
      <c r="H89" s="1089">
        <f>G89</f>
        <v>63</v>
      </c>
      <c r="I89" s="1090"/>
      <c r="J89" s="1091">
        <f>H89/DAY(B2)</f>
        <v>2.625</v>
      </c>
      <c r="K89" s="1092"/>
      <c r="L89" s="1093"/>
      <c r="N89" s="1153"/>
      <c r="O89" s="988"/>
    </row>
    <row r="90" spans="1:15" s="1094" customFormat="1" x14ac:dyDescent="0.35">
      <c r="A90" s="1085" t="s">
        <v>230</v>
      </c>
      <c r="B90" s="1086"/>
      <c r="C90" s="1086"/>
      <c r="D90" s="1087" t="s">
        <v>210</v>
      </c>
      <c r="E90" s="982">
        <f>'[1]23'!F90</f>
        <v>2966</v>
      </c>
      <c r="F90" s="1088">
        <v>2969</v>
      </c>
      <c r="G90" s="1089">
        <f t="shared" si="6"/>
        <v>3</v>
      </c>
      <c r="H90" s="1089">
        <f>G90</f>
        <v>3</v>
      </c>
      <c r="I90" s="1090"/>
      <c r="J90" s="1091">
        <f>H90/DAY(B2)</f>
        <v>0.125</v>
      </c>
      <c r="K90" s="1092"/>
      <c r="L90" s="1093"/>
      <c r="N90" s="1153"/>
      <c r="O90" s="988"/>
    </row>
    <row r="91" spans="1:15" s="1084" customFormat="1" x14ac:dyDescent="0.35">
      <c r="A91" s="1095" t="s">
        <v>231</v>
      </c>
      <c r="B91" s="976"/>
      <c r="C91" s="976"/>
      <c r="D91" s="976"/>
      <c r="E91" s="976"/>
      <c r="F91" s="976"/>
      <c r="G91" s="1020"/>
      <c r="H91" s="976"/>
      <c r="I91" s="976"/>
      <c r="J91" s="977"/>
      <c r="K91" s="1080"/>
      <c r="L91" s="1083"/>
      <c r="N91" s="1151"/>
      <c r="O91" s="988"/>
    </row>
    <row r="92" spans="1:15" x14ac:dyDescent="0.35">
      <c r="A92" s="1566" t="s">
        <v>233</v>
      </c>
      <c r="B92" s="1567"/>
      <c r="C92" s="1568"/>
      <c r="D92" s="981" t="s">
        <v>171</v>
      </c>
      <c r="E92" s="982">
        <f>'[1]23'!F92</f>
        <v>233154</v>
      </c>
      <c r="F92" s="1012">
        <v>233222</v>
      </c>
      <c r="G92" s="983">
        <f t="shared" ref="G92:G93" si="8">F92-E92</f>
        <v>68</v>
      </c>
      <c r="H92" s="984">
        <f>G92+'[1]23'!H92</f>
        <v>2247</v>
      </c>
      <c r="I92" s="1003"/>
      <c r="J92" s="986">
        <f>H92/DAY(B2)</f>
        <v>93.625</v>
      </c>
      <c r="K92" s="1009"/>
      <c r="L92" s="961"/>
      <c r="O92" s="988"/>
    </row>
    <row r="93" spans="1:15" x14ac:dyDescent="0.35">
      <c r="A93" s="1566" t="s">
        <v>234</v>
      </c>
      <c r="B93" s="1567"/>
      <c r="C93" s="1568"/>
      <c r="D93" s="981" t="s">
        <v>171</v>
      </c>
      <c r="E93" s="982">
        <f>'[1]23'!F93</f>
        <v>165826</v>
      </c>
      <c r="F93" s="1012">
        <v>165959</v>
      </c>
      <c r="G93" s="983">
        <f t="shared" si="8"/>
        <v>133</v>
      </c>
      <c r="H93" s="984">
        <f>G93+'[1]23'!H93</f>
        <v>3317</v>
      </c>
      <c r="I93" s="1003"/>
      <c r="J93" s="986">
        <f>H93/DAY(B2)</f>
        <v>138.20833333333334</v>
      </c>
      <c r="K93" s="1080"/>
      <c r="L93" s="961"/>
      <c r="O93" s="988"/>
    </row>
    <row r="94" spans="1:15" x14ac:dyDescent="0.35">
      <c r="A94" s="1592" t="s">
        <v>235</v>
      </c>
      <c r="B94" s="1593"/>
      <c r="C94" s="1594"/>
      <c r="D94" s="981"/>
      <c r="E94" s="982">
        <f>'[1]23'!F94</f>
        <v>0</v>
      </c>
      <c r="F94" s="1012"/>
      <c r="G94" s="983">
        <f>G92+G93</f>
        <v>201</v>
      </c>
      <c r="H94" s="984">
        <f>G94+'[1]23'!H94</f>
        <v>5301</v>
      </c>
      <c r="I94" s="1003"/>
      <c r="J94" s="986">
        <f>H94/DAY(B2)</f>
        <v>220.875</v>
      </c>
      <c r="K94" s="1080"/>
      <c r="L94" s="961"/>
      <c r="O94" s="988"/>
    </row>
    <row r="95" spans="1:15" x14ac:dyDescent="0.35">
      <c r="A95" s="1566" t="s">
        <v>236</v>
      </c>
      <c r="B95" s="1567"/>
      <c r="C95" s="1568"/>
      <c r="D95" s="981" t="s">
        <v>171</v>
      </c>
      <c r="E95" s="982">
        <f>'[1]23'!F95</f>
        <v>403067</v>
      </c>
      <c r="F95" s="1012">
        <v>403131</v>
      </c>
      <c r="G95" s="983">
        <f t="shared" ref="G95:G100" si="9">F95-E95</f>
        <v>64</v>
      </c>
      <c r="H95" s="984">
        <f>G95+'[1]23'!H95</f>
        <v>1566</v>
      </c>
      <c r="I95" s="1003"/>
      <c r="J95" s="986">
        <f>H95/DAY(B2)</f>
        <v>65.25</v>
      </c>
      <c r="K95" s="1080"/>
      <c r="L95" s="961"/>
      <c r="O95" s="988"/>
    </row>
    <row r="96" spans="1:15" x14ac:dyDescent="0.35">
      <c r="A96" s="1010" t="s">
        <v>237</v>
      </c>
      <c r="B96" s="1011"/>
      <c r="C96" s="1011"/>
      <c r="D96" s="981" t="s">
        <v>171</v>
      </c>
      <c r="E96" s="982">
        <f>'[1]23'!F96</f>
        <v>99724</v>
      </c>
      <c r="F96" s="1012">
        <v>99750</v>
      </c>
      <c r="G96" s="983">
        <f t="shared" si="9"/>
        <v>26</v>
      </c>
      <c r="H96" s="984">
        <f>G96+'[1]23'!H96</f>
        <v>639</v>
      </c>
      <c r="I96" s="1003"/>
      <c r="J96" s="986">
        <f>H96/DAY(B2)</f>
        <v>26.625</v>
      </c>
      <c r="K96" s="978"/>
      <c r="L96" s="961"/>
      <c r="O96" s="988"/>
    </row>
    <row r="97" spans="1:15" x14ac:dyDescent="0.35">
      <c r="A97" s="1010" t="s">
        <v>238</v>
      </c>
      <c r="B97" s="1011"/>
      <c r="C97" s="1011"/>
      <c r="D97" s="981" t="s">
        <v>171</v>
      </c>
      <c r="E97" s="982">
        <f>'[1]23'!F97</f>
        <v>94831</v>
      </c>
      <c r="F97" s="1012">
        <v>94851</v>
      </c>
      <c r="G97" s="983">
        <f t="shared" si="9"/>
        <v>20</v>
      </c>
      <c r="H97" s="984">
        <f>G97+'[1]23'!H97</f>
        <v>579</v>
      </c>
      <c r="I97" s="1003"/>
      <c r="J97" s="986">
        <f>H97/DAY(B2)</f>
        <v>24.125</v>
      </c>
      <c r="K97" s="1096"/>
      <c r="L97" s="961"/>
      <c r="O97" s="988"/>
    </row>
    <row r="98" spans="1:15" x14ac:dyDescent="0.35">
      <c r="A98" s="1010" t="s">
        <v>239</v>
      </c>
      <c r="B98" s="1011"/>
      <c r="C98" s="1011"/>
      <c r="D98" s="981" t="s">
        <v>171</v>
      </c>
      <c r="E98" s="982">
        <f>'[1]23'!F98</f>
        <v>143389</v>
      </c>
      <c r="F98" s="1012">
        <v>143444</v>
      </c>
      <c r="G98" s="983">
        <f t="shared" si="9"/>
        <v>55</v>
      </c>
      <c r="H98" s="984">
        <f>G98+'[1]23'!H98</f>
        <v>1298</v>
      </c>
      <c r="I98" s="1003"/>
      <c r="J98" s="986">
        <f>H98/DAY(B2)</f>
        <v>54.083333333333336</v>
      </c>
      <c r="K98" s="1080"/>
      <c r="L98" s="961"/>
      <c r="O98" s="988"/>
    </row>
    <row r="99" spans="1:15" x14ac:dyDescent="0.35">
      <c r="A99" s="1010" t="s">
        <v>240</v>
      </c>
      <c r="B99" s="1011"/>
      <c r="C99" s="1011"/>
      <c r="D99" s="981" t="s">
        <v>171</v>
      </c>
      <c r="E99" s="982">
        <f>'[1]23'!F99</f>
        <v>5394</v>
      </c>
      <c r="F99" s="1012">
        <v>5404</v>
      </c>
      <c r="G99" s="983">
        <f t="shared" si="9"/>
        <v>10</v>
      </c>
      <c r="H99" s="984">
        <f>G99+'[1]23'!H99</f>
        <v>436</v>
      </c>
      <c r="I99" s="1003"/>
      <c r="J99" s="986">
        <f>H99/DAY(B2)</f>
        <v>18.166666666666668</v>
      </c>
      <c r="K99" s="1080"/>
      <c r="L99" s="961"/>
      <c r="O99" s="988"/>
    </row>
    <row r="100" spans="1:15" x14ac:dyDescent="0.35">
      <c r="A100" s="1010" t="s">
        <v>241</v>
      </c>
      <c r="B100" s="1011"/>
      <c r="C100" s="1011"/>
      <c r="D100" s="981" t="s">
        <v>171</v>
      </c>
      <c r="E100" s="982">
        <f>'[1]23'!F100</f>
        <v>3871</v>
      </c>
      <c r="F100" s="1012">
        <v>3879</v>
      </c>
      <c r="G100" s="983">
        <f t="shared" si="9"/>
        <v>8</v>
      </c>
      <c r="H100" s="984">
        <f>G100+'[1]23'!H100</f>
        <v>83</v>
      </c>
      <c r="I100" s="1003"/>
      <c r="J100" s="986">
        <f>H100/DAY(B2)</f>
        <v>3.4583333333333335</v>
      </c>
      <c r="K100" s="1080"/>
      <c r="L100" s="961"/>
      <c r="O100" s="988"/>
    </row>
    <row r="101" spans="1:15" x14ac:dyDescent="0.35">
      <c r="A101" s="1592" t="s">
        <v>242</v>
      </c>
      <c r="B101" s="1593"/>
      <c r="C101" s="1594"/>
      <c r="D101" s="1015"/>
      <c r="E101" s="1015"/>
      <c r="F101" s="1015"/>
      <c r="G101" s="1097">
        <f>SUM(G95:G100)</f>
        <v>183</v>
      </c>
      <c r="H101" s="984">
        <f>G101+'[1]23'!H101</f>
        <v>4601</v>
      </c>
      <c r="I101" s="1098"/>
      <c r="J101" s="986">
        <f>H101/DAY(B2)</f>
        <v>191.70833333333334</v>
      </c>
      <c r="K101" s="1080"/>
      <c r="L101" s="961"/>
      <c r="O101" s="988"/>
    </row>
    <row r="102" spans="1:15" s="1033" customFormat="1" x14ac:dyDescent="0.25">
      <c r="A102" s="1099" t="s">
        <v>243</v>
      </c>
      <c r="B102" s="1100"/>
      <c r="C102" s="1100"/>
      <c r="D102" s="1101"/>
      <c r="E102" s="1102"/>
      <c r="F102" s="1103"/>
      <c r="G102" s="1104"/>
      <c r="H102" s="1105"/>
      <c r="I102" s="1106"/>
      <c r="J102" s="1107"/>
      <c r="N102" s="1149"/>
      <c r="O102" s="988"/>
    </row>
    <row r="103" spans="1:15" s="1033" customFormat="1" x14ac:dyDescent="0.35">
      <c r="A103" s="1600" t="s">
        <v>244</v>
      </c>
      <c r="B103" s="1601"/>
      <c r="C103" s="1108"/>
      <c r="D103" s="1109"/>
      <c r="E103" s="1110"/>
      <c r="F103" s="1110"/>
      <c r="G103" s="1110"/>
      <c r="H103" s="1111"/>
      <c r="I103" s="1110"/>
      <c r="J103" s="1112"/>
      <c r="N103" s="1149"/>
      <c r="O103" s="988"/>
    </row>
    <row r="104" spans="1:15" s="1033" customFormat="1" x14ac:dyDescent="0.35">
      <c r="A104" s="1602" t="s">
        <v>245</v>
      </c>
      <c r="B104" s="1603"/>
      <c r="C104" s="1113"/>
      <c r="D104" s="1109" t="s">
        <v>171</v>
      </c>
      <c r="E104" s="1110">
        <f>'[1]23'!F104</f>
        <v>7010</v>
      </c>
      <c r="F104" s="1110">
        <v>7010</v>
      </c>
      <c r="G104" s="1110">
        <f>F104-E104</f>
        <v>0</v>
      </c>
      <c r="H104" s="1111">
        <f>SUM(G104+'[1]1'!G76)</f>
        <v>57</v>
      </c>
      <c r="I104" s="1110"/>
      <c r="J104" s="1112">
        <f>H104/DAY(B2)</f>
        <v>2.375</v>
      </c>
      <c r="N104" s="1149"/>
      <c r="O104" s="988"/>
    </row>
    <row r="105" spans="1:15" s="1033" customFormat="1" x14ac:dyDescent="0.35">
      <c r="A105" s="1602" t="s">
        <v>92</v>
      </c>
      <c r="B105" s="1603"/>
      <c r="C105" s="1113"/>
      <c r="D105" s="1109" t="s">
        <v>171</v>
      </c>
      <c r="E105" s="1110">
        <f>'[1]23'!F105</f>
        <v>34852</v>
      </c>
      <c r="F105" s="1114">
        <v>34860</v>
      </c>
      <c r="G105" s="1110">
        <f t="shared" ref="G105:G106" si="10">F105-E105</f>
        <v>8</v>
      </c>
      <c r="H105" s="1111">
        <f>SUM(G105+'[1]1'!G77)</f>
        <v>63</v>
      </c>
      <c r="I105" s="1110"/>
      <c r="J105" s="1112">
        <f>H105/DAY(B2)</f>
        <v>2.625</v>
      </c>
      <c r="N105" s="1149"/>
      <c r="O105" s="988"/>
    </row>
    <row r="106" spans="1:15" s="1033" customFormat="1" x14ac:dyDescent="0.35">
      <c r="A106" s="1602" t="s">
        <v>93</v>
      </c>
      <c r="B106" s="1604"/>
      <c r="C106" s="1603"/>
      <c r="D106" s="1109" t="s">
        <v>171</v>
      </c>
      <c r="E106" s="1110">
        <f>'[1]23'!F106</f>
        <v>18846</v>
      </c>
      <c r="F106" s="1110">
        <v>18851</v>
      </c>
      <c r="G106" s="1110">
        <f t="shared" si="10"/>
        <v>5</v>
      </c>
      <c r="H106" s="1111">
        <f>SUM(G106+'[1]1'!G78)</f>
        <v>485</v>
      </c>
      <c r="I106" s="1110"/>
      <c r="J106" s="1112">
        <f>H106/DAY(B2)</f>
        <v>20.208333333333332</v>
      </c>
      <c r="N106" s="1149"/>
      <c r="O106" s="988"/>
    </row>
    <row r="107" spans="1:15" s="1033" customFormat="1" x14ac:dyDescent="0.35">
      <c r="A107" s="1605" t="s">
        <v>82</v>
      </c>
      <c r="B107" s="1606"/>
      <c r="C107" s="1113"/>
      <c r="D107" s="1109"/>
      <c r="E107" s="1110"/>
      <c r="F107" s="1110"/>
      <c r="G107" s="1110">
        <f>SUM(G104:G106)</f>
        <v>13</v>
      </c>
      <c r="H107" s="1111">
        <f>SUM(G107+'[1]1'!G79)</f>
        <v>214</v>
      </c>
      <c r="I107" s="1110"/>
      <c r="J107" s="1112">
        <f>H107/DAY(B2)</f>
        <v>8.9166666666666661</v>
      </c>
      <c r="N107" s="1149"/>
      <c r="O107" s="988"/>
    </row>
    <row r="108" spans="1:15" s="1033" customFormat="1" x14ac:dyDescent="0.35">
      <c r="A108" s="1607" t="s">
        <v>94</v>
      </c>
      <c r="B108" s="1608"/>
      <c r="C108" s="1113"/>
      <c r="D108" s="1109" t="s">
        <v>171</v>
      </c>
      <c r="E108" s="1110">
        <f>'[1]23'!F108</f>
        <v>0</v>
      </c>
      <c r="F108" s="1110"/>
      <c r="G108" s="1110"/>
      <c r="H108" s="1111"/>
      <c r="I108" s="1110"/>
      <c r="J108" s="1112"/>
      <c r="N108" s="1149"/>
      <c r="O108" s="988"/>
    </row>
    <row r="109" spans="1:15" s="1033" customFormat="1" x14ac:dyDescent="0.35">
      <c r="A109" s="1602" t="s">
        <v>246</v>
      </c>
      <c r="B109" s="1603"/>
      <c r="C109" s="1113"/>
      <c r="D109" s="1109" t="s">
        <v>171</v>
      </c>
      <c r="E109" s="1110">
        <f>'[1]23'!F109</f>
        <v>52602</v>
      </c>
      <c r="F109" s="1110">
        <v>52646</v>
      </c>
      <c r="G109" s="1110">
        <f>F109-E109</f>
        <v>44</v>
      </c>
      <c r="H109" s="1111">
        <f>SUM(G109+'[1]1'!G81)</f>
        <v>197.28000000002794</v>
      </c>
      <c r="I109" s="1110"/>
      <c r="J109" s="1112">
        <f>H109/DAY(B2)</f>
        <v>8.2200000000011642</v>
      </c>
      <c r="N109" s="1149"/>
      <c r="O109" s="988"/>
    </row>
    <row r="110" spans="1:15" s="1033" customFormat="1" x14ac:dyDescent="0.35">
      <c r="A110" s="1602" t="s">
        <v>247</v>
      </c>
      <c r="B110" s="1603"/>
      <c r="C110" s="1113"/>
      <c r="D110" s="1109" t="s">
        <v>171</v>
      </c>
      <c r="E110" s="1110">
        <f>'[1]23'!F110</f>
        <v>26522</v>
      </c>
      <c r="F110" s="1110">
        <v>26574</v>
      </c>
      <c r="G110" s="1110">
        <f t="shared" ref="G110:G111" si="11">F110-E110</f>
        <v>52</v>
      </c>
      <c r="H110" s="1111">
        <f>SUM(G110+'[1]1'!G82)</f>
        <v>72.760000000009313</v>
      </c>
      <c r="I110" s="1110"/>
      <c r="J110" s="1112">
        <f>H110/DAY(B2)</f>
        <v>3.0316666666670549</v>
      </c>
      <c r="N110" s="1149"/>
      <c r="O110" s="988"/>
    </row>
    <row r="111" spans="1:15" s="1033" customFormat="1" x14ac:dyDescent="0.35">
      <c r="A111" s="1602" t="s">
        <v>248</v>
      </c>
      <c r="B111" s="1603"/>
      <c r="C111" s="1113"/>
      <c r="D111" s="1109" t="s">
        <v>171</v>
      </c>
      <c r="E111" s="1110">
        <f>'[1]23'!F111</f>
        <v>3513</v>
      </c>
      <c r="F111" s="1110">
        <v>3524</v>
      </c>
      <c r="G111" s="1110">
        <f t="shared" si="11"/>
        <v>11</v>
      </c>
      <c r="H111" s="1111">
        <f>SUM(G111+'[1]1'!G83)</f>
        <v>357</v>
      </c>
      <c r="I111" s="1110"/>
      <c r="J111" s="1112">
        <f>H111/DAY(B2)</f>
        <v>14.875</v>
      </c>
      <c r="N111" s="1149"/>
      <c r="O111" s="988"/>
    </row>
    <row r="112" spans="1:15" s="1033" customFormat="1" x14ac:dyDescent="0.35">
      <c r="A112" s="1612" t="s">
        <v>136</v>
      </c>
      <c r="B112" s="1613"/>
      <c r="C112" s="1113"/>
      <c r="D112" s="1109"/>
      <c r="E112" s="1110">
        <f>'[1]23'!F112</f>
        <v>0</v>
      </c>
      <c r="F112" s="1110"/>
      <c r="G112" s="1110">
        <f>SUM(G109:G111)</f>
        <v>107</v>
      </c>
      <c r="H112" s="1111">
        <f>SUM(G112+'[1]1'!G84)</f>
        <v>671</v>
      </c>
      <c r="I112" s="1110"/>
      <c r="J112" s="1112">
        <f>H112/DAY(B2)</f>
        <v>27.958333333333332</v>
      </c>
      <c r="N112" s="1149"/>
      <c r="O112" s="988"/>
    </row>
    <row r="113" spans="1:15" s="1033" customFormat="1" x14ac:dyDescent="0.35">
      <c r="A113" s="1607" t="s">
        <v>249</v>
      </c>
      <c r="B113" s="1608"/>
      <c r="C113" s="1113"/>
      <c r="D113" s="1109"/>
      <c r="E113" s="1110"/>
      <c r="F113" s="1110"/>
      <c r="G113" s="1110"/>
      <c r="H113" s="1111"/>
      <c r="I113" s="1110"/>
      <c r="J113" s="1112">
        <f>H113/DAY(B2)</f>
        <v>0</v>
      </c>
      <c r="N113" s="1149"/>
      <c r="O113" s="988"/>
    </row>
    <row r="114" spans="1:15" s="1033" customFormat="1" x14ac:dyDescent="0.35">
      <c r="A114" s="1602" t="s">
        <v>250</v>
      </c>
      <c r="B114" s="1603"/>
      <c r="C114" s="1115"/>
      <c r="D114" s="1109" t="s">
        <v>171</v>
      </c>
      <c r="E114" s="1110">
        <f>'[1]23'!F114</f>
        <v>9109</v>
      </c>
      <c r="F114" s="1114">
        <v>9121</v>
      </c>
      <c r="G114" s="1114">
        <f>F114-E114</f>
        <v>12</v>
      </c>
      <c r="H114" s="1111">
        <f>SUM(G114+'[1]1'!G91)</f>
        <v>12</v>
      </c>
      <c r="I114" s="1110"/>
      <c r="J114" s="1112">
        <f>H114/DAY(B2)</f>
        <v>0.5</v>
      </c>
      <c r="N114" s="1149"/>
      <c r="O114" s="988"/>
    </row>
    <row r="115" spans="1:15" s="1033" customFormat="1" x14ac:dyDescent="0.35">
      <c r="A115" s="1602" t="s">
        <v>251</v>
      </c>
      <c r="B115" s="1603"/>
      <c r="C115" s="1115"/>
      <c r="D115" s="1109" t="s">
        <v>171</v>
      </c>
      <c r="E115" s="1110">
        <f>'[1]23'!F115</f>
        <v>7108</v>
      </c>
      <c r="F115" s="1114">
        <v>7114</v>
      </c>
      <c r="G115" s="1114">
        <f t="shared" ref="G115:G116" si="12">F115-E115</f>
        <v>6</v>
      </c>
      <c r="H115" s="1111">
        <f>SUM(G115+'[1]1'!G92)</f>
        <v>118</v>
      </c>
      <c r="I115" s="1110"/>
      <c r="J115" s="1112">
        <f>H115/DAY(B2)</f>
        <v>4.916666666666667</v>
      </c>
      <c r="N115" s="1149"/>
      <c r="O115" s="988"/>
    </row>
    <row r="116" spans="1:15" s="1033" customFormat="1" x14ac:dyDescent="0.35">
      <c r="A116" s="1602" t="s">
        <v>252</v>
      </c>
      <c r="B116" s="1603"/>
      <c r="C116" s="1115"/>
      <c r="D116" s="1109" t="s">
        <v>171</v>
      </c>
      <c r="E116" s="1114"/>
      <c r="F116" s="1114"/>
      <c r="G116" s="1114">
        <f t="shared" si="12"/>
        <v>0</v>
      </c>
      <c r="H116" s="1111">
        <f>SUM(G116+'[1]1'!G93)</f>
        <v>151</v>
      </c>
      <c r="I116" s="1110"/>
      <c r="J116" s="1112">
        <f>H116/DAY(B2)</f>
        <v>6.291666666666667</v>
      </c>
      <c r="N116" s="1149"/>
      <c r="O116" s="988"/>
    </row>
    <row r="117" spans="1:15" s="1117" customFormat="1" x14ac:dyDescent="0.35">
      <c r="A117" s="1605" t="s">
        <v>82</v>
      </c>
      <c r="B117" s="1606"/>
      <c r="C117" s="1115"/>
      <c r="D117" s="1116"/>
      <c r="E117" s="1114"/>
      <c r="F117" s="1114"/>
      <c r="G117" s="1114">
        <f>SUM(G114:G116)</f>
        <v>18</v>
      </c>
      <c r="H117" s="1111">
        <f>SUM(G117+'[1]1'!G95)</f>
        <v>65</v>
      </c>
      <c r="I117" s="1114"/>
      <c r="J117" s="1112">
        <f>H117/DAY(B2)</f>
        <v>2.7083333333333335</v>
      </c>
      <c r="N117" s="1154"/>
      <c r="O117" s="988"/>
    </row>
    <row r="118" spans="1:15" s="907" customFormat="1" x14ac:dyDescent="0.35">
      <c r="A118" s="1616" t="s">
        <v>253</v>
      </c>
      <c r="B118" s="1617"/>
      <c r="C118" s="1118"/>
      <c r="D118" s="1119" t="s">
        <v>171</v>
      </c>
      <c r="E118" s="1120"/>
      <c r="F118" s="1121">
        <f>SUM(G19+G92)</f>
        <v>122</v>
      </c>
      <c r="G118" s="1121">
        <f>SUM(G19+G92)</f>
        <v>122</v>
      </c>
      <c r="H118" s="1111">
        <f>SUM(G118+'[1]1'!G96)</f>
        <v>155</v>
      </c>
      <c r="I118" s="1120"/>
      <c r="J118" s="1122">
        <f>H118/DAY(B2)</f>
        <v>6.458333333333333</v>
      </c>
      <c r="N118" s="1155"/>
      <c r="O118" s="988"/>
    </row>
    <row r="119" spans="1:15" s="907" customFormat="1" x14ac:dyDescent="0.35">
      <c r="A119" s="1616" t="s">
        <v>254</v>
      </c>
      <c r="B119" s="1617"/>
      <c r="C119" s="1118"/>
      <c r="D119" s="1119" t="s">
        <v>171</v>
      </c>
      <c r="E119" s="1120"/>
      <c r="F119" s="1121">
        <f>SUM(G95,G96,G97,G99,G100)</f>
        <v>128</v>
      </c>
      <c r="G119" s="1121">
        <f>SUM(G95,G96,G97,G99,G100)</f>
        <v>128</v>
      </c>
      <c r="H119" s="1111">
        <f>SUM(G119+'[1]1'!G98)</f>
        <v>195</v>
      </c>
      <c r="I119" s="1120"/>
      <c r="J119" s="1122">
        <f>H119/DAY(B2)</f>
        <v>8.125</v>
      </c>
      <c r="N119" s="1155"/>
      <c r="O119" s="988"/>
    </row>
    <row r="120" spans="1:15" s="907" customFormat="1" x14ac:dyDescent="0.35">
      <c r="A120" s="1616" t="s">
        <v>255</v>
      </c>
      <c r="B120" s="1617"/>
      <c r="C120" s="1118"/>
      <c r="D120" s="1119" t="s">
        <v>171</v>
      </c>
      <c r="E120" s="1120"/>
      <c r="F120" s="1114">
        <f>SUM(G112)</f>
        <v>107</v>
      </c>
      <c r="G120" s="1114">
        <f>SUM(G112)</f>
        <v>107</v>
      </c>
      <c r="H120" s="1111">
        <f>SUM(G120+'[1]1'!G100)</f>
        <v>107</v>
      </c>
      <c r="I120" s="1120"/>
      <c r="J120" s="1122">
        <f>H120/DAY(B2)</f>
        <v>4.458333333333333</v>
      </c>
      <c r="N120" s="1155"/>
      <c r="O120" s="988"/>
    </row>
    <row r="121" spans="1:15" s="1033" customFormat="1" x14ac:dyDescent="0.35">
      <c r="A121" s="1614"/>
      <c r="B121" s="1615"/>
      <c r="C121" s="1113"/>
      <c r="D121" s="1108"/>
      <c r="E121" s="1108"/>
      <c r="F121" s="1108" t="s">
        <v>143</v>
      </c>
      <c r="G121" s="1108"/>
      <c r="H121" s="1123"/>
      <c r="I121" s="1108"/>
      <c r="J121" s="1124"/>
      <c r="N121" s="1149"/>
      <c r="O121" s="988"/>
    </row>
    <row r="122" spans="1:15" x14ac:dyDescent="0.35">
      <c r="A122" s="1595" t="s">
        <v>256</v>
      </c>
      <c r="B122" s="1596"/>
      <c r="C122" s="1597"/>
      <c r="D122" s="976"/>
      <c r="E122" s="976"/>
      <c r="F122" s="976"/>
      <c r="G122" s="1008"/>
      <c r="H122" s="1008"/>
      <c r="I122" s="1008"/>
      <c r="J122" s="1125"/>
      <c r="K122" s="1080"/>
      <c r="L122" s="961"/>
      <c r="O122" s="988"/>
    </row>
    <row r="123" spans="1:15" x14ac:dyDescent="0.35">
      <c r="A123" s="1010" t="s">
        <v>257</v>
      </c>
      <c r="B123" s="1011"/>
      <c r="C123" s="1011"/>
      <c r="D123" s="981" t="s">
        <v>168</v>
      </c>
      <c r="E123" s="982">
        <f>'[1]23'!F123</f>
        <v>793554</v>
      </c>
      <c r="F123" s="1000">
        <v>793769</v>
      </c>
      <c r="G123" s="983">
        <f t="shared" ref="G123:G127" si="13">F123-E123</f>
        <v>215</v>
      </c>
      <c r="H123" s="984">
        <f>G123+'[1]23'!H123</f>
        <v>4937.9300000000512</v>
      </c>
      <c r="I123" s="1098"/>
      <c r="J123" s="986">
        <f>H123/DAY(B2)</f>
        <v>205.74708333333547</v>
      </c>
      <c r="K123" s="1080"/>
      <c r="L123" s="961"/>
      <c r="O123" s="988"/>
    </row>
    <row r="124" spans="1:15" x14ac:dyDescent="0.35">
      <c r="A124" s="1010" t="s">
        <v>258</v>
      </c>
      <c r="B124" s="1011"/>
      <c r="C124" s="1011"/>
      <c r="D124" s="981" t="s">
        <v>168</v>
      </c>
      <c r="E124" s="1018">
        <f>'[1]23'!F124</f>
        <v>73581.899999999994</v>
      </c>
      <c r="F124" s="1126">
        <v>73581.899999999994</v>
      </c>
      <c r="G124" s="983">
        <f t="shared" si="13"/>
        <v>0</v>
      </c>
      <c r="H124" s="984">
        <f>G124+'[1]23'!H124</f>
        <v>-0.30000000000291038</v>
      </c>
      <c r="I124" s="1098"/>
      <c r="J124" s="986">
        <f>H124/DAY(B2)</f>
        <v>-1.2500000000121267E-2</v>
      </c>
      <c r="K124" s="1080"/>
      <c r="L124" s="961"/>
      <c r="O124" s="988"/>
    </row>
    <row r="125" spans="1:15" x14ac:dyDescent="0.35">
      <c r="A125" s="1563" t="s">
        <v>259</v>
      </c>
      <c r="B125" s="1564"/>
      <c r="C125" s="1565"/>
      <c r="D125" s="981" t="s">
        <v>168</v>
      </c>
      <c r="E125" s="982">
        <f>'[1]23'!F125</f>
        <v>134967</v>
      </c>
      <c r="F125" s="1000">
        <v>135060</v>
      </c>
      <c r="G125" s="983">
        <f t="shared" si="13"/>
        <v>93</v>
      </c>
      <c r="H125" s="984">
        <f>G125+'[1]23'!H125</f>
        <v>1937.1199999999953</v>
      </c>
      <c r="I125" s="1098"/>
      <c r="J125" s="986">
        <f>H125/DAY(B2)</f>
        <v>80.713333333333139</v>
      </c>
      <c r="K125" s="1080"/>
      <c r="L125" s="961"/>
      <c r="O125" s="988"/>
    </row>
    <row r="126" spans="1:15" x14ac:dyDescent="0.35">
      <c r="A126" s="1127" t="s">
        <v>260</v>
      </c>
      <c r="B126" s="1011"/>
      <c r="C126" s="1011"/>
      <c r="D126" s="981" t="s">
        <v>168</v>
      </c>
      <c r="E126" s="982">
        <f>'[1]23'!F126</f>
        <v>57095</v>
      </c>
      <c r="F126" s="1016">
        <v>57135</v>
      </c>
      <c r="G126" s="983">
        <f t="shared" si="13"/>
        <v>40</v>
      </c>
      <c r="H126" s="984">
        <f>G126+'[1]23'!H126</f>
        <v>786.80000000000291</v>
      </c>
      <c r="I126" s="1098"/>
      <c r="J126" s="986">
        <f>H126/DAY(B2)</f>
        <v>32.783333333333452</v>
      </c>
      <c r="K126" s="1080"/>
      <c r="L126" s="961"/>
      <c r="O126" s="988"/>
    </row>
    <row r="127" spans="1:15" x14ac:dyDescent="0.35">
      <c r="A127" s="1127" t="s">
        <v>261</v>
      </c>
      <c r="B127" s="1011"/>
      <c r="C127" s="1011"/>
      <c r="D127" s="981" t="s">
        <v>168</v>
      </c>
      <c r="E127" s="1018">
        <f>'[1]23'!F127</f>
        <v>8685</v>
      </c>
      <c r="F127" s="1126">
        <v>8687</v>
      </c>
      <c r="G127" s="983">
        <f t="shared" si="13"/>
        <v>2</v>
      </c>
      <c r="H127" s="984">
        <f>G127+'[1]23'!H127</f>
        <v>46.899999999999636</v>
      </c>
      <c r="I127" s="1003"/>
      <c r="J127" s="986">
        <f>H127/DAY(B2)</f>
        <v>1.9541666666666515</v>
      </c>
      <c r="K127" s="1080"/>
      <c r="L127" s="961"/>
      <c r="O127" s="988"/>
    </row>
    <row r="128" spans="1:15" x14ac:dyDescent="0.35">
      <c r="A128" s="1127" t="s">
        <v>262</v>
      </c>
      <c r="B128" s="1011"/>
      <c r="C128" s="1011"/>
      <c r="D128" s="981"/>
      <c r="E128" s="982"/>
      <c r="F128" s="1000"/>
      <c r="G128" s="983">
        <f>G15-SUM(G123:G127)</f>
        <v>369</v>
      </c>
      <c r="H128" s="984">
        <f>G128+'[1]23'!H128</f>
        <v>3137.1000000000058</v>
      </c>
      <c r="I128" s="1003"/>
      <c r="J128" s="986">
        <f>H128/DAY(B2)</f>
        <v>130.71250000000023</v>
      </c>
      <c r="K128" s="1080"/>
      <c r="L128" s="961"/>
      <c r="O128" s="988"/>
    </row>
    <row r="129" spans="1:15" x14ac:dyDescent="0.35">
      <c r="A129" s="1128" t="s">
        <v>263</v>
      </c>
      <c r="B129" s="975"/>
      <c r="C129" s="975"/>
      <c r="D129" s="975"/>
      <c r="E129" s="975"/>
      <c r="F129" s="975"/>
      <c r="G129" s="1129"/>
      <c r="H129" s="1129"/>
      <c r="I129" s="1129"/>
      <c r="J129" s="1130"/>
      <c r="O129" s="988"/>
    </row>
    <row r="130" spans="1:15" x14ac:dyDescent="0.35">
      <c r="A130" s="1010" t="s">
        <v>264</v>
      </c>
      <c r="B130" s="1011"/>
      <c r="C130" s="1011"/>
      <c r="D130" s="981" t="s">
        <v>265</v>
      </c>
      <c r="E130" s="982">
        <f>'[1]23'!F130</f>
        <v>0</v>
      </c>
      <c r="F130" s="1012">
        <v>0</v>
      </c>
      <c r="G130" s="983">
        <f t="shared" ref="G130:G140" si="14">F130-E130</f>
        <v>0</v>
      </c>
      <c r="H130" s="984">
        <f>G130+'[1]23'!H130</f>
        <v>0</v>
      </c>
      <c r="I130" s="1003"/>
      <c r="J130" s="986">
        <f>H130/DAY(B2)</f>
        <v>0</v>
      </c>
      <c r="O130" s="988"/>
    </row>
    <row r="131" spans="1:15" x14ac:dyDescent="0.35">
      <c r="A131" s="1010" t="s">
        <v>266</v>
      </c>
      <c r="B131" s="1011"/>
      <c r="C131" s="1011"/>
      <c r="D131" s="981" t="s">
        <v>265</v>
      </c>
      <c r="E131" s="982">
        <f>'[1]23'!F131</f>
        <v>0</v>
      </c>
      <c r="F131" s="1012">
        <v>0</v>
      </c>
      <c r="G131" s="983">
        <f t="shared" si="14"/>
        <v>0</v>
      </c>
      <c r="H131" s="984">
        <f>G131+'[1]23'!H131</f>
        <v>0</v>
      </c>
      <c r="I131" s="1003"/>
      <c r="J131" s="986">
        <f>H131/DAY(B2)</f>
        <v>0</v>
      </c>
      <c r="O131" s="988"/>
    </row>
    <row r="132" spans="1:15" x14ac:dyDescent="0.35">
      <c r="A132" s="1010" t="s">
        <v>267</v>
      </c>
      <c r="B132" s="1011"/>
      <c r="C132" s="1011"/>
      <c r="D132" s="981" t="s">
        <v>265</v>
      </c>
      <c r="E132" s="982">
        <f>'[1]23'!F132</f>
        <v>38901</v>
      </c>
      <c r="F132" s="1131">
        <v>38901</v>
      </c>
      <c r="G132" s="983">
        <f t="shared" si="14"/>
        <v>0</v>
      </c>
      <c r="H132" s="984">
        <f>G132+'[1]23'!H132</f>
        <v>0</v>
      </c>
      <c r="I132" s="1003"/>
      <c r="J132" s="986">
        <f>H132/DAY(B2)</f>
        <v>0</v>
      </c>
      <c r="O132" s="988"/>
    </row>
    <row r="133" spans="1:15" x14ac:dyDescent="0.35">
      <c r="A133" s="1010" t="s">
        <v>268</v>
      </c>
      <c r="B133" s="1011"/>
      <c r="C133" s="1011"/>
      <c r="D133" s="981" t="s">
        <v>265</v>
      </c>
      <c r="E133" s="982">
        <f>'[1]23'!F133</f>
        <v>299</v>
      </c>
      <c r="F133" s="1131">
        <v>299</v>
      </c>
      <c r="G133" s="983">
        <f t="shared" si="14"/>
        <v>0</v>
      </c>
      <c r="H133" s="984">
        <f>G133+'[1]23'!H133</f>
        <v>299</v>
      </c>
      <c r="I133" s="1003">
        <f>G132+G133+G134+G135</f>
        <v>24</v>
      </c>
      <c r="J133" s="986">
        <f>H133/DAY(B2)</f>
        <v>12.458333333333334</v>
      </c>
      <c r="O133" s="988"/>
    </row>
    <row r="134" spans="1:15" x14ac:dyDescent="0.35">
      <c r="A134" s="1010" t="s">
        <v>269</v>
      </c>
      <c r="B134" s="1011"/>
      <c r="C134" s="1011"/>
      <c r="D134" s="981" t="s">
        <v>265</v>
      </c>
      <c r="E134" s="982">
        <f>'[1]23'!F134</f>
        <v>39735</v>
      </c>
      <c r="F134" s="1131">
        <v>39735</v>
      </c>
      <c r="G134" s="983">
        <f t="shared" si="14"/>
        <v>0</v>
      </c>
      <c r="H134" s="984">
        <f>G134+'[1]23'!H134</f>
        <v>24</v>
      </c>
      <c r="I134" s="1003"/>
      <c r="J134" s="986">
        <f>H134/DAY(B2)</f>
        <v>1</v>
      </c>
      <c r="O134" s="988"/>
    </row>
    <row r="135" spans="1:15" x14ac:dyDescent="0.35">
      <c r="A135" s="1010" t="s">
        <v>270</v>
      </c>
      <c r="B135" s="1011"/>
      <c r="C135" s="1011"/>
      <c r="D135" s="981" t="s">
        <v>265</v>
      </c>
      <c r="E135" s="982">
        <f>'[1]23'!F135</f>
        <v>31973</v>
      </c>
      <c r="F135" s="1131">
        <v>31997</v>
      </c>
      <c r="G135" s="983">
        <f t="shared" si="14"/>
        <v>24</v>
      </c>
      <c r="H135" s="984">
        <f>G135+'[1]23'!H135</f>
        <v>37</v>
      </c>
      <c r="I135" s="1003"/>
      <c r="J135" s="986">
        <f>H135/DAY(B2)</f>
        <v>1.5416666666666667</v>
      </c>
      <c r="O135" s="988"/>
    </row>
    <row r="136" spans="1:15" x14ac:dyDescent="0.35">
      <c r="A136" s="1010" t="s">
        <v>271</v>
      </c>
      <c r="B136" s="1011"/>
      <c r="C136" s="1011"/>
      <c r="D136" s="981" t="s">
        <v>265</v>
      </c>
      <c r="E136" s="982">
        <f>'[1]23'!F136</f>
        <v>21774.04</v>
      </c>
      <c r="F136" s="1131">
        <v>21777.09</v>
      </c>
      <c r="G136" s="983">
        <f t="shared" si="14"/>
        <v>3.0499999999992724</v>
      </c>
      <c r="H136" s="984">
        <f>G136+'[1]23'!H136</f>
        <v>102.36999999999898</v>
      </c>
      <c r="I136" s="1003">
        <f>G134+G135+G136</f>
        <v>27.049999999999272</v>
      </c>
      <c r="J136" s="986">
        <f>H136/DAY(B2)</f>
        <v>4.2654166666666242</v>
      </c>
      <c r="O136" s="988"/>
    </row>
    <row r="137" spans="1:15" x14ac:dyDescent="0.35">
      <c r="A137" s="1010" t="s">
        <v>272</v>
      </c>
      <c r="B137" s="1011"/>
      <c r="C137" s="1011"/>
      <c r="D137" s="981" t="s">
        <v>265</v>
      </c>
      <c r="E137" s="982">
        <f>'[1]23'!F137</f>
        <v>24967.03</v>
      </c>
      <c r="F137" s="1131">
        <v>24968.03</v>
      </c>
      <c r="G137" s="983">
        <f t="shared" si="14"/>
        <v>1</v>
      </c>
      <c r="H137" s="984">
        <f>G137+'[1]23'!H137</f>
        <v>9</v>
      </c>
      <c r="I137" s="1003"/>
      <c r="J137" s="986">
        <f>H137/DAY(B2)</f>
        <v>0.375</v>
      </c>
      <c r="O137" s="988"/>
    </row>
    <row r="138" spans="1:15" x14ac:dyDescent="0.35">
      <c r="A138" s="1010" t="s">
        <v>273</v>
      </c>
      <c r="B138" s="1011"/>
      <c r="C138" s="1011"/>
      <c r="D138" s="981" t="s">
        <v>265</v>
      </c>
      <c r="E138" s="982">
        <f>'[1]23'!F138</f>
        <v>70001</v>
      </c>
      <c r="F138" s="1131">
        <v>70004.149999999994</v>
      </c>
      <c r="G138" s="983">
        <f t="shared" si="14"/>
        <v>3.1499999999941792</v>
      </c>
      <c r="H138" s="984">
        <f>G138+'[1]23'!H138</f>
        <v>18.149999999994179</v>
      </c>
      <c r="I138" s="1003">
        <f>G137+G138</f>
        <v>4.1499999999941792</v>
      </c>
      <c r="J138" s="986">
        <f>H138/DAY(B2)</f>
        <v>0.75624999999975751</v>
      </c>
      <c r="O138" s="988"/>
    </row>
    <row r="139" spans="1:15" x14ac:dyDescent="0.35">
      <c r="A139" s="1010" t="s">
        <v>274</v>
      </c>
      <c r="B139" s="1011"/>
      <c r="C139" s="1011"/>
      <c r="D139" s="981" t="s">
        <v>265</v>
      </c>
      <c r="E139" s="982">
        <f>'[1]23'!F139</f>
        <v>1062.6300000000001</v>
      </c>
      <c r="F139" s="1012">
        <v>1062.6300000000001</v>
      </c>
      <c r="G139" s="983">
        <f t="shared" si="14"/>
        <v>0</v>
      </c>
      <c r="H139" s="984">
        <f>G139+'[1]23'!H139</f>
        <v>121.10000000000014</v>
      </c>
      <c r="I139" s="1132"/>
      <c r="J139" s="986">
        <f>H139/DAY(B2)</f>
        <v>5.0458333333333387</v>
      </c>
      <c r="O139" s="988"/>
    </row>
    <row r="140" spans="1:15" x14ac:dyDescent="0.35">
      <c r="A140" s="1010" t="s">
        <v>275</v>
      </c>
      <c r="B140" s="1011"/>
      <c r="C140" s="1011"/>
      <c r="D140" s="981" t="s">
        <v>265</v>
      </c>
      <c r="E140" s="982">
        <f>'[1]23'!F140</f>
        <v>4170.68</v>
      </c>
      <c r="F140" s="1012">
        <v>4177.83</v>
      </c>
      <c r="G140" s="983">
        <f t="shared" si="14"/>
        <v>7.1499999999996362</v>
      </c>
      <c r="H140" s="984">
        <f>G140+'[1]23'!H140</f>
        <v>20.930000000000291</v>
      </c>
      <c r="I140" s="1132"/>
      <c r="J140" s="986">
        <f>H140/DAY(B2)</f>
        <v>0.87208333333334542</v>
      </c>
      <c r="O140" s="988"/>
    </row>
    <row r="141" spans="1:15" x14ac:dyDescent="0.35">
      <c r="A141" s="1598" t="s">
        <v>276</v>
      </c>
      <c r="B141" s="1599"/>
      <c r="C141" s="976"/>
      <c r="D141" s="976"/>
      <c r="E141" s="976"/>
      <c r="F141" s="976"/>
      <c r="G141" s="1008"/>
      <c r="H141" s="1008"/>
      <c r="I141" s="1008"/>
      <c r="J141" s="1125"/>
      <c r="K141" s="1080"/>
      <c r="L141" s="961"/>
      <c r="O141" s="988"/>
    </row>
    <row r="142" spans="1:15" x14ac:dyDescent="0.35">
      <c r="A142" s="1566" t="s">
        <v>277</v>
      </c>
      <c r="B142" s="1567"/>
      <c r="C142" s="1568"/>
      <c r="D142" s="981" t="s">
        <v>159</v>
      </c>
      <c r="E142" s="981"/>
      <c r="F142" s="981"/>
      <c r="G142" s="984">
        <f>G35+G43+G49+G57</f>
        <v>5059</v>
      </c>
      <c r="H142" s="984">
        <f>G142+'[1]23'!H142</f>
        <v>119502.42299999995</v>
      </c>
      <c r="I142" s="1003"/>
      <c r="J142" s="986">
        <f>H142/DAY(B2)</f>
        <v>4979.2676249999977</v>
      </c>
      <c r="K142" s="1080"/>
      <c r="L142" s="961"/>
      <c r="O142" s="988"/>
    </row>
    <row r="143" spans="1:15" x14ac:dyDescent="0.35">
      <c r="A143" s="1566" t="s">
        <v>278</v>
      </c>
      <c r="B143" s="1567"/>
      <c r="C143" s="1568"/>
      <c r="D143" s="981" t="s">
        <v>38</v>
      </c>
      <c r="E143" s="968"/>
      <c r="F143" s="968"/>
      <c r="G143" s="1133">
        <f>G142/G7</f>
        <v>0.26531361443255719</v>
      </c>
      <c r="H143" s="984">
        <f>G143+'[1]23'!H143</f>
        <v>5.8141691682367798</v>
      </c>
      <c r="I143" s="1134"/>
      <c r="J143" s="986">
        <f>H143/DAY(B2)</f>
        <v>0.2422570486765325</v>
      </c>
      <c r="K143" s="1080"/>
      <c r="L143" s="961"/>
      <c r="O143" s="988"/>
    </row>
    <row r="144" spans="1:15" x14ac:dyDescent="0.35">
      <c r="A144" s="1566" t="s">
        <v>279</v>
      </c>
      <c r="B144" s="1567"/>
      <c r="C144" s="1568"/>
      <c r="D144" s="981" t="s">
        <v>159</v>
      </c>
      <c r="E144" s="982"/>
      <c r="F144" s="982"/>
      <c r="G144" s="984">
        <f>G41+G42+G55+G56</f>
        <v>3839</v>
      </c>
      <c r="H144" s="984">
        <f>G144+'[1]23'!H144</f>
        <v>107990.13999999998</v>
      </c>
      <c r="I144" s="1003"/>
      <c r="J144" s="986">
        <f>H144/DAY(B2)</f>
        <v>4499.5891666666657</v>
      </c>
      <c r="K144" s="1080"/>
      <c r="L144" s="961"/>
      <c r="O144" s="988"/>
    </row>
    <row r="145" spans="1:15" x14ac:dyDescent="0.35">
      <c r="A145" s="1566" t="s">
        <v>280</v>
      </c>
      <c r="B145" s="1567"/>
      <c r="C145" s="1568"/>
      <c r="D145" s="981" t="s">
        <v>38</v>
      </c>
      <c r="E145" s="982"/>
      <c r="F145" s="982"/>
      <c r="G145" s="1133">
        <f>G144/G7</f>
        <v>0.20133207468009229</v>
      </c>
      <c r="H145" s="984">
        <f>G145+'[1]23'!H145</f>
        <v>5.3729914432147678</v>
      </c>
      <c r="I145" s="1134"/>
      <c r="J145" s="986">
        <f>H145/DAY(B2)</f>
        <v>0.223874643467282</v>
      </c>
      <c r="K145" s="1080"/>
      <c r="L145" s="961"/>
      <c r="O145" s="988"/>
    </row>
    <row r="146" spans="1:15" x14ac:dyDescent="0.35">
      <c r="A146" s="1566" t="s">
        <v>281</v>
      </c>
      <c r="B146" s="1567"/>
      <c r="C146" s="1568"/>
      <c r="D146" s="981" t="s">
        <v>159</v>
      </c>
      <c r="E146" s="982"/>
      <c r="F146" s="982"/>
      <c r="G146" s="984">
        <f>G39+G53</f>
        <v>4231</v>
      </c>
      <c r="H146" s="984">
        <f>G146+'[1]23'!H146</f>
        <v>101697.993</v>
      </c>
      <c r="I146" s="1135"/>
      <c r="J146" s="986">
        <f>H146/DAY(B2)</f>
        <v>4237.4163749999998</v>
      </c>
      <c r="K146" s="1080"/>
      <c r="L146" s="961"/>
      <c r="O146" s="988"/>
    </row>
    <row r="147" spans="1:15" x14ac:dyDescent="0.35">
      <c r="A147" s="1566" t="s">
        <v>282</v>
      </c>
      <c r="B147" s="1567"/>
      <c r="C147" s="1568"/>
      <c r="D147" s="981" t="s">
        <v>38</v>
      </c>
      <c r="E147" s="982"/>
      <c r="F147" s="982"/>
      <c r="G147" s="1133">
        <f>G146/G7</f>
        <v>0.22189007761694987</v>
      </c>
      <c r="H147" s="984">
        <f>G147+'[1]23'!H147</f>
        <v>5.0924339398418361</v>
      </c>
      <c r="I147" s="1135"/>
      <c r="J147" s="986">
        <f>H147/DAY(B2)</f>
        <v>0.21218474749340985</v>
      </c>
      <c r="O147" s="988"/>
    </row>
    <row r="148" spans="1:15" x14ac:dyDescent="0.35">
      <c r="A148" s="1566" t="s">
        <v>283</v>
      </c>
      <c r="B148" s="1567"/>
      <c r="C148" s="1568"/>
      <c r="D148" s="981" t="s">
        <v>210</v>
      </c>
      <c r="E148" s="982"/>
      <c r="F148" s="982"/>
      <c r="G148" s="984">
        <f>G38+G52</f>
        <v>1948</v>
      </c>
      <c r="H148" s="984">
        <f>G148+'[1]23'!H148</f>
        <v>47437.950000000012</v>
      </c>
      <c r="I148" s="1003"/>
      <c r="J148" s="986">
        <f>H148/DAY(B2)</f>
        <v>1976.5812500000004</v>
      </c>
      <c r="K148" s="1136"/>
      <c r="O148" s="988"/>
    </row>
    <row r="149" spans="1:15" x14ac:dyDescent="0.35">
      <c r="A149" s="1566" t="s">
        <v>284</v>
      </c>
      <c r="B149" s="1567"/>
      <c r="C149" s="1568"/>
      <c r="D149" s="981" t="s">
        <v>38</v>
      </c>
      <c r="E149" s="982"/>
      <c r="F149" s="982"/>
      <c r="G149" s="1133">
        <f>G148/G7</f>
        <v>0.10216068806377177</v>
      </c>
      <c r="H149" s="984">
        <f>G149+'[1]23'!H149</f>
        <v>2.3692973785758702</v>
      </c>
      <c r="I149" s="1135"/>
      <c r="J149" s="986">
        <f>H149/DAY(B2)</f>
        <v>9.872072410732792E-2</v>
      </c>
      <c r="O149" s="988"/>
    </row>
    <row r="150" spans="1:15" x14ac:dyDescent="0.35">
      <c r="A150" s="1566" t="s">
        <v>285</v>
      </c>
      <c r="B150" s="1567"/>
      <c r="C150" s="1568"/>
      <c r="D150" s="981" t="s">
        <v>210</v>
      </c>
      <c r="E150" s="982"/>
      <c r="F150" s="982"/>
      <c r="G150" s="984">
        <f>G36+G50</f>
        <v>1850</v>
      </c>
      <c r="H150" s="984">
        <f>G150+'[1]23'!H150</f>
        <v>50783.179999999964</v>
      </c>
      <c r="I150" s="1135"/>
      <c r="J150" s="986">
        <f>H150/DAY(B2)</f>
        <v>2115.9658333333318</v>
      </c>
      <c r="O150" s="988"/>
    </row>
    <row r="151" spans="1:15" x14ac:dyDescent="0.35">
      <c r="A151" s="1566" t="s">
        <v>286</v>
      </c>
      <c r="B151" s="1567"/>
      <c r="C151" s="1568"/>
      <c r="D151" s="981" t="s">
        <v>38</v>
      </c>
      <c r="E151" s="982"/>
      <c r="F151" s="982"/>
      <c r="G151" s="1133">
        <f>G150/G7</f>
        <v>9.7021187329557376E-2</v>
      </c>
      <c r="H151" s="984">
        <f>G151+'[1]23'!H151</f>
        <v>2.5294044410141918</v>
      </c>
      <c r="I151" s="1003"/>
      <c r="J151" s="986">
        <f>H151/DAY(B2)</f>
        <v>0.10539185170892466</v>
      </c>
      <c r="O151" s="988"/>
    </row>
    <row r="152" spans="1:15" x14ac:dyDescent="0.35">
      <c r="A152" s="1566" t="s">
        <v>287</v>
      </c>
      <c r="B152" s="1567"/>
      <c r="C152" s="1568"/>
      <c r="D152" s="981" t="s">
        <v>210</v>
      </c>
      <c r="E152" s="982"/>
      <c r="F152" s="982"/>
      <c r="G152" s="984">
        <f>G37+G51</f>
        <v>1465</v>
      </c>
      <c r="H152" s="984">
        <f>G152+'[1]23'!H152</f>
        <v>35198.512999999999</v>
      </c>
      <c r="I152" s="1003"/>
      <c r="J152" s="986">
        <f>H152/DAY(B2)</f>
        <v>1466.6047083333333</v>
      </c>
      <c r="O152" s="988"/>
    </row>
    <row r="153" spans="1:15" ht="21" thickBot="1" x14ac:dyDescent="0.4">
      <c r="A153" s="1609" t="s">
        <v>288</v>
      </c>
      <c r="B153" s="1610"/>
      <c r="C153" s="1611"/>
      <c r="D153" s="1137" t="s">
        <v>38</v>
      </c>
      <c r="E153" s="1138"/>
      <c r="F153" s="1138"/>
      <c r="G153" s="1139">
        <f>G152/G7</f>
        <v>7.6830291588000837E-2</v>
      </c>
      <c r="H153" s="984">
        <f>G153+'[1]23'!H153</f>
        <v>1.8721603805263884</v>
      </c>
      <c r="I153" s="1140"/>
      <c r="J153" s="1141">
        <f>H153/DAY(B2)</f>
        <v>7.8006682521932852E-2</v>
      </c>
      <c r="O153" s="988"/>
    </row>
    <row r="154" spans="1:15" x14ac:dyDescent="0.35">
      <c r="A154" s="1142"/>
      <c r="B154" s="1142"/>
      <c r="C154" s="1142"/>
      <c r="D154" s="1142"/>
      <c r="E154" s="1142"/>
      <c r="F154" s="1142"/>
      <c r="G154" s="1142"/>
      <c r="H154" s="1143"/>
      <c r="I154" s="1142"/>
      <c r="J154" s="1144"/>
      <c r="O154" s="988"/>
    </row>
    <row r="160" spans="1:15" x14ac:dyDescent="0.35">
      <c r="A160" s="1132" t="s">
        <v>289</v>
      </c>
      <c r="B160" s="1132"/>
      <c r="C160" s="1132"/>
      <c r="D160" s="968" t="s">
        <v>214</v>
      </c>
      <c r="E160" s="982">
        <f>'[1]23'!F160</f>
        <v>25507</v>
      </c>
      <c r="F160" s="1156">
        <v>25579</v>
      </c>
      <c r="G160" s="983">
        <f t="shared" ref="G160:G171" si="15">F160-E160</f>
        <v>72</v>
      </c>
    </row>
    <row r="161" spans="1:7" ht="21.75" customHeight="1" x14ac:dyDescent="0.35">
      <c r="A161" s="1132" t="s">
        <v>290</v>
      </c>
      <c r="B161" s="1132"/>
      <c r="C161" s="1132"/>
      <c r="D161" s="968" t="s">
        <v>214</v>
      </c>
      <c r="E161" s="982">
        <f>'[1]23'!F161</f>
        <v>24669</v>
      </c>
      <c r="F161" s="1156">
        <v>25126</v>
      </c>
      <c r="G161" s="983">
        <f t="shared" si="15"/>
        <v>457</v>
      </c>
    </row>
    <row r="162" spans="1:7" ht="21.75" customHeight="1" x14ac:dyDescent="0.35">
      <c r="A162" s="1132" t="s">
        <v>291</v>
      </c>
      <c r="B162" s="1132"/>
      <c r="C162" s="1132"/>
      <c r="D162" s="968" t="s">
        <v>214</v>
      </c>
      <c r="E162" s="982">
        <f>'[1]23'!F162</f>
        <v>1894</v>
      </c>
      <c r="F162" s="1156">
        <v>2154</v>
      </c>
      <c r="G162" s="983">
        <f t="shared" si="15"/>
        <v>260</v>
      </c>
    </row>
    <row r="163" spans="1:7" ht="21.75" customHeight="1" x14ac:dyDescent="0.35">
      <c r="A163" s="1132" t="s">
        <v>292</v>
      </c>
      <c r="B163" s="1132"/>
      <c r="C163" s="1132"/>
      <c r="D163" s="968" t="s">
        <v>214</v>
      </c>
      <c r="E163" s="982">
        <f>'[1]23'!F163</f>
        <v>4110</v>
      </c>
      <c r="F163" s="1156">
        <v>4138</v>
      </c>
      <c r="G163" s="983">
        <f t="shared" si="15"/>
        <v>28</v>
      </c>
    </row>
    <row r="164" spans="1:7" ht="21.75" customHeight="1" x14ac:dyDescent="0.35">
      <c r="A164" s="1063" t="s">
        <v>121</v>
      </c>
      <c r="B164" s="1063"/>
      <c r="C164" s="1063"/>
      <c r="D164" s="968" t="s">
        <v>214</v>
      </c>
      <c r="E164" s="1064">
        <f>E62</f>
        <v>20419</v>
      </c>
      <c r="F164" s="1064" t="s">
        <v>311</v>
      </c>
      <c r="G164" s="983" t="e">
        <f t="shared" si="15"/>
        <v>#VALUE!</v>
      </c>
    </row>
    <row r="165" spans="1:7" ht="21.75" customHeight="1" x14ac:dyDescent="0.35">
      <c r="A165" s="1063" t="s">
        <v>215</v>
      </c>
      <c r="B165" s="1063"/>
      <c r="C165" s="1063"/>
      <c r="D165" s="968" t="s">
        <v>214</v>
      </c>
      <c r="E165" s="1064">
        <f t="shared" ref="E165:F171" si="16">E63</f>
        <v>1076</v>
      </c>
      <c r="F165" s="1064">
        <f t="shared" si="16"/>
        <v>1078</v>
      </c>
      <c r="G165" s="983">
        <f t="shared" si="15"/>
        <v>2</v>
      </c>
    </row>
    <row r="166" spans="1:7" ht="21.75" customHeight="1" x14ac:dyDescent="0.35">
      <c r="A166" s="1619" t="s">
        <v>122</v>
      </c>
      <c r="B166" s="1619"/>
      <c r="C166" s="1619"/>
      <c r="D166" s="981" t="s">
        <v>214</v>
      </c>
      <c r="E166" s="1064">
        <f t="shared" si="16"/>
        <v>95284</v>
      </c>
      <c r="F166" s="1064">
        <f t="shared" si="16"/>
        <v>95660</v>
      </c>
      <c r="G166" s="983">
        <f t="shared" si="15"/>
        <v>376</v>
      </c>
    </row>
    <row r="167" spans="1:7" ht="21.75" customHeight="1" x14ac:dyDescent="0.35">
      <c r="A167" s="1619" t="s">
        <v>123</v>
      </c>
      <c r="B167" s="1619"/>
      <c r="C167" s="1619"/>
      <c r="D167" s="981" t="s">
        <v>214</v>
      </c>
      <c r="E167" s="1064">
        <f t="shared" si="16"/>
        <v>105754</v>
      </c>
      <c r="F167" s="1064">
        <f t="shared" si="16"/>
        <v>106159</v>
      </c>
      <c r="G167" s="983">
        <f t="shared" si="15"/>
        <v>405</v>
      </c>
    </row>
    <row r="168" spans="1:7" ht="21.75" customHeight="1" x14ac:dyDescent="0.35">
      <c r="A168" s="1619" t="s">
        <v>124</v>
      </c>
      <c r="B168" s="1619"/>
      <c r="C168" s="1619"/>
      <c r="D168" s="981" t="s">
        <v>214</v>
      </c>
      <c r="E168" s="1064">
        <f t="shared" si="16"/>
        <v>99236</v>
      </c>
      <c r="F168" s="1064">
        <f t="shared" si="16"/>
        <v>99631</v>
      </c>
      <c r="G168" s="983">
        <f t="shared" si="15"/>
        <v>395</v>
      </c>
    </row>
    <row r="169" spans="1:7" x14ac:dyDescent="0.35">
      <c r="A169" s="1619" t="s">
        <v>125</v>
      </c>
      <c r="B169" s="1619"/>
      <c r="C169" s="1619"/>
      <c r="D169" s="981" t="s">
        <v>214</v>
      </c>
      <c r="E169" s="1064">
        <f t="shared" si="16"/>
        <v>162735</v>
      </c>
      <c r="F169" s="1064">
        <f t="shared" si="16"/>
        <v>163431</v>
      </c>
      <c r="G169" s="983">
        <f t="shared" si="15"/>
        <v>696</v>
      </c>
    </row>
    <row r="170" spans="1:7" ht="24" customHeight="1" x14ac:dyDescent="0.35">
      <c r="A170" s="1619" t="s">
        <v>126</v>
      </c>
      <c r="B170" s="1619"/>
      <c r="C170" s="1619"/>
      <c r="D170" s="981" t="s">
        <v>214</v>
      </c>
      <c r="E170" s="1064">
        <f t="shared" si="16"/>
        <v>51207</v>
      </c>
      <c r="F170" s="1064">
        <f t="shared" si="16"/>
        <v>51536</v>
      </c>
      <c r="G170" s="983">
        <f t="shared" si="15"/>
        <v>329</v>
      </c>
    </row>
    <row r="171" spans="1:7" x14ac:dyDescent="0.35">
      <c r="A171" s="1619" t="s">
        <v>127</v>
      </c>
      <c r="B171" s="1619"/>
      <c r="C171" s="1619"/>
      <c r="D171" s="981" t="s">
        <v>214</v>
      </c>
      <c r="E171" s="1064">
        <f t="shared" si="16"/>
        <v>44238</v>
      </c>
      <c r="F171" s="1064">
        <f t="shared" si="16"/>
        <v>44523</v>
      </c>
      <c r="G171" s="983">
        <f t="shared" si="15"/>
        <v>285</v>
      </c>
    </row>
    <row r="172" spans="1:7" x14ac:dyDescent="0.35">
      <c r="G172" s="1147" t="e">
        <f>SUM(G160:G171)</f>
        <v>#VALUE!</v>
      </c>
    </row>
    <row r="176" spans="1:7" ht="18.75" customHeight="1" x14ac:dyDescent="0.3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6"/>
  <sheetViews>
    <sheetView view="pageBreakPreview" topLeftCell="A94" zoomScale="70" zoomScaleNormal="49" zoomScaleSheetLayoutView="70" workbookViewId="0">
      <selection activeCell="A94" sqref="A1:XFD1048576"/>
    </sheetView>
  </sheetViews>
  <sheetFormatPr defaultColWidth="22.33203125" defaultRowHeight="20.25" x14ac:dyDescent="0.35"/>
  <cols>
    <col min="1" max="1" width="47.109375" style="1145" customWidth="1"/>
    <col min="2" max="2" width="24.88671875" style="1145" customWidth="1"/>
    <col min="3" max="3" width="12.44140625" style="1145" customWidth="1"/>
    <col min="4" max="4" width="12.109375" style="1145" customWidth="1"/>
    <col min="5" max="5" width="28.109375" style="1145" customWidth="1"/>
    <col min="6" max="6" width="23.77734375" style="1145" customWidth="1"/>
    <col min="7" max="7" width="15.5546875" style="1145" bestFit="1" customWidth="1"/>
    <col min="8" max="8" width="39.21875" style="1146" customWidth="1"/>
    <col min="9" max="9" width="12" style="1145" bestFit="1" customWidth="1"/>
    <col min="10" max="10" width="24" style="1147" customWidth="1"/>
    <col min="11" max="11" width="43.21875" style="948" hidden="1" customWidth="1"/>
    <col min="12" max="13" width="0" style="948" hidden="1" customWidth="1"/>
    <col min="14" max="14" width="15.21875" style="1148" customWidth="1"/>
    <col min="15" max="15" width="10.77734375" style="948" customWidth="1"/>
    <col min="16" max="16384" width="22.33203125" style="948"/>
  </cols>
  <sheetData>
    <row r="1" spans="1:15" ht="22.5" x14ac:dyDescent="0.45">
      <c r="A1" s="1578" t="s">
        <v>293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x14ac:dyDescent="0.35">
      <c r="A2" s="949" t="s">
        <v>297</v>
      </c>
      <c r="B2" s="1220">
        <v>44190</v>
      </c>
      <c r="C2" s="950" t="s">
        <v>84</v>
      </c>
      <c r="D2" s="1161">
        <v>0.5</v>
      </c>
      <c r="E2" s="952"/>
      <c r="F2" s="952"/>
      <c r="G2" s="952" t="s">
        <v>145</v>
      </c>
      <c r="H2" s="952" t="s">
        <v>20</v>
      </c>
      <c r="I2" s="952" t="s">
        <v>22</v>
      </c>
      <c r="J2" s="953" t="s">
        <v>146</v>
      </c>
    </row>
    <row r="3" spans="1:15" x14ac:dyDescent="0.35">
      <c r="A3" s="954"/>
      <c r="B3" s="955"/>
      <c r="C3" s="950" t="s">
        <v>147</v>
      </c>
      <c r="D3" s="950">
        <v>31</v>
      </c>
      <c r="E3" s="1581" t="s">
        <v>148</v>
      </c>
      <c r="F3" s="1582"/>
      <c r="G3" s="957">
        <f>'[1]1'!G3</f>
        <v>0</v>
      </c>
      <c r="H3" s="958">
        <f>'[1]1'!H3</f>
        <v>0</v>
      </c>
      <c r="I3" s="958">
        <f>'[1]1'!I3</f>
        <v>0</v>
      </c>
      <c r="J3" s="959">
        <f>'[1]1'!J3</f>
        <v>0</v>
      </c>
      <c r="K3" s="960"/>
      <c r="L3" s="961"/>
    </row>
    <row r="4" spans="1:15" x14ac:dyDescent="0.35">
      <c r="A4" s="962"/>
      <c r="B4" s="963"/>
      <c r="C4" s="950" t="s">
        <v>149</v>
      </c>
      <c r="D4" s="1161">
        <v>0.8</v>
      </c>
      <c r="E4" s="964"/>
      <c r="F4" s="964"/>
      <c r="G4" s="964"/>
      <c r="H4" s="964"/>
      <c r="I4" s="965"/>
      <c r="J4" s="959"/>
      <c r="K4" s="966"/>
      <c r="L4" s="961"/>
    </row>
    <row r="5" spans="1:15" x14ac:dyDescent="0.35">
      <c r="A5" s="967" t="s">
        <v>150</v>
      </c>
      <c r="B5" s="968"/>
      <c r="C5" s="968"/>
      <c r="D5" s="968" t="s">
        <v>151</v>
      </c>
      <c r="E5" s="969" t="s">
        <v>152</v>
      </c>
      <c r="F5" s="969" t="s">
        <v>138</v>
      </c>
      <c r="G5" s="970" t="s">
        <v>153</v>
      </c>
      <c r="H5" s="971" t="s">
        <v>154</v>
      </c>
      <c r="I5" s="972" t="s">
        <v>155</v>
      </c>
      <c r="J5" s="973" t="s">
        <v>156</v>
      </c>
      <c r="K5" s="974"/>
      <c r="L5" s="961"/>
    </row>
    <row r="6" spans="1:15" x14ac:dyDescent="0.35">
      <c r="A6" s="1575" t="s">
        <v>157</v>
      </c>
      <c r="B6" s="1576"/>
      <c r="C6" s="1577"/>
      <c r="D6" s="975"/>
      <c r="E6" s="975"/>
      <c r="F6" s="975"/>
      <c r="G6" s="975"/>
      <c r="H6" s="976"/>
      <c r="I6" s="976"/>
      <c r="J6" s="977"/>
      <c r="K6" s="978"/>
      <c r="L6" s="961"/>
    </row>
    <row r="7" spans="1:15" ht="21" thickBot="1" x14ac:dyDescent="0.4">
      <c r="A7" s="979" t="s">
        <v>158</v>
      </c>
      <c r="B7" s="980"/>
      <c r="C7" s="980"/>
      <c r="D7" s="981" t="s">
        <v>159</v>
      </c>
      <c r="E7" s="982">
        <f>'[1]24'!F7</f>
        <v>3149034</v>
      </c>
      <c r="F7" s="982">
        <v>3169200</v>
      </c>
      <c r="G7" s="983">
        <f>F7-E7</f>
        <v>20166</v>
      </c>
      <c r="H7" s="984">
        <f>G7+'[1]24'!H7</f>
        <v>500755</v>
      </c>
      <c r="I7" s="985">
        <f>'[1]1'!I7</f>
        <v>12000</v>
      </c>
      <c r="J7" s="986">
        <f>H7/DAY(B2)</f>
        <v>20030.2</v>
      </c>
      <c r="K7" s="987"/>
      <c r="L7" s="961"/>
      <c r="N7" s="1159">
        <v>20884</v>
      </c>
      <c r="O7" s="988">
        <f>G7-N7</f>
        <v>-718</v>
      </c>
    </row>
    <row r="8" spans="1:15" ht="21" thickBot="1" x14ac:dyDescent="0.4">
      <c r="A8" s="989" t="s">
        <v>160</v>
      </c>
      <c r="B8" s="990"/>
      <c r="C8" s="991"/>
      <c r="D8" s="992" t="s">
        <v>39</v>
      </c>
      <c r="E8" s="982">
        <f>'[1]24'!F8</f>
        <v>3167837</v>
      </c>
      <c r="F8" s="993">
        <v>3188127</v>
      </c>
      <c r="G8" s="994">
        <f>F8-E8</f>
        <v>20290</v>
      </c>
      <c r="H8" s="984">
        <f>G8+'[1]24'!H8</f>
        <v>505088</v>
      </c>
      <c r="I8" s="995">
        <f>'[1]1'!I8</f>
        <v>12000</v>
      </c>
      <c r="J8" s="986">
        <f>H8/DAY(B2)</f>
        <v>20203.52</v>
      </c>
      <c r="K8" s="987">
        <v>1375467</v>
      </c>
      <c r="L8" s="996">
        <v>1667461</v>
      </c>
      <c r="M8" s="997"/>
      <c r="N8" s="1148">
        <v>20954</v>
      </c>
      <c r="O8" s="988">
        <f t="shared" ref="O8:O13" si="0">G8-N8</f>
        <v>-664</v>
      </c>
    </row>
    <row r="9" spans="1:15" x14ac:dyDescent="0.35">
      <c r="A9" s="998" t="s">
        <v>161</v>
      </c>
      <c r="B9" s="999"/>
      <c r="C9" s="999"/>
      <c r="D9" s="981" t="s">
        <v>159</v>
      </c>
      <c r="E9" s="982">
        <f>'[1]24'!F9</f>
        <v>2386120</v>
      </c>
      <c r="F9" s="1000">
        <v>2388974.7000000002</v>
      </c>
      <c r="G9" s="983">
        <f t="shared" ref="G9:G12" si="1">F9-E9</f>
        <v>2854.7000000001863</v>
      </c>
      <c r="H9" s="984">
        <f>G9+'[1]24'!H9</f>
        <v>131938.20000000019</v>
      </c>
      <c r="I9" s="1001">
        <f>I8-J8</f>
        <v>-8203.52</v>
      </c>
      <c r="J9" s="986">
        <f>H9/DAY(B2)</f>
        <v>5277.5280000000075</v>
      </c>
      <c r="K9" s="1002"/>
      <c r="L9" s="961"/>
      <c r="N9" s="1148">
        <v>20166</v>
      </c>
      <c r="O9" s="988">
        <f t="shared" si="0"/>
        <v>-17311.299999999814</v>
      </c>
    </row>
    <row r="10" spans="1:15" x14ac:dyDescent="0.35">
      <c r="A10" s="979" t="s">
        <v>162</v>
      </c>
      <c r="B10" s="980"/>
      <c r="C10" s="980"/>
      <c r="D10" s="981" t="s">
        <v>159</v>
      </c>
      <c r="E10" s="982">
        <f>'[1]24'!F10</f>
        <v>637312</v>
      </c>
      <c r="F10" s="1000">
        <v>653892.91</v>
      </c>
      <c r="G10" s="983">
        <f t="shared" si="1"/>
        <v>16580.910000000033</v>
      </c>
      <c r="H10" s="984">
        <f>G10+'[1]24'!H10</f>
        <v>350942.62000000005</v>
      </c>
      <c r="I10" s="1003"/>
      <c r="J10" s="986">
        <f>H10/DAY(B2)</f>
        <v>14037.704800000001</v>
      </c>
      <c r="K10" s="1002"/>
      <c r="L10" s="961">
        <f>L8-K8</f>
        <v>291994</v>
      </c>
      <c r="N10" s="1148">
        <v>0</v>
      </c>
      <c r="O10" s="988">
        <f t="shared" si="0"/>
        <v>16580.910000000033</v>
      </c>
    </row>
    <row r="11" spans="1:15" x14ac:dyDescent="0.35">
      <c r="A11" s="979" t="s">
        <v>163</v>
      </c>
      <c r="B11" s="980"/>
      <c r="C11" s="980"/>
      <c r="D11" s="981" t="s">
        <v>159</v>
      </c>
      <c r="E11" s="982">
        <f>'[1]24'!F11</f>
        <v>35390</v>
      </c>
      <c r="F11" s="982">
        <v>35390</v>
      </c>
      <c r="G11" s="983">
        <f t="shared" si="1"/>
        <v>0</v>
      </c>
      <c r="H11" s="984">
        <f>G11+'[1]24'!H11</f>
        <v>0</v>
      </c>
      <c r="I11" s="1003"/>
      <c r="J11" s="986">
        <f>H11/DAY(B2)</f>
        <v>0</v>
      </c>
      <c r="K11" s="1002"/>
      <c r="L11" s="961"/>
      <c r="N11" s="1160">
        <v>0</v>
      </c>
      <c r="O11" s="988">
        <f t="shared" si="0"/>
        <v>0</v>
      </c>
    </row>
    <row r="12" spans="1:15" x14ac:dyDescent="0.35">
      <c r="A12" s="979" t="s">
        <v>164</v>
      </c>
      <c r="B12" s="980"/>
      <c r="C12" s="980"/>
      <c r="D12" s="981" t="s">
        <v>159</v>
      </c>
      <c r="E12" s="982">
        <f>'[1]24'!F12</f>
        <v>37630</v>
      </c>
      <c r="F12" s="1000">
        <v>37630</v>
      </c>
      <c r="G12" s="983">
        <f t="shared" si="1"/>
        <v>0</v>
      </c>
      <c r="H12" s="984">
        <f>G12+'[1]24'!H12</f>
        <v>0</v>
      </c>
      <c r="I12" s="1003"/>
      <c r="J12" s="986">
        <f>H12/DAY(B2)</f>
        <v>0</v>
      </c>
      <c r="K12" s="1002"/>
      <c r="L12" s="961"/>
      <c r="N12" s="1148">
        <v>0</v>
      </c>
      <c r="O12" s="988">
        <f t="shared" si="0"/>
        <v>0</v>
      </c>
    </row>
    <row r="13" spans="1:15" x14ac:dyDescent="0.35">
      <c r="A13" s="1004" t="s">
        <v>165</v>
      </c>
      <c r="B13" s="1005"/>
      <c r="C13" s="1005"/>
      <c r="D13" s="981"/>
      <c r="E13" s="982"/>
      <c r="F13" s="982"/>
      <c r="G13" s="1006">
        <f>G9+G10+G11+G12</f>
        <v>19435.610000000219</v>
      </c>
      <c r="H13" s="984">
        <f>G13+'[1]24'!H13</f>
        <v>461021.51000000024</v>
      </c>
      <c r="I13" s="1007">
        <f>G7-G13</f>
        <v>730.38999999978114</v>
      </c>
      <c r="J13" s="986">
        <f>H13/DAY(B2)</f>
        <v>18440.860400000009</v>
      </c>
      <c r="K13" s="1002"/>
      <c r="L13" s="961">
        <f>L10-H7</f>
        <v>-208761</v>
      </c>
      <c r="N13" s="1148">
        <v>20166</v>
      </c>
      <c r="O13" s="988">
        <f t="shared" si="0"/>
        <v>-730.38999999978114</v>
      </c>
    </row>
    <row r="14" spans="1:15" x14ac:dyDescent="0.35">
      <c r="A14" s="1569" t="s">
        <v>166</v>
      </c>
      <c r="B14" s="1570"/>
      <c r="C14" s="1571"/>
      <c r="D14" s="976"/>
      <c r="E14" s="976"/>
      <c r="F14" s="976"/>
      <c r="G14" s="1008"/>
      <c r="H14" s="976"/>
      <c r="I14" s="976"/>
      <c r="J14" s="977"/>
      <c r="K14" s="1009"/>
      <c r="L14" s="961"/>
      <c r="O14" s="988"/>
    </row>
    <row r="15" spans="1:15" x14ac:dyDescent="0.35">
      <c r="A15" s="1010" t="s">
        <v>167</v>
      </c>
      <c r="B15" s="1011"/>
      <c r="C15" s="1011"/>
      <c r="D15" s="981" t="s">
        <v>168</v>
      </c>
      <c r="E15" s="982">
        <f>'[1]24'!F15</f>
        <v>1563656</v>
      </c>
      <c r="F15" s="1012">
        <v>1564368.52</v>
      </c>
      <c r="G15" s="1157">
        <f>(F15-E15)</f>
        <v>712.52000000001863</v>
      </c>
      <c r="H15" s="984">
        <f>G15+'[1]24'!H15</f>
        <v>17470.918999999994</v>
      </c>
      <c r="I15" s="985">
        <f>'[1]1'!I15</f>
        <v>800</v>
      </c>
      <c r="J15" s="986">
        <f>H15/DAY(B2)</f>
        <v>698.8367599999998</v>
      </c>
      <c r="K15" s="1002"/>
      <c r="L15" s="961"/>
      <c r="O15" s="988"/>
    </row>
    <row r="16" spans="1:15" x14ac:dyDescent="0.35">
      <c r="A16" s="1013"/>
      <c r="B16" s="1014"/>
      <c r="C16" s="1014"/>
      <c r="D16" s="1015"/>
      <c r="E16" s="1016"/>
      <c r="F16" s="1016"/>
      <c r="G16" s="983"/>
      <c r="H16" s="1017"/>
      <c r="I16" s="1018">
        <f>I15-J15</f>
        <v>101.1632400000002</v>
      </c>
      <c r="J16" s="1019"/>
      <c r="K16" s="1002"/>
      <c r="L16" s="961"/>
      <c r="O16" s="988"/>
    </row>
    <row r="17" spans="1:15" x14ac:dyDescent="0.35">
      <c r="A17" s="1569" t="s">
        <v>169</v>
      </c>
      <c r="B17" s="1570"/>
      <c r="C17" s="1571"/>
      <c r="D17" s="976"/>
      <c r="E17" s="976"/>
      <c r="F17" s="976"/>
      <c r="G17" s="1020"/>
      <c r="H17" s="976"/>
      <c r="I17" s="976"/>
      <c r="J17" s="977"/>
      <c r="K17" s="1002"/>
      <c r="L17" s="961"/>
      <c r="O17" s="988"/>
    </row>
    <row r="18" spans="1:15" x14ac:dyDescent="0.35">
      <c r="A18" s="1566" t="s">
        <v>170</v>
      </c>
      <c r="B18" s="1567"/>
      <c r="C18" s="1568"/>
      <c r="D18" s="981" t="s">
        <v>171</v>
      </c>
      <c r="E18" s="982">
        <f>'[1]24'!F18</f>
        <v>16</v>
      </c>
      <c r="F18" s="1012">
        <v>12</v>
      </c>
      <c r="G18" s="1006">
        <f>F18*10</f>
        <v>120</v>
      </c>
      <c r="H18" s="984">
        <f>G18+'[1]24'!H18</f>
        <v>3360</v>
      </c>
      <c r="I18" s="985">
        <f>'[1]1'!I18</f>
        <v>65</v>
      </c>
      <c r="J18" s="986">
        <f>H18/DAY(B2)</f>
        <v>134.4</v>
      </c>
      <c r="K18" s="1002"/>
      <c r="L18" s="961"/>
      <c r="O18" s="988"/>
    </row>
    <row r="19" spans="1:15" x14ac:dyDescent="0.35">
      <c r="A19" s="1566" t="s">
        <v>86</v>
      </c>
      <c r="B19" s="1567"/>
      <c r="C19" s="1568"/>
      <c r="D19" s="981" t="s">
        <v>171</v>
      </c>
      <c r="E19" s="982">
        <f>'[1]24'!F19</f>
        <v>131110</v>
      </c>
      <c r="F19" s="1012">
        <v>131164</v>
      </c>
      <c r="G19" s="983">
        <f t="shared" ref="G19" si="2">F19-E19</f>
        <v>54</v>
      </c>
      <c r="H19" s="984">
        <f>G19+'[1]24'!H19</f>
        <v>1363</v>
      </c>
      <c r="I19" s="1021"/>
      <c r="J19" s="986">
        <f>H19/DAY(B2)</f>
        <v>54.52</v>
      </c>
      <c r="K19" s="1002"/>
      <c r="L19" s="961"/>
      <c r="O19" s="988"/>
    </row>
    <row r="20" spans="1:15" x14ac:dyDescent="0.35">
      <c r="A20" s="1004" t="s">
        <v>172</v>
      </c>
      <c r="B20" s="1005"/>
      <c r="C20" s="1005"/>
      <c r="D20" s="1022"/>
      <c r="E20" s="1022"/>
      <c r="F20" s="1022"/>
      <c r="G20" s="1023">
        <f>G18+G19</f>
        <v>174</v>
      </c>
      <c r="H20" s="984">
        <f>G20+'[1]24'!H20</f>
        <v>4723</v>
      </c>
      <c r="I20" s="1024">
        <f>I18-J20</f>
        <v>-123.91999999999999</v>
      </c>
      <c r="J20" s="986">
        <f>H20/DAY(B2)</f>
        <v>188.92</v>
      </c>
      <c r="K20" s="1002"/>
      <c r="L20" s="961"/>
      <c r="O20" s="988"/>
    </row>
    <row r="21" spans="1:15" x14ac:dyDescent="0.35">
      <c r="A21" s="1569" t="s">
        <v>173</v>
      </c>
      <c r="B21" s="1570"/>
      <c r="C21" s="1571"/>
      <c r="D21" s="976"/>
      <c r="E21" s="976"/>
      <c r="F21" s="976"/>
      <c r="G21" s="1008"/>
      <c r="H21" s="976"/>
      <c r="I21" s="976"/>
      <c r="J21" s="977"/>
      <c r="K21" s="1002"/>
      <c r="L21" s="961"/>
      <c r="O21" s="988"/>
    </row>
    <row r="22" spans="1:15" x14ac:dyDescent="0.35">
      <c r="A22" s="1010" t="s">
        <v>174</v>
      </c>
      <c r="B22" s="1011"/>
      <c r="C22" s="1011"/>
      <c r="D22" s="981" t="s">
        <v>175</v>
      </c>
      <c r="E22" s="1012">
        <f>'[1]24'!F22</f>
        <v>2250</v>
      </c>
      <c r="F22" s="1012">
        <v>2250</v>
      </c>
      <c r="G22" s="1006">
        <f t="shared" ref="G22" si="3">(F22-E22)</f>
        <v>0</v>
      </c>
      <c r="H22" s="984">
        <f>G22+'[1]24'!H22</f>
        <v>0</v>
      </c>
      <c r="I22" s="1003"/>
      <c r="J22" s="986">
        <f>H22/DAY(B2)</f>
        <v>0</v>
      </c>
      <c r="K22" s="1002"/>
      <c r="L22" s="961"/>
      <c r="O22" s="988"/>
    </row>
    <row r="23" spans="1:15" x14ac:dyDescent="0.35">
      <c r="A23" s="1010" t="s">
        <v>176</v>
      </c>
      <c r="B23" s="1011"/>
      <c r="C23" s="1011"/>
      <c r="D23" s="981" t="s">
        <v>175</v>
      </c>
      <c r="E23" s="1012">
        <f>'[1]24'!F23</f>
        <v>2000</v>
      </c>
      <c r="F23" s="1012">
        <v>2000</v>
      </c>
      <c r="G23" s="1006">
        <v>0</v>
      </c>
      <c r="H23" s="984">
        <f>G23+'[1]24'!H23</f>
        <v>0</v>
      </c>
      <c r="I23" s="1003"/>
      <c r="J23" s="986">
        <f>H23/DAY(B2)</f>
        <v>0</v>
      </c>
      <c r="K23" s="1002"/>
      <c r="L23" s="961"/>
      <c r="O23" s="988"/>
    </row>
    <row r="24" spans="1:15" x14ac:dyDescent="0.35">
      <c r="A24" s="1025" t="s">
        <v>177</v>
      </c>
      <c r="B24" s="1026"/>
      <c r="C24" s="1026"/>
      <c r="D24" s="968" t="s">
        <v>175</v>
      </c>
      <c r="E24" s="1012">
        <f>'[1]24'!F24</f>
        <v>4250</v>
      </c>
      <c r="F24" s="1027">
        <v>4250</v>
      </c>
      <c r="G24" s="1006">
        <v>0</v>
      </c>
      <c r="H24" s="984">
        <f>G24+'[1]24'!H24</f>
        <v>0</v>
      </c>
      <c r="I24" s="1003"/>
      <c r="J24" s="986">
        <f>H24/DAY(B2)</f>
        <v>0</v>
      </c>
      <c r="K24" s="1002"/>
      <c r="L24" s="961"/>
      <c r="O24" s="988"/>
    </row>
    <row r="25" spans="1:15" s="1033" customFormat="1" x14ac:dyDescent="0.3">
      <c r="A25" s="1575" t="s">
        <v>178</v>
      </c>
      <c r="B25" s="1576"/>
      <c r="C25" s="1577"/>
      <c r="D25" s="975"/>
      <c r="E25" s="975"/>
      <c r="F25" s="975"/>
      <c r="G25" s="1028"/>
      <c r="H25" s="1029"/>
      <c r="I25" s="1030"/>
      <c r="J25" s="1031"/>
      <c r="K25" s="1002"/>
      <c r="L25" s="1032"/>
      <c r="N25" s="1149"/>
      <c r="O25" s="988"/>
    </row>
    <row r="26" spans="1:15" s="1033" customFormat="1" x14ac:dyDescent="0.35">
      <c r="A26" s="1034" t="s">
        <v>179</v>
      </c>
      <c r="B26" s="1035"/>
      <c r="C26" s="1036"/>
      <c r="D26" s="1037" t="s">
        <v>180</v>
      </c>
      <c r="E26" s="1038"/>
      <c r="F26" s="1038"/>
      <c r="G26" s="1039"/>
      <c r="H26" s="984"/>
      <c r="I26" s="1040"/>
      <c r="J26" s="986"/>
      <c r="K26" s="1009"/>
      <c r="L26" s="1032"/>
      <c r="N26" s="1149"/>
      <c r="O26" s="988"/>
    </row>
    <row r="27" spans="1:15" s="1033" customFormat="1" ht="22.5" x14ac:dyDescent="0.4">
      <c r="A27" s="1034" t="s">
        <v>20</v>
      </c>
      <c r="B27" s="1035"/>
      <c r="C27" s="1036"/>
      <c r="D27" s="1041" t="s">
        <v>39</v>
      </c>
      <c r="E27" s="1042">
        <f>G8</f>
        <v>20290</v>
      </c>
      <c r="F27" s="621">
        <v>9.5</v>
      </c>
      <c r="G27" s="1043">
        <f>E27*F27</f>
        <v>192755</v>
      </c>
      <c r="H27" s="984">
        <f>G27+'[1]24'!H27</f>
        <v>4798336</v>
      </c>
      <c r="I27" s="1044"/>
      <c r="J27" s="986">
        <f>H27/DAY(B2)</f>
        <v>191933.44</v>
      </c>
      <c r="K27" s="1002"/>
      <c r="L27" s="1032"/>
      <c r="N27" s="1149"/>
      <c r="O27" s="988"/>
    </row>
    <row r="28" spans="1:15" s="1033" customFormat="1" ht="22.5" x14ac:dyDescent="0.4">
      <c r="A28" s="1034" t="s">
        <v>181</v>
      </c>
      <c r="B28" s="1035"/>
      <c r="C28" s="1036"/>
      <c r="D28" s="1041" t="s">
        <v>182</v>
      </c>
      <c r="E28" s="1042">
        <f>G15</f>
        <v>712.52000000001863</v>
      </c>
      <c r="F28" s="621">
        <v>36.5</v>
      </c>
      <c r="G28" s="1043">
        <f>E28*F28</f>
        <v>26006.98000000068</v>
      </c>
      <c r="H28" s="984">
        <f>G28+'[1]24'!H28</f>
        <v>637688.5434999998</v>
      </c>
      <c r="I28" s="1045"/>
      <c r="J28" s="986">
        <f>H28/DAY(B2)</f>
        <v>25507.541739999993</v>
      </c>
      <c r="K28" s="1002"/>
      <c r="L28" s="1032"/>
      <c r="N28" s="1149"/>
      <c r="O28" s="988"/>
    </row>
    <row r="29" spans="1:15" s="1033" customFormat="1" ht="22.5" x14ac:dyDescent="0.4">
      <c r="A29" s="1034" t="s">
        <v>183</v>
      </c>
      <c r="B29" s="1035"/>
      <c r="C29" s="1036"/>
      <c r="D29" s="1041" t="s">
        <v>184</v>
      </c>
      <c r="E29" s="1042">
        <f>G24</f>
        <v>0</v>
      </c>
      <c r="F29" s="621">
        <v>69</v>
      </c>
      <c r="G29" s="1043">
        <f>E29*F29</f>
        <v>0</v>
      </c>
      <c r="H29" s="984">
        <f>G29+'[1]24'!H29</f>
        <v>0</v>
      </c>
      <c r="I29" s="1045"/>
      <c r="J29" s="986">
        <f>H29/DAY(B2)</f>
        <v>0</v>
      </c>
      <c r="K29" s="1002"/>
      <c r="L29" s="1032"/>
      <c r="N29" s="1149"/>
      <c r="O29" s="988"/>
    </row>
    <row r="30" spans="1:15" s="1033" customFormat="1" ht="22.5" x14ac:dyDescent="0.4">
      <c r="A30" s="1034" t="s">
        <v>185</v>
      </c>
      <c r="B30" s="1035"/>
      <c r="C30" s="1036"/>
      <c r="D30" s="1041" t="s">
        <v>186</v>
      </c>
      <c r="E30" s="1042">
        <f>G19</f>
        <v>54</v>
      </c>
      <c r="F30" s="621">
        <v>145</v>
      </c>
      <c r="G30" s="1043">
        <f>E30*F30</f>
        <v>7830</v>
      </c>
      <c r="H30" s="984">
        <f>G30+'[1]24'!H30</f>
        <v>197635</v>
      </c>
      <c r="I30" s="1045"/>
      <c r="J30" s="986">
        <f>H30/DAY(B2)</f>
        <v>7905.4</v>
      </c>
      <c r="K30" s="1002"/>
      <c r="L30" s="1032"/>
      <c r="N30" s="1149"/>
      <c r="O30" s="988"/>
    </row>
    <row r="31" spans="1:15" s="1033" customFormat="1" ht="22.5" x14ac:dyDescent="0.4">
      <c r="A31" s="1034" t="s">
        <v>187</v>
      </c>
      <c r="B31" s="1035"/>
      <c r="C31" s="1036"/>
      <c r="D31" s="1041" t="s">
        <v>171</v>
      </c>
      <c r="E31" s="1042">
        <f>G18</f>
        <v>120</v>
      </c>
      <c r="F31" s="621">
        <v>80</v>
      </c>
      <c r="G31" s="1043">
        <f>E31*F31</f>
        <v>9600</v>
      </c>
      <c r="H31" s="984">
        <f>G31+'[1]24'!H31</f>
        <v>267200</v>
      </c>
      <c r="I31" s="1045"/>
      <c r="J31" s="986"/>
      <c r="K31" s="1002"/>
      <c r="L31" s="1032"/>
      <c r="N31" s="1149"/>
      <c r="O31" s="988"/>
    </row>
    <row r="32" spans="1:15" s="1033" customFormat="1" x14ac:dyDescent="0.35">
      <c r="A32" s="1046" t="s">
        <v>188</v>
      </c>
      <c r="B32" s="1047"/>
      <c r="C32" s="1048"/>
      <c r="D32" s="1049"/>
      <c r="E32" s="1049"/>
      <c r="F32" s="1049"/>
      <c r="G32" s="1050">
        <f>G27+G28+G29+G30+G31</f>
        <v>236191.98000000068</v>
      </c>
      <c r="H32" s="984">
        <f>G32+'[1]24'!H32</f>
        <v>5900859.5434999997</v>
      </c>
      <c r="I32" s="1051"/>
      <c r="J32" s="986">
        <f>H32/DAY(B2)</f>
        <v>236034.38173999998</v>
      </c>
      <c r="K32" s="1002"/>
      <c r="L32" s="1032"/>
      <c r="N32" s="1149"/>
      <c r="O32" s="988"/>
    </row>
    <row r="33" spans="1:15" ht="18.75" x14ac:dyDescent="0.3">
      <c r="A33" s="1572" t="s">
        <v>189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1002"/>
      <c r="L33" s="961"/>
      <c r="O33" s="988"/>
    </row>
    <row r="34" spans="1:15" x14ac:dyDescent="0.35">
      <c r="A34" s="1052" t="s">
        <v>190</v>
      </c>
      <c r="B34" s="1053"/>
      <c r="C34" s="1053"/>
      <c r="D34" s="976"/>
      <c r="E34" s="975"/>
      <c r="F34" s="975"/>
      <c r="G34" s="976"/>
      <c r="H34" s="976"/>
      <c r="I34" s="976"/>
      <c r="J34" s="977"/>
      <c r="K34" s="1002"/>
      <c r="L34" s="961"/>
      <c r="O34" s="988"/>
    </row>
    <row r="35" spans="1:15" x14ac:dyDescent="0.35">
      <c r="A35" s="979" t="s">
        <v>191</v>
      </c>
      <c r="B35" s="980"/>
      <c r="C35" s="980"/>
      <c r="D35" s="981" t="s">
        <v>159</v>
      </c>
      <c r="E35" s="982">
        <f>'[1]24'!F35</f>
        <v>629027</v>
      </c>
      <c r="F35" s="1054">
        <v>629027</v>
      </c>
      <c r="G35" s="983">
        <f t="shared" ref="G35:G46" si="4">F35-E35</f>
        <v>0</v>
      </c>
      <c r="H35" s="984">
        <f>G35+'[1]24'!H35</f>
        <v>0</v>
      </c>
      <c r="I35" s="982"/>
      <c r="J35" s="986">
        <f>H35/DAY(B2)</f>
        <v>0</v>
      </c>
      <c r="K35" s="1002"/>
      <c r="L35" s="961"/>
      <c r="N35" s="1148">
        <v>2588.1600000000326</v>
      </c>
      <c r="O35" s="988">
        <f>G35-N35</f>
        <v>-2588.1600000000326</v>
      </c>
    </row>
    <row r="36" spans="1:15" x14ac:dyDescent="0.35">
      <c r="A36" s="979" t="s">
        <v>192</v>
      </c>
      <c r="B36" s="980"/>
      <c r="C36" s="980"/>
      <c r="D36" s="981" t="s">
        <v>159</v>
      </c>
      <c r="E36" s="982">
        <f>'[1]24'!F36</f>
        <v>249170</v>
      </c>
      <c r="F36" s="1054">
        <v>250133.05</v>
      </c>
      <c r="G36" s="983">
        <f t="shared" si="4"/>
        <v>963.04999999998836</v>
      </c>
      <c r="H36" s="984">
        <f>G36+'[1]24'!H36</f>
        <v>21047.319999999978</v>
      </c>
      <c r="I36" s="982"/>
      <c r="J36" s="986">
        <f>H36/DAY(B2)</f>
        <v>841.89279999999917</v>
      </c>
      <c r="K36" s="1002"/>
      <c r="L36" s="961"/>
      <c r="N36" s="1148">
        <v>578.92000000001281</v>
      </c>
      <c r="O36" s="988">
        <f t="shared" ref="O36:O60" si="5">G36-N36</f>
        <v>384.12999999997555</v>
      </c>
    </row>
    <row r="37" spans="1:15" x14ac:dyDescent="0.35">
      <c r="A37" s="979" t="s">
        <v>193</v>
      </c>
      <c r="B37" s="980"/>
      <c r="C37" s="980"/>
      <c r="D37" s="981" t="s">
        <v>159</v>
      </c>
      <c r="E37" s="982">
        <f>'[1]24'!F37</f>
        <v>415066</v>
      </c>
      <c r="F37" s="1054">
        <v>415066</v>
      </c>
      <c r="G37" s="983">
        <f t="shared" si="4"/>
        <v>0</v>
      </c>
      <c r="H37" s="984">
        <f>G37+'[1]24'!H37</f>
        <v>0</v>
      </c>
      <c r="I37" s="982"/>
      <c r="J37" s="986">
        <f>H37/DAY(B2)</f>
        <v>0</v>
      </c>
      <c r="K37" s="1002"/>
      <c r="L37" s="961"/>
      <c r="N37" s="1148">
        <v>1568.320000000007</v>
      </c>
      <c r="O37" s="988">
        <f t="shared" si="5"/>
        <v>-1568.320000000007</v>
      </c>
    </row>
    <row r="38" spans="1:15" x14ac:dyDescent="0.35">
      <c r="A38" s="979" t="s">
        <v>194</v>
      </c>
      <c r="B38" s="980"/>
      <c r="C38" s="980"/>
      <c r="D38" s="981" t="s">
        <v>159</v>
      </c>
      <c r="E38" s="982">
        <f>'[1]24'!F38</f>
        <v>150714.38</v>
      </c>
      <c r="F38" s="971">
        <v>150714.38</v>
      </c>
      <c r="G38" s="983">
        <f t="shared" si="4"/>
        <v>0</v>
      </c>
      <c r="H38" s="984">
        <f>G38+'[1]24'!H38</f>
        <v>0.38000000000465661</v>
      </c>
      <c r="I38" s="982"/>
      <c r="J38" s="986">
        <f>H38/DAY(B2)</f>
        <v>1.5200000000186264E-2</v>
      </c>
      <c r="K38" s="1002"/>
      <c r="L38" s="961"/>
      <c r="N38" s="1148">
        <v>0</v>
      </c>
      <c r="O38" s="988">
        <f t="shared" si="5"/>
        <v>0</v>
      </c>
    </row>
    <row r="39" spans="1:15" x14ac:dyDescent="0.35">
      <c r="A39" s="979" t="s">
        <v>195</v>
      </c>
      <c r="B39" s="980"/>
      <c r="C39" s="980"/>
      <c r="D39" s="981" t="s">
        <v>159</v>
      </c>
      <c r="E39" s="982">
        <f>'[1]24'!F39</f>
        <v>912480</v>
      </c>
      <c r="F39" s="1054">
        <v>912480</v>
      </c>
      <c r="G39" s="983">
        <f t="shared" si="4"/>
        <v>0</v>
      </c>
      <c r="H39" s="984">
        <f>G39+'[1]24'!H39</f>
        <v>0</v>
      </c>
      <c r="I39" s="982"/>
      <c r="J39" s="986">
        <f>H39/DAY(B2)</f>
        <v>0</v>
      </c>
      <c r="K39" s="1002"/>
      <c r="L39" s="961"/>
      <c r="N39" s="1148">
        <v>3756</v>
      </c>
      <c r="O39" s="988">
        <f t="shared" si="5"/>
        <v>-3756</v>
      </c>
    </row>
    <row r="40" spans="1:15" x14ac:dyDescent="0.35">
      <c r="A40" s="1055" t="s">
        <v>196</v>
      </c>
      <c r="B40" s="1056"/>
      <c r="C40" s="1056"/>
      <c r="D40" s="981" t="s">
        <v>159</v>
      </c>
      <c r="E40" s="982">
        <f>'[1]24'!F40</f>
        <v>0</v>
      </c>
      <c r="F40" s="1054">
        <v>0</v>
      </c>
      <c r="G40" s="983">
        <f t="shared" si="4"/>
        <v>0</v>
      </c>
      <c r="H40" s="984">
        <f>G40+'[1]24'!H40</f>
        <v>0</v>
      </c>
      <c r="I40" s="982"/>
      <c r="J40" s="986">
        <f>H40/DAY(B2)</f>
        <v>0</v>
      </c>
      <c r="K40" s="1009"/>
      <c r="L40" s="961"/>
      <c r="N40" s="1148">
        <v>0</v>
      </c>
      <c r="O40" s="988">
        <f t="shared" si="5"/>
        <v>0</v>
      </c>
    </row>
    <row r="41" spans="1:15" x14ac:dyDescent="0.35">
      <c r="A41" s="979" t="s">
        <v>197</v>
      </c>
      <c r="B41" s="980"/>
      <c r="C41" s="980"/>
      <c r="D41" s="981" t="s">
        <v>159</v>
      </c>
      <c r="E41" s="982">
        <f>'[1]24'!F41</f>
        <v>300127.95</v>
      </c>
      <c r="F41" s="1054">
        <v>300127.95</v>
      </c>
      <c r="G41" s="983">
        <f t="shared" si="4"/>
        <v>0</v>
      </c>
      <c r="H41" s="984">
        <f>G41+'[1]24'!H41</f>
        <v>0</v>
      </c>
      <c r="I41" s="982"/>
      <c r="J41" s="986">
        <f>H41/DAY(B2)</f>
        <v>0</v>
      </c>
      <c r="K41" s="1002"/>
      <c r="L41" s="961"/>
      <c r="N41" s="1148">
        <v>0</v>
      </c>
      <c r="O41" s="988">
        <f t="shared" si="5"/>
        <v>0</v>
      </c>
    </row>
    <row r="42" spans="1:15" x14ac:dyDescent="0.35">
      <c r="A42" s="979" t="s">
        <v>198</v>
      </c>
      <c r="B42" s="980"/>
      <c r="C42" s="980"/>
      <c r="D42" s="981" t="s">
        <v>159</v>
      </c>
      <c r="E42" s="982">
        <f>'[1]24'!F42</f>
        <v>58926</v>
      </c>
      <c r="F42" s="1054">
        <v>58926.09</v>
      </c>
      <c r="G42" s="983">
        <f t="shared" si="4"/>
        <v>8.999999999650754E-2</v>
      </c>
      <c r="H42" s="984">
        <f>G42+'[1]24'!H42</f>
        <v>58926.09</v>
      </c>
      <c r="I42" s="982"/>
      <c r="J42" s="986">
        <f>H42/DAY(B2)</f>
        <v>2357.0436</v>
      </c>
      <c r="K42" s="1002"/>
      <c r="L42" s="961"/>
      <c r="N42" s="1148">
        <v>5814.7600000000093</v>
      </c>
      <c r="O42" s="988">
        <f t="shared" si="5"/>
        <v>-5814.6700000000128</v>
      </c>
    </row>
    <row r="43" spans="1:15" x14ac:dyDescent="0.35">
      <c r="A43" s="979" t="s">
        <v>199</v>
      </c>
      <c r="B43" s="980"/>
      <c r="C43" s="980"/>
      <c r="D43" s="981" t="s">
        <v>159</v>
      </c>
      <c r="E43" s="982">
        <f>'[1]24'!F43</f>
        <v>684359</v>
      </c>
      <c r="F43" s="1054">
        <v>686353.67</v>
      </c>
      <c r="G43" s="983">
        <f t="shared" si="4"/>
        <v>1994.6700000000419</v>
      </c>
      <c r="H43" s="984">
        <f>G43+'[1]24'!H43</f>
        <v>55604.359999999986</v>
      </c>
      <c r="I43" s="982"/>
      <c r="J43" s="986">
        <f>H43/DAY(B2)</f>
        <v>2224.1743999999994</v>
      </c>
      <c r="K43" s="1002"/>
      <c r="L43" s="961"/>
      <c r="N43" s="1148">
        <v>2620.2800000000279</v>
      </c>
      <c r="O43" s="988">
        <f t="shared" si="5"/>
        <v>-625.60999999998603</v>
      </c>
    </row>
    <row r="44" spans="1:15" x14ac:dyDescent="0.35">
      <c r="A44" s="979" t="s">
        <v>200</v>
      </c>
      <c r="B44" s="980"/>
      <c r="C44" s="980"/>
      <c r="D44" s="981" t="s">
        <v>159</v>
      </c>
      <c r="E44" s="982">
        <f>'[1]24'!F44</f>
        <v>0</v>
      </c>
      <c r="F44" s="1054">
        <v>0</v>
      </c>
      <c r="G44" s="983">
        <f t="shared" si="4"/>
        <v>0</v>
      </c>
      <c r="H44" s="984">
        <f>G44+'[1]24'!H44</f>
        <v>0</v>
      </c>
      <c r="I44" s="982"/>
      <c r="J44" s="986">
        <f>H44/DAY(B2)</f>
        <v>0</v>
      </c>
      <c r="K44" s="1002"/>
      <c r="L44" s="961"/>
      <c r="N44" s="1148">
        <v>0</v>
      </c>
      <c r="O44" s="988">
        <f t="shared" si="5"/>
        <v>0</v>
      </c>
    </row>
    <row r="45" spans="1:15" x14ac:dyDescent="0.35">
      <c r="A45" s="979" t="s">
        <v>201</v>
      </c>
      <c r="B45" s="980"/>
      <c r="C45" s="980"/>
      <c r="D45" s="981" t="s">
        <v>159</v>
      </c>
      <c r="E45" s="982">
        <f>'[1]24'!F45</f>
        <v>614</v>
      </c>
      <c r="F45" s="1054">
        <v>614</v>
      </c>
      <c r="G45" s="983">
        <f t="shared" si="4"/>
        <v>0</v>
      </c>
      <c r="H45" s="984">
        <f>G45+'[1]24'!H45</f>
        <v>-0.48000000000001819</v>
      </c>
      <c r="I45" s="982"/>
      <c r="J45" s="986">
        <f>H45/DAY(B2)</f>
        <v>-1.9200000000000727E-2</v>
      </c>
      <c r="K45" s="1002"/>
      <c r="L45" s="961"/>
      <c r="N45" s="1148">
        <v>0</v>
      </c>
      <c r="O45" s="988">
        <f t="shared" si="5"/>
        <v>0</v>
      </c>
    </row>
    <row r="46" spans="1:15" x14ac:dyDescent="0.35">
      <c r="A46" s="979" t="s">
        <v>202</v>
      </c>
      <c r="B46" s="980"/>
      <c r="C46" s="980"/>
      <c r="D46" s="981" t="s">
        <v>159</v>
      </c>
      <c r="E46" s="982">
        <f>'[1]24'!F46</f>
        <v>187</v>
      </c>
      <c r="F46" s="1054">
        <v>187</v>
      </c>
      <c r="G46" s="983">
        <f t="shared" si="4"/>
        <v>0</v>
      </c>
      <c r="H46" s="984">
        <f>G46+'[1]24'!H46</f>
        <v>-0.49000000000000909</v>
      </c>
      <c r="I46" s="982"/>
      <c r="J46" s="986">
        <f>H46/DAY(B2)</f>
        <v>-1.9600000000000364E-2</v>
      </c>
      <c r="K46" s="1002"/>
      <c r="L46" s="961"/>
      <c r="N46" s="1148">
        <v>0</v>
      </c>
      <c r="O46" s="988">
        <f t="shared" si="5"/>
        <v>0</v>
      </c>
    </row>
    <row r="47" spans="1:15" x14ac:dyDescent="0.35">
      <c r="A47" s="1004" t="s">
        <v>203</v>
      </c>
      <c r="B47" s="1005"/>
      <c r="C47" s="1005"/>
      <c r="D47" s="972"/>
      <c r="E47" s="968"/>
      <c r="F47" s="968"/>
      <c r="G47" s="1006">
        <f>G35+G36+G37+G38+G39+G40+G41+G42+G43+G44+G45+G46</f>
        <v>2957.8100000000268</v>
      </c>
      <c r="H47" s="984">
        <f>G47+'[1]24'!H47</f>
        <v>135577.17999999996</v>
      </c>
      <c r="I47" s="982"/>
      <c r="J47" s="986">
        <f>H47/DAY(B2)</f>
        <v>5423.0871999999981</v>
      </c>
      <c r="K47" s="1002"/>
      <c r="L47" s="961"/>
      <c r="N47" s="1150">
        <v>16926.44000000009</v>
      </c>
      <c r="O47" s="988">
        <f t="shared" si="5"/>
        <v>-13968.630000000063</v>
      </c>
    </row>
    <row r="48" spans="1:15" x14ac:dyDescent="0.35">
      <c r="A48" s="1052" t="s">
        <v>204</v>
      </c>
      <c r="B48" s="1053"/>
      <c r="C48" s="1053"/>
      <c r="D48" s="976"/>
      <c r="E48" s="975"/>
      <c r="F48" s="975"/>
      <c r="G48" s="976"/>
      <c r="H48" s="976"/>
      <c r="I48" s="976"/>
      <c r="J48" s="977"/>
      <c r="K48" s="1002"/>
      <c r="L48" s="961"/>
      <c r="O48" s="988">
        <f t="shared" si="5"/>
        <v>0</v>
      </c>
    </row>
    <row r="49" spans="1:15" x14ac:dyDescent="0.35">
      <c r="A49" s="979" t="s">
        <v>191</v>
      </c>
      <c r="B49" s="1057"/>
      <c r="C49" s="1057"/>
      <c r="D49" s="981" t="s">
        <v>159</v>
      </c>
      <c r="E49" s="982">
        <f>'[1]24'!F49</f>
        <v>128957</v>
      </c>
      <c r="F49" s="1054">
        <v>132073.04</v>
      </c>
      <c r="G49" s="983">
        <f t="shared" ref="G49:G58" si="6">F49-E49</f>
        <v>3116.0400000000081</v>
      </c>
      <c r="H49" s="984">
        <f>G49+'[1]24'!H49</f>
        <v>67463.523000000016</v>
      </c>
      <c r="I49" s="982"/>
      <c r="J49" s="986">
        <f>H49/DAY(B2)</f>
        <v>2698.5409200000008</v>
      </c>
      <c r="K49" s="1002"/>
      <c r="L49" s="961"/>
      <c r="N49" s="1148">
        <v>0</v>
      </c>
      <c r="O49" s="988">
        <f t="shared" si="5"/>
        <v>3116.0400000000081</v>
      </c>
    </row>
    <row r="50" spans="1:15" x14ac:dyDescent="0.35">
      <c r="A50" s="979" t="s">
        <v>205</v>
      </c>
      <c r="B50" s="1057"/>
      <c r="C50" s="1057"/>
      <c r="D50" s="981" t="s">
        <v>159</v>
      </c>
      <c r="E50" s="982">
        <f>'[1]24'!F50</f>
        <v>326668</v>
      </c>
      <c r="F50" s="1054">
        <v>327780.51</v>
      </c>
      <c r="G50" s="983">
        <f t="shared" si="6"/>
        <v>1112.5100000000093</v>
      </c>
      <c r="H50" s="984">
        <f>G50+'[1]24'!H50</f>
        <v>30370.979999999981</v>
      </c>
      <c r="I50" s="982"/>
      <c r="J50" s="986">
        <f>H50/DAY(B2)</f>
        <v>1214.8391999999992</v>
      </c>
      <c r="K50" s="1002"/>
      <c r="L50" s="961"/>
      <c r="N50" s="1148">
        <v>1205.9199999999837</v>
      </c>
      <c r="O50" s="988">
        <f t="shared" si="5"/>
        <v>-93.409999999974389</v>
      </c>
    </row>
    <row r="51" spans="1:15" x14ac:dyDescent="0.35">
      <c r="A51" s="979" t="s">
        <v>193</v>
      </c>
      <c r="B51" s="1057"/>
      <c r="C51" s="1057"/>
      <c r="D51" s="981" t="s">
        <v>159</v>
      </c>
      <c r="E51" s="982">
        <f>'[1]24'!F51</f>
        <v>54519</v>
      </c>
      <c r="F51" s="1054">
        <v>56000.55</v>
      </c>
      <c r="G51" s="983">
        <f t="shared" si="6"/>
        <v>1481.5500000000029</v>
      </c>
      <c r="H51" s="984">
        <f>G51+'[1]24'!H51</f>
        <v>35133.582999999999</v>
      </c>
      <c r="I51" s="982"/>
      <c r="J51" s="986">
        <f>H51/DAY(B2)</f>
        <v>1405.3433199999999</v>
      </c>
      <c r="K51" s="1002"/>
      <c r="L51" s="961"/>
      <c r="N51" s="1148">
        <v>0</v>
      </c>
      <c r="O51" s="988">
        <f t="shared" si="5"/>
        <v>1481.5500000000029</v>
      </c>
    </row>
    <row r="52" spans="1:15" x14ac:dyDescent="0.35">
      <c r="A52" s="979" t="s">
        <v>206</v>
      </c>
      <c r="B52" s="1057"/>
      <c r="C52" s="1057"/>
      <c r="D52" s="981" t="s">
        <v>159</v>
      </c>
      <c r="E52" s="982">
        <f>'[1]24'!F52</f>
        <v>418560</v>
      </c>
      <c r="F52" s="1054">
        <v>420658.43</v>
      </c>
      <c r="G52" s="983">
        <f t="shared" si="6"/>
        <v>2098.429999999993</v>
      </c>
      <c r="H52" s="984">
        <f>G52+'[1]24'!H52</f>
        <v>47302.639999999956</v>
      </c>
      <c r="I52" s="982"/>
      <c r="J52" s="986">
        <f>H52/DAY(B2)</f>
        <v>1892.1055999999983</v>
      </c>
      <c r="K52" s="1002"/>
      <c r="L52" s="961"/>
      <c r="N52" s="1148">
        <v>1589.5200000000186</v>
      </c>
      <c r="O52" s="988">
        <f t="shared" si="5"/>
        <v>508.90999999997439</v>
      </c>
    </row>
    <row r="53" spans="1:15" x14ac:dyDescent="0.35">
      <c r="A53" s="979" t="s">
        <v>195</v>
      </c>
      <c r="B53" s="1057"/>
      <c r="C53" s="1057"/>
      <c r="D53" s="981" t="s">
        <v>159</v>
      </c>
      <c r="E53" s="982">
        <f>'[1]24'!F53</f>
        <v>147114</v>
      </c>
      <c r="F53" s="1054">
        <v>151166.44</v>
      </c>
      <c r="G53" s="983">
        <f t="shared" si="6"/>
        <v>4052.4400000000023</v>
      </c>
      <c r="H53" s="984">
        <f>G53+'[1]24'!H53</f>
        <v>101424.333</v>
      </c>
      <c r="I53" s="982"/>
      <c r="J53" s="986">
        <f>H53/DAY(B2)</f>
        <v>4056.9733200000001</v>
      </c>
      <c r="K53" s="1002"/>
      <c r="L53" s="961"/>
      <c r="N53" s="1148">
        <v>0</v>
      </c>
      <c r="O53" s="988">
        <f t="shared" si="5"/>
        <v>4052.4400000000023</v>
      </c>
    </row>
    <row r="54" spans="1:15" x14ac:dyDescent="0.35">
      <c r="A54" s="979" t="s">
        <v>207</v>
      </c>
      <c r="B54" s="1057"/>
      <c r="C54" s="1057"/>
      <c r="D54" s="981" t="s">
        <v>159</v>
      </c>
      <c r="E54" s="982">
        <f>'[1]24'!F54</f>
        <v>4090</v>
      </c>
      <c r="F54" s="1054">
        <v>4161.91</v>
      </c>
      <c r="G54" s="983">
        <f t="shared" si="6"/>
        <v>71.909999999999854</v>
      </c>
      <c r="H54" s="984">
        <f>G54+'[1]24'!H54</f>
        <v>1283.2999999999997</v>
      </c>
      <c r="I54" s="982"/>
      <c r="J54" s="986">
        <f>H54/DAY(B2)</f>
        <v>51.331999999999987</v>
      </c>
      <c r="K54" s="1002"/>
      <c r="L54" s="961"/>
      <c r="N54" s="1148">
        <v>68.139999999999986</v>
      </c>
      <c r="O54" s="988">
        <f t="shared" si="5"/>
        <v>3.7699999999998681</v>
      </c>
    </row>
    <row r="55" spans="1:15" x14ac:dyDescent="0.35">
      <c r="A55" s="979" t="s">
        <v>208</v>
      </c>
      <c r="B55" s="1057"/>
      <c r="C55" s="1057"/>
      <c r="D55" s="981" t="s">
        <v>159</v>
      </c>
      <c r="E55" s="982">
        <f>'[1]24'!F55</f>
        <v>158492.73000000001</v>
      </c>
      <c r="F55" s="1054">
        <v>158492.73000000001</v>
      </c>
      <c r="G55" s="983">
        <f t="shared" si="6"/>
        <v>0</v>
      </c>
      <c r="H55" s="984">
        <f>G55+'[1]24'!H55</f>
        <v>-0.26999999998952262</v>
      </c>
      <c r="I55" s="982"/>
      <c r="J55" s="986">
        <f>H55/DAY(B2)</f>
        <v>-1.0799999999580905E-2</v>
      </c>
      <c r="K55" s="1002"/>
      <c r="L55" s="961"/>
      <c r="N55" s="1148">
        <v>0</v>
      </c>
      <c r="O55" s="988">
        <f t="shared" si="5"/>
        <v>0</v>
      </c>
    </row>
    <row r="56" spans="1:15" x14ac:dyDescent="0.35">
      <c r="A56" s="979" t="s">
        <v>209</v>
      </c>
      <c r="B56" s="1057"/>
      <c r="C56" s="1057"/>
      <c r="D56" s="981" t="s">
        <v>210</v>
      </c>
      <c r="E56" s="982">
        <f>'[1]24'!F56</f>
        <v>484212</v>
      </c>
      <c r="F56" s="1054">
        <v>488727.35</v>
      </c>
      <c r="G56" s="983">
        <f t="shared" si="6"/>
        <v>4515.3499999999767</v>
      </c>
      <c r="H56" s="984">
        <f>G56+'[1]24'!H56</f>
        <v>52886.319999999949</v>
      </c>
      <c r="I56" s="982"/>
      <c r="J56" s="986">
        <f>H56/DAY(B2)</f>
        <v>2115.4527999999978</v>
      </c>
      <c r="K56" s="978"/>
      <c r="L56" s="961"/>
      <c r="N56" s="1148">
        <v>363.97999999998137</v>
      </c>
      <c r="O56" s="988">
        <f t="shared" si="5"/>
        <v>4151.3699999999953</v>
      </c>
    </row>
    <row r="57" spans="1:15" x14ac:dyDescent="0.35">
      <c r="A57" s="979" t="s">
        <v>199</v>
      </c>
      <c r="B57" s="1057"/>
      <c r="C57" s="1057"/>
      <c r="D57" s="981" t="s">
        <v>159</v>
      </c>
      <c r="E57" s="982">
        <f>'[1]24'!F57</f>
        <v>0</v>
      </c>
      <c r="F57" s="1054">
        <v>0</v>
      </c>
      <c r="G57" s="983">
        <f t="shared" si="6"/>
        <v>0</v>
      </c>
      <c r="H57" s="984">
        <f>G57+'[1]24'!H57</f>
        <v>0</v>
      </c>
      <c r="I57" s="982"/>
      <c r="J57" s="986">
        <f>H57/DAY(B2)</f>
        <v>0</v>
      </c>
      <c r="K57" s="1002"/>
      <c r="L57" s="961"/>
      <c r="N57" s="1148">
        <v>0</v>
      </c>
      <c r="O57" s="988">
        <f t="shared" si="5"/>
        <v>0</v>
      </c>
    </row>
    <row r="58" spans="1:15" x14ac:dyDescent="0.35">
      <c r="A58" s="979" t="s">
        <v>211</v>
      </c>
      <c r="B58" s="1057"/>
      <c r="C58" s="1057"/>
      <c r="D58" s="981" t="s">
        <v>159</v>
      </c>
      <c r="E58" s="982">
        <f>'[1]24'!F58</f>
        <v>23779</v>
      </c>
      <c r="F58" s="1054">
        <v>23935.49</v>
      </c>
      <c r="G58" s="983">
        <f t="shared" si="6"/>
        <v>156.4900000000016</v>
      </c>
      <c r="H58" s="984">
        <f>G58+'[1]24'!H58</f>
        <v>3542.4570000000022</v>
      </c>
      <c r="I58" s="982"/>
      <c r="J58" s="986">
        <f>H58/DAY(B2)</f>
        <v>141.6982800000001</v>
      </c>
      <c r="K58" s="1002"/>
      <c r="L58" s="961"/>
      <c r="N58" s="1148">
        <v>204.34000000000015</v>
      </c>
      <c r="O58" s="988">
        <f t="shared" si="5"/>
        <v>-47.849999999998545</v>
      </c>
    </row>
    <row r="59" spans="1:15" x14ac:dyDescent="0.35">
      <c r="A59" s="1004" t="s">
        <v>203</v>
      </c>
      <c r="B59" s="1005"/>
      <c r="C59" s="1005"/>
      <c r="D59" s="968"/>
      <c r="E59" s="968"/>
      <c r="F59" s="968"/>
      <c r="G59" s="1006">
        <f>G49+G50+G51+G52+G53+G54+G55+G56+G57+G58</f>
        <v>16604.719999999994</v>
      </c>
      <c r="H59" s="984">
        <f>G59+'[1]24'!H59</f>
        <v>339406.86599999986</v>
      </c>
      <c r="I59" s="982">
        <f>G7-G60</f>
        <v>603.46999999997934</v>
      </c>
      <c r="J59" s="986">
        <f>H59/DAY(B2)</f>
        <v>13576.274639999994</v>
      </c>
      <c r="K59" s="1002"/>
      <c r="L59" s="961"/>
      <c r="N59" s="1148">
        <v>3431.8999999999837</v>
      </c>
      <c r="O59" s="988">
        <f t="shared" si="5"/>
        <v>13172.820000000011</v>
      </c>
    </row>
    <row r="60" spans="1:15" x14ac:dyDescent="0.35">
      <c r="A60" s="979"/>
      <c r="B60" s="980"/>
      <c r="C60" s="980"/>
      <c r="D60" s="968" t="s">
        <v>212</v>
      </c>
      <c r="E60" s="968"/>
      <c r="F60" s="968"/>
      <c r="G60" s="1006">
        <f>G47+G59</f>
        <v>19562.530000000021</v>
      </c>
      <c r="H60" s="984">
        <f>G60+'[1]24'!H60</f>
        <v>488527.71599999996</v>
      </c>
      <c r="I60" s="982">
        <f>G13-G60</f>
        <v>-126.9199999998018</v>
      </c>
      <c r="J60" s="986">
        <f>H60/DAY(B2)</f>
        <v>19541.108639999999</v>
      </c>
      <c r="K60" s="1002"/>
      <c r="L60" s="961"/>
      <c r="N60" s="1148">
        <v>20358.340000000073</v>
      </c>
      <c r="O60" s="988">
        <f t="shared" si="5"/>
        <v>-795.81000000005224</v>
      </c>
    </row>
    <row r="61" spans="1:15" x14ac:dyDescent="0.35">
      <c r="A61" s="1058" t="s">
        <v>213</v>
      </c>
      <c r="B61" s="1059"/>
      <c r="C61" s="1059"/>
      <c r="D61" s="1059"/>
      <c r="E61" s="1060"/>
      <c r="F61" s="1060"/>
      <c r="G61" s="1059"/>
      <c r="H61" s="1059"/>
      <c r="I61" s="1059"/>
      <c r="J61" s="1061"/>
      <c r="K61" s="1002"/>
      <c r="L61" s="961"/>
      <c r="O61" s="988">
        <f>SUM(O35:O60)</f>
        <v>-2387.4300000001567</v>
      </c>
    </row>
    <row r="62" spans="1:15" x14ac:dyDescent="0.35">
      <c r="A62" s="1062" t="s">
        <v>121</v>
      </c>
      <c r="B62" s="1063"/>
      <c r="C62" s="1063"/>
      <c r="D62" s="968" t="s">
        <v>214</v>
      </c>
      <c r="E62" s="982">
        <f>'[1]24'!F62</f>
        <v>20419.18</v>
      </c>
      <c r="F62" s="1064">
        <v>20419.18</v>
      </c>
      <c r="G62" s="983">
        <f t="shared" ref="G62:G69" si="7">F62-E62</f>
        <v>0</v>
      </c>
      <c r="H62" s="984">
        <f>G62+'[1]24'!H62</f>
        <v>0</v>
      </c>
      <c r="I62" s="1065"/>
      <c r="J62" s="986">
        <f>H62/DAY(B2)</f>
        <v>0</v>
      </c>
      <c r="K62" s="1002"/>
      <c r="L62" s="961"/>
      <c r="O62" s="988"/>
    </row>
    <row r="63" spans="1:15" x14ac:dyDescent="0.35">
      <c r="A63" s="1062" t="s">
        <v>215</v>
      </c>
      <c r="B63" s="1063"/>
      <c r="C63" s="1063"/>
      <c r="D63" s="968" t="s">
        <v>214</v>
      </c>
      <c r="E63" s="982">
        <f>'[1]24'!F63</f>
        <v>1078</v>
      </c>
      <c r="F63" s="1064">
        <v>1082.6400000000001</v>
      </c>
      <c r="G63" s="983">
        <f t="shared" si="7"/>
        <v>4.6400000000001</v>
      </c>
      <c r="H63" s="984">
        <f>G63+'[1]24'!H63</f>
        <v>226.2700000000001</v>
      </c>
      <c r="I63" s="1065"/>
      <c r="J63" s="986">
        <f>H63/DAY(B2)</f>
        <v>9.0508000000000042</v>
      </c>
      <c r="K63" s="1002"/>
      <c r="L63" s="961"/>
      <c r="O63" s="988"/>
    </row>
    <row r="64" spans="1:15" x14ac:dyDescent="0.35">
      <c r="A64" s="1563" t="s">
        <v>122</v>
      </c>
      <c r="B64" s="1564"/>
      <c r="C64" s="1565"/>
      <c r="D64" s="981" t="s">
        <v>214</v>
      </c>
      <c r="E64" s="982">
        <f>'[1]24'!F64</f>
        <v>95660</v>
      </c>
      <c r="F64" s="1012">
        <v>96025.81</v>
      </c>
      <c r="G64" s="983">
        <f t="shared" si="7"/>
        <v>365.80999999999767</v>
      </c>
      <c r="H64" s="984">
        <f>G64+'[1]24'!H64</f>
        <v>9286.7149999999965</v>
      </c>
      <c r="I64" s="1003"/>
      <c r="J64" s="986">
        <f>H64/DAY(B2)</f>
        <v>371.46859999999987</v>
      </c>
      <c r="K64" s="1002"/>
      <c r="L64" s="961"/>
      <c r="O64" s="988"/>
    </row>
    <row r="65" spans="1:15" x14ac:dyDescent="0.35">
      <c r="A65" s="1563" t="s">
        <v>123</v>
      </c>
      <c r="B65" s="1564"/>
      <c r="C65" s="1565"/>
      <c r="D65" s="981" t="s">
        <v>214</v>
      </c>
      <c r="E65" s="982">
        <f>'[1]24'!F65</f>
        <v>106159</v>
      </c>
      <c r="F65" s="1012">
        <v>106568.01</v>
      </c>
      <c r="G65" s="983">
        <f t="shared" si="7"/>
        <v>409.00999999999476</v>
      </c>
      <c r="H65" s="984">
        <f>G65+'[1]24'!H65</f>
        <v>9932.0270000000019</v>
      </c>
      <c r="I65" s="1021"/>
      <c r="J65" s="986">
        <f>H65/DAY(B2)</f>
        <v>397.28108000000009</v>
      </c>
      <c r="K65" s="1002"/>
      <c r="L65" s="961"/>
      <c r="O65" s="988"/>
    </row>
    <row r="66" spans="1:15" x14ac:dyDescent="0.35">
      <c r="A66" s="1563" t="s">
        <v>124</v>
      </c>
      <c r="B66" s="1564"/>
      <c r="C66" s="1565"/>
      <c r="D66" s="981" t="s">
        <v>214</v>
      </c>
      <c r="E66" s="982">
        <f>'[1]24'!F66</f>
        <v>99631</v>
      </c>
      <c r="F66" s="1012">
        <v>100045</v>
      </c>
      <c r="G66" s="983">
        <f t="shared" si="7"/>
        <v>414</v>
      </c>
      <c r="H66" s="984">
        <f>G66+'[1]24'!H66</f>
        <v>10040.153000000006</v>
      </c>
      <c r="I66" s="1003"/>
      <c r="J66" s="986">
        <f>H66/DAY(B2)</f>
        <v>401.6061200000002</v>
      </c>
      <c r="K66" s="1002"/>
      <c r="L66" s="961"/>
      <c r="O66" s="988"/>
    </row>
    <row r="67" spans="1:15" x14ac:dyDescent="0.35">
      <c r="A67" s="1563" t="s">
        <v>125</v>
      </c>
      <c r="B67" s="1564"/>
      <c r="C67" s="1565"/>
      <c r="D67" s="981" t="s">
        <v>214</v>
      </c>
      <c r="E67" s="982">
        <f>'[1]24'!F67</f>
        <v>163431</v>
      </c>
      <c r="F67" s="1012">
        <v>164149.42000000001</v>
      </c>
      <c r="G67" s="983">
        <f t="shared" si="7"/>
        <v>718.42000000001281</v>
      </c>
      <c r="H67" s="984">
        <f>G67+'[1]24'!H67</f>
        <v>18107.370000000024</v>
      </c>
      <c r="I67" s="1021"/>
      <c r="J67" s="986">
        <f>H67/DAY(B2)</f>
        <v>724.29480000000103</v>
      </c>
      <c r="K67" s="1009"/>
      <c r="L67" s="961"/>
      <c r="O67" s="988"/>
    </row>
    <row r="68" spans="1:15" x14ac:dyDescent="0.35">
      <c r="A68" s="1563" t="s">
        <v>126</v>
      </c>
      <c r="B68" s="1564"/>
      <c r="C68" s="1565"/>
      <c r="D68" s="981" t="s">
        <v>214</v>
      </c>
      <c r="E68" s="982">
        <f>'[1]24'!F68</f>
        <v>51536</v>
      </c>
      <c r="F68" s="1012">
        <v>51832.913</v>
      </c>
      <c r="G68" s="983">
        <f t="shared" si="7"/>
        <v>296.91300000000047</v>
      </c>
      <c r="H68" s="984">
        <f>G68+'[1]24'!H68</f>
        <v>8657.8340000000026</v>
      </c>
      <c r="I68" s="1066"/>
      <c r="J68" s="986">
        <f>H68/DAY(B2)</f>
        <v>346.3133600000001</v>
      </c>
      <c r="K68" s="1067"/>
      <c r="L68" s="961"/>
      <c r="O68" s="988"/>
    </row>
    <row r="69" spans="1:15" x14ac:dyDescent="0.35">
      <c r="A69" s="1563" t="s">
        <v>127</v>
      </c>
      <c r="B69" s="1564"/>
      <c r="C69" s="1565"/>
      <c r="D69" s="981" t="s">
        <v>214</v>
      </c>
      <c r="E69" s="982">
        <f>'[1]24'!F69</f>
        <v>44523</v>
      </c>
      <c r="F69" s="1012">
        <v>44815.79</v>
      </c>
      <c r="G69" s="983">
        <f t="shared" si="7"/>
        <v>292.79000000000087</v>
      </c>
      <c r="H69" s="984">
        <f>G69+'[1]24'!H69</f>
        <v>7260.2229999999981</v>
      </c>
      <c r="I69" s="1066"/>
      <c r="J69" s="986">
        <f>H69/DAY(B2)</f>
        <v>290.40891999999991</v>
      </c>
      <c r="K69" s="1068"/>
      <c r="L69" s="961"/>
      <c r="O69" s="988"/>
    </row>
    <row r="70" spans="1:15" x14ac:dyDescent="0.35">
      <c r="A70" s="1586" t="s">
        <v>216</v>
      </c>
      <c r="B70" s="1587"/>
      <c r="C70" s="1588"/>
      <c r="D70" s="981" t="s">
        <v>214</v>
      </c>
      <c r="E70" s="1352"/>
      <c r="F70" s="1069"/>
      <c r="G70" s="1069"/>
      <c r="H70" s="984">
        <f>G70+'[1]13'!H70</f>
        <v>0</v>
      </c>
      <c r="I70" s="1069"/>
      <c r="J70" s="1070"/>
      <c r="K70" s="1068"/>
      <c r="L70" s="961"/>
      <c r="O70" s="988"/>
    </row>
    <row r="71" spans="1:15" ht="22.5" x14ac:dyDescent="0.45">
      <c r="A71" s="1583" t="s">
        <v>217</v>
      </c>
      <c r="B71" s="1584"/>
      <c r="C71" s="1584"/>
      <c r="D71" s="1584"/>
      <c r="E71" s="1584"/>
      <c r="F71" s="1584"/>
      <c r="G71" s="1584"/>
      <c r="H71" s="1584"/>
      <c r="I71" s="1584"/>
      <c r="J71" s="1585"/>
      <c r="K71" s="1067"/>
      <c r="L71" s="961"/>
      <c r="O71" s="988"/>
    </row>
    <row r="72" spans="1:15" x14ac:dyDescent="0.35">
      <c r="A72" s="1563" t="s">
        <v>218</v>
      </c>
      <c r="B72" s="1564"/>
      <c r="C72" s="1565"/>
      <c r="D72" s="981" t="s">
        <v>214</v>
      </c>
      <c r="E72" s="982">
        <f>'[1]24'!F72</f>
        <v>845747</v>
      </c>
      <c r="F72" s="1071">
        <v>845857</v>
      </c>
      <c r="G72" s="983">
        <f t="shared" ref="G72:G84" si="8">F72-E72</f>
        <v>110</v>
      </c>
      <c r="H72" s="984">
        <f>G72+'[1]24'!H72</f>
        <v>1595</v>
      </c>
      <c r="I72" s="1003"/>
      <c r="J72" s="986">
        <f>H72/DAY(B2)</f>
        <v>63.8</v>
      </c>
      <c r="K72" s="1068"/>
      <c r="L72" s="961"/>
      <c r="O72" s="988"/>
    </row>
    <row r="73" spans="1:15" x14ac:dyDescent="0.35">
      <c r="A73" s="1563" t="s">
        <v>219</v>
      </c>
      <c r="B73" s="1564"/>
      <c r="C73" s="1565"/>
      <c r="D73" s="981" t="s">
        <v>214</v>
      </c>
      <c r="E73" s="982">
        <f>'[1]24'!F73</f>
        <v>885661</v>
      </c>
      <c r="F73" s="1072">
        <v>885663</v>
      </c>
      <c r="G73" s="983">
        <f t="shared" si="8"/>
        <v>2</v>
      </c>
      <c r="H73" s="984">
        <f>G73+'[1]24'!H73</f>
        <v>959</v>
      </c>
      <c r="I73" s="1003"/>
      <c r="J73" s="986">
        <f>H73/DAY(B2)</f>
        <v>38.36</v>
      </c>
      <c r="K73" s="1067"/>
      <c r="L73" s="961"/>
      <c r="O73" s="988"/>
    </row>
    <row r="74" spans="1:15" x14ac:dyDescent="0.35">
      <c r="A74" s="1563" t="s">
        <v>220</v>
      </c>
      <c r="B74" s="1564"/>
      <c r="C74" s="1565"/>
      <c r="D74" s="981" t="s">
        <v>214</v>
      </c>
      <c r="E74" s="982">
        <f>'[1]24'!F74</f>
        <v>881015</v>
      </c>
      <c r="F74" s="1073">
        <v>881059</v>
      </c>
      <c r="G74" s="983">
        <f t="shared" si="8"/>
        <v>44</v>
      </c>
      <c r="H74" s="984">
        <f>G74+'[1]24'!H74</f>
        <v>832</v>
      </c>
      <c r="I74" s="1003"/>
      <c r="J74" s="986">
        <f>H74/DAY(B2)</f>
        <v>33.28</v>
      </c>
      <c r="K74" s="1068"/>
      <c r="L74" s="961"/>
      <c r="O74" s="988"/>
    </row>
    <row r="75" spans="1:15" x14ac:dyDescent="0.35">
      <c r="A75" s="1589" t="s">
        <v>221</v>
      </c>
      <c r="B75" s="1590"/>
      <c r="C75" s="1591"/>
      <c r="D75" s="981" t="s">
        <v>214</v>
      </c>
      <c r="E75" s="982">
        <f>'[1]24'!F75</f>
        <v>730414</v>
      </c>
      <c r="F75" s="1073">
        <v>730593</v>
      </c>
      <c r="G75" s="983">
        <f t="shared" si="8"/>
        <v>179</v>
      </c>
      <c r="H75" s="984">
        <f>G75+'[1]24'!H75</f>
        <v>4413</v>
      </c>
      <c r="I75" s="1003"/>
      <c r="J75" s="986">
        <f>H75/DAY(B2)</f>
        <v>176.52</v>
      </c>
      <c r="K75" s="1067"/>
      <c r="L75" s="961"/>
      <c r="O75" s="988"/>
    </row>
    <row r="76" spans="1:15" x14ac:dyDescent="0.35">
      <c r="A76" s="1589" t="s">
        <v>222</v>
      </c>
      <c r="B76" s="1590"/>
      <c r="C76" s="1591"/>
      <c r="D76" s="981" t="s">
        <v>214</v>
      </c>
      <c r="E76" s="982">
        <f>'[1]24'!F76</f>
        <v>683669</v>
      </c>
      <c r="F76" s="1072">
        <v>683750</v>
      </c>
      <c r="G76" s="983">
        <f t="shared" si="8"/>
        <v>81</v>
      </c>
      <c r="H76" s="984">
        <f>G76+'[1]24'!H76</f>
        <v>3380</v>
      </c>
      <c r="I76" s="1045"/>
      <c r="J76" s="986">
        <f>H76/DAY(B2)</f>
        <v>135.19999999999999</v>
      </c>
      <c r="K76" s="1067"/>
      <c r="L76" s="961"/>
      <c r="O76" s="988"/>
    </row>
    <row r="77" spans="1:15" x14ac:dyDescent="0.35">
      <c r="A77" s="1563" t="s">
        <v>223</v>
      </c>
      <c r="B77" s="1564"/>
      <c r="C77" s="1565"/>
      <c r="D77" s="981" t="s">
        <v>214</v>
      </c>
      <c r="E77" s="982">
        <f>'[1]24'!F77</f>
        <v>694994</v>
      </c>
      <c r="F77" s="1072">
        <v>695039</v>
      </c>
      <c r="G77" s="983">
        <f t="shared" si="8"/>
        <v>45</v>
      </c>
      <c r="H77" s="984">
        <f>G77+'[1]24'!H77</f>
        <v>1319</v>
      </c>
      <c r="I77" s="1045"/>
      <c r="J77" s="986">
        <f>H77/DAY(B2)</f>
        <v>52.76</v>
      </c>
      <c r="K77" s="1067"/>
      <c r="L77" s="961"/>
      <c r="O77" s="988"/>
    </row>
    <row r="78" spans="1:15" x14ac:dyDescent="0.35">
      <c r="A78" s="1074" t="s">
        <v>224</v>
      </c>
      <c r="B78" s="1353"/>
      <c r="C78" s="1353"/>
      <c r="D78" s="981" t="s">
        <v>214</v>
      </c>
      <c r="E78" s="982">
        <f>'[1]24'!F78</f>
        <v>628068</v>
      </c>
      <c r="F78" s="1073">
        <v>628442</v>
      </c>
      <c r="G78" s="983">
        <f t="shared" si="8"/>
        <v>374</v>
      </c>
      <c r="H78" s="984">
        <f>G78+'[1]24'!H78</f>
        <v>10189</v>
      </c>
      <c r="I78" s="1045"/>
      <c r="J78" s="986">
        <f>H78/DAY(B2)</f>
        <v>407.56</v>
      </c>
      <c r="K78" s="1067"/>
      <c r="L78" s="961"/>
      <c r="O78" s="988"/>
    </row>
    <row r="79" spans="1:15" x14ac:dyDescent="0.35">
      <c r="A79" s="1589" t="s">
        <v>112</v>
      </c>
      <c r="B79" s="1590"/>
      <c r="C79" s="1591"/>
      <c r="D79" s="1015" t="s">
        <v>214</v>
      </c>
      <c r="E79" s="982">
        <f>'[1]24'!F79</f>
        <v>802529</v>
      </c>
      <c r="F79" s="1073">
        <v>802719</v>
      </c>
      <c r="G79" s="983">
        <f t="shared" si="8"/>
        <v>190</v>
      </c>
      <c r="H79" s="984">
        <f>G79+'[1]24'!H79</f>
        <v>7467</v>
      </c>
      <c r="I79" s="1045"/>
      <c r="J79" s="986">
        <f>H79/DAY(B2)</f>
        <v>298.68</v>
      </c>
      <c r="K79" s="1067"/>
      <c r="L79" s="961"/>
      <c r="O79" s="988"/>
    </row>
    <row r="80" spans="1:15" x14ac:dyDescent="0.35">
      <c r="A80" s="1589" t="s">
        <v>225</v>
      </c>
      <c r="B80" s="1590"/>
      <c r="C80" s="1591"/>
      <c r="D80" s="1015" t="s">
        <v>214</v>
      </c>
      <c r="E80" s="982">
        <f>'[1]24'!F80</f>
        <v>473242</v>
      </c>
      <c r="F80" s="1072">
        <v>473596</v>
      </c>
      <c r="G80" s="983">
        <f t="shared" si="8"/>
        <v>354</v>
      </c>
      <c r="H80" s="984">
        <f>G80+'[1]24'!H80</f>
        <v>6272.1599999999744</v>
      </c>
      <c r="I80" s="1045"/>
      <c r="J80" s="986">
        <f>H80/DAY(B2)</f>
        <v>250.88639999999899</v>
      </c>
      <c r="K80" s="1067"/>
      <c r="L80" s="961"/>
      <c r="O80" s="988"/>
    </row>
    <row r="81" spans="1:15" x14ac:dyDescent="0.35">
      <c r="A81" s="1589" t="s">
        <v>226</v>
      </c>
      <c r="B81" s="1590"/>
      <c r="C81" s="1591"/>
      <c r="D81" s="1015" t="s">
        <v>214</v>
      </c>
      <c r="E81" s="982">
        <f>'[1]24'!F81</f>
        <v>618260</v>
      </c>
      <c r="F81" s="1072">
        <v>618439</v>
      </c>
      <c r="G81" s="983">
        <f t="shared" si="8"/>
        <v>179</v>
      </c>
      <c r="H81" s="984">
        <f>G81+'[1]24'!H81</f>
        <v>4050.4799999999814</v>
      </c>
      <c r="I81" s="1045"/>
      <c r="J81" s="986">
        <f>H81/DAY(B2)</f>
        <v>162.01919999999924</v>
      </c>
      <c r="K81" s="1067"/>
      <c r="L81" s="961"/>
      <c r="O81" s="988"/>
    </row>
    <row r="82" spans="1:15" x14ac:dyDescent="0.35">
      <c r="A82" s="1589" t="s">
        <v>115</v>
      </c>
      <c r="B82" s="1590"/>
      <c r="C82" s="1591"/>
      <c r="D82" s="1016" t="s">
        <v>159</v>
      </c>
      <c r="E82" s="982">
        <f>'[1]24'!F82</f>
        <v>104275</v>
      </c>
      <c r="F82" s="1075">
        <v>104294</v>
      </c>
      <c r="G82" s="983">
        <f t="shared" si="8"/>
        <v>19</v>
      </c>
      <c r="H82" s="984">
        <f>G82+'[1]24'!H82</f>
        <v>764.35000000000582</v>
      </c>
      <c r="I82" s="1017"/>
      <c r="J82" s="986">
        <f>H82/DAY(B2)</f>
        <v>30.574000000000233</v>
      </c>
      <c r="K82" s="1067"/>
      <c r="L82" s="961"/>
      <c r="N82" s="1148">
        <f>371*0.99</f>
        <v>367.29</v>
      </c>
      <c r="O82" s="988"/>
    </row>
    <row r="83" spans="1:15" x14ac:dyDescent="0.35">
      <c r="A83" s="1589" t="s">
        <v>227</v>
      </c>
      <c r="B83" s="1590"/>
      <c r="C83" s="1591"/>
      <c r="D83" s="1076" t="s">
        <v>159</v>
      </c>
      <c r="E83" s="982">
        <f>'[1]24'!F83</f>
        <v>971015</v>
      </c>
      <c r="F83" s="968">
        <v>971376</v>
      </c>
      <c r="G83" s="983">
        <f t="shared" si="8"/>
        <v>361</v>
      </c>
      <c r="H83" s="984">
        <f>G83+'[1]24'!H83</f>
        <v>8851</v>
      </c>
      <c r="I83" s="1006"/>
      <c r="J83" s="986">
        <f>H83/DAY(B2)</f>
        <v>354.04</v>
      </c>
      <c r="K83" s="1009"/>
      <c r="L83" s="961"/>
      <c r="O83" s="988"/>
    </row>
    <row r="84" spans="1:15" x14ac:dyDescent="0.35">
      <c r="A84" s="1077" t="s">
        <v>228</v>
      </c>
      <c r="B84" s="1078"/>
      <c r="C84" s="1078"/>
      <c r="D84" s="1000" t="s">
        <v>159</v>
      </c>
      <c r="E84" s="982">
        <f>'[1]24'!F84</f>
        <v>393940</v>
      </c>
      <c r="F84" s="1079">
        <v>394394</v>
      </c>
      <c r="G84" s="983">
        <f t="shared" si="8"/>
        <v>454</v>
      </c>
      <c r="H84" s="984">
        <f>G84+'[1]24'!H84</f>
        <v>13038</v>
      </c>
      <c r="I84" s="1006"/>
      <c r="J84" s="986">
        <f>H84/DAY(B2)</f>
        <v>521.52</v>
      </c>
      <c r="K84" s="1080"/>
      <c r="L84" s="961"/>
      <c r="O84" s="988"/>
    </row>
    <row r="85" spans="1:15" s="1084" customFormat="1" x14ac:dyDescent="0.35">
      <c r="A85" s="1081" t="s">
        <v>82</v>
      </c>
      <c r="B85" s="1082"/>
      <c r="C85" s="1082"/>
      <c r="D85" s="1021"/>
      <c r="E85" s="982"/>
      <c r="F85" s="981"/>
      <c r="G85" s="984">
        <f xml:space="preserve"> SUM(G72:G84)</f>
        <v>2392</v>
      </c>
      <c r="H85" s="984">
        <f>G85+'[1]24'!H85</f>
        <v>58573.519999999931</v>
      </c>
      <c r="I85" s="1006"/>
      <c r="J85" s="986">
        <f>H85/DAY(B2)</f>
        <v>2342.9407999999971</v>
      </c>
      <c r="K85" s="1080"/>
      <c r="L85" s="1083"/>
      <c r="N85" s="1151"/>
      <c r="O85" s="988"/>
    </row>
    <row r="86" spans="1:15" s="1094" customFormat="1" x14ac:dyDescent="0.35">
      <c r="A86" s="1085" t="s">
        <v>117</v>
      </c>
      <c r="B86" s="1086"/>
      <c r="C86" s="1086"/>
      <c r="D86" s="1087" t="s">
        <v>210</v>
      </c>
      <c r="E86" s="982">
        <f>'[1]24'!F86</f>
        <v>443785</v>
      </c>
      <c r="F86" s="1088">
        <v>443827</v>
      </c>
      <c r="G86" s="1089">
        <f t="shared" ref="G86:G90" si="9">F86-E86</f>
        <v>42</v>
      </c>
      <c r="H86" s="1089">
        <f t="shared" ref="H86:H88" si="10">G86</f>
        <v>42</v>
      </c>
      <c r="I86" s="1090"/>
      <c r="J86" s="1091">
        <f>H86/DAY(B2)</f>
        <v>1.68</v>
      </c>
      <c r="K86" s="1092"/>
      <c r="L86" s="1093"/>
      <c r="N86" s="1152">
        <f>G86/0.995</f>
        <v>42.211055276381913</v>
      </c>
      <c r="O86" s="988"/>
    </row>
    <row r="87" spans="1:15" s="1094" customFormat="1" x14ac:dyDescent="0.35">
      <c r="A87" s="1085" t="s">
        <v>118</v>
      </c>
      <c r="B87" s="1086"/>
      <c r="C87" s="1086"/>
      <c r="D87" s="1087" t="s">
        <v>210</v>
      </c>
      <c r="E87" s="982">
        <f>'[1]24'!F87</f>
        <v>77615</v>
      </c>
      <c r="F87" s="1088">
        <v>77632</v>
      </c>
      <c r="G87" s="1089">
        <f t="shared" si="9"/>
        <v>17</v>
      </c>
      <c r="H87" s="1089">
        <f t="shared" si="10"/>
        <v>17</v>
      </c>
      <c r="I87" s="1090"/>
      <c r="J87" s="1091">
        <f>H87/DAY(B2)</f>
        <v>0.68</v>
      </c>
      <c r="K87" s="1092"/>
      <c r="L87" s="1093"/>
      <c r="N87" s="1152"/>
      <c r="O87" s="988"/>
    </row>
    <row r="88" spans="1:15" s="1094" customFormat="1" x14ac:dyDescent="0.35">
      <c r="A88" s="1085" t="s">
        <v>119</v>
      </c>
      <c r="B88" s="1086"/>
      <c r="C88" s="1086"/>
      <c r="D88" s="1087" t="s">
        <v>210</v>
      </c>
      <c r="E88" s="982">
        <f>'[1]24'!F88</f>
        <v>144201</v>
      </c>
      <c r="F88" s="1088">
        <v>144233</v>
      </c>
      <c r="G88" s="1089">
        <f t="shared" si="9"/>
        <v>32</v>
      </c>
      <c r="H88" s="1089">
        <f t="shared" si="10"/>
        <v>32</v>
      </c>
      <c r="I88" s="1090"/>
      <c r="J88" s="1091">
        <f>H88/DAY(B2)</f>
        <v>1.28</v>
      </c>
      <c r="K88" s="1092"/>
      <c r="L88" s="1093"/>
      <c r="N88" s="1152"/>
      <c r="O88" s="988"/>
    </row>
    <row r="89" spans="1:15" s="1094" customFormat="1" x14ac:dyDescent="0.35">
      <c r="A89" s="1085" t="s">
        <v>230</v>
      </c>
      <c r="B89" s="1086"/>
      <c r="C89" s="1086"/>
      <c r="D89" s="1087" t="s">
        <v>210</v>
      </c>
      <c r="E89" s="982">
        <f>'[1]24'!F89</f>
        <v>57220</v>
      </c>
      <c r="F89" s="1088">
        <v>57280</v>
      </c>
      <c r="G89" s="1089">
        <f t="shared" si="9"/>
        <v>60</v>
      </c>
      <c r="H89" s="1089">
        <f>G89</f>
        <v>60</v>
      </c>
      <c r="I89" s="1090"/>
      <c r="J89" s="1091">
        <f>H89/DAY(B2)</f>
        <v>2.4</v>
      </c>
      <c r="K89" s="1092"/>
      <c r="L89" s="1093"/>
      <c r="N89" s="1158">
        <f>204/205</f>
        <v>0.99512195121951219</v>
      </c>
      <c r="O89" s="988"/>
    </row>
    <row r="90" spans="1:15" s="1094" customFormat="1" x14ac:dyDescent="0.35">
      <c r="A90" s="1085" t="s">
        <v>230</v>
      </c>
      <c r="B90" s="1086"/>
      <c r="C90" s="1086"/>
      <c r="D90" s="1087" t="s">
        <v>210</v>
      </c>
      <c r="E90" s="982">
        <f>'[1]24'!F90</f>
        <v>2969</v>
      </c>
      <c r="F90" s="1088">
        <v>2970</v>
      </c>
      <c r="G90" s="1089">
        <f t="shared" si="9"/>
        <v>1</v>
      </c>
      <c r="H90" s="1089">
        <f>G90</f>
        <v>1</v>
      </c>
      <c r="I90" s="1090"/>
      <c r="J90" s="1091">
        <f>H90/DAY(B2)</f>
        <v>0.04</v>
      </c>
      <c r="K90" s="1092"/>
      <c r="L90" s="1093"/>
      <c r="N90" s="1153"/>
      <c r="O90" s="988"/>
    </row>
    <row r="91" spans="1:15" s="1084" customFormat="1" x14ac:dyDescent="0.35">
      <c r="A91" s="1095" t="s">
        <v>231</v>
      </c>
      <c r="B91" s="976"/>
      <c r="C91" s="976"/>
      <c r="D91" s="976"/>
      <c r="E91" s="976"/>
      <c r="F91" s="976"/>
      <c r="G91" s="1020"/>
      <c r="H91" s="976"/>
      <c r="I91" s="976"/>
      <c r="J91" s="977"/>
      <c r="K91" s="1080"/>
      <c r="L91" s="1083"/>
      <c r="N91" s="1151"/>
      <c r="O91" s="988"/>
    </row>
    <row r="92" spans="1:15" x14ac:dyDescent="0.35">
      <c r="A92" s="1566" t="s">
        <v>233</v>
      </c>
      <c r="B92" s="1567"/>
      <c r="C92" s="1568"/>
      <c r="D92" s="981" t="s">
        <v>171</v>
      </c>
      <c r="E92" s="982">
        <f>'[1]24'!F92</f>
        <v>233222</v>
      </c>
      <c r="F92" s="1012">
        <v>233314</v>
      </c>
      <c r="G92" s="983">
        <f t="shared" ref="G92:G93" si="11">F92-E92</f>
        <v>92</v>
      </c>
      <c r="H92" s="984">
        <f>G92+'[1]24'!H92</f>
        <v>2339</v>
      </c>
      <c r="I92" s="1003"/>
      <c r="J92" s="986">
        <f>H92/DAY(B2)</f>
        <v>93.56</v>
      </c>
      <c r="K92" s="1009"/>
      <c r="L92" s="961"/>
      <c r="O92" s="988"/>
    </row>
    <row r="93" spans="1:15" x14ac:dyDescent="0.35">
      <c r="A93" s="1566" t="s">
        <v>234</v>
      </c>
      <c r="B93" s="1567"/>
      <c r="C93" s="1568"/>
      <c r="D93" s="981" t="s">
        <v>171</v>
      </c>
      <c r="E93" s="982">
        <f>'[1]24'!F93</f>
        <v>165959</v>
      </c>
      <c r="F93" s="1012">
        <v>166106</v>
      </c>
      <c r="G93" s="983">
        <f t="shared" si="11"/>
        <v>147</v>
      </c>
      <c r="H93" s="984">
        <f>G93+'[1]24'!H93</f>
        <v>3464</v>
      </c>
      <c r="I93" s="1003"/>
      <c r="J93" s="986">
        <f>H93/DAY(B2)</f>
        <v>138.56</v>
      </c>
      <c r="K93" s="1080"/>
      <c r="L93" s="961"/>
      <c r="O93" s="988"/>
    </row>
    <row r="94" spans="1:15" x14ac:dyDescent="0.35">
      <c r="A94" s="1592" t="s">
        <v>235</v>
      </c>
      <c r="B94" s="1593"/>
      <c r="C94" s="1594"/>
      <c r="D94" s="981"/>
      <c r="E94" s="982">
        <f>'[1]24'!F94</f>
        <v>0</v>
      </c>
      <c r="F94" s="1012"/>
      <c r="G94" s="983">
        <f>G92+G93</f>
        <v>239</v>
      </c>
      <c r="H94" s="984">
        <f>G94+'[1]24'!H94</f>
        <v>5540</v>
      </c>
      <c r="I94" s="1003"/>
      <c r="J94" s="986">
        <f>H94/DAY(B2)</f>
        <v>221.6</v>
      </c>
      <c r="K94" s="1080"/>
      <c r="L94" s="961"/>
      <c r="O94" s="988"/>
    </row>
    <row r="95" spans="1:15" x14ac:dyDescent="0.35">
      <c r="A95" s="1566" t="s">
        <v>236</v>
      </c>
      <c r="B95" s="1567"/>
      <c r="C95" s="1568"/>
      <c r="D95" s="981" t="s">
        <v>171</v>
      </c>
      <c r="E95" s="982">
        <f>'[1]24'!F95</f>
        <v>403131</v>
      </c>
      <c r="F95" s="1012">
        <v>403206</v>
      </c>
      <c r="G95" s="983">
        <f t="shared" ref="G95:G100" si="12">F95-E95</f>
        <v>75</v>
      </c>
      <c r="H95" s="984">
        <f>G95+'[1]24'!H95</f>
        <v>1641</v>
      </c>
      <c r="I95" s="1003"/>
      <c r="J95" s="986">
        <f>H95/DAY(B2)</f>
        <v>65.64</v>
      </c>
      <c r="K95" s="1080"/>
      <c r="L95" s="961"/>
      <c r="O95" s="988"/>
    </row>
    <row r="96" spans="1:15" x14ac:dyDescent="0.35">
      <c r="A96" s="1010" t="s">
        <v>237</v>
      </c>
      <c r="B96" s="1011"/>
      <c r="C96" s="1011"/>
      <c r="D96" s="981" t="s">
        <v>171</v>
      </c>
      <c r="E96" s="982">
        <f>'[1]24'!F96</f>
        <v>99750</v>
      </c>
      <c r="F96" s="1012">
        <v>99781</v>
      </c>
      <c r="G96" s="983">
        <f t="shared" si="12"/>
        <v>31</v>
      </c>
      <c r="H96" s="984">
        <f>G96+'[1]24'!H96</f>
        <v>670</v>
      </c>
      <c r="I96" s="1003"/>
      <c r="J96" s="986">
        <f>H96/DAY(B2)</f>
        <v>26.8</v>
      </c>
      <c r="K96" s="978"/>
      <c r="L96" s="961"/>
      <c r="O96" s="988"/>
    </row>
    <row r="97" spans="1:15" x14ac:dyDescent="0.35">
      <c r="A97" s="1010" t="s">
        <v>238</v>
      </c>
      <c r="B97" s="1011"/>
      <c r="C97" s="1011"/>
      <c r="D97" s="981" t="s">
        <v>171</v>
      </c>
      <c r="E97" s="982">
        <f>'[1]24'!F97</f>
        <v>94851</v>
      </c>
      <c r="F97" s="1131">
        <v>94881</v>
      </c>
      <c r="G97" s="983">
        <f t="shared" si="12"/>
        <v>30</v>
      </c>
      <c r="H97" s="984">
        <f>G97+'[1]24'!H97</f>
        <v>609</v>
      </c>
      <c r="I97" s="1003"/>
      <c r="J97" s="986">
        <f>H97/DAY(B2)</f>
        <v>24.36</v>
      </c>
      <c r="K97" s="1096"/>
      <c r="L97" s="961"/>
      <c r="O97" s="988"/>
    </row>
    <row r="98" spans="1:15" x14ac:dyDescent="0.35">
      <c r="A98" s="1010" t="s">
        <v>239</v>
      </c>
      <c r="B98" s="1011"/>
      <c r="C98" s="1011"/>
      <c r="D98" s="981" t="s">
        <v>171</v>
      </c>
      <c r="E98" s="982">
        <f>'[1]24'!F98</f>
        <v>143444</v>
      </c>
      <c r="F98" s="1012">
        <v>143489</v>
      </c>
      <c r="G98" s="983">
        <f t="shared" si="12"/>
        <v>45</v>
      </c>
      <c r="H98" s="984">
        <f>G98+'[1]24'!H98</f>
        <v>1343</v>
      </c>
      <c r="I98" s="1003"/>
      <c r="J98" s="986">
        <f>H98/DAY(B2)</f>
        <v>53.72</v>
      </c>
      <c r="K98" s="1080"/>
      <c r="L98" s="961"/>
      <c r="O98" s="988"/>
    </row>
    <row r="99" spans="1:15" x14ac:dyDescent="0.35">
      <c r="A99" s="1010" t="s">
        <v>240</v>
      </c>
      <c r="B99" s="1011"/>
      <c r="C99" s="1011"/>
      <c r="D99" s="981" t="s">
        <v>171</v>
      </c>
      <c r="E99" s="982">
        <f>'[1]24'!F99</f>
        <v>5404</v>
      </c>
      <c r="F99" s="1012">
        <v>5418</v>
      </c>
      <c r="G99" s="983">
        <f t="shared" si="12"/>
        <v>14</v>
      </c>
      <c r="H99" s="984">
        <f>G99+'[1]24'!H99</f>
        <v>450</v>
      </c>
      <c r="I99" s="1003"/>
      <c r="J99" s="986">
        <f>H99/DAY(B2)</f>
        <v>18</v>
      </c>
      <c r="K99" s="1080"/>
      <c r="L99" s="961"/>
      <c r="O99" s="988"/>
    </row>
    <row r="100" spans="1:15" x14ac:dyDescent="0.35">
      <c r="A100" s="1010" t="s">
        <v>241</v>
      </c>
      <c r="B100" s="1011"/>
      <c r="C100" s="1011"/>
      <c r="D100" s="981" t="s">
        <v>171</v>
      </c>
      <c r="E100" s="982">
        <f>'[1]24'!F100</f>
        <v>3879</v>
      </c>
      <c r="F100" s="1012">
        <v>3888</v>
      </c>
      <c r="G100" s="983">
        <f t="shared" si="12"/>
        <v>9</v>
      </c>
      <c r="H100" s="984">
        <f>G100+'[1]24'!H100</f>
        <v>92</v>
      </c>
      <c r="I100" s="1003"/>
      <c r="J100" s="986">
        <f>H100/DAY(B2)</f>
        <v>3.68</v>
      </c>
      <c r="K100" s="1080"/>
      <c r="L100" s="961"/>
      <c r="O100" s="988"/>
    </row>
    <row r="101" spans="1:15" x14ac:dyDescent="0.35">
      <c r="A101" s="1592" t="s">
        <v>242</v>
      </c>
      <c r="B101" s="1593"/>
      <c r="C101" s="1594"/>
      <c r="D101" s="1015"/>
      <c r="E101" s="1015"/>
      <c r="F101" s="1015"/>
      <c r="G101" s="1097">
        <f>SUM(G95:G100)</f>
        <v>204</v>
      </c>
      <c r="H101" s="984">
        <f>G101+'[1]24'!H101</f>
        <v>4805</v>
      </c>
      <c r="I101" s="1098"/>
      <c r="J101" s="986">
        <f>H101/DAY(B2)</f>
        <v>192.2</v>
      </c>
      <c r="K101" s="1080"/>
      <c r="L101" s="961"/>
      <c r="O101" s="988"/>
    </row>
    <row r="102" spans="1:15" s="1033" customFormat="1" x14ac:dyDescent="0.25">
      <c r="A102" s="1099" t="s">
        <v>243</v>
      </c>
      <c r="B102" s="1100"/>
      <c r="C102" s="1100"/>
      <c r="D102" s="1101"/>
      <c r="E102" s="1102"/>
      <c r="F102" s="1103"/>
      <c r="G102" s="1104"/>
      <c r="H102" s="1105"/>
      <c r="I102" s="1106"/>
      <c r="J102" s="1107"/>
      <c r="N102" s="1149"/>
      <c r="O102" s="988"/>
    </row>
    <row r="103" spans="1:15" s="1033" customFormat="1" x14ac:dyDescent="0.35">
      <c r="A103" s="1600" t="s">
        <v>244</v>
      </c>
      <c r="B103" s="1601"/>
      <c r="C103" s="1108"/>
      <c r="D103" s="1109"/>
      <c r="E103" s="1110"/>
      <c r="F103" s="1110"/>
      <c r="G103" s="1110"/>
      <c r="H103" s="1111"/>
      <c r="I103" s="1110"/>
      <c r="J103" s="1112"/>
      <c r="N103" s="1149"/>
      <c r="O103" s="988"/>
    </row>
    <row r="104" spans="1:15" s="1033" customFormat="1" x14ac:dyDescent="0.35">
      <c r="A104" s="1602" t="s">
        <v>245</v>
      </c>
      <c r="B104" s="1603"/>
      <c r="C104" s="1113"/>
      <c r="D104" s="1109" t="s">
        <v>171</v>
      </c>
      <c r="E104" s="1110">
        <f>'[1]24'!F104</f>
        <v>7010</v>
      </c>
      <c r="F104" s="1110">
        <v>7010</v>
      </c>
      <c r="G104" s="1110">
        <f>F104-E104</f>
        <v>0</v>
      </c>
      <c r="H104" s="1111">
        <f>SUM(G104+'[1]1'!G76)</f>
        <v>57</v>
      </c>
      <c r="I104" s="1110"/>
      <c r="J104" s="1112">
        <f>H104/DAY(B2)</f>
        <v>2.2799999999999998</v>
      </c>
      <c r="N104" s="1149"/>
      <c r="O104" s="988"/>
    </row>
    <row r="105" spans="1:15" s="1033" customFormat="1" x14ac:dyDescent="0.35">
      <c r="A105" s="1602" t="s">
        <v>92</v>
      </c>
      <c r="B105" s="1603"/>
      <c r="C105" s="1113"/>
      <c r="D105" s="1109" t="s">
        <v>171</v>
      </c>
      <c r="E105" s="1110">
        <f>'[1]24'!F105</f>
        <v>34860</v>
      </c>
      <c r="F105" s="1114">
        <v>34864</v>
      </c>
      <c r="G105" s="1110">
        <f t="shared" ref="G105:G106" si="13">F105-E105</f>
        <v>4</v>
      </c>
      <c r="H105" s="1111">
        <f>SUM(G105+'[1]1'!G77)</f>
        <v>59</v>
      </c>
      <c r="I105" s="1110"/>
      <c r="J105" s="1112">
        <f>H105/DAY(B2)</f>
        <v>2.36</v>
      </c>
      <c r="N105" s="1149"/>
      <c r="O105" s="988"/>
    </row>
    <row r="106" spans="1:15" s="1033" customFormat="1" x14ac:dyDescent="0.35">
      <c r="A106" s="1602" t="s">
        <v>93</v>
      </c>
      <c r="B106" s="1604"/>
      <c r="C106" s="1603"/>
      <c r="D106" s="1109" t="s">
        <v>171</v>
      </c>
      <c r="E106" s="1110">
        <f>'[1]24'!F106</f>
        <v>18851</v>
      </c>
      <c r="F106" s="1110">
        <v>18856</v>
      </c>
      <c r="G106" s="1110">
        <f t="shared" si="13"/>
        <v>5</v>
      </c>
      <c r="H106" s="1111">
        <f>SUM(G106+'[1]1'!G78)</f>
        <v>485</v>
      </c>
      <c r="I106" s="1110"/>
      <c r="J106" s="1112">
        <f>H106/DAY(B2)</f>
        <v>19.399999999999999</v>
      </c>
      <c r="N106" s="1149"/>
      <c r="O106" s="988"/>
    </row>
    <row r="107" spans="1:15" s="1033" customFormat="1" x14ac:dyDescent="0.35">
      <c r="A107" s="1605" t="s">
        <v>82</v>
      </c>
      <c r="B107" s="1606"/>
      <c r="C107" s="1113"/>
      <c r="D107" s="1109"/>
      <c r="E107" s="1110">
        <f>'[1]24'!F107</f>
        <v>0</v>
      </c>
      <c r="F107" s="1110"/>
      <c r="G107" s="1110">
        <f>SUM(G104:G106)</f>
        <v>9</v>
      </c>
      <c r="H107" s="1111">
        <f>SUM(G107+'[1]1'!G79)</f>
        <v>210</v>
      </c>
      <c r="I107" s="1110"/>
      <c r="J107" s="1112">
        <f>H107/DAY(B2)</f>
        <v>8.4</v>
      </c>
      <c r="N107" s="1149"/>
      <c r="O107" s="988"/>
    </row>
    <row r="108" spans="1:15" s="1033" customFormat="1" x14ac:dyDescent="0.35">
      <c r="A108" s="1607" t="s">
        <v>94</v>
      </c>
      <c r="B108" s="1608"/>
      <c r="C108" s="1113"/>
      <c r="D108" s="1109" t="s">
        <v>171</v>
      </c>
      <c r="E108" s="1110">
        <f>'[1]24'!F108</f>
        <v>0</v>
      </c>
      <c r="F108" s="1110"/>
      <c r="G108" s="1110"/>
      <c r="H108" s="1111"/>
      <c r="I108" s="1110"/>
      <c r="J108" s="1112"/>
      <c r="N108" s="1149"/>
      <c r="O108" s="988"/>
    </row>
    <row r="109" spans="1:15" s="1033" customFormat="1" x14ac:dyDescent="0.35">
      <c r="A109" s="1602" t="s">
        <v>246</v>
      </c>
      <c r="B109" s="1603"/>
      <c r="C109" s="1113"/>
      <c r="D109" s="1109" t="s">
        <v>171</v>
      </c>
      <c r="E109" s="1110">
        <f>'[1]24'!F109</f>
        <v>52646</v>
      </c>
      <c r="F109" s="1110">
        <v>52689</v>
      </c>
      <c r="G109" s="1110">
        <f>F109-E109</f>
        <v>43</v>
      </c>
      <c r="H109" s="1111">
        <f>SUM(G109+'[1]1'!G81)</f>
        <v>196.28000000002794</v>
      </c>
      <c r="I109" s="1110"/>
      <c r="J109" s="1112">
        <f>H109/DAY(B2)</f>
        <v>7.8512000000011177</v>
      </c>
      <c r="N109" s="1149"/>
      <c r="O109" s="988"/>
    </row>
    <row r="110" spans="1:15" s="1033" customFormat="1" x14ac:dyDescent="0.35">
      <c r="A110" s="1602" t="s">
        <v>247</v>
      </c>
      <c r="B110" s="1603"/>
      <c r="C110" s="1113"/>
      <c r="D110" s="1109" t="s">
        <v>171</v>
      </c>
      <c r="E110" s="1110">
        <f>'[1]24'!F110</f>
        <v>26574</v>
      </c>
      <c r="F110" s="1110">
        <v>26614</v>
      </c>
      <c r="G110" s="1110">
        <f t="shared" ref="G110:G111" si="14">F110-E110</f>
        <v>40</v>
      </c>
      <c r="H110" s="1111">
        <f>SUM(G110+'[1]1'!G82)</f>
        <v>60.760000000009313</v>
      </c>
      <c r="I110" s="1110"/>
      <c r="J110" s="1112">
        <f>H110/DAY(B2)</f>
        <v>2.4304000000003727</v>
      </c>
      <c r="N110" s="1149"/>
      <c r="O110" s="988"/>
    </row>
    <row r="111" spans="1:15" s="1033" customFormat="1" x14ac:dyDescent="0.35">
      <c r="A111" s="1602" t="s">
        <v>248</v>
      </c>
      <c r="B111" s="1603"/>
      <c r="C111" s="1113"/>
      <c r="D111" s="1109" t="s">
        <v>171</v>
      </c>
      <c r="E111" s="1110">
        <f>'[1]24'!F111</f>
        <v>3524</v>
      </c>
      <c r="F111" s="1110">
        <v>3524</v>
      </c>
      <c r="G111" s="1110">
        <f t="shared" si="14"/>
        <v>0</v>
      </c>
      <c r="H111" s="1111">
        <f>SUM(G111+'[1]1'!G83)</f>
        <v>346</v>
      </c>
      <c r="I111" s="1110"/>
      <c r="J111" s="1112">
        <f>H111/DAY(B2)</f>
        <v>13.84</v>
      </c>
      <c r="N111" s="1149"/>
      <c r="O111" s="988"/>
    </row>
    <row r="112" spans="1:15" s="1033" customFormat="1" x14ac:dyDescent="0.35">
      <c r="A112" s="1612" t="s">
        <v>136</v>
      </c>
      <c r="B112" s="1613"/>
      <c r="C112" s="1113"/>
      <c r="D112" s="1109"/>
      <c r="E112" s="1110">
        <f>'[1]24'!F112</f>
        <v>0</v>
      </c>
      <c r="F112" s="1110"/>
      <c r="G112" s="1110">
        <f>SUM(G109:G111)</f>
        <v>83</v>
      </c>
      <c r="H112" s="1111">
        <f>SUM(G112+'[1]1'!G84)</f>
        <v>647</v>
      </c>
      <c r="I112" s="1110"/>
      <c r="J112" s="1112">
        <f>H112/DAY(B2)</f>
        <v>25.88</v>
      </c>
      <c r="N112" s="1149"/>
      <c r="O112" s="988"/>
    </row>
    <row r="113" spans="1:15" s="1033" customFormat="1" x14ac:dyDescent="0.35">
      <c r="A113" s="1607" t="s">
        <v>249</v>
      </c>
      <c r="B113" s="1608"/>
      <c r="C113" s="1113"/>
      <c r="D113" s="1109"/>
      <c r="E113" s="1110">
        <f>'[1]24'!F113</f>
        <v>0</v>
      </c>
      <c r="F113" s="1110"/>
      <c r="G113" s="1110"/>
      <c r="H113" s="1111"/>
      <c r="I113" s="1110"/>
      <c r="J113" s="1112">
        <f>H113/DAY(B2)</f>
        <v>0</v>
      </c>
      <c r="N113" s="1149"/>
      <c r="O113" s="988"/>
    </row>
    <row r="114" spans="1:15" s="1033" customFormat="1" x14ac:dyDescent="0.35">
      <c r="A114" s="1602" t="s">
        <v>250</v>
      </c>
      <c r="B114" s="1603"/>
      <c r="C114" s="1115"/>
      <c r="D114" s="1109" t="s">
        <v>171</v>
      </c>
      <c r="E114" s="1110">
        <f>'[1]24'!F114</f>
        <v>9121</v>
      </c>
      <c r="F114" s="1114">
        <v>9138</v>
      </c>
      <c r="G114" s="1114">
        <f>F114-E114</f>
        <v>17</v>
      </c>
      <c r="H114" s="1111">
        <f>SUM(G114+'[1]1'!G91)</f>
        <v>17</v>
      </c>
      <c r="I114" s="1110"/>
      <c r="J114" s="1112">
        <f>H114/DAY(B2)</f>
        <v>0.68</v>
      </c>
      <c r="N114" s="1149"/>
      <c r="O114" s="988"/>
    </row>
    <row r="115" spans="1:15" s="1033" customFormat="1" x14ac:dyDescent="0.35">
      <c r="A115" s="1602" t="s">
        <v>251</v>
      </c>
      <c r="B115" s="1603"/>
      <c r="C115" s="1115"/>
      <c r="D115" s="1109" t="s">
        <v>171</v>
      </c>
      <c r="E115" s="1110">
        <f>'[1]24'!F115</f>
        <v>7114</v>
      </c>
      <c r="F115" s="1114">
        <v>7122</v>
      </c>
      <c r="G115" s="1114">
        <f t="shared" ref="G115:G116" si="15">F115-E115</f>
        <v>8</v>
      </c>
      <c r="H115" s="1111">
        <f>SUM(G115+'[1]1'!G92)</f>
        <v>120</v>
      </c>
      <c r="I115" s="1110"/>
      <c r="J115" s="1112">
        <f>H115/DAY(B2)</f>
        <v>4.8</v>
      </c>
      <c r="N115" s="1149"/>
      <c r="O115" s="988"/>
    </row>
    <row r="116" spans="1:15" s="1033" customFormat="1" x14ac:dyDescent="0.35">
      <c r="A116" s="1602" t="s">
        <v>252</v>
      </c>
      <c r="B116" s="1603"/>
      <c r="C116" s="1115"/>
      <c r="D116" s="1109" t="s">
        <v>171</v>
      </c>
      <c r="E116" s="1114"/>
      <c r="F116" s="1114"/>
      <c r="G116" s="1114">
        <f t="shared" si="15"/>
        <v>0</v>
      </c>
      <c r="H116" s="1111">
        <f>SUM(G116+'[1]1'!G93)</f>
        <v>151</v>
      </c>
      <c r="I116" s="1110"/>
      <c r="J116" s="1112">
        <f>H116/DAY(B2)</f>
        <v>6.04</v>
      </c>
      <c r="N116" s="1149"/>
      <c r="O116" s="988"/>
    </row>
    <row r="117" spans="1:15" s="1117" customFormat="1" x14ac:dyDescent="0.35">
      <c r="A117" s="1605" t="s">
        <v>82</v>
      </c>
      <c r="B117" s="1606"/>
      <c r="C117" s="1115"/>
      <c r="D117" s="1116"/>
      <c r="E117" s="1114"/>
      <c r="F117" s="1114"/>
      <c r="G117" s="1114">
        <f>SUM(G114:G116)</f>
        <v>25</v>
      </c>
      <c r="H117" s="1111">
        <f>SUM(G117+'[1]1'!G95)</f>
        <v>72</v>
      </c>
      <c r="I117" s="1114"/>
      <c r="J117" s="1112">
        <f>H117/DAY(B2)</f>
        <v>2.88</v>
      </c>
      <c r="N117" s="1154"/>
      <c r="O117" s="988"/>
    </row>
    <row r="118" spans="1:15" s="907" customFormat="1" x14ac:dyDescent="0.35">
      <c r="A118" s="1616" t="s">
        <v>253</v>
      </c>
      <c r="B118" s="1617"/>
      <c r="C118" s="1118"/>
      <c r="D118" s="1119" t="s">
        <v>171</v>
      </c>
      <c r="E118" s="1120"/>
      <c r="F118" s="1121">
        <f>SUM(G19+G92)</f>
        <v>146</v>
      </c>
      <c r="G118" s="1121">
        <f>SUM(G19+G92)</f>
        <v>146</v>
      </c>
      <c r="H118" s="1111">
        <f>SUM(G118+'[1]1'!G96)</f>
        <v>179</v>
      </c>
      <c r="I118" s="1120"/>
      <c r="J118" s="1122">
        <f>H118/DAY(B2)</f>
        <v>7.16</v>
      </c>
      <c r="N118" s="1155"/>
      <c r="O118" s="988"/>
    </row>
    <row r="119" spans="1:15" s="907" customFormat="1" x14ac:dyDescent="0.35">
      <c r="A119" s="1616" t="s">
        <v>254</v>
      </c>
      <c r="B119" s="1617"/>
      <c r="C119" s="1118"/>
      <c r="D119" s="1119" t="s">
        <v>171</v>
      </c>
      <c r="E119" s="1120"/>
      <c r="F119" s="1121">
        <f>SUM(G95,G96,G97,G99,G100)</f>
        <v>159</v>
      </c>
      <c r="G119" s="1121">
        <f>SUM(G95,G96,G97,G99,G100)</f>
        <v>159</v>
      </c>
      <c r="H119" s="1111">
        <f>SUM(G119+'[1]1'!G98)</f>
        <v>226</v>
      </c>
      <c r="I119" s="1120"/>
      <c r="J119" s="1122">
        <f>H119/DAY(B2)</f>
        <v>9.0399999999999991</v>
      </c>
      <c r="N119" s="1155"/>
      <c r="O119" s="988"/>
    </row>
    <row r="120" spans="1:15" s="907" customFormat="1" x14ac:dyDescent="0.35">
      <c r="A120" s="1616" t="s">
        <v>255</v>
      </c>
      <c r="B120" s="1617"/>
      <c r="C120" s="1118"/>
      <c r="D120" s="1119" t="s">
        <v>171</v>
      </c>
      <c r="E120" s="1120"/>
      <c r="F120" s="1114">
        <f>SUM(G112)</f>
        <v>83</v>
      </c>
      <c r="G120" s="1114">
        <f>SUM(G112)</f>
        <v>83</v>
      </c>
      <c r="H120" s="1111">
        <f>SUM(G120+'[1]1'!G100)</f>
        <v>83</v>
      </c>
      <c r="I120" s="1120"/>
      <c r="J120" s="1122">
        <f>H120/DAY(B2)</f>
        <v>3.32</v>
      </c>
      <c r="N120" s="1155"/>
      <c r="O120" s="988"/>
    </row>
    <row r="121" spans="1:15" s="1033" customFormat="1" x14ac:dyDescent="0.35">
      <c r="A121" s="1614"/>
      <c r="B121" s="1615"/>
      <c r="C121" s="1113"/>
      <c r="D121" s="1108"/>
      <c r="E121" s="1108"/>
      <c r="F121" s="1108" t="s">
        <v>143</v>
      </c>
      <c r="G121" s="1108"/>
      <c r="H121" s="1123"/>
      <c r="I121" s="1108"/>
      <c r="J121" s="1124"/>
      <c r="N121" s="1149"/>
      <c r="O121" s="988"/>
    </row>
    <row r="122" spans="1:15" x14ac:dyDescent="0.35">
      <c r="A122" s="1595" t="s">
        <v>256</v>
      </c>
      <c r="B122" s="1596"/>
      <c r="C122" s="1597"/>
      <c r="D122" s="976"/>
      <c r="E122" s="976"/>
      <c r="F122" s="976"/>
      <c r="G122" s="1008"/>
      <c r="H122" s="1008"/>
      <c r="I122" s="1008"/>
      <c r="J122" s="1125"/>
      <c r="K122" s="1080"/>
      <c r="L122" s="961"/>
      <c r="O122" s="988"/>
    </row>
    <row r="123" spans="1:15" x14ac:dyDescent="0.35">
      <c r="A123" s="1010" t="s">
        <v>257</v>
      </c>
      <c r="B123" s="1011"/>
      <c r="C123" s="1011"/>
      <c r="D123" s="981" t="s">
        <v>168</v>
      </c>
      <c r="E123" s="982">
        <f>'[1]24'!F123</f>
        <v>793769</v>
      </c>
      <c r="F123" s="1000">
        <v>794012.08</v>
      </c>
      <c r="G123" s="983">
        <f t="shared" ref="G123:G127" si="16">F123-E123</f>
        <v>243.07999999995809</v>
      </c>
      <c r="H123" s="984">
        <f>G123+'[1]24'!H123</f>
        <v>5181.0100000000093</v>
      </c>
      <c r="I123" s="1098"/>
      <c r="J123" s="986">
        <f>H123/DAY(B2)</f>
        <v>207.24040000000036</v>
      </c>
      <c r="K123" s="1080"/>
      <c r="L123" s="961"/>
      <c r="O123" s="988"/>
    </row>
    <row r="124" spans="1:15" x14ac:dyDescent="0.35">
      <c r="A124" s="1010" t="s">
        <v>258</v>
      </c>
      <c r="B124" s="1011"/>
      <c r="C124" s="1011"/>
      <c r="D124" s="981" t="s">
        <v>168</v>
      </c>
      <c r="E124" s="1018">
        <f>'[1]24'!F124</f>
        <v>73581.899999999994</v>
      </c>
      <c r="F124" s="1126">
        <v>73581.899999999994</v>
      </c>
      <c r="G124" s="983">
        <f t="shared" si="16"/>
        <v>0</v>
      </c>
      <c r="H124" s="984">
        <f>G124+'[1]24'!H124</f>
        <v>-0.30000000000291038</v>
      </c>
      <c r="I124" s="1098"/>
      <c r="J124" s="986">
        <f>H124/DAY(B2)</f>
        <v>-1.2000000000116416E-2</v>
      </c>
      <c r="K124" s="1080"/>
      <c r="L124" s="961"/>
      <c r="O124" s="988"/>
    </row>
    <row r="125" spans="1:15" x14ac:dyDescent="0.35">
      <c r="A125" s="1563" t="s">
        <v>259</v>
      </c>
      <c r="B125" s="1564"/>
      <c r="C125" s="1565"/>
      <c r="D125" s="981" t="s">
        <v>168</v>
      </c>
      <c r="E125" s="982">
        <f>'[1]24'!F125</f>
        <v>135060</v>
      </c>
      <c r="F125" s="1016">
        <v>135151.66</v>
      </c>
      <c r="G125" s="983">
        <f t="shared" si="16"/>
        <v>91.660000000003492</v>
      </c>
      <c r="H125" s="984">
        <f>G125+'[1]24'!H125</f>
        <v>2028.7799999999988</v>
      </c>
      <c r="I125" s="1098"/>
      <c r="J125" s="986">
        <f>H125/DAY(B2)</f>
        <v>81.15119999999996</v>
      </c>
      <c r="K125" s="1080"/>
      <c r="L125" s="961"/>
      <c r="O125" s="988"/>
    </row>
    <row r="126" spans="1:15" x14ac:dyDescent="0.35">
      <c r="A126" s="1127" t="s">
        <v>260</v>
      </c>
      <c r="B126" s="1011"/>
      <c r="C126" s="1011"/>
      <c r="D126" s="981" t="s">
        <v>168</v>
      </c>
      <c r="E126" s="982">
        <f>'[1]24'!F126</f>
        <v>57135</v>
      </c>
      <c r="F126" s="1016">
        <v>57180.3</v>
      </c>
      <c r="G126" s="983">
        <f t="shared" si="16"/>
        <v>45.30000000000291</v>
      </c>
      <c r="H126" s="984">
        <f>G126+'[1]24'!H126</f>
        <v>832.10000000000582</v>
      </c>
      <c r="I126" s="1098"/>
      <c r="J126" s="986">
        <f>H126/DAY(B2)</f>
        <v>33.284000000000233</v>
      </c>
      <c r="K126" s="1080"/>
      <c r="L126" s="961"/>
      <c r="O126" s="988"/>
    </row>
    <row r="127" spans="1:15" x14ac:dyDescent="0.35">
      <c r="A127" s="1127" t="s">
        <v>261</v>
      </c>
      <c r="B127" s="1011"/>
      <c r="C127" s="1011"/>
      <c r="D127" s="981" t="s">
        <v>168</v>
      </c>
      <c r="E127" s="1018">
        <f>'[1]24'!F127</f>
        <v>8687</v>
      </c>
      <c r="F127" s="1126">
        <v>8692.5</v>
      </c>
      <c r="G127" s="983">
        <f t="shared" si="16"/>
        <v>5.5</v>
      </c>
      <c r="H127" s="984">
        <f>G127+'[1]24'!H127</f>
        <v>52.399999999999636</v>
      </c>
      <c r="I127" s="1003"/>
      <c r="J127" s="986">
        <f>H127/DAY(B2)</f>
        <v>2.0959999999999854</v>
      </c>
      <c r="K127" s="1080"/>
      <c r="L127" s="961"/>
      <c r="O127" s="988"/>
    </row>
    <row r="128" spans="1:15" x14ac:dyDescent="0.35">
      <c r="A128" s="1127" t="s">
        <v>262</v>
      </c>
      <c r="B128" s="1011"/>
      <c r="C128" s="1011"/>
      <c r="D128" s="981"/>
      <c r="E128" s="982"/>
      <c r="F128" s="1000"/>
      <c r="G128" s="983">
        <f>G15-SUM(G123:G127)</f>
        <v>326.98000000005413</v>
      </c>
      <c r="H128" s="984">
        <f>G128+'[1]24'!H128</f>
        <v>3464.08000000006</v>
      </c>
      <c r="I128" s="1003"/>
      <c r="J128" s="986">
        <f>H128/DAY(B2)</f>
        <v>138.56320000000241</v>
      </c>
      <c r="K128" s="1080"/>
      <c r="L128" s="961"/>
      <c r="O128" s="988"/>
    </row>
    <row r="129" spans="1:16" x14ac:dyDescent="0.35">
      <c r="A129" s="1128" t="s">
        <v>263</v>
      </c>
      <c r="B129" s="975"/>
      <c r="C129" s="975"/>
      <c r="D129" s="975"/>
      <c r="E129" s="975"/>
      <c r="F129" s="975"/>
      <c r="G129" s="1129"/>
      <c r="H129" s="1129"/>
      <c r="I129" s="1129"/>
      <c r="J129" s="1130"/>
      <c r="O129" s="988"/>
    </row>
    <row r="130" spans="1:16" x14ac:dyDescent="0.35">
      <c r="A130" s="1010" t="s">
        <v>264</v>
      </c>
      <c r="B130" s="1011"/>
      <c r="C130" s="1011"/>
      <c r="D130" s="981" t="s">
        <v>265</v>
      </c>
      <c r="E130" s="982">
        <f>'[1]24'!F130</f>
        <v>0</v>
      </c>
      <c r="F130" s="1012">
        <v>0</v>
      </c>
      <c r="G130" s="983">
        <f t="shared" ref="G130:G140" si="17">F130-E130</f>
        <v>0</v>
      </c>
      <c r="H130" s="984">
        <f>G130+'[1]24'!H130</f>
        <v>0</v>
      </c>
      <c r="I130" s="1003"/>
      <c r="J130" s="986">
        <f>H130/DAY(B2)</f>
        <v>0</v>
      </c>
      <c r="O130" s="988"/>
    </row>
    <row r="131" spans="1:16" x14ac:dyDescent="0.35">
      <c r="A131" s="1010" t="s">
        <v>266</v>
      </c>
      <c r="B131" s="1011"/>
      <c r="C131" s="1011"/>
      <c r="D131" s="981" t="s">
        <v>265</v>
      </c>
      <c r="E131" s="982">
        <f>'[1]24'!F131</f>
        <v>0</v>
      </c>
      <c r="F131" s="1012">
        <v>0</v>
      </c>
      <c r="G131" s="983">
        <f t="shared" si="17"/>
        <v>0</v>
      </c>
      <c r="H131" s="984">
        <f>G131+'[1]24'!H131</f>
        <v>0</v>
      </c>
      <c r="I131" s="1003"/>
      <c r="J131" s="986">
        <f>H131/DAY(B2)</f>
        <v>0</v>
      </c>
      <c r="O131" s="988"/>
    </row>
    <row r="132" spans="1:16" x14ac:dyDescent="0.35">
      <c r="A132" s="1010" t="s">
        <v>267</v>
      </c>
      <c r="B132" s="1011"/>
      <c r="C132" s="1011"/>
      <c r="D132" s="981" t="s">
        <v>265</v>
      </c>
      <c r="E132" s="982">
        <f>'[1]24'!F132</f>
        <v>38901</v>
      </c>
      <c r="F132" s="1131">
        <v>38901</v>
      </c>
      <c r="G132" s="983">
        <f t="shared" si="17"/>
        <v>0</v>
      </c>
      <c r="H132" s="984">
        <f>G132+'[1]24'!H132</f>
        <v>0</v>
      </c>
      <c r="I132" s="1003"/>
      <c r="J132" s="986">
        <f>H132/DAY(B2)</f>
        <v>0</v>
      </c>
      <c r="O132" s="988"/>
      <c r="P132" s="948">
        <f>49-24</f>
        <v>25</v>
      </c>
    </row>
    <row r="133" spans="1:16" x14ac:dyDescent="0.35">
      <c r="A133" s="1010" t="s">
        <v>268</v>
      </c>
      <c r="B133" s="1011"/>
      <c r="C133" s="1011"/>
      <c r="D133" s="981" t="s">
        <v>265</v>
      </c>
      <c r="E133" s="982">
        <f>'[1]24'!F133</f>
        <v>299</v>
      </c>
      <c r="F133" s="1131">
        <v>299</v>
      </c>
      <c r="G133" s="983">
        <f t="shared" si="17"/>
        <v>0</v>
      </c>
      <c r="H133" s="984">
        <f>G133+'[1]24'!H133</f>
        <v>299</v>
      </c>
      <c r="I133" s="1003">
        <f>G132+G133+G134+G135</f>
        <v>23.580000000001746</v>
      </c>
      <c r="J133" s="986">
        <f>H133/DAY(B2)</f>
        <v>11.96</v>
      </c>
      <c r="O133" s="988"/>
    </row>
    <row r="134" spans="1:16" x14ac:dyDescent="0.35">
      <c r="A134" s="1010" t="s">
        <v>269</v>
      </c>
      <c r="B134" s="1011"/>
      <c r="C134" s="1011"/>
      <c r="D134" s="981" t="s">
        <v>265</v>
      </c>
      <c r="E134" s="982">
        <f>'[1]24'!F134</f>
        <v>39735</v>
      </c>
      <c r="F134" s="1131">
        <v>39735</v>
      </c>
      <c r="G134" s="983">
        <f t="shared" si="17"/>
        <v>0</v>
      </c>
      <c r="H134" s="984">
        <f>G134+'[1]24'!H134</f>
        <v>24</v>
      </c>
      <c r="I134" s="1003"/>
      <c r="J134" s="986">
        <f>H134/DAY(B2)</f>
        <v>0.96</v>
      </c>
      <c r="O134" s="988"/>
    </row>
    <row r="135" spans="1:16" x14ac:dyDescent="0.35">
      <c r="A135" s="1010" t="s">
        <v>270</v>
      </c>
      <c r="B135" s="1011"/>
      <c r="C135" s="1011"/>
      <c r="D135" s="981" t="s">
        <v>265</v>
      </c>
      <c r="E135" s="982">
        <f>'[1]24'!F135</f>
        <v>31997</v>
      </c>
      <c r="F135" s="1131">
        <v>32020.58</v>
      </c>
      <c r="G135" s="983">
        <f t="shared" si="17"/>
        <v>23.580000000001746</v>
      </c>
      <c r="H135" s="984">
        <f>G135+'[1]24'!H135</f>
        <v>60.580000000001746</v>
      </c>
      <c r="I135" s="1003"/>
      <c r="J135" s="986">
        <f>H135/DAY(B2)</f>
        <v>2.4232000000000697</v>
      </c>
      <c r="O135" s="988"/>
    </row>
    <row r="136" spans="1:16" x14ac:dyDescent="0.35">
      <c r="A136" s="1010" t="s">
        <v>271</v>
      </c>
      <c r="B136" s="1011"/>
      <c r="C136" s="1011"/>
      <c r="D136" s="981" t="s">
        <v>265</v>
      </c>
      <c r="E136" s="982">
        <f>'[1]24'!F136</f>
        <v>21777.09</v>
      </c>
      <c r="F136" s="1131">
        <v>21781.49</v>
      </c>
      <c r="G136" s="983">
        <f t="shared" si="17"/>
        <v>4.4000000000014552</v>
      </c>
      <c r="H136" s="984">
        <f>G136+'[1]24'!H136</f>
        <v>106.77000000000044</v>
      </c>
      <c r="I136" s="1003">
        <f>G134+G135+G136</f>
        <v>27.980000000003201</v>
      </c>
      <c r="J136" s="986">
        <f>H136/DAY(B2)</f>
        <v>4.2708000000000172</v>
      </c>
      <c r="O136" s="988"/>
    </row>
    <row r="137" spans="1:16" x14ac:dyDescent="0.35">
      <c r="A137" s="1010" t="s">
        <v>272</v>
      </c>
      <c r="B137" s="1011"/>
      <c r="C137" s="1011"/>
      <c r="D137" s="981" t="s">
        <v>265</v>
      </c>
      <c r="E137" s="982">
        <f>'[1]24'!F137</f>
        <v>24968.03</v>
      </c>
      <c r="F137" s="1131">
        <v>24968.03</v>
      </c>
      <c r="G137" s="983">
        <f t="shared" si="17"/>
        <v>0</v>
      </c>
      <c r="H137" s="984">
        <f>G137+'[1]24'!H137</f>
        <v>9</v>
      </c>
      <c r="I137" s="1003"/>
      <c r="J137" s="986">
        <f>H137/DAY(B2)</f>
        <v>0.36</v>
      </c>
      <c r="O137" s="988"/>
    </row>
    <row r="138" spans="1:16" x14ac:dyDescent="0.35">
      <c r="A138" s="1010" t="s">
        <v>273</v>
      </c>
      <c r="B138" s="1011"/>
      <c r="C138" s="1011"/>
      <c r="D138" s="981" t="s">
        <v>265</v>
      </c>
      <c r="E138" s="982">
        <f>'[1]24'!F138</f>
        <v>70004.149999999994</v>
      </c>
      <c r="F138" s="1131">
        <v>70006.37</v>
      </c>
      <c r="G138" s="983">
        <f t="shared" si="17"/>
        <v>2.2200000000011642</v>
      </c>
      <c r="H138" s="984">
        <f>G138+'[1]24'!H138</f>
        <v>20.369999999995343</v>
      </c>
      <c r="I138" s="1003">
        <f>G137+G138</f>
        <v>2.2200000000011642</v>
      </c>
      <c r="J138" s="986">
        <f>H138/DAY(B2)</f>
        <v>0.81479999999981378</v>
      </c>
      <c r="O138" s="988"/>
    </row>
    <row r="139" spans="1:16" x14ac:dyDescent="0.35">
      <c r="A139" s="1010" t="s">
        <v>274</v>
      </c>
      <c r="B139" s="1011"/>
      <c r="C139" s="1011"/>
      <c r="D139" s="981" t="s">
        <v>265</v>
      </c>
      <c r="E139" s="982">
        <f>'[1]24'!F139</f>
        <v>1062.6300000000001</v>
      </c>
      <c r="F139" s="1012">
        <v>1062.6300000000001</v>
      </c>
      <c r="G139" s="983">
        <f t="shared" si="17"/>
        <v>0</v>
      </c>
      <c r="H139" s="984">
        <f>G139+'[1]24'!H139</f>
        <v>121.10000000000014</v>
      </c>
      <c r="I139" s="1132"/>
      <c r="J139" s="986">
        <f>H139/DAY(B2)</f>
        <v>4.8440000000000056</v>
      </c>
      <c r="O139" s="988"/>
    </row>
    <row r="140" spans="1:16" x14ac:dyDescent="0.35">
      <c r="A140" s="1010" t="s">
        <v>275</v>
      </c>
      <c r="B140" s="1011"/>
      <c r="C140" s="1011"/>
      <c r="D140" s="981" t="s">
        <v>265</v>
      </c>
      <c r="E140" s="982">
        <f>'[1]24'!F140</f>
        <v>4177.83</v>
      </c>
      <c r="F140" s="1012">
        <v>4185.8500000000004</v>
      </c>
      <c r="G140" s="983">
        <f t="shared" si="17"/>
        <v>8.0200000000004366</v>
      </c>
      <c r="H140" s="984">
        <f>G140+'[1]24'!H140</f>
        <v>28.950000000000728</v>
      </c>
      <c r="I140" s="1132"/>
      <c r="J140" s="986">
        <f>H140/DAY(B2)</f>
        <v>1.158000000000029</v>
      </c>
      <c r="O140" s="988"/>
    </row>
    <row r="141" spans="1:16" x14ac:dyDescent="0.35">
      <c r="A141" s="1598" t="s">
        <v>276</v>
      </c>
      <c r="B141" s="1599"/>
      <c r="C141" s="976"/>
      <c r="D141" s="976"/>
      <c r="E141" s="976"/>
      <c r="F141" s="976"/>
      <c r="G141" s="1008"/>
      <c r="H141" s="1008"/>
      <c r="I141" s="1008"/>
      <c r="J141" s="1125"/>
      <c r="K141" s="1080"/>
      <c r="L141" s="961"/>
      <c r="O141" s="988"/>
    </row>
    <row r="142" spans="1:16" x14ac:dyDescent="0.35">
      <c r="A142" s="1566" t="s">
        <v>277</v>
      </c>
      <c r="B142" s="1567"/>
      <c r="C142" s="1568"/>
      <c r="D142" s="981" t="s">
        <v>159</v>
      </c>
      <c r="E142" s="981"/>
      <c r="F142" s="981"/>
      <c r="G142" s="984">
        <f>G35+G43+G49+G57</f>
        <v>5110.7100000000501</v>
      </c>
      <c r="H142" s="984">
        <f>G142+'[1]24'!H142</f>
        <v>124613.133</v>
      </c>
      <c r="I142" s="1003"/>
      <c r="J142" s="986">
        <f>H142/DAY(B2)</f>
        <v>4984.5253199999997</v>
      </c>
      <c r="K142" s="1080"/>
      <c r="L142" s="961"/>
      <c r="O142" s="988"/>
    </row>
    <row r="143" spans="1:16" x14ac:dyDescent="0.35">
      <c r="A143" s="1566" t="s">
        <v>278</v>
      </c>
      <c r="B143" s="1567"/>
      <c r="C143" s="1568"/>
      <c r="D143" s="981" t="s">
        <v>38</v>
      </c>
      <c r="E143" s="968"/>
      <c r="F143" s="968"/>
      <c r="G143" s="1133">
        <f>G142/G7</f>
        <v>0.25343201428146633</v>
      </c>
      <c r="H143" s="984">
        <f>G143+'[1]24'!H143</f>
        <v>6.0676011825182457</v>
      </c>
      <c r="I143" s="1134"/>
      <c r="J143" s="986">
        <f>H143/DAY(B2)</f>
        <v>0.24270404730072984</v>
      </c>
      <c r="K143" s="1080"/>
      <c r="L143" s="961"/>
      <c r="O143" s="988"/>
    </row>
    <row r="144" spans="1:16" x14ac:dyDescent="0.35">
      <c r="A144" s="1566" t="s">
        <v>279</v>
      </c>
      <c r="B144" s="1567"/>
      <c r="C144" s="1568"/>
      <c r="D144" s="981" t="s">
        <v>159</v>
      </c>
      <c r="E144" s="982"/>
      <c r="F144" s="982"/>
      <c r="G144" s="984">
        <f>G41+G42+G55+G56</f>
        <v>4515.4399999999732</v>
      </c>
      <c r="H144" s="984">
        <f>G144+'[1]24'!H144</f>
        <v>112505.57999999996</v>
      </c>
      <c r="I144" s="1003"/>
      <c r="J144" s="986">
        <f>H144/DAY(B2)</f>
        <v>4500.2231999999985</v>
      </c>
      <c r="K144" s="1080"/>
      <c r="L144" s="961"/>
      <c r="O144" s="988"/>
    </row>
    <row r="145" spans="1:15" x14ac:dyDescent="0.35">
      <c r="A145" s="1566" t="s">
        <v>280</v>
      </c>
      <c r="B145" s="1567"/>
      <c r="C145" s="1568"/>
      <c r="D145" s="981" t="s">
        <v>38</v>
      </c>
      <c r="E145" s="982"/>
      <c r="F145" s="982"/>
      <c r="G145" s="1133">
        <f>G144/G7</f>
        <v>0.22391351780224006</v>
      </c>
      <c r="H145" s="984">
        <f>G145+'[1]24'!H145</f>
        <v>5.5969049610170076</v>
      </c>
      <c r="I145" s="1134"/>
      <c r="J145" s="986">
        <f>H145/DAY(B2)</f>
        <v>0.2238761984406803</v>
      </c>
      <c r="K145" s="1080"/>
      <c r="L145" s="961"/>
      <c r="O145" s="988"/>
    </row>
    <row r="146" spans="1:15" x14ac:dyDescent="0.35">
      <c r="A146" s="1566" t="s">
        <v>281</v>
      </c>
      <c r="B146" s="1567"/>
      <c r="C146" s="1568"/>
      <c r="D146" s="981" t="s">
        <v>159</v>
      </c>
      <c r="E146" s="982"/>
      <c r="F146" s="982"/>
      <c r="G146" s="984">
        <f>G39+G53</f>
        <v>4052.4400000000023</v>
      </c>
      <c r="H146" s="984">
        <f>G146+'[1]24'!H146</f>
        <v>105750.433</v>
      </c>
      <c r="I146" s="1135"/>
      <c r="J146" s="986">
        <f>H146/DAY(B2)</f>
        <v>4230.0173199999999</v>
      </c>
      <c r="K146" s="1080"/>
      <c r="L146" s="961"/>
      <c r="O146" s="988"/>
    </row>
    <row r="147" spans="1:15" x14ac:dyDescent="0.35">
      <c r="A147" s="1566" t="s">
        <v>282</v>
      </c>
      <c r="B147" s="1567"/>
      <c r="C147" s="1568"/>
      <c r="D147" s="981" t="s">
        <v>38</v>
      </c>
      <c r="E147" s="982"/>
      <c r="F147" s="982"/>
      <c r="G147" s="1133">
        <f>G146/G7</f>
        <v>0.20095408112664892</v>
      </c>
      <c r="H147" s="984">
        <f>G147+'[1]24'!H147</f>
        <v>5.2933880209684849</v>
      </c>
      <c r="I147" s="1135"/>
      <c r="J147" s="986">
        <f>H147/DAY(B2)</f>
        <v>0.21173552083873939</v>
      </c>
      <c r="O147" s="988"/>
    </row>
    <row r="148" spans="1:15" x14ac:dyDescent="0.35">
      <c r="A148" s="1566" t="s">
        <v>283</v>
      </c>
      <c r="B148" s="1567"/>
      <c r="C148" s="1568"/>
      <c r="D148" s="981" t="s">
        <v>210</v>
      </c>
      <c r="E148" s="982"/>
      <c r="F148" s="982"/>
      <c r="G148" s="984">
        <f>G38+G52</f>
        <v>2098.429999999993</v>
      </c>
      <c r="H148" s="984">
        <f>G148+'[1]24'!H148</f>
        <v>49536.380000000005</v>
      </c>
      <c r="I148" s="1003"/>
      <c r="J148" s="986">
        <f>H148/DAY(B2)</f>
        <v>1981.4552000000001</v>
      </c>
      <c r="K148" s="1136"/>
      <c r="O148" s="988"/>
    </row>
    <row r="149" spans="1:15" x14ac:dyDescent="0.35">
      <c r="A149" s="1566" t="s">
        <v>284</v>
      </c>
      <c r="B149" s="1567"/>
      <c r="C149" s="1568"/>
      <c r="D149" s="981" t="s">
        <v>38</v>
      </c>
      <c r="E149" s="982"/>
      <c r="F149" s="982"/>
      <c r="G149" s="1133">
        <f>G148/G7</f>
        <v>0.10405782009322588</v>
      </c>
      <c r="H149" s="984">
        <f>G149+'[1]24'!H149</f>
        <v>2.473355198669096</v>
      </c>
      <c r="I149" s="1135"/>
      <c r="J149" s="986">
        <f>H149/DAY(B2)</f>
        <v>9.8934207946763844E-2</v>
      </c>
      <c r="O149" s="988"/>
    </row>
    <row r="150" spans="1:15" x14ac:dyDescent="0.35">
      <c r="A150" s="1566" t="s">
        <v>285</v>
      </c>
      <c r="B150" s="1567"/>
      <c r="C150" s="1568"/>
      <c r="D150" s="981" t="s">
        <v>210</v>
      </c>
      <c r="E150" s="982"/>
      <c r="F150" s="982"/>
      <c r="G150" s="984">
        <f>G36+G50</f>
        <v>2075.5599999999977</v>
      </c>
      <c r="H150" s="984">
        <f>G150+'[1]24'!H150</f>
        <v>52858.739999999962</v>
      </c>
      <c r="I150" s="1135"/>
      <c r="J150" s="986">
        <f>H150/DAY(B2)</f>
        <v>2114.3495999999986</v>
      </c>
      <c r="O150" s="988"/>
    </row>
    <row r="151" spans="1:15" x14ac:dyDescent="0.35">
      <c r="A151" s="1566" t="s">
        <v>286</v>
      </c>
      <c r="B151" s="1567"/>
      <c r="C151" s="1568"/>
      <c r="D151" s="981" t="s">
        <v>38</v>
      </c>
      <c r="E151" s="982"/>
      <c r="F151" s="982"/>
      <c r="G151" s="1133">
        <f>G150/G7</f>
        <v>0.10292373301596736</v>
      </c>
      <c r="H151" s="984">
        <f>G151+'[1]24'!H151</f>
        <v>2.6323281740301594</v>
      </c>
      <c r="I151" s="1003"/>
      <c r="J151" s="986">
        <f>H151/DAY(B2)</f>
        <v>0.10529312696120638</v>
      </c>
      <c r="O151" s="988"/>
    </row>
    <row r="152" spans="1:15" x14ac:dyDescent="0.35">
      <c r="A152" s="1566" t="s">
        <v>287</v>
      </c>
      <c r="B152" s="1567"/>
      <c r="C152" s="1568"/>
      <c r="D152" s="981" t="s">
        <v>210</v>
      </c>
      <c r="E152" s="982"/>
      <c r="F152" s="982"/>
      <c r="G152" s="984">
        <f>G37+G51</f>
        <v>1481.5500000000029</v>
      </c>
      <c r="H152" s="984">
        <f>G152+'[1]24'!H152</f>
        <v>36680.063000000002</v>
      </c>
      <c r="I152" s="1003"/>
      <c r="J152" s="986">
        <f>H152/DAY(B2)</f>
        <v>1467.20252</v>
      </c>
      <c r="O152" s="988"/>
    </row>
    <row r="153" spans="1:15" ht="21" thickBot="1" x14ac:dyDescent="0.4">
      <c r="A153" s="1609" t="s">
        <v>288</v>
      </c>
      <c r="B153" s="1610"/>
      <c r="C153" s="1611"/>
      <c r="D153" s="1137" t="s">
        <v>38</v>
      </c>
      <c r="E153" s="1138"/>
      <c r="F153" s="1138"/>
      <c r="G153" s="1139">
        <f>G152/G7</f>
        <v>7.3467717941089111E-2</v>
      </c>
      <c r="H153" s="984">
        <f>G153+'[1]24'!H153</f>
        <v>1.9456280984674776</v>
      </c>
      <c r="I153" s="1140"/>
      <c r="J153" s="1141">
        <f>H153/DAY(B2)</f>
        <v>7.7825123938699101E-2</v>
      </c>
      <c r="O153" s="988"/>
    </row>
    <row r="154" spans="1:15" x14ac:dyDescent="0.35">
      <c r="A154" s="1142"/>
      <c r="B154" s="1142"/>
      <c r="C154" s="1142"/>
      <c r="D154" s="1142"/>
      <c r="E154" s="1142"/>
      <c r="F154" s="1142"/>
      <c r="G154" s="1142"/>
      <c r="H154" s="1143"/>
      <c r="I154" s="1142"/>
      <c r="J154" s="1144"/>
      <c r="O154" s="988"/>
    </row>
    <row r="160" spans="1:15" x14ac:dyDescent="0.35">
      <c r="A160" s="1132" t="s">
        <v>289</v>
      </c>
      <c r="B160" s="1132"/>
      <c r="C160" s="1132"/>
      <c r="D160" s="968" t="s">
        <v>214</v>
      </c>
      <c r="E160" s="982">
        <f>'[1]24'!F160</f>
        <v>25579</v>
      </c>
      <c r="F160" s="1156">
        <v>25651.03</v>
      </c>
      <c r="G160" s="983">
        <f t="shared" ref="G160:G171" si="18">F160-E160</f>
        <v>72.029999999998836</v>
      </c>
    </row>
    <row r="161" spans="1:7" ht="21.75" customHeight="1" x14ac:dyDescent="0.35">
      <c r="A161" s="1132" t="s">
        <v>290</v>
      </c>
      <c r="B161" s="1132"/>
      <c r="C161" s="1132"/>
      <c r="D161" s="968" t="s">
        <v>214</v>
      </c>
      <c r="E161" s="982">
        <f>'[1]24'!F161</f>
        <v>25126</v>
      </c>
      <c r="F161" s="1156">
        <v>25578.23</v>
      </c>
      <c r="G161" s="983">
        <f t="shared" si="18"/>
        <v>452.22999999999956</v>
      </c>
    </row>
    <row r="162" spans="1:7" ht="21.75" customHeight="1" x14ac:dyDescent="0.35">
      <c r="A162" s="1132" t="s">
        <v>291</v>
      </c>
      <c r="B162" s="1132"/>
      <c r="C162" s="1132"/>
      <c r="D162" s="968" t="s">
        <v>214</v>
      </c>
      <c r="E162" s="982">
        <f>'[1]24'!F162</f>
        <v>2154</v>
      </c>
      <c r="F162" s="1156">
        <v>2415.17</v>
      </c>
      <c r="G162" s="983">
        <f t="shared" si="18"/>
        <v>261.17000000000007</v>
      </c>
    </row>
    <row r="163" spans="1:7" ht="21.75" customHeight="1" x14ac:dyDescent="0.35">
      <c r="A163" s="1132" t="s">
        <v>292</v>
      </c>
      <c r="B163" s="1132"/>
      <c r="C163" s="1132"/>
      <c r="D163" s="968" t="s">
        <v>214</v>
      </c>
      <c r="E163" s="982">
        <f>'[1]24'!F163</f>
        <v>4138</v>
      </c>
      <c r="F163" s="1156">
        <v>4163.1000000000004</v>
      </c>
      <c r="G163" s="983">
        <f t="shared" si="18"/>
        <v>25.100000000000364</v>
      </c>
    </row>
    <row r="164" spans="1:7" ht="21.75" customHeight="1" x14ac:dyDescent="0.35">
      <c r="A164" s="1063" t="s">
        <v>121</v>
      </c>
      <c r="B164" s="1063"/>
      <c r="C164" s="1063"/>
      <c r="D164" s="968" t="s">
        <v>214</v>
      </c>
      <c r="E164" s="1064">
        <f>E62</f>
        <v>20419.18</v>
      </c>
      <c r="F164" s="1064">
        <f>F62</f>
        <v>20419.18</v>
      </c>
      <c r="G164" s="983">
        <f t="shared" si="18"/>
        <v>0</v>
      </c>
    </row>
    <row r="165" spans="1:7" ht="21.75" customHeight="1" x14ac:dyDescent="0.35">
      <c r="A165" s="1063" t="s">
        <v>215</v>
      </c>
      <c r="B165" s="1063"/>
      <c r="C165" s="1063"/>
      <c r="D165" s="968" t="s">
        <v>214</v>
      </c>
      <c r="E165" s="1064">
        <f t="shared" ref="E165:F171" si="19">E63</f>
        <v>1078</v>
      </c>
      <c r="F165" s="1064">
        <f t="shared" si="19"/>
        <v>1082.6400000000001</v>
      </c>
      <c r="G165" s="983">
        <f t="shared" si="18"/>
        <v>4.6400000000001</v>
      </c>
    </row>
    <row r="166" spans="1:7" ht="21.75" customHeight="1" x14ac:dyDescent="0.35">
      <c r="A166" s="1619" t="s">
        <v>122</v>
      </c>
      <c r="B166" s="1619"/>
      <c r="C166" s="1619"/>
      <c r="D166" s="981" t="s">
        <v>214</v>
      </c>
      <c r="E166" s="1064">
        <f t="shared" si="19"/>
        <v>95660</v>
      </c>
      <c r="F166" s="1064">
        <f t="shared" si="19"/>
        <v>96025.81</v>
      </c>
      <c r="G166" s="983">
        <f t="shared" si="18"/>
        <v>365.80999999999767</v>
      </c>
    </row>
    <row r="167" spans="1:7" ht="21.75" customHeight="1" x14ac:dyDescent="0.35">
      <c r="A167" s="1619" t="s">
        <v>123</v>
      </c>
      <c r="B167" s="1619"/>
      <c r="C167" s="1619"/>
      <c r="D167" s="981" t="s">
        <v>214</v>
      </c>
      <c r="E167" s="1064">
        <f t="shared" si="19"/>
        <v>106159</v>
      </c>
      <c r="F167" s="1064">
        <f t="shared" si="19"/>
        <v>106568.01</v>
      </c>
      <c r="G167" s="983">
        <f t="shared" si="18"/>
        <v>409.00999999999476</v>
      </c>
    </row>
    <row r="168" spans="1:7" ht="21.75" customHeight="1" x14ac:dyDescent="0.35">
      <c r="A168" s="1619" t="s">
        <v>124</v>
      </c>
      <c r="B168" s="1619"/>
      <c r="C168" s="1619"/>
      <c r="D168" s="981" t="s">
        <v>214</v>
      </c>
      <c r="E168" s="1064">
        <f t="shared" si="19"/>
        <v>99631</v>
      </c>
      <c r="F168" s="1064">
        <f t="shared" si="19"/>
        <v>100045</v>
      </c>
      <c r="G168" s="983">
        <f t="shared" si="18"/>
        <v>414</v>
      </c>
    </row>
    <row r="169" spans="1:7" x14ac:dyDescent="0.35">
      <c r="A169" s="1619" t="s">
        <v>125</v>
      </c>
      <c r="B169" s="1619"/>
      <c r="C169" s="1619"/>
      <c r="D169" s="981" t="s">
        <v>214</v>
      </c>
      <c r="E169" s="1064">
        <f t="shared" si="19"/>
        <v>163431</v>
      </c>
      <c r="F169" s="1064">
        <f t="shared" si="19"/>
        <v>164149.42000000001</v>
      </c>
      <c r="G169" s="983">
        <f t="shared" si="18"/>
        <v>718.42000000001281</v>
      </c>
    </row>
    <row r="170" spans="1:7" ht="24" customHeight="1" x14ac:dyDescent="0.35">
      <c r="A170" s="1619" t="s">
        <v>126</v>
      </c>
      <c r="B170" s="1619"/>
      <c r="C170" s="1619"/>
      <c r="D170" s="981" t="s">
        <v>214</v>
      </c>
      <c r="E170" s="1064">
        <f t="shared" si="19"/>
        <v>51536</v>
      </c>
      <c r="F170" s="1064">
        <f t="shared" si="19"/>
        <v>51832.913</v>
      </c>
      <c r="G170" s="983">
        <f t="shared" si="18"/>
        <v>296.91300000000047</v>
      </c>
    </row>
    <row r="171" spans="1:7" x14ac:dyDescent="0.35">
      <c r="A171" s="1619" t="s">
        <v>127</v>
      </c>
      <c r="B171" s="1619"/>
      <c r="C171" s="1619"/>
      <c r="D171" s="981" t="s">
        <v>214</v>
      </c>
      <c r="E171" s="1064">
        <f t="shared" si="19"/>
        <v>44523</v>
      </c>
      <c r="F171" s="1064">
        <f t="shared" si="19"/>
        <v>44815.79</v>
      </c>
      <c r="G171" s="983">
        <f t="shared" si="18"/>
        <v>292.79000000000087</v>
      </c>
    </row>
    <row r="172" spans="1:7" x14ac:dyDescent="0.35">
      <c r="G172" s="1147">
        <f>SUM(G160:G171)</f>
        <v>3312.1130000000057</v>
      </c>
    </row>
    <row r="176" spans="1:7" ht="18.75" customHeight="1" x14ac:dyDescent="0.35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zoomScale="70" zoomScaleSheetLayoutView="70" workbookViewId="0">
      <selection sqref="A1:XFD1048576"/>
    </sheetView>
  </sheetViews>
  <sheetFormatPr defaultColWidth="22.33203125" defaultRowHeight="20.25" x14ac:dyDescent="0.35"/>
  <cols>
    <col min="1" max="1" width="51.21875" style="1145" customWidth="1"/>
    <col min="2" max="2" width="24.88671875" style="1145" customWidth="1"/>
    <col min="3" max="3" width="12.44140625" style="1145" customWidth="1"/>
    <col min="4" max="4" width="13.6640625" style="1145" customWidth="1"/>
    <col min="5" max="5" width="28.109375" style="1145" customWidth="1"/>
    <col min="6" max="6" width="23.77734375" style="1145" customWidth="1"/>
    <col min="7" max="7" width="15.5546875" style="1145" bestFit="1" customWidth="1"/>
    <col min="8" max="8" width="39.21875" style="1146" customWidth="1"/>
    <col min="9" max="9" width="12" style="1145" bestFit="1" customWidth="1"/>
    <col min="10" max="10" width="24" style="1147" customWidth="1"/>
    <col min="11" max="11" width="43.21875" style="948" hidden="1" customWidth="1"/>
    <col min="12" max="13" width="0" style="948" hidden="1" customWidth="1"/>
    <col min="14" max="14" width="25.109375" style="1148" customWidth="1"/>
    <col min="15" max="15" width="6.77734375" style="948" bestFit="1" customWidth="1"/>
    <col min="16" max="16384" width="22.33203125" style="948"/>
  </cols>
  <sheetData>
    <row r="1" spans="1:15" ht="20.100000000000001" customHeight="1" x14ac:dyDescent="0.45">
      <c r="A1" s="1578" t="s">
        <v>293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ht="30.75" customHeight="1" x14ac:dyDescent="0.35">
      <c r="A2" s="949" t="s">
        <v>297</v>
      </c>
      <c r="B2" s="1220">
        <v>44191</v>
      </c>
      <c r="C2" s="950" t="s">
        <v>84</v>
      </c>
      <c r="D2" s="1161">
        <v>0.5</v>
      </c>
      <c r="E2" s="952"/>
      <c r="F2" s="952"/>
      <c r="G2" s="952" t="s">
        <v>145</v>
      </c>
      <c r="H2" s="952" t="s">
        <v>20</v>
      </c>
      <c r="I2" s="952" t="s">
        <v>22</v>
      </c>
      <c r="J2" s="953" t="s">
        <v>146</v>
      </c>
    </row>
    <row r="3" spans="1:15" ht="20.100000000000001" customHeight="1" x14ac:dyDescent="0.35">
      <c r="A3" s="954"/>
      <c r="B3" s="955"/>
      <c r="C3" s="950" t="s">
        <v>147</v>
      </c>
      <c r="D3" s="950">
        <v>28</v>
      </c>
      <c r="E3" s="1581" t="s">
        <v>148</v>
      </c>
      <c r="F3" s="1582"/>
      <c r="G3" s="957"/>
      <c r="H3" s="958"/>
      <c r="I3" s="958"/>
      <c r="J3" s="959"/>
      <c r="K3" s="960"/>
      <c r="L3" s="961"/>
    </row>
    <row r="4" spans="1:15" ht="20.100000000000001" customHeight="1" x14ac:dyDescent="0.35">
      <c r="A4" s="962"/>
      <c r="B4" s="963"/>
      <c r="C4" s="950" t="s">
        <v>149</v>
      </c>
      <c r="D4" s="1161">
        <v>0.85</v>
      </c>
      <c r="E4" s="964"/>
      <c r="F4" s="964"/>
      <c r="G4" s="964"/>
      <c r="H4" s="964"/>
      <c r="I4" s="965"/>
      <c r="J4" s="959"/>
      <c r="K4" s="966"/>
      <c r="L4" s="961"/>
    </row>
    <row r="5" spans="1:15" ht="22.5" customHeight="1" x14ac:dyDescent="0.35">
      <c r="A5" s="967" t="s">
        <v>150</v>
      </c>
      <c r="B5" s="968"/>
      <c r="C5" s="968"/>
      <c r="D5" s="968" t="s">
        <v>151</v>
      </c>
      <c r="E5" s="969" t="s">
        <v>152</v>
      </c>
      <c r="F5" s="969" t="s">
        <v>138</v>
      </c>
      <c r="G5" s="970" t="s">
        <v>153</v>
      </c>
      <c r="H5" s="971" t="s">
        <v>154</v>
      </c>
      <c r="I5" s="972" t="s">
        <v>155</v>
      </c>
      <c r="J5" s="973" t="s">
        <v>156</v>
      </c>
      <c r="K5" s="974"/>
      <c r="L5" s="961"/>
    </row>
    <row r="6" spans="1:15" ht="20.100000000000001" customHeight="1" x14ac:dyDescent="0.35">
      <c r="A6" s="1575" t="s">
        <v>157</v>
      </c>
      <c r="B6" s="1576"/>
      <c r="C6" s="1577"/>
      <c r="D6" s="975"/>
      <c r="E6" s="975"/>
      <c r="F6" s="975"/>
      <c r="G6" s="975"/>
      <c r="H6" s="976"/>
      <c r="I6" s="976"/>
      <c r="J6" s="977"/>
      <c r="K6" s="978"/>
      <c r="L6" s="961"/>
    </row>
    <row r="7" spans="1:15" ht="25.5" customHeight="1" thickBot="1" x14ac:dyDescent="0.4">
      <c r="A7" s="979" t="s">
        <v>158</v>
      </c>
      <c r="B7" s="980"/>
      <c r="C7" s="980"/>
      <c r="D7" s="981" t="s">
        <v>159</v>
      </c>
      <c r="E7" s="982">
        <f>'[1]25'!F7</f>
        <v>3169200</v>
      </c>
      <c r="F7" s="982">
        <v>3190793</v>
      </c>
      <c r="G7" s="983">
        <f>F7-E7</f>
        <v>21593</v>
      </c>
      <c r="H7" s="984">
        <f>G7+'[1]25'!H7</f>
        <v>522348</v>
      </c>
      <c r="I7" s="985">
        <f>'[1]1'!I7</f>
        <v>12000</v>
      </c>
      <c r="J7" s="986">
        <f>H7/DAY(B2)</f>
        <v>20090.307692307691</v>
      </c>
      <c r="K7" s="987"/>
      <c r="L7" s="961"/>
      <c r="N7" s="1159"/>
      <c r="O7" s="988"/>
    </row>
    <row r="8" spans="1:15" ht="20.100000000000001" customHeight="1" thickBot="1" x14ac:dyDescent="0.4">
      <c r="A8" s="989" t="s">
        <v>160</v>
      </c>
      <c r="B8" s="990"/>
      <c r="C8" s="991"/>
      <c r="D8" s="992" t="s">
        <v>39</v>
      </c>
      <c r="E8" s="982">
        <f>'[1]25'!F8</f>
        <v>3188127</v>
      </c>
      <c r="F8" s="993">
        <v>3209843</v>
      </c>
      <c r="G8" s="994">
        <f>F8-E8</f>
        <v>21716</v>
      </c>
      <c r="H8" s="984">
        <f>G8+'[1]25'!H8</f>
        <v>526804</v>
      </c>
      <c r="I8" s="995">
        <f>'[1]1'!I8</f>
        <v>12000</v>
      </c>
      <c r="J8" s="986">
        <f>H8/DAY(B2)</f>
        <v>20261.692307692309</v>
      </c>
      <c r="K8" s="987"/>
      <c r="L8" s="996"/>
      <c r="M8" s="997"/>
      <c r="O8" s="988"/>
    </row>
    <row r="9" spans="1:15" ht="20.100000000000001" customHeight="1" x14ac:dyDescent="0.35">
      <c r="A9" s="998" t="s">
        <v>161</v>
      </c>
      <c r="B9" s="999"/>
      <c r="C9" s="999"/>
      <c r="D9" s="981" t="s">
        <v>159</v>
      </c>
      <c r="E9" s="982">
        <f>'[1]25'!F9</f>
        <v>2388974.7000000002</v>
      </c>
      <c r="F9" s="1000">
        <v>2392005.9</v>
      </c>
      <c r="G9" s="983">
        <f>F9-E9</f>
        <v>3031.1999999997206</v>
      </c>
      <c r="H9" s="984">
        <f>G9+'[1]25'!H9</f>
        <v>134969.39999999991</v>
      </c>
      <c r="I9" s="1001">
        <f>I8-J8</f>
        <v>-8261.6923076923085</v>
      </c>
      <c r="J9" s="986">
        <f>H9/DAY(B2)</f>
        <v>5191.1307692307655</v>
      </c>
      <c r="K9" s="1002"/>
      <c r="L9" s="961"/>
      <c r="O9" s="988"/>
    </row>
    <row r="10" spans="1:15" ht="20.100000000000001" customHeight="1" x14ac:dyDescent="0.35">
      <c r="A10" s="979" t="s">
        <v>162</v>
      </c>
      <c r="B10" s="980"/>
      <c r="C10" s="980"/>
      <c r="D10" s="981" t="s">
        <v>159</v>
      </c>
      <c r="E10" s="982">
        <f>'[1]25'!F10</f>
        <v>653892.91</v>
      </c>
      <c r="F10" s="1000">
        <v>671648.39</v>
      </c>
      <c r="G10" s="983">
        <f t="shared" ref="G10:G12" si="0">F10-E10</f>
        <v>17755.479999999981</v>
      </c>
      <c r="H10" s="984">
        <f>G10+'[1]25'!H10</f>
        <v>368698.10000000003</v>
      </c>
      <c r="I10" s="1003"/>
      <c r="J10" s="986">
        <f>H10/DAY(B2)</f>
        <v>14180.696153846155</v>
      </c>
      <c r="K10" s="1002"/>
      <c r="L10" s="961"/>
      <c r="O10" s="988"/>
    </row>
    <row r="11" spans="1:15" ht="20.100000000000001" customHeight="1" x14ac:dyDescent="0.35">
      <c r="A11" s="979" t="s">
        <v>163</v>
      </c>
      <c r="B11" s="980"/>
      <c r="C11" s="980"/>
      <c r="D11" s="981" t="s">
        <v>159</v>
      </c>
      <c r="E11" s="982">
        <f>'[1]25'!F11</f>
        <v>35390</v>
      </c>
      <c r="F11" s="982">
        <v>35390</v>
      </c>
      <c r="G11" s="983">
        <f t="shared" si="0"/>
        <v>0</v>
      </c>
      <c r="H11" s="984">
        <f>G11+'[1]25'!H11</f>
        <v>0</v>
      </c>
      <c r="I11" s="1003"/>
      <c r="J11" s="986">
        <f>H11/DAY(B2)</f>
        <v>0</v>
      </c>
      <c r="K11" s="1002"/>
      <c r="L11" s="961">
        <v>1375467</v>
      </c>
      <c r="N11" s="1160"/>
      <c r="O11" s="988"/>
    </row>
    <row r="12" spans="1:15" ht="20.100000000000001" customHeight="1" x14ac:dyDescent="0.35">
      <c r="A12" s="979" t="s">
        <v>164</v>
      </c>
      <c r="B12" s="980"/>
      <c r="C12" s="980"/>
      <c r="D12" s="981" t="s">
        <v>159</v>
      </c>
      <c r="E12" s="982">
        <f>'[1]25'!F12</f>
        <v>37630</v>
      </c>
      <c r="F12" s="1000">
        <v>37630</v>
      </c>
      <c r="G12" s="983">
        <f t="shared" si="0"/>
        <v>0</v>
      </c>
      <c r="H12" s="984">
        <f>G12+'[1]25'!H12</f>
        <v>0</v>
      </c>
      <c r="I12" s="1003"/>
      <c r="J12" s="986">
        <f>H12/DAY(B2)</f>
        <v>0</v>
      </c>
      <c r="K12" s="1002"/>
      <c r="L12" s="961"/>
      <c r="O12" s="988"/>
    </row>
    <row r="13" spans="1:15" ht="20.100000000000001" customHeight="1" x14ac:dyDescent="0.35">
      <c r="A13" s="1004" t="s">
        <v>165</v>
      </c>
      <c r="B13" s="1005"/>
      <c r="C13" s="1005"/>
      <c r="D13" s="981"/>
      <c r="E13" s="982"/>
      <c r="F13" s="982"/>
      <c r="G13" s="1006">
        <f>G9+G10+G11+G12</f>
        <v>20786.679999999702</v>
      </c>
      <c r="H13" s="984">
        <f>G13+'[1]25'!H13</f>
        <v>481808.18999999994</v>
      </c>
      <c r="I13" s="1007">
        <f>G7-G13</f>
        <v>806.32000000029802</v>
      </c>
      <c r="J13" s="986">
        <f>H13/DAY(B2)</f>
        <v>18531.084230769229</v>
      </c>
      <c r="K13" s="1002"/>
      <c r="L13" s="961"/>
      <c r="O13" s="988"/>
    </row>
    <row r="14" spans="1:15" ht="28.5" customHeight="1" x14ac:dyDescent="0.35">
      <c r="A14" s="1569" t="s">
        <v>166</v>
      </c>
      <c r="B14" s="1570"/>
      <c r="C14" s="1571"/>
      <c r="D14" s="976"/>
      <c r="E14" s="976"/>
      <c r="F14" s="976"/>
      <c r="G14" s="1008"/>
      <c r="H14" s="976"/>
      <c r="I14" s="976"/>
      <c r="J14" s="977"/>
      <c r="K14" s="1009"/>
      <c r="L14" s="961">
        <v>1679344</v>
      </c>
      <c r="O14" s="988"/>
    </row>
    <row r="15" spans="1:15" ht="30.75" customHeight="1" x14ac:dyDescent="0.35">
      <c r="A15" s="1010" t="s">
        <v>167</v>
      </c>
      <c r="B15" s="1011"/>
      <c r="C15" s="1011"/>
      <c r="D15" s="981" t="s">
        <v>168</v>
      </c>
      <c r="E15" s="982">
        <f>'[1]25'!F15</f>
        <v>1564368.52</v>
      </c>
      <c r="F15" s="1012">
        <v>1565191.11</v>
      </c>
      <c r="G15" s="1157">
        <f>(F15-E15)</f>
        <v>822.59000000008382</v>
      </c>
      <c r="H15" s="984">
        <f>G15+'[1]25'!H15</f>
        <v>18293.509000000078</v>
      </c>
      <c r="I15" s="985">
        <f>'[1]1'!I15</f>
        <v>800</v>
      </c>
      <c r="J15" s="986">
        <f>H15/DAY(B2)</f>
        <v>703.59650000000306</v>
      </c>
      <c r="K15" s="1002"/>
      <c r="L15" s="961"/>
      <c r="O15" s="988"/>
    </row>
    <row r="16" spans="1:15" ht="20.100000000000001" customHeight="1" x14ac:dyDescent="0.35">
      <c r="A16" s="1013"/>
      <c r="B16" s="1014"/>
      <c r="C16" s="1014"/>
      <c r="D16" s="1015"/>
      <c r="E16" s="1016"/>
      <c r="F16" s="1016"/>
      <c r="G16" s="983"/>
      <c r="H16" s="1017"/>
      <c r="I16" s="1018">
        <f>I15-J15</f>
        <v>96.403499999996939</v>
      </c>
      <c r="J16" s="1019"/>
      <c r="K16" s="1002"/>
      <c r="L16" s="961">
        <f>L14-L11</f>
        <v>303877</v>
      </c>
      <c r="O16" s="988"/>
    </row>
    <row r="17" spans="1:15" ht="20.100000000000001" customHeight="1" x14ac:dyDescent="0.35">
      <c r="A17" s="1569" t="s">
        <v>169</v>
      </c>
      <c r="B17" s="1570"/>
      <c r="C17" s="1571"/>
      <c r="D17" s="976"/>
      <c r="E17" s="976"/>
      <c r="F17" s="976"/>
      <c r="G17" s="1020"/>
      <c r="H17" s="976"/>
      <c r="I17" s="976"/>
      <c r="J17" s="977"/>
      <c r="K17" s="1002"/>
      <c r="L17" s="961"/>
      <c r="O17" s="988"/>
    </row>
    <row r="18" spans="1:15" ht="20.100000000000001" customHeight="1" x14ac:dyDescent="0.35">
      <c r="A18" s="1566" t="s">
        <v>170</v>
      </c>
      <c r="B18" s="1567"/>
      <c r="C18" s="1568"/>
      <c r="D18" s="981" t="s">
        <v>171</v>
      </c>
      <c r="E18" s="982">
        <f>'[1]25'!F18</f>
        <v>12</v>
      </c>
      <c r="F18" s="1012">
        <v>22</v>
      </c>
      <c r="G18" s="1006">
        <f>F18*10</f>
        <v>220</v>
      </c>
      <c r="H18" s="984">
        <f>G18+'[1]25'!H18</f>
        <v>3580</v>
      </c>
      <c r="I18" s="985">
        <f>'[1]1'!I18</f>
        <v>65</v>
      </c>
      <c r="J18" s="986">
        <f>H18/DAY(B2)</f>
        <v>137.69230769230768</v>
      </c>
      <c r="K18" s="1002"/>
      <c r="L18" s="961"/>
      <c r="O18" s="988"/>
    </row>
    <row r="19" spans="1:15" ht="20.100000000000001" customHeight="1" x14ac:dyDescent="0.35">
      <c r="A19" s="1566" t="s">
        <v>86</v>
      </c>
      <c r="B19" s="1567"/>
      <c r="C19" s="1568"/>
      <c r="D19" s="981" t="s">
        <v>171</v>
      </c>
      <c r="E19" s="982">
        <f>'[1]25'!F19</f>
        <v>131164</v>
      </c>
      <c r="F19" s="1012">
        <v>131219</v>
      </c>
      <c r="G19" s="983">
        <f t="shared" ref="G19" si="1">F19-E19</f>
        <v>55</v>
      </c>
      <c r="H19" s="984">
        <f>G19+'[1]25'!H19</f>
        <v>1418</v>
      </c>
      <c r="I19" s="1021"/>
      <c r="J19" s="986">
        <f>H19/DAY(B2)</f>
        <v>54.53846153846154</v>
      </c>
      <c r="K19" s="1002"/>
      <c r="L19" s="961">
        <f>L16/26</f>
        <v>11687.576923076924</v>
      </c>
      <c r="O19" s="988"/>
    </row>
    <row r="20" spans="1:15" ht="20.100000000000001" customHeight="1" x14ac:dyDescent="0.35">
      <c r="A20" s="1004" t="s">
        <v>172</v>
      </c>
      <c r="B20" s="1005"/>
      <c r="C20" s="1005"/>
      <c r="D20" s="1022"/>
      <c r="E20" s="1022"/>
      <c r="F20" s="1022"/>
      <c r="G20" s="1023">
        <f>G18+G19</f>
        <v>275</v>
      </c>
      <c r="H20" s="984">
        <f>G20+'[1]25'!H20</f>
        <v>4998</v>
      </c>
      <c r="I20" s="1024">
        <f>I18-J20</f>
        <v>-127.23076923076923</v>
      </c>
      <c r="J20" s="986">
        <f>H20/DAY(B2)</f>
        <v>192.23076923076923</v>
      </c>
      <c r="K20" s="1002"/>
      <c r="L20" s="961"/>
      <c r="O20" s="988"/>
    </row>
    <row r="21" spans="1:15" ht="20.100000000000001" customHeight="1" x14ac:dyDescent="0.35">
      <c r="A21" s="1569" t="s">
        <v>173</v>
      </c>
      <c r="B21" s="1570"/>
      <c r="C21" s="1571"/>
      <c r="D21" s="976"/>
      <c r="E21" s="976"/>
      <c r="F21" s="976"/>
      <c r="G21" s="1008"/>
      <c r="H21" s="976"/>
      <c r="I21" s="976"/>
      <c r="J21" s="977"/>
      <c r="K21" s="1002"/>
      <c r="L21" s="961" t="e">
        <f>#REF!/G11</f>
        <v>#REF!</v>
      </c>
      <c r="O21" s="988"/>
    </row>
    <row r="22" spans="1:15" ht="20.100000000000001" customHeight="1" x14ac:dyDescent="0.35">
      <c r="A22" s="1010" t="s">
        <v>174</v>
      </c>
      <c r="B22" s="1011"/>
      <c r="C22" s="1011"/>
      <c r="D22" s="981" t="s">
        <v>175</v>
      </c>
      <c r="E22" s="1012">
        <f>'[1]25'!F22</f>
        <v>2250</v>
      </c>
      <c r="F22" s="1012">
        <v>2250</v>
      </c>
      <c r="G22" s="1006">
        <f t="shared" ref="G22:G23" si="2">E22-F22</f>
        <v>0</v>
      </c>
      <c r="H22" s="984">
        <f>G22+'[1]25'!H22</f>
        <v>0</v>
      </c>
      <c r="I22" s="1003"/>
      <c r="J22" s="986">
        <f>H22/DAY(B2)</f>
        <v>0</v>
      </c>
      <c r="K22" s="1002"/>
      <c r="L22" s="961"/>
      <c r="O22" s="988"/>
    </row>
    <row r="23" spans="1:15" ht="20.100000000000001" customHeight="1" x14ac:dyDescent="0.35">
      <c r="A23" s="1010" t="s">
        <v>176</v>
      </c>
      <c r="B23" s="1011"/>
      <c r="C23" s="1011"/>
      <c r="D23" s="981" t="s">
        <v>175</v>
      </c>
      <c r="E23" s="1012">
        <f>'[1]25'!F23</f>
        <v>2000</v>
      </c>
      <c r="F23" s="1012">
        <v>2000</v>
      </c>
      <c r="G23" s="1006">
        <f t="shared" si="2"/>
        <v>0</v>
      </c>
      <c r="H23" s="984">
        <f>G23+'[1]25'!H23</f>
        <v>0</v>
      </c>
      <c r="I23" s="1003"/>
      <c r="J23" s="986">
        <f>H23/DAY(B2)</f>
        <v>0</v>
      </c>
      <c r="K23" s="1002"/>
      <c r="L23" s="961"/>
      <c r="O23" s="988"/>
    </row>
    <row r="24" spans="1:15" ht="20.100000000000001" customHeight="1" x14ac:dyDescent="0.35">
      <c r="A24" s="1025" t="s">
        <v>177</v>
      </c>
      <c r="B24" s="1026"/>
      <c r="C24" s="1026"/>
      <c r="D24" s="968" t="s">
        <v>175</v>
      </c>
      <c r="E24" s="1012">
        <f>'[1]25'!F24</f>
        <v>4250</v>
      </c>
      <c r="F24" s="1027">
        <v>4250</v>
      </c>
      <c r="G24" s="1006">
        <f>E24-F24</f>
        <v>0</v>
      </c>
      <c r="H24" s="984">
        <f>G24+'[1]25'!H24</f>
        <v>0</v>
      </c>
      <c r="I24" s="1003"/>
      <c r="J24" s="986">
        <f>H24/DAY(B2)</f>
        <v>0</v>
      </c>
      <c r="K24" s="1002"/>
      <c r="L24" s="961"/>
      <c r="O24" s="988"/>
    </row>
    <row r="25" spans="1:15" s="1033" customFormat="1" ht="18.75" customHeight="1" x14ac:dyDescent="0.3">
      <c r="A25" s="1575" t="s">
        <v>178</v>
      </c>
      <c r="B25" s="1576"/>
      <c r="C25" s="1577"/>
      <c r="D25" s="975"/>
      <c r="E25" s="975"/>
      <c r="F25" s="975"/>
      <c r="G25" s="1028"/>
      <c r="H25" s="1029"/>
      <c r="I25" s="1030"/>
      <c r="J25" s="1031"/>
      <c r="K25" s="1002"/>
      <c r="L25" s="1032"/>
      <c r="N25" s="1149"/>
      <c r="O25" s="988"/>
    </row>
    <row r="26" spans="1:15" s="1033" customFormat="1" ht="18.75" customHeight="1" x14ac:dyDescent="0.35">
      <c r="A26" s="1034" t="s">
        <v>179</v>
      </c>
      <c r="B26" s="1035"/>
      <c r="C26" s="1036"/>
      <c r="D26" s="1037" t="s">
        <v>180</v>
      </c>
      <c r="E26" s="1038"/>
      <c r="F26" s="1038"/>
      <c r="G26" s="1039"/>
      <c r="H26" s="984"/>
      <c r="I26" s="1040"/>
      <c r="J26" s="986"/>
      <c r="K26" s="1009"/>
      <c r="L26" s="1032"/>
      <c r="N26" s="1149"/>
      <c r="O26" s="988"/>
    </row>
    <row r="27" spans="1:15" s="1033" customFormat="1" ht="18.75" customHeight="1" x14ac:dyDescent="0.4">
      <c r="A27" s="1034" t="s">
        <v>20</v>
      </c>
      <c r="B27" s="1035"/>
      <c r="C27" s="1036"/>
      <c r="D27" s="1041" t="s">
        <v>39</v>
      </c>
      <c r="E27" s="1042">
        <f>G8</f>
        <v>21716</v>
      </c>
      <c r="F27" s="621">
        <v>9.5</v>
      </c>
      <c r="G27" s="1043">
        <f>E27*F27</f>
        <v>206302</v>
      </c>
      <c r="H27" s="984">
        <f>G27+'[1]25'!H27</f>
        <v>5004638</v>
      </c>
      <c r="I27" s="1044"/>
      <c r="J27" s="986">
        <f>H27/DAY(B2)</f>
        <v>192486.07692307694</v>
      </c>
      <c r="K27" s="1002"/>
      <c r="L27" s="1032"/>
      <c r="N27" s="1149"/>
      <c r="O27" s="988"/>
    </row>
    <row r="28" spans="1:15" s="1033" customFormat="1" ht="18.75" customHeight="1" x14ac:dyDescent="0.4">
      <c r="A28" s="1034" t="s">
        <v>181</v>
      </c>
      <c r="B28" s="1035"/>
      <c r="C28" s="1036"/>
      <c r="D28" s="1041" t="s">
        <v>182</v>
      </c>
      <c r="E28" s="1042">
        <f>G15</f>
        <v>822.59000000008382</v>
      </c>
      <c r="F28" s="621">
        <v>36.5</v>
      </c>
      <c r="G28" s="1043">
        <f>E28*F28</f>
        <v>30024.535000003059</v>
      </c>
      <c r="H28" s="984">
        <f>G28+'[1]25'!H28</f>
        <v>667713.07850000286</v>
      </c>
      <c r="I28" s="1045"/>
      <c r="J28" s="986">
        <f>H28/DAY(B2)</f>
        <v>25681.272250000111</v>
      </c>
      <c r="K28" s="1002"/>
      <c r="L28" s="1032"/>
      <c r="N28" s="1149"/>
      <c r="O28" s="988"/>
    </row>
    <row r="29" spans="1:15" s="1033" customFormat="1" ht="18.75" customHeight="1" x14ac:dyDescent="0.4">
      <c r="A29" s="1034" t="s">
        <v>183</v>
      </c>
      <c r="B29" s="1035"/>
      <c r="C29" s="1036"/>
      <c r="D29" s="1041" t="s">
        <v>184</v>
      </c>
      <c r="E29" s="1042">
        <f>G16</f>
        <v>0</v>
      </c>
      <c r="F29" s="621">
        <v>69</v>
      </c>
      <c r="G29" s="1043">
        <f>E29*F29</f>
        <v>0</v>
      </c>
      <c r="H29" s="984">
        <f>G29+'[1]25'!H29</f>
        <v>0</v>
      </c>
      <c r="I29" s="1045"/>
      <c r="J29" s="986">
        <f>H29/DAY(B2)</f>
        <v>0</v>
      </c>
      <c r="K29" s="1002"/>
      <c r="L29" s="1032"/>
      <c r="N29" s="1149"/>
      <c r="O29" s="988"/>
    </row>
    <row r="30" spans="1:15" s="1033" customFormat="1" ht="18.75" customHeight="1" x14ac:dyDescent="0.4">
      <c r="A30" s="1034" t="s">
        <v>185</v>
      </c>
      <c r="B30" s="1035"/>
      <c r="C30" s="1036"/>
      <c r="D30" s="1041" t="s">
        <v>186</v>
      </c>
      <c r="E30" s="1042">
        <f>G19</f>
        <v>55</v>
      </c>
      <c r="F30" s="621">
        <v>145</v>
      </c>
      <c r="G30" s="1043">
        <f>E30*F30</f>
        <v>7975</v>
      </c>
      <c r="H30" s="984">
        <f>G30+'[1]25'!H30</f>
        <v>205610</v>
      </c>
      <c r="I30" s="1045"/>
      <c r="J30" s="986">
        <f>H30/DAY(B2)</f>
        <v>7908.0769230769229</v>
      </c>
      <c r="K30" s="1002"/>
      <c r="L30" s="1032"/>
      <c r="N30" s="1149"/>
      <c r="O30" s="988"/>
    </row>
    <row r="31" spans="1:15" s="1033" customFormat="1" ht="18.75" customHeight="1" x14ac:dyDescent="0.4">
      <c r="A31" s="1034" t="s">
        <v>187</v>
      </c>
      <c r="B31" s="1035"/>
      <c r="C31" s="1036"/>
      <c r="D31" s="1041" t="s">
        <v>171</v>
      </c>
      <c r="E31" s="1042">
        <f>G18</f>
        <v>220</v>
      </c>
      <c r="F31" s="621">
        <v>80</v>
      </c>
      <c r="G31" s="1043">
        <f>E31*F31</f>
        <v>17600</v>
      </c>
      <c r="H31" s="984">
        <f>G31+'[1]25'!H31</f>
        <v>284800</v>
      </c>
      <c r="I31" s="1045"/>
      <c r="J31" s="986"/>
      <c r="K31" s="1002"/>
      <c r="L31" s="1032"/>
      <c r="N31" s="1149"/>
      <c r="O31" s="988"/>
    </row>
    <row r="32" spans="1:15" s="1033" customFormat="1" ht="18.75" customHeight="1" x14ac:dyDescent="0.35">
      <c r="A32" s="1046" t="s">
        <v>188</v>
      </c>
      <c r="B32" s="1047"/>
      <c r="C32" s="1048"/>
      <c r="D32" s="1049"/>
      <c r="E32" s="1049"/>
      <c r="F32" s="1049"/>
      <c r="G32" s="1050">
        <f>G27+G28+G29+G30+G31</f>
        <v>261901.53500000306</v>
      </c>
      <c r="H32" s="984">
        <f>G32+'[1]25'!H32</f>
        <v>6162761.0785000026</v>
      </c>
      <c r="I32" s="1051"/>
      <c r="J32" s="986">
        <f>H32/DAY(B2)</f>
        <v>237029.2722500001</v>
      </c>
      <c r="K32" s="1002"/>
      <c r="L32" s="1032"/>
      <c r="N32" s="1149"/>
      <c r="O32" s="988"/>
    </row>
    <row r="33" spans="1:15" ht="20.100000000000001" customHeight="1" x14ac:dyDescent="0.3">
      <c r="A33" s="1572" t="s">
        <v>189</v>
      </c>
      <c r="B33" s="1573"/>
      <c r="C33" s="1573"/>
      <c r="D33" s="1573"/>
      <c r="E33" s="1573"/>
      <c r="F33" s="1573"/>
      <c r="G33" s="1573"/>
      <c r="H33" s="1573"/>
      <c r="I33" s="1573"/>
      <c r="J33" s="1574"/>
      <c r="K33" s="1002"/>
      <c r="L33" s="961"/>
      <c r="O33" s="988"/>
    </row>
    <row r="34" spans="1:15" ht="20.100000000000001" customHeight="1" x14ac:dyDescent="0.35">
      <c r="A34" s="1052" t="s">
        <v>190</v>
      </c>
      <c r="B34" s="1053"/>
      <c r="C34" s="1053"/>
      <c r="D34" s="976"/>
      <c r="E34" s="975"/>
      <c r="F34" s="975"/>
      <c r="G34" s="976"/>
      <c r="H34" s="976"/>
      <c r="I34" s="976"/>
      <c r="J34" s="977"/>
      <c r="K34" s="1002"/>
      <c r="L34" s="961"/>
      <c r="O34" s="988"/>
    </row>
    <row r="35" spans="1:15" ht="20.100000000000001" customHeight="1" x14ac:dyDescent="0.35">
      <c r="A35" s="979" t="s">
        <v>191</v>
      </c>
      <c r="B35" s="980"/>
      <c r="C35" s="980"/>
      <c r="D35" s="981" t="s">
        <v>159</v>
      </c>
      <c r="E35" s="982">
        <f>'[1]25'!F35</f>
        <v>629027</v>
      </c>
      <c r="F35" s="1054">
        <v>629027</v>
      </c>
      <c r="G35" s="983">
        <f t="shared" ref="G35:G46" si="3">F35-E35</f>
        <v>0</v>
      </c>
      <c r="H35" s="984">
        <f>G35+'[1]25'!H35</f>
        <v>0</v>
      </c>
      <c r="I35" s="982"/>
      <c r="J35" s="986">
        <f>H35/DAY(B2)</f>
        <v>0</v>
      </c>
      <c r="K35" s="1002"/>
      <c r="L35" s="961"/>
      <c r="O35" s="988"/>
    </row>
    <row r="36" spans="1:15" ht="20.100000000000001" customHeight="1" x14ac:dyDescent="0.35">
      <c r="A36" s="979" t="s">
        <v>192</v>
      </c>
      <c r="B36" s="980"/>
      <c r="C36" s="980"/>
      <c r="D36" s="981" t="s">
        <v>159</v>
      </c>
      <c r="E36" s="982">
        <f>'[1]25'!F36</f>
        <v>250133.05</v>
      </c>
      <c r="F36" s="1054">
        <v>251260.83</v>
      </c>
      <c r="G36" s="983">
        <f t="shared" si="3"/>
        <v>1127.7799999999988</v>
      </c>
      <c r="H36" s="984">
        <f>G36+'[1]25'!H36</f>
        <v>22175.099999999977</v>
      </c>
      <c r="I36" s="982"/>
      <c r="J36" s="986">
        <f>H36/DAY(B2)</f>
        <v>852.88846153846066</v>
      </c>
      <c r="K36" s="1002"/>
      <c r="L36" s="961"/>
      <c r="O36" s="988"/>
    </row>
    <row r="37" spans="1:15" ht="20.100000000000001" customHeight="1" x14ac:dyDescent="0.35">
      <c r="A37" s="979" t="s">
        <v>193</v>
      </c>
      <c r="B37" s="980"/>
      <c r="C37" s="980"/>
      <c r="D37" s="981" t="s">
        <v>159</v>
      </c>
      <c r="E37" s="982">
        <f>'[1]25'!F37</f>
        <v>415066</v>
      </c>
      <c r="F37" s="1054">
        <v>415066</v>
      </c>
      <c r="G37" s="983">
        <f t="shared" si="3"/>
        <v>0</v>
      </c>
      <c r="H37" s="984">
        <f>G37+'[1]25'!H37</f>
        <v>0</v>
      </c>
      <c r="I37" s="982"/>
      <c r="J37" s="986">
        <f>H37/DAY(B2)</f>
        <v>0</v>
      </c>
      <c r="K37" s="1002"/>
      <c r="L37" s="961"/>
      <c r="O37" s="988"/>
    </row>
    <row r="38" spans="1:15" ht="20.100000000000001" customHeight="1" x14ac:dyDescent="0.35">
      <c r="A38" s="979" t="s">
        <v>194</v>
      </c>
      <c r="B38" s="980"/>
      <c r="C38" s="980"/>
      <c r="D38" s="981" t="s">
        <v>159</v>
      </c>
      <c r="E38" s="982">
        <f>'[1]25'!F38</f>
        <v>150714.38</v>
      </c>
      <c r="F38" s="971">
        <v>150714</v>
      </c>
      <c r="G38" s="983">
        <f t="shared" si="3"/>
        <v>-0.38000000000465661</v>
      </c>
      <c r="H38" s="984">
        <f>G38+'[1]25'!H38</f>
        <v>0</v>
      </c>
      <c r="I38" s="982"/>
      <c r="J38" s="986">
        <f>H38/DAY(B2)</f>
        <v>0</v>
      </c>
      <c r="K38" s="1002"/>
      <c r="L38" s="961"/>
      <c r="O38" s="988"/>
    </row>
    <row r="39" spans="1:15" ht="20.100000000000001" customHeight="1" x14ac:dyDescent="0.35">
      <c r="A39" s="979" t="s">
        <v>195</v>
      </c>
      <c r="B39" s="980"/>
      <c r="C39" s="980"/>
      <c r="D39" s="981" t="s">
        <v>159</v>
      </c>
      <c r="E39" s="982">
        <f>'[1]25'!F39</f>
        <v>912480</v>
      </c>
      <c r="F39" s="1054">
        <v>912480</v>
      </c>
      <c r="G39" s="983">
        <f t="shared" si="3"/>
        <v>0</v>
      </c>
      <c r="H39" s="984">
        <f>G39+'[1]25'!H39</f>
        <v>0</v>
      </c>
      <c r="I39" s="982"/>
      <c r="J39" s="986">
        <f>H39/DAY(B2)</f>
        <v>0</v>
      </c>
      <c r="K39" s="1002"/>
      <c r="L39" s="961"/>
      <c r="O39" s="988"/>
    </row>
    <row r="40" spans="1:15" ht="20.100000000000001" customHeight="1" x14ac:dyDescent="0.35">
      <c r="A40" s="1055" t="s">
        <v>196</v>
      </c>
      <c r="B40" s="1056"/>
      <c r="C40" s="1056"/>
      <c r="D40" s="981" t="s">
        <v>159</v>
      </c>
      <c r="E40" s="982">
        <f>'[1]25'!F40</f>
        <v>0</v>
      </c>
      <c r="F40" s="1054">
        <v>0</v>
      </c>
      <c r="G40" s="983">
        <f t="shared" si="3"/>
        <v>0</v>
      </c>
      <c r="H40" s="984">
        <f>G40+'[1]25'!H40</f>
        <v>0</v>
      </c>
      <c r="I40" s="982"/>
      <c r="J40" s="986">
        <f>H40/DAY(B2)</f>
        <v>0</v>
      </c>
      <c r="K40" s="1009"/>
      <c r="L40" s="961"/>
      <c r="O40" s="988"/>
    </row>
    <row r="41" spans="1:15" ht="20.100000000000001" customHeight="1" x14ac:dyDescent="0.35">
      <c r="A41" s="979" t="s">
        <v>197</v>
      </c>
      <c r="B41" s="980"/>
      <c r="C41" s="980"/>
      <c r="D41" s="981" t="s">
        <v>159</v>
      </c>
      <c r="E41" s="982">
        <f>'[1]25'!F41</f>
        <v>300127.95</v>
      </c>
      <c r="F41" s="1054">
        <v>300127.95</v>
      </c>
      <c r="G41" s="983">
        <f t="shared" si="3"/>
        <v>0</v>
      </c>
      <c r="H41" s="984">
        <f>G41+'[1]25'!H41</f>
        <v>0</v>
      </c>
      <c r="I41" s="982"/>
      <c r="J41" s="986">
        <f>H41/DAY(B2)</f>
        <v>0</v>
      </c>
      <c r="K41" s="1002"/>
      <c r="L41" s="961"/>
      <c r="O41" s="988"/>
    </row>
    <row r="42" spans="1:15" ht="20.100000000000001" customHeight="1" x14ac:dyDescent="0.35">
      <c r="A42" s="979" t="s">
        <v>198</v>
      </c>
      <c r="B42" s="980"/>
      <c r="C42" s="980"/>
      <c r="D42" s="981" t="s">
        <v>159</v>
      </c>
      <c r="E42" s="982">
        <f>'[1]25'!F42</f>
        <v>58926.09</v>
      </c>
      <c r="F42" s="1054">
        <v>58926.09</v>
      </c>
      <c r="G42" s="983">
        <f t="shared" si="3"/>
        <v>0</v>
      </c>
      <c r="H42" s="984">
        <f>G42+'[1]25'!H42</f>
        <v>58926.09</v>
      </c>
      <c r="I42" s="982"/>
      <c r="J42" s="986">
        <f>H42/DAY(B2)</f>
        <v>2266.3880769230768</v>
      </c>
      <c r="K42" s="1002"/>
      <c r="L42" s="961"/>
      <c r="N42" s="1150">
        <f>3450-G42</f>
        <v>3450</v>
      </c>
      <c r="O42" s="988"/>
    </row>
    <row r="43" spans="1:15" ht="20.100000000000001" customHeight="1" x14ac:dyDescent="0.35">
      <c r="A43" s="979" t="s">
        <v>199</v>
      </c>
      <c r="B43" s="980"/>
      <c r="C43" s="980"/>
      <c r="D43" s="981" t="s">
        <v>159</v>
      </c>
      <c r="E43" s="982">
        <f>'[1]25'!F43</f>
        <v>686353.67</v>
      </c>
      <c r="F43" s="1054">
        <v>688342.63</v>
      </c>
      <c r="G43" s="983">
        <f t="shared" si="3"/>
        <v>1988.9599999999627</v>
      </c>
      <c r="H43" s="984">
        <f>G43+'[1]25'!H43</f>
        <v>57593.319999999949</v>
      </c>
      <c r="I43" s="982"/>
      <c r="J43" s="986">
        <f>H43/DAY(B2)</f>
        <v>2215.1276923076903</v>
      </c>
      <c r="K43" s="1002"/>
      <c r="L43" s="961"/>
      <c r="O43" s="988"/>
    </row>
    <row r="44" spans="1:15" ht="20.100000000000001" customHeight="1" x14ac:dyDescent="0.35">
      <c r="A44" s="979" t="s">
        <v>200</v>
      </c>
      <c r="B44" s="980"/>
      <c r="C44" s="980"/>
      <c r="D44" s="981" t="s">
        <v>159</v>
      </c>
      <c r="E44" s="982">
        <f>'[1]25'!F44</f>
        <v>0</v>
      </c>
      <c r="F44" s="1054">
        <v>0</v>
      </c>
      <c r="G44" s="983">
        <f t="shared" si="3"/>
        <v>0</v>
      </c>
      <c r="H44" s="984">
        <f>G44+'[1]25'!H44</f>
        <v>0</v>
      </c>
      <c r="I44" s="982"/>
      <c r="J44" s="986">
        <f>H44/DAY(B2)</f>
        <v>0</v>
      </c>
      <c r="K44" s="1002"/>
      <c r="L44" s="961"/>
      <c r="O44" s="988"/>
    </row>
    <row r="45" spans="1:15" ht="20.100000000000001" customHeight="1" x14ac:dyDescent="0.35">
      <c r="A45" s="979" t="s">
        <v>201</v>
      </c>
      <c r="B45" s="980"/>
      <c r="C45" s="980"/>
      <c r="D45" s="981" t="s">
        <v>159</v>
      </c>
      <c r="E45" s="982">
        <f>'[1]25'!F45</f>
        <v>614</v>
      </c>
      <c r="F45" s="1054">
        <v>614</v>
      </c>
      <c r="G45" s="983">
        <f t="shared" si="3"/>
        <v>0</v>
      </c>
      <c r="H45" s="984">
        <f>G45+'[1]25'!H45</f>
        <v>-0.48000000000001819</v>
      </c>
      <c r="I45" s="982"/>
      <c r="J45" s="986">
        <f>H45/DAY(B2)</f>
        <v>-1.8461538461539161E-2</v>
      </c>
      <c r="K45" s="1002"/>
      <c r="L45" s="961"/>
      <c r="O45" s="988"/>
    </row>
    <row r="46" spans="1:15" ht="20.100000000000001" customHeight="1" x14ac:dyDescent="0.35">
      <c r="A46" s="979" t="s">
        <v>202</v>
      </c>
      <c r="B46" s="980"/>
      <c r="C46" s="980"/>
      <c r="D46" s="981" t="s">
        <v>159</v>
      </c>
      <c r="E46" s="982">
        <f>'[1]25'!F46</f>
        <v>187</v>
      </c>
      <c r="F46" s="1054">
        <v>187</v>
      </c>
      <c r="G46" s="983">
        <f t="shared" si="3"/>
        <v>0</v>
      </c>
      <c r="H46" s="984">
        <f>G46+'[1]25'!H46</f>
        <v>-0.49000000000000909</v>
      </c>
      <c r="I46" s="982"/>
      <c r="J46" s="986">
        <f>H46/DAY(B2)</f>
        <v>-1.8846153846154196E-2</v>
      </c>
      <c r="K46" s="1002"/>
      <c r="L46" s="961"/>
      <c r="O46" s="988"/>
    </row>
    <row r="47" spans="1:15" ht="20.100000000000001" customHeight="1" x14ac:dyDescent="0.35">
      <c r="A47" s="1004" t="s">
        <v>203</v>
      </c>
      <c r="B47" s="1005"/>
      <c r="C47" s="1005"/>
      <c r="D47" s="972"/>
      <c r="E47" s="968"/>
      <c r="F47" s="968"/>
      <c r="G47" s="1006">
        <f>G35+G36+G37+G38+G39+G40+G41+G42+G43+G44+G45+G46</f>
        <v>3116.3599999999569</v>
      </c>
      <c r="H47" s="984">
        <f>G47+'[1]25'!H47</f>
        <v>138693.53999999992</v>
      </c>
      <c r="I47" s="982"/>
      <c r="J47" s="986">
        <f>H47/DAY(B2)</f>
        <v>5334.3669230769201</v>
      </c>
      <c r="K47" s="1002"/>
      <c r="L47" s="961"/>
      <c r="N47" s="1150"/>
      <c r="O47" s="988"/>
    </row>
    <row r="48" spans="1:15" ht="20.100000000000001" customHeight="1" x14ac:dyDescent="0.35">
      <c r="A48" s="1052" t="s">
        <v>204</v>
      </c>
      <c r="B48" s="1053"/>
      <c r="C48" s="1053"/>
      <c r="D48" s="976"/>
      <c r="E48" s="975"/>
      <c r="F48" s="975"/>
      <c r="G48" s="976"/>
      <c r="H48" s="976"/>
      <c r="I48" s="976"/>
      <c r="J48" s="977"/>
      <c r="K48" s="1002"/>
      <c r="L48" s="961"/>
      <c r="O48" s="988"/>
    </row>
    <row r="49" spans="1:15" ht="20.100000000000001" customHeight="1" x14ac:dyDescent="0.35">
      <c r="A49" s="979" t="s">
        <v>191</v>
      </c>
      <c r="B49" s="1057"/>
      <c r="C49" s="1057"/>
      <c r="D49" s="981" t="s">
        <v>159</v>
      </c>
      <c r="E49" s="982">
        <f>'[1]25'!F49</f>
        <v>132073.04</v>
      </c>
      <c r="F49" s="1054">
        <v>135068.54</v>
      </c>
      <c r="G49" s="983">
        <f t="shared" ref="G49:G58" si="4">F49-E49</f>
        <v>2995.5</v>
      </c>
      <c r="H49" s="984">
        <f>G49+'[1]25'!H49</f>
        <v>70459.023000000016</v>
      </c>
      <c r="I49" s="982"/>
      <c r="J49" s="986">
        <f>H49/DAY(B2)</f>
        <v>2709.9624230769236</v>
      </c>
      <c r="K49" s="1002"/>
      <c r="L49" s="961"/>
      <c r="O49" s="988"/>
    </row>
    <row r="50" spans="1:15" ht="20.100000000000001" customHeight="1" x14ac:dyDescent="0.35">
      <c r="A50" s="979" t="s">
        <v>205</v>
      </c>
      <c r="B50" s="1057"/>
      <c r="C50" s="1057"/>
      <c r="D50" s="981" t="s">
        <v>159</v>
      </c>
      <c r="E50" s="982">
        <f>'[1]25'!F50</f>
        <v>327780.51</v>
      </c>
      <c r="F50" s="1054">
        <v>329378.27</v>
      </c>
      <c r="G50" s="983">
        <f t="shared" si="4"/>
        <v>1597.7600000000093</v>
      </c>
      <c r="H50" s="984">
        <f>G50+'[1]25'!H50</f>
        <v>31968.739999999991</v>
      </c>
      <c r="I50" s="982"/>
      <c r="J50" s="986">
        <f>H50/DAY(B2)</f>
        <v>1229.5669230769226</v>
      </c>
      <c r="K50" s="1002"/>
      <c r="L50" s="961"/>
      <c r="O50" s="988"/>
    </row>
    <row r="51" spans="1:15" ht="20.100000000000001" customHeight="1" x14ac:dyDescent="0.35">
      <c r="A51" s="979" t="s">
        <v>193</v>
      </c>
      <c r="B51" s="1057"/>
      <c r="C51" s="1057"/>
      <c r="D51" s="981" t="s">
        <v>159</v>
      </c>
      <c r="E51" s="982">
        <f>'[1]25'!F51</f>
        <v>56000.55</v>
      </c>
      <c r="F51" s="1054">
        <v>57515.35</v>
      </c>
      <c r="G51" s="983">
        <f t="shared" si="4"/>
        <v>1514.7999999999956</v>
      </c>
      <c r="H51" s="984">
        <f>G51+'[1]25'!H51</f>
        <v>36648.382999999994</v>
      </c>
      <c r="I51" s="982"/>
      <c r="J51" s="986">
        <f>H51/DAY(B2)</f>
        <v>1409.5531923076921</v>
      </c>
      <c r="K51" s="1002"/>
      <c r="L51" s="961"/>
      <c r="O51" s="988"/>
    </row>
    <row r="52" spans="1:15" ht="20.100000000000001" customHeight="1" x14ac:dyDescent="0.35">
      <c r="A52" s="979" t="s">
        <v>206</v>
      </c>
      <c r="B52" s="1057"/>
      <c r="C52" s="1057"/>
      <c r="D52" s="981" t="s">
        <v>159</v>
      </c>
      <c r="E52" s="982">
        <f>'[1]25'!F52</f>
        <v>420658.43</v>
      </c>
      <c r="F52" s="1054">
        <v>422969.19</v>
      </c>
      <c r="G52" s="983">
        <f t="shared" si="4"/>
        <v>2310.7600000000093</v>
      </c>
      <c r="H52" s="984">
        <f>G52+'[1]25'!H52</f>
        <v>49613.399999999965</v>
      </c>
      <c r="I52" s="982"/>
      <c r="J52" s="986">
        <f>H52/DAY(B2)</f>
        <v>1908.2076923076909</v>
      </c>
      <c r="K52" s="1002"/>
      <c r="L52" s="961"/>
      <c r="O52" s="988"/>
    </row>
    <row r="53" spans="1:15" ht="20.100000000000001" customHeight="1" x14ac:dyDescent="0.35">
      <c r="A53" s="979" t="s">
        <v>195</v>
      </c>
      <c r="B53" s="1057"/>
      <c r="C53" s="1057"/>
      <c r="D53" s="981" t="s">
        <v>159</v>
      </c>
      <c r="E53" s="982">
        <f>'[1]25'!F53</f>
        <v>151166.44</v>
      </c>
      <c r="F53" s="1054">
        <v>155565.9</v>
      </c>
      <c r="G53" s="983">
        <f t="shared" si="4"/>
        <v>4399.4599999999919</v>
      </c>
      <c r="H53" s="984">
        <f>G53+'[1]25'!H53</f>
        <v>105823.79299999999</v>
      </c>
      <c r="I53" s="982"/>
      <c r="J53" s="986">
        <f>H53/DAY(B2)</f>
        <v>4070.1458846153841</v>
      </c>
      <c r="K53" s="1002"/>
      <c r="L53" s="961"/>
      <c r="O53" s="988"/>
    </row>
    <row r="54" spans="1:15" ht="20.100000000000001" customHeight="1" x14ac:dyDescent="0.35">
      <c r="A54" s="979" t="s">
        <v>207</v>
      </c>
      <c r="B54" s="1057"/>
      <c r="C54" s="1057"/>
      <c r="D54" s="981" t="s">
        <v>159</v>
      </c>
      <c r="E54" s="982">
        <f>'[1]25'!F54</f>
        <v>4161.91</v>
      </c>
      <c r="F54" s="1054">
        <v>4229.0600000000004</v>
      </c>
      <c r="G54" s="983">
        <f t="shared" si="4"/>
        <v>67.150000000000546</v>
      </c>
      <c r="H54" s="984">
        <f>G54+'[1]25'!H54</f>
        <v>1350.4500000000003</v>
      </c>
      <c r="I54" s="982"/>
      <c r="J54" s="986">
        <f>H54/DAY(B2)</f>
        <v>51.940384615384623</v>
      </c>
      <c r="K54" s="1002"/>
      <c r="L54" s="961"/>
      <c r="O54" s="988"/>
    </row>
    <row r="55" spans="1:15" ht="20.100000000000001" customHeight="1" x14ac:dyDescent="0.35">
      <c r="A55" s="979" t="s">
        <v>208</v>
      </c>
      <c r="B55" s="1057"/>
      <c r="C55" s="1057"/>
      <c r="D55" s="981" t="s">
        <v>159</v>
      </c>
      <c r="E55" s="982">
        <f>'[1]25'!F55</f>
        <v>158492.73000000001</v>
      </c>
      <c r="F55" s="1054">
        <v>158492.73000000001</v>
      </c>
      <c r="G55" s="983">
        <f t="shared" si="4"/>
        <v>0</v>
      </c>
      <c r="H55" s="984">
        <f>G55+'[1]25'!H55</f>
        <v>-0.26999999998952262</v>
      </c>
      <c r="I55" s="982"/>
      <c r="J55" s="986">
        <f>H55/DAY(B2)</f>
        <v>-1.0384615384212408E-2</v>
      </c>
      <c r="K55" s="1002"/>
      <c r="L55" s="961"/>
      <c r="O55" s="988"/>
    </row>
    <row r="56" spans="1:15" ht="20.100000000000001" customHeight="1" x14ac:dyDescent="0.35">
      <c r="A56" s="979" t="s">
        <v>209</v>
      </c>
      <c r="B56" s="1057"/>
      <c r="C56" s="1057"/>
      <c r="D56" s="981" t="s">
        <v>210</v>
      </c>
      <c r="E56" s="982">
        <f>'[1]25'!F56</f>
        <v>488727.35</v>
      </c>
      <c r="F56" s="1054">
        <v>493514.55</v>
      </c>
      <c r="G56" s="983">
        <f t="shared" si="4"/>
        <v>4787.2000000000116</v>
      </c>
      <c r="H56" s="984">
        <f>G56+'[1]25'!H56</f>
        <v>57673.51999999996</v>
      </c>
      <c r="I56" s="982"/>
      <c r="J56" s="986">
        <f>H56/DAY(B2)</f>
        <v>2218.2123076923062</v>
      </c>
      <c r="K56" s="978"/>
      <c r="L56" s="961"/>
      <c r="O56" s="988"/>
    </row>
    <row r="57" spans="1:15" ht="20.100000000000001" customHeight="1" x14ac:dyDescent="0.35">
      <c r="A57" s="979" t="s">
        <v>199</v>
      </c>
      <c r="B57" s="1057"/>
      <c r="C57" s="1057"/>
      <c r="D57" s="981" t="s">
        <v>159</v>
      </c>
      <c r="E57" s="982">
        <f>'[1]25'!F57</f>
        <v>0</v>
      </c>
      <c r="F57" s="1054">
        <v>0</v>
      </c>
      <c r="G57" s="983">
        <f t="shared" si="4"/>
        <v>0</v>
      </c>
      <c r="H57" s="984">
        <f>G57+'[1]25'!H57</f>
        <v>0</v>
      </c>
      <c r="I57" s="982"/>
      <c r="J57" s="986">
        <f>H57/DAY(B2)</f>
        <v>0</v>
      </c>
      <c r="K57" s="1002"/>
      <c r="L57" s="961"/>
      <c r="O57" s="988"/>
    </row>
    <row r="58" spans="1:15" ht="20.100000000000001" customHeight="1" x14ac:dyDescent="0.35">
      <c r="A58" s="979" t="s">
        <v>211</v>
      </c>
      <c r="B58" s="1057"/>
      <c r="C58" s="1057"/>
      <c r="D58" s="981" t="s">
        <v>159</v>
      </c>
      <c r="E58" s="982">
        <f>'[1]25'!F58</f>
        <v>23935.49</v>
      </c>
      <c r="F58" s="1054">
        <v>24118.98</v>
      </c>
      <c r="G58" s="983">
        <f t="shared" si="4"/>
        <v>183.48999999999796</v>
      </c>
      <c r="H58" s="984">
        <f>G58+'[1]25'!H58</f>
        <v>3725.9470000000001</v>
      </c>
      <c r="I58" s="982"/>
      <c r="J58" s="986">
        <f>H58/DAY(B2)</f>
        <v>143.30565384615386</v>
      </c>
      <c r="K58" s="1002"/>
      <c r="L58" s="961"/>
      <c r="O58" s="988"/>
    </row>
    <row r="59" spans="1:15" ht="20.100000000000001" customHeight="1" x14ac:dyDescent="0.35">
      <c r="A59" s="1004" t="s">
        <v>203</v>
      </c>
      <c r="B59" s="1005"/>
      <c r="C59" s="1005"/>
      <c r="D59" s="968"/>
      <c r="E59" s="968"/>
      <c r="F59" s="968"/>
      <c r="G59" s="1006">
        <f>G49+G50+G51+G52+G53+G54+G55+G56+G57+G58</f>
        <v>17856.120000000017</v>
      </c>
      <c r="H59" s="984">
        <f>G59+'[1]25'!H59</f>
        <v>357262.98599999986</v>
      </c>
      <c r="I59" s="982">
        <f>G7-G60</f>
        <v>620.5200000000259</v>
      </c>
      <c r="J59" s="986">
        <f>H59/DAY(B2)</f>
        <v>13740.884076923072</v>
      </c>
      <c r="K59" s="1002"/>
      <c r="L59" s="961"/>
      <c r="O59" s="988"/>
    </row>
    <row r="60" spans="1:15" ht="20.100000000000001" customHeight="1" x14ac:dyDescent="0.35">
      <c r="A60" s="979"/>
      <c r="B60" s="980"/>
      <c r="C60" s="980"/>
      <c r="D60" s="968" t="s">
        <v>212</v>
      </c>
      <c r="E60" s="968"/>
      <c r="F60" s="968"/>
      <c r="G60" s="1006">
        <f>G47+G59</f>
        <v>20972.479999999974</v>
      </c>
      <c r="H60" s="984">
        <f>G60+'[1]25'!H60</f>
        <v>509500.19599999994</v>
      </c>
      <c r="I60" s="982">
        <f>G13-G60</f>
        <v>-185.80000000027212</v>
      </c>
      <c r="J60" s="986">
        <f>H60/DAY(B2)</f>
        <v>19596.161384615381</v>
      </c>
      <c r="K60" s="1002"/>
      <c r="L60" s="961"/>
      <c r="O60" s="988"/>
    </row>
    <row r="61" spans="1:15" ht="20.100000000000001" customHeight="1" x14ac:dyDescent="0.35">
      <c r="A61" s="1058" t="s">
        <v>213</v>
      </c>
      <c r="B61" s="1059"/>
      <c r="C61" s="1059"/>
      <c r="D61" s="1059"/>
      <c r="E61" s="1060"/>
      <c r="F61" s="1060"/>
      <c r="G61" s="1059"/>
      <c r="H61" s="1059"/>
      <c r="I61" s="1059"/>
      <c r="J61" s="1061"/>
      <c r="K61" s="1002"/>
      <c r="L61" s="961"/>
      <c r="O61" s="988"/>
    </row>
    <row r="62" spans="1:15" ht="20.100000000000001" customHeight="1" x14ac:dyDescent="0.35">
      <c r="A62" s="1062" t="s">
        <v>121</v>
      </c>
      <c r="B62" s="1063"/>
      <c r="C62" s="1063"/>
      <c r="D62" s="968" t="s">
        <v>214</v>
      </c>
      <c r="E62" s="982">
        <f>'[1]25'!F62</f>
        <v>20419.18</v>
      </c>
      <c r="F62" s="1064">
        <v>20419.18</v>
      </c>
      <c r="G62" s="983">
        <f t="shared" ref="G62:G69" si="5">F62-E62</f>
        <v>0</v>
      </c>
      <c r="H62" s="984">
        <f>G62+'[1]25'!H62</f>
        <v>0</v>
      </c>
      <c r="I62" s="1065"/>
      <c r="J62" s="986">
        <f>H62/DAY(B2)</f>
        <v>0</v>
      </c>
      <c r="K62" s="1002"/>
      <c r="L62" s="961"/>
      <c r="O62" s="988"/>
    </row>
    <row r="63" spans="1:15" ht="20.100000000000001" customHeight="1" x14ac:dyDescent="0.35">
      <c r="A63" s="1062" t="s">
        <v>215</v>
      </c>
      <c r="B63" s="1063"/>
      <c r="C63" s="1063"/>
      <c r="D63" s="968" t="s">
        <v>214</v>
      </c>
      <c r="E63" s="982">
        <f>'[1]25'!F63</f>
        <v>1082.6400000000001</v>
      </c>
      <c r="F63" s="1064">
        <v>1086.8499999999999</v>
      </c>
      <c r="G63" s="983">
        <f t="shared" si="5"/>
        <v>4.209999999999809</v>
      </c>
      <c r="H63" s="984">
        <f>G63+'[1]25'!H63</f>
        <v>230.4799999999999</v>
      </c>
      <c r="I63" s="1065"/>
      <c r="J63" s="986">
        <f>H63/DAY(B2)</f>
        <v>8.8646153846153801</v>
      </c>
      <c r="K63" s="1002"/>
      <c r="L63" s="961"/>
      <c r="O63" s="988"/>
    </row>
    <row r="64" spans="1:15" ht="20.100000000000001" customHeight="1" x14ac:dyDescent="0.35">
      <c r="A64" s="1563" t="s">
        <v>122</v>
      </c>
      <c r="B64" s="1564"/>
      <c r="C64" s="1565"/>
      <c r="D64" s="981" t="s">
        <v>214</v>
      </c>
      <c r="E64" s="982">
        <f>'[1]25'!F64</f>
        <v>96025.81</v>
      </c>
      <c r="F64" s="1012">
        <v>96391.91</v>
      </c>
      <c r="G64" s="983">
        <f t="shared" si="5"/>
        <v>366.10000000000582</v>
      </c>
      <c r="H64" s="984">
        <f>G64+'[1]25'!H64</f>
        <v>9652.8150000000023</v>
      </c>
      <c r="I64" s="1003"/>
      <c r="J64" s="986">
        <f>H64/DAY(B2)</f>
        <v>371.26211538461547</v>
      </c>
      <c r="K64" s="1002"/>
      <c r="L64" s="961"/>
      <c r="O64" s="988"/>
    </row>
    <row r="65" spans="1:15" ht="20.100000000000001" customHeight="1" x14ac:dyDescent="0.35">
      <c r="A65" s="1563" t="s">
        <v>123</v>
      </c>
      <c r="B65" s="1564"/>
      <c r="C65" s="1565"/>
      <c r="D65" s="981" t="s">
        <v>214</v>
      </c>
      <c r="E65" s="982">
        <f>'[1]25'!F65</f>
        <v>106568.01</v>
      </c>
      <c r="F65" s="1012">
        <v>106990.06</v>
      </c>
      <c r="G65" s="983">
        <f t="shared" si="5"/>
        <v>422.05000000000291</v>
      </c>
      <c r="H65" s="984">
        <f>G65+'[1]25'!H65</f>
        <v>10354.077000000005</v>
      </c>
      <c r="I65" s="1021"/>
      <c r="J65" s="986">
        <f>H65/DAY(B2)</f>
        <v>398.23373076923093</v>
      </c>
      <c r="K65" s="1002"/>
      <c r="L65" s="961"/>
      <c r="O65" s="988"/>
    </row>
    <row r="66" spans="1:15" ht="20.100000000000001" customHeight="1" x14ac:dyDescent="0.35">
      <c r="A66" s="1563" t="s">
        <v>124</v>
      </c>
      <c r="B66" s="1564"/>
      <c r="C66" s="1565"/>
      <c r="D66" s="981" t="s">
        <v>214</v>
      </c>
      <c r="E66" s="982">
        <v>42.55</v>
      </c>
      <c r="F66" s="1012">
        <v>462</v>
      </c>
      <c r="G66" s="983">
        <f t="shared" si="5"/>
        <v>419.45</v>
      </c>
      <c r="H66" s="984">
        <f>G66+'[1]25'!H66</f>
        <v>10459.603000000006</v>
      </c>
      <c r="I66" s="1003"/>
      <c r="J66" s="986">
        <f>H66/DAY(B2)</f>
        <v>402.29242307692334</v>
      </c>
      <c r="K66" s="1002"/>
      <c r="L66" s="961"/>
      <c r="O66" s="988"/>
    </row>
    <row r="67" spans="1:15" ht="20.100000000000001" customHeight="1" x14ac:dyDescent="0.35">
      <c r="A67" s="1563" t="s">
        <v>125</v>
      </c>
      <c r="B67" s="1564"/>
      <c r="C67" s="1565"/>
      <c r="D67" s="981" t="s">
        <v>214</v>
      </c>
      <c r="E67" s="982">
        <f>'[1]25'!F67</f>
        <v>164149.42000000001</v>
      </c>
      <c r="F67" s="1012">
        <v>164863.34</v>
      </c>
      <c r="G67" s="983">
        <f t="shared" si="5"/>
        <v>713.9199999999837</v>
      </c>
      <c r="H67" s="984">
        <f>G67+'[1]25'!H67</f>
        <v>18821.290000000008</v>
      </c>
      <c r="I67" s="1021"/>
      <c r="J67" s="986">
        <f>H67/DAY(B2)</f>
        <v>723.89576923076959</v>
      </c>
      <c r="K67" s="1009"/>
      <c r="L67" s="961"/>
      <c r="O67" s="988"/>
    </row>
    <row r="68" spans="1:15" ht="20.100000000000001" customHeight="1" x14ac:dyDescent="0.35">
      <c r="A68" s="1563" t="s">
        <v>126</v>
      </c>
      <c r="B68" s="1564"/>
      <c r="C68" s="1565"/>
      <c r="D68" s="981" t="s">
        <v>214</v>
      </c>
      <c r="E68" s="982">
        <f>'[1]25'!F68</f>
        <v>51832.913</v>
      </c>
      <c r="F68" s="1012">
        <v>52127.72</v>
      </c>
      <c r="G68" s="983">
        <f t="shared" si="5"/>
        <v>294.8070000000007</v>
      </c>
      <c r="H68" s="984">
        <f>G68+'[1]25'!H68</f>
        <v>8952.6410000000033</v>
      </c>
      <c r="I68" s="1066"/>
      <c r="J68" s="986">
        <f>H68/DAY(B2)</f>
        <v>344.33234615384629</v>
      </c>
      <c r="K68" s="1067"/>
      <c r="L68" s="961"/>
      <c r="O68" s="988"/>
    </row>
    <row r="69" spans="1:15" ht="20.100000000000001" customHeight="1" x14ac:dyDescent="0.35">
      <c r="A69" s="1563" t="s">
        <v>127</v>
      </c>
      <c r="B69" s="1564"/>
      <c r="C69" s="1565"/>
      <c r="D69" s="981" t="s">
        <v>214</v>
      </c>
      <c r="E69" s="982">
        <f>'[1]25'!F69</f>
        <v>44815.79</v>
      </c>
      <c r="F69" s="1012">
        <v>45099.48</v>
      </c>
      <c r="G69" s="983">
        <f t="shared" si="5"/>
        <v>283.69000000000233</v>
      </c>
      <c r="H69" s="984">
        <f>G69+'[1]25'!H69</f>
        <v>7543.9130000000005</v>
      </c>
      <c r="I69" s="1066"/>
      <c r="J69" s="986">
        <f>H69/DAY(B2)</f>
        <v>290.15050000000002</v>
      </c>
      <c r="K69" s="1068"/>
      <c r="L69" s="961"/>
      <c r="O69" s="988"/>
    </row>
    <row r="70" spans="1:15" ht="20.100000000000001" customHeight="1" x14ac:dyDescent="0.35">
      <c r="A70" s="1586" t="s">
        <v>216</v>
      </c>
      <c r="B70" s="1587"/>
      <c r="C70" s="1588"/>
      <c r="D70" s="981" t="s">
        <v>214</v>
      </c>
      <c r="E70" s="1352"/>
      <c r="F70" s="1069"/>
      <c r="G70" s="1069"/>
      <c r="H70" s="984">
        <f>G70+'[1]13'!H70</f>
        <v>0</v>
      </c>
      <c r="I70" s="1069"/>
      <c r="J70" s="1070"/>
      <c r="K70" s="1068"/>
      <c r="L70" s="961"/>
      <c r="O70" s="988"/>
    </row>
    <row r="71" spans="1:15" ht="20.100000000000001" customHeight="1" x14ac:dyDescent="0.45">
      <c r="A71" s="1583" t="s">
        <v>217</v>
      </c>
      <c r="B71" s="1584"/>
      <c r="C71" s="1584"/>
      <c r="D71" s="1584"/>
      <c r="E71" s="1584"/>
      <c r="F71" s="1584"/>
      <c r="G71" s="1584"/>
      <c r="H71" s="1584"/>
      <c r="I71" s="1584"/>
      <c r="J71" s="1585"/>
      <c r="K71" s="1067"/>
      <c r="L71" s="961"/>
      <c r="O71" s="988"/>
    </row>
    <row r="72" spans="1:15" ht="20.100000000000001" customHeight="1" x14ac:dyDescent="0.35">
      <c r="A72" s="1563" t="s">
        <v>218</v>
      </c>
      <c r="B72" s="1564"/>
      <c r="C72" s="1565"/>
      <c r="D72" s="981" t="s">
        <v>214</v>
      </c>
      <c r="E72" s="982">
        <f>'[1]25'!F72</f>
        <v>845857</v>
      </c>
      <c r="F72" s="1071">
        <v>845955</v>
      </c>
      <c r="G72" s="983">
        <f t="shared" ref="G72:G84" si="6">F72-E72</f>
        <v>98</v>
      </c>
      <c r="H72" s="984">
        <f>G72+'[1]25'!H72</f>
        <v>1693</v>
      </c>
      <c r="I72" s="1003"/>
      <c r="J72" s="986">
        <f>H72/DAY(B2)</f>
        <v>65.115384615384613</v>
      </c>
      <c r="K72" s="1068"/>
      <c r="L72" s="961"/>
      <c r="O72" s="988"/>
    </row>
    <row r="73" spans="1:15" ht="20.100000000000001" customHeight="1" x14ac:dyDescent="0.35">
      <c r="A73" s="1563" t="s">
        <v>219</v>
      </c>
      <c r="B73" s="1564"/>
      <c r="C73" s="1565"/>
      <c r="D73" s="981" t="s">
        <v>214</v>
      </c>
      <c r="E73" s="982">
        <f>'[1]25'!F73</f>
        <v>885663</v>
      </c>
      <c r="F73" s="1072">
        <v>885666</v>
      </c>
      <c r="G73" s="983">
        <f t="shared" si="6"/>
        <v>3</v>
      </c>
      <c r="H73" s="984">
        <f>G73+'[1]25'!H73</f>
        <v>962</v>
      </c>
      <c r="I73" s="1003"/>
      <c r="J73" s="986">
        <f>H73/DAY(B2)</f>
        <v>37</v>
      </c>
      <c r="K73" s="1067"/>
      <c r="L73" s="961"/>
      <c r="O73" s="988"/>
    </row>
    <row r="74" spans="1:15" ht="20.100000000000001" customHeight="1" x14ac:dyDescent="0.35">
      <c r="A74" s="1563" t="s">
        <v>220</v>
      </c>
      <c r="B74" s="1564"/>
      <c r="C74" s="1565"/>
      <c r="D74" s="981" t="s">
        <v>214</v>
      </c>
      <c r="E74" s="982">
        <f>'[1]25'!F74</f>
        <v>881059</v>
      </c>
      <c r="F74" s="1073">
        <v>881104</v>
      </c>
      <c r="G74" s="983">
        <f t="shared" si="6"/>
        <v>45</v>
      </c>
      <c r="H74" s="984">
        <f>G74+'[1]25'!H74</f>
        <v>877</v>
      </c>
      <c r="I74" s="1003"/>
      <c r="J74" s="986">
        <f>H74/DAY(B2)</f>
        <v>33.730769230769234</v>
      </c>
      <c r="K74" s="1068"/>
      <c r="L74" s="961"/>
      <c r="O74" s="988"/>
    </row>
    <row r="75" spans="1:15" ht="20.100000000000001" customHeight="1" x14ac:dyDescent="0.35">
      <c r="A75" s="1589" t="s">
        <v>221</v>
      </c>
      <c r="B75" s="1590"/>
      <c r="C75" s="1591"/>
      <c r="D75" s="981" t="s">
        <v>214</v>
      </c>
      <c r="E75" s="982">
        <f>'[1]25'!F75</f>
        <v>730593</v>
      </c>
      <c r="F75" s="1073">
        <v>730774</v>
      </c>
      <c r="G75" s="983">
        <f t="shared" si="6"/>
        <v>181</v>
      </c>
      <c r="H75" s="984">
        <f>G75+'[1]25'!H75</f>
        <v>4594</v>
      </c>
      <c r="I75" s="1003"/>
      <c r="J75" s="986">
        <f>H75/DAY(B2)</f>
        <v>176.69230769230768</v>
      </c>
      <c r="K75" s="1067"/>
      <c r="L75" s="961"/>
      <c r="O75" s="988"/>
    </row>
    <row r="76" spans="1:15" ht="20.100000000000001" customHeight="1" x14ac:dyDescent="0.35">
      <c r="A76" s="1589" t="s">
        <v>222</v>
      </c>
      <c r="B76" s="1590"/>
      <c r="C76" s="1591"/>
      <c r="D76" s="981" t="s">
        <v>214</v>
      </c>
      <c r="E76" s="982">
        <f>'[1]25'!F76</f>
        <v>683750</v>
      </c>
      <c r="F76" s="1072">
        <v>683818</v>
      </c>
      <c r="G76" s="983">
        <f t="shared" si="6"/>
        <v>68</v>
      </c>
      <c r="H76" s="984">
        <f>G76+'[1]25'!H76</f>
        <v>3448</v>
      </c>
      <c r="I76" s="1045"/>
      <c r="J76" s="986">
        <f>H76/DAY(B2)</f>
        <v>132.61538461538461</v>
      </c>
      <c r="K76" s="1067"/>
      <c r="L76" s="961"/>
      <c r="O76" s="988"/>
    </row>
    <row r="77" spans="1:15" ht="20.100000000000001" customHeight="1" x14ac:dyDescent="0.35">
      <c r="A77" s="1563" t="s">
        <v>223</v>
      </c>
      <c r="B77" s="1564"/>
      <c r="C77" s="1565"/>
      <c r="D77" s="981" t="s">
        <v>214</v>
      </c>
      <c r="E77" s="982">
        <f>'[1]25'!F77</f>
        <v>695039</v>
      </c>
      <c r="F77" s="1072">
        <v>695108</v>
      </c>
      <c r="G77" s="983">
        <f t="shared" si="6"/>
        <v>69</v>
      </c>
      <c r="H77" s="984">
        <f>G77+'[1]25'!H77</f>
        <v>1388</v>
      </c>
      <c r="I77" s="1045"/>
      <c r="J77" s="986">
        <f>H77/DAY(B2)</f>
        <v>53.384615384615387</v>
      </c>
      <c r="K77" s="1067"/>
      <c r="L77" s="961"/>
      <c r="O77" s="988"/>
    </row>
    <row r="78" spans="1:15" ht="18.75" customHeight="1" x14ac:dyDescent="0.35">
      <c r="A78" s="1074" t="s">
        <v>224</v>
      </c>
      <c r="B78" s="1353"/>
      <c r="C78" s="1353"/>
      <c r="D78" s="981" t="s">
        <v>214</v>
      </c>
      <c r="E78" s="982">
        <f>'[1]25'!F78</f>
        <v>628442</v>
      </c>
      <c r="F78" s="1073">
        <v>628910</v>
      </c>
      <c r="G78" s="983">
        <f t="shared" si="6"/>
        <v>468</v>
      </c>
      <c r="H78" s="984">
        <f>G78+'[1]25'!H78</f>
        <v>10657</v>
      </c>
      <c r="I78" s="1045"/>
      <c r="J78" s="986">
        <f>H78/DAY(B2)</f>
        <v>409.88461538461536</v>
      </c>
      <c r="K78" s="1067"/>
      <c r="L78" s="961"/>
      <c r="O78" s="988"/>
    </row>
    <row r="79" spans="1:15" ht="20.100000000000001" customHeight="1" x14ac:dyDescent="0.35">
      <c r="A79" s="1589" t="s">
        <v>112</v>
      </c>
      <c r="B79" s="1590"/>
      <c r="C79" s="1591"/>
      <c r="D79" s="1015" t="s">
        <v>214</v>
      </c>
      <c r="E79" s="982">
        <f>'[1]25'!F79</f>
        <v>802719</v>
      </c>
      <c r="F79" s="1073">
        <v>802909</v>
      </c>
      <c r="G79" s="983">
        <f t="shared" si="6"/>
        <v>190</v>
      </c>
      <c r="H79" s="984">
        <f>G79+'[1]25'!H79</f>
        <v>7657</v>
      </c>
      <c r="I79" s="1045"/>
      <c r="J79" s="986">
        <f>H79/DAY(B2)</f>
        <v>294.5</v>
      </c>
      <c r="K79" s="1067"/>
      <c r="L79" s="961"/>
      <c r="O79" s="988"/>
    </row>
    <row r="80" spans="1:15" ht="20.100000000000001" customHeight="1" x14ac:dyDescent="0.35">
      <c r="A80" s="1589" t="s">
        <v>225</v>
      </c>
      <c r="B80" s="1590"/>
      <c r="C80" s="1591"/>
      <c r="D80" s="1015" t="s">
        <v>214</v>
      </c>
      <c r="E80" s="982">
        <f>'[1]25'!F80</f>
        <v>473596</v>
      </c>
      <c r="F80" s="1072">
        <v>473959.64</v>
      </c>
      <c r="G80" s="983">
        <f t="shared" si="6"/>
        <v>363.64000000001397</v>
      </c>
      <c r="H80" s="984">
        <f>G80+'[1]25'!H80</f>
        <v>6635.7999999999884</v>
      </c>
      <c r="I80" s="1045"/>
      <c r="J80" s="986">
        <f>H80/DAY(B2)</f>
        <v>255.22307692307646</v>
      </c>
      <c r="K80" s="1067"/>
      <c r="L80" s="961"/>
      <c r="O80" s="988"/>
    </row>
    <row r="81" spans="1:15" ht="20.100000000000001" customHeight="1" x14ac:dyDescent="0.35">
      <c r="A81" s="1589" t="s">
        <v>226</v>
      </c>
      <c r="B81" s="1590"/>
      <c r="C81" s="1591"/>
      <c r="D81" s="1015" t="s">
        <v>214</v>
      </c>
      <c r="E81" s="982">
        <f>'[1]25'!F81</f>
        <v>618439</v>
      </c>
      <c r="F81" s="1072">
        <v>618611.64</v>
      </c>
      <c r="G81" s="983">
        <f t="shared" si="6"/>
        <v>172.64000000001397</v>
      </c>
      <c r="H81" s="984">
        <f>G81+'[1]25'!H81</f>
        <v>4223.1199999999953</v>
      </c>
      <c r="I81" s="1045"/>
      <c r="J81" s="986">
        <f>H81/DAY(B2)</f>
        <v>162.42769230769213</v>
      </c>
      <c r="K81" s="1067"/>
      <c r="L81" s="961"/>
      <c r="O81" s="988"/>
    </row>
    <row r="82" spans="1:15" ht="20.100000000000001" customHeight="1" x14ac:dyDescent="0.35">
      <c r="A82" s="1589" t="s">
        <v>115</v>
      </c>
      <c r="B82" s="1590"/>
      <c r="C82" s="1591"/>
      <c r="D82" s="1016" t="s">
        <v>159</v>
      </c>
      <c r="E82" s="982">
        <f>'[1]25'!F82</f>
        <v>104294</v>
      </c>
      <c r="F82" s="1075">
        <v>104329.47</v>
      </c>
      <c r="G82" s="983">
        <f t="shared" si="6"/>
        <v>35.470000000001164</v>
      </c>
      <c r="H82" s="984">
        <f>G82+'[1]25'!H82</f>
        <v>799.82000000000698</v>
      </c>
      <c r="I82" s="1017"/>
      <c r="J82" s="986">
        <f>H82/DAY(B2)</f>
        <v>30.76230769230796</v>
      </c>
      <c r="K82" s="1067"/>
      <c r="L82" s="961"/>
      <c r="O82" s="988"/>
    </row>
    <row r="83" spans="1:15" ht="20.100000000000001" customHeight="1" x14ac:dyDescent="0.35">
      <c r="A83" s="1589" t="s">
        <v>227</v>
      </c>
      <c r="B83" s="1590"/>
      <c r="C83" s="1591"/>
      <c r="D83" s="1076" t="s">
        <v>159</v>
      </c>
      <c r="E83" s="982">
        <f>'[1]25'!F83</f>
        <v>971376</v>
      </c>
      <c r="F83" s="968">
        <v>971766</v>
      </c>
      <c r="G83" s="983">
        <f t="shared" si="6"/>
        <v>390</v>
      </c>
      <c r="H83" s="984">
        <f>G83+'[1]25'!H83</f>
        <v>9241</v>
      </c>
      <c r="I83" s="1006"/>
      <c r="J83" s="986">
        <f>H83/DAY(B2)</f>
        <v>355.42307692307691</v>
      </c>
      <c r="K83" s="1009"/>
      <c r="L83" s="961"/>
      <c r="O83" s="988"/>
    </row>
    <row r="84" spans="1:15" ht="20.100000000000001" customHeight="1" x14ac:dyDescent="0.35">
      <c r="A84" s="1077" t="s">
        <v>228</v>
      </c>
      <c r="B84" s="1078"/>
      <c r="C84" s="1078"/>
      <c r="D84" s="1000" t="s">
        <v>159</v>
      </c>
      <c r="E84" s="982">
        <f>'[1]25'!F84</f>
        <v>394394</v>
      </c>
      <c r="F84" s="1079">
        <v>394909</v>
      </c>
      <c r="G84" s="983">
        <f t="shared" si="6"/>
        <v>515</v>
      </c>
      <c r="H84" s="984">
        <f>G84+'[1]25'!H84</f>
        <v>13553</v>
      </c>
      <c r="I84" s="1006"/>
      <c r="J84" s="986">
        <f>H84/DAY(B2)</f>
        <v>521.26923076923072</v>
      </c>
      <c r="K84" s="1080"/>
      <c r="L84" s="961"/>
      <c r="O84" s="988"/>
    </row>
    <row r="85" spans="1:15" s="1084" customFormat="1" ht="20.100000000000001" customHeight="1" x14ac:dyDescent="0.35">
      <c r="A85" s="1081" t="s">
        <v>82</v>
      </c>
      <c r="B85" s="1082"/>
      <c r="C85" s="1082"/>
      <c r="D85" s="1021"/>
      <c r="E85" s="982">
        <f>'[1]25'!F85</f>
        <v>0</v>
      </c>
      <c r="F85" s="981"/>
      <c r="G85" s="984">
        <f xml:space="preserve"> SUM(G72:G84)</f>
        <v>2598.7500000000291</v>
      </c>
      <c r="H85" s="984">
        <f>G85+'[1]25'!H85</f>
        <v>61172.26999999996</v>
      </c>
      <c r="I85" s="1006"/>
      <c r="J85" s="986">
        <f>H85/DAY(B2)</f>
        <v>2352.7796153846139</v>
      </c>
      <c r="K85" s="1080"/>
      <c r="L85" s="1083"/>
      <c r="N85" s="1151"/>
      <c r="O85" s="988"/>
    </row>
    <row r="86" spans="1:15" s="1094" customFormat="1" x14ac:dyDescent="0.35">
      <c r="A86" s="1085" t="s">
        <v>117</v>
      </c>
      <c r="B86" s="1086"/>
      <c r="C86" s="1086"/>
      <c r="D86" s="1087" t="s">
        <v>210</v>
      </c>
      <c r="E86" s="982">
        <f>'[1]25'!F86</f>
        <v>443827</v>
      </c>
      <c r="F86" s="1088">
        <v>443944</v>
      </c>
      <c r="G86" s="1089">
        <f t="shared" ref="G86:G90" si="7">F86-E86</f>
        <v>117</v>
      </c>
      <c r="H86" s="1089">
        <f t="shared" ref="H86:H88" si="8">G86</f>
        <v>117</v>
      </c>
      <c r="I86" s="1090"/>
      <c r="J86" s="1091">
        <f>H86/DAY(B2)</f>
        <v>4.5</v>
      </c>
      <c r="K86" s="1092"/>
      <c r="L86" s="1093"/>
      <c r="N86" s="1152"/>
      <c r="O86" s="988"/>
    </row>
    <row r="87" spans="1:15" s="1094" customFormat="1" x14ac:dyDescent="0.35">
      <c r="A87" s="1085" t="s">
        <v>118</v>
      </c>
      <c r="B87" s="1086"/>
      <c r="C87" s="1086"/>
      <c r="D87" s="1087" t="s">
        <v>210</v>
      </c>
      <c r="E87" s="982">
        <f>'[1]25'!F87</f>
        <v>77632</v>
      </c>
      <c r="F87" s="1088">
        <v>77643.199999999997</v>
      </c>
      <c r="G87" s="1089">
        <f t="shared" si="7"/>
        <v>11.19999999999709</v>
      </c>
      <c r="H87" s="1089">
        <f t="shared" si="8"/>
        <v>11.19999999999709</v>
      </c>
      <c r="I87" s="1090"/>
      <c r="J87" s="1091">
        <f>H87/DAY(B2)</f>
        <v>0.43076923076911883</v>
      </c>
      <c r="K87" s="1092"/>
      <c r="L87" s="1093"/>
      <c r="N87" s="1152"/>
      <c r="O87" s="988"/>
    </row>
    <row r="88" spans="1:15" s="1094" customFormat="1" x14ac:dyDescent="0.35">
      <c r="A88" s="1085" t="s">
        <v>119</v>
      </c>
      <c r="B88" s="1086"/>
      <c r="C88" s="1086"/>
      <c r="D88" s="1087" t="s">
        <v>210</v>
      </c>
      <c r="E88" s="982">
        <f>'[1]25'!F88</f>
        <v>144233</v>
      </c>
      <c r="F88" s="1088">
        <v>144292</v>
      </c>
      <c r="G88" s="1089">
        <f t="shared" si="7"/>
        <v>59</v>
      </c>
      <c r="H88" s="1089">
        <f t="shared" si="8"/>
        <v>59</v>
      </c>
      <c r="I88" s="1090"/>
      <c r="J88" s="1091">
        <f>H88/DAY(B2)</f>
        <v>2.2692307692307692</v>
      </c>
      <c r="K88" s="1092"/>
      <c r="L88" s="1093"/>
      <c r="N88" s="1152"/>
      <c r="O88" s="988"/>
    </row>
    <row r="89" spans="1:15" s="1094" customFormat="1" x14ac:dyDescent="0.35">
      <c r="A89" s="1085" t="s">
        <v>230</v>
      </c>
      <c r="B89" s="1086"/>
      <c r="C89" s="1086"/>
      <c r="D89" s="1087" t="s">
        <v>210</v>
      </c>
      <c r="E89" s="982">
        <f>'[1]25'!F89</f>
        <v>57280</v>
      </c>
      <c r="F89" s="1088">
        <v>57342</v>
      </c>
      <c r="G89" s="1089">
        <f t="shared" si="7"/>
        <v>62</v>
      </c>
      <c r="H89" s="1089">
        <f>G89</f>
        <v>62</v>
      </c>
      <c r="I89" s="1090"/>
      <c r="J89" s="1091">
        <f>H89/DAY(B2)</f>
        <v>2.3846153846153846</v>
      </c>
      <c r="K89" s="1092"/>
      <c r="L89" s="1093"/>
      <c r="N89" s="1158"/>
      <c r="O89" s="988"/>
    </row>
    <row r="90" spans="1:15" s="1094" customFormat="1" x14ac:dyDescent="0.35">
      <c r="A90" s="1085" t="s">
        <v>230</v>
      </c>
      <c r="B90" s="1086"/>
      <c r="C90" s="1086"/>
      <c r="D90" s="1087" t="s">
        <v>210</v>
      </c>
      <c r="E90" s="982">
        <f>'[1]25'!F90</f>
        <v>2970</v>
      </c>
      <c r="F90" s="1088">
        <v>2971.2</v>
      </c>
      <c r="G90" s="1089">
        <f t="shared" si="7"/>
        <v>1.1999999999998181</v>
      </c>
      <c r="H90" s="1089">
        <f>G90</f>
        <v>1.1999999999998181</v>
      </c>
      <c r="I90" s="1090"/>
      <c r="J90" s="1091">
        <f>H90/DAY(B2)</f>
        <v>4.6153846153839155E-2</v>
      </c>
      <c r="K90" s="1092"/>
      <c r="L90" s="1093"/>
      <c r="N90" s="1153"/>
      <c r="O90" s="988"/>
    </row>
    <row r="91" spans="1:15" s="1084" customFormat="1" ht="20.100000000000001" customHeight="1" x14ac:dyDescent="0.35">
      <c r="A91" s="1095" t="s">
        <v>231</v>
      </c>
      <c r="B91" s="976"/>
      <c r="C91" s="976"/>
      <c r="D91" s="976"/>
      <c r="E91" s="976"/>
      <c r="F91" s="976"/>
      <c r="G91" s="1020"/>
      <c r="H91" s="976"/>
      <c r="I91" s="976"/>
      <c r="J91" s="977"/>
      <c r="K91" s="1080"/>
      <c r="L91" s="1083"/>
      <c r="N91" s="1151"/>
      <c r="O91" s="988"/>
    </row>
    <row r="92" spans="1:15" ht="20.100000000000001" customHeight="1" x14ac:dyDescent="0.35">
      <c r="A92" s="1566" t="s">
        <v>233</v>
      </c>
      <c r="B92" s="1567"/>
      <c r="C92" s="1568"/>
      <c r="D92" s="981" t="s">
        <v>171</v>
      </c>
      <c r="E92" s="982">
        <f>'[1]25'!F92</f>
        <v>233314</v>
      </c>
      <c r="F92" s="1012">
        <v>233478</v>
      </c>
      <c r="G92" s="983">
        <f t="shared" ref="G92:G93" si="9">F92-E92</f>
        <v>164</v>
      </c>
      <c r="H92" s="984">
        <f>G92+'[1]25'!H92</f>
        <v>2503</v>
      </c>
      <c r="I92" s="1003"/>
      <c r="J92" s="986">
        <f>H92/DAY(B2)</f>
        <v>96.269230769230774</v>
      </c>
      <c r="K92" s="1009"/>
      <c r="L92" s="961"/>
      <c r="O92" s="988"/>
    </row>
    <row r="93" spans="1:15" ht="20.100000000000001" customHeight="1" x14ac:dyDescent="0.35">
      <c r="A93" s="1566" t="s">
        <v>234</v>
      </c>
      <c r="B93" s="1567"/>
      <c r="C93" s="1568"/>
      <c r="D93" s="981" t="s">
        <v>171</v>
      </c>
      <c r="E93" s="982">
        <f>'[1]25'!F93</f>
        <v>166106</v>
      </c>
      <c r="F93" s="1012">
        <v>166264</v>
      </c>
      <c r="G93" s="983">
        <f t="shared" si="9"/>
        <v>158</v>
      </c>
      <c r="H93" s="984">
        <f>G93+'[1]25'!H93</f>
        <v>3622</v>
      </c>
      <c r="I93" s="1003"/>
      <c r="J93" s="986">
        <f>H93/DAY(B2)</f>
        <v>139.30769230769232</v>
      </c>
      <c r="K93" s="1080"/>
      <c r="L93" s="961"/>
      <c r="O93" s="988"/>
    </row>
    <row r="94" spans="1:15" ht="20.100000000000001" customHeight="1" x14ac:dyDescent="0.35">
      <c r="A94" s="1592" t="s">
        <v>235</v>
      </c>
      <c r="B94" s="1593"/>
      <c r="C94" s="1594"/>
      <c r="D94" s="981"/>
      <c r="E94" s="982">
        <f>'[1]25'!F94</f>
        <v>0</v>
      </c>
      <c r="F94" s="1012"/>
      <c r="G94" s="983">
        <f>G92+G93</f>
        <v>322</v>
      </c>
      <c r="H94" s="984">
        <f>G94+'[1]25'!H94</f>
        <v>5862</v>
      </c>
      <c r="I94" s="1003"/>
      <c r="J94" s="986">
        <f>H94/DAY(B2)</f>
        <v>225.46153846153845</v>
      </c>
      <c r="K94" s="1080"/>
      <c r="L94" s="961"/>
      <c r="O94" s="988"/>
    </row>
    <row r="95" spans="1:15" ht="20.100000000000001" customHeight="1" x14ac:dyDescent="0.35">
      <c r="A95" s="1566" t="s">
        <v>236</v>
      </c>
      <c r="B95" s="1567"/>
      <c r="C95" s="1568"/>
      <c r="D95" s="981" t="s">
        <v>171</v>
      </c>
      <c r="E95" s="982">
        <f>'[1]25'!F95</f>
        <v>403206</v>
      </c>
      <c r="F95" s="1012">
        <v>403299</v>
      </c>
      <c r="G95" s="983">
        <f t="shared" ref="G95:G100" si="10">F95-E95</f>
        <v>93</v>
      </c>
      <c r="H95" s="984">
        <f>G95+'[1]25'!H95</f>
        <v>1734</v>
      </c>
      <c r="I95" s="1003"/>
      <c r="J95" s="986">
        <f>H95/DAY(B2)</f>
        <v>66.692307692307693</v>
      </c>
      <c r="K95" s="1080"/>
      <c r="L95" s="961"/>
      <c r="O95" s="988"/>
    </row>
    <row r="96" spans="1:15" ht="20.100000000000001" customHeight="1" x14ac:dyDescent="0.35">
      <c r="A96" s="1010" t="s">
        <v>237</v>
      </c>
      <c r="B96" s="1011"/>
      <c r="C96" s="1011"/>
      <c r="D96" s="981" t="s">
        <v>171</v>
      </c>
      <c r="E96" s="982">
        <f>'[1]25'!F96</f>
        <v>99781</v>
      </c>
      <c r="F96" s="1012">
        <v>99817</v>
      </c>
      <c r="G96" s="983">
        <f t="shared" si="10"/>
        <v>36</v>
      </c>
      <c r="H96" s="984">
        <f>G96+'[1]25'!H96</f>
        <v>706</v>
      </c>
      <c r="I96" s="1003"/>
      <c r="J96" s="986">
        <f>H96/DAY(B2)</f>
        <v>27.153846153846153</v>
      </c>
      <c r="K96" s="978"/>
      <c r="L96" s="961"/>
      <c r="O96" s="988"/>
    </row>
    <row r="97" spans="1:15" ht="20.100000000000001" customHeight="1" x14ac:dyDescent="0.35">
      <c r="A97" s="1010" t="s">
        <v>238</v>
      </c>
      <c r="B97" s="1011"/>
      <c r="C97" s="1011"/>
      <c r="D97" s="981" t="s">
        <v>171</v>
      </c>
      <c r="E97" s="982">
        <f>'[1]25'!F97</f>
        <v>94881</v>
      </c>
      <c r="F97" s="1012">
        <v>94926</v>
      </c>
      <c r="G97" s="983">
        <f t="shared" si="10"/>
        <v>45</v>
      </c>
      <c r="H97" s="984">
        <f>G97+'[1]25'!H97</f>
        <v>654</v>
      </c>
      <c r="I97" s="1003"/>
      <c r="J97" s="986">
        <f>H97/DAY(B2)</f>
        <v>25.153846153846153</v>
      </c>
      <c r="K97" s="1096"/>
      <c r="L97" s="961"/>
      <c r="O97" s="988"/>
    </row>
    <row r="98" spans="1:15" ht="20.100000000000001" customHeight="1" x14ac:dyDescent="0.35">
      <c r="A98" s="1010" t="s">
        <v>239</v>
      </c>
      <c r="B98" s="1011"/>
      <c r="C98" s="1011"/>
      <c r="D98" s="981" t="s">
        <v>171</v>
      </c>
      <c r="E98" s="982">
        <f>'[1]25'!F98</f>
        <v>143489</v>
      </c>
      <c r="F98" s="1012">
        <v>143543</v>
      </c>
      <c r="G98" s="983">
        <f t="shared" si="10"/>
        <v>54</v>
      </c>
      <c r="H98" s="984">
        <f>G98+'[1]25'!H98</f>
        <v>1397</v>
      </c>
      <c r="I98" s="1003"/>
      <c r="J98" s="986">
        <f>H98/DAY(B2)</f>
        <v>53.730769230769234</v>
      </c>
      <c r="K98" s="1080"/>
      <c r="L98" s="961"/>
      <c r="O98" s="988"/>
    </row>
    <row r="99" spans="1:15" ht="20.100000000000001" customHeight="1" x14ac:dyDescent="0.35">
      <c r="A99" s="1010" t="s">
        <v>240</v>
      </c>
      <c r="B99" s="1011"/>
      <c r="C99" s="1011"/>
      <c r="D99" s="981" t="s">
        <v>171</v>
      </c>
      <c r="E99" s="982">
        <f>'[1]25'!F99</f>
        <v>5418</v>
      </c>
      <c r="F99" s="1012">
        <v>5454</v>
      </c>
      <c r="G99" s="983">
        <f t="shared" si="10"/>
        <v>36</v>
      </c>
      <c r="H99" s="984">
        <f>G99+'[1]25'!H99</f>
        <v>486</v>
      </c>
      <c r="I99" s="1003"/>
      <c r="J99" s="986">
        <f>H99/DAY(B2)</f>
        <v>18.692307692307693</v>
      </c>
      <c r="K99" s="1080"/>
      <c r="L99" s="961"/>
      <c r="O99" s="988"/>
    </row>
    <row r="100" spans="1:15" ht="20.100000000000001" customHeight="1" x14ac:dyDescent="0.35">
      <c r="A100" s="1010" t="s">
        <v>241</v>
      </c>
      <c r="B100" s="1011"/>
      <c r="C100" s="1011"/>
      <c r="D100" s="981" t="s">
        <v>171</v>
      </c>
      <c r="E100" s="982">
        <f>'[1]25'!F100</f>
        <v>3888</v>
      </c>
      <c r="F100" s="1012">
        <v>3902</v>
      </c>
      <c r="G100" s="983">
        <f t="shared" si="10"/>
        <v>14</v>
      </c>
      <c r="H100" s="984">
        <f>G100+'[1]25'!H100</f>
        <v>106</v>
      </c>
      <c r="I100" s="1003"/>
      <c r="J100" s="986">
        <f>H100/DAY(B2)</f>
        <v>4.0769230769230766</v>
      </c>
      <c r="K100" s="1080"/>
      <c r="L100" s="961"/>
      <c r="O100" s="988"/>
    </row>
    <row r="101" spans="1:15" ht="20.100000000000001" customHeight="1" x14ac:dyDescent="0.35">
      <c r="A101" s="1592" t="s">
        <v>242</v>
      </c>
      <c r="B101" s="1593"/>
      <c r="C101" s="1594"/>
      <c r="D101" s="1015"/>
      <c r="E101" s="1015"/>
      <c r="F101" s="1015"/>
      <c r="G101" s="1097">
        <f>SUM(G95:G100)</f>
        <v>278</v>
      </c>
      <c r="H101" s="984">
        <f>G101+'[1]25'!H101</f>
        <v>5083</v>
      </c>
      <c r="I101" s="1098"/>
      <c r="J101" s="986">
        <f>H101/DAY(B2)</f>
        <v>195.5</v>
      </c>
      <c r="K101" s="1080"/>
      <c r="L101" s="961"/>
      <c r="O101" s="988"/>
    </row>
    <row r="102" spans="1:15" s="1033" customFormat="1" ht="25.5" customHeight="1" x14ac:dyDescent="0.25">
      <c r="A102" s="1099" t="s">
        <v>243</v>
      </c>
      <c r="B102" s="1100"/>
      <c r="C102" s="1100"/>
      <c r="D102" s="1101"/>
      <c r="E102" s="1102"/>
      <c r="F102" s="1103"/>
      <c r="G102" s="1104"/>
      <c r="H102" s="1105"/>
      <c r="I102" s="1106"/>
      <c r="J102" s="1107"/>
      <c r="N102" s="1149"/>
      <c r="O102" s="988"/>
    </row>
    <row r="103" spans="1:15" s="1033" customFormat="1" ht="21.75" customHeight="1" x14ac:dyDescent="0.35">
      <c r="A103" s="1600" t="s">
        <v>244</v>
      </c>
      <c r="B103" s="1601"/>
      <c r="C103" s="1108"/>
      <c r="D103" s="1109"/>
      <c r="E103" s="1110"/>
      <c r="F103" s="1110"/>
      <c r="G103" s="1110"/>
      <c r="H103" s="1111"/>
      <c r="I103" s="1110"/>
      <c r="J103" s="1112"/>
      <c r="N103" s="1149"/>
      <c r="O103" s="988"/>
    </row>
    <row r="104" spans="1:15" s="1033" customFormat="1" ht="21.75" customHeight="1" x14ac:dyDescent="0.35">
      <c r="A104" s="1602" t="s">
        <v>245</v>
      </c>
      <c r="B104" s="1603"/>
      <c r="C104" s="1113"/>
      <c r="D104" s="1109" t="s">
        <v>171</v>
      </c>
      <c r="E104" s="1110">
        <f>'[1]25'!F104</f>
        <v>7010</v>
      </c>
      <c r="F104" s="1110">
        <v>7010</v>
      </c>
      <c r="G104" s="1110">
        <f>F104-E104</f>
        <v>0</v>
      </c>
      <c r="H104" s="1111">
        <f>SUM(G104+'[1]1'!G76)</f>
        <v>57</v>
      </c>
      <c r="I104" s="1110"/>
      <c r="J104" s="1112">
        <f>H104/DAY(B2)</f>
        <v>2.1923076923076925</v>
      </c>
      <c r="N104" s="1149"/>
      <c r="O104" s="988"/>
    </row>
    <row r="105" spans="1:15" s="1033" customFormat="1" ht="21.75" customHeight="1" x14ac:dyDescent="0.35">
      <c r="A105" s="1602" t="s">
        <v>92</v>
      </c>
      <c r="B105" s="1603"/>
      <c r="C105" s="1113"/>
      <c r="D105" s="1109" t="s">
        <v>171</v>
      </c>
      <c r="E105" s="1110">
        <f>'[1]25'!F105</f>
        <v>34864</v>
      </c>
      <c r="F105" s="1114">
        <v>34874</v>
      </c>
      <c r="G105" s="1110">
        <f t="shared" ref="G105:G106" si="11">F105-E105</f>
        <v>10</v>
      </c>
      <c r="H105" s="1111">
        <f>SUM(G105+'[1]1'!G77)</f>
        <v>65</v>
      </c>
      <c r="I105" s="1110"/>
      <c r="J105" s="1112">
        <f>H105/DAY(B2)</f>
        <v>2.5</v>
      </c>
      <c r="N105" s="1149"/>
      <c r="O105" s="988"/>
    </row>
    <row r="106" spans="1:15" s="1033" customFormat="1" ht="21.75" customHeight="1" x14ac:dyDescent="0.35">
      <c r="A106" s="1602" t="s">
        <v>93</v>
      </c>
      <c r="B106" s="1604"/>
      <c r="C106" s="1603"/>
      <c r="D106" s="1109" t="s">
        <v>171</v>
      </c>
      <c r="E106" s="1110">
        <f>'[1]25'!F106</f>
        <v>18856</v>
      </c>
      <c r="F106" s="1110">
        <v>18863</v>
      </c>
      <c r="G106" s="1110">
        <f t="shared" si="11"/>
        <v>7</v>
      </c>
      <c r="H106" s="1111">
        <f>SUM(G106+'[1]1'!G78)</f>
        <v>487</v>
      </c>
      <c r="I106" s="1110"/>
      <c r="J106" s="1112">
        <f>H106/DAY(B2)</f>
        <v>18.73076923076923</v>
      </c>
      <c r="N106" s="1149"/>
      <c r="O106" s="988"/>
    </row>
    <row r="107" spans="1:15" s="1033" customFormat="1" ht="21.75" customHeight="1" x14ac:dyDescent="0.35">
      <c r="A107" s="1605" t="s">
        <v>82</v>
      </c>
      <c r="B107" s="1606"/>
      <c r="C107" s="1113"/>
      <c r="D107" s="1109"/>
      <c r="E107" s="1110">
        <f>'[1]25'!F107</f>
        <v>0</v>
      </c>
      <c r="F107" s="1110"/>
      <c r="G107" s="1110">
        <f>SUM(G104:G106)</f>
        <v>17</v>
      </c>
      <c r="H107" s="1111">
        <f>SUM(G107+'[1]1'!G79)</f>
        <v>218</v>
      </c>
      <c r="I107" s="1110"/>
      <c r="J107" s="1112">
        <f>H107/DAY(B2)</f>
        <v>8.384615384615385</v>
      </c>
      <c r="N107" s="1149"/>
      <c r="O107" s="988"/>
    </row>
    <row r="108" spans="1:15" s="1033" customFormat="1" ht="21.75" customHeight="1" x14ac:dyDescent="0.35">
      <c r="A108" s="1607" t="s">
        <v>94</v>
      </c>
      <c r="B108" s="1608"/>
      <c r="C108" s="1113"/>
      <c r="D108" s="1109" t="s">
        <v>171</v>
      </c>
      <c r="E108" s="1110">
        <f>'[1]25'!F108</f>
        <v>0</v>
      </c>
      <c r="F108" s="1110"/>
      <c r="G108" s="1110"/>
      <c r="H108" s="1111"/>
      <c r="I108" s="1110"/>
      <c r="J108" s="1112"/>
      <c r="N108" s="1149"/>
      <c r="O108" s="988"/>
    </row>
    <row r="109" spans="1:15" s="1033" customFormat="1" ht="21.75" customHeight="1" x14ac:dyDescent="0.35">
      <c r="A109" s="1602" t="s">
        <v>246</v>
      </c>
      <c r="B109" s="1603"/>
      <c r="C109" s="1113"/>
      <c r="D109" s="1109" t="s">
        <v>171</v>
      </c>
      <c r="E109" s="1110">
        <f>'[1]25'!F109</f>
        <v>52689</v>
      </c>
      <c r="F109" s="1110">
        <v>52781</v>
      </c>
      <c r="G109" s="1110">
        <f>F109-E109</f>
        <v>92</v>
      </c>
      <c r="H109" s="1111">
        <f>SUM(G109+'[1]1'!G81)</f>
        <v>245.28000000002794</v>
      </c>
      <c r="I109" s="1110"/>
      <c r="J109" s="1112">
        <f>H109/DAY(B2)</f>
        <v>9.4338461538472291</v>
      </c>
      <c r="N109" s="1149"/>
      <c r="O109" s="988"/>
    </row>
    <row r="110" spans="1:15" s="1033" customFormat="1" ht="21.75" customHeight="1" x14ac:dyDescent="0.35">
      <c r="A110" s="1602" t="s">
        <v>247</v>
      </c>
      <c r="B110" s="1603"/>
      <c r="C110" s="1113"/>
      <c r="D110" s="1109" t="s">
        <v>171</v>
      </c>
      <c r="E110" s="1110">
        <f>'[1]25'!F110</f>
        <v>26614</v>
      </c>
      <c r="F110" s="1110">
        <v>26662</v>
      </c>
      <c r="G110" s="1110">
        <f t="shared" ref="G110:G111" si="12">F110-E110</f>
        <v>48</v>
      </c>
      <c r="H110" s="1111">
        <f>SUM(G110+'[1]1'!G82)</f>
        <v>68.760000000009313</v>
      </c>
      <c r="I110" s="1110"/>
      <c r="J110" s="1112">
        <f>H110/DAY(B2)</f>
        <v>2.6446153846157427</v>
      </c>
      <c r="N110" s="1149"/>
      <c r="O110" s="988"/>
    </row>
    <row r="111" spans="1:15" s="1033" customFormat="1" ht="21.75" customHeight="1" x14ac:dyDescent="0.35">
      <c r="A111" s="1602" t="s">
        <v>248</v>
      </c>
      <c r="B111" s="1603"/>
      <c r="C111" s="1113"/>
      <c r="D111" s="1109" t="s">
        <v>171</v>
      </c>
      <c r="E111" s="1110">
        <f>'[1]25'!F111</f>
        <v>3524</v>
      </c>
      <c r="F111" s="1110">
        <v>3540</v>
      </c>
      <c r="G111" s="1110">
        <f t="shared" si="12"/>
        <v>16</v>
      </c>
      <c r="H111" s="1111">
        <f>SUM(G111+'[1]1'!G83)</f>
        <v>362</v>
      </c>
      <c r="I111" s="1110"/>
      <c r="J111" s="1112">
        <f>H111/DAY(B2)</f>
        <v>13.923076923076923</v>
      </c>
      <c r="N111" s="1149"/>
      <c r="O111" s="988"/>
    </row>
    <row r="112" spans="1:15" s="1033" customFormat="1" ht="21.75" customHeight="1" x14ac:dyDescent="0.35">
      <c r="A112" s="1612" t="s">
        <v>136</v>
      </c>
      <c r="B112" s="1613"/>
      <c r="C112" s="1113"/>
      <c r="D112" s="1109"/>
      <c r="E112" s="1110">
        <f>'[1]25'!F112</f>
        <v>0</v>
      </c>
      <c r="F112" s="1110"/>
      <c r="G112" s="1110">
        <f>SUM(G109:G111)</f>
        <v>156</v>
      </c>
      <c r="H112" s="1111">
        <f>SUM(G112+'[1]1'!G84)</f>
        <v>720</v>
      </c>
      <c r="I112" s="1110"/>
      <c r="J112" s="1112">
        <f>H112/DAY(B2)</f>
        <v>27.692307692307693</v>
      </c>
      <c r="N112" s="1149"/>
      <c r="O112" s="988"/>
    </row>
    <row r="113" spans="1:15" s="1033" customFormat="1" ht="21.75" customHeight="1" x14ac:dyDescent="0.35">
      <c r="A113" s="1607" t="s">
        <v>249</v>
      </c>
      <c r="B113" s="1608"/>
      <c r="C113" s="1113"/>
      <c r="D113" s="1109"/>
      <c r="E113" s="1110">
        <f>'[1]25'!F113</f>
        <v>0</v>
      </c>
      <c r="F113" s="1110"/>
      <c r="G113" s="1110"/>
      <c r="H113" s="1111"/>
      <c r="I113" s="1110"/>
      <c r="J113" s="1112">
        <f>H113/DAY(B2)</f>
        <v>0</v>
      </c>
      <c r="N113" s="1149"/>
      <c r="O113" s="988"/>
    </row>
    <row r="114" spans="1:15" s="1033" customFormat="1" ht="21.75" customHeight="1" x14ac:dyDescent="0.35">
      <c r="A114" s="1602" t="s">
        <v>250</v>
      </c>
      <c r="B114" s="1603"/>
      <c r="C114" s="1115"/>
      <c r="D114" s="1109" t="s">
        <v>171</v>
      </c>
      <c r="E114" s="1110">
        <f>'[1]25'!F114</f>
        <v>9138</v>
      </c>
      <c r="F114" s="1114">
        <v>9179</v>
      </c>
      <c r="G114" s="1114">
        <f>F114-E114</f>
        <v>41</v>
      </c>
      <c r="H114" s="1111">
        <f>SUM(G114+'[1]1'!G91)</f>
        <v>41</v>
      </c>
      <c r="I114" s="1110"/>
      <c r="J114" s="1112">
        <f>H114/DAY(B2)</f>
        <v>1.5769230769230769</v>
      </c>
      <c r="N114" s="1149"/>
      <c r="O114" s="988"/>
    </row>
    <row r="115" spans="1:15" s="1033" customFormat="1" ht="21.75" customHeight="1" x14ac:dyDescent="0.35">
      <c r="A115" s="1602" t="s">
        <v>251</v>
      </c>
      <c r="B115" s="1603"/>
      <c r="C115" s="1115"/>
      <c r="D115" s="1109" t="s">
        <v>171</v>
      </c>
      <c r="E115" s="1110">
        <f>'[1]25'!F115</f>
        <v>7122</v>
      </c>
      <c r="F115" s="1114">
        <v>7134</v>
      </c>
      <c r="G115" s="1114">
        <f t="shared" ref="G115:G116" si="13">F115-E115</f>
        <v>12</v>
      </c>
      <c r="H115" s="1111">
        <f>SUM(G115+'[1]1'!G92)</f>
        <v>124</v>
      </c>
      <c r="I115" s="1110"/>
      <c r="J115" s="1112">
        <f>H115/DAY(B2)</f>
        <v>4.7692307692307692</v>
      </c>
      <c r="N115" s="1149"/>
      <c r="O115" s="988"/>
    </row>
    <row r="116" spans="1:15" s="1033" customFormat="1" ht="21.75" customHeight="1" x14ac:dyDescent="0.35">
      <c r="A116" s="1602" t="s">
        <v>252</v>
      </c>
      <c r="B116" s="1603"/>
      <c r="C116" s="1115"/>
      <c r="D116" s="1109" t="s">
        <v>171</v>
      </c>
      <c r="E116" s="1114"/>
      <c r="F116" s="1114"/>
      <c r="G116" s="1114">
        <f t="shared" si="13"/>
        <v>0</v>
      </c>
      <c r="H116" s="1111">
        <f>SUM(G116+'[1]1'!G93)</f>
        <v>151</v>
      </c>
      <c r="I116" s="1110"/>
      <c r="J116" s="1112">
        <f>H116/DAY(B2)</f>
        <v>5.8076923076923075</v>
      </c>
      <c r="N116" s="1149"/>
      <c r="O116" s="988"/>
    </row>
    <row r="117" spans="1:15" s="1117" customFormat="1" x14ac:dyDescent="0.35">
      <c r="A117" s="1605" t="s">
        <v>82</v>
      </c>
      <c r="B117" s="1606"/>
      <c r="C117" s="1115"/>
      <c r="D117" s="1116"/>
      <c r="E117" s="1114"/>
      <c r="F117" s="1114"/>
      <c r="G117" s="1114">
        <f>SUM(G114:G116)</f>
        <v>53</v>
      </c>
      <c r="H117" s="1111">
        <f>SUM(G117+'[1]1'!G95)</f>
        <v>100</v>
      </c>
      <c r="I117" s="1114"/>
      <c r="J117" s="1112">
        <f>H117/DAY(B2)</f>
        <v>3.8461538461538463</v>
      </c>
      <c r="N117" s="1154"/>
      <c r="O117" s="988"/>
    </row>
    <row r="118" spans="1:15" s="907" customFormat="1" x14ac:dyDescent="0.35">
      <c r="A118" s="1616" t="s">
        <v>253</v>
      </c>
      <c r="B118" s="1617"/>
      <c r="C118" s="1118"/>
      <c r="D118" s="1119" t="s">
        <v>171</v>
      </c>
      <c r="E118" s="1120"/>
      <c r="F118" s="1121">
        <f>SUM(G19+G92)</f>
        <v>219</v>
      </c>
      <c r="G118" s="1121">
        <f>SUM(G19+G92)</f>
        <v>219</v>
      </c>
      <c r="H118" s="1111">
        <f>SUM(G118+'[1]1'!G96)</f>
        <v>252</v>
      </c>
      <c r="I118" s="1120"/>
      <c r="J118" s="1122">
        <f>H118/DAY(B2)</f>
        <v>9.6923076923076916</v>
      </c>
      <c r="N118" s="1155"/>
      <c r="O118" s="988"/>
    </row>
    <row r="119" spans="1:15" s="907" customFormat="1" x14ac:dyDescent="0.35">
      <c r="A119" s="1616" t="s">
        <v>254</v>
      </c>
      <c r="B119" s="1617"/>
      <c r="C119" s="1118"/>
      <c r="D119" s="1119" t="s">
        <v>171</v>
      </c>
      <c r="E119" s="1120"/>
      <c r="F119" s="1121">
        <f>SUM(G95,G96,G97,G99,G100)</f>
        <v>224</v>
      </c>
      <c r="G119" s="1121">
        <f>SUM(G95,G96,G97,G99,G100)</f>
        <v>224</v>
      </c>
      <c r="H119" s="1111">
        <f>SUM(G119+'[1]1'!G98)</f>
        <v>291</v>
      </c>
      <c r="I119" s="1120"/>
      <c r="J119" s="1122">
        <f>H119/DAY(B2)</f>
        <v>11.192307692307692</v>
      </c>
      <c r="N119" s="1155"/>
      <c r="O119" s="988"/>
    </row>
    <row r="120" spans="1:15" s="907" customFormat="1" x14ac:dyDescent="0.35">
      <c r="A120" s="1616" t="s">
        <v>255</v>
      </c>
      <c r="B120" s="1617"/>
      <c r="C120" s="1118"/>
      <c r="D120" s="1119" t="s">
        <v>171</v>
      </c>
      <c r="E120" s="1120"/>
      <c r="F120" s="1114">
        <f>SUM(G112)</f>
        <v>156</v>
      </c>
      <c r="G120" s="1114">
        <f>SUM(G112)</f>
        <v>156</v>
      </c>
      <c r="H120" s="1111">
        <f>SUM(G120+'[1]1'!G100)</f>
        <v>156</v>
      </c>
      <c r="I120" s="1120"/>
      <c r="J120" s="1122">
        <f>H120/DAY(B2)</f>
        <v>6</v>
      </c>
      <c r="N120" s="1155"/>
      <c r="O120" s="988"/>
    </row>
    <row r="121" spans="1:15" s="1033" customFormat="1" ht="18.75" customHeight="1" x14ac:dyDescent="0.35">
      <c r="A121" s="1614"/>
      <c r="B121" s="1615"/>
      <c r="C121" s="1113"/>
      <c r="D121" s="1108"/>
      <c r="E121" s="1108"/>
      <c r="F121" s="1108" t="s">
        <v>143</v>
      </c>
      <c r="G121" s="1108"/>
      <c r="H121" s="1123"/>
      <c r="I121" s="1108"/>
      <c r="J121" s="1124"/>
      <c r="N121" s="1149"/>
      <c r="O121" s="988"/>
    </row>
    <row r="122" spans="1:15" ht="20.100000000000001" customHeight="1" x14ac:dyDescent="0.35">
      <c r="A122" s="1595" t="s">
        <v>256</v>
      </c>
      <c r="B122" s="1596"/>
      <c r="C122" s="1597"/>
      <c r="D122" s="976"/>
      <c r="E122" s="976"/>
      <c r="F122" s="976"/>
      <c r="G122" s="1008"/>
      <c r="H122" s="1008"/>
      <c r="I122" s="1008"/>
      <c r="J122" s="1125"/>
      <c r="K122" s="1080"/>
      <c r="L122" s="961"/>
      <c r="O122" s="988"/>
    </row>
    <row r="123" spans="1:15" ht="22.5" customHeight="1" x14ac:dyDescent="0.35">
      <c r="A123" s="1010" t="s">
        <v>257</v>
      </c>
      <c r="B123" s="1011"/>
      <c r="C123" s="1011"/>
      <c r="D123" s="981" t="s">
        <v>168</v>
      </c>
      <c r="E123" s="982">
        <f>'[1]25'!F123</f>
        <v>794012.08</v>
      </c>
      <c r="F123" s="1000">
        <v>794237.7</v>
      </c>
      <c r="G123" s="983">
        <f t="shared" ref="G123:G127" si="14">F123-E123</f>
        <v>225.61999999999534</v>
      </c>
      <c r="H123" s="984">
        <f>G123+'[1]25'!H123</f>
        <v>5406.6300000000047</v>
      </c>
      <c r="I123" s="1098"/>
      <c r="J123" s="986">
        <f>H123/DAY(B2)</f>
        <v>207.94730769230787</v>
      </c>
      <c r="K123" s="1080"/>
      <c r="L123" s="961"/>
      <c r="O123" s="988"/>
    </row>
    <row r="124" spans="1:15" ht="22.5" customHeight="1" x14ac:dyDescent="0.35">
      <c r="A124" s="1010" t="s">
        <v>258</v>
      </c>
      <c r="B124" s="1011"/>
      <c r="C124" s="1011"/>
      <c r="D124" s="981" t="s">
        <v>168</v>
      </c>
      <c r="E124" s="1018">
        <f>'[1]25'!F124</f>
        <v>73581.899999999994</v>
      </c>
      <c r="F124" s="1126">
        <v>73582.2</v>
      </c>
      <c r="G124" s="983">
        <f t="shared" si="14"/>
        <v>0.30000000000291038</v>
      </c>
      <c r="H124" s="984">
        <f>G124+'[1]25'!H124</f>
        <v>0</v>
      </c>
      <c r="I124" s="1098"/>
      <c r="J124" s="986">
        <f>H124/DAY(B2)</f>
        <v>0</v>
      </c>
      <c r="K124" s="1080"/>
      <c r="L124" s="961"/>
      <c r="O124" s="988"/>
    </row>
    <row r="125" spans="1:15" ht="22.5" customHeight="1" x14ac:dyDescent="0.35">
      <c r="A125" s="1563" t="s">
        <v>259</v>
      </c>
      <c r="B125" s="1564"/>
      <c r="C125" s="1565"/>
      <c r="D125" s="981" t="s">
        <v>168</v>
      </c>
      <c r="E125" s="982">
        <f>'[1]25'!F125</f>
        <v>135151.66</v>
      </c>
      <c r="F125" s="1016">
        <v>135241.01999999999</v>
      </c>
      <c r="G125" s="983">
        <f t="shared" si="14"/>
        <v>89.35999999998603</v>
      </c>
      <c r="H125" s="984">
        <f>G125+'[1]25'!H125</f>
        <v>2118.1399999999849</v>
      </c>
      <c r="I125" s="1098"/>
      <c r="J125" s="986">
        <f>H125/DAY(B2)</f>
        <v>81.466923076922498</v>
      </c>
      <c r="K125" s="1080"/>
      <c r="L125" s="961"/>
      <c r="O125" s="988"/>
    </row>
    <row r="126" spans="1:15" ht="20.100000000000001" customHeight="1" x14ac:dyDescent="0.35">
      <c r="A126" s="1127" t="s">
        <v>260</v>
      </c>
      <c r="B126" s="1011"/>
      <c r="C126" s="1011"/>
      <c r="D126" s="981" t="s">
        <v>168</v>
      </c>
      <c r="E126" s="982">
        <f>'[1]25'!F126</f>
        <v>57180.3</v>
      </c>
      <c r="F126" s="1016">
        <v>57217.7</v>
      </c>
      <c r="G126" s="983">
        <f t="shared" si="14"/>
        <v>37.399999999994179</v>
      </c>
      <c r="H126" s="984">
        <f>G126+'[1]25'!H126</f>
        <v>869.5</v>
      </c>
      <c r="I126" s="1098"/>
      <c r="J126" s="986">
        <f>H126/DAY(B2)</f>
        <v>33.442307692307693</v>
      </c>
      <c r="K126" s="1080"/>
      <c r="L126" s="961"/>
      <c r="O126" s="988"/>
    </row>
    <row r="127" spans="1:15" ht="20.100000000000001" customHeight="1" x14ac:dyDescent="0.35">
      <c r="A127" s="1127" t="s">
        <v>261</v>
      </c>
      <c r="B127" s="1011"/>
      <c r="C127" s="1011"/>
      <c r="D127" s="981" t="s">
        <v>168</v>
      </c>
      <c r="E127" s="1018">
        <f>'[1]25'!F127</f>
        <v>8692.5</v>
      </c>
      <c r="F127" s="1126">
        <v>8694.2999999999993</v>
      </c>
      <c r="G127" s="983">
        <f t="shared" si="14"/>
        <v>1.7999999999992724</v>
      </c>
      <c r="H127" s="984">
        <f>G127+'[1]25'!H127</f>
        <v>54.199999999998909</v>
      </c>
      <c r="I127" s="1003"/>
      <c r="J127" s="986">
        <f>H127/DAY(B2)</f>
        <v>2.0846153846153426</v>
      </c>
      <c r="K127" s="1080"/>
      <c r="L127" s="961"/>
      <c r="O127" s="988"/>
    </row>
    <row r="128" spans="1:15" ht="21.75" customHeight="1" x14ac:dyDescent="0.35">
      <c r="A128" s="1127" t="s">
        <v>262</v>
      </c>
      <c r="B128" s="1011"/>
      <c r="C128" s="1011"/>
      <c r="D128" s="981"/>
      <c r="E128" s="982"/>
      <c r="F128" s="1016"/>
      <c r="G128" s="983">
        <f>G15-SUM(G123:G127)</f>
        <v>468.11000000010608</v>
      </c>
      <c r="H128" s="984">
        <f>G128+'[1]25'!H128</f>
        <v>3932.190000000166</v>
      </c>
      <c r="I128" s="1003"/>
      <c r="J128" s="986">
        <f>H128/DAY(B2)</f>
        <v>151.2380769230833</v>
      </c>
      <c r="K128" s="1080"/>
      <c r="L128" s="961"/>
      <c r="O128" s="988"/>
    </row>
    <row r="129" spans="1:15" x14ac:dyDescent="0.35">
      <c r="A129" s="1128" t="s">
        <v>263</v>
      </c>
      <c r="B129" s="975"/>
      <c r="C129" s="975"/>
      <c r="D129" s="975"/>
      <c r="E129" s="975"/>
      <c r="F129" s="975"/>
      <c r="G129" s="1129"/>
      <c r="H129" s="1129"/>
      <c r="I129" s="1129"/>
      <c r="J129" s="1130"/>
      <c r="O129" s="988"/>
    </row>
    <row r="130" spans="1:15" x14ac:dyDescent="0.35">
      <c r="A130" s="1010" t="s">
        <v>264</v>
      </c>
      <c r="B130" s="1011"/>
      <c r="C130" s="1011"/>
      <c r="D130" s="981" t="s">
        <v>265</v>
      </c>
      <c r="E130" s="982">
        <f>'[1]25'!F130</f>
        <v>0</v>
      </c>
      <c r="F130" s="1012">
        <v>0</v>
      </c>
      <c r="G130" s="983">
        <f t="shared" ref="G130:G140" si="15">F130-E130</f>
        <v>0</v>
      </c>
      <c r="H130" s="984">
        <f>G130+'[1]25'!H130</f>
        <v>0</v>
      </c>
      <c r="I130" s="1003"/>
      <c r="J130" s="986">
        <f>H130/DAY(B2)</f>
        <v>0</v>
      </c>
      <c r="O130" s="988"/>
    </row>
    <row r="131" spans="1:15" x14ac:dyDescent="0.35">
      <c r="A131" s="1010" t="s">
        <v>266</v>
      </c>
      <c r="B131" s="1011"/>
      <c r="C131" s="1011"/>
      <c r="D131" s="981" t="s">
        <v>265</v>
      </c>
      <c r="E131" s="982">
        <f>'[1]25'!F131</f>
        <v>0</v>
      </c>
      <c r="F131" s="1012">
        <v>0</v>
      </c>
      <c r="G131" s="983">
        <f t="shared" si="15"/>
        <v>0</v>
      </c>
      <c r="H131" s="984">
        <f>G131+'[1]25'!H131</f>
        <v>0</v>
      </c>
      <c r="I131" s="1003"/>
      <c r="J131" s="986">
        <f>H131/DAY(B2)</f>
        <v>0</v>
      </c>
      <c r="O131" s="988"/>
    </row>
    <row r="132" spans="1:15" x14ac:dyDescent="0.35">
      <c r="A132" s="1010" t="s">
        <v>267</v>
      </c>
      <c r="B132" s="1011"/>
      <c r="C132" s="1011"/>
      <c r="D132" s="981" t="s">
        <v>265</v>
      </c>
      <c r="E132" s="982">
        <f>'[1]25'!F132</f>
        <v>38901</v>
      </c>
      <c r="F132" s="1131">
        <v>38901</v>
      </c>
      <c r="G132" s="983">
        <f t="shared" si="15"/>
        <v>0</v>
      </c>
      <c r="H132" s="984">
        <f>G132+'[1]25'!H132</f>
        <v>0</v>
      </c>
      <c r="I132" s="1003"/>
      <c r="J132" s="986">
        <f>H132/DAY(B2)</f>
        <v>0</v>
      </c>
      <c r="O132" s="988"/>
    </row>
    <row r="133" spans="1:15" x14ac:dyDescent="0.35">
      <c r="A133" s="1010" t="s">
        <v>268</v>
      </c>
      <c r="B133" s="1011"/>
      <c r="C133" s="1011"/>
      <c r="D133" s="981" t="s">
        <v>265</v>
      </c>
      <c r="E133" s="982">
        <f>'[1]25'!F133</f>
        <v>299</v>
      </c>
      <c r="F133" s="1131">
        <v>299</v>
      </c>
      <c r="G133" s="983">
        <f t="shared" si="15"/>
        <v>0</v>
      </c>
      <c r="H133" s="984">
        <f>G133+'[1]25'!H133</f>
        <v>299</v>
      </c>
      <c r="I133" s="1003">
        <f>G130+G131+G132+G133</f>
        <v>0</v>
      </c>
      <c r="J133" s="986">
        <f>H133/DAY(B2)</f>
        <v>11.5</v>
      </c>
      <c r="O133" s="988"/>
    </row>
    <row r="134" spans="1:15" x14ac:dyDescent="0.35">
      <c r="A134" s="1010" t="s">
        <v>269</v>
      </c>
      <c r="B134" s="1011"/>
      <c r="C134" s="1011"/>
      <c r="D134" s="981" t="s">
        <v>265</v>
      </c>
      <c r="E134" s="982">
        <f>'[1]25'!F134</f>
        <v>39735</v>
      </c>
      <c r="F134" s="1131">
        <v>39735</v>
      </c>
      <c r="G134" s="983">
        <f t="shared" si="15"/>
        <v>0</v>
      </c>
      <c r="H134" s="984">
        <f>G134+'[1]25'!H134</f>
        <v>24</v>
      </c>
      <c r="I134" s="1003"/>
      <c r="J134" s="986">
        <f>H134/DAY(B2)</f>
        <v>0.92307692307692313</v>
      </c>
      <c r="O134" s="988"/>
    </row>
    <row r="135" spans="1:15" x14ac:dyDescent="0.35">
      <c r="A135" s="1010" t="s">
        <v>270</v>
      </c>
      <c r="B135" s="1011"/>
      <c r="C135" s="1011"/>
      <c r="D135" s="981" t="s">
        <v>265</v>
      </c>
      <c r="E135" s="982">
        <v>32022.58</v>
      </c>
      <c r="F135" s="1131">
        <v>32047.07</v>
      </c>
      <c r="G135" s="983">
        <f t="shared" si="15"/>
        <v>24.489999999997963</v>
      </c>
      <c r="H135" s="984">
        <f>G135+'[1]25'!H135</f>
        <v>85.069999999999709</v>
      </c>
      <c r="I135" s="1003"/>
      <c r="J135" s="986">
        <f>H135/DAY(B2)</f>
        <v>3.2719230769230658</v>
      </c>
      <c r="O135" s="988"/>
    </row>
    <row r="136" spans="1:15" x14ac:dyDescent="0.35">
      <c r="A136" s="1010" t="s">
        <v>271</v>
      </c>
      <c r="B136" s="1011"/>
      <c r="C136" s="1011"/>
      <c r="D136" s="981" t="s">
        <v>265</v>
      </c>
      <c r="E136" s="982">
        <f>'[1]25'!F136</f>
        <v>21781.49</v>
      </c>
      <c r="F136" s="1131">
        <v>21789.55</v>
      </c>
      <c r="G136" s="983">
        <f t="shared" si="15"/>
        <v>8.0599999999976717</v>
      </c>
      <c r="H136" s="984">
        <f>G136+'[1]25'!H136</f>
        <v>114.82999999999811</v>
      </c>
      <c r="I136" s="1003">
        <f>G134+G135+G136</f>
        <v>32.549999999995634</v>
      </c>
      <c r="J136" s="986">
        <f>H136/DAY(B2)</f>
        <v>4.4165384615383889</v>
      </c>
      <c r="O136" s="988"/>
    </row>
    <row r="137" spans="1:15" x14ac:dyDescent="0.35">
      <c r="A137" s="1010" t="s">
        <v>272</v>
      </c>
      <c r="B137" s="1011"/>
      <c r="C137" s="1011"/>
      <c r="D137" s="981" t="s">
        <v>265</v>
      </c>
      <c r="E137" s="982">
        <f>'[1]25'!F137</f>
        <v>24968.03</v>
      </c>
      <c r="F137" s="1131">
        <v>24968.03</v>
      </c>
      <c r="G137" s="983">
        <f t="shared" si="15"/>
        <v>0</v>
      </c>
      <c r="H137" s="984">
        <f>G137+'[1]25'!H137</f>
        <v>9</v>
      </c>
      <c r="I137" s="1003"/>
      <c r="J137" s="986">
        <f>H137/DAY(B2)</f>
        <v>0.34615384615384615</v>
      </c>
      <c r="O137" s="988"/>
    </row>
    <row r="138" spans="1:15" x14ac:dyDescent="0.35">
      <c r="A138" s="1010" t="s">
        <v>273</v>
      </c>
      <c r="B138" s="1011"/>
      <c r="C138" s="1011"/>
      <c r="D138" s="981" t="s">
        <v>265</v>
      </c>
      <c r="E138" s="982">
        <f>'[1]25'!F138</f>
        <v>70006.37</v>
      </c>
      <c r="F138" s="1131">
        <v>70006.37</v>
      </c>
      <c r="G138" s="983">
        <f t="shared" si="15"/>
        <v>0</v>
      </c>
      <c r="H138" s="984">
        <f>G138+'[1]25'!H138</f>
        <v>20.369999999995343</v>
      </c>
      <c r="I138" s="1003">
        <f>G137+G138</f>
        <v>0</v>
      </c>
      <c r="J138" s="986">
        <f>H138/DAY(B2)</f>
        <v>0.78346153846135935</v>
      </c>
      <c r="O138" s="988"/>
    </row>
    <row r="139" spans="1:15" x14ac:dyDescent="0.35">
      <c r="A139" s="1010" t="s">
        <v>274</v>
      </c>
      <c r="B139" s="1011"/>
      <c r="C139" s="1011"/>
      <c r="D139" s="981" t="s">
        <v>265</v>
      </c>
      <c r="E139" s="982">
        <f>'[1]25'!F139</f>
        <v>1062.6300000000001</v>
      </c>
      <c r="F139" s="1012">
        <v>1062.6300000000001</v>
      </c>
      <c r="G139" s="983">
        <f t="shared" si="15"/>
        <v>0</v>
      </c>
      <c r="H139" s="984">
        <f>G139+'[1]25'!H139</f>
        <v>121.10000000000014</v>
      </c>
      <c r="I139" s="1132"/>
      <c r="J139" s="986">
        <f>H139/DAY(B2)</f>
        <v>4.6576923076923133</v>
      </c>
      <c r="O139" s="988"/>
    </row>
    <row r="140" spans="1:15" x14ac:dyDescent="0.35">
      <c r="A140" s="1010" t="s">
        <v>275</v>
      </c>
      <c r="B140" s="1011"/>
      <c r="C140" s="1011"/>
      <c r="D140" s="981" t="s">
        <v>265</v>
      </c>
      <c r="E140" s="982">
        <f>'[1]25'!F140</f>
        <v>4185.8500000000004</v>
      </c>
      <c r="F140" s="1012">
        <v>4193.32</v>
      </c>
      <c r="G140" s="983">
        <f t="shared" si="15"/>
        <v>7.4699999999993452</v>
      </c>
      <c r="H140" s="984">
        <f>G140+'[1]25'!H140</f>
        <v>36.420000000000073</v>
      </c>
      <c r="I140" s="1132"/>
      <c r="J140" s="986">
        <f>H140/DAY(B2)</f>
        <v>1.4007692307692337</v>
      </c>
      <c r="O140" s="988"/>
    </row>
    <row r="141" spans="1:15" x14ac:dyDescent="0.35">
      <c r="A141" s="1598" t="s">
        <v>276</v>
      </c>
      <c r="B141" s="1599"/>
      <c r="C141" s="976"/>
      <c r="D141" s="976"/>
      <c r="E141" s="976"/>
      <c r="F141" s="976"/>
      <c r="G141" s="1008"/>
      <c r="H141" s="1008"/>
      <c r="I141" s="1008"/>
      <c r="J141" s="1125"/>
      <c r="K141" s="1080"/>
      <c r="L141" s="961"/>
      <c r="O141" s="988"/>
    </row>
    <row r="142" spans="1:15" x14ac:dyDescent="0.35">
      <c r="A142" s="1566" t="s">
        <v>277</v>
      </c>
      <c r="B142" s="1567"/>
      <c r="C142" s="1568"/>
      <c r="D142" s="981" t="s">
        <v>159</v>
      </c>
      <c r="E142" s="981"/>
      <c r="F142" s="981"/>
      <c r="G142" s="984">
        <f>G35+G43+G49+G57</f>
        <v>4984.4599999999627</v>
      </c>
      <c r="H142" s="984">
        <f>G142+'[1]25'!H142</f>
        <v>129597.59299999996</v>
      </c>
      <c r="I142" s="1003"/>
      <c r="J142" s="986">
        <f>H142/DAY(B2)</f>
        <v>4984.5228076923067</v>
      </c>
      <c r="K142" s="1080"/>
      <c r="L142" s="961"/>
      <c r="O142" s="988"/>
    </row>
    <row r="143" spans="1:15" x14ac:dyDescent="0.35">
      <c r="A143" s="1566" t="s">
        <v>278</v>
      </c>
      <c r="B143" s="1567"/>
      <c r="C143" s="1568"/>
      <c r="D143" s="981" t="s">
        <v>38</v>
      </c>
      <c r="E143" s="968"/>
      <c r="F143" s="968"/>
      <c r="G143" s="1133">
        <f>G142/G7</f>
        <v>0.23083684527392964</v>
      </c>
      <c r="H143" s="984">
        <f>G143+'[1]25'!H143</f>
        <v>6.2984380277921757</v>
      </c>
      <c r="I143" s="1134"/>
      <c r="J143" s="986">
        <f>H143/DAY(B2)</f>
        <v>0.24224761645354523</v>
      </c>
      <c r="K143" s="1080"/>
      <c r="L143" s="961"/>
      <c r="O143" s="988"/>
    </row>
    <row r="144" spans="1:15" x14ac:dyDescent="0.35">
      <c r="A144" s="1566" t="s">
        <v>279</v>
      </c>
      <c r="B144" s="1567"/>
      <c r="C144" s="1568"/>
      <c r="D144" s="981" t="s">
        <v>159</v>
      </c>
      <c r="E144" s="982"/>
      <c r="F144" s="982"/>
      <c r="G144" s="984">
        <f>G41+G42+G55+G56</f>
        <v>4787.2000000000116</v>
      </c>
      <c r="H144" s="984">
        <f>G144+'[1]25'!H144</f>
        <v>117292.77999999997</v>
      </c>
      <c r="I144" s="1003"/>
      <c r="J144" s="986">
        <f>H144/DAY(B2)</f>
        <v>4511.2607692307683</v>
      </c>
      <c r="K144" s="1080"/>
      <c r="L144" s="961"/>
      <c r="O144" s="988"/>
    </row>
    <row r="145" spans="1:15" ht="20.100000000000001" customHeight="1" x14ac:dyDescent="0.35">
      <c r="A145" s="1566" t="s">
        <v>280</v>
      </c>
      <c r="B145" s="1567"/>
      <c r="C145" s="1568"/>
      <c r="D145" s="981" t="s">
        <v>38</v>
      </c>
      <c r="E145" s="982"/>
      <c r="F145" s="982"/>
      <c r="G145" s="1133">
        <f>G144/G7</f>
        <v>0.22170147733061693</v>
      </c>
      <c r="H145" s="984">
        <f>G145+'[1]25'!H145</f>
        <v>5.8186064383476248</v>
      </c>
      <c r="I145" s="1134"/>
      <c r="J145" s="986">
        <f>H145/DAY(B2)</f>
        <v>0.22379255532106249</v>
      </c>
      <c r="K145" s="1080"/>
      <c r="L145" s="961"/>
      <c r="O145" s="988"/>
    </row>
    <row r="146" spans="1:15" ht="20.100000000000001" customHeight="1" x14ac:dyDescent="0.35">
      <c r="A146" s="1566" t="s">
        <v>281</v>
      </c>
      <c r="B146" s="1567"/>
      <c r="C146" s="1568"/>
      <c r="D146" s="981" t="s">
        <v>159</v>
      </c>
      <c r="E146" s="982"/>
      <c r="F146" s="982"/>
      <c r="G146" s="984">
        <f>G39+G53</f>
        <v>4399.4599999999919</v>
      </c>
      <c r="H146" s="984">
        <f>G146+'[1]25'!H146</f>
        <v>110149.893</v>
      </c>
      <c r="I146" s="1135"/>
      <c r="J146" s="986">
        <f>H146/DAY(B2)</f>
        <v>4236.5343461538459</v>
      </c>
      <c r="K146" s="1080"/>
      <c r="L146" s="961"/>
      <c r="O146" s="988"/>
    </row>
    <row r="147" spans="1:15" ht="20.100000000000001" customHeight="1" x14ac:dyDescent="0.35">
      <c r="A147" s="1566" t="s">
        <v>282</v>
      </c>
      <c r="B147" s="1567"/>
      <c r="C147" s="1568"/>
      <c r="D147" s="981" t="s">
        <v>38</v>
      </c>
      <c r="E147" s="982"/>
      <c r="F147" s="982"/>
      <c r="G147" s="1133">
        <f>G146/G7</f>
        <v>0.20374473208910257</v>
      </c>
      <c r="H147" s="984">
        <f>G147+'[1]25'!H147</f>
        <v>5.4971327530575875</v>
      </c>
      <c r="I147" s="1135"/>
      <c r="J147" s="986">
        <f>H147/DAY(B2)</f>
        <v>0.21142818280990722</v>
      </c>
      <c r="O147" s="988"/>
    </row>
    <row r="148" spans="1:15" ht="20.100000000000001" customHeight="1" x14ac:dyDescent="0.35">
      <c r="A148" s="1566" t="s">
        <v>283</v>
      </c>
      <c r="B148" s="1567"/>
      <c r="C148" s="1568"/>
      <c r="D148" s="981" t="s">
        <v>210</v>
      </c>
      <c r="E148" s="982"/>
      <c r="F148" s="982"/>
      <c r="G148" s="984">
        <f>G38+G52</f>
        <v>2310.3800000000047</v>
      </c>
      <c r="H148" s="984">
        <f>G148+'[1]25'!H148</f>
        <v>51846.760000000009</v>
      </c>
      <c r="I148" s="1003"/>
      <c r="J148" s="986">
        <f>H148/DAY(B2)</f>
        <v>1994.1061538461543</v>
      </c>
      <c r="K148" s="1136"/>
      <c r="O148" s="988"/>
    </row>
    <row r="149" spans="1:15" ht="20.100000000000001" customHeight="1" x14ac:dyDescent="0.35">
      <c r="A149" s="1566" t="s">
        <v>284</v>
      </c>
      <c r="B149" s="1567"/>
      <c r="C149" s="1568"/>
      <c r="D149" s="981" t="s">
        <v>38</v>
      </c>
      <c r="E149" s="982"/>
      <c r="F149" s="982"/>
      <c r="G149" s="1133">
        <f>G148/G7</f>
        <v>0.10699671189737436</v>
      </c>
      <c r="H149" s="984">
        <f>G149+'[1]25'!H149</f>
        <v>2.5803519105664705</v>
      </c>
      <c r="I149" s="1135"/>
      <c r="J149" s="986">
        <f>H149/DAY(B2)</f>
        <v>9.9244304252556564E-2</v>
      </c>
      <c r="O149" s="988"/>
    </row>
    <row r="150" spans="1:15" ht="20.100000000000001" customHeight="1" x14ac:dyDescent="0.35">
      <c r="A150" s="1566" t="s">
        <v>285</v>
      </c>
      <c r="B150" s="1567"/>
      <c r="C150" s="1568"/>
      <c r="D150" s="981" t="s">
        <v>210</v>
      </c>
      <c r="E150" s="982"/>
      <c r="F150" s="982"/>
      <c r="G150" s="984">
        <f>G36+G50</f>
        <v>2725.5400000000081</v>
      </c>
      <c r="H150" s="984">
        <f>G150+'[1]25'!H150</f>
        <v>55584.27999999997</v>
      </c>
      <c r="I150" s="1135"/>
      <c r="J150" s="986">
        <f>H150/DAY(B2)</f>
        <v>2137.8569230769217</v>
      </c>
      <c r="O150" s="988"/>
    </row>
    <row r="151" spans="1:15" ht="20.100000000000001" customHeight="1" x14ac:dyDescent="0.35">
      <c r="A151" s="1566" t="s">
        <v>286</v>
      </c>
      <c r="B151" s="1567"/>
      <c r="C151" s="1568"/>
      <c r="D151" s="981" t="s">
        <v>38</v>
      </c>
      <c r="E151" s="982"/>
      <c r="F151" s="982"/>
      <c r="G151" s="1133">
        <f>G150/G7</f>
        <v>0.12622331311073071</v>
      </c>
      <c r="H151" s="984">
        <f>G151+'[1]25'!H151</f>
        <v>2.75855148714089</v>
      </c>
      <c r="I151" s="1003"/>
      <c r="J151" s="986">
        <f>H151/DAY(B2)</f>
        <v>0.10609813412080346</v>
      </c>
      <c r="O151" s="988"/>
    </row>
    <row r="152" spans="1:15" ht="20.100000000000001" customHeight="1" x14ac:dyDescent="0.35">
      <c r="A152" s="1566" t="s">
        <v>287</v>
      </c>
      <c r="B152" s="1567"/>
      <c r="C152" s="1568"/>
      <c r="D152" s="981" t="s">
        <v>210</v>
      </c>
      <c r="E152" s="982"/>
      <c r="F152" s="982"/>
      <c r="G152" s="984">
        <f>G37+G51</f>
        <v>1514.7999999999956</v>
      </c>
      <c r="H152" s="984">
        <f>G152+'[1]25'!H152</f>
        <v>38194.862999999998</v>
      </c>
      <c r="I152" s="1003"/>
      <c r="J152" s="986">
        <f>H152/DAY(B2)</f>
        <v>1469.0331923076922</v>
      </c>
      <c r="O152" s="988"/>
    </row>
    <row r="153" spans="1:15" ht="20.100000000000001" customHeight="1" thickBot="1" x14ac:dyDescent="0.4">
      <c r="A153" s="1609" t="s">
        <v>288</v>
      </c>
      <c r="B153" s="1610"/>
      <c r="C153" s="1611"/>
      <c r="D153" s="1137" t="s">
        <v>38</v>
      </c>
      <c r="E153" s="1138"/>
      <c r="F153" s="1138"/>
      <c r="G153" s="1139">
        <f>G152/G7</f>
        <v>7.0152364192099095E-2</v>
      </c>
      <c r="H153" s="984">
        <f>G153+'[1]25'!H153</f>
        <v>2.0157804626595768</v>
      </c>
      <c r="I153" s="1140"/>
      <c r="J153" s="1141">
        <f>H153/DAY(B2)</f>
        <v>7.7530017794599101E-2</v>
      </c>
      <c r="O153" s="988"/>
    </row>
    <row r="154" spans="1:15" ht="44.25" customHeight="1" x14ac:dyDescent="0.35">
      <c r="A154" s="1142"/>
      <c r="B154" s="1142"/>
      <c r="C154" s="1142"/>
      <c r="D154" s="1142"/>
      <c r="E154" s="1142"/>
      <c r="F154" s="1142"/>
      <c r="G154" s="1142"/>
      <c r="H154" s="1143"/>
      <c r="I154" s="1142"/>
      <c r="J154" s="1144"/>
      <c r="O154" s="988"/>
    </row>
    <row r="155" spans="1:15" ht="21.75" customHeight="1" x14ac:dyDescent="0.35"/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>
      <c r="A160" s="1132" t="s">
        <v>289</v>
      </c>
      <c r="B160" s="1132"/>
      <c r="C160" s="1132"/>
      <c r="D160" s="968" t="s">
        <v>214</v>
      </c>
      <c r="E160" s="982">
        <f>'[1]25'!F160</f>
        <v>25651.03</v>
      </c>
      <c r="F160" s="1156">
        <v>25722.400000000001</v>
      </c>
      <c r="G160" s="983">
        <f t="shared" ref="G160:G171" si="16">F160-E160</f>
        <v>71.370000000002619</v>
      </c>
    </row>
    <row r="161" spans="1:7" ht="21.75" customHeight="1" x14ac:dyDescent="0.35">
      <c r="A161" s="1132" t="s">
        <v>290</v>
      </c>
      <c r="B161" s="1132"/>
      <c r="C161" s="1132"/>
      <c r="D161" s="968" t="s">
        <v>214</v>
      </c>
      <c r="E161" s="982">
        <f>'[1]25'!F161</f>
        <v>25578.23</v>
      </c>
      <c r="F161" s="1156">
        <v>26083.01</v>
      </c>
      <c r="G161" s="983">
        <f t="shared" si="16"/>
        <v>504.77999999999884</v>
      </c>
    </row>
    <row r="162" spans="1:7" ht="21.75" customHeight="1" x14ac:dyDescent="0.35">
      <c r="A162" s="1132" t="s">
        <v>291</v>
      </c>
      <c r="B162" s="1132"/>
      <c r="C162" s="1132"/>
      <c r="D162" s="968" t="s">
        <v>214</v>
      </c>
      <c r="E162" s="982">
        <f>'[1]25'!F162</f>
        <v>2415.17</v>
      </c>
      <c r="F162" s="1156">
        <v>2856.08</v>
      </c>
      <c r="G162" s="983">
        <f t="shared" si="16"/>
        <v>440.90999999999985</v>
      </c>
    </row>
    <row r="163" spans="1:7" ht="21.75" customHeight="1" x14ac:dyDescent="0.35">
      <c r="A163" s="1132" t="s">
        <v>292</v>
      </c>
      <c r="B163" s="1132"/>
      <c r="C163" s="1132"/>
      <c r="D163" s="968" t="s">
        <v>214</v>
      </c>
      <c r="E163" s="982">
        <f>'[1]25'!F163</f>
        <v>4163.1000000000004</v>
      </c>
      <c r="F163" s="1156">
        <v>4189.7700000000004</v>
      </c>
      <c r="G163" s="983">
        <f t="shared" si="16"/>
        <v>26.670000000000073</v>
      </c>
    </row>
    <row r="164" spans="1:7" ht="21.75" customHeight="1" x14ac:dyDescent="0.35">
      <c r="A164" s="1063" t="s">
        <v>121</v>
      </c>
      <c r="B164" s="1063"/>
      <c r="C164" s="1063"/>
      <c r="D164" s="968" t="s">
        <v>214</v>
      </c>
      <c r="E164" s="1064">
        <f>E62</f>
        <v>20419.18</v>
      </c>
      <c r="F164" s="1064">
        <f>F62</f>
        <v>20419.18</v>
      </c>
      <c r="G164" s="983">
        <f t="shared" si="16"/>
        <v>0</v>
      </c>
    </row>
    <row r="165" spans="1:7" ht="21.75" customHeight="1" x14ac:dyDescent="0.35">
      <c r="A165" s="1063" t="s">
        <v>215</v>
      </c>
      <c r="B165" s="1063"/>
      <c r="C165" s="1063"/>
      <c r="D165" s="968" t="s">
        <v>214</v>
      </c>
      <c r="E165" s="1064">
        <f t="shared" ref="E165:F171" si="17">E63</f>
        <v>1082.6400000000001</v>
      </c>
      <c r="F165" s="1064">
        <f t="shared" si="17"/>
        <v>1086.8499999999999</v>
      </c>
      <c r="G165" s="983">
        <f t="shared" si="16"/>
        <v>4.209999999999809</v>
      </c>
    </row>
    <row r="166" spans="1:7" ht="21.75" customHeight="1" x14ac:dyDescent="0.35">
      <c r="A166" s="1619" t="s">
        <v>122</v>
      </c>
      <c r="B166" s="1619"/>
      <c r="C166" s="1619"/>
      <c r="D166" s="981" t="s">
        <v>214</v>
      </c>
      <c r="E166" s="1064">
        <f t="shared" si="17"/>
        <v>96025.81</v>
      </c>
      <c r="F166" s="1064">
        <f t="shared" si="17"/>
        <v>96391.91</v>
      </c>
      <c r="G166" s="983">
        <f t="shared" si="16"/>
        <v>366.10000000000582</v>
      </c>
    </row>
    <row r="167" spans="1:7" ht="21.75" customHeight="1" x14ac:dyDescent="0.35">
      <c r="A167" s="1619" t="s">
        <v>123</v>
      </c>
      <c r="B167" s="1619"/>
      <c r="C167" s="1619"/>
      <c r="D167" s="981" t="s">
        <v>214</v>
      </c>
      <c r="E167" s="1064">
        <f t="shared" si="17"/>
        <v>106568.01</v>
      </c>
      <c r="F167" s="1064">
        <f t="shared" si="17"/>
        <v>106990.06</v>
      </c>
      <c r="G167" s="983">
        <f t="shared" si="16"/>
        <v>422.05000000000291</v>
      </c>
    </row>
    <row r="168" spans="1:7" ht="21.75" customHeight="1" x14ac:dyDescent="0.35">
      <c r="A168" s="1619" t="s">
        <v>124</v>
      </c>
      <c r="B168" s="1619"/>
      <c r="C168" s="1619"/>
      <c r="D168" s="981" t="s">
        <v>214</v>
      </c>
      <c r="E168" s="1064">
        <f t="shared" si="17"/>
        <v>42.55</v>
      </c>
      <c r="F168" s="1064">
        <f t="shared" si="17"/>
        <v>462</v>
      </c>
      <c r="G168" s="983">
        <f t="shared" si="16"/>
        <v>419.45</v>
      </c>
    </row>
    <row r="169" spans="1:7" ht="12.75" customHeight="1" x14ac:dyDescent="0.35">
      <c r="A169" s="1619" t="s">
        <v>125</v>
      </c>
      <c r="B169" s="1619"/>
      <c r="C169" s="1619"/>
      <c r="D169" s="981" t="s">
        <v>214</v>
      </c>
      <c r="E169" s="1064">
        <f t="shared" si="17"/>
        <v>164149.42000000001</v>
      </c>
      <c r="F169" s="1064">
        <f t="shared" si="17"/>
        <v>164863.34</v>
      </c>
      <c r="G169" s="983">
        <f t="shared" si="16"/>
        <v>713.9199999999837</v>
      </c>
    </row>
    <row r="170" spans="1:7" ht="24" customHeight="1" x14ac:dyDescent="0.35">
      <c r="A170" s="1619" t="s">
        <v>126</v>
      </c>
      <c r="B170" s="1619"/>
      <c r="C170" s="1619"/>
      <c r="D170" s="981" t="s">
        <v>214</v>
      </c>
      <c r="E170" s="1064">
        <f t="shared" si="17"/>
        <v>51832.913</v>
      </c>
      <c r="F170" s="1064">
        <f t="shared" si="17"/>
        <v>52127.72</v>
      </c>
      <c r="G170" s="983">
        <f t="shared" si="16"/>
        <v>294.8070000000007</v>
      </c>
    </row>
    <row r="171" spans="1:7" x14ac:dyDescent="0.35">
      <c r="A171" s="1619" t="s">
        <v>127</v>
      </c>
      <c r="B171" s="1619"/>
      <c r="C171" s="1619"/>
      <c r="D171" s="981" t="s">
        <v>214</v>
      </c>
      <c r="E171" s="1064">
        <f t="shared" si="17"/>
        <v>44815.79</v>
      </c>
      <c r="F171" s="1064">
        <f t="shared" si="17"/>
        <v>45099.48</v>
      </c>
      <c r="G171" s="983">
        <f t="shared" si="16"/>
        <v>283.69000000000233</v>
      </c>
    </row>
    <row r="172" spans="1:7" x14ac:dyDescent="0.35">
      <c r="G172" s="1147">
        <f>SUM(G160:G171)</f>
        <v>3547.9569999999967</v>
      </c>
    </row>
    <row r="176" spans="1:7" ht="18.75" customHeight="1" x14ac:dyDescent="0.35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O172"/>
  <sheetViews>
    <sheetView view="pageBreakPreview" zoomScale="55" zoomScaleSheetLayoutView="55" workbookViewId="0">
      <selection activeCell="A106" activeCellId="1" sqref="A1:XFD1048576 A1:XFD1048576"/>
    </sheetView>
  </sheetViews>
  <sheetFormatPr defaultColWidth="22.33203125" defaultRowHeight="29.25" x14ac:dyDescent="0.5"/>
  <cols>
    <col min="1" max="1" width="47" style="574" customWidth="1"/>
    <col min="2" max="2" width="29.5546875" style="577" customWidth="1"/>
    <col min="3" max="3" width="15.88671875" style="577" customWidth="1"/>
    <col min="4" max="4" width="13.6640625" style="658" customWidth="1"/>
    <col min="5" max="5" width="30" style="658" customWidth="1"/>
    <col min="6" max="6" width="30" style="780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2" width="0" style="404" hidden="1" customWidth="1"/>
    <col min="13" max="13" width="4.44140625" style="404" customWidth="1"/>
    <col min="14" max="14" width="25.5546875" style="404" customWidth="1"/>
    <col min="15" max="16384" width="22.33203125" style="404"/>
  </cols>
  <sheetData>
    <row r="1" spans="1:14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4" s="278" customFormat="1" ht="27" x14ac:dyDescent="0.5">
      <c r="A2" s="696" t="s">
        <v>297</v>
      </c>
      <c r="B2" s="1173">
        <v>44192</v>
      </c>
      <c r="C2" s="1361" t="s">
        <v>84</v>
      </c>
      <c r="D2" s="732">
        <v>0.3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4" s="278" customFormat="1" ht="27" x14ac:dyDescent="0.5">
      <c r="A3" s="691"/>
      <c r="B3" s="735"/>
      <c r="C3" s="1361" t="s">
        <v>147</v>
      </c>
      <c r="D3" s="733">
        <v>28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4" s="278" customFormat="1" ht="27" x14ac:dyDescent="0.5">
      <c r="A4" s="697"/>
      <c r="B4" s="737"/>
      <c r="C4" s="1361" t="s">
        <v>149</v>
      </c>
      <c r="D4" s="732">
        <v>0.82</v>
      </c>
      <c r="E4" s="584"/>
      <c r="F4" s="584"/>
      <c r="G4" s="584"/>
      <c r="H4" s="584"/>
      <c r="I4" s="585"/>
      <c r="J4" s="736"/>
      <c r="K4" s="400"/>
      <c r="L4" s="290"/>
    </row>
    <row r="5" spans="1:14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4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4" ht="30" thickBot="1" x14ac:dyDescent="0.45">
      <c r="A7" s="793" t="s">
        <v>158</v>
      </c>
      <c r="B7" s="794"/>
      <c r="C7" s="794"/>
      <c r="D7" s="759" t="s">
        <v>159</v>
      </c>
      <c r="E7" s="754">
        <f>'[1]26'!F7</f>
        <v>3190793</v>
      </c>
      <c r="F7" s="575">
        <v>3212927</v>
      </c>
      <c r="G7" s="795">
        <f>F7-E7</f>
        <v>22134</v>
      </c>
      <c r="H7" s="796">
        <f>G7+'[1]26'!H7</f>
        <v>544482</v>
      </c>
      <c r="I7" s="797">
        <f>'[1]1'!I7</f>
        <v>12000</v>
      </c>
      <c r="J7" s="798">
        <f>H7/DAY(B2)</f>
        <v>20166</v>
      </c>
      <c r="K7" s="670"/>
      <c r="L7" s="405">
        <v>1375467</v>
      </c>
      <c r="M7" s="404">
        <v>1691553</v>
      </c>
      <c r="N7" s="410">
        <f>M7-L7</f>
        <v>316086</v>
      </c>
    </row>
    <row r="8" spans="1:14" ht="27.75" thickBot="1" x14ac:dyDescent="0.45">
      <c r="A8" s="799" t="s">
        <v>160</v>
      </c>
      <c r="B8" s="800"/>
      <c r="C8" s="801"/>
      <c r="D8" s="802" t="s">
        <v>39</v>
      </c>
      <c r="E8" s="754">
        <f>'[1]26'!F8</f>
        <v>3209843</v>
      </c>
      <c r="F8" s="595">
        <v>3232082</v>
      </c>
      <c r="G8" s="806">
        <f>F8-E8</f>
        <v>22239</v>
      </c>
      <c r="H8" s="796">
        <f>G8+'[1]26'!H8</f>
        <v>549043</v>
      </c>
      <c r="I8" s="803">
        <f>'[1]1'!I8</f>
        <v>12000</v>
      </c>
      <c r="J8" s="798">
        <f>H8/DAY(B2)</f>
        <v>20334.925925925927</v>
      </c>
      <c r="K8" s="670"/>
      <c r="L8" s="460"/>
      <c r="M8" s="522"/>
      <c r="N8" s="821"/>
    </row>
    <row r="9" spans="1:14" x14ac:dyDescent="0.4">
      <c r="A9" s="804" t="s">
        <v>161</v>
      </c>
      <c r="B9" s="805"/>
      <c r="C9" s="805"/>
      <c r="D9" s="759" t="s">
        <v>159</v>
      </c>
      <c r="E9" s="756">
        <f>'[1]26'!F9</f>
        <v>2392005.9</v>
      </c>
      <c r="F9" s="598">
        <v>2394997.9</v>
      </c>
      <c r="G9" s="819">
        <f t="shared" ref="G9:G12" si="0">F9-E9</f>
        <v>2992</v>
      </c>
      <c r="H9" s="796">
        <f>G9+'[1]26'!H9</f>
        <v>137961.39999999991</v>
      </c>
      <c r="I9" s="807">
        <f>I8-J8</f>
        <v>-8334.925925925927</v>
      </c>
      <c r="J9" s="798">
        <f>H9/DAY(B2)</f>
        <v>5109.6814814814779</v>
      </c>
      <c r="K9" s="508"/>
      <c r="L9" s="405"/>
      <c r="N9" s="410"/>
    </row>
    <row r="10" spans="1:14" x14ac:dyDescent="0.4">
      <c r="A10" s="793" t="s">
        <v>162</v>
      </c>
      <c r="B10" s="794"/>
      <c r="C10" s="794"/>
      <c r="D10" s="759" t="s">
        <v>159</v>
      </c>
      <c r="E10" s="756">
        <f>'[1]26'!F10</f>
        <v>671648.39</v>
      </c>
      <c r="F10" s="598">
        <v>689980</v>
      </c>
      <c r="G10" s="806">
        <f t="shared" si="0"/>
        <v>18331.609999999986</v>
      </c>
      <c r="H10" s="796">
        <f>G10+'[1]26'!H10</f>
        <v>387029.71</v>
      </c>
      <c r="I10" s="808"/>
      <c r="J10" s="798">
        <f>H10/DAY(B2)</f>
        <v>14334.433703703704</v>
      </c>
      <c r="K10" s="508"/>
      <c r="L10" s="405"/>
      <c r="N10" s="410"/>
    </row>
    <row r="11" spans="1:14" x14ac:dyDescent="0.4">
      <c r="A11" s="793" t="s">
        <v>163</v>
      </c>
      <c r="B11" s="794"/>
      <c r="C11" s="794"/>
      <c r="D11" s="759" t="s">
        <v>159</v>
      </c>
      <c r="E11" s="754">
        <f>'[1]26'!F11</f>
        <v>35390</v>
      </c>
      <c r="F11" s="575">
        <v>35390</v>
      </c>
      <c r="G11" s="806">
        <f t="shared" si="0"/>
        <v>0</v>
      </c>
      <c r="H11" s="796">
        <f>G11+'[1]26'!H11</f>
        <v>0</v>
      </c>
      <c r="I11" s="808"/>
      <c r="J11" s="798">
        <f>H11/DAY(B2)</f>
        <v>0</v>
      </c>
      <c r="K11" s="508"/>
      <c r="L11" s="405"/>
      <c r="N11" s="410"/>
    </row>
    <row r="12" spans="1:14" x14ac:dyDescent="0.4">
      <c r="A12" s="793" t="s">
        <v>164</v>
      </c>
      <c r="B12" s="794"/>
      <c r="C12" s="794"/>
      <c r="D12" s="759" t="s">
        <v>159</v>
      </c>
      <c r="E12" s="756">
        <f>'[1]26'!F12</f>
        <v>37630</v>
      </c>
      <c r="F12" s="598">
        <v>37630</v>
      </c>
      <c r="G12" s="806">
        <f t="shared" si="0"/>
        <v>0</v>
      </c>
      <c r="H12" s="796">
        <f>G12+'[1]26'!H12</f>
        <v>0</v>
      </c>
      <c r="I12" s="808"/>
      <c r="J12" s="798">
        <f>H12/DAY(B2)</f>
        <v>0</v>
      </c>
      <c r="K12" s="508"/>
      <c r="L12" s="405"/>
      <c r="N12" s="410"/>
    </row>
    <row r="13" spans="1:14" x14ac:dyDescent="0.5">
      <c r="A13" s="809" t="s">
        <v>165</v>
      </c>
      <c r="B13" s="810"/>
      <c r="C13" s="810"/>
      <c r="D13" s="759"/>
      <c r="E13" s="754"/>
      <c r="F13" s="575"/>
      <c r="G13" s="811">
        <f>G9+G10+G11+G12</f>
        <v>21323.609999999986</v>
      </c>
      <c r="H13" s="796">
        <f>G13+'[1]26'!H13</f>
        <v>503131.79999999993</v>
      </c>
      <c r="I13" s="812">
        <f>G7-G13</f>
        <v>810.39000000001397</v>
      </c>
      <c r="J13" s="798">
        <f>H13/DAY(B2)</f>
        <v>18634.511111111107</v>
      </c>
      <c r="K13" s="508"/>
      <c r="L13" s="405"/>
      <c r="N13" s="410"/>
    </row>
    <row r="14" spans="1:14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410"/>
    </row>
    <row r="15" spans="1:14" x14ac:dyDescent="0.5">
      <c r="A15" s="782" t="s">
        <v>167</v>
      </c>
      <c r="B15" s="783"/>
      <c r="C15" s="783"/>
      <c r="D15" s="784" t="s">
        <v>168</v>
      </c>
      <c r="E15" s="785">
        <f>'[1]26'!F15</f>
        <v>1565191.11</v>
      </c>
      <c r="F15" s="817">
        <v>1565893.14</v>
      </c>
      <c r="G15" s="781">
        <f>(F15-E15)</f>
        <v>702.02999999979511</v>
      </c>
      <c r="H15" s="787">
        <f>G15+'[1]26'!H15</f>
        <v>18995.538999999873</v>
      </c>
      <c r="I15" s="788">
        <v>800</v>
      </c>
      <c r="J15" s="789">
        <f>H15/DAY(B2)</f>
        <v>703.53848148147677</v>
      </c>
      <c r="K15" s="508"/>
      <c r="L15" s="405"/>
      <c r="N15" s="410"/>
    </row>
    <row r="16" spans="1:14" x14ac:dyDescent="0.4">
      <c r="A16" s="790"/>
      <c r="B16" s="791"/>
      <c r="C16" s="791"/>
      <c r="D16" s="784"/>
      <c r="E16" s="785"/>
      <c r="F16" s="817"/>
      <c r="G16" s="786"/>
      <c r="H16" s="787"/>
      <c r="I16" s="792">
        <f>I15-J15</f>
        <v>96.461518518523235</v>
      </c>
      <c r="J16" s="789"/>
      <c r="K16" s="508"/>
      <c r="L16" s="405"/>
      <c r="N16" s="410"/>
    </row>
    <row r="17" spans="1:14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410"/>
    </row>
    <row r="18" spans="1:14" ht="27.75" x14ac:dyDescent="0.5">
      <c r="A18" s="1460" t="s">
        <v>170</v>
      </c>
      <c r="B18" s="1461"/>
      <c r="C18" s="1462"/>
      <c r="D18" s="759" t="s">
        <v>171</v>
      </c>
      <c r="E18" s="756">
        <f>'[1]26'!F18</f>
        <v>22</v>
      </c>
      <c r="F18" s="598">
        <v>13</v>
      </c>
      <c r="G18" s="811">
        <f>F18*10</f>
        <v>130</v>
      </c>
      <c r="H18" s="796">
        <f>G18+'[1]26'!H18</f>
        <v>3710</v>
      </c>
      <c r="I18" s="797">
        <f>'[1]1'!I18</f>
        <v>65</v>
      </c>
      <c r="J18" s="798">
        <f>H18/DAY(B2)</f>
        <v>137.40740740740742</v>
      </c>
      <c r="K18" s="508"/>
      <c r="L18" s="405"/>
      <c r="N18" s="410"/>
    </row>
    <row r="19" spans="1:14" ht="27.75" x14ac:dyDescent="0.5">
      <c r="A19" s="1460" t="s">
        <v>86</v>
      </c>
      <c r="B19" s="1461"/>
      <c r="C19" s="1462"/>
      <c r="D19" s="759" t="s">
        <v>171</v>
      </c>
      <c r="E19" s="756">
        <f>'[1]26'!F19</f>
        <v>131219</v>
      </c>
      <c r="F19" s="598">
        <v>131274</v>
      </c>
      <c r="G19" s="806">
        <f t="shared" ref="G19" si="1">F19-E19</f>
        <v>55</v>
      </c>
      <c r="H19" s="796">
        <f>G19+'[1]26'!H19</f>
        <v>1473</v>
      </c>
      <c r="I19" s="813"/>
      <c r="J19" s="798">
        <f>H19/DAY(B2)</f>
        <v>54.555555555555557</v>
      </c>
      <c r="K19" s="508"/>
      <c r="L19" s="405"/>
      <c r="N19" s="410"/>
    </row>
    <row r="20" spans="1:14" x14ac:dyDescent="0.5">
      <c r="A20" s="809" t="s">
        <v>172</v>
      </c>
      <c r="B20" s="810"/>
      <c r="C20" s="810"/>
      <c r="D20" s="759"/>
      <c r="E20" s="759"/>
      <c r="F20" s="643"/>
      <c r="G20" s="814">
        <f>G18+G19</f>
        <v>185</v>
      </c>
      <c r="H20" s="796">
        <f>G20+'[1]26'!H20</f>
        <v>5183</v>
      </c>
      <c r="I20" s="815">
        <f>I18-J20</f>
        <v>-126.96296296296296</v>
      </c>
      <c r="J20" s="798">
        <f>H20/DAY(B2)</f>
        <v>191.96296296296296</v>
      </c>
      <c r="K20" s="508"/>
      <c r="L20" s="405"/>
      <c r="N20" s="410"/>
    </row>
    <row r="21" spans="1:14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410"/>
    </row>
    <row r="22" spans="1:14" x14ac:dyDescent="0.5">
      <c r="A22" s="1354" t="s">
        <v>174</v>
      </c>
      <c r="B22" s="710"/>
      <c r="C22" s="710"/>
      <c r="D22" s="643" t="s">
        <v>175</v>
      </c>
      <c r="E22" s="604">
        <f>'[1]26'!F22</f>
        <v>2250</v>
      </c>
      <c r="F22" s="598">
        <v>2250</v>
      </c>
      <c r="G22" s="601">
        <f t="shared" ref="G22" si="2">(F22-E22)</f>
        <v>0</v>
      </c>
      <c r="H22" s="580">
        <f>G22+'[1]26'!H22</f>
        <v>0</v>
      </c>
      <c r="I22" s="600"/>
      <c r="J22" s="673">
        <f>H22/DAY(B2)</f>
        <v>0</v>
      </c>
      <c r="K22" s="508"/>
      <c r="L22" s="405"/>
      <c r="N22" s="410"/>
    </row>
    <row r="23" spans="1:14" x14ac:dyDescent="0.5">
      <c r="A23" s="1354" t="s">
        <v>176</v>
      </c>
      <c r="B23" s="710"/>
      <c r="C23" s="710"/>
      <c r="D23" s="643" t="s">
        <v>175</v>
      </c>
      <c r="E23" s="604">
        <f>'[1]26'!F23</f>
        <v>2000</v>
      </c>
      <c r="F23" s="598">
        <v>2000</v>
      </c>
      <c r="G23" s="601">
        <v>0</v>
      </c>
      <c r="H23" s="580">
        <f>G23+'[1]26'!H23</f>
        <v>0</v>
      </c>
      <c r="I23" s="600"/>
      <c r="J23" s="673">
        <f>H23/DAY(B2)</f>
        <v>0</v>
      </c>
      <c r="K23" s="508"/>
      <c r="L23" s="405"/>
      <c r="N23" s="410"/>
    </row>
    <row r="24" spans="1:14" x14ac:dyDescent="0.4">
      <c r="A24" s="711" t="s">
        <v>177</v>
      </c>
      <c r="B24" s="712"/>
      <c r="C24" s="712"/>
      <c r="D24" s="631" t="s">
        <v>175</v>
      </c>
      <c r="E24" s="613">
        <f>'[1]26'!F24</f>
        <v>4250</v>
      </c>
      <c r="F24" s="605">
        <v>4250</v>
      </c>
      <c r="G24" s="601">
        <v>0</v>
      </c>
      <c r="H24" s="580">
        <f>G24+'[1]26'!H24</f>
        <v>0</v>
      </c>
      <c r="I24" s="600"/>
      <c r="J24" s="673">
        <f>H24/DAY(B2)</f>
        <v>0</v>
      </c>
      <c r="K24" s="508"/>
      <c r="L24" s="405"/>
      <c r="N24" s="410"/>
    </row>
    <row r="25" spans="1:14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410"/>
    </row>
    <row r="26" spans="1:14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575"/>
      <c r="G26" s="618"/>
      <c r="H26" s="580"/>
      <c r="I26" s="619"/>
      <c r="J26" s="673"/>
      <c r="K26" s="402"/>
      <c r="L26" s="527"/>
      <c r="N26" s="410"/>
    </row>
    <row r="27" spans="1:14" s="524" customFormat="1" ht="27.75" x14ac:dyDescent="0.5">
      <c r="A27" s="713" t="s">
        <v>20</v>
      </c>
      <c r="B27" s="714"/>
      <c r="C27" s="715"/>
      <c r="D27" s="740" t="s">
        <v>39</v>
      </c>
      <c r="E27" s="816">
        <f>G8</f>
        <v>22239</v>
      </c>
      <c r="F27" s="621">
        <v>9.5</v>
      </c>
      <c r="G27" s="622">
        <f>E27*F27</f>
        <v>211270.5</v>
      </c>
      <c r="H27" s="580">
        <f>G27+'[1]26'!H27</f>
        <v>5215908.5</v>
      </c>
      <c r="I27" s="623"/>
      <c r="J27" s="673">
        <f>H27/DAY(B2)</f>
        <v>193181.79629629629</v>
      </c>
      <c r="K27" s="401"/>
      <c r="L27" s="527"/>
      <c r="N27" s="410"/>
    </row>
    <row r="28" spans="1:14" s="524" customFormat="1" ht="27.75" x14ac:dyDescent="0.5">
      <c r="A28" s="713" t="s">
        <v>181</v>
      </c>
      <c r="B28" s="714"/>
      <c r="C28" s="715"/>
      <c r="D28" s="740" t="s">
        <v>182</v>
      </c>
      <c r="E28" s="816">
        <f>G15</f>
        <v>702.02999999979511</v>
      </c>
      <c r="F28" s="621">
        <v>36.5</v>
      </c>
      <c r="G28" s="622">
        <f>E28*F28</f>
        <v>25624.094999992521</v>
      </c>
      <c r="H28" s="580">
        <f>G28+'[1]26'!H28</f>
        <v>693337.17349999538</v>
      </c>
      <c r="I28" s="625"/>
      <c r="J28" s="673">
        <f>H28/DAY(B2)</f>
        <v>25679.154574073902</v>
      </c>
      <c r="K28" s="401"/>
      <c r="L28" s="527"/>
      <c r="N28" s="410"/>
    </row>
    <row r="29" spans="1:14" s="524" customFormat="1" ht="27.75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G29+'[1]26'!H29</f>
        <v>0</v>
      </c>
      <c r="I29" s="625"/>
      <c r="J29" s="673">
        <f>H29/DAY(B2)</f>
        <v>0</v>
      </c>
      <c r="K29" s="401"/>
      <c r="L29" s="527"/>
      <c r="N29" s="410"/>
    </row>
    <row r="30" spans="1:14" s="524" customFormat="1" ht="27.75" x14ac:dyDescent="0.5">
      <c r="A30" s="713" t="s">
        <v>185</v>
      </c>
      <c r="B30" s="714"/>
      <c r="C30" s="715"/>
      <c r="D30" s="740" t="s">
        <v>186</v>
      </c>
      <c r="E30" s="816">
        <f>G19</f>
        <v>55</v>
      </c>
      <c r="F30" s="621">
        <v>145</v>
      </c>
      <c r="G30" s="622">
        <f>E30*F30</f>
        <v>7975</v>
      </c>
      <c r="H30" s="580">
        <f>G30+'[1]26'!H30</f>
        <v>213585</v>
      </c>
      <c r="I30" s="625"/>
      <c r="J30" s="673">
        <f>H30/DAY(B2)</f>
        <v>7910.5555555555557</v>
      </c>
      <c r="K30" s="401"/>
      <c r="L30" s="527"/>
      <c r="N30" s="410"/>
    </row>
    <row r="31" spans="1:14" s="524" customFormat="1" ht="27.75" x14ac:dyDescent="0.5">
      <c r="A31" s="713" t="s">
        <v>187</v>
      </c>
      <c r="B31" s="714"/>
      <c r="C31" s="715"/>
      <c r="D31" s="740" t="s">
        <v>171</v>
      </c>
      <c r="E31" s="816">
        <f>G18</f>
        <v>130</v>
      </c>
      <c r="F31" s="621">
        <v>80</v>
      </c>
      <c r="G31" s="622">
        <f>E31*F31</f>
        <v>10400</v>
      </c>
      <c r="H31" s="580">
        <f>G31+'[1]26'!H31</f>
        <v>295200</v>
      </c>
      <c r="I31" s="625"/>
      <c r="J31" s="673"/>
      <c r="K31" s="401"/>
      <c r="L31" s="527"/>
      <c r="N31" s="410"/>
    </row>
    <row r="32" spans="1:14" s="524" customFormat="1" ht="27.75" x14ac:dyDescent="0.5">
      <c r="A32" s="716" t="s">
        <v>188</v>
      </c>
      <c r="B32" s="717"/>
      <c r="C32" s="718"/>
      <c r="D32" s="627"/>
      <c r="E32" s="627"/>
      <c r="F32" s="644"/>
      <c r="G32" s="628">
        <f>G27+G28+G29+G30+G31</f>
        <v>255269.59499999252</v>
      </c>
      <c r="H32" s="580">
        <f>G32+'[1]26'!H32</f>
        <v>6418030.6734999949</v>
      </c>
      <c r="I32" s="629"/>
      <c r="J32" s="673">
        <f>H32/DAY(B2)</f>
        <v>237704.83975925908</v>
      </c>
      <c r="K32" s="401"/>
      <c r="L32" s="527"/>
      <c r="N32" s="410"/>
    </row>
    <row r="33" spans="1:14" ht="25.5" customHeight="1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410"/>
    </row>
    <row r="34" spans="1:14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410"/>
    </row>
    <row r="35" spans="1:14" x14ac:dyDescent="0.4">
      <c r="A35" s="699" t="s">
        <v>191</v>
      </c>
      <c r="B35" s="700"/>
      <c r="C35" s="700"/>
      <c r="D35" s="643" t="s">
        <v>159</v>
      </c>
      <c r="E35" s="630">
        <f>'[1]26'!F35</f>
        <v>629027</v>
      </c>
      <c r="F35" s="630">
        <v>629027</v>
      </c>
      <c r="G35" s="593">
        <f t="shared" ref="G35:G46" si="3">F35-E35</f>
        <v>0</v>
      </c>
      <c r="H35" s="580">
        <f>G35+'[1]26'!H35</f>
        <v>0</v>
      </c>
      <c r="I35" s="575"/>
      <c r="J35" s="673">
        <f>H35/DAY(B2)</f>
        <v>0</v>
      </c>
      <c r="K35" s="508"/>
      <c r="L35" s="405"/>
      <c r="N35" s="410"/>
    </row>
    <row r="36" spans="1:14" x14ac:dyDescent="0.4">
      <c r="A36" s="699" t="s">
        <v>192</v>
      </c>
      <c r="B36" s="700"/>
      <c r="C36" s="700"/>
      <c r="D36" s="643" t="s">
        <v>159</v>
      </c>
      <c r="E36" s="630">
        <f>'[1]26'!F36</f>
        <v>251260.83</v>
      </c>
      <c r="F36" s="630">
        <v>252352.35</v>
      </c>
      <c r="G36" s="593">
        <f t="shared" si="3"/>
        <v>1091.5200000000186</v>
      </c>
      <c r="H36" s="580">
        <f>G36+'[1]26'!H36</f>
        <v>23266.619999999995</v>
      </c>
      <c r="I36" s="575"/>
      <c r="J36" s="673">
        <f>H36/DAY(B2)</f>
        <v>861.72666666666646</v>
      </c>
      <c r="K36" s="508"/>
      <c r="L36" s="405"/>
      <c r="N36" s="749"/>
    </row>
    <row r="37" spans="1:14" x14ac:dyDescent="0.4">
      <c r="A37" s="699" t="s">
        <v>193</v>
      </c>
      <c r="B37" s="700"/>
      <c r="C37" s="700"/>
      <c r="D37" s="643" t="s">
        <v>159</v>
      </c>
      <c r="E37" s="630">
        <f>'[1]26'!F37</f>
        <v>415066</v>
      </c>
      <c r="F37" s="630">
        <v>415066</v>
      </c>
      <c r="G37" s="593">
        <f t="shared" si="3"/>
        <v>0</v>
      </c>
      <c r="H37" s="580">
        <f>G37+'[1]26'!H37</f>
        <v>0</v>
      </c>
      <c r="I37" s="575"/>
      <c r="J37" s="673">
        <f>H37/DAY(B2)</f>
        <v>0</v>
      </c>
      <c r="K37" s="508"/>
      <c r="L37" s="405"/>
      <c r="N37" s="750"/>
    </row>
    <row r="38" spans="1:14" x14ac:dyDescent="0.4">
      <c r="A38" s="699" t="s">
        <v>194</v>
      </c>
      <c r="B38" s="700"/>
      <c r="C38" s="700"/>
      <c r="D38" s="643" t="s">
        <v>159</v>
      </c>
      <c r="E38" s="589">
        <f>'[1]26'!F38</f>
        <v>150714</v>
      </c>
      <c r="F38" s="589">
        <v>150714</v>
      </c>
      <c r="G38" s="593">
        <f t="shared" si="3"/>
        <v>0</v>
      </c>
      <c r="H38" s="580">
        <f>G38+'[1]26'!H38</f>
        <v>0</v>
      </c>
      <c r="I38" s="575"/>
      <c r="J38" s="673">
        <f>H38/DAY(B2)</f>
        <v>0</v>
      </c>
      <c r="K38" s="508"/>
      <c r="L38" s="405"/>
      <c r="N38" s="410"/>
    </row>
    <row r="39" spans="1:14" x14ac:dyDescent="0.4">
      <c r="A39" s="699" t="s">
        <v>195</v>
      </c>
      <c r="B39" s="700"/>
      <c r="C39" s="700"/>
      <c r="D39" s="643" t="s">
        <v>159</v>
      </c>
      <c r="E39" s="630">
        <f>'[1]26'!F39</f>
        <v>912480</v>
      </c>
      <c r="F39" s="630">
        <v>912480</v>
      </c>
      <c r="G39" s="593">
        <f t="shared" si="3"/>
        <v>0</v>
      </c>
      <c r="H39" s="580">
        <f>G39+'[1]26'!H39</f>
        <v>0</v>
      </c>
      <c r="I39" s="575"/>
      <c r="J39" s="673">
        <f>H39/DAY(B2)</f>
        <v>0</v>
      </c>
      <c r="K39" s="508"/>
      <c r="L39" s="405"/>
      <c r="N39" s="410"/>
    </row>
    <row r="40" spans="1:14" x14ac:dyDescent="0.4">
      <c r="A40" s="720" t="s">
        <v>196</v>
      </c>
      <c r="B40" s="721"/>
      <c r="C40" s="721"/>
      <c r="D40" s="643" t="s">
        <v>159</v>
      </c>
      <c r="E40" s="630">
        <f>'[1]26'!F40</f>
        <v>0</v>
      </c>
      <c r="F40" s="630">
        <v>0</v>
      </c>
      <c r="G40" s="593">
        <f t="shared" si="3"/>
        <v>0</v>
      </c>
      <c r="H40" s="580">
        <f>G40+'[1]26'!H40</f>
        <v>0</v>
      </c>
      <c r="I40" s="575"/>
      <c r="J40" s="673">
        <f>H40/DAY(B2)</f>
        <v>0</v>
      </c>
      <c r="K40" s="509"/>
      <c r="L40" s="405"/>
      <c r="N40" s="410"/>
    </row>
    <row r="41" spans="1:14" x14ac:dyDescent="0.4">
      <c r="A41" s="699" t="s">
        <v>197</v>
      </c>
      <c r="B41" s="700"/>
      <c r="C41" s="700"/>
      <c r="D41" s="643" t="s">
        <v>159</v>
      </c>
      <c r="E41" s="630">
        <f>'[1]26'!F41</f>
        <v>300127.95</v>
      </c>
      <c r="F41" s="630">
        <v>300127.95</v>
      </c>
      <c r="G41" s="593">
        <f t="shared" si="3"/>
        <v>0</v>
      </c>
      <c r="H41" s="580">
        <f>G41+'[1]26'!H41</f>
        <v>0</v>
      </c>
      <c r="I41" s="575"/>
      <c r="J41" s="673">
        <f>H41/DAY(B2)</f>
        <v>0</v>
      </c>
      <c r="K41" s="508"/>
      <c r="L41" s="405"/>
      <c r="N41" s="410"/>
    </row>
    <row r="42" spans="1:14" x14ac:dyDescent="0.4">
      <c r="A42" s="699" t="s">
        <v>198</v>
      </c>
      <c r="B42" s="700"/>
      <c r="C42" s="700"/>
      <c r="D42" s="643" t="s">
        <v>159</v>
      </c>
      <c r="E42" s="630">
        <f>'[1]26'!F42</f>
        <v>58926.09</v>
      </c>
      <c r="F42" s="630">
        <v>58926.09</v>
      </c>
      <c r="G42" s="593">
        <f t="shared" si="3"/>
        <v>0</v>
      </c>
      <c r="H42" s="580">
        <f>G42+'[1]26'!H42</f>
        <v>58926.09</v>
      </c>
      <c r="I42" s="575"/>
      <c r="J42" s="673">
        <f>H42/DAY(B2)</f>
        <v>2182.4477777777774</v>
      </c>
      <c r="K42" s="508"/>
      <c r="L42" s="405"/>
      <c r="N42" s="410"/>
    </row>
    <row r="43" spans="1:14" x14ac:dyDescent="0.4">
      <c r="A43" s="699" t="s">
        <v>199</v>
      </c>
      <c r="B43" s="700"/>
      <c r="C43" s="700"/>
      <c r="D43" s="643" t="s">
        <v>159</v>
      </c>
      <c r="E43" s="630">
        <f>'[1]26'!F43</f>
        <v>688342.63</v>
      </c>
      <c r="F43" s="630">
        <v>690339.27</v>
      </c>
      <c r="G43" s="593">
        <f t="shared" si="3"/>
        <v>1996.640000000014</v>
      </c>
      <c r="H43" s="580">
        <f>G43+'[1]26'!H43</f>
        <v>59589.959999999963</v>
      </c>
      <c r="I43" s="575"/>
      <c r="J43" s="673">
        <f>H43/DAY(B2)</f>
        <v>2207.0355555555543</v>
      </c>
      <c r="K43" s="508"/>
      <c r="L43" s="405"/>
      <c r="N43" s="410"/>
    </row>
    <row r="44" spans="1:14" x14ac:dyDescent="0.4">
      <c r="A44" s="699" t="s">
        <v>200</v>
      </c>
      <c r="B44" s="700"/>
      <c r="C44" s="700"/>
      <c r="D44" s="643" t="s">
        <v>159</v>
      </c>
      <c r="E44" s="630">
        <f>'[1]26'!F44</f>
        <v>0</v>
      </c>
      <c r="F44" s="630">
        <v>0</v>
      </c>
      <c r="G44" s="593">
        <f t="shared" si="3"/>
        <v>0</v>
      </c>
      <c r="H44" s="580">
        <f>G44+'[1]26'!H44</f>
        <v>0</v>
      </c>
      <c r="I44" s="575"/>
      <c r="J44" s="673">
        <f>H44/DAY(B2)</f>
        <v>0</v>
      </c>
      <c r="K44" s="508"/>
      <c r="L44" s="405"/>
      <c r="N44" s="410"/>
    </row>
    <row r="45" spans="1:14" x14ac:dyDescent="0.4">
      <c r="A45" s="699" t="s">
        <v>201</v>
      </c>
      <c r="B45" s="700"/>
      <c r="C45" s="700"/>
      <c r="D45" s="643" t="s">
        <v>159</v>
      </c>
      <c r="E45" s="630">
        <f>'[1]26'!F45</f>
        <v>614</v>
      </c>
      <c r="F45" s="630">
        <v>614</v>
      </c>
      <c r="G45" s="593">
        <f t="shared" si="3"/>
        <v>0</v>
      </c>
      <c r="H45" s="580">
        <f>G45+'[1]26'!H45</f>
        <v>-0.48000000000001819</v>
      </c>
      <c r="I45" s="575"/>
      <c r="J45" s="673">
        <f>H45/DAY(B2)</f>
        <v>-1.7777777777778451E-2</v>
      </c>
      <c r="K45" s="508"/>
      <c r="L45" s="405"/>
      <c r="N45" s="410"/>
    </row>
    <row r="46" spans="1:14" x14ac:dyDescent="0.4">
      <c r="A46" s="699" t="s">
        <v>202</v>
      </c>
      <c r="B46" s="700"/>
      <c r="C46" s="700"/>
      <c r="D46" s="643" t="s">
        <v>159</v>
      </c>
      <c r="E46" s="630">
        <f>'[1]26'!F46</f>
        <v>187</v>
      </c>
      <c r="F46" s="630">
        <v>187</v>
      </c>
      <c r="G46" s="593">
        <f t="shared" si="3"/>
        <v>0</v>
      </c>
      <c r="H46" s="580">
        <f>G46+'[1]26'!H46</f>
        <v>-0.49000000000000909</v>
      </c>
      <c r="I46" s="575"/>
      <c r="J46" s="673">
        <f>H46/DAY(B2)</f>
        <v>-1.8148148148148486E-2</v>
      </c>
      <c r="K46" s="508"/>
      <c r="L46" s="405"/>
      <c r="N46" s="410"/>
    </row>
    <row r="47" spans="1:14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3088.1600000000326</v>
      </c>
      <c r="H47" s="580">
        <f>G47+'[1]26'!H47</f>
        <v>141781.69999999995</v>
      </c>
      <c r="I47" s="575"/>
      <c r="J47" s="673">
        <f>H47/DAY(B2)</f>
        <v>5251.1740740740725</v>
      </c>
      <c r="K47" s="508"/>
      <c r="L47" s="405"/>
      <c r="N47" s="410"/>
    </row>
    <row r="48" spans="1:14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410"/>
    </row>
    <row r="49" spans="1:14" x14ac:dyDescent="0.4">
      <c r="A49" s="699" t="s">
        <v>191</v>
      </c>
      <c r="B49" s="722"/>
      <c r="C49" s="722"/>
      <c r="D49" s="643" t="s">
        <v>159</v>
      </c>
      <c r="E49" s="630">
        <f>'[1]26'!F49</f>
        <v>135068.54</v>
      </c>
      <c r="F49" s="630">
        <v>138268.94</v>
      </c>
      <c r="G49" s="593">
        <f t="shared" ref="G49:G58" si="4">F49-E49</f>
        <v>3200.3999999999942</v>
      </c>
      <c r="H49" s="580">
        <f>G49+'[1]26'!H49</f>
        <v>73659.42300000001</v>
      </c>
      <c r="I49" s="575"/>
      <c r="J49" s="673">
        <f>H49/DAY(B2)</f>
        <v>2728.126777777778</v>
      </c>
      <c r="K49" s="508"/>
      <c r="L49" s="405"/>
      <c r="N49" s="410"/>
    </row>
    <row r="50" spans="1:14" x14ac:dyDescent="0.4">
      <c r="A50" s="699" t="s">
        <v>205</v>
      </c>
      <c r="B50" s="722"/>
      <c r="C50" s="722"/>
      <c r="D50" s="643" t="s">
        <v>159</v>
      </c>
      <c r="E50" s="630">
        <f>'[1]26'!F50</f>
        <v>329378.27</v>
      </c>
      <c r="F50" s="630">
        <v>330777.31</v>
      </c>
      <c r="G50" s="593">
        <f t="shared" si="4"/>
        <v>1399.039999999979</v>
      </c>
      <c r="H50" s="580">
        <f>G50+'[1]26'!H50</f>
        <v>33367.77999999997</v>
      </c>
      <c r="I50" s="575"/>
      <c r="J50" s="673">
        <f>H50/DAY(B2)</f>
        <v>1235.8437037037027</v>
      </c>
      <c r="K50" s="508"/>
      <c r="L50" s="405"/>
      <c r="N50" s="410"/>
    </row>
    <row r="51" spans="1:14" x14ac:dyDescent="0.4">
      <c r="A51" s="699" t="s">
        <v>193</v>
      </c>
      <c r="B51" s="722"/>
      <c r="C51" s="722"/>
      <c r="D51" s="643" t="s">
        <v>159</v>
      </c>
      <c r="E51" s="630">
        <f>'[1]26'!F51</f>
        <v>57515.35</v>
      </c>
      <c r="F51" s="630">
        <v>59032.62</v>
      </c>
      <c r="G51" s="593">
        <f t="shared" si="4"/>
        <v>1517.2700000000041</v>
      </c>
      <c r="H51" s="580">
        <f>G51+'[1]26'!H51</f>
        <v>38165.652999999998</v>
      </c>
      <c r="I51" s="575"/>
      <c r="J51" s="673">
        <f>H51/DAY(B2)</f>
        <v>1413.5427037037036</v>
      </c>
      <c r="K51" s="508"/>
      <c r="L51" s="405"/>
      <c r="N51" s="410"/>
    </row>
    <row r="52" spans="1:14" x14ac:dyDescent="0.4">
      <c r="A52" s="699" t="s">
        <v>206</v>
      </c>
      <c r="B52" s="722"/>
      <c r="C52" s="722"/>
      <c r="D52" s="643" t="s">
        <v>159</v>
      </c>
      <c r="E52" s="630">
        <f>'[1]26'!F52</f>
        <v>422969.19</v>
      </c>
      <c r="F52" s="630">
        <v>425220.75</v>
      </c>
      <c r="G52" s="593">
        <f t="shared" si="4"/>
        <v>2251.5599999999977</v>
      </c>
      <c r="H52" s="580">
        <f>G52+'[1]26'!H52</f>
        <v>51864.959999999963</v>
      </c>
      <c r="I52" s="575"/>
      <c r="J52" s="673">
        <f>H52/DAY(B2)</f>
        <v>1920.924444444443</v>
      </c>
      <c r="K52" s="508"/>
      <c r="L52" s="405"/>
      <c r="N52" s="410"/>
    </row>
    <row r="53" spans="1:14" x14ac:dyDescent="0.4">
      <c r="A53" s="699" t="s">
        <v>195</v>
      </c>
      <c r="B53" s="722"/>
      <c r="C53" s="722"/>
      <c r="D53" s="643" t="s">
        <v>159</v>
      </c>
      <c r="E53" s="630">
        <f>'[1]26'!F53</f>
        <v>155565.9</v>
      </c>
      <c r="F53" s="630">
        <v>160074.74</v>
      </c>
      <c r="G53" s="593">
        <f t="shared" si="4"/>
        <v>4508.8399999999965</v>
      </c>
      <c r="H53" s="580">
        <f>G53+'[1]26'!H53</f>
        <v>110332.63299999999</v>
      </c>
      <c r="I53" s="575"/>
      <c r="J53" s="673">
        <f>H53/DAY(B2)</f>
        <v>4086.3938148148145</v>
      </c>
      <c r="K53" s="508"/>
      <c r="L53" s="405"/>
      <c r="N53" s="410"/>
    </row>
    <row r="54" spans="1:14" x14ac:dyDescent="0.4">
      <c r="A54" s="699" t="s">
        <v>207</v>
      </c>
      <c r="B54" s="722"/>
      <c r="C54" s="722"/>
      <c r="D54" s="643" t="s">
        <v>159</v>
      </c>
      <c r="E54" s="630">
        <f>'[1]26'!F54</f>
        <v>4229.0600000000004</v>
      </c>
      <c r="F54" s="630">
        <v>4299.55</v>
      </c>
      <c r="G54" s="593">
        <f t="shared" si="4"/>
        <v>70.489999999999782</v>
      </c>
      <c r="H54" s="580">
        <f>G54+'[1]26'!H54</f>
        <v>1420.94</v>
      </c>
      <c r="I54" s="575"/>
      <c r="J54" s="673">
        <f>H54/DAY(B2)</f>
        <v>52.627407407407411</v>
      </c>
      <c r="K54" s="508"/>
      <c r="L54" s="405"/>
      <c r="N54" s="410"/>
    </row>
    <row r="55" spans="1:14" x14ac:dyDescent="0.4">
      <c r="A55" s="699" t="s">
        <v>208</v>
      </c>
      <c r="B55" s="722"/>
      <c r="C55" s="722"/>
      <c r="D55" s="643" t="s">
        <v>159</v>
      </c>
      <c r="E55" s="630">
        <f>'[1]26'!F55</f>
        <v>158492.73000000001</v>
      </c>
      <c r="F55" s="770">
        <v>158492.73000000001</v>
      </c>
      <c r="G55" s="769">
        <f t="shared" si="4"/>
        <v>0</v>
      </c>
      <c r="H55" s="841">
        <f>G55+'[1]26'!H55</f>
        <v>-0.26999999998952262</v>
      </c>
      <c r="I55" s="842"/>
      <c r="J55" s="843">
        <f>H55/DAY(B2)</f>
        <v>-9.9999999996119495E-3</v>
      </c>
      <c r="K55" s="508"/>
      <c r="L55" s="405"/>
      <c r="N55" s="410"/>
    </row>
    <row r="56" spans="1:14" x14ac:dyDescent="0.4">
      <c r="A56" s="699" t="s">
        <v>209</v>
      </c>
      <c r="B56" s="722"/>
      <c r="C56" s="722"/>
      <c r="D56" s="643" t="s">
        <v>210</v>
      </c>
      <c r="E56" s="630">
        <f>'[1]26'!F56</f>
        <v>493514.55</v>
      </c>
      <c r="F56" s="770">
        <v>498783.79</v>
      </c>
      <c r="G56" s="593">
        <f t="shared" si="4"/>
        <v>5269.2399999999907</v>
      </c>
      <c r="H56" s="580">
        <f>G56+'[1]26'!H56</f>
        <v>62942.759999999951</v>
      </c>
      <c r="I56" s="575"/>
      <c r="J56" s="673">
        <f>H56/DAY(B2)</f>
        <v>2331.2133333333313</v>
      </c>
      <c r="K56" s="507"/>
      <c r="L56" s="405"/>
      <c r="N56" s="410"/>
    </row>
    <row r="57" spans="1:14" x14ac:dyDescent="0.4">
      <c r="A57" s="699" t="s">
        <v>199</v>
      </c>
      <c r="B57" s="722"/>
      <c r="C57" s="722"/>
      <c r="D57" s="643" t="s">
        <v>159</v>
      </c>
      <c r="E57" s="630">
        <f>'[1]26'!F57</f>
        <v>0</v>
      </c>
      <c r="F57" s="630">
        <v>0</v>
      </c>
      <c r="G57" s="593">
        <f t="shared" si="4"/>
        <v>0</v>
      </c>
      <c r="H57" s="580">
        <f>G57+'[1]26'!H57</f>
        <v>0</v>
      </c>
      <c r="I57" s="575"/>
      <c r="J57" s="673">
        <f>H57/DAY(B2)</f>
        <v>0</v>
      </c>
      <c r="K57" s="508"/>
      <c r="L57" s="405"/>
      <c r="N57" s="410"/>
    </row>
    <row r="58" spans="1:14" x14ac:dyDescent="0.4">
      <c r="A58" s="699" t="s">
        <v>211</v>
      </c>
      <c r="B58" s="722"/>
      <c r="C58" s="722"/>
      <c r="D58" s="643" t="s">
        <v>159</v>
      </c>
      <c r="E58" s="630">
        <f>'[1]26'!F58</f>
        <v>24118.98</v>
      </c>
      <c r="F58" s="770">
        <v>24340.07</v>
      </c>
      <c r="G58" s="593">
        <f t="shared" si="4"/>
        <v>221.09000000000015</v>
      </c>
      <c r="H58" s="580">
        <f>G58+'[1]26'!H58</f>
        <v>3947.0370000000003</v>
      </c>
      <c r="I58" s="575"/>
      <c r="J58" s="673">
        <f>H58/DAY(B2)</f>
        <v>146.18655555555557</v>
      </c>
      <c r="K58" s="508"/>
      <c r="L58" s="405"/>
      <c r="N58" s="410"/>
    </row>
    <row r="59" spans="1:14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18437.92999999996</v>
      </c>
      <c r="H59" s="580">
        <f>G59+'[1]26'!H59</f>
        <v>375700.91599999979</v>
      </c>
      <c r="I59" s="575">
        <f>G7-G60</f>
        <v>607.91000000000713</v>
      </c>
      <c r="J59" s="673">
        <f>H59/DAY(B2)</f>
        <v>13914.848740740734</v>
      </c>
      <c r="K59" s="508"/>
      <c r="L59" s="405"/>
      <c r="N59" s="410"/>
    </row>
    <row r="60" spans="1:14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21526.089999999993</v>
      </c>
      <c r="H60" s="580">
        <f>G60+'[1]26'!H60</f>
        <v>531026.28599999996</v>
      </c>
      <c r="I60" s="575">
        <f>G13-G60</f>
        <v>-202.48000000000684</v>
      </c>
      <c r="J60" s="673">
        <f>H60/DAY(B2)</f>
        <v>19667.64022222222</v>
      </c>
      <c r="K60" s="508"/>
      <c r="L60" s="405"/>
      <c r="N60" s="410"/>
    </row>
    <row r="61" spans="1:14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410"/>
    </row>
    <row r="62" spans="1:14" x14ac:dyDescent="0.4">
      <c r="A62" s="724" t="s">
        <v>121</v>
      </c>
      <c r="B62" s="725"/>
      <c r="C62" s="725"/>
      <c r="D62" s="631" t="s">
        <v>214</v>
      </c>
      <c r="E62" s="634">
        <f>'[1]26'!F62</f>
        <v>20419.18</v>
      </c>
      <c r="F62" s="634">
        <v>20419</v>
      </c>
      <c r="G62" s="593">
        <f t="shared" ref="G62:G69" si="5">F62-E62</f>
        <v>-0.18000000000029104</v>
      </c>
      <c r="H62" s="580">
        <f>G62+'[1]26'!H62</f>
        <v>-0.18000000000029104</v>
      </c>
      <c r="I62" s="635"/>
      <c r="J62" s="673">
        <f>H62/DAY(B2)</f>
        <v>-6.6666666666774458E-3</v>
      </c>
      <c r="K62" s="508"/>
      <c r="L62" s="405"/>
      <c r="N62" s="410"/>
    </row>
    <row r="63" spans="1:14" x14ac:dyDescent="0.4">
      <c r="A63" s="724" t="s">
        <v>215</v>
      </c>
      <c r="B63" s="725"/>
      <c r="C63" s="725"/>
      <c r="D63" s="631" t="s">
        <v>214</v>
      </c>
      <c r="E63" s="634">
        <f>'[1]26'!F63</f>
        <v>1086.8499999999999</v>
      </c>
      <c r="F63" s="634">
        <v>1091</v>
      </c>
      <c r="G63" s="593">
        <f t="shared" si="5"/>
        <v>4.1500000000000909</v>
      </c>
      <c r="H63" s="580">
        <f>G63+'[1]26'!H63</f>
        <v>234.63</v>
      </c>
      <c r="I63" s="635"/>
      <c r="J63" s="673">
        <f>H63/DAY(B2)</f>
        <v>8.69</v>
      </c>
      <c r="K63" s="508"/>
      <c r="L63" s="405"/>
      <c r="N63" s="410"/>
    </row>
    <row r="64" spans="1:14" ht="27.75" x14ac:dyDescent="0.5">
      <c r="A64" s="1395" t="s">
        <v>122</v>
      </c>
      <c r="B64" s="1396"/>
      <c r="C64" s="1397"/>
      <c r="D64" s="643" t="s">
        <v>214</v>
      </c>
      <c r="E64" s="604">
        <f>'[1]26'!F64</f>
        <v>96391.91</v>
      </c>
      <c r="F64" s="598">
        <v>96764.02</v>
      </c>
      <c r="G64" s="593">
        <f t="shared" si="5"/>
        <v>372.11000000000058</v>
      </c>
      <c r="H64" s="580">
        <f>G64+'[1]26'!H64</f>
        <v>10024.925000000003</v>
      </c>
      <c r="I64" s="600"/>
      <c r="J64" s="673">
        <f>H64/DAY(B2)</f>
        <v>371.29351851851862</v>
      </c>
      <c r="K64" s="508"/>
      <c r="L64" s="405"/>
      <c r="N64" s="410"/>
    </row>
    <row r="65" spans="1:14" ht="27.75" x14ac:dyDescent="0.5">
      <c r="A65" s="1395" t="s">
        <v>123</v>
      </c>
      <c r="B65" s="1396"/>
      <c r="C65" s="1397"/>
      <c r="D65" s="643" t="s">
        <v>214</v>
      </c>
      <c r="E65" s="604">
        <f>'[1]26'!F65</f>
        <v>106990.06</v>
      </c>
      <c r="F65" s="768">
        <v>107431.86</v>
      </c>
      <c r="G65" s="593">
        <f t="shared" si="5"/>
        <v>441.80000000000291</v>
      </c>
      <c r="H65" s="580">
        <f>G65+'[1]26'!H65</f>
        <v>10795.877000000008</v>
      </c>
      <c r="I65" s="609"/>
      <c r="J65" s="673">
        <f>H65/DAY(B2)</f>
        <v>399.84729629629658</v>
      </c>
      <c r="K65" s="508"/>
      <c r="L65" s="405"/>
      <c r="N65" s="410"/>
    </row>
    <row r="66" spans="1:14" ht="27.75" x14ac:dyDescent="0.5">
      <c r="A66" s="1395" t="s">
        <v>124</v>
      </c>
      <c r="B66" s="1396"/>
      <c r="C66" s="1397"/>
      <c r="D66" s="643" t="s">
        <v>214</v>
      </c>
      <c r="E66" s="604">
        <f>'[1]26'!F66</f>
        <v>462</v>
      </c>
      <c r="F66" s="598">
        <v>876.4</v>
      </c>
      <c r="G66" s="593">
        <f t="shared" si="5"/>
        <v>414.4</v>
      </c>
      <c r="H66" s="580">
        <f>G66+'[1]26'!H66</f>
        <v>10874.003000000006</v>
      </c>
      <c r="I66" s="600"/>
      <c r="J66" s="673">
        <f>H66/DAY(B2)</f>
        <v>402.74085185185209</v>
      </c>
      <c r="K66" s="508"/>
      <c r="L66" s="405"/>
      <c r="N66" s="410"/>
    </row>
    <row r="67" spans="1:14" ht="27.75" x14ac:dyDescent="0.5">
      <c r="A67" s="1395" t="s">
        <v>125</v>
      </c>
      <c r="B67" s="1396"/>
      <c r="C67" s="1397"/>
      <c r="D67" s="643" t="s">
        <v>214</v>
      </c>
      <c r="E67" s="604">
        <f>'[1]26'!F67</f>
        <v>164863.34</v>
      </c>
      <c r="F67" s="598">
        <v>165626.29</v>
      </c>
      <c r="G67" s="593">
        <f t="shared" si="5"/>
        <v>762.95000000001164</v>
      </c>
      <c r="H67" s="580">
        <f>G67+'[1]26'!H67</f>
        <v>19584.24000000002</v>
      </c>
      <c r="I67" s="609"/>
      <c r="J67" s="673">
        <f>H67/DAY(B2)</f>
        <v>725.34222222222297</v>
      </c>
      <c r="K67" s="509"/>
      <c r="L67" s="405"/>
      <c r="N67" s="410"/>
    </row>
    <row r="68" spans="1:14" ht="27.75" x14ac:dyDescent="0.5">
      <c r="A68" s="1395" t="s">
        <v>126</v>
      </c>
      <c r="B68" s="1396"/>
      <c r="C68" s="1397"/>
      <c r="D68" s="643" t="s">
        <v>214</v>
      </c>
      <c r="E68" s="604">
        <f>'[1]26'!F68</f>
        <v>52127.72</v>
      </c>
      <c r="F68" s="598">
        <v>52430.87</v>
      </c>
      <c r="G68" s="593">
        <f t="shared" si="5"/>
        <v>303.15000000000146</v>
      </c>
      <c r="H68" s="580">
        <f>G68+'[1]26'!H68</f>
        <v>9255.7910000000047</v>
      </c>
      <c r="I68" s="636"/>
      <c r="J68" s="673">
        <f>H68/DAY(B2)</f>
        <v>342.80707407407425</v>
      </c>
      <c r="K68" s="510"/>
      <c r="L68" s="405"/>
      <c r="N68" s="410"/>
    </row>
    <row r="69" spans="1:14" ht="27.75" x14ac:dyDescent="0.5">
      <c r="A69" s="1395" t="s">
        <v>127</v>
      </c>
      <c r="B69" s="1396"/>
      <c r="C69" s="1397"/>
      <c r="D69" s="643" t="s">
        <v>214</v>
      </c>
      <c r="E69" s="604">
        <f>'[1]26'!F69</f>
        <v>45099.48</v>
      </c>
      <c r="F69" s="598">
        <v>45384.63</v>
      </c>
      <c r="G69" s="593">
        <f t="shared" si="5"/>
        <v>285.14999999999418</v>
      </c>
      <c r="H69" s="580">
        <f>G69+'[1]26'!H69</f>
        <v>7829.0629999999946</v>
      </c>
      <c r="I69" s="636"/>
      <c r="J69" s="673">
        <f>H69/DAY(B2)</f>
        <v>289.96529629629612</v>
      </c>
      <c r="K69" s="511"/>
      <c r="L69" s="405"/>
      <c r="N69" s="410"/>
    </row>
    <row r="70" spans="1:14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>
        <f>G70+'[1]13'!H70</f>
        <v>0</v>
      </c>
      <c r="I70" s="638"/>
      <c r="J70" s="677"/>
      <c r="K70" s="511"/>
      <c r="L70" s="405"/>
      <c r="N70" s="410"/>
    </row>
    <row r="71" spans="1:14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410"/>
    </row>
    <row r="72" spans="1:14" ht="27.75" x14ac:dyDescent="0.5">
      <c r="A72" s="1395" t="s">
        <v>218</v>
      </c>
      <c r="B72" s="1396"/>
      <c r="C72" s="1397"/>
      <c r="D72" s="643" t="s">
        <v>214</v>
      </c>
      <c r="E72" s="639">
        <f>'[1]26'!F72</f>
        <v>845955</v>
      </c>
      <c r="F72" s="771">
        <v>846066</v>
      </c>
      <c r="G72" s="593">
        <f t="shared" ref="G72:G84" si="6">F72-E72</f>
        <v>111</v>
      </c>
      <c r="H72" s="580">
        <f>G72+'[1]26'!H72</f>
        <v>1804</v>
      </c>
      <c r="I72" s="600"/>
      <c r="J72" s="673">
        <f>H72/DAY(B2)</f>
        <v>66.81481481481481</v>
      </c>
      <c r="K72" s="511"/>
      <c r="L72" s="405"/>
      <c r="N72" s="410"/>
    </row>
    <row r="73" spans="1:14" ht="27.75" x14ac:dyDescent="0.5">
      <c r="A73" s="1395" t="s">
        <v>219</v>
      </c>
      <c r="B73" s="1396"/>
      <c r="C73" s="1397"/>
      <c r="D73" s="643" t="s">
        <v>214</v>
      </c>
      <c r="E73" s="640">
        <f>'[1]26'!F73</f>
        <v>885666</v>
      </c>
      <c r="F73" s="772">
        <v>885668</v>
      </c>
      <c r="G73" s="769">
        <f t="shared" si="6"/>
        <v>2</v>
      </c>
      <c r="H73" s="580">
        <f>G73+'[1]26'!H73</f>
        <v>964</v>
      </c>
      <c r="I73" s="600"/>
      <c r="J73" s="673">
        <f>H73/DAY(B2)</f>
        <v>35.703703703703702</v>
      </c>
      <c r="K73" s="510"/>
      <c r="L73" s="405"/>
      <c r="N73" s="410"/>
    </row>
    <row r="74" spans="1:14" ht="27.75" x14ac:dyDescent="0.5">
      <c r="A74" s="1395" t="s">
        <v>220</v>
      </c>
      <c r="B74" s="1396"/>
      <c r="C74" s="1397"/>
      <c r="D74" s="643" t="s">
        <v>214</v>
      </c>
      <c r="E74" s="641">
        <f>'[1]26'!F74</f>
        <v>881104</v>
      </c>
      <c r="F74" s="772">
        <v>881162</v>
      </c>
      <c r="G74" s="593">
        <f t="shared" si="6"/>
        <v>58</v>
      </c>
      <c r="H74" s="580">
        <f>G74+'[1]26'!H74</f>
        <v>935</v>
      </c>
      <c r="I74" s="600"/>
      <c r="J74" s="673">
        <f>H74/DAY(B2)</f>
        <v>34.629629629629626</v>
      </c>
      <c r="K74" s="511"/>
      <c r="L74" s="405"/>
      <c r="N74" s="410"/>
    </row>
    <row r="75" spans="1:14" ht="27.75" x14ac:dyDescent="0.5">
      <c r="A75" s="1447" t="s">
        <v>221</v>
      </c>
      <c r="B75" s="1448"/>
      <c r="C75" s="1449"/>
      <c r="D75" s="643" t="s">
        <v>214</v>
      </c>
      <c r="E75" s="640">
        <f>'[1]26'!F75</f>
        <v>730774</v>
      </c>
      <c r="F75" s="771">
        <v>730954</v>
      </c>
      <c r="G75" s="593">
        <f t="shared" si="6"/>
        <v>180</v>
      </c>
      <c r="H75" s="580">
        <f>G75+'[1]26'!H75</f>
        <v>4774</v>
      </c>
      <c r="I75" s="600"/>
      <c r="J75" s="673">
        <f>H75/DAY(B2)</f>
        <v>176.81481481481481</v>
      </c>
      <c r="K75" s="510"/>
      <c r="L75" s="405"/>
      <c r="N75" s="410"/>
    </row>
    <row r="76" spans="1:14" ht="27.75" x14ac:dyDescent="0.5">
      <c r="A76" s="1447" t="s">
        <v>222</v>
      </c>
      <c r="B76" s="1448"/>
      <c r="C76" s="1449"/>
      <c r="D76" s="643" t="s">
        <v>214</v>
      </c>
      <c r="E76" s="640">
        <f>'[1]26'!F76</f>
        <v>683818</v>
      </c>
      <c r="F76" s="772">
        <v>683874</v>
      </c>
      <c r="G76" s="593">
        <f t="shared" si="6"/>
        <v>56</v>
      </c>
      <c r="H76" s="580">
        <f>G76+'[1]26'!H76</f>
        <v>3504</v>
      </c>
      <c r="I76" s="625"/>
      <c r="J76" s="673">
        <f>H76/DAY(B2)</f>
        <v>129.77777777777777</v>
      </c>
      <c r="K76" s="510"/>
      <c r="L76" s="405"/>
      <c r="N76" s="410"/>
    </row>
    <row r="77" spans="1:14" ht="27.75" x14ac:dyDescent="0.5">
      <c r="A77" s="1395" t="s">
        <v>223</v>
      </c>
      <c r="B77" s="1396"/>
      <c r="C77" s="1397"/>
      <c r="D77" s="643" t="s">
        <v>214</v>
      </c>
      <c r="E77" s="640">
        <f>'[1]26'!F77</f>
        <v>695108</v>
      </c>
      <c r="F77" s="772">
        <v>695164</v>
      </c>
      <c r="G77" s="769">
        <f t="shared" si="6"/>
        <v>56</v>
      </c>
      <c r="H77" s="580">
        <f>G77+'[1]26'!H77</f>
        <v>1444</v>
      </c>
      <c r="I77" s="625"/>
      <c r="J77" s="673">
        <f>H77/DAY(B2)</f>
        <v>53.481481481481481</v>
      </c>
      <c r="K77" s="510"/>
      <c r="L77" s="405"/>
      <c r="N77" s="410"/>
    </row>
    <row r="78" spans="1:14" s="523" customFormat="1" ht="27.75" x14ac:dyDescent="0.5">
      <c r="A78" s="1276" t="s">
        <v>224</v>
      </c>
      <c r="B78" s="1277"/>
      <c r="C78" s="1277"/>
      <c r="D78" s="748" t="s">
        <v>214</v>
      </c>
      <c r="E78" s="640">
        <f>'[1]26'!F78</f>
        <v>628910</v>
      </c>
      <c r="F78" s="772">
        <v>629345</v>
      </c>
      <c r="G78" s="769">
        <f t="shared" si="6"/>
        <v>435</v>
      </c>
      <c r="H78" s="841">
        <f>G78+'[1]26'!H78</f>
        <v>11092</v>
      </c>
      <c r="I78" s="1275"/>
      <c r="J78" s="843">
        <f>H78/DAY(B2)</f>
        <v>410.81481481481484</v>
      </c>
      <c r="K78" s="1288"/>
      <c r="L78" s="1250"/>
      <c r="N78" s="849"/>
    </row>
    <row r="79" spans="1:14" ht="27.75" x14ac:dyDescent="0.5">
      <c r="A79" s="1447" t="s">
        <v>112</v>
      </c>
      <c r="B79" s="1448"/>
      <c r="C79" s="1449"/>
      <c r="D79" s="644" t="s">
        <v>214</v>
      </c>
      <c r="E79" s="641">
        <f>'[1]26'!F79</f>
        <v>802909</v>
      </c>
      <c r="F79" s="771">
        <v>803098</v>
      </c>
      <c r="G79" s="593">
        <f t="shared" si="6"/>
        <v>189</v>
      </c>
      <c r="H79" s="580">
        <f>G79+'[1]26'!H79</f>
        <v>7846</v>
      </c>
      <c r="I79" s="625"/>
      <c r="J79" s="673">
        <f>H79/DAY(B2)</f>
        <v>290.59259259259261</v>
      </c>
      <c r="K79" s="510"/>
      <c r="L79" s="405"/>
      <c r="N79" s="410"/>
    </row>
    <row r="80" spans="1:14" ht="27.75" x14ac:dyDescent="0.5">
      <c r="A80" s="1447" t="s">
        <v>225</v>
      </c>
      <c r="B80" s="1448"/>
      <c r="C80" s="1449"/>
      <c r="D80" s="644" t="s">
        <v>214</v>
      </c>
      <c r="E80" s="640">
        <f>'[1]26'!F80</f>
        <v>473959.64</v>
      </c>
      <c r="F80" s="772">
        <v>474292</v>
      </c>
      <c r="G80" s="593">
        <f t="shared" si="6"/>
        <v>332.35999999998603</v>
      </c>
      <c r="H80" s="580">
        <f>G80+'[1]26'!H80</f>
        <v>6968.1599999999744</v>
      </c>
      <c r="I80" s="625"/>
      <c r="J80" s="673">
        <f>H80/DAY(B2)</f>
        <v>258.07999999999907</v>
      </c>
      <c r="K80" s="510"/>
      <c r="L80" s="405"/>
      <c r="N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640">
        <f>'[1]26'!F81</f>
        <v>618611.64</v>
      </c>
      <c r="F81" s="772">
        <v>618752</v>
      </c>
      <c r="G81" s="593">
        <f t="shared" si="6"/>
        <v>140.35999999998603</v>
      </c>
      <c r="H81" s="580">
        <f>G81+'[1]26'!H81</f>
        <v>4363.4799999999814</v>
      </c>
      <c r="I81" s="625"/>
      <c r="J81" s="673">
        <f>H81/DAY(B2)</f>
        <v>161.61037037036968</v>
      </c>
      <c r="K81" s="510"/>
      <c r="L81" s="405"/>
      <c r="N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642">
        <f>'[1]26'!F82</f>
        <v>104329.47</v>
      </c>
      <c r="F82" s="768">
        <v>104337</v>
      </c>
      <c r="G82" s="593">
        <f t="shared" si="6"/>
        <v>7.5299999999988358</v>
      </c>
      <c r="H82" s="580">
        <f>G82+'[1]26'!H82</f>
        <v>807.35000000000582</v>
      </c>
      <c r="I82" s="606"/>
      <c r="J82" s="673">
        <f>H82/DAY(B2)</f>
        <v>29.901851851852069</v>
      </c>
      <c r="K82" s="510"/>
      <c r="L82" s="405"/>
      <c r="N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631">
        <f>'[1]26'!F83</f>
        <v>971766</v>
      </c>
      <c r="F83" s="741">
        <v>972129</v>
      </c>
      <c r="G83" s="593">
        <f t="shared" si="6"/>
        <v>363</v>
      </c>
      <c r="H83" s="580">
        <f>G83+'[1]26'!H83</f>
        <v>9604</v>
      </c>
      <c r="I83" s="601"/>
      <c r="J83" s="673">
        <f>H83/DAY(B2)</f>
        <v>355.7037037037037</v>
      </c>
      <c r="K83" s="509"/>
      <c r="L83" s="405"/>
      <c r="N83" s="410"/>
    </row>
    <row r="84" spans="1:15" x14ac:dyDescent="0.5">
      <c r="A84" s="1360" t="s">
        <v>228</v>
      </c>
      <c r="B84" s="692"/>
      <c r="C84" s="692"/>
      <c r="D84" s="598" t="s">
        <v>159</v>
      </c>
      <c r="E84" s="748">
        <f>'[1]26'!F84</f>
        <v>394909</v>
      </c>
      <c r="F84" s="644">
        <v>395373</v>
      </c>
      <c r="G84" s="593">
        <f t="shared" si="6"/>
        <v>464</v>
      </c>
      <c r="H84" s="580">
        <f>G84+'[1]26'!H84</f>
        <v>14017</v>
      </c>
      <c r="I84" s="601"/>
      <c r="J84" s="673">
        <f>H84/DAY(B2)</f>
        <v>519.14814814814815</v>
      </c>
      <c r="K84" s="408"/>
      <c r="L84" s="405"/>
      <c r="N84" s="410"/>
    </row>
    <row r="85" spans="1:15" s="407" customFormat="1" x14ac:dyDescent="0.5">
      <c r="A85" s="726" t="s">
        <v>82</v>
      </c>
      <c r="B85" s="693"/>
      <c r="C85" s="693"/>
      <c r="D85" s="609"/>
      <c r="E85" s="748">
        <f>'[1]26'!F85</f>
        <v>0</v>
      </c>
      <c r="F85" s="643"/>
      <c r="G85" s="580">
        <f xml:space="preserve"> SUM(G72:G84)</f>
        <v>2394.2499999999709</v>
      </c>
      <c r="H85" s="580">
        <f>G85+'[1]26'!H85</f>
        <v>63566.519999999931</v>
      </c>
      <c r="I85" s="601"/>
      <c r="J85" s="673">
        <f>H85/DAY(B2)</f>
        <v>2354.3155555555531</v>
      </c>
      <c r="K85" s="408"/>
      <c r="L85" s="406"/>
      <c r="N85" s="410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748">
        <f>'[1]26'!F86</f>
        <v>443944</v>
      </c>
      <c r="F86" s="764">
        <v>444009</v>
      </c>
      <c r="G86" s="841">
        <f>F86-E86</f>
        <v>65</v>
      </c>
      <c r="H86" s="841">
        <f t="shared" ref="H86:H88" si="7">G86</f>
        <v>65</v>
      </c>
      <c r="I86" s="769"/>
      <c r="J86" s="843">
        <f>H86/DAY(B2)</f>
        <v>2.4074074074074074</v>
      </c>
      <c r="K86" s="869"/>
      <c r="L86" s="870"/>
      <c r="O86" s="849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748">
        <f>'[1]26'!F87</f>
        <v>77643.199999999997</v>
      </c>
      <c r="F87" s="764">
        <v>77650.7</v>
      </c>
      <c r="G87" s="841">
        <f t="shared" ref="G87:G90" si="8">F87-E87</f>
        <v>7.5</v>
      </c>
      <c r="H87" s="841">
        <f t="shared" si="7"/>
        <v>7.5</v>
      </c>
      <c r="I87" s="769"/>
      <c r="J87" s="843">
        <f>H87/DAY(B2)</f>
        <v>0.27777777777777779</v>
      </c>
      <c r="K87" s="869"/>
      <c r="L87" s="870"/>
      <c r="O87" s="84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748">
        <f>'[1]26'!F88</f>
        <v>144292</v>
      </c>
      <c r="F88" s="764">
        <v>144325</v>
      </c>
      <c r="G88" s="841">
        <f t="shared" si="8"/>
        <v>33</v>
      </c>
      <c r="H88" s="841">
        <f t="shared" si="7"/>
        <v>33</v>
      </c>
      <c r="I88" s="769"/>
      <c r="J88" s="843">
        <f>H88/DAY(B2)</f>
        <v>1.2222222222222223</v>
      </c>
      <c r="K88" s="869"/>
      <c r="L88" s="870"/>
      <c r="O88" s="84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748">
        <f>'[1]26'!F89</f>
        <v>57342</v>
      </c>
      <c r="F89" s="764">
        <v>57401</v>
      </c>
      <c r="G89" s="841">
        <f t="shared" si="8"/>
        <v>59</v>
      </c>
      <c r="H89" s="841">
        <f>G89</f>
        <v>59</v>
      </c>
      <c r="I89" s="769"/>
      <c r="J89" s="843">
        <f>H89/DAY(B2)</f>
        <v>2.1851851851851851</v>
      </c>
      <c r="K89" s="869"/>
      <c r="L89" s="870"/>
      <c r="N89" s="919"/>
      <c r="O89" s="41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748">
        <f>'[1]26'!F90</f>
        <v>2971.2</v>
      </c>
      <c r="F90" s="764">
        <v>2972.1</v>
      </c>
      <c r="G90" s="841">
        <f t="shared" si="8"/>
        <v>0.90000000000009095</v>
      </c>
      <c r="H90" s="841">
        <f>G90</f>
        <v>0.90000000000009095</v>
      </c>
      <c r="I90" s="769"/>
      <c r="J90" s="843">
        <f>H90/DAY(B2)</f>
        <v>3.3333333333336705E-2</v>
      </c>
      <c r="K90" s="869"/>
      <c r="L90" s="870"/>
      <c r="N90" s="919"/>
      <c r="O90" s="410"/>
    </row>
    <row r="91" spans="1:15" s="407" customFormat="1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604">
        <f>'[1]26'!F92</f>
        <v>233478</v>
      </c>
      <c r="F92" s="598">
        <v>233608</v>
      </c>
      <c r="G92" s="593">
        <f t="shared" ref="G92:G93" si="9">F92-E92</f>
        <v>130</v>
      </c>
      <c r="H92" s="580">
        <f>G92+'[1]26'!H92</f>
        <v>2633</v>
      </c>
      <c r="I92" s="600"/>
      <c r="J92" s="673">
        <f>H92/DAY(B2)</f>
        <v>97.518518518518519</v>
      </c>
      <c r="K92" s="509"/>
      <c r="L92" s="405"/>
      <c r="N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604">
        <f>'[1]26'!F93</f>
        <v>166264</v>
      </c>
      <c r="F93" s="605">
        <v>166414</v>
      </c>
      <c r="G93" s="593">
        <f t="shared" si="9"/>
        <v>150</v>
      </c>
      <c r="H93" s="580">
        <f>G93+'[1]26'!H93</f>
        <v>3772</v>
      </c>
      <c r="I93" s="600"/>
      <c r="J93" s="673">
        <f>H93/DAY(B2)</f>
        <v>139.7037037037037</v>
      </c>
      <c r="K93" s="408"/>
      <c r="L93" s="405"/>
      <c r="N93" s="410"/>
    </row>
    <row r="94" spans="1:15" x14ac:dyDescent="0.5">
      <c r="A94" s="1392" t="s">
        <v>235</v>
      </c>
      <c r="B94" s="1393"/>
      <c r="C94" s="1394"/>
      <c r="D94" s="643"/>
      <c r="E94" s="604">
        <f>'[1]26'!F94</f>
        <v>0</v>
      </c>
      <c r="F94" s="598"/>
      <c r="G94" s="593">
        <f>G92+G93</f>
        <v>280</v>
      </c>
      <c r="H94" s="580">
        <f>G94+'[1]26'!H94</f>
        <v>6142</v>
      </c>
      <c r="I94" s="600"/>
      <c r="J94" s="673">
        <f>H94/DAY(B2)</f>
        <v>227.4814814814815</v>
      </c>
      <c r="K94" s="408"/>
      <c r="L94" s="405"/>
      <c r="N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604">
        <f>'[1]26'!F95</f>
        <v>403299</v>
      </c>
      <c r="F95" s="598">
        <v>403374</v>
      </c>
      <c r="G95" s="593">
        <f t="shared" ref="G95:G100" si="10">F95-E95</f>
        <v>75</v>
      </c>
      <c r="H95" s="580">
        <f>G95+'[1]26'!H95</f>
        <v>1809</v>
      </c>
      <c r="I95" s="600"/>
      <c r="J95" s="673">
        <f>H95/DAY(B2)</f>
        <v>67</v>
      </c>
      <c r="K95" s="408"/>
      <c r="L95" s="405"/>
      <c r="N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604">
        <f>'[1]26'!F96</f>
        <v>99817</v>
      </c>
      <c r="F96" s="598">
        <v>99845</v>
      </c>
      <c r="G96" s="593">
        <f t="shared" si="10"/>
        <v>28</v>
      </c>
      <c r="H96" s="580">
        <f>G96+'[1]26'!H96</f>
        <v>734</v>
      </c>
      <c r="I96" s="600"/>
      <c r="J96" s="673">
        <f>H96/DAY(B2)</f>
        <v>27.185185185185187</v>
      </c>
      <c r="K96" s="507"/>
      <c r="L96" s="405"/>
      <c r="N96" s="410"/>
    </row>
    <row r="97" spans="1:14" ht="27.75" x14ac:dyDescent="0.5">
      <c r="A97" s="1354" t="s">
        <v>238</v>
      </c>
      <c r="B97" s="1355"/>
      <c r="C97" s="1355"/>
      <c r="D97" s="643" t="s">
        <v>171</v>
      </c>
      <c r="E97" s="604">
        <f>'[1]26'!F97</f>
        <v>94926</v>
      </c>
      <c r="F97" s="598">
        <v>94958</v>
      </c>
      <c r="G97" s="593">
        <f t="shared" si="10"/>
        <v>32</v>
      </c>
      <c r="H97" s="580">
        <f>G97+'[1]26'!H97</f>
        <v>686</v>
      </c>
      <c r="I97" s="600"/>
      <c r="J97" s="673">
        <f>H97/DAY(B2)</f>
        <v>25.407407407407408</v>
      </c>
      <c r="K97" s="512"/>
      <c r="L97" s="405"/>
      <c r="N97" s="947"/>
    </row>
    <row r="98" spans="1:14" ht="27.75" x14ac:dyDescent="0.5">
      <c r="A98" s="1354" t="s">
        <v>239</v>
      </c>
      <c r="B98" s="1355"/>
      <c r="C98" s="1355"/>
      <c r="D98" s="643" t="s">
        <v>171</v>
      </c>
      <c r="E98" s="604">
        <f>'[1]26'!F98</f>
        <v>143543</v>
      </c>
      <c r="F98" s="598">
        <v>143586</v>
      </c>
      <c r="G98" s="593">
        <f t="shared" si="10"/>
        <v>43</v>
      </c>
      <c r="H98" s="580">
        <f>G98+'[1]26'!H98</f>
        <v>1440</v>
      </c>
      <c r="I98" s="600"/>
      <c r="J98" s="673">
        <f>H98/DAY(B2)</f>
        <v>53.333333333333336</v>
      </c>
      <c r="K98" s="408"/>
      <c r="L98" s="405"/>
      <c r="N98" s="1170"/>
    </row>
    <row r="99" spans="1:14" ht="27.75" x14ac:dyDescent="0.5">
      <c r="A99" s="1354" t="s">
        <v>240</v>
      </c>
      <c r="B99" s="1355"/>
      <c r="C99" s="1355"/>
      <c r="D99" s="643" t="s">
        <v>171</v>
      </c>
      <c r="E99" s="604">
        <f>'[1]26'!F99</f>
        <v>5454</v>
      </c>
      <c r="F99" s="598">
        <v>5465</v>
      </c>
      <c r="G99" s="593">
        <f t="shared" si="10"/>
        <v>11</v>
      </c>
      <c r="H99" s="580">
        <f>G99+'[1]26'!H99</f>
        <v>497</v>
      </c>
      <c r="I99" s="600"/>
      <c r="J99" s="673">
        <f>H99/DAY(B2)</f>
        <v>18.407407407407408</v>
      </c>
      <c r="K99" s="408"/>
      <c r="L99" s="405"/>
      <c r="N99" s="947"/>
    </row>
    <row r="100" spans="1:14" ht="27.75" x14ac:dyDescent="0.5">
      <c r="A100" s="1354" t="s">
        <v>241</v>
      </c>
      <c r="B100" s="1355"/>
      <c r="C100" s="1355"/>
      <c r="D100" s="643" t="s">
        <v>171</v>
      </c>
      <c r="E100" s="604">
        <f>'[1]26'!F100</f>
        <v>3902</v>
      </c>
      <c r="F100" s="598">
        <v>3926</v>
      </c>
      <c r="G100" s="593">
        <f t="shared" si="10"/>
        <v>24</v>
      </c>
      <c r="H100" s="580">
        <f>G100+'[1]26'!H100</f>
        <v>130</v>
      </c>
      <c r="I100" s="600"/>
      <c r="J100" s="673">
        <f>H100/DAY(B2)</f>
        <v>4.8148148148148149</v>
      </c>
      <c r="K100" s="408"/>
      <c r="L100" s="405"/>
      <c r="N100" s="947"/>
    </row>
    <row r="101" spans="1:14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213</v>
      </c>
      <c r="H101" s="580">
        <f>G101+'[1]26'!H101</f>
        <v>5296</v>
      </c>
      <c r="I101" s="646"/>
      <c r="J101" s="673">
        <f>H101/DAY(B2)</f>
        <v>196.14814814814815</v>
      </c>
      <c r="K101" s="408"/>
      <c r="L101" s="405"/>
      <c r="N101" s="947"/>
    </row>
    <row r="102" spans="1:14" s="524" customFormat="1" ht="27" x14ac:dyDescent="0.35">
      <c r="A102" s="728" t="s">
        <v>243</v>
      </c>
      <c r="B102" s="729"/>
      <c r="C102" s="729"/>
      <c r="D102" s="742"/>
      <c r="E102" s="648"/>
      <c r="F102" s="774"/>
      <c r="G102" s="649"/>
      <c r="H102" s="650"/>
      <c r="I102" s="651"/>
      <c r="J102" s="678"/>
      <c r="N102" s="410"/>
    </row>
    <row r="103" spans="1:14" s="524" customFormat="1" ht="27.75" x14ac:dyDescent="0.5">
      <c r="A103" s="1404" t="s">
        <v>244</v>
      </c>
      <c r="B103" s="1405"/>
      <c r="C103" s="694"/>
      <c r="D103" s="743"/>
      <c r="E103" s="652"/>
      <c r="F103" s="775"/>
      <c r="G103" s="652"/>
      <c r="H103" s="653"/>
      <c r="I103" s="652"/>
      <c r="J103" s="679"/>
      <c r="N103" s="410"/>
    </row>
    <row r="104" spans="1:14" s="524" customFormat="1" ht="27.75" x14ac:dyDescent="0.5">
      <c r="A104" s="1406" t="s">
        <v>245</v>
      </c>
      <c r="B104" s="1407"/>
      <c r="C104" s="1359"/>
      <c r="D104" s="743" t="s">
        <v>171</v>
      </c>
      <c r="E104" s="652">
        <f>'[1]26'!F104</f>
        <v>7010</v>
      </c>
      <c r="F104" s="775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2.1111111111111112</v>
      </c>
      <c r="N104" s="410"/>
    </row>
    <row r="105" spans="1:14" s="524" customFormat="1" ht="27.75" x14ac:dyDescent="0.5">
      <c r="A105" s="1406" t="s">
        <v>92</v>
      </c>
      <c r="B105" s="1407"/>
      <c r="C105" s="1359"/>
      <c r="D105" s="743" t="s">
        <v>171</v>
      </c>
      <c r="E105" s="652">
        <f>'[1]26'!F105</f>
        <v>34874</v>
      </c>
      <c r="F105" s="944">
        <v>34885</v>
      </c>
      <c r="G105" s="652">
        <f t="shared" ref="G105:G106" si="11">F105-E105</f>
        <v>11</v>
      </c>
      <c r="H105" s="653">
        <f>SUM(G105+'[1]1'!G77)</f>
        <v>66</v>
      </c>
      <c r="I105" s="652"/>
      <c r="J105" s="679">
        <f>H105/DAY(B2)</f>
        <v>2.4444444444444446</v>
      </c>
      <c r="N105" s="410"/>
    </row>
    <row r="106" spans="1:14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'[1]26'!F106</f>
        <v>18863</v>
      </c>
      <c r="F106" s="776">
        <v>18868</v>
      </c>
      <c r="G106" s="652">
        <f t="shared" si="11"/>
        <v>5</v>
      </c>
      <c r="H106" s="653">
        <f>SUM(G106+'[1]1'!G78)</f>
        <v>485</v>
      </c>
      <c r="I106" s="652"/>
      <c r="J106" s="679">
        <f>H106/DAY(B2)</f>
        <v>17.962962962962962</v>
      </c>
      <c r="N106" s="410"/>
    </row>
    <row r="107" spans="1:14" s="524" customFormat="1" ht="27.75" x14ac:dyDescent="0.5">
      <c r="A107" s="1409" t="s">
        <v>82</v>
      </c>
      <c r="B107" s="1410"/>
      <c r="C107" s="1359"/>
      <c r="D107" s="743"/>
      <c r="E107" s="652">
        <f>'[1]26'!F107</f>
        <v>0</v>
      </c>
      <c r="F107" s="776"/>
      <c r="G107" s="652">
        <f>SUM(G104:G106)</f>
        <v>16</v>
      </c>
      <c r="H107" s="653">
        <f>SUM(G107+'[1]1'!G79)</f>
        <v>217</v>
      </c>
      <c r="I107" s="652"/>
      <c r="J107" s="679">
        <f>H107/DAY(B2)</f>
        <v>8.0370370370370363</v>
      </c>
      <c r="N107" s="410"/>
    </row>
    <row r="108" spans="1:14" s="524" customFormat="1" ht="27.75" x14ac:dyDescent="0.5">
      <c r="A108" s="1411" t="s">
        <v>94</v>
      </c>
      <c r="B108" s="1412"/>
      <c r="C108" s="1359"/>
      <c r="D108" s="743" t="s">
        <v>171</v>
      </c>
      <c r="E108" s="652">
        <f>'[1]26'!F108</f>
        <v>0</v>
      </c>
      <c r="F108" s="776"/>
      <c r="G108" s="652"/>
      <c r="H108" s="653"/>
      <c r="I108" s="652"/>
      <c r="J108" s="679"/>
      <c r="N108" s="410"/>
    </row>
    <row r="109" spans="1:14" s="524" customFormat="1" ht="27.75" x14ac:dyDescent="0.5">
      <c r="A109" s="1406" t="s">
        <v>246</v>
      </c>
      <c r="B109" s="1407"/>
      <c r="C109" s="1359"/>
      <c r="D109" s="743" t="s">
        <v>171</v>
      </c>
      <c r="E109" s="652">
        <f>'[1]26'!F109</f>
        <v>52781</v>
      </c>
      <c r="F109" s="944">
        <v>52832</v>
      </c>
      <c r="G109" s="652">
        <f>F109-E109</f>
        <v>51</v>
      </c>
      <c r="H109" s="653">
        <f>SUM(G109+'[1]1'!G81)</f>
        <v>204.28000000002794</v>
      </c>
      <c r="I109" s="652"/>
      <c r="J109" s="679">
        <f>H109/DAY(B2)</f>
        <v>7.5659259259269609</v>
      </c>
      <c r="N109" s="410"/>
    </row>
    <row r="110" spans="1:14" s="524" customFormat="1" ht="27.75" x14ac:dyDescent="0.5">
      <c r="A110" s="1406" t="s">
        <v>247</v>
      </c>
      <c r="B110" s="1407"/>
      <c r="C110" s="1359"/>
      <c r="D110" s="743" t="s">
        <v>171</v>
      </c>
      <c r="E110" s="652">
        <f>'[1]26'!F110</f>
        <v>26662</v>
      </c>
      <c r="F110" s="944">
        <v>26707</v>
      </c>
      <c r="G110" s="652">
        <f t="shared" ref="G110:G111" si="12">F110-E110</f>
        <v>45</v>
      </c>
      <c r="H110" s="653">
        <f>SUM(G110+'[1]1'!G82)</f>
        <v>65.760000000009313</v>
      </c>
      <c r="I110" s="652"/>
      <c r="J110" s="679">
        <f>H110/DAY(B2)</f>
        <v>2.4355555555559003</v>
      </c>
      <c r="N110" s="410"/>
    </row>
    <row r="111" spans="1:14" s="524" customFormat="1" ht="27.75" x14ac:dyDescent="0.5">
      <c r="A111" s="1406" t="s">
        <v>248</v>
      </c>
      <c r="B111" s="1407"/>
      <c r="C111" s="1359"/>
      <c r="D111" s="743" t="s">
        <v>171</v>
      </c>
      <c r="E111" s="652">
        <f>'[1]26'!F111</f>
        <v>3540</v>
      </c>
      <c r="F111" s="776">
        <v>3540</v>
      </c>
      <c r="G111" s="654">
        <f t="shared" si="12"/>
        <v>0</v>
      </c>
      <c r="H111" s="653">
        <f>SUM(G111+'[1]1'!G83)</f>
        <v>346</v>
      </c>
      <c r="I111" s="652"/>
      <c r="J111" s="679">
        <f>H111/DAY(B2)</f>
        <v>12.814814814814815</v>
      </c>
      <c r="N111" s="410"/>
    </row>
    <row r="112" spans="1:14" s="524" customFormat="1" ht="27.75" x14ac:dyDescent="0.5">
      <c r="A112" s="1409" t="s">
        <v>136</v>
      </c>
      <c r="B112" s="1410"/>
      <c r="C112" s="1359"/>
      <c r="D112" s="743"/>
      <c r="E112" s="652">
        <f>'[1]26'!F112</f>
        <v>0</v>
      </c>
      <c r="F112" s="776"/>
      <c r="G112" s="652">
        <f>SUM(G109:G111)</f>
        <v>96</v>
      </c>
      <c r="H112" s="653">
        <f>SUM(G112+'[1]1'!G84)</f>
        <v>660</v>
      </c>
      <c r="I112" s="652"/>
      <c r="J112" s="679">
        <f>H112/DAY(B2)</f>
        <v>24.444444444444443</v>
      </c>
      <c r="N112" s="410"/>
    </row>
    <row r="113" spans="1:14" s="524" customFormat="1" ht="27.75" x14ac:dyDescent="0.5">
      <c r="A113" s="1411" t="s">
        <v>249</v>
      </c>
      <c r="B113" s="1412"/>
      <c r="C113" s="1359"/>
      <c r="D113" s="743"/>
      <c r="E113" s="652">
        <f>'[1]26'!F113</f>
        <v>0</v>
      </c>
      <c r="F113" s="776"/>
      <c r="G113" s="652"/>
      <c r="H113" s="653"/>
      <c r="I113" s="652"/>
      <c r="J113" s="679">
        <f>H113/DAY(B2)</f>
        <v>0</v>
      </c>
      <c r="N113" s="410"/>
    </row>
    <row r="114" spans="1:14" s="524" customFormat="1" ht="27.75" x14ac:dyDescent="0.5">
      <c r="A114" s="1406" t="s">
        <v>250</v>
      </c>
      <c r="B114" s="1407"/>
      <c r="C114" s="695"/>
      <c r="D114" s="743" t="s">
        <v>171</v>
      </c>
      <c r="E114" s="652">
        <f>'[1]26'!F114</f>
        <v>9179</v>
      </c>
      <c r="F114" s="776">
        <v>9193</v>
      </c>
      <c r="G114" s="654">
        <f>F114-E114</f>
        <v>14</v>
      </c>
      <c r="H114" s="653">
        <f>SUM(G114+'[1]1'!G91)</f>
        <v>14</v>
      </c>
      <c r="I114" s="652"/>
      <c r="J114" s="679">
        <f>H114/DAY(B2)</f>
        <v>0.51851851851851849</v>
      </c>
      <c r="N114" s="410"/>
    </row>
    <row r="115" spans="1:14" s="524" customFormat="1" ht="27.75" x14ac:dyDescent="0.5">
      <c r="A115" s="1406" t="s">
        <v>251</v>
      </c>
      <c r="B115" s="1407"/>
      <c r="C115" s="695"/>
      <c r="D115" s="743" t="s">
        <v>171</v>
      </c>
      <c r="E115" s="652">
        <f>'[1]26'!F115</f>
        <v>7134</v>
      </c>
      <c r="F115" s="776">
        <v>7152</v>
      </c>
      <c r="G115" s="654">
        <f t="shared" ref="G115:G116" si="13">F115-E115</f>
        <v>18</v>
      </c>
      <c r="H115" s="653">
        <f>SUM(G115+'[1]1'!G92)</f>
        <v>130</v>
      </c>
      <c r="I115" s="652"/>
      <c r="J115" s="679">
        <f>H115/DAY(B2)</f>
        <v>4.8148148148148149</v>
      </c>
      <c r="N115" s="410"/>
    </row>
    <row r="116" spans="1:14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776"/>
      <c r="G116" s="654">
        <f t="shared" si="13"/>
        <v>0</v>
      </c>
      <c r="H116" s="653">
        <f>SUM(G116+'[1]1'!G93)</f>
        <v>151</v>
      </c>
      <c r="I116" s="652"/>
      <c r="J116" s="679">
        <f>H116/DAY(B2)</f>
        <v>5.5925925925925926</v>
      </c>
      <c r="N116" s="410"/>
    </row>
    <row r="117" spans="1:14" s="537" customFormat="1" ht="27.75" x14ac:dyDescent="0.5">
      <c r="A117" s="1409" t="s">
        <v>82</v>
      </c>
      <c r="B117" s="1410"/>
      <c r="C117" s="695"/>
      <c r="D117" s="744"/>
      <c r="E117" s="654"/>
      <c r="F117" s="776"/>
      <c r="G117" s="654">
        <f>SUM(G114:G116)</f>
        <v>32</v>
      </c>
      <c r="H117" s="653">
        <f>SUM(G117+'[1]1'!G95)</f>
        <v>79</v>
      </c>
      <c r="I117" s="654"/>
      <c r="J117" s="679">
        <f>H117/DAY(B2)</f>
        <v>2.925925925925926</v>
      </c>
      <c r="N117" s="410"/>
    </row>
    <row r="118" spans="1:14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185</v>
      </c>
      <c r="G118" s="656">
        <f>SUM(G19+G92)</f>
        <v>185</v>
      </c>
      <c r="H118" s="653">
        <f>SUM(G118+'[1]1'!G96)</f>
        <v>218</v>
      </c>
      <c r="I118" s="655"/>
      <c r="J118" s="680">
        <f>H118/DAY(B2)</f>
        <v>8.0740740740740744</v>
      </c>
      <c r="N118" s="410"/>
    </row>
    <row r="119" spans="1:14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170</v>
      </c>
      <c r="G119" s="656">
        <f>SUM(G95,G96,G97,G99,G100)</f>
        <v>170</v>
      </c>
      <c r="H119" s="653">
        <f>SUM(G119+'[1]1'!G98)</f>
        <v>237</v>
      </c>
      <c r="I119" s="655"/>
      <c r="J119" s="680">
        <f>H119/DAY(B2)</f>
        <v>8.7777777777777786</v>
      </c>
      <c r="N119" s="410"/>
    </row>
    <row r="120" spans="1:14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776">
        <f>SUM(G112)</f>
        <v>96</v>
      </c>
      <c r="G120" s="654">
        <f>SUM(G112)</f>
        <v>96</v>
      </c>
      <c r="H120" s="653">
        <f>SUM(G120+'[1]1'!G100)</f>
        <v>96</v>
      </c>
      <c r="I120" s="655"/>
      <c r="J120" s="680">
        <f>H120/DAY(B2)</f>
        <v>3.5555555555555554</v>
      </c>
      <c r="N120" s="410"/>
    </row>
    <row r="121" spans="1:14" s="524" customFormat="1" ht="27.75" x14ac:dyDescent="0.5">
      <c r="A121" s="1439"/>
      <c r="B121" s="1440"/>
      <c r="C121" s="1363"/>
      <c r="D121" s="681"/>
      <c r="E121" s="681"/>
      <c r="F121" s="778" t="s">
        <v>143</v>
      </c>
      <c r="G121" s="681"/>
      <c r="H121" s="682"/>
      <c r="I121" s="681"/>
      <c r="J121" s="683"/>
      <c r="N121" s="410"/>
    </row>
    <row r="122" spans="1:14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410"/>
    </row>
    <row r="123" spans="1:14" ht="27.75" x14ac:dyDescent="0.5">
      <c r="A123" s="1354" t="s">
        <v>257</v>
      </c>
      <c r="B123" s="1355"/>
      <c r="C123" s="1355"/>
      <c r="D123" s="643" t="s">
        <v>168</v>
      </c>
      <c r="E123" s="598">
        <f>'[1]26'!F123</f>
        <v>794237.7</v>
      </c>
      <c r="F123" s="598">
        <v>794458.67</v>
      </c>
      <c r="G123" s="593">
        <f>F123-E123</f>
        <v>220.97000000008848</v>
      </c>
      <c r="H123" s="580">
        <f>G123+'[1]26'!H123</f>
        <v>5627.6000000000931</v>
      </c>
      <c r="I123" s="646">
        <f>G123/5</f>
        <v>44.194000000017695</v>
      </c>
      <c r="J123" s="673">
        <f>H123/DAY(B2)</f>
        <v>208.42962962963307</v>
      </c>
      <c r="K123" s="408"/>
      <c r="L123" s="405"/>
      <c r="N123" s="410"/>
    </row>
    <row r="124" spans="1:14" ht="27.75" x14ac:dyDescent="0.5">
      <c r="A124" s="1354" t="s">
        <v>258</v>
      </c>
      <c r="B124" s="1355"/>
      <c r="C124" s="1355"/>
      <c r="D124" s="643" t="s">
        <v>168</v>
      </c>
      <c r="E124" s="747">
        <f>'[1]26'!F124</f>
        <v>73582.2</v>
      </c>
      <c r="F124" s="747">
        <v>73581.899999999994</v>
      </c>
      <c r="G124" s="593">
        <f t="shared" ref="G124:G127" si="14">F124-E124</f>
        <v>-0.30000000000291038</v>
      </c>
      <c r="H124" s="580">
        <f>G124+'[1]26'!H124</f>
        <v>-0.30000000000291038</v>
      </c>
      <c r="I124" s="646"/>
      <c r="J124" s="673">
        <f>H124/DAY(B2)</f>
        <v>-1.1111111111218904E-2</v>
      </c>
      <c r="K124" s="408"/>
      <c r="L124" s="405"/>
      <c r="N124" s="410"/>
    </row>
    <row r="125" spans="1:14" ht="27.75" x14ac:dyDescent="0.5">
      <c r="A125" s="1395" t="s">
        <v>259</v>
      </c>
      <c r="B125" s="1396"/>
      <c r="C125" s="1397"/>
      <c r="D125" s="643" t="s">
        <v>168</v>
      </c>
      <c r="E125" s="598">
        <f>'[1]26'!F125</f>
        <v>135241.01999999999</v>
      </c>
      <c r="F125" s="605">
        <v>135326.82</v>
      </c>
      <c r="G125" s="593">
        <f t="shared" si="14"/>
        <v>85.800000000017462</v>
      </c>
      <c r="H125" s="580">
        <f>G125+'[1]26'!H125</f>
        <v>2203.9400000000023</v>
      </c>
      <c r="I125" s="646"/>
      <c r="J125" s="673">
        <f>H125/DAY(B2)</f>
        <v>81.627407407407489</v>
      </c>
      <c r="K125" s="408"/>
      <c r="L125" s="405"/>
      <c r="N125" s="410"/>
    </row>
    <row r="126" spans="1:14" ht="27.75" x14ac:dyDescent="0.5">
      <c r="A126" s="730" t="s">
        <v>260</v>
      </c>
      <c r="B126" s="1355"/>
      <c r="C126" s="1355"/>
      <c r="D126" s="643" t="s">
        <v>168</v>
      </c>
      <c r="E126" s="605">
        <f>'[1]26'!F126</f>
        <v>57217.7</v>
      </c>
      <c r="F126" s="605">
        <v>57250.400000000001</v>
      </c>
      <c r="G126" s="593">
        <f t="shared" si="14"/>
        <v>32.700000000004366</v>
      </c>
      <c r="H126" s="580">
        <f>G126+'[1]26'!H126</f>
        <v>902.20000000000437</v>
      </c>
      <c r="I126" s="646"/>
      <c r="J126" s="673">
        <f>H126/DAY(B2)</f>
        <v>33.414814814814974</v>
      </c>
      <c r="K126" s="408"/>
      <c r="L126" s="405"/>
      <c r="N126" s="410"/>
    </row>
    <row r="127" spans="1:14" ht="27.75" x14ac:dyDescent="0.5">
      <c r="A127" s="730" t="s">
        <v>261</v>
      </c>
      <c r="B127" s="1355"/>
      <c r="C127" s="1355"/>
      <c r="D127" s="643" t="s">
        <v>168</v>
      </c>
      <c r="E127" s="747">
        <f>'[1]26'!F127</f>
        <v>8694.2999999999993</v>
      </c>
      <c r="F127" s="747">
        <v>8698.4</v>
      </c>
      <c r="G127" s="593">
        <f t="shared" si="14"/>
        <v>4.1000000000003638</v>
      </c>
      <c r="H127" s="580">
        <f>G127+'[1]26'!H127</f>
        <v>58.299999999999272</v>
      </c>
      <c r="I127" s="600"/>
      <c r="J127" s="673">
        <f>H127/DAY(B2)</f>
        <v>2.1592592592592323</v>
      </c>
      <c r="K127" s="408"/>
      <c r="L127" s="405"/>
      <c r="N127" s="410"/>
    </row>
    <row r="128" spans="1:14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358.75999999968735</v>
      </c>
      <c r="H128" s="580">
        <f>G128+'[1]26'!H128</f>
        <v>4290.9499999998534</v>
      </c>
      <c r="I128" s="600"/>
      <c r="J128" s="673">
        <f>H128/DAY(B2)</f>
        <v>158.92407407406864</v>
      </c>
      <c r="K128" s="388"/>
      <c r="L128" s="290"/>
      <c r="N128" s="410"/>
    </row>
    <row r="129" spans="1:14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N129" s="410"/>
    </row>
    <row r="130" spans="1:14" ht="27.75" x14ac:dyDescent="0.5">
      <c r="A130" s="1354" t="s">
        <v>264</v>
      </c>
      <c r="B130" s="1355"/>
      <c r="C130" s="1355"/>
      <c r="D130" s="643" t="s">
        <v>265</v>
      </c>
      <c r="E130" s="604">
        <f>'[1]26'!F130</f>
        <v>0</v>
      </c>
      <c r="F130" s="598">
        <v>0</v>
      </c>
      <c r="G130" s="593">
        <f t="shared" ref="G130:G140" si="15">F130-E130</f>
        <v>0</v>
      </c>
      <c r="H130" s="580">
        <f>G130+'[1]26'!H130</f>
        <v>0</v>
      </c>
      <c r="I130" s="600"/>
      <c r="J130" s="673">
        <f>H130/DAY(B2)</f>
        <v>0</v>
      </c>
      <c r="N130" s="410"/>
    </row>
    <row r="131" spans="1:14" ht="27.75" x14ac:dyDescent="0.5">
      <c r="A131" s="1354" t="s">
        <v>266</v>
      </c>
      <c r="B131" s="1355"/>
      <c r="C131" s="1355"/>
      <c r="D131" s="643" t="s">
        <v>265</v>
      </c>
      <c r="E131" s="604">
        <f>'[1]26'!F131</f>
        <v>0</v>
      </c>
      <c r="F131" s="598">
        <v>0</v>
      </c>
      <c r="G131" s="593">
        <f t="shared" si="15"/>
        <v>0</v>
      </c>
      <c r="H131" s="580">
        <f>G131+'[1]26'!H131</f>
        <v>0</v>
      </c>
      <c r="I131" s="600"/>
      <c r="J131" s="673">
        <f>H131/DAY(B2)</f>
        <v>0</v>
      </c>
      <c r="N131" s="410"/>
    </row>
    <row r="132" spans="1:14" ht="27.75" x14ac:dyDescent="0.5">
      <c r="A132" s="1354" t="s">
        <v>267</v>
      </c>
      <c r="B132" s="1355"/>
      <c r="C132" s="1355"/>
      <c r="D132" s="643" t="s">
        <v>265</v>
      </c>
      <c r="E132" s="604">
        <f>'[1]26'!F132</f>
        <v>38901</v>
      </c>
      <c r="F132" s="605">
        <v>38901</v>
      </c>
      <c r="G132" s="593">
        <f t="shared" si="15"/>
        <v>0</v>
      </c>
      <c r="H132" s="580">
        <f>G132+'[1]26'!H132</f>
        <v>0</v>
      </c>
      <c r="I132" s="600"/>
      <c r="J132" s="673">
        <f>H132/DAY(B2)</f>
        <v>0</v>
      </c>
      <c r="N132" s="410"/>
    </row>
    <row r="133" spans="1:14" ht="27.75" x14ac:dyDescent="0.5">
      <c r="A133" s="1354" t="s">
        <v>268</v>
      </c>
      <c r="B133" s="1355"/>
      <c r="C133" s="1355"/>
      <c r="D133" s="643" t="s">
        <v>265</v>
      </c>
      <c r="E133" s="642">
        <f>'[1]26'!F133</f>
        <v>299</v>
      </c>
      <c r="F133" s="768">
        <v>299</v>
      </c>
      <c r="G133" s="593">
        <f t="shared" si="15"/>
        <v>0</v>
      </c>
      <c r="H133" s="580">
        <f>G133+'[1]26'!H133</f>
        <v>299</v>
      </c>
      <c r="I133" s="600">
        <f>G130+G131+G132+G133</f>
        <v>0</v>
      </c>
      <c r="J133" s="673">
        <f>H133/DAY(B2)</f>
        <v>11.074074074074074</v>
      </c>
      <c r="N133" s="410"/>
    </row>
    <row r="134" spans="1:14" ht="27.75" x14ac:dyDescent="0.5">
      <c r="A134" s="1354" t="s">
        <v>269</v>
      </c>
      <c r="B134" s="1355"/>
      <c r="C134" s="1355"/>
      <c r="D134" s="643" t="s">
        <v>265</v>
      </c>
      <c r="E134" s="642">
        <f>'[1]26'!F134</f>
        <v>39735</v>
      </c>
      <c r="F134" s="605">
        <v>39735</v>
      </c>
      <c r="G134" s="593">
        <f t="shared" si="15"/>
        <v>0</v>
      </c>
      <c r="H134" s="580">
        <f>G134+'[1]26'!H134</f>
        <v>24</v>
      </c>
      <c r="I134" s="600"/>
      <c r="J134" s="673">
        <f>H134/DAY(B2)</f>
        <v>0.88888888888888884</v>
      </c>
      <c r="N134" s="410"/>
    </row>
    <row r="135" spans="1:14" ht="27.75" x14ac:dyDescent="0.5">
      <c r="A135" s="1354" t="s">
        <v>270</v>
      </c>
      <c r="B135" s="1355"/>
      <c r="C135" s="1355"/>
      <c r="D135" s="643" t="s">
        <v>265</v>
      </c>
      <c r="E135" s="642">
        <f>'[1]26'!F135</f>
        <v>32047.07</v>
      </c>
      <c r="F135" s="605">
        <v>32071.15</v>
      </c>
      <c r="G135" s="593">
        <f t="shared" si="15"/>
        <v>24.080000000001746</v>
      </c>
      <c r="H135" s="580">
        <f>G135+'[1]26'!H135</f>
        <v>109.15000000000146</v>
      </c>
      <c r="I135" s="600"/>
      <c r="J135" s="673">
        <f>H135/DAY(B2)</f>
        <v>4.0425925925926469</v>
      </c>
      <c r="N135" s="410"/>
    </row>
    <row r="136" spans="1:14" ht="27.75" x14ac:dyDescent="0.5">
      <c r="A136" s="1354" t="s">
        <v>271</v>
      </c>
      <c r="B136" s="1355"/>
      <c r="C136" s="1355"/>
      <c r="D136" s="643" t="s">
        <v>265</v>
      </c>
      <c r="E136" s="642">
        <f>'[1]26'!F136</f>
        <v>21789.55</v>
      </c>
      <c r="F136" s="605">
        <v>21789.55</v>
      </c>
      <c r="G136" s="593">
        <f t="shared" si="15"/>
        <v>0</v>
      </c>
      <c r="H136" s="580">
        <f>G136+'[1]26'!H136</f>
        <v>114.82999999999811</v>
      </c>
      <c r="I136" s="600">
        <f>G134+G135+G136</f>
        <v>24.080000000001746</v>
      </c>
      <c r="J136" s="673">
        <f>H136/DAY(B2)</f>
        <v>4.2529629629628927</v>
      </c>
      <c r="N136" s="410"/>
    </row>
    <row r="137" spans="1:14" ht="27.75" x14ac:dyDescent="0.5">
      <c r="A137" s="1354" t="s">
        <v>272</v>
      </c>
      <c r="B137" s="1355"/>
      <c r="C137" s="1355"/>
      <c r="D137" s="643" t="s">
        <v>265</v>
      </c>
      <c r="E137" s="642">
        <f>'[1]26'!F137</f>
        <v>24968.03</v>
      </c>
      <c r="F137" s="768">
        <v>24974.13</v>
      </c>
      <c r="G137" s="593">
        <f t="shared" si="15"/>
        <v>6.1000000000021828</v>
      </c>
      <c r="H137" s="580">
        <f>G137+'[1]26'!H137</f>
        <v>15.100000000002183</v>
      </c>
      <c r="I137" s="600"/>
      <c r="J137" s="673">
        <f>H137/DAY(B2)</f>
        <v>0.55925925925934006</v>
      </c>
      <c r="N137" s="410"/>
    </row>
    <row r="138" spans="1:14" ht="27.75" x14ac:dyDescent="0.5">
      <c r="A138" s="1354" t="s">
        <v>273</v>
      </c>
      <c r="B138" s="1355"/>
      <c r="C138" s="1355"/>
      <c r="D138" s="643" t="s">
        <v>265</v>
      </c>
      <c r="E138" s="642">
        <f>'[1]26'!F138</f>
        <v>70006.37</v>
      </c>
      <c r="F138" s="605">
        <v>70006.37</v>
      </c>
      <c r="G138" s="593">
        <f t="shared" si="15"/>
        <v>0</v>
      </c>
      <c r="H138" s="580">
        <f>G138+'[1]26'!H138</f>
        <v>20.369999999995343</v>
      </c>
      <c r="I138" s="600">
        <f>G137+G138</f>
        <v>6.1000000000021828</v>
      </c>
      <c r="J138" s="673">
        <f>H138/DAY(B2)</f>
        <v>0.75444444444427194</v>
      </c>
      <c r="N138" s="410"/>
    </row>
    <row r="139" spans="1:14" ht="27.75" x14ac:dyDescent="0.5">
      <c r="A139" s="1354" t="s">
        <v>274</v>
      </c>
      <c r="B139" s="1355"/>
      <c r="C139" s="1355"/>
      <c r="D139" s="643" t="s">
        <v>265</v>
      </c>
      <c r="E139" s="642">
        <f>'[1]26'!F139</f>
        <v>1062.6300000000001</v>
      </c>
      <c r="F139" s="605">
        <v>1062.6300000000001</v>
      </c>
      <c r="G139" s="593">
        <f t="shared" si="15"/>
        <v>0</v>
      </c>
      <c r="H139" s="580">
        <f>G139+'[1]26'!H139</f>
        <v>121.10000000000014</v>
      </c>
      <c r="I139" s="663"/>
      <c r="J139" s="673">
        <f>H139/DAY(B2)</f>
        <v>4.4851851851851903</v>
      </c>
      <c r="N139" s="410"/>
    </row>
    <row r="140" spans="1:14" ht="27.75" x14ac:dyDescent="0.5">
      <c r="A140" s="1354" t="s">
        <v>275</v>
      </c>
      <c r="B140" s="1355"/>
      <c r="C140" s="1355"/>
      <c r="D140" s="643" t="s">
        <v>265</v>
      </c>
      <c r="E140" s="604">
        <f>'[1]26'!F140</f>
        <v>4193.32</v>
      </c>
      <c r="F140" s="598">
        <v>4200.67</v>
      </c>
      <c r="G140" s="593">
        <f t="shared" si="15"/>
        <v>7.3500000000003638</v>
      </c>
      <c r="H140" s="580">
        <f>G140+'[1]26'!H140</f>
        <v>43.770000000000437</v>
      </c>
      <c r="I140" s="663"/>
      <c r="J140" s="673">
        <f>H140/DAY(B2)</f>
        <v>1.6211111111111274</v>
      </c>
      <c r="N140" s="410"/>
    </row>
    <row r="141" spans="1:14" x14ac:dyDescent="0.5">
      <c r="A141" s="1433" t="s">
        <v>276</v>
      </c>
      <c r="B141" s="1434"/>
      <c r="C141" s="1358"/>
      <c r="D141" s="592"/>
      <c r="E141" s="592"/>
      <c r="F141" s="592" t="s">
        <v>143</v>
      </c>
      <c r="G141" s="603"/>
      <c r="H141" s="603"/>
      <c r="I141" s="603"/>
      <c r="J141" s="684"/>
      <c r="K141" s="408"/>
      <c r="L141" s="405"/>
      <c r="N141" s="410"/>
    </row>
    <row r="142" spans="1:14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5197.0400000000081</v>
      </c>
      <c r="H142" s="580">
        <f>G142+'[1]26'!H142</f>
        <v>134794.63299999997</v>
      </c>
      <c r="I142" s="600"/>
      <c r="J142" s="673">
        <f>H142/DAY(B2)</f>
        <v>4992.3938148148136</v>
      </c>
      <c r="K142" s="408"/>
      <c r="L142" s="405"/>
      <c r="N142" s="410"/>
    </row>
    <row r="143" spans="1:14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0.2347989518388004</v>
      </c>
      <c r="H143" s="580">
        <f>G143+'[1]26'!H143</f>
        <v>6.5332369796309759</v>
      </c>
      <c r="I143" s="665"/>
      <c r="J143" s="673">
        <f>H143/DAY(B2)</f>
        <v>0.24197173998633245</v>
      </c>
      <c r="K143" s="408"/>
      <c r="L143" s="405"/>
      <c r="N143" s="410"/>
    </row>
    <row r="144" spans="1:14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5269.2399999999907</v>
      </c>
      <c r="H144" s="580">
        <f>G144+'[1]26'!H144</f>
        <v>122562.01999999996</v>
      </c>
      <c r="I144" s="600"/>
      <c r="J144" s="673">
        <f>H144/DAY(B2)</f>
        <v>4539.3340740740723</v>
      </c>
      <c r="K144" s="408"/>
      <c r="L144" s="405"/>
      <c r="N144" s="410"/>
    </row>
    <row r="145" spans="1:14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0.23806090178006645</v>
      </c>
      <c r="H145" s="580">
        <f>G145+'[1]26'!H145</f>
        <v>6.0566673401276914</v>
      </c>
      <c r="I145" s="665"/>
      <c r="J145" s="673">
        <f>H145/DAY(B2)</f>
        <v>0.2243210125973219</v>
      </c>
      <c r="K145" s="408"/>
      <c r="L145" s="405"/>
      <c r="N145" s="410"/>
    </row>
    <row r="146" spans="1:14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4508.8399999999965</v>
      </c>
      <c r="H146" s="580">
        <f>G146+'[1]26'!H146</f>
        <v>114658.73299999999</v>
      </c>
      <c r="I146" s="666"/>
      <c r="J146" s="673">
        <f>H146/DAY(B2)</f>
        <v>4246.6197407407408</v>
      </c>
      <c r="K146" s="408"/>
      <c r="L146" s="405"/>
      <c r="N146" s="410"/>
    </row>
    <row r="147" spans="1:14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0.20370651486400995</v>
      </c>
      <c r="H147" s="580">
        <f>G147+'[1]26'!H147</f>
        <v>5.7008392679215971</v>
      </c>
      <c r="I147" s="666"/>
      <c r="J147" s="673">
        <f>H147/DAY(B2)</f>
        <v>0.21114219510820731</v>
      </c>
      <c r="N147" s="410"/>
    </row>
    <row r="148" spans="1:14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2251.5599999999977</v>
      </c>
      <c r="H148" s="580">
        <f>G148+'[1]26'!H148</f>
        <v>54098.320000000007</v>
      </c>
      <c r="I148" s="600"/>
      <c r="J148" s="673">
        <f>H148/DAY(B2)</f>
        <v>2003.6414814814818</v>
      </c>
      <c r="K148" s="409"/>
      <c r="N148" s="410"/>
    </row>
    <row r="149" spans="1:14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0.10172404445649216</v>
      </c>
      <c r="H149" s="580">
        <f>G149+'[1]26'!H149</f>
        <v>2.6820759550229627</v>
      </c>
      <c r="I149" s="666"/>
      <c r="J149" s="673">
        <f>H149/DAY(B2)</f>
        <v>9.9336146482331952E-2</v>
      </c>
      <c r="N149" s="410"/>
    </row>
    <row r="150" spans="1:14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2490.5599999999977</v>
      </c>
      <c r="H150" s="580">
        <f>G150+'[1]26'!H150</f>
        <v>58074.839999999967</v>
      </c>
      <c r="I150" s="666"/>
      <c r="J150" s="673">
        <f>H150/DAY(B2)</f>
        <v>2150.9199999999987</v>
      </c>
      <c r="N150" s="410"/>
    </row>
    <row r="151" spans="1:14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0.11252191199060259</v>
      </c>
      <c r="H151" s="580">
        <f>G151+'[1]26'!H151</f>
        <v>2.8710733991314927</v>
      </c>
      <c r="I151" s="600"/>
      <c r="J151" s="673">
        <f>H151/DAY(B2)</f>
        <v>0.10633605181968492</v>
      </c>
      <c r="N151" s="410"/>
    </row>
    <row r="152" spans="1:14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1517.2700000000041</v>
      </c>
      <c r="H152" s="580">
        <f>G152+'[1]26'!H152</f>
        <v>39712.133000000002</v>
      </c>
      <c r="I152" s="600"/>
      <c r="J152" s="673">
        <f>H152/DAY(B2)</f>
        <v>1470.8197407407408</v>
      </c>
      <c r="N152" s="410"/>
    </row>
    <row r="153" spans="1:14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6.8549290684015732E-2</v>
      </c>
      <c r="H153" s="580">
        <f>G153+'[1]26'!H153</f>
        <v>2.0843297533435927</v>
      </c>
      <c r="I153" s="689"/>
      <c r="J153" s="690">
        <f>H153/DAY(B2)</f>
        <v>7.7197398271984921E-2</v>
      </c>
      <c r="N153" s="410"/>
    </row>
    <row r="154" spans="1:14" x14ac:dyDescent="0.5">
      <c r="A154" s="586"/>
      <c r="B154" s="576"/>
      <c r="C154" s="576"/>
      <c r="D154" s="667"/>
      <c r="E154" s="667"/>
      <c r="F154" s="779"/>
      <c r="G154" s="667"/>
      <c r="H154" s="668"/>
      <c r="I154" s="667"/>
      <c r="J154" s="669"/>
      <c r="N154" s="410"/>
    </row>
    <row r="160" spans="1:14" x14ac:dyDescent="0.5">
      <c r="A160" s="925" t="s">
        <v>289</v>
      </c>
      <c r="B160" s="926"/>
      <c r="C160" s="926"/>
      <c r="D160" s="631" t="s">
        <v>214</v>
      </c>
      <c r="E160" s="662">
        <f>'[1]26'!F160</f>
        <v>25722.400000000001</v>
      </c>
      <c r="F160" s="775">
        <v>25794.86</v>
      </c>
      <c r="G160" s="593">
        <f t="shared" ref="G160:G171" si="16">F160-E160</f>
        <v>72.459999999999127</v>
      </c>
    </row>
    <row r="161" spans="1:7" x14ac:dyDescent="0.5">
      <c r="A161" s="925" t="s">
        <v>290</v>
      </c>
      <c r="B161" s="926"/>
      <c r="C161" s="926"/>
      <c r="D161" s="631" t="s">
        <v>214</v>
      </c>
      <c r="E161" s="662">
        <f>'[1]26'!F161</f>
        <v>26083.01</v>
      </c>
      <c r="F161" s="775">
        <v>26561.45</v>
      </c>
      <c r="G161" s="593">
        <f t="shared" si="16"/>
        <v>478.44000000000233</v>
      </c>
    </row>
    <row r="162" spans="1:7" x14ac:dyDescent="0.5">
      <c r="A162" s="925" t="s">
        <v>291</v>
      </c>
      <c r="B162" s="926"/>
      <c r="C162" s="926"/>
      <c r="D162" s="631" t="s">
        <v>214</v>
      </c>
      <c r="E162" s="662">
        <f>'[1]26'!F162</f>
        <v>2856.08</v>
      </c>
      <c r="F162" s="775">
        <v>3316.57</v>
      </c>
      <c r="G162" s="593">
        <f t="shared" si="16"/>
        <v>460.49000000000024</v>
      </c>
    </row>
    <row r="163" spans="1:7" x14ac:dyDescent="0.5">
      <c r="A163" s="925" t="s">
        <v>292</v>
      </c>
      <c r="B163" s="926"/>
      <c r="C163" s="926"/>
      <c r="D163" s="631" t="s">
        <v>214</v>
      </c>
      <c r="E163" s="662">
        <f>'[1]26'!F163</f>
        <v>4189.7700000000004</v>
      </c>
      <c r="F163" s="775">
        <v>4215.6400000000003</v>
      </c>
      <c r="G163" s="593">
        <f t="shared" si="16"/>
        <v>25.869999999999891</v>
      </c>
    </row>
    <row r="164" spans="1:7" x14ac:dyDescent="0.4">
      <c r="A164" s="927" t="s">
        <v>121</v>
      </c>
      <c r="B164" s="725"/>
      <c r="C164" s="725"/>
      <c r="D164" s="631" t="s">
        <v>214</v>
      </c>
      <c r="E164" s="634">
        <f>E62</f>
        <v>20419.18</v>
      </c>
      <c r="F164" s="634">
        <f>F62</f>
        <v>20419</v>
      </c>
      <c r="G164" s="593">
        <f t="shared" si="16"/>
        <v>-0.18000000000029104</v>
      </c>
    </row>
    <row r="165" spans="1:7" x14ac:dyDescent="0.4">
      <c r="A165" s="927" t="s">
        <v>215</v>
      </c>
      <c r="B165" s="725"/>
      <c r="C165" s="725"/>
      <c r="D165" s="631" t="s">
        <v>214</v>
      </c>
      <c r="E165" s="634">
        <f t="shared" ref="E165:F171" si="17">E63</f>
        <v>1086.8499999999999</v>
      </c>
      <c r="F165" s="634">
        <f t="shared" si="17"/>
        <v>1091</v>
      </c>
      <c r="G165" s="593">
        <f t="shared" si="16"/>
        <v>4.1500000000000909</v>
      </c>
    </row>
    <row r="166" spans="1:7" ht="27.75" x14ac:dyDescent="0.5">
      <c r="A166" s="1450" t="s">
        <v>122</v>
      </c>
      <c r="B166" s="1450"/>
      <c r="C166" s="1450"/>
      <c r="D166" s="643" t="s">
        <v>214</v>
      </c>
      <c r="E166" s="634">
        <f t="shared" si="17"/>
        <v>96391.91</v>
      </c>
      <c r="F166" s="634">
        <f t="shared" si="17"/>
        <v>96764.02</v>
      </c>
      <c r="G166" s="593">
        <f t="shared" si="16"/>
        <v>372.11000000000058</v>
      </c>
    </row>
    <row r="167" spans="1:7" ht="27.75" x14ac:dyDescent="0.5">
      <c r="A167" s="1450" t="s">
        <v>123</v>
      </c>
      <c r="B167" s="1450"/>
      <c r="C167" s="1450"/>
      <c r="D167" s="643" t="s">
        <v>214</v>
      </c>
      <c r="E167" s="634">
        <f t="shared" si="17"/>
        <v>106990.06</v>
      </c>
      <c r="F167" s="634">
        <f t="shared" si="17"/>
        <v>107431.86</v>
      </c>
      <c r="G167" s="593">
        <f t="shared" si="16"/>
        <v>441.80000000000291</v>
      </c>
    </row>
    <row r="168" spans="1:7" ht="27.75" x14ac:dyDescent="0.5">
      <c r="A168" s="1450" t="s">
        <v>124</v>
      </c>
      <c r="B168" s="1450"/>
      <c r="C168" s="1450"/>
      <c r="D168" s="643" t="s">
        <v>214</v>
      </c>
      <c r="E168" s="634">
        <f t="shared" si="17"/>
        <v>462</v>
      </c>
      <c r="F168" s="634">
        <f t="shared" si="17"/>
        <v>876.4</v>
      </c>
      <c r="G168" s="593">
        <f t="shared" si="16"/>
        <v>414.4</v>
      </c>
    </row>
    <row r="169" spans="1:7" ht="27.75" x14ac:dyDescent="0.5">
      <c r="A169" s="1450" t="s">
        <v>125</v>
      </c>
      <c r="B169" s="1450"/>
      <c r="C169" s="1450"/>
      <c r="D169" s="643" t="s">
        <v>214</v>
      </c>
      <c r="E169" s="634">
        <f t="shared" si="17"/>
        <v>164863.34</v>
      </c>
      <c r="F169" s="634">
        <f t="shared" si="17"/>
        <v>165626.29</v>
      </c>
      <c r="G169" s="593">
        <f t="shared" si="16"/>
        <v>762.95000000001164</v>
      </c>
    </row>
    <row r="170" spans="1:7" ht="27.75" x14ac:dyDescent="0.5">
      <c r="A170" s="1450" t="s">
        <v>126</v>
      </c>
      <c r="B170" s="1450"/>
      <c r="C170" s="1450"/>
      <c r="D170" s="643" t="s">
        <v>214</v>
      </c>
      <c r="E170" s="634">
        <f t="shared" si="17"/>
        <v>52127.72</v>
      </c>
      <c r="F170" s="634">
        <f t="shared" si="17"/>
        <v>52430.87</v>
      </c>
      <c r="G170" s="593">
        <f t="shared" si="16"/>
        <v>303.15000000000146</v>
      </c>
    </row>
    <row r="171" spans="1:7" ht="27.75" x14ac:dyDescent="0.5">
      <c r="A171" s="1450" t="s">
        <v>127</v>
      </c>
      <c r="B171" s="1450"/>
      <c r="C171" s="1450"/>
      <c r="D171" s="643" t="s">
        <v>214</v>
      </c>
      <c r="E171" s="634">
        <f t="shared" si="17"/>
        <v>45099.48</v>
      </c>
      <c r="F171" s="634">
        <f t="shared" si="17"/>
        <v>45384.63</v>
      </c>
      <c r="G171" s="593">
        <f t="shared" si="16"/>
        <v>285.14999999999418</v>
      </c>
    </row>
    <row r="172" spans="1:7" x14ac:dyDescent="0.5">
      <c r="G172" s="660">
        <f>SUM(G160:G171)</f>
        <v>3620.7900000000122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2"/>
  <sheetViews>
    <sheetView view="pageBreakPreview" topLeftCell="A106" zoomScale="55" zoomScaleNormal="80" zoomScaleSheetLayoutView="55" workbookViewId="0">
      <selection activeCell="A106" sqref="A1:XFD1048576"/>
    </sheetView>
  </sheetViews>
  <sheetFormatPr defaultColWidth="22.33203125" defaultRowHeight="29.25" x14ac:dyDescent="0.5"/>
  <cols>
    <col min="1" max="1" width="44.5546875" style="574" customWidth="1"/>
    <col min="2" max="2" width="28.6640625" style="577" customWidth="1"/>
    <col min="3" max="3" width="15.88671875" style="577" customWidth="1"/>
    <col min="4" max="4" width="13.6640625" style="658" customWidth="1"/>
    <col min="5" max="5" width="30" style="660" customWidth="1"/>
    <col min="6" max="6" width="30" style="892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5546875" style="1245" customWidth="1"/>
    <col min="15" max="17" width="22.33203125" style="908"/>
    <col min="18" max="16384" width="22.33203125" style="404"/>
  </cols>
  <sheetData>
    <row r="1" spans="1:17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7" s="278" customFormat="1" ht="27" x14ac:dyDescent="0.5">
      <c r="A2" s="696" t="s">
        <v>297</v>
      </c>
      <c r="B2" s="696">
        <v>44193</v>
      </c>
      <c r="C2" s="1361" t="s">
        <v>84</v>
      </c>
      <c r="D2" s="732">
        <v>0.3</v>
      </c>
      <c r="E2" s="872"/>
      <c r="F2" s="872"/>
      <c r="G2" s="581" t="s">
        <v>145</v>
      </c>
      <c r="H2" s="581" t="s">
        <v>20</v>
      </c>
      <c r="I2" s="581" t="s">
        <v>22</v>
      </c>
      <c r="J2" s="734" t="s">
        <v>146</v>
      </c>
      <c r="N2" s="1245"/>
      <c r="O2" s="908"/>
      <c r="P2" s="908"/>
      <c r="Q2" s="908"/>
    </row>
    <row r="3" spans="1:17" s="278" customFormat="1" ht="27" x14ac:dyDescent="0.5">
      <c r="A3" s="691"/>
      <c r="B3" s="735"/>
      <c r="C3" s="1361" t="s">
        <v>147</v>
      </c>
      <c r="D3" s="733">
        <v>28</v>
      </c>
      <c r="E3" s="1422" t="s">
        <v>148</v>
      </c>
      <c r="F3" s="1423"/>
      <c r="G3" s="582"/>
      <c r="H3" s="583"/>
      <c r="I3" s="583"/>
      <c r="J3" s="736"/>
      <c r="K3" s="399"/>
      <c r="L3" s="290"/>
      <c r="N3" s="1245"/>
      <c r="O3" s="908"/>
      <c r="P3" s="908"/>
      <c r="Q3" s="908"/>
    </row>
    <row r="4" spans="1:17" s="278" customFormat="1" ht="27" x14ac:dyDescent="0.5">
      <c r="A4" s="697"/>
      <c r="B4" s="737"/>
      <c r="C4" s="1361" t="s">
        <v>149</v>
      </c>
      <c r="D4" s="732">
        <v>0.82</v>
      </c>
      <c r="E4" s="583"/>
      <c r="F4" s="583"/>
      <c r="G4" s="584"/>
      <c r="H4" s="584"/>
      <c r="I4" s="585"/>
      <c r="J4" s="736"/>
      <c r="K4" s="400"/>
      <c r="L4" s="290"/>
      <c r="N4" s="1245"/>
      <c r="O4" s="908"/>
      <c r="P4" s="910"/>
      <c r="Q4" s="908"/>
    </row>
    <row r="5" spans="1:17" x14ac:dyDescent="0.4">
      <c r="A5" s="698" t="s">
        <v>150</v>
      </c>
      <c r="B5" s="579"/>
      <c r="C5" s="579"/>
      <c r="D5" s="631" t="s">
        <v>151</v>
      </c>
      <c r="E5" s="634" t="s">
        <v>152</v>
      </c>
      <c r="F5" s="634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  <c r="P5" s="910"/>
    </row>
    <row r="6" spans="1:17" x14ac:dyDescent="0.4">
      <c r="A6" s="1416" t="s">
        <v>157</v>
      </c>
      <c r="B6" s="1417"/>
      <c r="C6" s="1418"/>
      <c r="D6" s="591"/>
      <c r="E6" s="615"/>
      <c r="F6" s="615"/>
      <c r="G6" s="591"/>
      <c r="H6" s="592"/>
      <c r="I6" s="592"/>
      <c r="J6" s="672"/>
      <c r="K6" s="507"/>
      <c r="L6" s="405"/>
      <c r="M6" s="404">
        <v>1691553</v>
      </c>
    </row>
    <row r="7" spans="1:17" ht="30" thickBot="1" x14ac:dyDescent="0.45">
      <c r="A7" s="793" t="s">
        <v>158</v>
      </c>
      <c r="B7" s="794"/>
      <c r="C7" s="794"/>
      <c r="D7" s="759" t="s">
        <v>159</v>
      </c>
      <c r="E7" s="796">
        <f>'[1]27'!F7</f>
        <v>3212927</v>
      </c>
      <c r="F7" s="580">
        <v>3231687</v>
      </c>
      <c r="G7" s="795">
        <f>F7-E7</f>
        <v>18760</v>
      </c>
      <c r="H7" s="796">
        <f>G7+'[1]27'!H7</f>
        <v>563242</v>
      </c>
      <c r="I7" s="797">
        <f>'[1]1'!I7</f>
        <v>12000</v>
      </c>
      <c r="J7" s="798">
        <f>H7/DAY(B2)</f>
        <v>20115.785714285714</v>
      </c>
      <c r="K7" s="670"/>
      <c r="L7" s="405"/>
      <c r="N7" s="1246">
        <f>F7-'[1]1'!E7</f>
        <v>563242</v>
      </c>
    </row>
    <row r="8" spans="1:17" ht="27.75" thickBot="1" x14ac:dyDescent="0.45">
      <c r="A8" s="799" t="s">
        <v>160</v>
      </c>
      <c r="B8" s="800"/>
      <c r="C8" s="801"/>
      <c r="D8" s="802" t="s">
        <v>39</v>
      </c>
      <c r="E8" s="796">
        <f>'[1]27'!F8</f>
        <v>3232082</v>
      </c>
      <c r="F8" s="873">
        <v>3250992</v>
      </c>
      <c r="G8" s="806">
        <f>F8-E8</f>
        <v>18910</v>
      </c>
      <c r="H8" s="796">
        <f>G8+'[1]27'!H8</f>
        <v>567953</v>
      </c>
      <c r="I8" s="803">
        <f>'[1]1'!I8</f>
        <v>12000</v>
      </c>
      <c r="J8" s="798">
        <f>H8/DAY(B2)</f>
        <v>20284.035714285714</v>
      </c>
      <c r="K8" s="670"/>
      <c r="L8" s="460">
        <v>1375467</v>
      </c>
      <c r="M8" s="522">
        <v>1703438</v>
      </c>
      <c r="N8" s="1246">
        <f>F8-'[1]1'!E8</f>
        <v>567953</v>
      </c>
    </row>
    <row r="9" spans="1:17" x14ac:dyDescent="0.4">
      <c r="A9" s="804" t="s">
        <v>161</v>
      </c>
      <c r="B9" s="805"/>
      <c r="C9" s="805"/>
      <c r="D9" s="759" t="s">
        <v>159</v>
      </c>
      <c r="E9" s="796">
        <f>'[1]27'!F9</f>
        <v>2394997.9</v>
      </c>
      <c r="F9" s="874">
        <v>2397574.2999999998</v>
      </c>
      <c r="G9" s="819">
        <f t="shared" ref="G9:G12" si="0">F9-E9</f>
        <v>2576.3999999999069</v>
      </c>
      <c r="H9" s="796">
        <f>G9+'[1]27'!H9</f>
        <v>140537.79999999981</v>
      </c>
      <c r="I9" s="807">
        <f>I8-J8</f>
        <v>-8284.0357142857138</v>
      </c>
      <c r="J9" s="798">
        <f>H9/DAY(B2)</f>
        <v>5019.2071428571362</v>
      </c>
      <c r="K9" s="508"/>
      <c r="L9" s="405"/>
      <c r="N9" s="1246">
        <f>F9-'[1]1'!E9</f>
        <v>140537.79999999981</v>
      </c>
    </row>
    <row r="10" spans="1:17" x14ac:dyDescent="0.4">
      <c r="A10" s="793" t="s">
        <v>162</v>
      </c>
      <c r="B10" s="794"/>
      <c r="C10" s="794"/>
      <c r="D10" s="759" t="s">
        <v>159</v>
      </c>
      <c r="E10" s="796">
        <f>'[1]27'!F10</f>
        <v>689980</v>
      </c>
      <c r="F10" s="874">
        <v>705459.51</v>
      </c>
      <c r="G10" s="806">
        <f t="shared" si="0"/>
        <v>15479.510000000009</v>
      </c>
      <c r="H10" s="796">
        <f>G10+'[1]27'!H10</f>
        <v>402509.22000000003</v>
      </c>
      <c r="I10" s="808"/>
      <c r="J10" s="798">
        <f>H10/DAY(B2)</f>
        <v>14375.329285714286</v>
      </c>
      <c r="K10" s="508"/>
      <c r="L10" s="405"/>
      <c r="M10" s="404">
        <f>170</f>
        <v>170</v>
      </c>
      <c r="N10" s="1246">
        <f>F10-'[1]1'!E10</f>
        <v>402509.22000000003</v>
      </c>
    </row>
    <row r="11" spans="1:17" x14ac:dyDescent="0.4">
      <c r="A11" s="793" t="s">
        <v>163</v>
      </c>
      <c r="B11" s="794"/>
      <c r="C11" s="794"/>
      <c r="D11" s="759" t="s">
        <v>159</v>
      </c>
      <c r="E11" s="796">
        <f>'[1]27'!F11</f>
        <v>35390</v>
      </c>
      <c r="F11" s="580">
        <v>35390</v>
      </c>
      <c r="G11" s="806">
        <f t="shared" si="0"/>
        <v>0</v>
      </c>
      <c r="H11" s="796">
        <f>G11+'[1]27'!H11</f>
        <v>0</v>
      </c>
      <c r="I11" s="808"/>
      <c r="J11" s="798">
        <f>H11/DAY(B2)</f>
        <v>0</v>
      </c>
      <c r="K11" s="508"/>
      <c r="L11" s="405"/>
      <c r="N11" s="1246">
        <f>F11-'[1]1'!E11</f>
        <v>0</v>
      </c>
    </row>
    <row r="12" spans="1:17" x14ac:dyDescent="0.4">
      <c r="A12" s="793" t="s">
        <v>164</v>
      </c>
      <c r="B12" s="794"/>
      <c r="C12" s="794"/>
      <c r="D12" s="759" t="s">
        <v>159</v>
      </c>
      <c r="E12" s="796">
        <f>'[1]27'!F12</f>
        <v>37630</v>
      </c>
      <c r="F12" s="874">
        <v>37630</v>
      </c>
      <c r="G12" s="806">
        <f t="shared" si="0"/>
        <v>0</v>
      </c>
      <c r="H12" s="796">
        <f>G12+'[1]27'!H12</f>
        <v>0</v>
      </c>
      <c r="I12" s="808"/>
      <c r="J12" s="798">
        <f>H12/DAY(B2)</f>
        <v>0</v>
      </c>
      <c r="K12" s="508"/>
      <c r="L12" s="405"/>
      <c r="N12" s="1246">
        <f>F12-'[1]1'!E12</f>
        <v>0</v>
      </c>
    </row>
    <row r="13" spans="1:17" x14ac:dyDescent="0.5">
      <c r="A13" s="809" t="s">
        <v>165</v>
      </c>
      <c r="B13" s="810"/>
      <c r="C13" s="810"/>
      <c r="D13" s="759"/>
      <c r="E13" s="796"/>
      <c r="F13" s="580"/>
      <c r="G13" s="811">
        <f>G9+G10+G11+G12</f>
        <v>18055.909999999916</v>
      </c>
      <c r="H13" s="796">
        <f>G13+'[1]27'!H13</f>
        <v>521187.70999999985</v>
      </c>
      <c r="I13" s="812">
        <f>G7-G13</f>
        <v>704.09000000008382</v>
      </c>
      <c r="J13" s="798">
        <f>H13/DAY(B2)</f>
        <v>18613.846785714279</v>
      </c>
      <c r="K13" s="508"/>
      <c r="L13" s="405"/>
      <c r="N13" s="1246">
        <f>F13-'[1]1'!E13</f>
        <v>0</v>
      </c>
    </row>
    <row r="14" spans="1:17" x14ac:dyDescent="0.5">
      <c r="A14" s="1419" t="s">
        <v>166</v>
      </c>
      <c r="B14" s="1420"/>
      <c r="C14" s="1421"/>
      <c r="D14" s="592"/>
      <c r="E14" s="875"/>
      <c r="F14" s="875"/>
      <c r="G14" s="603"/>
      <c r="H14" s="592"/>
      <c r="I14" s="592"/>
      <c r="J14" s="672"/>
      <c r="K14" s="509"/>
      <c r="L14" s="405"/>
      <c r="N14" s="1246">
        <f>F14-'[1]1'!E14</f>
        <v>0</v>
      </c>
    </row>
    <row r="15" spans="1:17" x14ac:dyDescent="0.5">
      <c r="A15" s="782" t="s">
        <v>167</v>
      </c>
      <c r="B15" s="783"/>
      <c r="C15" s="783"/>
      <c r="D15" s="784" t="s">
        <v>168</v>
      </c>
      <c r="E15" s="893">
        <f>'[1]27'!F15</f>
        <v>1565893.14</v>
      </c>
      <c r="F15" s="876">
        <v>1566669.95</v>
      </c>
      <c r="G15" s="781">
        <f>(F15-E15)</f>
        <v>776.81000000005588</v>
      </c>
      <c r="H15" s="1231">
        <f>G15+'[1]27'!H15</f>
        <v>19772.348999999929</v>
      </c>
      <c r="I15" s="1232">
        <v>800</v>
      </c>
      <c r="J15" s="1233">
        <f>H15/DAY(B2)</f>
        <v>706.15532142856887</v>
      </c>
      <c r="K15" s="508"/>
      <c r="L15" s="405"/>
      <c r="N15" s="1246">
        <f>F15-'[1]1'!E15</f>
        <v>19772.348999999929</v>
      </c>
    </row>
    <row r="16" spans="1:17" x14ac:dyDescent="0.4">
      <c r="A16" s="790"/>
      <c r="B16" s="791"/>
      <c r="C16" s="791"/>
      <c r="D16" s="784"/>
      <c r="E16" s="893"/>
      <c r="F16" s="876"/>
      <c r="G16" s="786"/>
      <c r="H16" s="1231"/>
      <c r="I16" s="1234">
        <f>I15-J15</f>
        <v>93.844678571431132</v>
      </c>
      <c r="J16" s="1233"/>
      <c r="K16" s="508"/>
      <c r="L16" s="405"/>
      <c r="N16" s="1246">
        <f>F16-'[1]1'!E16</f>
        <v>0</v>
      </c>
    </row>
    <row r="17" spans="1:17" x14ac:dyDescent="0.5">
      <c r="A17" s="1419" t="s">
        <v>169</v>
      </c>
      <c r="B17" s="1420"/>
      <c r="C17" s="1421"/>
      <c r="D17" s="592"/>
      <c r="E17" s="875"/>
      <c r="F17" s="875"/>
      <c r="G17" s="608"/>
      <c r="H17" s="592"/>
      <c r="I17" s="592"/>
      <c r="J17" s="672"/>
      <c r="K17" s="508"/>
      <c r="L17" s="405"/>
      <c r="N17" s="1246">
        <f>F17-'[1]1'!E17</f>
        <v>0</v>
      </c>
    </row>
    <row r="18" spans="1:17" ht="27.75" x14ac:dyDescent="0.5">
      <c r="A18" s="1460" t="s">
        <v>170</v>
      </c>
      <c r="B18" s="1461"/>
      <c r="C18" s="1462"/>
      <c r="D18" s="759" t="s">
        <v>171</v>
      </c>
      <c r="E18" s="894">
        <f>'[1]27'!F18</f>
        <v>13</v>
      </c>
      <c r="F18" s="874">
        <v>16</v>
      </c>
      <c r="G18" s="811">
        <f>F18*10</f>
        <v>160</v>
      </c>
      <c r="H18" s="796">
        <f>G18+'[1]27'!H18</f>
        <v>3870</v>
      </c>
      <c r="I18" s="797">
        <f>'[1]1'!I18</f>
        <v>65</v>
      </c>
      <c r="J18" s="798">
        <f>H18/DAY(B2)</f>
        <v>138.21428571428572</v>
      </c>
      <c r="K18" s="508"/>
      <c r="L18" s="405"/>
      <c r="N18" s="1246">
        <f>F18-'[1]1'!E18</f>
        <v>3</v>
      </c>
    </row>
    <row r="19" spans="1:17" ht="27.75" x14ac:dyDescent="0.5">
      <c r="A19" s="1460" t="s">
        <v>86</v>
      </c>
      <c r="B19" s="1461"/>
      <c r="C19" s="1462"/>
      <c r="D19" s="759" t="s">
        <v>171</v>
      </c>
      <c r="E19" s="894">
        <f>'[1]27'!F19</f>
        <v>131274</v>
      </c>
      <c r="F19" s="874">
        <v>131330</v>
      </c>
      <c r="G19" s="806">
        <f t="shared" ref="G19" si="1">F19-E19</f>
        <v>56</v>
      </c>
      <c r="H19" s="796">
        <f>G19+'[1]27'!H19</f>
        <v>1529</v>
      </c>
      <c r="I19" s="813"/>
      <c r="J19" s="798">
        <f>H19/DAY(B2)</f>
        <v>54.607142857142854</v>
      </c>
      <c r="K19" s="508"/>
      <c r="L19" s="405"/>
      <c r="N19" s="1246">
        <f>F19-'[1]1'!E19</f>
        <v>1529</v>
      </c>
    </row>
    <row r="20" spans="1:17" x14ac:dyDescent="0.5">
      <c r="A20" s="809" t="s">
        <v>172</v>
      </c>
      <c r="B20" s="810"/>
      <c r="C20" s="810"/>
      <c r="D20" s="759"/>
      <c r="E20" s="796"/>
      <c r="F20" s="580"/>
      <c r="G20" s="814">
        <f>G18+G19</f>
        <v>216</v>
      </c>
      <c r="H20" s="796">
        <f>G20+'[1]27'!H20</f>
        <v>5399</v>
      </c>
      <c r="I20" s="815">
        <f>I18-J20</f>
        <v>-127.82142857142858</v>
      </c>
      <c r="J20" s="798">
        <f>H20/DAY(B2)</f>
        <v>192.82142857142858</v>
      </c>
      <c r="K20" s="508"/>
      <c r="L20" s="405"/>
      <c r="N20" s="1246">
        <f>F20-'[1]1'!E20</f>
        <v>0</v>
      </c>
    </row>
    <row r="21" spans="1:17" x14ac:dyDescent="0.5">
      <c r="A21" s="1419" t="s">
        <v>173</v>
      </c>
      <c r="B21" s="1420"/>
      <c r="C21" s="1421"/>
      <c r="D21" s="592"/>
      <c r="E21" s="875"/>
      <c r="F21" s="875"/>
      <c r="G21" s="603"/>
      <c r="H21" s="592"/>
      <c r="I21" s="592"/>
      <c r="J21" s="672"/>
      <c r="K21" s="508"/>
      <c r="L21" s="405"/>
      <c r="N21" s="1246">
        <f>F21-'[1]1'!E21</f>
        <v>0</v>
      </c>
    </row>
    <row r="22" spans="1:17" x14ac:dyDescent="0.5">
      <c r="A22" s="1354" t="s">
        <v>174</v>
      </c>
      <c r="B22" s="710"/>
      <c r="C22" s="710"/>
      <c r="D22" s="643" t="s">
        <v>175</v>
      </c>
      <c r="E22" s="895">
        <f>'[1]27'!F22</f>
        <v>2250</v>
      </c>
      <c r="F22" s="874">
        <v>2250</v>
      </c>
      <c r="G22" s="601">
        <f t="shared" ref="G22" si="2">(F22-E22)</f>
        <v>0</v>
      </c>
      <c r="H22" s="580">
        <f>G22+'[1]27'!H22</f>
        <v>0</v>
      </c>
      <c r="I22" s="600"/>
      <c r="J22" s="673">
        <f>H22/DAY(B2)</f>
        <v>0</v>
      </c>
      <c r="K22" s="508"/>
      <c r="L22" s="405"/>
      <c r="N22" s="1246">
        <f>F22-'[1]1'!E22</f>
        <v>0</v>
      </c>
    </row>
    <row r="23" spans="1:17" x14ac:dyDescent="0.5">
      <c r="A23" s="1354" t="s">
        <v>176</v>
      </c>
      <c r="B23" s="710"/>
      <c r="C23" s="710"/>
      <c r="D23" s="643" t="s">
        <v>175</v>
      </c>
      <c r="E23" s="895">
        <f>'[1]27'!F23</f>
        <v>2000</v>
      </c>
      <c r="F23" s="874">
        <v>2000</v>
      </c>
      <c r="G23" s="601">
        <v>0</v>
      </c>
      <c r="H23" s="580">
        <f>G23+'[1]27'!H23</f>
        <v>0</v>
      </c>
      <c r="I23" s="600"/>
      <c r="J23" s="673">
        <f>H23/DAY(B2)</f>
        <v>0</v>
      </c>
      <c r="K23" s="508"/>
      <c r="L23" s="405"/>
      <c r="N23" s="1246">
        <f>F23-'[1]1'!E23</f>
        <v>0</v>
      </c>
    </row>
    <row r="24" spans="1:17" x14ac:dyDescent="0.4">
      <c r="A24" s="711" t="s">
        <v>177</v>
      </c>
      <c r="B24" s="712"/>
      <c r="C24" s="712"/>
      <c r="D24" s="631" t="s">
        <v>175</v>
      </c>
      <c r="E24" s="896">
        <f>'[1]27'!F24</f>
        <v>4250</v>
      </c>
      <c r="F24" s="877">
        <v>4250</v>
      </c>
      <c r="G24" s="601">
        <v>0</v>
      </c>
      <c r="H24" s="580">
        <f>G24+'[1]27'!H24</f>
        <v>0</v>
      </c>
      <c r="I24" s="600"/>
      <c r="J24" s="673">
        <f>H24/DAY(B2)</f>
        <v>0</v>
      </c>
      <c r="K24" s="508"/>
      <c r="L24" s="405"/>
      <c r="N24" s="1246">
        <f>F24-'[1]1'!E24</f>
        <v>0</v>
      </c>
    </row>
    <row r="25" spans="1:17" s="524" customFormat="1" ht="27" x14ac:dyDescent="0.35">
      <c r="A25" s="1424" t="s">
        <v>178</v>
      </c>
      <c r="B25" s="1425"/>
      <c r="C25" s="1426"/>
      <c r="D25" s="591"/>
      <c r="E25" s="615"/>
      <c r="F25" s="615"/>
      <c r="G25" s="614"/>
      <c r="H25" s="615"/>
      <c r="I25" s="616"/>
      <c r="J25" s="675"/>
      <c r="K25" s="401"/>
      <c r="L25" s="527"/>
      <c r="N25" s="1246">
        <f>F25-'[1]1'!E25</f>
        <v>0</v>
      </c>
      <c r="O25" s="908"/>
      <c r="P25" s="908"/>
      <c r="Q25" s="908"/>
    </row>
    <row r="26" spans="1:17" s="524" customFormat="1" ht="27" x14ac:dyDescent="0.5">
      <c r="A26" s="713" t="s">
        <v>179</v>
      </c>
      <c r="B26" s="714"/>
      <c r="C26" s="715"/>
      <c r="D26" s="739" t="s">
        <v>180</v>
      </c>
      <c r="E26" s="897"/>
      <c r="F26" s="580"/>
      <c r="G26" s="618"/>
      <c r="H26" s="580"/>
      <c r="I26" s="619"/>
      <c r="J26" s="673"/>
      <c r="K26" s="402"/>
      <c r="L26" s="527"/>
      <c r="N26" s="1246">
        <f>F26-'[1]1'!E26</f>
        <v>0</v>
      </c>
      <c r="O26" s="908"/>
      <c r="P26" s="908"/>
      <c r="Q26" s="908"/>
    </row>
    <row r="27" spans="1:17" s="524" customFormat="1" ht="27" x14ac:dyDescent="0.5">
      <c r="A27" s="713" t="s">
        <v>20</v>
      </c>
      <c r="B27" s="714"/>
      <c r="C27" s="715"/>
      <c r="D27" s="740" t="s">
        <v>39</v>
      </c>
      <c r="E27" s="816">
        <f>G8</f>
        <v>18910</v>
      </c>
      <c r="F27" s="621">
        <v>9.5</v>
      </c>
      <c r="G27" s="622">
        <f>E27*F27</f>
        <v>179645</v>
      </c>
      <c r="H27" s="580">
        <f>G27+'[1]27'!H27</f>
        <v>5395553.5</v>
      </c>
      <c r="I27" s="623"/>
      <c r="J27" s="673">
        <f>H27/DAY(B2)</f>
        <v>192698.33928571429</v>
      </c>
      <c r="K27" s="401"/>
      <c r="L27" s="527"/>
      <c r="N27" s="1246">
        <f>F27-'[1]1'!E27</f>
        <v>-19434.5</v>
      </c>
      <c r="O27" s="908"/>
      <c r="P27" s="908"/>
      <c r="Q27" s="908"/>
    </row>
    <row r="28" spans="1:17" s="524" customFormat="1" ht="27" x14ac:dyDescent="0.5">
      <c r="A28" s="713" t="s">
        <v>181</v>
      </c>
      <c r="B28" s="714"/>
      <c r="C28" s="715"/>
      <c r="D28" s="740" t="s">
        <v>182</v>
      </c>
      <c r="E28" s="816">
        <f>G15</f>
        <v>776.81000000005588</v>
      </c>
      <c r="F28" s="621">
        <v>36.5</v>
      </c>
      <c r="G28" s="622">
        <f>E28*F28</f>
        <v>28353.56500000204</v>
      </c>
      <c r="H28" s="580">
        <f>G28+'[1]27'!H28</f>
        <v>721690.73849999742</v>
      </c>
      <c r="I28" s="625"/>
      <c r="J28" s="673">
        <f>H28/DAY(B2)</f>
        <v>25774.669232142765</v>
      </c>
      <c r="K28" s="401"/>
      <c r="L28" s="527"/>
      <c r="N28" s="1246">
        <f>F28-'[1]1'!E28</f>
        <v>-474.25699999998324</v>
      </c>
      <c r="O28" s="908"/>
      <c r="P28" s="908"/>
      <c r="Q28" s="908"/>
    </row>
    <row r="29" spans="1:17" s="524" customFormat="1" ht="27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G29+'[1]27'!H29</f>
        <v>0</v>
      </c>
      <c r="I29" s="625"/>
      <c r="J29" s="673">
        <f>H29/DAY(B2)</f>
        <v>0</v>
      </c>
      <c r="K29" s="401"/>
      <c r="L29" s="527"/>
      <c r="N29" s="1246">
        <f>F29-'[1]1'!E29</f>
        <v>69</v>
      </c>
      <c r="O29" s="908"/>
      <c r="P29" s="908"/>
      <c r="Q29" s="908"/>
    </row>
    <row r="30" spans="1:17" s="524" customFormat="1" ht="27" x14ac:dyDescent="0.5">
      <c r="A30" s="713" t="s">
        <v>185</v>
      </c>
      <c r="B30" s="714"/>
      <c r="C30" s="715"/>
      <c r="D30" s="740" t="s">
        <v>186</v>
      </c>
      <c r="E30" s="816">
        <f>G19</f>
        <v>56</v>
      </c>
      <c r="F30" s="621">
        <v>145</v>
      </c>
      <c r="G30" s="622">
        <f>E30*F30</f>
        <v>8120</v>
      </c>
      <c r="H30" s="580">
        <f>G30+'[1]27'!H30</f>
        <v>221705</v>
      </c>
      <c r="I30" s="625"/>
      <c r="J30" s="673">
        <f>H30/DAY(B2)</f>
        <v>7918.0357142857147</v>
      </c>
      <c r="K30" s="401"/>
      <c r="L30" s="527"/>
      <c r="N30" s="1246">
        <f>F30-'[1]1'!E30</f>
        <v>92</v>
      </c>
      <c r="O30" s="908"/>
      <c r="P30" s="908"/>
      <c r="Q30" s="908"/>
    </row>
    <row r="31" spans="1:17" s="524" customFormat="1" ht="27" x14ac:dyDescent="0.5">
      <c r="A31" s="713" t="s">
        <v>187</v>
      </c>
      <c r="B31" s="714"/>
      <c r="C31" s="715"/>
      <c r="D31" s="740" t="s">
        <v>171</v>
      </c>
      <c r="E31" s="816">
        <f>G18</f>
        <v>160</v>
      </c>
      <c r="F31" s="621">
        <v>80</v>
      </c>
      <c r="G31" s="622">
        <f>E31*F31</f>
        <v>12800</v>
      </c>
      <c r="H31" s="580">
        <f>G31+'[1]27'!H31</f>
        <v>308000</v>
      </c>
      <c r="I31" s="625"/>
      <c r="J31" s="673"/>
      <c r="K31" s="401"/>
      <c r="L31" s="527"/>
      <c r="N31" s="1246">
        <f>F31-'[1]1'!E31</f>
        <v>-90</v>
      </c>
      <c r="O31" s="908"/>
      <c r="P31" s="908"/>
      <c r="Q31" s="908"/>
    </row>
    <row r="32" spans="1:17" s="524" customFormat="1" ht="27" x14ac:dyDescent="0.5">
      <c r="A32" s="716" t="s">
        <v>188</v>
      </c>
      <c r="B32" s="717"/>
      <c r="C32" s="718"/>
      <c r="D32" s="627"/>
      <c r="E32" s="898"/>
      <c r="F32" s="606"/>
      <c r="G32" s="628">
        <f>G27+G28+G29+G30+G31</f>
        <v>228918.56500000204</v>
      </c>
      <c r="H32" s="580">
        <f>G32+'[1]27'!H32</f>
        <v>6646949.2384999972</v>
      </c>
      <c r="I32" s="629"/>
      <c r="J32" s="673">
        <f>H32/DAY(B2)</f>
        <v>237391.04423214277</v>
      </c>
      <c r="K32" s="401"/>
      <c r="L32" s="527"/>
      <c r="N32" s="1246">
        <f>F32-'[1]1'!E32</f>
        <v>0</v>
      </c>
      <c r="O32" s="908"/>
      <c r="P32" s="908"/>
      <c r="Q32" s="908"/>
    </row>
    <row r="33" spans="1:14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1246">
        <f>F33-'[1]1'!E33</f>
        <v>0</v>
      </c>
    </row>
    <row r="34" spans="1:14" x14ac:dyDescent="0.5">
      <c r="A34" s="719" t="s">
        <v>190</v>
      </c>
      <c r="B34" s="1356"/>
      <c r="C34" s="1356"/>
      <c r="D34" s="592"/>
      <c r="E34" s="615"/>
      <c r="F34" s="615"/>
      <c r="G34" s="592"/>
      <c r="H34" s="592"/>
      <c r="I34" s="592"/>
      <c r="J34" s="672"/>
      <c r="K34" s="508"/>
      <c r="L34" s="405"/>
      <c r="N34" s="1246">
        <f>F34-'[1]1'!E34</f>
        <v>0</v>
      </c>
    </row>
    <row r="35" spans="1:14" x14ac:dyDescent="0.4">
      <c r="A35" s="699" t="s">
        <v>191</v>
      </c>
      <c r="B35" s="700"/>
      <c r="C35" s="700"/>
      <c r="D35" s="643" t="s">
        <v>159</v>
      </c>
      <c r="E35" s="878">
        <f>'[1]27'!F35</f>
        <v>629027</v>
      </c>
      <c r="F35" s="878">
        <v>629027</v>
      </c>
      <c r="G35" s="593">
        <f t="shared" ref="G35:G46" si="3">F35-E35</f>
        <v>0</v>
      </c>
      <c r="H35" s="580">
        <f>G35+'[1]27'!H35</f>
        <v>0</v>
      </c>
      <c r="I35" s="575"/>
      <c r="J35" s="673">
        <f>H35/DAY(B2)</f>
        <v>0</v>
      </c>
      <c r="K35" s="508"/>
      <c r="L35" s="405"/>
      <c r="N35" s="1246">
        <f>F35-'[1]1'!E35</f>
        <v>-0.67000000004190952</v>
      </c>
    </row>
    <row r="36" spans="1:14" x14ac:dyDescent="0.4">
      <c r="A36" s="699" t="s">
        <v>192</v>
      </c>
      <c r="B36" s="700"/>
      <c r="C36" s="700"/>
      <c r="D36" s="643" t="s">
        <v>159</v>
      </c>
      <c r="E36" s="878">
        <f>'[1]27'!F36</f>
        <v>252352.35</v>
      </c>
      <c r="F36" s="878">
        <v>253054</v>
      </c>
      <c r="G36" s="593">
        <f t="shared" si="3"/>
        <v>701.64999999999418</v>
      </c>
      <c r="H36" s="580">
        <f>G36+'[1]27'!H36</f>
        <v>23968.26999999999</v>
      </c>
      <c r="I36" s="575"/>
      <c r="J36" s="673">
        <f>H36/DAY(B2)</f>
        <v>856.00964285714247</v>
      </c>
      <c r="K36" s="508"/>
      <c r="L36" s="405"/>
      <c r="N36" s="1246">
        <f>F36-'[1]1'!E36</f>
        <v>23968.26999999999</v>
      </c>
    </row>
    <row r="37" spans="1:14" x14ac:dyDescent="0.4">
      <c r="A37" s="699" t="s">
        <v>193</v>
      </c>
      <c r="B37" s="700"/>
      <c r="C37" s="700"/>
      <c r="D37" s="643" t="s">
        <v>159</v>
      </c>
      <c r="E37" s="878">
        <f>'[1]27'!F37</f>
        <v>415066</v>
      </c>
      <c r="F37" s="878">
        <v>415066</v>
      </c>
      <c r="G37" s="593">
        <f t="shared" si="3"/>
        <v>0</v>
      </c>
      <c r="H37" s="580">
        <f>G37+'[1]27'!H37</f>
        <v>0</v>
      </c>
      <c r="I37" s="575"/>
      <c r="J37" s="673">
        <f>H37/DAY(B2)</f>
        <v>0</v>
      </c>
      <c r="K37" s="508"/>
      <c r="L37" s="405"/>
      <c r="N37" s="1246">
        <f>F37-'[1]1'!E37</f>
        <v>0</v>
      </c>
    </row>
    <row r="38" spans="1:14" x14ac:dyDescent="0.4">
      <c r="A38" s="699" t="s">
        <v>194</v>
      </c>
      <c r="B38" s="700"/>
      <c r="C38" s="700"/>
      <c r="D38" s="643" t="s">
        <v>159</v>
      </c>
      <c r="E38" s="878">
        <f>'[1]27'!F38</f>
        <v>150714</v>
      </c>
      <c r="F38" s="590">
        <v>150714</v>
      </c>
      <c r="G38" s="593">
        <f t="shared" si="3"/>
        <v>0</v>
      </c>
      <c r="H38" s="580">
        <f>G38+'[1]27'!H38</f>
        <v>0</v>
      </c>
      <c r="I38" s="575"/>
      <c r="J38" s="673">
        <f>H38/DAY(B2)</f>
        <v>0</v>
      </c>
      <c r="K38" s="508"/>
      <c r="L38" s="405"/>
      <c r="N38" s="1246">
        <f>F38-'[1]1'!E38</f>
        <v>0</v>
      </c>
    </row>
    <row r="39" spans="1:14" x14ac:dyDescent="0.4">
      <c r="A39" s="699" t="s">
        <v>195</v>
      </c>
      <c r="B39" s="700"/>
      <c r="C39" s="700"/>
      <c r="D39" s="643" t="s">
        <v>159</v>
      </c>
      <c r="E39" s="878">
        <f>'[1]27'!F39</f>
        <v>912480</v>
      </c>
      <c r="F39" s="878">
        <v>912480</v>
      </c>
      <c r="G39" s="593">
        <f>F39-E39</f>
        <v>0</v>
      </c>
      <c r="H39" s="580">
        <f>G39+'[1]27'!H39</f>
        <v>0</v>
      </c>
      <c r="I39" s="575"/>
      <c r="J39" s="673">
        <f>H39/DAY(B2)</f>
        <v>0</v>
      </c>
      <c r="K39" s="508"/>
      <c r="L39" s="405"/>
      <c r="N39" s="1246">
        <f>F39-'[1]1'!E39</f>
        <v>0</v>
      </c>
    </row>
    <row r="40" spans="1:14" x14ac:dyDescent="0.4">
      <c r="A40" s="720" t="s">
        <v>196</v>
      </c>
      <c r="B40" s="721"/>
      <c r="C40" s="721"/>
      <c r="D40" s="643" t="s">
        <v>159</v>
      </c>
      <c r="E40" s="878">
        <f>'[1]27'!F40</f>
        <v>0</v>
      </c>
      <c r="F40" s="878">
        <v>0</v>
      </c>
      <c r="G40" s="593">
        <f t="shared" si="3"/>
        <v>0</v>
      </c>
      <c r="H40" s="580">
        <f>G40+'[1]27'!H40</f>
        <v>0</v>
      </c>
      <c r="I40" s="575"/>
      <c r="J40" s="673">
        <f>H40/DAY(B2)</f>
        <v>0</v>
      </c>
      <c r="K40" s="509"/>
      <c r="L40" s="405"/>
      <c r="N40" s="1246">
        <f>F40-'[1]1'!E40</f>
        <v>0</v>
      </c>
    </row>
    <row r="41" spans="1:14" x14ac:dyDescent="0.4">
      <c r="A41" s="699" t="s">
        <v>197</v>
      </c>
      <c r="B41" s="700"/>
      <c r="C41" s="700"/>
      <c r="D41" s="643" t="s">
        <v>159</v>
      </c>
      <c r="E41" s="878">
        <f>'[1]27'!F41</f>
        <v>300127.95</v>
      </c>
      <c r="F41" s="878">
        <v>300127.95</v>
      </c>
      <c r="G41" s="593">
        <f t="shared" si="3"/>
        <v>0</v>
      </c>
      <c r="H41" s="580">
        <f>G41+'[1]27'!H41</f>
        <v>0</v>
      </c>
      <c r="I41" s="575"/>
      <c r="J41" s="673">
        <f>H41/DAY(B2)</f>
        <v>0</v>
      </c>
      <c r="K41" s="508"/>
      <c r="L41" s="405"/>
      <c r="N41" s="1246">
        <f>F41-'[1]1'!E41</f>
        <v>0</v>
      </c>
    </row>
    <row r="42" spans="1:14" x14ac:dyDescent="0.4">
      <c r="A42" s="699" t="s">
        <v>198</v>
      </c>
      <c r="B42" s="700"/>
      <c r="C42" s="700"/>
      <c r="D42" s="643" t="s">
        <v>159</v>
      </c>
      <c r="E42" s="878">
        <f>'[1]27'!F42</f>
        <v>58926.09</v>
      </c>
      <c r="F42" s="878">
        <v>58926</v>
      </c>
      <c r="G42" s="593">
        <f t="shared" si="3"/>
        <v>-8.999999999650754E-2</v>
      </c>
      <c r="H42" s="580">
        <f>G42+'[1]27'!H42</f>
        <v>58926</v>
      </c>
      <c r="I42" s="575"/>
      <c r="J42" s="673">
        <f>H42/DAY(B2)</f>
        <v>2104.5</v>
      </c>
      <c r="K42" s="508"/>
      <c r="L42" s="405"/>
      <c r="N42" s="1246">
        <f>F42-'[1]1'!E42</f>
        <v>-337272</v>
      </c>
    </row>
    <row r="43" spans="1:14" x14ac:dyDescent="0.4">
      <c r="A43" s="699" t="s">
        <v>199</v>
      </c>
      <c r="B43" s="700"/>
      <c r="C43" s="700"/>
      <c r="D43" s="643" t="s">
        <v>159</v>
      </c>
      <c r="E43" s="878">
        <f>'[1]27'!F43</f>
        <v>690339.27</v>
      </c>
      <c r="F43" s="878">
        <v>692321.83</v>
      </c>
      <c r="G43" s="593">
        <f t="shared" si="3"/>
        <v>1982.5599999999395</v>
      </c>
      <c r="H43" s="580">
        <f>G43+'[1]27'!H43</f>
        <v>61572.519999999902</v>
      </c>
      <c r="I43" s="575"/>
      <c r="J43" s="673">
        <f>H43/DAY(B2)</f>
        <v>2199.0185714285681</v>
      </c>
      <c r="K43" s="508"/>
      <c r="L43" s="405"/>
      <c r="N43" s="1246">
        <f>F43-'[1]1'!E43</f>
        <v>61572.519999999902</v>
      </c>
    </row>
    <row r="44" spans="1:14" x14ac:dyDescent="0.4">
      <c r="A44" s="699" t="s">
        <v>200</v>
      </c>
      <c r="B44" s="700"/>
      <c r="C44" s="700"/>
      <c r="D44" s="643" t="s">
        <v>159</v>
      </c>
      <c r="E44" s="878">
        <f>'[1]27'!F44</f>
        <v>0</v>
      </c>
      <c r="F44" s="878">
        <v>0</v>
      </c>
      <c r="G44" s="593">
        <f t="shared" si="3"/>
        <v>0</v>
      </c>
      <c r="H44" s="580">
        <f>G44+'[1]27'!H44</f>
        <v>0</v>
      </c>
      <c r="I44" s="575"/>
      <c r="J44" s="673">
        <f>H44/DAY(B2)</f>
        <v>0</v>
      </c>
      <c r="K44" s="508"/>
      <c r="L44" s="405"/>
      <c r="N44" s="1246">
        <f>F44-'[1]1'!E44</f>
        <v>0</v>
      </c>
    </row>
    <row r="45" spans="1:14" x14ac:dyDescent="0.4">
      <c r="A45" s="699" t="s">
        <v>201</v>
      </c>
      <c r="B45" s="700"/>
      <c r="C45" s="700"/>
      <c r="D45" s="643" t="s">
        <v>159</v>
      </c>
      <c r="E45" s="878">
        <f>'[1]27'!F45</f>
        <v>614</v>
      </c>
      <c r="F45" s="878">
        <v>614</v>
      </c>
      <c r="G45" s="593">
        <f t="shared" si="3"/>
        <v>0</v>
      </c>
      <c r="H45" s="580">
        <f>G45+'[1]27'!H45</f>
        <v>-0.48000000000001819</v>
      </c>
      <c r="I45" s="575"/>
      <c r="J45" s="673">
        <f>H45/DAY(B2)</f>
        <v>-1.7142857142857792E-2</v>
      </c>
      <c r="K45" s="508"/>
      <c r="L45" s="405"/>
      <c r="N45" s="1246">
        <f>F45-'[1]1'!E45</f>
        <v>-0.48000000000001819</v>
      </c>
    </row>
    <row r="46" spans="1:14" x14ac:dyDescent="0.4">
      <c r="A46" s="699" t="s">
        <v>202</v>
      </c>
      <c r="B46" s="700"/>
      <c r="C46" s="700"/>
      <c r="D46" s="643" t="s">
        <v>159</v>
      </c>
      <c r="E46" s="878">
        <f>'[1]27'!F46</f>
        <v>187</v>
      </c>
      <c r="F46" s="878">
        <v>187</v>
      </c>
      <c r="G46" s="593">
        <f t="shared" si="3"/>
        <v>0</v>
      </c>
      <c r="H46" s="580">
        <f>G46+'[1]27'!H46</f>
        <v>-0.49000000000000909</v>
      </c>
      <c r="I46" s="575"/>
      <c r="J46" s="673">
        <f>H46/DAY(B2)</f>
        <v>-1.7500000000000324E-2</v>
      </c>
      <c r="K46" s="508"/>
      <c r="L46" s="405"/>
      <c r="N46" s="1246">
        <f>F46-'[1]1'!E46</f>
        <v>-0.49000000000000909</v>
      </c>
    </row>
    <row r="47" spans="1:14" x14ac:dyDescent="0.5">
      <c r="A47" s="706" t="s">
        <v>203</v>
      </c>
      <c r="B47" s="707"/>
      <c r="C47" s="707"/>
      <c r="D47" s="590"/>
      <c r="E47" s="590"/>
      <c r="F47" s="590"/>
      <c r="G47" s="601">
        <f>G35+G36+G37+G38+G39+G40+G41+G42+G43+G44+G45+G46</f>
        <v>2684.1199999999371</v>
      </c>
      <c r="H47" s="580">
        <f>G47+'[1]27'!H47</f>
        <v>144465.81999999989</v>
      </c>
      <c r="I47" s="575"/>
      <c r="J47" s="673">
        <f>H47/DAY(B2)</f>
        <v>5159.4935714285675</v>
      </c>
      <c r="K47" s="508"/>
      <c r="L47" s="405"/>
      <c r="N47" s="1246">
        <f>F47-'[1]1'!E47</f>
        <v>0</v>
      </c>
    </row>
    <row r="48" spans="1:14" x14ac:dyDescent="0.5">
      <c r="A48" s="719" t="s">
        <v>204</v>
      </c>
      <c r="B48" s="1356"/>
      <c r="C48" s="1356"/>
      <c r="D48" s="592"/>
      <c r="E48" s="615"/>
      <c r="F48" s="615"/>
      <c r="G48" s="592"/>
      <c r="H48" s="592"/>
      <c r="I48" s="592"/>
      <c r="J48" s="672"/>
      <c r="K48" s="508"/>
      <c r="L48" s="405"/>
      <c r="N48" s="1246">
        <f>F48-'[1]1'!E48</f>
        <v>0</v>
      </c>
    </row>
    <row r="49" spans="1:14" x14ac:dyDescent="0.4">
      <c r="A49" s="699" t="s">
        <v>191</v>
      </c>
      <c r="B49" s="722"/>
      <c r="C49" s="722"/>
      <c r="D49" s="643" t="s">
        <v>159</v>
      </c>
      <c r="E49" s="878">
        <f>'[1]27'!F49</f>
        <v>138268.94</v>
      </c>
      <c r="F49" s="878">
        <v>141171.66</v>
      </c>
      <c r="G49" s="593">
        <f t="shared" ref="G49:G58" si="4">F49-E49</f>
        <v>2902.7200000000012</v>
      </c>
      <c r="H49" s="580">
        <f>G49+'[1]27'!H49</f>
        <v>76562.143000000011</v>
      </c>
      <c r="I49" s="575"/>
      <c r="J49" s="673">
        <f>H49/DAY(B2)</f>
        <v>2734.3622500000006</v>
      </c>
      <c r="K49" s="508"/>
      <c r="L49" s="405"/>
      <c r="N49" s="1246">
        <f>F49-'[1]1'!E49</f>
        <v>79658.393000000011</v>
      </c>
    </row>
    <row r="50" spans="1:14" x14ac:dyDescent="0.4">
      <c r="A50" s="699" t="s">
        <v>205</v>
      </c>
      <c r="B50" s="722"/>
      <c r="C50" s="722"/>
      <c r="D50" s="643" t="s">
        <v>159</v>
      </c>
      <c r="E50" s="878">
        <f>'[1]27'!F50</f>
        <v>330777.31</v>
      </c>
      <c r="F50" s="878">
        <v>332003</v>
      </c>
      <c r="G50" s="593">
        <f t="shared" si="4"/>
        <v>1225.6900000000023</v>
      </c>
      <c r="H50" s="580">
        <f>G50+'[1]27'!H50</f>
        <v>34593.469999999972</v>
      </c>
      <c r="I50" s="575"/>
      <c r="J50" s="673">
        <f>H50/DAY(B2)</f>
        <v>1235.4810714285704</v>
      </c>
      <c r="K50" s="508"/>
      <c r="L50" s="405"/>
      <c r="N50" s="1246">
        <f>F50-'[1]1'!E50</f>
        <v>36033.909999999974</v>
      </c>
    </row>
    <row r="51" spans="1:14" x14ac:dyDescent="0.4">
      <c r="A51" s="699" t="s">
        <v>193</v>
      </c>
      <c r="B51" s="722"/>
      <c r="C51" s="722"/>
      <c r="D51" s="643" t="s">
        <v>159</v>
      </c>
      <c r="E51" s="878">
        <f>'[1]27'!F51</f>
        <v>59032.62</v>
      </c>
      <c r="F51" s="878">
        <v>60468.99</v>
      </c>
      <c r="G51" s="593">
        <f t="shared" si="4"/>
        <v>1436.3699999999953</v>
      </c>
      <c r="H51" s="580">
        <f>G51+'[1]27'!H51</f>
        <v>39602.022999999994</v>
      </c>
      <c r="I51" s="575"/>
      <c r="J51" s="673">
        <f>H51/DAY(B2)</f>
        <v>1414.3579642857142</v>
      </c>
      <c r="K51" s="508"/>
      <c r="L51" s="405"/>
      <c r="N51" s="1246">
        <f>F51-'[1]1'!E51</f>
        <v>41148.502999999997</v>
      </c>
    </row>
    <row r="52" spans="1:14" x14ac:dyDescent="0.4">
      <c r="A52" s="699" t="s">
        <v>206</v>
      </c>
      <c r="B52" s="722"/>
      <c r="C52" s="722"/>
      <c r="D52" s="643" t="s">
        <v>159</v>
      </c>
      <c r="E52" s="878">
        <f>'[1]27'!F52</f>
        <v>425220.75</v>
      </c>
      <c r="F52" s="878">
        <v>427322.31</v>
      </c>
      <c r="G52" s="593">
        <f t="shared" si="4"/>
        <v>2101.5599999999977</v>
      </c>
      <c r="H52" s="580">
        <f>G52+'[1]27'!H52</f>
        <v>53966.51999999996</v>
      </c>
      <c r="I52" s="575"/>
      <c r="J52" s="673">
        <f>H52/DAY(B2)</f>
        <v>1927.3757142857128</v>
      </c>
      <c r="K52" s="508"/>
      <c r="L52" s="405"/>
      <c r="N52" s="1246">
        <f>F52-'[1]1'!E52</f>
        <v>56199.880000000005</v>
      </c>
    </row>
    <row r="53" spans="1:14" x14ac:dyDescent="0.4">
      <c r="A53" s="699" t="s">
        <v>195</v>
      </c>
      <c r="B53" s="722"/>
      <c r="C53" s="722"/>
      <c r="D53" s="643" t="s">
        <v>159</v>
      </c>
      <c r="E53" s="878">
        <f>'[1]27'!F53</f>
        <v>160074.74</v>
      </c>
      <c r="F53" s="878">
        <v>164266.16</v>
      </c>
      <c r="G53" s="593">
        <f t="shared" si="4"/>
        <v>4191.4200000000128</v>
      </c>
      <c r="H53" s="580">
        <f>G53+'[1]27'!H53</f>
        <v>114524.053</v>
      </c>
      <c r="I53" s="575"/>
      <c r="J53" s="673">
        <f>H53/DAY(B2)</f>
        <v>4090.1447499999999</v>
      </c>
      <c r="K53" s="508"/>
      <c r="L53" s="405"/>
      <c r="N53" s="1246">
        <f>F53-'[1]1'!E53</f>
        <v>118850.15300000001</v>
      </c>
    </row>
    <row r="54" spans="1:14" x14ac:dyDescent="0.4">
      <c r="A54" s="699" t="s">
        <v>207</v>
      </c>
      <c r="B54" s="722"/>
      <c r="C54" s="722"/>
      <c r="D54" s="643" t="s">
        <v>159</v>
      </c>
      <c r="E54" s="878">
        <f>'[1]27'!F54</f>
        <v>4299.55</v>
      </c>
      <c r="F54" s="878">
        <v>4369.38</v>
      </c>
      <c r="G54" s="593">
        <f t="shared" si="4"/>
        <v>69.829999999999927</v>
      </c>
      <c r="H54" s="580">
        <f>G54+'[1]27'!H54</f>
        <v>1490.77</v>
      </c>
      <c r="I54" s="575"/>
      <c r="J54" s="673">
        <f>H54/DAY(B2)</f>
        <v>53.241785714285712</v>
      </c>
      <c r="K54" s="508"/>
      <c r="L54" s="405"/>
      <c r="N54" s="1246">
        <f>F54-'[1]1'!E54</f>
        <v>1536.38</v>
      </c>
    </row>
    <row r="55" spans="1:14" x14ac:dyDescent="0.4">
      <c r="A55" s="699" t="s">
        <v>208</v>
      </c>
      <c r="B55" s="722"/>
      <c r="C55" s="722"/>
      <c r="D55" s="643" t="s">
        <v>159</v>
      </c>
      <c r="E55" s="878">
        <f>'[1]27'!F55</f>
        <v>158492.73000000001</v>
      </c>
      <c r="F55" s="879">
        <v>158493</v>
      </c>
      <c r="G55" s="769">
        <f t="shared" si="4"/>
        <v>0.26999999998952262</v>
      </c>
      <c r="H55" s="841">
        <f>G55+'[1]27'!H55</f>
        <v>0</v>
      </c>
      <c r="I55" s="842"/>
      <c r="J55" s="843">
        <f>H55/DAY(B2)</f>
        <v>0</v>
      </c>
      <c r="K55" s="508"/>
      <c r="L55" s="405"/>
      <c r="N55" s="1246">
        <f>F55-'[1]1'!E55</f>
        <v>0</v>
      </c>
    </row>
    <row r="56" spans="1:14" x14ac:dyDescent="0.4">
      <c r="A56" s="699" t="s">
        <v>209</v>
      </c>
      <c r="B56" s="722"/>
      <c r="C56" s="722"/>
      <c r="D56" s="643" t="s">
        <v>210</v>
      </c>
      <c r="E56" s="878">
        <f>'[1]27'!F56</f>
        <v>498783.79</v>
      </c>
      <c r="F56" s="879">
        <v>502226</v>
      </c>
      <c r="G56" s="593">
        <f t="shared" si="4"/>
        <v>3442.210000000021</v>
      </c>
      <c r="H56" s="580">
        <f>G56+'[1]27'!H56</f>
        <v>66384.969999999972</v>
      </c>
      <c r="I56" s="575"/>
      <c r="J56" s="673">
        <f>H56/DAY(B2)</f>
        <v>2370.8917857142847</v>
      </c>
      <c r="K56" s="507"/>
      <c r="L56" s="405"/>
      <c r="N56" s="1246">
        <f>F56-'[1]1'!E56</f>
        <v>67078.409999999974</v>
      </c>
    </row>
    <row r="57" spans="1:14" x14ac:dyDescent="0.4">
      <c r="A57" s="699" t="s">
        <v>199</v>
      </c>
      <c r="B57" s="722"/>
      <c r="C57" s="722"/>
      <c r="D57" s="643" t="s">
        <v>159</v>
      </c>
      <c r="E57" s="878">
        <f>'[1]27'!F57</f>
        <v>0</v>
      </c>
      <c r="F57" s="878">
        <v>0</v>
      </c>
      <c r="G57" s="593">
        <f t="shared" si="4"/>
        <v>0</v>
      </c>
      <c r="H57" s="580">
        <f>G57+'[1]27'!H57</f>
        <v>0</v>
      </c>
      <c r="I57" s="575"/>
      <c r="J57" s="673">
        <f>H57/DAY(B2)</f>
        <v>0</v>
      </c>
      <c r="K57" s="508"/>
      <c r="L57" s="405"/>
      <c r="N57" s="1246">
        <f>F57-'[1]1'!E57</f>
        <v>0</v>
      </c>
    </row>
    <row r="58" spans="1:14" x14ac:dyDescent="0.4">
      <c r="A58" s="699" t="s">
        <v>211</v>
      </c>
      <c r="B58" s="722"/>
      <c r="C58" s="722"/>
      <c r="D58" s="643" t="s">
        <v>159</v>
      </c>
      <c r="E58" s="878">
        <f>'[1]27'!F58</f>
        <v>24340.07</v>
      </c>
      <c r="F58" s="879">
        <v>24558.55</v>
      </c>
      <c r="G58" s="593">
        <f t="shared" si="4"/>
        <v>218.47999999999956</v>
      </c>
      <c r="H58" s="580">
        <f>G58+'[1]27'!H58</f>
        <v>4165.5169999999998</v>
      </c>
      <c r="I58" s="575"/>
      <c r="J58" s="673">
        <f>H58/DAY(B2)</f>
        <v>148.76846428571429</v>
      </c>
      <c r="K58" s="508"/>
      <c r="L58" s="405"/>
      <c r="N58" s="1246">
        <f>F58-'[1]1'!E58</f>
        <v>4327.5069999999978</v>
      </c>
    </row>
    <row r="59" spans="1:14" x14ac:dyDescent="0.5">
      <c r="A59" s="706" t="s">
        <v>203</v>
      </c>
      <c r="B59" s="707"/>
      <c r="C59" s="707"/>
      <c r="D59" s="631"/>
      <c r="E59" s="590"/>
      <c r="F59" s="590"/>
      <c r="G59" s="601">
        <f>G49+G50+G51+G52+G53+G54+G55+G56+G57+G58</f>
        <v>15588.550000000019</v>
      </c>
      <c r="H59" s="580">
        <f>G59+'[1]27'!H59</f>
        <v>391289.46599999984</v>
      </c>
      <c r="I59" s="575">
        <f>G7-G60</f>
        <v>487.3300000000454</v>
      </c>
      <c r="J59" s="673">
        <f>H59/DAY(B2)</f>
        <v>13974.623785714281</v>
      </c>
      <c r="K59" s="508"/>
      <c r="L59" s="405"/>
      <c r="N59" s="1246">
        <f>F59-'[1]1'!E59</f>
        <v>0</v>
      </c>
    </row>
    <row r="60" spans="1:14" x14ac:dyDescent="0.4">
      <c r="A60" s="699"/>
      <c r="B60" s="700"/>
      <c r="C60" s="700"/>
      <c r="D60" s="631" t="s">
        <v>212</v>
      </c>
      <c r="E60" s="590"/>
      <c r="F60" s="590"/>
      <c r="G60" s="601">
        <f>G47+G59</f>
        <v>18272.669999999955</v>
      </c>
      <c r="H60" s="580">
        <f>G60+'[1]27'!H60</f>
        <v>549298.95599999989</v>
      </c>
      <c r="I60" s="575">
        <f>G13-G60</f>
        <v>-216.76000000003842</v>
      </c>
      <c r="J60" s="673">
        <f>H60/DAY(B2)</f>
        <v>19617.819857142855</v>
      </c>
      <c r="K60" s="508"/>
      <c r="L60" s="405"/>
      <c r="N60" s="1246">
        <f>F60-'[1]1'!E60</f>
        <v>0</v>
      </c>
    </row>
    <row r="61" spans="1:14" x14ac:dyDescent="0.5">
      <c r="A61" s="723" t="s">
        <v>213</v>
      </c>
      <c r="B61" s="573"/>
      <c r="C61" s="573"/>
      <c r="D61" s="633"/>
      <c r="E61" s="880"/>
      <c r="F61" s="880"/>
      <c r="G61" s="633"/>
      <c r="H61" s="633"/>
      <c r="I61" s="633"/>
      <c r="J61" s="676"/>
      <c r="K61" s="508"/>
      <c r="L61" s="405"/>
      <c r="N61" s="1246">
        <f>F61-'[1]1'!E61</f>
        <v>0</v>
      </c>
    </row>
    <row r="62" spans="1:14" x14ac:dyDescent="0.4">
      <c r="A62" s="724" t="s">
        <v>121</v>
      </c>
      <c r="B62" s="725"/>
      <c r="C62" s="725"/>
      <c r="D62" s="631" t="s">
        <v>214</v>
      </c>
      <c r="E62" s="634">
        <f>'[1]27'!F62</f>
        <v>20419</v>
      </c>
      <c r="F62" s="634">
        <v>20419.187000000002</v>
      </c>
      <c r="G62" s="593">
        <f t="shared" ref="G62:G69" si="5">F62-E62</f>
        <v>0.18700000000171713</v>
      </c>
      <c r="H62" s="580">
        <f>G62+'[1]27'!H62</f>
        <v>7.0000000014260877E-3</v>
      </c>
      <c r="I62" s="635"/>
      <c r="J62" s="673">
        <f>H62/DAY(B2)</f>
        <v>2.500000000509317E-4</v>
      </c>
      <c r="K62" s="508"/>
      <c r="L62" s="405"/>
      <c r="N62" s="1246">
        <f>F62-'[1]1'!E62</f>
        <v>7.0000000014260877E-3</v>
      </c>
    </row>
    <row r="63" spans="1:14" x14ac:dyDescent="0.4">
      <c r="A63" s="724" t="s">
        <v>215</v>
      </c>
      <c r="B63" s="725"/>
      <c r="C63" s="725"/>
      <c r="D63" s="631" t="s">
        <v>214</v>
      </c>
      <c r="E63" s="634">
        <f>'[1]27'!F63</f>
        <v>1091</v>
      </c>
      <c r="F63" s="634">
        <v>1095.27</v>
      </c>
      <c r="G63" s="593">
        <f t="shared" si="5"/>
        <v>4.2699999999999818</v>
      </c>
      <c r="H63" s="580">
        <f>G63+'[1]27'!H63</f>
        <v>238.89999999999998</v>
      </c>
      <c r="I63" s="635"/>
      <c r="J63" s="673">
        <f>H63/DAY(B2)</f>
        <v>8.5321428571428566</v>
      </c>
      <c r="K63" s="508"/>
      <c r="L63" s="405"/>
      <c r="N63" s="1246">
        <f>F63-'[1]1'!E63</f>
        <v>238.89999999999998</v>
      </c>
    </row>
    <row r="64" spans="1:14" ht="27.75" x14ac:dyDescent="0.5">
      <c r="A64" s="1395" t="s">
        <v>122</v>
      </c>
      <c r="B64" s="1396"/>
      <c r="C64" s="1397"/>
      <c r="D64" s="643" t="s">
        <v>214</v>
      </c>
      <c r="E64" s="634">
        <f>'[1]27'!F64</f>
        <v>96764.02</v>
      </c>
      <c r="F64" s="874">
        <v>97142.92</v>
      </c>
      <c r="G64" s="593">
        <f t="shared" si="5"/>
        <v>378.89999999999418</v>
      </c>
      <c r="H64" s="580">
        <f>G64+'[1]27'!H64</f>
        <v>10403.824999999997</v>
      </c>
      <c r="I64" s="600"/>
      <c r="J64" s="673">
        <f>H64/DAY(B2)</f>
        <v>371.56517857142848</v>
      </c>
      <c r="K64" s="508"/>
      <c r="L64" s="405"/>
      <c r="N64" s="1246">
        <f>F64-'[1]1'!E64</f>
        <v>10403.824999999997</v>
      </c>
    </row>
    <row r="65" spans="1:14" ht="27.75" x14ac:dyDescent="0.5">
      <c r="A65" s="1395" t="s">
        <v>123</v>
      </c>
      <c r="B65" s="1396"/>
      <c r="C65" s="1397"/>
      <c r="D65" s="643" t="s">
        <v>214</v>
      </c>
      <c r="E65" s="634">
        <f>'[1]27'!F65</f>
        <v>107431.86</v>
      </c>
      <c r="F65" s="881">
        <v>107843.25</v>
      </c>
      <c r="G65" s="593">
        <f t="shared" si="5"/>
        <v>411.38999999999942</v>
      </c>
      <c r="H65" s="580">
        <f>G65+'[1]27'!H65</f>
        <v>11207.267000000007</v>
      </c>
      <c r="I65" s="609"/>
      <c r="J65" s="673">
        <f>H65/DAY(B2)</f>
        <v>400.25953571428596</v>
      </c>
      <c r="K65" s="508"/>
      <c r="L65" s="405"/>
      <c r="N65" s="1246">
        <f>F65-'[1]1'!E65</f>
        <v>11207.267000000007</v>
      </c>
    </row>
    <row r="66" spans="1:14" ht="27.75" x14ac:dyDescent="0.5">
      <c r="A66" s="1395" t="s">
        <v>124</v>
      </c>
      <c r="B66" s="1396"/>
      <c r="C66" s="1397"/>
      <c r="D66" s="643" t="s">
        <v>214</v>
      </c>
      <c r="E66" s="634">
        <f>'[1]27'!F66</f>
        <v>876.4</v>
      </c>
      <c r="F66" s="874">
        <v>1270.8699999999999</v>
      </c>
      <c r="G66" s="593">
        <f t="shared" si="5"/>
        <v>394.46999999999991</v>
      </c>
      <c r="H66" s="580">
        <f>G66+'[1]27'!H66</f>
        <v>11268.473000000005</v>
      </c>
      <c r="I66" s="600"/>
      <c r="J66" s="673">
        <f>H66/DAY(B2)</f>
        <v>402.44546428571448</v>
      </c>
      <c r="K66" s="508"/>
      <c r="L66" s="405"/>
      <c r="N66" s="1246">
        <f>F66-'[1]1'!E66</f>
        <v>-88733.976999999999</v>
      </c>
    </row>
    <row r="67" spans="1:14" ht="27.75" x14ac:dyDescent="0.5">
      <c r="A67" s="1395" t="s">
        <v>125</v>
      </c>
      <c r="B67" s="1396"/>
      <c r="C67" s="1397"/>
      <c r="D67" s="643" t="s">
        <v>214</v>
      </c>
      <c r="E67" s="634">
        <f>'[1]27'!F67</f>
        <v>165626.29</v>
      </c>
      <c r="F67" s="874">
        <v>166325.57</v>
      </c>
      <c r="G67" s="593">
        <f t="shared" si="5"/>
        <v>699.27999999999884</v>
      </c>
      <c r="H67" s="580">
        <f>G67+'[1]27'!H67</f>
        <v>20283.520000000019</v>
      </c>
      <c r="I67" s="609"/>
      <c r="J67" s="673">
        <f>H67/DAY(B2)</f>
        <v>724.41142857142927</v>
      </c>
      <c r="K67" s="509"/>
      <c r="L67" s="405"/>
      <c r="N67" s="1246">
        <f>F67-'[1]1'!E67</f>
        <v>20283.520000000019</v>
      </c>
    </row>
    <row r="68" spans="1:14" ht="27.75" x14ac:dyDescent="0.5">
      <c r="A68" s="1395" t="s">
        <v>126</v>
      </c>
      <c r="B68" s="1396"/>
      <c r="C68" s="1397"/>
      <c r="D68" s="643" t="s">
        <v>214</v>
      </c>
      <c r="E68" s="634">
        <f>'[1]27'!F68</f>
        <v>52430.87</v>
      </c>
      <c r="F68" s="874">
        <v>52764.22</v>
      </c>
      <c r="G68" s="593">
        <f t="shared" si="5"/>
        <v>333.34999999999854</v>
      </c>
      <c r="H68" s="580">
        <f>G68+'[1]27'!H68</f>
        <v>9589.1410000000033</v>
      </c>
      <c r="I68" s="636"/>
      <c r="J68" s="673">
        <f>H68/DAY(B2)</f>
        <v>342.46932142857156</v>
      </c>
      <c r="K68" s="510"/>
      <c r="L68" s="405"/>
      <c r="N68" s="1246">
        <f>F68-'[1]1'!E68</f>
        <v>9589.1410000000033</v>
      </c>
    </row>
    <row r="69" spans="1:14" ht="27.75" x14ac:dyDescent="0.5">
      <c r="A69" s="1395" t="s">
        <v>127</v>
      </c>
      <c r="B69" s="1396"/>
      <c r="C69" s="1397"/>
      <c r="D69" s="643" t="s">
        <v>214</v>
      </c>
      <c r="E69" s="634">
        <f>'[1]27'!F69</f>
        <v>45384.63</v>
      </c>
      <c r="F69" s="874">
        <v>45673.45</v>
      </c>
      <c r="G69" s="593">
        <f t="shared" si="5"/>
        <v>288.81999999999971</v>
      </c>
      <c r="H69" s="580">
        <f>G69+'[1]27'!H69</f>
        <v>8117.8829999999944</v>
      </c>
      <c r="I69" s="636"/>
      <c r="J69" s="673">
        <f>H69/DAY(B2)</f>
        <v>289.92439285714266</v>
      </c>
      <c r="K69" s="511"/>
      <c r="L69" s="405"/>
      <c r="N69" s="1246">
        <f>F69-'[1]1'!E69</f>
        <v>8117.8829999999944</v>
      </c>
    </row>
    <row r="70" spans="1:14" ht="27.75" x14ac:dyDescent="0.5">
      <c r="A70" s="1451" t="s">
        <v>216</v>
      </c>
      <c r="B70" s="1452"/>
      <c r="C70" s="1453"/>
      <c r="D70" s="643" t="s">
        <v>214</v>
      </c>
      <c r="E70" s="882"/>
      <c r="F70" s="882"/>
      <c r="G70" s="638"/>
      <c r="H70" s="580">
        <f>G70+'[1]13'!H70</f>
        <v>0</v>
      </c>
      <c r="I70" s="638"/>
      <c r="J70" s="677"/>
      <c r="K70" s="511"/>
      <c r="L70" s="405"/>
      <c r="N70" s="1246">
        <f>F70-'[1]1'!E70</f>
        <v>0</v>
      </c>
    </row>
    <row r="71" spans="1:14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1246">
        <f>F71-'[1]1'!E71</f>
        <v>0</v>
      </c>
    </row>
    <row r="72" spans="1:14" ht="27.75" x14ac:dyDescent="0.5">
      <c r="A72" s="1395" t="s">
        <v>218</v>
      </c>
      <c r="B72" s="1396"/>
      <c r="C72" s="1397"/>
      <c r="D72" s="643" t="s">
        <v>214</v>
      </c>
      <c r="E72" s="899">
        <f>'[1]27'!F72</f>
        <v>846066</v>
      </c>
      <c r="F72" s="598">
        <v>846152</v>
      </c>
      <c r="G72" s="593">
        <f t="shared" ref="G72:G84" si="6">F72-E72</f>
        <v>86</v>
      </c>
      <c r="H72" s="580">
        <f>G72+'[1]27'!H72</f>
        <v>1890</v>
      </c>
      <c r="I72" s="600"/>
      <c r="J72" s="673">
        <f>H72/DAY(B2)</f>
        <v>67.5</v>
      </c>
      <c r="K72" s="511"/>
      <c r="L72" s="405"/>
      <c r="N72" s="1246">
        <f>F72-'[1]1'!E72</f>
        <v>1975</v>
      </c>
    </row>
    <row r="73" spans="1:14" ht="27.75" x14ac:dyDescent="0.5">
      <c r="A73" s="1395" t="s">
        <v>219</v>
      </c>
      <c r="B73" s="1396"/>
      <c r="C73" s="1397"/>
      <c r="D73" s="643" t="s">
        <v>214</v>
      </c>
      <c r="E73" s="900">
        <f>'[1]27'!F73</f>
        <v>885668</v>
      </c>
      <c r="F73" s="884">
        <v>885670</v>
      </c>
      <c r="G73" s="769">
        <f t="shared" si="6"/>
        <v>2</v>
      </c>
      <c r="H73" s="580">
        <f>G73+'[1]27'!H73</f>
        <v>966</v>
      </c>
      <c r="I73" s="600"/>
      <c r="J73" s="673">
        <f>H73/DAY(B2)</f>
        <v>34.5</v>
      </c>
      <c r="K73" s="510"/>
      <c r="L73" s="405"/>
      <c r="N73" s="1246">
        <f>F73-'[1]1'!E73</f>
        <v>360</v>
      </c>
    </row>
    <row r="74" spans="1:14" ht="27.75" x14ac:dyDescent="0.5">
      <c r="A74" s="1395" t="s">
        <v>220</v>
      </c>
      <c r="B74" s="1396"/>
      <c r="C74" s="1397"/>
      <c r="D74" s="643" t="s">
        <v>214</v>
      </c>
      <c r="E74" s="901">
        <f>'[1]27'!F74</f>
        <v>881162</v>
      </c>
      <c r="F74" s="884">
        <v>881197</v>
      </c>
      <c r="G74" s="593">
        <f t="shared" si="6"/>
        <v>35</v>
      </c>
      <c r="H74" s="580">
        <f>G74+'[1]27'!H74</f>
        <v>970</v>
      </c>
      <c r="I74" s="600"/>
      <c r="J74" s="673">
        <f>H74/DAY(B2)</f>
        <v>34.642857142857146</v>
      </c>
      <c r="K74" s="511"/>
      <c r="L74" s="405"/>
      <c r="N74" s="1246">
        <f>F74-'[1]1'!E74</f>
        <v>970</v>
      </c>
    </row>
    <row r="75" spans="1:14" ht="27.75" x14ac:dyDescent="0.5">
      <c r="A75" s="1447" t="s">
        <v>221</v>
      </c>
      <c r="B75" s="1448"/>
      <c r="C75" s="1449"/>
      <c r="D75" s="643" t="s">
        <v>214</v>
      </c>
      <c r="E75" s="900">
        <f>'[1]27'!F75</f>
        <v>730954</v>
      </c>
      <c r="F75" s="884">
        <v>731134</v>
      </c>
      <c r="G75" s="593">
        <f t="shared" si="6"/>
        <v>180</v>
      </c>
      <c r="H75" s="580">
        <f>G75+'[1]27'!H75</f>
        <v>4954</v>
      </c>
      <c r="I75" s="600"/>
      <c r="J75" s="673">
        <f>H75/DAY(B2)</f>
        <v>176.92857142857142</v>
      </c>
      <c r="K75" s="510"/>
      <c r="L75" s="405"/>
      <c r="N75" s="1246">
        <f>F75-'[1]1'!E75</f>
        <v>4954</v>
      </c>
    </row>
    <row r="76" spans="1:14" ht="27.75" x14ac:dyDescent="0.5">
      <c r="A76" s="1447" t="s">
        <v>222</v>
      </c>
      <c r="B76" s="1448"/>
      <c r="C76" s="1449"/>
      <c r="D76" s="643" t="s">
        <v>214</v>
      </c>
      <c r="E76" s="900">
        <f>'[1]27'!F76</f>
        <v>683874</v>
      </c>
      <c r="F76" s="884">
        <v>683939</v>
      </c>
      <c r="G76" s="593">
        <f t="shared" si="6"/>
        <v>65</v>
      </c>
      <c r="H76" s="580">
        <f>G76+'[1]27'!H76</f>
        <v>3569</v>
      </c>
      <c r="I76" s="625"/>
      <c r="J76" s="673">
        <f>H76/DAY(B2)</f>
        <v>127.46428571428571</v>
      </c>
      <c r="K76" s="510"/>
      <c r="L76" s="405"/>
      <c r="N76" s="1246">
        <f>F76-'[1]1'!E76</f>
        <v>2263</v>
      </c>
    </row>
    <row r="77" spans="1:14" ht="27.75" x14ac:dyDescent="0.5">
      <c r="A77" s="1395" t="s">
        <v>223</v>
      </c>
      <c r="B77" s="1396"/>
      <c r="C77" s="1397"/>
      <c r="D77" s="643" t="s">
        <v>214</v>
      </c>
      <c r="E77" s="900">
        <f>'[1]27'!F77</f>
        <v>695164</v>
      </c>
      <c r="F77" s="884">
        <v>695225</v>
      </c>
      <c r="G77" s="769">
        <f t="shared" si="6"/>
        <v>61</v>
      </c>
      <c r="H77" s="580">
        <f>G77+'[1]27'!H77</f>
        <v>1505</v>
      </c>
      <c r="I77" s="625"/>
      <c r="J77" s="673">
        <f>H77/DAY(B2)</f>
        <v>53.75</v>
      </c>
      <c r="K77" s="510"/>
      <c r="L77" s="405"/>
      <c r="N77" s="1246">
        <f>F77-'[1]1'!E77</f>
        <v>1505</v>
      </c>
    </row>
    <row r="78" spans="1:14" ht="27.75" x14ac:dyDescent="0.5">
      <c r="A78" s="1357" t="s">
        <v>224</v>
      </c>
      <c r="B78" s="1320"/>
      <c r="C78" s="1320"/>
      <c r="D78" s="643" t="s">
        <v>214</v>
      </c>
      <c r="E78" s="900">
        <f>'[1]27'!F78</f>
        <v>629345</v>
      </c>
      <c r="F78" s="884">
        <v>629722</v>
      </c>
      <c r="G78" s="769">
        <f t="shared" si="6"/>
        <v>377</v>
      </c>
      <c r="H78" s="580">
        <f>G78+'[1]27'!H78</f>
        <v>11469</v>
      </c>
      <c r="I78" s="625"/>
      <c r="J78" s="673">
        <f>H78/DAY(B2)</f>
        <v>409.60714285714283</v>
      </c>
      <c r="K78" s="510"/>
      <c r="L78" s="405"/>
      <c r="N78" s="1246">
        <f>F78-'[1]1'!E78</f>
        <v>11469</v>
      </c>
    </row>
    <row r="79" spans="1:14" ht="27.75" x14ac:dyDescent="0.5">
      <c r="A79" s="1447" t="s">
        <v>112</v>
      </c>
      <c r="B79" s="1448"/>
      <c r="C79" s="1449"/>
      <c r="D79" s="644" t="s">
        <v>214</v>
      </c>
      <c r="E79" s="901">
        <f>'[1]27'!F79</f>
        <v>803098</v>
      </c>
      <c r="F79" s="885">
        <v>803282</v>
      </c>
      <c r="G79" s="593">
        <f t="shared" si="6"/>
        <v>184</v>
      </c>
      <c r="H79" s="580">
        <f>G79+'[1]27'!H79</f>
        <v>8030</v>
      </c>
      <c r="I79" s="625"/>
      <c r="J79" s="673">
        <f>H79/DAY(B2)</f>
        <v>286.78571428571428</v>
      </c>
      <c r="K79" s="510"/>
      <c r="L79" s="405"/>
      <c r="N79" s="1246">
        <f>F79-'[1]1'!E79</f>
        <v>5296</v>
      </c>
    </row>
    <row r="80" spans="1:14" ht="27.75" x14ac:dyDescent="0.5">
      <c r="A80" s="1447" t="s">
        <v>225</v>
      </c>
      <c r="B80" s="1448"/>
      <c r="C80" s="1449"/>
      <c r="D80" s="644" t="s">
        <v>214</v>
      </c>
      <c r="E80" s="900">
        <f>'[1]27'!F80</f>
        <v>474292</v>
      </c>
      <c r="F80" s="884">
        <v>474609</v>
      </c>
      <c r="G80" s="593">
        <f t="shared" si="6"/>
        <v>317</v>
      </c>
      <c r="H80" s="580">
        <f>G80+'[1]27'!H80</f>
        <v>7285.1599999999744</v>
      </c>
      <c r="I80" s="625"/>
      <c r="J80" s="673">
        <f>H80/DAY(B2)</f>
        <v>260.18428571428478</v>
      </c>
      <c r="K80" s="510"/>
      <c r="L80" s="405"/>
      <c r="N80" s="1246">
        <f>F80-'[1]1'!E80</f>
        <v>9111.1199999999953</v>
      </c>
    </row>
    <row r="81" spans="1:17" ht="27.75" x14ac:dyDescent="0.5">
      <c r="A81" s="1447" t="s">
        <v>226</v>
      </c>
      <c r="B81" s="1448"/>
      <c r="C81" s="1449"/>
      <c r="D81" s="644" t="s">
        <v>214</v>
      </c>
      <c r="E81" s="900">
        <f>'[1]27'!F81</f>
        <v>618752</v>
      </c>
      <c r="F81" s="884">
        <v>618889</v>
      </c>
      <c r="G81" s="593">
        <f t="shared" si="6"/>
        <v>137</v>
      </c>
      <c r="H81" s="580">
        <f>G81+'[1]27'!H81</f>
        <v>4500.4799999999814</v>
      </c>
      <c r="I81" s="625"/>
      <c r="J81" s="673">
        <f>H81/DAY(B2)</f>
        <v>160.7314285714279</v>
      </c>
      <c r="K81" s="510"/>
      <c r="L81" s="405"/>
      <c r="N81" s="1246">
        <f>F81-'[1]1'!E81</f>
        <v>4500.4799999999814</v>
      </c>
    </row>
    <row r="82" spans="1:17" ht="27.75" x14ac:dyDescent="0.5">
      <c r="A82" s="1447" t="s">
        <v>115</v>
      </c>
      <c r="B82" s="1448"/>
      <c r="C82" s="1449"/>
      <c r="D82" s="605" t="s">
        <v>159</v>
      </c>
      <c r="E82" s="902">
        <f>'[1]27'!F82</f>
        <v>104337</v>
      </c>
      <c r="F82" s="881">
        <v>104369</v>
      </c>
      <c r="G82" s="593">
        <f t="shared" si="6"/>
        <v>32</v>
      </c>
      <c r="H82" s="580">
        <f>G82+'[1]27'!H82</f>
        <v>839.35000000000582</v>
      </c>
      <c r="I82" s="606"/>
      <c r="J82" s="673">
        <f>H82/DAY(B2)</f>
        <v>29.976785714285921</v>
      </c>
      <c r="K82" s="510"/>
      <c r="L82" s="405"/>
      <c r="N82" s="1246">
        <f>F82-'[1]1'!E82</f>
        <v>839.35000000000582</v>
      </c>
    </row>
    <row r="83" spans="1:17" ht="27.75" x14ac:dyDescent="0.5">
      <c r="A83" s="1447" t="s">
        <v>227</v>
      </c>
      <c r="B83" s="1448"/>
      <c r="C83" s="1449"/>
      <c r="D83" s="741" t="s">
        <v>159</v>
      </c>
      <c r="E83" s="590">
        <f>'[1]27'!F83</f>
        <v>972129</v>
      </c>
      <c r="F83" s="590">
        <v>972474</v>
      </c>
      <c r="G83" s="593">
        <f t="shared" si="6"/>
        <v>345</v>
      </c>
      <c r="H83" s="580">
        <f>G83+'[1]27'!H83</f>
        <v>9949</v>
      </c>
      <c r="I83" s="601"/>
      <c r="J83" s="673">
        <f>H83/DAY(B2)</f>
        <v>355.32142857142856</v>
      </c>
      <c r="K83" s="509"/>
      <c r="L83" s="405"/>
      <c r="N83" s="1246">
        <f>F83-'[1]1'!E83</f>
        <v>9949</v>
      </c>
    </row>
    <row r="84" spans="1:17" x14ac:dyDescent="0.5">
      <c r="A84" s="1360" t="s">
        <v>228</v>
      </c>
      <c r="B84" s="692"/>
      <c r="C84" s="692"/>
      <c r="D84" s="598" t="s">
        <v>159</v>
      </c>
      <c r="E84" s="841">
        <f>'[1]27'!F84</f>
        <v>395373</v>
      </c>
      <c r="F84" s="841">
        <v>395855</v>
      </c>
      <c r="G84" s="593">
        <f t="shared" si="6"/>
        <v>482</v>
      </c>
      <c r="H84" s="580">
        <f>G84+'[1]27'!H84</f>
        <v>14499</v>
      </c>
      <c r="I84" s="601"/>
      <c r="J84" s="673">
        <f>H84/DAY(B2)</f>
        <v>517.82142857142856</v>
      </c>
      <c r="K84" s="408"/>
      <c r="L84" s="405"/>
      <c r="N84" s="1246">
        <f>F84-'[1]1'!E84</f>
        <v>14499</v>
      </c>
    </row>
    <row r="85" spans="1:17" s="407" customFormat="1" x14ac:dyDescent="0.5">
      <c r="A85" s="726" t="s">
        <v>82</v>
      </c>
      <c r="B85" s="693"/>
      <c r="C85" s="693"/>
      <c r="D85" s="609"/>
      <c r="E85" s="841">
        <f>'[1]27'!F85</f>
        <v>0</v>
      </c>
      <c r="F85" s="580"/>
      <c r="G85" s="580">
        <f xml:space="preserve"> SUM(G72:G84)</f>
        <v>2303</v>
      </c>
      <c r="H85" s="580">
        <f>G85+'[1]27'!H85</f>
        <v>65869.519999999931</v>
      </c>
      <c r="I85" s="601"/>
      <c r="J85" s="673">
        <f>H85/DAY(B2)</f>
        <v>2352.4828571428548</v>
      </c>
      <c r="K85" s="408"/>
      <c r="L85" s="406"/>
      <c r="N85" s="1246">
        <f>F85-'[1]1'!E85</f>
        <v>0</v>
      </c>
      <c r="O85" s="908"/>
      <c r="P85" s="908"/>
      <c r="Q85" s="908"/>
    </row>
    <row r="86" spans="1:17" s="871" customFormat="1" x14ac:dyDescent="0.5">
      <c r="A86" s="866" t="s">
        <v>117</v>
      </c>
      <c r="B86" s="867"/>
      <c r="C86" s="867"/>
      <c r="D86" s="868" t="s">
        <v>210</v>
      </c>
      <c r="E86" s="841">
        <f>'[1]27'!F86</f>
        <v>444009</v>
      </c>
      <c r="F86" s="886">
        <v>444090</v>
      </c>
      <c r="G86" s="841">
        <f t="shared" ref="G86:G90" si="7">F86-E86</f>
        <v>81</v>
      </c>
      <c r="H86" s="841">
        <f t="shared" ref="H86:H90" si="8">G86</f>
        <v>81</v>
      </c>
      <c r="I86" s="769"/>
      <c r="J86" s="843">
        <f>H86/DAY(B2)</f>
        <v>2.8928571428571428</v>
      </c>
      <c r="K86" s="869"/>
      <c r="L86" s="870"/>
      <c r="N86" s="1246">
        <f>F86-'[1]1'!E86</f>
        <v>3677.7600000000093</v>
      </c>
      <c r="O86" s="908"/>
      <c r="P86" s="908"/>
      <c r="Q86" s="909"/>
    </row>
    <row r="87" spans="1:17" s="871" customFormat="1" x14ac:dyDescent="0.5">
      <c r="A87" s="866" t="s">
        <v>118</v>
      </c>
      <c r="B87" s="867"/>
      <c r="C87" s="867"/>
      <c r="D87" s="868" t="s">
        <v>210</v>
      </c>
      <c r="E87" s="841">
        <f>'[1]27'!F87</f>
        <v>77650.7</v>
      </c>
      <c r="F87" s="886">
        <v>77674.7</v>
      </c>
      <c r="G87" s="841">
        <f t="shared" si="7"/>
        <v>24</v>
      </c>
      <c r="H87" s="841">
        <f t="shared" si="8"/>
        <v>24</v>
      </c>
      <c r="I87" s="769"/>
      <c r="J87" s="843">
        <f>H87/DAY(B2)</f>
        <v>0.8571428571428571</v>
      </c>
      <c r="K87" s="869"/>
      <c r="L87" s="870"/>
      <c r="N87" s="1246">
        <f>F87-'[1]1'!E87</f>
        <v>773.39999999999418</v>
      </c>
      <c r="O87" s="908"/>
      <c r="P87" s="908"/>
      <c r="Q87" s="909"/>
    </row>
    <row r="88" spans="1:17" s="871" customFormat="1" x14ac:dyDescent="0.5">
      <c r="A88" s="866" t="s">
        <v>119</v>
      </c>
      <c r="B88" s="867"/>
      <c r="C88" s="867"/>
      <c r="D88" s="868" t="s">
        <v>210</v>
      </c>
      <c r="E88" s="841">
        <f>'[1]27'!F88</f>
        <v>144325</v>
      </c>
      <c r="F88" s="886">
        <v>144376</v>
      </c>
      <c r="G88" s="841">
        <f t="shared" si="7"/>
        <v>51</v>
      </c>
      <c r="H88" s="841">
        <f t="shared" si="8"/>
        <v>51</v>
      </c>
      <c r="I88" s="769"/>
      <c r="J88" s="843">
        <f>H88/DAY(B2)</f>
        <v>1.8214285714285714</v>
      </c>
      <c r="K88" s="869"/>
      <c r="L88" s="870"/>
      <c r="N88" s="1246">
        <f>F88-'[1]1'!E88</f>
        <v>1903.5100000000093</v>
      </c>
      <c r="O88" s="908"/>
      <c r="P88" s="908"/>
      <c r="Q88" s="909"/>
    </row>
    <row r="89" spans="1:17" s="871" customFormat="1" x14ac:dyDescent="0.5">
      <c r="A89" s="866" t="s">
        <v>230</v>
      </c>
      <c r="B89" s="867"/>
      <c r="C89" s="867"/>
      <c r="D89" s="868" t="s">
        <v>210</v>
      </c>
      <c r="E89" s="841">
        <f>'[1]27'!F89</f>
        <v>57401</v>
      </c>
      <c r="F89" s="886">
        <v>57460</v>
      </c>
      <c r="G89" s="841">
        <f t="shared" si="7"/>
        <v>59</v>
      </c>
      <c r="H89" s="841">
        <f t="shared" si="8"/>
        <v>59</v>
      </c>
      <c r="I89" s="769"/>
      <c r="J89" s="843">
        <f>H89/DAY(B2)</f>
        <v>2.1071428571428572</v>
      </c>
      <c r="K89" s="869"/>
      <c r="L89" s="870"/>
      <c r="N89" s="1246">
        <f>F89-'[1]1'!E89</f>
        <v>1734.9000000000015</v>
      </c>
      <c r="O89" s="410"/>
    </row>
    <row r="90" spans="1:17" s="871" customFormat="1" x14ac:dyDescent="0.5">
      <c r="A90" s="866" t="s">
        <v>230</v>
      </c>
      <c r="B90" s="867"/>
      <c r="C90" s="867"/>
      <c r="D90" s="868" t="s">
        <v>210</v>
      </c>
      <c r="E90" s="841">
        <f>'[1]27'!F90</f>
        <v>2972.1</v>
      </c>
      <c r="F90" s="886">
        <v>2975.5</v>
      </c>
      <c r="G90" s="841">
        <f t="shared" si="7"/>
        <v>3.4000000000000909</v>
      </c>
      <c r="H90" s="841">
        <f t="shared" si="8"/>
        <v>3.4000000000000909</v>
      </c>
      <c r="I90" s="769"/>
      <c r="J90" s="843">
        <f>H90/DAY(B2)</f>
        <v>0.12142857142857467</v>
      </c>
      <c r="K90" s="869"/>
      <c r="L90" s="870"/>
      <c r="N90" s="1246">
        <f>F90-'[1]1'!E90</f>
        <v>87.5</v>
      </c>
      <c r="O90" s="410"/>
    </row>
    <row r="91" spans="1:17" s="407" customFormat="1" x14ac:dyDescent="0.5">
      <c r="A91" s="727" t="s">
        <v>231</v>
      </c>
      <c r="B91" s="1358"/>
      <c r="C91" s="1358"/>
      <c r="D91" s="592"/>
      <c r="E91" s="875"/>
      <c r="F91" s="875"/>
      <c r="G91" s="608"/>
      <c r="H91" s="592"/>
      <c r="I91" s="592"/>
      <c r="J91" s="672"/>
      <c r="K91" s="408"/>
      <c r="L91" s="406"/>
      <c r="N91" s="1246">
        <f>F91-'[1]1'!E91</f>
        <v>0</v>
      </c>
      <c r="O91" s="908"/>
      <c r="P91" s="908"/>
      <c r="Q91" s="908"/>
    </row>
    <row r="92" spans="1:17" ht="27.75" x14ac:dyDescent="0.5">
      <c r="A92" s="1398" t="s">
        <v>233</v>
      </c>
      <c r="B92" s="1399"/>
      <c r="C92" s="1400"/>
      <c r="D92" s="643" t="s">
        <v>171</v>
      </c>
      <c r="E92" s="895">
        <f>'[1]27'!F92</f>
        <v>233608</v>
      </c>
      <c r="F92" s="874">
        <v>233730</v>
      </c>
      <c r="G92" s="593">
        <f t="shared" ref="G92:G93" si="9">F92-E92</f>
        <v>122</v>
      </c>
      <c r="H92" s="580">
        <f>G92+'[1]27'!H92</f>
        <v>2755</v>
      </c>
      <c r="I92" s="600"/>
      <c r="J92" s="673">
        <f>H92/DAY(B2)</f>
        <v>98.392857142857139</v>
      </c>
      <c r="K92" s="509"/>
      <c r="L92" s="405"/>
      <c r="N92" s="1246">
        <f>F92-'[1]1'!E92</f>
        <v>2755</v>
      </c>
    </row>
    <row r="93" spans="1:17" ht="27.75" x14ac:dyDescent="0.5">
      <c r="A93" s="1398" t="s">
        <v>234</v>
      </c>
      <c r="B93" s="1399"/>
      <c r="C93" s="1400"/>
      <c r="D93" s="643" t="s">
        <v>171</v>
      </c>
      <c r="E93" s="895">
        <f>'[1]27'!F93</f>
        <v>166414</v>
      </c>
      <c r="F93" s="874">
        <v>166556</v>
      </c>
      <c r="G93" s="593">
        <f t="shared" si="9"/>
        <v>142</v>
      </c>
      <c r="H93" s="580">
        <f>G93+'[1]27'!H93</f>
        <v>3914</v>
      </c>
      <c r="I93" s="600"/>
      <c r="J93" s="673">
        <f>H93/DAY(B2)</f>
        <v>139.78571428571428</v>
      </c>
      <c r="K93" s="408"/>
      <c r="L93" s="405"/>
      <c r="N93" s="1246">
        <f>F93-'[1]1'!E93</f>
        <v>3914</v>
      </c>
    </row>
    <row r="94" spans="1:17" x14ac:dyDescent="0.5">
      <c r="A94" s="1392" t="s">
        <v>235</v>
      </c>
      <c r="B94" s="1393"/>
      <c r="C94" s="1394"/>
      <c r="D94" s="643"/>
      <c r="E94" s="895">
        <f>'[1]27'!F94</f>
        <v>0</v>
      </c>
      <c r="F94" s="874"/>
      <c r="G94" s="593">
        <f>G92+G93</f>
        <v>264</v>
      </c>
      <c r="H94" s="580">
        <f>G94+'[1]27'!H94</f>
        <v>6406</v>
      </c>
      <c r="I94" s="600"/>
      <c r="J94" s="673">
        <f>H94/DAY(B2)</f>
        <v>228.78571428571428</v>
      </c>
      <c r="K94" s="408"/>
      <c r="L94" s="405"/>
      <c r="N94" s="1246">
        <f>F94-'[1]1'!E94</f>
        <v>0</v>
      </c>
    </row>
    <row r="95" spans="1:17" ht="27.75" x14ac:dyDescent="0.5">
      <c r="A95" s="1398" t="s">
        <v>236</v>
      </c>
      <c r="B95" s="1399"/>
      <c r="C95" s="1400"/>
      <c r="D95" s="643" t="s">
        <v>171</v>
      </c>
      <c r="E95" s="895">
        <f>'[1]27'!F95</f>
        <v>403374</v>
      </c>
      <c r="F95" s="874">
        <v>403455</v>
      </c>
      <c r="G95" s="593">
        <f t="shared" ref="G95:G100" si="10">F95-E95</f>
        <v>81</v>
      </c>
      <c r="H95" s="580">
        <f>G95+'[1]27'!H95</f>
        <v>1890</v>
      </c>
      <c r="I95" s="600"/>
      <c r="J95" s="673">
        <f>H95/DAY(B2)</f>
        <v>67.5</v>
      </c>
      <c r="K95" s="408"/>
      <c r="L95" s="405"/>
      <c r="N95" s="1246">
        <f>F95-'[1]1'!E95</f>
        <v>1890</v>
      </c>
    </row>
    <row r="96" spans="1:17" ht="27.75" x14ac:dyDescent="0.5">
      <c r="A96" s="1354" t="s">
        <v>237</v>
      </c>
      <c r="B96" s="1355"/>
      <c r="C96" s="1355"/>
      <c r="D96" s="643" t="s">
        <v>171</v>
      </c>
      <c r="E96" s="895">
        <f>'[1]27'!F96</f>
        <v>99845</v>
      </c>
      <c r="F96" s="874">
        <v>99878</v>
      </c>
      <c r="G96" s="593">
        <f t="shared" si="10"/>
        <v>33</v>
      </c>
      <c r="H96" s="580">
        <f>G96+'[1]27'!H96</f>
        <v>767</v>
      </c>
      <c r="I96" s="600"/>
      <c r="J96" s="673">
        <f>H96/DAY(B2)</f>
        <v>27.392857142857142</v>
      </c>
      <c r="K96" s="507"/>
      <c r="L96" s="405"/>
      <c r="N96" s="1246">
        <f>F96-'[1]1'!E96</f>
        <v>767</v>
      </c>
    </row>
    <row r="97" spans="1:17" ht="27.75" x14ac:dyDescent="0.5">
      <c r="A97" s="1354" t="s">
        <v>238</v>
      </c>
      <c r="B97" s="1355"/>
      <c r="C97" s="1355"/>
      <c r="D97" s="643" t="s">
        <v>171</v>
      </c>
      <c r="E97" s="895">
        <f>'[1]27'!F97</f>
        <v>94958</v>
      </c>
      <c r="F97" s="874">
        <v>94989</v>
      </c>
      <c r="G97" s="593">
        <f t="shared" si="10"/>
        <v>31</v>
      </c>
      <c r="H97" s="580">
        <f>G97+'[1]27'!H97</f>
        <v>717</v>
      </c>
      <c r="I97" s="600"/>
      <c r="J97" s="673">
        <f>H97/DAY(B2)</f>
        <v>25.607142857142858</v>
      </c>
      <c r="K97" s="512"/>
      <c r="L97" s="405"/>
      <c r="N97" s="1246">
        <f>F97-'[1]1'!E97</f>
        <v>717</v>
      </c>
    </row>
    <row r="98" spans="1:17" ht="27.75" x14ac:dyDescent="0.5">
      <c r="A98" s="1354" t="s">
        <v>239</v>
      </c>
      <c r="B98" s="1355"/>
      <c r="C98" s="1355"/>
      <c r="D98" s="643" t="s">
        <v>171</v>
      </c>
      <c r="E98" s="895">
        <f>'[1]27'!F98</f>
        <v>143586</v>
      </c>
      <c r="F98" s="874">
        <v>143644</v>
      </c>
      <c r="G98" s="593">
        <f t="shared" si="10"/>
        <v>58</v>
      </c>
      <c r="H98" s="580">
        <f>G98+'[1]27'!H98</f>
        <v>1498</v>
      </c>
      <c r="I98" s="600"/>
      <c r="J98" s="673">
        <f>H98/DAY(B2)</f>
        <v>53.5</v>
      </c>
      <c r="K98" s="408"/>
      <c r="L98" s="405"/>
      <c r="N98" s="1246">
        <f>F98-'[1]1'!E98</f>
        <v>1498</v>
      </c>
    </row>
    <row r="99" spans="1:17" ht="27.75" x14ac:dyDescent="0.5">
      <c r="A99" s="1354" t="s">
        <v>240</v>
      </c>
      <c r="B99" s="1355"/>
      <c r="C99" s="1355"/>
      <c r="D99" s="643" t="s">
        <v>171</v>
      </c>
      <c r="E99" s="895">
        <f>'[1]27'!F99</f>
        <v>5465</v>
      </c>
      <c r="F99" s="874">
        <v>5484</v>
      </c>
      <c r="G99" s="593">
        <f t="shared" si="10"/>
        <v>19</v>
      </c>
      <c r="H99" s="580">
        <f>G99+'[1]27'!H99</f>
        <v>516</v>
      </c>
      <c r="I99" s="600"/>
      <c r="J99" s="673">
        <f>H99/DAY(B2)</f>
        <v>18.428571428571427</v>
      </c>
      <c r="K99" s="408"/>
      <c r="L99" s="405"/>
      <c r="N99" s="1246">
        <f>F99-'[1]1'!E99</f>
        <v>516</v>
      </c>
    </row>
    <row r="100" spans="1:17" ht="27.75" x14ac:dyDescent="0.5">
      <c r="A100" s="1354" t="s">
        <v>241</v>
      </c>
      <c r="B100" s="1355"/>
      <c r="C100" s="1355"/>
      <c r="D100" s="643" t="s">
        <v>171</v>
      </c>
      <c r="E100" s="895">
        <f>'[1]27'!F100</f>
        <v>3926</v>
      </c>
      <c r="F100" s="874">
        <v>3936</v>
      </c>
      <c r="G100" s="593">
        <f t="shared" si="10"/>
        <v>10</v>
      </c>
      <c r="H100" s="580">
        <f>G100+'[1]27'!H100</f>
        <v>140</v>
      </c>
      <c r="I100" s="600"/>
      <c r="J100" s="673">
        <f>H100/DAY(B2)</f>
        <v>5</v>
      </c>
      <c r="K100" s="408"/>
      <c r="L100" s="405"/>
      <c r="N100" s="1246">
        <f>F100-'[1]1'!E100</f>
        <v>262</v>
      </c>
    </row>
    <row r="101" spans="1:17" x14ac:dyDescent="0.5">
      <c r="A101" s="1392" t="s">
        <v>242</v>
      </c>
      <c r="B101" s="1393"/>
      <c r="C101" s="1394"/>
      <c r="D101" s="644"/>
      <c r="E101" s="606"/>
      <c r="F101" s="606"/>
      <c r="G101" s="645">
        <f>SUM(G95:G100)</f>
        <v>232</v>
      </c>
      <c r="H101" s="580">
        <f>G101+'[1]27'!H101</f>
        <v>5528</v>
      </c>
      <c r="I101" s="646"/>
      <c r="J101" s="673">
        <f>H101/DAY(B2)</f>
        <v>197.42857142857142</v>
      </c>
      <c r="K101" s="408"/>
      <c r="L101" s="405"/>
      <c r="N101" s="1246">
        <f>F101-'[1]1'!E101</f>
        <v>0</v>
      </c>
    </row>
    <row r="102" spans="1:17" s="524" customFormat="1" ht="27" x14ac:dyDescent="0.35">
      <c r="A102" s="728" t="s">
        <v>243</v>
      </c>
      <c r="B102" s="729"/>
      <c r="C102" s="729"/>
      <c r="D102" s="742"/>
      <c r="E102" s="903"/>
      <c r="F102" s="887"/>
      <c r="G102" s="649"/>
      <c r="H102" s="650"/>
      <c r="I102" s="651"/>
      <c r="J102" s="678"/>
      <c r="N102" s="1246">
        <f>F102-'[1]1'!E102</f>
        <v>0</v>
      </c>
      <c r="O102" s="908"/>
      <c r="P102" s="908"/>
      <c r="Q102" s="908"/>
    </row>
    <row r="103" spans="1:17" s="524" customFormat="1" ht="27" x14ac:dyDescent="0.5">
      <c r="A103" s="1404" t="s">
        <v>244</v>
      </c>
      <c r="B103" s="1405"/>
      <c r="C103" s="694"/>
      <c r="D103" s="743"/>
      <c r="E103" s="653"/>
      <c r="F103" s="888"/>
      <c r="G103" s="652"/>
      <c r="H103" s="653"/>
      <c r="I103" s="652"/>
      <c r="J103" s="679"/>
      <c r="N103" s="1246">
        <f>F103-'[1]1'!E103</f>
        <v>0</v>
      </c>
      <c r="O103" s="908"/>
      <c r="P103" s="908"/>
      <c r="Q103" s="908"/>
    </row>
    <row r="104" spans="1:17" s="524" customFormat="1" ht="27" x14ac:dyDescent="0.5">
      <c r="A104" s="1406" t="s">
        <v>245</v>
      </c>
      <c r="B104" s="1407"/>
      <c r="C104" s="1359"/>
      <c r="D104" s="743" t="s">
        <v>171</v>
      </c>
      <c r="E104" s="653">
        <f>'[1]27'!F104</f>
        <v>7010</v>
      </c>
      <c r="F104" s="888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2.0357142857142856</v>
      </c>
      <c r="N104" s="1246">
        <f>F104-'[1]1'!E104</f>
        <v>0</v>
      </c>
      <c r="O104" s="908"/>
      <c r="P104" s="908"/>
      <c r="Q104" s="908"/>
    </row>
    <row r="105" spans="1:17" s="524" customFormat="1" ht="27" x14ac:dyDescent="0.5">
      <c r="A105" s="1406" t="s">
        <v>92</v>
      </c>
      <c r="B105" s="1407"/>
      <c r="C105" s="1359"/>
      <c r="D105" s="743" t="s">
        <v>171</v>
      </c>
      <c r="E105" s="653">
        <f>'[1]27'!F105</f>
        <v>34885</v>
      </c>
      <c r="F105" s="777">
        <v>34900</v>
      </c>
      <c r="G105" s="652">
        <f t="shared" ref="G105" si="11">F105-E105</f>
        <v>15</v>
      </c>
      <c r="H105" s="653">
        <f>SUM(G105+'[1]1'!G77)</f>
        <v>70</v>
      </c>
      <c r="I105" s="652"/>
      <c r="J105" s="679">
        <f>H105/DAY(B2)</f>
        <v>2.5</v>
      </c>
      <c r="N105" s="1246">
        <f>F105-'[1]1'!E105</f>
        <v>224</v>
      </c>
      <c r="O105" s="908"/>
      <c r="P105" s="908"/>
      <c r="Q105" s="908"/>
    </row>
    <row r="106" spans="1:17" s="524" customFormat="1" ht="27" x14ac:dyDescent="0.5">
      <c r="A106" s="1406" t="s">
        <v>93</v>
      </c>
      <c r="B106" s="1408"/>
      <c r="C106" s="1407"/>
      <c r="D106" s="743" t="s">
        <v>171</v>
      </c>
      <c r="E106" s="653">
        <f>'[1]27'!F106</f>
        <v>18868</v>
      </c>
      <c r="F106" s="777">
        <v>18873</v>
      </c>
      <c r="G106" s="652">
        <f>F106-E106</f>
        <v>5</v>
      </c>
      <c r="H106" s="653">
        <f>SUM(G106+'[1]1'!G78)</f>
        <v>485</v>
      </c>
      <c r="I106" s="652"/>
      <c r="J106" s="679">
        <f>H106/DAY(B2)</f>
        <v>17.321428571428573</v>
      </c>
      <c r="N106" s="1246">
        <f>F106-'[1]1'!E106</f>
        <v>133</v>
      </c>
      <c r="O106" s="908"/>
      <c r="P106" s="908"/>
      <c r="Q106" s="908"/>
    </row>
    <row r="107" spans="1:17" s="524" customFormat="1" ht="27" x14ac:dyDescent="0.5">
      <c r="A107" s="1409" t="s">
        <v>82</v>
      </c>
      <c r="B107" s="1410"/>
      <c r="C107" s="1359"/>
      <c r="D107" s="743"/>
      <c r="E107" s="653">
        <f>'[1]27'!F107</f>
        <v>0</v>
      </c>
      <c r="F107" s="777"/>
      <c r="G107" s="652">
        <f>SUM(G104:G106)</f>
        <v>20</v>
      </c>
      <c r="H107" s="653">
        <f>SUM(G107+'[1]1'!G79)</f>
        <v>221</v>
      </c>
      <c r="I107" s="652"/>
      <c r="J107" s="679">
        <f>H107/DAY(B2)</f>
        <v>7.8928571428571432</v>
      </c>
      <c r="N107" s="1246">
        <f>F107-'[1]1'!E107</f>
        <v>0</v>
      </c>
      <c r="O107" s="908"/>
      <c r="P107" s="908"/>
      <c r="Q107" s="908"/>
    </row>
    <row r="108" spans="1:17" s="524" customFormat="1" ht="27" x14ac:dyDescent="0.5">
      <c r="A108" s="1411" t="s">
        <v>94</v>
      </c>
      <c r="B108" s="1412"/>
      <c r="C108" s="1359"/>
      <c r="D108" s="743" t="s">
        <v>171</v>
      </c>
      <c r="E108" s="653">
        <f>'[1]27'!F108</f>
        <v>0</v>
      </c>
      <c r="F108" s="777"/>
      <c r="G108" s="652"/>
      <c r="H108" s="653"/>
      <c r="I108" s="652"/>
      <c r="J108" s="679"/>
      <c r="N108" s="1246">
        <f>F108-'[1]1'!E108</f>
        <v>0</v>
      </c>
      <c r="O108" s="908"/>
      <c r="P108" s="908"/>
      <c r="Q108" s="908"/>
    </row>
    <row r="109" spans="1:17" s="524" customFormat="1" ht="27" x14ac:dyDescent="0.5">
      <c r="A109" s="1406" t="s">
        <v>246</v>
      </c>
      <c r="B109" s="1407"/>
      <c r="C109" s="1359"/>
      <c r="D109" s="743" t="s">
        <v>171</v>
      </c>
      <c r="E109" s="653">
        <f>'[1]27'!F109</f>
        <v>52832</v>
      </c>
      <c r="F109" s="777">
        <v>52891</v>
      </c>
      <c r="G109" s="652">
        <f>F109-E109</f>
        <v>59</v>
      </c>
      <c r="H109" s="653">
        <f>SUM(G109+'[1]1'!G81)</f>
        <v>212.28000000002794</v>
      </c>
      <c r="I109" s="652"/>
      <c r="J109" s="679">
        <f>H109/DAY(B2)</f>
        <v>7.5814285714295693</v>
      </c>
      <c r="N109" s="1246">
        <f>F109-'[1]1'!E109</f>
        <v>1609</v>
      </c>
      <c r="O109" s="908"/>
      <c r="P109" s="908"/>
      <c r="Q109" s="908"/>
    </row>
    <row r="110" spans="1:17" s="524" customFormat="1" ht="27" x14ac:dyDescent="0.5">
      <c r="A110" s="1406" t="s">
        <v>247</v>
      </c>
      <c r="B110" s="1407"/>
      <c r="C110" s="1359"/>
      <c r="D110" s="743" t="s">
        <v>171</v>
      </c>
      <c r="E110" s="653">
        <f>'[1]27'!F110</f>
        <v>26707</v>
      </c>
      <c r="F110" s="777">
        <v>26759</v>
      </c>
      <c r="G110" s="652">
        <f t="shared" ref="G110:G111" si="12">F110-E110</f>
        <v>52</v>
      </c>
      <c r="H110" s="653">
        <f>SUM(G110+'[1]1'!G82)</f>
        <v>72.760000000009313</v>
      </c>
      <c r="I110" s="652"/>
      <c r="J110" s="679">
        <f>H110/DAY(B2)</f>
        <v>2.5985714285717614</v>
      </c>
      <c r="N110" s="1246">
        <f>F110-'[1]1'!E110</f>
        <v>1430</v>
      </c>
      <c r="O110" s="908"/>
      <c r="P110" s="908"/>
      <c r="Q110" s="908"/>
    </row>
    <row r="111" spans="1:17" s="524" customFormat="1" ht="27" x14ac:dyDescent="0.5">
      <c r="A111" s="1406" t="s">
        <v>248</v>
      </c>
      <c r="B111" s="1407"/>
      <c r="C111" s="1359"/>
      <c r="D111" s="743" t="s">
        <v>171</v>
      </c>
      <c r="E111" s="653">
        <f>'[1]27'!F111</f>
        <v>3540</v>
      </c>
      <c r="F111" s="777">
        <v>3551</v>
      </c>
      <c r="G111" s="654">
        <f t="shared" si="12"/>
        <v>11</v>
      </c>
      <c r="H111" s="653">
        <f>SUM(G111+'[1]1'!G83)</f>
        <v>357</v>
      </c>
      <c r="I111" s="652"/>
      <c r="J111" s="679">
        <f>H111/DAY(B2)</f>
        <v>12.75</v>
      </c>
      <c r="N111" s="1246">
        <f>F111-'[1]1'!E111</f>
        <v>166</v>
      </c>
      <c r="O111" s="908"/>
      <c r="P111" s="908"/>
      <c r="Q111" s="908"/>
    </row>
    <row r="112" spans="1:17" s="524" customFormat="1" ht="27" x14ac:dyDescent="0.5">
      <c r="A112" s="1409" t="s">
        <v>136</v>
      </c>
      <c r="B112" s="1410"/>
      <c r="C112" s="1359"/>
      <c r="D112" s="743"/>
      <c r="E112" s="653">
        <f>'[1]27'!F112</f>
        <v>0</v>
      </c>
      <c r="F112" s="777"/>
      <c r="G112" s="652">
        <f>SUM(G109:G111)</f>
        <v>122</v>
      </c>
      <c r="H112" s="653">
        <f>SUM(G112+'[1]1'!G84)</f>
        <v>686</v>
      </c>
      <c r="I112" s="652"/>
      <c r="J112" s="679">
        <f>H112/DAY(B2)</f>
        <v>24.5</v>
      </c>
      <c r="N112" s="1246">
        <f>F112-'[1]1'!E112</f>
        <v>0</v>
      </c>
      <c r="O112" s="908"/>
      <c r="P112" s="908"/>
      <c r="Q112" s="908"/>
    </row>
    <row r="113" spans="1:17" s="524" customFormat="1" ht="27" x14ac:dyDescent="0.5">
      <c r="A113" s="1411" t="s">
        <v>249</v>
      </c>
      <c r="B113" s="1412"/>
      <c r="C113" s="1359"/>
      <c r="D113" s="743"/>
      <c r="E113" s="653">
        <f>'[1]27'!F113</f>
        <v>0</v>
      </c>
      <c r="F113" s="777"/>
      <c r="G113" s="652"/>
      <c r="H113" s="653"/>
      <c r="I113" s="652"/>
      <c r="J113" s="679">
        <f>H113/DAY(B2)</f>
        <v>0</v>
      </c>
      <c r="N113" s="1246">
        <f>F113-'[1]1'!E113</f>
        <v>0</v>
      </c>
      <c r="O113" s="908"/>
      <c r="P113" s="908"/>
      <c r="Q113" s="908"/>
    </row>
    <row r="114" spans="1:17" s="524" customFormat="1" ht="27" x14ac:dyDescent="0.5">
      <c r="A114" s="1406" t="s">
        <v>250</v>
      </c>
      <c r="B114" s="1407"/>
      <c r="C114" s="695"/>
      <c r="D114" s="743" t="s">
        <v>171</v>
      </c>
      <c r="E114" s="653">
        <f>'[1]27'!F114</f>
        <v>9193</v>
      </c>
      <c r="F114" s="777">
        <v>9217</v>
      </c>
      <c r="G114" s="654">
        <f>F114-E114</f>
        <v>24</v>
      </c>
      <c r="H114" s="653">
        <f>SUM(G114+'[1]1'!G91)</f>
        <v>24</v>
      </c>
      <c r="I114" s="652"/>
      <c r="J114" s="679">
        <f>H114/DAY(B2)</f>
        <v>0.8571428571428571</v>
      </c>
      <c r="N114" s="1246">
        <f>F114-'[1]1'!E114</f>
        <v>616</v>
      </c>
      <c r="O114" s="908"/>
      <c r="P114" s="908"/>
      <c r="Q114" s="908"/>
    </row>
    <row r="115" spans="1:17" s="524" customFormat="1" ht="27" x14ac:dyDescent="0.5">
      <c r="A115" s="1406" t="s">
        <v>251</v>
      </c>
      <c r="B115" s="1407"/>
      <c r="C115" s="695"/>
      <c r="D115" s="743" t="s">
        <v>171</v>
      </c>
      <c r="E115" s="653">
        <f>'[1]27'!F115</f>
        <v>7152</v>
      </c>
      <c r="F115" s="777">
        <v>7172</v>
      </c>
      <c r="G115" s="654">
        <f t="shared" ref="G115:G116" si="13">F115-E115</f>
        <v>20</v>
      </c>
      <c r="H115" s="653">
        <f>SUM(G115+'[1]1'!G92)</f>
        <v>132</v>
      </c>
      <c r="I115" s="652"/>
      <c r="J115" s="679">
        <f>H115/DAY(B2)</f>
        <v>4.7142857142857144</v>
      </c>
      <c r="N115" s="1246">
        <f>F115-'[1]1'!E115</f>
        <v>355</v>
      </c>
      <c r="O115" s="908"/>
      <c r="P115" s="908"/>
      <c r="Q115" s="908"/>
    </row>
    <row r="116" spans="1:17" s="524" customFormat="1" ht="27" x14ac:dyDescent="0.5">
      <c r="A116" s="1406" t="s">
        <v>252</v>
      </c>
      <c r="B116" s="1407"/>
      <c r="C116" s="695"/>
      <c r="D116" s="743" t="s">
        <v>171</v>
      </c>
      <c r="E116" s="656"/>
      <c r="F116" s="777"/>
      <c r="G116" s="654">
        <f t="shared" si="13"/>
        <v>0</v>
      </c>
      <c r="H116" s="653">
        <f>SUM(G116+'[1]1'!G93)</f>
        <v>151</v>
      </c>
      <c r="I116" s="652"/>
      <c r="J116" s="679">
        <f>H116/DAY(B2)</f>
        <v>5.3928571428571432</v>
      </c>
      <c r="N116" s="1246">
        <f>F116-'[1]1'!E116</f>
        <v>0</v>
      </c>
      <c r="O116" s="908"/>
      <c r="P116" s="908"/>
      <c r="Q116" s="908"/>
    </row>
    <row r="117" spans="1:17" s="537" customFormat="1" ht="27" x14ac:dyDescent="0.5">
      <c r="A117" s="1409" t="s">
        <v>82</v>
      </c>
      <c r="B117" s="1410"/>
      <c r="C117" s="695"/>
      <c r="D117" s="744"/>
      <c r="E117" s="656"/>
      <c r="F117" s="777"/>
      <c r="G117" s="654">
        <f>SUM(G114:G116)</f>
        <v>44</v>
      </c>
      <c r="H117" s="653">
        <f>SUM(G117+'[1]1'!G95)</f>
        <v>91</v>
      </c>
      <c r="I117" s="654"/>
      <c r="J117" s="679">
        <f>H117/DAY(B2)</f>
        <v>3.25</v>
      </c>
      <c r="N117" s="1246">
        <f>F117-'[1]1'!E117</f>
        <v>0</v>
      </c>
      <c r="O117" s="908"/>
      <c r="P117" s="908"/>
      <c r="Q117" s="909"/>
    </row>
    <row r="118" spans="1:17" s="538" customFormat="1" ht="27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178</v>
      </c>
      <c r="G118" s="656">
        <f>SUM(G19+G92)</f>
        <v>178</v>
      </c>
      <c r="H118" s="653">
        <f>SUM(G118+'[1]1'!G96)</f>
        <v>211</v>
      </c>
      <c r="I118" s="655"/>
      <c r="J118" s="680">
        <f>H118/DAY(B2)</f>
        <v>7.5357142857142856</v>
      </c>
      <c r="N118" s="1246">
        <f>F118-'[1]1'!E118</f>
        <v>-360763</v>
      </c>
      <c r="O118" s="908"/>
      <c r="P118" s="908"/>
      <c r="Q118" s="909"/>
    </row>
    <row r="119" spans="1:17" s="538" customFormat="1" ht="27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174</v>
      </c>
      <c r="G119" s="656">
        <f>SUM(G95,G96,G97,G99,G100)</f>
        <v>174</v>
      </c>
      <c r="H119" s="653">
        <f>SUM(G119+'[1]1'!G98)</f>
        <v>241</v>
      </c>
      <c r="I119" s="655"/>
      <c r="J119" s="680">
        <f>H119/DAY(B2)</f>
        <v>8.6071428571428577</v>
      </c>
      <c r="N119" s="1246">
        <f>F119-'[1]1'!E119</f>
        <v>-603554</v>
      </c>
      <c r="O119" s="908"/>
      <c r="P119" s="908"/>
      <c r="Q119" s="909"/>
    </row>
    <row r="120" spans="1:17" s="538" customFormat="1" ht="27" x14ac:dyDescent="0.5">
      <c r="A120" s="1437" t="s">
        <v>255</v>
      </c>
      <c r="B120" s="1438"/>
      <c r="C120" s="1362"/>
      <c r="D120" s="745" t="s">
        <v>171</v>
      </c>
      <c r="E120" s="656"/>
      <c r="F120" s="777">
        <f>SUM(G112)</f>
        <v>122</v>
      </c>
      <c r="G120" s="654">
        <f>SUM(G112)</f>
        <v>122</v>
      </c>
      <c r="H120" s="653">
        <f>SUM(G120+'[1]1'!G100)</f>
        <v>122</v>
      </c>
      <c r="I120" s="655"/>
      <c r="J120" s="680">
        <f>H120/DAY(B2)</f>
        <v>4.3571428571428568</v>
      </c>
      <c r="N120" s="1246">
        <f>F120-'[1]1'!E120</f>
        <v>122</v>
      </c>
      <c r="O120" s="908"/>
      <c r="P120" s="908"/>
      <c r="Q120" s="909"/>
    </row>
    <row r="121" spans="1:17" s="524" customFormat="1" ht="27" x14ac:dyDescent="0.5">
      <c r="A121" s="1439"/>
      <c r="B121" s="1440"/>
      <c r="C121" s="1363"/>
      <c r="D121" s="681"/>
      <c r="E121" s="904"/>
      <c r="F121" s="889" t="s">
        <v>143</v>
      </c>
      <c r="G121" s="681"/>
      <c r="H121" s="682"/>
      <c r="I121" s="681"/>
      <c r="J121" s="683"/>
      <c r="N121" s="1246" t="e">
        <f>F121-'[1]1'!E121</f>
        <v>#VALUE!</v>
      </c>
      <c r="O121" s="908"/>
      <c r="P121" s="908"/>
      <c r="Q121" s="908"/>
    </row>
    <row r="122" spans="1:17" x14ac:dyDescent="0.5">
      <c r="A122" s="1389" t="s">
        <v>256</v>
      </c>
      <c r="B122" s="1390"/>
      <c r="C122" s="1391"/>
      <c r="D122" s="592"/>
      <c r="E122" s="875"/>
      <c r="F122" s="875"/>
      <c r="G122" s="603"/>
      <c r="H122" s="603"/>
      <c r="I122" s="603"/>
      <c r="J122" s="684"/>
      <c r="K122" s="408"/>
      <c r="L122" s="405"/>
      <c r="N122" s="1246">
        <f>F122-'[1]1'!E122</f>
        <v>0</v>
      </c>
    </row>
    <row r="123" spans="1:17" ht="27.75" x14ac:dyDescent="0.5">
      <c r="A123" s="1354" t="s">
        <v>257</v>
      </c>
      <c r="B123" s="1355"/>
      <c r="C123" s="1355"/>
      <c r="D123" s="643" t="s">
        <v>168</v>
      </c>
      <c r="E123" s="874">
        <f>'[1]27'!F123</f>
        <v>794458.67</v>
      </c>
      <c r="F123" s="874">
        <v>794669.43</v>
      </c>
      <c r="G123" s="593">
        <f t="shared" ref="G123:G127" si="14">F123-E123</f>
        <v>210.76000000000931</v>
      </c>
      <c r="H123" s="580">
        <f>G123+'[1]27'!H123</f>
        <v>5838.3600000001024</v>
      </c>
      <c r="I123" s="646"/>
      <c r="J123" s="673">
        <f>H123/DAY(B2)</f>
        <v>208.51285714286081</v>
      </c>
      <c r="K123" s="408"/>
      <c r="L123" s="405"/>
      <c r="N123" s="1246">
        <f>F123-'[1]1'!E123</f>
        <v>5838.3600000001024</v>
      </c>
    </row>
    <row r="124" spans="1:17" ht="27.75" x14ac:dyDescent="0.5">
      <c r="A124" s="1354" t="s">
        <v>258</v>
      </c>
      <c r="B124" s="1355"/>
      <c r="C124" s="1355"/>
      <c r="D124" s="643" t="s">
        <v>168</v>
      </c>
      <c r="E124" s="890">
        <f>'[1]27'!F124</f>
        <v>73581.899999999994</v>
      </c>
      <c r="F124" s="890">
        <v>73582</v>
      </c>
      <c r="G124" s="593">
        <f t="shared" si="14"/>
        <v>0.10000000000582077</v>
      </c>
      <c r="H124" s="580">
        <f>G124+'[1]27'!H124</f>
        <v>-0.19999999999708962</v>
      </c>
      <c r="I124" s="646"/>
      <c r="J124" s="673">
        <f>H124/DAY(B2)</f>
        <v>-7.1428571427532006E-3</v>
      </c>
      <c r="K124" s="408"/>
      <c r="L124" s="405"/>
      <c r="N124" s="1246">
        <f>F124-'[1]1'!E124</f>
        <v>-0.19999999999708962</v>
      </c>
    </row>
    <row r="125" spans="1:17" ht="27.75" x14ac:dyDescent="0.5">
      <c r="A125" s="1395" t="s">
        <v>259</v>
      </c>
      <c r="B125" s="1396"/>
      <c r="C125" s="1397"/>
      <c r="D125" s="643" t="s">
        <v>168</v>
      </c>
      <c r="E125" s="874">
        <f>'[1]27'!F125</f>
        <v>135326.82</v>
      </c>
      <c r="F125" s="874">
        <v>135391.9</v>
      </c>
      <c r="G125" s="593">
        <f t="shared" si="14"/>
        <v>65.079999999987194</v>
      </c>
      <c r="H125" s="580">
        <f>G125+'[1]27'!H125</f>
        <v>2269.0199999999895</v>
      </c>
      <c r="I125" s="646"/>
      <c r="J125" s="673">
        <f>H125/DAY(B2)</f>
        <v>81.036428571428203</v>
      </c>
      <c r="K125" s="408"/>
      <c r="L125" s="405"/>
      <c r="N125" s="1246">
        <f>F125-'[1]1'!E125</f>
        <v>2269.0199999999895</v>
      </c>
    </row>
    <row r="126" spans="1:17" ht="27.75" x14ac:dyDescent="0.5">
      <c r="A126" s="730" t="s">
        <v>260</v>
      </c>
      <c r="B126" s="1355"/>
      <c r="C126" s="1355"/>
      <c r="D126" s="643" t="s">
        <v>168</v>
      </c>
      <c r="E126" s="877">
        <f>'[1]27'!F126</f>
        <v>57250.400000000001</v>
      </c>
      <c r="F126" s="877">
        <v>57258.1</v>
      </c>
      <c r="G126" s="593">
        <f t="shared" si="14"/>
        <v>7.6999999999970896</v>
      </c>
      <c r="H126" s="580">
        <f>G126+'[1]27'!H126</f>
        <v>909.90000000000146</v>
      </c>
      <c r="I126" s="646"/>
      <c r="J126" s="673">
        <f>H126/DAY(B2)</f>
        <v>32.496428571428623</v>
      </c>
      <c r="K126" s="408"/>
      <c r="L126" s="405"/>
      <c r="N126" s="1246">
        <f>F126-'[1]1'!E126</f>
        <v>909.90000000000146</v>
      </c>
    </row>
    <row r="127" spans="1:17" ht="27.75" x14ac:dyDescent="0.5">
      <c r="A127" s="730" t="s">
        <v>261</v>
      </c>
      <c r="B127" s="1355"/>
      <c r="C127" s="1355"/>
      <c r="D127" s="643" t="s">
        <v>168</v>
      </c>
      <c r="E127" s="890">
        <f>'[1]27'!F127</f>
        <v>8698.4</v>
      </c>
      <c r="F127" s="890">
        <v>8699</v>
      </c>
      <c r="G127" s="593">
        <f t="shared" si="14"/>
        <v>0.6000000000003638</v>
      </c>
      <c r="H127" s="580">
        <f>G127+'[1]27'!H127</f>
        <v>58.899999999999636</v>
      </c>
      <c r="I127" s="600"/>
      <c r="J127" s="673">
        <f>H127/DAY(B2)</f>
        <v>2.1035714285714158</v>
      </c>
      <c r="K127" s="408"/>
      <c r="L127" s="405"/>
      <c r="N127" s="1246">
        <f>F127-'[1]1'!E127</f>
        <v>58.899999999999636</v>
      </c>
    </row>
    <row r="128" spans="1:17" s="278" customFormat="1" ht="27" x14ac:dyDescent="0.5">
      <c r="A128" s="730" t="s">
        <v>262</v>
      </c>
      <c r="B128" s="1355"/>
      <c r="C128" s="1355"/>
      <c r="D128" s="643"/>
      <c r="E128" s="874"/>
      <c r="F128" s="874"/>
      <c r="G128" s="593">
        <f>G15-SUM(G123:G127)</f>
        <v>492.5700000000561</v>
      </c>
      <c r="H128" s="580"/>
      <c r="I128" s="600"/>
      <c r="J128" s="673"/>
      <c r="K128" s="388"/>
      <c r="L128" s="290"/>
      <c r="N128" s="1246">
        <f>F128-'[1]1'!E128</f>
        <v>0</v>
      </c>
      <c r="O128" s="908"/>
      <c r="P128" s="908"/>
      <c r="Q128" s="908"/>
    </row>
    <row r="129" spans="1:12" x14ac:dyDescent="0.4">
      <c r="A129" s="731" t="s">
        <v>263</v>
      </c>
      <c r="B129" s="578"/>
      <c r="C129" s="578"/>
      <c r="D129" s="591"/>
      <c r="E129" s="615"/>
      <c r="F129" s="615"/>
      <c r="G129" s="661"/>
      <c r="H129" s="661"/>
      <c r="I129" s="661"/>
      <c r="J129" s="685"/>
    </row>
    <row r="130" spans="1:12" ht="27.75" x14ac:dyDescent="0.5">
      <c r="A130" s="1354" t="s">
        <v>264</v>
      </c>
      <c r="B130" s="1355"/>
      <c r="C130" s="1355"/>
      <c r="D130" s="643" t="s">
        <v>265</v>
      </c>
      <c r="E130" s="895">
        <f>'[1]27'!F130</f>
        <v>0</v>
      </c>
      <c r="F130" s="874">
        <v>0</v>
      </c>
      <c r="G130" s="593">
        <f t="shared" ref="G130:G140" si="15">F130-E130</f>
        <v>0</v>
      </c>
      <c r="H130" s="580">
        <f>G130+'[1]27'!H130</f>
        <v>0</v>
      </c>
      <c r="I130" s="600"/>
      <c r="J130" s="673">
        <f>H130/DAY(B2)</f>
        <v>0</v>
      </c>
    </row>
    <row r="131" spans="1:12" ht="27.75" x14ac:dyDescent="0.5">
      <c r="A131" s="1354" t="s">
        <v>266</v>
      </c>
      <c r="B131" s="1355"/>
      <c r="C131" s="1355"/>
      <c r="D131" s="643" t="s">
        <v>265</v>
      </c>
      <c r="E131" s="895">
        <f>'[1]27'!F131</f>
        <v>0</v>
      </c>
      <c r="F131" s="874">
        <v>0</v>
      </c>
      <c r="G131" s="593">
        <f t="shared" si="15"/>
        <v>0</v>
      </c>
      <c r="H131" s="580">
        <f>G131+'[1]27'!H131</f>
        <v>0</v>
      </c>
      <c r="I131" s="600"/>
      <c r="J131" s="673">
        <f>H131/DAY(B2)</f>
        <v>0</v>
      </c>
    </row>
    <row r="132" spans="1:12" ht="27.75" x14ac:dyDescent="0.5">
      <c r="A132" s="1354" t="s">
        <v>267</v>
      </c>
      <c r="B132" s="1355"/>
      <c r="C132" s="1355"/>
      <c r="D132" s="643" t="s">
        <v>265</v>
      </c>
      <c r="E132" s="906">
        <f>'[1]27'!F132</f>
        <v>38901</v>
      </c>
      <c r="F132" s="890">
        <v>38901</v>
      </c>
      <c r="G132" s="593">
        <f t="shared" si="15"/>
        <v>0</v>
      </c>
      <c r="H132" s="580">
        <f>G132+'[1]27'!H132</f>
        <v>0</v>
      </c>
      <c r="I132" s="600"/>
      <c r="J132" s="673">
        <f>H132/DAY(B2)</f>
        <v>0</v>
      </c>
    </row>
    <row r="133" spans="1:12" ht="27.75" x14ac:dyDescent="0.5">
      <c r="A133" s="1354" t="s">
        <v>268</v>
      </c>
      <c r="B133" s="1355"/>
      <c r="C133" s="1355"/>
      <c r="D133" s="643" t="s">
        <v>265</v>
      </c>
      <c r="E133" s="902">
        <f>'[1]27'!F133</f>
        <v>299</v>
      </c>
      <c r="F133" s="877">
        <v>299</v>
      </c>
      <c r="G133" s="593">
        <f t="shared" si="15"/>
        <v>0</v>
      </c>
      <c r="H133" s="580">
        <f>G133+'[1]27'!H133</f>
        <v>299</v>
      </c>
      <c r="I133" s="600">
        <f>G130+G131+G132+G133</f>
        <v>0</v>
      </c>
      <c r="J133" s="673">
        <f>H133/DAY(B2)</f>
        <v>10.678571428571429</v>
      </c>
    </row>
    <row r="134" spans="1:12" ht="27.75" x14ac:dyDescent="0.5">
      <c r="A134" s="1354" t="s">
        <v>269</v>
      </c>
      <c r="B134" s="1355"/>
      <c r="C134" s="1355"/>
      <c r="D134" s="643" t="s">
        <v>265</v>
      </c>
      <c r="E134" s="906">
        <f>'[1]27'!F134</f>
        <v>39735</v>
      </c>
      <c r="F134" s="890">
        <v>39735</v>
      </c>
      <c r="G134" s="593">
        <f t="shared" si="15"/>
        <v>0</v>
      </c>
      <c r="H134" s="580">
        <f>G134+'[1]27'!H134</f>
        <v>24</v>
      </c>
      <c r="I134" s="600"/>
      <c r="J134" s="673">
        <f>H134/DAY(B2)</f>
        <v>0.8571428571428571</v>
      </c>
    </row>
    <row r="135" spans="1:12" ht="27.75" x14ac:dyDescent="0.5">
      <c r="A135" s="1354" t="s">
        <v>270</v>
      </c>
      <c r="B135" s="1355"/>
      <c r="C135" s="1355"/>
      <c r="D135" s="643" t="s">
        <v>265</v>
      </c>
      <c r="E135" s="906">
        <f>'[1]27'!F135</f>
        <v>32071.15</v>
      </c>
      <c r="F135" s="890">
        <v>32095.18</v>
      </c>
      <c r="G135" s="593">
        <f t="shared" si="15"/>
        <v>24.029999999998836</v>
      </c>
      <c r="H135" s="580">
        <f>G135+'[1]27'!H135</f>
        <v>133.18000000000029</v>
      </c>
      <c r="I135" s="600"/>
      <c r="J135" s="673">
        <f>H135/DAY(B2)</f>
        <v>4.7564285714285814</v>
      </c>
    </row>
    <row r="136" spans="1:12" ht="27.75" x14ac:dyDescent="0.5">
      <c r="A136" s="1354" t="s">
        <v>271</v>
      </c>
      <c r="B136" s="1355"/>
      <c r="C136" s="1355"/>
      <c r="D136" s="643" t="s">
        <v>265</v>
      </c>
      <c r="E136" s="905">
        <f>'[1]27'!F136</f>
        <v>21789.55</v>
      </c>
      <c r="F136" s="881">
        <v>21789.55</v>
      </c>
      <c r="G136" s="593">
        <f t="shared" si="15"/>
        <v>0</v>
      </c>
      <c r="H136" s="580">
        <f>G136+'[1]27'!H136</f>
        <v>114.82999999999811</v>
      </c>
      <c r="I136" s="600">
        <f>G134+G135+G136</f>
        <v>24.029999999998836</v>
      </c>
      <c r="J136" s="673">
        <f>H136/DAY(B2)</f>
        <v>4.1010714285713608</v>
      </c>
    </row>
    <row r="137" spans="1:12" ht="27.75" x14ac:dyDescent="0.5">
      <c r="A137" s="1354" t="s">
        <v>272</v>
      </c>
      <c r="B137" s="1355"/>
      <c r="C137" s="1355"/>
      <c r="D137" s="643" t="s">
        <v>265</v>
      </c>
      <c r="E137" s="905">
        <f>'[1]27'!F137</f>
        <v>24974.13</v>
      </c>
      <c r="F137" s="881">
        <v>24982.87</v>
      </c>
      <c r="G137" s="593">
        <f t="shared" si="15"/>
        <v>8.7399999999979627</v>
      </c>
      <c r="H137" s="580">
        <f>G137+'[1]27'!H137</f>
        <v>23.840000000000146</v>
      </c>
      <c r="I137" s="600"/>
      <c r="J137" s="673">
        <f>H137/DAY(B2)</f>
        <v>0.85142857142857664</v>
      </c>
    </row>
    <row r="138" spans="1:12" ht="27.75" x14ac:dyDescent="0.5">
      <c r="A138" s="1354" t="s">
        <v>273</v>
      </c>
      <c r="B138" s="1355"/>
      <c r="C138" s="1355"/>
      <c r="D138" s="643" t="s">
        <v>265</v>
      </c>
      <c r="E138" s="905">
        <f>'[1]27'!F138</f>
        <v>70006.37</v>
      </c>
      <c r="F138" s="881">
        <v>70006.37</v>
      </c>
      <c r="G138" s="593">
        <f t="shared" si="15"/>
        <v>0</v>
      </c>
      <c r="H138" s="580">
        <f>G138+'[1]27'!H138</f>
        <v>20.369999999995343</v>
      </c>
      <c r="I138" s="600">
        <f>G137+G138</f>
        <v>8.7399999999979627</v>
      </c>
      <c r="J138" s="673">
        <f>H138/DAY(B2)</f>
        <v>0.72749999999983372</v>
      </c>
    </row>
    <row r="139" spans="1:12" ht="27.75" x14ac:dyDescent="0.5">
      <c r="A139" s="1354" t="s">
        <v>274</v>
      </c>
      <c r="B139" s="1355"/>
      <c r="C139" s="1355"/>
      <c r="D139" s="643" t="s">
        <v>265</v>
      </c>
      <c r="E139" s="902">
        <f>'[1]27'!F139</f>
        <v>1062.6300000000001</v>
      </c>
      <c r="F139" s="877">
        <v>1063</v>
      </c>
      <c r="G139" s="593">
        <f t="shared" si="15"/>
        <v>0.36999999999989086</v>
      </c>
      <c r="H139" s="580">
        <f>G139+'[1]27'!H139</f>
        <v>121.47000000000003</v>
      </c>
      <c r="I139" s="663"/>
      <c r="J139" s="673">
        <f>H139/DAY(B2)</f>
        <v>4.3382142857142867</v>
      </c>
    </row>
    <row r="140" spans="1:12" ht="27.75" x14ac:dyDescent="0.5">
      <c r="A140" s="1354" t="s">
        <v>275</v>
      </c>
      <c r="B140" s="1355"/>
      <c r="C140" s="1355"/>
      <c r="D140" s="643" t="s">
        <v>265</v>
      </c>
      <c r="E140" s="906">
        <f>'[1]27'!F140</f>
        <v>4200.67</v>
      </c>
      <c r="F140" s="890">
        <v>4207.57</v>
      </c>
      <c r="G140" s="593">
        <f t="shared" si="15"/>
        <v>6.8999999999996362</v>
      </c>
      <c r="H140" s="580">
        <f>G140+'[1]27'!H140</f>
        <v>50.670000000000073</v>
      </c>
      <c r="I140" s="663"/>
      <c r="J140" s="673">
        <f>H140/DAY(B2)</f>
        <v>1.8096428571428598</v>
      </c>
    </row>
    <row r="141" spans="1:12" x14ac:dyDescent="0.5">
      <c r="A141" s="1433" t="s">
        <v>276</v>
      </c>
      <c r="B141" s="1434"/>
      <c r="C141" s="1358"/>
      <c r="D141" s="592"/>
      <c r="E141" s="875"/>
      <c r="F141" s="875"/>
      <c r="G141" s="603"/>
      <c r="H141" s="603"/>
      <c r="I141" s="603"/>
      <c r="J141" s="684"/>
      <c r="K141" s="408"/>
      <c r="L141" s="405"/>
    </row>
    <row r="142" spans="1:12" ht="27.75" x14ac:dyDescent="0.5">
      <c r="A142" s="1398" t="s">
        <v>277</v>
      </c>
      <c r="B142" s="1399"/>
      <c r="C142" s="1400"/>
      <c r="D142" s="643" t="s">
        <v>159</v>
      </c>
      <c r="E142" s="580"/>
      <c r="F142" s="580"/>
      <c r="G142" s="580">
        <f>G35+G43+G49+G57</f>
        <v>4885.2799999999406</v>
      </c>
      <c r="H142" s="580">
        <f>G142+'[1]27'!H142</f>
        <v>139679.91299999991</v>
      </c>
      <c r="I142" s="600"/>
      <c r="J142" s="673">
        <f>H142/DAY(B2)</f>
        <v>4988.5683214285682</v>
      </c>
      <c r="K142" s="408"/>
      <c r="L142" s="405"/>
    </row>
    <row r="143" spans="1:12" ht="27.75" x14ac:dyDescent="0.5">
      <c r="A143" s="1398" t="s">
        <v>278</v>
      </c>
      <c r="B143" s="1399"/>
      <c r="C143" s="1400"/>
      <c r="D143" s="643" t="s">
        <v>38</v>
      </c>
      <c r="E143" s="590"/>
      <c r="F143" s="590"/>
      <c r="G143" s="664">
        <f>G142/G7</f>
        <v>0.26040938166310984</v>
      </c>
      <c r="H143" s="580">
        <f>G143+'[1]27'!H143</f>
        <v>6.7936463612940861</v>
      </c>
      <c r="I143" s="665"/>
      <c r="J143" s="673">
        <f>H143/DAY(B2)</f>
        <v>0.24263022718907451</v>
      </c>
      <c r="K143" s="408"/>
      <c r="L143" s="405"/>
    </row>
    <row r="144" spans="1:12" ht="27.75" x14ac:dyDescent="0.5">
      <c r="A144" s="1398" t="s">
        <v>279</v>
      </c>
      <c r="B144" s="1399"/>
      <c r="C144" s="1400"/>
      <c r="D144" s="643" t="s">
        <v>159</v>
      </c>
      <c r="E144" s="580"/>
      <c r="F144" s="580"/>
      <c r="G144" s="580">
        <f>G41+G42+G55+G56</f>
        <v>3442.390000000014</v>
      </c>
      <c r="H144" s="580">
        <f>G144+'[1]27'!H144</f>
        <v>126004.40999999997</v>
      </c>
      <c r="I144" s="600"/>
      <c r="J144" s="673">
        <f>H144/DAY(B2)</f>
        <v>4500.1574999999993</v>
      </c>
      <c r="K144" s="408"/>
      <c r="L144" s="405"/>
    </row>
    <row r="145" spans="1:12" ht="27.75" x14ac:dyDescent="0.5">
      <c r="A145" s="1398" t="s">
        <v>280</v>
      </c>
      <c r="B145" s="1399"/>
      <c r="C145" s="1400"/>
      <c r="D145" s="643" t="s">
        <v>38</v>
      </c>
      <c r="E145" s="580"/>
      <c r="F145" s="580"/>
      <c r="G145" s="664">
        <f>G144/G7</f>
        <v>0.18349626865671717</v>
      </c>
      <c r="H145" s="580">
        <f>G145+'[1]27'!H145</f>
        <v>6.2401636087844086</v>
      </c>
      <c r="I145" s="665"/>
      <c r="J145" s="673">
        <f>H145/DAY(B2)</f>
        <v>0.2228629860280146</v>
      </c>
      <c r="K145" s="408"/>
      <c r="L145" s="405"/>
    </row>
    <row r="146" spans="1:12" ht="27.75" x14ac:dyDescent="0.5">
      <c r="A146" s="1398" t="s">
        <v>281</v>
      </c>
      <c r="B146" s="1399"/>
      <c r="C146" s="1400"/>
      <c r="D146" s="643" t="s">
        <v>159</v>
      </c>
      <c r="E146" s="580"/>
      <c r="F146" s="580"/>
      <c r="G146" s="580">
        <f>G39+G53</f>
        <v>4191.4200000000128</v>
      </c>
      <c r="H146" s="580">
        <f>G146+'[1]27'!H146</f>
        <v>118850.15300000001</v>
      </c>
      <c r="I146" s="666"/>
      <c r="J146" s="673">
        <f>H146/DAY(B2)</f>
        <v>4244.6483214285718</v>
      </c>
      <c r="K146" s="408"/>
      <c r="L146" s="405"/>
    </row>
    <row r="147" spans="1:12" ht="27.75" x14ac:dyDescent="0.5">
      <c r="A147" s="1398" t="s">
        <v>282</v>
      </c>
      <c r="B147" s="1399"/>
      <c r="C147" s="1400"/>
      <c r="D147" s="643" t="s">
        <v>38</v>
      </c>
      <c r="E147" s="580"/>
      <c r="F147" s="580"/>
      <c r="G147" s="664">
        <f>G146/G7</f>
        <v>0.22342324093816698</v>
      </c>
      <c r="H147" s="580">
        <f>G147+'[1]27'!H147</f>
        <v>5.9242625088597638</v>
      </c>
      <c r="I147" s="666"/>
      <c r="J147" s="673">
        <f>H147/DAY(B2)</f>
        <v>0.2115808038878487</v>
      </c>
    </row>
    <row r="148" spans="1:12" ht="27.75" x14ac:dyDescent="0.5">
      <c r="A148" s="1398" t="s">
        <v>283</v>
      </c>
      <c r="B148" s="1399"/>
      <c r="C148" s="1400"/>
      <c r="D148" s="643" t="s">
        <v>210</v>
      </c>
      <c r="E148" s="580"/>
      <c r="F148" s="580"/>
      <c r="G148" s="580">
        <f>G38+G52</f>
        <v>2101.5599999999977</v>
      </c>
      <c r="H148" s="580">
        <f>G148+'[1]27'!H148</f>
        <v>56199.880000000005</v>
      </c>
      <c r="I148" s="600"/>
      <c r="J148" s="673">
        <f>H148/DAY(B2)</f>
        <v>2007.1385714285716</v>
      </c>
      <c r="K148" s="409"/>
    </row>
    <row r="149" spans="1:12" ht="27.75" x14ac:dyDescent="0.5">
      <c r="A149" s="1398" t="s">
        <v>284</v>
      </c>
      <c r="B149" s="1399"/>
      <c r="C149" s="1400"/>
      <c r="D149" s="643" t="s">
        <v>38</v>
      </c>
      <c r="E149" s="580"/>
      <c r="F149" s="580"/>
      <c r="G149" s="664">
        <f>G148/G7</f>
        <v>0.11202345415778239</v>
      </c>
      <c r="H149" s="580">
        <f>G149+'[1]27'!H149</f>
        <v>2.794099409180745</v>
      </c>
      <c r="I149" s="666"/>
      <c r="J149" s="673">
        <f>H149/DAY(B2)</f>
        <v>9.9789264613598036E-2</v>
      </c>
    </row>
    <row r="150" spans="1:12" ht="27.75" x14ac:dyDescent="0.5">
      <c r="A150" s="1398" t="s">
        <v>285</v>
      </c>
      <c r="B150" s="1399"/>
      <c r="C150" s="1400"/>
      <c r="D150" s="643" t="s">
        <v>210</v>
      </c>
      <c r="E150" s="580"/>
      <c r="F150" s="580"/>
      <c r="G150" s="580">
        <f>G36+G50</f>
        <v>1927.3399999999965</v>
      </c>
      <c r="H150" s="580">
        <f>G150+'[1]27'!H150</f>
        <v>60002.179999999964</v>
      </c>
      <c r="I150" s="666"/>
      <c r="J150" s="673">
        <f>H150/DAY(B2)</f>
        <v>2142.9349999999986</v>
      </c>
    </row>
    <row r="151" spans="1:12" ht="27.75" x14ac:dyDescent="0.5">
      <c r="A151" s="1398" t="s">
        <v>286</v>
      </c>
      <c r="B151" s="1399"/>
      <c r="C151" s="1400"/>
      <c r="D151" s="643" t="s">
        <v>38</v>
      </c>
      <c r="E151" s="580"/>
      <c r="F151" s="580"/>
      <c r="G151" s="664">
        <f>G150/G7</f>
        <v>0.10273667377398701</v>
      </c>
      <c r="H151" s="580">
        <f>G151+'[1]27'!H151</f>
        <v>2.9738100729054797</v>
      </c>
      <c r="I151" s="600"/>
      <c r="J151" s="673">
        <f>H151/DAY(B2)</f>
        <v>0.10620750260376713</v>
      </c>
    </row>
    <row r="152" spans="1:12" ht="27.75" x14ac:dyDescent="0.5">
      <c r="A152" s="1398" t="s">
        <v>287</v>
      </c>
      <c r="B152" s="1399"/>
      <c r="C152" s="1400"/>
      <c r="D152" s="643" t="s">
        <v>210</v>
      </c>
      <c r="E152" s="580"/>
      <c r="F152" s="580"/>
      <c r="G152" s="580">
        <f>G37+G51</f>
        <v>1436.3699999999953</v>
      </c>
      <c r="H152" s="580">
        <f>G152+'[1]27'!H152</f>
        <v>41148.502999999997</v>
      </c>
      <c r="I152" s="600"/>
      <c r="J152" s="673">
        <f>H152/DAY(B2)</f>
        <v>1469.5893928571427</v>
      </c>
    </row>
    <row r="153" spans="1:12" ht="28.5" thickBot="1" x14ac:dyDescent="0.55000000000000004">
      <c r="A153" s="1430" t="s">
        <v>288</v>
      </c>
      <c r="B153" s="1431"/>
      <c r="C153" s="1432"/>
      <c r="D153" s="746" t="s">
        <v>38</v>
      </c>
      <c r="E153" s="688"/>
      <c r="F153" s="688"/>
      <c r="G153" s="687">
        <f>G152/G7</f>
        <v>7.6565565031982696E-2</v>
      </c>
      <c r="H153" s="580">
        <f>G153+'[1]27'!H153</f>
        <v>2.1608953183755752</v>
      </c>
      <c r="I153" s="689"/>
      <c r="J153" s="690">
        <f>H153/DAY(B2)</f>
        <v>7.7174832799127693E-2</v>
      </c>
    </row>
    <row r="154" spans="1:12" x14ac:dyDescent="0.5">
      <c r="A154" s="586"/>
      <c r="B154" s="576"/>
      <c r="C154" s="576"/>
      <c r="D154" s="667"/>
      <c r="E154" s="669"/>
      <c r="F154" s="891"/>
      <c r="G154" s="667"/>
      <c r="H154" s="668"/>
      <c r="I154" s="667"/>
      <c r="J154" s="669"/>
    </row>
    <row r="160" spans="1:12" x14ac:dyDescent="0.5">
      <c r="A160" s="925" t="s">
        <v>289</v>
      </c>
      <c r="B160" s="926"/>
      <c r="C160" s="926"/>
      <c r="D160" s="631" t="s">
        <v>214</v>
      </c>
      <c r="E160" s="905">
        <f>'[1]27'!F160</f>
        <v>25794.86</v>
      </c>
      <c r="F160" s="775">
        <v>25866.16</v>
      </c>
      <c r="G160" s="593">
        <f t="shared" ref="G160:G171" si="16">F160-E160</f>
        <v>71.299999999999272</v>
      </c>
    </row>
    <row r="161" spans="1:7" x14ac:dyDescent="0.5">
      <c r="A161" s="925" t="s">
        <v>290</v>
      </c>
      <c r="B161" s="926"/>
      <c r="C161" s="926"/>
      <c r="D161" s="631" t="s">
        <v>214</v>
      </c>
      <c r="E161" s="905">
        <f>'[1]27'!F161</f>
        <v>26561.45</v>
      </c>
      <c r="F161" s="775">
        <v>27044.51</v>
      </c>
      <c r="G161" s="593">
        <f t="shared" si="16"/>
        <v>483.05999999999767</v>
      </c>
    </row>
    <row r="162" spans="1:7" x14ac:dyDescent="0.5">
      <c r="A162" s="925" t="s">
        <v>291</v>
      </c>
      <c r="B162" s="926"/>
      <c r="C162" s="926"/>
      <c r="D162" s="631" t="s">
        <v>214</v>
      </c>
      <c r="E162" s="905">
        <f>'[1]27'!F162</f>
        <v>3316.57</v>
      </c>
      <c r="F162" s="775">
        <v>3592.25</v>
      </c>
      <c r="G162" s="593">
        <f t="shared" si="16"/>
        <v>275.67999999999984</v>
      </c>
    </row>
    <row r="163" spans="1:7" x14ac:dyDescent="0.5">
      <c r="A163" s="925" t="s">
        <v>292</v>
      </c>
      <c r="B163" s="926"/>
      <c r="C163" s="926"/>
      <c r="D163" s="631" t="s">
        <v>214</v>
      </c>
      <c r="E163" s="905">
        <f>'[1]27'!F163</f>
        <v>4215.6400000000003</v>
      </c>
      <c r="F163" s="775">
        <v>4241.54</v>
      </c>
      <c r="G163" s="593">
        <f t="shared" si="16"/>
        <v>25.899999999999636</v>
      </c>
    </row>
    <row r="164" spans="1:7" x14ac:dyDescent="0.4">
      <c r="A164" s="927" t="s">
        <v>121</v>
      </c>
      <c r="B164" s="725"/>
      <c r="C164" s="725"/>
      <c r="D164" s="631" t="s">
        <v>214</v>
      </c>
      <c r="E164" s="634">
        <f>E62</f>
        <v>20419</v>
      </c>
      <c r="F164" s="634">
        <f>F62</f>
        <v>20419.187000000002</v>
      </c>
      <c r="G164" s="593">
        <f t="shared" si="16"/>
        <v>0.18700000000171713</v>
      </c>
    </row>
    <row r="165" spans="1:7" x14ac:dyDescent="0.4">
      <c r="A165" s="927" t="s">
        <v>215</v>
      </c>
      <c r="B165" s="725"/>
      <c r="C165" s="725"/>
      <c r="D165" s="631" t="s">
        <v>214</v>
      </c>
      <c r="E165" s="634">
        <f t="shared" ref="E165:F171" si="17">E63</f>
        <v>1091</v>
      </c>
      <c r="F165" s="634">
        <f t="shared" si="17"/>
        <v>1095.27</v>
      </c>
      <c r="G165" s="593">
        <f t="shared" si="16"/>
        <v>4.2699999999999818</v>
      </c>
    </row>
    <row r="166" spans="1:7" ht="27.75" x14ac:dyDescent="0.5">
      <c r="A166" s="1450" t="s">
        <v>122</v>
      </c>
      <c r="B166" s="1450"/>
      <c r="C166" s="1450"/>
      <c r="D166" s="643" t="s">
        <v>214</v>
      </c>
      <c r="E166" s="634">
        <f t="shared" si="17"/>
        <v>96764.02</v>
      </c>
      <c r="F166" s="634">
        <f t="shared" si="17"/>
        <v>97142.92</v>
      </c>
      <c r="G166" s="593">
        <f t="shared" si="16"/>
        <v>378.89999999999418</v>
      </c>
    </row>
    <row r="167" spans="1:7" ht="27.75" x14ac:dyDescent="0.5">
      <c r="A167" s="1450" t="s">
        <v>123</v>
      </c>
      <c r="B167" s="1450"/>
      <c r="C167" s="1450"/>
      <c r="D167" s="643" t="s">
        <v>214</v>
      </c>
      <c r="E167" s="634">
        <f t="shared" si="17"/>
        <v>107431.86</v>
      </c>
      <c r="F167" s="634">
        <f t="shared" si="17"/>
        <v>107843.25</v>
      </c>
      <c r="G167" s="593">
        <f t="shared" si="16"/>
        <v>411.38999999999942</v>
      </c>
    </row>
    <row r="168" spans="1:7" ht="27.75" x14ac:dyDescent="0.5">
      <c r="A168" s="1450" t="s">
        <v>124</v>
      </c>
      <c r="B168" s="1450"/>
      <c r="C168" s="1450"/>
      <c r="D168" s="643" t="s">
        <v>214</v>
      </c>
      <c r="E168" s="634">
        <f t="shared" si="17"/>
        <v>876.4</v>
      </c>
      <c r="F168" s="634">
        <f t="shared" si="17"/>
        <v>1270.8699999999999</v>
      </c>
      <c r="G168" s="593">
        <f t="shared" si="16"/>
        <v>394.46999999999991</v>
      </c>
    </row>
    <row r="169" spans="1:7" ht="27.75" x14ac:dyDescent="0.5">
      <c r="A169" s="1450" t="s">
        <v>125</v>
      </c>
      <c r="B169" s="1450"/>
      <c r="C169" s="1450"/>
      <c r="D169" s="643" t="s">
        <v>214</v>
      </c>
      <c r="E169" s="634">
        <f t="shared" si="17"/>
        <v>165626.29</v>
      </c>
      <c r="F169" s="634">
        <f t="shared" si="17"/>
        <v>166325.57</v>
      </c>
      <c r="G169" s="593">
        <f t="shared" si="16"/>
        <v>699.27999999999884</v>
      </c>
    </row>
    <row r="170" spans="1:7" ht="27.75" x14ac:dyDescent="0.5">
      <c r="A170" s="1450" t="s">
        <v>126</v>
      </c>
      <c r="B170" s="1450"/>
      <c r="C170" s="1450"/>
      <c r="D170" s="643" t="s">
        <v>214</v>
      </c>
      <c r="E170" s="634">
        <f t="shared" si="17"/>
        <v>52430.87</v>
      </c>
      <c r="F170" s="634">
        <f t="shared" si="17"/>
        <v>52764.22</v>
      </c>
      <c r="G170" s="593">
        <f t="shared" si="16"/>
        <v>333.34999999999854</v>
      </c>
    </row>
    <row r="171" spans="1:7" ht="27.75" x14ac:dyDescent="0.5">
      <c r="A171" s="1450" t="s">
        <v>127</v>
      </c>
      <c r="B171" s="1450"/>
      <c r="C171" s="1450"/>
      <c r="D171" s="643" t="s">
        <v>214</v>
      </c>
      <c r="E171" s="634">
        <f t="shared" si="17"/>
        <v>45384.63</v>
      </c>
      <c r="F171" s="634">
        <f t="shared" si="17"/>
        <v>45673.45</v>
      </c>
      <c r="G171" s="593">
        <f t="shared" si="16"/>
        <v>288.81999999999971</v>
      </c>
    </row>
    <row r="172" spans="1:7" x14ac:dyDescent="0.5">
      <c r="G172" s="660">
        <f>SUM(G160:G171)</f>
        <v>3366.6069999999886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zoomScale="55" zoomScaleNormal="78" zoomScaleSheetLayoutView="55" workbookViewId="0">
      <selection sqref="A1:XFD1048576"/>
    </sheetView>
  </sheetViews>
  <sheetFormatPr defaultColWidth="22.33203125" defaultRowHeight="29.25" x14ac:dyDescent="0.5"/>
  <cols>
    <col min="1" max="1" width="47.33203125" style="574" customWidth="1"/>
    <col min="2" max="2" width="26.109375" style="577" customWidth="1"/>
    <col min="3" max="3" width="15.88671875" style="577" customWidth="1"/>
    <col min="4" max="4" width="13.6640625" style="658" customWidth="1"/>
    <col min="5" max="5" width="30" style="660" customWidth="1"/>
    <col min="6" max="6" width="30" style="892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5" width="22.33203125" style="908"/>
    <col min="16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297</v>
      </c>
      <c r="B2" s="1173">
        <v>44194</v>
      </c>
      <c r="C2" s="1361" t="s">
        <v>84</v>
      </c>
      <c r="D2" s="732">
        <v>0.6</v>
      </c>
      <c r="E2" s="872"/>
      <c r="F2" s="872"/>
      <c r="G2" s="581" t="s">
        <v>145</v>
      </c>
      <c r="H2" s="581" t="s">
        <v>20</v>
      </c>
      <c r="I2" s="581" t="s">
        <v>22</v>
      </c>
      <c r="J2" s="734" t="s">
        <v>146</v>
      </c>
      <c r="N2" s="908"/>
      <c r="O2" s="908"/>
    </row>
    <row r="3" spans="1:15" s="278" customFormat="1" ht="27" x14ac:dyDescent="0.5">
      <c r="A3" s="691"/>
      <c r="B3" s="735"/>
      <c r="C3" s="1361" t="s">
        <v>147</v>
      </c>
      <c r="D3" s="733">
        <v>30</v>
      </c>
      <c r="E3" s="1422" t="s">
        <v>148</v>
      </c>
      <c r="F3" s="1423"/>
      <c r="G3" s="582"/>
      <c r="H3" s="583"/>
      <c r="I3" s="583"/>
      <c r="J3" s="736"/>
      <c r="K3" s="399"/>
      <c r="L3" s="290"/>
      <c r="N3" s="908"/>
      <c r="O3" s="908"/>
    </row>
    <row r="4" spans="1:15" s="278" customFormat="1" ht="27" x14ac:dyDescent="0.5">
      <c r="A4" s="697"/>
      <c r="B4" s="737"/>
      <c r="C4" s="1361" t="s">
        <v>149</v>
      </c>
      <c r="D4" s="732">
        <v>0.8</v>
      </c>
      <c r="E4" s="583"/>
      <c r="F4" s="583"/>
      <c r="G4" s="584"/>
      <c r="H4" s="584"/>
      <c r="I4" s="585"/>
      <c r="J4" s="736"/>
      <c r="K4" s="400"/>
      <c r="L4" s="290"/>
      <c r="N4" s="910"/>
      <c r="O4" s="908"/>
    </row>
    <row r="5" spans="1:15" x14ac:dyDescent="0.4">
      <c r="A5" s="698" t="s">
        <v>150</v>
      </c>
      <c r="B5" s="579"/>
      <c r="C5" s="579"/>
      <c r="D5" s="631" t="s">
        <v>151</v>
      </c>
      <c r="E5" s="634" t="s">
        <v>152</v>
      </c>
      <c r="F5" s="634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  <c r="N5" s="910"/>
    </row>
    <row r="6" spans="1:15" x14ac:dyDescent="0.4">
      <c r="A6" s="1416" t="s">
        <v>157</v>
      </c>
      <c r="B6" s="1417"/>
      <c r="C6" s="1418"/>
      <c r="D6" s="591"/>
      <c r="E6" s="615"/>
      <c r="F6" s="615"/>
      <c r="G6" s="591"/>
      <c r="H6" s="592"/>
      <c r="I6" s="592"/>
      <c r="J6" s="672"/>
      <c r="K6" s="507"/>
      <c r="L6" s="405"/>
    </row>
    <row r="7" spans="1:15" ht="30" thickBot="1" x14ac:dyDescent="0.45">
      <c r="A7" s="793" t="s">
        <v>158</v>
      </c>
      <c r="B7" s="794"/>
      <c r="C7" s="794"/>
      <c r="D7" s="759" t="s">
        <v>159</v>
      </c>
      <c r="E7" s="796">
        <f>'[1]28'!F7</f>
        <v>3231687</v>
      </c>
      <c r="F7" s="580">
        <v>3249158</v>
      </c>
      <c r="G7" s="795">
        <f>F7-E7</f>
        <v>17471</v>
      </c>
      <c r="H7" s="796">
        <f>G7+'[1]28'!H7</f>
        <v>580713</v>
      </c>
      <c r="I7" s="797">
        <f>'[1]1'!I7</f>
        <v>12000</v>
      </c>
      <c r="J7" s="798">
        <f>H7/DAY(B2)</f>
        <v>20024.586206896551</v>
      </c>
      <c r="K7" s="670">
        <v>1703438</v>
      </c>
      <c r="L7" s="405">
        <v>1715917</v>
      </c>
      <c r="O7" s="911"/>
    </row>
    <row r="8" spans="1:15" ht="27.75" thickBot="1" x14ac:dyDescent="0.45">
      <c r="A8" s="799" t="s">
        <v>160</v>
      </c>
      <c r="B8" s="800"/>
      <c r="C8" s="801"/>
      <c r="D8" s="802" t="s">
        <v>39</v>
      </c>
      <c r="E8" s="796">
        <f>'[1]28'!F8</f>
        <v>3250992</v>
      </c>
      <c r="F8" s="873">
        <v>3268685</v>
      </c>
      <c r="G8" s="806">
        <f>F8-E8</f>
        <v>17693</v>
      </c>
      <c r="H8" s="796">
        <f>G8+'[1]28'!H8</f>
        <v>585646</v>
      </c>
      <c r="I8" s="803"/>
      <c r="J8" s="798">
        <f>H8/DAY(B2)</f>
        <v>20194.689655172413</v>
      </c>
      <c r="K8" s="670">
        <v>1375467</v>
      </c>
      <c r="L8" s="460"/>
      <c r="M8" s="522"/>
      <c r="O8" s="911"/>
    </row>
    <row r="9" spans="1:15" x14ac:dyDescent="0.4">
      <c r="A9" s="804" t="s">
        <v>161</v>
      </c>
      <c r="B9" s="805"/>
      <c r="C9" s="805"/>
      <c r="D9" s="759" t="s">
        <v>159</v>
      </c>
      <c r="E9" s="796">
        <f>'[1]28'!F9</f>
        <v>2397574.2999999998</v>
      </c>
      <c r="F9" s="874">
        <v>2400101</v>
      </c>
      <c r="G9" s="819">
        <f t="shared" ref="G9:G12" si="0">F9-E9</f>
        <v>2526.7000000001863</v>
      </c>
      <c r="H9" s="796">
        <f>G9+'[1]28'!H9</f>
        <v>143064.5</v>
      </c>
      <c r="I9" s="807">
        <f>I7-J7</f>
        <v>-8024.5862068965507</v>
      </c>
      <c r="J9" s="798">
        <f>H9/DAY(B2)</f>
        <v>4933.2586206896549</v>
      </c>
      <c r="K9" s="508"/>
      <c r="L9" s="405"/>
      <c r="O9" s="911"/>
    </row>
    <row r="10" spans="1:15" x14ac:dyDescent="0.4">
      <c r="A10" s="793" t="s">
        <v>162</v>
      </c>
      <c r="B10" s="794"/>
      <c r="C10" s="794"/>
      <c r="D10" s="759" t="s">
        <v>159</v>
      </c>
      <c r="E10" s="796">
        <f>'[1]28'!F10</f>
        <v>705459.51</v>
      </c>
      <c r="F10" s="874">
        <v>719746.63</v>
      </c>
      <c r="G10" s="806">
        <f t="shared" si="0"/>
        <v>14287.119999999995</v>
      </c>
      <c r="H10" s="796">
        <f>G10+'[1]28'!H10</f>
        <v>416796.34</v>
      </c>
      <c r="I10" s="808"/>
      <c r="J10" s="798">
        <f>H10/DAY(B2)</f>
        <v>14372.287586206898</v>
      </c>
      <c r="K10" s="508"/>
      <c r="L10" s="405"/>
    </row>
    <row r="11" spans="1:15" x14ac:dyDescent="0.4">
      <c r="A11" s="793" t="s">
        <v>163</v>
      </c>
      <c r="B11" s="794"/>
      <c r="C11" s="794"/>
      <c r="D11" s="759" t="s">
        <v>159</v>
      </c>
      <c r="E11" s="796">
        <f>'[1]28'!F11</f>
        <v>35390</v>
      </c>
      <c r="F11" s="580">
        <v>35390</v>
      </c>
      <c r="G11" s="806">
        <f t="shared" si="0"/>
        <v>0</v>
      </c>
      <c r="H11" s="796">
        <f>G11+'[1]28'!H11</f>
        <v>0</v>
      </c>
      <c r="I11" s="808"/>
      <c r="J11" s="798">
        <f>H11/DAY(B2)</f>
        <v>0</v>
      </c>
      <c r="K11" s="508"/>
      <c r="L11" s="405"/>
    </row>
    <row r="12" spans="1:15" x14ac:dyDescent="0.4">
      <c r="A12" s="793" t="s">
        <v>164</v>
      </c>
      <c r="B12" s="794"/>
      <c r="C12" s="794"/>
      <c r="D12" s="1241" t="s">
        <v>159</v>
      </c>
      <c r="E12" s="1235">
        <f>'[1]28'!F12</f>
        <v>37630</v>
      </c>
      <c r="F12" s="874">
        <v>37630</v>
      </c>
      <c r="G12" s="806">
        <f t="shared" si="0"/>
        <v>0</v>
      </c>
      <c r="H12" s="796">
        <f>G12+'[1]28'!H12</f>
        <v>0</v>
      </c>
      <c r="I12" s="808"/>
      <c r="J12" s="798">
        <f>H12/DAY(B2)</f>
        <v>0</v>
      </c>
      <c r="K12" s="508"/>
      <c r="L12" s="405"/>
    </row>
    <row r="13" spans="1:15" x14ac:dyDescent="0.5">
      <c r="A13" s="809" t="s">
        <v>165</v>
      </c>
      <c r="B13" s="810"/>
      <c r="C13" s="810"/>
      <c r="D13" s="1241"/>
      <c r="E13" s="1235"/>
      <c r="F13" s="580"/>
      <c r="G13" s="811">
        <f>G9+G10+G11+G12</f>
        <v>16813.820000000182</v>
      </c>
      <c r="H13" s="1235">
        <f>G13+'[1]28'!H13</f>
        <v>538001.53</v>
      </c>
      <c r="I13" s="1236">
        <f>G7-G13</f>
        <v>657.17999999981839</v>
      </c>
      <c r="J13" s="1237">
        <f>H13/DAY(B2)</f>
        <v>18551.776896551724</v>
      </c>
      <c r="K13" s="508"/>
      <c r="L13" s="405"/>
    </row>
    <row r="14" spans="1:15" x14ac:dyDescent="0.5">
      <c r="A14" s="1419" t="s">
        <v>166</v>
      </c>
      <c r="B14" s="1420"/>
      <c r="C14" s="1421"/>
      <c r="D14" s="1238"/>
      <c r="E14" s="1242"/>
      <c r="F14" s="875"/>
      <c r="G14" s="603"/>
      <c r="H14" s="1238"/>
      <c r="I14" s="1238"/>
      <c r="J14" s="1239"/>
      <c r="K14" s="509"/>
      <c r="L14" s="405"/>
    </row>
    <row r="15" spans="1:15" x14ac:dyDescent="0.5">
      <c r="A15" s="782" t="s">
        <v>167</v>
      </c>
      <c r="B15" s="783"/>
      <c r="C15" s="783"/>
      <c r="D15" s="1243" t="s">
        <v>168</v>
      </c>
      <c r="E15" s="1244">
        <f>'[1]28'!F15</f>
        <v>1566669.95</v>
      </c>
      <c r="F15" s="876">
        <v>1567360</v>
      </c>
      <c r="G15" s="781">
        <f>(F15-E15)</f>
        <v>690.05000000004657</v>
      </c>
      <c r="H15" s="1231">
        <f>G15+'[1]28'!H15</f>
        <v>20462.398999999976</v>
      </c>
      <c r="I15" s="1232">
        <f>'[1]1'!I15</f>
        <v>800</v>
      </c>
      <c r="J15" s="1233">
        <f>H15/DAY(B2)</f>
        <v>705.59996551724055</v>
      </c>
      <c r="K15" s="508"/>
      <c r="L15" s="405"/>
    </row>
    <row r="16" spans="1:15" x14ac:dyDescent="0.4">
      <c r="A16" s="790"/>
      <c r="B16" s="791"/>
      <c r="C16" s="791"/>
      <c r="D16" s="1243"/>
      <c r="E16" s="1244"/>
      <c r="F16" s="876"/>
      <c r="G16" s="786"/>
      <c r="H16" s="1231"/>
      <c r="I16" s="1234">
        <f>I15-J15</f>
        <v>94.400034482759452</v>
      </c>
      <c r="J16" s="1233"/>
      <c r="K16" s="508"/>
      <c r="L16" s="405"/>
    </row>
    <row r="17" spans="1:15" x14ac:dyDescent="0.5">
      <c r="A17" s="1419" t="s">
        <v>169</v>
      </c>
      <c r="B17" s="1420"/>
      <c r="C17" s="1421"/>
      <c r="D17" s="1238"/>
      <c r="E17" s="1242"/>
      <c r="F17" s="875"/>
      <c r="G17" s="608"/>
      <c r="H17" s="1238"/>
      <c r="I17" s="1238"/>
      <c r="J17" s="1239"/>
      <c r="K17" s="508"/>
      <c r="L17" s="405"/>
    </row>
    <row r="18" spans="1:15" ht="27.75" x14ac:dyDescent="0.5">
      <c r="A18" s="1460" t="s">
        <v>170</v>
      </c>
      <c r="B18" s="1461"/>
      <c r="C18" s="1462"/>
      <c r="D18" s="759" t="s">
        <v>171</v>
      </c>
      <c r="E18" s="894">
        <f>'[1]28'!F18</f>
        <v>16</v>
      </c>
      <c r="F18" s="874">
        <v>11</v>
      </c>
      <c r="G18" s="811">
        <f>F18*10</f>
        <v>110</v>
      </c>
      <c r="H18" s="1235">
        <f>G18+'[1]28'!H18</f>
        <v>3980</v>
      </c>
      <c r="I18" s="1240">
        <f>'[1]1'!I18</f>
        <v>65</v>
      </c>
      <c r="J18" s="1237">
        <f>H18/DAY(B2)</f>
        <v>137.24137931034483</v>
      </c>
      <c r="K18" s="508"/>
      <c r="L18" s="405"/>
    </row>
    <row r="19" spans="1:15" ht="27.75" x14ac:dyDescent="0.5">
      <c r="A19" s="1460" t="s">
        <v>86</v>
      </c>
      <c r="B19" s="1461"/>
      <c r="C19" s="1462"/>
      <c r="D19" s="759" t="s">
        <v>171</v>
      </c>
      <c r="E19" s="894">
        <f>'[1]28'!F19</f>
        <v>131330</v>
      </c>
      <c r="F19" s="874">
        <v>131385</v>
      </c>
      <c r="G19" s="806">
        <f t="shared" ref="G19" si="1">F19-E19</f>
        <v>55</v>
      </c>
      <c r="H19" s="796">
        <f>G19+'[1]28'!H19</f>
        <v>1584</v>
      </c>
      <c r="I19" s="813"/>
      <c r="J19" s="798">
        <f>H19/DAY(B2)</f>
        <v>54.620689655172413</v>
      </c>
      <c r="K19" s="508"/>
      <c r="L19" s="405"/>
    </row>
    <row r="20" spans="1:15" x14ac:dyDescent="0.5">
      <c r="A20" s="809" t="s">
        <v>172</v>
      </c>
      <c r="B20" s="810"/>
      <c r="C20" s="810"/>
      <c r="D20" s="759"/>
      <c r="E20" s="796"/>
      <c r="F20" s="580"/>
      <c r="G20" s="814">
        <f>G18+G19</f>
        <v>165</v>
      </c>
      <c r="H20" s="796">
        <f>G20+'[1]28'!H20</f>
        <v>5564</v>
      </c>
      <c r="I20" s="815">
        <f>I18-J20</f>
        <v>-126.86206896551724</v>
      </c>
      <c r="J20" s="798">
        <f>H20/DAY(B2)</f>
        <v>191.86206896551724</v>
      </c>
      <c r="K20" s="508"/>
      <c r="L20" s="405"/>
    </row>
    <row r="21" spans="1:15" x14ac:dyDescent="0.5">
      <c r="A21" s="1419" t="s">
        <v>173</v>
      </c>
      <c r="B21" s="1420"/>
      <c r="C21" s="1421"/>
      <c r="D21" s="592"/>
      <c r="E21" s="875"/>
      <c r="F21" s="875"/>
      <c r="G21" s="603"/>
      <c r="H21" s="592"/>
      <c r="I21" s="592"/>
      <c r="J21" s="672"/>
      <c r="K21" s="508"/>
      <c r="L21" s="405"/>
    </row>
    <row r="22" spans="1:15" x14ac:dyDescent="0.5">
      <c r="A22" s="1354" t="s">
        <v>174</v>
      </c>
      <c r="B22" s="710"/>
      <c r="C22" s="710"/>
      <c r="D22" s="643" t="s">
        <v>175</v>
      </c>
      <c r="E22" s="895">
        <f>'[1]28'!F22</f>
        <v>2250</v>
      </c>
      <c r="F22" s="874">
        <v>2250</v>
      </c>
      <c r="G22" s="601">
        <f t="shared" ref="G22" si="2">(F22-E22)</f>
        <v>0</v>
      </c>
      <c r="H22" s="580">
        <f>G22+'[1]28'!H22</f>
        <v>0</v>
      </c>
      <c r="I22" s="600"/>
      <c r="J22" s="673">
        <f>H22/DAY(B2)</f>
        <v>0</v>
      </c>
      <c r="K22" s="508"/>
      <c r="L22" s="405"/>
    </row>
    <row r="23" spans="1:15" x14ac:dyDescent="0.5">
      <c r="A23" s="1354" t="s">
        <v>176</v>
      </c>
      <c r="B23" s="710"/>
      <c r="C23" s="710"/>
      <c r="D23" s="643" t="s">
        <v>175</v>
      </c>
      <c r="E23" s="895">
        <f>'[1]28'!F23</f>
        <v>2000</v>
      </c>
      <c r="F23" s="874">
        <v>2000</v>
      </c>
      <c r="G23" s="601">
        <v>0</v>
      </c>
      <c r="H23" s="580">
        <f>G23+'[1]28'!H23</f>
        <v>0</v>
      </c>
      <c r="I23" s="600"/>
      <c r="J23" s="673">
        <f>H23/DAY(B2)</f>
        <v>0</v>
      </c>
      <c r="K23" s="508"/>
      <c r="L23" s="405"/>
    </row>
    <row r="24" spans="1:15" x14ac:dyDescent="0.4">
      <c r="A24" s="711" t="s">
        <v>177</v>
      </c>
      <c r="B24" s="712"/>
      <c r="C24" s="712"/>
      <c r="D24" s="631" t="s">
        <v>175</v>
      </c>
      <c r="E24" s="896">
        <f>'[1]28'!F24</f>
        <v>4250</v>
      </c>
      <c r="F24" s="877">
        <v>4250</v>
      </c>
      <c r="G24" s="601">
        <v>0</v>
      </c>
      <c r="H24" s="580">
        <f>G24+'[1]28'!H24</f>
        <v>0</v>
      </c>
      <c r="I24" s="600"/>
      <c r="J24" s="673">
        <f>H24/DAY(B2)</f>
        <v>0</v>
      </c>
      <c r="K24" s="508"/>
      <c r="L24" s="405"/>
    </row>
    <row r="25" spans="1:15" s="524" customFormat="1" ht="27" x14ac:dyDescent="0.35">
      <c r="A25" s="1424" t="s">
        <v>178</v>
      </c>
      <c r="B25" s="1425"/>
      <c r="C25" s="1426"/>
      <c r="D25" s="591"/>
      <c r="E25" s="615"/>
      <c r="F25" s="615"/>
      <c r="G25" s="614"/>
      <c r="H25" s="615"/>
      <c r="I25" s="616"/>
      <c r="J25" s="675"/>
      <c r="K25" s="401"/>
      <c r="L25" s="527"/>
      <c r="N25" s="908"/>
      <c r="O25" s="908"/>
    </row>
    <row r="26" spans="1:15" s="524" customFormat="1" ht="27" x14ac:dyDescent="0.5">
      <c r="A26" s="713" t="s">
        <v>179</v>
      </c>
      <c r="B26" s="714"/>
      <c r="C26" s="715"/>
      <c r="D26" s="739" t="s">
        <v>180</v>
      </c>
      <c r="E26" s="897"/>
      <c r="F26" s="580"/>
      <c r="G26" s="618"/>
      <c r="H26" s="580"/>
      <c r="I26" s="619"/>
      <c r="J26" s="673"/>
      <c r="K26" s="402"/>
      <c r="L26" s="527"/>
      <c r="N26" s="908"/>
      <c r="O26" s="908"/>
    </row>
    <row r="27" spans="1:15" s="524" customFormat="1" ht="27" x14ac:dyDescent="0.5">
      <c r="A27" s="713" t="s">
        <v>20</v>
      </c>
      <c r="B27" s="714"/>
      <c r="C27" s="715"/>
      <c r="D27" s="740" t="s">
        <v>39</v>
      </c>
      <c r="E27" s="816">
        <f>G8</f>
        <v>17693</v>
      </c>
      <c r="F27" s="621">
        <v>9.5</v>
      </c>
      <c r="G27" s="622">
        <f>E27*F27</f>
        <v>168083.5</v>
      </c>
      <c r="H27" s="580">
        <f>G27+'[1]28'!H27</f>
        <v>5563637</v>
      </c>
      <c r="I27" s="623"/>
      <c r="J27" s="673">
        <f>H27/DAY(B2)</f>
        <v>191849.55172413794</v>
      </c>
      <c r="K27" s="401"/>
      <c r="L27" s="527"/>
      <c r="N27" s="908"/>
      <c r="O27" s="908"/>
    </row>
    <row r="28" spans="1:15" s="524" customFormat="1" ht="27" x14ac:dyDescent="0.5">
      <c r="A28" s="713" t="s">
        <v>181</v>
      </c>
      <c r="B28" s="714"/>
      <c r="C28" s="715"/>
      <c r="D28" s="740" t="s">
        <v>182</v>
      </c>
      <c r="E28" s="816">
        <f>G15</f>
        <v>690.05000000004657</v>
      </c>
      <c r="F28" s="621">
        <v>36.5</v>
      </c>
      <c r="G28" s="622">
        <f>E28*F28</f>
        <v>25186.8250000017</v>
      </c>
      <c r="H28" s="580">
        <f>G28+'[1]28'!H28</f>
        <v>746877.56349999912</v>
      </c>
      <c r="I28" s="625"/>
      <c r="J28" s="673">
        <f>H28/DAY(B2)</f>
        <v>25754.398741379278</v>
      </c>
      <c r="K28" s="401"/>
      <c r="L28" s="527"/>
      <c r="N28" s="908"/>
      <c r="O28" s="908"/>
    </row>
    <row r="29" spans="1:15" s="524" customFormat="1" ht="27" x14ac:dyDescent="0.5">
      <c r="A29" s="713" t="s">
        <v>183</v>
      </c>
      <c r="B29" s="714"/>
      <c r="C29" s="715"/>
      <c r="D29" s="740" t="s">
        <v>184</v>
      </c>
      <c r="E29" s="816">
        <f>G24</f>
        <v>0</v>
      </c>
      <c r="F29" s="621">
        <v>69</v>
      </c>
      <c r="G29" s="622">
        <f>E29*F29</f>
        <v>0</v>
      </c>
      <c r="H29" s="580">
        <f>G29+'[1]28'!H29</f>
        <v>0</v>
      </c>
      <c r="I29" s="625"/>
      <c r="J29" s="673">
        <f>H29/DAY(B2)</f>
        <v>0</v>
      </c>
      <c r="K29" s="401"/>
      <c r="L29" s="527"/>
      <c r="N29" s="908"/>
      <c r="O29" s="908"/>
    </row>
    <row r="30" spans="1:15" s="524" customFormat="1" ht="27" x14ac:dyDescent="0.5">
      <c r="A30" s="713" t="s">
        <v>185</v>
      </c>
      <c r="B30" s="714"/>
      <c r="C30" s="715"/>
      <c r="D30" s="740" t="s">
        <v>186</v>
      </c>
      <c r="E30" s="816">
        <f>G19</f>
        <v>55</v>
      </c>
      <c r="F30" s="621">
        <v>145</v>
      </c>
      <c r="G30" s="622">
        <f>E30*F30</f>
        <v>7975</v>
      </c>
      <c r="H30" s="580">
        <f>G30+'[1]28'!H30</f>
        <v>229680</v>
      </c>
      <c r="I30" s="625"/>
      <c r="J30" s="673">
        <f>H30/DAY(B2)</f>
        <v>7920</v>
      </c>
      <c r="K30" s="401"/>
      <c r="L30" s="527"/>
      <c r="N30" s="908"/>
      <c r="O30" s="908"/>
    </row>
    <row r="31" spans="1:15" s="524" customFormat="1" ht="27" x14ac:dyDescent="0.5">
      <c r="A31" s="713" t="s">
        <v>187</v>
      </c>
      <c r="B31" s="714"/>
      <c r="C31" s="715"/>
      <c r="D31" s="740" t="s">
        <v>171</v>
      </c>
      <c r="E31" s="816">
        <f>G18</f>
        <v>110</v>
      </c>
      <c r="F31" s="621">
        <v>80</v>
      </c>
      <c r="G31" s="622">
        <f>E31*F31</f>
        <v>8800</v>
      </c>
      <c r="H31" s="580">
        <f>G31+'[1]28'!H31</f>
        <v>316800</v>
      </c>
      <c r="I31" s="625"/>
      <c r="J31" s="673"/>
      <c r="K31" s="401"/>
      <c r="L31" s="527"/>
      <c r="N31" s="908"/>
      <c r="O31" s="908"/>
    </row>
    <row r="32" spans="1:15" s="524" customFormat="1" ht="27" x14ac:dyDescent="0.5">
      <c r="A32" s="716" t="s">
        <v>188</v>
      </c>
      <c r="B32" s="717"/>
      <c r="C32" s="718"/>
      <c r="D32" s="627"/>
      <c r="E32" s="898"/>
      <c r="F32" s="606"/>
      <c r="G32" s="628">
        <f>G27+G28+G29+G30+G31</f>
        <v>210045.3250000017</v>
      </c>
      <c r="H32" s="580">
        <f>G32+'[1]28'!H32</f>
        <v>6856994.5634999992</v>
      </c>
      <c r="I32" s="629"/>
      <c r="J32" s="673">
        <f>H32/DAY(B2)</f>
        <v>236448.0883965517</v>
      </c>
      <c r="K32" s="401"/>
      <c r="L32" s="527"/>
      <c r="N32" s="908"/>
      <c r="O32" s="908"/>
    </row>
    <row r="33" spans="1:15" ht="25.5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</row>
    <row r="34" spans="1:15" x14ac:dyDescent="0.5">
      <c r="A34" s="719" t="s">
        <v>190</v>
      </c>
      <c r="B34" s="1356"/>
      <c r="C34" s="1356"/>
      <c r="D34" s="592"/>
      <c r="E34" s="615"/>
      <c r="F34" s="615"/>
      <c r="G34" s="592"/>
      <c r="H34" s="592"/>
      <c r="I34" s="592"/>
      <c r="J34" s="672"/>
      <c r="K34" s="508"/>
      <c r="L34" s="405"/>
    </row>
    <row r="35" spans="1:15" x14ac:dyDescent="0.4">
      <c r="A35" s="699" t="s">
        <v>191</v>
      </c>
      <c r="B35" s="700"/>
      <c r="C35" s="700"/>
      <c r="D35" s="643" t="s">
        <v>159</v>
      </c>
      <c r="E35" s="878">
        <f>'[1]28'!F35</f>
        <v>629027</v>
      </c>
      <c r="F35" s="878">
        <v>629027</v>
      </c>
      <c r="G35" s="593">
        <f t="shared" ref="G35:G46" si="3">F35-E35</f>
        <v>0</v>
      </c>
      <c r="H35" s="580">
        <f>G35+'[1]28'!H35</f>
        <v>0</v>
      </c>
      <c r="I35" s="575"/>
      <c r="J35" s="673">
        <f>H35/DAY(B2)</f>
        <v>0</v>
      </c>
      <c r="K35" s="508"/>
      <c r="L35" s="405"/>
    </row>
    <row r="36" spans="1:15" x14ac:dyDescent="0.4">
      <c r="A36" s="699" t="s">
        <v>192</v>
      </c>
      <c r="B36" s="700"/>
      <c r="C36" s="700"/>
      <c r="D36" s="643" t="s">
        <v>159</v>
      </c>
      <c r="E36" s="878">
        <f>'[1]28'!F36</f>
        <v>253054</v>
      </c>
      <c r="F36" s="878">
        <v>253713.81</v>
      </c>
      <c r="G36" s="593">
        <f t="shared" si="3"/>
        <v>659.80999999999767</v>
      </c>
      <c r="H36" s="580">
        <f>G36+'[1]28'!H36</f>
        <v>24628.079999999987</v>
      </c>
      <c r="I36" s="575"/>
      <c r="J36" s="673">
        <f>H36/DAY(B2)</f>
        <v>849.24413793103406</v>
      </c>
      <c r="K36" s="508"/>
      <c r="L36" s="405"/>
    </row>
    <row r="37" spans="1:15" s="523" customFormat="1" x14ac:dyDescent="0.4">
      <c r="A37" s="1247" t="s">
        <v>193</v>
      </c>
      <c r="B37" s="1251"/>
      <c r="C37" s="1251"/>
      <c r="D37" s="748" t="s">
        <v>159</v>
      </c>
      <c r="E37" s="879">
        <f>'[1]28'!F37</f>
        <v>415066</v>
      </c>
      <c r="F37" s="879">
        <v>415066</v>
      </c>
      <c r="G37" s="769">
        <f t="shared" si="3"/>
        <v>0</v>
      </c>
      <c r="H37" s="841">
        <f>G37+'[1]28'!H37</f>
        <v>0</v>
      </c>
      <c r="I37" s="842"/>
      <c r="J37" s="843">
        <f>H37/DAY(B2)</f>
        <v>0</v>
      </c>
      <c r="K37" s="1249"/>
      <c r="L37" s="1250"/>
      <c r="N37" s="909"/>
      <c r="O37" s="909"/>
    </row>
    <row r="38" spans="1:15" s="523" customFormat="1" x14ac:dyDescent="0.4">
      <c r="A38" s="1247" t="s">
        <v>194</v>
      </c>
      <c r="B38" s="1251"/>
      <c r="C38" s="1251"/>
      <c r="D38" s="748" t="s">
        <v>159</v>
      </c>
      <c r="E38" s="879">
        <f>'[1]28'!F38</f>
        <v>150714</v>
      </c>
      <c r="F38" s="1252">
        <v>150714</v>
      </c>
      <c r="G38" s="769">
        <f t="shared" si="3"/>
        <v>0</v>
      </c>
      <c r="H38" s="841">
        <f>G38+'[1]28'!H38</f>
        <v>0</v>
      </c>
      <c r="I38" s="842"/>
      <c r="J38" s="843">
        <f>H38/DAY(B2)</f>
        <v>0</v>
      </c>
      <c r="K38" s="1249"/>
      <c r="L38" s="1250"/>
      <c r="N38" s="909"/>
      <c r="O38" s="909"/>
    </row>
    <row r="39" spans="1:15" s="523" customFormat="1" x14ac:dyDescent="0.4">
      <c r="A39" s="1247" t="s">
        <v>195</v>
      </c>
      <c r="B39" s="1251"/>
      <c r="C39" s="1251"/>
      <c r="D39" s="748" t="s">
        <v>159</v>
      </c>
      <c r="E39" s="879">
        <f>'[1]28'!F39</f>
        <v>912480</v>
      </c>
      <c r="F39" s="879">
        <v>912480</v>
      </c>
      <c r="G39" s="769">
        <f t="shared" si="3"/>
        <v>0</v>
      </c>
      <c r="H39" s="841">
        <f>G39+'[1]28'!H39</f>
        <v>0</v>
      </c>
      <c r="I39" s="842"/>
      <c r="J39" s="843">
        <f>H39/DAY(B2)</f>
        <v>0</v>
      </c>
      <c r="K39" s="1249"/>
      <c r="L39" s="1250"/>
      <c r="N39" s="909"/>
      <c r="O39" s="909"/>
    </row>
    <row r="40" spans="1:15" s="523" customFormat="1" x14ac:dyDescent="0.4">
      <c r="A40" s="1253" t="s">
        <v>196</v>
      </c>
      <c r="B40" s="1254"/>
      <c r="C40" s="1254"/>
      <c r="D40" s="748" t="s">
        <v>159</v>
      </c>
      <c r="E40" s="879">
        <f>'[1]28'!F40</f>
        <v>0</v>
      </c>
      <c r="F40" s="879">
        <v>0</v>
      </c>
      <c r="G40" s="769">
        <f t="shared" si="3"/>
        <v>0</v>
      </c>
      <c r="H40" s="841">
        <f>G40+'[1]28'!H40</f>
        <v>0</v>
      </c>
      <c r="I40" s="842"/>
      <c r="J40" s="843">
        <f>H40/DAY(B2)</f>
        <v>0</v>
      </c>
      <c r="K40" s="1255"/>
      <c r="L40" s="1250"/>
      <c r="N40" s="909"/>
      <c r="O40" s="909"/>
    </row>
    <row r="41" spans="1:15" s="523" customFormat="1" x14ac:dyDescent="0.4">
      <c r="A41" s="1247" t="s">
        <v>197</v>
      </c>
      <c r="B41" s="1251"/>
      <c r="C41" s="1251"/>
      <c r="D41" s="748" t="s">
        <v>159</v>
      </c>
      <c r="E41" s="879">
        <f>'[1]28'!F41</f>
        <v>300127.95</v>
      </c>
      <c r="F41" s="879">
        <v>300127.95</v>
      </c>
      <c r="G41" s="769">
        <f>F41-E41</f>
        <v>0</v>
      </c>
      <c r="H41" s="841">
        <f>G41+'[1]28'!H41</f>
        <v>0</v>
      </c>
      <c r="I41" s="842"/>
      <c r="J41" s="843">
        <f>H41/DAY(B2)</f>
        <v>0</v>
      </c>
      <c r="K41" s="1249"/>
      <c r="L41" s="1250"/>
      <c r="N41" s="909"/>
      <c r="O41" s="909"/>
    </row>
    <row r="42" spans="1:15" x14ac:dyDescent="0.4">
      <c r="A42" s="699" t="s">
        <v>198</v>
      </c>
      <c r="B42" s="700"/>
      <c r="C42" s="700"/>
      <c r="D42" s="643" t="s">
        <v>159</v>
      </c>
      <c r="E42" s="878">
        <f>'[1]28'!F42</f>
        <v>58926</v>
      </c>
      <c r="F42" s="878">
        <v>58926</v>
      </c>
      <c r="G42" s="593">
        <f t="shared" si="3"/>
        <v>0</v>
      </c>
      <c r="H42" s="580">
        <f>G42+'[1]28'!H42</f>
        <v>58926</v>
      </c>
      <c r="I42" s="575"/>
      <c r="J42" s="673">
        <f>H42/DAY(B2)</f>
        <v>2031.9310344827586</v>
      </c>
      <c r="K42" s="508"/>
      <c r="L42" s="405"/>
    </row>
    <row r="43" spans="1:15" x14ac:dyDescent="0.4">
      <c r="A43" s="699" t="s">
        <v>199</v>
      </c>
      <c r="B43" s="700"/>
      <c r="C43" s="700"/>
      <c r="D43" s="643" t="s">
        <v>159</v>
      </c>
      <c r="E43" s="878">
        <f>'[1]28'!F43</f>
        <v>692321.83</v>
      </c>
      <c r="F43" s="878">
        <v>694298.95</v>
      </c>
      <c r="G43" s="593">
        <f t="shared" si="3"/>
        <v>1977.1199999999953</v>
      </c>
      <c r="H43" s="580">
        <f>G43+'[1]28'!H43</f>
        <v>63549.639999999898</v>
      </c>
      <c r="I43" s="575"/>
      <c r="J43" s="673">
        <f>H43/DAY(B2)</f>
        <v>2191.3668965517204</v>
      </c>
      <c r="K43" s="508"/>
      <c r="L43" s="405"/>
    </row>
    <row r="44" spans="1:15" x14ac:dyDescent="0.4">
      <c r="A44" s="699" t="s">
        <v>200</v>
      </c>
      <c r="B44" s="700"/>
      <c r="C44" s="700"/>
      <c r="D44" s="643" t="s">
        <v>159</v>
      </c>
      <c r="E44" s="878">
        <f>'[1]28'!F44</f>
        <v>0</v>
      </c>
      <c r="F44" s="878">
        <v>0</v>
      </c>
      <c r="G44" s="593">
        <f t="shared" si="3"/>
        <v>0</v>
      </c>
      <c r="H44" s="580">
        <f>G44+'[1]28'!H44</f>
        <v>0</v>
      </c>
      <c r="I44" s="575"/>
      <c r="J44" s="673">
        <f>H44/DAY(B2)</f>
        <v>0</v>
      </c>
      <c r="K44" s="508"/>
      <c r="L44" s="405"/>
    </row>
    <row r="45" spans="1:15" x14ac:dyDescent="0.4">
      <c r="A45" s="699" t="s">
        <v>201</v>
      </c>
      <c r="B45" s="700"/>
      <c r="C45" s="700"/>
      <c r="D45" s="643" t="s">
        <v>159</v>
      </c>
      <c r="E45" s="878">
        <f>'[1]28'!F45</f>
        <v>614</v>
      </c>
      <c r="F45" s="878">
        <v>614.48</v>
      </c>
      <c r="G45" s="593">
        <f t="shared" si="3"/>
        <v>0.48000000000001819</v>
      </c>
      <c r="H45" s="580">
        <f>G45+'[1]28'!H45</f>
        <v>0</v>
      </c>
      <c r="I45" s="575"/>
      <c r="J45" s="673">
        <f>H45/DAY(B2)</f>
        <v>0</v>
      </c>
      <c r="K45" s="508"/>
      <c r="L45" s="405"/>
    </row>
    <row r="46" spans="1:15" x14ac:dyDescent="0.4">
      <c r="A46" s="699" t="s">
        <v>202</v>
      </c>
      <c r="B46" s="700"/>
      <c r="C46" s="700"/>
      <c r="D46" s="643" t="s">
        <v>159</v>
      </c>
      <c r="E46" s="878">
        <f>'[1]28'!F46</f>
        <v>187</v>
      </c>
      <c r="F46" s="878">
        <v>187.49</v>
      </c>
      <c r="G46" s="593">
        <f t="shared" si="3"/>
        <v>0.49000000000000909</v>
      </c>
      <c r="H46" s="580">
        <f>G46+'[1]28'!H46</f>
        <v>0</v>
      </c>
      <c r="I46" s="575"/>
      <c r="J46" s="673">
        <f>H46/DAY(B2)</f>
        <v>0</v>
      </c>
      <c r="K46" s="508"/>
      <c r="L46" s="405"/>
    </row>
    <row r="47" spans="1:15" x14ac:dyDescent="0.5">
      <c r="A47" s="706" t="s">
        <v>203</v>
      </c>
      <c r="B47" s="707"/>
      <c r="C47" s="707"/>
      <c r="D47" s="590"/>
      <c r="E47" s="590"/>
      <c r="F47" s="590"/>
      <c r="G47" s="601">
        <f>G35+G36+G37+G38+G39+G40+G41+G42+G43+G44+G45+G46</f>
        <v>2637.8999999999933</v>
      </c>
      <c r="H47" s="580">
        <f>G47+'[1]28'!H47</f>
        <v>147103.71999999988</v>
      </c>
      <c r="I47" s="575"/>
      <c r="J47" s="673">
        <f>H47/DAY(B2)</f>
        <v>5072.542068965513</v>
      </c>
      <c r="K47" s="508"/>
      <c r="L47" s="405"/>
    </row>
    <row r="48" spans="1:15" x14ac:dyDescent="0.5">
      <c r="A48" s="719" t="s">
        <v>204</v>
      </c>
      <c r="B48" s="1356"/>
      <c r="C48" s="1356"/>
      <c r="D48" s="592"/>
      <c r="E48" s="615"/>
      <c r="F48" s="615"/>
      <c r="G48" s="592"/>
      <c r="H48" s="592"/>
      <c r="I48" s="592"/>
      <c r="J48" s="672"/>
      <c r="K48" s="508"/>
      <c r="L48" s="405"/>
    </row>
    <row r="49" spans="1:15" s="523" customFormat="1" x14ac:dyDescent="0.4">
      <c r="A49" s="1247" t="s">
        <v>191</v>
      </c>
      <c r="B49" s="1248"/>
      <c r="C49" s="1248"/>
      <c r="D49" s="748" t="s">
        <v>159</v>
      </c>
      <c r="E49" s="879">
        <f>'[1]28'!F49</f>
        <v>141171.66</v>
      </c>
      <c r="F49" s="879">
        <v>143998.98000000001</v>
      </c>
      <c r="G49" s="769">
        <f t="shared" ref="G49:G58" si="4">F49-E49</f>
        <v>2827.320000000007</v>
      </c>
      <c r="H49" s="841">
        <f>G49+'[1]28'!H49</f>
        <v>79389.463000000018</v>
      </c>
      <c r="I49" s="842"/>
      <c r="J49" s="843">
        <f>H49/DAY(B2)</f>
        <v>2737.5676896551731</v>
      </c>
      <c r="K49" s="1249"/>
      <c r="L49" s="1250"/>
      <c r="N49" s="909"/>
      <c r="O49" s="909"/>
    </row>
    <row r="50" spans="1:15" s="523" customFormat="1" x14ac:dyDescent="0.4">
      <c r="A50" s="1247" t="s">
        <v>205</v>
      </c>
      <c r="B50" s="1248" t="s">
        <v>312</v>
      </c>
      <c r="C50" s="1248"/>
      <c r="D50" s="748" t="s">
        <v>159</v>
      </c>
      <c r="E50" s="879">
        <f>'[1]28'!F50</f>
        <v>332003</v>
      </c>
      <c r="F50" s="879">
        <v>332937</v>
      </c>
      <c r="G50" s="769">
        <f t="shared" si="4"/>
        <v>934</v>
      </c>
      <c r="H50" s="841">
        <f>G50+'[1]28'!H50</f>
        <v>35527.469999999972</v>
      </c>
      <c r="I50" s="842"/>
      <c r="J50" s="843">
        <f>H50/DAY(B2)</f>
        <v>1225.0851724137922</v>
      </c>
      <c r="K50" s="1249"/>
      <c r="L50" s="1250"/>
      <c r="N50" s="909"/>
      <c r="O50" s="909"/>
    </row>
    <row r="51" spans="1:15" s="523" customFormat="1" x14ac:dyDescent="0.4">
      <c r="A51" s="1247" t="s">
        <v>193</v>
      </c>
      <c r="B51" s="1248"/>
      <c r="C51" s="1248"/>
      <c r="D51" s="748" t="s">
        <v>159</v>
      </c>
      <c r="E51" s="879">
        <f>'[1]28'!F51</f>
        <v>60468.99</v>
      </c>
      <c r="F51" s="879">
        <v>61837</v>
      </c>
      <c r="G51" s="769">
        <f t="shared" si="4"/>
        <v>1368.010000000002</v>
      </c>
      <c r="H51" s="841">
        <f>G51+'[1]28'!H51</f>
        <v>40970.032999999996</v>
      </c>
      <c r="I51" s="842"/>
      <c r="J51" s="843">
        <f>H51/DAY(B2)</f>
        <v>1412.7597586206896</v>
      </c>
      <c r="K51" s="1249"/>
      <c r="L51" s="1250"/>
      <c r="N51" s="909"/>
      <c r="O51" s="909"/>
    </row>
    <row r="52" spans="1:15" s="523" customFormat="1" x14ac:dyDescent="0.4">
      <c r="A52" s="1247" t="s">
        <v>206</v>
      </c>
      <c r="B52" s="1248"/>
      <c r="C52" s="1248"/>
      <c r="D52" s="748" t="s">
        <v>159</v>
      </c>
      <c r="E52" s="879">
        <f>'[1]28'!F52</f>
        <v>427322.31</v>
      </c>
      <c r="F52" s="879">
        <v>429182.87</v>
      </c>
      <c r="G52" s="769">
        <f t="shared" si="4"/>
        <v>1860.5599999999977</v>
      </c>
      <c r="H52" s="841">
        <f>G52+'[1]28'!H52</f>
        <v>55827.079999999958</v>
      </c>
      <c r="I52" s="842"/>
      <c r="J52" s="843">
        <f>H52/DAY(B2)</f>
        <v>1925.0717241379296</v>
      </c>
      <c r="K52" s="1249"/>
      <c r="L52" s="1250"/>
      <c r="N52" s="909"/>
      <c r="O52" s="909"/>
    </row>
    <row r="53" spans="1:15" s="523" customFormat="1" x14ac:dyDescent="0.4">
      <c r="A53" s="1247" t="s">
        <v>195</v>
      </c>
      <c r="B53" s="1248"/>
      <c r="C53" s="1248"/>
      <c r="D53" s="748" t="s">
        <v>159</v>
      </c>
      <c r="E53" s="879">
        <f>'[1]28'!F53</f>
        <v>164266.16</v>
      </c>
      <c r="F53" s="879">
        <v>168261.37</v>
      </c>
      <c r="G53" s="769">
        <f t="shared" si="4"/>
        <v>3995.2099999999919</v>
      </c>
      <c r="H53" s="841">
        <f>G53+'[1]28'!H53</f>
        <v>118519.26299999999</v>
      </c>
      <c r="I53" s="842"/>
      <c r="J53" s="843">
        <f>H53/DAY(B2)</f>
        <v>4086.8711379310344</v>
      </c>
      <c r="K53" s="1249"/>
      <c r="L53" s="1250"/>
      <c r="N53" s="909"/>
      <c r="O53" s="909"/>
    </row>
    <row r="54" spans="1:15" x14ac:dyDescent="0.4">
      <c r="A54" s="699" t="s">
        <v>207</v>
      </c>
      <c r="B54" s="722"/>
      <c r="C54" s="722"/>
      <c r="D54" s="643" t="s">
        <v>159</v>
      </c>
      <c r="E54" s="878">
        <f>'[1]28'!F54</f>
        <v>4369.38</v>
      </c>
      <c r="F54" s="878">
        <v>4438.3100000000004</v>
      </c>
      <c r="G54" s="593">
        <f t="shared" si="4"/>
        <v>68.930000000000291</v>
      </c>
      <c r="H54" s="580">
        <f>G54+'[1]28'!H54</f>
        <v>1559.7000000000003</v>
      </c>
      <c r="I54" s="575"/>
      <c r="J54" s="673">
        <f>H54/DAY(B2)</f>
        <v>53.782758620689663</v>
      </c>
      <c r="K54" s="508"/>
      <c r="L54" s="405"/>
    </row>
    <row r="55" spans="1:15" x14ac:dyDescent="0.4">
      <c r="A55" s="699" t="s">
        <v>208</v>
      </c>
      <c r="B55" s="722"/>
      <c r="C55" s="722"/>
      <c r="D55" s="643" t="s">
        <v>159</v>
      </c>
      <c r="E55" s="878">
        <f>'[1]28'!F55</f>
        <v>158493</v>
      </c>
      <c r="F55" s="879">
        <v>158492.73000000001</v>
      </c>
      <c r="G55" s="769">
        <f t="shared" si="4"/>
        <v>-0.26999999998952262</v>
      </c>
      <c r="H55" s="841">
        <f>G55+'[1]28'!H55</f>
        <v>-0.26999999998952262</v>
      </c>
      <c r="I55" s="842"/>
      <c r="J55" s="843">
        <f>H55/DAY(B2)</f>
        <v>-9.3103448272249187E-3</v>
      </c>
      <c r="K55" s="508"/>
      <c r="L55" s="405"/>
    </row>
    <row r="56" spans="1:15" x14ac:dyDescent="0.4">
      <c r="A56" s="699" t="s">
        <v>209</v>
      </c>
      <c r="B56" s="722"/>
      <c r="C56" s="722"/>
      <c r="D56" s="643" t="s">
        <v>210</v>
      </c>
      <c r="E56" s="878">
        <f>'[1]28'!F56</f>
        <v>502226</v>
      </c>
      <c r="F56" s="879">
        <v>505378.47</v>
      </c>
      <c r="G56" s="593">
        <f t="shared" si="4"/>
        <v>3152.4699999999721</v>
      </c>
      <c r="H56" s="580">
        <f>G56+'[1]28'!H56</f>
        <v>69537.439999999944</v>
      </c>
      <c r="I56" s="575"/>
      <c r="J56" s="673">
        <f>H56/DAY(B2)</f>
        <v>2397.8427586206876</v>
      </c>
      <c r="K56" s="507"/>
      <c r="L56" s="405"/>
    </row>
    <row r="57" spans="1:15" x14ac:dyDescent="0.4">
      <c r="A57" s="699" t="s">
        <v>199</v>
      </c>
      <c r="B57" s="722"/>
      <c r="C57" s="722"/>
      <c r="D57" s="643" t="s">
        <v>159</v>
      </c>
      <c r="E57" s="878">
        <f>'[1]28'!F57</f>
        <v>0</v>
      </c>
      <c r="F57" s="878">
        <v>0</v>
      </c>
      <c r="G57" s="593">
        <f t="shared" si="4"/>
        <v>0</v>
      </c>
      <c r="H57" s="580">
        <f>G57+'[1]28'!H57</f>
        <v>0</v>
      </c>
      <c r="I57" s="575"/>
      <c r="J57" s="673">
        <f>H57/DAY(B2)</f>
        <v>0</v>
      </c>
      <c r="K57" s="508"/>
      <c r="L57" s="405"/>
    </row>
    <row r="58" spans="1:15" x14ac:dyDescent="0.4">
      <c r="A58" s="699" t="s">
        <v>211</v>
      </c>
      <c r="B58" s="722"/>
      <c r="C58" s="722"/>
      <c r="D58" s="643" t="s">
        <v>159</v>
      </c>
      <c r="E58" s="878">
        <f>'[1]28'!F58</f>
        <v>24558.55</v>
      </c>
      <c r="F58" s="879">
        <v>24747.07</v>
      </c>
      <c r="G58" s="593">
        <f t="shared" si="4"/>
        <v>188.52000000000044</v>
      </c>
      <c r="H58" s="580">
        <f>G58+'[1]28'!H58</f>
        <v>4354.0370000000003</v>
      </c>
      <c r="I58" s="575"/>
      <c r="J58" s="673">
        <f>H58/DAY(B2)</f>
        <v>150.13920689655174</v>
      </c>
      <c r="K58" s="508"/>
      <c r="L58" s="405"/>
    </row>
    <row r="59" spans="1:15" x14ac:dyDescent="0.5">
      <c r="A59" s="706">
        <v>1</v>
      </c>
      <c r="B59" s="707"/>
      <c r="C59" s="707"/>
      <c r="D59" s="631"/>
      <c r="E59" s="590"/>
      <c r="F59" s="590"/>
      <c r="G59" s="601">
        <f>G49+G50+G51+G52+G53+G54+G55+G56+G57+G58</f>
        <v>14394.749999999982</v>
      </c>
      <c r="H59" s="580">
        <f>G59+'[1]28'!H59</f>
        <v>405684.21599999984</v>
      </c>
      <c r="I59" s="575">
        <f>G7-G60</f>
        <v>438.35000000002401</v>
      </c>
      <c r="J59" s="673">
        <f>H59/DAY(B2)</f>
        <v>13989.110896551718</v>
      </c>
      <c r="K59" s="508"/>
      <c r="L59" s="405"/>
      <c r="O59" s="908">
        <f>159+122+341+154</f>
        <v>776</v>
      </c>
    </row>
    <row r="60" spans="1:15" x14ac:dyDescent="0.4">
      <c r="A60" s="699"/>
      <c r="B60" s="700"/>
      <c r="C60" s="700"/>
      <c r="D60" s="631" t="s">
        <v>212</v>
      </c>
      <c r="E60" s="590"/>
      <c r="F60" s="590"/>
      <c r="G60" s="601">
        <f>G47+G59</f>
        <v>17032.649999999976</v>
      </c>
      <c r="H60" s="580">
        <f>G60+'[1]28'!H60</f>
        <v>566331.60599999991</v>
      </c>
      <c r="I60" s="575">
        <f>G13-G60</f>
        <v>-218.82999999979438</v>
      </c>
      <c r="J60" s="673">
        <f>H60/DAY(B2)</f>
        <v>19528.676068965513</v>
      </c>
      <c r="K60" s="508"/>
      <c r="L60" s="405"/>
    </row>
    <row r="61" spans="1:15" x14ac:dyDescent="0.5">
      <c r="A61" s="723" t="s">
        <v>213</v>
      </c>
      <c r="B61" s="573"/>
      <c r="C61" s="573"/>
      <c r="D61" s="633"/>
      <c r="E61" s="880"/>
      <c r="F61" s="880"/>
      <c r="G61" s="633"/>
      <c r="H61" s="633"/>
      <c r="I61" s="633"/>
      <c r="J61" s="676"/>
      <c r="K61" s="508"/>
      <c r="L61" s="405"/>
    </row>
    <row r="62" spans="1:15" x14ac:dyDescent="0.4">
      <c r="A62" s="724" t="s">
        <v>121</v>
      </c>
      <c r="B62" s="725"/>
      <c r="C62" s="725"/>
      <c r="D62" s="631" t="s">
        <v>214</v>
      </c>
      <c r="E62" s="634">
        <f>'[1]28'!F62</f>
        <v>20419.187000000002</v>
      </c>
      <c r="F62" s="634">
        <v>20419.18</v>
      </c>
      <c r="G62" s="593">
        <f t="shared" ref="G62:G69" si="5">F62-E62</f>
        <v>-7.0000000014260877E-3</v>
      </c>
      <c r="H62" s="580">
        <f>G62+'[1]28'!H62</f>
        <v>0</v>
      </c>
      <c r="I62" s="635"/>
      <c r="J62" s="673">
        <f>H62/DAY(B2)</f>
        <v>0</v>
      </c>
      <c r="K62" s="508"/>
      <c r="L62" s="405"/>
    </row>
    <row r="63" spans="1:15" x14ac:dyDescent="0.4">
      <c r="A63" s="724" t="s">
        <v>215</v>
      </c>
      <c r="B63" s="725"/>
      <c r="C63" s="725"/>
      <c r="D63" s="631" t="s">
        <v>214</v>
      </c>
      <c r="E63" s="634">
        <f>'[1]28'!F63</f>
        <v>1095.27</v>
      </c>
      <c r="F63" s="634">
        <v>1099</v>
      </c>
      <c r="G63" s="593">
        <f t="shared" si="5"/>
        <v>3.7300000000000182</v>
      </c>
      <c r="H63" s="580">
        <f>G63+'[1]28'!H63</f>
        <v>242.63</v>
      </c>
      <c r="I63" s="635"/>
      <c r="J63" s="673">
        <f>H63/DAY(B2)</f>
        <v>8.3665517241379312</v>
      </c>
      <c r="K63" s="508"/>
      <c r="L63" s="405"/>
    </row>
    <row r="64" spans="1:15" ht="27.75" x14ac:dyDescent="0.5">
      <c r="A64" s="1395" t="s">
        <v>122</v>
      </c>
      <c r="B64" s="1396"/>
      <c r="C64" s="1397"/>
      <c r="D64" s="643" t="s">
        <v>214</v>
      </c>
      <c r="E64" s="634">
        <f>'[1]28'!F64</f>
        <v>97142.92</v>
      </c>
      <c r="F64" s="874">
        <v>97539.7</v>
      </c>
      <c r="G64" s="593">
        <f t="shared" si="5"/>
        <v>396.77999999999884</v>
      </c>
      <c r="H64" s="580">
        <f>G64+'[1]28'!H64</f>
        <v>10800.604999999996</v>
      </c>
      <c r="I64" s="600"/>
      <c r="J64" s="673">
        <f>H64/DAY(B2)</f>
        <v>372.43465517241367</v>
      </c>
      <c r="K64" s="508"/>
      <c r="L64" s="405"/>
    </row>
    <row r="65" spans="1:12" ht="27.75" x14ac:dyDescent="0.5">
      <c r="A65" s="1395" t="s">
        <v>123</v>
      </c>
      <c r="B65" s="1396"/>
      <c r="C65" s="1397"/>
      <c r="D65" s="643" t="s">
        <v>214</v>
      </c>
      <c r="E65" s="634">
        <f>'[1]28'!F65</f>
        <v>107843.25</v>
      </c>
      <c r="F65" s="881">
        <v>108244</v>
      </c>
      <c r="G65" s="593">
        <f t="shared" si="5"/>
        <v>400.75</v>
      </c>
      <c r="H65" s="580">
        <f>G65+'[1]28'!H65</f>
        <v>11608.017000000007</v>
      </c>
      <c r="I65" s="609"/>
      <c r="J65" s="673">
        <f>H65/DAY(B2)</f>
        <v>400.27644827586232</v>
      </c>
      <c r="K65" s="508"/>
      <c r="L65" s="405"/>
    </row>
    <row r="66" spans="1:12" ht="27.75" x14ac:dyDescent="0.5">
      <c r="A66" s="1395" t="s">
        <v>124</v>
      </c>
      <c r="B66" s="1396"/>
      <c r="C66" s="1397"/>
      <c r="D66" s="643" t="s">
        <v>214</v>
      </c>
      <c r="E66" s="634">
        <f>'[1]28'!F66</f>
        <v>1270.8699999999999</v>
      </c>
      <c r="F66" s="874">
        <v>1636</v>
      </c>
      <c r="G66" s="593">
        <f t="shared" si="5"/>
        <v>365.13000000000011</v>
      </c>
      <c r="H66" s="580">
        <f>G66+'[1]28'!H66</f>
        <v>11633.603000000006</v>
      </c>
      <c r="I66" s="600"/>
      <c r="J66" s="673">
        <f>H66/DAY(B2)</f>
        <v>401.15872413793124</v>
      </c>
      <c r="K66" s="508"/>
      <c r="L66" s="405"/>
    </row>
    <row r="67" spans="1:12" ht="27.75" x14ac:dyDescent="0.5">
      <c r="A67" s="1395" t="s">
        <v>125</v>
      </c>
      <c r="B67" s="1396"/>
      <c r="C67" s="1397"/>
      <c r="D67" s="643" t="s">
        <v>214</v>
      </c>
      <c r="E67" s="634">
        <f>'[1]28'!F67</f>
        <v>166325.57</v>
      </c>
      <c r="F67" s="874">
        <v>166962</v>
      </c>
      <c r="G67" s="593">
        <f t="shared" si="5"/>
        <v>636.42999999999302</v>
      </c>
      <c r="H67" s="580">
        <f>G67+'[1]28'!H67</f>
        <v>20919.950000000012</v>
      </c>
      <c r="I67" s="609"/>
      <c r="J67" s="673">
        <f>H67/DAY(B2)</f>
        <v>721.37758620689692</v>
      </c>
      <c r="K67" s="509"/>
      <c r="L67" s="405"/>
    </row>
    <row r="68" spans="1:12" ht="27.75" x14ac:dyDescent="0.5">
      <c r="A68" s="1395" t="s">
        <v>126</v>
      </c>
      <c r="B68" s="1396"/>
      <c r="C68" s="1397"/>
      <c r="D68" s="643" t="s">
        <v>214</v>
      </c>
      <c r="E68" s="634">
        <f>'[1]28'!F68</f>
        <v>52764.22</v>
      </c>
      <c r="F68" s="874">
        <v>53070</v>
      </c>
      <c r="G68" s="593">
        <f t="shared" si="5"/>
        <v>305.77999999999884</v>
      </c>
      <c r="H68" s="580">
        <f>G68+'[1]28'!H68</f>
        <v>9894.9210000000021</v>
      </c>
      <c r="I68" s="636"/>
      <c r="J68" s="673">
        <f>H68/DAY(B2)</f>
        <v>341.20417241379317</v>
      </c>
      <c r="K68" s="510"/>
      <c r="L68" s="405"/>
    </row>
    <row r="69" spans="1:12" ht="27.75" x14ac:dyDescent="0.5">
      <c r="A69" s="1395" t="s">
        <v>127</v>
      </c>
      <c r="B69" s="1396"/>
      <c r="C69" s="1397"/>
      <c r="D69" s="643" t="s">
        <v>214</v>
      </c>
      <c r="E69" s="634">
        <f>'[1]28'!F69</f>
        <v>45673.45</v>
      </c>
      <c r="F69" s="874">
        <v>45958.9</v>
      </c>
      <c r="G69" s="593">
        <f t="shared" si="5"/>
        <v>285.45000000000437</v>
      </c>
      <c r="H69" s="580">
        <f>G69+'[1]28'!H69</f>
        <v>8403.3329999999987</v>
      </c>
      <c r="I69" s="636"/>
      <c r="J69" s="673">
        <f>H69/DAY(B2)</f>
        <v>289.77010344827579</v>
      </c>
      <c r="K69" s="511"/>
      <c r="L69" s="405"/>
    </row>
    <row r="70" spans="1:12" ht="27.75" x14ac:dyDescent="0.5">
      <c r="A70" s="1451" t="s">
        <v>216</v>
      </c>
      <c r="B70" s="1452"/>
      <c r="C70" s="1453"/>
      <c r="D70" s="643" t="s">
        <v>214</v>
      </c>
      <c r="E70" s="882"/>
      <c r="F70" s="882"/>
      <c r="G70" s="638"/>
      <c r="H70" s="580">
        <f>G70+'[1]13'!H70</f>
        <v>0</v>
      </c>
      <c r="I70" s="638"/>
      <c r="J70" s="677"/>
      <c r="K70" s="511"/>
      <c r="L70" s="405"/>
    </row>
    <row r="71" spans="1:12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</row>
    <row r="72" spans="1:12" ht="27.75" x14ac:dyDescent="0.5">
      <c r="A72" s="1395" t="s">
        <v>218</v>
      </c>
      <c r="B72" s="1396"/>
      <c r="C72" s="1397"/>
      <c r="D72" s="643" t="s">
        <v>214</v>
      </c>
      <c r="E72" s="899">
        <f>'[1]28'!F72</f>
        <v>846152</v>
      </c>
      <c r="F72" s="883">
        <v>846216</v>
      </c>
      <c r="G72" s="593">
        <f t="shared" ref="G72:G84" si="6">F72-E72</f>
        <v>64</v>
      </c>
      <c r="H72" s="580">
        <f>G72+'[1]28'!H72</f>
        <v>1954</v>
      </c>
      <c r="I72" s="600"/>
      <c r="J72" s="673">
        <f>H72/DAY(B2)</f>
        <v>67.379310344827587</v>
      </c>
      <c r="K72" s="511"/>
      <c r="L72" s="405"/>
    </row>
    <row r="73" spans="1:12" ht="27.75" x14ac:dyDescent="0.5">
      <c r="A73" s="1395" t="s">
        <v>219</v>
      </c>
      <c r="B73" s="1396"/>
      <c r="C73" s="1397"/>
      <c r="D73" s="643" t="s">
        <v>214</v>
      </c>
      <c r="E73" s="900">
        <f>'[1]28'!F73</f>
        <v>885670</v>
      </c>
      <c r="F73" s="884">
        <v>885671</v>
      </c>
      <c r="G73" s="769">
        <f>F73-E73</f>
        <v>1</v>
      </c>
      <c r="H73" s="580">
        <f>G73+'[1]28'!H73</f>
        <v>967</v>
      </c>
      <c r="I73" s="600"/>
      <c r="J73" s="673">
        <f>H73/DAY(B2)</f>
        <v>33.344827586206897</v>
      </c>
      <c r="K73" s="510"/>
      <c r="L73" s="405"/>
    </row>
    <row r="74" spans="1:12" ht="27.75" x14ac:dyDescent="0.5">
      <c r="A74" s="1395" t="s">
        <v>220</v>
      </c>
      <c r="B74" s="1396"/>
      <c r="C74" s="1397"/>
      <c r="D74" s="643" t="s">
        <v>214</v>
      </c>
      <c r="E74" s="901">
        <f>'[1]28'!F74</f>
        <v>881197</v>
      </c>
      <c r="F74" s="884">
        <v>881231</v>
      </c>
      <c r="G74" s="593">
        <f t="shared" si="6"/>
        <v>34</v>
      </c>
      <c r="H74" s="580">
        <f>G74+'[1]28'!H74</f>
        <v>1004</v>
      </c>
      <c r="I74" s="600"/>
      <c r="J74" s="673">
        <f>H74/DAY(B2)</f>
        <v>34.620689655172413</v>
      </c>
      <c r="K74" s="511"/>
      <c r="L74" s="405"/>
    </row>
    <row r="75" spans="1:12" ht="27.75" x14ac:dyDescent="0.5">
      <c r="A75" s="1447" t="s">
        <v>221</v>
      </c>
      <c r="B75" s="1448"/>
      <c r="C75" s="1449"/>
      <c r="D75" s="643" t="s">
        <v>214</v>
      </c>
      <c r="E75" s="900">
        <f>'[1]28'!F75</f>
        <v>731134</v>
      </c>
      <c r="F75" s="884">
        <v>731292</v>
      </c>
      <c r="G75" s="593">
        <f t="shared" si="6"/>
        <v>158</v>
      </c>
      <c r="H75" s="580">
        <f>G75+'[1]28'!H75</f>
        <v>5112</v>
      </c>
      <c r="I75" s="600"/>
      <c r="J75" s="673">
        <f>H75/DAY(B2)</f>
        <v>176.27586206896552</v>
      </c>
      <c r="K75" s="510"/>
      <c r="L75" s="405"/>
    </row>
    <row r="76" spans="1:12" ht="27.75" x14ac:dyDescent="0.5">
      <c r="A76" s="1447" t="s">
        <v>222</v>
      </c>
      <c r="B76" s="1448"/>
      <c r="C76" s="1449"/>
      <c r="D76" s="643" t="s">
        <v>214</v>
      </c>
      <c r="E76" s="900">
        <f>'[1]28'!F76</f>
        <v>683939</v>
      </c>
      <c r="F76" s="884">
        <v>684042</v>
      </c>
      <c r="G76" s="593">
        <f t="shared" si="6"/>
        <v>103</v>
      </c>
      <c r="H76" s="580">
        <f>G76+'[1]28'!H76</f>
        <v>3672</v>
      </c>
      <c r="I76" s="625"/>
      <c r="J76" s="673">
        <f>H76/DAY(B2)</f>
        <v>126.62068965517241</v>
      </c>
      <c r="K76" s="510"/>
      <c r="L76" s="405"/>
    </row>
    <row r="77" spans="1:12" ht="27.75" x14ac:dyDescent="0.5">
      <c r="A77" s="1395" t="s">
        <v>223</v>
      </c>
      <c r="B77" s="1396"/>
      <c r="C77" s="1397"/>
      <c r="D77" s="643" t="s">
        <v>214</v>
      </c>
      <c r="E77" s="900">
        <f>'[1]28'!F77</f>
        <v>695225</v>
      </c>
      <c r="F77" s="884">
        <v>695280</v>
      </c>
      <c r="G77" s="769">
        <f t="shared" si="6"/>
        <v>55</v>
      </c>
      <c r="H77" s="580">
        <f>G77+'[1]28'!H77</f>
        <v>1560</v>
      </c>
      <c r="I77" s="625"/>
      <c r="J77" s="673">
        <f>H77/DAY(B2)</f>
        <v>53.793103448275865</v>
      </c>
      <c r="K77" s="510"/>
      <c r="L77" s="405"/>
    </row>
    <row r="78" spans="1:12" ht="27.75" x14ac:dyDescent="0.5">
      <c r="A78" s="1357" t="s">
        <v>224</v>
      </c>
      <c r="B78" s="1320"/>
      <c r="C78" s="1320"/>
      <c r="D78" s="643" t="s">
        <v>214</v>
      </c>
      <c r="E78" s="900">
        <f>'[1]28'!F78</f>
        <v>629722</v>
      </c>
      <c r="F78" s="884">
        <v>630081</v>
      </c>
      <c r="G78" s="769">
        <f t="shared" si="6"/>
        <v>359</v>
      </c>
      <c r="H78" s="580">
        <f>G78+'[1]28'!H78</f>
        <v>11828</v>
      </c>
      <c r="I78" s="625"/>
      <c r="J78" s="673">
        <f>H78/DAY(B2)</f>
        <v>407.86206896551727</v>
      </c>
      <c r="K78" s="510"/>
      <c r="L78" s="405"/>
    </row>
    <row r="79" spans="1:12" ht="27.75" x14ac:dyDescent="0.5">
      <c r="A79" s="1447" t="s">
        <v>112</v>
      </c>
      <c r="B79" s="1448"/>
      <c r="C79" s="1449"/>
      <c r="D79" s="644" t="s">
        <v>214</v>
      </c>
      <c r="E79" s="901">
        <f>'[1]28'!F79</f>
        <v>803282</v>
      </c>
      <c r="F79" s="885">
        <v>803472</v>
      </c>
      <c r="G79" s="593">
        <f t="shared" si="6"/>
        <v>190</v>
      </c>
      <c r="H79" s="580">
        <f>G79+'[1]28'!H79</f>
        <v>8220</v>
      </c>
      <c r="I79" s="625"/>
      <c r="J79" s="673">
        <f>H79/DAY(B2)</f>
        <v>283.44827586206895</v>
      </c>
      <c r="K79" s="510"/>
      <c r="L79" s="405"/>
    </row>
    <row r="80" spans="1:12" ht="27.75" x14ac:dyDescent="0.5">
      <c r="A80" s="1447" t="s">
        <v>225</v>
      </c>
      <c r="B80" s="1448"/>
      <c r="C80" s="1449"/>
      <c r="D80" s="644" t="s">
        <v>214</v>
      </c>
      <c r="E80" s="900">
        <f>'[1]28'!F80</f>
        <v>474609</v>
      </c>
      <c r="F80" s="884">
        <v>474910</v>
      </c>
      <c r="G80" s="593">
        <f t="shared" si="6"/>
        <v>301</v>
      </c>
      <c r="H80" s="580">
        <f>G80+'[1]28'!H80</f>
        <v>7586.1599999999744</v>
      </c>
      <c r="I80" s="625"/>
      <c r="J80" s="673">
        <f>H80/DAY(B2)</f>
        <v>261.59172413793016</v>
      </c>
      <c r="K80" s="510"/>
      <c r="L80" s="405"/>
    </row>
    <row r="81" spans="1:15" ht="27.75" x14ac:dyDescent="0.5">
      <c r="A81" s="1447" t="s">
        <v>226</v>
      </c>
      <c r="B81" s="1448"/>
      <c r="C81" s="1449"/>
      <c r="D81" s="644" t="s">
        <v>214</v>
      </c>
      <c r="E81" s="900">
        <f>'[1]28'!F81</f>
        <v>618889</v>
      </c>
      <c r="F81" s="884">
        <v>619004</v>
      </c>
      <c r="G81" s="593">
        <f t="shared" si="6"/>
        <v>115</v>
      </c>
      <c r="H81" s="580">
        <f>G81+'[1]28'!H81</f>
        <v>4615.4799999999814</v>
      </c>
      <c r="I81" s="625"/>
      <c r="J81" s="673">
        <f>H81/DAY(B2)</f>
        <v>159.15448275862005</v>
      </c>
      <c r="K81" s="510"/>
      <c r="L81" s="405"/>
    </row>
    <row r="82" spans="1:15" ht="27.75" x14ac:dyDescent="0.5">
      <c r="A82" s="1447" t="s">
        <v>115</v>
      </c>
      <c r="B82" s="1448"/>
      <c r="C82" s="1449"/>
      <c r="D82" s="605" t="s">
        <v>159</v>
      </c>
      <c r="E82" s="902">
        <f>'[1]28'!F82</f>
        <v>104369</v>
      </c>
      <c r="F82" s="881">
        <v>104378</v>
      </c>
      <c r="G82" s="593">
        <f t="shared" si="6"/>
        <v>9</v>
      </c>
      <c r="H82" s="580">
        <f>G82+'[1]28'!H82</f>
        <v>848.35000000000582</v>
      </c>
      <c r="I82" s="606"/>
      <c r="J82" s="673">
        <f>H82/DAY(B2)</f>
        <v>29.253448275862269</v>
      </c>
      <c r="K82" s="510"/>
      <c r="L82" s="405"/>
    </row>
    <row r="83" spans="1:15" ht="27.75" x14ac:dyDescent="0.5">
      <c r="A83" s="1447" t="s">
        <v>227</v>
      </c>
      <c r="B83" s="1448"/>
      <c r="C83" s="1449"/>
      <c r="D83" s="741" t="s">
        <v>159</v>
      </c>
      <c r="E83" s="590">
        <f>'[1]28'!F83</f>
        <v>972474</v>
      </c>
      <c r="F83" s="590">
        <v>972812</v>
      </c>
      <c r="G83" s="593">
        <f t="shared" si="6"/>
        <v>338</v>
      </c>
      <c r="H83" s="580">
        <f>G83+'[1]28'!H83</f>
        <v>10287</v>
      </c>
      <c r="I83" s="601"/>
      <c r="J83" s="673">
        <f>H83/DAY(B2)</f>
        <v>354.72413793103448</v>
      </c>
      <c r="K83" s="509"/>
      <c r="L83" s="405"/>
    </row>
    <row r="84" spans="1:15" x14ac:dyDescent="0.5">
      <c r="A84" s="1360" t="s">
        <v>228</v>
      </c>
      <c r="B84" s="692"/>
      <c r="C84" s="692"/>
      <c r="D84" s="598" t="s">
        <v>159</v>
      </c>
      <c r="E84" s="841">
        <f>'[1]28'!F84</f>
        <v>395855</v>
      </c>
      <c r="F84" s="841">
        <v>396336</v>
      </c>
      <c r="G84" s="593">
        <f t="shared" si="6"/>
        <v>481</v>
      </c>
      <c r="H84" s="580">
        <f>G84+'[1]28'!H84</f>
        <v>14980</v>
      </c>
      <c r="I84" s="601"/>
      <c r="J84" s="673">
        <f>H84/DAY(B2)</f>
        <v>516.55172413793105</v>
      </c>
      <c r="K84" s="408"/>
      <c r="L84" s="405"/>
    </row>
    <row r="85" spans="1:15" s="407" customFormat="1" x14ac:dyDescent="0.5">
      <c r="A85" s="726" t="s">
        <v>82</v>
      </c>
      <c r="B85" s="693"/>
      <c r="C85" s="693"/>
      <c r="D85" s="609"/>
      <c r="E85" s="841">
        <f>'[1]28'!F85</f>
        <v>0</v>
      </c>
      <c r="F85" s="580"/>
      <c r="G85" s="580">
        <f xml:space="preserve"> SUM(G72:G84)</f>
        <v>2208</v>
      </c>
      <c r="H85" s="580">
        <f>G85+'[1]28'!H85</f>
        <v>68077.519999999931</v>
      </c>
      <c r="I85" s="601"/>
      <c r="J85" s="673">
        <f>H85/DAY(B2)</f>
        <v>2347.5006896551699</v>
      </c>
      <c r="K85" s="408"/>
      <c r="L85" s="406"/>
      <c r="N85" s="908"/>
      <c r="O85" s="908"/>
    </row>
    <row r="86" spans="1:15" s="871" customFormat="1" x14ac:dyDescent="0.5">
      <c r="A86" s="866" t="s">
        <v>117</v>
      </c>
      <c r="B86" s="867"/>
      <c r="C86" s="867"/>
      <c r="D86" s="868" t="s">
        <v>210</v>
      </c>
      <c r="E86" s="841">
        <f>'[1]28'!F86</f>
        <v>444090</v>
      </c>
      <c r="F86" s="886">
        <v>444169</v>
      </c>
      <c r="G86" s="841">
        <f t="shared" ref="G86:G90" si="7">F86-E86</f>
        <v>79</v>
      </c>
      <c r="H86" s="841">
        <f t="shared" ref="H86:H88" si="8">G86</f>
        <v>79</v>
      </c>
      <c r="I86" s="769"/>
      <c r="J86" s="843">
        <f>H86/DAY(B2)</f>
        <v>2.7241379310344827</v>
      </c>
      <c r="K86" s="869"/>
      <c r="L86" s="870"/>
      <c r="N86" s="909"/>
      <c r="O86" s="909"/>
    </row>
    <row r="87" spans="1:15" s="871" customFormat="1" x14ac:dyDescent="0.5">
      <c r="A87" s="866" t="s">
        <v>118</v>
      </c>
      <c r="B87" s="867"/>
      <c r="C87" s="867"/>
      <c r="D87" s="868" t="s">
        <v>210</v>
      </c>
      <c r="E87" s="841">
        <f>'[1]28'!F87</f>
        <v>77674.7</v>
      </c>
      <c r="F87" s="886">
        <v>77697.399999999994</v>
      </c>
      <c r="G87" s="841">
        <f t="shared" si="7"/>
        <v>22.69999999999709</v>
      </c>
      <c r="H87" s="841">
        <f t="shared" si="8"/>
        <v>22.69999999999709</v>
      </c>
      <c r="I87" s="769"/>
      <c r="J87" s="843">
        <f>H87/DAY(B2)</f>
        <v>0.78275862068955482</v>
      </c>
      <c r="K87" s="869"/>
      <c r="L87" s="870"/>
      <c r="N87" s="909"/>
      <c r="O87" s="909"/>
    </row>
    <row r="88" spans="1:15" s="871" customFormat="1" x14ac:dyDescent="0.5">
      <c r="A88" s="866" t="s">
        <v>119</v>
      </c>
      <c r="B88" s="867"/>
      <c r="C88" s="867"/>
      <c r="D88" s="868" t="s">
        <v>210</v>
      </c>
      <c r="E88" s="841">
        <f>'[1]28'!F88</f>
        <v>144376</v>
      </c>
      <c r="F88" s="886">
        <v>144451</v>
      </c>
      <c r="G88" s="841">
        <f t="shared" si="7"/>
        <v>75</v>
      </c>
      <c r="H88" s="841">
        <f t="shared" si="8"/>
        <v>75</v>
      </c>
      <c r="I88" s="769"/>
      <c r="J88" s="843">
        <f>H88/DAY(B2)</f>
        <v>2.5862068965517242</v>
      </c>
      <c r="K88" s="869"/>
      <c r="L88" s="870"/>
      <c r="N88" s="909">
        <f>122+359</f>
        <v>481</v>
      </c>
      <c r="O88" s="909"/>
    </row>
    <row r="89" spans="1:15" s="871" customFormat="1" x14ac:dyDescent="0.5">
      <c r="A89" s="866" t="s">
        <v>230</v>
      </c>
      <c r="B89" s="867"/>
      <c r="C89" s="867"/>
      <c r="D89" s="868" t="s">
        <v>210</v>
      </c>
      <c r="E89" s="841">
        <f>'[1]28'!F89</f>
        <v>57460</v>
      </c>
      <c r="F89" s="764">
        <v>57531.8</v>
      </c>
      <c r="G89" s="841">
        <f t="shared" si="7"/>
        <v>71.80000000000291</v>
      </c>
      <c r="H89" s="841">
        <f>G89</f>
        <v>71.80000000000291</v>
      </c>
      <c r="I89" s="769"/>
      <c r="J89" s="843">
        <f>H89/DAY(B2)</f>
        <v>2.4758620689656174</v>
      </c>
      <c r="K89" s="869"/>
      <c r="L89" s="870"/>
    </row>
    <row r="90" spans="1:15" s="871" customFormat="1" x14ac:dyDescent="0.5">
      <c r="A90" s="866" t="s">
        <v>230</v>
      </c>
      <c r="B90" s="867"/>
      <c r="C90" s="867"/>
      <c r="D90" s="868" t="s">
        <v>210</v>
      </c>
      <c r="E90" s="841">
        <f>'[1]28'!F90</f>
        <v>2975.5</v>
      </c>
      <c r="F90" s="764">
        <v>2978.5</v>
      </c>
      <c r="G90" s="841">
        <f t="shared" si="7"/>
        <v>3</v>
      </c>
      <c r="H90" s="841">
        <f>G90</f>
        <v>3</v>
      </c>
      <c r="I90" s="769"/>
      <c r="J90" s="843">
        <f>H90/DAY(B2)</f>
        <v>0.10344827586206896</v>
      </c>
      <c r="K90" s="869"/>
      <c r="L90" s="870"/>
    </row>
    <row r="91" spans="1:15" s="407" customFormat="1" x14ac:dyDescent="0.5">
      <c r="A91" s="727" t="s">
        <v>231</v>
      </c>
      <c r="B91" s="1358"/>
      <c r="C91" s="1358"/>
      <c r="D91" s="592"/>
      <c r="E91" s="875"/>
      <c r="F91" s="875"/>
      <c r="G91" s="608"/>
      <c r="H91" s="592"/>
      <c r="I91" s="592"/>
      <c r="J91" s="672"/>
      <c r="K91" s="408"/>
      <c r="L91" s="406"/>
      <c r="N91" s="908"/>
      <c r="O91" s="908"/>
    </row>
    <row r="92" spans="1:15" ht="27.75" x14ac:dyDescent="0.5">
      <c r="A92" s="1398" t="s">
        <v>233</v>
      </c>
      <c r="B92" s="1399"/>
      <c r="C92" s="1400"/>
      <c r="D92" s="643" t="s">
        <v>171</v>
      </c>
      <c r="E92" s="895">
        <f>'[1]28'!F92</f>
        <v>233730</v>
      </c>
      <c r="F92" s="874">
        <v>233788</v>
      </c>
      <c r="G92" s="593">
        <f t="shared" ref="G92:G93" si="9">F92-E92</f>
        <v>58</v>
      </c>
      <c r="H92" s="580">
        <f>G92+'[1]28'!H92</f>
        <v>2813</v>
      </c>
      <c r="I92" s="600"/>
      <c r="J92" s="673">
        <f>H92/DAY(B2)</f>
        <v>97</v>
      </c>
      <c r="K92" s="509"/>
      <c r="L92" s="405"/>
    </row>
    <row r="93" spans="1:15" ht="27.75" x14ac:dyDescent="0.5">
      <c r="A93" s="1398" t="s">
        <v>234</v>
      </c>
      <c r="B93" s="1399"/>
      <c r="C93" s="1400"/>
      <c r="D93" s="643" t="s">
        <v>171</v>
      </c>
      <c r="E93" s="895">
        <f>'[1]28'!F93</f>
        <v>166556</v>
      </c>
      <c r="F93" s="874">
        <v>166674</v>
      </c>
      <c r="G93" s="593">
        <f t="shared" si="9"/>
        <v>118</v>
      </c>
      <c r="H93" s="580">
        <f>G93+'[1]28'!H93</f>
        <v>4032</v>
      </c>
      <c r="I93" s="600"/>
      <c r="J93" s="673">
        <f>H93/DAY(B2)</f>
        <v>139.0344827586207</v>
      </c>
      <c r="K93" s="408"/>
      <c r="L93" s="405"/>
    </row>
    <row r="94" spans="1:15" x14ac:dyDescent="0.5">
      <c r="A94" s="1392" t="s">
        <v>235</v>
      </c>
      <c r="B94" s="1393"/>
      <c r="C94" s="1394"/>
      <c r="D94" s="643"/>
      <c r="E94" s="895"/>
      <c r="F94" s="874"/>
      <c r="G94" s="593">
        <f>G92+G93</f>
        <v>176</v>
      </c>
      <c r="H94" s="580">
        <f>G94+'[1]28'!H94</f>
        <v>6582</v>
      </c>
      <c r="I94" s="600"/>
      <c r="J94" s="673">
        <f>H94/DAY(B2)</f>
        <v>226.9655172413793</v>
      </c>
      <c r="K94" s="408"/>
      <c r="L94" s="405"/>
    </row>
    <row r="95" spans="1:15" ht="27.75" x14ac:dyDescent="0.5">
      <c r="A95" s="1398" t="s">
        <v>236</v>
      </c>
      <c r="B95" s="1399"/>
      <c r="C95" s="1400"/>
      <c r="D95" s="643" t="s">
        <v>171</v>
      </c>
      <c r="E95" s="895">
        <f>'[1]28'!F95</f>
        <v>403455</v>
      </c>
      <c r="F95" s="874">
        <v>403525</v>
      </c>
      <c r="G95" s="593">
        <f t="shared" ref="G95:G100" si="10">F95-E95</f>
        <v>70</v>
      </c>
      <c r="H95" s="580">
        <f>G95+'[1]28'!H95</f>
        <v>1960</v>
      </c>
      <c r="I95" s="600"/>
      <c r="J95" s="673">
        <f>H95/DAY(B2)</f>
        <v>67.58620689655173</v>
      </c>
      <c r="K95" s="408"/>
      <c r="L95" s="405"/>
    </row>
    <row r="96" spans="1:15" ht="27.75" x14ac:dyDescent="0.5">
      <c r="A96" s="1354" t="s">
        <v>237</v>
      </c>
      <c r="B96" s="1355"/>
      <c r="C96" s="1355"/>
      <c r="D96" s="643" t="s">
        <v>171</v>
      </c>
      <c r="E96" s="895">
        <f>'[1]28'!F96</f>
        <v>99878</v>
      </c>
      <c r="F96" s="874">
        <v>99893</v>
      </c>
      <c r="G96" s="593">
        <f t="shared" si="10"/>
        <v>15</v>
      </c>
      <c r="H96" s="580">
        <f>G96+'[1]28'!H96</f>
        <v>782</v>
      </c>
      <c r="I96" s="600"/>
      <c r="J96" s="673">
        <f>H96/DAY(B2)</f>
        <v>26.96551724137931</v>
      </c>
      <c r="K96" s="507"/>
      <c r="L96" s="405"/>
    </row>
    <row r="97" spans="1:15" ht="27.75" x14ac:dyDescent="0.5">
      <c r="A97" s="1354" t="s">
        <v>238</v>
      </c>
      <c r="B97" s="1355"/>
      <c r="C97" s="1355"/>
      <c r="D97" s="643" t="s">
        <v>171</v>
      </c>
      <c r="E97" s="895">
        <f>'[1]28'!F97</f>
        <v>94989</v>
      </c>
      <c r="F97" s="874">
        <v>94995</v>
      </c>
      <c r="G97" s="593">
        <f t="shared" si="10"/>
        <v>6</v>
      </c>
      <c r="H97" s="580">
        <f>G97+'[1]28'!H97</f>
        <v>723</v>
      </c>
      <c r="I97" s="600"/>
      <c r="J97" s="673">
        <f>H97/DAY(B2)</f>
        <v>24.931034482758619</v>
      </c>
      <c r="K97" s="512"/>
      <c r="L97" s="405"/>
    </row>
    <row r="98" spans="1:15" ht="27.75" x14ac:dyDescent="0.5">
      <c r="A98" s="1354" t="s">
        <v>239</v>
      </c>
      <c r="B98" s="1355"/>
      <c r="C98" s="1355"/>
      <c r="D98" s="643" t="s">
        <v>171</v>
      </c>
      <c r="E98" s="895">
        <f>'[1]28'!F98</f>
        <v>143644</v>
      </c>
      <c r="F98" s="874">
        <v>143697</v>
      </c>
      <c r="G98" s="593">
        <f t="shared" si="10"/>
        <v>53</v>
      </c>
      <c r="H98" s="580">
        <f>G98+'[1]28'!H98</f>
        <v>1551</v>
      </c>
      <c r="I98" s="600"/>
      <c r="J98" s="673">
        <f>H98/DAY(B2)</f>
        <v>53.482758620689658</v>
      </c>
      <c r="K98" s="408"/>
      <c r="L98" s="405"/>
    </row>
    <row r="99" spans="1:15" ht="27.75" x14ac:dyDescent="0.5">
      <c r="A99" s="1354" t="s">
        <v>240</v>
      </c>
      <c r="B99" s="1355"/>
      <c r="C99" s="1355"/>
      <c r="D99" s="643" t="s">
        <v>171</v>
      </c>
      <c r="E99" s="895">
        <f>'[1]28'!F99</f>
        <v>5484</v>
      </c>
      <c r="F99" s="874">
        <v>5492</v>
      </c>
      <c r="G99" s="593">
        <f t="shared" si="10"/>
        <v>8</v>
      </c>
      <c r="H99" s="580">
        <f>G99+'[1]28'!H99</f>
        <v>524</v>
      </c>
      <c r="I99" s="600"/>
      <c r="J99" s="673">
        <f>H99/DAY(B2)</f>
        <v>18.068965517241381</v>
      </c>
      <c r="K99" s="408"/>
      <c r="L99" s="405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895">
        <f>'[1]28'!F100</f>
        <v>3936</v>
      </c>
      <c r="F100" s="874">
        <v>3941</v>
      </c>
      <c r="G100" s="593">
        <f t="shared" si="10"/>
        <v>5</v>
      </c>
      <c r="H100" s="580">
        <f>G100+'[1]28'!H100</f>
        <v>145</v>
      </c>
      <c r="I100" s="600"/>
      <c r="J100" s="673">
        <f>H100/DAY(B2)</f>
        <v>5</v>
      </c>
      <c r="K100" s="408"/>
      <c r="L100" s="405"/>
    </row>
    <row r="101" spans="1:15" x14ac:dyDescent="0.5">
      <c r="A101" s="1392" t="s">
        <v>242</v>
      </c>
      <c r="B101" s="1393"/>
      <c r="C101" s="1394"/>
      <c r="D101" s="644"/>
      <c r="E101" s="606"/>
      <c r="F101" s="606"/>
      <c r="G101" s="645">
        <f>SUM(G95:G100)</f>
        <v>157</v>
      </c>
      <c r="H101" s="580">
        <f>G101+'[1]28'!H101</f>
        <v>5685</v>
      </c>
      <c r="I101" s="646"/>
      <c r="J101" s="673">
        <f>H101/DAY(B2)</f>
        <v>196.0344827586207</v>
      </c>
      <c r="K101" s="408"/>
      <c r="L101" s="405"/>
    </row>
    <row r="102" spans="1:15" s="524" customFormat="1" ht="27" x14ac:dyDescent="0.35">
      <c r="A102" s="728" t="s">
        <v>243</v>
      </c>
      <c r="B102" s="729"/>
      <c r="C102" s="729"/>
      <c r="D102" s="742"/>
      <c r="E102" s="903"/>
      <c r="F102" s="887"/>
      <c r="G102" s="649"/>
      <c r="H102" s="650"/>
      <c r="I102" s="651"/>
      <c r="J102" s="678"/>
      <c r="N102" s="908"/>
      <c r="O102" s="908"/>
    </row>
    <row r="103" spans="1:15" s="524" customFormat="1" ht="27" x14ac:dyDescent="0.5">
      <c r="A103" s="1404" t="s">
        <v>244</v>
      </c>
      <c r="B103" s="1405"/>
      <c r="C103" s="694"/>
      <c r="D103" s="743"/>
      <c r="E103" s="653"/>
      <c r="F103" s="888"/>
      <c r="G103" s="652"/>
      <c r="H103" s="653"/>
      <c r="I103" s="652"/>
      <c r="J103" s="679"/>
      <c r="N103" s="908"/>
      <c r="O103" s="908"/>
    </row>
    <row r="104" spans="1:15" s="524" customFormat="1" ht="27" x14ac:dyDescent="0.5">
      <c r="A104" s="1406" t="s">
        <v>245</v>
      </c>
      <c r="B104" s="1407"/>
      <c r="C104" s="1359"/>
      <c r="D104" s="743" t="s">
        <v>171</v>
      </c>
      <c r="E104" s="653">
        <f>'[1]28'!F104</f>
        <v>7010</v>
      </c>
      <c r="F104" s="888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1.9655172413793103</v>
      </c>
      <c r="N104" s="908"/>
      <c r="O104" s="908"/>
    </row>
    <row r="105" spans="1:15" s="524" customFormat="1" ht="27" x14ac:dyDescent="0.5">
      <c r="A105" s="1406" t="s">
        <v>92</v>
      </c>
      <c r="B105" s="1407"/>
      <c r="C105" s="1359"/>
      <c r="D105" s="743" t="s">
        <v>171</v>
      </c>
      <c r="E105" s="653">
        <f>'[1]28'!F105</f>
        <v>34900</v>
      </c>
      <c r="F105" s="777">
        <v>34913</v>
      </c>
      <c r="G105" s="652">
        <f t="shared" ref="G105:G106" si="11">F105-E105</f>
        <v>13</v>
      </c>
      <c r="H105" s="653">
        <f>SUM(G105+'[1]1'!G77)</f>
        <v>68</v>
      </c>
      <c r="I105" s="652"/>
      <c r="J105" s="679">
        <f>H105/DAY(B2)</f>
        <v>2.3448275862068964</v>
      </c>
      <c r="N105" s="908"/>
      <c r="O105" s="908"/>
    </row>
    <row r="106" spans="1:15" s="524" customFormat="1" ht="27" x14ac:dyDescent="0.5">
      <c r="A106" s="1406" t="s">
        <v>93</v>
      </c>
      <c r="B106" s="1408"/>
      <c r="C106" s="1407"/>
      <c r="D106" s="743" t="s">
        <v>171</v>
      </c>
      <c r="E106" s="653">
        <f>'[1]28'!F106</f>
        <v>18873</v>
      </c>
      <c r="F106" s="777">
        <v>18878</v>
      </c>
      <c r="G106" s="652">
        <f t="shared" si="11"/>
        <v>5</v>
      </c>
      <c r="H106" s="653">
        <f>SUM(G106+'[1]1'!G78)</f>
        <v>485</v>
      </c>
      <c r="I106" s="652"/>
      <c r="J106" s="679">
        <f>H106/DAY(B2)</f>
        <v>16.724137931034484</v>
      </c>
      <c r="N106" s="908"/>
      <c r="O106" s="908"/>
    </row>
    <row r="107" spans="1:15" s="524" customFormat="1" ht="27" x14ac:dyDescent="0.5">
      <c r="A107" s="1409" t="s">
        <v>82</v>
      </c>
      <c r="B107" s="1410"/>
      <c r="C107" s="1359"/>
      <c r="D107" s="743"/>
      <c r="E107" s="653">
        <f>'[1]28'!F107</f>
        <v>0</v>
      </c>
      <c r="F107" s="777"/>
      <c r="G107" s="652">
        <f>SUM(G104:G106)</f>
        <v>18</v>
      </c>
      <c r="H107" s="653">
        <f>SUM(G107+'[1]1'!G79)</f>
        <v>219</v>
      </c>
      <c r="I107" s="652"/>
      <c r="J107" s="679">
        <f>H107/DAY(B2)</f>
        <v>7.5517241379310347</v>
      </c>
      <c r="N107" s="908"/>
      <c r="O107" s="908"/>
    </row>
    <row r="108" spans="1:15" s="524" customFormat="1" ht="27" x14ac:dyDescent="0.5">
      <c r="A108" s="1411" t="s">
        <v>94</v>
      </c>
      <c r="B108" s="1412"/>
      <c r="C108" s="1359"/>
      <c r="D108" s="743" t="s">
        <v>171</v>
      </c>
      <c r="E108" s="653">
        <f>'[1]28'!F108</f>
        <v>0</v>
      </c>
      <c r="F108" s="777"/>
      <c r="G108" s="652"/>
      <c r="H108" s="653"/>
      <c r="I108" s="652"/>
      <c r="J108" s="679"/>
      <c r="N108" s="908"/>
      <c r="O108" s="908"/>
    </row>
    <row r="109" spans="1:15" s="524" customFormat="1" ht="27" x14ac:dyDescent="0.5">
      <c r="A109" s="1406" t="s">
        <v>246</v>
      </c>
      <c r="B109" s="1407"/>
      <c r="C109" s="1359"/>
      <c r="D109" s="743" t="s">
        <v>171</v>
      </c>
      <c r="E109" s="653">
        <f>'[1]28'!F109</f>
        <v>52891</v>
      </c>
      <c r="F109" s="777">
        <v>52931</v>
      </c>
      <c r="G109" s="652">
        <f>F109-E109</f>
        <v>40</v>
      </c>
      <c r="H109" s="653">
        <f>SUM(G109+'[1]1'!G81)</f>
        <v>193.28000000002794</v>
      </c>
      <c r="I109" s="652"/>
      <c r="J109" s="679">
        <f>H109/DAY(B2)</f>
        <v>6.6648275862078599</v>
      </c>
      <c r="N109" s="908"/>
      <c r="O109" s="908"/>
    </row>
    <row r="110" spans="1:15" s="524" customFormat="1" ht="27" x14ac:dyDescent="0.5">
      <c r="A110" s="1406" t="s">
        <v>247</v>
      </c>
      <c r="B110" s="1407"/>
      <c r="C110" s="1359"/>
      <c r="D110" s="743" t="s">
        <v>171</v>
      </c>
      <c r="E110" s="653">
        <f>'[1]28'!F110</f>
        <v>26759</v>
      </c>
      <c r="F110" s="777">
        <v>26801</v>
      </c>
      <c r="G110" s="652">
        <f t="shared" ref="G110:G111" si="12">F110-E110</f>
        <v>42</v>
      </c>
      <c r="H110" s="653">
        <f>SUM(G110+'[1]1'!G82)</f>
        <v>62.760000000009313</v>
      </c>
      <c r="I110" s="652"/>
      <c r="J110" s="679">
        <f>H110/DAY(B2)</f>
        <v>2.1641379310348041</v>
      </c>
      <c r="N110" s="908"/>
      <c r="O110" s="908"/>
    </row>
    <row r="111" spans="1:15" s="524" customFormat="1" ht="27" x14ac:dyDescent="0.5">
      <c r="A111" s="1406" t="s">
        <v>248</v>
      </c>
      <c r="B111" s="1407"/>
      <c r="C111" s="1359"/>
      <c r="D111" s="743" t="s">
        <v>171</v>
      </c>
      <c r="E111" s="653">
        <f>'[1]28'!F111</f>
        <v>3551</v>
      </c>
      <c r="F111" s="777">
        <v>3551</v>
      </c>
      <c r="G111" s="654">
        <f t="shared" si="12"/>
        <v>0</v>
      </c>
      <c r="H111" s="653">
        <f>SUM(G111+'[1]1'!G83)</f>
        <v>346</v>
      </c>
      <c r="I111" s="652"/>
      <c r="J111" s="679">
        <f>H111/DAY(B2)</f>
        <v>11.931034482758621</v>
      </c>
      <c r="N111" s="908"/>
      <c r="O111" s="908"/>
    </row>
    <row r="112" spans="1:15" s="524" customFormat="1" ht="27" x14ac:dyDescent="0.5">
      <c r="A112" s="1409" t="s">
        <v>136</v>
      </c>
      <c r="B112" s="1410"/>
      <c r="C112" s="1359"/>
      <c r="D112" s="743"/>
      <c r="E112" s="653">
        <f>'[1]28'!F112</f>
        <v>0</v>
      </c>
      <c r="F112" s="777"/>
      <c r="G112" s="652">
        <f>SUM(G109:G111)</f>
        <v>82</v>
      </c>
      <c r="H112" s="653">
        <f>SUM(G112+'[1]1'!G84)</f>
        <v>646</v>
      </c>
      <c r="I112" s="652"/>
      <c r="J112" s="679">
        <f>H112/DAY(B2)</f>
        <v>22.275862068965516</v>
      </c>
      <c r="N112" s="908"/>
      <c r="O112" s="908"/>
    </row>
    <row r="113" spans="1:15" s="524" customFormat="1" ht="27" x14ac:dyDescent="0.5">
      <c r="A113" s="1411" t="s">
        <v>249</v>
      </c>
      <c r="B113" s="1412"/>
      <c r="C113" s="1359"/>
      <c r="D113" s="743"/>
      <c r="E113" s="653">
        <f>'[1]28'!F113</f>
        <v>0</v>
      </c>
      <c r="F113" s="777"/>
      <c r="G113" s="652"/>
      <c r="H113" s="653"/>
      <c r="I113" s="652"/>
      <c r="J113" s="679">
        <f>H113/DAY(B2)</f>
        <v>0</v>
      </c>
      <c r="N113" s="908"/>
      <c r="O113" s="908"/>
    </row>
    <row r="114" spans="1:15" s="524" customFormat="1" ht="27" x14ac:dyDescent="0.5">
      <c r="A114" s="1406" t="s">
        <v>250</v>
      </c>
      <c r="B114" s="1407"/>
      <c r="C114" s="695"/>
      <c r="D114" s="743" t="s">
        <v>171</v>
      </c>
      <c r="E114" s="653">
        <f>'[1]28'!F114</f>
        <v>9217</v>
      </c>
      <c r="F114" s="777">
        <v>9226</v>
      </c>
      <c r="G114" s="654">
        <f>F114-E114</f>
        <v>9</v>
      </c>
      <c r="H114" s="653">
        <f>SUM(G114+'[1]1'!G91)</f>
        <v>9</v>
      </c>
      <c r="I114" s="652"/>
      <c r="J114" s="679">
        <f>H114/DAY(B2)</f>
        <v>0.31034482758620691</v>
      </c>
      <c r="N114" s="908"/>
      <c r="O114" s="908"/>
    </row>
    <row r="115" spans="1:15" s="524" customFormat="1" ht="27" x14ac:dyDescent="0.5">
      <c r="A115" s="1406" t="s">
        <v>251</v>
      </c>
      <c r="B115" s="1407"/>
      <c r="C115" s="695"/>
      <c r="D115" s="743" t="s">
        <v>171</v>
      </c>
      <c r="E115" s="653">
        <f>'[1]28'!F115</f>
        <v>7172</v>
      </c>
      <c r="F115" s="777">
        <v>7174</v>
      </c>
      <c r="G115" s="654">
        <f t="shared" ref="G115:G116" si="13">F115-E115</f>
        <v>2</v>
      </c>
      <c r="H115" s="653">
        <f>SUM(G115+'[1]1'!G92)</f>
        <v>114</v>
      </c>
      <c r="I115" s="652"/>
      <c r="J115" s="679">
        <f>H115/DAY(B2)</f>
        <v>3.9310344827586206</v>
      </c>
      <c r="N115" s="908"/>
      <c r="O115" s="908"/>
    </row>
    <row r="116" spans="1:15" s="524" customFormat="1" ht="27" x14ac:dyDescent="0.5">
      <c r="A116" s="1406" t="s">
        <v>252</v>
      </c>
      <c r="B116" s="1407"/>
      <c r="C116" s="695"/>
      <c r="D116" s="743" t="s">
        <v>171</v>
      </c>
      <c r="E116" s="656"/>
      <c r="F116" s="777"/>
      <c r="G116" s="654">
        <f t="shared" si="13"/>
        <v>0</v>
      </c>
      <c r="H116" s="653">
        <f>SUM(G116+'[1]1'!G93)</f>
        <v>151</v>
      </c>
      <c r="I116" s="652"/>
      <c r="J116" s="679">
        <f>H116/DAY(B2)</f>
        <v>5.2068965517241379</v>
      </c>
      <c r="N116" s="908"/>
      <c r="O116" s="908"/>
    </row>
    <row r="117" spans="1:15" s="537" customFormat="1" ht="27" x14ac:dyDescent="0.5">
      <c r="A117" s="1409" t="s">
        <v>82</v>
      </c>
      <c r="B117" s="1410"/>
      <c r="C117" s="695"/>
      <c r="D117" s="744"/>
      <c r="E117" s="656"/>
      <c r="F117" s="777"/>
      <c r="G117" s="654">
        <f>SUM(G114:G116)</f>
        <v>11</v>
      </c>
      <c r="H117" s="653">
        <f>SUM(G117+'[1]1'!G95)</f>
        <v>58</v>
      </c>
      <c r="I117" s="654"/>
      <c r="J117" s="679">
        <f>H117/DAY(B2)</f>
        <v>2</v>
      </c>
      <c r="N117" s="908"/>
      <c r="O117" s="909"/>
    </row>
    <row r="118" spans="1:15" s="538" customFormat="1" ht="27" x14ac:dyDescent="0.5">
      <c r="A118" s="1437" t="s">
        <v>253</v>
      </c>
      <c r="B118" s="1438"/>
      <c r="C118" s="1362"/>
      <c r="D118" s="745" t="s">
        <v>171</v>
      </c>
      <c r="E118" s="656"/>
      <c r="F118" s="777">
        <f>SUM(G19+G92)</f>
        <v>113</v>
      </c>
      <c r="G118" s="656">
        <f>SUM(G19+G92)</f>
        <v>113</v>
      </c>
      <c r="H118" s="653">
        <f>SUM(G118+'[1]1'!G96)</f>
        <v>146</v>
      </c>
      <c r="I118" s="655"/>
      <c r="J118" s="680">
        <f>H118/DAY(B2)</f>
        <v>5.0344827586206895</v>
      </c>
      <c r="N118" s="908"/>
      <c r="O118" s="909"/>
    </row>
    <row r="119" spans="1:15" s="538" customFormat="1" ht="27" x14ac:dyDescent="0.5">
      <c r="A119" s="1437" t="s">
        <v>254</v>
      </c>
      <c r="B119" s="1438"/>
      <c r="C119" s="1362"/>
      <c r="D119" s="745" t="s">
        <v>171</v>
      </c>
      <c r="E119" s="656"/>
      <c r="F119" s="777">
        <f>SUM(G95,G96,G97,G99,G100)</f>
        <v>104</v>
      </c>
      <c r="G119" s="656">
        <f>SUM(G95,G96,G97,G99,G100)</f>
        <v>104</v>
      </c>
      <c r="H119" s="653">
        <f>SUM(G119+'[1]1'!G98)</f>
        <v>171</v>
      </c>
      <c r="I119" s="655"/>
      <c r="J119" s="680">
        <f>H119/DAY(B2)</f>
        <v>5.8965517241379306</v>
      </c>
      <c r="N119" s="908"/>
      <c r="O119" s="909"/>
    </row>
    <row r="120" spans="1:15" s="538" customFormat="1" ht="27" x14ac:dyDescent="0.5">
      <c r="A120" s="1437" t="s">
        <v>255</v>
      </c>
      <c r="B120" s="1438"/>
      <c r="C120" s="1362"/>
      <c r="D120" s="745" t="s">
        <v>171</v>
      </c>
      <c r="E120" s="656"/>
      <c r="F120" s="777">
        <f>SUM(G112)</f>
        <v>82</v>
      </c>
      <c r="G120" s="654">
        <f>SUM(G112)</f>
        <v>82</v>
      </c>
      <c r="H120" s="653">
        <f>SUM(G120+'[1]1'!G100)</f>
        <v>82</v>
      </c>
      <c r="I120" s="655"/>
      <c r="J120" s="680">
        <f>H120/DAY(B2)</f>
        <v>2.8275862068965516</v>
      </c>
      <c r="N120" s="908"/>
      <c r="O120" s="909"/>
    </row>
    <row r="121" spans="1:15" s="524" customFormat="1" ht="27" x14ac:dyDescent="0.5">
      <c r="A121" s="1439"/>
      <c r="B121" s="1440"/>
      <c r="C121" s="1363"/>
      <c r="D121" s="681"/>
      <c r="E121" s="904"/>
      <c r="F121" s="889" t="s">
        <v>143</v>
      </c>
      <c r="G121" s="681"/>
      <c r="H121" s="682"/>
      <c r="I121" s="681"/>
      <c r="J121" s="683"/>
      <c r="N121" s="908"/>
      <c r="O121" s="908"/>
    </row>
    <row r="122" spans="1:15" x14ac:dyDescent="0.5">
      <c r="A122" s="1389" t="s">
        <v>256</v>
      </c>
      <c r="B122" s="1390"/>
      <c r="C122" s="1391"/>
      <c r="D122" s="592"/>
      <c r="E122" s="875"/>
      <c r="F122" s="875"/>
      <c r="G122" s="603"/>
      <c r="H122" s="603"/>
      <c r="I122" s="603"/>
      <c r="J122" s="684"/>
      <c r="K122" s="408"/>
      <c r="L122" s="405"/>
    </row>
    <row r="123" spans="1:15" ht="27.75" x14ac:dyDescent="0.5">
      <c r="A123" s="1354" t="s">
        <v>257</v>
      </c>
      <c r="B123" s="1355"/>
      <c r="C123" s="1355"/>
      <c r="D123" s="643" t="s">
        <v>168</v>
      </c>
      <c r="E123" s="874">
        <f>'[1]28'!F123</f>
        <v>794669.43</v>
      </c>
      <c r="F123" s="874">
        <v>794918</v>
      </c>
      <c r="G123" s="593">
        <f t="shared" ref="G123:G127" si="14">F123-E123</f>
        <v>248.56999999994878</v>
      </c>
      <c r="H123" s="580">
        <f>G123+'[1]28'!H123</f>
        <v>6086.9300000000512</v>
      </c>
      <c r="I123" s="646"/>
      <c r="J123" s="673">
        <f>H123/DAY(B2)</f>
        <v>209.89413793103625</v>
      </c>
      <c r="K123" s="408"/>
      <c r="L123" s="405"/>
    </row>
    <row r="124" spans="1:15" ht="27.75" x14ac:dyDescent="0.5">
      <c r="A124" s="1354" t="s">
        <v>258</v>
      </c>
      <c r="B124" s="1355"/>
      <c r="C124" s="1355"/>
      <c r="D124" s="643" t="s">
        <v>168</v>
      </c>
      <c r="E124" s="890">
        <f>'[1]28'!F124</f>
        <v>73582</v>
      </c>
      <c r="F124" s="890">
        <v>73582.2</v>
      </c>
      <c r="G124" s="593">
        <f t="shared" si="14"/>
        <v>0.19999999999708962</v>
      </c>
      <c r="H124" s="580">
        <f>G124+'[1]28'!H124</f>
        <v>0</v>
      </c>
      <c r="I124" s="646"/>
      <c r="J124" s="673">
        <f>H124/DAY(B2)</f>
        <v>0</v>
      </c>
      <c r="K124" s="408"/>
      <c r="L124" s="405"/>
    </row>
    <row r="125" spans="1:15" ht="27.75" x14ac:dyDescent="0.5">
      <c r="A125" s="1395" t="s">
        <v>259</v>
      </c>
      <c r="B125" s="1396"/>
      <c r="C125" s="1397"/>
      <c r="D125" s="643" t="s">
        <v>168</v>
      </c>
      <c r="E125" s="874">
        <f>'[1]28'!F125</f>
        <v>135391.9</v>
      </c>
      <c r="F125" s="874">
        <v>135448</v>
      </c>
      <c r="G125" s="593">
        <f t="shared" si="14"/>
        <v>56.100000000005821</v>
      </c>
      <c r="H125" s="580">
        <f>G125+'[1]28'!H125</f>
        <v>2325.1199999999953</v>
      </c>
      <c r="I125" s="646"/>
      <c r="J125" s="673">
        <f>H125/DAY(B2)</f>
        <v>80.176551724137767</v>
      </c>
      <c r="K125" s="408"/>
      <c r="L125" s="405"/>
    </row>
    <row r="126" spans="1:15" ht="27.75" x14ac:dyDescent="0.5">
      <c r="A126" s="730" t="s">
        <v>260</v>
      </c>
      <c r="B126" s="1355"/>
      <c r="C126" s="1355"/>
      <c r="D126" s="643" t="s">
        <v>168</v>
      </c>
      <c r="E126" s="877">
        <f>'[1]28'!F126</f>
        <v>57258.1</v>
      </c>
      <c r="F126" s="877">
        <v>57308.800000000003</v>
      </c>
      <c r="G126" s="593">
        <f t="shared" si="14"/>
        <v>50.700000000004366</v>
      </c>
      <c r="H126" s="580">
        <f>G126+'[1]28'!H126</f>
        <v>960.60000000000582</v>
      </c>
      <c r="I126" s="646"/>
      <c r="J126" s="673">
        <f>H126/DAY(B2)</f>
        <v>33.124137931034682</v>
      </c>
      <c r="K126" s="408"/>
      <c r="L126" s="405"/>
    </row>
    <row r="127" spans="1:15" ht="27.75" x14ac:dyDescent="0.5">
      <c r="A127" s="730" t="s">
        <v>261</v>
      </c>
      <c r="B127" s="1355"/>
      <c r="C127" s="1355"/>
      <c r="D127" s="643" t="s">
        <v>168</v>
      </c>
      <c r="E127" s="890">
        <f>'[1]28'!F127</f>
        <v>8699</v>
      </c>
      <c r="F127" s="890">
        <v>8699</v>
      </c>
      <c r="G127" s="593">
        <f t="shared" si="14"/>
        <v>0</v>
      </c>
      <c r="H127" s="580">
        <f>G127+'[1]28'!H127</f>
        <v>58.899999999999636</v>
      </c>
      <c r="I127" s="600"/>
      <c r="J127" s="673">
        <f>H127/DAY(B2)</f>
        <v>2.0310344827586082</v>
      </c>
      <c r="K127" s="408"/>
      <c r="L127" s="405"/>
    </row>
    <row r="128" spans="1:15" s="278" customFormat="1" ht="27" x14ac:dyDescent="0.5">
      <c r="A128" s="730" t="s">
        <v>262</v>
      </c>
      <c r="B128" s="1355"/>
      <c r="C128" s="1355"/>
      <c r="D128" s="643"/>
      <c r="E128" s="874"/>
      <c r="F128" s="874"/>
      <c r="G128" s="593">
        <f>G15-SUM(G123:G127)</f>
        <v>334.48000000009051</v>
      </c>
      <c r="H128" s="580"/>
      <c r="I128" s="600"/>
      <c r="J128" s="673"/>
      <c r="K128" s="388"/>
      <c r="L128" s="290"/>
      <c r="N128" s="908"/>
      <c r="O128" s="908"/>
    </row>
    <row r="129" spans="1:12" x14ac:dyDescent="0.4">
      <c r="A129" s="731" t="s">
        <v>263</v>
      </c>
      <c r="B129" s="578"/>
      <c r="C129" s="578"/>
      <c r="D129" s="591"/>
      <c r="E129" s="615"/>
      <c r="F129" s="615"/>
      <c r="G129" s="661"/>
      <c r="H129" s="661"/>
      <c r="I129" s="661"/>
      <c r="J129" s="685"/>
    </row>
    <row r="130" spans="1:12" ht="27.75" x14ac:dyDescent="0.5">
      <c r="A130" s="1354" t="s">
        <v>264</v>
      </c>
      <c r="B130" s="1355"/>
      <c r="C130" s="1355"/>
      <c r="D130" s="643" t="s">
        <v>265</v>
      </c>
      <c r="E130" s="895">
        <f>'[1]28'!F130</f>
        <v>0</v>
      </c>
      <c r="F130" s="874">
        <v>0</v>
      </c>
      <c r="G130" s="593">
        <f t="shared" ref="G130:G140" si="15">F130-E130</f>
        <v>0</v>
      </c>
      <c r="H130" s="580">
        <f>G130+'[1]28'!H130</f>
        <v>0</v>
      </c>
      <c r="I130" s="600"/>
      <c r="J130" s="673">
        <f>H130/DAY(B2)</f>
        <v>0</v>
      </c>
    </row>
    <row r="131" spans="1:12" ht="27.75" x14ac:dyDescent="0.5">
      <c r="A131" s="1354" t="s">
        <v>266</v>
      </c>
      <c r="B131" s="1355"/>
      <c r="C131" s="1355"/>
      <c r="D131" s="643" t="s">
        <v>265</v>
      </c>
      <c r="E131" s="895">
        <f>'[1]28'!F131</f>
        <v>0</v>
      </c>
      <c r="F131" s="874">
        <v>0</v>
      </c>
      <c r="G131" s="593">
        <f t="shared" si="15"/>
        <v>0</v>
      </c>
      <c r="H131" s="580">
        <f>G131+'[1]28'!H131</f>
        <v>0</v>
      </c>
      <c r="I131" s="600"/>
      <c r="J131" s="673">
        <f>H131/DAY(B2)</f>
        <v>0</v>
      </c>
    </row>
    <row r="132" spans="1:12" ht="27.75" x14ac:dyDescent="0.5">
      <c r="A132" s="1354" t="s">
        <v>267</v>
      </c>
      <c r="B132" s="1355"/>
      <c r="C132" s="1355"/>
      <c r="D132" s="643" t="s">
        <v>265</v>
      </c>
      <c r="E132" s="906">
        <f>'[1]28'!F132</f>
        <v>38901</v>
      </c>
      <c r="F132" s="890">
        <v>38901</v>
      </c>
      <c r="G132" s="593">
        <f t="shared" si="15"/>
        <v>0</v>
      </c>
      <c r="H132" s="580">
        <f>G132+'[1]28'!H132</f>
        <v>0</v>
      </c>
      <c r="I132" s="600"/>
      <c r="J132" s="673">
        <f>H132/DAY(B2)</f>
        <v>0</v>
      </c>
    </row>
    <row r="133" spans="1:12" ht="27.75" x14ac:dyDescent="0.5">
      <c r="A133" s="1354" t="s">
        <v>268</v>
      </c>
      <c r="B133" s="1355"/>
      <c r="C133" s="1355"/>
      <c r="D133" s="643" t="s">
        <v>265</v>
      </c>
      <c r="E133" s="902">
        <f>'[1]28'!F133</f>
        <v>299</v>
      </c>
      <c r="F133" s="877">
        <v>299</v>
      </c>
      <c r="G133" s="593">
        <f t="shared" si="15"/>
        <v>0</v>
      </c>
      <c r="H133" s="580">
        <f>G133+'[1]28'!H133</f>
        <v>299</v>
      </c>
      <c r="I133" s="600">
        <f>G130+G131+G132+G133</f>
        <v>0</v>
      </c>
      <c r="J133" s="673">
        <f>H133/DAY(B2)</f>
        <v>10.310344827586206</v>
      </c>
    </row>
    <row r="134" spans="1:12" ht="27.75" x14ac:dyDescent="0.5">
      <c r="A134" s="1354" t="s">
        <v>269</v>
      </c>
      <c r="B134" s="1355"/>
      <c r="C134" s="1355"/>
      <c r="D134" s="643" t="s">
        <v>265</v>
      </c>
      <c r="E134" s="906">
        <f>'[1]28'!F134</f>
        <v>39735</v>
      </c>
      <c r="F134" s="890">
        <v>39735</v>
      </c>
      <c r="G134" s="593">
        <f t="shared" si="15"/>
        <v>0</v>
      </c>
      <c r="H134" s="580">
        <f>G134+'[1]28'!H134</f>
        <v>24</v>
      </c>
      <c r="I134" s="600"/>
      <c r="J134" s="673">
        <f>H134/DAY(B2)</f>
        <v>0.82758620689655171</v>
      </c>
    </row>
    <row r="135" spans="1:12" ht="27.75" x14ac:dyDescent="0.5">
      <c r="A135" s="1354" t="s">
        <v>270</v>
      </c>
      <c r="B135" s="1355"/>
      <c r="C135" s="1355"/>
      <c r="D135" s="643" t="s">
        <v>265</v>
      </c>
      <c r="E135" s="906">
        <f>'[1]28'!F135</f>
        <v>32095.18</v>
      </c>
      <c r="F135" s="890">
        <v>32119.26</v>
      </c>
      <c r="G135" s="593">
        <f t="shared" si="15"/>
        <v>24.079999999998108</v>
      </c>
      <c r="H135" s="580">
        <f>G135+'[1]28'!H135</f>
        <v>157.2599999999984</v>
      </c>
      <c r="I135" s="600"/>
      <c r="J135" s="673">
        <f>H135/DAY(B2)</f>
        <v>5.4227586206896001</v>
      </c>
    </row>
    <row r="136" spans="1:12" ht="27.75" x14ac:dyDescent="0.5">
      <c r="A136" s="1354" t="s">
        <v>271</v>
      </c>
      <c r="B136" s="1355"/>
      <c r="C136" s="1355"/>
      <c r="D136" s="643" t="s">
        <v>265</v>
      </c>
      <c r="E136" s="905">
        <f>'[1]28'!F136</f>
        <v>21789.55</v>
      </c>
      <c r="F136" s="881">
        <v>21795.37</v>
      </c>
      <c r="G136" s="593">
        <f t="shared" si="15"/>
        <v>5.819999999999709</v>
      </c>
      <c r="H136" s="580">
        <f>G136+'[1]28'!H136</f>
        <v>120.64999999999782</v>
      </c>
      <c r="I136" s="600">
        <f>G134+G135+G136</f>
        <v>29.899999999997817</v>
      </c>
      <c r="J136" s="673">
        <f>H136/DAY(B2)</f>
        <v>4.1603448275861314</v>
      </c>
    </row>
    <row r="137" spans="1:12" ht="27.75" x14ac:dyDescent="0.5">
      <c r="A137" s="1354" t="s">
        <v>272</v>
      </c>
      <c r="B137" s="1355"/>
      <c r="C137" s="1355"/>
      <c r="D137" s="643" t="s">
        <v>265</v>
      </c>
      <c r="E137" s="905">
        <f>'[1]28'!F137</f>
        <v>24982.87</v>
      </c>
      <c r="F137" s="881">
        <v>24982.87</v>
      </c>
      <c r="G137" s="593">
        <f t="shared" si="15"/>
        <v>0</v>
      </c>
      <c r="H137" s="580">
        <f>G137+'[1]28'!H137</f>
        <v>23.840000000000146</v>
      </c>
      <c r="I137" s="600"/>
      <c r="J137" s="673">
        <f>H137/DAY(B2)</f>
        <v>0.8220689655172464</v>
      </c>
    </row>
    <row r="138" spans="1:12" ht="27.75" x14ac:dyDescent="0.5">
      <c r="A138" s="1354" t="s">
        <v>273</v>
      </c>
      <c r="B138" s="1355"/>
      <c r="C138" s="1355"/>
      <c r="D138" s="643" t="s">
        <v>265</v>
      </c>
      <c r="E138" s="905">
        <f>'[1]28'!F138</f>
        <v>70006.37</v>
      </c>
      <c r="F138" s="881">
        <v>70006.37</v>
      </c>
      <c r="G138" s="593">
        <f t="shared" si="15"/>
        <v>0</v>
      </c>
      <c r="H138" s="580">
        <f>G138+'[1]28'!H138</f>
        <v>20.369999999995343</v>
      </c>
      <c r="I138" s="600">
        <f>G137+G138</f>
        <v>0</v>
      </c>
      <c r="J138" s="673">
        <f>H138/DAY(B2)</f>
        <v>0.70241379310328766</v>
      </c>
    </row>
    <row r="139" spans="1:12" ht="27.75" x14ac:dyDescent="0.5">
      <c r="A139" s="1354" t="s">
        <v>274</v>
      </c>
      <c r="B139" s="1355"/>
      <c r="C139" s="1355"/>
      <c r="D139" s="643" t="s">
        <v>265</v>
      </c>
      <c r="E139" s="902">
        <f>'[1]28'!F139</f>
        <v>1063</v>
      </c>
      <c r="F139" s="1316">
        <v>1063</v>
      </c>
      <c r="G139" s="593">
        <f t="shared" si="15"/>
        <v>0</v>
      </c>
      <c r="H139" s="580">
        <f>G139+'[1]28'!H139</f>
        <v>121.47000000000003</v>
      </c>
      <c r="I139" s="663"/>
      <c r="J139" s="673">
        <f>H139/DAY(B2)</f>
        <v>4.1886206896551732</v>
      </c>
    </row>
    <row r="140" spans="1:12" ht="27.75" x14ac:dyDescent="0.5">
      <c r="A140" s="1354" t="s">
        <v>275</v>
      </c>
      <c r="B140" s="1355"/>
      <c r="C140" s="1355"/>
      <c r="D140" s="643" t="s">
        <v>265</v>
      </c>
      <c r="E140" s="906">
        <f>'[1]28'!F140</f>
        <v>4207.57</v>
      </c>
      <c r="F140" s="890">
        <v>4215.7700000000004</v>
      </c>
      <c r="G140" s="593">
        <f t="shared" si="15"/>
        <v>8.2000000000007276</v>
      </c>
      <c r="H140" s="580">
        <f>G140+'[1]28'!H140</f>
        <v>58.8700000000008</v>
      </c>
      <c r="I140" s="663"/>
      <c r="J140" s="673">
        <f>H140/DAY(B2)</f>
        <v>2.0300000000000278</v>
      </c>
    </row>
    <row r="141" spans="1:12" x14ac:dyDescent="0.5">
      <c r="A141" s="1433" t="s">
        <v>276</v>
      </c>
      <c r="B141" s="1434"/>
      <c r="C141" s="1358"/>
      <c r="D141" s="592"/>
      <c r="E141" s="875"/>
      <c r="F141" s="875"/>
      <c r="G141" s="603"/>
      <c r="H141" s="603"/>
      <c r="I141" s="603"/>
      <c r="J141" s="684"/>
      <c r="K141" s="408"/>
      <c r="L141" s="405"/>
    </row>
    <row r="142" spans="1:12" ht="27.75" x14ac:dyDescent="0.5">
      <c r="A142" s="1398" t="s">
        <v>277</v>
      </c>
      <c r="B142" s="1399"/>
      <c r="C142" s="1400"/>
      <c r="D142" s="643" t="s">
        <v>159</v>
      </c>
      <c r="E142" s="580"/>
      <c r="F142" s="580"/>
      <c r="G142" s="580">
        <f>G35+G43+G49+G57</f>
        <v>4804.4400000000023</v>
      </c>
      <c r="H142" s="580">
        <f>G142+'[1]28'!H142</f>
        <v>144484.35299999992</v>
      </c>
      <c r="I142" s="600"/>
      <c r="J142" s="673">
        <f>H142/DAY(B2)</f>
        <v>4982.2190689655145</v>
      </c>
      <c r="K142" s="408"/>
      <c r="L142" s="405"/>
    </row>
    <row r="143" spans="1:12" ht="27.75" x14ac:dyDescent="0.5">
      <c r="A143" s="1398" t="s">
        <v>278</v>
      </c>
      <c r="B143" s="1399"/>
      <c r="C143" s="1400"/>
      <c r="D143" s="643" t="s">
        <v>38</v>
      </c>
      <c r="E143" s="590"/>
      <c r="F143" s="590"/>
      <c r="G143" s="664">
        <f>G142/G7</f>
        <v>0.27499513479480298</v>
      </c>
      <c r="H143" s="580">
        <f>G143+'[1]28'!H143</f>
        <v>7.0686414960888886</v>
      </c>
      <c r="I143" s="665"/>
      <c r="J143" s="673">
        <f>H143/DAY(B2)</f>
        <v>0.24374625848582374</v>
      </c>
      <c r="K143" s="408"/>
      <c r="L143" s="405"/>
    </row>
    <row r="144" spans="1:12" ht="27.75" x14ac:dyDescent="0.5">
      <c r="A144" s="1398" t="s">
        <v>279</v>
      </c>
      <c r="B144" s="1399"/>
      <c r="C144" s="1400"/>
      <c r="D144" s="643" t="s">
        <v>159</v>
      </c>
      <c r="E144" s="580"/>
      <c r="F144" s="580"/>
      <c r="G144" s="580">
        <f>G41+G42+G55+G56</f>
        <v>3152.1999999999825</v>
      </c>
      <c r="H144" s="580">
        <f>G144+'[1]28'!H144</f>
        <v>129156.60999999996</v>
      </c>
      <c r="I144" s="600"/>
      <c r="J144" s="673">
        <f>H144/DAY(B2)</f>
        <v>4453.67620689655</v>
      </c>
      <c r="K144" s="408"/>
      <c r="L144" s="405"/>
    </row>
    <row r="145" spans="1:12" ht="27.75" x14ac:dyDescent="0.5">
      <c r="A145" s="1398" t="s">
        <v>280</v>
      </c>
      <c r="B145" s="1399"/>
      <c r="C145" s="1400"/>
      <c r="D145" s="643" t="s">
        <v>38</v>
      </c>
      <c r="E145" s="580"/>
      <c r="F145" s="580"/>
      <c r="G145" s="664">
        <f>G144/G7</f>
        <v>0.18042470379485906</v>
      </c>
      <c r="H145" s="580">
        <f>G145+'[1]28'!H145</f>
        <v>6.4205883125792678</v>
      </c>
      <c r="I145" s="665"/>
      <c r="J145" s="673">
        <f>H145/DAY(B2)</f>
        <v>0.221399596985492</v>
      </c>
      <c r="K145" s="408"/>
      <c r="L145" s="405"/>
    </row>
    <row r="146" spans="1:12" ht="27.75" x14ac:dyDescent="0.5">
      <c r="A146" s="1398" t="s">
        <v>281</v>
      </c>
      <c r="B146" s="1399"/>
      <c r="C146" s="1400"/>
      <c r="D146" s="643" t="s">
        <v>159</v>
      </c>
      <c r="E146" s="580"/>
      <c r="F146" s="580"/>
      <c r="G146" s="580">
        <f>G39+G53</f>
        <v>3995.2099999999919</v>
      </c>
      <c r="H146" s="580">
        <f>G146+'[1]28'!H146</f>
        <v>122845.363</v>
      </c>
      <c r="I146" s="666"/>
      <c r="J146" s="673">
        <f>H146/DAY(B2)</f>
        <v>4236.0469999999996</v>
      </c>
      <c r="K146" s="408"/>
      <c r="L146" s="405"/>
    </row>
    <row r="147" spans="1:12" ht="27.75" x14ac:dyDescent="0.5">
      <c r="A147" s="1398" t="s">
        <v>282</v>
      </c>
      <c r="B147" s="1399"/>
      <c r="C147" s="1400"/>
      <c r="D147" s="643" t="s">
        <v>38</v>
      </c>
      <c r="E147" s="580"/>
      <c r="F147" s="580"/>
      <c r="G147" s="664">
        <f>G146/G7</f>
        <v>0.22867666418636551</v>
      </c>
      <c r="H147" s="580">
        <f>G147+'[1]28'!H147</f>
        <v>6.1529391730461294</v>
      </c>
      <c r="I147" s="666"/>
      <c r="J147" s="673">
        <f>H147/DAY(B2)</f>
        <v>0.2121703163119355</v>
      </c>
    </row>
    <row r="148" spans="1:12" ht="27.75" x14ac:dyDescent="0.5">
      <c r="A148" s="1398" t="s">
        <v>283</v>
      </c>
      <c r="B148" s="1399"/>
      <c r="C148" s="1400"/>
      <c r="D148" s="643" t="s">
        <v>210</v>
      </c>
      <c r="E148" s="580"/>
      <c r="F148" s="580"/>
      <c r="G148" s="580">
        <f>G38+G52</f>
        <v>1860.5599999999977</v>
      </c>
      <c r="H148" s="580">
        <f>G148+'[1]28'!H148</f>
        <v>58060.44</v>
      </c>
      <c r="I148" s="600"/>
      <c r="J148" s="673">
        <f>H148/DAY(B2)</f>
        <v>2002.0841379310345</v>
      </c>
      <c r="K148" s="409"/>
    </row>
    <row r="149" spans="1:12" ht="27.75" x14ac:dyDescent="0.5">
      <c r="A149" s="1398" t="s">
        <v>284</v>
      </c>
      <c r="B149" s="1399"/>
      <c r="C149" s="1400"/>
      <c r="D149" s="643" t="s">
        <v>38</v>
      </c>
      <c r="E149" s="580"/>
      <c r="F149" s="580"/>
      <c r="G149" s="664">
        <f>G148/G7</f>
        <v>0.10649419037261734</v>
      </c>
      <c r="H149" s="580">
        <f>G149+'[1]28'!H149</f>
        <v>2.9005935995533623</v>
      </c>
      <c r="I149" s="666"/>
      <c r="J149" s="673">
        <f>H149/DAY(B2)</f>
        <v>0.10002046895011595</v>
      </c>
    </row>
    <row r="150" spans="1:12" ht="27.75" x14ac:dyDescent="0.5">
      <c r="A150" s="1398" t="s">
        <v>285</v>
      </c>
      <c r="B150" s="1399"/>
      <c r="C150" s="1400"/>
      <c r="D150" s="643" t="s">
        <v>210</v>
      </c>
      <c r="E150" s="580"/>
      <c r="F150" s="580"/>
      <c r="G150" s="580">
        <f>G36+G50</f>
        <v>1593.8099999999977</v>
      </c>
      <c r="H150" s="580">
        <f>G150+'[1]28'!H150</f>
        <v>61595.989999999962</v>
      </c>
      <c r="I150" s="666"/>
      <c r="J150" s="673">
        <f>H150/DAY(B2)</f>
        <v>2123.9996551724125</v>
      </c>
    </row>
    <row r="151" spans="1:12" ht="27.75" x14ac:dyDescent="0.5">
      <c r="A151" s="1398" t="s">
        <v>286</v>
      </c>
      <c r="B151" s="1399"/>
      <c r="C151" s="1400"/>
      <c r="D151" s="643" t="s">
        <v>38</v>
      </c>
      <c r="E151" s="580"/>
      <c r="F151" s="580"/>
      <c r="G151" s="664">
        <f>G150/G7</f>
        <v>9.1226031709690208E-2</v>
      </c>
      <c r="H151" s="580">
        <f>G151+'[1]28'!H151</f>
        <v>3.06503610461517</v>
      </c>
      <c r="I151" s="600"/>
      <c r="J151" s="673">
        <f>H151/DAY(B2)</f>
        <v>0.10569090015914379</v>
      </c>
    </row>
    <row r="152" spans="1:12" ht="27.75" x14ac:dyDescent="0.5">
      <c r="A152" s="1398" t="s">
        <v>287</v>
      </c>
      <c r="B152" s="1399"/>
      <c r="C152" s="1400"/>
      <c r="D152" s="643" t="s">
        <v>210</v>
      </c>
      <c r="E152" s="580"/>
      <c r="F152" s="580"/>
      <c r="G152" s="580">
        <f>G37+G51</f>
        <v>1368.010000000002</v>
      </c>
      <c r="H152" s="580">
        <f>G152+'[1]28'!H152</f>
        <v>42516.512999999999</v>
      </c>
      <c r="I152" s="600"/>
      <c r="J152" s="673">
        <f>H152/DAY(B2)</f>
        <v>1466.0866551724137</v>
      </c>
    </row>
    <row r="153" spans="1:12" ht="28.5" thickBot="1" x14ac:dyDescent="0.55000000000000004">
      <c r="A153" s="1430" t="s">
        <v>288</v>
      </c>
      <c r="B153" s="1431"/>
      <c r="C153" s="1432"/>
      <c r="D153" s="746" t="s">
        <v>38</v>
      </c>
      <c r="E153" s="688"/>
      <c r="F153" s="688"/>
      <c r="G153" s="687">
        <f>G152/G7</f>
        <v>7.8301757197641916E-2</v>
      </c>
      <c r="H153" s="580">
        <f>G153+'[1]28'!H153</f>
        <v>2.2391970755732173</v>
      </c>
      <c r="I153" s="689"/>
      <c r="J153" s="690">
        <f>H153/DAY(B2)</f>
        <v>7.7213692261145425E-2</v>
      </c>
    </row>
    <row r="154" spans="1:12" x14ac:dyDescent="0.5">
      <c r="A154" s="586"/>
      <c r="B154" s="576"/>
      <c r="C154" s="576"/>
      <c r="D154" s="667"/>
      <c r="E154" s="669"/>
      <c r="F154" s="891"/>
      <c r="G154" s="667"/>
      <c r="H154" s="668"/>
      <c r="I154" s="667"/>
      <c r="J154" s="669"/>
    </row>
    <row r="160" spans="1:12" x14ac:dyDescent="0.5">
      <c r="A160" s="935" t="s">
        <v>289</v>
      </c>
      <c r="B160" s="936"/>
      <c r="C160" s="936"/>
      <c r="D160" s="741" t="s">
        <v>214</v>
      </c>
      <c r="E160" s="902">
        <f>'[1]28'!F160</f>
        <v>25866.16</v>
      </c>
      <c r="F160" s="944">
        <v>25936.87</v>
      </c>
      <c r="G160" s="593">
        <f t="shared" ref="G160:G171" si="16">F160-E160</f>
        <v>70.709999999999127</v>
      </c>
    </row>
    <row r="161" spans="1:7" x14ac:dyDescent="0.5">
      <c r="A161" s="935" t="s">
        <v>290</v>
      </c>
      <c r="B161" s="936"/>
      <c r="C161" s="936"/>
      <c r="D161" s="741" t="s">
        <v>214</v>
      </c>
      <c r="E161" s="902">
        <f>'[1]28'!F161</f>
        <v>27044.51</v>
      </c>
      <c r="F161" s="944">
        <v>27498.44</v>
      </c>
      <c r="G161" s="593">
        <f t="shared" si="16"/>
        <v>453.93000000000029</v>
      </c>
    </row>
    <row r="162" spans="1:7" x14ac:dyDescent="0.5">
      <c r="A162" s="935" t="s">
        <v>291</v>
      </c>
      <c r="B162" s="936"/>
      <c r="C162" s="936"/>
      <c r="D162" s="741" t="s">
        <v>214</v>
      </c>
      <c r="E162" s="902">
        <f>'[1]28'!F162</f>
        <v>3592.25</v>
      </c>
      <c r="F162" s="944">
        <v>3859.73</v>
      </c>
      <c r="G162" s="593">
        <f t="shared" si="16"/>
        <v>267.48</v>
      </c>
    </row>
    <row r="163" spans="1:7" x14ac:dyDescent="0.5">
      <c r="A163" s="935" t="s">
        <v>292</v>
      </c>
      <c r="B163" s="936"/>
      <c r="C163" s="936"/>
      <c r="D163" s="741" t="s">
        <v>214</v>
      </c>
      <c r="E163" s="902">
        <f>'[1]28'!F163</f>
        <v>4241.54</v>
      </c>
      <c r="F163" s="944">
        <v>4268.58</v>
      </c>
      <c r="G163" s="593">
        <f t="shared" si="16"/>
        <v>27.039999999999964</v>
      </c>
    </row>
    <row r="164" spans="1:7" x14ac:dyDescent="0.4">
      <c r="A164" s="937" t="s">
        <v>121</v>
      </c>
      <c r="B164" s="938"/>
      <c r="C164" s="938"/>
      <c r="D164" s="741" t="s">
        <v>214</v>
      </c>
      <c r="E164" s="634">
        <f>E62</f>
        <v>20419.187000000002</v>
      </c>
      <c r="F164" s="634">
        <f>F62</f>
        <v>20419.18</v>
      </c>
      <c r="G164" s="593">
        <f t="shared" si="16"/>
        <v>-7.0000000014260877E-3</v>
      </c>
    </row>
    <row r="165" spans="1:7" x14ac:dyDescent="0.4">
      <c r="A165" s="937" t="s">
        <v>215</v>
      </c>
      <c r="B165" s="938"/>
      <c r="C165" s="938"/>
      <c r="D165" s="741" t="s">
        <v>214</v>
      </c>
      <c r="E165" s="634">
        <f t="shared" ref="E165:F171" si="17">E63</f>
        <v>1095.27</v>
      </c>
      <c r="F165" s="634">
        <f t="shared" si="17"/>
        <v>1099</v>
      </c>
      <c r="G165" s="593">
        <f t="shared" si="16"/>
        <v>3.7300000000000182</v>
      </c>
    </row>
    <row r="166" spans="1:7" ht="27.75" x14ac:dyDescent="0.5">
      <c r="A166" s="1470" t="s">
        <v>122</v>
      </c>
      <c r="B166" s="1470"/>
      <c r="C166" s="1470"/>
      <c r="D166" s="644" t="s">
        <v>214</v>
      </c>
      <c r="E166" s="634">
        <f t="shared" si="17"/>
        <v>97142.92</v>
      </c>
      <c r="F166" s="634">
        <f t="shared" si="17"/>
        <v>97539.7</v>
      </c>
      <c r="G166" s="593">
        <f t="shared" si="16"/>
        <v>396.77999999999884</v>
      </c>
    </row>
    <row r="167" spans="1:7" ht="27.75" x14ac:dyDescent="0.5">
      <c r="A167" s="1470" t="s">
        <v>123</v>
      </c>
      <c r="B167" s="1470"/>
      <c r="C167" s="1470"/>
      <c r="D167" s="644" t="s">
        <v>214</v>
      </c>
      <c r="E167" s="634">
        <f t="shared" si="17"/>
        <v>107843.25</v>
      </c>
      <c r="F167" s="634">
        <f t="shared" si="17"/>
        <v>108244</v>
      </c>
      <c r="G167" s="593">
        <f t="shared" si="16"/>
        <v>400.75</v>
      </c>
    </row>
    <row r="168" spans="1:7" ht="27.75" x14ac:dyDescent="0.5">
      <c r="A168" s="1470" t="s">
        <v>124</v>
      </c>
      <c r="B168" s="1470"/>
      <c r="C168" s="1470"/>
      <c r="D168" s="644" t="s">
        <v>214</v>
      </c>
      <c r="E168" s="634">
        <f t="shared" si="17"/>
        <v>1270.8699999999999</v>
      </c>
      <c r="F168" s="634">
        <f t="shared" si="17"/>
        <v>1636</v>
      </c>
      <c r="G168" s="593">
        <f t="shared" si="16"/>
        <v>365.13000000000011</v>
      </c>
    </row>
    <row r="169" spans="1:7" ht="27.75" x14ac:dyDescent="0.5">
      <c r="A169" s="1470" t="s">
        <v>125</v>
      </c>
      <c r="B169" s="1470"/>
      <c r="C169" s="1470"/>
      <c r="D169" s="644" t="s">
        <v>214</v>
      </c>
      <c r="E169" s="634">
        <f t="shared" si="17"/>
        <v>166325.57</v>
      </c>
      <c r="F169" s="634">
        <f t="shared" si="17"/>
        <v>166962</v>
      </c>
      <c r="G169" s="593">
        <f t="shared" si="16"/>
        <v>636.42999999999302</v>
      </c>
    </row>
    <row r="170" spans="1:7" ht="27.75" x14ac:dyDescent="0.5">
      <c r="A170" s="1470" t="s">
        <v>126</v>
      </c>
      <c r="B170" s="1470"/>
      <c r="C170" s="1470"/>
      <c r="D170" s="644" t="s">
        <v>214</v>
      </c>
      <c r="E170" s="634">
        <f t="shared" si="17"/>
        <v>52764.22</v>
      </c>
      <c r="F170" s="634">
        <f t="shared" si="17"/>
        <v>53070</v>
      </c>
      <c r="G170" s="593">
        <f t="shared" si="16"/>
        <v>305.77999999999884</v>
      </c>
    </row>
    <row r="171" spans="1:7" ht="27.75" x14ac:dyDescent="0.5">
      <c r="A171" s="1470" t="s">
        <v>127</v>
      </c>
      <c r="B171" s="1470"/>
      <c r="C171" s="1470"/>
      <c r="D171" s="644" t="s">
        <v>214</v>
      </c>
      <c r="E171" s="634">
        <f t="shared" si="17"/>
        <v>45673.45</v>
      </c>
      <c r="F171" s="634">
        <f t="shared" si="17"/>
        <v>45958.9</v>
      </c>
      <c r="G171" s="593">
        <f t="shared" si="16"/>
        <v>285.45000000000437</v>
      </c>
    </row>
    <row r="172" spans="1:7" x14ac:dyDescent="0.5">
      <c r="A172" s="939"/>
      <c r="B172" s="940"/>
      <c r="C172" s="940"/>
      <c r="D172" s="941"/>
      <c r="E172" s="943"/>
      <c r="F172" s="1171"/>
      <c r="G172" s="943">
        <f>SUM(G160:G171)</f>
        <v>3213.2029999999932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zoomScale="60" zoomScaleNormal="55" workbookViewId="0">
      <selection activeCell="A79" sqref="A1:XFD1048576"/>
    </sheetView>
  </sheetViews>
  <sheetFormatPr defaultColWidth="22.33203125" defaultRowHeight="21.95" customHeight="1" x14ac:dyDescent="0.5"/>
  <cols>
    <col min="1" max="1" width="51.21875" style="574" customWidth="1"/>
    <col min="2" max="2" width="24.88671875" style="577" customWidth="1"/>
    <col min="3" max="3" width="15.88671875" style="577" customWidth="1"/>
    <col min="4" max="4" width="13.6640625" style="658" customWidth="1"/>
    <col min="5" max="5" width="26.33203125" style="658" customWidth="1"/>
    <col min="6" max="6" width="21.88671875" style="658" customWidth="1"/>
    <col min="7" max="7" width="23.33203125" style="658" customWidth="1"/>
    <col min="8" max="8" width="29.44140625" style="659" customWidth="1"/>
    <col min="9" max="9" width="20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2.33203125" style="404"/>
    <col min="15" max="15" width="22.33203125" style="405"/>
    <col min="16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297</v>
      </c>
      <c r="B2" s="1256">
        <v>44195</v>
      </c>
      <c r="C2" s="1361" t="s">
        <v>84</v>
      </c>
      <c r="D2" s="732">
        <v>0.3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  <c r="O2" s="290"/>
    </row>
    <row r="3" spans="1:15" s="278" customFormat="1" ht="27" x14ac:dyDescent="0.5">
      <c r="A3" s="691"/>
      <c r="B3" s="735"/>
      <c r="C3" s="1361" t="s">
        <v>147</v>
      </c>
      <c r="D3" s="733">
        <v>30</v>
      </c>
      <c r="E3" s="1646" t="s">
        <v>148</v>
      </c>
      <c r="F3" s="1646"/>
      <c r="G3" s="582"/>
      <c r="H3" s="583"/>
      <c r="I3" s="583"/>
      <c r="J3" s="736"/>
      <c r="K3" s="399"/>
      <c r="L3" s="290"/>
      <c r="O3" s="1163"/>
    </row>
    <row r="4" spans="1:15" s="278" customFormat="1" ht="27" x14ac:dyDescent="0.5">
      <c r="A4" s="697"/>
      <c r="B4" s="737"/>
      <c r="C4" s="1361" t="s">
        <v>149</v>
      </c>
      <c r="D4" s="732">
        <v>0.8</v>
      </c>
      <c r="E4" s="584"/>
      <c r="F4" s="584"/>
      <c r="G4" s="584"/>
      <c r="H4" s="584"/>
      <c r="I4" s="585"/>
      <c r="J4" s="736"/>
      <c r="K4" s="400"/>
      <c r="L4" s="290"/>
      <c r="O4" s="290"/>
    </row>
    <row r="5" spans="1:15" ht="21.95" customHeight="1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ht="21.95" customHeight="1" x14ac:dyDescent="0.4">
      <c r="A6" s="1647" t="s">
        <v>157</v>
      </c>
      <c r="B6" s="1648"/>
      <c r="C6" s="1648"/>
      <c r="D6" s="591"/>
      <c r="E6" s="591"/>
      <c r="F6" s="591"/>
      <c r="G6" s="591"/>
      <c r="H6" s="592"/>
      <c r="I6" s="592"/>
      <c r="J6" s="672"/>
      <c r="K6" s="507"/>
      <c r="L6" s="405"/>
      <c r="O6" s="1164"/>
    </row>
    <row r="7" spans="1:15" ht="21.95" customHeight="1" thickBot="1" x14ac:dyDescent="0.45">
      <c r="A7" s="699" t="s">
        <v>158</v>
      </c>
      <c r="B7" s="700"/>
      <c r="C7" s="700"/>
      <c r="D7" s="643" t="s">
        <v>159</v>
      </c>
      <c r="E7" s="575">
        <f>'[1]29'!F7</f>
        <v>3249158</v>
      </c>
      <c r="F7" s="575">
        <v>3267042</v>
      </c>
      <c r="G7" s="912">
        <f>F7-E7</f>
        <v>17884</v>
      </c>
      <c r="H7" s="580">
        <f>G7+'[1]29'!H7</f>
        <v>598597</v>
      </c>
      <c r="I7" s="594">
        <f>'[1]1'!I7</f>
        <v>12000</v>
      </c>
      <c r="J7" s="673">
        <f>H7/DAY(B2)</f>
        <v>19953.233333333334</v>
      </c>
      <c r="K7" s="670">
        <v>1375467</v>
      </c>
      <c r="L7" s="405"/>
      <c r="N7" s="522">
        <f>F7-'[1]1'!E7</f>
        <v>598597</v>
      </c>
      <c r="O7" s="947"/>
    </row>
    <row r="8" spans="1:15" ht="21.95" customHeight="1" thickBot="1" x14ac:dyDescent="0.45">
      <c r="A8" s="701" t="s">
        <v>160</v>
      </c>
      <c r="B8" s="702"/>
      <c r="C8" s="703"/>
      <c r="D8" s="738" t="s">
        <v>39</v>
      </c>
      <c r="E8" s="595">
        <f>'[1]29'!F8</f>
        <v>3268685</v>
      </c>
      <c r="F8" s="595">
        <v>3286777</v>
      </c>
      <c r="G8" s="596">
        <f>F8-E8</f>
        <v>18092</v>
      </c>
      <c r="H8" s="580">
        <f>G8+'[1]29'!H8</f>
        <v>603738</v>
      </c>
      <c r="I8" s="597"/>
      <c r="J8" s="673">
        <f>H8/DAY(B2)</f>
        <v>20124.599999999999</v>
      </c>
      <c r="K8" s="670">
        <v>1715917</v>
      </c>
      <c r="L8" s="460">
        <v>1728480</v>
      </c>
      <c r="M8" s="522">
        <f>L8-K8</f>
        <v>12563</v>
      </c>
      <c r="N8" s="522">
        <f>F8-'[1]1'!E8</f>
        <v>603738</v>
      </c>
      <c r="O8" s="947"/>
    </row>
    <row r="9" spans="1:15" ht="21.95" customHeight="1" x14ac:dyDescent="0.4">
      <c r="A9" s="704" t="s">
        <v>161</v>
      </c>
      <c r="B9" s="705"/>
      <c r="C9" s="705"/>
      <c r="D9" s="643" t="s">
        <v>159</v>
      </c>
      <c r="E9" s="575">
        <f>'[1]29'!F9</f>
        <v>2400101</v>
      </c>
      <c r="F9" s="598">
        <v>2402681.7000000002</v>
      </c>
      <c r="G9" s="593">
        <f t="shared" ref="G9:G12" si="0">F9-E9</f>
        <v>2580.7000000001863</v>
      </c>
      <c r="H9" s="580">
        <f>G9+'[1]29'!H9</f>
        <v>145645.20000000019</v>
      </c>
      <c r="I9" s="599">
        <f>I7-J7</f>
        <v>-7953.2333333333336</v>
      </c>
      <c r="J9" s="673">
        <f>H9/DAY(B2)</f>
        <v>4854.8400000000065</v>
      </c>
      <c r="K9" s="508">
        <f>K8-100</f>
        <v>1715817</v>
      </c>
      <c r="L9" s="405"/>
      <c r="N9" s="522">
        <f>F9-'[1]1'!E9</f>
        <v>145645.20000000019</v>
      </c>
      <c r="O9" s="947"/>
    </row>
    <row r="10" spans="1:15" ht="21.95" customHeight="1" x14ac:dyDescent="0.4">
      <c r="A10" s="699" t="s">
        <v>162</v>
      </c>
      <c r="B10" s="700"/>
      <c r="C10" s="700"/>
      <c r="D10" s="643" t="s">
        <v>159</v>
      </c>
      <c r="E10" s="575">
        <f>'[1]29'!F10</f>
        <v>719746.63</v>
      </c>
      <c r="F10" s="598">
        <v>734379.59</v>
      </c>
      <c r="G10" s="593">
        <f t="shared" si="0"/>
        <v>14632.959999999963</v>
      </c>
      <c r="H10" s="580">
        <f>G10+'[1]29'!H10</f>
        <v>431429.3</v>
      </c>
      <c r="I10" s="600"/>
      <c r="J10" s="673">
        <f>H10/DAY(B2)</f>
        <v>14380.976666666666</v>
      </c>
      <c r="K10" s="508"/>
      <c r="L10" s="405"/>
      <c r="N10" s="522">
        <f>F10-'[1]1'!E10</f>
        <v>431429.3</v>
      </c>
      <c r="O10" s="947"/>
    </row>
    <row r="11" spans="1:15" ht="21.95" customHeight="1" x14ac:dyDescent="0.4">
      <c r="A11" s="699" t="s">
        <v>163</v>
      </c>
      <c r="B11" s="700"/>
      <c r="C11" s="700"/>
      <c r="D11" s="643" t="s">
        <v>159</v>
      </c>
      <c r="E11" s="575">
        <f>'[1]29'!F11</f>
        <v>35390</v>
      </c>
      <c r="F11" s="575">
        <v>35390</v>
      </c>
      <c r="G11" s="593">
        <f t="shared" si="0"/>
        <v>0</v>
      </c>
      <c r="H11" s="580">
        <f>G11+'[1]29'!H11</f>
        <v>0</v>
      </c>
      <c r="I11" s="600"/>
      <c r="J11" s="673">
        <f>H11/DAY(B2)</f>
        <v>0</v>
      </c>
      <c r="K11" s="508"/>
      <c r="L11" s="405"/>
      <c r="N11" s="522">
        <f>F11-'[1]1'!E11</f>
        <v>0</v>
      </c>
      <c r="O11" s="947"/>
    </row>
    <row r="12" spans="1:15" ht="21.95" customHeight="1" x14ac:dyDescent="0.4">
      <c r="A12" s="699" t="s">
        <v>164</v>
      </c>
      <c r="B12" s="700"/>
      <c r="C12" s="700"/>
      <c r="D12" s="643" t="s">
        <v>159</v>
      </c>
      <c r="E12" s="575">
        <f>'[1]29'!F12</f>
        <v>37630</v>
      </c>
      <c r="F12" s="598">
        <v>37630</v>
      </c>
      <c r="G12" s="593">
        <f t="shared" si="0"/>
        <v>0</v>
      </c>
      <c r="H12" s="580">
        <f>G12+'[1]29'!H12</f>
        <v>0</v>
      </c>
      <c r="I12" s="600"/>
      <c r="J12" s="673">
        <f>H12/DAY(B2)</f>
        <v>0</v>
      </c>
      <c r="K12" s="508"/>
      <c r="L12" s="405"/>
      <c r="N12" s="522">
        <f>F12-'[1]1'!E12</f>
        <v>0</v>
      </c>
      <c r="O12" s="947"/>
    </row>
    <row r="13" spans="1:15" ht="21.95" customHeight="1" x14ac:dyDescent="0.5">
      <c r="A13" s="706" t="s">
        <v>165</v>
      </c>
      <c r="B13" s="707"/>
      <c r="C13" s="707"/>
      <c r="D13" s="643"/>
      <c r="E13" s="575"/>
      <c r="F13" s="575"/>
      <c r="G13" s="601">
        <f>G9+G10+G11+G12</f>
        <v>17213.660000000149</v>
      </c>
      <c r="H13" s="580">
        <f>G13+'[1]29'!H13</f>
        <v>555215.19000000018</v>
      </c>
      <c r="I13" s="602">
        <f>G7-G13</f>
        <v>670.33999999985099</v>
      </c>
      <c r="J13" s="673">
        <f>H13/DAY(B2)</f>
        <v>18507.173000000006</v>
      </c>
      <c r="K13" s="508"/>
      <c r="L13" s="405"/>
      <c r="N13" s="522">
        <f>F13-'[1]1'!E13</f>
        <v>0</v>
      </c>
      <c r="O13" s="947"/>
    </row>
    <row r="14" spans="1:15" ht="29.25" x14ac:dyDescent="0.5">
      <c r="A14" s="1640" t="s">
        <v>166</v>
      </c>
      <c r="B14" s="1641"/>
      <c r="C14" s="1641"/>
      <c r="D14" s="592"/>
      <c r="E14" s="592"/>
      <c r="F14" s="592"/>
      <c r="G14" s="603"/>
      <c r="H14" s="592"/>
      <c r="I14" s="592"/>
      <c r="J14" s="672"/>
      <c r="K14" s="509"/>
      <c r="L14" s="405"/>
      <c r="N14" s="522">
        <f>F14-'[1]1'!E14</f>
        <v>0</v>
      </c>
      <c r="O14" s="947"/>
    </row>
    <row r="15" spans="1:15" ht="21.95" customHeight="1" x14ac:dyDescent="0.5">
      <c r="A15" s="1354" t="s">
        <v>167</v>
      </c>
      <c r="B15" s="710"/>
      <c r="C15" s="710"/>
      <c r="D15" s="643" t="s">
        <v>168</v>
      </c>
      <c r="E15" s="575">
        <f>'[1]29'!F15</f>
        <v>1567360</v>
      </c>
      <c r="F15" s="604">
        <v>1568146</v>
      </c>
      <c r="G15" s="912">
        <f>(F15-E15)</f>
        <v>786</v>
      </c>
      <c r="H15" s="580">
        <f>G15+'[1]29'!H15</f>
        <v>21248.398999999976</v>
      </c>
      <c r="I15" s="594">
        <f>'[1]1'!I15</f>
        <v>800</v>
      </c>
      <c r="J15" s="673">
        <f>H15/DAY(B2)</f>
        <v>708.27996666666581</v>
      </c>
      <c r="K15" s="508"/>
      <c r="L15" s="405"/>
      <c r="N15" s="522">
        <f>F15-'[1]1'!E15</f>
        <v>21248.398999999976</v>
      </c>
      <c r="O15" s="947"/>
    </row>
    <row r="16" spans="1:15" ht="21.95" customHeight="1" x14ac:dyDescent="0.4">
      <c r="A16" s="708"/>
      <c r="B16" s="709"/>
      <c r="C16" s="709"/>
      <c r="D16" s="644"/>
      <c r="E16" s="605"/>
      <c r="F16" s="605"/>
      <c r="G16" s="593"/>
      <c r="H16" s="606"/>
      <c r="I16" s="607">
        <f>I15-J15</f>
        <v>91.720033333334186</v>
      </c>
      <c r="J16" s="674"/>
      <c r="K16" s="508"/>
      <c r="L16" s="405"/>
      <c r="N16" s="522">
        <f>F16-'[1]1'!E16</f>
        <v>0</v>
      </c>
      <c r="O16" s="947"/>
    </row>
    <row r="17" spans="1:15" ht="29.25" x14ac:dyDescent="0.5">
      <c r="A17" s="1640" t="s">
        <v>169</v>
      </c>
      <c r="B17" s="1641"/>
      <c r="C17" s="1641"/>
      <c r="D17" s="592"/>
      <c r="E17" s="592"/>
      <c r="F17" s="592"/>
      <c r="G17" s="608"/>
      <c r="H17" s="592"/>
      <c r="I17" s="592"/>
      <c r="J17" s="672"/>
      <c r="K17" s="508"/>
      <c r="L17" s="405"/>
      <c r="N17" s="522">
        <f>F17-'[1]1'!E17</f>
        <v>0</v>
      </c>
      <c r="O17" s="947"/>
    </row>
    <row r="18" spans="1:15" ht="27.75" x14ac:dyDescent="0.5">
      <c r="A18" s="1622" t="s">
        <v>170</v>
      </c>
      <c r="B18" s="1623"/>
      <c r="C18" s="1623"/>
      <c r="D18" s="643" t="s">
        <v>171</v>
      </c>
      <c r="E18" s="575">
        <f>'[1]29'!F18</f>
        <v>11</v>
      </c>
      <c r="F18" s="604">
        <v>12</v>
      </c>
      <c r="G18" s="601">
        <f>F18*10</f>
        <v>120</v>
      </c>
      <c r="H18" s="580">
        <f>G18+'[1]29'!H18</f>
        <v>4100</v>
      </c>
      <c r="I18" s="594">
        <f>'[1]1'!I18</f>
        <v>65</v>
      </c>
      <c r="J18" s="673">
        <f>H18/DAY(B2)</f>
        <v>136.66666666666666</v>
      </c>
      <c r="K18" s="508"/>
      <c r="L18" s="405"/>
      <c r="N18" s="522">
        <f>F18-'[1]1'!E18</f>
        <v>-1</v>
      </c>
      <c r="O18" s="947"/>
    </row>
    <row r="19" spans="1:15" ht="27.75" x14ac:dyDescent="0.5">
      <c r="A19" s="1622" t="s">
        <v>86</v>
      </c>
      <c r="B19" s="1623"/>
      <c r="C19" s="1623"/>
      <c r="D19" s="643" t="s">
        <v>171</v>
      </c>
      <c r="E19" s="575">
        <f>'[1]29'!F19</f>
        <v>131385</v>
      </c>
      <c r="F19" s="604">
        <v>131439</v>
      </c>
      <c r="G19" s="593">
        <f t="shared" ref="G19" si="1">F19-E19</f>
        <v>54</v>
      </c>
      <c r="H19" s="580">
        <f>G19+'[1]29'!H19</f>
        <v>1638</v>
      </c>
      <c r="I19" s="609"/>
      <c r="J19" s="673">
        <f>H19/DAY(B2)</f>
        <v>54.6</v>
      </c>
      <c r="K19" s="508"/>
      <c r="L19" s="405"/>
      <c r="N19" s="522">
        <f>F19-'[1]1'!E19</f>
        <v>1638</v>
      </c>
      <c r="O19" s="947"/>
    </row>
    <row r="20" spans="1:15" ht="21.95" customHeight="1" x14ac:dyDescent="0.5">
      <c r="A20" s="706" t="s">
        <v>172</v>
      </c>
      <c r="B20" s="707"/>
      <c r="C20" s="707"/>
      <c r="D20" s="610"/>
      <c r="E20" s="610"/>
      <c r="F20" s="610"/>
      <c r="G20" s="1162">
        <f>G18+G19</f>
        <v>174</v>
      </c>
      <c r="H20" s="580">
        <f>G20+'[1]29'!H20</f>
        <v>5738</v>
      </c>
      <c r="I20" s="612">
        <f>I18-J20</f>
        <v>-126.26666666666668</v>
      </c>
      <c r="J20" s="673">
        <f>H20/DAY(B2)</f>
        <v>191.26666666666668</v>
      </c>
      <c r="K20" s="508"/>
      <c r="L20" s="405"/>
      <c r="N20" s="522">
        <f>F20-'[1]1'!E20</f>
        <v>0</v>
      </c>
      <c r="O20" s="947"/>
    </row>
    <row r="21" spans="1:15" ht="29.25" x14ac:dyDescent="0.5">
      <c r="A21" s="1640" t="s">
        <v>173</v>
      </c>
      <c r="B21" s="1641"/>
      <c r="C21" s="1641"/>
      <c r="D21" s="592"/>
      <c r="E21" s="592"/>
      <c r="F21" s="592"/>
      <c r="G21" s="603"/>
      <c r="H21" s="592"/>
      <c r="I21" s="592"/>
      <c r="J21" s="672"/>
      <c r="K21" s="508"/>
      <c r="L21" s="405"/>
      <c r="N21" s="522">
        <f>F21-'[1]1'!E21</f>
        <v>0</v>
      </c>
      <c r="O21" s="947"/>
    </row>
    <row r="22" spans="1:15" ht="21.95" customHeight="1" x14ac:dyDescent="0.5">
      <c r="A22" s="1354" t="s">
        <v>174</v>
      </c>
      <c r="B22" s="710"/>
      <c r="C22" s="710"/>
      <c r="D22" s="643" t="s">
        <v>175</v>
      </c>
      <c r="E22" s="604">
        <v>2250</v>
      </c>
      <c r="F22" s="604">
        <v>2250</v>
      </c>
      <c r="G22" s="601">
        <f t="shared" ref="G22" si="2">(F22-E22)</f>
        <v>0</v>
      </c>
      <c r="H22" s="580">
        <f>G22+'[1]29'!H22</f>
        <v>0</v>
      </c>
      <c r="I22" s="600"/>
      <c r="J22" s="673">
        <f>H22/DAY(B2)</f>
        <v>0</v>
      </c>
      <c r="K22" s="508"/>
      <c r="L22" s="405"/>
      <c r="N22" s="522">
        <f>F22-'[1]1'!E22</f>
        <v>0</v>
      </c>
      <c r="O22" s="947"/>
    </row>
    <row r="23" spans="1:15" ht="21.95" customHeight="1" x14ac:dyDescent="0.5">
      <c r="A23" s="1354" t="s">
        <v>176</v>
      </c>
      <c r="B23" s="710"/>
      <c r="C23" s="710"/>
      <c r="D23" s="643" t="s">
        <v>175</v>
      </c>
      <c r="E23" s="604">
        <v>2000</v>
      </c>
      <c r="F23" s="604">
        <v>2000</v>
      </c>
      <c r="G23" s="601">
        <v>0</v>
      </c>
      <c r="H23" s="580">
        <f>G23+'[1]29'!H23</f>
        <v>0</v>
      </c>
      <c r="I23" s="600"/>
      <c r="J23" s="673">
        <f>H23/DAY(B2)</f>
        <v>0</v>
      </c>
      <c r="K23" s="508"/>
      <c r="L23" s="405"/>
      <c r="N23" s="522">
        <f>F23-'[1]1'!E23</f>
        <v>0</v>
      </c>
      <c r="O23" s="947"/>
    </row>
    <row r="24" spans="1:15" ht="21.95" customHeight="1" x14ac:dyDescent="0.4">
      <c r="A24" s="711" t="s">
        <v>177</v>
      </c>
      <c r="B24" s="712"/>
      <c r="C24" s="712"/>
      <c r="D24" s="631" t="s">
        <v>175</v>
      </c>
      <c r="E24" s="613">
        <v>4250</v>
      </c>
      <c r="F24" s="613">
        <v>4250</v>
      </c>
      <c r="G24" s="601">
        <v>0</v>
      </c>
      <c r="H24" s="580">
        <f>G24+'[1]29'!H24</f>
        <v>0</v>
      </c>
      <c r="I24" s="600"/>
      <c r="J24" s="673">
        <f>H24/DAY(B2)</f>
        <v>0</v>
      </c>
      <c r="K24" s="508"/>
      <c r="L24" s="405"/>
      <c r="N24" s="522">
        <f>F24-'[1]1'!E24</f>
        <v>0</v>
      </c>
      <c r="O24" s="947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522">
        <f>F25-'[1]1'!E25</f>
        <v>0</v>
      </c>
      <c r="O25" s="947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617"/>
      <c r="G26" s="618"/>
      <c r="H26" s="580"/>
      <c r="I26" s="619"/>
      <c r="J26" s="673"/>
      <c r="K26" s="402"/>
      <c r="L26" s="527"/>
      <c r="N26" s="522">
        <f>F26-'[1]1'!E26</f>
        <v>0</v>
      </c>
      <c r="O26" s="947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620">
        <f>G8</f>
        <v>18092</v>
      </c>
      <c r="F27" s="621">
        <v>9.5</v>
      </c>
      <c r="G27" s="1165">
        <f>E27*F27</f>
        <v>171874</v>
      </c>
      <c r="H27" s="580">
        <f>G27+'[1]29'!H27</f>
        <v>5735511</v>
      </c>
      <c r="I27" s="623"/>
      <c r="J27" s="673">
        <f>H27/DAY(B2)</f>
        <v>191183.7</v>
      </c>
      <c r="K27" s="401"/>
      <c r="L27" s="527"/>
      <c r="N27" s="522"/>
      <c r="O27" s="947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624">
        <f>G15</f>
        <v>786</v>
      </c>
      <c r="F28" s="621">
        <v>36.5</v>
      </c>
      <c r="G28" s="1165">
        <f>E28*F28</f>
        <v>28689</v>
      </c>
      <c r="H28" s="580">
        <f>G28+'[1]29'!H28</f>
        <v>775566.56349999912</v>
      </c>
      <c r="I28" s="625"/>
      <c r="J28" s="673">
        <f>H28/DAY(B2)</f>
        <v>25852.218783333305</v>
      </c>
      <c r="K28" s="401"/>
      <c r="L28" s="527"/>
      <c r="N28" s="522"/>
      <c r="O28" s="947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626">
        <f>G24</f>
        <v>0</v>
      </c>
      <c r="F29" s="621">
        <v>69</v>
      </c>
      <c r="G29" s="1165">
        <f>E29*F29</f>
        <v>0</v>
      </c>
      <c r="H29" s="580">
        <f>G29+'[1]29'!H29</f>
        <v>0</v>
      </c>
      <c r="I29" s="625"/>
      <c r="J29" s="673">
        <f>H29/DAY(B2)</f>
        <v>0</v>
      </c>
      <c r="K29" s="401"/>
      <c r="L29" s="527"/>
      <c r="N29" s="522"/>
      <c r="O29" s="947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626">
        <f>G19</f>
        <v>54</v>
      </c>
      <c r="F30" s="621">
        <v>145</v>
      </c>
      <c r="G30" s="1165">
        <f>E30*F30</f>
        <v>7830</v>
      </c>
      <c r="H30" s="580">
        <f>G30+'[1]29'!H30</f>
        <v>237510</v>
      </c>
      <c r="I30" s="625"/>
      <c r="J30" s="673">
        <f>H30/DAY(B2)</f>
        <v>7917</v>
      </c>
      <c r="K30" s="401"/>
      <c r="L30" s="527"/>
      <c r="N30" s="522"/>
      <c r="O30" s="947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626">
        <f>G18</f>
        <v>120</v>
      </c>
      <c r="F31" s="621">
        <v>80</v>
      </c>
      <c r="G31" s="1165">
        <f>E31*F31</f>
        <v>9600</v>
      </c>
      <c r="H31" s="580">
        <f>G31+'[1]29'!H31</f>
        <v>326400</v>
      </c>
      <c r="I31" s="625"/>
      <c r="J31" s="673"/>
      <c r="K31" s="401"/>
      <c r="L31" s="527"/>
      <c r="N31" s="522"/>
      <c r="O31" s="947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627"/>
      <c r="G32" s="628">
        <f>G27+G28+G29+G30+G31</f>
        <v>217993</v>
      </c>
      <c r="H32" s="580">
        <f>G32+'[1]29'!H32</f>
        <v>7074987.5634999992</v>
      </c>
      <c r="I32" s="629"/>
      <c r="J32" s="673">
        <f>H32/DAY(B2)</f>
        <v>235832.9187833333</v>
      </c>
      <c r="K32" s="401"/>
      <c r="L32" s="527"/>
      <c r="N32" s="522"/>
      <c r="O32" s="947"/>
    </row>
    <row r="33" spans="1:15" ht="25.5" x14ac:dyDescent="0.35">
      <c r="A33" s="1642" t="s">
        <v>189</v>
      </c>
      <c r="B33" s="1643"/>
      <c r="C33" s="1643"/>
      <c r="D33" s="1643"/>
      <c r="E33" s="1643"/>
      <c r="F33" s="1643"/>
      <c r="G33" s="1643"/>
      <c r="H33" s="1643"/>
      <c r="I33" s="1643"/>
      <c r="J33" s="1644"/>
      <c r="K33" s="508"/>
      <c r="L33" s="405"/>
      <c r="N33" s="522"/>
      <c r="O33" s="947"/>
    </row>
    <row r="34" spans="1:15" ht="21.95" customHeight="1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522"/>
      <c r="O34" s="947"/>
    </row>
    <row r="35" spans="1:15" ht="21.95" customHeight="1" x14ac:dyDescent="0.4">
      <c r="A35" s="699" t="s">
        <v>191</v>
      </c>
      <c r="B35" s="700"/>
      <c r="C35" s="700"/>
      <c r="D35" s="643" t="s">
        <v>159</v>
      </c>
      <c r="E35" s="575">
        <f>'[1]29'!F35</f>
        <v>629027</v>
      </c>
      <c r="F35" s="630">
        <v>629027</v>
      </c>
      <c r="G35" s="593">
        <f t="shared" ref="G35:G46" si="3">F35-E35</f>
        <v>0</v>
      </c>
      <c r="H35" s="580">
        <f>G35+'[1]29'!H35</f>
        <v>0</v>
      </c>
      <c r="I35" s="575"/>
      <c r="J35" s="673">
        <f>H35/DAY(B2)</f>
        <v>0</v>
      </c>
      <c r="K35" s="508"/>
      <c r="L35" s="405"/>
      <c r="N35" s="522">
        <f>F35-'[1]1'!E35</f>
        <v>-0.67000000004190952</v>
      </c>
      <c r="O35" s="947"/>
    </row>
    <row r="36" spans="1:15" ht="21.95" customHeight="1" x14ac:dyDescent="0.4">
      <c r="A36" s="699" t="s">
        <v>192</v>
      </c>
      <c r="B36" s="700"/>
      <c r="C36" s="700"/>
      <c r="D36" s="643" t="s">
        <v>159</v>
      </c>
      <c r="E36" s="575">
        <f>'[1]29'!F36</f>
        <v>253713.81</v>
      </c>
      <c r="F36" s="630">
        <v>254422.49</v>
      </c>
      <c r="G36" s="593">
        <f t="shared" si="3"/>
        <v>708.67999999999302</v>
      </c>
      <c r="H36" s="580">
        <f>G36+'[1]29'!H36</f>
        <v>25336.75999999998</v>
      </c>
      <c r="I36" s="575"/>
      <c r="J36" s="673">
        <f>H36/DAY(B2)</f>
        <v>844.558666666666</v>
      </c>
      <c r="K36" s="508"/>
      <c r="L36" s="405"/>
      <c r="N36" s="522">
        <f>F36-'[1]1'!E36</f>
        <v>25336.75999999998</v>
      </c>
      <c r="O36" s="947"/>
    </row>
    <row r="37" spans="1:15" ht="21.95" customHeight="1" x14ac:dyDescent="0.4">
      <c r="A37" s="699" t="s">
        <v>193</v>
      </c>
      <c r="B37" s="700"/>
      <c r="C37" s="700"/>
      <c r="D37" s="643" t="s">
        <v>159</v>
      </c>
      <c r="E37" s="575">
        <f>'[1]29'!F37</f>
        <v>415066</v>
      </c>
      <c r="F37" s="630">
        <v>415066</v>
      </c>
      <c r="G37" s="593">
        <f t="shared" si="3"/>
        <v>0</v>
      </c>
      <c r="H37" s="580">
        <f>G37+'[1]29'!H37</f>
        <v>0</v>
      </c>
      <c r="I37" s="575"/>
      <c r="J37" s="673">
        <f>H37/DAY(B2)</f>
        <v>0</v>
      </c>
      <c r="K37" s="508"/>
      <c r="L37" s="405"/>
      <c r="N37" s="522">
        <f>F37-'[1]1'!E37</f>
        <v>0</v>
      </c>
      <c r="O37" s="947"/>
    </row>
    <row r="38" spans="1:15" ht="21.95" customHeight="1" x14ac:dyDescent="0.4">
      <c r="A38" s="699" t="s">
        <v>194</v>
      </c>
      <c r="B38" s="700"/>
      <c r="C38" s="700"/>
      <c r="D38" s="643" t="s">
        <v>159</v>
      </c>
      <c r="E38" s="575">
        <f>'[1]29'!F38</f>
        <v>150714</v>
      </c>
      <c r="F38" s="589">
        <v>150714</v>
      </c>
      <c r="G38" s="593">
        <f t="shared" si="3"/>
        <v>0</v>
      </c>
      <c r="H38" s="580">
        <f>G38+'[1]29'!H38</f>
        <v>0</v>
      </c>
      <c r="I38" s="575"/>
      <c r="J38" s="673">
        <f>H38/DAY(B2)</f>
        <v>0</v>
      </c>
      <c r="K38" s="508"/>
      <c r="L38" s="405"/>
      <c r="N38" s="522"/>
      <c r="O38" s="947"/>
    </row>
    <row r="39" spans="1:15" ht="21.95" customHeight="1" x14ac:dyDescent="0.4">
      <c r="A39" s="699" t="s">
        <v>195</v>
      </c>
      <c r="B39" s="700"/>
      <c r="C39" s="700"/>
      <c r="D39" s="643" t="s">
        <v>159</v>
      </c>
      <c r="E39" s="575">
        <f>'[1]29'!F39</f>
        <v>912480</v>
      </c>
      <c r="F39" s="630">
        <v>912480</v>
      </c>
      <c r="G39" s="593">
        <f t="shared" si="3"/>
        <v>0</v>
      </c>
      <c r="H39" s="580">
        <f>G39+'[1]29'!H39</f>
        <v>0</v>
      </c>
      <c r="I39" s="575"/>
      <c r="J39" s="673">
        <f>H39/DAY(B2)</f>
        <v>0</v>
      </c>
      <c r="K39" s="508"/>
      <c r="L39" s="405"/>
      <c r="N39" s="522">
        <f>F39-'[1]1'!E39</f>
        <v>0</v>
      </c>
      <c r="O39" s="947"/>
    </row>
    <row r="40" spans="1:15" ht="21.95" customHeight="1" x14ac:dyDescent="0.4">
      <c r="A40" s="720" t="s">
        <v>196</v>
      </c>
      <c r="B40" s="721"/>
      <c r="C40" s="721"/>
      <c r="D40" s="643" t="s">
        <v>159</v>
      </c>
      <c r="E40" s="575">
        <f>'[1]29'!F40</f>
        <v>0</v>
      </c>
      <c r="F40" s="630">
        <v>0</v>
      </c>
      <c r="G40" s="593">
        <f t="shared" si="3"/>
        <v>0</v>
      </c>
      <c r="H40" s="580">
        <f>G40+'[1]29'!H40</f>
        <v>0</v>
      </c>
      <c r="I40" s="575"/>
      <c r="J40" s="673">
        <f>H40/DAY(B2)</f>
        <v>0</v>
      </c>
      <c r="K40" s="509"/>
      <c r="L40" s="405"/>
      <c r="N40" s="522">
        <f>F40-'[1]1'!E40</f>
        <v>0</v>
      </c>
      <c r="O40" s="947"/>
    </row>
    <row r="41" spans="1:15" ht="21.95" customHeight="1" x14ac:dyDescent="0.4">
      <c r="A41" s="699" t="s">
        <v>197</v>
      </c>
      <c r="B41" s="700"/>
      <c r="C41" s="700"/>
      <c r="D41" s="643" t="s">
        <v>159</v>
      </c>
      <c r="E41" s="575">
        <f>'[1]29'!F41</f>
        <v>300127.95</v>
      </c>
      <c r="F41" s="630">
        <v>300127.95</v>
      </c>
      <c r="G41" s="593">
        <f t="shared" si="3"/>
        <v>0</v>
      </c>
      <c r="H41" s="580">
        <f>G41+'[1]29'!H41</f>
        <v>0</v>
      </c>
      <c r="I41" s="575"/>
      <c r="J41" s="673">
        <f>H41/DAY(B2)</f>
        <v>0</v>
      </c>
      <c r="K41" s="508"/>
      <c r="L41" s="405"/>
      <c r="N41" s="522">
        <f>F41-'[1]1'!E41</f>
        <v>0</v>
      </c>
      <c r="O41" s="947"/>
    </row>
    <row r="42" spans="1:15" ht="21.95" customHeight="1" x14ac:dyDescent="0.4">
      <c r="A42" s="699" t="s">
        <v>198</v>
      </c>
      <c r="B42" s="700"/>
      <c r="C42" s="700"/>
      <c r="D42" s="643" t="s">
        <v>159</v>
      </c>
      <c r="E42" s="575">
        <f>'[1]29'!F42</f>
        <v>58926</v>
      </c>
      <c r="F42" s="630">
        <v>58926</v>
      </c>
      <c r="G42" s="593">
        <f t="shared" si="3"/>
        <v>0</v>
      </c>
      <c r="H42" s="580">
        <f>G42+'[1]29'!H42</f>
        <v>58926</v>
      </c>
      <c r="I42" s="575"/>
      <c r="J42" s="673">
        <f>H42/DAY(B2)</f>
        <v>1964.2</v>
      </c>
      <c r="K42" s="508"/>
      <c r="L42" s="405"/>
      <c r="N42" s="522">
        <f>F42-'[1]1'!E42</f>
        <v>-337272</v>
      </c>
      <c r="O42" s="947"/>
    </row>
    <row r="43" spans="1:15" ht="21.95" customHeight="1" x14ac:dyDescent="0.4">
      <c r="A43" s="699" t="s">
        <v>199</v>
      </c>
      <c r="B43" s="700"/>
      <c r="C43" s="700"/>
      <c r="D43" s="643" t="s">
        <v>159</v>
      </c>
      <c r="E43" s="575">
        <f>'[1]29'!F43</f>
        <v>694298.95</v>
      </c>
      <c r="F43" s="630">
        <v>696280.71</v>
      </c>
      <c r="G43" s="593">
        <f t="shared" si="3"/>
        <v>1981.7600000000093</v>
      </c>
      <c r="H43" s="580">
        <f>G43+'[1]29'!H43</f>
        <v>65531.399999999907</v>
      </c>
      <c r="I43" s="575"/>
      <c r="J43" s="673">
        <f>H43/DAY(B2)</f>
        <v>2184.3799999999969</v>
      </c>
      <c r="K43" s="508"/>
      <c r="L43" s="405"/>
      <c r="N43" s="522">
        <f>F43-'[1]1'!E43</f>
        <v>65531.399999999907</v>
      </c>
      <c r="O43" s="947"/>
    </row>
    <row r="44" spans="1:15" ht="21.95" customHeight="1" x14ac:dyDescent="0.4">
      <c r="A44" s="699" t="s">
        <v>200</v>
      </c>
      <c r="B44" s="700"/>
      <c r="C44" s="700"/>
      <c r="D44" s="643" t="s">
        <v>159</v>
      </c>
      <c r="E44" s="575">
        <f>'[1]29'!F44</f>
        <v>0</v>
      </c>
      <c r="F44" s="630">
        <v>0</v>
      </c>
      <c r="G44" s="593">
        <f t="shared" si="3"/>
        <v>0</v>
      </c>
      <c r="H44" s="580">
        <f>G44+'[1]29'!H44</f>
        <v>0</v>
      </c>
      <c r="I44" s="575"/>
      <c r="J44" s="673">
        <f>H44/DAY(B2)</f>
        <v>0</v>
      </c>
      <c r="K44" s="508"/>
      <c r="L44" s="405"/>
      <c r="N44" s="522">
        <f>F44-'[1]1'!E44</f>
        <v>0</v>
      </c>
      <c r="O44" s="947"/>
    </row>
    <row r="45" spans="1:15" ht="21.95" customHeight="1" x14ac:dyDescent="0.4">
      <c r="A45" s="699" t="s">
        <v>201</v>
      </c>
      <c r="B45" s="700"/>
      <c r="C45" s="700"/>
      <c r="D45" s="643" t="s">
        <v>159</v>
      </c>
      <c r="E45" s="575">
        <f>'[1]29'!F45</f>
        <v>614.48</v>
      </c>
      <c r="F45" s="630">
        <v>614.48</v>
      </c>
      <c r="G45" s="593">
        <f t="shared" si="3"/>
        <v>0</v>
      </c>
      <c r="H45" s="580">
        <f>G45+'[1]29'!H45</f>
        <v>0</v>
      </c>
      <c r="I45" s="575"/>
      <c r="J45" s="673">
        <f>H45/DAY(B2)</f>
        <v>0</v>
      </c>
      <c r="K45" s="508"/>
      <c r="L45" s="405"/>
      <c r="N45" s="522">
        <f>F45-'[1]1'!E45</f>
        <v>0</v>
      </c>
      <c r="O45" s="947"/>
    </row>
    <row r="46" spans="1:15" ht="21.95" customHeight="1" x14ac:dyDescent="0.4">
      <c r="A46" s="699" t="s">
        <v>202</v>
      </c>
      <c r="B46" s="700"/>
      <c r="C46" s="700"/>
      <c r="D46" s="643" t="s">
        <v>159</v>
      </c>
      <c r="E46" s="575">
        <f>'[1]29'!F46</f>
        <v>187.49</v>
      </c>
      <c r="F46" s="630">
        <v>187.49</v>
      </c>
      <c r="G46" s="593">
        <f t="shared" si="3"/>
        <v>0</v>
      </c>
      <c r="H46" s="580">
        <f>G46+'[1]29'!H46</f>
        <v>0</v>
      </c>
      <c r="I46" s="575"/>
      <c r="J46" s="673">
        <f>H46/DAY(B2)</f>
        <v>0</v>
      </c>
      <c r="K46" s="508"/>
      <c r="L46" s="405"/>
      <c r="N46" s="522">
        <f>F46-'[1]1'!E46</f>
        <v>0</v>
      </c>
      <c r="O46" s="947"/>
    </row>
    <row r="47" spans="1:15" ht="21.95" customHeight="1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2690.4400000000023</v>
      </c>
      <c r="H47" s="580">
        <f>G47+'[1]29'!H47</f>
        <v>149794.15999999989</v>
      </c>
      <c r="I47" s="575"/>
      <c r="J47" s="673">
        <f>H47/DAY(B2)</f>
        <v>4993.1386666666631</v>
      </c>
      <c r="K47" s="508"/>
      <c r="L47" s="405"/>
      <c r="N47" s="522">
        <f>F47-'[1]1'!E47</f>
        <v>0</v>
      </c>
      <c r="O47" s="947"/>
    </row>
    <row r="48" spans="1:15" ht="29.25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O48" s="947"/>
    </row>
    <row r="49" spans="1:15" ht="29.25" x14ac:dyDescent="0.4">
      <c r="A49" s="699" t="s">
        <v>191</v>
      </c>
      <c r="B49" s="722"/>
      <c r="C49" s="722"/>
      <c r="D49" s="643" t="s">
        <v>159</v>
      </c>
      <c r="E49" s="575">
        <f>'[1]29'!F49</f>
        <v>143998.98000000001</v>
      </c>
      <c r="F49" s="630">
        <v>146767.60999999999</v>
      </c>
      <c r="G49" s="593">
        <f t="shared" ref="G49:G58" si="4">F49-E49</f>
        <v>2768.6299999999756</v>
      </c>
      <c r="H49" s="580">
        <f>G49+'[1]29'!H49</f>
        <v>82158.092999999993</v>
      </c>
      <c r="I49" s="575"/>
      <c r="J49" s="673">
        <f>H49/DAY(B2)</f>
        <v>2738.6030999999998</v>
      </c>
      <c r="K49" s="508"/>
      <c r="L49" s="405"/>
      <c r="O49" s="947"/>
    </row>
    <row r="50" spans="1:15" ht="29.25" x14ac:dyDescent="0.4">
      <c r="A50" s="699" t="s">
        <v>205</v>
      </c>
      <c r="B50" s="722"/>
      <c r="C50" s="722"/>
      <c r="D50" s="643" t="s">
        <v>159</v>
      </c>
      <c r="E50" s="575">
        <f>'[1]29'!F50</f>
        <v>332937</v>
      </c>
      <c r="F50" s="630">
        <v>333829.99</v>
      </c>
      <c r="G50" s="593">
        <f t="shared" si="4"/>
        <v>892.98999999999069</v>
      </c>
      <c r="H50" s="580">
        <f>G50+'[1]29'!H50</f>
        <v>36420.459999999963</v>
      </c>
      <c r="I50" s="575"/>
      <c r="J50" s="673">
        <f>H50/DAY(B2)</f>
        <v>1214.0153333333321</v>
      </c>
      <c r="K50" s="508"/>
      <c r="L50" s="405"/>
      <c r="O50" s="947"/>
    </row>
    <row r="51" spans="1:15" ht="29.25" x14ac:dyDescent="0.4">
      <c r="A51" s="699" t="s">
        <v>193</v>
      </c>
      <c r="B51" s="722"/>
      <c r="C51" s="722"/>
      <c r="D51" s="643" t="s">
        <v>159</v>
      </c>
      <c r="E51" s="575">
        <f>'[1]29'!F51</f>
        <v>61837</v>
      </c>
      <c r="F51" s="630">
        <v>63234.77</v>
      </c>
      <c r="G51" s="593">
        <f t="shared" si="4"/>
        <v>1397.7699999999968</v>
      </c>
      <c r="H51" s="580">
        <f>G51+'[1]29'!H51</f>
        <v>42367.802999999993</v>
      </c>
      <c r="I51" s="575"/>
      <c r="J51" s="673">
        <f>H51/DAY(B2)</f>
        <v>1412.2600999999997</v>
      </c>
      <c r="K51" s="508"/>
      <c r="L51" s="405"/>
      <c r="O51" s="947"/>
    </row>
    <row r="52" spans="1:15" ht="29.25" x14ac:dyDescent="0.4">
      <c r="A52" s="699" t="s">
        <v>206</v>
      </c>
      <c r="B52" s="722"/>
      <c r="C52" s="722"/>
      <c r="D52" s="643" t="s">
        <v>159</v>
      </c>
      <c r="E52" s="575">
        <f>'[1]29'!F52</f>
        <v>429182.87</v>
      </c>
      <c r="F52" s="630">
        <v>431132.35</v>
      </c>
      <c r="G52" s="593">
        <f t="shared" si="4"/>
        <v>1949.4799999999814</v>
      </c>
      <c r="H52" s="580">
        <f>G52+'[1]29'!H52</f>
        <v>57776.559999999939</v>
      </c>
      <c r="I52" s="575"/>
      <c r="J52" s="673">
        <f>H52/DAY(B2)</f>
        <v>1925.8853333333313</v>
      </c>
      <c r="K52" s="508"/>
      <c r="L52" s="405"/>
      <c r="O52" s="947"/>
    </row>
    <row r="53" spans="1:15" ht="29.25" x14ac:dyDescent="0.4">
      <c r="A53" s="699" t="s">
        <v>195</v>
      </c>
      <c r="B53" s="722"/>
      <c r="C53" s="722"/>
      <c r="D53" s="643" t="s">
        <v>159</v>
      </c>
      <c r="E53" s="575">
        <f>'[1]29'!F53</f>
        <v>168261.37</v>
      </c>
      <c r="F53" s="630">
        <v>172201</v>
      </c>
      <c r="G53" s="593">
        <f t="shared" si="4"/>
        <v>3939.6300000000047</v>
      </c>
      <c r="H53" s="580">
        <f>G53+'[1]29'!H53</f>
        <v>122458.893</v>
      </c>
      <c r="I53" s="575"/>
      <c r="J53" s="673">
        <f>H53/DAY(B2)</f>
        <v>4081.9630999999999</v>
      </c>
      <c r="K53" s="508"/>
      <c r="L53" s="405"/>
      <c r="O53" s="947"/>
    </row>
    <row r="54" spans="1:15" ht="29.25" x14ac:dyDescent="0.4">
      <c r="A54" s="699" t="s">
        <v>207</v>
      </c>
      <c r="B54" s="722"/>
      <c r="C54" s="722"/>
      <c r="D54" s="643" t="s">
        <v>159</v>
      </c>
      <c r="E54" s="575">
        <f>'[1]29'!F54</f>
        <v>4438.3100000000004</v>
      </c>
      <c r="F54" s="630">
        <v>4509.55</v>
      </c>
      <c r="G54" s="593">
        <f t="shared" si="4"/>
        <v>71.239999999999782</v>
      </c>
      <c r="H54" s="580">
        <f>G54+'[1]29'!H54</f>
        <v>1630.94</v>
      </c>
      <c r="I54" s="575"/>
      <c r="J54" s="673">
        <f>H54/DAY(B2)</f>
        <v>54.364666666666672</v>
      </c>
      <c r="K54" s="508"/>
      <c r="L54" s="405"/>
      <c r="O54" s="947"/>
    </row>
    <row r="55" spans="1:15" ht="29.25" x14ac:dyDescent="0.4">
      <c r="A55" s="699" t="s">
        <v>208</v>
      </c>
      <c r="B55" s="722"/>
      <c r="C55" s="722"/>
      <c r="D55" s="643" t="s">
        <v>159</v>
      </c>
      <c r="E55" s="575">
        <f>'[1]29'!F55</f>
        <v>158492.73000000001</v>
      </c>
      <c r="F55" s="630">
        <v>158493</v>
      </c>
      <c r="G55" s="593">
        <f t="shared" si="4"/>
        <v>0.26999999998952262</v>
      </c>
      <c r="H55" s="580">
        <f>G55+'[1]29'!H55</f>
        <v>0</v>
      </c>
      <c r="I55" s="575"/>
      <c r="J55" s="673">
        <f>H55/DAY(B2)</f>
        <v>0</v>
      </c>
      <c r="K55" s="508"/>
      <c r="L55" s="405"/>
      <c r="O55" s="947"/>
    </row>
    <row r="56" spans="1:15" ht="29.25" x14ac:dyDescent="0.4">
      <c r="A56" s="699" t="s">
        <v>209</v>
      </c>
      <c r="B56" s="722"/>
      <c r="C56" s="722"/>
      <c r="D56" s="643" t="s">
        <v>210</v>
      </c>
      <c r="E56" s="575">
        <f>'[1]29'!F56</f>
        <v>505378.47</v>
      </c>
      <c r="F56" s="630">
        <v>508948.63</v>
      </c>
      <c r="G56" s="593">
        <f t="shared" si="4"/>
        <v>3570.1600000000326</v>
      </c>
      <c r="H56" s="580">
        <f>G56+'[1]29'!H56</f>
        <v>73107.599999999977</v>
      </c>
      <c r="I56" s="575"/>
      <c r="J56" s="673">
        <f>H56/DAY(B2)</f>
        <v>2436.9199999999992</v>
      </c>
      <c r="K56" s="507"/>
      <c r="L56" s="405"/>
      <c r="O56" s="947"/>
    </row>
    <row r="57" spans="1:15" ht="29.25" x14ac:dyDescent="0.4">
      <c r="A57" s="699" t="s">
        <v>199</v>
      </c>
      <c r="B57" s="722"/>
      <c r="C57" s="722"/>
      <c r="D57" s="643" t="s">
        <v>159</v>
      </c>
      <c r="E57" s="575">
        <f>'[1]29'!F57</f>
        <v>0</v>
      </c>
      <c r="F57" s="630">
        <v>0</v>
      </c>
      <c r="G57" s="593">
        <f t="shared" si="4"/>
        <v>0</v>
      </c>
      <c r="H57" s="580">
        <f>G57+'[1]29'!H57</f>
        <v>0</v>
      </c>
      <c r="I57" s="575"/>
      <c r="J57" s="673">
        <f>H57/DAY(B2)</f>
        <v>0</v>
      </c>
      <c r="K57" s="508"/>
      <c r="L57" s="405"/>
      <c r="O57" s="947"/>
    </row>
    <row r="58" spans="1:15" ht="29.25" x14ac:dyDescent="0.4">
      <c r="A58" s="699" t="s">
        <v>211</v>
      </c>
      <c r="B58" s="722"/>
      <c r="C58" s="722"/>
      <c r="D58" s="643" t="s">
        <v>159</v>
      </c>
      <c r="E58" s="575">
        <f>'[1]29'!F58</f>
        <v>24747.07</v>
      </c>
      <c r="F58" s="630">
        <v>24906.13</v>
      </c>
      <c r="G58" s="593">
        <f t="shared" si="4"/>
        <v>159.06000000000131</v>
      </c>
      <c r="H58" s="580">
        <f>G58+'[1]29'!H58</f>
        <v>4513.0970000000016</v>
      </c>
      <c r="I58" s="575"/>
      <c r="J58" s="673">
        <f>H58/DAY(B2)</f>
        <v>150.43656666666672</v>
      </c>
      <c r="K58" s="508"/>
      <c r="L58" s="405"/>
      <c r="O58" s="947"/>
    </row>
    <row r="59" spans="1:15" ht="29.25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14749.229999999972</v>
      </c>
      <c r="H59" s="580">
        <f>G59+'[1]29'!H59</f>
        <v>420433.44599999982</v>
      </c>
      <c r="I59" s="575">
        <f>G7-G60</f>
        <v>444.33000000002357</v>
      </c>
      <c r="J59" s="673">
        <f>H59/DAY(B2)</f>
        <v>14014.448199999993</v>
      </c>
      <c r="K59" s="508"/>
      <c r="L59" s="405"/>
      <c r="O59" s="947"/>
    </row>
    <row r="60" spans="1:15" ht="29.25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17439.669999999976</v>
      </c>
      <c r="H60" s="580">
        <f>G60+'[1]29'!H60</f>
        <v>583771.27599999984</v>
      </c>
      <c r="I60" s="575">
        <f>G13-G60</f>
        <v>-226.00999999982741</v>
      </c>
      <c r="J60" s="673">
        <f>H60/DAY(B2)</f>
        <v>19459.04253333333</v>
      </c>
      <c r="K60" s="508"/>
      <c r="L60" s="405"/>
      <c r="O60" s="947"/>
    </row>
    <row r="61" spans="1:15" ht="29.25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O61" s="947"/>
    </row>
    <row r="62" spans="1:15" ht="29.25" x14ac:dyDescent="0.4">
      <c r="A62" s="724" t="s">
        <v>121</v>
      </c>
      <c r="B62" s="725"/>
      <c r="C62" s="725"/>
      <c r="D62" s="631" t="s">
        <v>214</v>
      </c>
      <c r="E62" s="575">
        <f>'[1]29'!F62</f>
        <v>20419.18</v>
      </c>
      <c r="F62" s="634">
        <v>20419.18</v>
      </c>
      <c r="G62" s="593">
        <f t="shared" ref="G62:G69" si="5">F62-E62</f>
        <v>0</v>
      </c>
      <c r="H62" s="580">
        <f>G62+'[1]29'!H62</f>
        <v>0</v>
      </c>
      <c r="I62" s="635"/>
      <c r="J62" s="673">
        <f>H62/DAY(B2)</f>
        <v>0</v>
      </c>
      <c r="K62" s="508"/>
      <c r="L62" s="405"/>
      <c r="O62" s="947"/>
    </row>
    <row r="63" spans="1:15" ht="29.25" x14ac:dyDescent="0.4">
      <c r="A63" s="724" t="s">
        <v>215</v>
      </c>
      <c r="B63" s="725"/>
      <c r="C63" s="725"/>
      <c r="D63" s="631" t="s">
        <v>214</v>
      </c>
      <c r="E63" s="575">
        <f>'[1]29'!F63</f>
        <v>1099</v>
      </c>
      <c r="F63" s="634">
        <v>1103.73</v>
      </c>
      <c r="G63" s="593">
        <f t="shared" si="5"/>
        <v>4.7300000000000182</v>
      </c>
      <c r="H63" s="580">
        <f>G63+'[1]29'!H63</f>
        <v>247.36</v>
      </c>
      <c r="I63" s="635"/>
      <c r="J63" s="673">
        <f>H63/DAY(B2)</f>
        <v>8.245333333333333</v>
      </c>
      <c r="K63" s="508"/>
      <c r="L63" s="405"/>
      <c r="O63" s="947"/>
    </row>
    <row r="64" spans="1:15" ht="27.75" x14ac:dyDescent="0.5">
      <c r="A64" s="1628" t="s">
        <v>122</v>
      </c>
      <c r="B64" s="1450"/>
      <c r="C64" s="1450"/>
      <c r="D64" s="643" t="s">
        <v>214</v>
      </c>
      <c r="E64" s="575">
        <f>'[1]29'!F64</f>
        <v>97539.7</v>
      </c>
      <c r="F64" s="604">
        <v>97994.44</v>
      </c>
      <c r="G64" s="593">
        <f t="shared" si="5"/>
        <v>454.74000000000524</v>
      </c>
      <c r="H64" s="580">
        <f>G64+'[1]29'!H64</f>
        <v>11255.345000000001</v>
      </c>
      <c r="I64" s="600"/>
      <c r="J64" s="673">
        <f>H64/DAY(B2)</f>
        <v>375.1781666666667</v>
      </c>
      <c r="K64" s="508"/>
      <c r="L64" s="405"/>
      <c r="O64" s="947"/>
    </row>
    <row r="65" spans="1:15" ht="27.75" x14ac:dyDescent="0.5">
      <c r="A65" s="1628" t="s">
        <v>123</v>
      </c>
      <c r="B65" s="1450"/>
      <c r="C65" s="1450"/>
      <c r="D65" s="643" t="s">
        <v>214</v>
      </c>
      <c r="E65" s="575">
        <f>'[1]29'!F65</f>
        <v>108244</v>
      </c>
      <c r="F65" s="604">
        <v>108642.86</v>
      </c>
      <c r="G65" s="593">
        <f t="shared" si="5"/>
        <v>398.86000000000058</v>
      </c>
      <c r="H65" s="580">
        <f>G65+'[1]29'!H65</f>
        <v>12006.877000000008</v>
      </c>
      <c r="I65" s="609"/>
      <c r="J65" s="673">
        <f>H65/DAY(B2)</f>
        <v>400.22923333333358</v>
      </c>
      <c r="K65" s="508"/>
      <c r="L65" s="405"/>
      <c r="O65" s="947"/>
    </row>
    <row r="66" spans="1:15" ht="27.75" x14ac:dyDescent="0.5">
      <c r="A66" s="1628" t="s">
        <v>124</v>
      </c>
      <c r="B66" s="1450"/>
      <c r="C66" s="1450"/>
      <c r="D66" s="643" t="s">
        <v>214</v>
      </c>
      <c r="E66" s="575">
        <f>'[1]29'!F66</f>
        <v>1636</v>
      </c>
      <c r="F66" s="604">
        <v>2007.09</v>
      </c>
      <c r="G66" s="593">
        <f t="shared" si="5"/>
        <v>371.08999999999992</v>
      </c>
      <c r="H66" s="580">
        <f>G66+'[1]29'!H66</f>
        <v>12004.693000000007</v>
      </c>
      <c r="I66" s="600"/>
      <c r="J66" s="673">
        <f>H66/DAY(B2)</f>
        <v>400.15643333333355</v>
      </c>
      <c r="K66" s="508"/>
      <c r="L66" s="405"/>
      <c r="O66" s="947"/>
    </row>
    <row r="67" spans="1:15" ht="27.75" x14ac:dyDescent="0.5">
      <c r="A67" s="1628" t="s">
        <v>125</v>
      </c>
      <c r="B67" s="1450"/>
      <c r="C67" s="1450"/>
      <c r="D67" s="643" t="s">
        <v>214</v>
      </c>
      <c r="E67" s="575">
        <f>'[1]29'!F67</f>
        <v>166962</v>
      </c>
      <c r="F67" s="604">
        <v>167560.62</v>
      </c>
      <c r="G67" s="593">
        <f t="shared" si="5"/>
        <v>598.61999999999534</v>
      </c>
      <c r="H67" s="580">
        <f>G67+'[1]29'!H67</f>
        <v>21518.570000000007</v>
      </c>
      <c r="I67" s="609"/>
      <c r="J67" s="673">
        <f>H67/DAY(B2)</f>
        <v>717.28566666666688</v>
      </c>
      <c r="K67" s="509"/>
      <c r="L67" s="405"/>
      <c r="O67" s="947"/>
    </row>
    <row r="68" spans="1:15" ht="27.75" x14ac:dyDescent="0.5">
      <c r="A68" s="1628" t="s">
        <v>126</v>
      </c>
      <c r="B68" s="1450"/>
      <c r="C68" s="1450"/>
      <c r="D68" s="643" t="s">
        <v>214</v>
      </c>
      <c r="E68" s="575">
        <f>'[1]29'!F68</f>
        <v>53070</v>
      </c>
      <c r="F68" s="604">
        <v>53331.82</v>
      </c>
      <c r="G68" s="593">
        <f t="shared" si="5"/>
        <v>261.81999999999971</v>
      </c>
      <c r="H68" s="580">
        <f>G68+'[1]29'!H68</f>
        <v>10156.741000000002</v>
      </c>
      <c r="I68" s="636"/>
      <c r="J68" s="673">
        <f>H68/DAY(B2)</f>
        <v>338.55803333333341</v>
      </c>
      <c r="K68" s="510"/>
      <c r="L68" s="405"/>
      <c r="O68" s="947"/>
    </row>
    <row r="69" spans="1:15" ht="27.75" x14ac:dyDescent="0.5">
      <c r="A69" s="1628" t="s">
        <v>127</v>
      </c>
      <c r="B69" s="1450"/>
      <c r="C69" s="1450"/>
      <c r="D69" s="643" t="s">
        <v>214</v>
      </c>
      <c r="E69" s="575">
        <f>'[1]29'!F69</f>
        <v>45958.9</v>
      </c>
      <c r="F69" s="604">
        <v>46235.44</v>
      </c>
      <c r="G69" s="593">
        <f t="shared" si="5"/>
        <v>276.54000000000087</v>
      </c>
      <c r="H69" s="580">
        <f>G69+'[1]29'!H69</f>
        <v>8679.8729999999996</v>
      </c>
      <c r="I69" s="636"/>
      <c r="J69" s="673">
        <f>H69/DAY(B2)</f>
        <v>289.32909999999998</v>
      </c>
      <c r="K69" s="511"/>
      <c r="L69" s="405"/>
      <c r="O69" s="947"/>
    </row>
    <row r="70" spans="1:15" ht="27.75" x14ac:dyDescent="0.5">
      <c r="A70" s="1645" t="s">
        <v>216</v>
      </c>
      <c r="B70" s="1470"/>
      <c r="C70" s="1470"/>
      <c r="D70" s="643" t="s">
        <v>214</v>
      </c>
      <c r="E70" s="637"/>
      <c r="F70" s="638"/>
      <c r="G70" s="638"/>
      <c r="H70" s="580">
        <f>G70+'[1]29'!H70</f>
        <v>0</v>
      </c>
      <c r="I70" s="638"/>
      <c r="J70" s="677"/>
      <c r="K70" s="511"/>
      <c r="L70" s="405"/>
      <c r="O70" s="947"/>
    </row>
    <row r="71" spans="1:15" ht="31.5" x14ac:dyDescent="0.6">
      <c r="A71" s="1637" t="s">
        <v>217</v>
      </c>
      <c r="B71" s="1638"/>
      <c r="C71" s="1638"/>
      <c r="D71" s="1638"/>
      <c r="E71" s="1638"/>
      <c r="F71" s="1638"/>
      <c r="G71" s="1638"/>
      <c r="H71" s="1638"/>
      <c r="I71" s="1638"/>
      <c r="J71" s="1639"/>
      <c r="K71" s="510"/>
      <c r="L71" s="405"/>
      <c r="O71" s="947"/>
    </row>
    <row r="72" spans="1:15" ht="27.75" x14ac:dyDescent="0.5">
      <c r="A72" s="1628" t="s">
        <v>218</v>
      </c>
      <c r="B72" s="1450"/>
      <c r="C72" s="1450"/>
      <c r="D72" s="643" t="s">
        <v>214</v>
      </c>
      <c r="E72" s="575">
        <f>'[1]29'!F72</f>
        <v>846216</v>
      </c>
      <c r="F72" s="639">
        <v>846310</v>
      </c>
      <c r="G72" s="593">
        <f t="shared" ref="G72:G84" si="6">F72-E72</f>
        <v>94</v>
      </c>
      <c r="H72" s="580">
        <f>G72+'[1]29'!H72</f>
        <v>2048</v>
      </c>
      <c r="I72" s="600"/>
      <c r="J72" s="673">
        <f>H72/DAY(B2)</f>
        <v>68.266666666666666</v>
      </c>
      <c r="K72" s="511"/>
      <c r="L72" s="405"/>
      <c r="O72" s="947"/>
    </row>
    <row r="73" spans="1:15" ht="27.75" x14ac:dyDescent="0.5">
      <c r="A73" s="1628" t="s">
        <v>219</v>
      </c>
      <c r="B73" s="1450"/>
      <c r="C73" s="1450"/>
      <c r="D73" s="643" t="s">
        <v>214</v>
      </c>
      <c r="E73" s="575">
        <f>'[1]29'!F73</f>
        <v>885671</v>
      </c>
      <c r="F73" s="640">
        <v>885673</v>
      </c>
      <c r="G73" s="593">
        <f t="shared" si="6"/>
        <v>2</v>
      </c>
      <c r="H73" s="580">
        <f>G73+'[1]29'!H73</f>
        <v>969</v>
      </c>
      <c r="I73" s="600"/>
      <c r="J73" s="673">
        <f>H73/DAY(B2)</f>
        <v>32.299999999999997</v>
      </c>
      <c r="K73" s="510"/>
      <c r="L73" s="405"/>
      <c r="O73" s="947"/>
    </row>
    <row r="74" spans="1:15" ht="27.75" x14ac:dyDescent="0.5">
      <c r="A74" s="1628" t="s">
        <v>220</v>
      </c>
      <c r="B74" s="1450"/>
      <c r="C74" s="1450"/>
      <c r="D74" s="643" t="s">
        <v>214</v>
      </c>
      <c r="E74" s="575">
        <f>'[1]29'!F74</f>
        <v>881231</v>
      </c>
      <c r="F74" s="641">
        <v>881262</v>
      </c>
      <c r="G74" s="593">
        <f t="shared" si="6"/>
        <v>31</v>
      </c>
      <c r="H74" s="580">
        <f>G74+'[1]29'!H74</f>
        <v>1035</v>
      </c>
      <c r="I74" s="600"/>
      <c r="J74" s="673">
        <f>H74/DAY(B2)</f>
        <v>34.5</v>
      </c>
      <c r="K74" s="511"/>
      <c r="L74" s="405"/>
      <c r="O74" s="947"/>
    </row>
    <row r="75" spans="1:15" ht="27.75" x14ac:dyDescent="0.5">
      <c r="A75" s="1635" t="s">
        <v>221</v>
      </c>
      <c r="B75" s="1636"/>
      <c r="C75" s="1636"/>
      <c r="D75" s="643" t="s">
        <v>214</v>
      </c>
      <c r="E75" s="575">
        <f>'[1]29'!F75</f>
        <v>731292</v>
      </c>
      <c r="F75" s="640">
        <v>731452</v>
      </c>
      <c r="G75" s="593">
        <f t="shared" si="6"/>
        <v>160</v>
      </c>
      <c r="H75" s="580">
        <f>G75+'[1]29'!H75</f>
        <v>5272</v>
      </c>
      <c r="I75" s="600"/>
      <c r="J75" s="673">
        <f>H75/DAY(B2)</f>
        <v>175.73333333333332</v>
      </c>
      <c r="K75" s="510"/>
      <c r="L75" s="405"/>
      <c r="O75" s="947"/>
    </row>
    <row r="76" spans="1:15" ht="27.75" x14ac:dyDescent="0.5">
      <c r="A76" s="1635" t="s">
        <v>222</v>
      </c>
      <c r="B76" s="1636"/>
      <c r="C76" s="1636"/>
      <c r="D76" s="643" t="s">
        <v>214</v>
      </c>
      <c r="E76" s="575">
        <f>'[1]29'!F76</f>
        <v>684042</v>
      </c>
      <c r="F76" s="640">
        <v>684157</v>
      </c>
      <c r="G76" s="593">
        <f t="shared" si="6"/>
        <v>115</v>
      </c>
      <c r="H76" s="580">
        <f>G76+'[1]29'!H76</f>
        <v>3787</v>
      </c>
      <c r="I76" s="625"/>
      <c r="J76" s="673">
        <f>H76/DAY(B2)</f>
        <v>126.23333333333333</v>
      </c>
      <c r="K76" s="510"/>
      <c r="L76" s="405"/>
      <c r="O76" s="947"/>
    </row>
    <row r="77" spans="1:15" ht="27.75" x14ac:dyDescent="0.5">
      <c r="A77" s="1628" t="s">
        <v>223</v>
      </c>
      <c r="B77" s="1450"/>
      <c r="C77" s="1450"/>
      <c r="D77" s="643" t="s">
        <v>214</v>
      </c>
      <c r="E77" s="575">
        <f>'[1]29'!F77</f>
        <v>695280</v>
      </c>
      <c r="F77" s="641">
        <v>695337</v>
      </c>
      <c r="G77" s="593">
        <f t="shared" si="6"/>
        <v>57</v>
      </c>
      <c r="H77" s="580">
        <f>G77+'[1]29'!H77</f>
        <v>1617</v>
      </c>
      <c r="I77" s="625"/>
      <c r="J77" s="673">
        <f>H77/DAY(B2)</f>
        <v>53.9</v>
      </c>
      <c r="K77" s="510"/>
      <c r="L77" s="405"/>
      <c r="O77" s="947"/>
    </row>
    <row r="78" spans="1:15" ht="27.75" x14ac:dyDescent="0.5">
      <c r="A78" s="1357" t="s">
        <v>224</v>
      </c>
      <c r="B78" s="1320"/>
      <c r="C78" s="1320"/>
      <c r="D78" s="643" t="s">
        <v>214</v>
      </c>
      <c r="E78" s="575">
        <f>'[1]29'!F78</f>
        <v>630081</v>
      </c>
      <c r="F78" s="641">
        <v>630406</v>
      </c>
      <c r="G78" s="593">
        <f t="shared" si="6"/>
        <v>325</v>
      </c>
      <c r="H78" s="580">
        <f>G78+'[1]29'!H78</f>
        <v>12153</v>
      </c>
      <c r="I78" s="625"/>
      <c r="J78" s="673">
        <f>H78/DAY(B2)</f>
        <v>405.1</v>
      </c>
      <c r="K78" s="510"/>
      <c r="L78" s="405"/>
      <c r="O78" s="947"/>
    </row>
    <row r="79" spans="1:15" ht="27.75" x14ac:dyDescent="0.5">
      <c r="A79" s="1635" t="s">
        <v>112</v>
      </c>
      <c r="B79" s="1636"/>
      <c r="C79" s="1636"/>
      <c r="D79" s="644" t="s">
        <v>214</v>
      </c>
      <c r="E79" s="575">
        <f>'[1]29'!F79</f>
        <v>803472</v>
      </c>
      <c r="F79" s="640">
        <v>803649</v>
      </c>
      <c r="G79" s="593">
        <f t="shared" si="6"/>
        <v>177</v>
      </c>
      <c r="H79" s="580">
        <f>G79+'[1]29'!H79</f>
        <v>8397</v>
      </c>
      <c r="I79" s="625"/>
      <c r="J79" s="673">
        <f>H79/DAY(B2)</f>
        <v>279.89999999999998</v>
      </c>
      <c r="K79" s="510"/>
      <c r="L79" s="405"/>
      <c r="O79" s="947"/>
    </row>
    <row r="80" spans="1:15" ht="27.75" x14ac:dyDescent="0.5">
      <c r="A80" s="1635" t="s">
        <v>225</v>
      </c>
      <c r="B80" s="1636"/>
      <c r="C80" s="1636"/>
      <c r="D80" s="644" t="s">
        <v>214</v>
      </c>
      <c r="E80" s="575">
        <f>'[1]29'!F80</f>
        <v>474910</v>
      </c>
      <c r="F80" s="640">
        <v>475223.88</v>
      </c>
      <c r="G80" s="593">
        <f t="shared" si="6"/>
        <v>313.88000000000466</v>
      </c>
      <c r="H80" s="580">
        <f>G80+'[1]29'!H80</f>
        <v>7900.039999999979</v>
      </c>
      <c r="I80" s="625"/>
      <c r="J80" s="673">
        <f>H80/DAY(B2)</f>
        <v>263.33466666666595</v>
      </c>
      <c r="K80" s="510"/>
      <c r="L80" s="405"/>
      <c r="O80" s="947"/>
    </row>
    <row r="81" spans="1:15" ht="27.75" x14ac:dyDescent="0.5">
      <c r="A81" s="1635" t="s">
        <v>226</v>
      </c>
      <c r="B81" s="1636"/>
      <c r="C81" s="1636"/>
      <c r="D81" s="644" t="s">
        <v>214</v>
      </c>
      <c r="E81" s="575">
        <f>'[1]29'!F81</f>
        <v>619004</v>
      </c>
      <c r="F81" s="640">
        <v>619128.04</v>
      </c>
      <c r="G81" s="593">
        <f t="shared" si="6"/>
        <v>124.04000000003725</v>
      </c>
      <c r="H81" s="580">
        <f>G81+'[1]29'!H81</f>
        <v>4739.5200000000186</v>
      </c>
      <c r="I81" s="625"/>
      <c r="J81" s="673">
        <f>H81/DAY(B2)</f>
        <v>157.98400000000063</v>
      </c>
      <c r="K81" s="510"/>
      <c r="L81" s="405"/>
      <c r="O81" s="947"/>
    </row>
    <row r="82" spans="1:15" ht="27.75" x14ac:dyDescent="0.5">
      <c r="A82" s="1635" t="s">
        <v>115</v>
      </c>
      <c r="B82" s="1636"/>
      <c r="C82" s="1636"/>
      <c r="D82" s="605" t="s">
        <v>159</v>
      </c>
      <c r="E82" s="575">
        <f>'[1]29'!F82</f>
        <v>104378</v>
      </c>
      <c r="F82" s="642">
        <v>104413</v>
      </c>
      <c r="G82" s="593">
        <f t="shared" si="6"/>
        <v>35</v>
      </c>
      <c r="H82" s="580">
        <f>G82+'[1]29'!H82</f>
        <v>883.35000000000582</v>
      </c>
      <c r="I82" s="606"/>
      <c r="J82" s="673">
        <f>H82/DAY(B2)</f>
        <v>29.445000000000196</v>
      </c>
      <c r="K82" s="510"/>
      <c r="L82" s="405"/>
      <c r="O82" s="947"/>
    </row>
    <row r="83" spans="1:15" ht="27.75" x14ac:dyDescent="0.5">
      <c r="A83" s="1635" t="s">
        <v>227</v>
      </c>
      <c r="B83" s="1636"/>
      <c r="C83" s="1636"/>
      <c r="D83" s="741" t="s">
        <v>159</v>
      </c>
      <c r="E83" s="575">
        <f>'[1]29'!F83</f>
        <v>972812</v>
      </c>
      <c r="F83" s="1278">
        <v>973125</v>
      </c>
      <c r="G83" s="593">
        <f t="shared" si="6"/>
        <v>313</v>
      </c>
      <c r="H83" s="580">
        <f>G83+'[1]29'!H83</f>
        <v>10600</v>
      </c>
      <c r="I83" s="601"/>
      <c r="J83" s="673">
        <f>H83/DAY(B2)</f>
        <v>353.33333333333331</v>
      </c>
      <c r="K83" s="509"/>
      <c r="L83" s="405"/>
      <c r="O83" s="947"/>
    </row>
    <row r="84" spans="1:15" ht="29.25" x14ac:dyDescent="0.5">
      <c r="A84" s="1360" t="s">
        <v>228</v>
      </c>
      <c r="B84" s="692"/>
      <c r="C84" s="692"/>
      <c r="D84" s="598" t="s">
        <v>159</v>
      </c>
      <c r="E84" s="575">
        <f>'[1]29'!F84</f>
        <v>396336</v>
      </c>
      <c r="F84" s="643">
        <v>396819</v>
      </c>
      <c r="G84" s="593">
        <f t="shared" si="6"/>
        <v>483</v>
      </c>
      <c r="H84" s="580">
        <f>G84+'[1]29'!H84</f>
        <v>15463</v>
      </c>
      <c r="I84" s="601"/>
      <c r="J84" s="673">
        <f>H84/DAY(B2)</f>
        <v>515.43333333333328</v>
      </c>
      <c r="K84" s="408"/>
      <c r="L84" s="405"/>
      <c r="O84" s="947"/>
    </row>
    <row r="85" spans="1:15" s="407" customFormat="1" ht="21.95" customHeight="1" x14ac:dyDescent="0.5">
      <c r="A85" s="726" t="s">
        <v>82</v>
      </c>
      <c r="B85" s="693"/>
      <c r="C85" s="693"/>
      <c r="D85" s="609"/>
      <c r="E85" s="575">
        <f>'[1]29'!F85</f>
        <v>0</v>
      </c>
      <c r="F85" s="643"/>
      <c r="G85" s="580">
        <f xml:space="preserve"> SUM(G72:G84)</f>
        <v>2229.9200000000419</v>
      </c>
      <c r="H85" s="580">
        <f>G85+'[1]29'!H85</f>
        <v>70307.439999999973</v>
      </c>
      <c r="I85" s="601"/>
      <c r="J85" s="673">
        <f>H85/DAY(B2)</f>
        <v>2343.5813333333326</v>
      </c>
      <c r="K85" s="408"/>
      <c r="L85" s="406"/>
      <c r="O85" s="947"/>
    </row>
    <row r="86" spans="1:15" s="871" customFormat="1" ht="29.25" x14ac:dyDescent="0.5">
      <c r="A86" s="866" t="s">
        <v>117</v>
      </c>
      <c r="B86" s="867"/>
      <c r="C86" s="867"/>
      <c r="D86" s="868" t="s">
        <v>210</v>
      </c>
      <c r="E86" s="575">
        <f>'[1]29'!F86</f>
        <v>444169</v>
      </c>
      <c r="F86" s="764">
        <v>444210.84</v>
      </c>
      <c r="G86" s="841">
        <f t="shared" ref="G86:G90" si="7">F86-E86</f>
        <v>41.840000000025611</v>
      </c>
      <c r="H86" s="841">
        <f t="shared" ref="H86:H88" si="8">G86</f>
        <v>41.840000000025611</v>
      </c>
      <c r="I86" s="769"/>
      <c r="J86" s="843">
        <f>H86/DAY(B2)</f>
        <v>1.3946666666675205</v>
      </c>
      <c r="K86" s="869"/>
      <c r="L86" s="870"/>
      <c r="O86" s="947"/>
    </row>
    <row r="87" spans="1:15" s="871" customFormat="1" ht="27.75" customHeight="1" x14ac:dyDescent="0.5">
      <c r="A87" s="866" t="s">
        <v>118</v>
      </c>
      <c r="B87" s="867"/>
      <c r="C87" s="867"/>
      <c r="D87" s="868" t="s">
        <v>210</v>
      </c>
      <c r="E87" s="575">
        <f>'[1]29'!F87</f>
        <v>77697.399999999994</v>
      </c>
      <c r="F87" s="764">
        <v>77722.3</v>
      </c>
      <c r="G87" s="841">
        <f t="shared" si="7"/>
        <v>24.900000000008731</v>
      </c>
      <c r="H87" s="841">
        <f t="shared" si="8"/>
        <v>24.900000000008731</v>
      </c>
      <c r="I87" s="769"/>
      <c r="J87" s="843">
        <f>H87/DAY(B2)</f>
        <v>0.83000000000029106</v>
      </c>
      <c r="K87" s="869"/>
      <c r="L87" s="870"/>
      <c r="O87" s="947"/>
    </row>
    <row r="88" spans="1:15" s="871" customFormat="1" ht="29.25" x14ac:dyDescent="0.5">
      <c r="A88" s="866" t="s">
        <v>119</v>
      </c>
      <c r="B88" s="867"/>
      <c r="C88" s="867"/>
      <c r="D88" s="868" t="s">
        <v>210</v>
      </c>
      <c r="E88" s="575">
        <f>'[1]29'!F88</f>
        <v>144451</v>
      </c>
      <c r="F88" s="764">
        <v>144512.53</v>
      </c>
      <c r="G88" s="841">
        <f t="shared" si="7"/>
        <v>61.529999999998836</v>
      </c>
      <c r="H88" s="841">
        <f t="shared" si="8"/>
        <v>61.529999999998836</v>
      </c>
      <c r="I88" s="769"/>
      <c r="J88" s="843">
        <f>H88/DAY(B2)</f>
        <v>2.0509999999999611</v>
      </c>
      <c r="K88" s="869"/>
      <c r="L88" s="870"/>
      <c r="O88" s="947"/>
    </row>
    <row r="89" spans="1:15" s="871" customFormat="1" ht="29.25" x14ac:dyDescent="0.5">
      <c r="A89" s="866" t="s">
        <v>230</v>
      </c>
      <c r="B89" s="867"/>
      <c r="C89" s="867"/>
      <c r="D89" s="868" t="s">
        <v>210</v>
      </c>
      <c r="E89" s="575">
        <f>'[1]29'!F89</f>
        <v>57531.8</v>
      </c>
      <c r="F89" s="764">
        <v>57632.800000000003</v>
      </c>
      <c r="G89" s="841">
        <f t="shared" si="7"/>
        <v>101</v>
      </c>
      <c r="H89" s="841">
        <f>G89</f>
        <v>101</v>
      </c>
      <c r="I89" s="769"/>
      <c r="J89" s="843">
        <f>H89/DAY(B2)</f>
        <v>3.3666666666666667</v>
      </c>
      <c r="K89" s="869"/>
      <c r="L89" s="870"/>
      <c r="N89" s="919"/>
      <c r="O89" s="947"/>
    </row>
    <row r="90" spans="1:15" s="871" customFormat="1" ht="29.25" x14ac:dyDescent="0.5">
      <c r="A90" s="866" t="s">
        <v>230</v>
      </c>
      <c r="B90" s="867"/>
      <c r="C90" s="867"/>
      <c r="D90" s="868" t="s">
        <v>210</v>
      </c>
      <c r="E90" s="575">
        <f>'[1]29'!F90</f>
        <v>2978.5</v>
      </c>
      <c r="F90" s="764">
        <v>2981.5</v>
      </c>
      <c r="G90" s="841">
        <f t="shared" si="7"/>
        <v>3</v>
      </c>
      <c r="H90" s="841">
        <f>G90</f>
        <v>3</v>
      </c>
      <c r="I90" s="769"/>
      <c r="J90" s="843">
        <f>H90/DAY(B2)</f>
        <v>0.1</v>
      </c>
      <c r="K90" s="869"/>
      <c r="L90" s="870"/>
      <c r="N90" s="919"/>
      <c r="O90" s="947"/>
    </row>
    <row r="91" spans="1:15" s="407" customFormat="1" ht="29.25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O91" s="947"/>
    </row>
    <row r="92" spans="1:15" ht="27.75" x14ac:dyDescent="0.5">
      <c r="A92" s="1622" t="s">
        <v>233</v>
      </c>
      <c r="B92" s="1623"/>
      <c r="C92" s="1623"/>
      <c r="D92" s="643" t="s">
        <v>171</v>
      </c>
      <c r="E92" s="575">
        <f>'[1]29'!F92</f>
        <v>233788</v>
      </c>
      <c r="F92" s="604">
        <v>233843</v>
      </c>
      <c r="G92" s="593">
        <f t="shared" ref="G92:G93" si="9">F92-E92</f>
        <v>55</v>
      </c>
      <c r="H92" s="580">
        <f>G92+'[1]29'!H92</f>
        <v>2868</v>
      </c>
      <c r="I92" s="600"/>
      <c r="J92" s="673">
        <f>H92/DAY(B2)</f>
        <v>95.6</v>
      </c>
      <c r="K92" s="509"/>
      <c r="L92" s="405"/>
      <c r="O92" s="947"/>
    </row>
    <row r="93" spans="1:15" ht="27.75" x14ac:dyDescent="0.5">
      <c r="A93" s="1622" t="s">
        <v>234</v>
      </c>
      <c r="B93" s="1623"/>
      <c r="C93" s="1623"/>
      <c r="D93" s="643" t="s">
        <v>171</v>
      </c>
      <c r="E93" s="575">
        <f>'[1]29'!F93</f>
        <v>166674</v>
      </c>
      <c r="F93" s="662">
        <v>166775</v>
      </c>
      <c r="G93" s="593">
        <f t="shared" si="9"/>
        <v>101</v>
      </c>
      <c r="H93" s="580">
        <f>G93+'[1]29'!H93</f>
        <v>4133</v>
      </c>
      <c r="I93" s="600"/>
      <c r="J93" s="673">
        <f>H93/DAY(B2)</f>
        <v>137.76666666666668</v>
      </c>
      <c r="K93" s="408"/>
      <c r="L93" s="405"/>
      <c r="O93" s="947"/>
    </row>
    <row r="94" spans="1:15" ht="29.25" x14ac:dyDescent="0.5">
      <c r="A94" s="1624" t="s">
        <v>235</v>
      </c>
      <c r="B94" s="1625"/>
      <c r="C94" s="1625"/>
      <c r="D94" s="643"/>
      <c r="E94" s="575"/>
      <c r="F94" s="604"/>
      <c r="G94" s="593">
        <f>G92+G93</f>
        <v>156</v>
      </c>
      <c r="H94" s="580">
        <f>G94+'[1]29'!H94</f>
        <v>6738</v>
      </c>
      <c r="I94" s="600"/>
      <c r="J94" s="673">
        <f>H94/DAY(B2)</f>
        <v>224.6</v>
      </c>
      <c r="K94" s="408"/>
      <c r="L94" s="405"/>
      <c r="O94" s="947"/>
    </row>
    <row r="95" spans="1:15" ht="27.75" x14ac:dyDescent="0.5">
      <c r="A95" s="1622" t="s">
        <v>236</v>
      </c>
      <c r="B95" s="1623"/>
      <c r="C95" s="1623"/>
      <c r="D95" s="643" t="s">
        <v>171</v>
      </c>
      <c r="E95" s="575">
        <f>'[1]29'!F95</f>
        <v>403525</v>
      </c>
      <c r="F95" s="604">
        <v>403602</v>
      </c>
      <c r="G95" s="593">
        <f t="shared" ref="G95:G99" si="10">F95-E95</f>
        <v>77</v>
      </c>
      <c r="H95" s="580">
        <f>G95+'[1]29'!H95</f>
        <v>2037</v>
      </c>
      <c r="I95" s="600"/>
      <c r="J95" s="673">
        <f>H95/DAY(B2)</f>
        <v>67.900000000000006</v>
      </c>
      <c r="K95" s="408"/>
      <c r="L95" s="405"/>
      <c r="O95" s="947"/>
    </row>
    <row r="96" spans="1:15" ht="27.75" x14ac:dyDescent="0.5">
      <c r="A96" s="1354" t="s">
        <v>237</v>
      </c>
      <c r="B96" s="1355"/>
      <c r="C96" s="1355"/>
      <c r="D96" s="643" t="s">
        <v>171</v>
      </c>
      <c r="E96" s="575">
        <f>'[1]29'!F96</f>
        <v>99893</v>
      </c>
      <c r="F96" s="604">
        <v>99906</v>
      </c>
      <c r="G96" s="593">
        <f t="shared" si="10"/>
        <v>13</v>
      </c>
      <c r="H96" s="580">
        <f>G96+'[1]29'!H96</f>
        <v>795</v>
      </c>
      <c r="I96" s="600"/>
      <c r="J96" s="673">
        <f>H96/DAY(B2)</f>
        <v>26.5</v>
      </c>
      <c r="K96" s="507"/>
      <c r="L96" s="405"/>
      <c r="O96" s="947"/>
    </row>
    <row r="97" spans="1:15" ht="27.75" x14ac:dyDescent="0.5">
      <c r="A97" s="1354" t="s">
        <v>238</v>
      </c>
      <c r="B97" s="1355"/>
      <c r="C97" s="1355"/>
      <c r="D97" s="643" t="s">
        <v>171</v>
      </c>
      <c r="E97" s="575">
        <f>'[1]29'!F97</f>
        <v>94995</v>
      </c>
      <c r="F97" s="604">
        <v>95005</v>
      </c>
      <c r="G97" s="593">
        <f t="shared" si="10"/>
        <v>10</v>
      </c>
      <c r="H97" s="580">
        <f>G97+'[1]29'!H97</f>
        <v>733</v>
      </c>
      <c r="I97" s="600"/>
      <c r="J97" s="673">
        <f>H97/DAY(B2)</f>
        <v>24.433333333333334</v>
      </c>
      <c r="K97" s="512"/>
      <c r="L97" s="405"/>
      <c r="O97" s="947"/>
    </row>
    <row r="98" spans="1:15" ht="27.75" x14ac:dyDescent="0.5">
      <c r="A98" s="1354" t="s">
        <v>239</v>
      </c>
      <c r="B98" s="1355"/>
      <c r="C98" s="1355"/>
      <c r="D98" s="643" t="s">
        <v>171</v>
      </c>
      <c r="E98" s="575">
        <f>'[1]29'!F98</f>
        <v>143697</v>
      </c>
      <c r="F98" s="604">
        <v>143757</v>
      </c>
      <c r="G98" s="593">
        <f t="shared" si="10"/>
        <v>60</v>
      </c>
      <c r="H98" s="580">
        <f>G98+'[1]29'!H98</f>
        <v>1611</v>
      </c>
      <c r="I98" s="600"/>
      <c r="J98" s="673">
        <f>H98/DAY(B2)</f>
        <v>53.7</v>
      </c>
      <c r="K98" s="408"/>
      <c r="L98" s="405"/>
      <c r="O98" s="947"/>
    </row>
    <row r="99" spans="1:15" ht="27.75" x14ac:dyDescent="0.5">
      <c r="A99" s="1354" t="s">
        <v>240</v>
      </c>
      <c r="B99" s="1355"/>
      <c r="C99" s="1355"/>
      <c r="D99" s="643" t="s">
        <v>171</v>
      </c>
      <c r="E99" s="575">
        <f>'[1]29'!F99</f>
        <v>5492</v>
      </c>
      <c r="F99" s="604">
        <v>5497</v>
      </c>
      <c r="G99" s="593">
        <f t="shared" si="10"/>
        <v>5</v>
      </c>
      <c r="H99" s="580">
        <f>G99+'[1]29'!H99</f>
        <v>529</v>
      </c>
      <c r="I99" s="600"/>
      <c r="J99" s="673">
        <f>H99/DAY(B2)</f>
        <v>17.633333333333333</v>
      </c>
      <c r="K99" s="408"/>
      <c r="L99" s="405"/>
      <c r="O99" s="947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575">
        <f>'[1]29'!F100</f>
        <v>3941</v>
      </c>
      <c r="F100" s="604">
        <v>3952</v>
      </c>
      <c r="G100" s="593">
        <f>F100-E100</f>
        <v>11</v>
      </c>
      <c r="H100" s="580">
        <f>G100+'[1]29'!H100</f>
        <v>156</v>
      </c>
      <c r="I100" s="600"/>
      <c r="J100" s="673">
        <f>H100/DAY(B2)</f>
        <v>5.2</v>
      </c>
      <c r="K100" s="408"/>
      <c r="L100" s="405"/>
      <c r="O100" s="947"/>
    </row>
    <row r="101" spans="1:15" ht="29.25" x14ac:dyDescent="0.5">
      <c r="A101" s="1624" t="s">
        <v>242</v>
      </c>
      <c r="B101" s="1625"/>
      <c r="C101" s="1625"/>
      <c r="D101" s="644"/>
      <c r="E101" s="644"/>
      <c r="F101" s="644"/>
      <c r="G101" s="645">
        <f>SUM(G95:G100)</f>
        <v>176</v>
      </c>
      <c r="H101" s="580">
        <f>G101+'[1]29'!H101</f>
        <v>5861</v>
      </c>
      <c r="I101" s="646"/>
      <c r="J101" s="673">
        <f>H101/DAY(B2)</f>
        <v>195.36666666666667</v>
      </c>
      <c r="K101" s="408"/>
      <c r="L101" s="405"/>
      <c r="O101" s="947"/>
    </row>
    <row r="102" spans="1:15" s="524" customFormat="1" ht="27" x14ac:dyDescent="0.35">
      <c r="A102" s="728" t="s">
        <v>243</v>
      </c>
      <c r="B102" s="729"/>
      <c r="C102" s="729"/>
      <c r="D102" s="742"/>
      <c r="E102" s="647"/>
      <c r="F102" s="648"/>
      <c r="G102" s="649"/>
      <c r="H102" s="650"/>
      <c r="I102" s="651"/>
      <c r="J102" s="678"/>
      <c r="O102" s="947"/>
    </row>
    <row r="103" spans="1:15" s="524" customFormat="1" ht="27.75" x14ac:dyDescent="0.5">
      <c r="A103" s="1631" t="s">
        <v>244</v>
      </c>
      <c r="B103" s="1632"/>
      <c r="C103" s="694"/>
      <c r="D103" s="743"/>
      <c r="E103" s="652"/>
      <c r="F103" s="652"/>
      <c r="G103" s="652"/>
      <c r="H103" s="653"/>
      <c r="I103" s="652"/>
      <c r="J103" s="679"/>
      <c r="O103" s="947"/>
    </row>
    <row r="104" spans="1:15" s="524" customFormat="1" ht="27.75" x14ac:dyDescent="0.5">
      <c r="A104" s="1633" t="s">
        <v>245</v>
      </c>
      <c r="B104" s="1634"/>
      <c r="C104" s="1363"/>
      <c r="D104" s="743" t="s">
        <v>171</v>
      </c>
      <c r="E104" s="652">
        <f>'[1]29'!F104</f>
        <v>7010</v>
      </c>
      <c r="F104" s="652">
        <v>7010</v>
      </c>
      <c r="G104" s="652">
        <f>F104-E104</f>
        <v>0</v>
      </c>
      <c r="H104" s="653">
        <f>SUM(G104+'[1]1'!G76)</f>
        <v>57</v>
      </c>
      <c r="I104" s="652"/>
      <c r="J104" s="679">
        <f>H104/DAY(B2)</f>
        <v>1.9</v>
      </c>
      <c r="O104" s="947"/>
    </row>
    <row r="105" spans="1:15" s="524" customFormat="1" ht="27.75" x14ac:dyDescent="0.5">
      <c r="A105" s="1633" t="s">
        <v>92</v>
      </c>
      <c r="B105" s="1634"/>
      <c r="C105" s="1363"/>
      <c r="D105" s="743" t="s">
        <v>171</v>
      </c>
      <c r="E105" s="652">
        <f>'[1]29'!F105</f>
        <v>34913</v>
      </c>
      <c r="F105" s="654">
        <v>34920</v>
      </c>
      <c r="G105" s="652">
        <f t="shared" ref="G105:G106" si="11">F105-E105</f>
        <v>7</v>
      </c>
      <c r="H105" s="653">
        <f>SUM(G105+'[1]1'!G77)</f>
        <v>62</v>
      </c>
      <c r="I105" s="652"/>
      <c r="J105" s="679">
        <f>H105/DAY(B2)</f>
        <v>2.0666666666666669</v>
      </c>
      <c r="O105" s="947"/>
    </row>
    <row r="106" spans="1:15" s="524" customFormat="1" ht="27.75" x14ac:dyDescent="0.5">
      <c r="A106" s="1633" t="s">
        <v>93</v>
      </c>
      <c r="B106" s="1634"/>
      <c r="C106" s="1634"/>
      <c r="D106" s="743" t="s">
        <v>171</v>
      </c>
      <c r="E106" s="652">
        <f>'[1]29'!F106</f>
        <v>18878</v>
      </c>
      <c r="F106" s="652">
        <v>18883</v>
      </c>
      <c r="G106" s="652">
        <f t="shared" si="11"/>
        <v>5</v>
      </c>
      <c r="H106" s="653">
        <f>SUM(G106+'[1]1'!G78)</f>
        <v>485</v>
      </c>
      <c r="I106" s="652"/>
      <c r="J106" s="679">
        <f>H106/DAY(B2)</f>
        <v>16.166666666666668</v>
      </c>
      <c r="O106" s="947"/>
    </row>
    <row r="107" spans="1:15" s="524" customFormat="1" ht="27.75" x14ac:dyDescent="0.5">
      <c r="A107" s="1649" t="s">
        <v>82</v>
      </c>
      <c r="B107" s="1650"/>
      <c r="C107" s="1363"/>
      <c r="D107" s="743"/>
      <c r="E107" s="652">
        <f>'[1]29'!F107</f>
        <v>0</v>
      </c>
      <c r="F107" s="652"/>
      <c r="G107" s="652">
        <f>SUM(G104:G106)</f>
        <v>12</v>
      </c>
      <c r="H107" s="653">
        <f>SUM(G107+'[1]1'!G79)</f>
        <v>213</v>
      </c>
      <c r="I107" s="652"/>
      <c r="J107" s="679">
        <f>H107/DAY(B2)</f>
        <v>7.1</v>
      </c>
      <c r="O107" s="947"/>
    </row>
    <row r="108" spans="1:15" s="524" customFormat="1" ht="27.75" x14ac:dyDescent="0.5">
      <c r="A108" s="1651" t="s">
        <v>94</v>
      </c>
      <c r="B108" s="1652"/>
      <c r="C108" s="1363"/>
      <c r="D108" s="743" t="s">
        <v>171</v>
      </c>
      <c r="E108" s="652">
        <f>'[1]29'!F108</f>
        <v>0</v>
      </c>
      <c r="F108" s="652"/>
      <c r="G108" s="652"/>
      <c r="H108" s="653"/>
      <c r="I108" s="652"/>
      <c r="J108" s="679"/>
      <c r="O108" s="947"/>
    </row>
    <row r="109" spans="1:15" s="524" customFormat="1" ht="27.75" x14ac:dyDescent="0.5">
      <c r="A109" s="1633" t="s">
        <v>246</v>
      </c>
      <c r="B109" s="1634"/>
      <c r="C109" s="1363"/>
      <c r="D109" s="743" t="s">
        <v>171</v>
      </c>
      <c r="E109" s="652">
        <f>'[1]29'!F109</f>
        <v>52931</v>
      </c>
      <c r="F109" s="652">
        <v>52971</v>
      </c>
      <c r="G109" s="652">
        <f>F109-E109</f>
        <v>40</v>
      </c>
      <c r="H109" s="653">
        <f>SUM(G109+'[1]1'!G81)</f>
        <v>193.28000000002794</v>
      </c>
      <c r="I109" s="652"/>
      <c r="J109" s="679">
        <f>H109/DAY(B2)</f>
        <v>6.4426666666675976</v>
      </c>
      <c r="O109" s="947"/>
    </row>
    <row r="110" spans="1:15" s="524" customFormat="1" ht="27.75" x14ac:dyDescent="0.5">
      <c r="A110" s="1633" t="s">
        <v>247</v>
      </c>
      <c r="B110" s="1634"/>
      <c r="C110" s="1363"/>
      <c r="D110" s="743" t="s">
        <v>171</v>
      </c>
      <c r="E110" s="652">
        <f>'[1]29'!F110</f>
        <v>26801</v>
      </c>
      <c r="F110" s="654">
        <v>26847</v>
      </c>
      <c r="G110" s="652">
        <f t="shared" ref="G110:G111" si="12">F110-E110</f>
        <v>46</v>
      </c>
      <c r="H110" s="653">
        <f>SUM(G110+'[1]1'!G82)</f>
        <v>66.760000000009313</v>
      </c>
      <c r="I110" s="652"/>
      <c r="J110" s="679">
        <f>H110/DAY(B2)</f>
        <v>2.2253333333336438</v>
      </c>
      <c r="O110" s="947"/>
    </row>
    <row r="111" spans="1:15" s="524" customFormat="1" ht="27.75" x14ac:dyDescent="0.5">
      <c r="A111" s="1633" t="s">
        <v>248</v>
      </c>
      <c r="B111" s="1634"/>
      <c r="C111" s="1363"/>
      <c r="D111" s="743" t="s">
        <v>171</v>
      </c>
      <c r="E111" s="652">
        <f>'[1]29'!F111</f>
        <v>3551</v>
      </c>
      <c r="F111" s="654">
        <v>3567</v>
      </c>
      <c r="G111" s="652">
        <f t="shared" si="12"/>
        <v>16</v>
      </c>
      <c r="H111" s="653">
        <f>SUM(G111+'[1]1'!G83)</f>
        <v>362</v>
      </c>
      <c r="I111" s="652"/>
      <c r="J111" s="679">
        <f>H111/DAY(B2)</f>
        <v>12.066666666666666</v>
      </c>
      <c r="O111" s="947"/>
    </row>
    <row r="112" spans="1:15" s="524" customFormat="1" ht="27.75" x14ac:dyDescent="0.5">
      <c r="A112" s="1653" t="s">
        <v>136</v>
      </c>
      <c r="B112" s="1654"/>
      <c r="C112" s="1363"/>
      <c r="D112" s="743"/>
      <c r="E112" s="652">
        <f>'[1]29'!F112</f>
        <v>0</v>
      </c>
      <c r="F112" s="652"/>
      <c r="G112" s="652">
        <f>SUM(G109:G111)</f>
        <v>102</v>
      </c>
      <c r="H112" s="653">
        <f>SUM(G112+'[1]1'!G84)</f>
        <v>666</v>
      </c>
      <c r="I112" s="652"/>
      <c r="J112" s="679">
        <f>H112/DAY(B2)</f>
        <v>22.2</v>
      </c>
      <c r="O112" s="947"/>
    </row>
    <row r="113" spans="1:15" s="524" customFormat="1" ht="27.75" x14ac:dyDescent="0.5">
      <c r="A113" s="1651" t="s">
        <v>249</v>
      </c>
      <c r="B113" s="1652"/>
      <c r="C113" s="1363"/>
      <c r="D113" s="743"/>
      <c r="E113" s="652">
        <f>'[1]29'!F113</f>
        <v>0</v>
      </c>
      <c r="F113" s="652"/>
      <c r="G113" s="652"/>
      <c r="H113" s="653"/>
      <c r="I113" s="652"/>
      <c r="J113" s="679">
        <f>H113/DAY(B2)</f>
        <v>0</v>
      </c>
      <c r="O113" s="947"/>
    </row>
    <row r="114" spans="1:15" s="524" customFormat="1" ht="27.75" x14ac:dyDescent="0.5">
      <c r="A114" s="1633" t="s">
        <v>250</v>
      </c>
      <c r="B114" s="1634"/>
      <c r="C114" s="695"/>
      <c r="D114" s="743" t="s">
        <v>171</v>
      </c>
      <c r="E114" s="652">
        <f>'[1]29'!F114</f>
        <v>9226</v>
      </c>
      <c r="F114" s="654">
        <v>9233</v>
      </c>
      <c r="G114" s="654">
        <f>F114-E114</f>
        <v>7</v>
      </c>
      <c r="H114" s="654">
        <f>SUM(G114+'[1]1'!G91)</f>
        <v>7</v>
      </c>
      <c r="I114" s="652"/>
      <c r="J114" s="679">
        <f>H114/DAY(B2)</f>
        <v>0.23333333333333334</v>
      </c>
      <c r="O114" s="947"/>
    </row>
    <row r="115" spans="1:15" s="524" customFormat="1" ht="27.75" x14ac:dyDescent="0.5">
      <c r="A115" s="1633" t="s">
        <v>251</v>
      </c>
      <c r="B115" s="1634"/>
      <c r="C115" s="695"/>
      <c r="D115" s="743" t="s">
        <v>171</v>
      </c>
      <c r="E115" s="652">
        <f>'[1]29'!F115</f>
        <v>7174</v>
      </c>
      <c r="F115" s="654">
        <v>7178</v>
      </c>
      <c r="G115" s="654">
        <f t="shared" ref="G115:G116" si="13">F115-E115</f>
        <v>4</v>
      </c>
      <c r="H115" s="654">
        <f>SUM(G115+'[1]1'!G92)</f>
        <v>116</v>
      </c>
      <c r="I115" s="652"/>
      <c r="J115" s="679">
        <f>H115/DAY(B2)</f>
        <v>3.8666666666666667</v>
      </c>
      <c r="O115" s="947"/>
    </row>
    <row r="116" spans="1:15" s="524" customFormat="1" ht="27.75" x14ac:dyDescent="0.5">
      <c r="A116" s="1633" t="s">
        <v>252</v>
      </c>
      <c r="B116" s="1634"/>
      <c r="C116" s="695"/>
      <c r="D116" s="743" t="s">
        <v>171</v>
      </c>
      <c r="E116" s="654"/>
      <c r="F116" s="654"/>
      <c r="G116" s="654">
        <f t="shared" si="13"/>
        <v>0</v>
      </c>
      <c r="H116" s="654">
        <f>SUM(G116+'[1]1'!G93)</f>
        <v>151</v>
      </c>
      <c r="I116" s="652"/>
      <c r="J116" s="679">
        <f>H116/DAY(B2)</f>
        <v>5.0333333333333332</v>
      </c>
      <c r="O116" s="947"/>
    </row>
    <row r="117" spans="1:15" s="537" customFormat="1" ht="27.75" x14ac:dyDescent="0.5">
      <c r="A117" s="1649" t="s">
        <v>82</v>
      </c>
      <c r="B117" s="1650"/>
      <c r="C117" s="695"/>
      <c r="D117" s="744"/>
      <c r="E117" s="654"/>
      <c r="F117" s="654"/>
      <c r="G117" s="654">
        <f>SUM(G114:G116)</f>
        <v>11</v>
      </c>
      <c r="H117" s="654">
        <f>SUM(G117+'[1]1'!G95)</f>
        <v>58</v>
      </c>
      <c r="I117" s="654"/>
      <c r="J117" s="679">
        <f>H117/DAY(B2)</f>
        <v>1.9333333333333333</v>
      </c>
      <c r="O117" s="947"/>
    </row>
    <row r="118" spans="1:15" s="538" customFormat="1" ht="27.75" x14ac:dyDescent="0.5">
      <c r="A118" s="1655" t="s">
        <v>253</v>
      </c>
      <c r="B118" s="1656"/>
      <c r="C118" s="1362"/>
      <c r="D118" s="745" t="s">
        <v>171</v>
      </c>
      <c r="E118" s="655"/>
      <c r="F118" s="656">
        <f>SUM(G19+G92)</f>
        <v>109</v>
      </c>
      <c r="G118" s="656">
        <f>SUM(G19+G92)</f>
        <v>109</v>
      </c>
      <c r="H118" s="657">
        <f>SUM(G118+'[1]1'!G96)</f>
        <v>142</v>
      </c>
      <c r="I118" s="655"/>
      <c r="J118" s="680">
        <f>H118/DAY(B2)</f>
        <v>4.7333333333333334</v>
      </c>
      <c r="O118" s="947"/>
    </row>
    <row r="119" spans="1:15" s="538" customFormat="1" ht="27.75" x14ac:dyDescent="0.5">
      <c r="A119" s="1655" t="s">
        <v>254</v>
      </c>
      <c r="B119" s="1656"/>
      <c r="C119" s="1362"/>
      <c r="D119" s="745" t="s">
        <v>171</v>
      </c>
      <c r="E119" s="655"/>
      <c r="F119" s="656">
        <f>SUM(G95,G96,G97,G99,G100)</f>
        <v>116</v>
      </c>
      <c r="G119" s="656">
        <f>SUM(G95,G96,G97,G99,G100)</f>
        <v>116</v>
      </c>
      <c r="H119" s="657">
        <f>SUM(G119+'[1]1'!G98)</f>
        <v>183</v>
      </c>
      <c r="I119" s="655"/>
      <c r="J119" s="680">
        <f>H119/DAY(B2)</f>
        <v>6.1</v>
      </c>
      <c r="O119" s="947"/>
    </row>
    <row r="120" spans="1:15" s="538" customFormat="1" ht="27.75" x14ac:dyDescent="0.5">
      <c r="A120" s="1655" t="s">
        <v>255</v>
      </c>
      <c r="B120" s="1656"/>
      <c r="C120" s="1362"/>
      <c r="D120" s="745" t="s">
        <v>171</v>
      </c>
      <c r="E120" s="655"/>
      <c r="F120" s="654">
        <f>SUM(G112)</f>
        <v>102</v>
      </c>
      <c r="G120" s="654">
        <f>SUM(G112)</f>
        <v>102</v>
      </c>
      <c r="H120" s="657">
        <f>SUM(G120+'[1]1'!G100)</f>
        <v>102</v>
      </c>
      <c r="I120" s="655"/>
      <c r="J120" s="680">
        <f>H120/DAY(B2)</f>
        <v>3.4</v>
      </c>
      <c r="O120" s="947"/>
    </row>
    <row r="121" spans="1:15" s="524" customFormat="1" ht="27.75" x14ac:dyDescent="0.5">
      <c r="A121" s="1657"/>
      <c r="B121" s="1658"/>
      <c r="C121" s="1363"/>
      <c r="D121" s="681"/>
      <c r="E121" s="681"/>
      <c r="F121" s="681" t="s">
        <v>143</v>
      </c>
      <c r="G121" s="681"/>
      <c r="H121" s="682"/>
      <c r="I121" s="681"/>
      <c r="J121" s="683"/>
      <c r="O121" s="947"/>
    </row>
    <row r="122" spans="1:15" ht="29.25" x14ac:dyDescent="0.5">
      <c r="A122" s="1626" t="s">
        <v>256</v>
      </c>
      <c r="B122" s="1627"/>
      <c r="C122" s="1627"/>
      <c r="D122" s="592"/>
      <c r="E122" s="592"/>
      <c r="F122" s="592"/>
      <c r="G122" s="603"/>
      <c r="H122" s="603"/>
      <c r="I122" s="603"/>
      <c r="J122" s="684"/>
      <c r="K122" s="408"/>
      <c r="L122" s="405"/>
      <c r="O122" s="947"/>
    </row>
    <row r="123" spans="1:15" ht="21.95" customHeight="1" x14ac:dyDescent="0.5">
      <c r="A123" s="1354" t="s">
        <v>257</v>
      </c>
      <c r="B123" s="1355"/>
      <c r="C123" s="1355"/>
      <c r="D123" s="643" t="s">
        <v>168</v>
      </c>
      <c r="E123" s="575">
        <f>'[1]29'!F123</f>
        <v>794918</v>
      </c>
      <c r="F123" s="598">
        <v>795182.7</v>
      </c>
      <c r="G123" s="593">
        <f t="shared" ref="G123:G127" si="14">F123-E123</f>
        <v>264.69999999995343</v>
      </c>
      <c r="H123" s="580">
        <f>G123+'[1]29'!H123</f>
        <v>6351.6300000000047</v>
      </c>
      <c r="I123" s="646"/>
      <c r="J123" s="673">
        <f>H123/DAY(B2)</f>
        <v>211.72100000000015</v>
      </c>
      <c r="K123" s="408"/>
      <c r="L123" s="405"/>
      <c r="O123" s="947"/>
    </row>
    <row r="124" spans="1:15" ht="21.95" customHeight="1" x14ac:dyDescent="0.5">
      <c r="A124" s="1354" t="s">
        <v>258</v>
      </c>
      <c r="B124" s="1355"/>
      <c r="C124" s="1355"/>
      <c r="D124" s="643" t="s">
        <v>168</v>
      </c>
      <c r="E124" s="575">
        <f>'[1]29'!F124</f>
        <v>73582.2</v>
      </c>
      <c r="F124" s="598">
        <v>73582.2</v>
      </c>
      <c r="G124" s="593">
        <f t="shared" si="14"/>
        <v>0</v>
      </c>
      <c r="H124" s="580">
        <f>G124+'[1]29'!H124</f>
        <v>0</v>
      </c>
      <c r="I124" s="646"/>
      <c r="J124" s="673">
        <f>H124/DAY(B2)</f>
        <v>0</v>
      </c>
      <c r="K124" s="408"/>
      <c r="L124" s="405"/>
      <c r="O124" s="947"/>
    </row>
    <row r="125" spans="1:15" ht="21.95" customHeight="1" x14ac:dyDescent="0.5">
      <c r="A125" s="1628" t="s">
        <v>259</v>
      </c>
      <c r="B125" s="1450"/>
      <c r="C125" s="1450"/>
      <c r="D125" s="643" t="s">
        <v>168</v>
      </c>
      <c r="E125" s="575">
        <f>'[1]29'!F125</f>
        <v>135448</v>
      </c>
      <c r="F125" s="768">
        <v>135512</v>
      </c>
      <c r="G125" s="593">
        <f t="shared" si="14"/>
        <v>64</v>
      </c>
      <c r="H125" s="580">
        <f>G125+'[1]29'!H125</f>
        <v>2389.1199999999953</v>
      </c>
      <c r="I125" s="646"/>
      <c r="J125" s="673">
        <f>H125/DAY(B2)</f>
        <v>79.637333333333174</v>
      </c>
      <c r="K125" s="408"/>
      <c r="L125" s="405"/>
      <c r="O125" s="947"/>
    </row>
    <row r="126" spans="1:15" ht="21.95" customHeight="1" x14ac:dyDescent="0.5">
      <c r="A126" s="730" t="s">
        <v>260</v>
      </c>
      <c r="B126" s="1355"/>
      <c r="C126" s="1355"/>
      <c r="D126" s="643" t="s">
        <v>168</v>
      </c>
      <c r="E126" s="575">
        <f>'[1]29'!F126</f>
        <v>57308.800000000003</v>
      </c>
      <c r="F126" s="598">
        <v>57339.3</v>
      </c>
      <c r="G126" s="593">
        <f t="shared" si="14"/>
        <v>30.5</v>
      </c>
      <c r="H126" s="580">
        <f>G126+'[1]29'!H126</f>
        <v>991.10000000000582</v>
      </c>
      <c r="I126" s="646"/>
      <c r="J126" s="673">
        <f>H126/DAY(B2)</f>
        <v>33.036666666666861</v>
      </c>
      <c r="K126" s="408"/>
      <c r="L126" s="405"/>
      <c r="O126" s="947"/>
    </row>
    <row r="127" spans="1:15" ht="21.95" customHeight="1" x14ac:dyDescent="0.5">
      <c r="A127" s="730" t="s">
        <v>261</v>
      </c>
      <c r="B127" s="1355"/>
      <c r="C127" s="1355"/>
      <c r="D127" s="643" t="s">
        <v>168</v>
      </c>
      <c r="E127" s="575">
        <f>'[1]29'!F127</f>
        <v>8699</v>
      </c>
      <c r="F127" s="598">
        <v>8701</v>
      </c>
      <c r="G127" s="593">
        <f t="shared" si="14"/>
        <v>2</v>
      </c>
      <c r="H127" s="580">
        <f>G127+'[1]29'!H127</f>
        <v>60.899999999999636</v>
      </c>
      <c r="I127" s="600"/>
      <c r="J127" s="673">
        <f>H127/DAY(B2)</f>
        <v>2.0299999999999878</v>
      </c>
      <c r="K127" s="408"/>
      <c r="L127" s="405"/>
      <c r="O127" s="947"/>
    </row>
    <row r="128" spans="1:15" s="278" customFormat="1" ht="21.75" customHeight="1" x14ac:dyDescent="0.5">
      <c r="A128" s="730" t="s">
        <v>262</v>
      </c>
      <c r="B128" s="1355"/>
      <c r="C128" s="1355"/>
      <c r="D128" s="643"/>
      <c r="E128" s="575"/>
      <c r="F128" s="598"/>
      <c r="G128" s="593">
        <f>G15-SUM(G123:G127)</f>
        <v>424.80000000004657</v>
      </c>
      <c r="H128" s="580"/>
      <c r="I128" s="600"/>
      <c r="J128" s="673"/>
      <c r="K128" s="388"/>
      <c r="L128" s="290"/>
      <c r="O128" s="947"/>
    </row>
    <row r="129" spans="1:15" ht="29.25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O129" s="947"/>
    </row>
    <row r="130" spans="1:15" ht="27.75" x14ac:dyDescent="0.5">
      <c r="A130" s="1354" t="s">
        <v>264</v>
      </c>
      <c r="B130" s="1355"/>
      <c r="C130" s="1355"/>
      <c r="D130" s="643" t="s">
        <v>265</v>
      </c>
      <c r="E130" s="575">
        <f>'[1]29'!F130</f>
        <v>0</v>
      </c>
      <c r="F130" s="604">
        <v>0</v>
      </c>
      <c r="G130" s="593">
        <f t="shared" ref="G130:G140" si="15">F130-E130</f>
        <v>0</v>
      </c>
      <c r="H130" s="580">
        <f>G130+'[1]29'!H130</f>
        <v>0</v>
      </c>
      <c r="I130" s="600"/>
      <c r="J130" s="673">
        <f>H130/DAY(B2)</f>
        <v>0</v>
      </c>
      <c r="O130" s="947"/>
    </row>
    <row r="131" spans="1:15" ht="27.75" x14ac:dyDescent="0.5">
      <c r="A131" s="1354" t="s">
        <v>266</v>
      </c>
      <c r="B131" s="1355"/>
      <c r="C131" s="1355"/>
      <c r="D131" s="643" t="s">
        <v>265</v>
      </c>
      <c r="E131" s="575">
        <f>'[1]29'!F131</f>
        <v>0</v>
      </c>
      <c r="F131" s="604">
        <v>0</v>
      </c>
      <c r="G131" s="593">
        <f t="shared" si="15"/>
        <v>0</v>
      </c>
      <c r="H131" s="580">
        <f>G131+'[1]29'!H131</f>
        <v>0</v>
      </c>
      <c r="I131" s="600"/>
      <c r="J131" s="673">
        <f>H131/DAY(B2)</f>
        <v>0</v>
      </c>
      <c r="O131" s="947"/>
    </row>
    <row r="132" spans="1:15" ht="27.75" x14ac:dyDescent="0.5">
      <c r="A132" s="1354" t="s">
        <v>267</v>
      </c>
      <c r="B132" s="1355"/>
      <c r="C132" s="1355"/>
      <c r="D132" s="643" t="s">
        <v>265</v>
      </c>
      <c r="E132" s="575">
        <f>'[1]29'!F132</f>
        <v>38901</v>
      </c>
      <c r="F132" s="662">
        <v>38901</v>
      </c>
      <c r="G132" s="593">
        <f t="shared" si="15"/>
        <v>0</v>
      </c>
      <c r="H132" s="580">
        <f>G132+'[1]29'!H132</f>
        <v>0</v>
      </c>
      <c r="I132" s="600"/>
      <c r="J132" s="673">
        <f>H132/DAY(B2)</f>
        <v>0</v>
      </c>
      <c r="O132" s="947"/>
    </row>
    <row r="133" spans="1:15" ht="27.75" x14ac:dyDescent="0.5">
      <c r="A133" s="1354" t="s">
        <v>268</v>
      </c>
      <c r="B133" s="1355"/>
      <c r="C133" s="1355"/>
      <c r="D133" s="643" t="s">
        <v>265</v>
      </c>
      <c r="E133" s="575">
        <f>'[1]29'!F133</f>
        <v>299</v>
      </c>
      <c r="F133" s="662">
        <v>299</v>
      </c>
      <c r="G133" s="593">
        <f t="shared" si="15"/>
        <v>0</v>
      </c>
      <c r="H133" s="580">
        <f>G133+'[1]29'!H133</f>
        <v>299</v>
      </c>
      <c r="I133" s="600">
        <f>G130+G131+G132+G133</f>
        <v>0</v>
      </c>
      <c r="J133" s="673">
        <f>H133/DAY(B2)</f>
        <v>9.9666666666666668</v>
      </c>
      <c r="O133" s="947"/>
    </row>
    <row r="134" spans="1:15" ht="27.75" x14ac:dyDescent="0.5">
      <c r="A134" s="1354" t="s">
        <v>269</v>
      </c>
      <c r="B134" s="1355"/>
      <c r="C134" s="1355"/>
      <c r="D134" s="643" t="s">
        <v>265</v>
      </c>
      <c r="E134" s="575">
        <f>'[1]29'!F134</f>
        <v>39735</v>
      </c>
      <c r="F134" s="662">
        <v>39735</v>
      </c>
      <c r="G134" s="593">
        <f t="shared" si="15"/>
        <v>0</v>
      </c>
      <c r="H134" s="580">
        <f>G134+'[1]29'!H134</f>
        <v>24</v>
      </c>
      <c r="I134" s="600"/>
      <c r="J134" s="673">
        <f>H134/DAY(B2)</f>
        <v>0.8</v>
      </c>
      <c r="O134" s="947"/>
    </row>
    <row r="135" spans="1:15" ht="27.75" x14ac:dyDescent="0.5">
      <c r="A135" s="1354" t="s">
        <v>270</v>
      </c>
      <c r="B135" s="1355"/>
      <c r="C135" s="1355"/>
      <c r="D135" s="643" t="s">
        <v>265</v>
      </c>
      <c r="E135" s="575">
        <f>'[1]29'!F135</f>
        <v>32119.26</v>
      </c>
      <c r="F135" s="662">
        <v>32143.47</v>
      </c>
      <c r="G135" s="593">
        <f t="shared" si="15"/>
        <v>24.210000000002765</v>
      </c>
      <c r="H135" s="580">
        <f>G135+'[1]29'!H135</f>
        <v>181.47000000000116</v>
      </c>
      <c r="I135" s="600"/>
      <c r="J135" s="673">
        <f>H135/DAY(B2)</f>
        <v>6.0490000000000386</v>
      </c>
      <c r="O135" s="947"/>
    </row>
    <row r="136" spans="1:15" ht="27.75" x14ac:dyDescent="0.5">
      <c r="A136" s="1354" t="s">
        <v>271</v>
      </c>
      <c r="B136" s="1355"/>
      <c r="C136" s="1355"/>
      <c r="D136" s="643" t="s">
        <v>265</v>
      </c>
      <c r="E136" s="575">
        <f>'[1]29'!F136</f>
        <v>21795.37</v>
      </c>
      <c r="F136" s="662">
        <v>21795.37</v>
      </c>
      <c r="G136" s="593">
        <f t="shared" si="15"/>
        <v>0</v>
      </c>
      <c r="H136" s="580">
        <f>G136+'[1]29'!H136</f>
        <v>120.64999999999782</v>
      </c>
      <c r="I136" s="600">
        <f>G134+G135+G136</f>
        <v>24.210000000002765</v>
      </c>
      <c r="J136" s="673">
        <f>H136/DAY(B2)</f>
        <v>4.0216666666665937</v>
      </c>
      <c r="O136" s="947"/>
    </row>
    <row r="137" spans="1:15" ht="27.75" x14ac:dyDescent="0.5">
      <c r="A137" s="1354" t="s">
        <v>272</v>
      </c>
      <c r="B137" s="1355"/>
      <c r="C137" s="1355"/>
      <c r="D137" s="643" t="s">
        <v>265</v>
      </c>
      <c r="E137" s="575">
        <f>'[1]29'!F137</f>
        <v>24982.87</v>
      </c>
      <c r="F137" s="662">
        <v>24990.61</v>
      </c>
      <c r="G137" s="593">
        <f t="shared" si="15"/>
        <v>7.7400000000016007</v>
      </c>
      <c r="H137" s="580">
        <f>G137+'[1]29'!H137</f>
        <v>31.580000000001746</v>
      </c>
      <c r="I137" s="600"/>
      <c r="J137" s="673">
        <f>H137/DAY(B2)</f>
        <v>1.0526666666667248</v>
      </c>
      <c r="O137" s="947"/>
    </row>
    <row r="138" spans="1:15" ht="27.75" x14ac:dyDescent="0.5">
      <c r="A138" s="1354" t="s">
        <v>273</v>
      </c>
      <c r="B138" s="1355"/>
      <c r="C138" s="1355"/>
      <c r="D138" s="643" t="s">
        <v>265</v>
      </c>
      <c r="E138" s="575">
        <f>'[1]29'!F138</f>
        <v>70006.37</v>
      </c>
      <c r="F138" s="662">
        <v>70006.37</v>
      </c>
      <c r="G138" s="593">
        <f t="shared" si="15"/>
        <v>0</v>
      </c>
      <c r="H138" s="580">
        <f>G138+'[1]29'!H138</f>
        <v>20.369999999995343</v>
      </c>
      <c r="I138" s="600">
        <f>G137+G138</f>
        <v>7.7400000000016007</v>
      </c>
      <c r="J138" s="673">
        <f>H138/DAY(B2)</f>
        <v>0.67899999999984473</v>
      </c>
      <c r="O138" s="947"/>
    </row>
    <row r="139" spans="1:15" ht="27.75" x14ac:dyDescent="0.5">
      <c r="A139" s="1354" t="s">
        <v>274</v>
      </c>
      <c r="B139" s="1355"/>
      <c r="C139" s="1355"/>
      <c r="D139" s="643" t="s">
        <v>265</v>
      </c>
      <c r="E139" s="575">
        <f>'[1]29'!F139</f>
        <v>1063</v>
      </c>
      <c r="F139" s="604">
        <v>1063</v>
      </c>
      <c r="G139" s="593">
        <f t="shared" si="15"/>
        <v>0</v>
      </c>
      <c r="H139" s="580">
        <f>G139+'[1]29'!H139</f>
        <v>121.47000000000003</v>
      </c>
      <c r="I139" s="663"/>
      <c r="J139" s="673">
        <f>H139/DAY(B2)</f>
        <v>4.0490000000000013</v>
      </c>
      <c r="O139" s="947"/>
    </row>
    <row r="140" spans="1:15" ht="27.75" x14ac:dyDescent="0.5">
      <c r="A140" s="1354" t="s">
        <v>275</v>
      </c>
      <c r="B140" s="1355"/>
      <c r="C140" s="1355"/>
      <c r="D140" s="643" t="s">
        <v>265</v>
      </c>
      <c r="E140" s="607">
        <f>'[1]29'!F140</f>
        <v>4215.7700000000004</v>
      </c>
      <c r="F140" s="818">
        <v>4224.49</v>
      </c>
      <c r="G140" s="593">
        <f t="shared" si="15"/>
        <v>8.7199999999993452</v>
      </c>
      <c r="H140" s="580">
        <f>G140+'[1]29'!H140</f>
        <v>67.590000000000146</v>
      </c>
      <c r="I140" s="663"/>
      <c r="J140" s="673">
        <f>H140/DAY(B2)</f>
        <v>2.253000000000005</v>
      </c>
      <c r="O140" s="947"/>
    </row>
    <row r="141" spans="1:15" ht="21.95" customHeight="1" x14ac:dyDescent="0.5">
      <c r="A141" s="1629" t="s">
        <v>276</v>
      </c>
      <c r="B141" s="1630"/>
      <c r="C141" s="1358"/>
      <c r="D141" s="592"/>
      <c r="E141" s="845"/>
      <c r="F141" s="845"/>
      <c r="G141" s="603"/>
      <c r="H141" s="603"/>
      <c r="I141" s="603"/>
      <c r="J141" s="684"/>
      <c r="K141" s="408"/>
      <c r="L141" s="405"/>
      <c r="O141" s="947"/>
    </row>
    <row r="142" spans="1:15" ht="21.95" customHeight="1" x14ac:dyDescent="0.5">
      <c r="A142" s="1622" t="s">
        <v>277</v>
      </c>
      <c r="B142" s="1623"/>
      <c r="C142" s="1623"/>
      <c r="D142" s="643" t="s">
        <v>159</v>
      </c>
      <c r="E142" s="643"/>
      <c r="F142" s="643"/>
      <c r="G142" s="580">
        <f>G35+G43+G49+G57</f>
        <v>4750.3899999999849</v>
      </c>
      <c r="H142" s="580">
        <f>G142+'[1]29'!H142</f>
        <v>149234.7429999999</v>
      </c>
      <c r="I142" s="600"/>
      <c r="J142" s="673">
        <f>H142/DAY(B2)</f>
        <v>4974.49143333333</v>
      </c>
      <c r="K142" s="408"/>
      <c r="L142" s="405"/>
      <c r="O142" s="947"/>
    </row>
    <row r="143" spans="1:15" ht="21.95" customHeight="1" x14ac:dyDescent="0.5">
      <c r="A143" s="1622" t="s">
        <v>278</v>
      </c>
      <c r="B143" s="1623"/>
      <c r="C143" s="1623"/>
      <c r="D143" s="643" t="s">
        <v>38</v>
      </c>
      <c r="E143" s="631"/>
      <c r="F143" s="631"/>
      <c r="G143" s="664">
        <f>G142/G7</f>
        <v>0.26562234399463125</v>
      </c>
      <c r="H143" s="580">
        <f>G143+'[1]29'!H143</f>
        <v>7.3342638400835201</v>
      </c>
      <c r="I143" s="665"/>
      <c r="J143" s="673">
        <f>H143/DAY(B2)</f>
        <v>0.24447546133611733</v>
      </c>
      <c r="K143" s="408"/>
      <c r="L143" s="405"/>
      <c r="O143" s="947"/>
    </row>
    <row r="144" spans="1:15" ht="21.95" customHeight="1" x14ac:dyDescent="0.5">
      <c r="A144" s="1622" t="s">
        <v>279</v>
      </c>
      <c r="B144" s="1623"/>
      <c r="C144" s="1623"/>
      <c r="D144" s="643" t="s">
        <v>159</v>
      </c>
      <c r="E144" s="575"/>
      <c r="F144" s="575"/>
      <c r="G144" s="580">
        <f>G41+G42+G55+G56</f>
        <v>3570.4300000000221</v>
      </c>
      <c r="H144" s="580">
        <f>G144+'[1]29'!H144</f>
        <v>132727.03999999998</v>
      </c>
      <c r="I144" s="600"/>
      <c r="J144" s="673">
        <f>H144/DAY(B2)</f>
        <v>4424.2346666666663</v>
      </c>
      <c r="K144" s="408"/>
      <c r="L144" s="405"/>
      <c r="O144" s="947"/>
    </row>
    <row r="145" spans="1:15" ht="21.95" customHeight="1" x14ac:dyDescent="0.5">
      <c r="A145" s="1622" t="s">
        <v>280</v>
      </c>
      <c r="B145" s="1623"/>
      <c r="C145" s="1623"/>
      <c r="D145" s="643" t="s">
        <v>38</v>
      </c>
      <c r="E145" s="575"/>
      <c r="F145" s="575"/>
      <c r="G145" s="664">
        <f>G144/G7</f>
        <v>0.19964381570118667</v>
      </c>
      <c r="H145" s="580">
        <f>G145+'[1]29'!H145</f>
        <v>6.6202321282804544</v>
      </c>
      <c r="I145" s="665"/>
      <c r="J145" s="673">
        <f>H145/DAY(B2)</f>
        <v>0.22067440427601515</v>
      </c>
      <c r="K145" s="408"/>
      <c r="L145" s="405"/>
      <c r="O145" s="947"/>
    </row>
    <row r="146" spans="1:15" ht="21.95" customHeight="1" x14ac:dyDescent="0.5">
      <c r="A146" s="1622" t="s">
        <v>281</v>
      </c>
      <c r="B146" s="1623"/>
      <c r="C146" s="1623"/>
      <c r="D146" s="643" t="s">
        <v>159</v>
      </c>
      <c r="E146" s="575"/>
      <c r="F146" s="575"/>
      <c r="G146" s="580">
        <f>G39+G53</f>
        <v>3939.6300000000047</v>
      </c>
      <c r="H146" s="580">
        <f>G146+'[1]29'!H146</f>
        <v>126784.993</v>
      </c>
      <c r="I146" s="666"/>
      <c r="J146" s="673">
        <f>H146/DAY(B2)</f>
        <v>4226.1664333333338</v>
      </c>
      <c r="K146" s="408"/>
      <c r="L146" s="405"/>
      <c r="O146" s="947"/>
    </row>
    <row r="147" spans="1:15" ht="21.95" customHeight="1" x14ac:dyDescent="0.5">
      <c r="A147" s="1622" t="s">
        <v>282</v>
      </c>
      <c r="B147" s="1623"/>
      <c r="C147" s="1623"/>
      <c r="D147" s="643" t="s">
        <v>38</v>
      </c>
      <c r="E147" s="575"/>
      <c r="F147" s="575"/>
      <c r="G147" s="664">
        <f>G146/G7</f>
        <v>0.22028796689778599</v>
      </c>
      <c r="H147" s="580">
        <f>G147+'[1]29'!H147</f>
        <v>6.3732271399439151</v>
      </c>
      <c r="I147" s="666"/>
      <c r="J147" s="673">
        <f>H147/DAY(B2)</f>
        <v>0.21244090466479718</v>
      </c>
      <c r="O147" s="947"/>
    </row>
    <row r="148" spans="1:15" ht="21.95" customHeight="1" x14ac:dyDescent="0.5">
      <c r="A148" s="1622" t="s">
        <v>283</v>
      </c>
      <c r="B148" s="1623"/>
      <c r="C148" s="1623"/>
      <c r="D148" s="643" t="s">
        <v>210</v>
      </c>
      <c r="E148" s="575"/>
      <c r="F148" s="575"/>
      <c r="G148" s="580">
        <f>G38+G52</f>
        <v>1949.4799999999814</v>
      </c>
      <c r="H148" s="580">
        <f>G148+'[1]29'!H148</f>
        <v>60009.919999999984</v>
      </c>
      <c r="I148" s="600"/>
      <c r="J148" s="673">
        <f>H148/DAY(B2)</f>
        <v>2000.330666666666</v>
      </c>
      <c r="K148" s="409"/>
      <c r="O148" s="947"/>
    </row>
    <row r="149" spans="1:15" ht="21.95" customHeight="1" x14ac:dyDescent="0.5">
      <c r="A149" s="1622" t="s">
        <v>284</v>
      </c>
      <c r="B149" s="1623"/>
      <c r="C149" s="1623"/>
      <c r="D149" s="643" t="s">
        <v>38</v>
      </c>
      <c r="E149" s="575"/>
      <c r="F149" s="575"/>
      <c r="G149" s="664">
        <f>G148/G7</f>
        <v>0.10900693357190681</v>
      </c>
      <c r="H149" s="580">
        <f>G149+'[1]29'!H149</f>
        <v>3.0096005331252691</v>
      </c>
      <c r="I149" s="666"/>
      <c r="J149" s="673">
        <f>H149/DAY(B2)</f>
        <v>0.1003200177708423</v>
      </c>
      <c r="O149" s="947"/>
    </row>
    <row r="150" spans="1:15" ht="21.95" customHeight="1" x14ac:dyDescent="0.5">
      <c r="A150" s="1622" t="s">
        <v>285</v>
      </c>
      <c r="B150" s="1623"/>
      <c r="C150" s="1623"/>
      <c r="D150" s="643" t="s">
        <v>210</v>
      </c>
      <c r="E150" s="575"/>
      <c r="F150" s="575"/>
      <c r="G150" s="580">
        <f>G36+G50</f>
        <v>1601.6699999999837</v>
      </c>
      <c r="H150" s="580">
        <f>G150+'[1]29'!H150</f>
        <v>63197.659999999945</v>
      </c>
      <c r="I150" s="666"/>
      <c r="J150" s="673">
        <f>H150/DAY(B2)</f>
        <v>2106.5886666666647</v>
      </c>
      <c r="O150" s="947"/>
    </row>
    <row r="151" spans="1:15" ht="21.95" customHeight="1" x14ac:dyDescent="0.5">
      <c r="A151" s="1622" t="s">
        <v>286</v>
      </c>
      <c r="B151" s="1623"/>
      <c r="C151" s="1623"/>
      <c r="D151" s="643" t="s">
        <v>38</v>
      </c>
      <c r="E151" s="575"/>
      <c r="F151" s="575"/>
      <c r="G151" s="664">
        <f>G150/G7</f>
        <v>8.9558823529410858E-2</v>
      </c>
      <c r="H151" s="580">
        <f>G151+'[1]29'!H151</f>
        <v>3.1545949281445806</v>
      </c>
      <c r="I151" s="600"/>
      <c r="J151" s="673">
        <f>H151/DAY(B2)</f>
        <v>0.10515316427148602</v>
      </c>
      <c r="O151" s="947"/>
    </row>
    <row r="152" spans="1:15" ht="27.75" x14ac:dyDescent="0.5">
      <c r="A152" s="1622" t="s">
        <v>287</v>
      </c>
      <c r="B152" s="1623"/>
      <c r="C152" s="1623"/>
      <c r="D152" s="643" t="s">
        <v>210</v>
      </c>
      <c r="E152" s="575"/>
      <c r="F152" s="575"/>
      <c r="G152" s="580">
        <f>G37+G51</f>
        <v>1397.7699999999968</v>
      </c>
      <c r="H152" s="580">
        <f>G152+'[1]29'!H152</f>
        <v>43914.282999999996</v>
      </c>
      <c r="I152" s="600"/>
      <c r="J152" s="673">
        <f>H152/DAY(B2)</f>
        <v>1463.8094333333331</v>
      </c>
      <c r="O152" s="947"/>
    </row>
    <row r="153" spans="1:15" ht="28.5" thickBot="1" x14ac:dyDescent="0.55000000000000004">
      <c r="A153" s="1620" t="s">
        <v>288</v>
      </c>
      <c r="B153" s="1621"/>
      <c r="C153" s="1621"/>
      <c r="D153" s="746" t="s">
        <v>38</v>
      </c>
      <c r="E153" s="686"/>
      <c r="F153" s="686"/>
      <c r="G153" s="687">
        <f>G152/G7</f>
        <v>7.8157571013195967E-2</v>
      </c>
      <c r="H153" s="688">
        <f>G153+'[1]29'!H153</f>
        <v>2.3173546465864132</v>
      </c>
      <c r="I153" s="689"/>
      <c r="J153" s="690">
        <f>H153/DAY(B2)</f>
        <v>7.7245154886213779E-2</v>
      </c>
      <c r="O153" s="947"/>
    </row>
    <row r="154" spans="1:15" ht="29.25" x14ac:dyDescent="0.5">
      <c r="A154" s="586"/>
      <c r="B154" s="576"/>
      <c r="C154" s="576"/>
      <c r="D154" s="667"/>
      <c r="E154" s="667"/>
      <c r="F154" s="667"/>
      <c r="G154" s="667"/>
      <c r="H154" s="668"/>
      <c r="I154" s="667"/>
      <c r="J154" s="669"/>
    </row>
    <row r="160" spans="1:15" ht="21.95" customHeight="1" x14ac:dyDescent="0.5">
      <c r="A160" s="925" t="s">
        <v>289</v>
      </c>
      <c r="B160" s="926"/>
      <c r="C160" s="926"/>
      <c r="D160" s="631" t="s">
        <v>214</v>
      </c>
      <c r="E160" s="575">
        <f>'[1]29'!F160</f>
        <v>25936.87</v>
      </c>
      <c r="F160" s="775">
        <v>26005.39</v>
      </c>
      <c r="G160" s="593">
        <f t="shared" ref="G160:G171" si="16">F160-E160</f>
        <v>68.520000000000437</v>
      </c>
    </row>
    <row r="161" spans="1:7" ht="21.95" customHeight="1" x14ac:dyDescent="0.5">
      <c r="A161" s="925" t="s">
        <v>290</v>
      </c>
      <c r="B161" s="926"/>
      <c r="C161" s="926"/>
      <c r="D161" s="631" t="s">
        <v>214</v>
      </c>
      <c r="E161" s="575">
        <f>'[1]29'!F161</f>
        <v>27498.44</v>
      </c>
      <c r="F161" s="775">
        <v>27957.46</v>
      </c>
      <c r="G161" s="593">
        <f t="shared" si="16"/>
        <v>459.02000000000044</v>
      </c>
    </row>
    <row r="162" spans="1:7" ht="21.95" customHeight="1" x14ac:dyDescent="0.5">
      <c r="A162" s="925" t="s">
        <v>291</v>
      </c>
      <c r="B162" s="926"/>
      <c r="C162" s="926"/>
      <c r="D162" s="631" t="s">
        <v>214</v>
      </c>
      <c r="E162" s="575">
        <f>'[1]29'!F162</f>
        <v>3859.73</v>
      </c>
      <c r="F162" s="775">
        <v>4123.62</v>
      </c>
      <c r="G162" s="593">
        <f t="shared" si="16"/>
        <v>263.88999999999987</v>
      </c>
    </row>
    <row r="163" spans="1:7" ht="21.95" customHeight="1" x14ac:dyDescent="0.5">
      <c r="A163" s="925" t="s">
        <v>292</v>
      </c>
      <c r="B163" s="926"/>
      <c r="C163" s="926"/>
      <c r="D163" s="631" t="s">
        <v>214</v>
      </c>
      <c r="E163" s="575">
        <f>'[1]29'!F163</f>
        <v>4268.58</v>
      </c>
      <c r="F163" s="775">
        <v>4295.93</v>
      </c>
      <c r="G163" s="593">
        <f t="shared" si="16"/>
        <v>27.350000000000364</v>
      </c>
    </row>
    <row r="164" spans="1:7" ht="21.95" customHeight="1" x14ac:dyDescent="0.4">
      <c r="A164" s="927" t="s">
        <v>121</v>
      </c>
      <c r="B164" s="725"/>
      <c r="C164" s="725"/>
      <c r="D164" s="631" t="s">
        <v>214</v>
      </c>
      <c r="E164" s="634">
        <f>E62</f>
        <v>20419.18</v>
      </c>
      <c r="F164" s="634">
        <f>F62</f>
        <v>20419.18</v>
      </c>
      <c r="G164" s="593">
        <f t="shared" si="16"/>
        <v>0</v>
      </c>
    </row>
    <row r="165" spans="1:7" ht="21.95" customHeight="1" x14ac:dyDescent="0.4">
      <c r="A165" s="927" t="s">
        <v>215</v>
      </c>
      <c r="B165" s="725"/>
      <c r="C165" s="725"/>
      <c r="D165" s="631" t="s">
        <v>214</v>
      </c>
      <c r="E165" s="634">
        <f t="shared" ref="E165:F171" si="17">E63</f>
        <v>1099</v>
      </c>
      <c r="F165" s="634">
        <f t="shared" si="17"/>
        <v>1103.73</v>
      </c>
      <c r="G165" s="593">
        <f t="shared" si="16"/>
        <v>4.7300000000000182</v>
      </c>
    </row>
    <row r="166" spans="1:7" ht="21.95" customHeight="1" x14ac:dyDescent="0.5">
      <c r="A166" s="1450" t="s">
        <v>122</v>
      </c>
      <c r="B166" s="1450"/>
      <c r="C166" s="1450"/>
      <c r="D166" s="643" t="s">
        <v>214</v>
      </c>
      <c r="E166" s="634">
        <f t="shared" si="17"/>
        <v>97539.7</v>
      </c>
      <c r="F166" s="634">
        <f t="shared" si="17"/>
        <v>97994.44</v>
      </c>
      <c r="G166" s="593">
        <f t="shared" si="16"/>
        <v>454.74000000000524</v>
      </c>
    </row>
    <row r="167" spans="1:7" ht="21.95" customHeight="1" x14ac:dyDescent="0.5">
      <c r="A167" s="1450" t="s">
        <v>123</v>
      </c>
      <c r="B167" s="1450"/>
      <c r="C167" s="1450"/>
      <c r="D167" s="643" t="s">
        <v>214</v>
      </c>
      <c r="E167" s="634">
        <f t="shared" si="17"/>
        <v>108244</v>
      </c>
      <c r="F167" s="634">
        <f t="shared" si="17"/>
        <v>108642.86</v>
      </c>
      <c r="G167" s="593">
        <f t="shared" si="16"/>
        <v>398.86000000000058</v>
      </c>
    </row>
    <row r="168" spans="1:7" ht="21.95" customHeight="1" x14ac:dyDescent="0.5">
      <c r="A168" s="1450" t="s">
        <v>124</v>
      </c>
      <c r="B168" s="1450"/>
      <c r="C168" s="1450"/>
      <c r="D168" s="643" t="s">
        <v>214</v>
      </c>
      <c r="E168" s="634">
        <f t="shared" si="17"/>
        <v>1636</v>
      </c>
      <c r="F168" s="634">
        <f t="shared" si="17"/>
        <v>2007.09</v>
      </c>
      <c r="G168" s="593">
        <f t="shared" si="16"/>
        <v>371.08999999999992</v>
      </c>
    </row>
    <row r="169" spans="1:7" ht="21.95" customHeight="1" x14ac:dyDescent="0.5">
      <c r="A169" s="1450" t="s">
        <v>125</v>
      </c>
      <c r="B169" s="1450"/>
      <c r="C169" s="1450"/>
      <c r="D169" s="643" t="s">
        <v>214</v>
      </c>
      <c r="E169" s="634">
        <f t="shared" si="17"/>
        <v>166962</v>
      </c>
      <c r="F169" s="634">
        <f t="shared" si="17"/>
        <v>167560.62</v>
      </c>
      <c r="G169" s="593">
        <f t="shared" si="16"/>
        <v>598.61999999999534</v>
      </c>
    </row>
    <row r="170" spans="1:7" ht="21.95" customHeight="1" x14ac:dyDescent="0.5">
      <c r="A170" s="1450" t="s">
        <v>126</v>
      </c>
      <c r="B170" s="1450"/>
      <c r="C170" s="1450"/>
      <c r="D170" s="643" t="s">
        <v>214</v>
      </c>
      <c r="E170" s="634">
        <f t="shared" si="17"/>
        <v>53070</v>
      </c>
      <c r="F170" s="634">
        <f t="shared" si="17"/>
        <v>53331.82</v>
      </c>
      <c r="G170" s="593">
        <f t="shared" si="16"/>
        <v>261.81999999999971</v>
      </c>
    </row>
    <row r="171" spans="1:7" ht="21.95" customHeight="1" x14ac:dyDescent="0.5">
      <c r="A171" s="1450" t="s">
        <v>127</v>
      </c>
      <c r="B171" s="1450"/>
      <c r="C171" s="1450"/>
      <c r="D171" s="643" t="s">
        <v>214</v>
      </c>
      <c r="E171" s="634">
        <f t="shared" si="17"/>
        <v>45958.9</v>
      </c>
      <c r="F171" s="634">
        <f t="shared" si="17"/>
        <v>46235.44</v>
      </c>
      <c r="G171" s="593">
        <f t="shared" si="16"/>
        <v>276.54000000000087</v>
      </c>
    </row>
    <row r="172" spans="1:7" ht="21.95" customHeight="1" x14ac:dyDescent="0.5">
      <c r="G172" s="660">
        <f>SUM(G160:G171)</f>
        <v>3185.180000000003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3" fitToHeight="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8"/>
  <sheetViews>
    <sheetView view="pageBreakPreview" zoomScale="55" zoomScaleNormal="75" zoomScaleSheetLayoutView="55" workbookViewId="0">
      <selection activeCell="E15" sqref="E15"/>
    </sheetView>
  </sheetViews>
  <sheetFormatPr defaultColWidth="22.33203125" defaultRowHeight="21.95" customHeight="1" x14ac:dyDescent="0.5"/>
  <cols>
    <col min="1" max="1" width="51.21875" style="574" customWidth="1"/>
    <col min="2" max="2" width="24.88671875" style="577" customWidth="1"/>
    <col min="3" max="3" width="15.88671875" style="577" customWidth="1"/>
    <col min="4" max="4" width="13.6640625" style="658" customWidth="1"/>
    <col min="5" max="6" width="30" style="658" customWidth="1"/>
    <col min="7" max="7" width="28.88671875" style="658" customWidth="1"/>
    <col min="8" max="8" width="39.21875" style="659" customWidth="1"/>
    <col min="9" max="9" width="23.5546875" style="658" customWidth="1"/>
    <col min="10" max="10" width="24" style="660" customWidth="1"/>
    <col min="11" max="11" width="43.21875" style="404" hidden="1" customWidth="1"/>
    <col min="12" max="13" width="0" style="404" hidden="1" customWidth="1"/>
    <col min="14" max="14" width="25.109375" style="404" customWidth="1"/>
    <col min="15" max="16384" width="22.33203125" style="404"/>
  </cols>
  <sheetData>
    <row r="1" spans="1:15" ht="33.75" x14ac:dyDescent="0.65">
      <c r="A1" s="1413" t="s">
        <v>293</v>
      </c>
      <c r="B1" s="1414"/>
      <c r="C1" s="1414"/>
      <c r="D1" s="1414"/>
      <c r="E1" s="1414"/>
      <c r="F1" s="1414"/>
      <c r="G1" s="1414"/>
      <c r="H1" s="1414"/>
      <c r="I1" s="1414"/>
      <c r="J1" s="1415"/>
    </row>
    <row r="2" spans="1:15" s="278" customFormat="1" ht="27" x14ac:dyDescent="0.5">
      <c r="A2" s="696" t="s">
        <v>297</v>
      </c>
      <c r="B2" s="1174">
        <v>44075</v>
      </c>
      <c r="C2" s="1361" t="s">
        <v>84</v>
      </c>
      <c r="D2" s="732">
        <v>0.3</v>
      </c>
      <c r="E2" s="581"/>
      <c r="F2" s="581"/>
      <c r="G2" s="581" t="s">
        <v>145</v>
      </c>
      <c r="H2" s="581" t="s">
        <v>20</v>
      </c>
      <c r="I2" s="581" t="s">
        <v>22</v>
      </c>
      <c r="J2" s="734" t="s">
        <v>146</v>
      </c>
    </row>
    <row r="3" spans="1:15" s="278" customFormat="1" ht="27" x14ac:dyDescent="0.5">
      <c r="A3" s="691"/>
      <c r="B3" s="735"/>
      <c r="C3" s="1361" t="s">
        <v>147</v>
      </c>
      <c r="D3" s="733">
        <v>30</v>
      </c>
      <c r="E3" s="1422" t="s">
        <v>148</v>
      </c>
      <c r="F3" s="1423"/>
      <c r="G3" s="582"/>
      <c r="H3" s="583"/>
      <c r="I3" s="583"/>
      <c r="J3" s="736"/>
      <c r="K3" s="399"/>
      <c r="L3" s="290"/>
    </row>
    <row r="4" spans="1:15" s="278" customFormat="1" ht="27" x14ac:dyDescent="0.5">
      <c r="A4" s="697"/>
      <c r="B4" s="737"/>
      <c r="C4" s="1361" t="s">
        <v>149</v>
      </c>
      <c r="D4" s="732">
        <v>0.8</v>
      </c>
      <c r="E4" s="584"/>
      <c r="F4" s="584"/>
      <c r="G4" s="584"/>
      <c r="H4" s="584"/>
      <c r="I4" s="585"/>
      <c r="J4" s="736"/>
      <c r="K4" s="400"/>
      <c r="L4" s="290"/>
    </row>
    <row r="5" spans="1:15" ht="21.95" customHeight="1" x14ac:dyDescent="0.4">
      <c r="A5" s="698" t="s">
        <v>150</v>
      </c>
      <c r="B5" s="579"/>
      <c r="C5" s="579"/>
      <c r="D5" s="631" t="s">
        <v>151</v>
      </c>
      <c r="E5" s="587" t="s">
        <v>152</v>
      </c>
      <c r="F5" s="587" t="s">
        <v>138</v>
      </c>
      <c r="G5" s="588" t="s">
        <v>153</v>
      </c>
      <c r="H5" s="589" t="s">
        <v>154</v>
      </c>
      <c r="I5" s="590" t="s">
        <v>155</v>
      </c>
      <c r="J5" s="671" t="s">
        <v>156</v>
      </c>
      <c r="K5" s="506"/>
      <c r="L5" s="405"/>
    </row>
    <row r="6" spans="1:15" ht="21.95" customHeight="1" x14ac:dyDescent="0.4">
      <c r="A6" s="1416" t="s">
        <v>157</v>
      </c>
      <c r="B6" s="1417"/>
      <c r="C6" s="1418"/>
      <c r="D6" s="591"/>
      <c r="E6" s="591"/>
      <c r="F6" s="591"/>
      <c r="G6" s="591"/>
      <c r="H6" s="592"/>
      <c r="I6" s="592"/>
      <c r="J6" s="672"/>
      <c r="K6" s="507"/>
      <c r="L6" s="405"/>
    </row>
    <row r="7" spans="1:15" ht="21.95" customHeight="1" thickBot="1" x14ac:dyDescent="0.45">
      <c r="A7" s="699" t="s">
        <v>158</v>
      </c>
      <c r="B7" s="700"/>
      <c r="C7" s="700"/>
      <c r="D7" s="643" t="s">
        <v>159</v>
      </c>
      <c r="E7" s="575">
        <f>'30'!F7</f>
        <v>3267042</v>
      </c>
      <c r="F7" s="575">
        <v>1089944</v>
      </c>
      <c r="G7" s="593">
        <f>F7-E7</f>
        <v>-2177098</v>
      </c>
      <c r="H7" s="580">
        <f>G7+'30'!H7</f>
        <v>-1578501</v>
      </c>
      <c r="I7" s="594">
        <f>'1'!I7</f>
        <v>12000</v>
      </c>
      <c r="J7" s="673">
        <f>H7/DAY(B2)</f>
        <v>-1578501</v>
      </c>
      <c r="K7" s="670">
        <v>1375467</v>
      </c>
      <c r="L7" s="405"/>
      <c r="N7" s="522">
        <f>F7-'1'!E7</f>
        <v>-1578501</v>
      </c>
      <c r="O7" s="410"/>
    </row>
    <row r="8" spans="1:15" ht="21.95" customHeight="1" thickBot="1" x14ac:dyDescent="0.45">
      <c r="A8" s="701" t="s">
        <v>160</v>
      </c>
      <c r="B8" s="702"/>
      <c r="C8" s="703"/>
      <c r="D8" s="738" t="s">
        <v>39</v>
      </c>
      <c r="E8" s="575">
        <f>'30'!F8</f>
        <v>3286777</v>
      </c>
      <c r="F8" s="595">
        <v>1095426</v>
      </c>
      <c r="G8" s="596">
        <f>F8-E8</f>
        <v>-2191351</v>
      </c>
      <c r="H8" s="580">
        <f>G8+'30'!H8</f>
        <v>-1587613</v>
      </c>
      <c r="I8" s="597"/>
      <c r="J8" s="673">
        <f>H8/DAY(B2)</f>
        <v>-1587613</v>
      </c>
      <c r="K8" s="670">
        <v>1715917</v>
      </c>
      <c r="L8" s="460">
        <v>1728480</v>
      </c>
      <c r="M8" s="522">
        <f>L8-K8</f>
        <v>12563</v>
      </c>
      <c r="N8" s="522">
        <f>F8-'1'!E8</f>
        <v>-1587613</v>
      </c>
      <c r="O8" s="410"/>
    </row>
    <row r="9" spans="1:15" ht="21.95" customHeight="1" x14ac:dyDescent="0.4">
      <c r="A9" s="704" t="s">
        <v>161</v>
      </c>
      <c r="B9" s="705"/>
      <c r="C9" s="705"/>
      <c r="D9" s="643" t="s">
        <v>159</v>
      </c>
      <c r="E9" s="575">
        <f>'30'!F9</f>
        <v>2402681.7000000002</v>
      </c>
      <c r="F9" s="598">
        <v>1037483.5</v>
      </c>
      <c r="G9" s="593">
        <f>F9-E9</f>
        <v>-1365198.2000000002</v>
      </c>
      <c r="H9" s="580">
        <f>G9+'30'!H9</f>
        <v>-1219553</v>
      </c>
      <c r="I9" s="599">
        <f>I7-J7</f>
        <v>1590501</v>
      </c>
      <c r="J9" s="673">
        <f>H9/DAY(B2)</f>
        <v>-1219553</v>
      </c>
      <c r="K9" s="508">
        <f>K8-100</f>
        <v>1715817</v>
      </c>
      <c r="L9" s="405"/>
      <c r="N9" s="522">
        <f>F9-'1'!E9</f>
        <v>-1219553</v>
      </c>
      <c r="O9" s="410"/>
    </row>
    <row r="10" spans="1:15" ht="21.95" customHeight="1" x14ac:dyDescent="0.4">
      <c r="A10" s="699" t="s">
        <v>162</v>
      </c>
      <c r="B10" s="700"/>
      <c r="C10" s="700"/>
      <c r="D10" s="643" t="s">
        <v>159</v>
      </c>
      <c r="E10" s="575">
        <f>'30'!F10</f>
        <v>734379.59</v>
      </c>
      <c r="F10" s="598">
        <v>454609.79</v>
      </c>
      <c r="G10" s="593">
        <f t="shared" ref="G10:G12" si="0">F10-E10</f>
        <v>-279769.8</v>
      </c>
      <c r="H10" s="580">
        <f>G10+'30'!H10</f>
        <v>151659.5</v>
      </c>
      <c r="I10" s="600"/>
      <c r="J10" s="673">
        <f>H10/DAY(B2)</f>
        <v>151659.5</v>
      </c>
      <c r="K10" s="508"/>
      <c r="L10" s="405"/>
      <c r="N10" s="522">
        <f>F10-'1'!E10</f>
        <v>151659.5</v>
      </c>
      <c r="O10" s="410"/>
    </row>
    <row r="11" spans="1:15" ht="21.95" customHeight="1" x14ac:dyDescent="0.4">
      <c r="A11" s="699" t="s">
        <v>163</v>
      </c>
      <c r="B11" s="700"/>
      <c r="C11" s="700"/>
      <c r="D11" s="643" t="s">
        <v>159</v>
      </c>
      <c r="E11" s="575">
        <f>'30'!F11</f>
        <v>35390</v>
      </c>
      <c r="F11" s="575">
        <v>34310</v>
      </c>
      <c r="G11" s="593">
        <f t="shared" si="0"/>
        <v>-1080</v>
      </c>
      <c r="H11" s="580">
        <f>G11+'30'!H11</f>
        <v>-1080</v>
      </c>
      <c r="I11" s="600"/>
      <c r="J11" s="673">
        <f>H11/DAY(B2)</f>
        <v>-1080</v>
      </c>
      <c r="K11" s="508"/>
      <c r="L11" s="405"/>
      <c r="N11" s="522">
        <f>F11-'1'!E11</f>
        <v>-1080</v>
      </c>
      <c r="O11" s="410"/>
    </row>
    <row r="12" spans="1:15" ht="21.95" customHeight="1" x14ac:dyDescent="0.4">
      <c r="A12" s="699" t="s">
        <v>164</v>
      </c>
      <c r="B12" s="700"/>
      <c r="C12" s="700"/>
      <c r="D12" s="643" t="s">
        <v>159</v>
      </c>
      <c r="E12" s="575">
        <f>'30'!F12</f>
        <v>37630</v>
      </c>
      <c r="F12" s="598">
        <v>37630</v>
      </c>
      <c r="G12" s="593">
        <f t="shared" si="0"/>
        <v>0</v>
      </c>
      <c r="H12" s="580">
        <f>G12+'30'!H12</f>
        <v>0</v>
      </c>
      <c r="I12" s="600"/>
      <c r="J12" s="673">
        <f>H12/DAY(B2)</f>
        <v>0</v>
      </c>
      <c r="K12" s="508"/>
      <c r="L12" s="405"/>
      <c r="N12" s="522">
        <f>F12-'1'!E12</f>
        <v>0</v>
      </c>
      <c r="O12" s="410"/>
    </row>
    <row r="13" spans="1:15" ht="21.95" customHeight="1" x14ac:dyDescent="0.5">
      <c r="A13" s="706" t="s">
        <v>165</v>
      </c>
      <c r="B13" s="707"/>
      <c r="C13" s="707"/>
      <c r="D13" s="643"/>
      <c r="E13" s="575"/>
      <c r="F13" s="575"/>
      <c r="G13" s="601">
        <f>G9+G10+G11+G12</f>
        <v>-1646048.0000000002</v>
      </c>
      <c r="H13" s="580">
        <f>G13+'30'!H13</f>
        <v>-1090832.81</v>
      </c>
      <c r="I13" s="602">
        <f>G7-G13</f>
        <v>-531049.99999999977</v>
      </c>
      <c r="J13" s="673">
        <f>H13/DAY(B2)</f>
        <v>-1090832.81</v>
      </c>
      <c r="K13" s="508"/>
      <c r="L13" s="405"/>
      <c r="N13" s="522">
        <f>F13-'1'!E13</f>
        <v>0</v>
      </c>
      <c r="O13" s="410"/>
    </row>
    <row r="14" spans="1:15" ht="29.25" x14ac:dyDescent="0.5">
      <c r="A14" s="1419" t="s">
        <v>166</v>
      </c>
      <c r="B14" s="1420"/>
      <c r="C14" s="1421"/>
      <c r="D14" s="592"/>
      <c r="E14" s="592"/>
      <c r="F14" s="592"/>
      <c r="G14" s="603"/>
      <c r="H14" s="592"/>
      <c r="I14" s="592"/>
      <c r="J14" s="672"/>
      <c r="K14" s="509"/>
      <c r="L14" s="405"/>
      <c r="N14" s="522">
        <f>F14-'1'!E14</f>
        <v>0</v>
      </c>
      <c r="O14" s="410"/>
    </row>
    <row r="15" spans="1:15" ht="21.95" customHeight="1" x14ac:dyDescent="0.5">
      <c r="A15" s="1354" t="s">
        <v>167</v>
      </c>
      <c r="B15" s="710"/>
      <c r="C15" s="710"/>
      <c r="D15" s="643" t="s">
        <v>168</v>
      </c>
      <c r="E15" s="575">
        <f>'30'!F15</f>
        <v>1568146</v>
      </c>
      <c r="F15" s="604">
        <v>1502885.06</v>
      </c>
      <c r="G15" s="593">
        <f>(F15-E15)</f>
        <v>-65260.939999999944</v>
      </c>
      <c r="H15" s="580">
        <f>'30'!H15</f>
        <v>21248.398999999976</v>
      </c>
      <c r="I15" s="594">
        <f>'1'!I15</f>
        <v>800</v>
      </c>
      <c r="J15" s="673">
        <f>H15/DAY(B2)</f>
        <v>21248.398999999976</v>
      </c>
      <c r="K15" s="508"/>
      <c r="L15" s="405"/>
      <c r="N15" s="522">
        <f>F15-'1'!E15</f>
        <v>-44012.540999999968</v>
      </c>
      <c r="O15" s="410"/>
    </row>
    <row r="16" spans="1:15" ht="21.95" customHeight="1" x14ac:dyDescent="0.4">
      <c r="A16" s="708"/>
      <c r="B16" s="709"/>
      <c r="C16" s="709"/>
      <c r="D16" s="644"/>
      <c r="E16" s="605"/>
      <c r="F16" s="605"/>
      <c r="G16" s="593"/>
      <c r="H16" s="606"/>
      <c r="I16" s="607">
        <f>I15-J15</f>
        <v>-20448.398999999976</v>
      </c>
      <c r="J16" s="674"/>
      <c r="K16" s="508"/>
      <c r="L16" s="405"/>
      <c r="N16" s="522">
        <f>F16-'1'!E16</f>
        <v>0</v>
      </c>
      <c r="O16" s="410"/>
    </row>
    <row r="17" spans="1:15" ht="29.25" x14ac:dyDescent="0.5">
      <c r="A17" s="1419" t="s">
        <v>169</v>
      </c>
      <c r="B17" s="1420"/>
      <c r="C17" s="1421"/>
      <c r="D17" s="592"/>
      <c r="E17" s="592"/>
      <c r="F17" s="592"/>
      <c r="G17" s="608"/>
      <c r="H17" s="592"/>
      <c r="I17" s="592"/>
      <c r="J17" s="672"/>
      <c r="K17" s="508"/>
      <c r="L17" s="405"/>
      <c r="N17" s="522">
        <f>F17-'1'!E17</f>
        <v>0</v>
      </c>
      <c r="O17" s="410"/>
    </row>
    <row r="18" spans="1:15" ht="27.75" x14ac:dyDescent="0.5">
      <c r="A18" s="1398" t="s">
        <v>170</v>
      </c>
      <c r="B18" s="1399"/>
      <c r="C18" s="1400"/>
      <c r="D18" s="643" t="s">
        <v>171</v>
      </c>
      <c r="E18" s="575">
        <f>'30'!F18</f>
        <v>12</v>
      </c>
      <c r="F18" s="604">
        <v>4</v>
      </c>
      <c r="G18" s="601">
        <f>F18*10</f>
        <v>40</v>
      </c>
      <c r="H18" s="580">
        <f>G18+'30'!H18</f>
        <v>4140</v>
      </c>
      <c r="I18" s="594">
        <f>'1'!I18</f>
        <v>65</v>
      </c>
      <c r="J18" s="673">
        <f>H18/DAY(B2)</f>
        <v>4140</v>
      </c>
      <c r="K18" s="508"/>
      <c r="L18" s="405"/>
      <c r="N18" s="522">
        <f>F18-'1'!E18</f>
        <v>-9</v>
      </c>
      <c r="O18" s="410"/>
    </row>
    <row r="19" spans="1:15" ht="27.75" x14ac:dyDescent="0.5">
      <c r="A19" s="1398" t="s">
        <v>86</v>
      </c>
      <c r="B19" s="1399"/>
      <c r="C19" s="1400"/>
      <c r="D19" s="643" t="s">
        <v>171</v>
      </c>
      <c r="E19" s="575">
        <f>'30'!F19</f>
        <v>131439</v>
      </c>
      <c r="F19" s="604">
        <v>124825</v>
      </c>
      <c r="G19" s="593">
        <f t="shared" ref="G19" si="1">F19-E19</f>
        <v>-6614</v>
      </c>
      <c r="H19" s="580">
        <f>G19+'30'!H19</f>
        <v>-4976</v>
      </c>
      <c r="I19" s="609"/>
      <c r="J19" s="673">
        <f>H19/DAY(B2)</f>
        <v>-4976</v>
      </c>
      <c r="K19" s="508"/>
      <c r="L19" s="405"/>
      <c r="N19" s="522">
        <f>F19-'1'!E19</f>
        <v>-4976</v>
      </c>
      <c r="O19" s="410"/>
    </row>
    <row r="20" spans="1:15" ht="29.25" x14ac:dyDescent="0.5">
      <c r="A20" s="706" t="s">
        <v>172</v>
      </c>
      <c r="B20" s="707"/>
      <c r="C20" s="707"/>
      <c r="D20" s="610"/>
      <c r="E20" s="610"/>
      <c r="F20" s="610"/>
      <c r="G20" s="611">
        <f>G18+G19</f>
        <v>-6574</v>
      </c>
      <c r="H20" s="580">
        <f>G20+'30'!H20</f>
        <v>-836</v>
      </c>
      <c r="I20" s="612">
        <f>I18-J20</f>
        <v>901</v>
      </c>
      <c r="J20" s="673">
        <f>H20/DAY(B2)</f>
        <v>-836</v>
      </c>
      <c r="K20" s="508"/>
      <c r="L20" s="405"/>
      <c r="N20" s="522">
        <f>F20-'1'!E20</f>
        <v>0</v>
      </c>
      <c r="O20" s="410"/>
    </row>
    <row r="21" spans="1:15" ht="29.25" x14ac:dyDescent="0.5">
      <c r="A21" s="1419" t="s">
        <v>173</v>
      </c>
      <c r="B21" s="1420"/>
      <c r="C21" s="1421"/>
      <c r="D21" s="592"/>
      <c r="E21" s="592"/>
      <c r="F21" s="592"/>
      <c r="G21" s="603"/>
      <c r="H21" s="592"/>
      <c r="I21" s="592"/>
      <c r="J21" s="672"/>
      <c r="K21" s="508"/>
      <c r="L21" s="405"/>
      <c r="N21" s="522">
        <f>F21-'1'!E21</f>
        <v>0</v>
      </c>
      <c r="O21" s="410"/>
    </row>
    <row r="22" spans="1:15" ht="29.25" x14ac:dyDescent="0.5">
      <c r="A22" s="1354" t="s">
        <v>174</v>
      </c>
      <c r="B22" s="710"/>
      <c r="C22" s="710"/>
      <c r="D22" s="643" t="s">
        <v>175</v>
      </c>
      <c r="E22" s="604">
        <f>'30'!F22</f>
        <v>2250</v>
      </c>
      <c r="F22" s="604">
        <v>2250</v>
      </c>
      <c r="G22" s="601">
        <f t="shared" ref="G22" si="2">(F22-E22)</f>
        <v>0</v>
      </c>
      <c r="H22" s="580">
        <f>'30'!H22</f>
        <v>0</v>
      </c>
      <c r="I22" s="600"/>
      <c r="J22" s="673">
        <f>H22/DAY(B2)</f>
        <v>0</v>
      </c>
      <c r="K22" s="508"/>
      <c r="L22" s="405"/>
      <c r="N22" s="522">
        <f>F22-'1'!E22</f>
        <v>0</v>
      </c>
      <c r="O22" s="410"/>
    </row>
    <row r="23" spans="1:15" ht="29.25" x14ac:dyDescent="0.5">
      <c r="A23" s="1354" t="s">
        <v>176</v>
      </c>
      <c r="B23" s="710"/>
      <c r="C23" s="710"/>
      <c r="D23" s="643" t="s">
        <v>175</v>
      </c>
      <c r="E23" s="604">
        <f>'30'!F23</f>
        <v>2000</v>
      </c>
      <c r="F23" s="604">
        <v>2000</v>
      </c>
      <c r="G23" s="601">
        <v>0</v>
      </c>
      <c r="H23" s="580">
        <f>'30'!H23</f>
        <v>0</v>
      </c>
      <c r="I23" s="600"/>
      <c r="J23" s="673">
        <f>H23/DAY(B2)</f>
        <v>0</v>
      </c>
      <c r="K23" s="508"/>
      <c r="L23" s="405"/>
      <c r="N23" s="522">
        <f>F23-'1'!E23</f>
        <v>0</v>
      </c>
      <c r="O23" s="410"/>
    </row>
    <row r="24" spans="1:15" ht="29.25" x14ac:dyDescent="0.4">
      <c r="A24" s="711" t="s">
        <v>177</v>
      </c>
      <c r="B24" s="712"/>
      <c r="C24" s="712"/>
      <c r="D24" s="631" t="s">
        <v>175</v>
      </c>
      <c r="E24" s="604">
        <f>'30'!F24</f>
        <v>4250</v>
      </c>
      <c r="F24" s="613">
        <v>4250</v>
      </c>
      <c r="G24" s="601">
        <v>0</v>
      </c>
      <c r="H24" s="580">
        <f>'30'!H24</f>
        <v>0</v>
      </c>
      <c r="I24" s="600"/>
      <c r="J24" s="673">
        <f>H24/DAY(B2)</f>
        <v>0</v>
      </c>
      <c r="K24" s="508"/>
      <c r="L24" s="405"/>
      <c r="N24" s="522">
        <f>F24-'1'!E24</f>
        <v>0</v>
      </c>
      <c r="O24" s="410"/>
    </row>
    <row r="25" spans="1:15" s="524" customFormat="1" ht="27" x14ac:dyDescent="0.35">
      <c r="A25" s="1424" t="s">
        <v>178</v>
      </c>
      <c r="B25" s="1425"/>
      <c r="C25" s="1426"/>
      <c r="D25" s="591"/>
      <c r="E25" s="591"/>
      <c r="F25" s="591"/>
      <c r="G25" s="614"/>
      <c r="H25" s="615"/>
      <c r="I25" s="616"/>
      <c r="J25" s="675"/>
      <c r="K25" s="401"/>
      <c r="L25" s="527"/>
      <c r="N25" s="522">
        <f>F25-'1'!E25</f>
        <v>0</v>
      </c>
      <c r="O25" s="410"/>
    </row>
    <row r="26" spans="1:15" s="524" customFormat="1" ht="27.75" x14ac:dyDescent="0.5">
      <c r="A26" s="713" t="s">
        <v>179</v>
      </c>
      <c r="B26" s="714"/>
      <c r="C26" s="715"/>
      <c r="D26" s="739" t="s">
        <v>180</v>
      </c>
      <c r="E26" s="617"/>
      <c r="F26" s="617"/>
      <c r="G26" s="618"/>
      <c r="H26" s="580"/>
      <c r="I26" s="619"/>
      <c r="J26" s="673"/>
      <c r="K26" s="402"/>
      <c r="L26" s="527"/>
      <c r="N26" s="522">
        <f>F26-'1'!E26</f>
        <v>0</v>
      </c>
      <c r="O26" s="410"/>
    </row>
    <row r="27" spans="1:15" s="524" customFormat="1" ht="27.75" x14ac:dyDescent="0.5">
      <c r="A27" s="713" t="s">
        <v>20</v>
      </c>
      <c r="B27" s="714"/>
      <c r="C27" s="715"/>
      <c r="D27" s="740" t="s">
        <v>39</v>
      </c>
      <c r="E27" s="620">
        <f>G8</f>
        <v>-2191351</v>
      </c>
      <c r="F27" s="621">
        <v>10</v>
      </c>
      <c r="G27" s="622">
        <f>E27*F27</f>
        <v>-21913510</v>
      </c>
      <c r="H27" s="580">
        <f>G27+'30'!H27</f>
        <v>-16177999</v>
      </c>
      <c r="I27" s="623"/>
      <c r="J27" s="673">
        <f>H27/DAY(B2)</f>
        <v>-16177999</v>
      </c>
      <c r="K27" s="401"/>
      <c r="L27" s="527"/>
      <c r="N27" s="522">
        <f>F27-'1'!E27</f>
        <v>-19434</v>
      </c>
      <c r="O27" s="410"/>
    </row>
    <row r="28" spans="1:15" s="524" customFormat="1" ht="27.75" x14ac:dyDescent="0.5">
      <c r="A28" s="713" t="s">
        <v>181</v>
      </c>
      <c r="B28" s="714"/>
      <c r="C28" s="715"/>
      <c r="D28" s="740" t="s">
        <v>182</v>
      </c>
      <c r="E28" s="624">
        <f>G15</f>
        <v>-65260.939999999944</v>
      </c>
      <c r="F28" s="621">
        <v>38.64</v>
      </c>
      <c r="G28" s="622">
        <f>E28*F28</f>
        <v>-2521682.721599998</v>
      </c>
      <c r="H28" s="580">
        <f>G28+'30'!H28</f>
        <v>-1746116.1580999987</v>
      </c>
      <c r="I28" s="625"/>
      <c r="J28" s="673">
        <f>H28/DAY(B2)</f>
        <v>-1746116.1580999987</v>
      </c>
      <c r="K28" s="401"/>
      <c r="L28" s="527"/>
      <c r="N28" s="522">
        <f>F28-'1'!E28</f>
        <v>-472.11699999998325</v>
      </c>
      <c r="O28" s="410"/>
    </row>
    <row r="29" spans="1:15" s="524" customFormat="1" ht="27.75" x14ac:dyDescent="0.5">
      <c r="A29" s="713" t="s">
        <v>183</v>
      </c>
      <c r="B29" s="714"/>
      <c r="C29" s="715"/>
      <c r="D29" s="740" t="s">
        <v>184</v>
      </c>
      <c r="E29" s="626">
        <f>G24</f>
        <v>0</v>
      </c>
      <c r="F29" s="621">
        <v>69</v>
      </c>
      <c r="G29" s="622">
        <f>E29*F29</f>
        <v>0</v>
      </c>
      <c r="H29" s="580">
        <f>G29+'30'!H29</f>
        <v>0</v>
      </c>
      <c r="I29" s="625"/>
      <c r="J29" s="673">
        <f>H29/DAY(B2)</f>
        <v>0</v>
      </c>
      <c r="K29" s="401"/>
      <c r="L29" s="527"/>
      <c r="N29" s="522">
        <f>F29-'1'!E29</f>
        <v>69</v>
      </c>
      <c r="O29" s="410"/>
    </row>
    <row r="30" spans="1:15" s="524" customFormat="1" ht="27.75" x14ac:dyDescent="0.5">
      <c r="A30" s="713" t="s">
        <v>185</v>
      </c>
      <c r="B30" s="714"/>
      <c r="C30" s="715"/>
      <c r="D30" s="740" t="s">
        <v>186</v>
      </c>
      <c r="E30" s="626">
        <f>G19</f>
        <v>-6614</v>
      </c>
      <c r="F30" s="621">
        <v>134</v>
      </c>
      <c r="G30" s="622">
        <f>E30*F30</f>
        <v>-886276</v>
      </c>
      <c r="H30" s="580">
        <f>G30+'30'!H30</f>
        <v>-648766</v>
      </c>
      <c r="I30" s="625"/>
      <c r="J30" s="673">
        <f>H30/DAY(B2)</f>
        <v>-648766</v>
      </c>
      <c r="K30" s="401"/>
      <c r="L30" s="527"/>
      <c r="N30" s="522">
        <f>F30-'1'!E30</f>
        <v>81</v>
      </c>
      <c r="O30" s="410"/>
    </row>
    <row r="31" spans="1:15" s="524" customFormat="1" ht="27.75" x14ac:dyDescent="0.5">
      <c r="A31" s="713" t="s">
        <v>187</v>
      </c>
      <c r="B31" s="714"/>
      <c r="C31" s="715"/>
      <c r="D31" s="740" t="s">
        <v>171</v>
      </c>
      <c r="E31" s="626">
        <f>G18</f>
        <v>40</v>
      </c>
      <c r="F31" s="621">
        <v>80</v>
      </c>
      <c r="G31" s="622">
        <f>E31*F31</f>
        <v>3200</v>
      </c>
      <c r="H31" s="580">
        <f>G31+'30'!H31</f>
        <v>329600</v>
      </c>
      <c r="I31" s="625"/>
      <c r="J31" s="673"/>
      <c r="K31" s="401"/>
      <c r="L31" s="527"/>
      <c r="N31" s="522">
        <f>F31-'1'!E31</f>
        <v>-90</v>
      </c>
      <c r="O31" s="410"/>
    </row>
    <row r="32" spans="1:15" s="524" customFormat="1" ht="27.75" x14ac:dyDescent="0.5">
      <c r="A32" s="716" t="s">
        <v>188</v>
      </c>
      <c r="B32" s="717"/>
      <c r="C32" s="718"/>
      <c r="D32" s="627"/>
      <c r="E32" s="627"/>
      <c r="F32" s="627"/>
      <c r="G32" s="628">
        <f>G27+G28+G29+G30+G31</f>
        <v>-25318268.721599996</v>
      </c>
      <c r="H32" s="580">
        <f>G32+'30'!H32</f>
        <v>-18243281.158099998</v>
      </c>
      <c r="I32" s="629"/>
      <c r="J32" s="673">
        <f>H32/DAY(B2)</f>
        <v>-18243281.158099998</v>
      </c>
      <c r="K32" s="401"/>
      <c r="L32" s="527"/>
      <c r="N32" s="522">
        <f>F32-'1'!E32</f>
        <v>0</v>
      </c>
      <c r="O32" s="410"/>
    </row>
    <row r="33" spans="1:15" ht="25.5" customHeight="1" x14ac:dyDescent="0.35">
      <c r="A33" s="1427" t="s">
        <v>189</v>
      </c>
      <c r="B33" s="1428"/>
      <c r="C33" s="1428"/>
      <c r="D33" s="1428"/>
      <c r="E33" s="1428"/>
      <c r="F33" s="1428"/>
      <c r="G33" s="1428"/>
      <c r="H33" s="1428"/>
      <c r="I33" s="1428"/>
      <c r="J33" s="1429"/>
      <c r="K33" s="508"/>
      <c r="L33" s="405"/>
      <c r="N33" s="522">
        <f>F33-'1'!E33</f>
        <v>0</v>
      </c>
      <c r="O33" s="410"/>
    </row>
    <row r="34" spans="1:15" ht="29.25" x14ac:dyDescent="0.5">
      <c r="A34" s="719" t="s">
        <v>190</v>
      </c>
      <c r="B34" s="1356"/>
      <c r="C34" s="1356"/>
      <c r="D34" s="592"/>
      <c r="E34" s="591"/>
      <c r="F34" s="591"/>
      <c r="G34" s="592"/>
      <c r="H34" s="592"/>
      <c r="I34" s="592"/>
      <c r="J34" s="672"/>
      <c r="K34" s="508"/>
      <c r="L34" s="405"/>
      <c r="N34" s="522">
        <f>F34-'1'!E34</f>
        <v>0</v>
      </c>
      <c r="O34" s="410"/>
    </row>
    <row r="35" spans="1:15" ht="29.25" x14ac:dyDescent="0.4">
      <c r="A35" s="699" t="s">
        <v>191</v>
      </c>
      <c r="B35" s="700"/>
      <c r="C35" s="700"/>
      <c r="D35" s="643" t="s">
        <v>159</v>
      </c>
      <c r="E35" s="575">
        <f>'30'!F35</f>
        <v>629027</v>
      </c>
      <c r="F35" s="630">
        <v>491539.27</v>
      </c>
      <c r="G35" s="593">
        <f t="shared" ref="G35:G46" si="3">F35-E35</f>
        <v>-137487.72999999998</v>
      </c>
      <c r="H35" s="580">
        <f>G35+'30'!H35</f>
        <v>-137487.72999999998</v>
      </c>
      <c r="I35" s="575"/>
      <c r="J35" s="673">
        <f>H35/DAY(B2)</f>
        <v>-137487.72999999998</v>
      </c>
      <c r="K35" s="508"/>
      <c r="L35" s="405"/>
      <c r="N35" s="522">
        <f>F35-'1'!E35</f>
        <v>-137488.40000000002</v>
      </c>
      <c r="O35" s="410"/>
    </row>
    <row r="36" spans="1:15" ht="29.25" x14ac:dyDescent="0.4">
      <c r="A36" s="699" t="s">
        <v>192</v>
      </c>
      <c r="B36" s="700"/>
      <c r="C36" s="700"/>
      <c r="D36" s="643" t="s">
        <v>159</v>
      </c>
      <c r="E36" s="575">
        <f>'30'!F36</f>
        <v>254422.49</v>
      </c>
      <c r="F36" s="630">
        <v>174247.33</v>
      </c>
      <c r="G36" s="593">
        <f t="shared" si="3"/>
        <v>-80175.16</v>
      </c>
      <c r="H36" s="580">
        <f>G36+'30'!H36</f>
        <v>-54838.400000000023</v>
      </c>
      <c r="I36" s="575"/>
      <c r="J36" s="673">
        <f>H36/DAY(B2)</f>
        <v>-54838.400000000023</v>
      </c>
      <c r="K36" s="508"/>
      <c r="L36" s="405"/>
      <c r="N36" s="522">
        <f>F36-'1'!E36</f>
        <v>-54838.400000000023</v>
      </c>
      <c r="O36" s="749"/>
    </row>
    <row r="37" spans="1:15" ht="29.25" x14ac:dyDescent="0.4">
      <c r="A37" s="699" t="s">
        <v>193</v>
      </c>
      <c r="B37" s="700"/>
      <c r="C37" s="700"/>
      <c r="D37" s="643" t="s">
        <v>159</v>
      </c>
      <c r="E37" s="575">
        <f>'30'!F37</f>
        <v>415066</v>
      </c>
      <c r="F37" s="630">
        <v>313204.39</v>
      </c>
      <c r="G37" s="593">
        <f t="shared" si="3"/>
        <v>-101861.60999999999</v>
      </c>
      <c r="H37" s="580">
        <f>G37+'30'!H37</f>
        <v>-101861.60999999999</v>
      </c>
      <c r="I37" s="575"/>
      <c r="J37" s="673">
        <f>H37/DAY(B2)</f>
        <v>-101861.60999999999</v>
      </c>
      <c r="K37" s="508"/>
      <c r="L37" s="405"/>
      <c r="N37" s="522">
        <f>F37-'1'!E37</f>
        <v>-101861.60999999999</v>
      </c>
      <c r="O37" s="750"/>
    </row>
    <row r="38" spans="1:15" ht="29.25" x14ac:dyDescent="0.4">
      <c r="A38" s="699" t="s">
        <v>194</v>
      </c>
      <c r="B38" s="700"/>
      <c r="C38" s="700"/>
      <c r="D38" s="643" t="s">
        <v>159</v>
      </c>
      <c r="E38" s="575">
        <f>'30'!F38</f>
        <v>150714</v>
      </c>
      <c r="F38" s="589">
        <v>150714</v>
      </c>
      <c r="G38" s="593">
        <f t="shared" si="3"/>
        <v>0</v>
      </c>
      <c r="H38" s="580">
        <f>G38+'30'!H38</f>
        <v>0</v>
      </c>
      <c r="I38" s="575"/>
      <c r="J38" s="673">
        <f>H38/DAY(B2)</f>
        <v>0</v>
      </c>
      <c r="K38" s="508"/>
      <c r="L38" s="405"/>
      <c r="N38" s="522">
        <f>F38-'1'!E38</f>
        <v>0</v>
      </c>
      <c r="O38" s="410"/>
    </row>
    <row r="39" spans="1:15" ht="29.25" x14ac:dyDescent="0.4">
      <c r="A39" s="699" t="s">
        <v>195</v>
      </c>
      <c r="B39" s="700"/>
      <c r="C39" s="700"/>
      <c r="D39" s="643" t="s">
        <v>159</v>
      </c>
      <c r="E39" s="575">
        <f>'30'!F39</f>
        <v>912480</v>
      </c>
      <c r="F39" s="630">
        <v>673328.15</v>
      </c>
      <c r="G39" s="593">
        <f t="shared" si="3"/>
        <v>-239151.84999999998</v>
      </c>
      <c r="H39" s="580">
        <f>G39+'30'!H39</f>
        <v>-239151.84999999998</v>
      </c>
      <c r="I39" s="575"/>
      <c r="J39" s="673">
        <f>H39/DAY(B2)</f>
        <v>-239151.84999999998</v>
      </c>
      <c r="K39" s="508"/>
      <c r="L39" s="405"/>
      <c r="N39" s="522">
        <f>F39-'1'!E39</f>
        <v>-239151.84999999998</v>
      </c>
      <c r="O39" s="410"/>
    </row>
    <row r="40" spans="1:15" ht="29.25" x14ac:dyDescent="0.4">
      <c r="A40" s="720" t="s">
        <v>196</v>
      </c>
      <c r="B40" s="721"/>
      <c r="C40" s="721"/>
      <c r="D40" s="643" t="s">
        <v>159</v>
      </c>
      <c r="E40" s="575">
        <f>'30'!F40</f>
        <v>0</v>
      </c>
      <c r="F40" s="630">
        <v>0</v>
      </c>
      <c r="G40" s="593">
        <f t="shared" si="3"/>
        <v>0</v>
      </c>
      <c r="H40" s="580">
        <f>G40+'30'!H40</f>
        <v>0</v>
      </c>
      <c r="I40" s="575"/>
      <c r="J40" s="673">
        <f>H40/DAY(B2)</f>
        <v>0</v>
      </c>
      <c r="K40" s="509"/>
      <c r="L40" s="405"/>
      <c r="N40" s="522">
        <f>F40-'1'!E40</f>
        <v>0</v>
      </c>
      <c r="O40" s="410"/>
    </row>
    <row r="41" spans="1:15" ht="29.25" x14ac:dyDescent="0.4">
      <c r="A41" s="699" t="s">
        <v>197</v>
      </c>
      <c r="B41" s="700"/>
      <c r="C41" s="700"/>
      <c r="D41" s="643" t="s">
        <v>159</v>
      </c>
      <c r="E41" s="575">
        <f>'30'!F41</f>
        <v>300127.95</v>
      </c>
      <c r="F41" s="630">
        <v>300127.96999999997</v>
      </c>
      <c r="G41" s="593">
        <f t="shared" si="3"/>
        <v>1.9999999960418791E-2</v>
      </c>
      <c r="H41" s="580">
        <f>G41+'30'!H41</f>
        <v>1.9999999960418791E-2</v>
      </c>
      <c r="I41" s="575"/>
      <c r="J41" s="673">
        <f>H41/DAY(B2)</f>
        <v>1.9999999960418791E-2</v>
      </c>
      <c r="K41" s="508"/>
      <c r="L41" s="405"/>
      <c r="N41" s="522">
        <f>H41-'1'!E41</f>
        <v>-300127.93000000005</v>
      </c>
      <c r="O41" s="410"/>
    </row>
    <row r="42" spans="1:15" ht="29.25" x14ac:dyDescent="0.4">
      <c r="A42" s="699" t="s">
        <v>198</v>
      </c>
      <c r="B42" s="700"/>
      <c r="C42" s="700"/>
      <c r="D42" s="643" t="s">
        <v>159</v>
      </c>
      <c r="E42" s="575">
        <f>'30'!F42</f>
        <v>58926</v>
      </c>
      <c r="F42" s="630">
        <v>155123.79</v>
      </c>
      <c r="G42" s="593">
        <f t="shared" si="3"/>
        <v>96197.790000000008</v>
      </c>
      <c r="H42" s="580">
        <f>G42+'30'!H42</f>
        <v>155123.79</v>
      </c>
      <c r="I42" s="575"/>
      <c r="J42" s="673">
        <f>H42/DAY(B2)</f>
        <v>155123.79</v>
      </c>
      <c r="K42" s="508"/>
      <c r="L42" s="405"/>
      <c r="N42" s="522">
        <f>H42-'1'!E42</f>
        <v>-241074.21</v>
      </c>
      <c r="O42" s="410"/>
    </row>
    <row r="43" spans="1:15" ht="29.25" x14ac:dyDescent="0.4">
      <c r="A43" s="699" t="s">
        <v>199</v>
      </c>
      <c r="B43" s="700"/>
      <c r="C43" s="700"/>
      <c r="D43" s="643" t="s">
        <v>159</v>
      </c>
      <c r="E43" s="575">
        <f>'30'!F43</f>
        <v>696280.71</v>
      </c>
      <c r="F43" s="630">
        <v>426209.51</v>
      </c>
      <c r="G43" s="593">
        <f t="shared" si="3"/>
        <v>-270071.19999999995</v>
      </c>
      <c r="H43" s="580">
        <f>G43+'30'!H43</f>
        <v>-204539.80000000005</v>
      </c>
      <c r="I43" s="575"/>
      <c r="J43" s="673">
        <f>H43/DAY(B2)</f>
        <v>-204539.80000000005</v>
      </c>
      <c r="K43" s="508"/>
      <c r="L43" s="405"/>
      <c r="N43" s="522">
        <f>H43-'1'!E43</f>
        <v>-835289.1100000001</v>
      </c>
      <c r="O43" s="410"/>
    </row>
    <row r="44" spans="1:15" ht="29.25" x14ac:dyDescent="0.4">
      <c r="A44" s="699" t="s">
        <v>200</v>
      </c>
      <c r="B44" s="700"/>
      <c r="C44" s="700"/>
      <c r="D44" s="643" t="s">
        <v>159</v>
      </c>
      <c r="E44" s="575">
        <f>'30'!F44</f>
        <v>0</v>
      </c>
      <c r="F44" s="630">
        <v>0</v>
      </c>
      <c r="G44" s="593">
        <f t="shared" si="3"/>
        <v>0</v>
      </c>
      <c r="H44" s="580">
        <f>G44+'30'!H44</f>
        <v>0</v>
      </c>
      <c r="I44" s="575"/>
      <c r="J44" s="673">
        <f>H44/DAY(B2)</f>
        <v>0</v>
      </c>
      <c r="K44" s="508"/>
      <c r="L44" s="405"/>
      <c r="N44" s="522">
        <f>H44-'1'!E44</f>
        <v>0</v>
      </c>
      <c r="O44" s="410"/>
    </row>
    <row r="45" spans="1:15" ht="29.25" x14ac:dyDescent="0.4">
      <c r="A45" s="699" t="s">
        <v>201</v>
      </c>
      <c r="B45" s="700"/>
      <c r="C45" s="700"/>
      <c r="D45" s="643" t="s">
        <v>159</v>
      </c>
      <c r="E45" s="575">
        <f>'30'!F45</f>
        <v>614.48</v>
      </c>
      <c r="F45" s="630">
        <v>614.48</v>
      </c>
      <c r="G45" s="593">
        <f t="shared" si="3"/>
        <v>0</v>
      </c>
      <c r="H45" s="580">
        <f>G45+'30'!H45</f>
        <v>0</v>
      </c>
      <c r="I45" s="575"/>
      <c r="J45" s="673">
        <f>H45/DAY(B2)</f>
        <v>0</v>
      </c>
      <c r="K45" s="508"/>
      <c r="L45" s="405"/>
      <c r="N45" s="522">
        <f>H45-'1'!E45</f>
        <v>-614.48</v>
      </c>
      <c r="O45" s="410"/>
    </row>
    <row r="46" spans="1:15" ht="29.25" x14ac:dyDescent="0.4">
      <c r="A46" s="699" t="s">
        <v>202</v>
      </c>
      <c r="B46" s="700"/>
      <c r="C46" s="700"/>
      <c r="D46" s="643" t="s">
        <v>159</v>
      </c>
      <c r="E46" s="575">
        <f>'30'!F46</f>
        <v>187.49</v>
      </c>
      <c r="F46" s="630">
        <v>187.49</v>
      </c>
      <c r="G46" s="593">
        <f t="shared" si="3"/>
        <v>0</v>
      </c>
      <c r="H46" s="580">
        <f>G46+'30'!H46</f>
        <v>0</v>
      </c>
      <c r="I46" s="575"/>
      <c r="J46" s="673">
        <f>H46/DAY(B2)</f>
        <v>0</v>
      </c>
      <c r="K46" s="508"/>
      <c r="L46" s="405"/>
      <c r="N46" s="522">
        <f>H46-'1'!E46</f>
        <v>-187.49</v>
      </c>
      <c r="O46" s="410"/>
    </row>
    <row r="47" spans="1:15" ht="29.25" x14ac:dyDescent="0.5">
      <c r="A47" s="706" t="s">
        <v>203</v>
      </c>
      <c r="B47" s="707"/>
      <c r="C47" s="707"/>
      <c r="D47" s="590"/>
      <c r="E47" s="631"/>
      <c r="F47" s="631"/>
      <c r="G47" s="601">
        <f>G35+G36+G37+G38+G39+G40+G41+G42+G43+G44+G45+G46</f>
        <v>-732549.74</v>
      </c>
      <c r="H47" s="580">
        <f>G47+'30'!H47</f>
        <v>-582755.58000000007</v>
      </c>
      <c r="I47" s="575"/>
      <c r="J47" s="673">
        <f>H47/DAY(B2)</f>
        <v>-582755.58000000007</v>
      </c>
      <c r="K47" s="508"/>
      <c r="L47" s="405"/>
      <c r="N47" s="522">
        <f>H47-'1'!E47</f>
        <v>-582755.58000000007</v>
      </c>
      <c r="O47" s="410"/>
    </row>
    <row r="48" spans="1:15" ht="29.25" x14ac:dyDescent="0.5">
      <c r="A48" s="719" t="s">
        <v>204</v>
      </c>
      <c r="B48" s="1356"/>
      <c r="C48" s="1356"/>
      <c r="D48" s="592"/>
      <c r="E48" s="591"/>
      <c r="F48" s="591"/>
      <c r="G48" s="592"/>
      <c r="H48" s="592"/>
      <c r="I48" s="592"/>
      <c r="J48" s="672"/>
      <c r="K48" s="508"/>
      <c r="L48" s="405"/>
      <c r="N48" s="522">
        <f>H48-'1'!E48</f>
        <v>0</v>
      </c>
      <c r="O48" s="410"/>
    </row>
    <row r="49" spans="1:15" ht="29.25" x14ac:dyDescent="0.4">
      <c r="A49" s="699" t="s">
        <v>191</v>
      </c>
      <c r="B49" s="722"/>
      <c r="C49" s="722"/>
      <c r="D49" s="643" t="s">
        <v>159</v>
      </c>
      <c r="E49" s="575">
        <f>'30'!F49</f>
        <v>146767.60999999999</v>
      </c>
      <c r="F49" s="630">
        <v>3334.8</v>
      </c>
      <c r="G49" s="593">
        <f t="shared" ref="G49:G58" si="4">F49-E49</f>
        <v>-143432.81</v>
      </c>
      <c r="H49" s="580">
        <f>G49+'30'!H49</f>
        <v>-61274.717000000004</v>
      </c>
      <c r="I49" s="575"/>
      <c r="J49" s="673">
        <f>H49/DAY(B2)</f>
        <v>-61274.717000000004</v>
      </c>
      <c r="K49" s="508"/>
      <c r="L49" s="405"/>
      <c r="N49" s="522">
        <f>H49-'1'!E49</f>
        <v>-122787.984</v>
      </c>
      <c r="O49" s="410"/>
    </row>
    <row r="50" spans="1:15" ht="29.25" x14ac:dyDescent="0.4">
      <c r="A50" s="699" t="s">
        <v>205</v>
      </c>
      <c r="B50" s="722"/>
      <c r="C50" s="722"/>
      <c r="D50" s="643" t="s">
        <v>159</v>
      </c>
      <c r="E50" s="575">
        <f>'30'!F50</f>
        <v>333829.99</v>
      </c>
      <c r="F50" s="630">
        <v>203028.93</v>
      </c>
      <c r="G50" s="593">
        <f t="shared" si="4"/>
        <v>-130801.06</v>
      </c>
      <c r="H50" s="580">
        <f>G50+'30'!H50</f>
        <v>-94380.600000000035</v>
      </c>
      <c r="I50" s="575"/>
      <c r="J50" s="673">
        <f>H50/DAY(B2)</f>
        <v>-94380.600000000035</v>
      </c>
      <c r="K50" s="508"/>
      <c r="L50" s="405"/>
      <c r="N50" s="522">
        <f>H50-'1'!E50</f>
        <v>-390349.69000000006</v>
      </c>
      <c r="O50" s="410"/>
    </row>
    <row r="51" spans="1:15" ht="29.25" x14ac:dyDescent="0.4">
      <c r="A51" s="699" t="s">
        <v>193</v>
      </c>
      <c r="B51" s="722"/>
      <c r="C51" s="722"/>
      <c r="D51" s="643" t="s">
        <v>159</v>
      </c>
      <c r="E51" s="575">
        <f>'30'!F51</f>
        <v>63234.77</v>
      </c>
      <c r="F51" s="630">
        <v>0</v>
      </c>
      <c r="G51" s="593">
        <f t="shared" si="4"/>
        <v>-63234.77</v>
      </c>
      <c r="H51" s="580">
        <f>G51+'30'!H51</f>
        <v>-20866.967000000004</v>
      </c>
      <c r="I51" s="575"/>
      <c r="J51" s="673">
        <f>H51/DAY(B2)</f>
        <v>-20866.967000000004</v>
      </c>
      <c r="K51" s="508"/>
      <c r="L51" s="405"/>
      <c r="N51" s="522">
        <f>H51-'1'!E51</f>
        <v>-40187.454000000005</v>
      </c>
      <c r="O51" s="410"/>
    </row>
    <row r="52" spans="1:15" ht="29.25" x14ac:dyDescent="0.4">
      <c r="A52" s="699" t="s">
        <v>206</v>
      </c>
      <c r="B52" s="722"/>
      <c r="C52" s="722"/>
      <c r="D52" s="643" t="s">
        <v>159</v>
      </c>
      <c r="E52" s="575">
        <f>'30'!F52</f>
        <v>431132.35</v>
      </c>
      <c r="F52" s="630">
        <v>239027.49</v>
      </c>
      <c r="G52" s="593">
        <f t="shared" si="4"/>
        <v>-192104.86</v>
      </c>
      <c r="H52" s="580">
        <f>G52+'30'!H52</f>
        <v>-134328.30000000005</v>
      </c>
      <c r="I52" s="575"/>
      <c r="J52" s="673">
        <f>H52/DAY(B2)</f>
        <v>-134328.30000000005</v>
      </c>
      <c r="K52" s="508"/>
      <c r="L52" s="405"/>
      <c r="N52" s="522">
        <f>H52-'1'!E52</f>
        <v>-505450.73000000004</v>
      </c>
      <c r="O52" s="410"/>
    </row>
    <row r="53" spans="1:15" ht="29.25" x14ac:dyDescent="0.4">
      <c r="A53" s="699" t="s">
        <v>195</v>
      </c>
      <c r="B53" s="722"/>
      <c r="C53" s="722"/>
      <c r="D53" s="643" t="s">
        <v>159</v>
      </c>
      <c r="E53" s="575">
        <f>'30'!F53</f>
        <v>172201</v>
      </c>
      <c r="F53" s="630">
        <v>16071</v>
      </c>
      <c r="G53" s="593">
        <f t="shared" si="4"/>
        <v>-156130</v>
      </c>
      <c r="H53" s="580">
        <f>G53+'30'!H53</f>
        <v>-33671.107000000004</v>
      </c>
      <c r="I53" s="575"/>
      <c r="J53" s="673">
        <f>H53/DAY(B2)</f>
        <v>-33671.107000000004</v>
      </c>
      <c r="K53" s="508"/>
      <c r="L53" s="405"/>
      <c r="N53" s="522">
        <f>H53-'1'!E53</f>
        <v>-79087.114000000001</v>
      </c>
      <c r="O53" s="410"/>
    </row>
    <row r="54" spans="1:15" ht="29.25" x14ac:dyDescent="0.4">
      <c r="A54" s="699" t="s">
        <v>207</v>
      </c>
      <c r="B54" s="722"/>
      <c r="C54" s="722"/>
      <c r="D54" s="643" t="s">
        <v>159</v>
      </c>
      <c r="E54" s="575">
        <f>'30'!F54</f>
        <v>4509.55</v>
      </c>
      <c r="F54" s="630">
        <v>0</v>
      </c>
      <c r="G54" s="593">
        <f t="shared" si="4"/>
        <v>-4509.55</v>
      </c>
      <c r="H54" s="580">
        <f>G54+'30'!H54</f>
        <v>-2878.61</v>
      </c>
      <c r="I54" s="575"/>
      <c r="J54" s="673">
        <f>H54/DAY(B2)</f>
        <v>-2878.61</v>
      </c>
      <c r="K54" s="508"/>
      <c r="L54" s="405"/>
      <c r="N54" s="522">
        <f>H54-'1'!E54</f>
        <v>-5711.6100000000006</v>
      </c>
      <c r="O54" s="410"/>
    </row>
    <row r="55" spans="1:15" ht="29.25" x14ac:dyDescent="0.4">
      <c r="A55" s="699" t="s">
        <v>208</v>
      </c>
      <c r="B55" s="722"/>
      <c r="C55" s="722"/>
      <c r="D55" s="643" t="s">
        <v>159</v>
      </c>
      <c r="E55" s="575">
        <f>'30'!F55</f>
        <v>158493</v>
      </c>
      <c r="F55" s="630">
        <v>158493</v>
      </c>
      <c r="G55" s="593">
        <f t="shared" si="4"/>
        <v>0</v>
      </c>
      <c r="H55" s="580">
        <f>G55+'30'!H55</f>
        <v>0</v>
      </c>
      <c r="I55" s="575"/>
      <c r="J55" s="673">
        <f>H55/DAY(B2)</f>
        <v>0</v>
      </c>
      <c r="K55" s="508"/>
      <c r="L55" s="405"/>
      <c r="N55" s="522">
        <f>H55-'1'!E55</f>
        <v>-158493</v>
      </c>
      <c r="O55" s="410"/>
    </row>
    <row r="56" spans="1:15" ht="29.25" x14ac:dyDescent="0.4">
      <c r="A56" s="699" t="s">
        <v>209</v>
      </c>
      <c r="B56" s="722"/>
      <c r="C56" s="722"/>
      <c r="D56" s="643" t="s">
        <v>210</v>
      </c>
      <c r="E56" s="575">
        <f>'30'!F56</f>
        <v>508948.63</v>
      </c>
      <c r="F56" s="630">
        <v>276819.67</v>
      </c>
      <c r="G56" s="593">
        <f t="shared" si="4"/>
        <v>-232128.96000000002</v>
      </c>
      <c r="H56" s="580">
        <f>G56+'30'!H56</f>
        <v>-159021.36000000004</v>
      </c>
      <c r="I56" s="575"/>
      <c r="J56" s="673">
        <f>H56/DAY(B2)</f>
        <v>-159021.36000000004</v>
      </c>
      <c r="K56" s="507"/>
      <c r="L56" s="405"/>
      <c r="N56" s="522">
        <f>H56-'1'!E56</f>
        <v>-594168.95000000007</v>
      </c>
      <c r="O56" s="410"/>
    </row>
    <row r="57" spans="1:15" ht="29.25" x14ac:dyDescent="0.4">
      <c r="A57" s="699" t="s">
        <v>199</v>
      </c>
      <c r="B57" s="722"/>
      <c r="C57" s="722"/>
      <c r="D57" s="643" t="s">
        <v>159</v>
      </c>
      <c r="E57" s="575">
        <f>'30'!F57</f>
        <v>0</v>
      </c>
      <c r="F57" s="630">
        <v>0</v>
      </c>
      <c r="G57" s="593">
        <f t="shared" si="4"/>
        <v>0</v>
      </c>
      <c r="H57" s="580">
        <f>G57+'30'!H57</f>
        <v>0</v>
      </c>
      <c r="I57" s="575"/>
      <c r="J57" s="673">
        <f>H57/DAY(B2)</f>
        <v>0</v>
      </c>
      <c r="K57" s="508"/>
      <c r="L57" s="405"/>
      <c r="N57" s="522">
        <f>H57-'1'!E57</f>
        <v>0</v>
      </c>
      <c r="O57" s="410"/>
    </row>
    <row r="58" spans="1:15" ht="29.25" x14ac:dyDescent="0.4">
      <c r="A58" s="699" t="s">
        <v>211</v>
      </c>
      <c r="B58" s="722"/>
      <c r="C58" s="722"/>
      <c r="D58" s="643" t="s">
        <v>159</v>
      </c>
      <c r="E58" s="575">
        <f>'30'!F58</f>
        <v>24906.13</v>
      </c>
      <c r="F58" s="630">
        <v>13889.37</v>
      </c>
      <c r="G58" s="593">
        <f t="shared" si="4"/>
        <v>-11016.76</v>
      </c>
      <c r="H58" s="580">
        <f>G58+'30'!H58</f>
        <v>-6503.6629999999986</v>
      </c>
      <c r="I58" s="575"/>
      <c r="J58" s="673">
        <f>H58/DAY(B2)</f>
        <v>-6503.6629999999986</v>
      </c>
      <c r="K58" s="508"/>
      <c r="L58" s="405"/>
      <c r="N58" s="522">
        <f>H58-'1'!E58</f>
        <v>-26734.705999999998</v>
      </c>
      <c r="O58" s="410"/>
    </row>
    <row r="59" spans="1:15" ht="29.25" x14ac:dyDescent="0.5">
      <c r="A59" s="706" t="s">
        <v>203</v>
      </c>
      <c r="B59" s="707"/>
      <c r="C59" s="707"/>
      <c r="D59" s="631"/>
      <c r="E59" s="631"/>
      <c r="F59" s="631"/>
      <c r="G59" s="601">
        <f>G49+G50+G51+G52+G53+G54+G55+G56+G57+G58</f>
        <v>-933358.77</v>
      </c>
      <c r="H59" s="580">
        <f>G59+'30'!H59</f>
        <v>-512925.3240000002</v>
      </c>
      <c r="I59" s="575">
        <f>G7-G60</f>
        <v>-511189.49</v>
      </c>
      <c r="J59" s="673">
        <f>H59/DAY(B2)</f>
        <v>-512925.3240000002</v>
      </c>
      <c r="K59" s="508"/>
      <c r="L59" s="405"/>
      <c r="N59" s="522">
        <f>H59-'1'!E59</f>
        <v>-512925.3240000002</v>
      </c>
      <c r="O59" s="410"/>
    </row>
    <row r="60" spans="1:15" ht="29.25" x14ac:dyDescent="0.4">
      <c r="A60" s="699"/>
      <c r="B60" s="700"/>
      <c r="C60" s="700"/>
      <c r="D60" s="631" t="s">
        <v>212</v>
      </c>
      <c r="E60" s="631"/>
      <c r="F60" s="631"/>
      <c r="G60" s="601">
        <f>G47+G59</f>
        <v>-1665908.51</v>
      </c>
      <c r="H60" s="580">
        <f>G60+'30'!H60</f>
        <v>-1082137.2340000002</v>
      </c>
      <c r="I60" s="575">
        <f>G13-G60</f>
        <v>19860.509999999776</v>
      </c>
      <c r="J60" s="673">
        <f>H60/DAY(B2)</f>
        <v>-1082137.2340000002</v>
      </c>
      <c r="K60" s="508"/>
      <c r="L60" s="405"/>
      <c r="N60" s="522">
        <f>H60-'1'!E60</f>
        <v>-1082137.2340000002</v>
      </c>
      <c r="O60" s="410"/>
    </row>
    <row r="61" spans="1:15" ht="29.25" x14ac:dyDescent="0.5">
      <c r="A61" s="723" t="s">
        <v>213</v>
      </c>
      <c r="B61" s="573"/>
      <c r="C61" s="573"/>
      <c r="D61" s="633"/>
      <c r="E61" s="632"/>
      <c r="F61" s="632"/>
      <c r="G61" s="633"/>
      <c r="H61" s="633"/>
      <c r="I61" s="633"/>
      <c r="J61" s="676"/>
      <c r="K61" s="508"/>
      <c r="L61" s="405"/>
      <c r="N61" s="522">
        <f>H61-'1'!E61</f>
        <v>0</v>
      </c>
      <c r="O61" s="410"/>
    </row>
    <row r="62" spans="1:15" ht="29.25" x14ac:dyDescent="0.4">
      <c r="A62" s="724" t="s">
        <v>121</v>
      </c>
      <c r="B62" s="725"/>
      <c r="C62" s="725"/>
      <c r="D62" s="631" t="s">
        <v>214</v>
      </c>
      <c r="E62" s="575">
        <f>'30'!F62</f>
        <v>20419.18</v>
      </c>
      <c r="F62" s="634">
        <v>20419.188999999998</v>
      </c>
      <c r="G62" s="593">
        <f t="shared" ref="G62:G69" si="5">F62-E62</f>
        <v>8.9999999981955625E-3</v>
      </c>
      <c r="H62" s="580">
        <f>G62+'30'!H62</f>
        <v>8.9999999981955625E-3</v>
      </c>
      <c r="I62" s="635"/>
      <c r="J62" s="673">
        <f>H62/DAY(B2)</f>
        <v>8.9999999981955625E-3</v>
      </c>
      <c r="K62" s="508"/>
      <c r="L62" s="405"/>
      <c r="N62" s="522">
        <f>H62-'1'!E62</f>
        <v>-20419.171000000002</v>
      </c>
      <c r="O62" s="410"/>
    </row>
    <row r="63" spans="1:15" ht="29.25" x14ac:dyDescent="0.4">
      <c r="A63" s="724" t="s">
        <v>215</v>
      </c>
      <c r="B63" s="725"/>
      <c r="C63" s="725"/>
      <c r="D63" s="631" t="s">
        <v>214</v>
      </c>
      <c r="E63" s="575">
        <f>'30'!F63</f>
        <v>1103.73</v>
      </c>
      <c r="F63" s="634">
        <v>14160.48</v>
      </c>
      <c r="G63" s="593">
        <f t="shared" si="5"/>
        <v>13056.75</v>
      </c>
      <c r="H63" s="580">
        <f>G63+'30'!H63</f>
        <v>13304.11</v>
      </c>
      <c r="I63" s="635"/>
      <c r="J63" s="673">
        <f>H63/DAY(B2)</f>
        <v>13304.11</v>
      </c>
      <c r="K63" s="508"/>
      <c r="L63" s="405"/>
      <c r="N63" s="522">
        <f>H63-'1'!E63</f>
        <v>12447.74</v>
      </c>
      <c r="O63" s="410"/>
    </row>
    <row r="64" spans="1:15" ht="27.75" x14ac:dyDescent="0.5">
      <c r="A64" s="1395" t="s">
        <v>122</v>
      </c>
      <c r="B64" s="1396"/>
      <c r="C64" s="1397"/>
      <c r="D64" s="643" t="s">
        <v>214</v>
      </c>
      <c r="E64" s="575">
        <f>'30'!F64</f>
        <v>97994.44</v>
      </c>
      <c r="F64" s="604">
        <v>59017.9</v>
      </c>
      <c r="G64" s="593">
        <f t="shared" si="5"/>
        <v>-38976.54</v>
      </c>
      <c r="H64" s="580">
        <f>G64+'30'!H64</f>
        <v>-27721.195</v>
      </c>
      <c r="I64" s="600"/>
      <c r="J64" s="673">
        <f>H64/DAY(B2)</f>
        <v>-27721.195</v>
      </c>
      <c r="K64" s="508"/>
      <c r="L64" s="405"/>
      <c r="N64" s="522">
        <f>H64-'1'!E64</f>
        <v>-114460.29000000001</v>
      </c>
      <c r="O64" s="410"/>
    </row>
    <row r="65" spans="1:15" ht="27.75" x14ac:dyDescent="0.5">
      <c r="A65" s="1395" t="s">
        <v>123</v>
      </c>
      <c r="B65" s="1396"/>
      <c r="C65" s="1397"/>
      <c r="D65" s="643" t="s">
        <v>214</v>
      </c>
      <c r="E65" s="575">
        <f>'30'!F65</f>
        <v>108642.86</v>
      </c>
      <c r="F65" s="604">
        <v>62010.36</v>
      </c>
      <c r="G65" s="593">
        <f t="shared" si="5"/>
        <v>-46632.5</v>
      </c>
      <c r="H65" s="580">
        <f>G65+'30'!H65</f>
        <v>-34625.622999999992</v>
      </c>
      <c r="I65" s="609"/>
      <c r="J65" s="673">
        <f>H65/DAY(B2)</f>
        <v>-34625.622999999992</v>
      </c>
      <c r="K65" s="508"/>
      <c r="L65" s="405"/>
      <c r="N65" s="522">
        <f>H65-'1'!E65</f>
        <v>-131261.60599999997</v>
      </c>
      <c r="O65" s="410"/>
    </row>
    <row r="66" spans="1:15" ht="27.75" x14ac:dyDescent="0.5">
      <c r="A66" s="1395" t="s">
        <v>124</v>
      </c>
      <c r="B66" s="1396"/>
      <c r="C66" s="1397"/>
      <c r="D66" s="643" t="s">
        <v>214</v>
      </c>
      <c r="E66" s="575">
        <f>'30'!F66</f>
        <v>2007.09</v>
      </c>
      <c r="F66" s="604">
        <v>55847.47</v>
      </c>
      <c r="G66" s="593">
        <f t="shared" si="5"/>
        <v>53840.380000000005</v>
      </c>
      <c r="H66" s="580">
        <f>G66+'30'!H66</f>
        <v>65845.073000000004</v>
      </c>
      <c r="I66" s="600"/>
      <c r="J66" s="673">
        <f>H66/DAY(B2)</f>
        <v>65845.073000000004</v>
      </c>
      <c r="K66" s="508"/>
      <c r="L66" s="405"/>
      <c r="N66" s="522">
        <f>H66-'1'!E66</f>
        <v>-24159.77399999999</v>
      </c>
      <c r="O66" s="410"/>
    </row>
    <row r="67" spans="1:15" ht="27.75" x14ac:dyDescent="0.5">
      <c r="A67" s="1395" t="s">
        <v>125</v>
      </c>
      <c r="B67" s="1396"/>
      <c r="C67" s="1397"/>
      <c r="D67" s="643" t="s">
        <v>214</v>
      </c>
      <c r="E67" s="575">
        <f>'30'!F67</f>
        <v>167560.62</v>
      </c>
      <c r="F67" s="604">
        <v>96613.97</v>
      </c>
      <c r="G67" s="593">
        <f t="shared" si="5"/>
        <v>-70946.649999999994</v>
      </c>
      <c r="H67" s="580">
        <f>G67+'30'!H67</f>
        <v>-49428.079999999987</v>
      </c>
      <c r="I67" s="609"/>
      <c r="J67" s="673">
        <f>H67/DAY(B2)</f>
        <v>-49428.079999999987</v>
      </c>
      <c r="K67" s="509"/>
      <c r="L67" s="405"/>
      <c r="N67" s="522">
        <f>H67-'1'!E67</f>
        <v>-195470.12999999998</v>
      </c>
      <c r="O67" s="410"/>
    </row>
    <row r="68" spans="1:15" ht="27.75" x14ac:dyDescent="0.5">
      <c r="A68" s="1395" t="s">
        <v>126</v>
      </c>
      <c r="B68" s="1396"/>
      <c r="C68" s="1397"/>
      <c r="D68" s="643" t="s">
        <v>214</v>
      </c>
      <c r="E68" s="575">
        <f>'30'!F68</f>
        <v>53331.82</v>
      </c>
      <c r="F68" s="604">
        <v>16650.509999999998</v>
      </c>
      <c r="G68" s="593">
        <f t="shared" si="5"/>
        <v>-36681.31</v>
      </c>
      <c r="H68" s="580">
        <f>G68+'30'!H68</f>
        <v>-26524.568999999996</v>
      </c>
      <c r="I68" s="636"/>
      <c r="J68" s="673">
        <f>H68/DAY(B2)</f>
        <v>-26524.568999999996</v>
      </c>
      <c r="K68" s="510"/>
      <c r="L68" s="405"/>
      <c r="N68" s="522">
        <f>H68-'1'!E68</f>
        <v>-69699.647999999986</v>
      </c>
      <c r="O68" s="410"/>
    </row>
    <row r="69" spans="1:15" ht="27.75" x14ac:dyDescent="0.5">
      <c r="A69" s="1395" t="s">
        <v>127</v>
      </c>
      <c r="B69" s="1396"/>
      <c r="C69" s="1397"/>
      <c r="D69" s="643" t="s">
        <v>214</v>
      </c>
      <c r="E69" s="575">
        <f>'30'!F69</f>
        <v>46235.44</v>
      </c>
      <c r="F69" s="604">
        <v>22398.71</v>
      </c>
      <c r="G69" s="593">
        <f t="shared" si="5"/>
        <v>-23836.730000000003</v>
      </c>
      <c r="H69" s="580">
        <f>G69+'30'!H69</f>
        <v>-15156.857000000004</v>
      </c>
      <c r="I69" s="636"/>
      <c r="J69" s="673">
        <f>H69/DAY(B2)</f>
        <v>-15156.857000000004</v>
      </c>
      <c r="K69" s="511"/>
      <c r="L69" s="405"/>
      <c r="N69" s="522">
        <f>H69-'1'!E69</f>
        <v>-52712.424000000006</v>
      </c>
      <c r="O69" s="410"/>
    </row>
    <row r="70" spans="1:15" ht="27.75" x14ac:dyDescent="0.5">
      <c r="A70" s="1451" t="s">
        <v>216</v>
      </c>
      <c r="B70" s="1452"/>
      <c r="C70" s="1453"/>
      <c r="D70" s="643" t="s">
        <v>214</v>
      </c>
      <c r="E70" s="638"/>
      <c r="F70" s="638"/>
      <c r="G70" s="638"/>
      <c r="H70" s="580">
        <f>G70+'30'!H70</f>
        <v>0</v>
      </c>
      <c r="I70" s="638"/>
      <c r="J70" s="677"/>
      <c r="K70" s="511"/>
      <c r="L70" s="405"/>
      <c r="N70" s="522">
        <f>H70-'1'!E70</f>
        <v>0</v>
      </c>
      <c r="O70" s="410"/>
    </row>
    <row r="71" spans="1:15" ht="31.5" x14ac:dyDescent="0.6">
      <c r="A71" s="1454" t="s">
        <v>217</v>
      </c>
      <c r="B71" s="1455"/>
      <c r="C71" s="1455"/>
      <c r="D71" s="1455"/>
      <c r="E71" s="1455"/>
      <c r="F71" s="1455"/>
      <c r="G71" s="1455"/>
      <c r="H71" s="1455"/>
      <c r="I71" s="1455"/>
      <c r="J71" s="1456"/>
      <c r="K71" s="510"/>
      <c r="L71" s="405"/>
      <c r="N71" s="522">
        <f>H71-'1'!E71</f>
        <v>0</v>
      </c>
      <c r="O71" s="410"/>
    </row>
    <row r="72" spans="1:15" ht="27.75" x14ac:dyDescent="0.5">
      <c r="A72" s="1395" t="s">
        <v>218</v>
      </c>
      <c r="B72" s="1396"/>
      <c r="C72" s="1397"/>
      <c r="D72" s="643" t="s">
        <v>214</v>
      </c>
      <c r="E72" s="575">
        <f>'30'!F72</f>
        <v>846310</v>
      </c>
      <c r="F72" s="639">
        <v>843266</v>
      </c>
      <c r="G72" s="593">
        <f t="shared" ref="G72:G84" si="6">F72-E72</f>
        <v>-3044</v>
      </c>
      <c r="H72" s="580">
        <f>G72+'30'!H72</f>
        <v>-996</v>
      </c>
      <c r="I72" s="600"/>
      <c r="J72" s="673">
        <f>H72/DAY(B2)</f>
        <v>-996</v>
      </c>
      <c r="K72" s="511"/>
      <c r="L72" s="405"/>
      <c r="N72" s="522">
        <f>H72-'1'!E72</f>
        <v>-845173</v>
      </c>
      <c r="O72" s="410"/>
    </row>
    <row r="73" spans="1:15" ht="27.75" x14ac:dyDescent="0.5">
      <c r="A73" s="1395" t="s">
        <v>219</v>
      </c>
      <c r="B73" s="1396"/>
      <c r="C73" s="1397"/>
      <c r="D73" s="643" t="s">
        <v>214</v>
      </c>
      <c r="E73" s="575">
        <f>'30'!F73</f>
        <v>885673</v>
      </c>
      <c r="F73" s="640">
        <v>885145</v>
      </c>
      <c r="G73" s="593">
        <f t="shared" si="6"/>
        <v>-528</v>
      </c>
      <c r="H73" s="580">
        <f>G73+'30'!H73</f>
        <v>441</v>
      </c>
      <c r="I73" s="600"/>
      <c r="J73" s="673">
        <f>H73/DAY(B2)</f>
        <v>441</v>
      </c>
      <c r="K73" s="510"/>
      <c r="L73" s="405"/>
      <c r="N73" s="522">
        <f>H73-'1'!E73</f>
        <v>-884869</v>
      </c>
      <c r="O73" s="410"/>
    </row>
    <row r="74" spans="1:15" ht="27.75" x14ac:dyDescent="0.5">
      <c r="A74" s="1395" t="s">
        <v>220</v>
      </c>
      <c r="B74" s="1396"/>
      <c r="C74" s="1397"/>
      <c r="D74" s="643" t="s">
        <v>214</v>
      </c>
      <c r="E74" s="575">
        <f>'30'!F74</f>
        <v>881262</v>
      </c>
      <c r="F74" s="641">
        <v>878667</v>
      </c>
      <c r="G74" s="593">
        <f t="shared" si="6"/>
        <v>-2595</v>
      </c>
      <c r="H74" s="580">
        <f>G74+'30'!H74</f>
        <v>-1560</v>
      </c>
      <c r="I74" s="600"/>
      <c r="J74" s="673">
        <f>H74/DAY(B2)</f>
        <v>-1560</v>
      </c>
      <c r="K74" s="511"/>
      <c r="L74" s="405"/>
      <c r="N74" s="522">
        <f>H74-'1'!E74</f>
        <v>-881787</v>
      </c>
      <c r="O74" s="410"/>
    </row>
    <row r="75" spans="1:15" ht="27.75" x14ac:dyDescent="0.5">
      <c r="A75" s="1447" t="s">
        <v>221</v>
      </c>
      <c r="B75" s="1448"/>
      <c r="C75" s="1449"/>
      <c r="D75" s="643" t="s">
        <v>214</v>
      </c>
      <c r="E75" s="575">
        <f>'30'!F75</f>
        <v>731452</v>
      </c>
      <c r="F75" s="641">
        <v>716633</v>
      </c>
      <c r="G75" s="593">
        <f t="shared" si="6"/>
        <v>-14819</v>
      </c>
      <c r="H75" s="580">
        <f>G75+'30'!H75</f>
        <v>-9547</v>
      </c>
      <c r="I75" s="600"/>
      <c r="J75" s="673">
        <f>H75/DAY(B2)</f>
        <v>-9547</v>
      </c>
      <c r="K75" s="510"/>
      <c r="L75" s="405"/>
      <c r="N75" s="522">
        <f>H75-'1'!E75</f>
        <v>-735727</v>
      </c>
      <c r="O75" s="410"/>
    </row>
    <row r="76" spans="1:15" ht="27.75" x14ac:dyDescent="0.5">
      <c r="A76" s="1447" t="s">
        <v>222</v>
      </c>
      <c r="B76" s="1448"/>
      <c r="C76" s="1449"/>
      <c r="D76" s="643" t="s">
        <v>214</v>
      </c>
      <c r="E76" s="575">
        <f>'30'!F76</f>
        <v>684157</v>
      </c>
      <c r="F76" s="640">
        <v>677956</v>
      </c>
      <c r="G76" s="593">
        <f t="shared" si="6"/>
        <v>-6201</v>
      </c>
      <c r="H76" s="580">
        <f>G76+'30'!H76</f>
        <v>-2414</v>
      </c>
      <c r="I76" s="625"/>
      <c r="J76" s="673">
        <f>H76/DAY(B2)</f>
        <v>-2414</v>
      </c>
      <c r="K76" s="510"/>
      <c r="L76" s="405"/>
      <c r="N76" s="522">
        <f>H76-'1'!E76</f>
        <v>-684090</v>
      </c>
      <c r="O76" s="410"/>
    </row>
    <row r="77" spans="1:15" ht="27.75" x14ac:dyDescent="0.5">
      <c r="A77" s="1395" t="s">
        <v>223</v>
      </c>
      <c r="B77" s="1396"/>
      <c r="C77" s="1397"/>
      <c r="D77" s="643" t="s">
        <v>214</v>
      </c>
      <c r="E77" s="575">
        <f>'30'!F77</f>
        <v>695337</v>
      </c>
      <c r="F77" s="641">
        <v>689541</v>
      </c>
      <c r="G77" s="593">
        <f t="shared" si="6"/>
        <v>-5796</v>
      </c>
      <c r="H77" s="580">
        <f>G77+'30'!H77</f>
        <v>-4179</v>
      </c>
      <c r="I77" s="625"/>
      <c r="J77" s="673">
        <f>H77/DAY(B2)</f>
        <v>-4179</v>
      </c>
      <c r="K77" s="510"/>
      <c r="L77" s="405"/>
      <c r="N77" s="522">
        <f>H77-'1'!E77</f>
        <v>-697899</v>
      </c>
      <c r="O77" s="410"/>
    </row>
    <row r="78" spans="1:15" ht="27.75" x14ac:dyDescent="0.5">
      <c r="A78" s="1357" t="s">
        <v>224</v>
      </c>
      <c r="B78" s="1320"/>
      <c r="C78" s="1320"/>
      <c r="D78" s="643" t="s">
        <v>214</v>
      </c>
      <c r="E78" s="575">
        <f>'30'!F78</f>
        <v>630406</v>
      </c>
      <c r="F78" s="641">
        <v>599737</v>
      </c>
      <c r="G78" s="593">
        <f t="shared" si="6"/>
        <v>-30669</v>
      </c>
      <c r="H78" s="580">
        <f>G78+'30'!H78</f>
        <v>-18516</v>
      </c>
      <c r="I78" s="625"/>
      <c r="J78" s="673">
        <f>H78/DAY(B2)</f>
        <v>-18516</v>
      </c>
      <c r="K78" s="510"/>
      <c r="L78" s="405"/>
      <c r="N78" s="522">
        <f>H78-'1'!E78</f>
        <v>-636769</v>
      </c>
      <c r="O78" s="410"/>
    </row>
    <row r="79" spans="1:15" ht="27.75" x14ac:dyDescent="0.5">
      <c r="A79" s="1447" t="s">
        <v>112</v>
      </c>
      <c r="B79" s="1448"/>
      <c r="C79" s="1449"/>
      <c r="D79" s="644" t="s">
        <v>214</v>
      </c>
      <c r="E79" s="575">
        <f>'30'!F79</f>
        <v>803649</v>
      </c>
      <c r="F79" s="641">
        <v>784196</v>
      </c>
      <c r="G79" s="593">
        <f t="shared" si="6"/>
        <v>-19453</v>
      </c>
      <c r="H79" s="580">
        <f>G79+'30'!H79</f>
        <v>-11056</v>
      </c>
      <c r="I79" s="625"/>
      <c r="J79" s="673">
        <f>H79/DAY(B2)</f>
        <v>-11056</v>
      </c>
      <c r="K79" s="510"/>
      <c r="L79" s="405"/>
      <c r="N79" s="522">
        <f>H79-'1'!E79</f>
        <v>-809042</v>
      </c>
      <c r="O79" s="410"/>
    </row>
    <row r="80" spans="1:15" ht="27.75" x14ac:dyDescent="0.5">
      <c r="A80" s="1447" t="s">
        <v>225</v>
      </c>
      <c r="B80" s="1448"/>
      <c r="C80" s="1449"/>
      <c r="D80" s="644" t="s">
        <v>214</v>
      </c>
      <c r="E80" s="575">
        <f>'30'!F80</f>
        <v>475223.88</v>
      </c>
      <c r="F80" s="640">
        <v>442000</v>
      </c>
      <c r="G80" s="593">
        <f t="shared" si="6"/>
        <v>-33223.880000000005</v>
      </c>
      <c r="H80" s="580">
        <f>G80+'30'!H80</f>
        <v>-25323.840000000026</v>
      </c>
      <c r="I80" s="625"/>
      <c r="J80" s="673">
        <f>H80/DAY(B2)</f>
        <v>-25323.840000000026</v>
      </c>
      <c r="K80" s="510"/>
      <c r="L80" s="405"/>
      <c r="N80" s="522">
        <f>H80-'1'!E80</f>
        <v>-490821.72000000003</v>
      </c>
      <c r="O80" s="410"/>
    </row>
    <row r="81" spans="1:15" ht="27.75" x14ac:dyDescent="0.5">
      <c r="A81" s="1447" t="s">
        <v>226</v>
      </c>
      <c r="B81" s="1448"/>
      <c r="C81" s="1449"/>
      <c r="D81" s="644" t="s">
        <v>214</v>
      </c>
      <c r="E81" s="575">
        <f>'30'!F81</f>
        <v>619128.04</v>
      </c>
      <c r="F81" s="640">
        <v>603853</v>
      </c>
      <c r="G81" s="593">
        <f t="shared" si="6"/>
        <v>-15275.040000000037</v>
      </c>
      <c r="H81" s="580">
        <f>G81+'30'!H81</f>
        <v>-10535.520000000019</v>
      </c>
      <c r="I81" s="625"/>
      <c r="J81" s="673">
        <f>H81/DAY(B2)</f>
        <v>-10535.520000000019</v>
      </c>
      <c r="K81" s="510"/>
      <c r="L81" s="405"/>
      <c r="N81" s="522">
        <f>H81-'1'!E81</f>
        <v>-624924.04</v>
      </c>
      <c r="O81" s="410"/>
    </row>
    <row r="82" spans="1:15" ht="27.75" x14ac:dyDescent="0.5">
      <c r="A82" s="1447" t="s">
        <v>115</v>
      </c>
      <c r="B82" s="1448"/>
      <c r="C82" s="1449"/>
      <c r="D82" s="605" t="s">
        <v>159</v>
      </c>
      <c r="E82" s="575">
        <f>'30'!F82</f>
        <v>104413</v>
      </c>
      <c r="F82" s="642">
        <v>101826</v>
      </c>
      <c r="G82" s="593">
        <f t="shared" si="6"/>
        <v>-2587</v>
      </c>
      <c r="H82" s="580">
        <f>G82+'30'!H82</f>
        <v>-1703.6499999999942</v>
      </c>
      <c r="I82" s="606"/>
      <c r="J82" s="673">
        <f>H82/DAY(B2)</f>
        <v>-1703.6499999999942</v>
      </c>
      <c r="K82" s="510"/>
      <c r="L82" s="405"/>
      <c r="N82" s="522">
        <f>H82-'1'!E82</f>
        <v>-105233.29999999999</v>
      </c>
      <c r="O82" s="410"/>
    </row>
    <row r="83" spans="1:15" ht="27.75" x14ac:dyDescent="0.5">
      <c r="A83" s="1447" t="s">
        <v>227</v>
      </c>
      <c r="B83" s="1448"/>
      <c r="C83" s="1449"/>
      <c r="D83" s="741" t="s">
        <v>159</v>
      </c>
      <c r="E83" s="575">
        <f>'30'!F83</f>
        <v>973125</v>
      </c>
      <c r="F83" s="631">
        <v>937743</v>
      </c>
      <c r="G83" s="593">
        <f t="shared" si="6"/>
        <v>-35382</v>
      </c>
      <c r="H83" s="580">
        <f>G83+'30'!H83</f>
        <v>-24782</v>
      </c>
      <c r="I83" s="601"/>
      <c r="J83" s="673">
        <f>H83/DAY(B2)</f>
        <v>-24782</v>
      </c>
      <c r="K83" s="509"/>
      <c r="L83" s="405"/>
      <c r="N83" s="522">
        <f>H83-'1'!E83</f>
        <v>-987307</v>
      </c>
      <c r="O83" s="410"/>
    </row>
    <row r="84" spans="1:15" ht="29.25" x14ac:dyDescent="0.5">
      <c r="A84" s="1360" t="s">
        <v>228</v>
      </c>
      <c r="B84" s="692"/>
      <c r="C84" s="692"/>
      <c r="D84" s="598" t="s">
        <v>159</v>
      </c>
      <c r="E84" s="575">
        <f>'30'!F84</f>
        <v>396819</v>
      </c>
      <c r="F84" s="748">
        <v>336915</v>
      </c>
      <c r="G84" s="593">
        <f t="shared" si="6"/>
        <v>-59904</v>
      </c>
      <c r="H84" s="580">
        <f>G84+'30'!H84</f>
        <v>-44441</v>
      </c>
      <c r="I84" s="601"/>
      <c r="J84" s="673">
        <f>H84/DAY(B2)</f>
        <v>-44441</v>
      </c>
      <c r="K84" s="408"/>
      <c r="L84" s="405"/>
      <c r="N84" s="522">
        <f>H84-'1'!E84</f>
        <v>-425797</v>
      </c>
      <c r="O84" s="410"/>
    </row>
    <row r="85" spans="1:15" s="407" customFormat="1" ht="29.25" x14ac:dyDescent="0.5">
      <c r="A85" s="726" t="s">
        <v>82</v>
      </c>
      <c r="B85" s="693"/>
      <c r="C85" s="693"/>
      <c r="D85" s="609"/>
      <c r="E85" s="643"/>
      <c r="F85" s="643"/>
      <c r="G85" s="580">
        <f xml:space="preserve"> SUM(G72:G84)</f>
        <v>-229476.92000000004</v>
      </c>
      <c r="H85" s="580">
        <f>G85+'30'!H85</f>
        <v>-159169.48000000007</v>
      </c>
      <c r="I85" s="601"/>
      <c r="J85" s="673">
        <f>H85/DAY(B2)</f>
        <v>-159169.48000000007</v>
      </c>
      <c r="K85" s="408"/>
      <c r="L85" s="406"/>
      <c r="N85" s="522">
        <f>H85-'1'!E85</f>
        <v>-159169.48000000007</v>
      </c>
      <c r="O85" s="410"/>
    </row>
    <row r="86" spans="1:15" s="871" customFormat="1" ht="29.25" x14ac:dyDescent="0.5">
      <c r="A86" s="866" t="s">
        <v>117</v>
      </c>
      <c r="B86" s="867"/>
      <c r="C86" s="867"/>
      <c r="D86" s="868" t="s">
        <v>210</v>
      </c>
      <c r="E86" s="575">
        <f>'30'!F86</f>
        <v>444210.84</v>
      </c>
      <c r="F86" s="764">
        <v>427006.84</v>
      </c>
      <c r="G86" s="841">
        <f t="shared" ref="G86:G90" si="7">F86-E86</f>
        <v>-17204</v>
      </c>
      <c r="H86" s="580">
        <f>G86+'30'!H86</f>
        <v>-17162.159999999974</v>
      </c>
      <c r="I86" s="769"/>
      <c r="J86" s="843">
        <f>H86/DAY(B2)</f>
        <v>-17162.159999999974</v>
      </c>
      <c r="K86" s="869"/>
      <c r="L86" s="870"/>
      <c r="N86" s="522">
        <f>H86-'1'!E86</f>
        <v>-457574.39999999997</v>
      </c>
      <c r="O86" s="849"/>
    </row>
    <row r="87" spans="1:15" s="871" customFormat="1" ht="29.25" x14ac:dyDescent="0.5">
      <c r="A87" s="866" t="s">
        <v>118</v>
      </c>
      <c r="B87" s="867"/>
      <c r="C87" s="867"/>
      <c r="D87" s="868" t="s">
        <v>210</v>
      </c>
      <c r="E87" s="575">
        <f>'30'!F87</f>
        <v>77722.3</v>
      </c>
      <c r="F87" s="764">
        <v>74477.600000000006</v>
      </c>
      <c r="G87" s="841">
        <f t="shared" si="7"/>
        <v>-3244.6999999999971</v>
      </c>
      <c r="H87" s="580">
        <f>G87+'30'!H87</f>
        <v>-3219.7999999999884</v>
      </c>
      <c r="I87" s="769"/>
      <c r="J87" s="843">
        <f>H87/DAY(B2)</f>
        <v>-3219.7999999999884</v>
      </c>
      <c r="K87" s="869"/>
      <c r="L87" s="870"/>
      <c r="N87" s="522">
        <f>H87-'1'!E87</f>
        <v>-80121.099999999991</v>
      </c>
      <c r="O87" s="849"/>
    </row>
    <row r="88" spans="1:15" s="871" customFormat="1" ht="29.25" x14ac:dyDescent="0.5">
      <c r="A88" s="866" t="s">
        <v>119</v>
      </c>
      <c r="B88" s="867"/>
      <c r="C88" s="867"/>
      <c r="D88" s="868" t="s">
        <v>210</v>
      </c>
      <c r="E88" s="575">
        <f>'30'!F88</f>
        <v>144512.53</v>
      </c>
      <c r="F88" s="764">
        <v>135303</v>
      </c>
      <c r="G88" s="841">
        <f t="shared" si="7"/>
        <v>-9209.5299999999988</v>
      </c>
      <c r="H88" s="580">
        <f>G88+'30'!H88</f>
        <v>-9148</v>
      </c>
      <c r="I88" s="769"/>
      <c r="J88" s="843">
        <f>H88/DAY(B2)</f>
        <v>-9148</v>
      </c>
      <c r="K88" s="869"/>
      <c r="L88" s="870"/>
      <c r="N88" s="522">
        <f>H88-'1'!E88</f>
        <v>-151620.49</v>
      </c>
      <c r="O88" s="849"/>
    </row>
    <row r="89" spans="1:15" s="871" customFormat="1" ht="29.25" x14ac:dyDescent="0.5">
      <c r="A89" s="866" t="s">
        <v>230</v>
      </c>
      <c r="B89" s="867"/>
      <c r="C89" s="867"/>
      <c r="D89" s="868" t="s">
        <v>210</v>
      </c>
      <c r="E89" s="575">
        <f>'30'!F89</f>
        <v>57632.800000000003</v>
      </c>
      <c r="F89" s="764">
        <v>49989.9</v>
      </c>
      <c r="G89" s="841">
        <f t="shared" si="7"/>
        <v>-7642.9000000000015</v>
      </c>
      <c r="H89" s="580">
        <f>G89+'30'!H89</f>
        <v>-7541.9000000000015</v>
      </c>
      <c r="I89" s="769"/>
      <c r="J89" s="843">
        <f>H89/DAY(B2)</f>
        <v>-7541.9000000000015</v>
      </c>
      <c r="K89" s="869"/>
      <c r="L89" s="870"/>
      <c r="N89" s="522">
        <f>H89-'1'!E89</f>
        <v>-63267</v>
      </c>
      <c r="O89" s="410"/>
    </row>
    <row r="90" spans="1:15" s="871" customFormat="1" ht="29.25" x14ac:dyDescent="0.5">
      <c r="A90" s="866" t="s">
        <v>230</v>
      </c>
      <c r="B90" s="867"/>
      <c r="C90" s="867"/>
      <c r="D90" s="868" t="s">
        <v>210</v>
      </c>
      <c r="E90" s="575">
        <f>'30'!F90</f>
        <v>2981.5</v>
      </c>
      <c r="F90" s="764">
        <v>2639.9</v>
      </c>
      <c r="G90" s="841">
        <f t="shared" si="7"/>
        <v>-341.59999999999991</v>
      </c>
      <c r="H90" s="580">
        <f>G90+'30'!H90</f>
        <v>-338.59999999999991</v>
      </c>
      <c r="I90" s="769"/>
      <c r="J90" s="843">
        <f>H90/DAY(B2)</f>
        <v>-338.59999999999991</v>
      </c>
      <c r="K90" s="869"/>
      <c r="L90" s="870"/>
      <c r="N90" s="522">
        <f>H90-'1'!E90</f>
        <v>-3226.6</v>
      </c>
      <c r="O90" s="410"/>
    </row>
    <row r="91" spans="1:15" s="407" customFormat="1" ht="29.25" x14ac:dyDescent="0.5">
      <c r="A91" s="727" t="s">
        <v>231</v>
      </c>
      <c r="B91" s="1358"/>
      <c r="C91" s="1358"/>
      <c r="D91" s="592"/>
      <c r="E91" s="592"/>
      <c r="F91" s="592"/>
      <c r="G91" s="608"/>
      <c r="H91" s="592"/>
      <c r="I91" s="592"/>
      <c r="J91" s="672"/>
      <c r="K91" s="408"/>
      <c r="L91" s="406"/>
      <c r="N91" s="522">
        <f>H91-'1'!E91</f>
        <v>0</v>
      </c>
      <c r="O91" s="410"/>
    </row>
    <row r="92" spans="1:15" ht="27.75" x14ac:dyDescent="0.5">
      <c r="A92" s="1398" t="s">
        <v>233</v>
      </c>
      <c r="B92" s="1399"/>
      <c r="C92" s="1400"/>
      <c r="D92" s="643" t="s">
        <v>171</v>
      </c>
      <c r="E92" s="575">
        <f>'30'!F92</f>
        <v>233843</v>
      </c>
      <c r="F92" s="604">
        <v>226639</v>
      </c>
      <c r="G92" s="593">
        <f t="shared" ref="G92:G93" si="8">F92-E92</f>
        <v>-7204</v>
      </c>
      <c r="H92" s="580">
        <f>G92+'30'!H92</f>
        <v>-4336</v>
      </c>
      <c r="I92" s="600"/>
      <c r="J92" s="673">
        <f>H92/DAY(B2)</f>
        <v>-4336</v>
      </c>
      <c r="K92" s="509"/>
      <c r="L92" s="405"/>
      <c r="N92" s="522">
        <f>H92-'1'!E92</f>
        <v>-235311</v>
      </c>
      <c r="O92" s="410"/>
    </row>
    <row r="93" spans="1:15" ht="27.75" x14ac:dyDescent="0.5">
      <c r="A93" s="1398" t="s">
        <v>234</v>
      </c>
      <c r="B93" s="1399"/>
      <c r="C93" s="1400"/>
      <c r="D93" s="643" t="s">
        <v>171</v>
      </c>
      <c r="E93" s="575">
        <f>'30'!F93</f>
        <v>166775</v>
      </c>
      <c r="F93" s="604">
        <v>152742</v>
      </c>
      <c r="G93" s="593">
        <f t="shared" si="8"/>
        <v>-14033</v>
      </c>
      <c r="H93" s="580">
        <f>G93+'30'!H93</f>
        <v>-9900</v>
      </c>
      <c r="I93" s="600"/>
      <c r="J93" s="673">
        <f>H93/DAY(B2)</f>
        <v>-9900</v>
      </c>
      <c r="K93" s="408"/>
      <c r="L93" s="405"/>
      <c r="N93" s="522">
        <f>H93-'1'!E93</f>
        <v>-172542</v>
      </c>
      <c r="O93" s="410"/>
    </row>
    <row r="94" spans="1:15" ht="29.25" x14ac:dyDescent="0.5">
      <c r="A94" s="1392" t="s">
        <v>235</v>
      </c>
      <c r="B94" s="1393"/>
      <c r="C94" s="1394"/>
      <c r="D94" s="643"/>
      <c r="E94" s="604"/>
      <c r="F94" s="604"/>
      <c r="G94" s="593">
        <f>G92+G93</f>
        <v>-21237</v>
      </c>
      <c r="H94" s="580">
        <f>G94+'30'!H94</f>
        <v>-14499</v>
      </c>
      <c r="I94" s="600"/>
      <c r="J94" s="673">
        <f>H94/DAY(B2)</f>
        <v>-14499</v>
      </c>
      <c r="K94" s="408"/>
      <c r="L94" s="405"/>
      <c r="N94" s="522">
        <f>H94-'1'!E94</f>
        <v>-14499</v>
      </c>
      <c r="O94" s="410"/>
    </row>
    <row r="95" spans="1:15" ht="27.75" x14ac:dyDescent="0.5">
      <c r="A95" s="1398" t="s">
        <v>236</v>
      </c>
      <c r="B95" s="1399"/>
      <c r="C95" s="1400"/>
      <c r="D95" s="643" t="s">
        <v>171</v>
      </c>
      <c r="E95" s="575">
        <f>'30'!F95</f>
        <v>403602</v>
      </c>
      <c r="F95" s="604">
        <v>397158</v>
      </c>
      <c r="G95" s="593">
        <f t="shared" ref="G95:G100" si="9">F95-E95</f>
        <v>-6444</v>
      </c>
      <c r="H95" s="580">
        <f>G95+'30'!H95</f>
        <v>-4407</v>
      </c>
      <c r="I95" s="600"/>
      <c r="J95" s="673">
        <f>H95/DAY(B2)</f>
        <v>-4407</v>
      </c>
      <c r="K95" s="408"/>
      <c r="L95" s="405"/>
      <c r="N95" s="522">
        <f>H95-'1'!E95</f>
        <v>-405972</v>
      </c>
      <c r="O95" s="410"/>
    </row>
    <row r="96" spans="1:15" ht="27.75" x14ac:dyDescent="0.5">
      <c r="A96" s="1354" t="s">
        <v>237</v>
      </c>
      <c r="B96" s="1355"/>
      <c r="C96" s="1355"/>
      <c r="D96" s="643" t="s">
        <v>171</v>
      </c>
      <c r="E96" s="575">
        <f>'30'!F96</f>
        <v>99906</v>
      </c>
      <c r="F96" s="604">
        <v>97152</v>
      </c>
      <c r="G96" s="593">
        <f t="shared" si="9"/>
        <v>-2754</v>
      </c>
      <c r="H96" s="580">
        <f>G96+'30'!H96</f>
        <v>-1959</v>
      </c>
      <c r="I96" s="600"/>
      <c r="J96" s="673">
        <f>H96/DAY(B2)</f>
        <v>-1959</v>
      </c>
      <c r="K96" s="507"/>
      <c r="L96" s="405"/>
      <c r="N96" s="522">
        <f>H96-'1'!E96</f>
        <v>-101070</v>
      </c>
      <c r="O96" s="410"/>
    </row>
    <row r="97" spans="1:15" ht="27.75" x14ac:dyDescent="0.5">
      <c r="A97" s="1354" t="s">
        <v>238</v>
      </c>
      <c r="B97" s="1355"/>
      <c r="C97" s="1355"/>
      <c r="D97" s="643" t="s">
        <v>171</v>
      </c>
      <c r="E97" s="575">
        <f>'30'!F97</f>
        <v>95005</v>
      </c>
      <c r="F97" s="604">
        <v>92659</v>
      </c>
      <c r="G97" s="593">
        <f t="shared" si="9"/>
        <v>-2346</v>
      </c>
      <c r="H97" s="580">
        <f>G97+'30'!H97</f>
        <v>-1613</v>
      </c>
      <c r="I97" s="600"/>
      <c r="J97" s="673">
        <f>H97/DAY(B2)</f>
        <v>-1613</v>
      </c>
      <c r="K97" s="512"/>
      <c r="L97" s="405"/>
      <c r="N97" s="522">
        <f>H97-'1'!E97</f>
        <v>-95885</v>
      </c>
      <c r="O97" s="410"/>
    </row>
    <row r="98" spans="1:15" ht="27.75" x14ac:dyDescent="0.5">
      <c r="A98" s="1354" t="s">
        <v>239</v>
      </c>
      <c r="B98" s="1355"/>
      <c r="C98" s="1355"/>
      <c r="D98" s="643" t="s">
        <v>171</v>
      </c>
      <c r="E98" s="575">
        <f>'30'!F98</f>
        <v>143757</v>
      </c>
      <c r="F98" s="604">
        <v>139578</v>
      </c>
      <c r="G98" s="593">
        <f t="shared" si="9"/>
        <v>-4179</v>
      </c>
      <c r="H98" s="580">
        <f>G98+'30'!H98</f>
        <v>-2568</v>
      </c>
      <c r="I98" s="600"/>
      <c r="J98" s="673">
        <f>H98/DAY(B2)</f>
        <v>-2568</v>
      </c>
      <c r="K98" s="408"/>
      <c r="L98" s="405"/>
      <c r="N98" s="522">
        <f>H98-'1'!E98</f>
        <v>-144714</v>
      </c>
      <c r="O98" s="410"/>
    </row>
    <row r="99" spans="1:15" ht="27.75" x14ac:dyDescent="0.5">
      <c r="A99" s="1354" t="s">
        <v>240</v>
      </c>
      <c r="B99" s="1355"/>
      <c r="C99" s="1355"/>
      <c r="D99" s="643" t="s">
        <v>171</v>
      </c>
      <c r="E99" s="575">
        <f>'30'!F99</f>
        <v>5497</v>
      </c>
      <c r="F99" s="604">
        <v>4286</v>
      </c>
      <c r="G99" s="593">
        <f t="shared" si="9"/>
        <v>-1211</v>
      </c>
      <c r="H99" s="580">
        <f>G99+'30'!H99</f>
        <v>-682</v>
      </c>
      <c r="I99" s="600"/>
      <c r="J99" s="673">
        <f>H99/DAY(B2)</f>
        <v>-682</v>
      </c>
      <c r="K99" s="408"/>
      <c r="L99" s="405"/>
      <c r="N99" s="522">
        <f>H99-'1'!E99</f>
        <v>-5650</v>
      </c>
      <c r="O99" s="410"/>
    </row>
    <row r="100" spans="1:15" ht="27.75" x14ac:dyDescent="0.5">
      <c r="A100" s="1354" t="s">
        <v>241</v>
      </c>
      <c r="B100" s="1355"/>
      <c r="C100" s="1355"/>
      <c r="D100" s="643" t="s">
        <v>171</v>
      </c>
      <c r="E100" s="575">
        <f>'30'!F100</f>
        <v>3952</v>
      </c>
      <c r="F100" s="604">
        <v>3674</v>
      </c>
      <c r="G100" s="593">
        <f t="shared" si="9"/>
        <v>-278</v>
      </c>
      <c r="H100" s="580">
        <f>G100+'30'!H100</f>
        <v>-122</v>
      </c>
      <c r="I100" s="600"/>
      <c r="J100" s="673">
        <f>H100/DAY(B2)</f>
        <v>-122</v>
      </c>
      <c r="K100" s="408"/>
      <c r="L100" s="405"/>
      <c r="N100" s="522">
        <f>H100-'1'!E100</f>
        <v>-3796</v>
      </c>
      <c r="O100" s="410"/>
    </row>
    <row r="101" spans="1:15" ht="29.25" x14ac:dyDescent="0.5">
      <c r="A101" s="1392" t="s">
        <v>242</v>
      </c>
      <c r="B101" s="1393"/>
      <c r="C101" s="1394"/>
      <c r="D101" s="644"/>
      <c r="E101" s="644"/>
      <c r="F101" s="644"/>
      <c r="G101" s="645">
        <f>SUM(G95:G100)</f>
        <v>-17212</v>
      </c>
      <c r="H101" s="580">
        <f>G101+'30'!H101</f>
        <v>-11351</v>
      </c>
      <c r="I101" s="646"/>
      <c r="J101" s="673">
        <f>H101/DAY(B2)</f>
        <v>-11351</v>
      </c>
      <c r="K101" s="408"/>
      <c r="L101" s="405"/>
      <c r="N101" s="522">
        <f>H101-'1'!E101</f>
        <v>-11351</v>
      </c>
      <c r="O101" s="410"/>
    </row>
    <row r="102" spans="1:15" s="524" customFormat="1" ht="27" x14ac:dyDescent="0.35">
      <c r="A102" s="728" t="s">
        <v>243</v>
      </c>
      <c r="B102" s="729"/>
      <c r="C102" s="729"/>
      <c r="D102" s="742"/>
      <c r="E102" s="648"/>
      <c r="F102" s="648"/>
      <c r="G102" s="649"/>
      <c r="H102" s="650"/>
      <c r="I102" s="651"/>
      <c r="J102" s="678"/>
      <c r="N102" s="522">
        <f>H102-'1'!E102</f>
        <v>0</v>
      </c>
      <c r="O102" s="410"/>
    </row>
    <row r="103" spans="1:15" s="524" customFormat="1" ht="27.75" x14ac:dyDescent="0.5">
      <c r="A103" s="1404" t="s">
        <v>244</v>
      </c>
      <c r="B103" s="1405"/>
      <c r="C103" s="694"/>
      <c r="D103" s="743"/>
      <c r="E103" s="652"/>
      <c r="F103" s="652"/>
      <c r="G103" s="652"/>
      <c r="H103" s="653"/>
      <c r="I103" s="652"/>
      <c r="J103" s="679"/>
      <c r="N103" s="522">
        <f>H103-'1'!E103</f>
        <v>0</v>
      </c>
      <c r="O103" s="410"/>
    </row>
    <row r="104" spans="1:15" s="524" customFormat="1" ht="27.75" x14ac:dyDescent="0.5">
      <c r="A104" s="1406" t="s">
        <v>245</v>
      </c>
      <c r="B104" s="1407"/>
      <c r="C104" s="1363"/>
      <c r="D104" s="743" t="s">
        <v>171</v>
      </c>
      <c r="E104" s="652">
        <f>'30'!F104</f>
        <v>7010</v>
      </c>
      <c r="F104" s="652">
        <v>7010</v>
      </c>
      <c r="G104" s="652">
        <f>F104-E104</f>
        <v>0</v>
      </c>
      <c r="H104" s="580">
        <f>G104+'30'!H104</f>
        <v>57</v>
      </c>
      <c r="I104" s="652"/>
      <c r="J104" s="679">
        <f>H104/DAY(B2)</f>
        <v>57</v>
      </c>
      <c r="N104" s="522">
        <f>H104-'1'!E104</f>
        <v>-6953</v>
      </c>
      <c r="O104" s="410"/>
    </row>
    <row r="105" spans="1:15" s="524" customFormat="1" ht="27.75" x14ac:dyDescent="0.5">
      <c r="A105" s="1406" t="s">
        <v>92</v>
      </c>
      <c r="B105" s="1407"/>
      <c r="C105" s="1363"/>
      <c r="D105" s="743" t="s">
        <v>171</v>
      </c>
      <c r="E105" s="652">
        <f>'30'!F105</f>
        <v>34920</v>
      </c>
      <c r="F105" s="654">
        <v>34308</v>
      </c>
      <c r="G105" s="652">
        <f t="shared" ref="G105:G106" si="10">F105-E105</f>
        <v>-612</v>
      </c>
      <c r="H105" s="580">
        <f>G105+'30'!H105</f>
        <v>-550</v>
      </c>
      <c r="I105" s="652"/>
      <c r="J105" s="679">
        <f>H105/DAY(B2)</f>
        <v>-550</v>
      </c>
      <c r="N105" s="522">
        <f>H105-'1'!E105</f>
        <v>-35226</v>
      </c>
      <c r="O105" s="410"/>
    </row>
    <row r="106" spans="1:15" s="524" customFormat="1" ht="27.75" x14ac:dyDescent="0.5">
      <c r="A106" s="1406" t="s">
        <v>93</v>
      </c>
      <c r="B106" s="1408"/>
      <c r="C106" s="1407"/>
      <c r="D106" s="743" t="s">
        <v>171</v>
      </c>
      <c r="E106" s="652">
        <f>'30'!F106</f>
        <v>18883</v>
      </c>
      <c r="F106" s="652">
        <v>18444</v>
      </c>
      <c r="G106" s="652">
        <f t="shared" si="10"/>
        <v>-439</v>
      </c>
      <c r="H106" s="580">
        <f>G106+'30'!H106</f>
        <v>46</v>
      </c>
      <c r="I106" s="652"/>
      <c r="J106" s="679">
        <f>H106/DAY(B2)</f>
        <v>46</v>
      </c>
      <c r="N106" s="522">
        <f>H106-'1'!E106</f>
        <v>-18694</v>
      </c>
      <c r="O106" s="410"/>
    </row>
    <row r="107" spans="1:15" s="524" customFormat="1" ht="27.75" x14ac:dyDescent="0.5">
      <c r="A107" s="1409" t="s">
        <v>82</v>
      </c>
      <c r="B107" s="1410"/>
      <c r="C107" s="1363"/>
      <c r="D107" s="743"/>
      <c r="E107" s="652"/>
      <c r="F107" s="652"/>
      <c r="G107" s="652">
        <f>SUM(G104:G106)</f>
        <v>-1051</v>
      </c>
      <c r="H107" s="580">
        <f>G107+'30'!H107</f>
        <v>-838</v>
      </c>
      <c r="I107" s="652"/>
      <c r="J107" s="679">
        <f>H107/DAY(B2)</f>
        <v>-838</v>
      </c>
      <c r="N107" s="522">
        <f>H107-'1'!E107</f>
        <v>-838</v>
      </c>
      <c r="O107" s="410"/>
    </row>
    <row r="108" spans="1:15" s="524" customFormat="1" ht="27.75" x14ac:dyDescent="0.5">
      <c r="A108" s="1411" t="s">
        <v>94</v>
      </c>
      <c r="B108" s="1412"/>
      <c r="C108" s="1363"/>
      <c r="D108" s="743" t="s">
        <v>171</v>
      </c>
      <c r="E108" s="652"/>
      <c r="F108" s="652"/>
      <c r="G108" s="652"/>
      <c r="H108" s="580">
        <f>G108+'30'!H108</f>
        <v>0</v>
      </c>
      <c r="I108" s="652"/>
      <c r="J108" s="679"/>
      <c r="N108" s="522">
        <f>H108-'1'!E108</f>
        <v>0</v>
      </c>
      <c r="O108" s="410"/>
    </row>
    <row r="109" spans="1:15" s="524" customFormat="1" ht="27.75" x14ac:dyDescent="0.5">
      <c r="A109" s="1406" t="s">
        <v>246</v>
      </c>
      <c r="B109" s="1407"/>
      <c r="C109" s="1363"/>
      <c r="D109" s="743" t="s">
        <v>171</v>
      </c>
      <c r="E109" s="652">
        <f>'30'!F109</f>
        <v>52971</v>
      </c>
      <c r="F109" s="652">
        <v>46636</v>
      </c>
      <c r="G109" s="652">
        <f>F109-E109</f>
        <v>-6335</v>
      </c>
      <c r="H109" s="580">
        <f>G109+'30'!H109</f>
        <v>-6141.7199999999721</v>
      </c>
      <c r="I109" s="652"/>
      <c r="J109" s="679">
        <f>H109/DAY(B2)</f>
        <v>-6141.7199999999721</v>
      </c>
      <c r="N109" s="522">
        <f>H109-'1'!E109</f>
        <v>-57423.719999999972</v>
      </c>
      <c r="O109" s="410"/>
    </row>
    <row r="110" spans="1:15" s="524" customFormat="1" ht="27.75" x14ac:dyDescent="0.5">
      <c r="A110" s="1406" t="s">
        <v>247</v>
      </c>
      <c r="B110" s="1407"/>
      <c r="C110" s="1363"/>
      <c r="D110" s="743" t="s">
        <v>171</v>
      </c>
      <c r="E110" s="652">
        <f>'30'!F110</f>
        <v>26847</v>
      </c>
      <c r="F110" s="652">
        <v>22859</v>
      </c>
      <c r="G110" s="652">
        <f t="shared" ref="G110:G111" si="11">F110-E110</f>
        <v>-3988</v>
      </c>
      <c r="H110" s="580">
        <f>G110+'30'!H110</f>
        <v>-3921.2399999999907</v>
      </c>
      <c r="I110" s="652"/>
      <c r="J110" s="679">
        <f>H110/DAY(B2)</f>
        <v>-3921.2399999999907</v>
      </c>
      <c r="N110" s="522">
        <f>H110-'1'!E110</f>
        <v>-29250.239999999991</v>
      </c>
      <c r="O110" s="410"/>
    </row>
    <row r="111" spans="1:15" s="524" customFormat="1" ht="27.75" x14ac:dyDescent="0.5">
      <c r="A111" s="1406" t="s">
        <v>248</v>
      </c>
      <c r="B111" s="1407"/>
      <c r="C111" s="1363"/>
      <c r="D111" s="743" t="s">
        <v>171</v>
      </c>
      <c r="E111" s="652">
        <f>'30'!F111</f>
        <v>3567</v>
      </c>
      <c r="F111" s="652">
        <v>3065</v>
      </c>
      <c r="G111" s="652">
        <f t="shared" si="11"/>
        <v>-502</v>
      </c>
      <c r="H111" s="580">
        <f>G111+'30'!H111</f>
        <v>-140</v>
      </c>
      <c r="I111" s="652"/>
      <c r="J111" s="679">
        <f>H111/DAY(B2)</f>
        <v>-140</v>
      </c>
      <c r="N111" s="522">
        <f>H111-'1'!E111</f>
        <v>-3525</v>
      </c>
      <c r="O111" s="410"/>
    </row>
    <row r="112" spans="1:15" s="524" customFormat="1" ht="27.75" x14ac:dyDescent="0.5">
      <c r="A112" s="1435" t="s">
        <v>136</v>
      </c>
      <c r="B112" s="1436"/>
      <c r="C112" s="1363"/>
      <c r="D112" s="743"/>
      <c r="E112" s="652"/>
      <c r="F112" s="652"/>
      <c r="G112" s="652">
        <f>SUM(G109:G111)</f>
        <v>-10825</v>
      </c>
      <c r="H112" s="580">
        <f>G112+'30'!H112</f>
        <v>-10159</v>
      </c>
      <c r="I112" s="652"/>
      <c r="J112" s="679">
        <f>H112/DAY(B2)</f>
        <v>-10159</v>
      </c>
      <c r="N112" s="522">
        <f>H112-'1'!E112</f>
        <v>-10159</v>
      </c>
      <c r="O112" s="410"/>
    </row>
    <row r="113" spans="1:15" s="524" customFormat="1" ht="27.75" x14ac:dyDescent="0.5">
      <c r="A113" s="1411" t="s">
        <v>249</v>
      </c>
      <c r="B113" s="1412"/>
      <c r="C113" s="1363"/>
      <c r="D113" s="743"/>
      <c r="E113" s="652"/>
      <c r="F113" s="652"/>
      <c r="G113" s="652"/>
      <c r="H113" s="580">
        <f>G113+'30'!H113</f>
        <v>0</v>
      </c>
      <c r="I113" s="652"/>
      <c r="J113" s="679">
        <f>H113/DAY(B2)</f>
        <v>0</v>
      </c>
      <c r="N113" s="522">
        <f>H113-'1'!E113</f>
        <v>0</v>
      </c>
      <c r="O113" s="410"/>
    </row>
    <row r="114" spans="1:15" s="524" customFormat="1" ht="27.75" x14ac:dyDescent="0.5">
      <c r="A114" s="1406" t="s">
        <v>250</v>
      </c>
      <c r="B114" s="1407"/>
      <c r="C114" s="695"/>
      <c r="D114" s="743" t="s">
        <v>171</v>
      </c>
      <c r="E114" s="652">
        <f>'30'!F114</f>
        <v>9233</v>
      </c>
      <c r="F114" s="654">
        <v>7734</v>
      </c>
      <c r="G114" s="654">
        <f>F114-E114</f>
        <v>-1499</v>
      </c>
      <c r="H114" s="580">
        <f>G114+'30'!H114</f>
        <v>-1492</v>
      </c>
      <c r="I114" s="652"/>
      <c r="J114" s="679">
        <f>H114/DAY(B2)</f>
        <v>-1492</v>
      </c>
      <c r="N114" s="522">
        <f>H114-'1'!E114</f>
        <v>-10093</v>
      </c>
      <c r="O114" s="410"/>
    </row>
    <row r="115" spans="1:15" s="524" customFormat="1" ht="27.75" x14ac:dyDescent="0.5">
      <c r="A115" s="1406" t="s">
        <v>251</v>
      </c>
      <c r="B115" s="1407"/>
      <c r="C115" s="695"/>
      <c r="D115" s="743" t="s">
        <v>171</v>
      </c>
      <c r="E115" s="652">
        <f>'30'!F115</f>
        <v>7178</v>
      </c>
      <c r="F115" s="654">
        <v>6223</v>
      </c>
      <c r="G115" s="654">
        <f t="shared" ref="G115:G116" si="12">F115-E115</f>
        <v>-955</v>
      </c>
      <c r="H115" s="580">
        <f>G115+'30'!H115</f>
        <v>-839</v>
      </c>
      <c r="I115" s="652"/>
      <c r="J115" s="679">
        <f>H115/DAY(B2)</f>
        <v>-839</v>
      </c>
      <c r="N115" s="522">
        <f>H115-'1'!E115</f>
        <v>-7656</v>
      </c>
      <c r="O115" s="410"/>
    </row>
    <row r="116" spans="1:15" s="524" customFormat="1" ht="27.75" x14ac:dyDescent="0.5">
      <c r="A116" s="1406" t="s">
        <v>252</v>
      </c>
      <c r="B116" s="1407"/>
      <c r="C116" s="695"/>
      <c r="D116" s="743" t="s">
        <v>171</v>
      </c>
      <c r="E116" s="654"/>
      <c r="F116" s="654"/>
      <c r="G116" s="654">
        <f t="shared" si="12"/>
        <v>0</v>
      </c>
      <c r="H116" s="580">
        <f>G116+'30'!H116</f>
        <v>151</v>
      </c>
      <c r="I116" s="652"/>
      <c r="J116" s="679">
        <f>H116/DAY(B2)</f>
        <v>151</v>
      </c>
      <c r="N116" s="522">
        <f>H116-'1'!E116</f>
        <v>151</v>
      </c>
      <c r="O116" s="410"/>
    </row>
    <row r="117" spans="1:15" s="537" customFormat="1" ht="27.75" x14ac:dyDescent="0.5">
      <c r="A117" s="1409" t="s">
        <v>82</v>
      </c>
      <c r="B117" s="1410"/>
      <c r="C117" s="695"/>
      <c r="D117" s="744"/>
      <c r="E117" s="654"/>
      <c r="F117" s="654"/>
      <c r="G117" s="654">
        <f>SUM(G114:G116)</f>
        <v>-2454</v>
      </c>
      <c r="H117" s="580">
        <f>G117+'30'!H117</f>
        <v>-2396</v>
      </c>
      <c r="I117" s="654"/>
      <c r="J117" s="679">
        <f>H117/DAY(B2)</f>
        <v>-2396</v>
      </c>
      <c r="N117" s="522">
        <f>H117-'1'!E117</f>
        <v>-2396</v>
      </c>
      <c r="O117" s="410"/>
    </row>
    <row r="118" spans="1:15" s="538" customFormat="1" ht="27.75" x14ac:dyDescent="0.5">
      <c r="A118" s="1437" t="s">
        <v>253</v>
      </c>
      <c r="B118" s="1438"/>
      <c r="C118" s="1362"/>
      <c r="D118" s="745" t="s">
        <v>171</v>
      </c>
      <c r="E118" s="656"/>
      <c r="F118" s="656">
        <f>SUM(G19+G92)</f>
        <v>-13818</v>
      </c>
      <c r="G118" s="656">
        <f>SUM(G19+G92)</f>
        <v>-13818</v>
      </c>
      <c r="H118" s="580">
        <f>G118+'30'!H118</f>
        <v>-13676</v>
      </c>
      <c r="I118" s="655"/>
      <c r="J118" s="680">
        <f>H118/DAY(B2)</f>
        <v>-13676</v>
      </c>
      <c r="N118" s="522">
        <f>H118-'1'!E118</f>
        <v>-374617</v>
      </c>
      <c r="O118" s="410"/>
    </row>
    <row r="119" spans="1:15" s="538" customFormat="1" ht="27.75" x14ac:dyDescent="0.5">
      <c r="A119" s="1437" t="s">
        <v>254</v>
      </c>
      <c r="B119" s="1438"/>
      <c r="C119" s="1362"/>
      <c r="D119" s="745" t="s">
        <v>171</v>
      </c>
      <c r="E119" s="656"/>
      <c r="F119" s="656">
        <f>SUM(G95,G96,G97,G99,G100)</f>
        <v>-13033</v>
      </c>
      <c r="G119" s="656">
        <f>SUM(G95,G96,G97,G99,G100)</f>
        <v>-13033</v>
      </c>
      <c r="H119" s="580">
        <f>G119+'30'!H119</f>
        <v>-12850</v>
      </c>
      <c r="I119" s="655"/>
      <c r="J119" s="680">
        <f>H119/DAY(B2)</f>
        <v>-12850</v>
      </c>
      <c r="N119" s="522">
        <f>H119-'1'!E119</f>
        <v>-616578</v>
      </c>
      <c r="O119" s="410"/>
    </row>
    <row r="120" spans="1:15" s="538" customFormat="1" ht="27.75" x14ac:dyDescent="0.5">
      <c r="A120" s="1437" t="s">
        <v>255</v>
      </c>
      <c r="B120" s="1438"/>
      <c r="C120" s="1362"/>
      <c r="D120" s="745" t="s">
        <v>171</v>
      </c>
      <c r="E120" s="654"/>
      <c r="F120" s="654">
        <f>SUM(G112)</f>
        <v>-10825</v>
      </c>
      <c r="G120" s="654">
        <f>SUM(G112)</f>
        <v>-10825</v>
      </c>
      <c r="H120" s="580">
        <f>G120+'30'!H120</f>
        <v>-10723</v>
      </c>
      <c r="I120" s="655"/>
      <c r="J120" s="680">
        <f>H120/DAY(B2)</f>
        <v>-10723</v>
      </c>
      <c r="N120" s="522">
        <f>H120-'1'!E120</f>
        <v>-10723</v>
      </c>
      <c r="O120" s="410"/>
    </row>
    <row r="121" spans="1:15" s="524" customFormat="1" ht="27.75" x14ac:dyDescent="0.5">
      <c r="A121" s="1439"/>
      <c r="B121" s="1440"/>
      <c r="C121" s="1363"/>
      <c r="D121" s="681"/>
      <c r="E121" s="681" t="s">
        <v>143</v>
      </c>
      <c r="F121" s="681" t="s">
        <v>143</v>
      </c>
      <c r="G121" s="681"/>
      <c r="H121" s="682"/>
      <c r="I121" s="681"/>
      <c r="J121" s="683"/>
      <c r="N121" s="522" t="e">
        <f>H121-'1'!E121</f>
        <v>#VALUE!</v>
      </c>
      <c r="O121" s="410"/>
    </row>
    <row r="122" spans="1:15" ht="29.25" x14ac:dyDescent="0.5">
      <c r="A122" s="1389" t="s">
        <v>256</v>
      </c>
      <c r="B122" s="1390"/>
      <c r="C122" s="1391"/>
      <c r="D122" s="592"/>
      <c r="E122" s="592"/>
      <c r="F122" s="592"/>
      <c r="G122" s="603"/>
      <c r="H122" s="603"/>
      <c r="I122" s="603"/>
      <c r="J122" s="684"/>
      <c r="K122" s="408"/>
      <c r="L122" s="405"/>
      <c r="N122" s="522">
        <f>H122-'1'!E122</f>
        <v>0</v>
      </c>
      <c r="O122" s="410"/>
    </row>
    <row r="123" spans="1:15" ht="27.75" x14ac:dyDescent="0.5">
      <c r="A123" s="1354" t="s">
        <v>257</v>
      </c>
      <c r="B123" s="1355"/>
      <c r="C123" s="1355"/>
      <c r="D123" s="643" t="s">
        <v>168</v>
      </c>
      <c r="E123" s="575">
        <f>'30'!F123</f>
        <v>795182.7</v>
      </c>
      <c r="F123" s="598">
        <v>772625.42</v>
      </c>
      <c r="G123" s="593">
        <f t="shared" ref="G123:G127" si="13">F123-E123</f>
        <v>-22557.279999999912</v>
      </c>
      <c r="H123" s="580">
        <f>G123+'30'!H123</f>
        <v>-16205.649999999907</v>
      </c>
      <c r="I123" s="646"/>
      <c r="J123" s="673">
        <f>H123/DAY(B2)</f>
        <v>-16205.649999999907</v>
      </c>
      <c r="K123" s="408"/>
      <c r="L123" s="405"/>
      <c r="N123" s="522">
        <f>H123-'1'!E123</f>
        <v>-805036.71999999986</v>
      </c>
      <c r="O123" s="410"/>
    </row>
    <row r="124" spans="1:15" ht="27.75" x14ac:dyDescent="0.5">
      <c r="A124" s="1354" t="s">
        <v>258</v>
      </c>
      <c r="B124" s="1355"/>
      <c r="C124" s="1355"/>
      <c r="D124" s="643" t="s">
        <v>168</v>
      </c>
      <c r="E124" s="575">
        <f>'30'!F124</f>
        <v>73582.2</v>
      </c>
      <c r="F124" s="747">
        <v>73581</v>
      </c>
      <c r="G124" s="593">
        <f t="shared" si="13"/>
        <v>-1.1999999999970896</v>
      </c>
      <c r="H124" s="580">
        <f>G124+'30'!H124</f>
        <v>-1.1999999999970896</v>
      </c>
      <c r="I124" s="646"/>
      <c r="J124" s="673">
        <f>H124/DAY(B2)</f>
        <v>-1.1999999999970896</v>
      </c>
      <c r="K124" s="408"/>
      <c r="L124" s="405"/>
      <c r="N124" s="522">
        <f>H124-'1'!E124</f>
        <v>-73583.399999999994</v>
      </c>
      <c r="O124" s="410"/>
    </row>
    <row r="125" spans="1:15" ht="27.75" x14ac:dyDescent="0.5">
      <c r="A125" s="1395" t="s">
        <v>259</v>
      </c>
      <c r="B125" s="1396"/>
      <c r="C125" s="1397"/>
      <c r="D125" s="643" t="s">
        <v>168</v>
      </c>
      <c r="E125" s="575">
        <f>'30'!F125</f>
        <v>135512</v>
      </c>
      <c r="F125" s="598">
        <v>127007</v>
      </c>
      <c r="G125" s="593">
        <f t="shared" si="13"/>
        <v>-8505</v>
      </c>
      <c r="H125" s="580">
        <f>G125+'30'!H125</f>
        <v>-6115.8800000000047</v>
      </c>
      <c r="I125" s="646"/>
      <c r="J125" s="673">
        <f>H125/DAY(B2)</f>
        <v>-6115.8800000000047</v>
      </c>
      <c r="K125" s="408"/>
      <c r="L125" s="405"/>
      <c r="N125" s="522">
        <f>H125-'1'!E125</f>
        <v>-139238.76</v>
      </c>
      <c r="O125" s="410"/>
    </row>
    <row r="126" spans="1:15" ht="27.75" x14ac:dyDescent="0.5">
      <c r="A126" s="730" t="s">
        <v>260</v>
      </c>
      <c r="B126" s="1355"/>
      <c r="C126" s="1355"/>
      <c r="D126" s="643" t="s">
        <v>168</v>
      </c>
      <c r="E126" s="575">
        <f>'30'!F126</f>
        <v>57339.3</v>
      </c>
      <c r="F126" s="747">
        <v>54900</v>
      </c>
      <c r="G126" s="593">
        <f t="shared" si="13"/>
        <v>-2439.3000000000029</v>
      </c>
      <c r="H126" s="580">
        <f>G126+'30'!H126</f>
        <v>-1448.1999999999971</v>
      </c>
      <c r="I126" s="646"/>
      <c r="J126" s="673">
        <f>H126/DAY(B2)</f>
        <v>-1448.1999999999971</v>
      </c>
      <c r="K126" s="408"/>
      <c r="L126" s="405"/>
      <c r="N126" s="522">
        <f>H126-'1'!E126</f>
        <v>-57796.399999999994</v>
      </c>
      <c r="O126" s="410"/>
    </row>
    <row r="127" spans="1:15" ht="27.75" x14ac:dyDescent="0.5">
      <c r="A127" s="730" t="s">
        <v>261</v>
      </c>
      <c r="B127" s="1355"/>
      <c r="C127" s="1355"/>
      <c r="D127" s="643" t="s">
        <v>168</v>
      </c>
      <c r="E127" s="575">
        <f>'30'!F127</f>
        <v>8701</v>
      </c>
      <c r="F127" s="747">
        <v>8639</v>
      </c>
      <c r="G127" s="593">
        <f t="shared" si="13"/>
        <v>-62</v>
      </c>
      <c r="H127" s="580">
        <f>G127+'30'!H127</f>
        <v>-1.1000000000003638</v>
      </c>
      <c r="I127" s="600"/>
      <c r="J127" s="673">
        <f>H127/DAY(B2)</f>
        <v>-1.1000000000003638</v>
      </c>
      <c r="K127" s="408"/>
      <c r="L127" s="405"/>
      <c r="N127" s="522">
        <f>H127-'1'!E127</f>
        <v>-8641.2000000000007</v>
      </c>
      <c r="O127" s="410"/>
    </row>
    <row r="128" spans="1:15" s="278" customFormat="1" ht="27.75" x14ac:dyDescent="0.5">
      <c r="A128" s="730" t="s">
        <v>262</v>
      </c>
      <c r="B128" s="1355"/>
      <c r="C128" s="1355"/>
      <c r="D128" s="643"/>
      <c r="E128" s="598"/>
      <c r="F128" s="598"/>
      <c r="G128" s="593">
        <f>G15-SUM(G123:G127)</f>
        <v>-31696.160000000033</v>
      </c>
      <c r="H128" s="580">
        <f>G128+'30'!H128</f>
        <v>-31696.160000000033</v>
      </c>
      <c r="I128" s="600"/>
      <c r="J128" s="673"/>
      <c r="K128" s="388"/>
      <c r="L128" s="290"/>
      <c r="N128" s="522">
        <f>H128-'1'!E128</f>
        <v>-31696.160000000033</v>
      </c>
      <c r="O128" s="410"/>
    </row>
    <row r="129" spans="1:15" ht="29.25" x14ac:dyDescent="0.4">
      <c r="A129" s="731" t="s">
        <v>263</v>
      </c>
      <c r="B129" s="578"/>
      <c r="C129" s="578"/>
      <c r="D129" s="591"/>
      <c r="E129" s="591"/>
      <c r="F129" s="591"/>
      <c r="G129" s="661"/>
      <c r="H129" s="661"/>
      <c r="I129" s="661"/>
      <c r="J129" s="685"/>
      <c r="O129" s="410"/>
    </row>
    <row r="130" spans="1:15" ht="27.75" x14ac:dyDescent="0.5">
      <c r="A130" s="1354" t="s">
        <v>264</v>
      </c>
      <c r="B130" s="1355"/>
      <c r="C130" s="1355"/>
      <c r="D130" s="643" t="s">
        <v>265</v>
      </c>
      <c r="E130" s="575">
        <f>'30'!F130</f>
        <v>0</v>
      </c>
      <c r="F130" s="604">
        <v>0</v>
      </c>
      <c r="G130" s="593">
        <f t="shared" ref="G130:G140" si="14">F130-E130</f>
        <v>0</v>
      </c>
      <c r="H130" s="580">
        <f>G130+'30'!H130</f>
        <v>0</v>
      </c>
      <c r="I130" s="600"/>
      <c r="J130" s="673">
        <f>H130/DAY(B2)</f>
        <v>0</v>
      </c>
      <c r="O130" s="410"/>
    </row>
    <row r="131" spans="1:15" ht="27.75" x14ac:dyDescent="0.5">
      <c r="A131" s="1354" t="s">
        <v>266</v>
      </c>
      <c r="B131" s="1355"/>
      <c r="C131" s="1355"/>
      <c r="D131" s="643" t="s">
        <v>265</v>
      </c>
      <c r="E131" s="575">
        <f>'30'!F131</f>
        <v>0</v>
      </c>
      <c r="F131" s="604">
        <v>0</v>
      </c>
      <c r="G131" s="593">
        <f t="shared" si="14"/>
        <v>0</v>
      </c>
      <c r="H131" s="580">
        <f>G131+'30'!H131</f>
        <v>0</v>
      </c>
      <c r="I131" s="600"/>
      <c r="J131" s="673">
        <f>H131/DAY(B2)</f>
        <v>0</v>
      </c>
      <c r="O131" s="410"/>
    </row>
    <row r="132" spans="1:15" ht="27.75" x14ac:dyDescent="0.5">
      <c r="A132" s="1354" t="s">
        <v>267</v>
      </c>
      <c r="B132" s="1355"/>
      <c r="C132" s="1355"/>
      <c r="D132" s="643" t="s">
        <v>265</v>
      </c>
      <c r="E132" s="575">
        <f>'30'!F132</f>
        <v>38901</v>
      </c>
      <c r="F132" s="662">
        <v>38829</v>
      </c>
      <c r="G132" s="593">
        <f t="shared" si="14"/>
        <v>-72</v>
      </c>
      <c r="H132" s="580">
        <f>G132+'30'!H132</f>
        <v>-72</v>
      </c>
      <c r="I132" s="600"/>
      <c r="J132" s="673">
        <f>H132/DAY(B2)</f>
        <v>-72</v>
      </c>
      <c r="O132" s="410"/>
    </row>
    <row r="133" spans="1:15" ht="27.75" x14ac:dyDescent="0.5">
      <c r="A133" s="1354" t="s">
        <v>268</v>
      </c>
      <c r="B133" s="1355"/>
      <c r="C133" s="1355"/>
      <c r="D133" s="643" t="s">
        <v>265</v>
      </c>
      <c r="E133" s="575">
        <f>'30'!F133</f>
        <v>299</v>
      </c>
      <c r="F133" s="662">
        <v>33647.339999999997</v>
      </c>
      <c r="G133" s="593">
        <f t="shared" si="14"/>
        <v>33348.339999999997</v>
      </c>
      <c r="H133" s="580">
        <f>G133+'30'!H133</f>
        <v>33647.339999999997</v>
      </c>
      <c r="I133" s="600">
        <f>G130+G131+G132+G133</f>
        <v>33276.339999999997</v>
      </c>
      <c r="J133" s="673">
        <f>H133/DAY(B2)</f>
        <v>33647.339999999997</v>
      </c>
      <c r="O133" s="410"/>
    </row>
    <row r="134" spans="1:15" ht="27.75" x14ac:dyDescent="0.5">
      <c r="A134" s="1354" t="s">
        <v>269</v>
      </c>
      <c r="B134" s="1355"/>
      <c r="C134" s="1355"/>
      <c r="D134" s="643" t="s">
        <v>265</v>
      </c>
      <c r="E134" s="575">
        <f>'30'!F134</f>
        <v>39735</v>
      </c>
      <c r="F134" s="662">
        <v>39736.269999999997</v>
      </c>
      <c r="G134" s="593">
        <f t="shared" si="14"/>
        <v>1.2699999999967986</v>
      </c>
      <c r="H134" s="580">
        <f>G134+'30'!H134</f>
        <v>25.269999999996799</v>
      </c>
      <c r="I134" s="600"/>
      <c r="J134" s="673">
        <f>H134/DAY(B2)</f>
        <v>25.269999999996799</v>
      </c>
      <c r="O134" s="410"/>
    </row>
    <row r="135" spans="1:15" ht="27.75" x14ac:dyDescent="0.5">
      <c r="A135" s="1354" t="s">
        <v>270</v>
      </c>
      <c r="B135" s="1355"/>
      <c r="C135" s="1355"/>
      <c r="D135" s="643" t="s">
        <v>265</v>
      </c>
      <c r="E135" s="575">
        <f>'30'!F135</f>
        <v>32143.47</v>
      </c>
      <c r="F135" s="662">
        <v>30814.07</v>
      </c>
      <c r="G135" s="593">
        <f t="shared" si="14"/>
        <v>-1329.4000000000015</v>
      </c>
      <c r="H135" s="580">
        <f>G135+'30'!H135</f>
        <v>-1147.9300000000003</v>
      </c>
      <c r="I135" s="600"/>
      <c r="J135" s="673">
        <f>H135/DAY(B2)</f>
        <v>-1147.9300000000003</v>
      </c>
      <c r="O135" s="410"/>
    </row>
    <row r="136" spans="1:15" ht="27.75" x14ac:dyDescent="0.5">
      <c r="A136" s="1354" t="s">
        <v>271</v>
      </c>
      <c r="B136" s="1355"/>
      <c r="C136" s="1355"/>
      <c r="D136" s="643" t="s">
        <v>265</v>
      </c>
      <c r="E136" s="575">
        <f>'30'!F136</f>
        <v>21795.37</v>
      </c>
      <c r="F136" s="662">
        <v>21522.36</v>
      </c>
      <c r="G136" s="593">
        <f t="shared" si="14"/>
        <v>-273.0099999999984</v>
      </c>
      <c r="H136" s="580">
        <f>G136+'30'!H136</f>
        <v>-152.36000000000058</v>
      </c>
      <c r="I136" s="600">
        <f>G134+G135+G136</f>
        <v>-1601.1400000000031</v>
      </c>
      <c r="J136" s="673">
        <f>H136/DAY(B2)</f>
        <v>-152.36000000000058</v>
      </c>
      <c r="O136" s="410"/>
    </row>
    <row r="137" spans="1:15" ht="27.75" x14ac:dyDescent="0.5">
      <c r="A137" s="1354" t="s">
        <v>272</v>
      </c>
      <c r="B137" s="1355"/>
      <c r="C137" s="1355"/>
      <c r="D137" s="643" t="s">
        <v>265</v>
      </c>
      <c r="E137" s="575">
        <f>'30'!F137</f>
        <v>24990.61</v>
      </c>
      <c r="F137" s="662">
        <v>24838.560000000001</v>
      </c>
      <c r="G137" s="593">
        <f t="shared" si="14"/>
        <v>-152.04999999999927</v>
      </c>
      <c r="H137" s="580">
        <f>G137+'30'!H137</f>
        <v>-120.46999999999753</v>
      </c>
      <c r="I137" s="600"/>
      <c r="J137" s="673">
        <f>H137/DAY(B2)</f>
        <v>-120.46999999999753</v>
      </c>
      <c r="O137" s="410"/>
    </row>
    <row r="138" spans="1:15" ht="27.75" x14ac:dyDescent="0.5">
      <c r="A138" s="1354" t="s">
        <v>273</v>
      </c>
      <c r="B138" s="1355"/>
      <c r="C138" s="1355"/>
      <c r="D138" s="643" t="s">
        <v>265</v>
      </c>
      <c r="E138" s="575">
        <f>'30'!F138</f>
        <v>70006.37</v>
      </c>
      <c r="F138" s="662">
        <v>69718.210000000006</v>
      </c>
      <c r="G138" s="593">
        <f t="shared" si="14"/>
        <v>-288.15999999998894</v>
      </c>
      <c r="H138" s="580">
        <f>G138+'30'!H138</f>
        <v>-267.7899999999936</v>
      </c>
      <c r="I138" s="600">
        <f>G137+G138</f>
        <v>-440.20999999998821</v>
      </c>
      <c r="J138" s="673">
        <f>H138/DAY(B2)</f>
        <v>-267.7899999999936</v>
      </c>
      <c r="O138" s="410"/>
    </row>
    <row r="139" spans="1:15" ht="27.75" x14ac:dyDescent="0.5">
      <c r="A139" s="1354" t="s">
        <v>274</v>
      </c>
      <c r="B139" s="1355"/>
      <c r="C139" s="1355"/>
      <c r="D139" s="643" t="s">
        <v>265</v>
      </c>
      <c r="E139" s="575">
        <f>'30'!F139</f>
        <v>1063</v>
      </c>
      <c r="F139" s="604">
        <v>519.1</v>
      </c>
      <c r="G139" s="593">
        <f t="shared" si="14"/>
        <v>-543.9</v>
      </c>
      <c r="H139" s="580">
        <f>G139+'30'!H139</f>
        <v>-422.42999999999995</v>
      </c>
      <c r="I139" s="663"/>
      <c r="J139" s="673">
        <f>H139/DAY(B2)</f>
        <v>-422.42999999999995</v>
      </c>
      <c r="O139" s="410"/>
    </row>
    <row r="140" spans="1:15" ht="27.75" x14ac:dyDescent="0.5">
      <c r="A140" s="1354" t="s">
        <v>275</v>
      </c>
      <c r="B140" s="1355"/>
      <c r="C140" s="1355"/>
      <c r="D140" s="643" t="s">
        <v>265</v>
      </c>
      <c r="E140" s="575">
        <f>'30'!F140</f>
        <v>4224.49</v>
      </c>
      <c r="F140" s="604">
        <v>4113.08</v>
      </c>
      <c r="G140" s="593">
        <f t="shared" si="14"/>
        <v>-111.40999999999985</v>
      </c>
      <c r="H140" s="580">
        <f>G140+'30'!H140</f>
        <v>-43.819999999999709</v>
      </c>
      <c r="I140" s="663"/>
      <c r="J140" s="673">
        <f>H140/DAY(B2)</f>
        <v>-43.819999999999709</v>
      </c>
      <c r="O140" s="410"/>
    </row>
    <row r="141" spans="1:15" ht="29.25" x14ac:dyDescent="0.5">
      <c r="A141" s="1433" t="s">
        <v>276</v>
      </c>
      <c r="B141" s="1434"/>
      <c r="C141" s="1358"/>
      <c r="D141" s="592"/>
      <c r="E141" s="592"/>
      <c r="F141" s="592"/>
      <c r="G141" s="603"/>
      <c r="H141" s="603"/>
      <c r="I141" s="603"/>
      <c r="J141" s="684"/>
      <c r="K141" s="408"/>
      <c r="L141" s="405"/>
      <c r="O141" s="410"/>
    </row>
    <row r="142" spans="1:15" ht="27.75" x14ac:dyDescent="0.5">
      <c r="A142" s="1398" t="s">
        <v>277</v>
      </c>
      <c r="B142" s="1399"/>
      <c r="C142" s="1400"/>
      <c r="D142" s="643" t="s">
        <v>159</v>
      </c>
      <c r="E142" s="643"/>
      <c r="F142" s="643"/>
      <c r="G142" s="580">
        <f>G35+G43+G49+G57</f>
        <v>-550991.74</v>
      </c>
      <c r="H142" s="580">
        <f>G142+'30'!H142</f>
        <v>-401756.99700000009</v>
      </c>
      <c r="I142" s="600"/>
      <c r="J142" s="673">
        <f>H142/DAY(B2)</f>
        <v>-401756.99700000009</v>
      </c>
      <c r="K142" s="408"/>
      <c r="L142" s="405"/>
      <c r="O142" s="410"/>
    </row>
    <row r="143" spans="1:15" ht="27.75" x14ac:dyDescent="0.5">
      <c r="A143" s="1398" t="s">
        <v>278</v>
      </c>
      <c r="B143" s="1399"/>
      <c r="C143" s="1400"/>
      <c r="D143" s="643" t="s">
        <v>38</v>
      </c>
      <c r="E143" s="631"/>
      <c r="F143" s="631"/>
      <c r="G143" s="664">
        <f>G142/G7</f>
        <v>0.25308541002747692</v>
      </c>
      <c r="H143" s="580">
        <f>G143+'30'!H143</f>
        <v>7.5873492501109974</v>
      </c>
      <c r="I143" s="665"/>
      <c r="J143" s="673">
        <f>H143/DAY(B2)</f>
        <v>7.5873492501109974</v>
      </c>
      <c r="K143" s="408"/>
      <c r="L143" s="405"/>
      <c r="O143" s="410"/>
    </row>
    <row r="144" spans="1:15" ht="27.75" x14ac:dyDescent="0.5">
      <c r="A144" s="1398" t="s">
        <v>279</v>
      </c>
      <c r="B144" s="1399"/>
      <c r="C144" s="1400"/>
      <c r="D144" s="643" t="s">
        <v>159</v>
      </c>
      <c r="E144" s="575"/>
      <c r="F144" s="575"/>
      <c r="G144" s="580">
        <f>G41+G42+G55+G56</f>
        <v>-135931.15000000005</v>
      </c>
      <c r="H144" s="580">
        <f>G144+'30'!H144</f>
        <v>-3204.1100000000733</v>
      </c>
      <c r="I144" s="600"/>
      <c r="J144" s="673">
        <f>H144/DAY(B2)</f>
        <v>-3204.1100000000733</v>
      </c>
      <c r="K144" s="408"/>
      <c r="L144" s="405"/>
      <c r="O144" s="410"/>
    </row>
    <row r="145" spans="1:15" ht="27.75" x14ac:dyDescent="0.5">
      <c r="A145" s="1398" t="s">
        <v>280</v>
      </c>
      <c r="B145" s="1399"/>
      <c r="C145" s="1400"/>
      <c r="D145" s="643" t="s">
        <v>38</v>
      </c>
      <c r="E145" s="575"/>
      <c r="F145" s="575"/>
      <c r="G145" s="664">
        <f>G144/G7</f>
        <v>6.2436854013921309E-2</v>
      </c>
      <c r="H145" s="580">
        <f>G145+'30'!H145</f>
        <v>6.6826689822943761</v>
      </c>
      <c r="I145" s="665"/>
      <c r="J145" s="673">
        <f>H145/DAY(B2)</f>
        <v>6.6826689822943761</v>
      </c>
      <c r="K145" s="408"/>
      <c r="L145" s="405"/>
      <c r="O145" s="410"/>
    </row>
    <row r="146" spans="1:15" ht="27.75" x14ac:dyDescent="0.5">
      <c r="A146" s="1398" t="s">
        <v>281</v>
      </c>
      <c r="B146" s="1399"/>
      <c r="C146" s="1400"/>
      <c r="D146" s="643" t="s">
        <v>159</v>
      </c>
      <c r="E146" s="575"/>
      <c r="F146" s="575"/>
      <c r="G146" s="580">
        <f>G39+G53</f>
        <v>-395281.85</v>
      </c>
      <c r="H146" s="580">
        <f>G146+'30'!H146</f>
        <v>-268496.85699999996</v>
      </c>
      <c r="I146" s="666"/>
      <c r="J146" s="673">
        <f>H146/DAY(B2)</f>
        <v>-268496.85699999996</v>
      </c>
      <c r="K146" s="408"/>
      <c r="L146" s="405"/>
      <c r="O146" s="410"/>
    </row>
    <row r="147" spans="1:15" ht="27.75" x14ac:dyDescent="0.5">
      <c r="A147" s="1398" t="s">
        <v>282</v>
      </c>
      <c r="B147" s="1399"/>
      <c r="C147" s="1400"/>
      <c r="D147" s="643" t="s">
        <v>38</v>
      </c>
      <c r="E147" s="575"/>
      <c r="F147" s="575"/>
      <c r="G147" s="664">
        <f>G146/G7</f>
        <v>0.18156364573390815</v>
      </c>
      <c r="H147" s="580">
        <f>G147+'30'!H147</f>
        <v>6.5547907856778229</v>
      </c>
      <c r="I147" s="666"/>
      <c r="J147" s="673">
        <f>H147/DAY(B2)</f>
        <v>6.5547907856778229</v>
      </c>
      <c r="O147" s="410"/>
    </row>
    <row r="148" spans="1:15" ht="27.75" x14ac:dyDescent="0.5">
      <c r="A148" s="1398" t="s">
        <v>283</v>
      </c>
      <c r="B148" s="1399"/>
      <c r="C148" s="1400"/>
      <c r="D148" s="643" t="s">
        <v>210</v>
      </c>
      <c r="E148" s="575"/>
      <c r="F148" s="575"/>
      <c r="G148" s="580">
        <f>G38+G52</f>
        <v>-192104.86</v>
      </c>
      <c r="H148" s="580">
        <f>G148+'30'!H148</f>
        <v>-132094.94</v>
      </c>
      <c r="I148" s="600"/>
      <c r="J148" s="673">
        <f>H148/DAY(B2)</f>
        <v>-132094.94</v>
      </c>
      <c r="K148" s="409"/>
      <c r="O148" s="410"/>
    </row>
    <row r="149" spans="1:15" ht="27.75" x14ac:dyDescent="0.5">
      <c r="A149" s="1398" t="s">
        <v>284</v>
      </c>
      <c r="B149" s="1399"/>
      <c r="C149" s="1400"/>
      <c r="D149" s="643" t="s">
        <v>38</v>
      </c>
      <c r="E149" s="575"/>
      <c r="F149" s="575"/>
      <c r="G149" s="664">
        <f>G148/G7</f>
        <v>8.8238958466729564E-2</v>
      </c>
      <c r="H149" s="580">
        <f>G149+'30'!H149</f>
        <v>3.0978394915919987</v>
      </c>
      <c r="I149" s="666"/>
      <c r="J149" s="673">
        <f>H149/DAY(B2)</f>
        <v>3.0978394915919987</v>
      </c>
      <c r="O149" s="410"/>
    </row>
    <row r="150" spans="1:15" ht="27.75" x14ac:dyDescent="0.5">
      <c r="A150" s="1398" t="s">
        <v>285</v>
      </c>
      <c r="B150" s="1399"/>
      <c r="C150" s="1400"/>
      <c r="D150" s="643" t="s">
        <v>210</v>
      </c>
      <c r="E150" s="575"/>
      <c r="F150" s="575"/>
      <c r="G150" s="580">
        <f>G36+G50</f>
        <v>-210976.22</v>
      </c>
      <c r="H150" s="580">
        <f>G150+'30'!H150</f>
        <v>-147778.56000000006</v>
      </c>
      <c r="I150" s="666"/>
      <c r="J150" s="673">
        <f>H150/DAY(B2)</f>
        <v>-147778.56000000006</v>
      </c>
      <c r="O150" s="410"/>
    </row>
    <row r="151" spans="1:15" ht="27.75" x14ac:dyDescent="0.5">
      <c r="A151" s="1398" t="s">
        <v>286</v>
      </c>
      <c r="B151" s="1399"/>
      <c r="C151" s="1400"/>
      <c r="D151" s="643" t="s">
        <v>38</v>
      </c>
      <c r="E151" s="575"/>
      <c r="F151" s="575"/>
      <c r="G151" s="664">
        <f>G150/G7</f>
        <v>9.690708456854033E-2</v>
      </c>
      <c r="H151" s="580">
        <f>G151+'30'!H151</f>
        <v>3.2515020127131211</v>
      </c>
      <c r="I151" s="600"/>
      <c r="J151" s="673">
        <f>H151/DAY(B2)</f>
        <v>3.2515020127131211</v>
      </c>
      <c r="O151" s="410"/>
    </row>
    <row r="152" spans="1:15" ht="27.75" x14ac:dyDescent="0.5">
      <c r="A152" s="1398" t="s">
        <v>287</v>
      </c>
      <c r="B152" s="1399"/>
      <c r="C152" s="1400"/>
      <c r="D152" s="643" t="s">
        <v>210</v>
      </c>
      <c r="E152" s="575"/>
      <c r="F152" s="575"/>
      <c r="G152" s="580">
        <f>G37+G51</f>
        <v>-165096.37999999998</v>
      </c>
      <c r="H152" s="580">
        <f>G152+'30'!H152</f>
        <v>-121182.09699999998</v>
      </c>
      <c r="I152" s="600"/>
      <c r="J152" s="673">
        <f>H152/DAY(B2)</f>
        <v>-121182.09699999998</v>
      </c>
      <c r="O152" s="410"/>
    </row>
    <row r="153" spans="1:15" ht="28.5" thickBot="1" x14ac:dyDescent="0.55000000000000004">
      <c r="A153" s="1430" t="s">
        <v>288</v>
      </c>
      <c r="B153" s="1431"/>
      <c r="C153" s="1432"/>
      <c r="D153" s="746" t="s">
        <v>38</v>
      </c>
      <c r="E153" s="686"/>
      <c r="F153" s="686"/>
      <c r="G153" s="687">
        <f>G152/G7</f>
        <v>7.5833233046927601E-2</v>
      </c>
      <c r="H153" s="580">
        <f>G153+'30'!H153</f>
        <v>2.393187879633341</v>
      </c>
      <c r="I153" s="689"/>
      <c r="J153" s="690">
        <f>H153/DAY(B2)</f>
        <v>2.393187879633341</v>
      </c>
      <c r="O153" s="410"/>
    </row>
    <row r="154" spans="1:15" ht="29.25" x14ac:dyDescent="0.5">
      <c r="A154" s="586"/>
      <c r="B154" s="576"/>
      <c r="C154" s="576"/>
      <c r="D154" s="667"/>
      <c r="E154" s="667"/>
      <c r="F154" s="667"/>
      <c r="G154" s="667"/>
      <c r="H154" s="668"/>
      <c r="I154" s="667"/>
      <c r="J154" s="669"/>
      <c r="O154" s="410"/>
    </row>
    <row r="155" spans="1:15" ht="29.25" x14ac:dyDescent="0.5"/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>
      <c r="A160" s="925" t="s">
        <v>289</v>
      </c>
      <c r="B160" s="926"/>
      <c r="C160" s="926"/>
      <c r="D160" s="631" t="s">
        <v>214</v>
      </c>
      <c r="E160" s="575">
        <f>'30'!F160</f>
        <v>26005.39</v>
      </c>
      <c r="F160" s="775">
        <v>17149.52</v>
      </c>
      <c r="G160" s="593">
        <f t="shared" ref="G160:G163" si="15">F160-E160</f>
        <v>-8855.869999999999</v>
      </c>
    </row>
    <row r="161" spans="1:7" ht="29.25" x14ac:dyDescent="0.5">
      <c r="A161" s="925" t="s">
        <v>290</v>
      </c>
      <c r="B161" s="926"/>
      <c r="C161" s="926"/>
      <c r="D161" s="631" t="s">
        <v>214</v>
      </c>
      <c r="E161" s="575">
        <f>'30'!F161</f>
        <v>27957.46</v>
      </c>
      <c r="F161" s="775">
        <v>6795.93</v>
      </c>
      <c r="G161" s="593">
        <f t="shared" si="15"/>
        <v>-21161.53</v>
      </c>
    </row>
    <row r="162" spans="1:7" ht="29.25" x14ac:dyDescent="0.5">
      <c r="A162" s="925" t="s">
        <v>291</v>
      </c>
      <c r="B162" s="926"/>
      <c r="C162" s="926"/>
      <c r="D162" s="631" t="s">
        <v>214</v>
      </c>
      <c r="E162" s="575">
        <f>'30'!F162</f>
        <v>4123.62</v>
      </c>
      <c r="F162" s="775">
        <v>8620.3700000000008</v>
      </c>
      <c r="G162" s="593">
        <f t="shared" si="15"/>
        <v>4496.7500000000009</v>
      </c>
    </row>
    <row r="163" spans="1:7" ht="29.25" x14ac:dyDescent="0.5">
      <c r="A163" s="925" t="s">
        <v>292</v>
      </c>
      <c r="B163" s="926"/>
      <c r="C163" s="926"/>
      <c r="D163" s="631" t="s">
        <v>214</v>
      </c>
      <c r="E163" s="575">
        <f>'30'!F163</f>
        <v>4295.93</v>
      </c>
      <c r="F163" s="775">
        <v>1875.93</v>
      </c>
      <c r="G163" s="593">
        <f t="shared" si="15"/>
        <v>-2420</v>
      </c>
    </row>
    <row r="164" spans="1:7" ht="29.25" x14ac:dyDescent="0.4">
      <c r="A164" s="927" t="s">
        <v>121</v>
      </c>
      <c r="B164" s="725"/>
      <c r="C164" s="725"/>
      <c r="D164" s="631" t="s">
        <v>214</v>
      </c>
      <c r="E164" s="634">
        <f>E62</f>
        <v>20419.18</v>
      </c>
      <c r="F164" s="634">
        <f>F62</f>
        <v>20419.188999999998</v>
      </c>
      <c r="G164" s="593">
        <f t="shared" ref="G164:G171" si="16">F164-E164</f>
        <v>8.9999999981955625E-3</v>
      </c>
    </row>
    <row r="165" spans="1:7" ht="29.25" x14ac:dyDescent="0.4">
      <c r="A165" s="927" t="s">
        <v>215</v>
      </c>
      <c r="B165" s="725"/>
      <c r="C165" s="725"/>
      <c r="D165" s="631" t="s">
        <v>214</v>
      </c>
      <c r="E165" s="634">
        <f t="shared" ref="E165:E171" si="17">E63</f>
        <v>1103.73</v>
      </c>
      <c r="F165" s="634">
        <f t="shared" ref="F165:F171" si="18">F63</f>
        <v>14160.48</v>
      </c>
      <c r="G165" s="593">
        <f t="shared" si="16"/>
        <v>13056.75</v>
      </c>
    </row>
    <row r="166" spans="1:7" ht="27.75" x14ac:dyDescent="0.5">
      <c r="A166" s="1450" t="s">
        <v>122</v>
      </c>
      <c r="B166" s="1450"/>
      <c r="C166" s="1450"/>
      <c r="D166" s="643" t="s">
        <v>214</v>
      </c>
      <c r="E166" s="634">
        <f t="shared" si="17"/>
        <v>97994.44</v>
      </c>
      <c r="F166" s="634">
        <f t="shared" si="18"/>
        <v>59017.9</v>
      </c>
      <c r="G166" s="593">
        <f t="shared" si="16"/>
        <v>-38976.54</v>
      </c>
    </row>
    <row r="167" spans="1:7" ht="27.75" x14ac:dyDescent="0.5">
      <c r="A167" s="1450" t="s">
        <v>123</v>
      </c>
      <c r="B167" s="1450"/>
      <c r="C167" s="1450"/>
      <c r="D167" s="643" t="s">
        <v>214</v>
      </c>
      <c r="E167" s="634">
        <f t="shared" si="17"/>
        <v>108642.86</v>
      </c>
      <c r="F167" s="634">
        <f t="shared" si="18"/>
        <v>62010.36</v>
      </c>
      <c r="G167" s="593">
        <f t="shared" si="16"/>
        <v>-46632.5</v>
      </c>
    </row>
    <row r="168" spans="1:7" ht="27.75" x14ac:dyDescent="0.5">
      <c r="A168" s="1450" t="s">
        <v>124</v>
      </c>
      <c r="B168" s="1450"/>
      <c r="C168" s="1450"/>
      <c r="D168" s="643" t="s">
        <v>214</v>
      </c>
      <c r="E168" s="634">
        <f t="shared" si="17"/>
        <v>2007.09</v>
      </c>
      <c r="F168" s="634">
        <f t="shared" si="18"/>
        <v>55847.47</v>
      </c>
      <c r="G168" s="593">
        <f t="shared" si="16"/>
        <v>53840.380000000005</v>
      </c>
    </row>
    <row r="169" spans="1:7" ht="27.75" x14ac:dyDescent="0.5">
      <c r="A169" s="1450" t="s">
        <v>125</v>
      </c>
      <c r="B169" s="1450"/>
      <c r="C169" s="1450"/>
      <c r="D169" s="643" t="s">
        <v>214</v>
      </c>
      <c r="E169" s="634">
        <f t="shared" si="17"/>
        <v>167560.62</v>
      </c>
      <c r="F169" s="634">
        <f t="shared" si="18"/>
        <v>96613.97</v>
      </c>
      <c r="G169" s="593">
        <f t="shared" si="16"/>
        <v>-70946.649999999994</v>
      </c>
    </row>
    <row r="170" spans="1:7" ht="27.75" x14ac:dyDescent="0.5">
      <c r="A170" s="1450" t="s">
        <v>126</v>
      </c>
      <c r="B170" s="1450"/>
      <c r="C170" s="1450"/>
      <c r="D170" s="643" t="s">
        <v>214</v>
      </c>
      <c r="E170" s="634">
        <f t="shared" si="17"/>
        <v>53331.82</v>
      </c>
      <c r="F170" s="634">
        <f t="shared" si="18"/>
        <v>16650.509999999998</v>
      </c>
      <c r="G170" s="593">
        <f t="shared" si="16"/>
        <v>-36681.31</v>
      </c>
    </row>
    <row r="171" spans="1:7" ht="27.75" x14ac:dyDescent="0.5">
      <c r="A171" s="1450" t="s">
        <v>127</v>
      </c>
      <c r="B171" s="1450"/>
      <c r="C171" s="1450"/>
      <c r="D171" s="643" t="s">
        <v>214</v>
      </c>
      <c r="E171" s="634">
        <f t="shared" si="17"/>
        <v>46235.44</v>
      </c>
      <c r="F171" s="634">
        <f t="shared" si="18"/>
        <v>22398.71</v>
      </c>
      <c r="G171" s="593">
        <f t="shared" si="16"/>
        <v>-23836.730000000003</v>
      </c>
    </row>
    <row r="172" spans="1:7" ht="29.25" x14ac:dyDescent="0.5">
      <c r="G172" s="660">
        <f>SUM(G160:G171)</f>
        <v>-178117.24100000001</v>
      </c>
    </row>
    <row r="173" spans="1:7" ht="29.25" x14ac:dyDescent="0.5"/>
    <row r="174" spans="1:7" ht="29.25" x14ac:dyDescent="0.5"/>
    <row r="175" spans="1:7" ht="29.25" x14ac:dyDescent="0.5"/>
    <row r="176" spans="1:7" ht="29.25" x14ac:dyDescent="0.5"/>
    <row r="177" ht="29.25" x14ac:dyDescent="0.5"/>
    <row r="178" ht="29.25" x14ac:dyDescent="0.5"/>
    <row r="179" ht="29.25" x14ac:dyDescent="0.5"/>
    <row r="180" ht="29.25" x14ac:dyDescent="0.5"/>
    <row r="181" ht="29.25" x14ac:dyDescent="0.5"/>
    <row r="182" ht="29.25" x14ac:dyDescent="0.5"/>
    <row r="183" ht="29.25" x14ac:dyDescent="0.5"/>
    <row r="184" ht="29.25" x14ac:dyDescent="0.5"/>
    <row r="185" ht="29.25" x14ac:dyDescent="0.5"/>
    <row r="186" ht="29.25" x14ac:dyDescent="0.5"/>
    <row r="187" ht="29.25" x14ac:dyDescent="0.5"/>
    <row r="188" ht="29.25" x14ac:dyDescent="0.5"/>
    <row r="189" ht="29.25" x14ac:dyDescent="0.5"/>
    <row r="190" ht="29.25" x14ac:dyDescent="0.5"/>
    <row r="191" ht="29.25" x14ac:dyDescent="0.5"/>
    <row r="192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373"/>
      <c r="B1" s="1373"/>
      <c r="C1" s="1373"/>
      <c r="D1" s="1373"/>
      <c r="E1" s="1373"/>
      <c r="F1" s="1373"/>
      <c r="G1" s="1373"/>
      <c r="H1" s="1373"/>
      <c r="I1" s="1373"/>
      <c r="J1" s="1373"/>
      <c r="K1" s="1373"/>
      <c r="L1" s="1373"/>
      <c r="M1" s="1373"/>
      <c r="N1" s="1373"/>
      <c r="O1" s="1373"/>
    </row>
    <row r="2" spans="1:15" ht="28.5" customHeight="1" x14ac:dyDescent="0.25">
      <c r="A2" s="1" t="s">
        <v>14</v>
      </c>
      <c r="B2" s="1" t="s">
        <v>14</v>
      </c>
      <c r="C2" s="1318" t="s">
        <v>15</v>
      </c>
      <c r="D2" s="4" t="s">
        <v>18</v>
      </c>
      <c r="E2" s="1375" t="s">
        <v>21</v>
      </c>
      <c r="F2" s="1375"/>
      <c r="G2" s="1375"/>
      <c r="H2" s="1381" t="s">
        <v>29</v>
      </c>
      <c r="I2" s="1381"/>
      <c r="J2" s="1381"/>
      <c r="K2" s="1318" t="s">
        <v>30</v>
      </c>
      <c r="L2" s="1381" t="s">
        <v>31</v>
      </c>
      <c r="M2" s="1381"/>
      <c r="N2" s="1381"/>
      <c r="O2" s="1318" t="s">
        <v>32</v>
      </c>
    </row>
    <row r="3" spans="1:15" s="15" customFormat="1" ht="38.25" x14ac:dyDescent="0.25">
      <c r="A3" s="6"/>
      <c r="B3" s="1"/>
      <c r="C3" s="7"/>
      <c r="D3" s="10" t="s">
        <v>38</v>
      </c>
      <c r="E3" s="11" t="s">
        <v>44</v>
      </c>
      <c r="F3" s="11" t="s">
        <v>41</v>
      </c>
      <c r="G3" s="11" t="s">
        <v>42</v>
      </c>
      <c r="H3" s="12" t="s">
        <v>55</v>
      </c>
      <c r="I3" s="12" t="s">
        <v>56</v>
      </c>
      <c r="J3" s="12" t="s">
        <v>57</v>
      </c>
      <c r="K3" s="12"/>
      <c r="L3" s="12" t="s">
        <v>58</v>
      </c>
      <c r="M3" s="12" t="s">
        <v>59</v>
      </c>
      <c r="N3" s="12" t="s">
        <v>313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2702483</v>
      </c>
      <c r="E4" s="19">
        <f>'1'!G96</f>
        <v>33</v>
      </c>
      <c r="F4" s="19">
        <f>'1'!F141</f>
        <v>0</v>
      </c>
      <c r="G4" s="21">
        <f>E4*F4</f>
        <v>0</v>
      </c>
      <c r="H4" s="19">
        <f>'1'!G68</f>
        <v>382.55200000000332</v>
      </c>
      <c r="I4" s="19">
        <f>'1'!G69</f>
        <v>290.27199999999721</v>
      </c>
      <c r="J4" s="19">
        <f>'1'!G70</f>
        <v>0</v>
      </c>
      <c r="K4" s="23">
        <f>H4+I4</f>
        <v>672.82400000000052</v>
      </c>
      <c r="L4" s="19">
        <f>'1'!G71</f>
        <v>0</v>
      </c>
      <c r="M4" s="19">
        <f>'1'!G72</f>
        <v>8</v>
      </c>
      <c r="N4" s="19">
        <v>0</v>
      </c>
      <c r="O4" s="23">
        <f>L4+M4+N4</f>
        <v>8</v>
      </c>
    </row>
    <row r="5" spans="1:15" x14ac:dyDescent="0.25">
      <c r="A5" s="16">
        <v>2</v>
      </c>
      <c r="B5" s="26">
        <v>2</v>
      </c>
      <c r="C5" s="26"/>
      <c r="D5" s="19">
        <f>'2'!F8</f>
        <v>2722171</v>
      </c>
      <c r="E5" s="19">
        <f>'2'!G95</f>
        <v>59</v>
      </c>
      <c r="F5" s="19">
        <f>'2'!F122</f>
        <v>0</v>
      </c>
      <c r="G5" s="21">
        <f t="shared" ref="G5:G18" si="0">E5*F5</f>
        <v>0</v>
      </c>
      <c r="H5" s="19">
        <f>'2'!G68</f>
        <v>377.76799999999639</v>
      </c>
      <c r="I5" s="19">
        <f>'2'!G69</f>
        <v>286.81100000000151</v>
      </c>
      <c r="J5" s="19">
        <f>'2'!G70</f>
        <v>0</v>
      </c>
      <c r="K5" s="23">
        <f t="shared" ref="K5:K18" si="1">H5+I5</f>
        <v>664.5789999999979</v>
      </c>
      <c r="L5" s="19">
        <f>'2'!G71</f>
        <v>0</v>
      </c>
      <c r="M5" s="19">
        <f>'2'!G72</f>
        <v>9</v>
      </c>
      <c r="N5" s="19">
        <v>0</v>
      </c>
      <c r="O5" s="23">
        <f t="shared" ref="O5:O18" si="2">L5+M5+N5</f>
        <v>9</v>
      </c>
    </row>
    <row r="6" spans="1:15" x14ac:dyDescent="0.25">
      <c r="A6" s="16">
        <v>3</v>
      </c>
      <c r="B6" s="26">
        <v>3</v>
      </c>
      <c r="C6" s="26"/>
      <c r="D6" s="19">
        <f>'4'!F8</f>
        <v>2760925</v>
      </c>
      <c r="E6" s="19">
        <f>'3'!G95</f>
        <v>45</v>
      </c>
      <c r="F6" s="19">
        <f>'3'!F122</f>
        <v>0</v>
      </c>
      <c r="G6" s="21">
        <f t="shared" si="0"/>
        <v>0</v>
      </c>
      <c r="H6" s="19">
        <f>'4'!G68</f>
        <v>370.00299999999697</v>
      </c>
      <c r="I6" s="19">
        <f>'4'!G69</f>
        <v>290.53500000000349</v>
      </c>
      <c r="J6" s="19">
        <f>'4'!G70</f>
        <v>0</v>
      </c>
      <c r="K6" s="23">
        <f t="shared" si="1"/>
        <v>660.53800000000047</v>
      </c>
      <c r="L6" s="19">
        <f>'4'!G71</f>
        <v>0</v>
      </c>
      <c r="M6" s="19">
        <f>'4'!G72</f>
        <v>8</v>
      </c>
      <c r="N6" s="19">
        <v>0</v>
      </c>
      <c r="O6" s="23">
        <f t="shared" si="2"/>
        <v>8</v>
      </c>
    </row>
    <row r="7" spans="1:15" x14ac:dyDescent="0.25">
      <c r="A7" s="16">
        <v>4</v>
      </c>
      <c r="B7" s="27">
        <v>4</v>
      </c>
      <c r="C7" s="27"/>
      <c r="D7" s="19">
        <f>'3'!F8</f>
        <v>2741079</v>
      </c>
      <c r="E7" s="19">
        <f>'4'!G95</f>
        <v>59</v>
      </c>
      <c r="F7" s="19">
        <f>'1'!F141</f>
        <v>0</v>
      </c>
      <c r="G7" s="21">
        <f t="shared" si="0"/>
        <v>0</v>
      </c>
      <c r="H7" s="19">
        <f>'3'!G68</f>
        <v>359.84800000000541</v>
      </c>
      <c r="I7" s="19">
        <f>'3'!G69</f>
        <v>284.18499999999767</v>
      </c>
      <c r="J7" s="19">
        <f>'3'!G70</f>
        <v>0</v>
      </c>
      <c r="K7" s="23">
        <f t="shared" si="1"/>
        <v>644.03300000000309</v>
      </c>
      <c r="L7" s="19">
        <f>'3'!G71</f>
        <v>0</v>
      </c>
      <c r="M7" s="19">
        <f>'3'!G72</f>
        <v>8</v>
      </c>
      <c r="N7" s="19">
        <v>0</v>
      </c>
      <c r="O7" s="23">
        <f t="shared" si="2"/>
        <v>8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2800142</v>
      </c>
      <c r="E9" s="19">
        <f>'6'!G95</f>
        <v>57</v>
      </c>
      <c r="F9" s="19">
        <f>'1'!F141</f>
        <v>0</v>
      </c>
      <c r="G9" s="21">
        <f t="shared" si="0"/>
        <v>0</v>
      </c>
      <c r="H9" s="19">
        <f>'6'!G68</f>
        <v>367.37000000000262</v>
      </c>
      <c r="I9" s="19">
        <f>'6'!G69</f>
        <v>298.0199999999968</v>
      </c>
      <c r="J9" s="19">
        <f>'6'!G70</f>
        <v>0</v>
      </c>
      <c r="K9" s="23">
        <f t="shared" si="1"/>
        <v>665.38999999999942</v>
      </c>
      <c r="L9" s="19">
        <f>'6'!G71</f>
        <v>0</v>
      </c>
      <c r="M9" s="19">
        <f>'6'!G72</f>
        <v>8</v>
      </c>
      <c r="N9" s="19">
        <v>0</v>
      </c>
      <c r="O9" s="23">
        <f t="shared" si="2"/>
        <v>8</v>
      </c>
    </row>
    <row r="10" spans="1:15" x14ac:dyDescent="0.25">
      <c r="A10" s="16">
        <v>7</v>
      </c>
      <c r="B10" s="26">
        <v>7</v>
      </c>
      <c r="C10" s="27"/>
      <c r="D10" s="19">
        <f>'7'!F8</f>
        <v>2822001</v>
      </c>
      <c r="E10" s="19">
        <f>'7'!G95</f>
        <v>76</v>
      </c>
      <c r="F10" s="19">
        <f>'1'!F141</f>
        <v>0</v>
      </c>
      <c r="G10" s="21">
        <f t="shared" si="0"/>
        <v>0</v>
      </c>
      <c r="H10" s="19">
        <f>'7'!G68</f>
        <v>362.33000000000175</v>
      </c>
      <c r="I10" s="19">
        <f>'7'!G69</f>
        <v>293.18000000000029</v>
      </c>
      <c r="J10" s="19">
        <f>'7'!G70</f>
        <v>0</v>
      </c>
      <c r="K10" s="23">
        <f t="shared" si="1"/>
        <v>655.51000000000204</v>
      </c>
      <c r="L10" s="19">
        <f>'7'!G71</f>
        <v>0</v>
      </c>
      <c r="M10" s="19">
        <f>'7'!G72</f>
        <v>16</v>
      </c>
      <c r="N10" s="19">
        <v>0</v>
      </c>
      <c r="O10" s="23">
        <f t="shared" si="2"/>
        <v>16</v>
      </c>
    </row>
    <row r="11" spans="1:15" x14ac:dyDescent="0.25">
      <c r="A11" s="16">
        <v>8</v>
      </c>
      <c r="B11" s="26">
        <v>8</v>
      </c>
      <c r="C11" s="18"/>
      <c r="D11" s="19">
        <f>'8'!F8</f>
        <v>2841620</v>
      </c>
      <c r="E11" s="19">
        <f>'8'!G95</f>
        <v>70</v>
      </c>
      <c r="F11" s="19">
        <f>'1'!F141</f>
        <v>0</v>
      </c>
      <c r="G11" s="21">
        <f t="shared" si="0"/>
        <v>0</v>
      </c>
      <c r="H11" s="19">
        <f>'8'!G68</f>
        <v>318.43999999999505</v>
      </c>
      <c r="I11" s="19">
        <f>'8'!G69</f>
        <v>294.54000000000087</v>
      </c>
      <c r="J11" s="19">
        <f>'8'!G70</f>
        <v>0</v>
      </c>
      <c r="K11" s="23">
        <f t="shared" si="1"/>
        <v>612.97999999999593</v>
      </c>
      <c r="L11" s="19">
        <f>'8'!G71</f>
        <v>0</v>
      </c>
      <c r="M11" s="19">
        <f>'8'!G72</f>
        <v>75</v>
      </c>
      <c r="N11" s="19">
        <v>0</v>
      </c>
      <c r="O11" s="23">
        <f t="shared" si="2"/>
        <v>75</v>
      </c>
    </row>
    <row r="12" spans="1:15" x14ac:dyDescent="0.25">
      <c r="A12" s="16">
        <v>9</v>
      </c>
      <c r="B12" s="27">
        <v>9</v>
      </c>
      <c r="C12" s="26"/>
      <c r="D12" s="19">
        <f>'9'!F8</f>
        <v>2863467</v>
      </c>
      <c r="E12" s="19">
        <f>'9'!G95</f>
        <v>54</v>
      </c>
      <c r="F12" s="19">
        <f>'1'!F141</f>
        <v>0</v>
      </c>
      <c r="G12" s="21">
        <f t="shared" si="0"/>
        <v>0</v>
      </c>
      <c r="H12" s="19">
        <f>'9'!G68</f>
        <v>337.30000000000291</v>
      </c>
      <c r="I12" s="19">
        <f>'9'!G69</f>
        <v>297.02999999999884</v>
      </c>
      <c r="J12" s="19">
        <f>'9'!G70</f>
        <v>0</v>
      </c>
      <c r="K12" s="23">
        <f t="shared" si="1"/>
        <v>634.33000000000175</v>
      </c>
      <c r="L12" s="19">
        <f>'9'!G71</f>
        <v>0</v>
      </c>
      <c r="M12" s="19">
        <f>'9'!G72</f>
        <v>72</v>
      </c>
      <c r="N12" s="19">
        <v>0</v>
      </c>
      <c r="O12" s="23">
        <f t="shared" si="2"/>
        <v>72</v>
      </c>
    </row>
    <row r="13" spans="1:15" x14ac:dyDescent="0.25">
      <c r="A13" s="16">
        <v>10</v>
      </c>
      <c r="B13" s="27">
        <v>10</v>
      </c>
      <c r="C13" s="26"/>
      <c r="D13" s="19">
        <f>'10'!F8</f>
        <v>2886188</v>
      </c>
      <c r="E13" s="19">
        <f>'10'!G95</f>
        <v>140</v>
      </c>
      <c r="F13" s="19">
        <f>'1'!F141</f>
        <v>0</v>
      </c>
      <c r="G13" s="21">
        <f t="shared" si="0"/>
        <v>0</v>
      </c>
      <c r="H13" s="19">
        <f>'10'!G68</f>
        <v>345.90999999999622</v>
      </c>
      <c r="I13" s="19">
        <f>'10'!G69</f>
        <v>303.33000000000175</v>
      </c>
      <c r="J13" s="19">
        <f>'10'!G70</f>
        <v>0</v>
      </c>
      <c r="K13" s="23">
        <f t="shared" si="1"/>
        <v>649.23999999999796</v>
      </c>
      <c r="L13" s="19">
        <f>'10'!G71</f>
        <v>0</v>
      </c>
      <c r="M13" s="19">
        <f>'10'!G72</f>
        <v>190</v>
      </c>
      <c r="N13" s="19">
        <v>0</v>
      </c>
      <c r="O13" s="23">
        <f t="shared" si="2"/>
        <v>190</v>
      </c>
    </row>
    <row r="14" spans="1:15" x14ac:dyDescent="0.25">
      <c r="A14" s="16">
        <v>11</v>
      </c>
      <c r="B14" s="17">
        <v>11</v>
      </c>
      <c r="C14" s="27"/>
      <c r="D14" s="19">
        <f>'11'!F8</f>
        <v>2886188</v>
      </c>
      <c r="E14" s="19">
        <f>'11'!G95</f>
        <v>140</v>
      </c>
      <c r="F14" s="19">
        <f>'1'!F141</f>
        <v>0</v>
      </c>
      <c r="G14" s="21">
        <f t="shared" si="0"/>
        <v>0</v>
      </c>
      <c r="H14" s="19">
        <f>'11'!G68</f>
        <v>345.90999999999622</v>
      </c>
      <c r="I14" s="19">
        <f>'11'!G69</f>
        <v>303.33000000000175</v>
      </c>
      <c r="J14" s="19">
        <f>'11'!G70</f>
        <v>0</v>
      </c>
      <c r="K14" s="23">
        <f t="shared" si="1"/>
        <v>649.23999999999796</v>
      </c>
      <c r="L14" s="19">
        <f>'11'!G71</f>
        <v>0</v>
      </c>
      <c r="M14" s="19">
        <f>'11'!G72</f>
        <v>190</v>
      </c>
      <c r="N14" s="19">
        <v>0</v>
      </c>
      <c r="O14" s="23">
        <f t="shared" si="2"/>
        <v>190</v>
      </c>
    </row>
    <row r="15" spans="1:15" x14ac:dyDescent="0.25">
      <c r="A15" s="16">
        <v>12</v>
      </c>
      <c r="B15" s="26">
        <v>12</v>
      </c>
      <c r="C15" s="27"/>
      <c r="D15" s="19">
        <f>'12'!F8</f>
        <v>2931360</v>
      </c>
      <c r="E15" s="19">
        <f>'12'!G95</f>
        <v>75</v>
      </c>
      <c r="F15" s="19">
        <f>'1'!F141</f>
        <v>0</v>
      </c>
      <c r="G15" s="20">
        <f t="shared" si="0"/>
        <v>0</v>
      </c>
      <c r="H15" s="19">
        <f>'12'!G68</f>
        <v>360.66999999999825</v>
      </c>
      <c r="I15" s="19">
        <f>'12'!G69</f>
        <v>299.59000000000378</v>
      </c>
      <c r="J15" s="19">
        <f>'12'!G70</f>
        <v>0</v>
      </c>
      <c r="K15" s="23">
        <f t="shared" si="1"/>
        <v>660.26000000000204</v>
      </c>
      <c r="L15" s="19">
        <f>'12'!G71</f>
        <v>0</v>
      </c>
      <c r="M15" s="19">
        <f>'12'!G72</f>
        <v>140</v>
      </c>
      <c r="N15" s="19">
        <v>0</v>
      </c>
      <c r="O15" s="23">
        <f t="shared" si="2"/>
        <v>140</v>
      </c>
    </row>
    <row r="16" spans="1:15" x14ac:dyDescent="0.25">
      <c r="A16" s="16">
        <v>13</v>
      </c>
      <c r="B16" s="26">
        <v>13</v>
      </c>
      <c r="C16" s="26"/>
      <c r="D16" s="19">
        <f>'13'!F8</f>
        <v>2951474</v>
      </c>
      <c r="E16" s="19">
        <f>'13'!G95</f>
        <v>71</v>
      </c>
      <c r="F16" s="19">
        <f>'1'!F141</f>
        <v>0</v>
      </c>
      <c r="G16" s="20">
        <f t="shared" si="0"/>
        <v>0</v>
      </c>
      <c r="H16" s="19">
        <f>'13'!G68</f>
        <v>334.7300000000032</v>
      </c>
      <c r="I16" s="19">
        <f>'13'!G69</f>
        <v>293.55999999999767</v>
      </c>
      <c r="J16" s="19">
        <f>'13'!G70</f>
        <v>0</v>
      </c>
      <c r="K16" s="23">
        <f t="shared" si="1"/>
        <v>628.29000000000087</v>
      </c>
      <c r="L16" s="19">
        <f>'13'!G71</f>
        <v>0</v>
      </c>
      <c r="M16" s="19">
        <f>'13'!G72</f>
        <v>85</v>
      </c>
      <c r="N16" s="19">
        <v>0</v>
      </c>
      <c r="O16" s="23">
        <f t="shared" si="2"/>
        <v>85</v>
      </c>
    </row>
    <row r="17" spans="1:15" x14ac:dyDescent="0.25">
      <c r="A17" s="16">
        <v>14</v>
      </c>
      <c r="B17" s="17">
        <v>14</v>
      </c>
      <c r="C17" s="27"/>
      <c r="D17" s="19">
        <f>'14'!F8</f>
        <v>2971763</v>
      </c>
      <c r="E17" s="19">
        <f>'14'!G95</f>
        <v>62</v>
      </c>
      <c r="F17" s="19">
        <f>'1'!F141</f>
        <v>0</v>
      </c>
      <c r="G17" s="20">
        <f t="shared" si="0"/>
        <v>0</v>
      </c>
      <c r="H17" s="19">
        <f>'14'!G68</f>
        <v>341</v>
      </c>
      <c r="I17" s="19">
        <f>'14'!G69</f>
        <v>282</v>
      </c>
      <c r="J17" s="19">
        <f>'14'!G71</f>
        <v>0</v>
      </c>
      <c r="K17" s="23">
        <f t="shared" si="1"/>
        <v>623</v>
      </c>
      <c r="L17" s="19">
        <f>'14'!G72</f>
        <v>74</v>
      </c>
      <c r="M17" s="19">
        <f>'14'!G73</f>
        <v>1</v>
      </c>
      <c r="N17" s="19">
        <v>0</v>
      </c>
      <c r="O17" s="23">
        <f t="shared" si="2"/>
        <v>75</v>
      </c>
    </row>
    <row r="18" spans="1:15" x14ac:dyDescent="0.25">
      <c r="A18" s="16">
        <v>15</v>
      </c>
      <c r="B18" s="26">
        <v>15</v>
      </c>
      <c r="C18" s="18"/>
      <c r="D18" s="19">
        <f>'15'!F8</f>
        <v>2991911</v>
      </c>
      <c r="E18" s="19">
        <f>'15'!G95</f>
        <v>51</v>
      </c>
      <c r="F18" s="19">
        <f>'1'!F141</f>
        <v>0</v>
      </c>
      <c r="G18" s="20">
        <f t="shared" si="0"/>
        <v>0</v>
      </c>
      <c r="H18" s="19">
        <f>'15'!G68</f>
        <v>362</v>
      </c>
      <c r="I18" s="19">
        <f>'15'!G69</f>
        <v>291</v>
      </c>
      <c r="J18" s="19">
        <f>'15'!G71</f>
        <v>0</v>
      </c>
      <c r="K18" s="23">
        <f t="shared" si="1"/>
        <v>653</v>
      </c>
      <c r="L18" s="19">
        <f>'15'!G72</f>
        <v>75</v>
      </c>
      <c r="M18" s="19">
        <f>'15'!G73</f>
        <v>1</v>
      </c>
      <c r="N18" s="19">
        <v>0</v>
      </c>
      <c r="O18" s="23">
        <f t="shared" si="2"/>
        <v>76</v>
      </c>
    </row>
    <row r="20" spans="1:15" x14ac:dyDescent="0.25">
      <c r="B20" s="35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 x14ac:dyDescent="0.3"/>
  <cols>
    <col min="1" max="1" width="37.109375" style="113" customWidth="1"/>
    <col min="2" max="2" width="24" style="113" customWidth="1"/>
    <col min="3" max="3" width="18.77734375" style="113" customWidth="1"/>
    <col min="4" max="4" width="11.44140625" style="113" customWidth="1"/>
    <col min="5" max="5" width="19.6640625" style="113" bestFit="1" customWidth="1"/>
    <col min="6" max="6" width="18.5546875" style="113" customWidth="1"/>
    <col min="7" max="7" width="19.33203125" style="113" customWidth="1"/>
    <col min="8" max="8" width="17.6640625" style="154" customWidth="1"/>
    <col min="9" max="9" width="18.88671875" style="113" customWidth="1"/>
    <col min="10" max="10" width="23" style="155" customWidth="1"/>
    <col min="11" max="16384" width="22.33203125" style="113"/>
  </cols>
  <sheetData>
    <row r="1" spans="1:12" ht="28.5" customHeight="1" x14ac:dyDescent="0.5">
      <c r="A1" s="1486" t="s">
        <v>293</v>
      </c>
      <c r="B1" s="1486"/>
      <c r="C1" s="1486"/>
      <c r="D1" s="1486"/>
      <c r="E1" s="1486"/>
      <c r="F1" s="1486"/>
      <c r="G1" s="1486"/>
      <c r="H1" s="1486"/>
      <c r="I1" s="1486"/>
      <c r="J1" s="1486"/>
    </row>
    <row r="2" spans="1:12" ht="23.25" customHeight="1" x14ac:dyDescent="0.5">
      <c r="A2" s="213" t="s">
        <v>314</v>
      </c>
      <c r="B2" s="194">
        <v>42328</v>
      </c>
      <c r="C2" s="1659" t="s">
        <v>315</v>
      </c>
      <c r="D2" s="1660"/>
      <c r="E2" s="190" t="s">
        <v>145</v>
      </c>
      <c r="F2" s="190" t="s">
        <v>20</v>
      </c>
      <c r="G2" s="190" t="s">
        <v>22</v>
      </c>
      <c r="H2" s="39" t="s">
        <v>146</v>
      </c>
      <c r="I2" s="40"/>
      <c r="J2" s="41"/>
    </row>
    <row r="3" spans="1:12" ht="18.75" customHeight="1" x14ac:dyDescent="0.3">
      <c r="A3" s="1327" t="s">
        <v>316</v>
      </c>
      <c r="B3" s="188"/>
      <c r="C3" s="188"/>
      <c r="D3" s="1328"/>
      <c r="E3" s="114" t="str">
        <f>'1'!E3</f>
        <v>Last year same month avg</v>
      </c>
      <c r="F3" s="51">
        <f>'1'!F3</f>
        <v>0</v>
      </c>
      <c r="G3" s="51">
        <f>'1'!G3</f>
        <v>0</v>
      </c>
      <c r="H3" s="48">
        <f>'1'!H3</f>
        <v>0</v>
      </c>
      <c r="I3" s="40" t="s">
        <v>317</v>
      </c>
      <c r="J3" s="41" t="s">
        <v>318</v>
      </c>
      <c r="K3" s="115"/>
      <c r="L3" s="116"/>
    </row>
    <row r="4" spans="1:12" ht="18.75" customHeight="1" x14ac:dyDescent="0.3">
      <c r="A4" s="44" t="s">
        <v>319</v>
      </c>
      <c r="B4" s="45" t="s">
        <v>320</v>
      </c>
      <c r="C4" s="38" t="s">
        <v>84</v>
      </c>
      <c r="D4" s="214">
        <v>0.8</v>
      </c>
      <c r="E4" s="46"/>
      <c r="F4" s="46"/>
      <c r="G4" s="47"/>
      <c r="H4" s="40"/>
      <c r="I4" s="48">
        <v>31</v>
      </c>
      <c r="J4" s="49">
        <v>82</v>
      </c>
      <c r="K4" s="117"/>
      <c r="L4" s="116"/>
    </row>
    <row r="5" spans="1:12" ht="18.75" customHeight="1" thickBot="1" x14ac:dyDescent="0.55000000000000004">
      <c r="A5" s="215" t="s">
        <v>150</v>
      </c>
      <c r="B5" s="216"/>
      <c r="C5" s="217"/>
      <c r="D5" s="218" t="s">
        <v>151</v>
      </c>
      <c r="E5" s="219" t="s">
        <v>152</v>
      </c>
      <c r="F5" s="219" t="s">
        <v>138</v>
      </c>
      <c r="G5" s="220" t="s">
        <v>153</v>
      </c>
      <c r="H5" s="221" t="s">
        <v>154</v>
      </c>
      <c r="I5" s="222" t="s">
        <v>155</v>
      </c>
      <c r="J5" s="220" t="s">
        <v>156</v>
      </c>
      <c r="K5" s="52"/>
      <c r="L5" s="116"/>
    </row>
    <row r="6" spans="1:12" ht="18.75" customHeight="1" x14ac:dyDescent="0.3">
      <c r="A6" s="1666" t="s">
        <v>157</v>
      </c>
      <c r="B6" s="1667"/>
      <c r="C6" s="1668"/>
      <c r="D6" s="59"/>
      <c r="E6" s="59"/>
      <c r="F6" s="59"/>
      <c r="G6" s="59"/>
      <c r="H6" s="60"/>
      <c r="I6" s="61"/>
      <c r="J6" s="62"/>
      <c r="K6" s="42"/>
      <c r="L6" s="116"/>
    </row>
    <row r="7" spans="1:12" ht="20.25" customHeight="1" thickBot="1" x14ac:dyDescent="0.35">
      <c r="A7" s="247" t="s">
        <v>158</v>
      </c>
      <c r="B7" s="248"/>
      <c r="C7" s="249"/>
      <c r="D7" s="132" t="s">
        <v>159</v>
      </c>
      <c r="E7" s="158"/>
      <c r="F7" s="158"/>
      <c r="G7" s="202"/>
      <c r="H7" s="159"/>
      <c r="I7" s="250"/>
      <c r="J7" s="135"/>
      <c r="K7" s="58"/>
      <c r="L7" s="116"/>
    </row>
    <row r="8" spans="1:12" ht="12.75" customHeight="1" x14ac:dyDescent="0.3">
      <c r="A8" s="243"/>
      <c r="B8" s="244"/>
      <c r="C8" s="245"/>
      <c r="D8" s="136"/>
      <c r="E8" s="160"/>
      <c r="F8" s="160"/>
      <c r="G8" s="138"/>
      <c r="H8" s="161"/>
      <c r="I8" s="246"/>
      <c r="J8" s="140"/>
      <c r="K8" s="58"/>
      <c r="L8" s="116"/>
    </row>
    <row r="9" spans="1:12" ht="18.75" customHeight="1" x14ac:dyDescent="0.3">
      <c r="A9" s="63" t="s">
        <v>161</v>
      </c>
      <c r="B9" s="64"/>
      <c r="C9" s="65"/>
      <c r="D9" s="54" t="s">
        <v>159</v>
      </c>
      <c r="E9" s="55"/>
      <c r="F9" s="66"/>
      <c r="G9" s="67"/>
      <c r="H9" s="56"/>
      <c r="I9" s="68"/>
      <c r="J9" s="57"/>
      <c r="K9" s="58"/>
      <c r="L9" s="116"/>
    </row>
    <row r="10" spans="1:12" ht="18.75" customHeight="1" x14ac:dyDescent="0.3">
      <c r="A10" s="191" t="s">
        <v>162</v>
      </c>
      <c r="B10" s="192"/>
      <c r="C10" s="193"/>
      <c r="D10" s="54" t="s">
        <v>159</v>
      </c>
      <c r="E10" s="55"/>
      <c r="F10" s="66"/>
      <c r="G10" s="67"/>
      <c r="H10" s="56"/>
      <c r="I10" s="68"/>
      <c r="J10" s="57"/>
      <c r="K10" s="58"/>
      <c r="L10" s="116"/>
    </row>
    <row r="11" spans="1:12" ht="18.75" customHeight="1" x14ac:dyDescent="0.3">
      <c r="A11" s="191" t="s">
        <v>163</v>
      </c>
      <c r="B11" s="192"/>
      <c r="C11" s="193"/>
      <c r="D11" s="54" t="s">
        <v>159</v>
      </c>
      <c r="E11" s="55"/>
      <c r="F11" s="55"/>
      <c r="G11" s="67"/>
      <c r="H11" s="56"/>
      <c r="I11" s="68"/>
      <c r="J11" s="57"/>
      <c r="K11" s="58"/>
      <c r="L11" s="116"/>
    </row>
    <row r="12" spans="1:12" ht="18.75" customHeight="1" x14ac:dyDescent="0.3">
      <c r="A12" s="191" t="s">
        <v>164</v>
      </c>
      <c r="B12" s="192"/>
      <c r="C12" s="193"/>
      <c r="D12" s="54" t="s">
        <v>159</v>
      </c>
      <c r="E12" s="55"/>
      <c r="F12" s="66"/>
      <c r="G12" s="67"/>
      <c r="H12" s="56"/>
      <c r="I12" s="68"/>
      <c r="J12" s="57"/>
      <c r="K12" s="58"/>
      <c r="L12" s="116"/>
    </row>
    <row r="13" spans="1:12" ht="18.75" customHeight="1" x14ac:dyDescent="0.3">
      <c r="A13" s="179" t="s">
        <v>165</v>
      </c>
      <c r="B13" s="180"/>
      <c r="C13" s="181"/>
      <c r="D13" s="54"/>
      <c r="E13" s="118"/>
      <c r="F13" s="69"/>
      <c r="G13" s="67"/>
      <c r="H13" s="56"/>
      <c r="I13" s="68"/>
      <c r="J13" s="57"/>
      <c r="K13" s="58"/>
      <c r="L13" s="116"/>
    </row>
    <row r="14" spans="1:12" ht="18.75" customHeight="1" x14ac:dyDescent="0.3">
      <c r="A14" s="1663" t="s">
        <v>166</v>
      </c>
      <c r="B14" s="1664"/>
      <c r="C14" s="1665"/>
      <c r="D14" s="70"/>
      <c r="E14" s="70"/>
      <c r="F14" s="70"/>
      <c r="G14" s="127"/>
      <c r="H14" s="71"/>
      <c r="I14" s="72"/>
      <c r="J14" s="73"/>
      <c r="K14" s="74"/>
      <c r="L14" s="116"/>
    </row>
    <row r="15" spans="1:12" ht="18.75" customHeight="1" thickBot="1" x14ac:dyDescent="0.35">
      <c r="A15" s="182" t="s">
        <v>167</v>
      </c>
      <c r="B15" s="183"/>
      <c r="C15" s="184"/>
      <c r="D15" s="132" t="s">
        <v>168</v>
      </c>
      <c r="E15" s="158"/>
      <c r="F15" s="133"/>
      <c r="G15" s="134"/>
      <c r="H15" s="159"/>
      <c r="I15" s="250"/>
      <c r="J15" s="135"/>
      <c r="K15" s="58"/>
      <c r="L15" s="116"/>
    </row>
    <row r="16" spans="1:12" ht="18.75" customHeight="1" x14ac:dyDescent="0.3">
      <c r="A16" s="223"/>
      <c r="B16" s="224"/>
      <c r="C16" s="225"/>
      <c r="D16" s="226"/>
      <c r="E16" s="227"/>
      <c r="F16" s="211"/>
      <c r="G16" s="204"/>
      <c r="H16" s="251"/>
      <c r="I16" s="252"/>
      <c r="J16" s="228"/>
      <c r="K16" s="58"/>
      <c r="L16" s="116"/>
    </row>
    <row r="17" spans="1:12" ht="18.75" customHeight="1" x14ac:dyDescent="0.3">
      <c r="A17" s="1663" t="s">
        <v>169</v>
      </c>
      <c r="B17" s="1664"/>
      <c r="C17" s="1665"/>
      <c r="D17" s="70"/>
      <c r="E17" s="70"/>
      <c r="F17" s="70"/>
      <c r="G17" s="121"/>
      <c r="H17" s="71"/>
      <c r="I17" s="72"/>
      <c r="J17" s="122"/>
      <c r="K17" s="58"/>
      <c r="L17" s="116"/>
    </row>
    <row r="18" spans="1:12" ht="18.75" customHeight="1" x14ac:dyDescent="0.3">
      <c r="A18" s="1474" t="s">
        <v>170</v>
      </c>
      <c r="B18" s="1475"/>
      <c r="C18" s="1476"/>
      <c r="D18" s="54" t="s">
        <v>171</v>
      </c>
      <c r="E18" s="55"/>
      <c r="F18" s="81"/>
      <c r="G18" s="123"/>
      <c r="H18" s="56"/>
      <c r="I18" s="68"/>
      <c r="J18" s="57"/>
      <c r="K18" s="58"/>
      <c r="L18" s="116"/>
    </row>
    <row r="19" spans="1:12" ht="18.75" customHeight="1" x14ac:dyDescent="0.3">
      <c r="A19" s="1474" t="s">
        <v>86</v>
      </c>
      <c r="B19" s="1475"/>
      <c r="C19" s="1476"/>
      <c r="D19" s="54" t="s">
        <v>171</v>
      </c>
      <c r="E19" s="55"/>
      <c r="F19" s="81"/>
      <c r="G19" s="123"/>
      <c r="H19" s="56"/>
      <c r="I19" s="79"/>
      <c r="J19" s="57"/>
      <c r="K19" s="58"/>
      <c r="L19" s="116"/>
    </row>
    <row r="20" spans="1:12" ht="18.75" customHeight="1" x14ac:dyDescent="0.3">
      <c r="A20" s="179" t="s">
        <v>172</v>
      </c>
      <c r="B20" s="180"/>
      <c r="C20" s="181"/>
      <c r="D20" s="119"/>
      <c r="E20" s="55"/>
      <c r="F20" s="119"/>
      <c r="G20" s="124"/>
      <c r="H20" s="56"/>
      <c r="I20" s="157"/>
      <c r="J20" s="57"/>
      <c r="K20" s="58"/>
      <c r="L20" s="116"/>
    </row>
    <row r="21" spans="1:12" ht="18.75" customHeight="1" x14ac:dyDescent="0.3">
      <c r="A21" s="1663" t="s">
        <v>173</v>
      </c>
      <c r="B21" s="1664"/>
      <c r="C21" s="1665"/>
      <c r="D21" s="70"/>
      <c r="E21" s="70"/>
      <c r="F21" s="70"/>
      <c r="G21" s="127"/>
      <c r="H21" s="71"/>
      <c r="I21" s="89"/>
      <c r="J21" s="73"/>
      <c r="K21" s="58"/>
      <c r="L21" s="116"/>
    </row>
    <row r="22" spans="1:12" ht="18.75" customHeight="1" x14ac:dyDescent="0.3">
      <c r="A22" s="1324" t="s">
        <v>174</v>
      </c>
      <c r="B22" s="1325"/>
      <c r="C22" s="1326"/>
      <c r="D22" s="54" t="s">
        <v>175</v>
      </c>
      <c r="E22" s="55"/>
      <c r="F22" s="81"/>
      <c r="G22" s="123"/>
      <c r="H22" s="56"/>
      <c r="I22" s="68"/>
      <c r="J22" s="57"/>
      <c r="K22" s="58"/>
      <c r="L22" s="116"/>
    </row>
    <row r="23" spans="1:12" ht="18.75" customHeight="1" x14ac:dyDescent="0.3">
      <c r="A23" s="1324" t="s">
        <v>176</v>
      </c>
      <c r="B23" s="1325"/>
      <c r="C23" s="1326"/>
      <c r="D23" s="54" t="s">
        <v>175</v>
      </c>
      <c r="E23" s="55"/>
      <c r="F23" s="81"/>
      <c r="G23" s="123"/>
      <c r="H23" s="56"/>
      <c r="I23" s="68"/>
      <c r="J23" s="57"/>
      <c r="K23" s="58"/>
      <c r="L23" s="116"/>
    </row>
    <row r="24" spans="1:12" ht="18.75" customHeight="1" x14ac:dyDescent="0.3">
      <c r="A24" s="169" t="s">
        <v>177</v>
      </c>
      <c r="B24" s="170"/>
      <c r="C24" s="171"/>
      <c r="D24" s="53" t="s">
        <v>175</v>
      </c>
      <c r="E24" s="55"/>
      <c r="F24" s="90"/>
      <c r="G24" s="141"/>
      <c r="H24" s="56"/>
      <c r="I24" s="68"/>
      <c r="J24" s="57"/>
      <c r="K24" s="58"/>
      <c r="L24" s="116"/>
    </row>
    <row r="25" spans="1:12" ht="18.75" customHeight="1" x14ac:dyDescent="0.3">
      <c r="A25" s="1669" t="s">
        <v>178</v>
      </c>
      <c r="B25" s="1670"/>
      <c r="C25" s="1671"/>
      <c r="D25" s="59"/>
      <c r="E25" s="59"/>
      <c r="F25" s="59"/>
      <c r="G25" s="125"/>
      <c r="H25" s="60"/>
      <c r="I25" s="142"/>
      <c r="J25" s="62"/>
      <c r="K25" s="58"/>
      <c r="L25" s="116"/>
    </row>
    <row r="26" spans="1:12" ht="18.75" customHeight="1" x14ac:dyDescent="0.3">
      <c r="A26" s="163" t="s">
        <v>179</v>
      </c>
      <c r="B26" s="164"/>
      <c r="C26" s="165"/>
      <c r="D26" s="143" t="s">
        <v>180</v>
      </c>
      <c r="E26" s="91"/>
      <c r="F26" s="91"/>
      <c r="G26" s="130"/>
      <c r="H26" s="56"/>
      <c r="I26" s="144"/>
      <c r="J26" s="92"/>
      <c r="K26" s="74"/>
      <c r="L26" s="116"/>
    </row>
    <row r="27" spans="1:12" ht="18.75" customHeight="1" x14ac:dyDescent="0.3">
      <c r="A27" s="163" t="s">
        <v>20</v>
      </c>
      <c r="B27" s="164"/>
      <c r="C27" s="165"/>
      <c r="D27" s="145" t="s">
        <v>159</v>
      </c>
      <c r="E27" s="93"/>
      <c r="F27" s="94"/>
      <c r="G27" s="146"/>
      <c r="H27" s="56"/>
      <c r="I27" s="147"/>
      <c r="J27" s="57"/>
      <c r="K27" s="58"/>
      <c r="L27" s="116"/>
    </row>
    <row r="28" spans="1:12" ht="18.75" customHeight="1" x14ac:dyDescent="0.3">
      <c r="A28" s="163" t="s">
        <v>181</v>
      </c>
      <c r="B28" s="164"/>
      <c r="C28" s="165"/>
      <c r="D28" s="145" t="s">
        <v>182</v>
      </c>
      <c r="E28" s="95"/>
      <c r="F28" s="94"/>
      <c r="G28" s="146"/>
      <c r="H28" s="56"/>
      <c r="I28" s="111"/>
      <c r="J28" s="57"/>
      <c r="K28" s="58"/>
      <c r="L28" s="116"/>
    </row>
    <row r="29" spans="1:12" ht="18.75" customHeight="1" x14ac:dyDescent="0.3">
      <c r="A29" s="163" t="s">
        <v>183</v>
      </c>
      <c r="B29" s="164"/>
      <c r="C29" s="165"/>
      <c r="D29" s="145" t="s">
        <v>184</v>
      </c>
      <c r="E29" s="96"/>
      <c r="F29" s="94"/>
      <c r="G29" s="146"/>
      <c r="H29" s="56"/>
      <c r="I29" s="111"/>
      <c r="J29" s="57"/>
      <c r="K29" s="58"/>
      <c r="L29" s="116"/>
    </row>
    <row r="30" spans="1:12" ht="18.75" customHeight="1" x14ac:dyDescent="0.3">
      <c r="A30" s="163" t="s">
        <v>22</v>
      </c>
      <c r="B30" s="164"/>
      <c r="C30" s="165"/>
      <c r="D30" s="145" t="s">
        <v>186</v>
      </c>
      <c r="E30" s="96"/>
      <c r="F30" s="94"/>
      <c r="G30" s="146"/>
      <c r="H30" s="56"/>
      <c r="I30" s="111"/>
      <c r="J30" s="57"/>
      <c r="K30" s="58"/>
      <c r="L30" s="116"/>
    </row>
    <row r="31" spans="1:12" ht="18.75" customHeight="1" x14ac:dyDescent="0.3">
      <c r="A31" s="166" t="s">
        <v>188</v>
      </c>
      <c r="B31" s="167"/>
      <c r="C31" s="168"/>
      <c r="D31" s="148"/>
      <c r="E31" s="148"/>
      <c r="F31" s="148"/>
      <c r="G31" s="149"/>
      <c r="H31" s="56"/>
      <c r="I31" s="150"/>
      <c r="J31" s="57"/>
      <c r="K31" s="58"/>
      <c r="L31" s="116"/>
    </row>
    <row r="32" spans="1:12" ht="18.75" customHeight="1" x14ac:dyDescent="0.3">
      <c r="A32" s="1480" t="s">
        <v>189</v>
      </c>
      <c r="B32" s="1481"/>
      <c r="C32" s="1481"/>
      <c r="D32" s="1481"/>
      <c r="E32" s="1481"/>
      <c r="F32" s="1481"/>
      <c r="G32" s="1481"/>
      <c r="H32" s="1481"/>
      <c r="I32" s="1481"/>
      <c r="J32" s="1482"/>
      <c r="K32" s="58"/>
      <c r="L32" s="116"/>
    </row>
    <row r="33" spans="1:12" ht="18.75" customHeight="1" x14ac:dyDescent="0.3">
      <c r="A33" s="1365" t="s">
        <v>190</v>
      </c>
      <c r="B33" s="1366"/>
      <c r="C33" s="1367"/>
      <c r="D33" s="70"/>
      <c r="E33" s="59"/>
      <c r="F33" s="59"/>
      <c r="G33" s="70"/>
      <c r="H33" s="71"/>
      <c r="I33" s="72"/>
      <c r="J33" s="73"/>
      <c r="K33" s="58"/>
      <c r="L33" s="116"/>
    </row>
    <row r="34" spans="1:12" ht="18.75" customHeight="1" x14ac:dyDescent="0.3">
      <c r="A34" s="191" t="s">
        <v>191</v>
      </c>
      <c r="B34" s="192"/>
      <c r="C34" s="193"/>
      <c r="D34" s="54" t="s">
        <v>159</v>
      </c>
      <c r="E34" s="162"/>
      <c r="F34" s="210"/>
      <c r="G34" s="67"/>
      <c r="H34" s="56"/>
      <c r="I34" s="55"/>
      <c r="J34" s="57"/>
      <c r="K34" s="58"/>
      <c r="L34" s="116"/>
    </row>
    <row r="35" spans="1:12" ht="18.75" customHeight="1" x14ac:dyDescent="0.3">
      <c r="A35" s="191" t="s">
        <v>192</v>
      </c>
      <c r="B35" s="192"/>
      <c r="C35" s="193"/>
      <c r="D35" s="54" t="s">
        <v>159</v>
      </c>
      <c r="E35" s="162"/>
      <c r="F35" s="210"/>
      <c r="G35" s="67"/>
      <c r="H35" s="56"/>
      <c r="I35" s="55"/>
      <c r="J35" s="57"/>
      <c r="K35" s="58"/>
      <c r="L35" s="116"/>
    </row>
    <row r="36" spans="1:12" ht="18.75" customHeight="1" x14ac:dyDescent="0.3">
      <c r="A36" s="191" t="s">
        <v>193</v>
      </c>
      <c r="B36" s="192"/>
      <c r="C36" s="193"/>
      <c r="D36" s="54" t="s">
        <v>159</v>
      </c>
      <c r="E36" s="162"/>
      <c r="F36" s="210"/>
      <c r="G36" s="67"/>
      <c r="H36" s="56"/>
      <c r="I36" s="55"/>
      <c r="J36" s="57"/>
      <c r="K36" s="58"/>
      <c r="L36" s="116"/>
    </row>
    <row r="37" spans="1:12" ht="18.75" customHeight="1" x14ac:dyDescent="0.3">
      <c r="A37" s="191" t="s">
        <v>194</v>
      </c>
      <c r="B37" s="192"/>
      <c r="C37" s="193"/>
      <c r="D37" s="54" t="s">
        <v>159</v>
      </c>
      <c r="E37" s="162"/>
      <c r="F37" s="162"/>
      <c r="G37" s="67"/>
      <c r="H37" s="56"/>
      <c r="I37" s="55"/>
      <c r="J37" s="57"/>
      <c r="K37" s="58"/>
      <c r="L37" s="116"/>
    </row>
    <row r="38" spans="1:12" ht="18.75" customHeight="1" x14ac:dyDescent="0.3">
      <c r="A38" s="191" t="s">
        <v>195</v>
      </c>
      <c r="B38" s="192"/>
      <c r="C38" s="193"/>
      <c r="D38" s="54" t="s">
        <v>159</v>
      </c>
      <c r="E38" s="162"/>
      <c r="F38" s="210"/>
      <c r="G38" s="67"/>
      <c r="H38" s="56"/>
      <c r="I38" s="55"/>
      <c r="J38" s="57"/>
      <c r="K38" s="58"/>
      <c r="L38" s="116"/>
    </row>
    <row r="39" spans="1:12" ht="18.75" customHeight="1" x14ac:dyDescent="0.3">
      <c r="A39" s="75" t="s">
        <v>196</v>
      </c>
      <c r="B39" s="76"/>
      <c r="C39" s="77"/>
      <c r="D39" s="54" t="s">
        <v>159</v>
      </c>
      <c r="E39" s="162"/>
      <c r="F39" s="210"/>
      <c r="G39" s="67"/>
      <c r="H39" s="56"/>
      <c r="I39" s="55"/>
      <c r="J39" s="57"/>
      <c r="K39" s="74"/>
      <c r="L39" s="116"/>
    </row>
    <row r="40" spans="1:12" ht="18.75" customHeight="1" x14ac:dyDescent="0.3">
      <c r="A40" s="191" t="s">
        <v>197</v>
      </c>
      <c r="B40" s="192"/>
      <c r="C40" s="193"/>
      <c r="D40" s="54" t="s">
        <v>159</v>
      </c>
      <c r="E40" s="162"/>
      <c r="F40" s="210"/>
      <c r="G40" s="67"/>
      <c r="H40" s="56"/>
      <c r="I40" s="55"/>
      <c r="J40" s="57"/>
      <c r="K40" s="58"/>
      <c r="L40" s="116"/>
    </row>
    <row r="41" spans="1:12" ht="18.75" customHeight="1" x14ac:dyDescent="0.3">
      <c r="A41" s="191" t="s">
        <v>198</v>
      </c>
      <c r="B41" s="192"/>
      <c r="C41" s="193"/>
      <c r="D41" s="54" t="s">
        <v>159</v>
      </c>
      <c r="E41" s="162"/>
      <c r="F41" s="210"/>
      <c r="G41" s="67"/>
      <c r="H41" s="56"/>
      <c r="I41" s="55"/>
      <c r="J41" s="57"/>
      <c r="K41" s="58"/>
      <c r="L41" s="116"/>
    </row>
    <row r="42" spans="1:12" ht="18.75" customHeight="1" x14ac:dyDescent="0.3">
      <c r="A42" s="191" t="s">
        <v>199</v>
      </c>
      <c r="B42" s="192"/>
      <c r="C42" s="193"/>
      <c r="D42" s="54" t="s">
        <v>159</v>
      </c>
      <c r="E42" s="162"/>
      <c r="F42" s="210"/>
      <c r="G42" s="67"/>
      <c r="H42" s="56"/>
      <c r="I42" s="55"/>
      <c r="J42" s="57"/>
      <c r="K42" s="58"/>
      <c r="L42" s="116"/>
    </row>
    <row r="43" spans="1:12" ht="18.75" customHeight="1" x14ac:dyDescent="0.3">
      <c r="A43" s="191" t="s">
        <v>200</v>
      </c>
      <c r="B43" s="192"/>
      <c r="C43" s="193"/>
      <c r="D43" s="54" t="s">
        <v>159</v>
      </c>
      <c r="E43" s="162"/>
      <c r="F43" s="210"/>
      <c r="G43" s="67"/>
      <c r="H43" s="56"/>
      <c r="I43" s="55"/>
      <c r="J43" s="57"/>
      <c r="K43" s="58"/>
      <c r="L43" s="116"/>
    </row>
    <row r="44" spans="1:12" ht="18.75" customHeight="1" x14ac:dyDescent="0.3">
      <c r="A44" s="191" t="s">
        <v>201</v>
      </c>
      <c r="B44" s="192"/>
      <c r="C44" s="193"/>
      <c r="D44" s="54" t="s">
        <v>159</v>
      </c>
      <c r="E44" s="162"/>
      <c r="F44" s="210"/>
      <c r="G44" s="67"/>
      <c r="H44" s="56"/>
      <c r="I44" s="55"/>
      <c r="J44" s="57"/>
      <c r="K44" s="58"/>
      <c r="L44" s="116"/>
    </row>
    <row r="45" spans="1:12" ht="18.75" customHeight="1" x14ac:dyDescent="0.3">
      <c r="A45" s="191" t="s">
        <v>202</v>
      </c>
      <c r="B45" s="192"/>
      <c r="C45" s="193"/>
      <c r="D45" s="54" t="s">
        <v>159</v>
      </c>
      <c r="E45" s="162"/>
      <c r="F45" s="210"/>
      <c r="G45" s="67"/>
      <c r="H45" s="56"/>
      <c r="I45" s="55"/>
      <c r="J45" s="57"/>
      <c r="K45" s="58"/>
      <c r="L45" s="116"/>
    </row>
    <row r="46" spans="1:12" ht="18.75" customHeight="1" x14ac:dyDescent="0.3">
      <c r="A46" s="179" t="s">
        <v>203</v>
      </c>
      <c r="B46" s="180"/>
      <c r="C46" s="181"/>
      <c r="D46" s="78"/>
      <c r="E46" s="120"/>
      <c r="F46" s="53"/>
      <c r="G46" s="67"/>
      <c r="H46" s="56"/>
      <c r="I46" s="55"/>
      <c r="J46" s="57"/>
      <c r="K46" s="58"/>
      <c r="L46" s="116"/>
    </row>
    <row r="47" spans="1:12" ht="18.75" customHeight="1" x14ac:dyDescent="0.3">
      <c r="A47" s="1365" t="s">
        <v>204</v>
      </c>
      <c r="B47" s="1366"/>
      <c r="C47" s="1367"/>
      <c r="D47" s="70"/>
      <c r="E47" s="59"/>
      <c r="F47" s="59"/>
      <c r="G47" s="70"/>
      <c r="H47" s="71"/>
      <c r="I47" s="72"/>
      <c r="J47" s="73"/>
      <c r="K47" s="58"/>
      <c r="L47" s="116"/>
    </row>
    <row r="48" spans="1:12" ht="18.75" customHeight="1" x14ac:dyDescent="0.3">
      <c r="A48" s="191" t="s">
        <v>191</v>
      </c>
      <c r="B48" s="174"/>
      <c r="C48" s="175"/>
      <c r="D48" s="54" t="s">
        <v>159</v>
      </c>
      <c r="E48" s="162"/>
      <c r="F48" s="210"/>
      <c r="G48" s="67"/>
      <c r="H48" s="56"/>
      <c r="I48" s="55"/>
      <c r="J48" s="57"/>
      <c r="K48" s="58"/>
      <c r="L48" s="116"/>
    </row>
    <row r="49" spans="1:12" ht="18.75" customHeight="1" x14ac:dyDescent="0.3">
      <c r="A49" s="191" t="s">
        <v>205</v>
      </c>
      <c r="B49" s="174"/>
      <c r="C49" s="175"/>
      <c r="D49" s="54" t="s">
        <v>159</v>
      </c>
      <c r="E49" s="162"/>
      <c r="F49" s="210"/>
      <c r="G49" s="67"/>
      <c r="H49" s="56"/>
      <c r="I49" s="55"/>
      <c r="J49" s="57"/>
      <c r="K49" s="58"/>
      <c r="L49" s="116"/>
    </row>
    <row r="50" spans="1:12" ht="18.75" customHeight="1" x14ac:dyDescent="0.3">
      <c r="A50" s="191" t="s">
        <v>193</v>
      </c>
      <c r="B50" s="174"/>
      <c r="C50" s="175"/>
      <c r="D50" s="54" t="s">
        <v>159</v>
      </c>
      <c r="E50" s="162"/>
      <c r="F50" s="210"/>
      <c r="G50" s="67"/>
      <c r="H50" s="56"/>
      <c r="I50" s="55"/>
      <c r="J50" s="57"/>
      <c r="K50" s="58"/>
      <c r="L50" s="116"/>
    </row>
    <row r="51" spans="1:12" ht="18.75" customHeight="1" x14ac:dyDescent="0.3">
      <c r="A51" s="191" t="s">
        <v>206</v>
      </c>
      <c r="B51" s="174"/>
      <c r="C51" s="175"/>
      <c r="D51" s="54" t="s">
        <v>159</v>
      </c>
      <c r="E51" s="162"/>
      <c r="F51" s="210"/>
      <c r="G51" s="67"/>
      <c r="H51" s="56"/>
      <c r="I51" s="55"/>
      <c r="J51" s="57"/>
      <c r="K51" s="58"/>
      <c r="L51" s="116"/>
    </row>
    <row r="52" spans="1:12" ht="18.75" customHeight="1" x14ac:dyDescent="0.3">
      <c r="A52" s="191" t="s">
        <v>195</v>
      </c>
      <c r="B52" s="174"/>
      <c r="C52" s="175"/>
      <c r="D52" s="54" t="s">
        <v>159</v>
      </c>
      <c r="E52" s="162"/>
      <c r="F52" s="210"/>
      <c r="G52" s="67"/>
      <c r="H52" s="56"/>
      <c r="I52" s="55"/>
      <c r="J52" s="57"/>
      <c r="K52" s="58"/>
      <c r="L52" s="116"/>
    </row>
    <row r="53" spans="1:12" ht="18.75" customHeight="1" x14ac:dyDescent="0.3">
      <c r="A53" s="191" t="s">
        <v>207</v>
      </c>
      <c r="B53" s="174"/>
      <c r="C53" s="175"/>
      <c r="D53" s="54" t="s">
        <v>159</v>
      </c>
      <c r="E53" s="162"/>
      <c r="F53" s="210"/>
      <c r="G53" s="67"/>
      <c r="H53" s="56"/>
      <c r="I53" s="55"/>
      <c r="J53" s="57"/>
      <c r="K53" s="58"/>
      <c r="L53" s="116"/>
    </row>
    <row r="54" spans="1:12" ht="18.75" customHeight="1" x14ac:dyDescent="0.3">
      <c r="A54" s="191" t="s">
        <v>208</v>
      </c>
      <c r="B54" s="174"/>
      <c r="C54" s="175"/>
      <c r="D54" s="54" t="s">
        <v>159</v>
      </c>
      <c r="E54" s="162"/>
      <c r="F54" s="210"/>
      <c r="G54" s="67"/>
      <c r="H54" s="56"/>
      <c r="I54" s="55"/>
      <c r="J54" s="57"/>
      <c r="K54" s="58"/>
      <c r="L54" s="116"/>
    </row>
    <row r="55" spans="1:12" ht="18.75" customHeight="1" x14ac:dyDescent="0.3">
      <c r="A55" s="191" t="s">
        <v>209</v>
      </c>
      <c r="B55" s="174"/>
      <c r="C55" s="175"/>
      <c r="D55" s="54" t="s">
        <v>210</v>
      </c>
      <c r="E55" s="162"/>
      <c r="F55" s="210"/>
      <c r="G55" s="67"/>
      <c r="H55" s="56"/>
      <c r="I55" s="55"/>
      <c r="J55" s="57"/>
      <c r="K55" s="42"/>
      <c r="L55" s="116"/>
    </row>
    <row r="56" spans="1:12" ht="18.75" customHeight="1" x14ac:dyDescent="0.3">
      <c r="A56" s="191" t="s">
        <v>199</v>
      </c>
      <c r="B56" s="174"/>
      <c r="C56" s="175"/>
      <c r="D56" s="54" t="s">
        <v>159</v>
      </c>
      <c r="E56" s="162"/>
      <c r="F56" s="210"/>
      <c r="G56" s="67"/>
      <c r="H56" s="56"/>
      <c r="I56" s="55"/>
      <c r="J56" s="57"/>
      <c r="K56" s="58"/>
      <c r="L56" s="116"/>
    </row>
    <row r="57" spans="1:12" ht="18.75" customHeight="1" x14ac:dyDescent="0.3">
      <c r="A57" s="191" t="s">
        <v>211</v>
      </c>
      <c r="B57" s="174"/>
      <c r="C57" s="175"/>
      <c r="D57" s="54" t="s">
        <v>159</v>
      </c>
      <c r="E57" s="162"/>
      <c r="F57" s="210"/>
      <c r="G57" s="67"/>
      <c r="H57" s="56"/>
      <c r="I57" s="55"/>
      <c r="J57" s="57"/>
      <c r="K57" s="58"/>
      <c r="L57" s="116"/>
    </row>
    <row r="58" spans="1:12" ht="18.75" customHeight="1" x14ac:dyDescent="0.3">
      <c r="A58" s="179" t="s">
        <v>203</v>
      </c>
      <c r="B58" s="180"/>
      <c r="C58" s="181"/>
      <c r="D58" s="53"/>
      <c r="E58" s="120"/>
      <c r="F58" s="53"/>
      <c r="G58" s="67"/>
      <c r="H58" s="56"/>
      <c r="I58" s="55"/>
      <c r="J58" s="57"/>
      <c r="K58" s="58"/>
      <c r="L58" s="116"/>
    </row>
    <row r="59" spans="1:12" ht="18.75" customHeight="1" x14ac:dyDescent="0.3">
      <c r="A59" s="189"/>
      <c r="B59" s="189"/>
      <c r="C59" s="189"/>
      <c r="D59" s="53" t="s">
        <v>212</v>
      </c>
      <c r="E59" s="53"/>
      <c r="F59" s="53"/>
      <c r="G59" s="67"/>
      <c r="H59" s="56"/>
      <c r="I59" s="55"/>
      <c r="J59" s="57"/>
      <c r="K59" s="58"/>
      <c r="L59" s="116"/>
    </row>
    <row r="60" spans="1:12" ht="18.75" customHeight="1" x14ac:dyDescent="0.5">
      <c r="A60" s="97" t="s">
        <v>213</v>
      </c>
      <c r="B60" s="98"/>
      <c r="C60" s="99"/>
      <c r="D60" s="100"/>
      <c r="E60" s="229"/>
      <c r="F60" s="230"/>
      <c r="G60" s="151"/>
      <c r="H60" s="101"/>
      <c r="I60" s="209"/>
      <c r="J60" s="103"/>
      <c r="K60" s="58"/>
      <c r="L60" s="116"/>
    </row>
    <row r="61" spans="1:12" ht="18.75" customHeight="1" x14ac:dyDescent="0.3">
      <c r="A61" s="240" t="s">
        <v>121</v>
      </c>
      <c r="B61" s="241"/>
      <c r="C61" s="242"/>
      <c r="D61" s="53" t="s">
        <v>214</v>
      </c>
      <c r="E61" s="201"/>
      <c r="F61" s="201"/>
      <c r="G61" s="67"/>
      <c r="H61" s="78"/>
      <c r="I61" s="200"/>
      <c r="J61" s="203"/>
      <c r="K61" s="58"/>
      <c r="L61" s="116"/>
    </row>
    <row r="62" spans="1:12" ht="18.75" customHeight="1" x14ac:dyDescent="0.3">
      <c r="A62" s="240" t="s">
        <v>215</v>
      </c>
      <c r="B62" s="241"/>
      <c r="C62" s="242"/>
      <c r="D62" s="53" t="s">
        <v>214</v>
      </c>
      <c r="E62" s="201"/>
      <c r="F62" s="201"/>
      <c r="G62" s="67"/>
      <c r="H62" s="78"/>
      <c r="I62" s="200"/>
      <c r="J62" s="203"/>
      <c r="K62" s="58"/>
      <c r="L62" s="116"/>
    </row>
    <row r="63" spans="1:12" ht="18.75" customHeight="1" x14ac:dyDescent="0.3">
      <c r="A63" s="1471" t="s">
        <v>122</v>
      </c>
      <c r="B63" s="1472"/>
      <c r="C63" s="1473"/>
      <c r="D63" s="54" t="s">
        <v>214</v>
      </c>
      <c r="E63" s="201"/>
      <c r="F63" s="81"/>
      <c r="G63" s="67"/>
      <c r="H63" s="78"/>
      <c r="I63" s="68"/>
      <c r="J63" s="156"/>
      <c r="K63" s="58"/>
      <c r="L63" s="116"/>
    </row>
    <row r="64" spans="1:12" ht="18.75" customHeight="1" x14ac:dyDescent="0.3">
      <c r="A64" s="1471" t="s">
        <v>123</v>
      </c>
      <c r="B64" s="1472"/>
      <c r="C64" s="1473"/>
      <c r="D64" s="54" t="s">
        <v>214</v>
      </c>
      <c r="E64" s="201"/>
      <c r="F64" s="81"/>
      <c r="G64" s="67"/>
      <c r="H64" s="78"/>
      <c r="I64" s="79"/>
      <c r="J64" s="156"/>
      <c r="K64" s="58"/>
      <c r="L64" s="116"/>
    </row>
    <row r="65" spans="1:12" ht="18.75" customHeight="1" x14ac:dyDescent="0.3">
      <c r="A65" s="1471" t="s">
        <v>124</v>
      </c>
      <c r="B65" s="1472"/>
      <c r="C65" s="1473"/>
      <c r="D65" s="54" t="s">
        <v>214</v>
      </c>
      <c r="E65" s="201"/>
      <c r="F65" s="81"/>
      <c r="G65" s="67"/>
      <c r="H65" s="78"/>
      <c r="I65" s="68"/>
      <c r="J65" s="156"/>
      <c r="K65" s="58"/>
      <c r="L65" s="116"/>
    </row>
    <row r="66" spans="1:12" ht="18.75" customHeight="1" x14ac:dyDescent="0.3">
      <c r="A66" s="1471" t="s">
        <v>125</v>
      </c>
      <c r="B66" s="1472"/>
      <c r="C66" s="1473"/>
      <c r="D66" s="54" t="s">
        <v>214</v>
      </c>
      <c r="E66" s="201"/>
      <c r="F66" s="81"/>
      <c r="G66" s="67"/>
      <c r="H66" s="78"/>
      <c r="I66" s="79"/>
      <c r="J66" s="156"/>
      <c r="K66" s="74"/>
      <c r="L66" s="116"/>
    </row>
    <row r="67" spans="1:12" ht="18.75" customHeight="1" x14ac:dyDescent="0.3">
      <c r="A67" s="1471" t="s">
        <v>126</v>
      </c>
      <c r="B67" s="1472"/>
      <c r="C67" s="1473"/>
      <c r="D67" s="54" t="s">
        <v>214</v>
      </c>
      <c r="E67" s="201"/>
      <c r="F67" s="81"/>
      <c r="G67" s="67"/>
      <c r="H67" s="78"/>
      <c r="I67" s="104"/>
      <c r="J67" s="156"/>
      <c r="K67" s="82"/>
      <c r="L67" s="116"/>
    </row>
    <row r="68" spans="1:12" ht="18.75" customHeight="1" x14ac:dyDescent="0.3">
      <c r="A68" s="1471" t="s">
        <v>127</v>
      </c>
      <c r="B68" s="1472"/>
      <c r="C68" s="1473"/>
      <c r="D68" s="54" t="s">
        <v>214</v>
      </c>
      <c r="E68" s="201"/>
      <c r="F68" s="81"/>
      <c r="G68" s="67"/>
      <c r="H68" s="78"/>
      <c r="I68" s="104"/>
      <c r="J68" s="156"/>
      <c r="K68" s="84"/>
      <c r="L68" s="116"/>
    </row>
    <row r="69" spans="1:12" ht="18.75" customHeight="1" x14ac:dyDescent="0.5">
      <c r="A69" s="105" t="s">
        <v>217</v>
      </c>
      <c r="B69" s="106"/>
      <c r="C69" s="106"/>
      <c r="D69" s="173"/>
      <c r="E69" s="107"/>
      <c r="F69" s="107"/>
      <c r="G69" s="108"/>
      <c r="H69" s="101"/>
      <c r="I69" s="102"/>
      <c r="J69" s="198"/>
      <c r="K69" s="82"/>
      <c r="L69" s="116"/>
    </row>
    <row r="70" spans="1:12" ht="18.75" customHeight="1" x14ac:dyDescent="0.3">
      <c r="A70" s="1471" t="s">
        <v>218</v>
      </c>
      <c r="B70" s="1472"/>
      <c r="C70" s="1473"/>
      <c r="D70" s="54" t="s">
        <v>214</v>
      </c>
      <c r="E70" s="109"/>
      <c r="F70" s="109"/>
      <c r="G70" s="67"/>
      <c r="H70" s="56"/>
      <c r="I70" s="68"/>
      <c r="J70" s="156"/>
      <c r="K70" s="84"/>
      <c r="L70" s="116"/>
    </row>
    <row r="71" spans="1:12" ht="18.75" customHeight="1" x14ac:dyDescent="0.3">
      <c r="A71" s="1471" t="s">
        <v>219</v>
      </c>
      <c r="B71" s="1472"/>
      <c r="C71" s="1473"/>
      <c r="D71" s="54" t="s">
        <v>214</v>
      </c>
      <c r="E71" s="109"/>
      <c r="F71" s="109"/>
      <c r="G71" s="67"/>
      <c r="H71" s="56"/>
      <c r="I71" s="68"/>
      <c r="J71" s="156"/>
      <c r="K71" s="82"/>
      <c r="L71" s="116"/>
    </row>
    <row r="72" spans="1:12" ht="18.75" customHeight="1" x14ac:dyDescent="0.3">
      <c r="A72" s="1471" t="s">
        <v>220</v>
      </c>
      <c r="B72" s="1472"/>
      <c r="C72" s="1473"/>
      <c r="D72" s="54" t="s">
        <v>214</v>
      </c>
      <c r="E72" s="109"/>
      <c r="F72" s="109"/>
      <c r="G72" s="67"/>
      <c r="H72" s="56"/>
      <c r="I72" s="68"/>
      <c r="J72" s="156"/>
      <c r="K72" s="84"/>
      <c r="L72" s="116"/>
    </row>
    <row r="73" spans="1:12" ht="18.75" customHeight="1" x14ac:dyDescent="0.3">
      <c r="A73" s="1498" t="s">
        <v>221</v>
      </c>
      <c r="B73" s="1499"/>
      <c r="C73" s="1500"/>
      <c r="D73" s="54" t="s">
        <v>214</v>
      </c>
      <c r="E73" s="109"/>
      <c r="F73" s="109"/>
      <c r="G73" s="67"/>
      <c r="H73" s="56"/>
      <c r="I73" s="68"/>
      <c r="J73" s="156"/>
      <c r="K73" s="82"/>
      <c r="L73" s="116"/>
    </row>
    <row r="74" spans="1:12" ht="18.75" customHeight="1" x14ac:dyDescent="0.3">
      <c r="A74" s="1498" t="s">
        <v>222</v>
      </c>
      <c r="B74" s="1499"/>
      <c r="C74" s="1500"/>
      <c r="D74" s="54" t="s">
        <v>214</v>
      </c>
      <c r="E74" s="109"/>
      <c r="F74" s="109"/>
      <c r="G74" s="123"/>
      <c r="H74" s="56"/>
      <c r="I74" s="111"/>
      <c r="J74" s="156"/>
      <c r="K74" s="82"/>
      <c r="L74" s="116"/>
    </row>
    <row r="75" spans="1:12" ht="18.75" customHeight="1" x14ac:dyDescent="0.3">
      <c r="A75" s="1471" t="s">
        <v>223</v>
      </c>
      <c r="B75" s="1472"/>
      <c r="C75" s="1473"/>
      <c r="D75" s="54" t="s">
        <v>214</v>
      </c>
      <c r="E75" s="109"/>
      <c r="F75" s="109"/>
      <c r="G75" s="123"/>
      <c r="H75" s="56"/>
      <c r="I75" s="111"/>
      <c r="J75" s="156"/>
      <c r="K75" s="82"/>
      <c r="L75" s="116"/>
    </row>
    <row r="76" spans="1:12" ht="18.75" customHeight="1" x14ac:dyDescent="0.3">
      <c r="A76" s="1501" t="s">
        <v>112</v>
      </c>
      <c r="B76" s="1502"/>
      <c r="C76" s="1503"/>
      <c r="D76" s="80" t="s">
        <v>214</v>
      </c>
      <c r="E76" s="109"/>
      <c r="F76" s="109"/>
      <c r="G76" s="123"/>
      <c r="H76" s="56"/>
      <c r="I76" s="111"/>
      <c r="J76" s="156"/>
      <c r="K76" s="82"/>
      <c r="L76" s="116"/>
    </row>
    <row r="77" spans="1:12" ht="18.75" customHeight="1" x14ac:dyDescent="0.3">
      <c r="A77" s="1501" t="s">
        <v>225</v>
      </c>
      <c r="B77" s="1502"/>
      <c r="C77" s="1503"/>
      <c r="D77" s="80" t="s">
        <v>214</v>
      </c>
      <c r="E77" s="109"/>
      <c r="F77" s="109"/>
      <c r="G77" s="123"/>
      <c r="H77" s="56"/>
      <c r="I77" s="111"/>
      <c r="J77" s="156"/>
      <c r="K77" s="82"/>
      <c r="L77" s="116"/>
    </row>
    <row r="78" spans="1:12" ht="18.75" customHeight="1" x14ac:dyDescent="0.3">
      <c r="A78" s="1501" t="s">
        <v>226</v>
      </c>
      <c r="B78" s="1502"/>
      <c r="C78" s="1503"/>
      <c r="D78" s="80" t="s">
        <v>214</v>
      </c>
      <c r="E78" s="109"/>
      <c r="F78" s="109"/>
      <c r="G78" s="123"/>
      <c r="H78" s="56"/>
      <c r="I78" s="111"/>
      <c r="J78" s="156"/>
      <c r="K78" s="82"/>
      <c r="L78" s="116"/>
    </row>
    <row r="79" spans="1:12" ht="18.75" customHeight="1" x14ac:dyDescent="0.3">
      <c r="A79" s="1507" t="s">
        <v>115</v>
      </c>
      <c r="B79" s="1502"/>
      <c r="C79" s="1503"/>
      <c r="D79" s="206" t="s">
        <v>159</v>
      </c>
      <c r="E79" s="109"/>
      <c r="F79" s="195"/>
      <c r="G79" s="195"/>
      <c r="H79" s="204"/>
      <c r="I79" s="205"/>
      <c r="J79" s="199"/>
      <c r="K79" s="82"/>
      <c r="L79" s="116"/>
    </row>
    <row r="80" spans="1:12" ht="18.75" customHeight="1" x14ac:dyDescent="0.3">
      <c r="A80" s="1507" t="s">
        <v>227</v>
      </c>
      <c r="B80" s="1502"/>
      <c r="C80" s="1503"/>
      <c r="D80" s="207" t="s">
        <v>159</v>
      </c>
      <c r="E80" s="109"/>
      <c r="F80" s="53"/>
      <c r="G80" s="201"/>
      <c r="H80" s="201"/>
      <c r="I80" s="67"/>
      <c r="J80" s="78"/>
      <c r="K80" s="74"/>
      <c r="L80" s="116"/>
    </row>
    <row r="81" spans="1:12" ht="18.75" customHeight="1" x14ac:dyDescent="0.3">
      <c r="A81" s="1507" t="s">
        <v>321</v>
      </c>
      <c r="B81" s="1502"/>
      <c r="C81" s="1503"/>
      <c r="D81" s="208" t="s">
        <v>159</v>
      </c>
      <c r="E81" s="109"/>
      <c r="F81" s="54"/>
      <c r="G81" s="201"/>
      <c r="H81" s="201"/>
      <c r="I81" s="67"/>
      <c r="J81" s="56"/>
      <c r="K81" s="87"/>
      <c r="L81" s="116"/>
    </row>
    <row r="82" spans="1:12" s="37" customFormat="1" ht="18.75" customHeight="1" x14ac:dyDescent="0.3">
      <c r="A82" s="112" t="s">
        <v>82</v>
      </c>
      <c r="B82" s="153"/>
      <c r="C82" s="88"/>
      <c r="D82" s="88"/>
      <c r="E82" s="54"/>
      <c r="F82" s="54"/>
      <c r="G82" s="55"/>
      <c r="H82" s="81"/>
      <c r="I82" s="67"/>
      <c r="J82" s="56"/>
      <c r="K82" s="87"/>
      <c r="L82" s="43"/>
    </row>
    <row r="83" spans="1:12" s="37" customFormat="1" ht="18.75" customHeight="1" x14ac:dyDescent="0.3">
      <c r="A83" s="176" t="s">
        <v>231</v>
      </c>
      <c r="B83" s="177"/>
      <c r="C83" s="178"/>
      <c r="D83" s="70"/>
      <c r="E83" s="70"/>
      <c r="F83" s="70"/>
      <c r="G83" s="121"/>
      <c r="H83" s="71"/>
      <c r="I83" s="72"/>
      <c r="J83" s="122"/>
      <c r="K83" s="87"/>
      <c r="L83" s="43"/>
    </row>
    <row r="84" spans="1:12" ht="18.75" customHeight="1" x14ac:dyDescent="0.3">
      <c r="A84" s="1474" t="s">
        <v>234</v>
      </c>
      <c r="B84" s="1475"/>
      <c r="C84" s="1476"/>
      <c r="D84" s="54" t="s">
        <v>171</v>
      </c>
      <c r="E84" s="55"/>
      <c r="F84" s="81"/>
      <c r="G84" s="123"/>
      <c r="H84" s="56"/>
      <c r="I84" s="68"/>
      <c r="J84" s="57"/>
      <c r="K84" s="74"/>
      <c r="L84" s="116"/>
    </row>
    <row r="85" spans="1:12" ht="18.75" customHeight="1" x14ac:dyDescent="0.3">
      <c r="A85" s="1474" t="s">
        <v>236</v>
      </c>
      <c r="B85" s="1475"/>
      <c r="C85" s="1476"/>
      <c r="D85" s="54" t="s">
        <v>171</v>
      </c>
      <c r="E85" s="55"/>
      <c r="F85" s="81"/>
      <c r="G85" s="123"/>
      <c r="H85" s="56"/>
      <c r="I85" s="68"/>
      <c r="J85" s="57"/>
      <c r="K85" s="87"/>
      <c r="L85" s="116"/>
    </row>
    <row r="86" spans="1:12" ht="18.75" customHeight="1" x14ac:dyDescent="0.3">
      <c r="A86" s="1474" t="s">
        <v>237</v>
      </c>
      <c r="B86" s="1475"/>
      <c r="C86" s="1476"/>
      <c r="D86" s="54" t="s">
        <v>171</v>
      </c>
      <c r="E86" s="55"/>
      <c r="F86" s="81"/>
      <c r="G86" s="123"/>
      <c r="H86" s="56"/>
      <c r="I86" s="68"/>
      <c r="J86" s="57"/>
      <c r="K86" s="87"/>
      <c r="L86" s="116"/>
    </row>
    <row r="87" spans="1:12" ht="18.75" customHeight="1" x14ac:dyDescent="0.3">
      <c r="A87" s="1474" t="s">
        <v>238</v>
      </c>
      <c r="B87" s="1475"/>
      <c r="C87" s="1476"/>
      <c r="D87" s="54" t="s">
        <v>171</v>
      </c>
      <c r="E87" s="55"/>
      <c r="F87" s="81"/>
      <c r="G87" s="123"/>
      <c r="H87" s="56"/>
      <c r="I87" s="68"/>
      <c r="J87" s="57"/>
      <c r="K87" s="87"/>
      <c r="L87" s="116"/>
    </row>
    <row r="88" spans="1:12" ht="18.75" customHeight="1" x14ac:dyDescent="0.3">
      <c r="A88" s="1474" t="s">
        <v>239</v>
      </c>
      <c r="B88" s="1475"/>
      <c r="C88" s="1476"/>
      <c r="D88" s="54" t="s">
        <v>171</v>
      </c>
      <c r="E88" s="55"/>
      <c r="F88" s="81"/>
      <c r="G88" s="123"/>
      <c r="H88" s="56"/>
      <c r="I88" s="68"/>
      <c r="J88" s="57"/>
      <c r="K88" s="42"/>
      <c r="L88" s="116"/>
    </row>
    <row r="89" spans="1:12" ht="18.75" customHeight="1" x14ac:dyDescent="0.3">
      <c r="A89" s="1474" t="s">
        <v>240</v>
      </c>
      <c r="B89" s="1475"/>
      <c r="C89" s="1476"/>
      <c r="D89" s="54" t="s">
        <v>171</v>
      </c>
      <c r="E89" s="55"/>
      <c r="F89" s="81"/>
      <c r="G89" s="123"/>
      <c r="H89" s="56"/>
      <c r="I89" s="68"/>
      <c r="J89" s="57"/>
      <c r="K89" s="50"/>
      <c r="L89" s="116"/>
    </row>
    <row r="90" spans="1:12" ht="18.75" customHeight="1" x14ac:dyDescent="0.3">
      <c r="A90" s="1474" t="s">
        <v>241</v>
      </c>
      <c r="B90" s="1475"/>
      <c r="C90" s="1476"/>
      <c r="D90" s="54" t="s">
        <v>171</v>
      </c>
      <c r="E90" s="55"/>
      <c r="F90" s="81"/>
      <c r="G90" s="123"/>
      <c r="H90" s="56"/>
      <c r="I90" s="68"/>
      <c r="J90" s="57"/>
      <c r="K90" s="87"/>
      <c r="L90" s="116"/>
    </row>
    <row r="91" spans="1:12" ht="18.75" customHeight="1" x14ac:dyDescent="0.3">
      <c r="A91" s="1474" t="s">
        <v>245</v>
      </c>
      <c r="B91" s="1475"/>
      <c r="C91" s="1476"/>
      <c r="D91" s="54" t="s">
        <v>171</v>
      </c>
      <c r="E91" s="55"/>
      <c r="F91" s="81"/>
      <c r="G91" s="123"/>
      <c r="H91" s="56"/>
      <c r="I91" s="68"/>
      <c r="J91" s="197"/>
      <c r="K91" s="87"/>
      <c r="L91" s="116"/>
    </row>
    <row r="92" spans="1:12" ht="18.75" customHeight="1" x14ac:dyDescent="0.3">
      <c r="A92" s="1474" t="s">
        <v>92</v>
      </c>
      <c r="B92" s="1475"/>
      <c r="C92" s="1476"/>
      <c r="D92" s="54" t="s">
        <v>171</v>
      </c>
      <c r="E92" s="55"/>
      <c r="F92" s="81"/>
      <c r="G92" s="123"/>
      <c r="H92" s="56"/>
      <c r="I92" s="68"/>
      <c r="J92" s="197"/>
      <c r="K92" s="87"/>
      <c r="L92" s="116"/>
    </row>
    <row r="93" spans="1:12" ht="18.75" customHeight="1" x14ac:dyDescent="0.3">
      <c r="A93" s="1474" t="s">
        <v>93</v>
      </c>
      <c r="B93" s="1475"/>
      <c r="C93" s="1476"/>
      <c r="D93" s="54" t="s">
        <v>171</v>
      </c>
      <c r="E93" s="55"/>
      <c r="F93" s="81"/>
      <c r="G93" s="123"/>
      <c r="H93" s="56"/>
      <c r="I93" s="68"/>
      <c r="J93" s="197"/>
      <c r="K93" s="87"/>
      <c r="L93" s="116"/>
    </row>
    <row r="94" spans="1:12" ht="18.75" customHeight="1" x14ac:dyDescent="0.3">
      <c r="A94" s="1474" t="s">
        <v>233</v>
      </c>
      <c r="B94" s="1475"/>
      <c r="C94" s="1476"/>
      <c r="D94" s="54" t="s">
        <v>171</v>
      </c>
      <c r="E94" s="55"/>
      <c r="F94" s="81"/>
      <c r="G94" s="123"/>
      <c r="H94" s="56"/>
      <c r="I94" s="68"/>
      <c r="J94" s="57"/>
      <c r="K94" s="87"/>
      <c r="L94" s="116"/>
    </row>
    <row r="95" spans="1:12" ht="18.75" customHeight="1" x14ac:dyDescent="0.3">
      <c r="A95" s="1672" t="s">
        <v>256</v>
      </c>
      <c r="B95" s="1673"/>
      <c r="C95" s="1674"/>
      <c r="D95" s="70"/>
      <c r="E95" s="70"/>
      <c r="F95" s="70"/>
      <c r="G95" s="127"/>
      <c r="H95" s="71"/>
      <c r="I95" s="72"/>
      <c r="J95" s="73"/>
      <c r="K95" s="87"/>
      <c r="L95" s="116"/>
    </row>
    <row r="96" spans="1:12" ht="18.75" customHeight="1" x14ac:dyDescent="0.3">
      <c r="A96" s="185" t="s">
        <v>257</v>
      </c>
      <c r="B96" s="186"/>
      <c r="C96" s="187"/>
      <c r="D96" s="136" t="s">
        <v>168</v>
      </c>
      <c r="E96" s="160"/>
      <c r="F96" s="137"/>
      <c r="G96" s="138"/>
      <c r="H96" s="161"/>
      <c r="I96" s="139"/>
      <c r="J96" s="140"/>
      <c r="K96" s="87"/>
      <c r="L96" s="116"/>
    </row>
    <row r="97" spans="1:12" ht="18.75" customHeight="1" x14ac:dyDescent="0.3">
      <c r="A97" s="88" t="s">
        <v>259</v>
      </c>
      <c r="B97" s="1325"/>
      <c r="C97" s="1326"/>
      <c r="D97" s="54" t="s">
        <v>168</v>
      </c>
      <c r="E97" s="55"/>
      <c r="F97" s="66"/>
      <c r="G97" s="67"/>
      <c r="H97" s="56"/>
      <c r="I97" s="86"/>
      <c r="J97" s="57"/>
      <c r="K97" s="87"/>
      <c r="L97" s="116"/>
    </row>
    <row r="98" spans="1:12" ht="18.75" customHeight="1" x14ac:dyDescent="0.3">
      <c r="A98" s="1661" t="s">
        <v>276</v>
      </c>
      <c r="B98" s="1662"/>
      <c r="C98" s="70"/>
      <c r="D98" s="70"/>
      <c r="E98" s="70"/>
      <c r="F98" s="70"/>
      <c r="G98" s="127"/>
      <c r="H98" s="71"/>
      <c r="I98" s="72"/>
      <c r="J98" s="73"/>
      <c r="K98" s="87"/>
      <c r="L98" s="116"/>
    </row>
    <row r="99" spans="1:12" ht="18.75" customHeight="1" x14ac:dyDescent="0.3">
      <c r="A99" s="1474" t="s">
        <v>277</v>
      </c>
      <c r="B99" s="1475"/>
      <c r="C99" s="1476"/>
      <c r="D99" s="54" t="s">
        <v>159</v>
      </c>
      <c r="E99" s="54"/>
      <c r="F99" s="54"/>
      <c r="G99" s="128"/>
      <c r="H99" s="56"/>
      <c r="I99" s="68"/>
      <c r="J99" s="57"/>
      <c r="K99" s="87"/>
      <c r="L99" s="116"/>
    </row>
    <row r="100" spans="1:12" ht="18.75" customHeight="1" x14ac:dyDescent="0.3">
      <c r="A100" s="1474" t="s">
        <v>278</v>
      </c>
      <c r="B100" s="1475"/>
      <c r="C100" s="1476"/>
      <c r="D100" s="54" t="s">
        <v>38</v>
      </c>
      <c r="E100" s="53"/>
      <c r="F100" s="53"/>
      <c r="G100" s="129"/>
      <c r="H100" s="56"/>
      <c r="I100" s="83"/>
      <c r="J100" s="57"/>
      <c r="K100" s="87"/>
      <c r="L100" s="116"/>
    </row>
    <row r="101" spans="1:12" ht="18.75" customHeight="1" x14ac:dyDescent="0.3">
      <c r="A101" s="1474" t="s">
        <v>279</v>
      </c>
      <c r="B101" s="1475"/>
      <c r="C101" s="1476"/>
      <c r="D101" s="54" t="s">
        <v>159</v>
      </c>
      <c r="E101" s="69"/>
      <c r="F101" s="69"/>
      <c r="G101" s="128"/>
      <c r="H101" s="56"/>
      <c r="I101" s="68"/>
      <c r="J101" s="57"/>
      <c r="K101" s="87"/>
      <c r="L101" s="116"/>
    </row>
    <row r="102" spans="1:12" ht="18.75" customHeight="1" x14ac:dyDescent="0.3">
      <c r="A102" s="1474" t="s">
        <v>280</v>
      </c>
      <c r="B102" s="1475"/>
      <c r="C102" s="1476"/>
      <c r="D102" s="54" t="s">
        <v>38</v>
      </c>
      <c r="E102" s="69"/>
      <c r="F102" s="69"/>
      <c r="G102" s="129"/>
      <c r="H102" s="56"/>
      <c r="I102" s="83"/>
      <c r="J102" s="57"/>
      <c r="K102" s="110"/>
      <c r="L102" s="116"/>
    </row>
    <row r="103" spans="1:12" ht="18.75" customHeight="1" x14ac:dyDescent="0.3">
      <c r="A103" s="1474" t="s">
        <v>281</v>
      </c>
      <c r="B103" s="1475"/>
      <c r="C103" s="1476"/>
      <c r="D103" s="54" t="s">
        <v>159</v>
      </c>
      <c r="E103" s="69"/>
      <c r="F103" s="69"/>
      <c r="G103" s="128"/>
      <c r="H103" s="56"/>
      <c r="I103" s="68"/>
      <c r="J103" s="57"/>
      <c r="K103" s="110"/>
      <c r="L103" s="116"/>
    </row>
    <row r="104" spans="1:12" ht="18.75" customHeight="1" x14ac:dyDescent="0.3">
      <c r="A104" s="1474" t="s">
        <v>282</v>
      </c>
      <c r="B104" s="1475"/>
      <c r="C104" s="1476"/>
      <c r="D104" s="54" t="s">
        <v>38</v>
      </c>
      <c r="E104" s="69"/>
      <c r="F104" s="69"/>
      <c r="G104" s="129"/>
      <c r="H104" s="56"/>
      <c r="I104" s="83"/>
      <c r="J104" s="57"/>
      <c r="K104" s="110"/>
      <c r="L104" s="116"/>
    </row>
    <row r="105" spans="1:12" ht="18.75" customHeight="1" x14ac:dyDescent="0.3">
      <c r="A105" s="1474" t="s">
        <v>283</v>
      </c>
      <c r="B105" s="1475"/>
      <c r="C105" s="1476"/>
      <c r="D105" s="54" t="s">
        <v>210</v>
      </c>
      <c r="E105" s="69"/>
      <c r="F105" s="69"/>
      <c r="G105" s="128"/>
      <c r="H105" s="56"/>
      <c r="I105" s="85"/>
      <c r="J105" s="57"/>
      <c r="K105" s="110"/>
      <c r="L105" s="116"/>
    </row>
    <row r="106" spans="1:12" ht="18.75" customHeight="1" x14ac:dyDescent="0.3">
      <c r="A106" s="1474" t="s">
        <v>284</v>
      </c>
      <c r="B106" s="1475"/>
      <c r="C106" s="1476"/>
      <c r="D106" s="54" t="s">
        <v>38</v>
      </c>
      <c r="E106" s="69"/>
      <c r="F106" s="69"/>
      <c r="G106" s="129"/>
      <c r="H106" s="56"/>
      <c r="I106" s="85"/>
      <c r="J106" s="57"/>
    </row>
    <row r="107" spans="1:12" ht="18.75" customHeight="1" x14ac:dyDescent="0.35">
      <c r="A107" s="1474" t="s">
        <v>285</v>
      </c>
      <c r="B107" s="1475"/>
      <c r="C107" s="1476"/>
      <c r="D107" s="54" t="s">
        <v>210</v>
      </c>
      <c r="E107" s="69"/>
      <c r="F107" s="69"/>
      <c r="G107" s="130"/>
      <c r="H107" s="56"/>
      <c r="I107" s="68"/>
      <c r="J107" s="57"/>
      <c r="K107" s="152"/>
    </row>
    <row r="108" spans="1:12" ht="18.75" customHeight="1" x14ac:dyDescent="0.3">
      <c r="A108" s="1474" t="s">
        <v>286</v>
      </c>
      <c r="B108" s="1475"/>
      <c r="C108" s="1476"/>
      <c r="D108" s="54" t="s">
        <v>38</v>
      </c>
      <c r="E108" s="69"/>
      <c r="F108" s="69"/>
      <c r="G108" s="130"/>
      <c r="H108" s="56"/>
      <c r="I108" s="85"/>
      <c r="J108" s="57"/>
    </row>
    <row r="109" spans="1:12" ht="18.75" customHeight="1" x14ac:dyDescent="0.3">
      <c r="A109" s="1474" t="s">
        <v>287</v>
      </c>
      <c r="B109" s="1475"/>
      <c r="C109" s="1476"/>
      <c r="D109" s="54" t="s">
        <v>210</v>
      </c>
      <c r="E109" s="69"/>
      <c r="F109" s="69"/>
      <c r="G109" s="131"/>
      <c r="H109" s="56"/>
      <c r="I109" s="85"/>
      <c r="J109" s="57"/>
    </row>
    <row r="110" spans="1:12" ht="18.75" customHeight="1" x14ac:dyDescent="0.3">
      <c r="A110" s="1474" t="s">
        <v>288</v>
      </c>
      <c r="B110" s="1475"/>
      <c r="C110" s="1476"/>
      <c r="D110" s="54" t="s">
        <v>38</v>
      </c>
      <c r="E110" s="69"/>
      <c r="F110" s="69"/>
      <c r="G110" s="130"/>
      <c r="H110" s="56"/>
      <c r="I110" s="68"/>
      <c r="J110" s="57"/>
    </row>
    <row r="111" spans="1:12" ht="18.75" customHeight="1" x14ac:dyDescent="0.3">
      <c r="A111" s="172" t="s">
        <v>263</v>
      </c>
      <c r="B111" s="172"/>
      <c r="C111" s="172"/>
      <c r="D111" s="59"/>
      <c r="E111" s="59"/>
      <c r="F111" s="59"/>
      <c r="G111" s="125"/>
      <c r="H111" s="60"/>
      <c r="I111" s="126">
        <f>I110-J110</f>
        <v>0</v>
      </c>
      <c r="J111" s="62"/>
    </row>
    <row r="112" spans="1:12" ht="18.75" customHeight="1" x14ac:dyDescent="0.3">
      <c r="A112" s="196" t="s">
        <v>264</v>
      </c>
      <c r="B112" s="196"/>
      <c r="C112" s="196"/>
      <c r="D112" s="54" t="s">
        <v>265</v>
      </c>
      <c r="E112" s="55"/>
      <c r="F112" s="81"/>
      <c r="G112" s="123"/>
      <c r="H112" s="56"/>
      <c r="I112" s="68"/>
      <c r="J112" s="57"/>
    </row>
    <row r="113" spans="1:10" ht="18.75" customHeight="1" x14ac:dyDescent="0.3">
      <c r="A113" s="196" t="s">
        <v>266</v>
      </c>
      <c r="B113" s="196"/>
      <c r="C113" s="196"/>
      <c r="D113" s="54" t="s">
        <v>265</v>
      </c>
      <c r="E113" s="55"/>
      <c r="F113" s="81"/>
      <c r="G113" s="123"/>
      <c r="H113" s="56"/>
      <c r="I113" s="68"/>
      <c r="J113" s="57"/>
    </row>
    <row r="114" spans="1:10" ht="18.75" customHeight="1" x14ac:dyDescent="0.3">
      <c r="A114" s="196" t="s">
        <v>267</v>
      </c>
      <c r="B114" s="196"/>
      <c r="C114" s="196"/>
      <c r="D114" s="54" t="s">
        <v>265</v>
      </c>
      <c r="E114" s="55"/>
      <c r="F114" s="81"/>
      <c r="G114" s="123"/>
      <c r="H114" s="56"/>
      <c r="I114" s="68"/>
      <c r="J114" s="57"/>
    </row>
    <row r="115" spans="1:10" ht="18.75" customHeight="1" x14ac:dyDescent="0.3">
      <c r="A115" s="196" t="s">
        <v>268</v>
      </c>
      <c r="B115" s="196"/>
      <c r="C115" s="196"/>
      <c r="D115" s="54" t="s">
        <v>265</v>
      </c>
      <c r="E115" s="55"/>
      <c r="F115" s="81"/>
      <c r="G115" s="123"/>
      <c r="H115" s="56"/>
      <c r="I115" s="68"/>
      <c r="J115" s="57"/>
    </row>
    <row r="116" spans="1:10" ht="18.75" customHeight="1" x14ac:dyDescent="0.3">
      <c r="A116" s="196" t="s">
        <v>269</v>
      </c>
      <c r="B116" s="196"/>
      <c r="C116" s="196"/>
      <c r="D116" s="54" t="s">
        <v>265</v>
      </c>
      <c r="E116" s="55"/>
      <c r="F116" s="81"/>
      <c r="G116" s="123"/>
      <c r="H116" s="56"/>
      <c r="I116" s="68"/>
      <c r="J116" s="57"/>
    </row>
    <row r="117" spans="1:10" ht="18.75" customHeight="1" x14ac:dyDescent="0.3">
      <c r="A117" s="196" t="s">
        <v>270</v>
      </c>
      <c r="B117" s="196"/>
      <c r="C117" s="196"/>
      <c r="D117" s="54" t="s">
        <v>265</v>
      </c>
      <c r="E117" s="55"/>
      <c r="F117" s="81"/>
      <c r="G117" s="123"/>
      <c r="H117" s="56"/>
      <c r="I117" s="68"/>
      <c r="J117" s="57"/>
    </row>
    <row r="118" spans="1:10" ht="18.75" customHeight="1" x14ac:dyDescent="0.3">
      <c r="A118" s="196" t="s">
        <v>271</v>
      </c>
      <c r="B118" s="196"/>
      <c r="C118" s="196"/>
      <c r="D118" s="54" t="s">
        <v>265</v>
      </c>
      <c r="E118" s="55"/>
      <c r="F118" s="81"/>
      <c r="G118" s="123"/>
      <c r="H118" s="56"/>
      <c r="I118" s="68"/>
      <c r="J118" s="57"/>
    </row>
    <row r="119" spans="1:10" ht="18.75" customHeight="1" x14ac:dyDescent="0.3">
      <c r="A119" s="196" t="s">
        <v>272</v>
      </c>
      <c r="B119" s="196"/>
      <c r="C119" s="196"/>
      <c r="D119" s="54" t="s">
        <v>265</v>
      </c>
      <c r="E119" s="55"/>
      <c r="F119" s="81"/>
      <c r="G119" s="123"/>
      <c r="H119" s="56"/>
      <c r="I119" s="68"/>
      <c r="J119" s="57"/>
    </row>
    <row r="120" spans="1:10" ht="18.75" customHeight="1" x14ac:dyDescent="0.3">
      <c r="A120" s="196" t="s">
        <v>273</v>
      </c>
      <c r="B120" s="196"/>
      <c r="C120" s="196"/>
      <c r="D120" s="54" t="s">
        <v>265</v>
      </c>
      <c r="E120" s="55"/>
      <c r="F120" s="81"/>
      <c r="G120" s="123"/>
      <c r="H120" s="56"/>
      <c r="I120" s="68"/>
      <c r="J120" s="57"/>
    </row>
    <row r="121" spans="1:10" ht="18.75" customHeight="1" x14ac:dyDescent="0.3">
      <c r="A121" s="196" t="s">
        <v>274</v>
      </c>
      <c r="B121" s="196"/>
      <c r="C121" s="196"/>
      <c r="D121" s="54" t="s">
        <v>265</v>
      </c>
      <c r="E121" s="55"/>
      <c r="F121" s="81"/>
      <c r="G121" s="123"/>
      <c r="H121" s="56"/>
      <c r="I121" s="68"/>
      <c r="J121" s="57"/>
    </row>
    <row r="122" spans="1:10" ht="18.75" customHeight="1" x14ac:dyDescent="0.3">
      <c r="A122" s="196" t="s">
        <v>275</v>
      </c>
      <c r="B122" s="196"/>
      <c r="C122" s="196"/>
      <c r="D122" s="54" t="s">
        <v>265</v>
      </c>
      <c r="E122" s="55"/>
      <c r="F122" s="81"/>
      <c r="G122" s="123"/>
      <c r="H122" s="56"/>
      <c r="I122" s="68"/>
      <c r="J122" s="57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 x14ac:dyDescent="0.3"/>
  <cols>
    <col min="1" max="1" width="37.109375" style="113" customWidth="1"/>
    <col min="2" max="2" width="24" style="113" customWidth="1"/>
    <col min="3" max="3" width="18.77734375" style="113" customWidth="1"/>
    <col min="4" max="4" width="13.109375" style="113" customWidth="1"/>
    <col min="5" max="5" width="19.6640625" style="113" bestFit="1" customWidth="1"/>
    <col min="6" max="6" width="18.5546875" style="113" customWidth="1"/>
    <col min="7" max="7" width="19.33203125" style="113" customWidth="1"/>
    <col min="8" max="8" width="18.88671875" style="154" customWidth="1"/>
    <col min="9" max="9" width="18.88671875" style="113" customWidth="1"/>
    <col min="10" max="10" width="23" style="155" customWidth="1"/>
    <col min="11" max="16384" width="22.33203125" style="113"/>
  </cols>
  <sheetData>
    <row r="1" spans="1:12" ht="23.25" customHeight="1" x14ac:dyDescent="0.5">
      <c r="A1" s="1486" t="s">
        <v>293</v>
      </c>
      <c r="B1" s="1486"/>
      <c r="C1" s="1486"/>
      <c r="D1" s="1486"/>
      <c r="E1" s="1486"/>
      <c r="F1" s="1486"/>
      <c r="G1" s="1486"/>
      <c r="H1" s="1486"/>
      <c r="I1" s="1486"/>
      <c r="J1" s="1486"/>
    </row>
    <row r="2" spans="1:12" ht="23.25" customHeight="1" x14ac:dyDescent="0.5">
      <c r="A2" s="279" t="s">
        <v>322</v>
      </c>
      <c r="B2" s="280">
        <v>43585</v>
      </c>
      <c r="C2" s="416" t="s">
        <v>84</v>
      </c>
      <c r="D2" s="281">
        <v>0.66339999999999999</v>
      </c>
      <c r="E2" s="282"/>
      <c r="F2" s="282"/>
      <c r="G2" s="282" t="s">
        <v>145</v>
      </c>
      <c r="H2" s="282" t="s">
        <v>20</v>
      </c>
      <c r="I2" s="282" t="s">
        <v>22</v>
      </c>
      <c r="J2" s="283" t="s">
        <v>146</v>
      </c>
    </row>
    <row r="3" spans="1:12" ht="23.25" customHeight="1" x14ac:dyDescent="0.35">
      <c r="A3" s="285"/>
      <c r="B3" s="286"/>
      <c r="C3" s="1338" t="s">
        <v>147</v>
      </c>
      <c r="D3" s="415">
        <v>32</v>
      </c>
      <c r="E3" s="1528" t="s">
        <v>148</v>
      </c>
      <c r="F3" s="1529"/>
      <c r="G3" s="287">
        <f>'1'!G3</f>
        <v>0</v>
      </c>
      <c r="H3" s="288">
        <f>'1'!H3</f>
        <v>0</v>
      </c>
      <c r="I3" s="288">
        <f>'1'!I3</f>
        <v>0</v>
      </c>
      <c r="J3" s="288">
        <f>'1'!J3</f>
        <v>0</v>
      </c>
      <c r="K3" s="115"/>
      <c r="L3" s="116"/>
    </row>
    <row r="4" spans="1:12" ht="23.25" customHeight="1" x14ac:dyDescent="0.35">
      <c r="A4" s="291"/>
      <c r="B4" s="285"/>
      <c r="C4" s="416" t="s">
        <v>149</v>
      </c>
      <c r="D4" s="281">
        <v>0.71</v>
      </c>
      <c r="E4" s="292"/>
      <c r="F4" s="292"/>
      <c r="G4" s="292"/>
      <c r="H4" s="292"/>
      <c r="I4" s="293"/>
      <c r="J4" s="284"/>
      <c r="K4" s="117"/>
      <c r="L4" s="116"/>
    </row>
    <row r="5" spans="1:12" ht="23.25" customHeight="1" thickBot="1" x14ac:dyDescent="0.55000000000000004">
      <c r="A5" s="295" t="s">
        <v>150</v>
      </c>
      <c r="B5" s="296"/>
      <c r="C5" s="297"/>
      <c r="D5" s="298" t="s">
        <v>151</v>
      </c>
      <c r="E5" s="299" t="s">
        <v>152</v>
      </c>
      <c r="F5" s="299" t="s">
        <v>138</v>
      </c>
      <c r="G5" s="300" t="s">
        <v>153</v>
      </c>
      <c r="H5" s="221" t="s">
        <v>154</v>
      </c>
      <c r="I5" s="222" t="s">
        <v>155</v>
      </c>
      <c r="J5" s="220" t="s">
        <v>156</v>
      </c>
      <c r="K5" s="52"/>
      <c r="L5" s="116"/>
    </row>
    <row r="6" spans="1:12" ht="23.25" customHeight="1" x14ac:dyDescent="0.35">
      <c r="A6" s="1522" t="s">
        <v>157</v>
      </c>
      <c r="B6" s="1523"/>
      <c r="C6" s="1524"/>
      <c r="D6" s="419"/>
      <c r="E6" s="419"/>
      <c r="F6" s="419"/>
      <c r="G6" s="419"/>
      <c r="H6" s="518"/>
      <c r="I6" s="518"/>
      <c r="J6" s="518"/>
      <c r="K6" s="42"/>
      <c r="L6" s="116"/>
    </row>
    <row r="7" spans="1:12" ht="23.25" customHeight="1" thickBot="1" x14ac:dyDescent="0.4">
      <c r="A7" s="305" t="s">
        <v>158</v>
      </c>
      <c r="B7" s="306"/>
      <c r="C7" s="307"/>
      <c r="D7" s="308" t="s">
        <v>159</v>
      </c>
      <c r="E7" s="158">
        <f>'29'!F7</f>
        <v>3249158</v>
      </c>
      <c r="F7" s="309">
        <v>3615871.9</v>
      </c>
      <c r="G7" s="310">
        <f>F7-E7</f>
        <v>366713.89999999991</v>
      </c>
      <c r="H7" s="56">
        <f>G7+'29'!H7</f>
        <v>947426.89999999991</v>
      </c>
      <c r="I7" s="273">
        <f>'1'!I7</f>
        <v>12000</v>
      </c>
      <c r="J7" s="57">
        <f>H7/DAY(B2)</f>
        <v>31580.896666666664</v>
      </c>
      <c r="K7" s="58"/>
      <c r="L7" s="116"/>
    </row>
    <row r="8" spans="1:12" ht="23.25" customHeight="1" x14ac:dyDescent="0.35">
      <c r="A8" s="313"/>
      <c r="B8" s="314"/>
      <c r="C8" s="315"/>
      <c r="D8" s="316"/>
      <c r="E8" s="317"/>
      <c r="F8" s="317"/>
      <c r="G8" s="318"/>
      <c r="H8" s="161"/>
      <c r="I8" s="246"/>
      <c r="J8" s="140"/>
      <c r="K8" s="58"/>
      <c r="L8" s="116"/>
    </row>
    <row r="9" spans="1:12" ht="23.25" customHeight="1" x14ac:dyDescent="0.35">
      <c r="A9" s="319" t="s">
        <v>161</v>
      </c>
      <c r="B9" s="320"/>
      <c r="C9" s="321"/>
      <c r="D9" s="265" t="s">
        <v>159</v>
      </c>
      <c r="E9" s="55">
        <f>'29'!F9</f>
        <v>2400101</v>
      </c>
      <c r="F9" s="261">
        <v>2288314.7000000002</v>
      </c>
      <c r="G9" s="322">
        <f t="shared" ref="G9:G11" si="0">F9-E9</f>
        <v>-111786.29999999981</v>
      </c>
      <c r="H9" s="56">
        <f>G9+'29'!H9</f>
        <v>31278.200000000186</v>
      </c>
      <c r="I9" s="275">
        <f>I7-J7</f>
        <v>-19580.896666666664</v>
      </c>
      <c r="J9" s="57">
        <f>H9/DAY(B2)</f>
        <v>1042.6066666666729</v>
      </c>
      <c r="K9" s="58"/>
      <c r="L9" s="116"/>
    </row>
    <row r="10" spans="1:12" ht="23.25" customHeight="1" x14ac:dyDescent="0.35">
      <c r="A10" s="324" t="s">
        <v>162</v>
      </c>
      <c r="B10" s="325"/>
      <c r="C10" s="326"/>
      <c r="D10" s="265" t="s">
        <v>159</v>
      </c>
      <c r="E10" s="55">
        <f>'29'!F10</f>
        <v>719746.63</v>
      </c>
      <c r="F10" s="261">
        <v>1226059.3999999999</v>
      </c>
      <c r="G10" s="322">
        <f t="shared" si="0"/>
        <v>506312.7699999999</v>
      </c>
      <c r="H10" s="56">
        <f>G10+'29'!H10</f>
        <v>923109.10999999987</v>
      </c>
      <c r="I10" s="68"/>
      <c r="J10" s="57">
        <f>H10/DAY(B2)</f>
        <v>30770.303666666663</v>
      </c>
      <c r="K10" s="58"/>
      <c r="L10" s="116"/>
    </row>
    <row r="11" spans="1:12" ht="23.25" customHeight="1" x14ac:dyDescent="0.35">
      <c r="A11" s="324" t="s">
        <v>163</v>
      </c>
      <c r="B11" s="325"/>
      <c r="C11" s="326"/>
      <c r="D11" s="265" t="s">
        <v>159</v>
      </c>
      <c r="E11" s="55">
        <f>'29'!F11</f>
        <v>35390</v>
      </c>
      <c r="F11" s="260">
        <v>33860</v>
      </c>
      <c r="G11" s="322">
        <f t="shared" si="0"/>
        <v>-1530</v>
      </c>
      <c r="H11" s="56">
        <f>G11+'29'!H11</f>
        <v>-1530</v>
      </c>
      <c r="I11" s="68"/>
      <c r="J11" s="57">
        <f>H11/DAY(B2)</f>
        <v>-51</v>
      </c>
      <c r="K11" s="58"/>
      <c r="L11" s="116"/>
    </row>
    <row r="12" spans="1:12" ht="23.25" customHeight="1" x14ac:dyDescent="0.35">
      <c r="A12" s="324" t="s">
        <v>164</v>
      </c>
      <c r="B12" s="325"/>
      <c r="C12" s="326"/>
      <c r="D12" s="265" t="s">
        <v>159</v>
      </c>
      <c r="E12" s="55">
        <f>'29'!F12</f>
        <v>37630</v>
      </c>
      <c r="F12" s="261">
        <v>3760</v>
      </c>
      <c r="G12" s="322">
        <v>0</v>
      </c>
      <c r="H12" s="56">
        <f>G12+'29'!H12</f>
        <v>0</v>
      </c>
      <c r="I12" s="68"/>
      <c r="J12" s="57">
        <f>H12/DAY(B2)</f>
        <v>0</v>
      </c>
      <c r="K12" s="58"/>
      <c r="L12" s="116"/>
    </row>
    <row r="13" spans="1:12" ht="23.25" customHeight="1" x14ac:dyDescent="0.35">
      <c r="A13" s="434" t="s">
        <v>165</v>
      </c>
      <c r="B13" s="435"/>
      <c r="C13" s="436"/>
      <c r="D13" s="265"/>
      <c r="E13" s="455"/>
      <c r="F13" s="276"/>
      <c r="G13" s="276">
        <f>G9+G10+G11+G12</f>
        <v>392996.47000000009</v>
      </c>
      <c r="H13" s="56">
        <f>G13+'29'!H13</f>
        <v>930998.00000000012</v>
      </c>
      <c r="I13" s="397">
        <f>G7-G13</f>
        <v>-26282.570000000182</v>
      </c>
      <c r="J13" s="311">
        <f>H13/DAY(B2)</f>
        <v>31033.26666666667</v>
      </c>
      <c r="K13" s="58"/>
      <c r="L13" s="116"/>
    </row>
    <row r="14" spans="1:12" ht="23.25" customHeight="1" x14ac:dyDescent="0.35">
      <c r="A14" s="1525" t="s">
        <v>166</v>
      </c>
      <c r="B14" s="1526"/>
      <c r="C14" s="1527"/>
      <c r="D14" s="518"/>
      <c r="E14" s="518"/>
      <c r="F14" s="518"/>
      <c r="G14" s="422"/>
      <c r="H14" s="518"/>
      <c r="I14" s="518"/>
      <c r="J14" s="518"/>
      <c r="K14" s="74"/>
      <c r="L14" s="116"/>
    </row>
    <row r="15" spans="1:12" ht="23.25" customHeight="1" thickBot="1" x14ac:dyDescent="0.4">
      <c r="A15" s="328" t="s">
        <v>167</v>
      </c>
      <c r="B15" s="329"/>
      <c r="C15" s="330"/>
      <c r="D15" s="308" t="s">
        <v>168</v>
      </c>
      <c r="E15" s="158">
        <f>'29'!F15</f>
        <v>1567360</v>
      </c>
      <c r="F15" s="263">
        <v>1040573.68</v>
      </c>
      <c r="G15" s="322">
        <f>(F15-E15)</f>
        <v>-526786.31999999995</v>
      </c>
      <c r="H15" s="56">
        <f>G15+'29'!H15</f>
        <v>-506323.92099999997</v>
      </c>
      <c r="I15" s="273">
        <f>'1'!I15</f>
        <v>800</v>
      </c>
      <c r="J15" s="57">
        <f>H15/DAY(B2)</f>
        <v>-16877.464033333334</v>
      </c>
      <c r="K15" s="58"/>
      <c r="L15" s="116"/>
    </row>
    <row r="16" spans="1:12" ht="23.25" customHeight="1" x14ac:dyDescent="0.35">
      <c r="A16" s="331"/>
      <c r="B16" s="332"/>
      <c r="C16" s="333"/>
      <c r="D16" s="271"/>
      <c r="E16" s="334"/>
      <c r="F16" s="334"/>
      <c r="G16" s="322"/>
      <c r="H16" s="251"/>
      <c r="I16" s="403">
        <f>I15-J15</f>
        <v>17677.464033333334</v>
      </c>
      <c r="J16" s="228"/>
      <c r="K16" s="58"/>
      <c r="L16" s="116"/>
    </row>
    <row r="17" spans="1:12" ht="23.25" customHeight="1" x14ac:dyDescent="0.35">
      <c r="A17" s="1525" t="s">
        <v>169</v>
      </c>
      <c r="B17" s="1526"/>
      <c r="C17" s="1527"/>
      <c r="D17" s="518"/>
      <c r="E17" s="518"/>
      <c r="F17" s="518"/>
      <c r="G17" s="423"/>
      <c r="H17" s="518"/>
      <c r="I17" s="518"/>
      <c r="J17" s="518"/>
      <c r="K17" s="58"/>
      <c r="L17" s="116"/>
    </row>
    <row r="18" spans="1:12" ht="23.25" customHeight="1" x14ac:dyDescent="0.35">
      <c r="A18" s="1530" t="s">
        <v>170</v>
      </c>
      <c r="B18" s="1531"/>
      <c r="C18" s="1532"/>
      <c r="D18" s="265" t="s">
        <v>171</v>
      </c>
      <c r="E18" s="449">
        <f>'29'!F18</f>
        <v>11</v>
      </c>
      <c r="F18" s="264">
        <v>24</v>
      </c>
      <c r="G18" s="276">
        <f>F18*10</f>
        <v>240</v>
      </c>
      <c r="H18" s="56">
        <f>G18+'29'!H18</f>
        <v>4220</v>
      </c>
      <c r="I18" s="157">
        <f>'1'!I18</f>
        <v>65</v>
      </c>
      <c r="J18" s="57">
        <f>H18/DAY(B2)</f>
        <v>140.66666666666666</v>
      </c>
      <c r="K18" s="58"/>
      <c r="L18" s="116"/>
    </row>
    <row r="19" spans="1:12" ht="23.25" customHeight="1" x14ac:dyDescent="0.35">
      <c r="A19" s="1530" t="s">
        <v>86</v>
      </c>
      <c r="B19" s="1531"/>
      <c r="C19" s="1532"/>
      <c r="D19" s="265" t="s">
        <v>171</v>
      </c>
      <c r="E19" s="55">
        <f>'29'!F19</f>
        <v>131385</v>
      </c>
      <c r="F19" s="264">
        <v>99778</v>
      </c>
      <c r="G19" s="322">
        <f t="shared" ref="G19" si="1">F19-E19</f>
        <v>-31607</v>
      </c>
      <c r="H19" s="56">
        <f>G19+'29'!H19</f>
        <v>-30023</v>
      </c>
      <c r="I19" s="79"/>
      <c r="J19" s="57">
        <f>H19/DAY(B2)</f>
        <v>-1000.7666666666667</v>
      </c>
      <c r="K19" s="58"/>
      <c r="L19" s="116"/>
    </row>
    <row r="20" spans="1:12" ht="23.25" customHeight="1" x14ac:dyDescent="0.35">
      <c r="A20" s="434" t="s">
        <v>172</v>
      </c>
      <c r="B20" s="435"/>
      <c r="C20" s="436"/>
      <c r="D20" s="338"/>
      <c r="E20" s="454"/>
      <c r="F20" s="338"/>
      <c r="G20" s="339">
        <f>G18+G19</f>
        <v>-31367</v>
      </c>
      <c r="H20" s="56">
        <f>G20+'29'!H20</f>
        <v>-25803</v>
      </c>
      <c r="I20" s="126">
        <f>J20-I18</f>
        <v>-925.1</v>
      </c>
      <c r="J20" s="57">
        <f>H20/DAY(B2)</f>
        <v>-860.1</v>
      </c>
      <c r="K20" s="58"/>
      <c r="L20" s="116"/>
    </row>
    <row r="21" spans="1:12" ht="23.25" customHeight="1" x14ac:dyDescent="0.35">
      <c r="A21" s="1525" t="s">
        <v>173</v>
      </c>
      <c r="B21" s="1526"/>
      <c r="C21" s="1527"/>
      <c r="D21" s="518"/>
      <c r="E21" s="518"/>
      <c r="F21" s="518"/>
      <c r="G21" s="422"/>
      <c r="H21" s="518"/>
      <c r="I21" s="518"/>
      <c r="J21" s="518"/>
      <c r="K21" s="58"/>
      <c r="L21" s="116"/>
    </row>
    <row r="22" spans="1:12" ht="23.25" customHeight="1" x14ac:dyDescent="0.35">
      <c r="A22" s="1339" t="s">
        <v>174</v>
      </c>
      <c r="B22" s="1340"/>
      <c r="C22" s="1341"/>
      <c r="D22" s="265" t="s">
        <v>175</v>
      </c>
      <c r="E22" s="449">
        <f>'29'!F22</f>
        <v>2250</v>
      </c>
      <c r="F22" s="264">
        <v>2010</v>
      </c>
      <c r="G22" s="276">
        <f t="shared" ref="G22" si="2">(F22-E22)</f>
        <v>-240</v>
      </c>
      <c r="H22" s="56">
        <f>G22+'29'!H22</f>
        <v>-240</v>
      </c>
      <c r="I22" s="68"/>
      <c r="J22" s="57">
        <f>H22/DAY(B2)</f>
        <v>-8</v>
      </c>
      <c r="K22" s="58"/>
      <c r="L22" s="116"/>
    </row>
    <row r="23" spans="1:12" ht="23.25" customHeight="1" x14ac:dyDescent="0.35">
      <c r="A23" s="1339" t="s">
        <v>176</v>
      </c>
      <c r="B23" s="1340"/>
      <c r="C23" s="1341"/>
      <c r="D23" s="265" t="s">
        <v>175</v>
      </c>
      <c r="E23" s="55">
        <f>'29'!F23</f>
        <v>2000</v>
      </c>
      <c r="F23" s="264">
        <v>2075</v>
      </c>
      <c r="G23" s="276">
        <v>0</v>
      </c>
      <c r="H23" s="56">
        <f>G23+'29'!H23</f>
        <v>0</v>
      </c>
      <c r="I23" s="68"/>
      <c r="J23" s="57">
        <f>H23/DAY(B2)</f>
        <v>0</v>
      </c>
      <c r="K23" s="58"/>
      <c r="L23" s="116"/>
    </row>
    <row r="24" spans="1:12" ht="23.25" customHeight="1" x14ac:dyDescent="0.35">
      <c r="A24" s="437" t="s">
        <v>177</v>
      </c>
      <c r="B24" s="438"/>
      <c r="C24" s="439"/>
      <c r="D24" s="266" t="s">
        <v>175</v>
      </c>
      <c r="E24" s="55">
        <f>'29'!F24</f>
        <v>4250</v>
      </c>
      <c r="F24" s="341">
        <v>4085</v>
      </c>
      <c r="G24" s="276">
        <v>0</v>
      </c>
      <c r="H24" s="56">
        <f>G24+'29'!H24</f>
        <v>0</v>
      </c>
      <c r="I24" s="68"/>
      <c r="J24" s="57">
        <f>H24/DAY(B2)</f>
        <v>0</v>
      </c>
      <c r="K24" s="58"/>
      <c r="L24" s="116"/>
    </row>
    <row r="25" spans="1:12" ht="23.25" customHeight="1" x14ac:dyDescent="0.35">
      <c r="A25" s="1483" t="s">
        <v>178</v>
      </c>
      <c r="B25" s="1484"/>
      <c r="C25" s="1485"/>
      <c r="D25" s="419"/>
      <c r="E25" s="447"/>
      <c r="F25" s="419"/>
      <c r="G25" s="424"/>
      <c r="H25" s="518"/>
      <c r="I25" s="518"/>
      <c r="J25" s="518"/>
      <c r="K25" s="58"/>
      <c r="L25" s="116"/>
    </row>
    <row r="26" spans="1:12" ht="23.25" customHeight="1" x14ac:dyDescent="0.35">
      <c r="A26" s="342" t="s">
        <v>179</v>
      </c>
      <c r="B26" s="343"/>
      <c r="C26" s="344"/>
      <c r="D26" s="345" t="s">
        <v>180</v>
      </c>
      <c r="E26" s="346" t="s">
        <v>323</v>
      </c>
      <c r="F26" s="346"/>
      <c r="G26" s="347"/>
      <c r="H26" s="56"/>
      <c r="I26" s="144"/>
      <c r="J26" s="57"/>
      <c r="K26" s="74"/>
      <c r="L26" s="116"/>
    </row>
    <row r="27" spans="1:12" ht="23.25" customHeight="1" x14ac:dyDescent="0.35">
      <c r="A27" s="342" t="s">
        <v>20</v>
      </c>
      <c r="B27" s="343"/>
      <c r="C27" s="344"/>
      <c r="D27" s="349" t="s">
        <v>159</v>
      </c>
      <c r="E27" s="350">
        <f>G7</f>
        <v>366713.89999999991</v>
      </c>
      <c r="F27" s="446">
        <v>10.86</v>
      </c>
      <c r="G27" s="393">
        <f>E27*F27</f>
        <v>3982512.953999999</v>
      </c>
      <c r="H27" s="56" t="e">
        <f>G27+'29'!#REF!</f>
        <v>#REF!</v>
      </c>
      <c r="I27" s="147"/>
      <c r="J27" s="57" t="e">
        <f>H27/DAY(B2)</f>
        <v>#REF!</v>
      </c>
      <c r="K27" s="58"/>
      <c r="L27" s="116"/>
    </row>
    <row r="28" spans="1:12" ht="23.25" customHeight="1" x14ac:dyDescent="0.35">
      <c r="A28" s="342" t="s">
        <v>181</v>
      </c>
      <c r="B28" s="343"/>
      <c r="C28" s="344"/>
      <c r="D28" s="349" t="s">
        <v>182</v>
      </c>
      <c r="E28" s="352">
        <f>G15</f>
        <v>-526786.31999999995</v>
      </c>
      <c r="F28" s="446">
        <v>44</v>
      </c>
      <c r="G28" s="393">
        <f>E28*F28</f>
        <v>-23178598.079999998</v>
      </c>
      <c r="H28" s="56" t="e">
        <f>G28+'29'!#REF!</f>
        <v>#REF!</v>
      </c>
      <c r="I28" s="111"/>
      <c r="J28" s="57" t="e">
        <f>H28/DAY(B2)</f>
        <v>#REF!</v>
      </c>
      <c r="K28" s="58"/>
      <c r="L28" s="116"/>
    </row>
    <row r="29" spans="1:12" ht="23.25" customHeight="1" x14ac:dyDescent="0.35">
      <c r="A29" s="342" t="s">
        <v>183</v>
      </c>
      <c r="B29" s="343"/>
      <c r="C29" s="344"/>
      <c r="D29" s="349" t="s">
        <v>184</v>
      </c>
      <c r="E29" s="354">
        <f>G24</f>
        <v>0</v>
      </c>
      <c r="F29" s="446">
        <v>61.32</v>
      </c>
      <c r="G29" s="393">
        <f>E29*F29</f>
        <v>0</v>
      </c>
      <c r="H29" s="56" t="e">
        <f>G29+'29'!#REF!</f>
        <v>#REF!</v>
      </c>
      <c r="I29" s="111"/>
      <c r="J29" s="57" t="e">
        <f>H29/DAY(B2)</f>
        <v>#REF!</v>
      </c>
      <c r="K29" s="58"/>
      <c r="L29" s="116"/>
    </row>
    <row r="30" spans="1:12" ht="23.25" customHeight="1" x14ac:dyDescent="0.35">
      <c r="A30" s="342" t="s">
        <v>22</v>
      </c>
      <c r="B30" s="343"/>
      <c r="C30" s="344"/>
      <c r="D30" s="349" t="s">
        <v>186</v>
      </c>
      <c r="E30" s="354">
        <f>G20</f>
        <v>-31367</v>
      </c>
      <c r="F30" s="446">
        <v>95</v>
      </c>
      <c r="G30" s="393">
        <f>E30*F30</f>
        <v>-2979865</v>
      </c>
      <c r="H30" s="56" t="e">
        <f>G30+'29'!#REF!</f>
        <v>#REF!</v>
      </c>
      <c r="I30" s="111"/>
      <c r="J30" s="57" t="e">
        <f>H30/DAY(B2)</f>
        <v>#REF!</v>
      </c>
      <c r="K30" s="58"/>
      <c r="L30" s="116"/>
    </row>
    <row r="31" spans="1:12" ht="23.25" customHeight="1" x14ac:dyDescent="0.35">
      <c r="A31" s="440" t="s">
        <v>188</v>
      </c>
      <c r="B31" s="441"/>
      <c r="C31" s="442"/>
      <c r="D31" s="355"/>
      <c r="E31" s="355"/>
      <c r="F31" s="355"/>
      <c r="G31" s="394">
        <f>G27+G28+G29+G30</f>
        <v>-22175950.125999998</v>
      </c>
      <c r="H31" s="56" t="e">
        <f>G31+'29'!#REF!</f>
        <v>#REF!</v>
      </c>
      <c r="I31" s="150"/>
      <c r="J31" s="57" t="e">
        <f>H31/DAY(B2)</f>
        <v>#REF!</v>
      </c>
      <c r="K31" s="58"/>
      <c r="L31" s="116"/>
    </row>
    <row r="32" spans="1:12" ht="23.25" customHeight="1" x14ac:dyDescent="0.3">
      <c r="A32" s="1480" t="s">
        <v>189</v>
      </c>
      <c r="B32" s="1481"/>
      <c r="C32" s="1481"/>
      <c r="D32" s="1481"/>
      <c r="E32" s="1481"/>
      <c r="F32" s="1481"/>
      <c r="G32" s="1481"/>
      <c r="H32" s="1481"/>
      <c r="I32" s="1481"/>
      <c r="J32" s="1482"/>
      <c r="K32" s="58"/>
      <c r="L32" s="116"/>
    </row>
    <row r="33" spans="1:12" ht="23.25" customHeight="1" x14ac:dyDescent="0.35">
      <c r="A33" s="1347" t="s">
        <v>190</v>
      </c>
      <c r="B33" s="1348"/>
      <c r="C33" s="1349"/>
      <c r="D33" s="518"/>
      <c r="E33" s="419"/>
      <c r="F33" s="419"/>
      <c r="G33" s="518"/>
      <c r="H33" s="518"/>
      <c r="I33" s="518"/>
      <c r="J33" s="518"/>
      <c r="K33" s="58"/>
      <c r="L33" s="116"/>
    </row>
    <row r="34" spans="1:12" ht="23.25" customHeight="1" x14ac:dyDescent="0.35">
      <c r="A34" s="324" t="s">
        <v>191</v>
      </c>
      <c r="B34" s="325"/>
      <c r="C34" s="326"/>
      <c r="D34" s="265" t="s">
        <v>159</v>
      </c>
      <c r="E34" s="449">
        <f>'29'!F35</f>
        <v>629027</v>
      </c>
      <c r="F34" s="357">
        <v>0</v>
      </c>
      <c r="G34" s="322">
        <f t="shared" ref="G34:G45" si="3">F34-E34</f>
        <v>-629027</v>
      </c>
      <c r="H34" s="56">
        <f>G34+'29'!H35</f>
        <v>-629027</v>
      </c>
      <c r="I34" s="55"/>
      <c r="J34" s="57">
        <f>H34/DAY(B2)</f>
        <v>-20967.566666666666</v>
      </c>
      <c r="K34" s="58"/>
      <c r="L34" s="116"/>
    </row>
    <row r="35" spans="1:12" ht="23.25" customHeight="1" x14ac:dyDescent="0.35">
      <c r="A35" s="324" t="s">
        <v>192</v>
      </c>
      <c r="B35" s="325"/>
      <c r="C35" s="326"/>
      <c r="D35" s="265" t="s">
        <v>159</v>
      </c>
      <c r="E35" s="55">
        <f>'29'!F36</f>
        <v>253713.81</v>
      </c>
      <c r="F35" s="357">
        <v>694322.47</v>
      </c>
      <c r="G35" s="322">
        <f t="shared" si="3"/>
        <v>440608.66</v>
      </c>
      <c r="H35" s="56">
        <f>G35+'29'!H36</f>
        <v>465236.74</v>
      </c>
      <c r="I35" s="55"/>
      <c r="J35" s="57">
        <f>H35/DAY(B2)</f>
        <v>15507.891333333333</v>
      </c>
      <c r="K35" s="58"/>
      <c r="L35" s="116"/>
    </row>
    <row r="36" spans="1:12" ht="23.25" customHeight="1" x14ac:dyDescent="0.35">
      <c r="A36" s="324" t="s">
        <v>193</v>
      </c>
      <c r="B36" s="325"/>
      <c r="C36" s="326"/>
      <c r="D36" s="265" t="s">
        <v>159</v>
      </c>
      <c r="E36" s="55">
        <f>'29'!F37</f>
        <v>415066</v>
      </c>
      <c r="F36" s="357">
        <v>392708.87</v>
      </c>
      <c r="G36" s="322">
        <f t="shared" si="3"/>
        <v>-22357.130000000005</v>
      </c>
      <c r="H36" s="56">
        <f>G36+'29'!H37</f>
        <v>-22357.130000000005</v>
      </c>
      <c r="I36" s="55"/>
      <c r="J36" s="57">
        <f>H36/DAY(B2)</f>
        <v>-745.23766666666677</v>
      </c>
      <c r="K36" s="58"/>
      <c r="L36" s="116"/>
    </row>
    <row r="37" spans="1:12" ht="23.25" customHeight="1" x14ac:dyDescent="0.35">
      <c r="A37" s="324" t="s">
        <v>194</v>
      </c>
      <c r="B37" s="325"/>
      <c r="C37" s="326"/>
      <c r="D37" s="265" t="s">
        <v>159</v>
      </c>
      <c r="E37" s="55">
        <f>'29'!F38</f>
        <v>150714</v>
      </c>
      <c r="F37" s="358">
        <v>675505.75</v>
      </c>
      <c r="G37" s="322">
        <f t="shared" si="3"/>
        <v>524791.75</v>
      </c>
      <c r="H37" s="56">
        <f>G37+'29'!H38</f>
        <v>524791.75</v>
      </c>
      <c r="I37" s="55"/>
      <c r="J37" s="57">
        <f>H37/DAY(B2)</f>
        <v>17493.058333333334</v>
      </c>
      <c r="K37" s="58"/>
      <c r="L37" s="116"/>
    </row>
    <row r="38" spans="1:12" ht="23.25" customHeight="1" x14ac:dyDescent="0.35">
      <c r="A38" s="324" t="s">
        <v>195</v>
      </c>
      <c r="B38" s="325"/>
      <c r="C38" s="326"/>
      <c r="D38" s="265" t="s">
        <v>159</v>
      </c>
      <c r="E38" s="55">
        <f>'29'!F39</f>
        <v>912480</v>
      </c>
      <c r="F38" s="357">
        <v>2497766.1</v>
      </c>
      <c r="G38" s="322">
        <f t="shared" si="3"/>
        <v>1585286.1</v>
      </c>
      <c r="H38" s="56">
        <f>G38+'29'!H39</f>
        <v>1585286.1</v>
      </c>
      <c r="I38" s="55"/>
      <c r="J38" s="57">
        <f>H38/DAY(B2)</f>
        <v>52842.87</v>
      </c>
      <c r="K38" s="58"/>
      <c r="L38" s="116"/>
    </row>
    <row r="39" spans="1:12" ht="23.25" customHeight="1" x14ac:dyDescent="0.35">
      <c r="A39" s="359" t="s">
        <v>196</v>
      </c>
      <c r="B39" s="360"/>
      <c r="C39" s="361"/>
      <c r="D39" s="265" t="s">
        <v>159</v>
      </c>
      <c r="E39" s="55">
        <f>'29'!F40</f>
        <v>0</v>
      </c>
      <c r="F39" s="357">
        <v>0</v>
      </c>
      <c r="G39" s="322">
        <f t="shared" si="3"/>
        <v>0</v>
      </c>
      <c r="H39" s="56">
        <f>G39+'29'!H40</f>
        <v>0</v>
      </c>
      <c r="I39" s="55"/>
      <c r="J39" s="57">
        <f>H39/DAY(B2)</f>
        <v>0</v>
      </c>
      <c r="K39" s="74"/>
      <c r="L39" s="116"/>
    </row>
    <row r="40" spans="1:12" ht="23.25" customHeight="1" x14ac:dyDescent="0.35">
      <c r="A40" s="324" t="s">
        <v>197</v>
      </c>
      <c r="B40" s="325"/>
      <c r="C40" s="326"/>
      <c r="D40" s="265" t="s">
        <v>159</v>
      </c>
      <c r="E40" s="55">
        <f>'29'!F41</f>
        <v>300127.95</v>
      </c>
      <c r="F40" s="357">
        <v>1138016.5</v>
      </c>
      <c r="G40" s="322">
        <f t="shared" si="3"/>
        <v>837888.55</v>
      </c>
      <c r="H40" s="56">
        <f>G40+'29'!H41</f>
        <v>837888.55</v>
      </c>
      <c r="I40" s="55"/>
      <c r="J40" s="57">
        <f>H40/DAY(B2)</f>
        <v>27929.618333333336</v>
      </c>
      <c r="K40" s="58"/>
      <c r="L40" s="116"/>
    </row>
    <row r="41" spans="1:12" ht="23.25" customHeight="1" x14ac:dyDescent="0.35">
      <c r="A41" s="324" t="s">
        <v>198</v>
      </c>
      <c r="B41" s="325"/>
      <c r="C41" s="326"/>
      <c r="D41" s="265" t="s">
        <v>159</v>
      </c>
      <c r="E41" s="55">
        <f>'29'!F42</f>
        <v>58926</v>
      </c>
      <c r="F41" s="357">
        <v>1251783.8</v>
      </c>
      <c r="G41" s="322">
        <f t="shared" si="3"/>
        <v>1192857.8</v>
      </c>
      <c r="H41" s="56">
        <f>G41+'29'!H42</f>
        <v>1251783.8</v>
      </c>
      <c r="I41" s="55"/>
      <c r="J41" s="57">
        <f>H41/DAY(B2)</f>
        <v>41726.126666666671</v>
      </c>
      <c r="K41" s="58"/>
      <c r="L41" s="116"/>
    </row>
    <row r="42" spans="1:12" ht="23.25" customHeight="1" x14ac:dyDescent="0.35">
      <c r="A42" s="324" t="s">
        <v>199</v>
      </c>
      <c r="B42" s="325"/>
      <c r="C42" s="326"/>
      <c r="D42" s="265" t="s">
        <v>159</v>
      </c>
      <c r="E42" s="55">
        <f>'29'!F43</f>
        <v>694298.95</v>
      </c>
      <c r="F42" s="357">
        <v>1479848.9</v>
      </c>
      <c r="G42" s="322">
        <f t="shared" si="3"/>
        <v>785549.95</v>
      </c>
      <c r="H42" s="56">
        <f>G42+'29'!H43</f>
        <v>849099.58999999985</v>
      </c>
      <c r="I42" s="55"/>
      <c r="J42" s="57">
        <f>H42/DAY(B2)</f>
        <v>28303.319666666663</v>
      </c>
      <c r="K42" s="58"/>
      <c r="L42" s="116"/>
    </row>
    <row r="43" spans="1:12" ht="23.25" customHeight="1" x14ac:dyDescent="0.35">
      <c r="A43" s="324" t="s">
        <v>200</v>
      </c>
      <c r="B43" s="325"/>
      <c r="C43" s="326"/>
      <c r="D43" s="265" t="s">
        <v>159</v>
      </c>
      <c r="E43" s="55">
        <f>'29'!F44</f>
        <v>0</v>
      </c>
      <c r="F43" s="357">
        <v>900</v>
      </c>
      <c r="G43" s="322">
        <f t="shared" si="3"/>
        <v>900</v>
      </c>
      <c r="H43" s="56">
        <f>G43+'29'!H44</f>
        <v>900</v>
      </c>
      <c r="I43" s="55"/>
      <c r="J43" s="57">
        <f>H43/DAY(B2)</f>
        <v>30</v>
      </c>
      <c r="K43" s="58"/>
      <c r="L43" s="116"/>
    </row>
    <row r="44" spans="1:12" ht="23.25" customHeight="1" x14ac:dyDescent="0.35">
      <c r="A44" s="324" t="s">
        <v>201</v>
      </c>
      <c r="B44" s="325"/>
      <c r="C44" s="326"/>
      <c r="D44" s="265" t="s">
        <v>159</v>
      </c>
      <c r="E44" s="55">
        <f>'29'!F45</f>
        <v>614.48</v>
      </c>
      <c r="F44" s="357">
        <v>945</v>
      </c>
      <c r="G44" s="322">
        <f t="shared" si="3"/>
        <v>330.52</v>
      </c>
      <c r="H44" s="56">
        <f>G44+'29'!H45</f>
        <v>330.52</v>
      </c>
      <c r="I44" s="55"/>
      <c r="J44" s="57">
        <f>H44/DAY(B2)</f>
        <v>11.017333333333333</v>
      </c>
      <c r="K44" s="58"/>
      <c r="L44" s="116"/>
    </row>
    <row r="45" spans="1:12" ht="23.25" customHeight="1" x14ac:dyDescent="0.35">
      <c r="A45" s="324" t="s">
        <v>202</v>
      </c>
      <c r="B45" s="325"/>
      <c r="C45" s="326"/>
      <c r="D45" s="265" t="s">
        <v>159</v>
      </c>
      <c r="E45" s="55">
        <f>'29'!F46</f>
        <v>187.49</v>
      </c>
      <c r="F45" s="357">
        <v>375</v>
      </c>
      <c r="G45" s="322">
        <f t="shared" si="3"/>
        <v>187.51</v>
      </c>
      <c r="H45" s="56">
        <f>G45+'29'!H46</f>
        <v>187.51</v>
      </c>
      <c r="I45" s="55"/>
      <c r="J45" s="57">
        <f>H45/DAY(B2)</f>
        <v>6.2503333333333329</v>
      </c>
      <c r="K45" s="58"/>
      <c r="L45" s="116"/>
    </row>
    <row r="46" spans="1:12" ht="23.25" customHeight="1" x14ac:dyDescent="0.35">
      <c r="A46" s="434" t="s">
        <v>203</v>
      </c>
      <c r="B46" s="435"/>
      <c r="C46" s="436"/>
      <c r="D46" s="362"/>
      <c r="E46" s="448"/>
      <c r="F46" s="266"/>
      <c r="G46" s="276">
        <f>G34+G35+G36+G37+G38+G39+G40+G41+G42+G43+G44+G45</f>
        <v>4717016.71</v>
      </c>
      <c r="H46" s="56">
        <f>G46+'29'!H47</f>
        <v>4864120.43</v>
      </c>
      <c r="I46" s="55"/>
      <c r="J46" s="57">
        <f>H46/DAY(B2)</f>
        <v>162137.34766666667</v>
      </c>
      <c r="K46" s="58"/>
      <c r="L46" s="116"/>
    </row>
    <row r="47" spans="1:12" ht="23.25" customHeight="1" x14ac:dyDescent="0.35">
      <c r="A47" s="1347" t="s">
        <v>204</v>
      </c>
      <c r="B47" s="1348"/>
      <c r="C47" s="1349"/>
      <c r="D47" s="518"/>
      <c r="E47" s="419"/>
      <c r="F47" s="419"/>
      <c r="G47" s="518"/>
      <c r="H47" s="518"/>
      <c r="I47" s="518"/>
      <c r="J47" s="518"/>
      <c r="K47" s="58"/>
      <c r="L47" s="116"/>
    </row>
    <row r="48" spans="1:12" ht="23.25" customHeight="1" x14ac:dyDescent="0.35">
      <c r="A48" s="324" t="s">
        <v>191</v>
      </c>
      <c r="B48" s="363"/>
      <c r="C48" s="364"/>
      <c r="D48" s="265" t="s">
        <v>159</v>
      </c>
      <c r="E48" s="449">
        <f>'29'!F49</f>
        <v>143998.98000000001</v>
      </c>
      <c r="F48" s="357">
        <v>793704.71</v>
      </c>
      <c r="G48" s="322">
        <f t="shared" ref="G48:G57" si="4">F48-E48</f>
        <v>649705.73</v>
      </c>
      <c r="H48" s="56">
        <f>G48+'29'!H49</f>
        <v>729095.19299999997</v>
      </c>
      <c r="I48" s="55"/>
      <c r="J48" s="57">
        <f>H48/DAY(B2)</f>
        <v>24303.1731</v>
      </c>
      <c r="K48" s="58"/>
      <c r="L48" s="116"/>
    </row>
    <row r="49" spans="1:12" ht="23.25" customHeight="1" x14ac:dyDescent="0.35">
      <c r="A49" s="324" t="s">
        <v>205</v>
      </c>
      <c r="B49" s="363"/>
      <c r="C49" s="364"/>
      <c r="D49" s="265" t="s">
        <v>159</v>
      </c>
      <c r="E49" s="55">
        <f>'29'!F50</f>
        <v>332937</v>
      </c>
      <c r="F49" s="357">
        <v>707853.75</v>
      </c>
      <c r="G49" s="322">
        <f t="shared" si="4"/>
        <v>374916.75</v>
      </c>
      <c r="H49" s="56">
        <f>G49+'29'!H50</f>
        <v>410444.22</v>
      </c>
      <c r="I49" s="55"/>
      <c r="J49" s="57">
        <f>H49/DAY(B2)</f>
        <v>13681.473999999998</v>
      </c>
      <c r="K49" s="58"/>
      <c r="L49" s="116"/>
    </row>
    <row r="50" spans="1:12" ht="23.25" customHeight="1" x14ac:dyDescent="0.35">
      <c r="A50" s="324" t="s">
        <v>193</v>
      </c>
      <c r="B50" s="363"/>
      <c r="C50" s="364"/>
      <c r="D50" s="265" t="s">
        <v>159</v>
      </c>
      <c r="E50" s="55">
        <f>'29'!F51</f>
        <v>61837</v>
      </c>
      <c r="F50" s="357">
        <v>552102.06999999995</v>
      </c>
      <c r="G50" s="322">
        <f t="shared" si="4"/>
        <v>490265.06999999995</v>
      </c>
      <c r="H50" s="56">
        <f>G50+'29'!H51</f>
        <v>531235.10299999989</v>
      </c>
      <c r="I50" s="55"/>
      <c r="J50" s="57">
        <f>H50/DAY(B2)</f>
        <v>17707.836766666664</v>
      </c>
      <c r="K50" s="58"/>
      <c r="L50" s="116"/>
    </row>
    <row r="51" spans="1:12" ht="23.25" customHeight="1" x14ac:dyDescent="0.35">
      <c r="A51" s="324" t="s">
        <v>206</v>
      </c>
      <c r="B51" s="363"/>
      <c r="C51" s="364"/>
      <c r="D51" s="265" t="s">
        <v>159</v>
      </c>
      <c r="E51" s="55">
        <f>'29'!F52</f>
        <v>429182.87</v>
      </c>
      <c r="F51" s="357">
        <v>1244061</v>
      </c>
      <c r="G51" s="322">
        <f t="shared" si="4"/>
        <v>814878.13</v>
      </c>
      <c r="H51" s="56">
        <f>G51+'29'!H52</f>
        <v>870705.21</v>
      </c>
      <c r="I51" s="55"/>
      <c r="J51" s="57">
        <f>H51/DAY(B2)</f>
        <v>29023.506999999998</v>
      </c>
      <c r="K51" s="58"/>
      <c r="L51" s="116"/>
    </row>
    <row r="52" spans="1:12" ht="23.25" customHeight="1" x14ac:dyDescent="0.35">
      <c r="A52" s="324" t="s">
        <v>195</v>
      </c>
      <c r="B52" s="363"/>
      <c r="C52" s="364"/>
      <c r="D52" s="265" t="s">
        <v>159</v>
      </c>
      <c r="E52" s="55">
        <f>'29'!F53</f>
        <v>168261.37</v>
      </c>
      <c r="F52" s="357">
        <v>495803.59</v>
      </c>
      <c r="G52" s="322">
        <f t="shared" si="4"/>
        <v>327542.22000000003</v>
      </c>
      <c r="H52" s="56">
        <f>G52+'29'!H53</f>
        <v>446061.48300000001</v>
      </c>
      <c r="I52" s="55"/>
      <c r="J52" s="57">
        <f>H52/DAY(B2)</f>
        <v>14868.7161</v>
      </c>
      <c r="K52" s="58"/>
      <c r="L52" s="116"/>
    </row>
    <row r="53" spans="1:12" ht="23.25" customHeight="1" x14ac:dyDescent="0.35">
      <c r="A53" s="324" t="s">
        <v>207</v>
      </c>
      <c r="B53" s="363"/>
      <c r="C53" s="364"/>
      <c r="D53" s="265" t="s">
        <v>159</v>
      </c>
      <c r="E53" s="55">
        <f>'29'!F54</f>
        <v>4438.3100000000004</v>
      </c>
      <c r="F53" s="357">
        <v>55471.01</v>
      </c>
      <c r="G53" s="322">
        <f t="shared" si="4"/>
        <v>51032.700000000004</v>
      </c>
      <c r="H53" s="56">
        <f>G53+'29'!H54</f>
        <v>52592.4</v>
      </c>
      <c r="I53" s="55"/>
      <c r="J53" s="57">
        <f>H53/DAY(B2)</f>
        <v>1753.0800000000002</v>
      </c>
      <c r="K53" s="58"/>
      <c r="L53" s="116"/>
    </row>
    <row r="54" spans="1:12" ht="23.25" customHeight="1" x14ac:dyDescent="0.35">
      <c r="A54" s="324" t="s">
        <v>208</v>
      </c>
      <c r="B54" s="363"/>
      <c r="C54" s="364"/>
      <c r="D54" s="265" t="s">
        <v>159</v>
      </c>
      <c r="E54" s="55">
        <f>'29'!F55</f>
        <v>158492.73000000001</v>
      </c>
      <c r="F54" s="357">
        <v>741511.59</v>
      </c>
      <c r="G54" s="322">
        <f t="shared" si="4"/>
        <v>583018.86</v>
      </c>
      <c r="H54" s="56">
        <f>G54+'29'!H55</f>
        <v>583018.59</v>
      </c>
      <c r="I54" s="55"/>
      <c r="J54" s="57">
        <f>H54/DAY(B2)</f>
        <v>19433.952999999998</v>
      </c>
      <c r="K54" s="58"/>
      <c r="L54" s="116"/>
    </row>
    <row r="55" spans="1:12" ht="23.25" customHeight="1" x14ac:dyDescent="0.35">
      <c r="A55" s="324" t="s">
        <v>209</v>
      </c>
      <c r="B55" s="363"/>
      <c r="C55" s="364"/>
      <c r="D55" s="265" t="s">
        <v>210</v>
      </c>
      <c r="E55" s="55">
        <f>'29'!F56</f>
        <v>505378.47</v>
      </c>
      <c r="F55" s="357">
        <v>334966</v>
      </c>
      <c r="G55" s="322">
        <f t="shared" si="4"/>
        <v>-170412.46999999997</v>
      </c>
      <c r="H55" s="56">
        <f>G55+'29'!H56</f>
        <v>-100875.03000000003</v>
      </c>
      <c r="I55" s="55"/>
      <c r="J55" s="57">
        <f>H55/DAY(B2)</f>
        <v>-3362.5010000000011</v>
      </c>
      <c r="K55" s="42"/>
      <c r="L55" s="116"/>
    </row>
    <row r="56" spans="1:12" ht="23.25" customHeight="1" x14ac:dyDescent="0.35">
      <c r="A56" s="324" t="s">
        <v>199</v>
      </c>
      <c r="B56" s="363"/>
      <c r="C56" s="364"/>
      <c r="D56" s="265" t="s">
        <v>159</v>
      </c>
      <c r="E56" s="55">
        <f>'29'!F57</f>
        <v>0</v>
      </c>
      <c r="F56" s="357">
        <v>0</v>
      </c>
      <c r="G56" s="322">
        <f t="shared" si="4"/>
        <v>0</v>
      </c>
      <c r="H56" s="56">
        <f>G56+'29'!H57</f>
        <v>0</v>
      </c>
      <c r="I56" s="55"/>
      <c r="J56" s="57">
        <f>H56/DAY(B2)</f>
        <v>0</v>
      </c>
      <c r="K56" s="58"/>
      <c r="L56" s="116"/>
    </row>
    <row r="57" spans="1:12" ht="23.25" customHeight="1" x14ac:dyDescent="0.35">
      <c r="A57" s="324" t="s">
        <v>211</v>
      </c>
      <c r="B57" s="363"/>
      <c r="C57" s="364"/>
      <c r="D57" s="265" t="s">
        <v>159</v>
      </c>
      <c r="E57" s="55">
        <f>'29'!F58</f>
        <v>24747.07</v>
      </c>
      <c r="F57" s="357">
        <v>2065.9499999999998</v>
      </c>
      <c r="G57" s="322">
        <f t="shared" si="4"/>
        <v>-22681.119999999999</v>
      </c>
      <c r="H57" s="56">
        <f>G57+'29'!H58</f>
        <v>-18327.082999999999</v>
      </c>
      <c r="I57" s="55"/>
      <c r="J57" s="57">
        <f>H57/DAY(B2)</f>
        <v>-610.90276666666659</v>
      </c>
      <c r="K57" s="58"/>
      <c r="L57" s="116"/>
    </row>
    <row r="58" spans="1:12" ht="23.25" customHeight="1" x14ac:dyDescent="0.35">
      <c r="A58" s="434" t="s">
        <v>203</v>
      </c>
      <c r="B58" s="435"/>
      <c r="C58" s="436"/>
      <c r="D58" s="266"/>
      <c r="E58" s="448"/>
      <c r="F58" s="266"/>
      <c r="G58" s="276">
        <f>G48+G49+G50+G51+G52+G53+G54+G55+G56+G57</f>
        <v>3098265.87</v>
      </c>
      <c r="H58" s="56">
        <f>G58+'29'!H59</f>
        <v>3503950.0860000001</v>
      </c>
      <c r="I58" s="55">
        <f>G7-G59</f>
        <v>-7448568.6799999997</v>
      </c>
      <c r="J58" s="57">
        <f>H58/DAY(B2)</f>
        <v>116798.33620000001</v>
      </c>
      <c r="K58" s="58"/>
      <c r="L58" s="116"/>
    </row>
    <row r="59" spans="1:12" ht="23.25" customHeight="1" x14ac:dyDescent="0.3">
      <c r="A59" s="365"/>
      <c r="B59" s="365"/>
      <c r="C59" s="365"/>
      <c r="D59" s="266" t="s">
        <v>212</v>
      </c>
      <c r="E59" s="266"/>
      <c r="F59" s="266"/>
      <c r="G59" s="276">
        <f>G46+G58</f>
        <v>7815282.5800000001</v>
      </c>
      <c r="H59" s="56">
        <f>G59+'29'!H60</f>
        <v>8381614.1859999998</v>
      </c>
      <c r="I59" s="55">
        <f>G13-G59</f>
        <v>-7422286.1100000003</v>
      </c>
      <c r="J59" s="57">
        <f>H59/DAY(B2)</f>
        <v>279387.13953333331</v>
      </c>
      <c r="K59" s="58"/>
      <c r="L59" s="116"/>
    </row>
    <row r="60" spans="1:12" ht="23.25" customHeight="1" x14ac:dyDescent="0.5">
      <c r="A60" s="426" t="s">
        <v>213</v>
      </c>
      <c r="B60" s="427"/>
      <c r="C60" s="428"/>
      <c r="D60" s="429"/>
      <c r="E60" s="430"/>
      <c r="F60" s="430"/>
      <c r="G60" s="431"/>
      <c r="H60" s="431"/>
      <c r="I60" s="431"/>
      <c r="J60" s="431"/>
      <c r="K60" s="58"/>
      <c r="L60" s="116"/>
    </row>
    <row r="61" spans="1:12" ht="23.25" customHeight="1" x14ac:dyDescent="0.3">
      <c r="A61" s="366" t="s">
        <v>121</v>
      </c>
      <c r="B61" s="367"/>
      <c r="C61" s="368"/>
      <c r="D61" s="266" t="s">
        <v>214</v>
      </c>
      <c r="E61" s="449">
        <f>'29'!F62</f>
        <v>20419.18</v>
      </c>
      <c r="F61" s="267">
        <v>55085</v>
      </c>
      <c r="G61" s="322">
        <f t="shared" ref="G61:G68" si="5">F61-E61</f>
        <v>34665.82</v>
      </c>
      <c r="H61" s="56">
        <f>G61+'29'!H62</f>
        <v>34665.82</v>
      </c>
      <c r="I61" s="200"/>
      <c r="J61" s="57">
        <f>H61/DAY(B2)</f>
        <v>1155.5273333333332</v>
      </c>
      <c r="K61" s="58"/>
      <c r="L61" s="116"/>
    </row>
    <row r="62" spans="1:12" ht="23.25" customHeight="1" x14ac:dyDescent="0.3">
      <c r="A62" s="366" t="s">
        <v>215</v>
      </c>
      <c r="B62" s="367"/>
      <c r="C62" s="368"/>
      <c r="D62" s="266" t="s">
        <v>214</v>
      </c>
      <c r="E62" s="55">
        <f>'29'!F63</f>
        <v>1099</v>
      </c>
      <c r="F62" s="267">
        <v>113360.74</v>
      </c>
      <c r="G62" s="322">
        <f t="shared" si="5"/>
        <v>112261.74</v>
      </c>
      <c r="H62" s="56">
        <f>G62+'29'!H63</f>
        <v>112504.37000000001</v>
      </c>
      <c r="I62" s="200"/>
      <c r="J62" s="57">
        <f>H62/DAY(B2)</f>
        <v>3750.1456666666668</v>
      </c>
      <c r="K62" s="58"/>
      <c r="L62" s="116"/>
    </row>
    <row r="63" spans="1:12" ht="23.25" customHeight="1" x14ac:dyDescent="0.35">
      <c r="A63" s="1536" t="s">
        <v>122</v>
      </c>
      <c r="B63" s="1537"/>
      <c r="C63" s="1538"/>
      <c r="D63" s="265" t="s">
        <v>214</v>
      </c>
      <c r="E63" s="55">
        <f>'29'!F64</f>
        <v>97539.7</v>
      </c>
      <c r="F63" s="264">
        <v>274089</v>
      </c>
      <c r="G63" s="322">
        <f t="shared" si="5"/>
        <v>176549.3</v>
      </c>
      <c r="H63" s="56">
        <f>G63+'29'!H64</f>
        <v>187349.90499999997</v>
      </c>
      <c r="I63" s="68"/>
      <c r="J63" s="57">
        <f>H63/DAY(B2)</f>
        <v>6244.9968333333327</v>
      </c>
      <c r="K63" s="58"/>
      <c r="L63" s="116"/>
    </row>
    <row r="64" spans="1:12" ht="23.25" customHeight="1" x14ac:dyDescent="0.35">
      <c r="A64" s="1536" t="s">
        <v>123</v>
      </c>
      <c r="B64" s="1537"/>
      <c r="C64" s="1538"/>
      <c r="D64" s="265" t="s">
        <v>214</v>
      </c>
      <c r="E64" s="55">
        <f>'29'!F65</f>
        <v>108244</v>
      </c>
      <c r="F64" s="264">
        <v>218102.43</v>
      </c>
      <c r="G64" s="322">
        <f t="shared" si="5"/>
        <v>109858.43</v>
      </c>
      <c r="H64" s="56">
        <f>G64+'29'!H65</f>
        <v>121466.447</v>
      </c>
      <c r="I64" s="79"/>
      <c r="J64" s="57">
        <f>H64/DAY(B2)</f>
        <v>4048.8815666666665</v>
      </c>
      <c r="K64" s="58"/>
      <c r="L64" s="116"/>
    </row>
    <row r="65" spans="1:12" ht="23.25" customHeight="1" x14ac:dyDescent="0.35">
      <c r="A65" s="1536" t="s">
        <v>124</v>
      </c>
      <c r="B65" s="1537"/>
      <c r="C65" s="1538"/>
      <c r="D65" s="265" t="s">
        <v>214</v>
      </c>
      <c r="E65" s="55">
        <f>'29'!F66</f>
        <v>1636</v>
      </c>
      <c r="F65" s="264">
        <v>7977.92</v>
      </c>
      <c r="G65" s="322">
        <f t="shared" si="5"/>
        <v>6341.92</v>
      </c>
      <c r="H65" s="56">
        <f>G65+'29'!H66</f>
        <v>17975.523000000008</v>
      </c>
      <c r="I65" s="68"/>
      <c r="J65" s="57">
        <f>H65/DAY(B2)</f>
        <v>599.18410000000029</v>
      </c>
      <c r="K65" s="58"/>
      <c r="L65" s="116"/>
    </row>
    <row r="66" spans="1:12" ht="23.25" customHeight="1" x14ac:dyDescent="0.35">
      <c r="A66" s="1536" t="s">
        <v>125</v>
      </c>
      <c r="B66" s="1537"/>
      <c r="C66" s="1538"/>
      <c r="D66" s="265" t="s">
        <v>214</v>
      </c>
      <c r="E66" s="55">
        <f>'29'!F67</f>
        <v>166962</v>
      </c>
      <c r="F66" s="264">
        <v>350190.03</v>
      </c>
      <c r="G66" s="322">
        <f t="shared" si="5"/>
        <v>183228.03000000003</v>
      </c>
      <c r="H66" s="56">
        <f>G66+'29'!H67</f>
        <v>204147.98000000004</v>
      </c>
      <c r="I66" s="79"/>
      <c r="J66" s="57">
        <f>H66/DAY(B2)</f>
        <v>6804.9326666666684</v>
      </c>
      <c r="K66" s="74"/>
      <c r="L66" s="116"/>
    </row>
    <row r="67" spans="1:12" ht="23.25" customHeight="1" x14ac:dyDescent="0.35">
      <c r="A67" s="1536" t="s">
        <v>126</v>
      </c>
      <c r="B67" s="1537"/>
      <c r="C67" s="1538"/>
      <c r="D67" s="265" t="s">
        <v>214</v>
      </c>
      <c r="E67" s="55">
        <f>'29'!F68</f>
        <v>53070</v>
      </c>
      <c r="F67" s="264">
        <v>0</v>
      </c>
      <c r="G67" s="322">
        <f t="shared" si="5"/>
        <v>-53070</v>
      </c>
      <c r="H67" s="56">
        <f>G67+'29'!H68</f>
        <v>-43175.078999999998</v>
      </c>
      <c r="I67" s="104"/>
      <c r="J67" s="57">
        <f>H67/DAY(B2)</f>
        <v>-1439.1693</v>
      </c>
      <c r="K67" s="82"/>
      <c r="L67" s="116"/>
    </row>
    <row r="68" spans="1:12" ht="23.25" customHeight="1" x14ac:dyDescent="0.35">
      <c r="A68" s="1536" t="s">
        <v>127</v>
      </c>
      <c r="B68" s="1537"/>
      <c r="C68" s="1538"/>
      <c r="D68" s="265" t="s">
        <v>214</v>
      </c>
      <c r="E68" s="55">
        <f>'29'!F69</f>
        <v>45958.9</v>
      </c>
      <c r="F68" s="264">
        <v>156094.09</v>
      </c>
      <c r="G68" s="322">
        <f t="shared" si="5"/>
        <v>110135.19</v>
      </c>
      <c r="H68" s="56">
        <f>G68+'29'!H69</f>
        <v>118538.523</v>
      </c>
      <c r="I68" s="104"/>
      <c r="J68" s="57">
        <f>H68/DAY(B2)</f>
        <v>3951.2840999999999</v>
      </c>
      <c r="K68" s="84"/>
      <c r="L68" s="116"/>
    </row>
    <row r="69" spans="1:12" ht="23.25" customHeight="1" x14ac:dyDescent="0.5">
      <c r="A69" s="1545" t="s">
        <v>216</v>
      </c>
      <c r="B69" s="1546"/>
      <c r="C69" s="1547"/>
      <c r="D69" s="265" t="s">
        <v>214</v>
      </c>
      <c r="E69" s="459"/>
      <c r="F69" s="457"/>
      <c r="G69" s="457"/>
      <c r="H69" s="56">
        <f>G69+'13'!H70</f>
        <v>0</v>
      </c>
      <c r="I69" s="457"/>
      <c r="J69" s="457"/>
      <c r="K69" s="84"/>
      <c r="L69" s="116"/>
    </row>
    <row r="70" spans="1:12" ht="23.25" customHeight="1" x14ac:dyDescent="0.5">
      <c r="A70" s="1542" t="s">
        <v>217</v>
      </c>
      <c r="B70" s="1543"/>
      <c r="C70" s="1543"/>
      <c r="D70" s="1543"/>
      <c r="E70" s="1543"/>
      <c r="F70" s="1543"/>
      <c r="G70" s="1543"/>
      <c r="H70" s="1543"/>
      <c r="I70" s="1543"/>
      <c r="J70" s="1544"/>
      <c r="K70" s="82"/>
      <c r="L70" s="116"/>
    </row>
    <row r="71" spans="1:12" ht="23.25" customHeight="1" x14ac:dyDescent="0.35">
      <c r="A71" s="1536" t="s">
        <v>218</v>
      </c>
      <c r="B71" s="1537"/>
      <c r="C71" s="1538"/>
      <c r="D71" s="265" t="s">
        <v>214</v>
      </c>
      <c r="E71" s="449">
        <f>'29'!F72</f>
        <v>846216</v>
      </c>
      <c r="F71" s="268">
        <v>788748</v>
      </c>
      <c r="G71" s="322">
        <f t="shared" ref="G71:G83" si="6">F71-E71</f>
        <v>-57468</v>
      </c>
      <c r="H71" s="56">
        <f>G71+'29'!H72</f>
        <v>-55514</v>
      </c>
      <c r="I71" s="68"/>
      <c r="J71" s="57">
        <f>H71/DAY(B2)</f>
        <v>-1850.4666666666667</v>
      </c>
      <c r="K71" s="84"/>
      <c r="L71" s="116"/>
    </row>
    <row r="72" spans="1:12" ht="23.25" customHeight="1" x14ac:dyDescent="0.35">
      <c r="A72" s="1536" t="s">
        <v>219</v>
      </c>
      <c r="B72" s="1537"/>
      <c r="C72" s="1538"/>
      <c r="D72" s="265" t="s">
        <v>214</v>
      </c>
      <c r="E72" s="55">
        <f>'29'!F73</f>
        <v>885671</v>
      </c>
      <c r="F72" s="268">
        <v>883770</v>
      </c>
      <c r="G72" s="322">
        <f t="shared" si="6"/>
        <v>-1901</v>
      </c>
      <c r="H72" s="56">
        <f>G72+'29'!H73</f>
        <v>-934</v>
      </c>
      <c r="I72" s="68"/>
      <c r="J72" s="57">
        <f>H72/DAY(B2)</f>
        <v>-31.133333333333333</v>
      </c>
      <c r="K72" s="82"/>
      <c r="L72" s="116"/>
    </row>
    <row r="73" spans="1:12" ht="23.25" customHeight="1" x14ac:dyDescent="0.35">
      <c r="A73" s="1536" t="s">
        <v>220</v>
      </c>
      <c r="B73" s="1537"/>
      <c r="C73" s="1538"/>
      <c r="D73" s="265" t="s">
        <v>214</v>
      </c>
      <c r="E73" s="55">
        <f>'29'!F74</f>
        <v>881231</v>
      </c>
      <c r="F73" s="268">
        <v>783142</v>
      </c>
      <c r="G73" s="322">
        <f t="shared" si="6"/>
        <v>-98089</v>
      </c>
      <c r="H73" s="56">
        <f>G73+'29'!H74</f>
        <v>-97085</v>
      </c>
      <c r="I73" s="68"/>
      <c r="J73" s="57">
        <f>H73/DAY(B2)</f>
        <v>-3236.1666666666665</v>
      </c>
      <c r="K73" s="84"/>
      <c r="L73" s="116"/>
    </row>
    <row r="74" spans="1:12" ht="23.25" customHeight="1" x14ac:dyDescent="0.35">
      <c r="A74" s="1539" t="s">
        <v>221</v>
      </c>
      <c r="B74" s="1540"/>
      <c r="C74" s="1541"/>
      <c r="D74" s="265" t="s">
        <v>214</v>
      </c>
      <c r="E74" s="55">
        <f>'29'!F75</f>
        <v>731292</v>
      </c>
      <c r="F74" s="268">
        <v>641404</v>
      </c>
      <c r="G74" s="322">
        <f t="shared" si="6"/>
        <v>-89888</v>
      </c>
      <c r="H74" s="56">
        <f>G74+'29'!H75</f>
        <v>-84776</v>
      </c>
      <c r="I74" s="68"/>
      <c r="J74" s="57">
        <f>H74/DAY(B2)</f>
        <v>-2825.8666666666668</v>
      </c>
      <c r="K74" s="82"/>
      <c r="L74" s="116"/>
    </row>
    <row r="75" spans="1:12" ht="23.25" customHeight="1" x14ac:dyDescent="0.35">
      <c r="A75" s="1539" t="s">
        <v>222</v>
      </c>
      <c r="B75" s="1540"/>
      <c r="C75" s="1541"/>
      <c r="D75" s="265" t="s">
        <v>214</v>
      </c>
      <c r="E75" s="55">
        <f>'29'!F76</f>
        <v>684042</v>
      </c>
      <c r="F75" s="268">
        <v>615603</v>
      </c>
      <c r="G75" s="322">
        <f t="shared" si="6"/>
        <v>-68439</v>
      </c>
      <c r="H75" s="56">
        <f>G75+'29'!H76</f>
        <v>-64767</v>
      </c>
      <c r="I75" s="111"/>
      <c r="J75" s="57">
        <f>H75/DAY(B2)</f>
        <v>-2158.9</v>
      </c>
      <c r="K75" s="82"/>
      <c r="L75" s="116"/>
    </row>
    <row r="76" spans="1:12" ht="23.25" customHeight="1" x14ac:dyDescent="0.35">
      <c r="A76" s="1536" t="s">
        <v>223</v>
      </c>
      <c r="B76" s="1537"/>
      <c r="C76" s="1538"/>
      <c r="D76" s="265" t="s">
        <v>214</v>
      </c>
      <c r="E76" s="55">
        <f>'29'!F77</f>
        <v>695280</v>
      </c>
      <c r="F76" s="268">
        <v>669905</v>
      </c>
      <c r="G76" s="322">
        <f t="shared" si="6"/>
        <v>-25375</v>
      </c>
      <c r="H76" s="56">
        <f>G76+'29'!H77</f>
        <v>-23815</v>
      </c>
      <c r="I76" s="111"/>
      <c r="J76" s="57">
        <f>H76/DAY(B2)</f>
        <v>-793.83333333333337</v>
      </c>
      <c r="K76" s="82"/>
      <c r="L76" s="116"/>
    </row>
    <row r="77" spans="1:12" ht="23.25" customHeight="1" x14ac:dyDescent="0.35">
      <c r="A77" s="1342" t="s">
        <v>224</v>
      </c>
      <c r="B77" s="1343"/>
      <c r="C77" s="1344"/>
      <c r="D77" s="265" t="s">
        <v>214</v>
      </c>
      <c r="E77" s="55">
        <f>'29'!F78</f>
        <v>630081</v>
      </c>
      <c r="F77" s="268">
        <v>487314</v>
      </c>
      <c r="G77" s="322">
        <f t="shared" si="6"/>
        <v>-142767</v>
      </c>
      <c r="H77" s="56">
        <f>G77+'29'!H78</f>
        <v>-130939</v>
      </c>
      <c r="I77" s="111"/>
      <c r="J77" s="57">
        <f>H77/DAY(B2)</f>
        <v>-4364.6333333333332</v>
      </c>
      <c r="K77" s="82"/>
      <c r="L77" s="116"/>
    </row>
    <row r="78" spans="1:12" ht="23.25" customHeight="1" x14ac:dyDescent="0.35">
      <c r="A78" s="1548" t="s">
        <v>112</v>
      </c>
      <c r="B78" s="1549"/>
      <c r="C78" s="1550"/>
      <c r="D78" s="373" t="s">
        <v>214</v>
      </c>
      <c r="E78" s="55">
        <f>'29'!F79</f>
        <v>803472</v>
      </c>
      <c r="F78" s="268">
        <v>677157</v>
      </c>
      <c r="G78" s="322">
        <f t="shared" si="6"/>
        <v>-126315</v>
      </c>
      <c r="H78" s="56">
        <f>G78+'29'!H79</f>
        <v>-118095</v>
      </c>
      <c r="I78" s="111"/>
      <c r="J78" s="57">
        <f>H78/DAY(B2)</f>
        <v>-3936.5</v>
      </c>
      <c r="K78" s="82"/>
      <c r="L78" s="116"/>
    </row>
    <row r="79" spans="1:12" ht="23.25" customHeight="1" x14ac:dyDescent="0.35">
      <c r="A79" s="1548" t="s">
        <v>225</v>
      </c>
      <c r="B79" s="1549"/>
      <c r="C79" s="1550"/>
      <c r="D79" s="373" t="s">
        <v>214</v>
      </c>
      <c r="E79" s="55">
        <f>'29'!F80</f>
        <v>474910</v>
      </c>
      <c r="F79" s="268">
        <v>341072.6</v>
      </c>
      <c r="G79" s="322">
        <f t="shared" si="6"/>
        <v>-133837.40000000002</v>
      </c>
      <c r="H79" s="56">
        <f>G79+'29'!H80</f>
        <v>-126251.24000000005</v>
      </c>
      <c r="I79" s="111"/>
      <c r="J79" s="57">
        <f>H79/DAY(B2)</f>
        <v>-4208.3746666666684</v>
      </c>
      <c r="K79" s="82"/>
      <c r="L79" s="116"/>
    </row>
    <row r="80" spans="1:12" ht="23.25" customHeight="1" x14ac:dyDescent="0.35">
      <c r="A80" s="1548" t="s">
        <v>226</v>
      </c>
      <c r="B80" s="1549"/>
      <c r="C80" s="1550"/>
      <c r="D80" s="373" t="s">
        <v>214</v>
      </c>
      <c r="E80" s="55">
        <f>'29'!F81</f>
        <v>619004</v>
      </c>
      <c r="F80" s="268">
        <v>407588.2</v>
      </c>
      <c r="G80" s="322">
        <f t="shared" si="6"/>
        <v>-211415.8</v>
      </c>
      <c r="H80" s="56">
        <f>G80+'29'!H81</f>
        <v>-206800.32</v>
      </c>
      <c r="I80" s="111"/>
      <c r="J80" s="57">
        <f>H80/DAY(B2)</f>
        <v>-6893.3440000000001</v>
      </c>
      <c r="K80" s="82"/>
      <c r="L80" s="116"/>
    </row>
    <row r="81" spans="1:12" ht="23.25" customHeight="1" x14ac:dyDescent="0.35">
      <c r="A81" s="1554" t="s">
        <v>115</v>
      </c>
      <c r="B81" s="1549"/>
      <c r="C81" s="1550"/>
      <c r="D81" s="374" t="s">
        <v>159</v>
      </c>
      <c r="E81" s="55">
        <f>'29'!F82</f>
        <v>104378</v>
      </c>
      <c r="F81" s="269">
        <v>72586.12</v>
      </c>
      <c r="G81" s="322">
        <f t="shared" si="6"/>
        <v>-31791.880000000005</v>
      </c>
      <c r="H81" s="56">
        <f>G81+'29'!H82</f>
        <v>-30943.53</v>
      </c>
      <c r="I81" s="205"/>
      <c r="J81" s="57">
        <f>H81/DAY(B2)</f>
        <v>-1031.451</v>
      </c>
      <c r="K81" s="82"/>
      <c r="L81" s="116"/>
    </row>
    <row r="82" spans="1:12" ht="23.25" customHeight="1" x14ac:dyDescent="0.35">
      <c r="A82" s="1554" t="s">
        <v>227</v>
      </c>
      <c r="B82" s="1549"/>
      <c r="C82" s="1550"/>
      <c r="D82" s="270" t="s">
        <v>159</v>
      </c>
      <c r="E82" s="55">
        <f>'29'!F83</f>
        <v>972812</v>
      </c>
      <c r="F82" s="266">
        <v>725847</v>
      </c>
      <c r="G82" s="322">
        <f t="shared" si="6"/>
        <v>-246965</v>
      </c>
      <c r="H82" s="56">
        <f>G82+'29'!H83</f>
        <v>-236678</v>
      </c>
      <c r="I82" s="67"/>
      <c r="J82" s="57">
        <f>H82/DAY(B2)</f>
        <v>-7889.2666666666664</v>
      </c>
      <c r="K82" s="74"/>
      <c r="L82" s="116"/>
    </row>
    <row r="83" spans="1:12" ht="23.25" customHeight="1" x14ac:dyDescent="0.35">
      <c r="A83" s="1345" t="s">
        <v>228</v>
      </c>
      <c r="B83" s="1345"/>
      <c r="C83" s="1346"/>
      <c r="D83" s="376" t="s">
        <v>159</v>
      </c>
      <c r="E83" s="55">
        <f>'29'!F84</f>
        <v>396336</v>
      </c>
      <c r="F83" s="265">
        <v>960770</v>
      </c>
      <c r="G83" s="322">
        <f t="shared" si="6"/>
        <v>564434</v>
      </c>
      <c r="H83" s="56">
        <f>G83+'29'!H84</f>
        <v>579414</v>
      </c>
      <c r="I83" s="67"/>
      <c r="J83" s="57">
        <f>H83/DAY(B2)</f>
        <v>19313.8</v>
      </c>
      <c r="K83" s="87"/>
      <c r="L83" s="116"/>
    </row>
    <row r="84" spans="1:12" s="37" customFormat="1" ht="23.25" customHeight="1" x14ac:dyDescent="0.35">
      <c r="A84" s="443" t="s">
        <v>82</v>
      </c>
      <c r="B84" s="444"/>
      <c r="C84" s="444"/>
      <c r="D84" s="378"/>
      <c r="E84" s="316"/>
      <c r="F84" s="265"/>
      <c r="G84" s="396">
        <f xml:space="preserve"> SUM(G71:G83)</f>
        <v>-669818.08000000007</v>
      </c>
      <c r="H84" s="56">
        <f>G84+'29'!H85</f>
        <v>-601740.56000000017</v>
      </c>
      <c r="I84" s="67"/>
      <c r="J84" s="57">
        <f>H84/DAY(B2)</f>
        <v>-20058.018666666674</v>
      </c>
      <c r="K84" s="87"/>
      <c r="L84" s="43"/>
    </row>
    <row r="85" spans="1:12" s="37" customFormat="1" ht="23.25" customHeight="1" x14ac:dyDescent="0.35">
      <c r="A85" s="1350" t="s">
        <v>231</v>
      </c>
      <c r="B85" s="432"/>
      <c r="C85" s="1351"/>
      <c r="D85" s="518"/>
      <c r="E85" s="518"/>
      <c r="F85" s="518"/>
      <c r="G85" s="423"/>
      <c r="H85" s="518"/>
      <c r="I85" s="518"/>
      <c r="J85" s="518"/>
      <c r="K85" s="87"/>
      <c r="L85" s="43"/>
    </row>
    <row r="86" spans="1:12" ht="23.25" customHeight="1" x14ac:dyDescent="0.35">
      <c r="A86" s="1530" t="s">
        <v>233</v>
      </c>
      <c r="B86" s="1531"/>
      <c r="C86" s="1532"/>
      <c r="D86" s="265" t="s">
        <v>171</v>
      </c>
      <c r="E86" s="449">
        <f>'29'!F92</f>
        <v>233788</v>
      </c>
      <c r="F86" s="264">
        <v>175511</v>
      </c>
      <c r="G86" s="322">
        <f t="shared" ref="G86:G87" si="7">F86-E86</f>
        <v>-58277</v>
      </c>
      <c r="H86" s="56">
        <f>G86+'29'!H92</f>
        <v>-55464</v>
      </c>
      <c r="I86" s="68"/>
      <c r="J86" s="57">
        <f>H86/DAY(B2)</f>
        <v>-1848.8</v>
      </c>
      <c r="K86" s="74"/>
      <c r="L86" s="116"/>
    </row>
    <row r="87" spans="1:12" ht="23.25" customHeight="1" x14ac:dyDescent="0.35">
      <c r="A87" s="1530" t="s">
        <v>234</v>
      </c>
      <c r="B87" s="1531"/>
      <c r="C87" s="1532"/>
      <c r="D87" s="265" t="s">
        <v>171</v>
      </c>
      <c r="E87" s="55">
        <f>'29'!F93</f>
        <v>166674</v>
      </c>
      <c r="F87" s="264">
        <v>60336</v>
      </c>
      <c r="G87" s="322">
        <f t="shared" si="7"/>
        <v>-106338</v>
      </c>
      <c r="H87" s="56">
        <f>G87+'29'!H93</f>
        <v>-102306</v>
      </c>
      <c r="I87" s="68"/>
      <c r="J87" s="57">
        <f>H87/DAY(B2)</f>
        <v>-3410.2</v>
      </c>
      <c r="K87" s="87"/>
      <c r="L87" s="116"/>
    </row>
    <row r="88" spans="1:12" ht="23.25" customHeight="1" x14ac:dyDescent="0.35">
      <c r="A88" s="1551" t="s">
        <v>235</v>
      </c>
      <c r="B88" s="1552"/>
      <c r="C88" s="1553"/>
      <c r="D88" s="265"/>
      <c r="E88" s="55">
        <f>'29'!F94</f>
        <v>0</v>
      </c>
      <c r="F88" s="264"/>
      <c r="G88" s="322">
        <f>G86+G87</f>
        <v>-164615</v>
      </c>
      <c r="H88" s="56">
        <f>G88+'29'!H94</f>
        <v>-158033</v>
      </c>
      <c r="I88" s="68"/>
      <c r="J88" s="57">
        <f>H88/DAY(B2)</f>
        <v>-5267.7666666666664</v>
      </c>
      <c r="K88" s="87"/>
      <c r="L88" s="116"/>
    </row>
    <row r="89" spans="1:12" ht="23.25" customHeight="1" x14ac:dyDescent="0.35">
      <c r="A89" s="1530" t="s">
        <v>236</v>
      </c>
      <c r="B89" s="1531"/>
      <c r="C89" s="1532"/>
      <c r="D89" s="265" t="s">
        <v>171</v>
      </c>
      <c r="E89" s="55">
        <f>'29'!F95</f>
        <v>403525</v>
      </c>
      <c r="F89" s="264">
        <v>351186</v>
      </c>
      <c r="G89" s="322">
        <f t="shared" ref="G89:G94" si="8">F89-E89</f>
        <v>-52339</v>
      </c>
      <c r="H89" s="56">
        <f>G89+'29'!H95</f>
        <v>-50379</v>
      </c>
      <c r="I89" s="68"/>
      <c r="J89" s="57">
        <f>H89/DAY(B2)</f>
        <v>-1679.3</v>
      </c>
      <c r="K89" s="87"/>
      <c r="L89" s="116"/>
    </row>
    <row r="90" spans="1:12" ht="23.25" customHeight="1" x14ac:dyDescent="0.35">
      <c r="A90" s="1339" t="s">
        <v>237</v>
      </c>
      <c r="B90" s="1340"/>
      <c r="C90" s="1341"/>
      <c r="D90" s="265" t="s">
        <v>171</v>
      </c>
      <c r="E90" s="55">
        <v>72</v>
      </c>
      <c r="F90" s="264">
        <v>84</v>
      </c>
      <c r="G90" s="322">
        <f t="shared" si="8"/>
        <v>12</v>
      </c>
      <c r="H90" s="56">
        <f>G90+'29'!H96</f>
        <v>794</v>
      </c>
      <c r="I90" s="68"/>
      <c r="J90" s="57">
        <f>H90/DAY(B2)</f>
        <v>26.466666666666665</v>
      </c>
      <c r="K90" s="42"/>
      <c r="L90" s="116"/>
    </row>
    <row r="91" spans="1:12" ht="23.25" customHeight="1" x14ac:dyDescent="0.35">
      <c r="A91" s="1339" t="s">
        <v>238</v>
      </c>
      <c r="B91" s="1340"/>
      <c r="C91" s="1341"/>
      <c r="D91" s="265" t="s">
        <v>171</v>
      </c>
      <c r="E91" s="55">
        <f>'29'!F97</f>
        <v>94995</v>
      </c>
      <c r="F91" s="264">
        <v>82333</v>
      </c>
      <c r="G91" s="322">
        <f t="shared" si="8"/>
        <v>-12662</v>
      </c>
      <c r="H91" s="56">
        <f>G91+'29'!H97</f>
        <v>-11939</v>
      </c>
      <c r="I91" s="68"/>
      <c r="J91" s="57">
        <f>H91/DAY(B2)</f>
        <v>-397.96666666666664</v>
      </c>
      <c r="K91" s="50"/>
      <c r="L91" s="116"/>
    </row>
    <row r="92" spans="1:12" ht="23.25" customHeight="1" x14ac:dyDescent="0.35">
      <c r="A92" s="1339" t="s">
        <v>239</v>
      </c>
      <c r="B92" s="1340"/>
      <c r="C92" s="1341"/>
      <c r="D92" s="265" t="s">
        <v>171</v>
      </c>
      <c r="E92" s="55">
        <f>'29'!F98</f>
        <v>143697</v>
      </c>
      <c r="F92" s="264">
        <v>115948</v>
      </c>
      <c r="G92" s="322">
        <f t="shared" si="8"/>
        <v>-27749</v>
      </c>
      <c r="H92" s="56">
        <f>G92+'29'!H98</f>
        <v>-26198</v>
      </c>
      <c r="I92" s="68"/>
      <c r="J92" s="57">
        <f>H92/DAY(B2)</f>
        <v>-873.26666666666665</v>
      </c>
      <c r="K92" s="87"/>
      <c r="L92" s="116"/>
    </row>
    <row r="93" spans="1:12" ht="23.25" customHeight="1" x14ac:dyDescent="0.35">
      <c r="A93" s="1339" t="s">
        <v>240</v>
      </c>
      <c r="B93" s="1340"/>
      <c r="C93" s="1341"/>
      <c r="D93" s="265" t="s">
        <v>171</v>
      </c>
      <c r="E93" s="55">
        <f>'29'!F99</f>
        <v>5492</v>
      </c>
      <c r="F93" s="264">
        <v>2658</v>
      </c>
      <c r="G93" s="322">
        <f t="shared" si="8"/>
        <v>-2834</v>
      </c>
      <c r="H93" s="56">
        <f>G93+'29'!H99</f>
        <v>-2310</v>
      </c>
      <c r="I93" s="68"/>
      <c r="J93" s="57">
        <f>H93/DAY(B2)</f>
        <v>-77</v>
      </c>
      <c r="K93" s="87"/>
      <c r="L93" s="116"/>
    </row>
    <row r="94" spans="1:12" ht="23.25" customHeight="1" x14ac:dyDescent="0.35">
      <c r="A94" s="1339" t="s">
        <v>241</v>
      </c>
      <c r="B94" s="1340"/>
      <c r="C94" s="1341"/>
      <c r="D94" s="265" t="s">
        <v>171</v>
      </c>
      <c r="E94" s="55">
        <f>'29'!F100</f>
        <v>3941</v>
      </c>
      <c r="F94" s="264">
        <v>2507</v>
      </c>
      <c r="G94" s="322">
        <f t="shared" si="8"/>
        <v>-1434</v>
      </c>
      <c r="H94" s="56">
        <f>G94+'29'!H100</f>
        <v>-1289</v>
      </c>
      <c r="I94" s="68"/>
      <c r="J94" s="57">
        <f>H94/DAY(B2)</f>
        <v>-42.966666666666669</v>
      </c>
      <c r="K94" s="87"/>
      <c r="L94" s="116"/>
    </row>
    <row r="95" spans="1:12" ht="23.25" customHeight="1" x14ac:dyDescent="0.35">
      <c r="A95" s="1551" t="s">
        <v>242</v>
      </c>
      <c r="B95" s="1552"/>
      <c r="C95" s="1553"/>
      <c r="D95" s="271"/>
      <c r="E95" s="450"/>
      <c r="F95" s="271"/>
      <c r="G95" s="445">
        <f>SUM(G89:G94)</f>
        <v>-97006</v>
      </c>
      <c r="H95" s="56">
        <f>G95+'29'!H101</f>
        <v>-91321</v>
      </c>
      <c r="I95" s="139"/>
      <c r="J95" s="57">
        <f>H95/DAY(B2)</f>
        <v>-3044.0333333333333</v>
      </c>
      <c r="K95" s="87"/>
      <c r="L95" s="116"/>
    </row>
    <row r="96" spans="1:12" ht="23.25" customHeight="1" x14ac:dyDescent="0.35">
      <c r="A96" s="1555" t="s">
        <v>256</v>
      </c>
      <c r="B96" s="1556"/>
      <c r="C96" s="1557"/>
      <c r="D96" s="518"/>
      <c r="E96" s="518"/>
      <c r="F96" s="518"/>
      <c r="G96" s="422"/>
      <c r="H96" s="422"/>
      <c r="I96" s="422"/>
      <c r="J96" s="422"/>
      <c r="K96" s="87"/>
      <c r="L96" s="116"/>
    </row>
    <row r="97" spans="1:12" ht="23.25" customHeight="1" x14ac:dyDescent="0.35">
      <c r="A97" s="382" t="s">
        <v>257</v>
      </c>
      <c r="B97" s="383"/>
      <c r="C97" s="384"/>
      <c r="D97" s="316" t="s">
        <v>168</v>
      </c>
      <c r="E97" s="449">
        <f>'29'!F123</f>
        <v>794918</v>
      </c>
      <c r="F97" s="272">
        <v>650192.71</v>
      </c>
      <c r="G97" s="322">
        <f t="shared" ref="G97:G101" si="9">F97-E97</f>
        <v>-144725.29000000004</v>
      </c>
      <c r="H97" s="56">
        <f>G97+'29'!H123</f>
        <v>-138638.35999999999</v>
      </c>
      <c r="I97" s="86"/>
      <c r="J97" s="57">
        <f>H97/DAY(B2)</f>
        <v>-4621.2786666666661</v>
      </c>
      <c r="K97" s="87"/>
      <c r="L97" s="116"/>
    </row>
    <row r="98" spans="1:12" ht="23.25" customHeight="1" x14ac:dyDescent="0.35">
      <c r="A98" s="382" t="s">
        <v>258</v>
      </c>
      <c r="B98" s="383"/>
      <c r="C98" s="384"/>
      <c r="D98" s="316" t="s">
        <v>168</v>
      </c>
      <c r="E98" s="55">
        <f>'29'!F124</f>
        <v>73582.2</v>
      </c>
      <c r="F98" s="272">
        <v>51370</v>
      </c>
      <c r="G98" s="322">
        <f t="shared" si="9"/>
        <v>-22212.199999999997</v>
      </c>
      <c r="H98" s="56">
        <f>G98+'29'!H124</f>
        <v>-22212.199999999997</v>
      </c>
      <c r="I98" s="386"/>
      <c r="J98" s="57">
        <f>H98/DAY(B2)</f>
        <v>-740.40666666666652</v>
      </c>
      <c r="K98" s="87"/>
      <c r="L98" s="116"/>
    </row>
    <row r="99" spans="1:12" ht="23.25" customHeight="1" x14ac:dyDescent="0.35">
      <c r="A99" s="1536" t="s">
        <v>259</v>
      </c>
      <c r="B99" s="1537"/>
      <c r="C99" s="1538"/>
      <c r="D99" s="265" t="s">
        <v>168</v>
      </c>
      <c r="E99" s="55">
        <f>'29'!F125</f>
        <v>135448</v>
      </c>
      <c r="F99" s="261">
        <v>83294.490000000005</v>
      </c>
      <c r="G99" s="322">
        <f t="shared" si="9"/>
        <v>-52153.509999999995</v>
      </c>
      <c r="H99" s="56">
        <f>G99+'29'!H125</f>
        <v>-49828.39</v>
      </c>
      <c r="I99" s="386"/>
      <c r="J99" s="57">
        <f>H99/DAY(B2)</f>
        <v>-1660.9463333333333</v>
      </c>
      <c r="K99" s="87"/>
      <c r="L99" s="116"/>
    </row>
    <row r="100" spans="1:12" ht="23.25" customHeight="1" x14ac:dyDescent="0.35">
      <c r="A100" s="413" t="s">
        <v>260</v>
      </c>
      <c r="B100" s="1340"/>
      <c r="C100" s="1341"/>
      <c r="D100" s="265" t="s">
        <v>168</v>
      </c>
      <c r="E100" s="55">
        <f>'29'!F126</f>
        <v>57308.800000000003</v>
      </c>
      <c r="F100" s="261">
        <v>39666</v>
      </c>
      <c r="G100" s="322">
        <f t="shared" si="9"/>
        <v>-17642.800000000003</v>
      </c>
      <c r="H100" s="56">
        <f>G100+'29'!H126</f>
        <v>-16682.199999999997</v>
      </c>
      <c r="I100" s="386"/>
      <c r="J100" s="57">
        <f>H100/DAY(B2)</f>
        <v>-556.07333333333327</v>
      </c>
      <c r="K100" s="87"/>
      <c r="L100" s="116"/>
    </row>
    <row r="101" spans="1:12" ht="23.25" customHeight="1" x14ac:dyDescent="0.35">
      <c r="A101" s="413" t="s">
        <v>261</v>
      </c>
      <c r="B101" s="1340"/>
      <c r="C101" s="1341"/>
      <c r="D101" s="265" t="s">
        <v>168</v>
      </c>
      <c r="E101" s="55">
        <f>'29'!F127</f>
        <v>8699</v>
      </c>
      <c r="F101" s="261">
        <v>6221.3</v>
      </c>
      <c r="G101" s="322">
        <f t="shared" si="9"/>
        <v>-2477.6999999999998</v>
      </c>
      <c r="H101" s="56">
        <f>G101+'29'!H127</f>
        <v>-2418.8000000000002</v>
      </c>
      <c r="I101" s="323"/>
      <c r="J101" s="311">
        <f>H101/DAY(B2)</f>
        <v>-80.626666666666679</v>
      </c>
      <c r="K101" s="87"/>
      <c r="L101" s="116"/>
    </row>
    <row r="102" spans="1:12" ht="23.25" customHeight="1" x14ac:dyDescent="0.35">
      <c r="A102" s="1558" t="s">
        <v>276</v>
      </c>
      <c r="B102" s="1559"/>
      <c r="C102" s="518"/>
      <c r="D102" s="518"/>
      <c r="E102" s="451"/>
      <c r="F102" s="518"/>
      <c r="G102" s="422"/>
      <c r="H102" s="422"/>
      <c r="I102" s="422"/>
      <c r="J102" s="422"/>
      <c r="K102" s="87"/>
      <c r="L102" s="116"/>
    </row>
    <row r="103" spans="1:12" ht="23.25" customHeight="1" x14ac:dyDescent="0.35">
      <c r="A103" s="1530" t="s">
        <v>277</v>
      </c>
      <c r="B103" s="1531"/>
      <c r="C103" s="1532"/>
      <c r="D103" s="265" t="s">
        <v>159</v>
      </c>
      <c r="E103" s="265"/>
      <c r="F103" s="265"/>
      <c r="G103" s="274">
        <f>G34+G42+G48+G56</f>
        <v>806228.67999999993</v>
      </c>
      <c r="H103" s="56">
        <f>G103+'29'!H142</f>
        <v>950713.03299999982</v>
      </c>
      <c r="I103" s="68"/>
      <c r="J103" s="57">
        <f>H103/DAY(B2)</f>
        <v>31690.434433333328</v>
      </c>
      <c r="K103" s="87"/>
      <c r="L103" s="116"/>
    </row>
    <row r="104" spans="1:12" ht="23.25" customHeight="1" x14ac:dyDescent="0.35">
      <c r="A104" s="1530" t="s">
        <v>278</v>
      </c>
      <c r="B104" s="1531"/>
      <c r="C104" s="1532"/>
      <c r="D104" s="265" t="s">
        <v>38</v>
      </c>
      <c r="E104" s="266"/>
      <c r="F104" s="266"/>
      <c r="G104" s="277">
        <f>G103/G7</f>
        <v>2.1985222812661318</v>
      </c>
      <c r="H104" s="56">
        <f>G104+'29'!H143</f>
        <v>9.2671637773550195</v>
      </c>
      <c r="I104" s="83"/>
      <c r="J104" s="57">
        <f>H104/DAY(B2)</f>
        <v>0.30890545924516732</v>
      </c>
      <c r="K104" s="110"/>
      <c r="L104" s="116"/>
    </row>
    <row r="105" spans="1:12" ht="23.25" customHeight="1" x14ac:dyDescent="0.35">
      <c r="A105" s="1530" t="s">
        <v>279</v>
      </c>
      <c r="B105" s="1531"/>
      <c r="C105" s="1532"/>
      <c r="D105" s="265" t="s">
        <v>159</v>
      </c>
      <c r="E105" s="262"/>
      <c r="F105" s="262"/>
      <c r="G105" s="274">
        <f>G40+G41+G54+G55</f>
        <v>2443352.7400000002</v>
      </c>
      <c r="H105" s="56">
        <f>G105+'29'!H144</f>
        <v>2572509.35</v>
      </c>
      <c r="I105" s="68"/>
      <c r="J105" s="57">
        <f>H105/DAY(B2)</f>
        <v>85750.311666666676</v>
      </c>
      <c r="K105" s="110"/>
      <c r="L105" s="116"/>
    </row>
    <row r="106" spans="1:12" ht="23.25" customHeight="1" x14ac:dyDescent="0.35">
      <c r="A106" s="1530" t="s">
        <v>280</v>
      </c>
      <c r="B106" s="1531"/>
      <c r="C106" s="1532"/>
      <c r="D106" s="265" t="s">
        <v>38</v>
      </c>
      <c r="E106" s="262"/>
      <c r="F106" s="262"/>
      <c r="G106" s="277">
        <f>G105/G7</f>
        <v>6.6628309971342805</v>
      </c>
      <c r="H106" s="56">
        <f>G106+'29'!H145</f>
        <v>13.083419309713548</v>
      </c>
      <c r="I106" s="83"/>
      <c r="J106" s="57">
        <f>H106/DAY(B2)</f>
        <v>0.43611397699045162</v>
      </c>
      <c r="K106" s="110"/>
      <c r="L106" s="116"/>
    </row>
    <row r="107" spans="1:12" ht="23.25" customHeight="1" x14ac:dyDescent="0.35">
      <c r="A107" s="1530" t="s">
        <v>281</v>
      </c>
      <c r="B107" s="1531"/>
      <c r="C107" s="1532"/>
      <c r="D107" s="265" t="s">
        <v>159</v>
      </c>
      <c r="E107" s="262"/>
      <c r="F107" s="262"/>
      <c r="G107" s="274">
        <f>G38+G52</f>
        <v>1912828.32</v>
      </c>
      <c r="H107" s="56">
        <f>G107+'29'!H146</f>
        <v>2035673.683</v>
      </c>
      <c r="I107" s="85"/>
      <c r="J107" s="57">
        <f>H107/DAY(B2)</f>
        <v>67855.789433333339</v>
      </c>
      <c r="K107" s="110"/>
      <c r="L107" s="116"/>
    </row>
    <row r="108" spans="1:12" ht="23.25" customHeight="1" x14ac:dyDescent="0.35">
      <c r="A108" s="1530" t="s">
        <v>282</v>
      </c>
      <c r="B108" s="1531"/>
      <c r="C108" s="1532"/>
      <c r="D108" s="265" t="s">
        <v>38</v>
      </c>
      <c r="E108" s="262"/>
      <c r="F108" s="262"/>
      <c r="G108" s="277">
        <f>G107/G7</f>
        <v>5.2161325763762996</v>
      </c>
      <c r="H108" s="56">
        <f>G108+'29'!H147</f>
        <v>11.369071749422428</v>
      </c>
      <c r="I108" s="85"/>
      <c r="J108" s="57">
        <f>H108/DAY(B2)</f>
        <v>0.37896905831408095</v>
      </c>
    </row>
    <row r="109" spans="1:12" ht="23.25" customHeight="1" x14ac:dyDescent="0.35">
      <c r="A109" s="1530" t="s">
        <v>283</v>
      </c>
      <c r="B109" s="1531"/>
      <c r="C109" s="1532"/>
      <c r="D109" s="265" t="s">
        <v>210</v>
      </c>
      <c r="E109" s="262"/>
      <c r="F109" s="262"/>
      <c r="G109" s="274">
        <f>G37+G51</f>
        <v>1339669.8799999999</v>
      </c>
      <c r="H109" s="56">
        <f>G109+'29'!H148</f>
        <v>1397730.3199999998</v>
      </c>
      <c r="I109" s="68"/>
      <c r="J109" s="57">
        <f>H109/DAY(B2)</f>
        <v>46591.010666666662</v>
      </c>
      <c r="K109" s="152"/>
    </row>
    <row r="110" spans="1:12" ht="23.25" customHeight="1" x14ac:dyDescent="0.35">
      <c r="A110" s="1530" t="s">
        <v>284</v>
      </c>
      <c r="B110" s="1531"/>
      <c r="C110" s="1532"/>
      <c r="D110" s="265" t="s">
        <v>38</v>
      </c>
      <c r="E110" s="262"/>
      <c r="F110" s="262"/>
      <c r="G110" s="277">
        <f>G109/G7</f>
        <v>3.6531745319716546</v>
      </c>
      <c r="H110" s="56">
        <f>G110+'29'!H149</f>
        <v>6.5537681315250165</v>
      </c>
      <c r="I110" s="85"/>
      <c r="J110" s="57">
        <f>H110/DAY(B2)</f>
        <v>0.21845893771750055</v>
      </c>
    </row>
    <row r="111" spans="1:12" ht="23.25" customHeight="1" x14ac:dyDescent="0.35">
      <c r="A111" s="1530" t="s">
        <v>285</v>
      </c>
      <c r="B111" s="1531"/>
      <c r="C111" s="1532"/>
      <c r="D111" s="265" t="s">
        <v>210</v>
      </c>
      <c r="E111" s="262"/>
      <c r="F111" s="262"/>
      <c r="G111" s="274">
        <f>G35+G49</f>
        <v>815525.40999999992</v>
      </c>
      <c r="H111" s="56">
        <f>G111+'29'!H150</f>
        <v>877121.39999999991</v>
      </c>
      <c r="I111" s="85"/>
      <c r="J111" s="57">
        <f>H111/DAY(B2)</f>
        <v>29237.379999999997</v>
      </c>
    </row>
    <row r="112" spans="1:12" ht="23.25" customHeight="1" x14ac:dyDescent="0.35">
      <c r="A112" s="1530" t="s">
        <v>286</v>
      </c>
      <c r="B112" s="1531"/>
      <c r="C112" s="1532"/>
      <c r="D112" s="265" t="s">
        <v>38</v>
      </c>
      <c r="E112" s="262"/>
      <c r="F112" s="262"/>
      <c r="G112" s="277">
        <f>G111/G7</f>
        <v>2.2238737337199384</v>
      </c>
      <c r="H112" s="56">
        <f>G112+'29'!H151</f>
        <v>5.2889098383351083</v>
      </c>
      <c r="I112" s="68"/>
      <c r="J112" s="57">
        <f>H112/DAY(B2)</f>
        <v>0.17629699461117027</v>
      </c>
    </row>
    <row r="113" spans="1:10" ht="23.25" customHeight="1" x14ac:dyDescent="0.35">
      <c r="A113" s="1530" t="s">
        <v>287</v>
      </c>
      <c r="B113" s="1531"/>
      <c r="C113" s="1532"/>
      <c r="D113" s="265" t="s">
        <v>210</v>
      </c>
      <c r="E113" s="262"/>
      <c r="F113" s="262"/>
      <c r="G113" s="274">
        <f>G36+G50</f>
        <v>467907.93999999994</v>
      </c>
      <c r="H113" s="56">
        <f>G113+'29'!H152</f>
        <v>510424.45299999992</v>
      </c>
      <c r="I113" s="68"/>
      <c r="J113" s="57">
        <f>H113/DAY(B2)</f>
        <v>17014.148433333332</v>
      </c>
    </row>
    <row r="114" spans="1:10" ht="23.25" customHeight="1" x14ac:dyDescent="0.35">
      <c r="A114" s="1530" t="s">
        <v>288</v>
      </c>
      <c r="B114" s="1531"/>
      <c r="C114" s="1532"/>
      <c r="D114" s="265" t="s">
        <v>38</v>
      </c>
      <c r="E114" s="262"/>
      <c r="F114" s="262"/>
      <c r="G114" s="277">
        <f>G113/G7</f>
        <v>1.2759481983093635</v>
      </c>
      <c r="H114" s="56">
        <f>G114+'29'!H153</f>
        <v>3.515145273882581</v>
      </c>
      <c r="I114" s="68"/>
      <c r="J114" s="57">
        <f>H114/DAY(B2)</f>
        <v>0.11717150912941937</v>
      </c>
    </row>
    <row r="115" spans="1:10" ht="23.25" customHeight="1" x14ac:dyDescent="0.35">
      <c r="A115" s="419" t="s">
        <v>263</v>
      </c>
      <c r="B115" s="419"/>
      <c r="C115" s="419"/>
      <c r="D115" s="419"/>
      <c r="E115" s="419"/>
      <c r="F115" s="419"/>
      <c r="G115" s="433"/>
      <c r="H115" s="433"/>
      <c r="I115" s="433"/>
      <c r="J115" s="433"/>
    </row>
    <row r="116" spans="1:10" ht="23.25" customHeight="1" x14ac:dyDescent="0.35">
      <c r="A116" s="519" t="s">
        <v>264</v>
      </c>
      <c r="B116" s="519"/>
      <c r="C116" s="519"/>
      <c r="D116" s="265" t="s">
        <v>265</v>
      </c>
      <c r="E116" s="449">
        <f>'29'!F130</f>
        <v>0</v>
      </c>
      <c r="F116" s="264">
        <v>0</v>
      </c>
      <c r="G116" s="322">
        <f t="shared" ref="G116:G126" si="10">F116-E116</f>
        <v>0</v>
      </c>
      <c r="H116" s="56">
        <f>G116+'29'!H130</f>
        <v>0</v>
      </c>
      <c r="I116" s="68"/>
      <c r="J116" s="57">
        <f>H116/DAY(B2)</f>
        <v>0</v>
      </c>
    </row>
    <row r="117" spans="1:10" ht="23.25" customHeight="1" x14ac:dyDescent="0.35">
      <c r="A117" s="519" t="s">
        <v>266</v>
      </c>
      <c r="B117" s="519"/>
      <c r="C117" s="519"/>
      <c r="D117" s="265" t="s">
        <v>265</v>
      </c>
      <c r="E117" s="55">
        <f>'29'!F131</f>
        <v>0</v>
      </c>
      <c r="F117" s="264">
        <v>0</v>
      </c>
      <c r="G117" s="322">
        <f t="shared" si="10"/>
        <v>0</v>
      </c>
      <c r="H117" s="56">
        <f>G117+'29'!H131</f>
        <v>0</v>
      </c>
      <c r="I117" s="68"/>
      <c r="J117" s="57">
        <f>H117/DAY(B2)</f>
        <v>0</v>
      </c>
    </row>
    <row r="118" spans="1:10" ht="23.25" customHeight="1" x14ac:dyDescent="0.35">
      <c r="A118" s="519" t="s">
        <v>267</v>
      </c>
      <c r="B118" s="519"/>
      <c r="C118" s="519"/>
      <c r="D118" s="265" t="s">
        <v>265</v>
      </c>
      <c r="E118" s="55">
        <f>'29'!F132</f>
        <v>38901</v>
      </c>
      <c r="F118" s="264">
        <v>36196</v>
      </c>
      <c r="G118" s="322">
        <f t="shared" si="10"/>
        <v>-2705</v>
      </c>
      <c r="H118" s="56">
        <f>G118+'29'!H132</f>
        <v>-2705</v>
      </c>
      <c r="I118" s="68"/>
      <c r="J118" s="57">
        <f>H118/DAY(B2)</f>
        <v>-90.166666666666671</v>
      </c>
    </row>
    <row r="119" spans="1:10" ht="23.25" customHeight="1" x14ac:dyDescent="0.35">
      <c r="A119" s="519" t="s">
        <v>268</v>
      </c>
      <c r="B119" s="519"/>
      <c r="C119" s="519"/>
      <c r="D119" s="265" t="s">
        <v>265</v>
      </c>
      <c r="E119" s="55">
        <f>'29'!F133</f>
        <v>299</v>
      </c>
      <c r="F119" s="264">
        <v>32397.32</v>
      </c>
      <c r="G119" s="322">
        <f t="shared" si="10"/>
        <v>32098.32</v>
      </c>
      <c r="H119" s="56">
        <f>G119+'29'!H133</f>
        <v>32397.32</v>
      </c>
      <c r="I119" s="68">
        <f>G116+G117+G118+G119</f>
        <v>29393.32</v>
      </c>
      <c r="J119" s="57">
        <f>H119/DAY(B2)</f>
        <v>1079.9106666666667</v>
      </c>
    </row>
    <row r="120" spans="1:10" ht="23.25" customHeight="1" x14ac:dyDescent="0.35">
      <c r="A120" s="519" t="s">
        <v>269</v>
      </c>
      <c r="B120" s="519"/>
      <c r="C120" s="519"/>
      <c r="D120" s="265" t="s">
        <v>265</v>
      </c>
      <c r="E120" s="55">
        <f>'29'!F134</f>
        <v>39735</v>
      </c>
      <c r="F120" s="264">
        <v>30495.25</v>
      </c>
      <c r="G120" s="322">
        <f t="shared" si="10"/>
        <v>-9239.75</v>
      </c>
      <c r="H120" s="56">
        <f>G120+'29'!H134</f>
        <v>-9215.75</v>
      </c>
      <c r="I120" s="68"/>
      <c r="J120" s="57">
        <f>H120/DAY(B2)</f>
        <v>-307.19166666666666</v>
      </c>
    </row>
    <row r="121" spans="1:10" ht="23.25" customHeight="1" x14ac:dyDescent="0.35">
      <c r="A121" s="519" t="s">
        <v>270</v>
      </c>
      <c r="B121" s="519"/>
      <c r="C121" s="519"/>
      <c r="D121" s="265" t="s">
        <v>265</v>
      </c>
      <c r="E121" s="55">
        <f>'29'!F135</f>
        <v>32119.26</v>
      </c>
      <c r="F121" s="264">
        <v>25683.26</v>
      </c>
      <c r="G121" s="322">
        <f t="shared" si="10"/>
        <v>-6436</v>
      </c>
      <c r="H121" s="56">
        <f>G121+'29'!H135</f>
        <v>-6278.7400000000016</v>
      </c>
      <c r="I121" s="68"/>
      <c r="J121" s="57">
        <f>H121/DAY(B2)</f>
        <v>-209.2913333333334</v>
      </c>
    </row>
    <row r="122" spans="1:10" ht="23.25" customHeight="1" x14ac:dyDescent="0.35">
      <c r="A122" s="519" t="s">
        <v>271</v>
      </c>
      <c r="B122" s="519"/>
      <c r="C122" s="519"/>
      <c r="D122" s="265" t="s">
        <v>265</v>
      </c>
      <c r="E122" s="55">
        <f>'29'!F136</f>
        <v>21795.37</v>
      </c>
      <c r="F122" s="264">
        <v>21285.49</v>
      </c>
      <c r="G122" s="322">
        <f t="shared" si="10"/>
        <v>-509.87999999999738</v>
      </c>
      <c r="H122" s="56">
        <f>G122+'29'!H136</f>
        <v>-389.22999999999956</v>
      </c>
      <c r="I122" s="68">
        <f>G120+G121+G122</f>
        <v>-16185.629999999997</v>
      </c>
      <c r="J122" s="57">
        <f>H122/DAY(B2)</f>
        <v>-12.974333333333318</v>
      </c>
    </row>
    <row r="123" spans="1:10" ht="23.25" customHeight="1" x14ac:dyDescent="0.35">
      <c r="A123" s="519" t="s">
        <v>272</v>
      </c>
      <c r="B123" s="519"/>
      <c r="C123" s="519"/>
      <c r="D123" s="265" t="s">
        <v>265</v>
      </c>
      <c r="E123" s="55">
        <f>'29'!F137</f>
        <v>24982.87</v>
      </c>
      <c r="F123" s="264">
        <v>22354.720000000001</v>
      </c>
      <c r="G123" s="322">
        <f t="shared" si="10"/>
        <v>-2628.1499999999978</v>
      </c>
      <c r="H123" s="56">
        <f>G123+'29'!H137</f>
        <v>-2604.3099999999977</v>
      </c>
      <c r="I123" s="68"/>
      <c r="J123" s="57">
        <f>H123/DAY(B2)</f>
        <v>-86.810333333333261</v>
      </c>
    </row>
    <row r="124" spans="1:10" ht="23.25" customHeight="1" x14ac:dyDescent="0.35">
      <c r="A124" s="519" t="s">
        <v>273</v>
      </c>
      <c r="B124" s="519"/>
      <c r="C124" s="519"/>
      <c r="D124" s="265" t="s">
        <v>265</v>
      </c>
      <c r="E124" s="55">
        <f>'29'!F138</f>
        <v>70006.37</v>
      </c>
      <c r="F124" s="264">
        <v>64789.37</v>
      </c>
      <c r="G124" s="322">
        <f t="shared" si="10"/>
        <v>-5216.9999999999927</v>
      </c>
      <c r="H124" s="56">
        <f>G124+'29'!H138</f>
        <v>-5196.6299999999974</v>
      </c>
      <c r="I124" s="68">
        <f>G123+G124</f>
        <v>-7845.1499999999905</v>
      </c>
      <c r="J124" s="57">
        <f>H124/DAY(B2)</f>
        <v>-173.22099999999992</v>
      </c>
    </row>
    <row r="125" spans="1:10" ht="23.25" customHeight="1" x14ac:dyDescent="0.35">
      <c r="A125" s="519" t="s">
        <v>274</v>
      </c>
      <c r="B125" s="519"/>
      <c r="C125" s="519"/>
      <c r="D125" s="265" t="s">
        <v>265</v>
      </c>
      <c r="E125" s="55">
        <f>'29'!F139</f>
        <v>1063</v>
      </c>
      <c r="F125" s="264">
        <v>17.899999999999999</v>
      </c>
      <c r="G125" s="322">
        <f t="shared" si="10"/>
        <v>-1045.0999999999999</v>
      </c>
      <c r="H125" s="56">
        <f>G125+'29'!H139</f>
        <v>-923.62999999999988</v>
      </c>
      <c r="J125" s="57">
        <f>H125/DAY(B2)</f>
        <v>-30.787666666666663</v>
      </c>
    </row>
    <row r="126" spans="1:10" ht="23.25" customHeight="1" thickBot="1" x14ac:dyDescent="0.4">
      <c r="A126" s="519" t="s">
        <v>275</v>
      </c>
      <c r="B126" s="519"/>
      <c r="C126" s="519"/>
      <c r="D126" s="265" t="s">
        <v>265</v>
      </c>
      <c r="E126" s="452">
        <f>'29'!F140</f>
        <v>4215.7700000000004</v>
      </c>
      <c r="F126" s="264">
        <v>603.07000000000005</v>
      </c>
      <c r="G126" s="322">
        <f t="shared" si="10"/>
        <v>-3612.7000000000003</v>
      </c>
      <c r="H126" s="56">
        <f>G126+'29'!H140</f>
        <v>-3553.8299999999995</v>
      </c>
      <c r="J126" s="57">
        <f>H126/DAY(B2)</f>
        <v>-118.46099999999998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"/>
  <sheetViews>
    <sheetView workbookViewId="0">
      <selection activeCell="A37" sqref="A37"/>
    </sheetView>
  </sheetViews>
  <sheetFormatPr defaultRowHeight="15.75" x14ac:dyDescent="0.25"/>
  <sheetData>
    <row r="3" spans="1:9" x14ac:dyDescent="0.25">
      <c r="A3" s="212">
        <f>'1'!G7</f>
        <v>19245</v>
      </c>
      <c r="B3" s="212"/>
      <c r="C3" s="212"/>
      <c r="D3" s="212"/>
      <c r="E3" s="212"/>
      <c r="F3" s="212"/>
      <c r="G3" s="212"/>
      <c r="H3" s="212"/>
      <c r="I3" s="212"/>
    </row>
    <row r="4" spans="1:9" x14ac:dyDescent="0.25">
      <c r="A4" s="212">
        <f>'2'!G7</f>
        <v>19450</v>
      </c>
      <c r="B4" s="212"/>
    </row>
    <row r="5" spans="1:9" x14ac:dyDescent="0.25">
      <c r="A5" s="212">
        <f>'3'!G7</f>
        <v>18679</v>
      </c>
    </row>
    <row r="6" spans="1:9" x14ac:dyDescent="0.25">
      <c r="A6" s="212">
        <f>'4'!G7</f>
        <v>19611</v>
      </c>
    </row>
    <row r="7" spans="1:9" x14ac:dyDescent="0.25">
      <c r="A7" s="212">
        <f>'5'!G7</f>
        <v>19138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26</vt:i4>
      </vt:variant>
    </vt:vector>
  </HeadingPairs>
  <TitlesOfParts>
    <vt:vector size="65" baseType="lpstr">
      <vt:lpstr>TOTAL</vt:lpstr>
      <vt:lpstr>Daily HLP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Manager/>
  <Company>FS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mum.engg</dc:creator>
  <cp:keywords/>
  <dc:description/>
  <cp:lastModifiedBy>Joe El Khoury</cp:lastModifiedBy>
  <cp:revision/>
  <dcterms:created xsi:type="dcterms:W3CDTF">2013-11-14T06:06:34Z</dcterms:created>
  <dcterms:modified xsi:type="dcterms:W3CDTF">2021-05-25T10:07:39Z</dcterms:modified>
  <cp:category/>
  <cp:contentStatus/>
</cp:coreProperties>
</file>