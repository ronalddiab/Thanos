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6B5EA4E6-7E5A-443B-BFA5-0EAB5C9453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5" r:id="rId1"/>
    <sheet name="Submetering" sheetId="9" r:id="rId2"/>
    <sheet name="Hotel" sheetId="7" r:id="rId3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s="1"/>
  <c r="AX7" i="7" l="1"/>
  <c r="AW7" i="7"/>
  <c r="B39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AX29" i="7" l="1"/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S32" i="9" l="1"/>
  <c r="R32" i="9" l="1"/>
  <c r="Q37" i="7"/>
  <c r="F32" i="9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X36" i="7"/>
  <c r="R31" i="9"/>
  <c r="G31" i="5" s="1"/>
  <c r="AD37" i="7"/>
  <c r="AM37" i="7"/>
  <c r="AX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<sst xmlns="http://schemas.openxmlformats.org/spreadsheetml/2006/main" count="129" uniqueCount="50">
  <si>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</si>
  <si>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</si>
  <si>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</si>
  <si>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</si>
  <si>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</si>
  <si>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</si>
  <si>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</si>
  <si>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</si>
  <si>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</si>
  <si>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</si>
  <si>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</si>
  <si>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</si>
  <si>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</si>
  <si>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</si>
  <si>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</si>
  <si>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</si>
  <si>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</si>
  <si>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</si>
  <si>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</si>
  <si>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</si>
  <si>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</si>
  <si>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</si>
  <si>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</si>
  <si>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</si>
  <si>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</si>
  <si>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</si>
  <si>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</si>
  <si>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</si>
  <si>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</si>
  <si>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</si>
  <si>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</si>
  <si>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</si>
  <si>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</si>
  <si>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</si>
  <si>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</si>
  <si>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</si>
  <si>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</si>
  <si>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</si>
  <si>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</si>
  <si>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</si>
  <si>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</si>
  <si>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</si>
  <si>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</si>
  <si>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</si>
  <si>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</si>
  <si>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</si>
  <si>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</si>
  <si>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</si>
  <si>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April</t>
  </si>
  <si>
    <t>Consumption Cubic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</si>
</sst>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64" fontId="0" fillId="0" borderId="0" xfId="0" applyNumberFormat="1" applyBorder="1"/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I32"/>
  <sheetViews>
    <sheetView tabSelected="1" zoomScale="130" zoomScaleNormal="130" workbookViewId="0">
      <selection activeCell="H2" sqref="H2"/>
    </sheetView>
  </sheetViews>
  <sheetFormatPr defaultColWidth="11.5546875" defaultRowHeight="14.4" x14ac:dyDescent="0.3"/>
  <cols>
    <col min="1" max="1" width="15" style="2" customWidth="1"/>
    <col min="2" max="2" width="11.5546875" style="2"/>
    <col min="3" max="3" width="11.5546875" style="10"/>
    <col min="4" max="4" width="13.44140625" style="2" customWidth="1"/>
    <col min="5" max="5" width="13" style="8" customWidth="1"/>
    <col min="6" max="6" width="12.5546875" style="2" customWidth="1"/>
    <col min="7" max="8" width="11.5546875" style="2"/>
    <col min="9" max="9" width="11.5546875" style="4"/>
  </cols>
  <sheetData>
    <row r="1" spans="1:9" s="1" customFormat="1" ht="43.2" x14ac:dyDescent="0.3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3">
      <c r="A2" s="21" t="s">
        <v>31</v>
      </c>
      <c r="B2" s="11">
        <v>1</v>
      </c>
      <c r="C2" s="3">
        <v>4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59200</v>
      </c>
      <c r="F2" s="11">
        <v>5.0000000000000001E-3</v>
      </c>
      <c r="G2" s="12">
        <f>Submetering!R2</f>
        <v>648.44073300000002</v>
      </c>
      <c r="H2" s="11">
        <v>0.52800000000000002</v>
      </c>
      <c r="I2" s="12">
        <f>Hotel!B7</f>
        <v>59</v>
      </c>
    </row>
    <row r="3" spans="1:9" s="15" customFormat="1" x14ac:dyDescent="0.3">
      <c r="A3" s="21" t="s">
        <v>31</v>
      </c>
      <c r="B3" s="14">
        <f>B2+1</f>
        <v>2</v>
      </c>
      <c r="C3" s="3">
        <v>4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60770</v>
      </c>
      <c r="F3" s="11">
        <v>5.0000000000000001E-3</v>
      </c>
      <c r="G3" s="12">
        <f>Submetering!R3</f>
        <v>543.96341699999994</v>
      </c>
      <c r="H3" s="11">
        <v>0.52800000000000002</v>
      </c>
      <c r="I3" s="12">
        <f>Hotel!B8</f>
        <v>21</v>
      </c>
    </row>
    <row r="4" spans="1:9" s="15" customFormat="1" x14ac:dyDescent="0.3">
      <c r="A4" s="21" t="s">
        <v>31</v>
      </c>
      <c r="B4" s="14">
        <f t="shared" ref="B4:B32" si="0">B3+1</f>
        <v>3</v>
      </c>
      <c r="C4" s="3">
        <v>4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57620</v>
      </c>
      <c r="F4" s="11">
        <v>5.0000000000000001E-3</v>
      </c>
      <c r="G4" s="12">
        <f>Submetering!R4</f>
        <v>569.70420499999989</v>
      </c>
      <c r="H4" s="11">
        <v>0.52800000000000002</v>
      </c>
      <c r="I4" s="12">
        <f>Hotel!B9</f>
        <v>22</v>
      </c>
    </row>
    <row r="5" spans="1:9" s="15" customFormat="1" x14ac:dyDescent="0.3">
      <c r="A5" s="21" t="s">
        <v>31</v>
      </c>
      <c r="B5" s="14">
        <f t="shared" si="0"/>
        <v>4</v>
      </c>
      <c r="C5" s="3">
        <v>4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58870</v>
      </c>
      <c r="F5" s="11">
        <v>5.0000000000000001E-3</v>
      </c>
      <c r="G5" s="12">
        <f>Submetering!R5</f>
        <v>738.53349100000003</v>
      </c>
      <c r="H5" s="11">
        <v>0.52800000000000002</v>
      </c>
      <c r="I5" s="12">
        <f>Hotel!B10</f>
        <v>26</v>
      </c>
    </row>
    <row r="6" spans="1:9" s="15" customFormat="1" x14ac:dyDescent="0.3">
      <c r="A6" s="21" t="s">
        <v>31</v>
      </c>
      <c r="B6" s="14">
        <f t="shared" si="0"/>
        <v>5</v>
      </c>
      <c r="C6" s="3">
        <v>4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55060</v>
      </c>
      <c r="F6" s="11">
        <v>5.0000000000000001E-3</v>
      </c>
      <c r="G6" s="12">
        <f>Submetering!R6</f>
        <v>763.13865599999997</v>
      </c>
      <c r="H6" s="11">
        <v>0.52800000000000002</v>
      </c>
      <c r="I6" s="12">
        <f>Hotel!B11</f>
        <v>25</v>
      </c>
    </row>
    <row r="7" spans="1:9" s="15" customFormat="1" x14ac:dyDescent="0.3">
      <c r="A7" s="21" t="s">
        <v>31</v>
      </c>
      <c r="B7" s="14">
        <f t="shared" si="0"/>
        <v>6</v>
      </c>
      <c r="C7" s="3">
        <v>4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56690</v>
      </c>
      <c r="F7" s="11">
        <v>5.0000000000000001E-3</v>
      </c>
      <c r="G7" s="12">
        <f>Submetering!R7</f>
        <v>824.46229799999992</v>
      </c>
      <c r="H7" s="11">
        <v>0.52800000000000002</v>
      </c>
      <c r="I7" s="12">
        <f>Hotel!B12</f>
        <v>29</v>
      </c>
    </row>
    <row r="8" spans="1:9" s="15" customFormat="1" x14ac:dyDescent="0.3">
      <c r="A8" s="21" t="s">
        <v>31</v>
      </c>
      <c r="B8" s="14">
        <f t="shared" si="0"/>
        <v>7</v>
      </c>
      <c r="C8" s="3">
        <v>4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58000</v>
      </c>
      <c r="F8" s="11">
        <v>5.0000000000000001E-3</v>
      </c>
      <c r="G8" s="12">
        <f>Submetering!R8</f>
        <v>515.57284200000004</v>
      </c>
      <c r="H8" s="11">
        <v>0.52800000000000002</v>
      </c>
      <c r="I8" s="12">
        <f>Hotel!B13</f>
        <v>39</v>
      </c>
    </row>
    <row r="9" spans="1:9" s="15" customFormat="1" x14ac:dyDescent="0.3">
      <c r="A9" s="21" t="s">
        <v>31</v>
      </c>
      <c r="B9" s="14">
        <f t="shared" si="0"/>
        <v>8</v>
      </c>
      <c r="C9" s="3">
        <v>4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58070</v>
      </c>
      <c r="F9" s="11">
        <v>5.0000000000000001E-3</v>
      </c>
      <c r="G9" s="12">
        <f>Submetering!R9</f>
        <v>517.08700599999997</v>
      </c>
      <c r="H9" s="11">
        <v>0.52800000000000002</v>
      </c>
      <c r="I9" s="12">
        <f>Hotel!B14</f>
        <v>37</v>
      </c>
    </row>
    <row r="10" spans="1:9" s="15" customFormat="1" x14ac:dyDescent="0.3">
      <c r="A10" s="21" t="s">
        <v>31</v>
      </c>
      <c r="B10" s="14">
        <f t="shared" si="0"/>
        <v>9</v>
      </c>
      <c r="C10" s="3">
        <v>4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56740</v>
      </c>
      <c r="F10" s="11">
        <v>5.0000000000000001E-3</v>
      </c>
      <c r="G10" s="12">
        <f>Submetering!R10</f>
        <v>522.76512099999991</v>
      </c>
      <c r="H10" s="11">
        <v>0.52800000000000002</v>
      </c>
      <c r="I10" s="12">
        <f>Hotel!B15</f>
        <v>34</v>
      </c>
    </row>
    <row r="11" spans="1:9" s="15" customFormat="1" x14ac:dyDescent="0.3">
      <c r="A11" s="21" t="s">
        <v>31</v>
      </c>
      <c r="B11" s="14">
        <f t="shared" si="0"/>
        <v>10</v>
      </c>
      <c r="C11" s="3">
        <v>4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52320</v>
      </c>
      <c r="F11" s="11">
        <v>5.0000000000000001E-3</v>
      </c>
      <c r="G11" s="12">
        <f>Submetering!R11</f>
        <v>467.11959399999995</v>
      </c>
      <c r="H11" s="11">
        <v>0.52800000000000002</v>
      </c>
      <c r="I11" s="12">
        <f>Hotel!B16</f>
        <v>41</v>
      </c>
    </row>
    <row r="12" spans="1:9" s="15" customFormat="1" x14ac:dyDescent="0.3">
      <c r="A12" s="21" t="s">
        <v>31</v>
      </c>
      <c r="B12" s="14">
        <f t="shared" si="0"/>
        <v>11</v>
      </c>
      <c r="C12" s="3">
        <v>4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53550</v>
      </c>
      <c r="F12" s="11">
        <v>5.0000000000000001E-3</v>
      </c>
      <c r="G12" s="12">
        <f>Submetering!R12</f>
        <v>459.54877400000004</v>
      </c>
      <c r="H12" s="11">
        <v>0.52800000000000002</v>
      </c>
      <c r="I12" s="12">
        <f>Hotel!B17</f>
        <v>49</v>
      </c>
    </row>
    <row r="13" spans="1:9" s="15" customFormat="1" x14ac:dyDescent="0.3">
      <c r="A13" s="21" t="s">
        <v>31</v>
      </c>
      <c r="B13" s="14">
        <f t="shared" si="0"/>
        <v>12</v>
      </c>
      <c r="C13" s="3">
        <v>4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53540</v>
      </c>
      <c r="F13" s="11">
        <v>5.0000000000000001E-3</v>
      </c>
      <c r="G13" s="12">
        <f>Submetering!R13</f>
        <v>690.83732499999996</v>
      </c>
      <c r="H13" s="11">
        <v>0.52800000000000002</v>
      </c>
      <c r="I13" s="12">
        <f>Hotel!B18</f>
        <v>60</v>
      </c>
    </row>
    <row r="14" spans="1:9" s="15" customFormat="1" x14ac:dyDescent="0.3">
      <c r="A14" s="21" t="s">
        <v>31</v>
      </c>
      <c r="B14" s="14">
        <f t="shared" si="0"/>
        <v>13</v>
      </c>
      <c r="C14" s="3">
        <v>4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55200</v>
      </c>
      <c r="F14" s="11">
        <v>5.0000000000000001E-3</v>
      </c>
      <c r="G14" s="12">
        <f>Submetering!R14</f>
        <v>388.004525</v>
      </c>
      <c r="H14" s="11">
        <v>0.52800000000000002</v>
      </c>
      <c r="I14" s="12">
        <f>Hotel!B19</f>
        <v>71</v>
      </c>
    </row>
    <row r="15" spans="1:9" s="15" customFormat="1" x14ac:dyDescent="0.3">
      <c r="A15" s="21" t="s">
        <v>31</v>
      </c>
      <c r="B15" s="14">
        <f t="shared" si="0"/>
        <v>14</v>
      </c>
      <c r="C15" s="3">
        <v>4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53800</v>
      </c>
      <c r="F15" s="11">
        <v>5.0000000000000001E-3</v>
      </c>
      <c r="G15" s="12">
        <f>Submetering!R15</f>
        <v>807.427953</v>
      </c>
      <c r="H15" s="11">
        <v>0.52800000000000002</v>
      </c>
      <c r="I15" s="12">
        <f>Hotel!B20</f>
        <v>62</v>
      </c>
    </row>
    <row r="16" spans="1:9" s="15" customFormat="1" x14ac:dyDescent="0.3">
      <c r="A16" s="21" t="s">
        <v>31</v>
      </c>
      <c r="B16" s="14">
        <f t="shared" si="0"/>
        <v>15</v>
      </c>
      <c r="C16" s="3">
        <v>4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57560</v>
      </c>
      <c r="F16" s="11">
        <v>5.0000000000000001E-3</v>
      </c>
      <c r="G16" s="12">
        <f>Submetering!R16</f>
        <v>530.33594099999993</v>
      </c>
      <c r="H16" s="11">
        <v>0.52800000000000002</v>
      </c>
      <c r="I16" s="12">
        <f>Hotel!B21</f>
        <v>59</v>
      </c>
    </row>
    <row r="17" spans="1:9" s="15" customFormat="1" x14ac:dyDescent="0.3">
      <c r="A17" s="21" t="s">
        <v>31</v>
      </c>
      <c r="B17" s="14">
        <f t="shared" si="0"/>
        <v>16</v>
      </c>
      <c r="C17" s="3">
        <v>4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53980</v>
      </c>
      <c r="F17" s="11">
        <v>5.0000000000000001E-3</v>
      </c>
      <c r="G17" s="12">
        <f>Submetering!R17</f>
        <v>466.74105299999997</v>
      </c>
      <c r="H17" s="11">
        <v>0.52800000000000002</v>
      </c>
      <c r="I17" s="12">
        <f>Hotel!B22</f>
        <v>48</v>
      </c>
    </row>
    <row r="18" spans="1:9" s="15" customFormat="1" x14ac:dyDescent="0.3">
      <c r="A18" s="21" t="s">
        <v>31</v>
      </c>
      <c r="B18" s="14">
        <f t="shared" si="0"/>
        <v>17</v>
      </c>
      <c r="C18" s="3">
        <v>4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54720</v>
      </c>
      <c r="F18" s="11">
        <v>5.0000000000000001E-3</v>
      </c>
      <c r="G18" s="12">
        <f>Submetering!R18</f>
        <v>703.32917799999996</v>
      </c>
      <c r="H18" s="11">
        <v>0.52800000000000002</v>
      </c>
      <c r="I18" s="12">
        <f>Hotel!B23</f>
        <v>40</v>
      </c>
    </row>
    <row r="19" spans="1:9" s="15" customFormat="1" x14ac:dyDescent="0.3">
      <c r="A19" s="21" t="s">
        <v>31</v>
      </c>
      <c r="B19" s="14">
        <f t="shared" si="0"/>
        <v>18</v>
      </c>
      <c r="C19" s="3">
        <v>4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53590</v>
      </c>
      <c r="F19" s="11">
        <v>5.0000000000000001E-3</v>
      </c>
      <c r="G19" s="12">
        <f>Submetering!R19</f>
        <v>786.22965699999997</v>
      </c>
      <c r="H19" s="11">
        <v>0.52800000000000002</v>
      </c>
      <c r="I19" s="12">
        <f>Hotel!B24</f>
        <v>48</v>
      </c>
    </row>
    <row r="20" spans="1:9" s="15" customFormat="1" x14ac:dyDescent="0.3">
      <c r="A20" s="21" t="s">
        <v>31</v>
      </c>
      <c r="B20" s="14">
        <f t="shared" si="0"/>
        <v>19</v>
      </c>
      <c r="C20" s="3">
        <v>4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57780</v>
      </c>
      <c r="F20" s="11">
        <v>5.0000000000000001E-3</v>
      </c>
      <c r="G20" s="12">
        <f>Submetering!R20</f>
        <v>821.05542899999989</v>
      </c>
      <c r="H20" s="11">
        <v>0.52800000000000002</v>
      </c>
      <c r="I20" s="12">
        <f>Hotel!B25</f>
        <v>66</v>
      </c>
    </row>
    <row r="21" spans="1:9" s="15" customFormat="1" x14ac:dyDescent="0.3">
      <c r="A21" s="21" t="s">
        <v>31</v>
      </c>
      <c r="B21" s="14">
        <f t="shared" si="0"/>
        <v>20</v>
      </c>
      <c r="C21" s="3">
        <v>4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55930</v>
      </c>
      <c r="F21" s="11">
        <v>5.0000000000000001E-3</v>
      </c>
      <c r="G21" s="12">
        <f>Submetering!R21</f>
        <v>631.40638799999999</v>
      </c>
      <c r="H21" s="11">
        <v>0.52800000000000002</v>
      </c>
      <c r="I21" s="12">
        <f>Hotel!B26</f>
        <v>63</v>
      </c>
    </row>
    <row r="22" spans="1:9" s="15" customFormat="1" x14ac:dyDescent="0.3">
      <c r="A22" s="21" t="s">
        <v>31</v>
      </c>
      <c r="B22" s="14">
        <f t="shared" si="0"/>
        <v>21</v>
      </c>
      <c r="C22" s="3">
        <v>4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62980</v>
      </c>
      <c r="F22" s="11">
        <v>5.0000000000000001E-3</v>
      </c>
      <c r="G22" s="12">
        <f>Submetering!R22</f>
        <v>595.823534</v>
      </c>
      <c r="H22" s="11">
        <v>0.52800000000000002</v>
      </c>
      <c r="I22" s="12">
        <f>Hotel!B27</f>
        <v>67</v>
      </c>
    </row>
    <row r="23" spans="1:9" s="15" customFormat="1" x14ac:dyDescent="0.3">
      <c r="A23" s="21" t="s">
        <v>31</v>
      </c>
      <c r="B23" s="14">
        <f t="shared" si="0"/>
        <v>22</v>
      </c>
      <c r="C23" s="3">
        <v>4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56590</v>
      </c>
      <c r="F23" s="11">
        <v>5.0000000000000001E-3</v>
      </c>
      <c r="G23" s="12">
        <f>Submetering!R23</f>
        <v>592.41666499999997</v>
      </c>
      <c r="H23" s="11">
        <v>0.52800000000000002</v>
      </c>
      <c r="I23" s="12">
        <f>Hotel!B28</f>
        <v>47</v>
      </c>
    </row>
    <row r="24" spans="1:9" s="15" customFormat="1" x14ac:dyDescent="0.3">
      <c r="A24" s="21" t="s">
        <v>31</v>
      </c>
      <c r="B24" s="14">
        <f t="shared" si="0"/>
        <v>23</v>
      </c>
      <c r="C24" s="3">
        <v>4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57000</v>
      </c>
      <c r="F24" s="11">
        <v>5.0000000000000001E-3</v>
      </c>
      <c r="G24" s="12">
        <f>Submetering!R24</f>
        <v>508.38056299999994</v>
      </c>
      <c r="H24" s="11">
        <v>0.52800000000000002</v>
      </c>
      <c r="I24" s="12">
        <f>Hotel!B29</f>
        <v>55</v>
      </c>
    </row>
    <row r="25" spans="1:9" s="15" customFormat="1" x14ac:dyDescent="0.3">
      <c r="A25" s="21" t="s">
        <v>31</v>
      </c>
      <c r="B25" s="14">
        <f t="shared" si="0"/>
        <v>24</v>
      </c>
      <c r="C25" s="3">
        <v>4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61280</v>
      </c>
      <c r="F25" s="11">
        <v>5.0000000000000001E-3</v>
      </c>
      <c r="G25" s="12">
        <f>Submetering!R25</f>
        <v>690.45878399999992</v>
      </c>
      <c r="H25" s="11">
        <v>0.52800000000000002</v>
      </c>
      <c r="I25" s="12">
        <f>Hotel!B30</f>
        <v>40</v>
      </c>
    </row>
    <row r="26" spans="1:9" s="15" customFormat="1" x14ac:dyDescent="0.3">
      <c r="A26" s="21" t="s">
        <v>31</v>
      </c>
      <c r="B26" s="14">
        <f>B25+1</f>
        <v>25</v>
      </c>
      <c r="C26" s="3">
        <v>4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55880</v>
      </c>
      <c r="F26" s="11">
        <v>5.0000000000000001E-3</v>
      </c>
      <c r="G26" s="12">
        <f>Submetering!R26</f>
        <v>599.23040300000002</v>
      </c>
      <c r="H26" s="11">
        <v>0.52800000000000002</v>
      </c>
      <c r="I26" s="12">
        <f>Hotel!B31</f>
        <v>54</v>
      </c>
    </row>
    <row r="27" spans="1:9" s="15" customFormat="1" x14ac:dyDescent="0.3">
      <c r="A27" s="21" t="s">
        <v>31</v>
      </c>
      <c r="B27" s="14">
        <f t="shared" si="0"/>
        <v>26</v>
      </c>
      <c r="C27" s="3">
        <v>4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55920</v>
      </c>
      <c r="F27" s="11">
        <v>5.0000000000000001E-3</v>
      </c>
      <c r="G27" s="12">
        <f>Submetering!R27</f>
        <v>500.80974300000003</v>
      </c>
      <c r="H27" s="11">
        <v>0.52800000000000002</v>
      </c>
      <c r="I27" s="12">
        <f>Hotel!B32</f>
        <v>43</v>
      </c>
    </row>
    <row r="28" spans="1:9" s="15" customFormat="1" x14ac:dyDescent="0.3">
      <c r="A28" s="21" t="s">
        <v>31</v>
      </c>
      <c r="B28" s="14">
        <f t="shared" si="0"/>
        <v>27</v>
      </c>
      <c r="C28" s="3">
        <v>4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58000</v>
      </c>
      <c r="F28" s="11">
        <v>5.0000000000000001E-3</v>
      </c>
      <c r="G28" s="12">
        <f>Submetering!R28</f>
        <v>847.17475800000011</v>
      </c>
      <c r="H28" s="11">
        <v>0.52800000000000002</v>
      </c>
      <c r="I28" s="12">
        <f>Hotel!B33</f>
        <v>25</v>
      </c>
    </row>
    <row r="29" spans="1:9" s="15" customFormat="1" x14ac:dyDescent="0.3">
      <c r="A29" s="21" t="s">
        <v>31</v>
      </c>
      <c r="B29" s="14">
        <f t="shared" si="0"/>
        <v>28</v>
      </c>
      <c r="C29" s="3">
        <v>4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56680</v>
      </c>
      <c r="F29" s="11">
        <v>5.0000000000000001E-3</v>
      </c>
      <c r="G29" s="12">
        <f>Submetering!R29</f>
        <v>584.46730400000001</v>
      </c>
      <c r="H29" s="11">
        <v>0.52800000000000002</v>
      </c>
      <c r="I29" s="12">
        <f>Hotel!B34</f>
        <v>37</v>
      </c>
    </row>
    <row r="30" spans="1:9" s="15" customFormat="1" x14ac:dyDescent="0.3">
      <c r="A30" s="21" t="s">
        <v>31</v>
      </c>
      <c r="B30" s="14">
        <f t="shared" si="0"/>
        <v>29</v>
      </c>
      <c r="C30" s="3">
        <v>4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56690</v>
      </c>
      <c r="F30" s="11">
        <v>5.0000000000000001E-3</v>
      </c>
      <c r="G30" s="12">
        <f>Submetering!R30</f>
        <v>141.19579300000001</v>
      </c>
      <c r="H30" s="11">
        <v>0.52800000000000002</v>
      </c>
      <c r="I30" s="12">
        <f>Hotel!B35</f>
        <v>39</v>
      </c>
    </row>
    <row r="31" spans="1:9" s="13" customFormat="1" x14ac:dyDescent="0.3">
      <c r="A31" s="21" t="s">
        <v>31</v>
      </c>
      <c r="B31" s="14">
        <f t="shared" si="0"/>
        <v>30</v>
      </c>
      <c r="C31" s="3">
        <v>4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89960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27</v>
      </c>
    </row>
    <row r="32" spans="1:9" s="13" customFormat="1" x14ac:dyDescent="0.3">
      <c r="A32" s="21" t="s">
        <v>31</v>
      </c>
      <c r="B32" s="14">
        <f t="shared" si="0"/>
        <v>31</v>
      </c>
      <c r="C32" s="3">
        <v>4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S32"/>
  <sheetViews>
    <sheetView workbookViewId="0">
      <selection activeCell="C2" sqref="C2"/>
    </sheetView>
  </sheetViews>
  <sheetFormatPr defaultColWidth="11.5546875" defaultRowHeight="14.4" x14ac:dyDescent="0.3"/>
  <cols>
    <col min="1" max="1" width="15" style="2" customWidth="1"/>
    <col min="2" max="2" width="11.5546875" style="2"/>
    <col min="3" max="3" width="11.5546875" style="10"/>
    <col min="4" max="4" width="13.44140625" style="2" customWidth="1"/>
    <col min="5" max="16" width="12.5546875" style="4" customWidth="1"/>
    <col min="17" max="18" width="11.5546875" style="4"/>
    <col min="19" max="19" width="11.5546875" style="2"/>
  </cols>
  <sheetData>
    <row r="1" spans="1:19" s="1" customFormat="1" ht="28.8" x14ac:dyDescent="0.3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3">
      <c r="A2" s="21" t="s">
        <v>31</v>
      </c>
      <c r="B2" s="2">
        <v>1</v>
      </c>
      <c r="C2" s="3">
        <v>4</v>
      </c>
      <c r="D2" s="11">
        <v>2022</v>
      </c>
      <c r="E2" s="4">
        <f>Hotel!Q7</f>
        <v>540</v>
      </c>
      <c r="F2" s="4">
        <f>Hotel!R7</f>
        <v>11720</v>
      </c>
      <c r="G2" s="4">
        <f>Hotel!S7</f>
        <v>0</v>
      </c>
      <c r="H2" s="4">
        <f>Hotel!T7</f>
        <v>1460</v>
      </c>
      <c r="I2" s="4">
        <f>Hotel!U7</f>
        <v>5200</v>
      </c>
      <c r="J2" s="4">
        <f>Hotel!V7</f>
        <v>3980</v>
      </c>
      <c r="K2" s="4">
        <f>Hotel!W7</f>
        <v>3260</v>
      </c>
      <c r="L2" s="4">
        <f>Hotel!X7</f>
        <v>4410</v>
      </c>
      <c r="M2" s="4">
        <f>Hotel!Y7</f>
        <v>4540</v>
      </c>
      <c r="N2" s="4">
        <f>Hotel!Z7</f>
        <v>2560</v>
      </c>
      <c r="O2" s="4">
        <f>Hotel!AA7</f>
        <v>3340</v>
      </c>
      <c r="P2" s="4">
        <f>Hotel!AB7</f>
        <v>6870</v>
      </c>
      <c r="Q2" s="4">
        <f>Hotel!AC7</f>
        <v>11320</v>
      </c>
      <c r="R2" s="4">
        <f>Hotel!AV7*0.00378541*100</f>
        <v>648.44073300000002</v>
      </c>
      <c r="S2" s="4">
        <f>Hotel!B7</f>
        <v>59</v>
      </c>
    </row>
    <row r="3" spans="1:19" x14ac:dyDescent="0.3">
      <c r="A3" s="21" t="s">
        <v>31</v>
      </c>
      <c r="B3" s="2">
        <f>B2+1</f>
        <v>2</v>
      </c>
      <c r="C3" s="3">
        <v>4</v>
      </c>
      <c r="D3" s="11">
        <v>2022</v>
      </c>
      <c r="E3" s="4">
        <f>Hotel!Q8</f>
        <v>560</v>
      </c>
      <c r="F3" s="4">
        <f>Hotel!R8</f>
        <v>12790</v>
      </c>
      <c r="G3" s="4">
        <f>Hotel!S8</f>
        <v>10</v>
      </c>
      <c r="H3" s="4">
        <f>Hotel!T8</f>
        <v>1530</v>
      </c>
      <c r="I3" s="4">
        <f>Hotel!U8</f>
        <v>4550</v>
      </c>
      <c r="J3" s="4">
        <f>Hotel!V8</f>
        <v>3970</v>
      </c>
      <c r="K3" s="4">
        <f>Hotel!W8</f>
        <v>3930</v>
      </c>
      <c r="L3" s="4">
        <f>Hotel!X8</f>
        <v>3960</v>
      </c>
      <c r="M3" s="4">
        <f>Hotel!Y8</f>
        <v>4740</v>
      </c>
      <c r="N3" s="4">
        <f>Hotel!Z8</f>
        <v>2410</v>
      </c>
      <c r="O3" s="4">
        <f>Hotel!AA8</f>
        <v>3050</v>
      </c>
      <c r="P3" s="4">
        <f>Hotel!AB8</f>
        <v>6880</v>
      </c>
      <c r="Q3" s="4">
        <f>Hotel!AC8</f>
        <v>12390</v>
      </c>
      <c r="R3" s="4">
        <f>Hotel!AV8*0.00378541*100</f>
        <v>543.96341699999994</v>
      </c>
      <c r="S3" s="4">
        <f>Hotel!B8</f>
        <v>21</v>
      </c>
    </row>
    <row r="4" spans="1:19" x14ac:dyDescent="0.3">
      <c r="A4" s="21" t="s">
        <v>31</v>
      </c>
      <c r="B4" s="2">
        <f t="shared" ref="B4:B29" si="0">B3+1</f>
        <v>3</v>
      </c>
      <c r="C4" s="3">
        <v>4</v>
      </c>
      <c r="D4" s="11">
        <v>2022</v>
      </c>
      <c r="E4" s="4">
        <f>Hotel!Q9</f>
        <v>540</v>
      </c>
      <c r="F4" s="4">
        <f>Hotel!R9</f>
        <v>12350</v>
      </c>
      <c r="G4" s="4">
        <f>Hotel!S9</f>
        <v>60</v>
      </c>
      <c r="H4" s="4">
        <f>Hotel!T9</f>
        <v>1460</v>
      </c>
      <c r="I4" s="4">
        <f>Hotel!U9</f>
        <v>4250</v>
      </c>
      <c r="J4" s="4">
        <f>Hotel!V9</f>
        <v>3710</v>
      </c>
      <c r="K4" s="4">
        <f>Hotel!W9</f>
        <v>3640</v>
      </c>
      <c r="L4" s="4">
        <f>Hotel!X9</f>
        <v>3690</v>
      </c>
      <c r="M4" s="4">
        <f>Hotel!Y9</f>
        <v>4660</v>
      </c>
      <c r="N4" s="4">
        <f>Hotel!Z9</f>
        <v>2190</v>
      </c>
      <c r="O4" s="4">
        <f>Hotel!AA9</f>
        <v>2650</v>
      </c>
      <c r="P4" s="4">
        <f>Hotel!AB9</f>
        <v>6570</v>
      </c>
      <c r="Q4" s="4">
        <f>Hotel!AC9</f>
        <v>11850</v>
      </c>
      <c r="R4" s="4">
        <f>Hotel!AV9*0.00378541*100</f>
        <v>569.70420499999989</v>
      </c>
      <c r="S4" s="4">
        <f>Hotel!B9</f>
        <v>22</v>
      </c>
    </row>
    <row r="5" spans="1:19" x14ac:dyDescent="0.3">
      <c r="A5" s="21" t="s">
        <v>31</v>
      </c>
      <c r="B5" s="2">
        <f t="shared" si="0"/>
        <v>4</v>
      </c>
      <c r="C5" s="3">
        <v>4</v>
      </c>
      <c r="D5" s="11">
        <v>2022</v>
      </c>
      <c r="E5" s="4">
        <f>Hotel!Q10</f>
        <v>570</v>
      </c>
      <c r="F5" s="4">
        <f>Hotel!R10</f>
        <v>13290</v>
      </c>
      <c r="G5" s="4">
        <f>Hotel!S10</f>
        <v>60</v>
      </c>
      <c r="H5" s="4">
        <f>Hotel!T10</f>
        <v>1590</v>
      </c>
      <c r="I5" s="4">
        <f>Hotel!U10</f>
        <v>4470</v>
      </c>
      <c r="J5" s="4">
        <f>Hotel!V10</f>
        <v>4100</v>
      </c>
      <c r="K5" s="4">
        <f>Hotel!W10</f>
        <v>4210</v>
      </c>
      <c r="L5" s="4">
        <f>Hotel!X10</f>
        <v>3800</v>
      </c>
      <c r="M5" s="4">
        <f>Hotel!Y10</f>
        <v>4250</v>
      </c>
      <c r="N5" s="4">
        <f>Hotel!Z10</f>
        <v>2420</v>
      </c>
      <c r="O5" s="4">
        <f>Hotel!AA10</f>
        <v>2680</v>
      </c>
      <c r="P5" s="4">
        <f>Hotel!AB10</f>
        <v>6900</v>
      </c>
      <c r="Q5" s="4">
        <f>Hotel!AC10</f>
        <v>10530</v>
      </c>
      <c r="R5" s="4">
        <f>Hotel!AV10*0.00378541*100</f>
        <v>738.53349100000003</v>
      </c>
      <c r="S5" s="4">
        <f>Hotel!B10</f>
        <v>26</v>
      </c>
    </row>
    <row r="6" spans="1:19" x14ac:dyDescent="0.3">
      <c r="A6" s="21" t="s">
        <v>31</v>
      </c>
      <c r="B6" s="2">
        <f t="shared" si="0"/>
        <v>5</v>
      </c>
      <c r="C6" s="3">
        <v>4</v>
      </c>
      <c r="D6" s="11">
        <v>2022</v>
      </c>
      <c r="E6" s="4">
        <f>Hotel!Q11</f>
        <v>530</v>
      </c>
      <c r="F6" s="4">
        <f>Hotel!R11</f>
        <v>11650</v>
      </c>
      <c r="G6" s="4">
        <f>Hotel!S11</f>
        <v>180</v>
      </c>
      <c r="H6" s="4">
        <f>Hotel!T11</f>
        <v>1480</v>
      </c>
      <c r="I6" s="4">
        <f>Hotel!U11</f>
        <v>4130</v>
      </c>
      <c r="J6" s="4">
        <f>Hotel!V11</f>
        <v>4030</v>
      </c>
      <c r="K6" s="4">
        <f>Hotel!W11</f>
        <v>3880</v>
      </c>
      <c r="L6" s="4">
        <f>Hotel!X11</f>
        <v>3470</v>
      </c>
      <c r="M6" s="4">
        <f>Hotel!Y11</f>
        <v>3300</v>
      </c>
      <c r="N6" s="4">
        <f>Hotel!Z11</f>
        <v>2290</v>
      </c>
      <c r="O6" s="4">
        <f>Hotel!AA11</f>
        <v>2430</v>
      </c>
      <c r="P6" s="4">
        <f>Hotel!AB11</f>
        <v>6420</v>
      </c>
      <c r="Q6" s="4">
        <f>Hotel!AC11</f>
        <v>11270</v>
      </c>
      <c r="R6" s="4">
        <f>Hotel!AV11*0.00378541*100</f>
        <v>763.13865599999997</v>
      </c>
      <c r="S6" s="4">
        <f>Hotel!B11</f>
        <v>25</v>
      </c>
    </row>
    <row r="7" spans="1:19" x14ac:dyDescent="0.3">
      <c r="A7" s="21" t="s">
        <v>31</v>
      </c>
      <c r="B7" s="2">
        <f t="shared" si="0"/>
        <v>6</v>
      </c>
      <c r="C7" s="3">
        <v>4</v>
      </c>
      <c r="D7" s="11">
        <v>2022</v>
      </c>
      <c r="E7" s="4">
        <f>Hotel!Q12</f>
        <v>520</v>
      </c>
      <c r="F7" s="4">
        <f>Hotel!R12</f>
        <v>12490</v>
      </c>
      <c r="G7" s="4">
        <f>Hotel!S12</f>
        <v>40</v>
      </c>
      <c r="H7" s="4">
        <f>Hotel!T12</f>
        <v>1500</v>
      </c>
      <c r="I7" s="4">
        <f>Hotel!U12</f>
        <v>4290</v>
      </c>
      <c r="J7" s="4">
        <f>Hotel!V12</f>
        <v>3820</v>
      </c>
      <c r="K7" s="4">
        <f>Hotel!W12</f>
        <v>4060</v>
      </c>
      <c r="L7" s="4">
        <f>Hotel!X12</f>
        <v>3570</v>
      </c>
      <c r="M7" s="4">
        <f>Hotel!Y12</f>
        <v>3510</v>
      </c>
      <c r="N7" s="4">
        <f>Hotel!Z12</f>
        <v>2280</v>
      </c>
      <c r="O7" s="4">
        <f>Hotel!AA12</f>
        <v>2470</v>
      </c>
      <c r="P7" s="4">
        <f>Hotel!AB12</f>
        <v>6720</v>
      </c>
      <c r="Q7" s="4">
        <f>Hotel!AC12</f>
        <v>11420</v>
      </c>
      <c r="R7" s="4">
        <f>Hotel!AV12*0.00378541*100</f>
        <v>824.46229799999992</v>
      </c>
      <c r="S7" s="4">
        <f>Hotel!B12</f>
        <v>29</v>
      </c>
    </row>
    <row r="8" spans="1:19" x14ac:dyDescent="0.3">
      <c r="A8" s="21" t="s">
        <v>31</v>
      </c>
      <c r="B8" s="2">
        <f t="shared" si="0"/>
        <v>7</v>
      </c>
      <c r="C8" s="3">
        <v>4</v>
      </c>
      <c r="D8" s="11">
        <v>2022</v>
      </c>
      <c r="E8" s="4">
        <f>Hotel!Q13</f>
        <v>510</v>
      </c>
      <c r="F8" s="4">
        <f>Hotel!R13</f>
        <v>12770</v>
      </c>
      <c r="G8" s="4">
        <f>Hotel!S13</f>
        <v>70</v>
      </c>
      <c r="H8" s="4">
        <f>Hotel!T13</f>
        <v>1510</v>
      </c>
      <c r="I8" s="4">
        <f>Hotel!U13</f>
        <v>4440</v>
      </c>
      <c r="J8" s="4">
        <f>Hotel!V13</f>
        <v>3630</v>
      </c>
      <c r="K8" s="4">
        <f>Hotel!W13</f>
        <v>4320</v>
      </c>
      <c r="L8" s="4">
        <f>Hotel!X13</f>
        <v>3560</v>
      </c>
      <c r="M8" s="4">
        <f>Hotel!Y13</f>
        <v>3550</v>
      </c>
      <c r="N8" s="4">
        <f>Hotel!Z13</f>
        <v>2360</v>
      </c>
      <c r="O8" s="4">
        <f>Hotel!AA13</f>
        <v>2600</v>
      </c>
      <c r="P8" s="4">
        <f>Hotel!AB13</f>
        <v>6730</v>
      </c>
      <c r="Q8" s="4">
        <f>Hotel!AC13</f>
        <v>11950</v>
      </c>
      <c r="R8" s="4">
        <f>Hotel!AV13*0.00378541*100</f>
        <v>515.57284200000004</v>
      </c>
      <c r="S8" s="4">
        <f>Hotel!B13</f>
        <v>39</v>
      </c>
    </row>
    <row r="9" spans="1:19" x14ac:dyDescent="0.3">
      <c r="A9" s="21" t="s">
        <v>31</v>
      </c>
      <c r="B9" s="2">
        <f t="shared" si="0"/>
        <v>8</v>
      </c>
      <c r="C9" s="3">
        <v>4</v>
      </c>
      <c r="D9" s="11">
        <v>2022</v>
      </c>
      <c r="E9" s="4">
        <f>Hotel!Q14</f>
        <v>530</v>
      </c>
      <c r="F9" s="4">
        <f>Hotel!R14</f>
        <v>12710</v>
      </c>
      <c r="G9" s="4">
        <f>Hotel!S14</f>
        <v>40</v>
      </c>
      <c r="H9" s="4">
        <f>Hotel!T14</f>
        <v>1530</v>
      </c>
      <c r="I9" s="4">
        <f>Hotel!U14</f>
        <v>4720</v>
      </c>
      <c r="J9" s="4">
        <f>Hotel!V14</f>
        <v>3680</v>
      </c>
      <c r="K9" s="4">
        <f>Hotel!W14</f>
        <v>4450</v>
      </c>
      <c r="L9" s="4">
        <f>Hotel!X14</f>
        <v>3440</v>
      </c>
      <c r="M9" s="4">
        <f>Hotel!Y14</f>
        <v>3510</v>
      </c>
      <c r="N9" s="4">
        <f>Hotel!Z14</f>
        <v>2440</v>
      </c>
      <c r="O9" s="4">
        <f>Hotel!AA14</f>
        <v>2620</v>
      </c>
      <c r="P9" s="4">
        <f>Hotel!AB14</f>
        <v>7100</v>
      </c>
      <c r="Q9" s="4">
        <f>Hotel!AC14</f>
        <v>11300</v>
      </c>
      <c r="R9" s="4">
        <f>Hotel!AV14*0.00378541*100</f>
        <v>517.08700599999997</v>
      </c>
      <c r="S9" s="4">
        <f>Hotel!B14</f>
        <v>37</v>
      </c>
    </row>
    <row r="10" spans="1:19" x14ac:dyDescent="0.3">
      <c r="A10" s="21" t="s">
        <v>31</v>
      </c>
      <c r="B10" s="2">
        <f t="shared" si="0"/>
        <v>9</v>
      </c>
      <c r="C10" s="3">
        <v>4</v>
      </c>
      <c r="D10" s="11">
        <v>2022</v>
      </c>
      <c r="E10" s="4">
        <f>Hotel!Q15</f>
        <v>510</v>
      </c>
      <c r="F10" s="4">
        <f>Hotel!R15</f>
        <v>12480</v>
      </c>
      <c r="G10" s="4">
        <f>Hotel!S15</f>
        <v>30</v>
      </c>
      <c r="H10" s="4">
        <f>Hotel!T15</f>
        <v>1500</v>
      </c>
      <c r="I10" s="4">
        <f>Hotel!U15</f>
        <v>4450</v>
      </c>
      <c r="J10" s="4">
        <f>Hotel!V15</f>
        <v>3530</v>
      </c>
      <c r="K10" s="4">
        <f>Hotel!W15</f>
        <v>4130</v>
      </c>
      <c r="L10" s="4">
        <f>Hotel!X15</f>
        <v>3410</v>
      </c>
      <c r="M10" s="4">
        <f>Hotel!Y15</f>
        <v>3460</v>
      </c>
      <c r="N10" s="4">
        <f>Hotel!Z15</f>
        <v>2280</v>
      </c>
      <c r="O10" s="4">
        <f>Hotel!AA15</f>
        <v>2500</v>
      </c>
      <c r="P10" s="4">
        <f>Hotel!AB15</f>
        <v>6790</v>
      </c>
      <c r="Q10" s="4">
        <f>Hotel!AC15</f>
        <v>11670</v>
      </c>
      <c r="R10" s="4">
        <f>Hotel!AV15*0.00378541*100</f>
        <v>522.76512099999991</v>
      </c>
      <c r="S10" s="4">
        <f>Hotel!B15</f>
        <v>34</v>
      </c>
    </row>
    <row r="11" spans="1:19" x14ac:dyDescent="0.3">
      <c r="A11" s="21" t="s">
        <v>31</v>
      </c>
      <c r="B11" s="2">
        <f t="shared" si="0"/>
        <v>10</v>
      </c>
      <c r="C11" s="3">
        <v>4</v>
      </c>
      <c r="D11" s="11">
        <v>2022</v>
      </c>
      <c r="E11" s="4">
        <f>Hotel!Q16</f>
        <v>520</v>
      </c>
      <c r="F11" s="4">
        <f>Hotel!R16</f>
        <v>11970</v>
      </c>
      <c r="G11" s="4">
        <f>Hotel!S16</f>
        <v>40</v>
      </c>
      <c r="H11" s="4">
        <f>Hotel!T16</f>
        <v>1500</v>
      </c>
      <c r="I11" s="4">
        <f>Hotel!U16</f>
        <v>4350</v>
      </c>
      <c r="J11" s="4">
        <f>Hotel!V16</f>
        <v>3690</v>
      </c>
      <c r="K11" s="4">
        <f>Hotel!W16</f>
        <v>4640</v>
      </c>
      <c r="L11" s="4">
        <f>Hotel!X16</f>
        <v>3480</v>
      </c>
      <c r="M11" s="4">
        <f>Hotel!Y16</f>
        <v>3580</v>
      </c>
      <c r="N11" s="4">
        <f>Hotel!Z16</f>
        <v>2300</v>
      </c>
      <c r="O11" s="4">
        <f>Hotel!AA16</f>
        <v>2520</v>
      </c>
      <c r="P11" s="4">
        <f>Hotel!AB16</f>
        <v>6780</v>
      </c>
      <c r="Q11" s="4">
        <f>Hotel!AC16</f>
        <v>6950</v>
      </c>
      <c r="R11" s="4">
        <f>Hotel!AV16*0.00378541*100</f>
        <v>467.11959399999995</v>
      </c>
      <c r="S11" s="4">
        <f>Hotel!B16</f>
        <v>41</v>
      </c>
    </row>
    <row r="12" spans="1:19" x14ac:dyDescent="0.3">
      <c r="A12" s="21" t="s">
        <v>31</v>
      </c>
      <c r="B12" s="2">
        <f t="shared" si="0"/>
        <v>11</v>
      </c>
      <c r="C12" s="3">
        <v>4</v>
      </c>
      <c r="D12" s="11">
        <v>2022</v>
      </c>
      <c r="E12" s="4">
        <f>Hotel!Q17</f>
        <v>520</v>
      </c>
      <c r="F12" s="4">
        <f>Hotel!R17</f>
        <v>12470</v>
      </c>
      <c r="G12" s="4">
        <f>Hotel!S17</f>
        <v>30</v>
      </c>
      <c r="H12" s="4">
        <f>Hotel!T17</f>
        <v>1530</v>
      </c>
      <c r="I12" s="4">
        <f>Hotel!U17</f>
        <v>4560</v>
      </c>
      <c r="J12" s="4">
        <f>Hotel!V17</f>
        <v>3740</v>
      </c>
      <c r="K12" s="4">
        <f>Hotel!W17</f>
        <v>4650</v>
      </c>
      <c r="L12" s="4">
        <f>Hotel!X17</f>
        <v>3590</v>
      </c>
      <c r="M12" s="4">
        <f>Hotel!Y17</f>
        <v>3710</v>
      </c>
      <c r="N12" s="4">
        <f>Hotel!Z17</f>
        <v>2350</v>
      </c>
      <c r="O12" s="4">
        <f>Hotel!AA17</f>
        <v>2570</v>
      </c>
      <c r="P12" s="4">
        <f>Hotel!AB17</f>
        <v>6700</v>
      </c>
      <c r="Q12" s="4">
        <f>Hotel!AC17</f>
        <v>7130</v>
      </c>
      <c r="R12" s="4">
        <f>Hotel!AV17*0.00378541*100</f>
        <v>459.54877400000004</v>
      </c>
      <c r="S12" s="4">
        <f>Hotel!B17</f>
        <v>49</v>
      </c>
    </row>
    <row r="13" spans="1:19" x14ac:dyDescent="0.3">
      <c r="A13" s="21" t="s">
        <v>31</v>
      </c>
      <c r="B13" s="2">
        <f t="shared" si="0"/>
        <v>12</v>
      </c>
      <c r="C13" s="3">
        <v>4</v>
      </c>
      <c r="D13" s="11">
        <v>2022</v>
      </c>
      <c r="E13" s="4">
        <f>Hotel!Q18</f>
        <v>520</v>
      </c>
      <c r="F13" s="4">
        <f>Hotel!R18</f>
        <v>12620</v>
      </c>
      <c r="G13" s="4">
        <f>Hotel!S18</f>
        <v>0</v>
      </c>
      <c r="H13" s="4">
        <f>Hotel!T18</f>
        <v>1530</v>
      </c>
      <c r="I13" s="4">
        <f>Hotel!U18</f>
        <v>4580</v>
      </c>
      <c r="J13" s="4">
        <f>Hotel!V18</f>
        <v>3840</v>
      </c>
      <c r="K13" s="4">
        <f>Hotel!W18</f>
        <v>4490</v>
      </c>
      <c r="L13" s="4">
        <f>Hotel!X18</f>
        <v>3620</v>
      </c>
      <c r="M13" s="4">
        <f>Hotel!Y18</f>
        <v>3670</v>
      </c>
      <c r="N13" s="4">
        <f>Hotel!Z18</f>
        <v>2370</v>
      </c>
      <c r="O13" s="4">
        <f>Hotel!AA18</f>
        <v>2660</v>
      </c>
      <c r="P13" s="4">
        <f>Hotel!AB18</f>
        <v>6460</v>
      </c>
      <c r="Q13" s="4">
        <f>Hotel!AC18</f>
        <v>7180</v>
      </c>
      <c r="R13" s="4">
        <f>Hotel!AV18*0.00378541*100</f>
        <v>690.83732499999996</v>
      </c>
      <c r="S13" s="4">
        <f>Hotel!B18</f>
        <v>60</v>
      </c>
    </row>
    <row r="14" spans="1:19" x14ac:dyDescent="0.3">
      <c r="A14" s="21" t="s">
        <v>31</v>
      </c>
      <c r="B14" s="2">
        <f t="shared" si="0"/>
        <v>13</v>
      </c>
      <c r="C14" s="3">
        <v>4</v>
      </c>
      <c r="D14" s="11">
        <v>2022</v>
      </c>
      <c r="E14" s="4">
        <f>Hotel!Q19</f>
        <v>540</v>
      </c>
      <c r="F14" s="4">
        <f>Hotel!R19</f>
        <v>12850</v>
      </c>
      <c r="G14" s="4">
        <f>Hotel!S19</f>
        <v>0</v>
      </c>
      <c r="H14" s="4">
        <f>Hotel!T19</f>
        <v>1570</v>
      </c>
      <c r="I14" s="4">
        <f>Hotel!U19</f>
        <v>4560</v>
      </c>
      <c r="J14" s="4">
        <f>Hotel!V19</f>
        <v>3940</v>
      </c>
      <c r="K14" s="4">
        <f>Hotel!W19</f>
        <v>4600</v>
      </c>
      <c r="L14" s="4">
        <f>Hotel!X19</f>
        <v>3600</v>
      </c>
      <c r="M14" s="4">
        <f>Hotel!Y19</f>
        <v>3880</v>
      </c>
      <c r="N14" s="4">
        <f>Hotel!Z19</f>
        <v>2370</v>
      </c>
      <c r="O14" s="4">
        <f>Hotel!AA19</f>
        <v>2670</v>
      </c>
      <c r="P14" s="4">
        <f>Hotel!AB19</f>
        <v>6950</v>
      </c>
      <c r="Q14" s="4">
        <f>Hotel!AC19</f>
        <v>7670</v>
      </c>
      <c r="R14" s="4">
        <f>Hotel!AV19*0.00378541*100</f>
        <v>388.004525</v>
      </c>
      <c r="S14" s="4">
        <f>Hotel!B19</f>
        <v>71</v>
      </c>
    </row>
    <row r="15" spans="1:19" x14ac:dyDescent="0.3">
      <c r="A15" s="21" t="s">
        <v>31</v>
      </c>
      <c r="B15" s="2">
        <f t="shared" si="0"/>
        <v>14</v>
      </c>
      <c r="C15" s="3">
        <v>4</v>
      </c>
      <c r="D15" s="11">
        <v>2022</v>
      </c>
      <c r="E15" s="4">
        <f>Hotel!Q20</f>
        <v>510</v>
      </c>
      <c r="F15" s="4">
        <f>Hotel!R20</f>
        <v>12450</v>
      </c>
      <c r="G15" s="4">
        <f>Hotel!S20</f>
        <v>0</v>
      </c>
      <c r="H15" s="4">
        <f>Hotel!T20</f>
        <v>1510</v>
      </c>
      <c r="I15" s="4">
        <f>Hotel!U20</f>
        <v>4560</v>
      </c>
      <c r="J15" s="4">
        <f>Hotel!V20</f>
        <v>3870</v>
      </c>
      <c r="K15" s="4">
        <f>Hotel!W20</f>
        <v>4610</v>
      </c>
      <c r="L15" s="4">
        <f>Hotel!X20</f>
        <v>3530</v>
      </c>
      <c r="M15" s="4">
        <f>Hotel!Y20</f>
        <v>3560</v>
      </c>
      <c r="N15" s="4">
        <f>Hotel!Z20</f>
        <v>2280</v>
      </c>
      <c r="O15" s="4">
        <f>Hotel!AA20</f>
        <v>2650</v>
      </c>
      <c r="P15" s="4">
        <f>Hotel!AB20</f>
        <v>6870</v>
      </c>
      <c r="Q15" s="4">
        <f>Hotel!AC20</f>
        <v>7400</v>
      </c>
      <c r="R15" s="4">
        <f>Hotel!AV20*0.00378541*100</f>
        <v>807.427953</v>
      </c>
      <c r="S15" s="4">
        <f>Hotel!B20</f>
        <v>62</v>
      </c>
    </row>
    <row r="16" spans="1:19" x14ac:dyDescent="0.3">
      <c r="A16" s="21" t="s">
        <v>31</v>
      </c>
      <c r="B16" s="2">
        <f t="shared" si="0"/>
        <v>15</v>
      </c>
      <c r="C16" s="3">
        <v>4</v>
      </c>
      <c r="D16" s="11">
        <v>2022</v>
      </c>
      <c r="E16" s="4">
        <f>Hotel!Q21</f>
        <v>540</v>
      </c>
      <c r="F16" s="4">
        <f>Hotel!R21</f>
        <v>13580</v>
      </c>
      <c r="G16" s="4">
        <f>Hotel!S21</f>
        <v>0</v>
      </c>
      <c r="H16" s="4">
        <f>Hotel!T21</f>
        <v>1570</v>
      </c>
      <c r="I16" s="4">
        <f>Hotel!U21</f>
        <v>4880</v>
      </c>
      <c r="J16" s="4">
        <f>Hotel!V21</f>
        <v>4070</v>
      </c>
      <c r="K16" s="4">
        <f>Hotel!W21</f>
        <v>5090</v>
      </c>
      <c r="L16" s="4">
        <f>Hotel!X21</f>
        <v>3650</v>
      </c>
      <c r="M16" s="4">
        <f>Hotel!Y21</f>
        <v>3900</v>
      </c>
      <c r="N16" s="4">
        <f>Hotel!Z21</f>
        <v>2420</v>
      </c>
      <c r="O16" s="4">
        <f>Hotel!AA21</f>
        <v>2860</v>
      </c>
      <c r="P16" s="4">
        <f>Hotel!AB21</f>
        <v>7260</v>
      </c>
      <c r="Q16" s="4">
        <f>Hotel!AC21</f>
        <v>7740</v>
      </c>
      <c r="R16" s="4">
        <f>Hotel!AV21*0.00378541*100</f>
        <v>530.33594099999993</v>
      </c>
      <c r="S16" s="4">
        <v>38</v>
      </c>
    </row>
    <row r="17" spans="1:19" x14ac:dyDescent="0.3">
      <c r="A17" s="21" t="s">
        <v>31</v>
      </c>
      <c r="B17" s="2">
        <f t="shared" si="0"/>
        <v>16</v>
      </c>
      <c r="C17" s="3">
        <v>4</v>
      </c>
      <c r="D17" s="11">
        <v>2022</v>
      </c>
      <c r="E17" s="4">
        <f>Hotel!Q22</f>
        <v>510</v>
      </c>
      <c r="F17" s="4">
        <f>Hotel!R22</f>
        <v>12540</v>
      </c>
      <c r="G17" s="4">
        <f>Hotel!S22</f>
        <v>0</v>
      </c>
      <c r="H17" s="4">
        <f>Hotel!T22</f>
        <v>1500</v>
      </c>
      <c r="I17" s="4">
        <f>Hotel!U22</f>
        <v>4520</v>
      </c>
      <c r="J17" s="4">
        <f>Hotel!V22</f>
        <v>3860</v>
      </c>
      <c r="K17" s="4">
        <f>Hotel!W22</f>
        <v>4410</v>
      </c>
      <c r="L17" s="4">
        <f>Hotel!X22</f>
        <v>3720</v>
      </c>
      <c r="M17" s="4">
        <f>Hotel!Y22</f>
        <v>3700</v>
      </c>
      <c r="N17" s="4">
        <f>Hotel!Z22</f>
        <v>2310</v>
      </c>
      <c r="O17" s="4">
        <f>Hotel!AA22</f>
        <v>2710</v>
      </c>
      <c r="P17" s="4">
        <f>Hotel!AB22</f>
        <v>6750</v>
      </c>
      <c r="Q17" s="4">
        <f>Hotel!AC22</f>
        <v>7450</v>
      </c>
      <c r="R17" s="4">
        <f>Hotel!AV22*0.00378541*100</f>
        <v>466.74105299999997</v>
      </c>
      <c r="S17" s="4">
        <v>41</v>
      </c>
    </row>
    <row r="18" spans="1:19" x14ac:dyDescent="0.3">
      <c r="A18" s="21" t="s">
        <v>31</v>
      </c>
      <c r="B18" s="2">
        <f t="shared" si="0"/>
        <v>17</v>
      </c>
      <c r="C18" s="3">
        <v>4</v>
      </c>
      <c r="D18" s="11">
        <v>2022</v>
      </c>
      <c r="E18" s="4">
        <f>Hotel!Q23</f>
        <v>510</v>
      </c>
      <c r="F18" s="4">
        <f>Hotel!R23</f>
        <v>12860</v>
      </c>
      <c r="G18" s="4">
        <f>Hotel!S23</f>
        <v>0</v>
      </c>
      <c r="H18" s="4">
        <f>Hotel!T23</f>
        <v>1510</v>
      </c>
      <c r="I18" s="4">
        <f>Hotel!U23</f>
        <v>4510</v>
      </c>
      <c r="J18" s="4">
        <f>Hotel!V23</f>
        <v>3830</v>
      </c>
      <c r="K18" s="4">
        <f>Hotel!W23</f>
        <v>4730</v>
      </c>
      <c r="L18" s="4">
        <f>Hotel!X23</f>
        <v>3570</v>
      </c>
      <c r="M18" s="4">
        <f>Hotel!Y23</f>
        <v>3720</v>
      </c>
      <c r="N18" s="4">
        <f>Hotel!Z23</f>
        <v>2290</v>
      </c>
      <c r="O18" s="4">
        <f>Hotel!AA23</f>
        <v>2770</v>
      </c>
      <c r="P18" s="4">
        <f>Hotel!AB23</f>
        <v>7000</v>
      </c>
      <c r="Q18" s="4">
        <f>Hotel!AC23</f>
        <v>7420</v>
      </c>
      <c r="R18" s="4">
        <f>Hotel!AV23*0.00378541*100</f>
        <v>703.32917799999996</v>
      </c>
      <c r="S18" s="4">
        <f>Hotel!B23</f>
        <v>40</v>
      </c>
    </row>
    <row r="19" spans="1:19" x14ac:dyDescent="0.3">
      <c r="A19" s="21" t="s">
        <v>31</v>
      </c>
      <c r="B19" s="2">
        <f t="shared" si="0"/>
        <v>18</v>
      </c>
      <c r="C19" s="3">
        <v>4</v>
      </c>
      <c r="D19" s="11">
        <v>2022</v>
      </c>
      <c r="E19" s="4">
        <f>Hotel!Q24</f>
        <v>510</v>
      </c>
      <c r="F19" s="4">
        <f>Hotel!R24</f>
        <v>12570</v>
      </c>
      <c r="G19" s="4">
        <f>Hotel!S24</f>
        <v>0</v>
      </c>
      <c r="H19" s="4">
        <f>Hotel!T24</f>
        <v>1490</v>
      </c>
      <c r="I19" s="4">
        <f>Hotel!U24</f>
        <v>4470</v>
      </c>
      <c r="J19" s="4">
        <f>Hotel!V24</f>
        <v>3710</v>
      </c>
      <c r="K19" s="4">
        <f>Hotel!W24</f>
        <v>4740</v>
      </c>
      <c r="L19" s="4">
        <f>Hotel!X24</f>
        <v>3520</v>
      </c>
      <c r="M19" s="4">
        <f>Hotel!Y24</f>
        <v>3550</v>
      </c>
      <c r="N19" s="4">
        <f>Hotel!Z24</f>
        <v>2300</v>
      </c>
      <c r="O19" s="4">
        <f>Hotel!AA24</f>
        <v>2710</v>
      </c>
      <c r="P19" s="4">
        <f>Hotel!AB24</f>
        <v>6850</v>
      </c>
      <c r="Q19" s="4">
        <f>Hotel!AC24</f>
        <v>7170</v>
      </c>
      <c r="R19" s="4">
        <f>Hotel!AV24*0.00378541*100</f>
        <v>786.22965699999997</v>
      </c>
      <c r="S19" s="4">
        <f>Hotel!B24</f>
        <v>48</v>
      </c>
    </row>
    <row r="20" spans="1:19" x14ac:dyDescent="0.3">
      <c r="A20" s="21" t="s">
        <v>31</v>
      </c>
      <c r="B20" s="2">
        <f t="shared" si="0"/>
        <v>19</v>
      </c>
      <c r="C20" s="3">
        <v>4</v>
      </c>
      <c r="D20" s="11">
        <v>2022</v>
      </c>
      <c r="E20" s="4">
        <f>Hotel!Q25</f>
        <v>540</v>
      </c>
      <c r="F20" s="4">
        <f>Hotel!R25</f>
        <v>13620</v>
      </c>
      <c r="G20" s="4">
        <f>Hotel!S25</f>
        <v>0</v>
      </c>
      <c r="H20" s="4">
        <f>Hotel!T25</f>
        <v>1580</v>
      </c>
      <c r="I20" s="4">
        <f>Hotel!U25</f>
        <v>4660</v>
      </c>
      <c r="J20" s="4">
        <f>Hotel!V25</f>
        <v>4050</v>
      </c>
      <c r="K20" s="4">
        <f>Hotel!W25</f>
        <v>4770</v>
      </c>
      <c r="L20" s="4">
        <f>Hotel!X25</f>
        <v>3710</v>
      </c>
      <c r="M20" s="4">
        <f>Hotel!Y25</f>
        <v>3890</v>
      </c>
      <c r="N20" s="4">
        <f>Hotel!Z25</f>
        <v>2450</v>
      </c>
      <c r="O20" s="4">
        <f>Hotel!AA25</f>
        <v>2850</v>
      </c>
      <c r="P20" s="4">
        <f>Hotel!AB25</f>
        <v>7120</v>
      </c>
      <c r="Q20" s="4">
        <f>Hotel!AC25</f>
        <v>8540</v>
      </c>
      <c r="R20" s="4">
        <f>Hotel!AV25*0.00378541*100</f>
        <v>821.05542899999989</v>
      </c>
      <c r="S20" s="4">
        <f>Hotel!B25</f>
        <v>66</v>
      </c>
    </row>
    <row r="21" spans="1:19" x14ac:dyDescent="0.3">
      <c r="A21" s="21" t="s">
        <v>31</v>
      </c>
      <c r="B21" s="2">
        <f t="shared" si="0"/>
        <v>20</v>
      </c>
      <c r="C21" s="3">
        <v>4</v>
      </c>
      <c r="D21" s="11">
        <v>2022</v>
      </c>
      <c r="E21" s="4">
        <f>Hotel!Q26</f>
        <v>490</v>
      </c>
      <c r="F21" s="4">
        <f>Hotel!R26</f>
        <v>12540</v>
      </c>
      <c r="G21" s="4">
        <f>Hotel!S26</f>
        <v>30</v>
      </c>
      <c r="H21" s="4">
        <f>Hotel!T26</f>
        <v>1450</v>
      </c>
      <c r="I21" s="4">
        <f>Hotel!U26</f>
        <v>4430</v>
      </c>
      <c r="J21" s="4">
        <f>Hotel!V26</f>
        <v>3600</v>
      </c>
      <c r="K21" s="4">
        <f>Hotel!W26</f>
        <v>3960</v>
      </c>
      <c r="L21" s="4">
        <f>Hotel!X26</f>
        <v>3380</v>
      </c>
      <c r="M21" s="4">
        <f>Hotel!Y26</f>
        <v>3420</v>
      </c>
      <c r="N21" s="4">
        <f>Hotel!Z26</f>
        <v>2260</v>
      </c>
      <c r="O21" s="4">
        <f>Hotel!AA26</f>
        <v>2590</v>
      </c>
      <c r="P21" s="4">
        <f>Hotel!AB26</f>
        <v>6700</v>
      </c>
      <c r="Q21" s="4">
        <f>Hotel!AC26</f>
        <v>11080</v>
      </c>
      <c r="R21" s="4">
        <f>Hotel!AV26*0.00378541*100</f>
        <v>631.40638799999999</v>
      </c>
      <c r="S21" s="4">
        <f>Hotel!B26</f>
        <v>63</v>
      </c>
    </row>
    <row r="22" spans="1:19" x14ac:dyDescent="0.3">
      <c r="A22" s="21" t="s">
        <v>31</v>
      </c>
      <c r="B22" s="2">
        <f t="shared" si="0"/>
        <v>21</v>
      </c>
      <c r="C22" s="3">
        <v>4</v>
      </c>
      <c r="D22" s="11">
        <v>2022</v>
      </c>
      <c r="E22" s="4">
        <f>Hotel!Q27</f>
        <v>6070</v>
      </c>
      <c r="F22" s="4">
        <f>Hotel!R27</f>
        <v>9260</v>
      </c>
      <c r="G22" s="4">
        <f>Hotel!S27</f>
        <v>50</v>
      </c>
      <c r="H22" s="4">
        <f>Hotel!T27</f>
        <v>1650</v>
      </c>
      <c r="I22" s="4">
        <f>Hotel!U27</f>
        <v>4860</v>
      </c>
      <c r="J22" s="4">
        <f>Hotel!V27</f>
        <v>4050</v>
      </c>
      <c r="K22" s="4">
        <f>Hotel!W27</f>
        <v>4900</v>
      </c>
      <c r="L22" s="4">
        <f>Hotel!X27</f>
        <v>3540</v>
      </c>
      <c r="M22" s="4">
        <f>Hotel!Y27</f>
        <v>3790</v>
      </c>
      <c r="N22" s="4">
        <f>Hotel!Z27</f>
        <v>2510</v>
      </c>
      <c r="O22" s="4">
        <f>Hotel!AA27</f>
        <v>2850</v>
      </c>
      <c r="P22" s="4">
        <f>Hotel!AB27</f>
        <v>7390</v>
      </c>
      <c r="Q22" s="4">
        <f>Hotel!AC27</f>
        <v>12060</v>
      </c>
      <c r="R22" s="4">
        <f>Hotel!AV27*0.00378541*100</f>
        <v>595.823534</v>
      </c>
      <c r="S22" s="4">
        <f>Hotel!B27</f>
        <v>67</v>
      </c>
    </row>
    <row r="23" spans="1:19" x14ac:dyDescent="0.3">
      <c r="A23" s="21" t="s">
        <v>31</v>
      </c>
      <c r="B23" s="2">
        <f t="shared" si="0"/>
        <v>22</v>
      </c>
      <c r="C23" s="3">
        <v>4</v>
      </c>
      <c r="D23" s="11">
        <v>2022</v>
      </c>
      <c r="E23" s="4">
        <f>Hotel!Q28</f>
        <v>11280</v>
      </c>
      <c r="F23" s="4">
        <f>Hotel!R28</f>
        <v>1820</v>
      </c>
      <c r="G23" s="4">
        <f>Hotel!S28</f>
        <v>40</v>
      </c>
      <c r="H23" s="4">
        <f>Hotel!T28</f>
        <v>1520</v>
      </c>
      <c r="I23" s="4">
        <f>Hotel!U28</f>
        <v>4480</v>
      </c>
      <c r="J23" s="4">
        <f>Hotel!V28</f>
        <v>3590</v>
      </c>
      <c r="K23" s="4">
        <f>Hotel!W28</f>
        <v>4150</v>
      </c>
      <c r="L23" s="4">
        <f>Hotel!X28</f>
        <v>3390</v>
      </c>
      <c r="M23" s="4">
        <f>Hotel!Y28</f>
        <v>3560</v>
      </c>
      <c r="N23" s="4">
        <f>Hotel!Z28</f>
        <v>2270</v>
      </c>
      <c r="O23" s="4">
        <f>Hotel!AA28</f>
        <v>2660</v>
      </c>
      <c r="P23" s="4">
        <f>Hotel!AB28</f>
        <v>6800</v>
      </c>
      <c r="Q23" s="4">
        <f>Hotel!AC28</f>
        <v>11030</v>
      </c>
      <c r="R23" s="4">
        <f>Hotel!AV28*0.00378541*100</f>
        <v>592.41666499999997</v>
      </c>
      <c r="S23" s="4">
        <f>Hotel!B28</f>
        <v>47</v>
      </c>
    </row>
    <row r="24" spans="1:19" x14ac:dyDescent="0.3">
      <c r="A24" s="21" t="s">
        <v>31</v>
      </c>
      <c r="B24" s="2">
        <f t="shared" si="0"/>
        <v>23</v>
      </c>
      <c r="C24" s="3">
        <v>4</v>
      </c>
      <c r="D24" s="11">
        <v>2022</v>
      </c>
      <c r="E24" s="4">
        <f>Hotel!Q29</f>
        <v>11250</v>
      </c>
      <c r="F24" s="4">
        <f>Hotel!R29</f>
        <v>1860</v>
      </c>
      <c r="G24" s="4">
        <f>Hotel!S29</f>
        <v>30</v>
      </c>
      <c r="H24" s="4">
        <f>Hotel!T29</f>
        <v>1510</v>
      </c>
      <c r="I24" s="4">
        <f>Hotel!U29</f>
        <v>4330</v>
      </c>
      <c r="J24" s="4">
        <f>Hotel!V29</f>
        <v>3660</v>
      </c>
      <c r="K24" s="4">
        <f>Hotel!W29</f>
        <v>4310</v>
      </c>
      <c r="L24" s="4">
        <f>Hotel!X29</f>
        <v>3380</v>
      </c>
      <c r="M24" s="4">
        <f>Hotel!Y29</f>
        <v>3540</v>
      </c>
      <c r="N24" s="4">
        <f>Hotel!Z29</f>
        <v>2370</v>
      </c>
      <c r="O24" s="4">
        <f>Hotel!AA29</f>
        <v>2690</v>
      </c>
      <c r="P24" s="4">
        <f>Hotel!AB29</f>
        <v>6720</v>
      </c>
      <c r="Q24" s="4">
        <f>Hotel!AC29</f>
        <v>11350</v>
      </c>
      <c r="R24" s="4">
        <f>Hotel!AV29*0.00378541*100</f>
        <v>508.38056299999994</v>
      </c>
      <c r="S24" s="4">
        <f>Hotel!B29</f>
        <v>55</v>
      </c>
    </row>
    <row r="25" spans="1:19" x14ac:dyDescent="0.3">
      <c r="A25" s="21" t="s">
        <v>31</v>
      </c>
      <c r="B25" s="2">
        <f t="shared" si="0"/>
        <v>24</v>
      </c>
      <c r="C25" s="3">
        <v>4</v>
      </c>
      <c r="D25" s="11">
        <v>2022</v>
      </c>
      <c r="E25" s="4">
        <f>Hotel!Q30</f>
        <v>12040</v>
      </c>
      <c r="F25" s="4">
        <f>Hotel!R30</f>
        <v>1970</v>
      </c>
      <c r="G25" s="4">
        <f>Hotel!S30</f>
        <v>10</v>
      </c>
      <c r="H25" s="4">
        <f>Hotel!T30</f>
        <v>1560</v>
      </c>
      <c r="I25" s="4">
        <f>Hotel!U30</f>
        <v>4800</v>
      </c>
      <c r="J25" s="4">
        <f>Hotel!V30</f>
        <v>4050</v>
      </c>
      <c r="K25" s="4">
        <f>Hotel!W30</f>
        <v>4850</v>
      </c>
      <c r="L25" s="4">
        <f>Hotel!X30</f>
        <v>3710</v>
      </c>
      <c r="M25" s="4">
        <f>Hotel!Y30</f>
        <v>3690</v>
      </c>
      <c r="N25" s="4">
        <f>Hotel!Z30</f>
        <v>2500</v>
      </c>
      <c r="O25" s="4">
        <f>Hotel!AA30</f>
        <v>2960</v>
      </c>
      <c r="P25" s="4">
        <f>Hotel!AB30</f>
        <v>7150</v>
      </c>
      <c r="Q25" s="4">
        <f>Hotel!AC30</f>
        <v>11990</v>
      </c>
      <c r="R25" s="4">
        <f>Hotel!AV30*0.00378541*100</f>
        <v>690.45878399999992</v>
      </c>
      <c r="S25" s="4">
        <f>Hotel!B30</f>
        <v>40</v>
      </c>
    </row>
    <row r="26" spans="1:19" x14ac:dyDescent="0.3">
      <c r="A26" s="21" t="s">
        <v>31</v>
      </c>
      <c r="B26" s="2">
        <f>B25+1</f>
        <v>25</v>
      </c>
      <c r="C26" s="3">
        <v>4</v>
      </c>
      <c r="D26" s="11">
        <v>2022</v>
      </c>
      <c r="E26" s="4">
        <f>Hotel!Q31</f>
        <v>11190</v>
      </c>
      <c r="F26" s="4">
        <f>Hotel!R31</f>
        <v>1790</v>
      </c>
      <c r="G26" s="4">
        <f>Hotel!S31</f>
        <v>0</v>
      </c>
      <c r="H26" s="4">
        <f>Hotel!T31</f>
        <v>1420</v>
      </c>
      <c r="I26" s="4">
        <f>Hotel!U31</f>
        <v>4310</v>
      </c>
      <c r="J26" s="4">
        <f>Hotel!V31</f>
        <v>3590</v>
      </c>
      <c r="K26" s="4">
        <f>Hotel!W31</f>
        <v>4340</v>
      </c>
      <c r="L26" s="4">
        <f>Hotel!X31</f>
        <v>3300</v>
      </c>
      <c r="M26" s="4">
        <f>Hotel!Y31</f>
        <v>3290</v>
      </c>
      <c r="N26" s="4">
        <f>Hotel!Z31</f>
        <v>2350</v>
      </c>
      <c r="O26" s="4">
        <f>Hotel!AA31</f>
        <v>2660</v>
      </c>
      <c r="P26" s="4">
        <f>Hotel!AB31</f>
        <v>6410</v>
      </c>
      <c r="Q26" s="4">
        <f>Hotel!AC31</f>
        <v>11230</v>
      </c>
      <c r="R26" s="4">
        <f>Hotel!AV31*0.00378541*100</f>
        <v>599.23040300000002</v>
      </c>
      <c r="S26" s="4">
        <f>Hotel!B31</f>
        <v>54</v>
      </c>
    </row>
    <row r="27" spans="1:19" x14ac:dyDescent="0.3">
      <c r="A27" s="21" t="s">
        <v>31</v>
      </c>
      <c r="B27" s="2">
        <f t="shared" si="0"/>
        <v>26</v>
      </c>
      <c r="C27" s="3">
        <v>4</v>
      </c>
      <c r="D27" s="11">
        <v>2022</v>
      </c>
      <c r="E27" s="4">
        <f>Hotel!Q32</f>
        <v>11850</v>
      </c>
      <c r="F27" s="4">
        <f>Hotel!R32</f>
        <v>1810</v>
      </c>
      <c r="G27" s="4">
        <f>Hotel!S32</f>
        <v>0</v>
      </c>
      <c r="H27" s="4">
        <f>Hotel!T32</f>
        <v>1290</v>
      </c>
      <c r="I27" s="4">
        <f>Hotel!U32</f>
        <v>4210</v>
      </c>
      <c r="J27" s="4">
        <f>Hotel!V32</f>
        <v>3820</v>
      </c>
      <c r="K27" s="4">
        <f>Hotel!W32</f>
        <v>4120</v>
      </c>
      <c r="L27" s="4">
        <f>Hotel!X32</f>
        <v>3380</v>
      </c>
      <c r="M27" s="4">
        <f>Hotel!Y32</f>
        <v>3430</v>
      </c>
      <c r="N27" s="4">
        <f>Hotel!Z32</f>
        <v>2340</v>
      </c>
      <c r="O27" s="4">
        <f>Hotel!AA32</f>
        <v>2550</v>
      </c>
      <c r="P27" s="4">
        <f>Hotel!AB32</f>
        <v>6370</v>
      </c>
      <c r="Q27" s="4">
        <f>Hotel!AC32</f>
        <v>10750</v>
      </c>
      <c r="R27" s="4">
        <f>Hotel!AV32*0.00378541*100</f>
        <v>500.80974300000003</v>
      </c>
      <c r="S27" s="4">
        <f>Hotel!B32</f>
        <v>43</v>
      </c>
    </row>
    <row r="28" spans="1:19" x14ac:dyDescent="0.3">
      <c r="A28" s="21" t="s">
        <v>31</v>
      </c>
      <c r="B28" s="2">
        <f t="shared" si="0"/>
        <v>27</v>
      </c>
      <c r="C28" s="3">
        <v>4</v>
      </c>
      <c r="D28" s="11">
        <v>2022</v>
      </c>
      <c r="E28" s="4">
        <f>Hotel!Q33</f>
        <v>12230</v>
      </c>
      <c r="F28" s="4">
        <f>Hotel!R33</f>
        <v>1910</v>
      </c>
      <c r="G28" s="4">
        <f>Hotel!S33</f>
        <v>0</v>
      </c>
      <c r="H28" s="4">
        <f>Hotel!T33</f>
        <v>1280</v>
      </c>
      <c r="I28" s="4">
        <f>Hotel!U33</f>
        <v>4540</v>
      </c>
      <c r="J28" s="4">
        <f>Hotel!V33</f>
        <v>3860</v>
      </c>
      <c r="K28" s="4">
        <f>Hotel!W33</f>
        <v>4320</v>
      </c>
      <c r="L28" s="4">
        <f>Hotel!X33</f>
        <v>3460</v>
      </c>
      <c r="M28" s="4">
        <f>Hotel!Y33</f>
        <v>3550</v>
      </c>
      <c r="N28" s="4">
        <f>Hotel!Z33</f>
        <v>2360</v>
      </c>
      <c r="O28" s="4">
        <f>Hotel!AA33</f>
        <v>2660</v>
      </c>
      <c r="P28" s="4">
        <f>Hotel!AB33</f>
        <v>6530</v>
      </c>
      <c r="Q28" s="4">
        <f>Hotel!AC33</f>
        <v>11300</v>
      </c>
      <c r="R28" s="4">
        <f>Hotel!AV33*0.00378541*100</f>
        <v>847.17475800000011</v>
      </c>
      <c r="S28" s="4">
        <f>Hotel!B33</f>
        <v>25</v>
      </c>
    </row>
    <row r="29" spans="1:19" x14ac:dyDescent="0.3">
      <c r="A29" s="21" t="s">
        <v>31</v>
      </c>
      <c r="B29" s="2">
        <f t="shared" si="0"/>
        <v>28</v>
      </c>
      <c r="C29" s="3">
        <v>4</v>
      </c>
      <c r="D29" s="11">
        <v>2022</v>
      </c>
      <c r="E29" s="4">
        <f>Hotel!Q34</f>
        <v>11530</v>
      </c>
      <c r="F29" s="4">
        <f>Hotel!R34</f>
        <v>1890</v>
      </c>
      <c r="G29" s="4">
        <f>Hotel!S34</f>
        <v>0</v>
      </c>
      <c r="H29" s="4">
        <f>Hotel!T34</f>
        <v>1300</v>
      </c>
      <c r="I29" s="4">
        <f>Hotel!U34</f>
        <v>4390</v>
      </c>
      <c r="J29" s="4">
        <f>Hotel!V34</f>
        <v>3780</v>
      </c>
      <c r="K29" s="4">
        <f>Hotel!W34</f>
        <v>4310</v>
      </c>
      <c r="L29" s="4">
        <f>Hotel!X34</f>
        <v>3490</v>
      </c>
      <c r="M29" s="4">
        <f>Hotel!Y34</f>
        <v>3490</v>
      </c>
      <c r="N29" s="4">
        <f>Hotel!Z34</f>
        <v>2380</v>
      </c>
      <c r="O29" s="4">
        <f>Hotel!AA34</f>
        <v>2560</v>
      </c>
      <c r="P29" s="4">
        <f>Hotel!AB34</f>
        <v>6410</v>
      </c>
      <c r="Q29" s="4">
        <f>Hotel!AC34</f>
        <v>11150</v>
      </c>
      <c r="R29" s="4">
        <f>Hotel!AV34*0.00378541*100</f>
        <v>584.46730400000001</v>
      </c>
      <c r="S29" s="4">
        <f>Hotel!B34</f>
        <v>37</v>
      </c>
    </row>
    <row r="30" spans="1:19" x14ac:dyDescent="0.3">
      <c r="A30" s="21" t="s">
        <v>31</v>
      </c>
      <c r="B30" s="2">
        <f>B29+1</f>
        <v>29</v>
      </c>
      <c r="C30" s="3">
        <v>4</v>
      </c>
      <c r="D30" s="11">
        <v>2022</v>
      </c>
      <c r="E30" s="4">
        <f>Hotel!Q35</f>
        <v>12010</v>
      </c>
      <c r="F30" s="4">
        <f>Hotel!R35</f>
        <v>1840</v>
      </c>
      <c r="G30" s="4">
        <f>Hotel!S35</f>
        <v>0</v>
      </c>
      <c r="H30" s="4">
        <f>Hotel!T35</f>
        <v>1200</v>
      </c>
      <c r="I30" s="4">
        <f>Hotel!U35</f>
        <v>4310</v>
      </c>
      <c r="J30" s="4">
        <f>Hotel!V35</f>
        <v>3620</v>
      </c>
      <c r="K30" s="4">
        <f>Hotel!W35</f>
        <v>4320</v>
      </c>
      <c r="L30" s="4">
        <f>Hotel!X35</f>
        <v>3440</v>
      </c>
      <c r="M30" s="4">
        <f>Hotel!Y35</f>
        <v>3520</v>
      </c>
      <c r="N30" s="4">
        <f>Hotel!Z35</f>
        <v>2380</v>
      </c>
      <c r="O30" s="4">
        <f>Hotel!AA35</f>
        <v>2660</v>
      </c>
      <c r="P30" s="4">
        <f>Hotel!AB35</f>
        <v>6640</v>
      </c>
      <c r="Q30" s="4">
        <f>Hotel!AC35</f>
        <v>10750</v>
      </c>
      <c r="R30" s="4">
        <f>Hotel!AV35*0.00378541*100</f>
        <v>141.19579300000001</v>
      </c>
      <c r="S30" s="4">
        <f>Hotel!B35</f>
        <v>39</v>
      </c>
    </row>
    <row r="31" spans="1:19" x14ac:dyDescent="0.3">
      <c r="A31" s="21" t="s">
        <v>31</v>
      </c>
      <c r="B31" s="2">
        <f>B30+1</f>
        <v>30</v>
      </c>
      <c r="C31" s="3">
        <v>4</v>
      </c>
      <c r="D31" s="11">
        <v>2022</v>
      </c>
      <c r="E31" s="4">
        <f>Hotel!Q36</f>
        <v>19450</v>
      </c>
      <c r="F31" s="4">
        <f>Hotel!R36</f>
        <v>2970</v>
      </c>
      <c r="G31" s="4">
        <f>Hotel!S36</f>
        <v>0</v>
      </c>
      <c r="H31" s="4">
        <f>Hotel!T36</f>
        <v>1960</v>
      </c>
      <c r="I31" s="4">
        <f>Hotel!U36</f>
        <v>6590</v>
      </c>
      <c r="J31" s="4">
        <f>Hotel!V36</f>
        <v>6070</v>
      </c>
      <c r="K31" s="4">
        <f>Hotel!W36</f>
        <v>6160</v>
      </c>
      <c r="L31" s="4">
        <f>Hotel!X36</f>
        <v>5420</v>
      </c>
      <c r="M31" s="4">
        <f>Hotel!Y36</f>
        <v>5610</v>
      </c>
      <c r="N31" s="4">
        <f>Hotel!Z36</f>
        <v>3840</v>
      </c>
      <c r="O31" s="4">
        <f>Hotel!AA36</f>
        <v>4140</v>
      </c>
      <c r="P31" s="4">
        <f>Hotel!AB36</f>
        <v>10180</v>
      </c>
      <c r="Q31" s="4">
        <f>Hotel!AC36</f>
        <v>17570</v>
      </c>
      <c r="R31" s="4">
        <f>Hotel!AV36*0.00378541*100</f>
        <v>0</v>
      </c>
      <c r="S31" s="4">
        <f>Hotel!B36</f>
        <v>27</v>
      </c>
    </row>
    <row r="32" spans="1:19" x14ac:dyDescent="0.3">
      <c r="A32" s="21" t="s">
        <v>31</v>
      </c>
      <c r="B32" s="2">
        <f>B31+1</f>
        <v>31</v>
      </c>
      <c r="C32" s="3">
        <v>4</v>
      </c>
      <c r="D32" s="11">
        <v>2022</v>
      </c>
      <c r="E32" s="4" t="str">
        <f>Hotel!Q37</f>
        <v>0</v>
      </c>
      <c r="F32" s="4" t="str">
        <f>Hotel!R37</f>
        <v>0</v>
      </c>
      <c r="G32" s="4" t="str">
        <f>Hotel!S37</f>
        <v>0</v>
      </c>
      <c r="H32" s="4" t="str">
        <f>Hotel!T37</f>
        <v>0</v>
      </c>
      <c r="I32" s="4" t="str">
        <f>Hotel!U37</f>
        <v>0</v>
      </c>
      <c r="J32" s="4" t="str">
        <f>Hotel!V37</f>
        <v>0</v>
      </c>
      <c r="K32" s="4" t="str">
        <f>Hotel!W37</f>
        <v>0</v>
      </c>
      <c r="L32" s="4" t="str">
        <f>Hotel!X37</f>
        <v>0</v>
      </c>
      <c r="M32" s="4" t="str">
        <f>Hotel!Y37</f>
        <v>0</v>
      </c>
      <c r="N32" s="4" t="str">
        <f>Hotel!Z37</f>
        <v>0</v>
      </c>
      <c r="O32" s="4" t="str">
        <f>Hotel!AA37</f>
        <v>0</v>
      </c>
      <c r="P32" s="4" t="str">
        <f>Hotel!AB37</f>
        <v>0</v>
      </c>
      <c r="Q32" s="4" t="str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AX44"/>
  <sheetViews>
    <sheetView topLeftCell="V10" zoomScale="93" zoomScaleNormal="93" workbookViewId="0">
      <selection activeCell="AR43" sqref="AR43"/>
    </sheetView>
  </sheetViews>
  <sheetFormatPr defaultRowHeight="14.4" x14ac:dyDescent="0.3"/>
  <cols>
    <col min="1" max="1" width="10.5546875" customWidth="1"/>
    <col min="2" max="2" width="13.33203125" style="39" customWidth="1"/>
    <col min="3" max="3" width="10.33203125" customWidth="1"/>
    <col min="4" max="5" width="9.88671875" customWidth="1"/>
    <col min="6" max="6" width="10" customWidth="1"/>
    <col min="7" max="7" width="10.33203125" customWidth="1"/>
    <col min="8" max="8" width="10" customWidth="1"/>
    <col min="9" max="9" width="9.88671875" customWidth="1"/>
    <col min="10" max="10" width="10" customWidth="1"/>
    <col min="11" max="11" width="10.109375" customWidth="1"/>
    <col min="12" max="12" width="10.33203125" customWidth="1"/>
    <col min="13" max="13" width="10" customWidth="1"/>
    <col min="14" max="14" width="9.6640625" customWidth="1"/>
    <col min="15" max="15" width="9.88671875" customWidth="1"/>
    <col min="16" max="16" width="1.44140625" customWidth="1"/>
    <col min="17" max="17" width="9.88671875" style="2" customWidth="1"/>
    <col min="18" max="18" width="9.5546875" style="2" customWidth="1"/>
    <col min="19" max="19" width="9.6640625" style="2" customWidth="1"/>
    <col min="20" max="26" width="8.6640625" style="2" customWidth="1"/>
    <col min="27" max="27" width="16.88671875" style="2" customWidth="1"/>
    <col min="28" max="28" width="8.6640625" style="2" customWidth="1"/>
    <col min="29" max="29" width="9.6640625" style="2" customWidth="1"/>
    <col min="30" max="30" width="11.6640625" customWidth="1"/>
    <col min="31" max="31" width="1.6640625" customWidth="1"/>
    <col min="43" max="43" width="9.5546875" customWidth="1"/>
    <col min="44" max="44" width="9.33203125" customWidth="1"/>
    <col min="45" max="45" width="10.6640625" customWidth="1"/>
    <col min="46" max="46" width="1.33203125" customWidth="1"/>
    <col min="47" max="47" width="11.88671875" style="46" customWidth="1"/>
    <col min="48" max="49" width="14.6640625" customWidth="1"/>
    <col min="50" max="50" width="10.88671875" customWidth="1"/>
  </cols>
  <sheetData>
    <row r="1" spans="1:50" x14ac:dyDescent="0.3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3">
      <c r="A2" s="23">
        <v>44651</v>
      </c>
      <c r="B2" s="40">
        <v>194</v>
      </c>
      <c r="C2" s="24">
        <v>7826610</v>
      </c>
      <c r="D2" s="24">
        <v>18285450</v>
      </c>
      <c r="E2" s="24">
        <v>3200810</v>
      </c>
      <c r="F2" s="24">
        <v>3961040</v>
      </c>
      <c r="G2" s="24">
        <v>11775890</v>
      </c>
      <c r="H2" s="24">
        <v>6671130</v>
      </c>
      <c r="I2" s="24">
        <v>5818990</v>
      </c>
      <c r="J2" s="24">
        <v>7226310</v>
      </c>
      <c r="K2" s="24">
        <v>10766020</v>
      </c>
      <c r="L2" s="24">
        <v>4602530</v>
      </c>
      <c r="M2" s="24">
        <v>8833100</v>
      </c>
      <c r="N2" s="24">
        <v>14162030</v>
      </c>
      <c r="O2" s="24">
        <v>19781790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617392</v>
      </c>
    </row>
    <row r="4" spans="1:50" ht="20.25" customHeight="1" x14ac:dyDescent="0.3">
      <c r="A4" s="26" t="s">
        <v>22</v>
      </c>
      <c r="B4" s="41" t="s">
        <v>47</v>
      </c>
      <c r="C4" s="27" t="s">
        <v>48</v>
      </c>
      <c r="D4" s="59" t="s">
        <v>23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Q4" s="61" t="s">
        <v>24</v>
      </c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3"/>
      <c r="AD4" s="28" t="s">
        <v>25</v>
      </c>
      <c r="AF4" s="64" t="s">
        <v>26</v>
      </c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29" t="s">
        <v>27</v>
      </c>
      <c r="AU4" s="55" t="s">
        <v>28</v>
      </c>
      <c r="AV4" s="56" t="s">
        <v>29</v>
      </c>
      <c r="AW4" s="56" t="s">
        <v>49</v>
      </c>
      <c r="AX4" s="58" t="s">
        <v>30</v>
      </c>
    </row>
    <row r="5" spans="1:50" ht="15.6" x14ac:dyDescent="0.3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7"/>
      <c r="AW5" s="57"/>
      <c r="AX5" s="58"/>
    </row>
    <row r="6" spans="1:50" x14ac:dyDescent="0.3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617392</v>
      </c>
    </row>
    <row r="7" spans="1:50" x14ac:dyDescent="0.3">
      <c r="A7" s="23">
        <v>44652</v>
      </c>
      <c r="B7" s="40">
        <v>59</v>
      </c>
      <c r="C7" s="24">
        <v>7827150</v>
      </c>
      <c r="D7" s="24">
        <v>18297170</v>
      </c>
      <c r="E7" s="24">
        <v>3200810</v>
      </c>
      <c r="F7" s="24">
        <v>3962500</v>
      </c>
      <c r="G7" s="24">
        <v>11781090</v>
      </c>
      <c r="H7" s="24">
        <v>6675110</v>
      </c>
      <c r="I7" s="24">
        <v>5822250</v>
      </c>
      <c r="J7" s="24">
        <v>7230720</v>
      </c>
      <c r="K7" s="24">
        <v>10770560</v>
      </c>
      <c r="L7" s="24">
        <v>4605090</v>
      </c>
      <c r="M7" s="24">
        <v>8836440</v>
      </c>
      <c r="N7" s="24">
        <v>14168900</v>
      </c>
      <c r="O7" s="24">
        <v>19793110</v>
      </c>
      <c r="Q7" s="37">
        <f>IF((C7-C2&lt;0), "0",C7-C2)</f>
        <v>540</v>
      </c>
      <c r="R7" s="37">
        <f t="shared" ref="R7:AC7" si="0">IF((D7-D2&lt;0), "0",D7-D2)</f>
        <v>11720</v>
      </c>
      <c r="S7" s="37">
        <f>IF((E7-E2&lt;0), "0",E7-E2)</f>
        <v>0</v>
      </c>
      <c r="T7" s="37">
        <f t="shared" si="0"/>
        <v>1460</v>
      </c>
      <c r="U7" s="37">
        <f t="shared" si="0"/>
        <v>5200</v>
      </c>
      <c r="V7" s="37">
        <f t="shared" si="0"/>
        <v>3980</v>
      </c>
      <c r="W7" s="37">
        <f t="shared" si="0"/>
        <v>3260</v>
      </c>
      <c r="X7" s="37">
        <f t="shared" si="0"/>
        <v>4410</v>
      </c>
      <c r="Y7" s="37">
        <f t="shared" si="0"/>
        <v>4540</v>
      </c>
      <c r="Z7" s="37">
        <f t="shared" si="0"/>
        <v>2560</v>
      </c>
      <c r="AA7" s="37">
        <f t="shared" si="0"/>
        <v>3340</v>
      </c>
      <c r="AB7" s="37">
        <f t="shared" si="0"/>
        <v>6870</v>
      </c>
      <c r="AC7" s="37">
        <f t="shared" si="0"/>
        <v>11320</v>
      </c>
      <c r="AD7" s="34">
        <f>SUM(Q7:AC7)</f>
        <v>59200</v>
      </c>
      <c r="AF7" s="20">
        <f t="shared" ref="AF7:AF36" si="1">Q7*$D$39</f>
        <v>2.7</v>
      </c>
      <c r="AG7" s="20">
        <f t="shared" ref="AG7:AG36" si="2">R7*$D$39</f>
        <v>58.6</v>
      </c>
      <c r="AH7" s="20">
        <f t="shared" ref="AH7:AH36" si="3">S7*$D$39</f>
        <v>0</v>
      </c>
      <c r="AI7" s="20">
        <f t="shared" ref="AI7:AI36" si="4">T7*$D$39</f>
        <v>7.3</v>
      </c>
      <c r="AJ7" s="20">
        <f t="shared" ref="AJ7:AJ36" si="5">U7*$D$39</f>
        <v>26</v>
      </c>
      <c r="AK7" s="20">
        <f t="shared" ref="AK7:AK36" si="6">V7*$D$39</f>
        <v>19.900000000000002</v>
      </c>
      <c r="AL7" s="20">
        <f t="shared" ref="AL7:AL36" si="7">W7*$D$39</f>
        <v>16.3</v>
      </c>
      <c r="AM7" s="20">
        <f t="shared" ref="AM7:AM36" si="8">X7*$D$39</f>
        <v>22.05</v>
      </c>
      <c r="AN7" s="20">
        <f t="shared" ref="AN7:AN36" si="9">Y7*$D$39</f>
        <v>22.7</v>
      </c>
      <c r="AO7" s="20">
        <f t="shared" ref="AO7:AO36" si="10">Z7*$D$39</f>
        <v>12.8</v>
      </c>
      <c r="AP7" s="20">
        <f t="shared" ref="AP7:AP36" si="11">AA7*$D$39</f>
        <v>16.7</v>
      </c>
      <c r="AQ7" s="20">
        <f t="shared" ref="AQ7:AQ36" si="12">AB7*$D$39</f>
        <v>34.35</v>
      </c>
      <c r="AR7" s="20">
        <f t="shared" ref="AR7:AR36" si="13">AC7*$D$39</f>
        <v>56.6</v>
      </c>
      <c r="AS7" s="35">
        <f>SUM(AF7:AR7)</f>
        <v>296</v>
      </c>
      <c r="AU7" s="47">
        <v>619105</v>
      </c>
      <c r="AV7" s="37">
        <f>IF((AU7-AU6&lt;0),"0",AU7-AU6)</f>
        <v>1713</v>
      </c>
      <c r="AW7" s="37">
        <f>AV7*100*AV44</f>
        <v>648.44073300000002</v>
      </c>
      <c r="AX7" s="35">
        <f t="shared" ref="AX7:AX35" si="14">AV7*$D$40</f>
        <v>3.4260000000000002</v>
      </c>
    </row>
    <row r="8" spans="1:50" x14ac:dyDescent="0.3">
      <c r="A8" s="23">
        <v>44653</v>
      </c>
      <c r="B8" s="40">
        <v>21</v>
      </c>
      <c r="C8" s="24">
        <v>7827710</v>
      </c>
      <c r="D8" s="24">
        <v>18309960</v>
      </c>
      <c r="E8" s="24">
        <v>3200820</v>
      </c>
      <c r="F8" s="24">
        <v>3964030</v>
      </c>
      <c r="G8" s="24">
        <v>11785640</v>
      </c>
      <c r="H8" s="24">
        <v>6679080</v>
      </c>
      <c r="I8" s="24">
        <v>5826180</v>
      </c>
      <c r="J8" s="24">
        <v>7234680</v>
      </c>
      <c r="K8" s="24">
        <v>10775300</v>
      </c>
      <c r="L8" s="24">
        <v>4607500</v>
      </c>
      <c r="M8" s="24">
        <v>8839490</v>
      </c>
      <c r="N8" s="24">
        <v>14175780</v>
      </c>
      <c r="O8" s="24">
        <v>19805500</v>
      </c>
      <c r="Q8" s="37">
        <f>IF((C8-C7&lt;0), "0",C8-C7)</f>
        <v>560</v>
      </c>
      <c r="R8" s="37">
        <f t="shared" ref="R8:AC8" si="15">IF((D8-D7&lt;0), "0",D8-D7)</f>
        <v>12790</v>
      </c>
      <c r="S8" s="37">
        <f t="shared" ref="S8:S35" si="16">IF((E8-E7&lt;0), "0",E8-E7)</f>
        <v>10</v>
      </c>
      <c r="T8" s="37">
        <f t="shared" si="15"/>
        <v>1530</v>
      </c>
      <c r="U8" s="37">
        <f t="shared" si="15"/>
        <v>4550</v>
      </c>
      <c r="V8" s="37">
        <f t="shared" si="15"/>
        <v>3970</v>
      </c>
      <c r="W8" s="37">
        <f t="shared" si="15"/>
        <v>3930</v>
      </c>
      <c r="X8" s="37">
        <f t="shared" si="15"/>
        <v>3960</v>
      </c>
      <c r="Y8" s="37">
        <f t="shared" si="15"/>
        <v>4740</v>
      </c>
      <c r="Z8" s="37">
        <f t="shared" si="15"/>
        <v>2410</v>
      </c>
      <c r="AA8" s="37">
        <f t="shared" si="15"/>
        <v>3050</v>
      </c>
      <c r="AB8" s="37">
        <f t="shared" si="15"/>
        <v>6880</v>
      </c>
      <c r="AC8" s="37">
        <f t="shared" si="15"/>
        <v>12390</v>
      </c>
      <c r="AD8" s="35">
        <f>SUM(Q8:AC8)</f>
        <v>60770</v>
      </c>
      <c r="AF8" s="20">
        <f t="shared" si="1"/>
        <v>2.8000000000000003</v>
      </c>
      <c r="AG8" s="20">
        <f t="shared" si="2"/>
        <v>63.95</v>
      </c>
      <c r="AH8" s="20">
        <f t="shared" si="3"/>
        <v>0.05</v>
      </c>
      <c r="AI8" s="20">
        <f t="shared" si="4"/>
        <v>7.65</v>
      </c>
      <c r="AJ8" s="20">
        <f t="shared" si="5"/>
        <v>22.75</v>
      </c>
      <c r="AK8" s="20">
        <f t="shared" si="6"/>
        <v>19.850000000000001</v>
      </c>
      <c r="AL8" s="20">
        <f t="shared" si="7"/>
        <v>19.650000000000002</v>
      </c>
      <c r="AM8" s="20">
        <f t="shared" si="8"/>
        <v>19.8</v>
      </c>
      <c r="AN8" s="20">
        <f t="shared" si="9"/>
        <v>23.7</v>
      </c>
      <c r="AO8" s="20">
        <f t="shared" si="10"/>
        <v>12.05</v>
      </c>
      <c r="AP8" s="20">
        <f t="shared" si="11"/>
        <v>15.25</v>
      </c>
      <c r="AQ8" s="20">
        <f t="shared" si="12"/>
        <v>34.4</v>
      </c>
      <c r="AR8" s="20">
        <f t="shared" si="13"/>
        <v>61.95</v>
      </c>
      <c r="AS8" s="35">
        <f>SUM(AF8:AR8)</f>
        <v>303.85000000000002</v>
      </c>
      <c r="AU8" s="47">
        <v>620542</v>
      </c>
      <c r="AV8" s="37">
        <f>IF((AU8-AU7&lt;0),"0",AU8-AU7)</f>
        <v>1437</v>
      </c>
      <c r="AW8" s="37">
        <f>AV8*100*AV44</f>
        <v>543.96341699999994</v>
      </c>
      <c r="AX8" s="35">
        <f t="shared" si="14"/>
        <v>2.8740000000000001</v>
      </c>
    </row>
    <row r="9" spans="1:50" x14ac:dyDescent="0.3">
      <c r="A9" s="23">
        <v>44654</v>
      </c>
      <c r="B9" s="40">
        <v>22</v>
      </c>
      <c r="C9" s="24">
        <v>7828250</v>
      </c>
      <c r="D9" s="24">
        <v>18322310</v>
      </c>
      <c r="E9" s="24">
        <v>3200880</v>
      </c>
      <c r="F9" s="24">
        <v>3965490</v>
      </c>
      <c r="G9" s="24">
        <v>11789890</v>
      </c>
      <c r="H9" s="24">
        <v>6682790</v>
      </c>
      <c r="I9" s="24">
        <v>5829820</v>
      </c>
      <c r="J9" s="24">
        <v>7238370</v>
      </c>
      <c r="K9" s="24">
        <v>10779960</v>
      </c>
      <c r="L9" s="24">
        <v>4609690</v>
      </c>
      <c r="M9" s="24">
        <v>8842140</v>
      </c>
      <c r="N9" s="24">
        <v>14182350</v>
      </c>
      <c r="O9" s="24">
        <v>19817350</v>
      </c>
      <c r="Q9" s="37">
        <f t="shared" ref="Q9:Q30" si="17">IF((C9-C8&lt;0), "0",C9-C8)</f>
        <v>540</v>
      </c>
      <c r="R9" s="37">
        <f t="shared" ref="R9:R37" si="18">IF((D9-D8&lt;0), "0",D9-D8)</f>
        <v>12350</v>
      </c>
      <c r="S9" s="37">
        <f t="shared" si="16"/>
        <v>60</v>
      </c>
      <c r="T9" s="37">
        <f t="shared" ref="T9:T35" si="19">IF((F9-F8&lt;0), "0",F9-F8)</f>
        <v>1460</v>
      </c>
      <c r="U9" s="37">
        <f t="shared" ref="U9:U35" si="20">IF((G9-G8&lt;0), "0",G9-G8)</f>
        <v>4250</v>
      </c>
      <c r="V9" s="37">
        <f t="shared" ref="V9:V35" si="21">IF((H9-H8&lt;0), "0",H9-H8)</f>
        <v>3710</v>
      </c>
      <c r="W9" s="37">
        <f t="shared" ref="W9:W35" si="22">IF((I9-I8&lt;0), "0",I9-I8)</f>
        <v>3640</v>
      </c>
      <c r="X9" s="37">
        <f t="shared" ref="X9:X37" si="23">IF((J9-J8&lt;0), "0",J9-J8)</f>
        <v>3690</v>
      </c>
      <c r="Y9" s="37">
        <f t="shared" ref="Y9:Y35" si="24">IF((K9-K8&lt;0), "0",K9-K8)</f>
        <v>4660</v>
      </c>
      <c r="Z9" s="37">
        <f t="shared" ref="Z9:Z35" si="25">IF((L9-L8&lt;0), "0",L9-L8)</f>
        <v>2190</v>
      </c>
      <c r="AA9" s="37">
        <f t="shared" ref="AA9:AA35" si="26">IF((M9-M8&lt;0), "0",M9-M8)</f>
        <v>2650</v>
      </c>
      <c r="AB9" s="37">
        <f t="shared" ref="AB9:AB37" si="27">IF((N9-N8&lt;0), "0",N9-N8)</f>
        <v>6570</v>
      </c>
      <c r="AC9" s="37">
        <f t="shared" ref="AC9:AC37" si="28">IF((O9-O8&lt;0), "0",O9-O8)</f>
        <v>11850</v>
      </c>
      <c r="AD9" s="35">
        <f t="shared" ref="AD9:AD37" si="29">SUM(Q9:AC9)</f>
        <v>57620</v>
      </c>
      <c r="AF9" s="20">
        <f t="shared" si="1"/>
        <v>2.7</v>
      </c>
      <c r="AG9" s="20">
        <f t="shared" si="2"/>
        <v>61.75</v>
      </c>
      <c r="AH9" s="20">
        <f t="shared" si="3"/>
        <v>0.3</v>
      </c>
      <c r="AI9" s="20">
        <f t="shared" si="4"/>
        <v>7.3</v>
      </c>
      <c r="AJ9" s="20">
        <f t="shared" si="5"/>
        <v>21.25</v>
      </c>
      <c r="AK9" s="20">
        <f t="shared" si="6"/>
        <v>18.55</v>
      </c>
      <c r="AL9" s="20">
        <f t="shared" si="7"/>
        <v>18.2</v>
      </c>
      <c r="AM9" s="20">
        <f t="shared" si="8"/>
        <v>18.45</v>
      </c>
      <c r="AN9" s="20">
        <f t="shared" si="9"/>
        <v>23.3</v>
      </c>
      <c r="AO9" s="20">
        <f t="shared" si="10"/>
        <v>10.950000000000001</v>
      </c>
      <c r="AP9" s="20">
        <f t="shared" si="11"/>
        <v>13.25</v>
      </c>
      <c r="AQ9" s="20">
        <f t="shared" si="12"/>
        <v>32.85</v>
      </c>
      <c r="AR9" s="20">
        <f t="shared" si="13"/>
        <v>59.25</v>
      </c>
      <c r="AS9" s="35">
        <f t="shared" ref="AS9:AS33" si="30">SUM(AF9:AR9)</f>
        <v>288.09999999999997</v>
      </c>
      <c r="AU9" s="47">
        <v>622047</v>
      </c>
      <c r="AV9" s="37">
        <f>IF((AU9-AU8&lt;0),"0",AU9-AU8)</f>
        <v>1505</v>
      </c>
      <c r="AW9" s="37">
        <f>AV9*100*AV44</f>
        <v>569.704205</v>
      </c>
      <c r="AX9" s="35">
        <f t="shared" si="14"/>
        <v>3.0100000000000002</v>
      </c>
    </row>
    <row r="10" spans="1:50" x14ac:dyDescent="0.3">
      <c r="A10" s="23">
        <v>44655</v>
      </c>
      <c r="B10" s="40">
        <v>26</v>
      </c>
      <c r="C10" s="24">
        <v>7828820</v>
      </c>
      <c r="D10" s="24">
        <v>18335600</v>
      </c>
      <c r="E10" s="24">
        <v>3200940</v>
      </c>
      <c r="F10" s="24">
        <v>3967080</v>
      </c>
      <c r="G10" s="24">
        <v>11794360</v>
      </c>
      <c r="H10" s="24">
        <v>6686890</v>
      </c>
      <c r="I10" s="24">
        <v>5834030</v>
      </c>
      <c r="J10" s="24">
        <v>7242170</v>
      </c>
      <c r="K10" s="24">
        <v>10784210</v>
      </c>
      <c r="L10" s="24">
        <v>4612110</v>
      </c>
      <c r="M10" s="24">
        <v>8844820</v>
      </c>
      <c r="N10" s="24">
        <v>14189250</v>
      </c>
      <c r="O10" s="24">
        <v>19827880</v>
      </c>
      <c r="Q10" s="37">
        <f t="shared" si="17"/>
        <v>570</v>
      </c>
      <c r="R10" s="37">
        <f t="shared" si="18"/>
        <v>13290</v>
      </c>
      <c r="S10" s="37">
        <f t="shared" si="16"/>
        <v>60</v>
      </c>
      <c r="T10" s="37">
        <f t="shared" si="19"/>
        <v>1590</v>
      </c>
      <c r="U10" s="37">
        <f t="shared" si="20"/>
        <v>4470</v>
      </c>
      <c r="V10" s="37">
        <f t="shared" si="21"/>
        <v>4100</v>
      </c>
      <c r="W10" s="37">
        <f t="shared" si="22"/>
        <v>4210</v>
      </c>
      <c r="X10" s="37">
        <f t="shared" si="23"/>
        <v>3800</v>
      </c>
      <c r="Y10" s="37">
        <f t="shared" si="24"/>
        <v>4250</v>
      </c>
      <c r="Z10" s="37">
        <f t="shared" si="25"/>
        <v>2420</v>
      </c>
      <c r="AA10" s="37">
        <f t="shared" si="26"/>
        <v>2680</v>
      </c>
      <c r="AB10" s="37">
        <f t="shared" si="27"/>
        <v>6900</v>
      </c>
      <c r="AC10" s="37">
        <f t="shared" si="28"/>
        <v>10530</v>
      </c>
      <c r="AD10" s="35">
        <f t="shared" si="29"/>
        <v>58870</v>
      </c>
      <c r="AF10" s="20">
        <f t="shared" si="1"/>
        <v>2.85</v>
      </c>
      <c r="AG10" s="20">
        <f t="shared" si="2"/>
        <v>66.45</v>
      </c>
      <c r="AH10" s="20">
        <f t="shared" si="3"/>
        <v>0.3</v>
      </c>
      <c r="AI10" s="20">
        <f t="shared" si="4"/>
        <v>7.95</v>
      </c>
      <c r="AJ10" s="20">
        <f t="shared" si="5"/>
        <v>22.35</v>
      </c>
      <c r="AK10" s="20">
        <f t="shared" si="6"/>
        <v>20.5</v>
      </c>
      <c r="AL10" s="20">
        <f t="shared" si="7"/>
        <v>21.05</v>
      </c>
      <c r="AM10" s="20">
        <f t="shared" si="8"/>
        <v>19</v>
      </c>
      <c r="AN10" s="20">
        <f t="shared" si="9"/>
        <v>21.25</v>
      </c>
      <c r="AO10" s="20">
        <f t="shared" si="10"/>
        <v>12.1</v>
      </c>
      <c r="AP10" s="20">
        <f t="shared" si="11"/>
        <v>13.4</v>
      </c>
      <c r="AQ10" s="20">
        <f t="shared" si="12"/>
        <v>34.5</v>
      </c>
      <c r="AR10" s="20">
        <f t="shared" si="13"/>
        <v>52.65</v>
      </c>
      <c r="AS10" s="35">
        <f t="shared" si="30"/>
        <v>294.35000000000002</v>
      </c>
      <c r="AU10" s="47">
        <v>623998</v>
      </c>
      <c r="AV10" s="37">
        <f t="shared" ref="AV10:AV26" si="31">IF((AU10-AU9&lt;0),"0",AU10-AU9)</f>
        <v>1951</v>
      </c>
      <c r="AW10" s="37">
        <f>AV10*100*AV44</f>
        <v>738.53349100000003</v>
      </c>
      <c r="AX10" s="35">
        <f t="shared" si="14"/>
        <v>3.9020000000000001</v>
      </c>
    </row>
    <row r="11" spans="1:50" x14ac:dyDescent="0.3">
      <c r="A11" s="23">
        <v>44656</v>
      </c>
      <c r="B11" s="40">
        <v>25</v>
      </c>
      <c r="C11" s="24">
        <v>7829350</v>
      </c>
      <c r="D11" s="24">
        <v>18347250</v>
      </c>
      <c r="E11" s="24">
        <v>3201120</v>
      </c>
      <c r="F11" s="24">
        <v>3968560</v>
      </c>
      <c r="G11" s="24">
        <v>11798490</v>
      </c>
      <c r="H11" s="24">
        <v>6690920</v>
      </c>
      <c r="I11" s="24">
        <v>5837910</v>
      </c>
      <c r="J11" s="24">
        <v>7245640</v>
      </c>
      <c r="K11" s="24">
        <v>10787510</v>
      </c>
      <c r="L11" s="24">
        <v>4614400</v>
      </c>
      <c r="M11" s="24">
        <v>8847250</v>
      </c>
      <c r="N11" s="24">
        <v>14195670</v>
      </c>
      <c r="O11" s="24">
        <v>19839150</v>
      </c>
      <c r="Q11" s="37">
        <f t="shared" si="17"/>
        <v>530</v>
      </c>
      <c r="R11" s="37">
        <f t="shared" si="18"/>
        <v>11650</v>
      </c>
      <c r="S11" s="37">
        <f t="shared" si="16"/>
        <v>180</v>
      </c>
      <c r="T11" s="37">
        <f t="shared" si="19"/>
        <v>1480</v>
      </c>
      <c r="U11" s="37">
        <f t="shared" si="20"/>
        <v>4130</v>
      </c>
      <c r="V11" s="37">
        <f t="shared" si="21"/>
        <v>4030</v>
      </c>
      <c r="W11" s="37">
        <f t="shared" si="22"/>
        <v>3880</v>
      </c>
      <c r="X11" s="37">
        <f t="shared" si="23"/>
        <v>3470</v>
      </c>
      <c r="Y11" s="37">
        <f t="shared" si="24"/>
        <v>3300</v>
      </c>
      <c r="Z11" s="37">
        <f t="shared" si="25"/>
        <v>2290</v>
      </c>
      <c r="AA11" s="37">
        <f t="shared" si="26"/>
        <v>2430</v>
      </c>
      <c r="AB11" s="37">
        <f t="shared" si="27"/>
        <v>6420</v>
      </c>
      <c r="AC11" s="37">
        <f t="shared" si="28"/>
        <v>11270</v>
      </c>
      <c r="AD11" s="35">
        <f t="shared" si="29"/>
        <v>55060</v>
      </c>
      <c r="AF11" s="20">
        <f t="shared" si="1"/>
        <v>2.65</v>
      </c>
      <c r="AG11" s="20">
        <f t="shared" si="2"/>
        <v>58.25</v>
      </c>
      <c r="AH11" s="20">
        <f t="shared" si="3"/>
        <v>0.9</v>
      </c>
      <c r="AI11" s="20">
        <f t="shared" si="4"/>
        <v>7.4</v>
      </c>
      <c r="AJ11" s="20">
        <f t="shared" si="5"/>
        <v>20.650000000000002</v>
      </c>
      <c r="AK11" s="20">
        <f t="shared" si="6"/>
        <v>20.150000000000002</v>
      </c>
      <c r="AL11" s="20">
        <f t="shared" si="7"/>
        <v>19.400000000000002</v>
      </c>
      <c r="AM11" s="20">
        <f t="shared" si="8"/>
        <v>17.350000000000001</v>
      </c>
      <c r="AN11" s="20">
        <f t="shared" si="9"/>
        <v>16.5</v>
      </c>
      <c r="AO11" s="20">
        <f t="shared" si="10"/>
        <v>11.450000000000001</v>
      </c>
      <c r="AP11" s="20">
        <f t="shared" si="11"/>
        <v>12.15</v>
      </c>
      <c r="AQ11" s="20">
        <f t="shared" si="12"/>
        <v>32.1</v>
      </c>
      <c r="AR11" s="20">
        <f t="shared" si="13"/>
        <v>56.35</v>
      </c>
      <c r="AS11" s="35">
        <f t="shared" si="30"/>
        <v>275.3</v>
      </c>
      <c r="AU11" s="47">
        <v>626014</v>
      </c>
      <c r="AV11" s="37">
        <f t="shared" si="31"/>
        <v>2016</v>
      </c>
      <c r="AW11" s="37">
        <f>AV11*100*AV44</f>
        <v>763.13865599999997</v>
      </c>
      <c r="AX11" s="35">
        <f t="shared" si="14"/>
        <v>4.032</v>
      </c>
    </row>
    <row r="12" spans="1:50" x14ac:dyDescent="0.3">
      <c r="A12" s="23">
        <v>44657</v>
      </c>
      <c r="B12" s="40">
        <v>29</v>
      </c>
      <c r="C12" s="49">
        <v>7829870</v>
      </c>
      <c r="D12" s="24">
        <v>18359740</v>
      </c>
      <c r="E12" s="24">
        <v>3201160</v>
      </c>
      <c r="F12" s="24">
        <v>3970060</v>
      </c>
      <c r="G12" s="24">
        <v>11802780</v>
      </c>
      <c r="H12" s="24">
        <v>6694740</v>
      </c>
      <c r="I12" s="24">
        <v>5841970</v>
      </c>
      <c r="J12" s="24">
        <v>7249210</v>
      </c>
      <c r="K12" s="24">
        <v>10791020</v>
      </c>
      <c r="L12" s="24">
        <v>4616680</v>
      </c>
      <c r="M12" s="24">
        <v>8849720</v>
      </c>
      <c r="N12" s="24">
        <v>14202390</v>
      </c>
      <c r="O12" s="24">
        <v>19850570</v>
      </c>
      <c r="Q12" s="37">
        <f t="shared" si="17"/>
        <v>520</v>
      </c>
      <c r="R12" s="37">
        <f t="shared" si="18"/>
        <v>12490</v>
      </c>
      <c r="S12" s="37">
        <f t="shared" si="16"/>
        <v>40</v>
      </c>
      <c r="T12" s="37">
        <f t="shared" ref="T12:W14" si="32">IF((F12-F11&lt;0), "0",F12-F11)</f>
        <v>1500</v>
      </c>
      <c r="U12" s="37">
        <f t="shared" si="32"/>
        <v>4290</v>
      </c>
      <c r="V12" s="37">
        <f t="shared" si="32"/>
        <v>3820</v>
      </c>
      <c r="W12" s="37">
        <f t="shared" si="32"/>
        <v>4060</v>
      </c>
      <c r="X12" s="37">
        <f t="shared" si="23"/>
        <v>3570</v>
      </c>
      <c r="Y12" s="37">
        <f t="shared" si="24"/>
        <v>3510</v>
      </c>
      <c r="Z12" s="37">
        <f>IF((L12-L11&lt;0), "0",L12-L11)</f>
        <v>2280</v>
      </c>
      <c r="AA12" s="37">
        <f t="shared" si="26"/>
        <v>2470</v>
      </c>
      <c r="AB12" s="37">
        <f t="shared" si="27"/>
        <v>6720</v>
      </c>
      <c r="AC12" s="37">
        <f t="shared" si="28"/>
        <v>11420</v>
      </c>
      <c r="AD12" s="35">
        <f t="shared" si="29"/>
        <v>56690</v>
      </c>
      <c r="AF12" s="20">
        <f t="shared" si="1"/>
        <v>2.6</v>
      </c>
      <c r="AG12" s="20">
        <f t="shared" si="2"/>
        <v>62.45</v>
      </c>
      <c r="AH12" s="20">
        <f t="shared" si="3"/>
        <v>0.2</v>
      </c>
      <c r="AI12" s="20">
        <f t="shared" si="4"/>
        <v>7.5</v>
      </c>
      <c r="AJ12" s="20">
        <f t="shared" si="5"/>
        <v>21.45</v>
      </c>
      <c r="AK12" s="20">
        <f t="shared" si="6"/>
        <v>19.100000000000001</v>
      </c>
      <c r="AL12" s="20">
        <f t="shared" si="7"/>
        <v>20.3</v>
      </c>
      <c r="AM12" s="20">
        <f t="shared" si="8"/>
        <v>17.850000000000001</v>
      </c>
      <c r="AN12" s="20">
        <f t="shared" si="9"/>
        <v>17.55</v>
      </c>
      <c r="AO12" s="20">
        <f t="shared" si="10"/>
        <v>11.4</v>
      </c>
      <c r="AP12" s="20">
        <f t="shared" si="11"/>
        <v>12.35</v>
      </c>
      <c r="AQ12" s="20">
        <f t="shared" si="12"/>
        <v>33.6</v>
      </c>
      <c r="AR12" s="20">
        <f t="shared" si="13"/>
        <v>57.1</v>
      </c>
      <c r="AS12" s="35">
        <f t="shared" si="30"/>
        <v>283.45000000000005</v>
      </c>
      <c r="AU12" s="47">
        <v>628192</v>
      </c>
      <c r="AV12" s="37">
        <f t="shared" si="31"/>
        <v>2178</v>
      </c>
      <c r="AW12" s="37">
        <f>AV12*100*AV44</f>
        <v>824.46229800000003</v>
      </c>
      <c r="AX12" s="35">
        <f t="shared" si="14"/>
        <v>4.3559999999999999</v>
      </c>
    </row>
    <row r="13" spans="1:50" x14ac:dyDescent="0.3">
      <c r="A13" s="23">
        <v>44658</v>
      </c>
      <c r="B13" s="40">
        <v>39</v>
      </c>
      <c r="C13" s="24">
        <v>7830380</v>
      </c>
      <c r="D13" s="24">
        <v>18372510</v>
      </c>
      <c r="E13" s="24">
        <v>3201230</v>
      </c>
      <c r="F13" s="24">
        <v>3971570</v>
      </c>
      <c r="G13" s="24">
        <v>11807220</v>
      </c>
      <c r="H13" s="24">
        <v>6698370</v>
      </c>
      <c r="I13" s="24">
        <v>5846290</v>
      </c>
      <c r="J13" s="24">
        <v>7252770</v>
      </c>
      <c r="K13" s="24">
        <v>10794570</v>
      </c>
      <c r="L13" s="24">
        <v>4619040</v>
      </c>
      <c r="M13" s="24">
        <v>8852320</v>
      </c>
      <c r="N13" s="24">
        <v>14209120</v>
      </c>
      <c r="O13" s="24">
        <v>19862520</v>
      </c>
      <c r="Q13" s="37">
        <f t="shared" si="17"/>
        <v>510</v>
      </c>
      <c r="R13" s="37">
        <f t="shared" si="18"/>
        <v>12770</v>
      </c>
      <c r="S13" s="37">
        <f t="shared" si="16"/>
        <v>70</v>
      </c>
      <c r="T13" s="37">
        <f t="shared" si="32"/>
        <v>1510</v>
      </c>
      <c r="U13" s="37">
        <f t="shared" si="32"/>
        <v>4440</v>
      </c>
      <c r="V13" s="37">
        <f t="shared" si="32"/>
        <v>3630</v>
      </c>
      <c r="W13" s="37">
        <f t="shared" si="32"/>
        <v>4320</v>
      </c>
      <c r="X13" s="37">
        <f t="shared" si="23"/>
        <v>3560</v>
      </c>
      <c r="Y13" s="37">
        <f t="shared" si="24"/>
        <v>3550</v>
      </c>
      <c r="Z13" s="37">
        <f>IF((L13-L12&lt;0), "0",L13-L12)</f>
        <v>2360</v>
      </c>
      <c r="AA13" s="37">
        <f t="shared" si="26"/>
        <v>2600</v>
      </c>
      <c r="AB13" s="37">
        <f t="shared" si="27"/>
        <v>6730</v>
      </c>
      <c r="AC13" s="37">
        <f t="shared" si="28"/>
        <v>11950</v>
      </c>
      <c r="AD13" s="35">
        <f t="shared" si="29"/>
        <v>58000</v>
      </c>
      <c r="AF13" s="20">
        <f t="shared" si="1"/>
        <v>2.5500000000000003</v>
      </c>
      <c r="AG13" s="20">
        <f t="shared" si="2"/>
        <v>63.85</v>
      </c>
      <c r="AH13" s="20">
        <f t="shared" si="3"/>
        <v>0.35000000000000003</v>
      </c>
      <c r="AI13" s="20">
        <f t="shared" si="4"/>
        <v>7.55</v>
      </c>
      <c r="AJ13" s="20">
        <f t="shared" si="5"/>
        <v>22.2</v>
      </c>
      <c r="AK13" s="20">
        <f t="shared" si="6"/>
        <v>18.150000000000002</v>
      </c>
      <c r="AL13" s="20">
        <f t="shared" si="7"/>
        <v>21.6</v>
      </c>
      <c r="AM13" s="20">
        <f t="shared" si="8"/>
        <v>17.8</v>
      </c>
      <c r="AN13" s="20">
        <f t="shared" si="9"/>
        <v>17.75</v>
      </c>
      <c r="AO13" s="20">
        <f t="shared" si="10"/>
        <v>11.8</v>
      </c>
      <c r="AP13" s="20">
        <f t="shared" si="11"/>
        <v>13</v>
      </c>
      <c r="AQ13" s="20">
        <f t="shared" si="12"/>
        <v>33.65</v>
      </c>
      <c r="AR13" s="20">
        <f t="shared" si="13"/>
        <v>59.75</v>
      </c>
      <c r="AS13" s="35">
        <f t="shared" si="30"/>
        <v>290</v>
      </c>
      <c r="AU13" s="47">
        <v>629554</v>
      </c>
      <c r="AV13" s="37">
        <f t="shared" si="31"/>
        <v>1362</v>
      </c>
      <c r="AW13" s="37">
        <f>AV13*100*AV44</f>
        <v>515.57284200000004</v>
      </c>
      <c r="AX13" s="35">
        <f t="shared" si="14"/>
        <v>2.7240000000000002</v>
      </c>
    </row>
    <row r="14" spans="1:50" x14ac:dyDescent="0.3">
      <c r="A14" s="23">
        <v>44659</v>
      </c>
      <c r="B14" s="40">
        <v>37</v>
      </c>
      <c r="C14" s="24">
        <v>7830910</v>
      </c>
      <c r="D14" s="24">
        <v>18385220</v>
      </c>
      <c r="E14" s="24">
        <v>3201270</v>
      </c>
      <c r="F14" s="24">
        <v>3973100</v>
      </c>
      <c r="G14" s="24">
        <v>11811940</v>
      </c>
      <c r="H14" s="24">
        <v>6702050</v>
      </c>
      <c r="I14" s="24">
        <v>5850740</v>
      </c>
      <c r="J14" s="24">
        <v>7256210</v>
      </c>
      <c r="K14" s="24">
        <v>10798080</v>
      </c>
      <c r="L14" s="24">
        <v>4621480</v>
      </c>
      <c r="M14" s="24">
        <v>8854940</v>
      </c>
      <c r="N14" s="24">
        <v>14216220</v>
      </c>
      <c r="O14" s="24">
        <v>19873820</v>
      </c>
      <c r="P14" s="53"/>
      <c r="Q14" s="37">
        <f t="shared" si="17"/>
        <v>530</v>
      </c>
      <c r="R14" s="37">
        <f t="shared" si="18"/>
        <v>12710</v>
      </c>
      <c r="S14" s="37">
        <f t="shared" si="16"/>
        <v>40</v>
      </c>
      <c r="T14" s="37">
        <f t="shared" si="32"/>
        <v>1530</v>
      </c>
      <c r="U14" s="37">
        <f t="shared" si="32"/>
        <v>4720</v>
      </c>
      <c r="V14" s="37">
        <f t="shared" si="32"/>
        <v>3680</v>
      </c>
      <c r="W14" s="37">
        <f t="shared" si="32"/>
        <v>4450</v>
      </c>
      <c r="X14" s="37">
        <f t="shared" si="23"/>
        <v>3440</v>
      </c>
      <c r="Y14" s="37">
        <f t="shared" si="24"/>
        <v>3510</v>
      </c>
      <c r="Z14" s="37">
        <f>IF((L14-L13&lt;0), "0",L14-L13)</f>
        <v>2440</v>
      </c>
      <c r="AA14" s="37">
        <f t="shared" si="26"/>
        <v>2620</v>
      </c>
      <c r="AB14" s="37">
        <f t="shared" si="27"/>
        <v>7100</v>
      </c>
      <c r="AC14" s="37">
        <f t="shared" si="28"/>
        <v>11300</v>
      </c>
      <c r="AD14" s="35">
        <f t="shared" si="29"/>
        <v>58070</v>
      </c>
      <c r="AF14" s="20">
        <f t="shared" si="1"/>
        <v>2.65</v>
      </c>
      <c r="AG14" s="20">
        <f t="shared" si="2"/>
        <v>63.550000000000004</v>
      </c>
      <c r="AH14" s="20">
        <f t="shared" si="3"/>
        <v>0.2</v>
      </c>
      <c r="AI14" s="20">
        <f t="shared" si="4"/>
        <v>7.65</v>
      </c>
      <c r="AJ14" s="20">
        <f t="shared" si="5"/>
        <v>23.6</v>
      </c>
      <c r="AK14" s="20">
        <f t="shared" si="6"/>
        <v>18.400000000000002</v>
      </c>
      <c r="AL14" s="20">
        <f t="shared" si="7"/>
        <v>22.25</v>
      </c>
      <c r="AM14" s="20">
        <f t="shared" si="8"/>
        <v>17.2</v>
      </c>
      <c r="AN14" s="20">
        <f t="shared" si="9"/>
        <v>17.55</v>
      </c>
      <c r="AO14" s="20">
        <f t="shared" si="10"/>
        <v>12.200000000000001</v>
      </c>
      <c r="AP14" s="20">
        <f t="shared" si="11"/>
        <v>13.1</v>
      </c>
      <c r="AQ14" s="20">
        <f t="shared" si="12"/>
        <v>35.5</v>
      </c>
      <c r="AR14" s="20">
        <f t="shared" si="13"/>
        <v>56.5</v>
      </c>
      <c r="AS14" s="35">
        <f t="shared" si="30"/>
        <v>290.35000000000002</v>
      </c>
      <c r="AU14" s="47">
        <v>630920</v>
      </c>
      <c r="AV14" s="37">
        <f t="shared" si="31"/>
        <v>1366</v>
      </c>
      <c r="AW14" s="37">
        <f>AV14*100*AV44</f>
        <v>517.08700599999997</v>
      </c>
      <c r="AX14" s="35">
        <f t="shared" si="14"/>
        <v>2.7320000000000002</v>
      </c>
    </row>
    <row r="15" spans="1:50" x14ac:dyDescent="0.3">
      <c r="A15" s="23">
        <v>44660</v>
      </c>
      <c r="B15" s="40">
        <v>34</v>
      </c>
      <c r="C15" s="24">
        <v>7831420</v>
      </c>
      <c r="D15" s="24">
        <v>18397700</v>
      </c>
      <c r="E15" s="24">
        <v>3201300</v>
      </c>
      <c r="F15" s="24">
        <v>3974600</v>
      </c>
      <c r="G15" s="24">
        <v>11816390</v>
      </c>
      <c r="H15" s="24">
        <v>6705580</v>
      </c>
      <c r="I15" s="24">
        <v>5854870</v>
      </c>
      <c r="J15" s="24">
        <v>7259620</v>
      </c>
      <c r="K15" s="24">
        <v>10801540</v>
      </c>
      <c r="L15" s="24">
        <v>4623760</v>
      </c>
      <c r="M15" s="24">
        <v>8857440</v>
      </c>
      <c r="N15" s="24">
        <v>14223010</v>
      </c>
      <c r="O15" s="24">
        <v>19885490</v>
      </c>
      <c r="Q15" s="37">
        <f t="shared" si="17"/>
        <v>510</v>
      </c>
      <c r="R15" s="37">
        <f t="shared" si="18"/>
        <v>12480</v>
      </c>
      <c r="S15" s="37">
        <f t="shared" si="16"/>
        <v>30</v>
      </c>
      <c r="T15" s="37">
        <f t="shared" si="19"/>
        <v>1500</v>
      </c>
      <c r="U15" s="37">
        <f t="shared" si="20"/>
        <v>4450</v>
      </c>
      <c r="V15" s="37">
        <f t="shared" si="21"/>
        <v>3530</v>
      </c>
      <c r="W15" s="37">
        <f t="shared" si="22"/>
        <v>4130</v>
      </c>
      <c r="X15" s="37">
        <f t="shared" si="23"/>
        <v>3410</v>
      </c>
      <c r="Y15" s="37">
        <f t="shared" si="24"/>
        <v>3460</v>
      </c>
      <c r="Z15" s="37">
        <f t="shared" si="25"/>
        <v>2280</v>
      </c>
      <c r="AA15" s="37">
        <f t="shared" si="26"/>
        <v>2500</v>
      </c>
      <c r="AB15" s="37">
        <f t="shared" si="27"/>
        <v>6790</v>
      </c>
      <c r="AC15" s="37">
        <f t="shared" si="28"/>
        <v>11670</v>
      </c>
      <c r="AD15" s="35">
        <f t="shared" si="29"/>
        <v>56740</v>
      </c>
      <c r="AF15" s="20">
        <f t="shared" si="1"/>
        <v>2.5500000000000003</v>
      </c>
      <c r="AG15" s="20">
        <f t="shared" si="2"/>
        <v>62.4</v>
      </c>
      <c r="AH15" s="20">
        <f t="shared" si="3"/>
        <v>0.15</v>
      </c>
      <c r="AI15" s="20">
        <f t="shared" si="4"/>
        <v>7.5</v>
      </c>
      <c r="AJ15" s="20">
        <f t="shared" si="5"/>
        <v>22.25</v>
      </c>
      <c r="AK15" s="20">
        <f t="shared" si="6"/>
        <v>17.650000000000002</v>
      </c>
      <c r="AL15" s="20">
        <f t="shared" si="7"/>
        <v>20.650000000000002</v>
      </c>
      <c r="AM15" s="20">
        <f t="shared" si="8"/>
        <v>17.05</v>
      </c>
      <c r="AN15" s="20">
        <f t="shared" si="9"/>
        <v>17.3</v>
      </c>
      <c r="AO15" s="20">
        <f t="shared" si="10"/>
        <v>11.4</v>
      </c>
      <c r="AP15" s="20">
        <f t="shared" si="11"/>
        <v>12.5</v>
      </c>
      <c r="AQ15" s="20">
        <f t="shared" si="12"/>
        <v>33.950000000000003</v>
      </c>
      <c r="AR15" s="20">
        <f t="shared" si="13"/>
        <v>58.35</v>
      </c>
      <c r="AS15" s="35">
        <f t="shared" si="30"/>
        <v>283.70000000000005</v>
      </c>
      <c r="AU15" s="47">
        <v>632301</v>
      </c>
      <c r="AV15" s="37">
        <f t="shared" si="31"/>
        <v>1381</v>
      </c>
      <c r="AW15" s="37">
        <f>AV15*100*AV44</f>
        <v>522.76512100000002</v>
      </c>
      <c r="AX15" s="35">
        <f t="shared" si="14"/>
        <v>2.762</v>
      </c>
    </row>
    <row r="16" spans="1:50" x14ac:dyDescent="0.3">
      <c r="A16" s="23">
        <v>44661</v>
      </c>
      <c r="B16" s="40">
        <v>41</v>
      </c>
      <c r="C16" s="24">
        <v>7831940</v>
      </c>
      <c r="D16" s="24">
        <v>18409670</v>
      </c>
      <c r="E16" s="24">
        <v>3201340</v>
      </c>
      <c r="F16" s="24">
        <v>3976100</v>
      </c>
      <c r="G16" s="24">
        <v>11820740</v>
      </c>
      <c r="H16" s="24">
        <v>6709270</v>
      </c>
      <c r="I16" s="24">
        <v>5859510</v>
      </c>
      <c r="J16" s="24">
        <v>7263100</v>
      </c>
      <c r="K16" s="24">
        <v>10805120</v>
      </c>
      <c r="L16" s="24">
        <v>4626060</v>
      </c>
      <c r="M16" s="24">
        <v>8859960</v>
      </c>
      <c r="N16" s="24">
        <v>14229790</v>
      </c>
      <c r="O16" s="24">
        <v>19892440</v>
      </c>
      <c r="Q16" s="37">
        <f t="shared" si="17"/>
        <v>520</v>
      </c>
      <c r="R16" s="37">
        <f t="shared" si="18"/>
        <v>11970</v>
      </c>
      <c r="S16" s="37">
        <f t="shared" si="16"/>
        <v>40</v>
      </c>
      <c r="T16" s="37">
        <f t="shared" si="19"/>
        <v>1500</v>
      </c>
      <c r="U16" s="37">
        <f t="shared" si="20"/>
        <v>4350</v>
      </c>
      <c r="V16" s="37">
        <f t="shared" si="21"/>
        <v>3690</v>
      </c>
      <c r="W16" s="37">
        <f t="shared" si="22"/>
        <v>4640</v>
      </c>
      <c r="X16" s="37">
        <f t="shared" si="23"/>
        <v>3480</v>
      </c>
      <c r="Y16" s="37">
        <f t="shared" si="24"/>
        <v>3580</v>
      </c>
      <c r="Z16" s="37">
        <f t="shared" si="25"/>
        <v>2300</v>
      </c>
      <c r="AA16" s="37">
        <f t="shared" si="26"/>
        <v>2520</v>
      </c>
      <c r="AB16" s="37">
        <f t="shared" si="27"/>
        <v>6780</v>
      </c>
      <c r="AC16" s="37">
        <f t="shared" si="28"/>
        <v>6950</v>
      </c>
      <c r="AD16" s="35">
        <f t="shared" si="29"/>
        <v>52320</v>
      </c>
      <c r="AF16" s="20">
        <f t="shared" si="1"/>
        <v>2.6</v>
      </c>
      <c r="AG16" s="20">
        <f t="shared" si="2"/>
        <v>59.85</v>
      </c>
      <c r="AH16" s="20">
        <f t="shared" si="3"/>
        <v>0.2</v>
      </c>
      <c r="AI16" s="20">
        <f t="shared" si="4"/>
        <v>7.5</v>
      </c>
      <c r="AJ16" s="20">
        <f t="shared" si="5"/>
        <v>21.75</v>
      </c>
      <c r="AK16" s="20">
        <f t="shared" si="6"/>
        <v>18.45</v>
      </c>
      <c r="AL16" s="20">
        <f t="shared" si="7"/>
        <v>23.2</v>
      </c>
      <c r="AM16" s="20">
        <f t="shared" si="8"/>
        <v>17.400000000000002</v>
      </c>
      <c r="AN16" s="20">
        <f t="shared" si="9"/>
        <v>17.900000000000002</v>
      </c>
      <c r="AO16" s="20">
        <f t="shared" si="10"/>
        <v>11.5</v>
      </c>
      <c r="AP16" s="20">
        <f t="shared" si="11"/>
        <v>12.6</v>
      </c>
      <c r="AQ16" s="20">
        <f t="shared" si="12"/>
        <v>33.9</v>
      </c>
      <c r="AR16" s="20">
        <f t="shared" si="13"/>
        <v>34.75</v>
      </c>
      <c r="AS16" s="35">
        <f t="shared" si="30"/>
        <v>261.60000000000002</v>
      </c>
      <c r="AU16" s="47">
        <v>633535</v>
      </c>
      <c r="AV16" s="37">
        <f t="shared" si="31"/>
        <v>1234</v>
      </c>
      <c r="AW16" s="37">
        <f>AV16*100*AV44</f>
        <v>467.11959400000001</v>
      </c>
      <c r="AX16" s="35">
        <f t="shared" si="14"/>
        <v>2.468</v>
      </c>
    </row>
    <row r="17" spans="1:50" x14ac:dyDescent="0.3">
      <c r="A17" s="23">
        <v>44662</v>
      </c>
      <c r="B17" s="40">
        <v>49</v>
      </c>
      <c r="C17" s="24">
        <v>7832460</v>
      </c>
      <c r="D17" s="24">
        <v>18422140</v>
      </c>
      <c r="E17" s="24">
        <v>3201370</v>
      </c>
      <c r="F17" s="24">
        <v>3977630</v>
      </c>
      <c r="G17" s="24">
        <v>11825300</v>
      </c>
      <c r="H17" s="24">
        <v>6713010</v>
      </c>
      <c r="I17" s="24">
        <v>5864160</v>
      </c>
      <c r="J17" s="24">
        <v>7266690</v>
      </c>
      <c r="K17" s="24">
        <v>10808830</v>
      </c>
      <c r="L17" s="24">
        <v>4628410</v>
      </c>
      <c r="M17" s="24">
        <v>8862530</v>
      </c>
      <c r="N17" s="24">
        <v>14236490</v>
      </c>
      <c r="O17" s="24">
        <v>19899570</v>
      </c>
      <c r="Q17" s="37">
        <f t="shared" si="17"/>
        <v>520</v>
      </c>
      <c r="R17" s="37">
        <f t="shared" si="18"/>
        <v>12470</v>
      </c>
      <c r="S17" s="37">
        <f t="shared" si="16"/>
        <v>30</v>
      </c>
      <c r="T17" s="37">
        <f t="shared" si="19"/>
        <v>1530</v>
      </c>
      <c r="U17" s="37">
        <f t="shared" si="20"/>
        <v>4560</v>
      </c>
      <c r="V17" s="37">
        <f t="shared" si="21"/>
        <v>3740</v>
      </c>
      <c r="W17" s="37">
        <f t="shared" si="22"/>
        <v>4650</v>
      </c>
      <c r="X17" s="37">
        <f t="shared" si="23"/>
        <v>3590</v>
      </c>
      <c r="Y17" s="37">
        <f t="shared" si="24"/>
        <v>3710</v>
      </c>
      <c r="Z17" s="37">
        <f t="shared" si="25"/>
        <v>2350</v>
      </c>
      <c r="AA17" s="37">
        <f t="shared" si="26"/>
        <v>2570</v>
      </c>
      <c r="AB17" s="37">
        <f t="shared" si="27"/>
        <v>6700</v>
      </c>
      <c r="AC17" s="37">
        <f t="shared" si="28"/>
        <v>7130</v>
      </c>
      <c r="AD17" s="35">
        <f t="shared" si="29"/>
        <v>53550</v>
      </c>
      <c r="AF17" s="20">
        <f t="shared" si="1"/>
        <v>2.6</v>
      </c>
      <c r="AG17" s="20">
        <f t="shared" si="2"/>
        <v>62.35</v>
      </c>
      <c r="AH17" s="20">
        <f t="shared" si="3"/>
        <v>0.15</v>
      </c>
      <c r="AI17" s="20">
        <f t="shared" si="4"/>
        <v>7.65</v>
      </c>
      <c r="AJ17" s="20">
        <f t="shared" si="5"/>
        <v>22.8</v>
      </c>
      <c r="AK17" s="20">
        <f t="shared" si="6"/>
        <v>18.7</v>
      </c>
      <c r="AL17" s="20">
        <f t="shared" si="7"/>
        <v>23.25</v>
      </c>
      <c r="AM17" s="20">
        <f t="shared" si="8"/>
        <v>17.95</v>
      </c>
      <c r="AN17" s="20">
        <f t="shared" si="9"/>
        <v>18.55</v>
      </c>
      <c r="AO17" s="20">
        <f t="shared" si="10"/>
        <v>11.75</v>
      </c>
      <c r="AP17" s="20">
        <f t="shared" si="11"/>
        <v>12.85</v>
      </c>
      <c r="AQ17" s="20">
        <f t="shared" si="12"/>
        <v>33.5</v>
      </c>
      <c r="AR17" s="20">
        <f t="shared" si="13"/>
        <v>35.65</v>
      </c>
      <c r="AS17" s="35">
        <f t="shared" si="30"/>
        <v>267.75</v>
      </c>
      <c r="AU17" s="47">
        <v>634749</v>
      </c>
      <c r="AV17" s="37">
        <f t="shared" si="31"/>
        <v>1214</v>
      </c>
      <c r="AW17" s="37">
        <f>AV17*100*AV44</f>
        <v>459.54877399999998</v>
      </c>
      <c r="AX17" s="35">
        <f t="shared" si="14"/>
        <v>2.4279999999999999</v>
      </c>
    </row>
    <row r="18" spans="1:50" x14ac:dyDescent="0.3">
      <c r="A18" s="23">
        <v>44663</v>
      </c>
      <c r="B18" s="40">
        <v>60</v>
      </c>
      <c r="C18" s="24">
        <v>7832980</v>
      </c>
      <c r="D18" s="24">
        <v>18434760</v>
      </c>
      <c r="E18" s="24">
        <v>3201370</v>
      </c>
      <c r="F18" s="24">
        <v>3979160</v>
      </c>
      <c r="G18" s="24">
        <v>11829880</v>
      </c>
      <c r="H18" s="24">
        <v>6716850</v>
      </c>
      <c r="I18" s="24">
        <v>5868650</v>
      </c>
      <c r="J18" s="24">
        <v>7270310</v>
      </c>
      <c r="K18" s="24">
        <v>10812500</v>
      </c>
      <c r="L18" s="24">
        <v>4630780</v>
      </c>
      <c r="M18" s="24">
        <v>8865190</v>
      </c>
      <c r="N18" s="24">
        <v>14242950</v>
      </c>
      <c r="O18" s="24">
        <v>19906750</v>
      </c>
      <c r="Q18" s="37">
        <f t="shared" si="17"/>
        <v>520</v>
      </c>
      <c r="R18" s="37">
        <f t="shared" si="18"/>
        <v>12620</v>
      </c>
      <c r="S18" s="37">
        <f t="shared" si="16"/>
        <v>0</v>
      </c>
      <c r="T18" s="37">
        <f t="shared" si="19"/>
        <v>1530</v>
      </c>
      <c r="U18" s="37">
        <f t="shared" si="20"/>
        <v>4580</v>
      </c>
      <c r="V18" s="37">
        <f t="shared" si="21"/>
        <v>3840</v>
      </c>
      <c r="W18" s="37">
        <f t="shared" si="22"/>
        <v>4490</v>
      </c>
      <c r="X18" s="37">
        <f t="shared" si="23"/>
        <v>3620</v>
      </c>
      <c r="Y18" s="37">
        <f t="shared" si="24"/>
        <v>3670</v>
      </c>
      <c r="Z18" s="37">
        <f t="shared" si="25"/>
        <v>2370</v>
      </c>
      <c r="AA18" s="37">
        <f t="shared" si="26"/>
        <v>2660</v>
      </c>
      <c r="AB18" s="37">
        <f t="shared" si="27"/>
        <v>6460</v>
      </c>
      <c r="AC18" s="37">
        <f t="shared" si="28"/>
        <v>7180</v>
      </c>
      <c r="AD18" s="35">
        <f t="shared" si="29"/>
        <v>53540</v>
      </c>
      <c r="AF18" s="20">
        <f t="shared" si="1"/>
        <v>2.6</v>
      </c>
      <c r="AG18" s="20">
        <f t="shared" si="2"/>
        <v>63.1</v>
      </c>
      <c r="AH18" s="20">
        <f t="shared" si="3"/>
        <v>0</v>
      </c>
      <c r="AI18" s="20">
        <f t="shared" si="4"/>
        <v>7.65</v>
      </c>
      <c r="AJ18" s="20">
        <f t="shared" si="5"/>
        <v>22.900000000000002</v>
      </c>
      <c r="AK18" s="20">
        <f t="shared" si="6"/>
        <v>19.2</v>
      </c>
      <c r="AL18" s="20">
        <f t="shared" si="7"/>
        <v>22.45</v>
      </c>
      <c r="AM18" s="20">
        <f t="shared" si="8"/>
        <v>18.100000000000001</v>
      </c>
      <c r="AN18" s="20">
        <f t="shared" si="9"/>
        <v>18.350000000000001</v>
      </c>
      <c r="AO18" s="20">
        <f t="shared" si="10"/>
        <v>11.85</v>
      </c>
      <c r="AP18" s="20">
        <f t="shared" si="11"/>
        <v>13.3</v>
      </c>
      <c r="AQ18" s="20">
        <f t="shared" si="12"/>
        <v>32.299999999999997</v>
      </c>
      <c r="AR18" s="20">
        <f t="shared" si="13"/>
        <v>35.9</v>
      </c>
      <c r="AS18" s="35">
        <f t="shared" si="30"/>
        <v>267.7</v>
      </c>
      <c r="AU18" s="47">
        <v>636574</v>
      </c>
      <c r="AV18" s="37">
        <f t="shared" si="31"/>
        <v>1825</v>
      </c>
      <c r="AW18" s="37">
        <f>AV18*100*AV44</f>
        <v>690.83732499999996</v>
      </c>
      <c r="AX18" s="35">
        <f t="shared" si="14"/>
        <v>3.65</v>
      </c>
    </row>
    <row r="19" spans="1:50" x14ac:dyDescent="0.3">
      <c r="A19" s="23">
        <v>44664</v>
      </c>
      <c r="B19" s="40">
        <v>71</v>
      </c>
      <c r="C19" s="24">
        <v>7833520</v>
      </c>
      <c r="D19" s="24">
        <v>18447610</v>
      </c>
      <c r="E19" s="24">
        <v>3201370</v>
      </c>
      <c r="F19" s="24">
        <v>3980730</v>
      </c>
      <c r="G19" s="24">
        <v>11834440</v>
      </c>
      <c r="H19" s="24">
        <v>6720790</v>
      </c>
      <c r="I19" s="24">
        <v>5873250</v>
      </c>
      <c r="J19" s="24">
        <v>7273910</v>
      </c>
      <c r="K19" s="24">
        <v>10816380</v>
      </c>
      <c r="L19" s="24">
        <v>4633150</v>
      </c>
      <c r="M19" s="24">
        <v>8867860</v>
      </c>
      <c r="N19" s="24">
        <v>14249900</v>
      </c>
      <c r="O19" s="24">
        <v>19914420</v>
      </c>
      <c r="Q19" s="37">
        <f t="shared" si="17"/>
        <v>540</v>
      </c>
      <c r="R19" s="37">
        <f t="shared" si="18"/>
        <v>12850</v>
      </c>
      <c r="S19" s="37">
        <f t="shared" si="16"/>
        <v>0</v>
      </c>
      <c r="T19" s="37">
        <f t="shared" si="19"/>
        <v>1570</v>
      </c>
      <c r="U19" s="37">
        <f t="shared" si="20"/>
        <v>4560</v>
      </c>
      <c r="V19" s="37">
        <f t="shared" si="21"/>
        <v>3940</v>
      </c>
      <c r="W19" s="37">
        <f t="shared" si="22"/>
        <v>4600</v>
      </c>
      <c r="X19" s="37">
        <f t="shared" si="23"/>
        <v>3600</v>
      </c>
      <c r="Y19" s="37">
        <f t="shared" si="24"/>
        <v>3880</v>
      </c>
      <c r="Z19" s="37">
        <f t="shared" si="25"/>
        <v>2370</v>
      </c>
      <c r="AA19" s="37">
        <f t="shared" si="26"/>
        <v>2670</v>
      </c>
      <c r="AB19" s="37">
        <f t="shared" si="27"/>
        <v>6950</v>
      </c>
      <c r="AC19" s="37">
        <f t="shared" si="28"/>
        <v>7670</v>
      </c>
      <c r="AD19" s="35">
        <f t="shared" si="29"/>
        <v>55200</v>
      </c>
      <c r="AF19" s="20">
        <f t="shared" si="1"/>
        <v>2.7</v>
      </c>
      <c r="AG19" s="20">
        <f t="shared" si="2"/>
        <v>64.25</v>
      </c>
      <c r="AH19" s="20">
        <f t="shared" si="3"/>
        <v>0</v>
      </c>
      <c r="AI19" s="20">
        <f t="shared" si="4"/>
        <v>7.8500000000000005</v>
      </c>
      <c r="AJ19" s="20">
        <f t="shared" si="5"/>
        <v>22.8</v>
      </c>
      <c r="AK19" s="20">
        <f t="shared" si="6"/>
        <v>19.7</v>
      </c>
      <c r="AL19" s="20">
        <f t="shared" si="7"/>
        <v>23</v>
      </c>
      <c r="AM19" s="20">
        <f t="shared" si="8"/>
        <v>18</v>
      </c>
      <c r="AN19" s="20">
        <f t="shared" si="9"/>
        <v>19.400000000000002</v>
      </c>
      <c r="AO19" s="20">
        <f t="shared" si="10"/>
        <v>11.85</v>
      </c>
      <c r="AP19" s="20">
        <f t="shared" si="11"/>
        <v>13.35</v>
      </c>
      <c r="AQ19" s="20">
        <f t="shared" si="12"/>
        <v>34.75</v>
      </c>
      <c r="AR19" s="20">
        <f t="shared" si="13"/>
        <v>38.35</v>
      </c>
      <c r="AS19" s="35">
        <f t="shared" si="30"/>
        <v>276</v>
      </c>
      <c r="AU19" s="47">
        <v>637599</v>
      </c>
      <c r="AV19" s="37">
        <f t="shared" si="31"/>
        <v>1025</v>
      </c>
      <c r="AW19" s="37">
        <f>AV19*100*AV44</f>
        <v>388.004525</v>
      </c>
      <c r="AX19" s="35">
        <f t="shared" si="14"/>
        <v>2.0499999999999998</v>
      </c>
    </row>
    <row r="20" spans="1:50" x14ac:dyDescent="0.3">
      <c r="A20" s="23">
        <v>44665</v>
      </c>
      <c r="B20" s="40">
        <v>62</v>
      </c>
      <c r="C20" s="24">
        <v>7834030</v>
      </c>
      <c r="D20" s="24">
        <v>18460060</v>
      </c>
      <c r="E20" s="24">
        <v>3201370</v>
      </c>
      <c r="F20" s="24">
        <v>3982240</v>
      </c>
      <c r="G20" s="24">
        <v>11839000</v>
      </c>
      <c r="H20" s="24">
        <v>6724660</v>
      </c>
      <c r="I20" s="24">
        <v>5877860</v>
      </c>
      <c r="J20" s="24">
        <v>7277440</v>
      </c>
      <c r="K20" s="24">
        <v>10819940</v>
      </c>
      <c r="L20" s="24">
        <v>4635430</v>
      </c>
      <c r="M20" s="24">
        <v>8870510</v>
      </c>
      <c r="N20" s="24">
        <v>14256770</v>
      </c>
      <c r="O20" s="24">
        <v>19921820</v>
      </c>
      <c r="Q20" s="37">
        <f t="shared" si="17"/>
        <v>510</v>
      </c>
      <c r="R20" s="37">
        <f t="shared" si="18"/>
        <v>12450</v>
      </c>
      <c r="S20" s="37">
        <f t="shared" si="16"/>
        <v>0</v>
      </c>
      <c r="T20" s="37">
        <f t="shared" si="19"/>
        <v>1510</v>
      </c>
      <c r="U20" s="37">
        <f t="shared" si="20"/>
        <v>4560</v>
      </c>
      <c r="V20" s="37">
        <f t="shared" si="21"/>
        <v>3870</v>
      </c>
      <c r="W20" s="37">
        <f t="shared" si="22"/>
        <v>4610</v>
      </c>
      <c r="X20" s="37">
        <f t="shared" si="23"/>
        <v>3530</v>
      </c>
      <c r="Y20" s="37">
        <f t="shared" si="24"/>
        <v>3560</v>
      </c>
      <c r="Z20" s="37">
        <f t="shared" si="25"/>
        <v>2280</v>
      </c>
      <c r="AA20" s="37">
        <f t="shared" si="26"/>
        <v>2650</v>
      </c>
      <c r="AB20" s="37">
        <f t="shared" si="27"/>
        <v>6870</v>
      </c>
      <c r="AC20" s="37">
        <f t="shared" si="28"/>
        <v>7400</v>
      </c>
      <c r="AD20" s="35">
        <f t="shared" si="29"/>
        <v>53800</v>
      </c>
      <c r="AF20" s="20">
        <f t="shared" si="1"/>
        <v>2.5500000000000003</v>
      </c>
      <c r="AG20" s="20">
        <f t="shared" si="2"/>
        <v>62.25</v>
      </c>
      <c r="AH20" s="20">
        <f t="shared" si="3"/>
        <v>0</v>
      </c>
      <c r="AI20" s="20">
        <f t="shared" si="4"/>
        <v>7.55</v>
      </c>
      <c r="AJ20" s="20">
        <f t="shared" si="5"/>
        <v>22.8</v>
      </c>
      <c r="AK20" s="20">
        <f t="shared" si="6"/>
        <v>19.350000000000001</v>
      </c>
      <c r="AL20" s="20">
        <f t="shared" si="7"/>
        <v>23.05</v>
      </c>
      <c r="AM20" s="20">
        <f t="shared" si="8"/>
        <v>17.650000000000002</v>
      </c>
      <c r="AN20" s="20">
        <f t="shared" si="9"/>
        <v>17.8</v>
      </c>
      <c r="AO20" s="20">
        <f t="shared" si="10"/>
        <v>11.4</v>
      </c>
      <c r="AP20" s="20">
        <f t="shared" si="11"/>
        <v>13.25</v>
      </c>
      <c r="AQ20" s="20">
        <f t="shared" si="12"/>
        <v>34.35</v>
      </c>
      <c r="AR20" s="20">
        <f t="shared" si="13"/>
        <v>37</v>
      </c>
      <c r="AS20" s="35">
        <f t="shared" si="30"/>
        <v>269</v>
      </c>
      <c r="AU20" s="47">
        <v>639732</v>
      </c>
      <c r="AV20" s="37">
        <f t="shared" si="31"/>
        <v>2133</v>
      </c>
      <c r="AW20" s="37">
        <f>AV20*100*AV44</f>
        <v>807.427953</v>
      </c>
      <c r="AX20" s="35">
        <f t="shared" si="14"/>
        <v>4.266</v>
      </c>
    </row>
    <row r="21" spans="1:50" x14ac:dyDescent="0.3">
      <c r="A21" s="23">
        <v>44666</v>
      </c>
      <c r="B21" s="40">
        <v>59</v>
      </c>
      <c r="C21" s="24">
        <v>7834570</v>
      </c>
      <c r="D21" s="24">
        <v>18473640</v>
      </c>
      <c r="E21" s="24">
        <v>3201370</v>
      </c>
      <c r="F21" s="24">
        <v>3983810</v>
      </c>
      <c r="G21" s="24">
        <v>11843880</v>
      </c>
      <c r="H21" s="24">
        <v>6728730</v>
      </c>
      <c r="I21" s="24">
        <v>5882950</v>
      </c>
      <c r="J21" s="24">
        <v>7281090</v>
      </c>
      <c r="K21" s="24">
        <v>10823840</v>
      </c>
      <c r="L21" s="24">
        <v>4637850</v>
      </c>
      <c r="M21" s="24">
        <v>8873370</v>
      </c>
      <c r="N21" s="24">
        <v>14264030</v>
      </c>
      <c r="O21" s="24">
        <v>19929560</v>
      </c>
      <c r="Q21" s="37">
        <f t="shared" si="17"/>
        <v>540</v>
      </c>
      <c r="R21" s="37">
        <f t="shared" si="18"/>
        <v>13580</v>
      </c>
      <c r="S21" s="37">
        <f t="shared" si="16"/>
        <v>0</v>
      </c>
      <c r="T21" s="37">
        <f t="shared" si="19"/>
        <v>1570</v>
      </c>
      <c r="U21" s="37">
        <f t="shared" si="20"/>
        <v>4880</v>
      </c>
      <c r="V21" s="37">
        <f t="shared" si="21"/>
        <v>4070</v>
      </c>
      <c r="W21" s="37">
        <f t="shared" si="22"/>
        <v>5090</v>
      </c>
      <c r="X21" s="37">
        <f t="shared" si="23"/>
        <v>3650</v>
      </c>
      <c r="Y21" s="37">
        <f t="shared" si="24"/>
        <v>3900</v>
      </c>
      <c r="Z21" s="37">
        <f t="shared" si="25"/>
        <v>2420</v>
      </c>
      <c r="AA21" s="37">
        <f t="shared" si="26"/>
        <v>2860</v>
      </c>
      <c r="AB21" s="37">
        <f t="shared" si="27"/>
        <v>7260</v>
      </c>
      <c r="AC21" s="37">
        <f t="shared" si="28"/>
        <v>7740</v>
      </c>
      <c r="AD21" s="35">
        <f t="shared" si="29"/>
        <v>57560</v>
      </c>
      <c r="AF21" s="20">
        <f t="shared" si="1"/>
        <v>2.7</v>
      </c>
      <c r="AG21" s="20">
        <f t="shared" si="2"/>
        <v>67.900000000000006</v>
      </c>
      <c r="AH21" s="20">
        <f t="shared" si="3"/>
        <v>0</v>
      </c>
      <c r="AI21" s="20">
        <f t="shared" si="4"/>
        <v>7.8500000000000005</v>
      </c>
      <c r="AJ21" s="20">
        <f t="shared" si="5"/>
        <v>24.400000000000002</v>
      </c>
      <c r="AK21" s="20">
        <f t="shared" si="6"/>
        <v>20.350000000000001</v>
      </c>
      <c r="AL21" s="20">
        <f t="shared" si="7"/>
        <v>25.45</v>
      </c>
      <c r="AM21" s="20">
        <f t="shared" si="8"/>
        <v>18.25</v>
      </c>
      <c r="AN21" s="20">
        <f t="shared" si="9"/>
        <v>19.5</v>
      </c>
      <c r="AO21" s="20">
        <f t="shared" si="10"/>
        <v>12.1</v>
      </c>
      <c r="AP21" s="20">
        <f t="shared" si="11"/>
        <v>14.3</v>
      </c>
      <c r="AQ21" s="20">
        <f t="shared" si="12"/>
        <v>36.300000000000004</v>
      </c>
      <c r="AR21" s="20">
        <f t="shared" si="13"/>
        <v>38.700000000000003</v>
      </c>
      <c r="AS21" s="35">
        <f t="shared" si="30"/>
        <v>287.8</v>
      </c>
      <c r="AU21" s="47">
        <v>641133</v>
      </c>
      <c r="AV21" s="37">
        <f t="shared" si="31"/>
        <v>1401</v>
      </c>
      <c r="AW21" s="37">
        <f>AV21*100*AV44</f>
        <v>530.33594099999993</v>
      </c>
      <c r="AX21" s="35">
        <f t="shared" si="14"/>
        <v>2.802</v>
      </c>
    </row>
    <row r="22" spans="1:50" x14ac:dyDescent="0.3">
      <c r="A22" s="23">
        <v>44667</v>
      </c>
      <c r="B22" s="40">
        <v>48</v>
      </c>
      <c r="C22" s="24">
        <v>7835080</v>
      </c>
      <c r="D22" s="24">
        <v>18486180</v>
      </c>
      <c r="E22" s="24">
        <v>3201370</v>
      </c>
      <c r="F22" s="24">
        <v>3985310</v>
      </c>
      <c r="G22" s="24">
        <v>11848400</v>
      </c>
      <c r="H22" s="24">
        <v>6732590</v>
      </c>
      <c r="I22" s="24">
        <v>5887360</v>
      </c>
      <c r="J22" s="44">
        <v>7284810</v>
      </c>
      <c r="K22" s="24">
        <v>10827540</v>
      </c>
      <c r="L22" s="24">
        <v>4640160</v>
      </c>
      <c r="M22" s="24">
        <v>8876080</v>
      </c>
      <c r="N22" s="24">
        <v>14270780</v>
      </c>
      <c r="O22" s="44">
        <v>19937010</v>
      </c>
      <c r="Q22" s="37">
        <f t="shared" si="17"/>
        <v>510</v>
      </c>
      <c r="R22" s="37">
        <f t="shared" si="18"/>
        <v>12540</v>
      </c>
      <c r="S22" s="37">
        <f t="shared" si="16"/>
        <v>0</v>
      </c>
      <c r="T22" s="37">
        <f t="shared" si="19"/>
        <v>1500</v>
      </c>
      <c r="U22" s="37">
        <f t="shared" si="20"/>
        <v>4520</v>
      </c>
      <c r="V22" s="37">
        <f t="shared" si="21"/>
        <v>3860</v>
      </c>
      <c r="W22" s="37">
        <f t="shared" si="22"/>
        <v>4410</v>
      </c>
      <c r="X22" s="37">
        <f t="shared" si="23"/>
        <v>3720</v>
      </c>
      <c r="Y22" s="37">
        <f t="shared" si="24"/>
        <v>3700</v>
      </c>
      <c r="Z22" s="37">
        <f t="shared" si="25"/>
        <v>2310</v>
      </c>
      <c r="AA22" s="37">
        <f t="shared" si="26"/>
        <v>2710</v>
      </c>
      <c r="AB22" s="37">
        <f t="shared" si="27"/>
        <v>6750</v>
      </c>
      <c r="AC22" s="37">
        <f t="shared" si="28"/>
        <v>7450</v>
      </c>
      <c r="AD22" s="35">
        <f t="shared" si="29"/>
        <v>53980</v>
      </c>
      <c r="AF22" s="20">
        <f t="shared" si="1"/>
        <v>2.5500000000000003</v>
      </c>
      <c r="AG22" s="20">
        <f t="shared" si="2"/>
        <v>62.7</v>
      </c>
      <c r="AH22" s="20">
        <f t="shared" si="3"/>
        <v>0</v>
      </c>
      <c r="AI22" s="20">
        <f t="shared" si="4"/>
        <v>7.5</v>
      </c>
      <c r="AJ22" s="20">
        <f t="shared" si="5"/>
        <v>22.6</v>
      </c>
      <c r="AK22" s="20">
        <f t="shared" si="6"/>
        <v>19.3</v>
      </c>
      <c r="AL22" s="20">
        <f t="shared" si="7"/>
        <v>22.05</v>
      </c>
      <c r="AM22" s="20">
        <f t="shared" si="8"/>
        <v>18.600000000000001</v>
      </c>
      <c r="AN22" s="20">
        <f t="shared" si="9"/>
        <v>18.5</v>
      </c>
      <c r="AO22" s="20">
        <f t="shared" si="10"/>
        <v>11.55</v>
      </c>
      <c r="AP22" s="20">
        <f t="shared" si="11"/>
        <v>13.55</v>
      </c>
      <c r="AQ22" s="20">
        <f t="shared" si="12"/>
        <v>33.75</v>
      </c>
      <c r="AR22" s="20">
        <f t="shared" si="13"/>
        <v>37.25</v>
      </c>
      <c r="AS22" s="35">
        <f t="shared" si="30"/>
        <v>269.89999999999998</v>
      </c>
      <c r="AU22" s="47">
        <v>642366</v>
      </c>
      <c r="AV22" s="37">
        <f t="shared" si="31"/>
        <v>1233</v>
      </c>
      <c r="AW22" s="37">
        <f>AV22*100*AV44</f>
        <v>466.74105299999997</v>
      </c>
      <c r="AX22" s="35">
        <f t="shared" si="14"/>
        <v>2.4660000000000002</v>
      </c>
    </row>
    <row r="23" spans="1:50" x14ac:dyDescent="0.3">
      <c r="A23" s="23">
        <v>44668</v>
      </c>
      <c r="B23" s="40">
        <v>40</v>
      </c>
      <c r="C23" s="24">
        <v>7835590</v>
      </c>
      <c r="D23" s="24">
        <v>18499040</v>
      </c>
      <c r="E23" s="24">
        <v>3201370</v>
      </c>
      <c r="F23" s="24">
        <v>3986820</v>
      </c>
      <c r="G23" s="24">
        <v>11852910</v>
      </c>
      <c r="H23" s="24">
        <v>6736420</v>
      </c>
      <c r="I23" s="24">
        <v>5892090</v>
      </c>
      <c r="J23" s="24">
        <v>7288380</v>
      </c>
      <c r="K23" s="24">
        <v>10831260</v>
      </c>
      <c r="L23" s="24">
        <v>4642450</v>
      </c>
      <c r="M23" s="24">
        <v>8878850</v>
      </c>
      <c r="N23" s="24">
        <v>14277780</v>
      </c>
      <c r="O23" s="24">
        <v>19944430</v>
      </c>
      <c r="Q23" s="37">
        <f t="shared" si="17"/>
        <v>510</v>
      </c>
      <c r="R23" s="37">
        <f t="shared" si="18"/>
        <v>12860</v>
      </c>
      <c r="S23" s="37">
        <f t="shared" si="16"/>
        <v>0</v>
      </c>
      <c r="T23" s="37">
        <f t="shared" si="19"/>
        <v>1510</v>
      </c>
      <c r="U23" s="37">
        <f t="shared" si="20"/>
        <v>4510</v>
      </c>
      <c r="V23" s="37">
        <f t="shared" si="21"/>
        <v>3830</v>
      </c>
      <c r="W23" s="37">
        <f t="shared" si="22"/>
        <v>4730</v>
      </c>
      <c r="X23" s="37">
        <f t="shared" si="23"/>
        <v>3570</v>
      </c>
      <c r="Y23" s="37">
        <f t="shared" si="24"/>
        <v>3720</v>
      </c>
      <c r="Z23" s="37">
        <f t="shared" si="25"/>
        <v>2290</v>
      </c>
      <c r="AA23" s="37">
        <f t="shared" si="26"/>
        <v>2770</v>
      </c>
      <c r="AB23" s="37">
        <f t="shared" si="27"/>
        <v>7000</v>
      </c>
      <c r="AC23" s="37">
        <f t="shared" si="28"/>
        <v>7420</v>
      </c>
      <c r="AD23" s="35">
        <f t="shared" si="29"/>
        <v>54720</v>
      </c>
      <c r="AF23" s="20">
        <f t="shared" si="1"/>
        <v>2.5500000000000003</v>
      </c>
      <c r="AG23" s="20">
        <f t="shared" si="2"/>
        <v>64.3</v>
      </c>
      <c r="AH23" s="20">
        <f t="shared" si="3"/>
        <v>0</v>
      </c>
      <c r="AI23" s="20">
        <f t="shared" si="4"/>
        <v>7.55</v>
      </c>
      <c r="AJ23" s="20">
        <f t="shared" si="5"/>
        <v>22.55</v>
      </c>
      <c r="AK23" s="20">
        <f t="shared" si="6"/>
        <v>19.150000000000002</v>
      </c>
      <c r="AL23" s="20">
        <f t="shared" si="7"/>
        <v>23.650000000000002</v>
      </c>
      <c r="AM23" s="20">
        <f t="shared" si="8"/>
        <v>17.850000000000001</v>
      </c>
      <c r="AN23" s="20">
        <f t="shared" si="9"/>
        <v>18.600000000000001</v>
      </c>
      <c r="AO23" s="20">
        <f t="shared" si="10"/>
        <v>11.450000000000001</v>
      </c>
      <c r="AP23" s="20">
        <f t="shared" si="11"/>
        <v>13.85</v>
      </c>
      <c r="AQ23" s="20">
        <f t="shared" si="12"/>
        <v>35</v>
      </c>
      <c r="AR23" s="20">
        <f t="shared" si="13"/>
        <v>37.1</v>
      </c>
      <c r="AS23" s="35">
        <f t="shared" si="30"/>
        <v>273.59999999999997</v>
      </c>
      <c r="AU23" s="47">
        <v>644224</v>
      </c>
      <c r="AV23" s="37">
        <f t="shared" si="31"/>
        <v>1858</v>
      </c>
      <c r="AW23" s="37">
        <f>AV23*100*AV44</f>
        <v>703.32917799999996</v>
      </c>
      <c r="AX23" s="35">
        <f t="shared" si="14"/>
        <v>3.7160000000000002</v>
      </c>
    </row>
    <row r="24" spans="1:50" x14ac:dyDescent="0.3">
      <c r="A24" s="23">
        <v>44669</v>
      </c>
      <c r="B24" s="40">
        <v>48</v>
      </c>
      <c r="C24" s="24">
        <v>7836100</v>
      </c>
      <c r="D24" s="24">
        <v>18511610</v>
      </c>
      <c r="E24" s="24">
        <v>3201370</v>
      </c>
      <c r="F24" s="24">
        <v>3988310</v>
      </c>
      <c r="G24" s="24">
        <v>11857380</v>
      </c>
      <c r="H24" s="24">
        <v>6740130</v>
      </c>
      <c r="I24" s="24">
        <v>5896830</v>
      </c>
      <c r="J24" s="24">
        <v>7291900</v>
      </c>
      <c r="K24" s="24">
        <v>10834810</v>
      </c>
      <c r="L24" s="24">
        <v>4644750</v>
      </c>
      <c r="M24" s="24">
        <v>8881560</v>
      </c>
      <c r="N24" s="24">
        <v>14284630</v>
      </c>
      <c r="O24" s="24">
        <v>19951600</v>
      </c>
      <c r="Q24" s="37">
        <f t="shared" si="17"/>
        <v>510</v>
      </c>
      <c r="R24" s="37">
        <f t="shared" si="18"/>
        <v>12570</v>
      </c>
      <c r="S24" s="37">
        <f t="shared" si="16"/>
        <v>0</v>
      </c>
      <c r="T24" s="37">
        <f t="shared" si="19"/>
        <v>1490</v>
      </c>
      <c r="U24" s="37">
        <f t="shared" si="20"/>
        <v>4470</v>
      </c>
      <c r="V24" s="37">
        <f t="shared" si="21"/>
        <v>3710</v>
      </c>
      <c r="W24" s="37">
        <f t="shared" si="22"/>
        <v>4740</v>
      </c>
      <c r="X24" s="37">
        <f t="shared" si="23"/>
        <v>3520</v>
      </c>
      <c r="Y24" s="37">
        <f t="shared" si="24"/>
        <v>3550</v>
      </c>
      <c r="Z24" s="37">
        <f t="shared" si="25"/>
        <v>2300</v>
      </c>
      <c r="AA24" s="37">
        <f t="shared" si="26"/>
        <v>2710</v>
      </c>
      <c r="AB24" s="37">
        <f t="shared" si="27"/>
        <v>6850</v>
      </c>
      <c r="AC24" s="37">
        <f t="shared" si="28"/>
        <v>7170</v>
      </c>
      <c r="AD24" s="35">
        <f t="shared" si="29"/>
        <v>53590</v>
      </c>
      <c r="AF24" s="20">
        <f t="shared" si="1"/>
        <v>2.5500000000000003</v>
      </c>
      <c r="AG24" s="20">
        <f t="shared" si="2"/>
        <v>62.85</v>
      </c>
      <c r="AH24" s="20">
        <f t="shared" si="3"/>
        <v>0</v>
      </c>
      <c r="AI24" s="20">
        <f t="shared" si="4"/>
        <v>7.45</v>
      </c>
      <c r="AJ24" s="20">
        <f t="shared" si="5"/>
        <v>22.35</v>
      </c>
      <c r="AK24" s="20">
        <f t="shared" si="6"/>
        <v>18.55</v>
      </c>
      <c r="AL24" s="20">
        <f t="shared" si="7"/>
        <v>23.7</v>
      </c>
      <c r="AM24" s="20">
        <f t="shared" si="8"/>
        <v>17.600000000000001</v>
      </c>
      <c r="AN24" s="20">
        <f t="shared" si="9"/>
        <v>17.75</v>
      </c>
      <c r="AO24" s="20">
        <f t="shared" si="10"/>
        <v>11.5</v>
      </c>
      <c r="AP24" s="20">
        <f t="shared" si="11"/>
        <v>13.55</v>
      </c>
      <c r="AQ24" s="20">
        <f t="shared" si="12"/>
        <v>34.25</v>
      </c>
      <c r="AR24" s="20">
        <f t="shared" si="13"/>
        <v>35.85</v>
      </c>
      <c r="AS24" s="35">
        <f t="shared" si="30"/>
        <v>267.95000000000005</v>
      </c>
      <c r="AU24" s="47">
        <v>646301</v>
      </c>
      <c r="AV24" s="37">
        <f t="shared" si="31"/>
        <v>2077</v>
      </c>
      <c r="AW24" s="37">
        <f>AV24*100*AV44</f>
        <v>786.22965699999997</v>
      </c>
      <c r="AX24" s="35">
        <f t="shared" si="14"/>
        <v>4.1539999999999999</v>
      </c>
    </row>
    <row r="25" spans="1:50" x14ac:dyDescent="0.3">
      <c r="A25" s="23">
        <v>44670</v>
      </c>
      <c r="B25" s="40">
        <v>66</v>
      </c>
      <c r="C25" s="24">
        <v>7836640</v>
      </c>
      <c r="D25" s="24">
        <v>18525230</v>
      </c>
      <c r="E25" s="24">
        <v>3201370</v>
      </c>
      <c r="F25" s="24">
        <v>3989890</v>
      </c>
      <c r="G25" s="24">
        <v>11862040</v>
      </c>
      <c r="H25" s="24">
        <v>6744180</v>
      </c>
      <c r="I25" s="24">
        <v>5901600</v>
      </c>
      <c r="J25" s="24">
        <v>7295610</v>
      </c>
      <c r="K25" s="24">
        <v>10838700</v>
      </c>
      <c r="L25" s="24">
        <v>4647200</v>
      </c>
      <c r="M25" s="24">
        <v>8884410</v>
      </c>
      <c r="N25" s="24">
        <v>14291750</v>
      </c>
      <c r="O25" s="24">
        <v>19960140</v>
      </c>
      <c r="Q25" s="37">
        <f t="shared" ref="Q25:AC27" si="33">IF((C25-C24&lt;0), "0",C25-C24)</f>
        <v>540</v>
      </c>
      <c r="R25" s="37">
        <f t="shared" si="18"/>
        <v>13620</v>
      </c>
      <c r="S25" s="37">
        <f t="shared" si="33"/>
        <v>0</v>
      </c>
      <c r="T25" s="37">
        <f t="shared" si="33"/>
        <v>1580</v>
      </c>
      <c r="U25" s="37">
        <f t="shared" si="33"/>
        <v>4660</v>
      </c>
      <c r="V25" s="37">
        <f t="shared" si="33"/>
        <v>4050</v>
      </c>
      <c r="W25" s="37">
        <f t="shared" si="33"/>
        <v>4770</v>
      </c>
      <c r="X25" s="37">
        <f t="shared" si="33"/>
        <v>3710</v>
      </c>
      <c r="Y25" s="37">
        <f t="shared" si="33"/>
        <v>3890</v>
      </c>
      <c r="Z25" s="37">
        <f t="shared" si="33"/>
        <v>2450</v>
      </c>
      <c r="AA25" s="37">
        <f t="shared" si="33"/>
        <v>2850</v>
      </c>
      <c r="AB25" s="37">
        <f t="shared" si="33"/>
        <v>7120</v>
      </c>
      <c r="AC25" s="37">
        <f t="shared" si="33"/>
        <v>8540</v>
      </c>
      <c r="AD25" s="35">
        <f t="shared" si="29"/>
        <v>57780</v>
      </c>
      <c r="AF25" s="20">
        <f t="shared" si="1"/>
        <v>2.7</v>
      </c>
      <c r="AG25" s="20">
        <f t="shared" si="2"/>
        <v>68.099999999999994</v>
      </c>
      <c r="AH25" s="20">
        <f t="shared" si="3"/>
        <v>0</v>
      </c>
      <c r="AI25" s="20">
        <f t="shared" si="4"/>
        <v>7.9</v>
      </c>
      <c r="AJ25" s="20">
        <f t="shared" si="5"/>
        <v>23.3</v>
      </c>
      <c r="AK25" s="20">
        <f t="shared" si="6"/>
        <v>20.25</v>
      </c>
      <c r="AL25" s="20">
        <f t="shared" si="7"/>
        <v>23.85</v>
      </c>
      <c r="AM25" s="20">
        <f t="shared" si="8"/>
        <v>18.55</v>
      </c>
      <c r="AN25" s="20">
        <f t="shared" si="9"/>
        <v>19.45</v>
      </c>
      <c r="AO25" s="20">
        <f t="shared" si="10"/>
        <v>12.25</v>
      </c>
      <c r="AP25" s="20">
        <f t="shared" si="11"/>
        <v>14.25</v>
      </c>
      <c r="AQ25" s="20">
        <f t="shared" si="12"/>
        <v>35.6</v>
      </c>
      <c r="AR25" s="20">
        <f t="shared" si="13"/>
        <v>42.7</v>
      </c>
      <c r="AS25" s="35">
        <f t="shared" si="30"/>
        <v>288.89999999999998</v>
      </c>
      <c r="AU25" s="47">
        <v>648470</v>
      </c>
      <c r="AV25" s="37">
        <f t="shared" si="31"/>
        <v>2169</v>
      </c>
      <c r="AW25" s="37">
        <f>AV25*100*AV44</f>
        <v>821.055429</v>
      </c>
      <c r="AX25" s="35">
        <f t="shared" si="14"/>
        <v>4.3380000000000001</v>
      </c>
    </row>
    <row r="26" spans="1:50" x14ac:dyDescent="0.3">
      <c r="A26" s="23">
        <v>44671</v>
      </c>
      <c r="B26" s="40">
        <v>63</v>
      </c>
      <c r="C26" s="24">
        <v>7837130</v>
      </c>
      <c r="D26" s="24">
        <v>18537770</v>
      </c>
      <c r="E26" s="24">
        <v>3201400</v>
      </c>
      <c r="F26" s="24">
        <v>3991340</v>
      </c>
      <c r="G26" s="24">
        <v>11866470</v>
      </c>
      <c r="H26" s="24">
        <v>6747780</v>
      </c>
      <c r="I26" s="24">
        <v>5905560</v>
      </c>
      <c r="J26" s="24">
        <v>7298990</v>
      </c>
      <c r="K26" s="24">
        <v>10842120</v>
      </c>
      <c r="L26" s="24">
        <v>4649460</v>
      </c>
      <c r="M26" s="24">
        <v>8887000</v>
      </c>
      <c r="N26" s="24">
        <v>14298450</v>
      </c>
      <c r="O26" s="24">
        <v>19971220</v>
      </c>
      <c r="Q26" s="37">
        <f t="shared" si="33"/>
        <v>490</v>
      </c>
      <c r="R26" s="37">
        <f t="shared" si="18"/>
        <v>12540</v>
      </c>
      <c r="S26" s="37">
        <f t="shared" si="33"/>
        <v>30</v>
      </c>
      <c r="T26" s="37">
        <f t="shared" si="33"/>
        <v>1450</v>
      </c>
      <c r="U26" s="37">
        <f t="shared" si="33"/>
        <v>4430</v>
      </c>
      <c r="V26" s="37">
        <f t="shared" si="33"/>
        <v>3600</v>
      </c>
      <c r="W26" s="37">
        <f t="shared" si="33"/>
        <v>3960</v>
      </c>
      <c r="X26" s="37">
        <f t="shared" si="33"/>
        <v>3380</v>
      </c>
      <c r="Y26" s="37">
        <f t="shared" si="33"/>
        <v>3420</v>
      </c>
      <c r="Z26" s="37">
        <f t="shared" si="33"/>
        <v>2260</v>
      </c>
      <c r="AA26" s="37">
        <f t="shared" si="33"/>
        <v>2590</v>
      </c>
      <c r="AB26" s="37">
        <f t="shared" si="33"/>
        <v>6700</v>
      </c>
      <c r="AC26" s="37">
        <f t="shared" si="33"/>
        <v>11080</v>
      </c>
      <c r="AD26" s="35">
        <f t="shared" si="29"/>
        <v>55930</v>
      </c>
      <c r="AF26" s="20">
        <f t="shared" si="1"/>
        <v>2.4500000000000002</v>
      </c>
      <c r="AG26" s="20">
        <f t="shared" si="2"/>
        <v>62.7</v>
      </c>
      <c r="AH26" s="20">
        <f t="shared" si="3"/>
        <v>0.15</v>
      </c>
      <c r="AI26" s="20">
        <f t="shared" si="4"/>
        <v>7.25</v>
      </c>
      <c r="AJ26" s="20">
        <f t="shared" si="5"/>
        <v>22.150000000000002</v>
      </c>
      <c r="AK26" s="20">
        <f t="shared" si="6"/>
        <v>18</v>
      </c>
      <c r="AL26" s="20">
        <f t="shared" si="7"/>
        <v>19.8</v>
      </c>
      <c r="AM26" s="20">
        <f t="shared" si="8"/>
        <v>16.899999999999999</v>
      </c>
      <c r="AN26" s="20">
        <f t="shared" si="9"/>
        <v>17.100000000000001</v>
      </c>
      <c r="AO26" s="20">
        <f t="shared" si="10"/>
        <v>11.3</v>
      </c>
      <c r="AP26" s="20">
        <f t="shared" si="11"/>
        <v>12.950000000000001</v>
      </c>
      <c r="AQ26" s="20">
        <f t="shared" si="12"/>
        <v>33.5</v>
      </c>
      <c r="AR26" s="20">
        <f t="shared" si="13"/>
        <v>55.4</v>
      </c>
      <c r="AS26" s="35">
        <f t="shared" si="30"/>
        <v>279.65000000000003</v>
      </c>
      <c r="AU26" s="47">
        <v>650138</v>
      </c>
      <c r="AV26" s="37">
        <f t="shared" si="31"/>
        <v>1668</v>
      </c>
      <c r="AW26" s="37">
        <f>AV26*100*AV44</f>
        <v>631.40638799999999</v>
      </c>
      <c r="AX26" s="35">
        <f t="shared" si="14"/>
        <v>3.3359999999999999</v>
      </c>
    </row>
    <row r="27" spans="1:50" x14ac:dyDescent="0.3">
      <c r="A27" s="23">
        <v>44672</v>
      </c>
      <c r="B27" s="40">
        <v>67</v>
      </c>
      <c r="C27" s="24">
        <v>7843200</v>
      </c>
      <c r="D27" s="24">
        <v>18547030</v>
      </c>
      <c r="E27" s="24">
        <v>3201450</v>
      </c>
      <c r="F27" s="24">
        <v>3992990</v>
      </c>
      <c r="G27" s="24">
        <v>11871330</v>
      </c>
      <c r="H27" s="24">
        <v>6751830</v>
      </c>
      <c r="I27" s="24">
        <v>5910460</v>
      </c>
      <c r="J27" s="24">
        <v>7302530</v>
      </c>
      <c r="K27" s="24">
        <v>10845910</v>
      </c>
      <c r="L27" s="24">
        <v>4651970</v>
      </c>
      <c r="M27" s="24">
        <v>8889850</v>
      </c>
      <c r="N27" s="24">
        <v>14305840</v>
      </c>
      <c r="O27" s="24">
        <v>19983280</v>
      </c>
      <c r="Q27" s="37">
        <f t="shared" si="33"/>
        <v>6070</v>
      </c>
      <c r="R27" s="37">
        <f t="shared" si="18"/>
        <v>9260</v>
      </c>
      <c r="S27" s="37">
        <f t="shared" si="33"/>
        <v>50</v>
      </c>
      <c r="T27" s="37">
        <f t="shared" si="33"/>
        <v>1650</v>
      </c>
      <c r="U27" s="37">
        <f t="shared" si="33"/>
        <v>4860</v>
      </c>
      <c r="V27" s="37">
        <f t="shared" si="33"/>
        <v>4050</v>
      </c>
      <c r="W27" s="37">
        <f t="shared" si="33"/>
        <v>4900</v>
      </c>
      <c r="X27" s="37">
        <f t="shared" si="33"/>
        <v>3540</v>
      </c>
      <c r="Y27" s="37">
        <f t="shared" si="33"/>
        <v>3790</v>
      </c>
      <c r="Z27" s="37">
        <f t="shared" si="33"/>
        <v>2510</v>
      </c>
      <c r="AA27" s="37">
        <f t="shared" si="33"/>
        <v>2850</v>
      </c>
      <c r="AB27" s="37">
        <f t="shared" si="33"/>
        <v>7390</v>
      </c>
      <c r="AC27" s="37">
        <f t="shared" si="33"/>
        <v>12060</v>
      </c>
      <c r="AD27" s="35">
        <f t="shared" si="29"/>
        <v>62980</v>
      </c>
      <c r="AF27" s="20">
        <f t="shared" si="1"/>
        <v>30.35</v>
      </c>
      <c r="AG27" s="20">
        <f t="shared" si="2"/>
        <v>46.300000000000004</v>
      </c>
      <c r="AH27" s="20">
        <f t="shared" si="3"/>
        <v>0.25</v>
      </c>
      <c r="AI27" s="20">
        <f t="shared" si="4"/>
        <v>8.25</v>
      </c>
      <c r="AJ27" s="20">
        <f t="shared" si="5"/>
        <v>24.3</v>
      </c>
      <c r="AK27" s="20">
        <f t="shared" si="6"/>
        <v>20.25</v>
      </c>
      <c r="AL27" s="20">
        <f t="shared" si="7"/>
        <v>24.5</v>
      </c>
      <c r="AM27" s="20">
        <f t="shared" si="8"/>
        <v>17.7</v>
      </c>
      <c r="AN27" s="20">
        <f t="shared" si="9"/>
        <v>18.95</v>
      </c>
      <c r="AO27" s="20">
        <f t="shared" si="10"/>
        <v>12.55</v>
      </c>
      <c r="AP27" s="20">
        <f t="shared" si="11"/>
        <v>14.25</v>
      </c>
      <c r="AQ27" s="20">
        <f t="shared" si="12"/>
        <v>36.950000000000003</v>
      </c>
      <c r="AR27" s="20">
        <f t="shared" si="13"/>
        <v>60.300000000000004</v>
      </c>
      <c r="AS27" s="35">
        <f t="shared" si="30"/>
        <v>314.89999999999998</v>
      </c>
      <c r="AU27" s="47">
        <v>651712</v>
      </c>
      <c r="AV27" s="37">
        <f>IF((AU27-AU26&lt;0),"0",AU27-AU26)</f>
        <v>1574</v>
      </c>
      <c r="AW27" s="37">
        <f>AV27*100*AV44</f>
        <v>595.823534</v>
      </c>
      <c r="AX27" s="35">
        <f t="shared" si="14"/>
        <v>3.1480000000000001</v>
      </c>
    </row>
    <row r="28" spans="1:50" x14ac:dyDescent="0.3">
      <c r="A28" s="23">
        <v>44673</v>
      </c>
      <c r="B28" s="40">
        <v>47</v>
      </c>
      <c r="C28" s="24">
        <v>7854480</v>
      </c>
      <c r="D28" s="24">
        <v>18548850</v>
      </c>
      <c r="E28" s="24">
        <v>3201490</v>
      </c>
      <c r="F28" s="24">
        <v>3994510</v>
      </c>
      <c r="G28" s="24">
        <v>11875810</v>
      </c>
      <c r="H28" s="24">
        <v>6755420</v>
      </c>
      <c r="I28" s="24">
        <v>5914610</v>
      </c>
      <c r="J28" s="24">
        <v>7305920</v>
      </c>
      <c r="K28" s="24">
        <v>10849470</v>
      </c>
      <c r="L28" s="24">
        <v>4654240</v>
      </c>
      <c r="M28" s="24">
        <v>8892510</v>
      </c>
      <c r="N28" s="24">
        <v>14312640</v>
      </c>
      <c r="O28" s="24">
        <v>19994310</v>
      </c>
      <c r="Q28" s="37">
        <f t="shared" si="17"/>
        <v>11280</v>
      </c>
      <c r="R28" s="37">
        <f t="shared" si="18"/>
        <v>1820</v>
      </c>
      <c r="S28" s="37">
        <f t="shared" si="16"/>
        <v>40</v>
      </c>
      <c r="T28" s="37">
        <f t="shared" si="19"/>
        <v>1520</v>
      </c>
      <c r="U28" s="37">
        <f t="shared" si="20"/>
        <v>4480</v>
      </c>
      <c r="V28" s="37">
        <f t="shared" si="21"/>
        <v>3590</v>
      </c>
      <c r="W28" s="37">
        <f t="shared" si="22"/>
        <v>4150</v>
      </c>
      <c r="X28" s="37">
        <f t="shared" si="23"/>
        <v>3390</v>
      </c>
      <c r="Y28" s="37">
        <f t="shared" si="24"/>
        <v>3560</v>
      </c>
      <c r="Z28" s="37">
        <f t="shared" si="25"/>
        <v>2270</v>
      </c>
      <c r="AA28" s="37">
        <f t="shared" si="26"/>
        <v>2660</v>
      </c>
      <c r="AB28" s="37">
        <f t="shared" si="27"/>
        <v>6800</v>
      </c>
      <c r="AC28" s="37">
        <f t="shared" si="28"/>
        <v>11030</v>
      </c>
      <c r="AD28" s="35">
        <f t="shared" si="29"/>
        <v>56590</v>
      </c>
      <c r="AF28" s="20">
        <f t="shared" si="1"/>
        <v>56.4</v>
      </c>
      <c r="AG28" s="20">
        <f t="shared" si="2"/>
        <v>9.1</v>
      </c>
      <c r="AH28" s="20">
        <f t="shared" si="3"/>
        <v>0.2</v>
      </c>
      <c r="AI28" s="20">
        <f t="shared" si="4"/>
        <v>7.6000000000000005</v>
      </c>
      <c r="AJ28" s="20">
        <f t="shared" si="5"/>
        <v>22.400000000000002</v>
      </c>
      <c r="AK28" s="20">
        <f t="shared" si="6"/>
        <v>17.95</v>
      </c>
      <c r="AL28" s="20">
        <f t="shared" si="7"/>
        <v>20.75</v>
      </c>
      <c r="AM28" s="20">
        <f t="shared" si="8"/>
        <v>16.95</v>
      </c>
      <c r="AN28" s="20">
        <f t="shared" si="9"/>
        <v>17.8</v>
      </c>
      <c r="AO28" s="20">
        <f t="shared" si="10"/>
        <v>11.35</v>
      </c>
      <c r="AP28" s="20">
        <f t="shared" si="11"/>
        <v>13.3</v>
      </c>
      <c r="AQ28" s="20">
        <f t="shared" si="12"/>
        <v>34</v>
      </c>
      <c r="AR28" s="20">
        <f t="shared" si="13"/>
        <v>55.15</v>
      </c>
      <c r="AS28" s="35">
        <f t="shared" si="30"/>
        <v>282.95</v>
      </c>
      <c r="AU28" s="47">
        <v>653277</v>
      </c>
      <c r="AV28" s="37">
        <f>IF((AU28-AU27&lt;0),"0",AU28-AU27)</f>
        <v>1565</v>
      </c>
      <c r="AW28" s="37">
        <f>AV28*100*AV44</f>
        <v>592.41666499999997</v>
      </c>
      <c r="AX28" s="35">
        <f t="shared" si="14"/>
        <v>3.13</v>
      </c>
    </row>
    <row r="29" spans="1:50" x14ac:dyDescent="0.3">
      <c r="A29" s="23">
        <v>44674</v>
      </c>
      <c r="B29" s="40">
        <v>55</v>
      </c>
      <c r="C29" s="24">
        <v>7865730</v>
      </c>
      <c r="D29" s="24">
        <v>18550710</v>
      </c>
      <c r="E29" s="24">
        <v>3201520</v>
      </c>
      <c r="F29" s="24">
        <v>3996020</v>
      </c>
      <c r="G29" s="24">
        <v>11880140</v>
      </c>
      <c r="H29" s="24">
        <v>6759080</v>
      </c>
      <c r="I29" s="24">
        <v>5918920</v>
      </c>
      <c r="J29" s="24">
        <v>7309300</v>
      </c>
      <c r="K29" s="24">
        <v>10853010</v>
      </c>
      <c r="L29" s="24">
        <v>4656610</v>
      </c>
      <c r="M29" s="24">
        <v>8895200</v>
      </c>
      <c r="N29" s="24">
        <v>14319360</v>
      </c>
      <c r="O29" s="24">
        <v>20005660</v>
      </c>
      <c r="Q29" s="37">
        <f t="shared" si="17"/>
        <v>11250</v>
      </c>
      <c r="R29" s="37">
        <f t="shared" si="18"/>
        <v>1860</v>
      </c>
      <c r="S29" s="37">
        <f t="shared" si="16"/>
        <v>30</v>
      </c>
      <c r="T29" s="37">
        <f t="shared" si="19"/>
        <v>1510</v>
      </c>
      <c r="U29" s="37">
        <f t="shared" si="20"/>
        <v>4330</v>
      </c>
      <c r="V29" s="37">
        <f t="shared" si="21"/>
        <v>3660</v>
      </c>
      <c r="W29" s="37">
        <f t="shared" si="22"/>
        <v>4310</v>
      </c>
      <c r="X29" s="37">
        <f t="shared" si="23"/>
        <v>3380</v>
      </c>
      <c r="Y29" s="37">
        <f t="shared" si="24"/>
        <v>3540</v>
      </c>
      <c r="Z29" s="37">
        <f t="shared" si="25"/>
        <v>2370</v>
      </c>
      <c r="AA29" s="37">
        <f t="shared" si="26"/>
        <v>2690</v>
      </c>
      <c r="AB29" s="37">
        <f t="shared" si="27"/>
        <v>6720</v>
      </c>
      <c r="AC29" s="37">
        <f t="shared" si="28"/>
        <v>11350</v>
      </c>
      <c r="AD29" s="35">
        <f t="shared" si="29"/>
        <v>57000</v>
      </c>
      <c r="AF29" s="20">
        <f t="shared" si="1"/>
        <v>56.25</v>
      </c>
      <c r="AG29" s="20">
        <f t="shared" si="2"/>
        <v>9.3000000000000007</v>
      </c>
      <c r="AH29" s="20">
        <f t="shared" si="3"/>
        <v>0.15</v>
      </c>
      <c r="AI29" s="20">
        <f t="shared" si="4"/>
        <v>7.55</v>
      </c>
      <c r="AJ29" s="20">
        <f t="shared" si="5"/>
        <v>21.650000000000002</v>
      </c>
      <c r="AK29" s="20">
        <f t="shared" si="6"/>
        <v>18.3</v>
      </c>
      <c r="AL29" s="20">
        <f t="shared" si="7"/>
        <v>21.55</v>
      </c>
      <c r="AM29" s="20">
        <f t="shared" si="8"/>
        <v>16.899999999999999</v>
      </c>
      <c r="AN29" s="20">
        <f t="shared" si="9"/>
        <v>17.7</v>
      </c>
      <c r="AO29" s="20">
        <f t="shared" si="10"/>
        <v>11.85</v>
      </c>
      <c r="AP29" s="20">
        <f t="shared" si="11"/>
        <v>13.450000000000001</v>
      </c>
      <c r="AQ29" s="20">
        <f t="shared" si="12"/>
        <v>33.6</v>
      </c>
      <c r="AR29" s="20">
        <f t="shared" si="13"/>
        <v>56.75</v>
      </c>
      <c r="AS29" s="35">
        <f t="shared" si="30"/>
        <v>285</v>
      </c>
      <c r="AU29" s="47">
        <v>654620</v>
      </c>
      <c r="AV29" s="37">
        <f>IF((AU29-AU28&lt;0),"0",AU29-AU28)</f>
        <v>1343</v>
      </c>
      <c r="AW29" s="37">
        <f>AV29*100*AV44</f>
        <v>508.380563</v>
      </c>
      <c r="AX29" s="35">
        <f t="shared" si="14"/>
        <v>2.6859999999999999</v>
      </c>
    </row>
    <row r="30" spans="1:50" x14ac:dyDescent="0.3">
      <c r="A30" s="23">
        <v>44675</v>
      </c>
      <c r="B30" s="40">
        <v>40</v>
      </c>
      <c r="C30" s="24">
        <v>7877770</v>
      </c>
      <c r="D30" s="24">
        <v>18552680</v>
      </c>
      <c r="E30" s="24">
        <v>3201530</v>
      </c>
      <c r="F30" s="24">
        <v>3997580</v>
      </c>
      <c r="G30" s="24">
        <v>11884940</v>
      </c>
      <c r="H30" s="24">
        <v>6763130</v>
      </c>
      <c r="I30" s="24">
        <v>5923770</v>
      </c>
      <c r="J30" s="24">
        <v>7313010</v>
      </c>
      <c r="K30" s="24">
        <v>10856700</v>
      </c>
      <c r="L30" s="24">
        <v>4659110</v>
      </c>
      <c r="M30" s="24">
        <v>8898160</v>
      </c>
      <c r="N30" s="24">
        <v>14326510</v>
      </c>
      <c r="O30" s="24">
        <v>20017650</v>
      </c>
      <c r="Q30" s="37">
        <f t="shared" si="17"/>
        <v>12040</v>
      </c>
      <c r="R30" s="37">
        <f t="shared" si="18"/>
        <v>1970</v>
      </c>
      <c r="S30" s="37">
        <f t="shared" si="16"/>
        <v>10</v>
      </c>
      <c r="T30" s="37">
        <f t="shared" si="19"/>
        <v>1560</v>
      </c>
      <c r="U30" s="37">
        <f t="shared" si="20"/>
        <v>4800</v>
      </c>
      <c r="V30" s="37">
        <f t="shared" si="21"/>
        <v>4050</v>
      </c>
      <c r="W30" s="37">
        <f t="shared" si="22"/>
        <v>4850</v>
      </c>
      <c r="X30" s="37">
        <f t="shared" si="23"/>
        <v>3710</v>
      </c>
      <c r="Y30" s="37">
        <f t="shared" si="24"/>
        <v>3690</v>
      </c>
      <c r="Z30" s="37">
        <f t="shared" si="25"/>
        <v>2500</v>
      </c>
      <c r="AA30" s="37">
        <f t="shared" si="26"/>
        <v>2960</v>
      </c>
      <c r="AB30" s="37">
        <f t="shared" si="27"/>
        <v>7150</v>
      </c>
      <c r="AC30" s="37">
        <f t="shared" si="28"/>
        <v>11990</v>
      </c>
      <c r="AD30" s="35">
        <f t="shared" si="29"/>
        <v>61280</v>
      </c>
      <c r="AF30" s="20">
        <f t="shared" si="1"/>
        <v>60.2</v>
      </c>
      <c r="AG30" s="20">
        <f t="shared" si="2"/>
        <v>9.85</v>
      </c>
      <c r="AH30" s="20">
        <f t="shared" si="3"/>
        <v>0.05</v>
      </c>
      <c r="AI30" s="20">
        <f t="shared" si="4"/>
        <v>7.8</v>
      </c>
      <c r="AJ30" s="20">
        <f t="shared" si="5"/>
        <v>24</v>
      </c>
      <c r="AK30" s="20">
        <f t="shared" si="6"/>
        <v>20.25</v>
      </c>
      <c r="AL30" s="20">
        <f t="shared" si="7"/>
        <v>24.25</v>
      </c>
      <c r="AM30" s="20">
        <f t="shared" si="8"/>
        <v>18.55</v>
      </c>
      <c r="AN30" s="20">
        <f t="shared" si="9"/>
        <v>18.45</v>
      </c>
      <c r="AO30" s="20">
        <f t="shared" si="10"/>
        <v>12.5</v>
      </c>
      <c r="AP30" s="20">
        <f t="shared" si="11"/>
        <v>14.8</v>
      </c>
      <c r="AQ30" s="20">
        <f t="shared" si="12"/>
        <v>35.75</v>
      </c>
      <c r="AR30" s="20">
        <f t="shared" si="13"/>
        <v>59.95</v>
      </c>
      <c r="AS30" s="35">
        <f t="shared" si="30"/>
        <v>306.39999999999998</v>
      </c>
      <c r="AU30" s="47">
        <v>656444</v>
      </c>
      <c r="AV30" s="37">
        <f t="shared" ref="AV30:AV36" si="34">IF((AU30-AU29&lt;0),"0",AU30-AU29)</f>
        <v>1824</v>
      </c>
      <c r="AW30" s="37">
        <f>AV30*100*AV44</f>
        <v>690.45878400000004</v>
      </c>
      <c r="AX30" s="35">
        <f t="shared" si="14"/>
        <v>3.6480000000000001</v>
      </c>
    </row>
    <row r="31" spans="1:50" x14ac:dyDescent="0.3">
      <c r="A31" s="23">
        <v>44676</v>
      </c>
      <c r="B31" s="40">
        <v>54</v>
      </c>
      <c r="C31" s="24">
        <v>7888960</v>
      </c>
      <c r="D31" s="24">
        <v>18554470</v>
      </c>
      <c r="E31" s="24">
        <v>3201530</v>
      </c>
      <c r="F31" s="24">
        <v>3999000</v>
      </c>
      <c r="G31" s="24">
        <v>11889250</v>
      </c>
      <c r="H31" s="24">
        <v>6766720</v>
      </c>
      <c r="I31" s="24">
        <v>5928110</v>
      </c>
      <c r="J31" s="24">
        <v>7316310</v>
      </c>
      <c r="K31" s="24">
        <v>10859990</v>
      </c>
      <c r="L31" s="24">
        <v>4661460</v>
      </c>
      <c r="M31" s="24">
        <v>8900820</v>
      </c>
      <c r="N31" s="24">
        <v>14332920</v>
      </c>
      <c r="O31" s="24">
        <v>20028880</v>
      </c>
      <c r="Q31" s="37">
        <f>IF((C31-C30&lt;0), "0",C31-C30)</f>
        <v>11190</v>
      </c>
      <c r="R31" s="37">
        <f t="shared" si="18"/>
        <v>1790</v>
      </c>
      <c r="S31" s="37">
        <f t="shared" si="16"/>
        <v>0</v>
      </c>
      <c r="T31" s="37">
        <f t="shared" si="19"/>
        <v>1420</v>
      </c>
      <c r="U31" s="37">
        <f t="shared" si="20"/>
        <v>4310</v>
      </c>
      <c r="V31" s="37">
        <f t="shared" si="21"/>
        <v>3590</v>
      </c>
      <c r="W31" s="37">
        <f t="shared" si="22"/>
        <v>4340</v>
      </c>
      <c r="X31" s="37">
        <f t="shared" si="23"/>
        <v>3300</v>
      </c>
      <c r="Y31" s="37">
        <f t="shared" si="24"/>
        <v>3290</v>
      </c>
      <c r="Z31" s="37">
        <f t="shared" si="25"/>
        <v>2350</v>
      </c>
      <c r="AA31" s="37">
        <f t="shared" si="26"/>
        <v>2660</v>
      </c>
      <c r="AB31" s="37">
        <f t="shared" si="27"/>
        <v>6410</v>
      </c>
      <c r="AC31" s="37">
        <f t="shared" si="28"/>
        <v>11230</v>
      </c>
      <c r="AD31" s="35">
        <f t="shared" si="29"/>
        <v>55880</v>
      </c>
      <c r="AF31" s="20">
        <f t="shared" si="1"/>
        <v>55.95</v>
      </c>
      <c r="AG31" s="20">
        <f t="shared" si="2"/>
        <v>8.9500000000000011</v>
      </c>
      <c r="AH31" s="20">
        <f t="shared" si="3"/>
        <v>0</v>
      </c>
      <c r="AI31" s="20">
        <f t="shared" si="4"/>
        <v>7.1000000000000005</v>
      </c>
      <c r="AJ31" s="20">
        <f t="shared" si="5"/>
        <v>21.55</v>
      </c>
      <c r="AK31" s="20">
        <f t="shared" si="6"/>
        <v>17.95</v>
      </c>
      <c r="AL31" s="20">
        <f t="shared" si="7"/>
        <v>21.7</v>
      </c>
      <c r="AM31" s="20">
        <f t="shared" si="8"/>
        <v>16.5</v>
      </c>
      <c r="AN31" s="20">
        <f t="shared" si="9"/>
        <v>16.45</v>
      </c>
      <c r="AO31" s="20">
        <f t="shared" si="10"/>
        <v>11.75</v>
      </c>
      <c r="AP31" s="20">
        <f t="shared" si="11"/>
        <v>13.3</v>
      </c>
      <c r="AQ31" s="20">
        <f t="shared" si="12"/>
        <v>32.049999999999997</v>
      </c>
      <c r="AR31" s="20">
        <f t="shared" si="13"/>
        <v>56.15</v>
      </c>
      <c r="AS31" s="35">
        <f t="shared" si="30"/>
        <v>279.39999999999998</v>
      </c>
      <c r="AU31" s="47">
        <v>658027</v>
      </c>
      <c r="AV31" s="37">
        <f t="shared" si="34"/>
        <v>1583</v>
      </c>
      <c r="AW31" s="37">
        <f>AV31*100*AV44</f>
        <v>599.23040300000002</v>
      </c>
      <c r="AX31" s="35">
        <f t="shared" si="14"/>
        <v>3.1659999999999999</v>
      </c>
    </row>
    <row r="32" spans="1:50" x14ac:dyDescent="0.3">
      <c r="A32" s="23">
        <v>44677</v>
      </c>
      <c r="B32" s="40">
        <v>43</v>
      </c>
      <c r="C32" s="24">
        <v>7900810</v>
      </c>
      <c r="D32" s="24">
        <v>18556280</v>
      </c>
      <c r="E32" s="24">
        <v>3201530</v>
      </c>
      <c r="F32" s="24">
        <v>4000290</v>
      </c>
      <c r="G32" s="24">
        <v>11893460</v>
      </c>
      <c r="H32" s="24">
        <v>6770540</v>
      </c>
      <c r="I32" s="24">
        <v>5932230</v>
      </c>
      <c r="J32" s="24">
        <v>7319690</v>
      </c>
      <c r="K32" s="24">
        <v>10863420</v>
      </c>
      <c r="L32" s="24">
        <v>4663800</v>
      </c>
      <c r="M32" s="24">
        <v>8903370</v>
      </c>
      <c r="N32" s="24">
        <v>14339290</v>
      </c>
      <c r="O32" s="24">
        <v>20039630</v>
      </c>
      <c r="Q32" s="37">
        <f>IF((C32-C31&lt;0), "0",C32-C31)</f>
        <v>11850</v>
      </c>
      <c r="R32" s="37">
        <f t="shared" si="18"/>
        <v>1810</v>
      </c>
      <c r="S32" s="37">
        <f t="shared" si="16"/>
        <v>0</v>
      </c>
      <c r="T32" s="37">
        <f t="shared" si="19"/>
        <v>1290</v>
      </c>
      <c r="U32" s="37">
        <f t="shared" si="20"/>
        <v>4210</v>
      </c>
      <c r="V32" s="37">
        <f t="shared" si="21"/>
        <v>3820</v>
      </c>
      <c r="W32" s="37">
        <f t="shared" si="22"/>
        <v>4120</v>
      </c>
      <c r="X32" s="37">
        <f t="shared" si="23"/>
        <v>3380</v>
      </c>
      <c r="Y32" s="37">
        <f t="shared" si="24"/>
        <v>3430</v>
      </c>
      <c r="Z32" s="37">
        <f t="shared" si="25"/>
        <v>2340</v>
      </c>
      <c r="AA32" s="37">
        <f t="shared" si="26"/>
        <v>2550</v>
      </c>
      <c r="AB32" s="37">
        <f t="shared" si="27"/>
        <v>6370</v>
      </c>
      <c r="AC32" s="37">
        <f t="shared" si="28"/>
        <v>10750</v>
      </c>
      <c r="AD32" s="35">
        <f t="shared" si="29"/>
        <v>55920</v>
      </c>
      <c r="AF32" s="20">
        <f t="shared" si="1"/>
        <v>59.25</v>
      </c>
      <c r="AG32" s="20">
        <f t="shared" si="2"/>
        <v>9.0500000000000007</v>
      </c>
      <c r="AH32" s="20">
        <f t="shared" si="3"/>
        <v>0</v>
      </c>
      <c r="AI32" s="20">
        <f t="shared" si="4"/>
        <v>6.45</v>
      </c>
      <c r="AJ32" s="20">
        <f t="shared" si="5"/>
        <v>21.05</v>
      </c>
      <c r="AK32" s="20">
        <f t="shared" si="6"/>
        <v>19.100000000000001</v>
      </c>
      <c r="AL32" s="20">
        <f t="shared" si="7"/>
        <v>20.6</v>
      </c>
      <c r="AM32" s="20">
        <f t="shared" si="8"/>
        <v>16.899999999999999</v>
      </c>
      <c r="AN32" s="20">
        <f t="shared" si="9"/>
        <v>17.150000000000002</v>
      </c>
      <c r="AO32" s="20">
        <f t="shared" si="10"/>
        <v>11.700000000000001</v>
      </c>
      <c r="AP32" s="20">
        <f t="shared" si="11"/>
        <v>12.75</v>
      </c>
      <c r="AQ32" s="20">
        <f t="shared" si="12"/>
        <v>31.85</v>
      </c>
      <c r="AR32" s="20">
        <f t="shared" si="13"/>
        <v>53.75</v>
      </c>
      <c r="AS32" s="35">
        <f t="shared" si="30"/>
        <v>279.60000000000002</v>
      </c>
      <c r="AU32" s="47">
        <v>659350</v>
      </c>
      <c r="AV32" s="37">
        <f t="shared" si="34"/>
        <v>1323</v>
      </c>
      <c r="AW32" s="37">
        <f>AV32*100*AV44</f>
        <v>500.80974299999997</v>
      </c>
      <c r="AX32" s="35">
        <f t="shared" si="14"/>
        <v>2.6459999999999999</v>
      </c>
    </row>
    <row r="33" spans="1:50" x14ac:dyDescent="0.3">
      <c r="A33" s="23">
        <v>44678</v>
      </c>
      <c r="B33" s="40">
        <v>25</v>
      </c>
      <c r="C33" s="24">
        <v>7913040</v>
      </c>
      <c r="D33" s="24">
        <v>18558190</v>
      </c>
      <c r="E33" s="24">
        <v>3201530</v>
      </c>
      <c r="F33" s="24">
        <v>4001570</v>
      </c>
      <c r="G33" s="24">
        <v>11898000</v>
      </c>
      <c r="H33" s="24">
        <v>6774400</v>
      </c>
      <c r="I33" s="24">
        <v>5936550</v>
      </c>
      <c r="J33" s="24">
        <v>7323150</v>
      </c>
      <c r="K33" s="24">
        <v>10866970</v>
      </c>
      <c r="L33" s="24">
        <v>4666160</v>
      </c>
      <c r="M33" s="24">
        <v>8906030</v>
      </c>
      <c r="N33" s="24">
        <v>14345820</v>
      </c>
      <c r="O33" s="24">
        <v>20050930</v>
      </c>
      <c r="Q33" s="37">
        <f>IF((C33-C32&lt;0), "0",C33-C32)</f>
        <v>12230</v>
      </c>
      <c r="R33" s="37">
        <f t="shared" si="18"/>
        <v>1910</v>
      </c>
      <c r="S33" s="37">
        <f t="shared" si="16"/>
        <v>0</v>
      </c>
      <c r="T33" s="37">
        <f t="shared" si="19"/>
        <v>1280</v>
      </c>
      <c r="U33" s="37">
        <f t="shared" si="20"/>
        <v>4540</v>
      </c>
      <c r="V33" s="37">
        <f t="shared" si="21"/>
        <v>3860</v>
      </c>
      <c r="W33" s="37">
        <f t="shared" si="22"/>
        <v>4320</v>
      </c>
      <c r="X33" s="37">
        <f t="shared" si="23"/>
        <v>3460</v>
      </c>
      <c r="Y33" s="37">
        <f t="shared" si="24"/>
        <v>3550</v>
      </c>
      <c r="Z33" s="37">
        <f t="shared" si="25"/>
        <v>2360</v>
      </c>
      <c r="AA33" s="37">
        <f t="shared" si="26"/>
        <v>2660</v>
      </c>
      <c r="AB33" s="37">
        <f t="shared" si="27"/>
        <v>6530</v>
      </c>
      <c r="AC33" s="37">
        <f t="shared" si="28"/>
        <v>11300</v>
      </c>
      <c r="AD33" s="35">
        <f t="shared" si="29"/>
        <v>58000</v>
      </c>
      <c r="AF33" s="20">
        <f t="shared" si="1"/>
        <v>61.15</v>
      </c>
      <c r="AG33" s="20">
        <f t="shared" si="2"/>
        <v>9.5500000000000007</v>
      </c>
      <c r="AH33" s="20">
        <f t="shared" si="3"/>
        <v>0</v>
      </c>
      <c r="AI33" s="20">
        <f t="shared" si="4"/>
        <v>6.4</v>
      </c>
      <c r="AJ33" s="20">
        <f t="shared" si="5"/>
        <v>22.7</v>
      </c>
      <c r="AK33" s="20">
        <f t="shared" si="6"/>
        <v>19.3</v>
      </c>
      <c r="AL33" s="20">
        <f t="shared" si="7"/>
        <v>21.6</v>
      </c>
      <c r="AM33" s="20">
        <f t="shared" si="8"/>
        <v>17.3</v>
      </c>
      <c r="AN33" s="20">
        <f t="shared" si="9"/>
        <v>17.75</v>
      </c>
      <c r="AO33" s="20">
        <f t="shared" si="10"/>
        <v>11.8</v>
      </c>
      <c r="AP33" s="20">
        <f t="shared" si="11"/>
        <v>13.3</v>
      </c>
      <c r="AQ33" s="20">
        <f t="shared" si="12"/>
        <v>32.65</v>
      </c>
      <c r="AR33" s="20">
        <f t="shared" si="13"/>
        <v>56.5</v>
      </c>
      <c r="AS33" s="35">
        <f t="shared" si="30"/>
        <v>290.00000000000006</v>
      </c>
      <c r="AU33" s="47">
        <v>661588</v>
      </c>
      <c r="AV33" s="37">
        <f t="shared" si="34"/>
        <v>2238</v>
      </c>
      <c r="AW33" s="37">
        <f>AV33*100*AV44</f>
        <v>847.174758</v>
      </c>
      <c r="AX33" s="35">
        <f t="shared" si="14"/>
        <v>4.476</v>
      </c>
    </row>
    <row r="34" spans="1:50" x14ac:dyDescent="0.3">
      <c r="A34" s="23">
        <v>44679</v>
      </c>
      <c r="B34" s="51">
        <v>37</v>
      </c>
      <c r="C34" s="50">
        <v>7924570</v>
      </c>
      <c r="D34" s="24">
        <v>18560080</v>
      </c>
      <c r="E34" s="24">
        <v>3201530</v>
      </c>
      <c r="F34" s="24">
        <v>4002870</v>
      </c>
      <c r="G34" s="24">
        <v>11902390</v>
      </c>
      <c r="H34" s="24">
        <v>6778180</v>
      </c>
      <c r="I34" s="24">
        <v>5940860</v>
      </c>
      <c r="J34" s="24">
        <v>7326640</v>
      </c>
      <c r="K34" s="24">
        <v>10870460</v>
      </c>
      <c r="L34" s="24">
        <v>4668540</v>
      </c>
      <c r="M34" s="24">
        <v>8908590</v>
      </c>
      <c r="N34" s="24">
        <v>14352230</v>
      </c>
      <c r="O34" s="24">
        <v>20062080</v>
      </c>
      <c r="Q34" s="37">
        <f>IF((C34-C33&lt;0), "0",C34-C33)</f>
        <v>11530</v>
      </c>
      <c r="R34" s="37">
        <f t="shared" si="18"/>
        <v>1890</v>
      </c>
      <c r="S34" s="37">
        <f t="shared" si="16"/>
        <v>0</v>
      </c>
      <c r="T34" s="37">
        <f t="shared" si="19"/>
        <v>1300</v>
      </c>
      <c r="U34" s="37">
        <f t="shared" si="20"/>
        <v>4390</v>
      </c>
      <c r="V34" s="37">
        <f t="shared" si="21"/>
        <v>3780</v>
      </c>
      <c r="W34" s="37">
        <f t="shared" si="22"/>
        <v>4310</v>
      </c>
      <c r="X34" s="37">
        <f t="shared" si="23"/>
        <v>3490</v>
      </c>
      <c r="Y34" s="37">
        <f t="shared" si="24"/>
        <v>3490</v>
      </c>
      <c r="Z34" s="37">
        <f t="shared" si="25"/>
        <v>2380</v>
      </c>
      <c r="AA34" s="37">
        <f t="shared" si="26"/>
        <v>2560</v>
      </c>
      <c r="AB34" s="37">
        <f t="shared" si="27"/>
        <v>6410</v>
      </c>
      <c r="AC34" s="37">
        <f t="shared" si="28"/>
        <v>11150</v>
      </c>
      <c r="AD34" s="35">
        <f t="shared" si="29"/>
        <v>56680</v>
      </c>
      <c r="AF34" s="20">
        <f>Q34*$D$39</f>
        <v>57.65</v>
      </c>
      <c r="AG34" s="20">
        <f t="shared" si="2"/>
        <v>9.4500000000000011</v>
      </c>
      <c r="AH34" s="20">
        <f t="shared" si="3"/>
        <v>0</v>
      </c>
      <c r="AI34" s="20">
        <f t="shared" si="4"/>
        <v>6.5</v>
      </c>
      <c r="AJ34" s="20">
        <f t="shared" si="5"/>
        <v>21.95</v>
      </c>
      <c r="AK34" s="20">
        <f t="shared" si="6"/>
        <v>18.900000000000002</v>
      </c>
      <c r="AL34" s="20">
        <f t="shared" si="7"/>
        <v>21.55</v>
      </c>
      <c r="AM34" s="20">
        <f t="shared" si="8"/>
        <v>17.45</v>
      </c>
      <c r="AN34" s="20">
        <f t="shared" si="9"/>
        <v>17.45</v>
      </c>
      <c r="AO34" s="20">
        <f t="shared" si="10"/>
        <v>11.9</v>
      </c>
      <c r="AP34" s="20">
        <f t="shared" si="11"/>
        <v>12.8</v>
      </c>
      <c r="AQ34" s="20">
        <f t="shared" si="12"/>
        <v>32.049999999999997</v>
      </c>
      <c r="AR34" s="20">
        <f t="shared" si="13"/>
        <v>55.75</v>
      </c>
      <c r="AS34" s="35">
        <f>SUM(AF34:AR34)</f>
        <v>283.39999999999998</v>
      </c>
      <c r="AU34" s="47">
        <v>663132</v>
      </c>
      <c r="AV34" s="37">
        <f t="shared" si="34"/>
        <v>1544</v>
      </c>
      <c r="AW34" s="37">
        <f>AV34*100*AV44</f>
        <v>584.46730400000001</v>
      </c>
      <c r="AX34" s="35">
        <f t="shared" si="14"/>
        <v>3.0880000000000001</v>
      </c>
    </row>
    <row r="35" spans="1:50" x14ac:dyDescent="0.3">
      <c r="A35" s="23">
        <v>44680</v>
      </c>
      <c r="B35" s="40">
        <v>39</v>
      </c>
      <c r="C35" s="24">
        <v>7936580</v>
      </c>
      <c r="D35" s="24">
        <v>18561920</v>
      </c>
      <c r="E35" s="24">
        <v>3201530</v>
      </c>
      <c r="F35" s="24">
        <v>4004070</v>
      </c>
      <c r="G35" s="24">
        <v>11906700</v>
      </c>
      <c r="H35" s="24">
        <v>6781800</v>
      </c>
      <c r="I35" s="24">
        <v>5945180</v>
      </c>
      <c r="J35" s="24">
        <v>7330080</v>
      </c>
      <c r="K35" s="24">
        <v>10873980</v>
      </c>
      <c r="L35" s="24">
        <v>4670920</v>
      </c>
      <c r="M35" s="24">
        <v>8911250</v>
      </c>
      <c r="N35" s="24">
        <v>14358870</v>
      </c>
      <c r="O35" s="24">
        <v>20072830</v>
      </c>
      <c r="Q35" s="37">
        <f>IF((C35-C34&lt;0), "0",C35-C34)</f>
        <v>12010</v>
      </c>
      <c r="R35" s="37">
        <f t="shared" si="18"/>
        <v>1840</v>
      </c>
      <c r="S35" s="37">
        <f t="shared" si="16"/>
        <v>0</v>
      </c>
      <c r="T35" s="37">
        <f t="shared" si="19"/>
        <v>1200</v>
      </c>
      <c r="U35" s="37">
        <f t="shared" si="20"/>
        <v>4310</v>
      </c>
      <c r="V35" s="37">
        <f t="shared" si="21"/>
        <v>3620</v>
      </c>
      <c r="W35" s="37">
        <f t="shared" si="22"/>
        <v>4320</v>
      </c>
      <c r="X35" s="37">
        <f t="shared" si="23"/>
        <v>3440</v>
      </c>
      <c r="Y35" s="37">
        <f t="shared" si="24"/>
        <v>3520</v>
      </c>
      <c r="Z35" s="37">
        <f t="shared" si="25"/>
        <v>2380</v>
      </c>
      <c r="AA35" s="37">
        <f t="shared" si="26"/>
        <v>2660</v>
      </c>
      <c r="AB35" s="37">
        <f t="shared" si="27"/>
        <v>6640</v>
      </c>
      <c r="AC35" s="37">
        <f t="shared" si="28"/>
        <v>10750</v>
      </c>
      <c r="AD35" s="35">
        <f t="shared" si="29"/>
        <v>56690</v>
      </c>
      <c r="AF35" s="20">
        <f t="shared" si="1"/>
        <v>60.050000000000004</v>
      </c>
      <c r="AG35" s="20">
        <f t="shared" si="2"/>
        <v>9.2000000000000011</v>
      </c>
      <c r="AH35" s="20">
        <f t="shared" si="3"/>
        <v>0</v>
      </c>
      <c r="AI35" s="20">
        <f t="shared" si="4"/>
        <v>6</v>
      </c>
      <c r="AJ35" s="20">
        <f t="shared" si="5"/>
        <v>21.55</v>
      </c>
      <c r="AK35" s="20">
        <f t="shared" si="6"/>
        <v>18.100000000000001</v>
      </c>
      <c r="AL35" s="20">
        <f t="shared" si="7"/>
        <v>21.6</v>
      </c>
      <c r="AM35" s="20">
        <f t="shared" si="8"/>
        <v>17.2</v>
      </c>
      <c r="AN35" s="20">
        <f t="shared" si="9"/>
        <v>17.600000000000001</v>
      </c>
      <c r="AO35" s="20">
        <f t="shared" si="10"/>
        <v>11.9</v>
      </c>
      <c r="AP35" s="20">
        <f t="shared" si="11"/>
        <v>13.3</v>
      </c>
      <c r="AQ35" s="20">
        <f t="shared" si="12"/>
        <v>33.200000000000003</v>
      </c>
      <c r="AR35" s="20">
        <f t="shared" si="13"/>
        <v>53.75</v>
      </c>
      <c r="AS35" s="35">
        <f>SUM(AF35:AR35)</f>
        <v>283.45</v>
      </c>
      <c r="AU35" s="47">
        <v>663505</v>
      </c>
      <c r="AV35" s="37">
        <f t="shared" si="34"/>
        <v>373</v>
      </c>
      <c r="AW35" s="37">
        <f>AV35*100*AV44</f>
        <v>141.19579300000001</v>
      </c>
      <c r="AX35" s="35">
        <f t="shared" si="14"/>
        <v>0.746</v>
      </c>
    </row>
    <row r="36" spans="1:50" x14ac:dyDescent="0.3">
      <c r="A36" s="23">
        <v>44681</v>
      </c>
      <c r="B36" s="40">
        <v>27</v>
      </c>
      <c r="C36" s="24">
        <v>7956030</v>
      </c>
      <c r="D36" s="24">
        <v>18564890</v>
      </c>
      <c r="E36" s="24">
        <v>3201530</v>
      </c>
      <c r="F36" s="24">
        <v>4006030</v>
      </c>
      <c r="G36" s="24">
        <v>11913290</v>
      </c>
      <c r="H36" s="24">
        <v>6787870</v>
      </c>
      <c r="I36" s="24">
        <v>5951340</v>
      </c>
      <c r="J36" s="52">
        <v>7335500</v>
      </c>
      <c r="K36" s="24">
        <v>10879590</v>
      </c>
      <c r="L36" s="24">
        <v>4674760</v>
      </c>
      <c r="M36" s="24">
        <v>8915390</v>
      </c>
      <c r="N36" s="24">
        <v>14369050</v>
      </c>
      <c r="O36" s="24">
        <v>20090400</v>
      </c>
      <c r="Q36" s="37">
        <f t="shared" ref="Q36:AA36" si="35">IF((C36-C35&lt;0), "0",C36-C35)</f>
        <v>19450</v>
      </c>
      <c r="R36" s="37">
        <f t="shared" si="18"/>
        <v>2970</v>
      </c>
      <c r="S36" s="37">
        <f t="shared" si="35"/>
        <v>0</v>
      </c>
      <c r="T36" s="37">
        <f t="shared" si="35"/>
        <v>1960</v>
      </c>
      <c r="U36" s="37">
        <f t="shared" si="35"/>
        <v>6590</v>
      </c>
      <c r="V36" s="37">
        <f t="shared" si="35"/>
        <v>6070</v>
      </c>
      <c r="W36" s="37">
        <f t="shared" si="35"/>
        <v>6160</v>
      </c>
      <c r="X36" s="37">
        <f t="shared" si="23"/>
        <v>5420</v>
      </c>
      <c r="Y36" s="37">
        <f t="shared" si="35"/>
        <v>5610</v>
      </c>
      <c r="Z36" s="37">
        <f t="shared" si="35"/>
        <v>3840</v>
      </c>
      <c r="AA36" s="37">
        <f t="shared" si="35"/>
        <v>4140</v>
      </c>
      <c r="AB36" s="37">
        <f t="shared" si="27"/>
        <v>10180</v>
      </c>
      <c r="AC36" s="37">
        <f t="shared" si="28"/>
        <v>17570</v>
      </c>
      <c r="AD36" s="35">
        <f t="shared" si="29"/>
        <v>89960</v>
      </c>
      <c r="AF36" s="20">
        <f t="shared" si="1"/>
        <v>97.25</v>
      </c>
      <c r="AG36" s="20">
        <f t="shared" si="2"/>
        <v>14.85</v>
      </c>
      <c r="AH36" s="20">
        <f t="shared" si="3"/>
        <v>0</v>
      </c>
      <c r="AI36" s="20">
        <f t="shared" si="4"/>
        <v>9.8000000000000007</v>
      </c>
      <c r="AJ36" s="20">
        <f t="shared" si="5"/>
        <v>32.950000000000003</v>
      </c>
      <c r="AK36" s="20">
        <f t="shared" si="6"/>
        <v>30.35</v>
      </c>
      <c r="AL36" s="20">
        <f t="shared" si="7"/>
        <v>30.8</v>
      </c>
      <c r="AM36" s="20">
        <f t="shared" si="8"/>
        <v>27.1</v>
      </c>
      <c r="AN36" s="20">
        <f t="shared" si="9"/>
        <v>28.05</v>
      </c>
      <c r="AO36" s="20">
        <f t="shared" si="10"/>
        <v>19.2</v>
      </c>
      <c r="AP36" s="20">
        <f t="shared" si="11"/>
        <v>20.7</v>
      </c>
      <c r="AQ36" s="20">
        <f t="shared" si="12"/>
        <v>50.9</v>
      </c>
      <c r="AR36" s="20">
        <f t="shared" si="13"/>
        <v>87.850000000000009</v>
      </c>
      <c r="AS36" s="35">
        <f>SUM(AF36:AR36)</f>
        <v>449.79999999999995</v>
      </c>
      <c r="AU36" s="47">
        <v>663505</v>
      </c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3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 t="str">
        <f t="shared" ref="Q37" si="37">IF((C37-C36&lt;0), "0",C37-C36)</f>
        <v>0</v>
      </c>
      <c r="R37" s="37" t="str">
        <f t="shared" si="18"/>
        <v>0</v>
      </c>
      <c r="S37" s="37" t="str">
        <f t="shared" ref="S37" si="38">IF((E37-E36&lt;0), "0",E37-E36)</f>
        <v>0</v>
      </c>
      <c r="T37" s="37" t="str">
        <f t="shared" ref="T37" si="39">IF((F37-F36&lt;0), "0",F37-F36)</f>
        <v>0</v>
      </c>
      <c r="U37" s="37" t="str">
        <f t="shared" ref="U37" si="40">IF((G37-G36&lt;0), "0",G37-G36)</f>
        <v>0</v>
      </c>
      <c r="V37" s="37" t="str">
        <f t="shared" ref="V37" si="41">IF((H37-H36&lt;0), "0",H37-H36)</f>
        <v>0</v>
      </c>
      <c r="W37" s="37" t="str">
        <f t="shared" ref="W37" si="42">IF((I37-I36&lt;0), "0",I37-I36)</f>
        <v>0</v>
      </c>
      <c r="X37" s="37" t="str">
        <f t="shared" si="23"/>
        <v>0</v>
      </c>
      <c r="Y37" s="37" t="str">
        <f t="shared" ref="Y37" si="43">IF((K37-K36&lt;0), "0",K37-K36)</f>
        <v>0</v>
      </c>
      <c r="Z37" s="37" t="str">
        <f t="shared" ref="Z37" si="44">IF((L37-L36&lt;0), "0",L37-L36)</f>
        <v>0</v>
      </c>
      <c r="AA37" s="37" t="str">
        <f t="shared" ref="AA37" si="45">IF((M37-M36&lt;0), "0",M37-M36)</f>
        <v>0</v>
      </c>
      <c r="AB37" s="37" t="str">
        <f t="shared" si="27"/>
        <v>0</v>
      </c>
      <c r="AC37" s="37" t="str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47"/>
      <c r="AV37" s="37" t="str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3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129420</v>
      </c>
      <c r="R38" s="38">
        <f t="shared" ref="R38:AD38" si="60">SUM(R7:R37)</f>
        <v>279440</v>
      </c>
      <c r="S38" s="38">
        <f t="shared" si="60"/>
        <v>720</v>
      </c>
      <c r="T38" s="38">
        <f t="shared" si="60"/>
        <v>44990</v>
      </c>
      <c r="U38" s="38">
        <f t="shared" si="60"/>
        <v>137400</v>
      </c>
      <c r="V38" s="38">
        <f t="shared" si="60"/>
        <v>116740</v>
      </c>
      <c r="W38" s="38">
        <f t="shared" si="60"/>
        <v>132350</v>
      </c>
      <c r="X38" s="38">
        <f t="shared" si="60"/>
        <v>109190</v>
      </c>
      <c r="Y38" s="38">
        <f t="shared" si="60"/>
        <v>113570</v>
      </c>
      <c r="Z38" s="38">
        <f t="shared" si="60"/>
        <v>72230</v>
      </c>
      <c r="AA38" s="38">
        <f t="shared" si="60"/>
        <v>82290</v>
      </c>
      <c r="AB38" s="38">
        <f t="shared" si="60"/>
        <v>207020</v>
      </c>
      <c r="AC38" s="38">
        <f t="shared" si="60"/>
        <v>308610</v>
      </c>
      <c r="AD38" s="38">
        <f t="shared" si="60"/>
        <v>1733970</v>
      </c>
      <c r="AF38" s="35">
        <f>SUM(AF7:AF37)</f>
        <v>647.09999999999991</v>
      </c>
      <c r="AG38" s="35">
        <f t="shared" ref="AG38:AS38" si="61">SUM(AG7:AG37)</f>
        <v>1397.1999999999996</v>
      </c>
      <c r="AH38" s="35">
        <f t="shared" si="61"/>
        <v>3.5999999999999996</v>
      </c>
      <c r="AI38" s="35">
        <f t="shared" si="61"/>
        <v>224.95000000000002</v>
      </c>
      <c r="AJ38" s="35">
        <f t="shared" si="61"/>
        <v>687</v>
      </c>
      <c r="AK38" s="35">
        <f t="shared" si="61"/>
        <v>583.70000000000005</v>
      </c>
      <c r="AL38" s="35">
        <f t="shared" si="61"/>
        <v>661.75</v>
      </c>
      <c r="AM38" s="35">
        <f t="shared" si="61"/>
        <v>545.95000000000005</v>
      </c>
      <c r="AN38" s="35">
        <f t="shared" si="61"/>
        <v>567.85</v>
      </c>
      <c r="AO38" s="35">
        <f t="shared" si="61"/>
        <v>361.15000000000003</v>
      </c>
      <c r="AP38" s="35">
        <f t="shared" si="61"/>
        <v>411.45000000000005</v>
      </c>
      <c r="AQ38" s="35">
        <f t="shared" si="61"/>
        <v>1035.1000000000001</v>
      </c>
      <c r="AR38" s="35">
        <f t="shared" si="61"/>
        <v>1543.0500000000002</v>
      </c>
      <c r="AS38" s="35">
        <f t="shared" si="61"/>
        <v>8669.8499999999967</v>
      </c>
      <c r="AU38" s="48"/>
      <c r="AV38" s="34">
        <f>SUM(AV7:AV37)</f>
        <v>46113</v>
      </c>
      <c r="AW38" s="34">
        <f>SUM(AW7:AW37)</f>
        <v>17455.661132999998</v>
      </c>
      <c r="AX38" s="35">
        <f>SUM(AX7:AX37)</f>
        <v>92.225999999999971</v>
      </c>
    </row>
    <row r="39" spans="1:50" x14ac:dyDescent="0.3">
      <c r="B39" s="39">
        <f>SUM(B7:B36)</f>
        <v>1333</v>
      </c>
      <c r="D39">
        <v>5.0000000000000001E-3</v>
      </c>
      <c r="AV39" s="36"/>
      <c r="AW39" s="54">
        <f>AW38/31</f>
        <v>563.08584299999995</v>
      </c>
    </row>
    <row r="40" spans="1:50" x14ac:dyDescent="0.3">
      <c r="D40">
        <v>2E-3</v>
      </c>
    </row>
    <row r="44" spans="1:50" x14ac:dyDescent="0.3">
      <c r="AU44" s="46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F12:F13 E3:E11" xr:uid="{00000000-0002-0000-0200-000000000000}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Joe Khoury</cp:lastModifiedBy>
  <cp:lastPrinted>2019-07-02T08:10:14Z</cp:lastPrinted>
  <dcterms:created xsi:type="dcterms:W3CDTF">2017-05-22T13:08:25Z</dcterms:created>
  <dcterms:modified xsi:type="dcterms:W3CDTF">2022-06-14T08:50:17Z</dcterms:modified>
</cp:coreProperties>
</file>