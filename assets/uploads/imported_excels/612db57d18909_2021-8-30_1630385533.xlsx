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J29" i="2" l="1"/>
  <c r="I29" i="2"/>
  <c r="H29" i="2"/>
  <c r="F29" i="2"/>
  <c r="E29" i="2"/>
  <c r="L22" i="3" l="1"/>
  <c r="K22" i="3"/>
  <c r="I22" i="3"/>
  <c r="G22" i="3"/>
  <c r="E22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B39" i="5" l="1"/>
  <c r="C39" i="5"/>
  <c r="D39" i="5"/>
  <c r="E39" i="5"/>
  <c r="F39" i="5"/>
  <c r="G39" i="5"/>
  <c r="H39" i="5"/>
  <c r="I39" i="5"/>
  <c r="J39" i="5"/>
  <c r="B32" i="3"/>
  <c r="B32" i="2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<sst xmlns="http://schemas.openxmlformats.org/spreadsheetml/2006/main" count="107" uniqueCount="38">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</sst>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topLeftCell="A13" workbookViewId="0">
      <selection activeCell="O36" sqref="O3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7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8890</v>
      </c>
      <c r="F17" s="16">
        <v>0.11799999999999999</v>
      </c>
      <c r="G17" s="18">
        <f>'8 - 2021'!D23-'8 - 2021'!D22+'8 - 2021'!E23-'8 - 2021'!E22</f>
        <v>23.219999999999345</v>
      </c>
      <c r="H17" s="16">
        <v>0.99</v>
      </c>
      <c r="I17" s="18">
        <f>'8 - 2021'!J23-'8 - 2021'!J22</f>
        <v>41000</v>
      </c>
      <c r="J17" s="16">
        <v>8.1000000000000003E-2</v>
      </c>
      <c r="K17" s="34">
        <f>'8 - 2021'!H23-'8 - 2021'!H22</f>
        <v>0</v>
      </c>
      <c r="L17" s="18">
        <f>'8 - 2021'!I23-'8 - 2021'!I22</f>
        <v>93</v>
      </c>
      <c r="M17" s="17">
        <v>4.393629424766913</v>
      </c>
      <c r="N17" s="18">
        <v>25</v>
      </c>
      <c r="O17" s="16"/>
    </row>
    <row r="18" spans="1:17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9293</v>
      </c>
      <c r="F18" s="16">
        <v>0.11799999999999999</v>
      </c>
      <c r="G18" s="18">
        <f>'8 - 2021'!D24-'8 - 2021'!D23+'8 - 2021'!E24-'8 - 2021'!E23</f>
        <v>20.590000000000146</v>
      </c>
      <c r="H18" s="16">
        <v>0.99</v>
      </c>
      <c r="I18" s="18">
        <f>'8 - 2021'!J24-'8 - 2021'!J23</f>
        <v>43028</v>
      </c>
      <c r="J18" s="16">
        <v>8.1000000000000003E-2</v>
      </c>
      <c r="K18" s="34">
        <f>'8 - 2021'!H24-'8 - 2021'!H23</f>
        <v>0</v>
      </c>
      <c r="L18" s="18">
        <f>'8 - 2021'!I24-'8 - 2021'!I23</f>
        <v>84</v>
      </c>
      <c r="M18" s="17">
        <v>4.393629424766913</v>
      </c>
      <c r="N18" s="18">
        <v>22</v>
      </c>
      <c r="Q18" s="16"/>
    </row>
    <row r="19" spans="1:17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9597.5300000000279</v>
      </c>
      <c r="F19" s="16">
        <v>0.11799999999999999</v>
      </c>
      <c r="G19" s="18">
        <f>'8 - 2021'!D25-'8 - 2021'!D24+'8 - 2021'!E25-'8 - 2021'!E24</f>
        <v>21.940000000000509</v>
      </c>
      <c r="H19" s="16">
        <v>0.99</v>
      </c>
      <c r="I19" s="18">
        <f>'8 - 2021'!J25-'8 - 2021'!J24</f>
        <v>38616</v>
      </c>
      <c r="J19" s="16">
        <v>8.1000000000000003E-2</v>
      </c>
      <c r="K19" s="34">
        <f>'8 - 2021'!H25-'8 - 2021'!H24</f>
        <v>0</v>
      </c>
      <c r="L19" s="18">
        <f>'8 - 2021'!I25-'8 - 2021'!I24</f>
        <v>92</v>
      </c>
      <c r="M19" s="17">
        <v>4.393629424766913</v>
      </c>
      <c r="N19" s="29">
        <v>31</v>
      </c>
    </row>
    <row r="20" spans="1:17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9349.4000000000233</v>
      </c>
      <c r="F20" s="16">
        <v>0.11799999999999999</v>
      </c>
      <c r="G20" s="18">
        <f>'8 - 2021'!D26-'8 - 2021'!D25+'8 - 2021'!E26-'8 - 2021'!E25</f>
        <v>21.929999999999382</v>
      </c>
      <c r="H20" s="16">
        <v>0.99</v>
      </c>
      <c r="I20" s="18">
        <f>'8 - 2021'!J26-'8 - 2021'!J25</f>
        <v>37716</v>
      </c>
      <c r="J20" s="16">
        <v>8.1000000000000003E-2</v>
      </c>
      <c r="K20" s="34">
        <f>'8 - 2021'!H26-'8 - 2021'!H25</f>
        <v>0</v>
      </c>
      <c r="L20" s="18">
        <f>'8 - 2021'!I26-'8 - 2021'!I25</f>
        <v>97</v>
      </c>
      <c r="M20" s="17">
        <v>4.393629424766913</v>
      </c>
      <c r="N20" s="18">
        <v>27</v>
      </c>
    </row>
    <row r="21" spans="1:17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9396.3699999999953</v>
      </c>
      <c r="F21" s="16">
        <v>0.11799999999999999</v>
      </c>
      <c r="G21" s="18">
        <f>'8 - 2021'!D27-'8 - 2021'!D26+'8 - 2021'!E27-'8 - 2021'!E26</f>
        <v>20.899999999999636</v>
      </c>
      <c r="H21" s="16">
        <v>0.99</v>
      </c>
      <c r="I21" s="18">
        <f>'8 - 2021'!J27-'8 - 2021'!J26</f>
        <v>36100</v>
      </c>
      <c r="J21" s="16">
        <v>8.1000000000000003E-2</v>
      </c>
      <c r="K21" s="34">
        <f>'8 - 2021'!H27-'8 - 2021'!H26</f>
        <v>0</v>
      </c>
      <c r="L21" s="18">
        <f>'8 - 2021'!I27-'8 - 2021'!I26</f>
        <v>93</v>
      </c>
      <c r="M21" s="17">
        <v>4.393629424766913</v>
      </c>
      <c r="N21" s="18">
        <v>26</v>
      </c>
    </row>
    <row r="22" spans="1:17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9336.1999999999534</v>
      </c>
      <c r="F22" s="16">
        <v>0.11799999999999999</v>
      </c>
      <c r="G22" s="18">
        <f>'8 - 2021'!D28-'8 - 2021'!D27+'8 - 2021'!E28-'8 - 2021'!E27</f>
        <v>20.139999999999418</v>
      </c>
      <c r="H22" s="16">
        <v>0.99</v>
      </c>
      <c r="I22" s="18">
        <f>'8 - 2021'!J28-'8 - 2021'!J27</f>
        <v>35190</v>
      </c>
      <c r="J22" s="16">
        <v>8.1000000000000003E-2</v>
      </c>
      <c r="K22" s="34">
        <f>'8 - 2021'!H28-'8 - 2021'!H27</f>
        <v>0</v>
      </c>
      <c r="L22" s="18">
        <f>'8 - 2021'!I28-'8 - 2021'!I27</f>
        <v>90</v>
      </c>
      <c r="M22" s="17">
        <v>4.393629424766913</v>
      </c>
      <c r="N22" s="18">
        <v>30</v>
      </c>
    </row>
    <row r="23" spans="1:17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9427.9000000000233</v>
      </c>
      <c r="F23" s="16">
        <v>0.11799999999999999</v>
      </c>
      <c r="G23" s="18">
        <f>'8 - 2021'!D29-'8 - 2021'!D28+'8 - 2021'!E29-'8 - 2021'!E28</f>
        <v>20.110000000000582</v>
      </c>
      <c r="H23" s="16">
        <v>0.99</v>
      </c>
      <c r="I23" s="18">
        <f>'8 - 2021'!J29-'8 - 2021'!J28</f>
        <v>36561</v>
      </c>
      <c r="J23" s="16">
        <v>8.1000000000000003E-2</v>
      </c>
      <c r="K23" s="34">
        <f>'8 - 2021'!H29-'8 - 2021'!H28</f>
        <v>0</v>
      </c>
      <c r="L23" s="18">
        <f>'8 - 2021'!I29-'8 - 2021'!I28</f>
        <v>96</v>
      </c>
      <c r="M23" s="17">
        <v>4.393629424766913</v>
      </c>
      <c r="N23" s="18">
        <v>31</v>
      </c>
    </row>
    <row r="24" spans="1:17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9121.9000000000233</v>
      </c>
      <c r="F24" s="16">
        <v>0.11799999999999999</v>
      </c>
      <c r="G24" s="18">
        <f>'8 - 2021'!D30-'8 - 2021'!D29+'8 - 2021'!E30-'8 - 2021'!E29</f>
        <v>21.3799999999992</v>
      </c>
      <c r="H24" s="16">
        <v>0.99</v>
      </c>
      <c r="I24" s="18">
        <f>'8 - 2021'!J30-'8 - 2021'!J29</f>
        <v>36389</v>
      </c>
      <c r="J24" s="16">
        <v>8.1000000000000003E-2</v>
      </c>
      <c r="K24" s="34">
        <f>'8 - 2021'!H30-'8 - 2021'!H29</f>
        <v>0</v>
      </c>
      <c r="L24" s="18">
        <f>'8 - 2021'!I30-'8 - 2021'!I29</f>
        <v>87</v>
      </c>
      <c r="M24" s="17">
        <v>4.393629424766913</v>
      </c>
      <c r="N24" s="18">
        <v>29</v>
      </c>
    </row>
    <row r="25" spans="1:17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9386.0999999999767</v>
      </c>
      <c r="F25" s="16">
        <v>0.11799999999999999</v>
      </c>
      <c r="G25" s="18">
        <f>'8 - 2021'!D31-'8 - 2021'!D30+'8 - 2021'!E31-'8 - 2021'!E30</f>
        <v>22.419999999999163</v>
      </c>
      <c r="H25" s="16">
        <v>0.99</v>
      </c>
      <c r="I25" s="18">
        <f>'8 - 2021'!J31-'8 - 2021'!J30</f>
        <v>37370</v>
      </c>
      <c r="J25" s="16">
        <v>8.1000000000000003E-2</v>
      </c>
      <c r="K25" s="34">
        <f>'8 - 2021'!H31-'8 - 2021'!H30</f>
        <v>0</v>
      </c>
      <c r="L25" s="18">
        <f>'8 - 2021'!I31-'8 - 2021'!I30</f>
        <v>84</v>
      </c>
      <c r="M25" s="17">
        <v>4.393629424766913</v>
      </c>
      <c r="N25" s="18">
        <v>27</v>
      </c>
      <c r="P25" s="14"/>
    </row>
    <row r="26" spans="1:17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9156.2999999999302</v>
      </c>
      <c r="F26" s="16">
        <v>0.11799999999999999</v>
      </c>
      <c r="G26" s="18">
        <f>'8 - 2021'!D32-'8 - 2021'!D31+'8 - 2021'!E32-'8 - 2021'!E31</f>
        <v>24.140000000000327</v>
      </c>
      <c r="H26" s="16">
        <v>0.99</v>
      </c>
      <c r="I26" s="18">
        <f>'8 - 2021'!J32-'8 - 2021'!J31</f>
        <v>35745</v>
      </c>
      <c r="J26" s="16">
        <v>8.1000000000000003E-2</v>
      </c>
      <c r="K26" s="34">
        <f>'8 - 2021'!H32-'8 - 2021'!H31</f>
        <v>0</v>
      </c>
      <c r="L26" s="18">
        <f>'8 - 2021'!I32-'8 - 2021'!I31</f>
        <v>91</v>
      </c>
      <c r="M26" s="17">
        <v>4.393629424766913</v>
      </c>
      <c r="N26" s="29">
        <v>26</v>
      </c>
    </row>
    <row r="27" spans="1:17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9506.3000000000466</v>
      </c>
      <c r="F27" s="16">
        <v>0.11799999999999999</v>
      </c>
      <c r="G27" s="18">
        <f>'8 - 2021'!D33-'8 - 2021'!D32+'8 - 2021'!E33-'8 - 2021'!E32</f>
        <v>23.909999999999854</v>
      </c>
      <c r="H27" s="16">
        <v>0.99</v>
      </c>
      <c r="I27" s="18">
        <f>'8 - 2021'!J33-'8 - 2021'!J32</f>
        <v>38376</v>
      </c>
      <c r="J27" s="16">
        <v>8.1000000000000003E-2</v>
      </c>
      <c r="K27" s="34">
        <f>'8 - 2021'!H33-'8 - 2021'!H32</f>
        <v>0</v>
      </c>
      <c r="L27" s="18">
        <f>'8 - 2021'!I33-'8 - 2021'!I32</f>
        <v>163</v>
      </c>
      <c r="M27" s="17">
        <v>4.393629424766913</v>
      </c>
      <c r="N27" s="29">
        <v>34</v>
      </c>
    </row>
    <row r="28" spans="1:17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9355</v>
      </c>
      <c r="F28" s="16">
        <v>0.11799999999999999</v>
      </c>
      <c r="G28" s="18">
        <f>'8 - 2021'!D34-'8 - 2021'!D33+'8 - 2021'!E34-'8 - 2021'!E33</f>
        <v>22.510000000000218</v>
      </c>
      <c r="H28" s="16">
        <v>0.99</v>
      </c>
      <c r="I28" s="18">
        <f>'8 - 2021'!J34-'8 - 2021'!J33</f>
        <v>41365</v>
      </c>
      <c r="J28" s="16">
        <v>8.1000000000000003E-2</v>
      </c>
      <c r="K28" s="34">
        <f>'8 - 2021'!H34-'8 - 2021'!H33</f>
        <v>0</v>
      </c>
      <c r="L28" s="18">
        <f>'8 - 2021'!I34-'8 - 2021'!I33</f>
        <v>98</v>
      </c>
      <c r="M28" s="17">
        <v>4.393629424766913</v>
      </c>
      <c r="N28" s="29">
        <v>48</v>
      </c>
    </row>
    <row r="29" spans="1:17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9551</v>
      </c>
      <c r="F29" s="16">
        <v>0.11799999999999999</v>
      </c>
      <c r="G29" s="18">
        <f>'8 - 2021'!D35-'8 - 2021'!D34+'8 - 2021'!E35-'8 - 2021'!E34</f>
        <v>21.320000000000618</v>
      </c>
      <c r="H29" s="16">
        <v>0.99</v>
      </c>
      <c r="I29" s="18">
        <f>'8 - 2021'!J35-'8 - 2021'!J34</f>
        <v>39146</v>
      </c>
      <c r="J29" s="16">
        <v>8.1000000000000003E-2</v>
      </c>
      <c r="K29" s="34">
        <f>'8 - 2021'!H35-'8 - 2021'!H34</f>
        <v>0</v>
      </c>
      <c r="L29" s="18">
        <f>'8 - 2021'!I35-'8 - 2021'!I34</f>
        <v>104</v>
      </c>
      <c r="M29" s="17">
        <v>4.393629424766913</v>
      </c>
      <c r="N29" s="29">
        <v>40</v>
      </c>
    </row>
    <row r="30" spans="1:17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9382.5999999999767</v>
      </c>
      <c r="F30" s="16">
        <v>0.11799999999999999</v>
      </c>
      <c r="G30" s="18">
        <f>'8 - 2021'!D36-'8 - 2021'!D35+'8 - 2021'!E36-'8 - 2021'!E35</f>
        <v>23.180000000000291</v>
      </c>
      <c r="H30" s="16">
        <v>0.99</v>
      </c>
      <c r="I30" s="18">
        <f>'8 - 2021'!J36-'8 - 2021'!J35</f>
        <v>33037</v>
      </c>
      <c r="J30" s="16">
        <v>8.1000000000000003E-2</v>
      </c>
      <c r="K30" s="34">
        <f>'8 - 2021'!H36-'8 - 2021'!H35</f>
        <v>0</v>
      </c>
      <c r="L30" s="18">
        <f>'8 - 2021'!I36-'8 - 2021'!I35</f>
        <v>96</v>
      </c>
      <c r="M30" s="17">
        <v>4.393629424766913</v>
      </c>
      <c r="N30" s="29">
        <v>35</v>
      </c>
    </row>
    <row r="31" spans="1:17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9288.4000000000233</v>
      </c>
      <c r="F31" s="16">
        <v>0.11799999999999999</v>
      </c>
      <c r="G31" s="18">
        <f>'8 - 2021'!D37-'8 - 2021'!D36+'8 - 2021'!E37-'8 - 2021'!E36</f>
        <v>21.340000000000146</v>
      </c>
      <c r="H31" s="16">
        <v>0.99</v>
      </c>
      <c r="I31" s="18">
        <f>'8 - 2021'!J37-'8 - 2021'!J36</f>
        <v>30570</v>
      </c>
      <c r="J31" s="16">
        <v>8.1000000000000003E-2</v>
      </c>
      <c r="K31" s="34">
        <f>'8 - 2021'!H37-'8 - 2021'!H36</f>
        <v>0</v>
      </c>
      <c r="L31" s="18">
        <f>'8 - 2021'!I37-'8 - 2021'!I36</f>
        <v>84</v>
      </c>
      <c r="M31" s="17">
        <v>4.393629424766913</v>
      </c>
      <c r="N31" s="30">
        <v>45</v>
      </c>
    </row>
    <row r="32" spans="1:17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9582.9000000000233</v>
      </c>
      <c r="F32" s="16">
        <v>0.11799999999999999</v>
      </c>
      <c r="G32" s="18">
        <f>'8 - 2021'!D38-'8 - 2021'!D37+'8 - 2021'!E38-'8 - 2021'!E37</f>
        <v>25.110000000000582</v>
      </c>
      <c r="H32" s="16">
        <v>0.99</v>
      </c>
      <c r="I32" s="18">
        <f>'8 - 2021'!J38-'8 - 2021'!J37</f>
        <v>32471</v>
      </c>
      <c r="J32" s="16">
        <v>8.1000000000000003E-2</v>
      </c>
      <c r="K32" s="34">
        <f>'8 - 2021'!H38-'8 - 2021'!H37</f>
        <v>0</v>
      </c>
      <c r="L32" s="18">
        <f>'8 - 2021'!I38-'8 - 2021'!I37</f>
        <v>88</v>
      </c>
      <c r="M32" s="17">
        <v>4.393629424766913</v>
      </c>
      <c r="N32" s="30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4" workbookViewId="0">
      <selection activeCell="K32" sqref="K3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3407</v>
      </c>
      <c r="F17" s="18">
        <f>'8 - 2021'!C23-'8 - 2021'!C22</f>
        <v>5483</v>
      </c>
      <c r="G17" s="16">
        <v>0.11799999999999999</v>
      </c>
      <c r="H17" s="18">
        <f>'8 - 2021'!E23-'8 - 2021'!E22</f>
        <v>23.279999999999745</v>
      </c>
      <c r="I17" s="18">
        <f>'8 - 2021'!F23-'8 - 2021'!F22</f>
        <v>5.7999999999999972</v>
      </c>
      <c r="J17" s="18">
        <f>'8 - 2021'!G23-'8 - 2021'!G22</f>
        <v>23.599999999998545</v>
      </c>
      <c r="K17" s="16">
        <v>0.74</v>
      </c>
      <c r="L17" s="18">
        <v>25</v>
      </c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3535</v>
      </c>
      <c r="F18" s="18">
        <f>'8 - 2021'!C24-'8 - 2021'!C23</f>
        <v>5758</v>
      </c>
      <c r="G18" s="16">
        <v>0.11799999999999999</v>
      </c>
      <c r="H18" s="18">
        <f>'8 - 2021'!E24-'8 - 2021'!E23</f>
        <v>20.670000000000073</v>
      </c>
      <c r="I18" s="18">
        <f>'8 - 2021'!F24-'8 - 2021'!F23</f>
        <v>6.7800000000000011</v>
      </c>
      <c r="J18" s="18">
        <f>'8 - 2021'!G24-'8 - 2021'!G23</f>
        <v>22</v>
      </c>
      <c r="K18" s="16">
        <v>0.74</v>
      </c>
      <c r="L18" s="18">
        <v>22</v>
      </c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3733.5300000000279</v>
      </c>
      <c r="F19" s="18">
        <f>'8 - 2021'!C25-'8 - 2021'!C24</f>
        <v>5864</v>
      </c>
      <c r="G19" s="16">
        <v>0.11799999999999999</v>
      </c>
      <c r="H19" s="18">
        <f>'8 - 2021'!E25-'8 - 2021'!E24</f>
        <v>22.020000000000437</v>
      </c>
      <c r="I19" s="18">
        <f>'8 - 2021'!F25-'8 - 2021'!F24</f>
        <v>7.2099999999999937</v>
      </c>
      <c r="J19" s="18">
        <f>'8 - 2021'!G25-'8 - 2021'!G24</f>
        <v>25.639999999999418</v>
      </c>
      <c r="K19" s="16">
        <v>0.74</v>
      </c>
      <c r="L19" s="18">
        <v>31</v>
      </c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3683.4000000000233</v>
      </c>
      <c r="F20" s="18">
        <f>'8 - 2021'!C26-'8 - 2021'!C25</f>
        <v>5666</v>
      </c>
      <c r="G20" s="16">
        <v>0.11799999999999999</v>
      </c>
      <c r="H20" s="18">
        <f>'8 - 2021'!E26-'8 - 2021'!E25</f>
        <v>21.989999999999782</v>
      </c>
      <c r="I20" s="18">
        <f>'8 - 2021'!F26-'8 - 2021'!F25</f>
        <v>6.1299999999999955</v>
      </c>
      <c r="J20" s="18">
        <f>'8 - 2021'!G26-'8 - 2021'!G25</f>
        <v>27.139999999999418</v>
      </c>
      <c r="K20" s="16">
        <v>0.74</v>
      </c>
      <c r="L20" s="6">
        <v>27</v>
      </c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45">
        <f>'8 - 2021'!B27-'8 - 2021'!B26</f>
        <v>3666.3699999999953</v>
      </c>
      <c r="F21" s="18">
        <f>'8 - 2021'!C27-'8 - 2021'!C26</f>
        <v>5730</v>
      </c>
      <c r="G21" s="16">
        <v>0.11799999999999999</v>
      </c>
      <c r="H21" s="18">
        <f>'8 - 2021'!E27-'8 - 2021'!E26</f>
        <v>20.949999999999818</v>
      </c>
      <c r="I21" s="18">
        <f>'8 - 2021'!F27-'8 - 2021'!F26</f>
        <v>6.2199999999999989</v>
      </c>
      <c r="J21" s="18">
        <f>'8 - 2021'!G27-'8 - 2021'!G26</f>
        <v>26.990000000001601</v>
      </c>
      <c r="K21" s="16">
        <v>0.74</v>
      </c>
      <c r="L21" s="6">
        <v>26</v>
      </c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45">
        <f>'8 - 2021'!B28-'8 - 2021'!B27</f>
        <v>3666.1999999999534</v>
      </c>
      <c r="F22" s="18">
        <f>'8 - 2021'!C28-'8 - 2021'!C27</f>
        <v>5670</v>
      </c>
      <c r="G22" s="16">
        <v>0.11799999999999999</v>
      </c>
      <c r="H22" s="18">
        <f>'8 - 2021'!E28-'8 - 2021'!E27</f>
        <v>20.199999999999818</v>
      </c>
      <c r="I22" s="18">
        <f>'8 - 2021'!F28-'8 - 2021'!F27</f>
        <v>6.210000000000008</v>
      </c>
      <c r="J22" s="18">
        <f>'8 - 2021'!G28-'8 - 2021'!G27</f>
        <v>26</v>
      </c>
      <c r="K22" s="16">
        <v>0.74</v>
      </c>
      <c r="L22" s="18">
        <v>30</v>
      </c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3724.9000000000233</v>
      </c>
      <c r="F23" s="18">
        <f>'8 - 2021'!C29-'8 - 2021'!C28</f>
        <v>5703</v>
      </c>
      <c r="G23" s="16">
        <v>0.11799999999999999</v>
      </c>
      <c r="H23" s="18">
        <f>'8 - 2021'!E29-'8 - 2021'!E28</f>
        <v>19.540000000000873</v>
      </c>
      <c r="I23" s="18">
        <f>'8 - 2021'!F29-'8 - 2021'!F28</f>
        <v>6.1500000000000057</v>
      </c>
      <c r="J23" s="18">
        <f>'8 - 2021'!G29-'8 - 2021'!G28</f>
        <v>28.06000000000131</v>
      </c>
      <c r="K23" s="16">
        <v>0.74</v>
      </c>
      <c r="L23" s="18">
        <v>31</v>
      </c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3587.9000000000233</v>
      </c>
      <c r="F24" s="18">
        <f>'8 - 2021'!C30-'8 - 2021'!C29</f>
        <v>5534</v>
      </c>
      <c r="G24" s="16">
        <v>0.11799999999999999</v>
      </c>
      <c r="H24" s="18">
        <f>'8 - 2021'!E30-'8 - 2021'!E29</f>
        <v>21.4399999999996</v>
      </c>
      <c r="I24" s="18">
        <f>'8 - 2021'!F30-'8 - 2021'!F29</f>
        <v>5.9099999999999966</v>
      </c>
      <c r="J24" s="18">
        <f>'8 - 2021'!G30-'8 - 2021'!G29</f>
        <v>28.809999999997672</v>
      </c>
      <c r="K24" s="16">
        <v>0.74</v>
      </c>
      <c r="L24" s="18">
        <v>29</v>
      </c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45">
        <f>'8 - 2021'!B31-'8 - 2021'!B30</f>
        <v>3677.0999999999767</v>
      </c>
      <c r="F25" s="18">
        <f>'8 - 2021'!C31-'8 - 2021'!C30</f>
        <v>5709</v>
      </c>
      <c r="G25" s="16">
        <v>0.11799999999999999</v>
      </c>
      <c r="H25" s="18">
        <f>'8 - 2021'!E31-'8 - 2021'!E30</f>
        <v>22.479999999999563</v>
      </c>
      <c r="I25" s="18">
        <f>'8 - 2021'!F31-'8 - 2021'!F30</f>
        <v>5.789999999999992</v>
      </c>
      <c r="J25" s="18">
        <f>'8 - 2021'!G31-'8 - 2021'!G30</f>
        <v>28.159999999999854</v>
      </c>
      <c r="K25" s="16">
        <v>0.74</v>
      </c>
      <c r="L25" s="6">
        <v>27</v>
      </c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45">
        <f>'8 - 2021'!B32-'8 - 2021'!B31</f>
        <v>3484.2999999999302</v>
      </c>
      <c r="F26" s="18">
        <f>'8 - 2021'!C32-'8 - 2021'!C31</f>
        <v>5672</v>
      </c>
      <c r="G26" s="16">
        <v>0.11799999999999999</v>
      </c>
      <c r="H26" s="18">
        <f>'8 - 2021'!E32-'8 - 2021'!E31</f>
        <v>24.210000000000036</v>
      </c>
      <c r="I26" s="18">
        <f>'8 - 2021'!F32-'8 - 2021'!F31</f>
        <v>8.3100000000000023</v>
      </c>
      <c r="J26" s="18">
        <f>'8 - 2021'!G32-'8 - 2021'!G31</f>
        <v>30.200000000000728</v>
      </c>
      <c r="K26" s="16">
        <v>0.74</v>
      </c>
      <c r="L26" s="6">
        <v>26</v>
      </c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45">
        <f>'8 - 2021'!B33-'8 - 2021'!B32</f>
        <v>3635.3000000000466</v>
      </c>
      <c r="F27" s="18">
        <f>'8 - 2021'!C33-'8 - 2021'!C32</f>
        <v>5871</v>
      </c>
      <c r="G27" s="16">
        <v>0.11799999999999999</v>
      </c>
      <c r="H27" s="18">
        <f>'8 - 2021'!E33-'8 - 2021'!E32</f>
        <v>23.970000000000255</v>
      </c>
      <c r="I27" s="18">
        <f>'8 - 2021'!F33-'8 - 2021'!F32</f>
        <v>6.7199999999999989</v>
      </c>
      <c r="J27" s="18">
        <f>'8 - 2021'!G33-'8 - 2021'!G32</f>
        <v>29.840000000000146</v>
      </c>
      <c r="K27" s="16">
        <v>0.74</v>
      </c>
      <c r="L27" s="18">
        <v>34</v>
      </c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45">
        <f>'8 - 2021'!B34-'8 - 2021'!B33</f>
        <v>3617</v>
      </c>
      <c r="F28" s="18">
        <f>'8 - 2021'!C34-'8 - 2021'!C33</f>
        <v>5738</v>
      </c>
      <c r="G28" s="16">
        <v>0.11799999999999999</v>
      </c>
      <c r="H28" s="18">
        <f>'8 - 2021'!E34-'8 - 2021'!E33</f>
        <v>22.579999999999927</v>
      </c>
      <c r="I28" s="18">
        <f>'8 - 2021'!F34-'8 - 2021'!F33</f>
        <v>5.960000000000008</v>
      </c>
      <c r="J28" s="18">
        <f>'8 - 2021'!G34-'8 - 2021'!G33</f>
        <v>30.580000000001746</v>
      </c>
      <c r="K28" s="16">
        <v>0.74</v>
      </c>
      <c r="L28" s="6">
        <v>48</v>
      </c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3753</v>
      </c>
      <c r="F29" s="18">
        <f>'8 - 2021'!C35-'8 - 2021'!C34</f>
        <v>5798</v>
      </c>
      <c r="G29" s="16">
        <v>0.11799999999999999</v>
      </c>
      <c r="H29" s="18">
        <f>'8 - 2021'!E35-'8 - 2021'!E34</f>
        <v>21.390000000000327</v>
      </c>
      <c r="I29" s="18">
        <f>'8 - 2021'!F35-'8 - 2021'!F34</f>
        <v>7.4300000000000068</v>
      </c>
      <c r="J29" s="18">
        <f>'8 - 2021'!G35-'8 - 2021'!G34</f>
        <v>30.759999999998399</v>
      </c>
      <c r="K29" s="16">
        <v>0.74</v>
      </c>
      <c r="L29" s="6">
        <v>40</v>
      </c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3599.5999999999767</v>
      </c>
      <c r="F30" s="18">
        <f>'8 - 2021'!C36-'8 - 2021'!C35</f>
        <v>5783</v>
      </c>
      <c r="G30" s="16">
        <v>0.11799999999999999</v>
      </c>
      <c r="H30" s="18">
        <f>'8 - 2021'!E36-'8 - 2021'!E35</f>
        <v>23.260000000000218</v>
      </c>
      <c r="I30" s="18">
        <f>'8 - 2021'!F36-'8 - 2021'!F35</f>
        <v>5.9899999999999807</v>
      </c>
      <c r="J30" s="18">
        <f>'8 - 2021'!G36-'8 - 2021'!G35</f>
        <v>29.959999999999127</v>
      </c>
      <c r="K30" s="16">
        <v>0.74</v>
      </c>
      <c r="L30" s="18">
        <v>35</v>
      </c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3622.4000000000233</v>
      </c>
      <c r="F31" s="18">
        <f>'8 - 2021'!C37-'8 - 2021'!C36</f>
        <v>5666</v>
      </c>
      <c r="G31" s="16">
        <v>0.11799999999999999</v>
      </c>
      <c r="H31" s="18">
        <f>'8 - 2021'!E37-'8 - 2021'!E36</f>
        <v>20.819999999999709</v>
      </c>
      <c r="I31" s="18">
        <f>'8 - 2021'!F37-'8 - 2021'!F36</f>
        <v>6.960000000000008</v>
      </c>
      <c r="J31" s="18">
        <f>'8 - 2021'!G37-'8 - 2021'!G36</f>
        <v>26.650000000001455</v>
      </c>
      <c r="K31" s="16">
        <v>0.74</v>
      </c>
      <c r="L31" s="18">
        <v>45</v>
      </c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3697.9000000000233</v>
      </c>
      <c r="F32" s="18">
        <f>'8 - 2021'!C38-'8 - 2021'!C37</f>
        <v>5885</v>
      </c>
      <c r="G32" s="16">
        <v>0.11799999999999999</v>
      </c>
      <c r="H32" s="18">
        <f>'8 - 2021'!E38-'8 - 2021'!E37</f>
        <v>25.180000000000291</v>
      </c>
      <c r="I32" s="18">
        <f>'8 - 2021'!F38-'8 - 2021'!F37</f>
        <v>7.1700000000000159</v>
      </c>
      <c r="J32" s="18">
        <f>'8 - 2021'!G38-'8 - 2021'!G37</f>
        <v>29.569999999999709</v>
      </c>
      <c r="K32" s="16">
        <v>0.74</v>
      </c>
      <c r="L32" s="18">
        <v>45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7" zoomScaleNormal="100" workbookViewId="0">
      <selection activeCell="L40" sqref="L40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92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>
        <v>993837</v>
      </c>
      <c r="C23" s="42">
        <v>257310</v>
      </c>
      <c r="D23" s="62">
        <v>0.56000000000000005</v>
      </c>
      <c r="E23" s="39">
        <v>4790.3999999999996</v>
      </c>
      <c r="F23" s="38">
        <v>120.42</v>
      </c>
      <c r="G23" s="39">
        <v>32042.41</v>
      </c>
      <c r="H23" s="63">
        <v>14528</v>
      </c>
      <c r="I23" s="42">
        <v>128033</v>
      </c>
      <c r="J23" s="42">
        <v>49325600</v>
      </c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>
        <v>997372</v>
      </c>
      <c r="C24" s="42">
        <v>263068</v>
      </c>
      <c r="D24" s="62">
        <v>0.48</v>
      </c>
      <c r="E24" s="39">
        <v>4811.07</v>
      </c>
      <c r="F24" s="38">
        <v>127.2</v>
      </c>
      <c r="G24" s="39">
        <v>32064.41</v>
      </c>
      <c r="H24" s="63">
        <v>14528</v>
      </c>
      <c r="I24" s="42">
        <v>128117</v>
      </c>
      <c r="J24" s="42">
        <v>49368628</v>
      </c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>
        <v>1001105.53</v>
      </c>
      <c r="C25" s="39">
        <v>268932</v>
      </c>
      <c r="D25" s="62">
        <v>0.4</v>
      </c>
      <c r="E25" s="39">
        <v>4833.09</v>
      </c>
      <c r="F25" s="38">
        <v>134.41</v>
      </c>
      <c r="G25" s="39">
        <v>32090.05</v>
      </c>
      <c r="H25" s="63">
        <v>14528</v>
      </c>
      <c r="I25" s="42">
        <v>128209</v>
      </c>
      <c r="J25" s="42">
        <v>49407244</v>
      </c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>
        <v>1004788.93</v>
      </c>
      <c r="C26" s="39">
        <v>274598</v>
      </c>
      <c r="D26" s="69">
        <v>0.34</v>
      </c>
      <c r="E26" s="39">
        <v>4855.08</v>
      </c>
      <c r="F26" s="38">
        <v>140.54</v>
      </c>
      <c r="G26" s="39">
        <v>32117.19</v>
      </c>
      <c r="H26" s="63">
        <v>14528</v>
      </c>
      <c r="I26" s="42">
        <v>128306</v>
      </c>
      <c r="J26" s="42">
        <v>49444960</v>
      </c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>
        <v>1008455.3</v>
      </c>
      <c r="C27" s="42">
        <v>280328</v>
      </c>
      <c r="D27" s="62">
        <v>0.28999999999999998</v>
      </c>
      <c r="E27" s="39">
        <v>4876.03</v>
      </c>
      <c r="F27" s="38">
        <v>146.76</v>
      </c>
      <c r="G27" s="39">
        <v>32144.18</v>
      </c>
      <c r="H27" s="63">
        <v>14528</v>
      </c>
      <c r="I27" s="42">
        <v>128399</v>
      </c>
      <c r="J27" s="42">
        <v>49481060</v>
      </c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>
        <v>1012121.5</v>
      </c>
      <c r="C28" s="42">
        <v>285998</v>
      </c>
      <c r="D28" s="62">
        <v>0.23</v>
      </c>
      <c r="E28" s="39">
        <v>4896.2299999999996</v>
      </c>
      <c r="F28" s="38">
        <v>152.97</v>
      </c>
      <c r="G28" s="39">
        <v>32170.18</v>
      </c>
      <c r="H28" s="63">
        <v>14528</v>
      </c>
      <c r="I28" s="42">
        <v>128489</v>
      </c>
      <c r="J28" s="42">
        <v>49516250</v>
      </c>
      <c r="K28" s="64">
        <v>4400</v>
      </c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>
        <v>1015846.4</v>
      </c>
      <c r="C29" s="42">
        <v>291701</v>
      </c>
      <c r="D29" s="62">
        <v>0.8</v>
      </c>
      <c r="E29" s="39">
        <v>4915.7700000000004</v>
      </c>
      <c r="F29" s="38">
        <v>159.12</v>
      </c>
      <c r="G29" s="39">
        <v>32198.240000000002</v>
      </c>
      <c r="H29" s="63">
        <v>14528</v>
      </c>
      <c r="I29" s="42">
        <v>128585</v>
      </c>
      <c r="J29" s="42">
        <v>49552811</v>
      </c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>
        <v>1019434.3</v>
      </c>
      <c r="C30" s="42">
        <v>297235</v>
      </c>
      <c r="D30" s="62">
        <v>0.74</v>
      </c>
      <c r="E30" s="39">
        <v>4937.21</v>
      </c>
      <c r="F30" s="38">
        <v>165.03</v>
      </c>
      <c r="G30" s="39">
        <v>32227.05</v>
      </c>
      <c r="H30" s="63">
        <v>14528</v>
      </c>
      <c r="I30" s="42">
        <v>128672</v>
      </c>
      <c r="J30" s="42">
        <v>49589200</v>
      </c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>
        <v>1023111.4</v>
      </c>
      <c r="C31" s="42">
        <v>302944</v>
      </c>
      <c r="D31" s="62">
        <v>0.68</v>
      </c>
      <c r="E31" s="39">
        <v>4959.6899999999996</v>
      </c>
      <c r="F31" s="38">
        <v>170.82</v>
      </c>
      <c r="G31" s="39">
        <v>32255.21</v>
      </c>
      <c r="H31" s="63">
        <v>14528</v>
      </c>
      <c r="I31" s="42">
        <v>128756</v>
      </c>
      <c r="J31" s="42">
        <v>49626570</v>
      </c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>
        <v>1026595.7</v>
      </c>
      <c r="C32" s="42">
        <v>308616</v>
      </c>
      <c r="D32" s="62">
        <v>0.61</v>
      </c>
      <c r="E32" s="39">
        <v>4983.8999999999996</v>
      </c>
      <c r="F32" s="38">
        <v>179.13</v>
      </c>
      <c r="G32" s="39">
        <v>32285.41</v>
      </c>
      <c r="H32" s="63">
        <v>14528</v>
      </c>
      <c r="I32" s="42">
        <v>128847</v>
      </c>
      <c r="J32" s="42">
        <v>49662315</v>
      </c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>
        <v>1030231</v>
      </c>
      <c r="C33" s="42">
        <v>314487</v>
      </c>
      <c r="D33" s="62">
        <v>0.55000000000000004</v>
      </c>
      <c r="E33" s="39">
        <v>5007.87</v>
      </c>
      <c r="F33" s="38">
        <v>185.85</v>
      </c>
      <c r="G33" s="39">
        <v>32315.25</v>
      </c>
      <c r="H33" s="63">
        <v>14528</v>
      </c>
      <c r="I33" s="42">
        <v>129010</v>
      </c>
      <c r="J33" s="42">
        <v>49700691</v>
      </c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>
        <v>1033848</v>
      </c>
      <c r="C34" s="42">
        <v>320225</v>
      </c>
      <c r="D34" s="69">
        <v>0.48</v>
      </c>
      <c r="E34" s="39">
        <v>5030.45</v>
      </c>
      <c r="F34" s="38">
        <v>191.81</v>
      </c>
      <c r="G34" s="39">
        <v>32345.83</v>
      </c>
      <c r="H34" s="63">
        <v>14528</v>
      </c>
      <c r="I34" s="39">
        <v>129108</v>
      </c>
      <c r="J34" s="39">
        <v>49742056</v>
      </c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>
        <v>1037601</v>
      </c>
      <c r="C35" s="78">
        <v>326023</v>
      </c>
      <c r="D35" s="62">
        <v>0.41</v>
      </c>
      <c r="E35" s="39">
        <v>5051.84</v>
      </c>
      <c r="F35" s="38">
        <v>199.24</v>
      </c>
      <c r="G35" s="38">
        <v>32376.59</v>
      </c>
      <c r="H35" s="63">
        <v>14528</v>
      </c>
      <c r="I35" s="63">
        <v>129212</v>
      </c>
      <c r="J35" s="63">
        <v>49781202</v>
      </c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>
        <v>1041200.6</v>
      </c>
      <c r="C36" s="78">
        <v>331806</v>
      </c>
      <c r="D36" s="62">
        <v>0.33</v>
      </c>
      <c r="E36" s="39">
        <v>5075.1000000000004</v>
      </c>
      <c r="F36" s="38">
        <v>205.23</v>
      </c>
      <c r="G36" s="38">
        <v>32406.55</v>
      </c>
      <c r="H36" s="63">
        <v>14528</v>
      </c>
      <c r="I36" s="63">
        <v>129308</v>
      </c>
      <c r="J36" s="63">
        <v>49814239</v>
      </c>
      <c r="K36" s="64"/>
      <c r="L36" s="76"/>
    </row>
    <row r="37" spans="1:16" s="79" customFormat="1" x14ac:dyDescent="0.25">
      <c r="A37" s="46">
        <f t="shared" si="0"/>
        <v>44438</v>
      </c>
      <c r="B37" s="63">
        <v>1044823</v>
      </c>
      <c r="C37" s="78">
        <v>337472</v>
      </c>
      <c r="D37" s="62">
        <v>0.85</v>
      </c>
      <c r="E37" s="39">
        <v>5095.92</v>
      </c>
      <c r="F37" s="38">
        <v>212.19</v>
      </c>
      <c r="G37" s="38">
        <v>32433.200000000001</v>
      </c>
      <c r="H37" s="63">
        <v>14528</v>
      </c>
      <c r="I37" s="63">
        <v>129392</v>
      </c>
      <c r="J37" s="63">
        <v>49844809</v>
      </c>
      <c r="K37" s="64">
        <v>4000</v>
      </c>
      <c r="L37" s="76"/>
    </row>
    <row r="38" spans="1:16" s="79" customFormat="1" ht="15.75" thickBot="1" x14ac:dyDescent="0.3">
      <c r="A38" s="47">
        <f t="shared" si="0"/>
        <v>44439</v>
      </c>
      <c r="B38" s="80">
        <v>1048520.9</v>
      </c>
      <c r="C38" s="81">
        <v>343357</v>
      </c>
      <c r="D38" s="82">
        <v>0.78</v>
      </c>
      <c r="E38" s="83">
        <v>5121.1000000000004</v>
      </c>
      <c r="F38" s="84">
        <v>219.36</v>
      </c>
      <c r="G38" s="84">
        <v>32462.77</v>
      </c>
      <c r="H38" s="80">
        <v>14528</v>
      </c>
      <c r="I38" s="80">
        <v>129480</v>
      </c>
      <c r="J38" s="80">
        <v>49877280</v>
      </c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112799.90000000002</v>
      </c>
      <c r="C39" s="20">
        <f t="shared" si="1"/>
        <v>177692</v>
      </c>
      <c r="D39" s="20">
        <f t="shared" si="1"/>
        <v>0.30000000000000004</v>
      </c>
      <c r="E39" s="20">
        <f t="shared" si="1"/>
        <v>690.68000000000029</v>
      </c>
      <c r="F39" s="20">
        <f t="shared" si="1"/>
        <v>195.02</v>
      </c>
      <c r="G39" s="20">
        <f t="shared" si="1"/>
        <v>831.04999999999927</v>
      </c>
      <c r="H39" s="20">
        <f t="shared" si="1"/>
        <v>0</v>
      </c>
      <c r="I39" s="20">
        <f t="shared" si="1"/>
        <v>2953</v>
      </c>
      <c r="J39" s="20">
        <f t="shared" si="1"/>
        <v>1168828</v>
      </c>
      <c r="K39" s="20">
        <f>SUM(K7:K38)</f>
        <v>12400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0</v>
      </c>
      <c r="I40" s="20">
        <f>I39*219.969</f>
        <v>649568.45699999994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2021-08-31T04:51:23Z</dcterms:modified>
</cp:coreProperties>
</file>