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anet.Perona\Four Seasons Hotels Limited\ABS_Engineering_O365 - FSENG-Admin - FSENG-Admin\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3" i="1" l="1"/>
  <c r="I33" i="1"/>
  <c r="G33" i="1"/>
  <c r="E33" i="1"/>
  <c r="Y4" i="3" l="1"/>
  <c r="Y5" i="3"/>
  <c r="Y6" i="3"/>
  <c r="M6" i="1" s="1"/>
  <c r="Y7" i="3"/>
  <c r="Y8" i="3"/>
  <c r="Y9" i="3"/>
  <c r="M9" i="1" s="1"/>
  <c r="Y10" i="3"/>
  <c r="Y11" i="3"/>
  <c r="Y12" i="3"/>
  <c r="Y13" i="3"/>
  <c r="M13" i="1" s="1"/>
  <c r="Y14" i="3"/>
  <c r="M14" i="1" s="1"/>
  <c r="Y15" i="3"/>
  <c r="M15" i="1" s="1"/>
  <c r="Y16" i="3"/>
  <c r="Y17" i="3"/>
  <c r="Y18" i="3"/>
  <c r="Y19" i="3"/>
  <c r="M19" i="1" s="1"/>
  <c r="Y20" i="3"/>
  <c r="Y21" i="3"/>
  <c r="M21" i="1" s="1"/>
  <c r="Y22" i="3"/>
  <c r="Y23" i="3"/>
  <c r="Y24" i="3"/>
  <c r="Y25" i="3"/>
  <c r="Y26" i="3"/>
  <c r="M26" i="1" s="1"/>
  <c r="Y27" i="3"/>
  <c r="M27" i="1" s="1"/>
  <c r="Y28" i="3"/>
  <c r="Y29" i="3"/>
  <c r="Y30" i="3"/>
  <c r="Y31" i="3"/>
  <c r="Y32" i="3"/>
  <c r="Y3" i="3"/>
  <c r="M3" i="1" s="1"/>
  <c r="Y2" i="3"/>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2" i="1"/>
  <c r="M4" i="1"/>
  <c r="M5" i="1"/>
  <c r="M7" i="1"/>
  <c r="M8" i="1"/>
  <c r="M10" i="1"/>
  <c r="M11" i="1"/>
  <c r="M12" i="1"/>
  <c r="M16" i="1"/>
  <c r="M17" i="1"/>
  <c r="M18" i="1"/>
  <c r="M20" i="1"/>
  <c r="M22" i="1"/>
  <c r="M23" i="1"/>
  <c r="M24" i="1"/>
  <c r="M25" i="1"/>
  <c r="M28" i="1"/>
  <c r="M29" i="1"/>
  <c r="M30" i="1"/>
  <c r="M31" i="1"/>
  <c r="M32" i="1"/>
  <c r="M2" i="1"/>
  <c r="AH36" i="2" l="1"/>
  <c r="AF36" i="2"/>
  <c r="AH35" i="2"/>
  <c r="AG36" i="2"/>
  <c r="AG35" i="2"/>
  <c r="AF35" i="2"/>
  <c r="W36" i="2"/>
  <c r="V36" i="2"/>
  <c r="W35" i="2"/>
  <c r="V35" i="2"/>
  <c r="Q36" i="2" l="1"/>
  <c r="P36" i="2"/>
  <c r="Q35" i="2"/>
  <c r="P35" i="2"/>
  <c r="O36" i="2"/>
  <c r="N36" i="2"/>
  <c r="M36" i="2"/>
  <c r="O35" i="2"/>
  <c r="N35" i="2"/>
  <c r="M35" i="2"/>
  <c r="J36" i="2"/>
  <c r="I36" i="2"/>
  <c r="H36" i="2"/>
  <c r="G36" i="2"/>
  <c r="F36" i="2"/>
  <c r="E36" i="2"/>
  <c r="D36" i="2"/>
  <c r="C36" i="2"/>
  <c r="B36" i="2"/>
  <c r="J35" i="2"/>
  <c r="I35" i="2"/>
  <c r="H35" i="2"/>
  <c r="G35" i="2"/>
  <c r="F35" i="2"/>
  <c r="E35" i="2"/>
  <c r="D35" i="2"/>
  <c r="C35" i="2"/>
  <c r="B35" i="2"/>
  <c r="AH34" i="2" l="1"/>
  <c r="AG34" i="2"/>
  <c r="AF34" i="2"/>
  <c r="W34" i="2"/>
  <c r="V34" i="2"/>
  <c r="Q34" i="2" l="1"/>
  <c r="P34" i="2"/>
  <c r="O34" i="2"/>
  <c r="N34" i="2"/>
  <c r="M34" i="2"/>
  <c r="J34" i="2" l="1"/>
  <c r="I34" i="2"/>
  <c r="H34" i="2"/>
  <c r="G34" i="2"/>
  <c r="F34" i="2"/>
  <c r="E34" i="2"/>
  <c r="D34" i="2"/>
  <c r="C34" i="2"/>
  <c r="B34" i="2"/>
  <c r="AH33" i="2" l="1"/>
  <c r="AF33" i="2"/>
  <c r="AH32" i="2"/>
  <c r="AG33" i="2"/>
  <c r="AG32" i="2"/>
  <c r="AF32" i="2"/>
  <c r="W33" i="2"/>
  <c r="V33" i="2"/>
  <c r="W32" i="2"/>
  <c r="V32" i="2"/>
  <c r="Q33" i="2" l="1"/>
  <c r="P33" i="2"/>
  <c r="Q32" i="2"/>
  <c r="P32" i="2"/>
  <c r="O33" i="2"/>
  <c r="N33" i="2"/>
  <c r="M33" i="2"/>
  <c r="O32" i="2"/>
  <c r="N32" i="2"/>
  <c r="M32" i="2"/>
  <c r="J33" i="2"/>
  <c r="I33" i="2"/>
  <c r="H33" i="2"/>
  <c r="G33" i="2"/>
  <c r="F33" i="2"/>
  <c r="E33" i="2"/>
  <c r="D33" i="2"/>
  <c r="C33" i="2"/>
  <c r="B33" i="2"/>
  <c r="J32" i="2"/>
  <c r="I32" i="2"/>
  <c r="H32" i="2"/>
  <c r="G32" i="2"/>
  <c r="F32" i="2"/>
  <c r="E32" i="2"/>
  <c r="D32" i="2"/>
  <c r="C32" i="2"/>
  <c r="B32" i="2"/>
  <c r="AH31" i="2" l="1"/>
  <c r="AG31" i="2"/>
  <c r="AF31" i="2"/>
  <c r="W31" i="2"/>
  <c r="V31" i="2"/>
  <c r="Q31" i="2" l="1"/>
  <c r="P31" i="2"/>
  <c r="O31" i="2"/>
  <c r="N31" i="2"/>
  <c r="M31" i="2"/>
  <c r="J31" i="2" l="1"/>
  <c r="I31" i="2"/>
  <c r="H31" i="2"/>
  <c r="G31" i="2"/>
  <c r="F31" i="2"/>
  <c r="E31" i="2"/>
  <c r="D31" i="2"/>
  <c r="C31" i="2"/>
  <c r="B31" i="2"/>
  <c r="AH30" i="2" l="1"/>
  <c r="AG30" i="2"/>
  <c r="AF30" i="2"/>
  <c r="W30" i="2"/>
  <c r="V30" i="2"/>
  <c r="Q30" i="2" l="1"/>
  <c r="P30" i="2"/>
  <c r="O30" i="2"/>
  <c r="N30" i="2"/>
  <c r="M30" i="2"/>
  <c r="J30" i="2" l="1"/>
  <c r="I30" i="2"/>
  <c r="H30" i="2"/>
  <c r="G30" i="2"/>
  <c r="F30" i="2"/>
  <c r="E30" i="2"/>
  <c r="D30" i="2"/>
  <c r="C30" i="2"/>
  <c r="B30" i="2"/>
  <c r="AH29" i="2" l="1"/>
  <c r="AF29" i="2"/>
  <c r="AH28" i="2"/>
  <c r="AF28" i="2"/>
  <c r="AH27" i="2"/>
  <c r="AG29" i="2"/>
  <c r="AG28" i="2"/>
  <c r="AG27" i="2"/>
  <c r="AF27" i="2"/>
  <c r="W29" i="2"/>
  <c r="V29" i="2"/>
  <c r="W28" i="2"/>
  <c r="V28" i="2"/>
  <c r="W27" i="2"/>
  <c r="V27" i="2"/>
  <c r="Q29" i="2" l="1"/>
  <c r="P29" i="2"/>
  <c r="Q28" i="2"/>
  <c r="P28" i="2"/>
  <c r="Q27" i="2"/>
  <c r="P27" i="2"/>
  <c r="O29" i="2"/>
  <c r="N29" i="2"/>
  <c r="M29" i="2"/>
  <c r="O28" i="2"/>
  <c r="N28" i="2"/>
  <c r="M28" i="2"/>
  <c r="O27" i="2"/>
  <c r="N27" i="2"/>
  <c r="M27" i="2"/>
  <c r="J29" i="2" l="1"/>
  <c r="I29" i="2"/>
  <c r="H29" i="2"/>
  <c r="G29" i="2"/>
  <c r="F29" i="2"/>
  <c r="E29" i="2"/>
  <c r="D29" i="2"/>
  <c r="C29" i="2"/>
  <c r="B29" i="2"/>
  <c r="J28" i="2"/>
  <c r="I28" i="2"/>
  <c r="H28" i="2"/>
  <c r="G28" i="2"/>
  <c r="F28" i="2"/>
  <c r="E28" i="2"/>
  <c r="D28" i="2"/>
  <c r="C28" i="2"/>
  <c r="B28" i="2"/>
  <c r="J27" i="2"/>
  <c r="I27" i="2"/>
  <c r="H27" i="2"/>
  <c r="G27" i="2"/>
  <c r="F27" i="2"/>
  <c r="E27" i="2"/>
  <c r="D27" i="2"/>
  <c r="C27" i="2"/>
  <c r="B27" i="2"/>
  <c r="AH26" i="2" l="1"/>
  <c r="AG26" i="2"/>
  <c r="AF26" i="2"/>
  <c r="W26" i="2" l="1"/>
  <c r="V26" i="2"/>
  <c r="Q26" i="2" l="1"/>
  <c r="P26" i="2"/>
  <c r="O26" i="2"/>
  <c r="N26" i="2"/>
  <c r="M26" i="2"/>
  <c r="J26" i="2" l="1"/>
  <c r="I26" i="2"/>
  <c r="H26" i="2"/>
  <c r="G26" i="2"/>
  <c r="F26" i="2"/>
  <c r="E26" i="2"/>
  <c r="D26" i="2"/>
  <c r="C26" i="2"/>
  <c r="B26" i="2"/>
  <c r="AH25" i="2" l="1"/>
  <c r="AG25" i="2"/>
  <c r="AF25" i="2"/>
  <c r="W25" i="2"/>
  <c r="V25" i="2"/>
  <c r="Q25" i="2" l="1"/>
  <c r="P25" i="2"/>
  <c r="O25" i="2"/>
  <c r="N25" i="2"/>
  <c r="M25" i="2"/>
  <c r="J25" i="2" l="1"/>
  <c r="I25" i="2"/>
  <c r="H25" i="2"/>
  <c r="G25" i="2"/>
  <c r="F25" i="2"/>
  <c r="E25" i="2"/>
  <c r="D25" i="2"/>
  <c r="C25" i="2"/>
  <c r="B25" i="2"/>
  <c r="AH24" i="2" l="1"/>
  <c r="AG24" i="2"/>
  <c r="AF24" i="2"/>
  <c r="AH23" i="2"/>
  <c r="AG23" i="2"/>
  <c r="AF23" i="2"/>
  <c r="W24" i="2"/>
  <c r="V24" i="2"/>
  <c r="W23" i="2"/>
  <c r="V23" i="2"/>
  <c r="Q24" i="2" l="1"/>
  <c r="P24" i="2"/>
  <c r="Q23" i="2"/>
  <c r="P23" i="2"/>
  <c r="O24" i="2"/>
  <c r="N24" i="2"/>
  <c r="M24" i="2"/>
  <c r="O23" i="2"/>
  <c r="N23" i="2"/>
  <c r="M23" i="2"/>
  <c r="J24" i="2" l="1"/>
  <c r="I24" i="2"/>
  <c r="H24" i="2"/>
  <c r="G24" i="2"/>
  <c r="F24" i="2"/>
  <c r="E24" i="2"/>
  <c r="D24" i="2"/>
  <c r="C24" i="2"/>
  <c r="B24" i="2"/>
  <c r="J23" i="2"/>
  <c r="I23" i="2"/>
  <c r="H23" i="2"/>
  <c r="G23" i="2"/>
  <c r="F23" i="2"/>
  <c r="E23" i="2"/>
  <c r="D23" i="2"/>
  <c r="C23" i="2"/>
  <c r="B23" i="2"/>
  <c r="AH22" i="2" l="1"/>
  <c r="AG22" i="2"/>
  <c r="AF22" i="2"/>
  <c r="AH21" i="2"/>
  <c r="AG21" i="2"/>
  <c r="AF21" i="2"/>
  <c r="AH20" i="2"/>
  <c r="AG20" i="2"/>
  <c r="AF20" i="2"/>
  <c r="W22" i="2"/>
  <c r="V22" i="2"/>
  <c r="W21" i="2"/>
  <c r="V21" i="2"/>
  <c r="W20" i="2"/>
  <c r="V20" i="2"/>
  <c r="Q22" i="2" l="1"/>
  <c r="P22" i="2"/>
  <c r="Q21" i="2"/>
  <c r="P21" i="2"/>
  <c r="Q20" i="2"/>
  <c r="P20" i="2"/>
  <c r="O22" i="2"/>
  <c r="N22" i="2"/>
  <c r="M22" i="2"/>
  <c r="O21" i="2"/>
  <c r="N21" i="2"/>
  <c r="M21" i="2"/>
  <c r="O20" i="2"/>
  <c r="N20" i="2"/>
  <c r="M20" i="2"/>
  <c r="J22" i="2" l="1"/>
  <c r="I22" i="2"/>
  <c r="H22" i="2"/>
  <c r="G22" i="2"/>
  <c r="F22" i="2"/>
  <c r="E22" i="2"/>
  <c r="D22" i="2"/>
  <c r="C22" i="2"/>
  <c r="B22" i="2"/>
  <c r="J21" i="2"/>
  <c r="I21" i="2"/>
  <c r="H21" i="2"/>
  <c r="G21" i="2"/>
  <c r="F21" i="2"/>
  <c r="E21" i="2"/>
  <c r="D21" i="2"/>
  <c r="C21" i="2"/>
  <c r="B21" i="2"/>
  <c r="J20" i="2"/>
  <c r="I20" i="2"/>
  <c r="H20" i="2"/>
  <c r="G20" i="2"/>
  <c r="F20" i="2"/>
  <c r="E20" i="2"/>
  <c r="D20" i="2"/>
  <c r="C20" i="2"/>
  <c r="B20" i="2"/>
  <c r="AH19" i="2" l="1"/>
  <c r="AG19" i="2"/>
  <c r="AF19" i="2"/>
  <c r="W19" i="2"/>
  <c r="V19" i="2"/>
  <c r="Q19" i="2" l="1"/>
  <c r="P19" i="2"/>
  <c r="O19" i="2"/>
  <c r="N19" i="2"/>
  <c r="M19" i="2"/>
  <c r="J19" i="2" l="1"/>
  <c r="I19" i="2"/>
  <c r="H19" i="2"/>
  <c r="G19" i="2"/>
  <c r="F19" i="2"/>
  <c r="E19" i="2"/>
  <c r="D19" i="2"/>
  <c r="C19" i="2"/>
  <c r="B19" i="2"/>
  <c r="AH18" i="2" l="1"/>
  <c r="AG18" i="2"/>
  <c r="AF18" i="2"/>
  <c r="W18" i="2"/>
  <c r="V18" i="2"/>
  <c r="Q18" i="2" l="1"/>
  <c r="P18" i="2"/>
  <c r="O18" i="2"/>
  <c r="N18" i="2"/>
  <c r="M18" i="2"/>
  <c r="J18" i="2" l="1"/>
  <c r="I18" i="2"/>
  <c r="H18" i="2"/>
  <c r="G18" i="2"/>
  <c r="F18" i="2"/>
  <c r="E18" i="2"/>
  <c r="D18" i="2"/>
  <c r="C18" i="2"/>
  <c r="B18" i="2"/>
  <c r="AH17" i="2" l="1"/>
  <c r="AG17" i="2"/>
  <c r="AF17" i="2"/>
  <c r="W17" i="2"/>
  <c r="V17" i="2"/>
  <c r="Q17" i="2" l="1"/>
  <c r="P17" i="2"/>
  <c r="O17" i="2"/>
  <c r="N17" i="2"/>
  <c r="M17" i="2"/>
  <c r="J17" i="2" l="1"/>
  <c r="I17" i="2"/>
  <c r="H17" i="2"/>
  <c r="G17" i="2"/>
  <c r="F17" i="2"/>
  <c r="E17" i="2"/>
  <c r="D17" i="2"/>
  <c r="C17" i="2"/>
  <c r="B17" i="2"/>
  <c r="AH16" i="2" l="1"/>
  <c r="AG16" i="2" l="1"/>
  <c r="AF16" i="2"/>
  <c r="W16" i="2"/>
  <c r="V16" i="2"/>
  <c r="Q16" i="2" l="1"/>
  <c r="P16" i="2"/>
  <c r="O16" i="2"/>
  <c r="N16" i="2"/>
  <c r="M16" i="2"/>
  <c r="J16" i="2" l="1"/>
  <c r="I16" i="2"/>
  <c r="H16" i="2"/>
  <c r="G16" i="2"/>
  <c r="F16" i="2"/>
  <c r="E16" i="2"/>
  <c r="D16" i="2"/>
  <c r="C16" i="2"/>
  <c r="B16" i="2"/>
  <c r="AH15" i="2" l="1"/>
  <c r="AH14" i="2"/>
  <c r="AG15" i="2"/>
  <c r="AG14" i="2"/>
  <c r="AF14" i="2"/>
  <c r="AF15" i="2"/>
  <c r="AH13" i="2"/>
  <c r="AG13" i="2"/>
  <c r="AF13" i="2"/>
  <c r="W15" i="2"/>
  <c r="V15" i="2"/>
  <c r="W14" i="2"/>
  <c r="V14" i="2"/>
  <c r="W13" i="2"/>
  <c r="V13" i="2"/>
  <c r="Q15" i="2" l="1"/>
  <c r="P15" i="2"/>
  <c r="Q14" i="2"/>
  <c r="P14" i="2"/>
  <c r="Q13" i="2"/>
  <c r="P13" i="2"/>
  <c r="O15" i="2"/>
  <c r="N15" i="2"/>
  <c r="M15" i="2"/>
  <c r="O14" i="2"/>
  <c r="N14" i="2"/>
  <c r="M14" i="2"/>
  <c r="O13" i="2"/>
  <c r="N13" i="2"/>
  <c r="M13" i="2"/>
  <c r="J15" i="2" l="1"/>
  <c r="I15" i="2"/>
  <c r="H15" i="2"/>
  <c r="G15" i="2"/>
  <c r="F15" i="2"/>
  <c r="E15" i="2"/>
  <c r="D15" i="2"/>
  <c r="C15" i="2"/>
  <c r="B15" i="2"/>
  <c r="J14" i="2"/>
  <c r="I14" i="2"/>
  <c r="H14" i="2"/>
  <c r="G14" i="2"/>
  <c r="F14" i="2"/>
  <c r="E14" i="2"/>
  <c r="D14" i="2"/>
  <c r="C14" i="2"/>
  <c r="B14" i="2"/>
  <c r="J13" i="2"/>
  <c r="I13" i="2"/>
  <c r="H13" i="2"/>
  <c r="G13" i="2"/>
  <c r="F13" i="2"/>
  <c r="E13" i="2"/>
  <c r="D13" i="2"/>
  <c r="C13" i="2"/>
  <c r="B13" i="2"/>
  <c r="AH12" i="2" l="1"/>
  <c r="AG12" i="2"/>
  <c r="AG11" i="2"/>
  <c r="AF12" i="2"/>
  <c r="W12" i="2"/>
  <c r="V12" i="2"/>
  <c r="Q12" i="2" l="1"/>
  <c r="P12" i="2"/>
  <c r="O12" i="2"/>
  <c r="N12" i="2"/>
  <c r="M12" i="2"/>
  <c r="J12" i="2" l="1"/>
  <c r="I12" i="2"/>
  <c r="H12" i="2"/>
  <c r="G12" i="2"/>
  <c r="F12" i="2"/>
  <c r="E12" i="2"/>
  <c r="D12" i="2"/>
  <c r="C12" i="2"/>
  <c r="B12" i="2"/>
  <c r="AH11" i="2" l="1"/>
  <c r="AF11" i="2"/>
  <c r="W11" i="2"/>
  <c r="V11" i="2"/>
  <c r="Q11" i="2" l="1"/>
  <c r="P11" i="2"/>
  <c r="O11" i="2"/>
  <c r="N11" i="2"/>
  <c r="M11" i="2"/>
  <c r="J11" i="2" l="1"/>
  <c r="I11" i="2"/>
  <c r="H11" i="2"/>
  <c r="G11" i="2"/>
  <c r="F11" i="2"/>
  <c r="E11" i="2"/>
  <c r="D11" i="2"/>
  <c r="C11" i="2"/>
  <c r="B11" i="2"/>
  <c r="AH10" i="2" l="1"/>
  <c r="AG10" i="2"/>
  <c r="AF10" i="2"/>
  <c r="W10" i="2"/>
  <c r="V10" i="2"/>
  <c r="Q10" i="2" l="1"/>
  <c r="P10" i="2"/>
  <c r="O10" i="2"/>
  <c r="N10" i="2"/>
  <c r="M10" i="2"/>
  <c r="J10" i="2" l="1"/>
  <c r="I10" i="2"/>
  <c r="H10" i="2"/>
  <c r="G10" i="2"/>
  <c r="F10" i="2"/>
  <c r="E10" i="2"/>
  <c r="D10" i="2"/>
  <c r="C10" i="2"/>
  <c r="B10" i="2"/>
  <c r="AH9" i="2" l="1"/>
  <c r="AG9" i="2"/>
  <c r="AF9" i="2"/>
  <c r="W9" i="2"/>
  <c r="V9" i="2"/>
  <c r="Q9" i="2" l="1"/>
  <c r="P9" i="2"/>
  <c r="O9" i="2"/>
  <c r="N9" i="2"/>
  <c r="M9" i="2"/>
  <c r="J9" i="2" l="1"/>
  <c r="I9" i="2"/>
  <c r="H9" i="2"/>
  <c r="G9" i="2"/>
  <c r="F9" i="2"/>
  <c r="E9" i="2"/>
  <c r="D9" i="2"/>
  <c r="C9" i="2"/>
  <c r="B9" i="2"/>
  <c r="AH8" i="2" l="1"/>
  <c r="AF8" i="2"/>
  <c r="AH7" i="2"/>
  <c r="AG8" i="2"/>
  <c r="AG7" i="2"/>
  <c r="AF7" i="2"/>
  <c r="W8" i="2"/>
  <c r="V8" i="2"/>
  <c r="W7" i="2"/>
  <c r="V7" i="2"/>
  <c r="Q8" i="2" l="1"/>
  <c r="P8" i="2"/>
  <c r="Q7" i="2"/>
  <c r="P7" i="2"/>
  <c r="O8" i="2"/>
  <c r="N8" i="2"/>
  <c r="M8" i="2"/>
  <c r="O7" i="2"/>
  <c r="N7" i="2"/>
  <c r="M7" i="2"/>
  <c r="J8" i="2" l="1"/>
  <c r="I8" i="2"/>
  <c r="H8" i="2"/>
  <c r="G8" i="2"/>
  <c r="F8" i="2"/>
  <c r="E8" i="2"/>
  <c r="D8" i="2"/>
  <c r="C8" i="2"/>
  <c r="B8" i="2"/>
  <c r="J7" i="2"/>
  <c r="I7" i="2"/>
  <c r="H7" i="2"/>
  <c r="G7" i="2"/>
  <c r="F7" i="2"/>
  <c r="E7" i="2"/>
  <c r="D7" i="2"/>
  <c r="C7" i="2"/>
  <c r="B7" i="2"/>
  <c r="AM6" i="2" l="1"/>
  <c r="AE6" i="2"/>
  <c r="AH6" i="2" l="1"/>
  <c r="AG6" i="2"/>
  <c r="AF6" i="2"/>
  <c r="W6" i="2"/>
  <c r="V6" i="2"/>
  <c r="Q6" i="2" l="1"/>
  <c r="P6" i="2"/>
  <c r="O6" i="2"/>
  <c r="N6" i="2"/>
  <c r="M6" i="2"/>
  <c r="J6" i="2" l="1"/>
  <c r="I6" i="2"/>
  <c r="H6" i="2"/>
  <c r="G6" i="2"/>
  <c r="F6" i="2"/>
  <c r="E6" i="2"/>
  <c r="D6" i="2"/>
  <c r="C6" i="2"/>
  <c r="B6" i="2"/>
  <c r="H37" i="2" l="1"/>
  <c r="J37" i="2"/>
  <c r="I37" i="2"/>
  <c r="B31" i="1" l="1"/>
  <c r="B32" i="1"/>
  <c r="U31" i="3"/>
  <c r="V31" i="3"/>
  <c r="W31" i="3"/>
  <c r="U32" i="3"/>
  <c r="V32" i="3"/>
  <c r="W32" i="3"/>
  <c r="E31" i="3"/>
  <c r="F31" i="3"/>
  <c r="G31" i="3"/>
  <c r="H31" i="3"/>
  <c r="I31" i="3"/>
  <c r="J31" i="3"/>
  <c r="K31" i="3"/>
  <c r="L31" i="3"/>
  <c r="M31" i="3"/>
  <c r="Q31" i="3"/>
  <c r="R31" i="3"/>
  <c r="E32" i="3"/>
  <c r="F32" i="3"/>
  <c r="G32" i="3"/>
  <c r="H32" i="3"/>
  <c r="I32" i="3"/>
  <c r="J32" i="3"/>
  <c r="K32" i="3"/>
  <c r="L32" i="3"/>
  <c r="M32" i="3"/>
  <c r="Q32" i="3"/>
  <c r="R32" i="3"/>
  <c r="B31" i="3"/>
  <c r="B32" i="3"/>
  <c r="AI35" i="2"/>
  <c r="AK35" i="2" s="1"/>
  <c r="AI36" i="2"/>
  <c r="AK36" i="2" s="1"/>
  <c r="AC35" i="2"/>
  <c r="AD35" i="2" s="1"/>
  <c r="AE35" i="2" s="1"/>
  <c r="AC36" i="2"/>
  <c r="AD36" i="2" s="1"/>
  <c r="AE36" i="2" s="1"/>
  <c r="Z35" i="2"/>
  <c r="AA35" i="2" s="1"/>
  <c r="Z36" i="2"/>
  <c r="AA36" i="2" s="1"/>
  <c r="T35" i="2"/>
  <c r="U35" i="2" s="1"/>
  <c r="T36" i="2"/>
  <c r="N32" i="3" s="1"/>
  <c r="R35" i="2"/>
  <c r="O31" i="3" s="1"/>
  <c r="S35" i="2"/>
  <c r="R36" i="2"/>
  <c r="O32" i="3" s="1"/>
  <c r="S36" i="2"/>
  <c r="K35" i="2"/>
  <c r="L35" i="2" s="1"/>
  <c r="K36" i="2"/>
  <c r="L36" i="2" s="1"/>
  <c r="X32" i="3" l="1"/>
  <c r="AL36" i="2"/>
  <c r="AM36" i="2" s="1"/>
  <c r="AL35" i="2"/>
  <c r="AM35" i="2" s="1"/>
  <c r="X31" i="3"/>
  <c r="T32" i="3"/>
  <c r="T31" i="3"/>
  <c r="AO35" i="2"/>
  <c r="P32" i="3"/>
  <c r="G32" i="1" s="1"/>
  <c r="P31" i="3"/>
  <c r="G31" i="1" s="1"/>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I32" i="1" l="1"/>
  <c r="S32" i="3"/>
  <c r="S31" i="3"/>
  <c r="I31" i="1"/>
  <c r="AI6" i="2"/>
  <c r="AC6" i="2"/>
  <c r="AN37" i="2" l="1"/>
  <c r="AH37" i="2"/>
  <c r="AG37" i="2"/>
  <c r="AF37" i="2"/>
  <c r="G37" i="2"/>
  <c r="D37" i="2"/>
  <c r="Z33" i="3"/>
  <c r="Z7" i="2"/>
  <c r="K6" i="2" l="1"/>
  <c r="L6" i="2" l="1"/>
  <c r="N33" i="1" l="1"/>
  <c r="Z9" i="2"/>
  <c r="P5" i="3" s="1"/>
  <c r="G5" i="1" s="1"/>
  <c r="Z10" i="2"/>
  <c r="AA10" i="2" s="1"/>
  <c r="Z11" i="2"/>
  <c r="AA11" i="2" s="1"/>
  <c r="Z12" i="2"/>
  <c r="Z13" i="2"/>
  <c r="AA13" i="2" s="1"/>
  <c r="Z14" i="2"/>
  <c r="AA14" i="2" s="1"/>
  <c r="Z15" i="2"/>
  <c r="AA15" i="2" s="1"/>
  <c r="Z16" i="2"/>
  <c r="AA16" i="2" s="1"/>
  <c r="AD17" i="2"/>
  <c r="AE17" i="2" s="1"/>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O26" i="3" s="1"/>
  <c r="R31" i="2"/>
  <c r="O27" i="3" s="1"/>
  <c r="R32" i="2"/>
  <c r="O28" i="3" s="1"/>
  <c r="R33" i="2"/>
  <c r="O29" i="3" s="1"/>
  <c r="R34" i="2"/>
  <c r="R6" i="2"/>
  <c r="R7" i="2"/>
  <c r="O3" i="3" s="1"/>
  <c r="R8" i="2"/>
  <c r="O4" i="3" s="1"/>
  <c r="R9" i="2"/>
  <c r="O5" i="3" s="1"/>
  <c r="R10" i="2"/>
  <c r="O6" i="3" s="1"/>
  <c r="R11" i="2"/>
  <c r="O7" i="3" s="1"/>
  <c r="R12" i="2"/>
  <c r="O8" i="3" s="1"/>
  <c r="R13" i="2"/>
  <c r="O9" i="3" s="1"/>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E25" i="2" s="1"/>
  <c r="AD30" i="2"/>
  <c r="AE30" i="2" s="1"/>
  <c r="AD32" i="2"/>
  <c r="AE32" i="2"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N29" i="3"/>
  <c r="N24" i="3"/>
  <c r="N3" i="3" l="1"/>
  <c r="K3" i="1" s="1"/>
  <c r="P28" i="3"/>
  <c r="G28" i="1" s="1"/>
  <c r="K28" i="1"/>
  <c r="U32" i="2"/>
  <c r="T23" i="3"/>
  <c r="AL25" i="2"/>
  <c r="AM25" i="2" s="1"/>
  <c r="P17" i="3"/>
  <c r="G17" i="1" s="1"/>
  <c r="U19" i="2"/>
  <c r="AO19" i="2" s="1"/>
  <c r="P15" i="3"/>
  <c r="S15" i="3" s="1"/>
  <c r="U15" i="2"/>
  <c r="P9" i="3"/>
  <c r="G9" i="1" s="1"/>
  <c r="P27" i="3"/>
  <c r="S27" i="3" s="1"/>
  <c r="P19" i="3"/>
  <c r="G19" i="1" s="1"/>
  <c r="T28" i="3"/>
  <c r="T27" i="3"/>
  <c r="N19" i="3"/>
  <c r="T12" i="3"/>
  <c r="T22" i="3"/>
  <c r="I22" i="1" s="1"/>
  <c r="T21" i="3"/>
  <c r="I21" i="1" s="1"/>
  <c r="T13" i="3"/>
  <c r="T30" i="3"/>
  <c r="P11" i="3"/>
  <c r="G11" i="1" s="1"/>
  <c r="X18" i="3"/>
  <c r="T17" i="3"/>
  <c r="I17" i="1" s="1"/>
  <c r="X9" i="3"/>
  <c r="N10" i="3"/>
  <c r="K10" i="1" s="1"/>
  <c r="U11" i="2"/>
  <c r="AO11" i="2" s="1"/>
  <c r="P26" i="3"/>
  <c r="G26" i="1" s="1"/>
  <c r="U17" i="2"/>
  <c r="T3" i="3"/>
  <c r="P24" i="3"/>
  <c r="G24" i="1" s="1"/>
  <c r="U16" i="2"/>
  <c r="AO16" i="2" s="1"/>
  <c r="U30" i="2"/>
  <c r="M33" i="3"/>
  <c r="V33" i="3"/>
  <c r="I33" i="3"/>
  <c r="T7" i="3"/>
  <c r="I7" i="1" s="1"/>
  <c r="U9" i="2"/>
  <c r="K33" i="3"/>
  <c r="J33" i="3"/>
  <c r="W33" i="3"/>
  <c r="U33" i="3"/>
  <c r="T5" i="3"/>
  <c r="I5" i="1" s="1"/>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5" i="3"/>
  <c r="E30" i="1"/>
  <c r="E17" i="1"/>
  <c r="N2" i="3"/>
  <c r="U6" i="2"/>
  <c r="AL6" i="2"/>
  <c r="G3" i="1"/>
  <c r="S3" i="3"/>
  <c r="P2" i="3"/>
  <c r="AA7" i="2"/>
  <c r="U25" i="2"/>
  <c r="N18" i="3"/>
  <c r="K18" i="1" s="1"/>
  <c r="S23" i="3"/>
  <c r="K30" i="1"/>
  <c r="K24" i="1"/>
  <c r="E29" i="1"/>
  <c r="K7" i="1"/>
  <c r="S30" i="3"/>
  <c r="X26" i="3"/>
  <c r="X13" i="3"/>
  <c r="AL21" i="2"/>
  <c r="AM21" i="2" s="1"/>
  <c r="T25" i="3"/>
  <c r="I25" i="1" s="1"/>
  <c r="T11" i="3"/>
  <c r="T16" i="3"/>
  <c r="AA17" i="2"/>
  <c r="K15" i="1"/>
  <c r="K11" i="1"/>
  <c r="K8" i="1"/>
  <c r="K4" i="1"/>
  <c r="K25" i="1"/>
  <c r="K29" i="1"/>
  <c r="E24" i="1"/>
  <c r="E13" i="1"/>
  <c r="E6" i="1"/>
  <c r="X30" i="3"/>
  <c r="AL34" i="2"/>
  <c r="AM34" i="2" s="1"/>
  <c r="AL24" i="2"/>
  <c r="AM24" i="2" s="1"/>
  <c r="AL9" i="2"/>
  <c r="AM9" i="2" s="1"/>
  <c r="X4" i="3"/>
  <c r="X19" i="3"/>
  <c r="T8" i="3"/>
  <c r="I8" i="1" s="1"/>
  <c r="T24" i="3"/>
  <c r="G13" i="1"/>
  <c r="S13" i="3"/>
  <c r="AO33" i="2"/>
  <c r="S14" i="3"/>
  <c r="P29" i="3"/>
  <c r="AA9" i="2"/>
  <c r="AO9" i="2" s="1"/>
  <c r="P10" i="3"/>
  <c r="P25" i="3"/>
  <c r="G25" i="1" s="1"/>
  <c r="N9" i="3"/>
  <c r="K9" i="1" s="1"/>
  <c r="N16" i="3"/>
  <c r="K16" i="1" s="1"/>
  <c r="AO15" i="2"/>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AO30" i="2"/>
  <c r="T4" i="3"/>
  <c r="T15" i="3"/>
  <c r="AO13" i="2"/>
  <c r="T9" i="3"/>
  <c r="AL15" i="2"/>
  <c r="AM15" i="2" s="1"/>
  <c r="X11" i="3"/>
  <c r="T18" i="3"/>
  <c r="S22" i="3"/>
  <c r="S21" i="3"/>
  <c r="G21" i="1"/>
  <c r="AO23" i="2"/>
  <c r="T10" i="3"/>
  <c r="AO14" i="2"/>
  <c r="AL32" i="2"/>
  <c r="AM32" i="2" s="1"/>
  <c r="X28" i="3"/>
  <c r="AL28" i="2"/>
  <c r="AM28" i="2" s="1"/>
  <c r="X24" i="3"/>
  <c r="X16" i="3"/>
  <c r="AL20" i="2"/>
  <c r="AM20" i="2" s="1"/>
  <c r="T6" i="3"/>
  <c r="AO22" i="2"/>
  <c r="X3" i="3"/>
  <c r="X12" i="3"/>
  <c r="AA26" i="2"/>
  <c r="AO26" i="2" s="1"/>
  <c r="N22" i="3"/>
  <c r="K22" i="1" s="1"/>
  <c r="N17" i="3"/>
  <c r="K17" i="1" s="1"/>
  <c r="T19" i="3"/>
  <c r="P18" i="3"/>
  <c r="P7" i="3"/>
  <c r="AA25" i="2"/>
  <c r="P12" i="3"/>
  <c r="T26" i="3"/>
  <c r="AL26" i="2"/>
  <c r="AM26" i="2" s="1"/>
  <c r="S28" i="3"/>
  <c r="T29" i="3"/>
  <c r="I29" i="1" s="1"/>
  <c r="AL29" i="2"/>
  <c r="AM29" i="2" s="1"/>
  <c r="AA24" i="2"/>
  <c r="AO24" i="2" s="1"/>
  <c r="P20" i="3"/>
  <c r="AA34" i="2"/>
  <c r="AA18" i="2"/>
  <c r="AO18" i="2" s="1"/>
  <c r="AA12" i="2"/>
  <c r="P8" i="3"/>
  <c r="AL33" i="2"/>
  <c r="AM33" i="2" s="1"/>
  <c r="AL12" i="2"/>
  <c r="AM12" i="2" s="1"/>
  <c r="T2" i="3"/>
  <c r="N14" i="3"/>
  <c r="K14" i="1" s="1"/>
  <c r="X23" i="3"/>
  <c r="T14" i="3"/>
  <c r="I14" i="1" s="1"/>
  <c r="U34" i="2"/>
  <c r="U29" i="2"/>
  <c r="AO29" i="2" s="1"/>
  <c r="X6" i="3"/>
  <c r="X15" i="3"/>
  <c r="U10" i="2"/>
  <c r="AO10" i="2" s="1"/>
  <c r="AL18" i="2"/>
  <c r="AM18" i="2" s="1"/>
  <c r="P6" i="3"/>
  <c r="P16" i="3"/>
  <c r="AA27" i="2"/>
  <c r="AO27" i="2" s="1"/>
  <c r="S17" i="3" l="1"/>
  <c r="G15" i="1"/>
  <c r="AO17" i="2"/>
  <c r="I23" i="1"/>
  <c r="I28" i="1"/>
  <c r="AO32" i="2"/>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33" i="1" l="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sz val="9"/>
            <color indexed="81"/>
            <rFont val="Tahoma"/>
            <family val="2"/>
          </rPr>
          <t xml:space="preserve">
Cost/ unit updated based on current Invoice 27/05/2022</t>
        </r>
      </text>
    </comment>
    <comment ref="AM2" authorId="0" shapeId="0">
      <text>
        <r>
          <rPr>
            <sz val="9"/>
            <color indexed="81"/>
            <rFont val="Tahoma"/>
            <family val="2"/>
          </rPr>
          <t xml:space="preserve">
Cost/ unit updated based on current Invoice 27/05/2022</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<sst xmlns="http://schemas.openxmlformats.org/spreadsheetml/2006/main" count="220" uniqueCount="103">
  <si>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</si>
  <si>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</si>
  <si>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</si>
  <si>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</si>
  <si>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</si>
  <si>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</si>
  <si>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</si>
  <si>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</si>
  <si>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</si>
  <si>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</si>
  <si>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</si>
  <si>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</si>
  <si>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</si>
  <si>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</si>
  <si>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</si>
  <si>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</si>
  <si>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</si>
  <si>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</si>
  <si>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</si>
  <si>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</si>
  <si>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</si>
  <si>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</si>
  <si>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</si>
  <si>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</si>
  <si>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</si>
  <si>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</si>
  <si>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</si>
  <si>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</si>
  <si>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</si>
  <si>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</si>
  <si>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</si>
  <si>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</si>
  <si>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</si>
  <si>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</si>
  <si>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</si>
  <si>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</si>
  <si>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</si>
  <si>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</si>
  <si>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</si>
  <si>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</si>
  <si>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</si>
  <si>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</si>
  <si>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</si>
  <si>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</si>
  <si>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</si>
  <si>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</si>
  <si>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</si>
  <si>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</si>
  <si>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</si>
  <si>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</si>
  <si>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</si>
  <si>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</si>
  <si>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</si>
  <si>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</si>
  <si>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</si>
  <si>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</si>
  <si>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</si>
  <si>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</si>
  <si>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</si>
  <si>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</si>
  <si>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</si>
  <si>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</si>
  <si>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</si>
  <si>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</si>
  <si>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</si>
  <si>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</si>
  <si>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</si>
  <si>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</si>
  <si>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</si>
  <si>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</si>
  <si>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</si>
  <si>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</si>
  <si>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</si>
  <si>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</si>
  <si>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</si>
  <si>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</si>
  <si>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</si>
  <si>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</si>
  <si>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</si>
  <si>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</si>
  <si>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</si>
  <si>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</si>
  <si>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</si>
  <si>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</si>
  <si>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</si>
  <si>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</si>
  <si>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</si>
  <si>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</si>
  <si>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</si>
  <si>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</si>
  <si>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</si>
  <si>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</si>
  <si>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</si>
  <si>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</si>
  <si>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</si>
  <si>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</si>
  <si>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</si>
  <si>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</si>
  <si>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</si>
  <si>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</si>
  <si>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</si>
  <si>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</si>
  <si>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0.327899/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</si>
</sst>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4">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1" fontId="0" fillId="0" borderId="19" xfId="0" applyNumberFormat="1"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4" fontId="0" fillId="0" borderId="4" xfId="0" applyNumberForma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M33" sqref="M3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7</v>
      </c>
      <c r="D2" s="107">
        <v>2022</v>
      </c>
      <c r="E2" s="101">
        <f>Submetering!E2+Submetering!F2+Submetering!G2+Submetering!H2+Submetering!I2+Submetering!J2+Submetering!K2</f>
        <v>36310</v>
      </c>
      <c r="F2" s="109">
        <v>0.2</v>
      </c>
      <c r="G2" s="101">
        <f>Submetering!P2</f>
        <v>717</v>
      </c>
      <c r="H2" s="109">
        <v>6.47</v>
      </c>
      <c r="I2" s="101">
        <f>Submetering!T2-Submetering!T2*15%-Submetering!X2</f>
        <v>70714.566800000001</v>
      </c>
      <c r="J2" s="100">
        <v>0.21</v>
      </c>
      <c r="K2" s="101">
        <f>Submetering!N2-Submetering!O2</f>
        <v>135.32400000000416</v>
      </c>
      <c r="L2" s="109">
        <v>7.84</v>
      </c>
      <c r="M2" s="101">
        <f>Submetering!Y2</f>
        <v>71</v>
      </c>
      <c r="N2" s="102">
        <f>Submetering!Z2</f>
        <v>126</v>
      </c>
    </row>
    <row r="3" spans="1:15" x14ac:dyDescent="0.25">
      <c r="A3" s="110" t="s">
        <v>80</v>
      </c>
      <c r="B3" s="72">
        <f>B2+1</f>
        <v>2</v>
      </c>
      <c r="C3" s="73">
        <v>7</v>
      </c>
      <c r="D3" s="72">
        <v>2022</v>
      </c>
      <c r="E3" s="71">
        <f>Submetering!E3+Submetering!F3+Submetering!G3+Submetering!H3+Submetering!I3+Submetering!J3+Submetering!K3</f>
        <v>34896</v>
      </c>
      <c r="F3" s="74">
        <v>0.2</v>
      </c>
      <c r="G3" s="71">
        <f>Submetering!P3</f>
        <v>716</v>
      </c>
      <c r="H3" s="74">
        <v>6.47</v>
      </c>
      <c r="I3" s="71">
        <f>Submetering!T3-Submetering!T3*15%-Submetering!X3</f>
        <v>79436.482599999988</v>
      </c>
      <c r="J3" s="70">
        <v>0.21</v>
      </c>
      <c r="K3" s="71">
        <f>Submetering!N3-Submetering!O3</f>
        <v>100.53600000000188</v>
      </c>
      <c r="L3" s="74">
        <v>7.84</v>
      </c>
      <c r="M3" s="71">
        <f>Submetering!Y3</f>
        <v>66</v>
      </c>
      <c r="N3" s="104">
        <f>Submetering!Z3</f>
        <v>132</v>
      </c>
    </row>
    <row r="4" spans="1:15" x14ac:dyDescent="0.25">
      <c r="A4" s="110" t="s">
        <v>80</v>
      </c>
      <c r="B4" s="72">
        <f t="shared" ref="B4:B32" si="0">B3+1</f>
        <v>3</v>
      </c>
      <c r="C4" s="73">
        <v>7</v>
      </c>
      <c r="D4" s="72">
        <v>2022</v>
      </c>
      <c r="E4" s="71">
        <f>Submetering!E4+Submetering!F4+Submetering!G4+Submetering!H4+Submetering!I4+Submetering!J4+Submetering!K4</f>
        <v>34618</v>
      </c>
      <c r="F4" s="74">
        <v>0.2</v>
      </c>
      <c r="G4" s="71">
        <f>Submetering!P4</f>
        <v>678</v>
      </c>
      <c r="H4" s="74">
        <v>6.47</v>
      </c>
      <c r="I4" s="71">
        <f>Submetering!T4-Submetering!T4*15%-Submetering!X4</f>
        <v>79499.243199999997</v>
      </c>
      <c r="J4" s="70">
        <v>0.21</v>
      </c>
      <c r="K4" s="71">
        <f>Submetering!N4-Submetering!O4</f>
        <v>109.00099999999657</v>
      </c>
      <c r="L4" s="74">
        <v>7.84</v>
      </c>
      <c r="M4" s="71">
        <f>Submetering!Y4</f>
        <v>74</v>
      </c>
      <c r="N4" s="104">
        <f>Submetering!Z4</f>
        <v>131</v>
      </c>
    </row>
    <row r="5" spans="1:15" x14ac:dyDescent="0.25">
      <c r="A5" s="110" t="s">
        <v>80</v>
      </c>
      <c r="B5" s="72">
        <f t="shared" si="0"/>
        <v>4</v>
      </c>
      <c r="C5" s="73">
        <v>7</v>
      </c>
      <c r="D5" s="72">
        <v>2022</v>
      </c>
      <c r="E5" s="71">
        <f>Submetering!E5+Submetering!F5+Submetering!G5+Submetering!H5+Submetering!I5+Submetering!J5+Submetering!K5</f>
        <v>35025</v>
      </c>
      <c r="F5" s="74">
        <v>0.2</v>
      </c>
      <c r="G5" s="71">
        <f>Submetering!P5</f>
        <v>692</v>
      </c>
      <c r="H5" s="74">
        <v>6.47</v>
      </c>
      <c r="I5" s="71">
        <f>Submetering!T5-Submetering!T5*15%-Submetering!X5</f>
        <v>71971.196000002907</v>
      </c>
      <c r="J5" s="70">
        <v>0.21</v>
      </c>
      <c r="K5" s="81">
        <f>Submetering!N5-Submetering!O5</f>
        <v>131.03900000000067</v>
      </c>
      <c r="L5" s="74">
        <v>7.84</v>
      </c>
      <c r="M5" s="71">
        <f>Submetering!Y5</f>
        <v>89</v>
      </c>
      <c r="N5" s="104">
        <f>Submetering!Z5</f>
        <v>146</v>
      </c>
    </row>
    <row r="6" spans="1:15" x14ac:dyDescent="0.25">
      <c r="A6" s="110" t="s">
        <v>80</v>
      </c>
      <c r="B6" s="72">
        <f t="shared" si="0"/>
        <v>5</v>
      </c>
      <c r="C6" s="73">
        <v>7</v>
      </c>
      <c r="D6" s="72">
        <v>2022</v>
      </c>
      <c r="E6" s="71">
        <f>Submetering!E6+Submetering!F6+Submetering!G6+Submetering!H6+Submetering!I6+Submetering!J6+Submetering!K6</f>
        <v>34891</v>
      </c>
      <c r="F6" s="74">
        <v>0.2</v>
      </c>
      <c r="G6" s="71">
        <f>Submetering!P6</f>
        <v>650</v>
      </c>
      <c r="H6" s="74">
        <v>6.47</v>
      </c>
      <c r="I6" s="71">
        <f>Submetering!T6-Submetering!T6*15%-Submetering!X6</f>
        <v>78323.819599999988</v>
      </c>
      <c r="J6" s="70">
        <v>0.21</v>
      </c>
      <c r="K6" s="71">
        <f>Submetering!N6-Submetering!O6</f>
        <v>132.11599999999544</v>
      </c>
      <c r="L6" s="74">
        <v>7.84</v>
      </c>
      <c r="M6" s="71">
        <f>Submetering!Y6</f>
        <v>81</v>
      </c>
      <c r="N6" s="104">
        <f>Submetering!Z6</f>
        <v>135</v>
      </c>
    </row>
    <row r="7" spans="1:15" x14ac:dyDescent="0.25">
      <c r="A7" s="110" t="s">
        <v>80</v>
      </c>
      <c r="B7" s="72">
        <f t="shared" si="0"/>
        <v>6</v>
      </c>
      <c r="C7" s="73">
        <v>7</v>
      </c>
      <c r="D7" s="72">
        <v>2022</v>
      </c>
      <c r="E7" s="71">
        <f>Submetering!E7+Submetering!F7+Submetering!G7+Submetering!H7+Submetering!I7+Submetering!J7+Submetering!K7</f>
        <v>34727</v>
      </c>
      <c r="F7" s="74">
        <v>0.2</v>
      </c>
      <c r="G7" s="71">
        <f>Submetering!P7</f>
        <v>654</v>
      </c>
      <c r="H7" s="74">
        <v>6.47</v>
      </c>
      <c r="I7" s="71">
        <f>Submetering!T7-Submetering!T7*15%-Submetering!X7</f>
        <v>77088.428799994188</v>
      </c>
      <c r="J7" s="70">
        <v>0.21</v>
      </c>
      <c r="K7" s="71">
        <f>Submetering!N7-Submetering!O7</f>
        <v>98.304000000098313</v>
      </c>
      <c r="L7" s="74">
        <v>7.84</v>
      </c>
      <c r="M7" s="71">
        <f>Submetering!Y7</f>
        <v>63</v>
      </c>
      <c r="N7" s="104">
        <f>Submetering!Z7</f>
        <v>113</v>
      </c>
    </row>
    <row r="8" spans="1:15" x14ac:dyDescent="0.25">
      <c r="A8" s="110" t="s">
        <v>80</v>
      </c>
      <c r="B8" s="72">
        <f t="shared" si="0"/>
        <v>7</v>
      </c>
      <c r="C8" s="73">
        <v>7</v>
      </c>
      <c r="D8" s="72">
        <v>2022</v>
      </c>
      <c r="E8" s="71">
        <f>Submetering!E8+Submetering!F8+Submetering!G8+Submetering!H8+Submetering!I8+Submetering!J8+Submetering!K8</f>
        <v>34037</v>
      </c>
      <c r="F8" s="74">
        <v>0.2</v>
      </c>
      <c r="G8" s="71">
        <f>Submetering!P8</f>
        <v>607</v>
      </c>
      <c r="H8" s="74">
        <v>6.47</v>
      </c>
      <c r="I8" s="71">
        <f>Submetering!T8-Submetering!T8*15%-Submetering!X8</f>
        <v>70963.052000001451</v>
      </c>
      <c r="J8" s="70">
        <v>0.21</v>
      </c>
      <c r="K8" s="71">
        <f>Submetering!N8-Submetering!O8</f>
        <v>123.37600000000111</v>
      </c>
      <c r="L8" s="74">
        <v>7.84</v>
      </c>
      <c r="M8" s="71">
        <f>Submetering!Y8</f>
        <v>57</v>
      </c>
      <c r="N8" s="104">
        <f>Submetering!Z8</f>
        <v>97</v>
      </c>
    </row>
    <row r="9" spans="1:15" x14ac:dyDescent="0.25">
      <c r="A9" s="110" t="s">
        <v>80</v>
      </c>
      <c r="B9" s="72">
        <f t="shared" si="0"/>
        <v>8</v>
      </c>
      <c r="C9" s="73">
        <v>7</v>
      </c>
      <c r="D9" s="72">
        <v>2022</v>
      </c>
      <c r="E9" s="71">
        <f>Submetering!E9+Submetering!F9+Submetering!G9+Submetering!H9+Submetering!I9+Submetering!J9+Submetering!K9</f>
        <v>33569</v>
      </c>
      <c r="F9" s="74">
        <v>0.2</v>
      </c>
      <c r="G9" s="71">
        <f>Submetering!P9</f>
        <v>658</v>
      </c>
      <c r="H9" s="74">
        <v>6.47</v>
      </c>
      <c r="I9" s="71">
        <f>Submetering!T9-Submetering!T9*15%-Submetering!X9</f>
        <v>67367.334799999997</v>
      </c>
      <c r="J9" s="70">
        <v>0.21</v>
      </c>
      <c r="K9" s="71">
        <f>Submetering!N9-Submetering!O9</f>
        <v>116.66899999999805</v>
      </c>
      <c r="L9" s="74">
        <v>7.84</v>
      </c>
      <c r="M9" s="71">
        <f>Submetering!Y9</f>
        <v>64</v>
      </c>
      <c r="N9" s="104">
        <f>Submetering!Z9</f>
        <v>131</v>
      </c>
      <c r="O9" s="1" t="s">
        <v>12</v>
      </c>
    </row>
    <row r="10" spans="1:15" x14ac:dyDescent="0.25">
      <c r="A10" s="110" t="s">
        <v>80</v>
      </c>
      <c r="B10" s="72">
        <f t="shared" si="0"/>
        <v>9</v>
      </c>
      <c r="C10" s="73">
        <v>7</v>
      </c>
      <c r="D10" s="72">
        <v>2022</v>
      </c>
      <c r="E10" s="71">
        <f>Submetering!E10+Submetering!F10+Submetering!G10+Submetering!H10+Submetering!I10+Submetering!J10+Submetering!K10</f>
        <v>34093</v>
      </c>
      <c r="F10" s="74">
        <v>0.2</v>
      </c>
      <c r="G10" s="71">
        <f>Submetering!P10</f>
        <v>646</v>
      </c>
      <c r="H10" s="74">
        <v>6.47</v>
      </c>
      <c r="I10" s="71">
        <f>Submetering!T10-Submetering!T10*15%-Submetering!X10</f>
        <v>65617.627600001462</v>
      </c>
      <c r="J10" s="70">
        <v>0.21</v>
      </c>
      <c r="K10" s="71">
        <f>Submetering!N10-Submetering!O10</f>
        <v>113.09599999999591</v>
      </c>
      <c r="L10" s="74">
        <v>7.84</v>
      </c>
      <c r="M10" s="71">
        <f>Submetering!Y10</f>
        <v>77</v>
      </c>
      <c r="N10" s="104">
        <f>Submetering!Z10</f>
        <v>152</v>
      </c>
    </row>
    <row r="11" spans="1:15" x14ac:dyDescent="0.25">
      <c r="A11" s="110" t="s">
        <v>80</v>
      </c>
      <c r="B11" s="72">
        <f t="shared" si="0"/>
        <v>10</v>
      </c>
      <c r="C11" s="73">
        <v>7</v>
      </c>
      <c r="D11" s="72">
        <v>2022</v>
      </c>
      <c r="E11" s="71">
        <f>Submetering!E11+Submetering!F11+Submetering!G11+Submetering!H11+Submetering!I11+Submetering!J11+Submetering!K11</f>
        <v>33469</v>
      </c>
      <c r="F11" s="74">
        <v>0.2</v>
      </c>
      <c r="G11" s="71">
        <f>Submetering!P11</f>
        <v>592</v>
      </c>
      <c r="H11" s="74">
        <v>6.47</v>
      </c>
      <c r="I11" s="71">
        <f>Submetering!T11-Submetering!T11*15%-Submetering!X11</f>
        <v>73180.161800000002</v>
      </c>
      <c r="J11" s="70">
        <v>0.21</v>
      </c>
      <c r="K11" s="71">
        <f>Submetering!N11-Submetering!O11</f>
        <v>133.16200000000572</v>
      </c>
      <c r="L11" s="74">
        <v>7.84</v>
      </c>
      <c r="M11" s="71">
        <f>Submetering!Y11</f>
        <v>85</v>
      </c>
      <c r="N11" s="104">
        <f>Submetering!Z11</f>
        <v>172</v>
      </c>
    </row>
    <row r="12" spans="1:15" x14ac:dyDescent="0.25">
      <c r="A12" s="110" t="s">
        <v>80</v>
      </c>
      <c r="B12" s="72">
        <f t="shared" si="0"/>
        <v>11</v>
      </c>
      <c r="C12" s="73">
        <v>7</v>
      </c>
      <c r="D12" s="72">
        <v>2022</v>
      </c>
      <c r="E12" s="71">
        <f>Submetering!E12+Submetering!F12+Submetering!G12+Submetering!H12+Submetering!I12+Submetering!J12+Submetering!K12</f>
        <v>33850</v>
      </c>
      <c r="F12" s="74">
        <v>0.2</v>
      </c>
      <c r="G12" s="71">
        <f>Submetering!P12</f>
        <v>623</v>
      </c>
      <c r="H12" s="74">
        <v>6.47</v>
      </c>
      <c r="I12" s="71">
        <f>Submetering!T12-Submetering!T12*15%-Submetering!X12</f>
        <v>68438.866000001464</v>
      </c>
      <c r="J12" s="70">
        <v>0.21</v>
      </c>
      <c r="K12" s="71">
        <f>Submetering!N12-Submetering!O12</f>
        <v>103.92999999999574</v>
      </c>
      <c r="L12" s="74">
        <v>7.84</v>
      </c>
      <c r="M12" s="71">
        <f>Submetering!Y12</f>
        <v>74</v>
      </c>
      <c r="N12" s="104">
        <f>Submetering!Z12</f>
        <v>129</v>
      </c>
    </row>
    <row r="13" spans="1:15" x14ac:dyDescent="0.25">
      <c r="A13" s="110" t="s">
        <v>80</v>
      </c>
      <c r="B13" s="72">
        <f t="shared" si="0"/>
        <v>12</v>
      </c>
      <c r="C13" s="73">
        <v>7</v>
      </c>
      <c r="D13" s="72">
        <v>2022</v>
      </c>
      <c r="E13" s="71">
        <f>Submetering!E13+Submetering!F13+Submetering!G13+Submetering!H13+Submetering!I13+Submetering!J13+Submetering!K13</f>
        <v>33583</v>
      </c>
      <c r="F13" s="74">
        <v>0.2</v>
      </c>
      <c r="G13" s="71">
        <f>Submetering!P13</f>
        <v>619</v>
      </c>
      <c r="H13" s="74">
        <v>6.47</v>
      </c>
      <c r="I13" s="71">
        <f>Submetering!T13-Submetering!T13*15%-Submetering!X13</f>
        <v>75434.983399995632</v>
      </c>
      <c r="J13" s="70">
        <v>0.21</v>
      </c>
      <c r="K13" s="71">
        <f>Submetering!N13-Submetering!O13</f>
        <v>131.34500000000298</v>
      </c>
      <c r="L13" s="74">
        <v>7.84</v>
      </c>
      <c r="M13" s="71">
        <f>Submetering!Y13</f>
        <v>74</v>
      </c>
      <c r="N13" s="104">
        <f>Submetering!Z13</f>
        <v>120</v>
      </c>
    </row>
    <row r="14" spans="1:15" x14ac:dyDescent="0.25">
      <c r="A14" s="110" t="s">
        <v>80</v>
      </c>
      <c r="B14" s="72">
        <f t="shared" si="0"/>
        <v>13</v>
      </c>
      <c r="C14" s="73">
        <v>7</v>
      </c>
      <c r="D14" s="72">
        <v>2022</v>
      </c>
      <c r="E14" s="71">
        <f>Submetering!E14+Submetering!F14+Submetering!G14+Submetering!H14+Submetering!I14+Submetering!J14+Submetering!K14</f>
        <v>34125</v>
      </c>
      <c r="F14" s="74">
        <v>0.2</v>
      </c>
      <c r="G14" s="71">
        <f>Submetering!P14</f>
        <v>590</v>
      </c>
      <c r="H14" s="74">
        <v>6.47</v>
      </c>
      <c r="I14" s="71">
        <f>Submetering!T14-Submetering!T14*15%-Submetering!X14</f>
        <v>75047.995800002915</v>
      </c>
      <c r="J14" s="70">
        <v>0.21</v>
      </c>
      <c r="K14" s="71">
        <f>Submetering!N14-Submetering!O14</f>
        <v>88.36399999999685</v>
      </c>
      <c r="L14" s="74">
        <v>7.84</v>
      </c>
      <c r="M14" s="71">
        <f>Submetering!Y14</f>
        <v>69</v>
      </c>
      <c r="N14" s="104">
        <f>Submetering!Z14</f>
        <v>116</v>
      </c>
    </row>
    <row r="15" spans="1:15" x14ac:dyDescent="0.25">
      <c r="A15" s="110" t="s">
        <v>80</v>
      </c>
      <c r="B15" s="72">
        <f t="shared" si="0"/>
        <v>14</v>
      </c>
      <c r="C15" s="73">
        <v>7</v>
      </c>
      <c r="D15" s="72">
        <v>2022</v>
      </c>
      <c r="E15" s="71">
        <f>Submetering!E15+Submetering!F15+Submetering!G15+Submetering!H15+Submetering!I15+Submetering!J15+Submetering!K15</f>
        <v>34233</v>
      </c>
      <c r="F15" s="74">
        <v>0.2</v>
      </c>
      <c r="G15" s="71">
        <f>Submetering!P15</f>
        <v>590</v>
      </c>
      <c r="H15" s="74">
        <v>6.47</v>
      </c>
      <c r="I15" s="71">
        <f>Submetering!T15-Submetering!T15*15%-Submetering!X15</f>
        <v>96363.257000002908</v>
      </c>
      <c r="J15" s="70">
        <v>0.21</v>
      </c>
      <c r="K15" s="81">
        <f>Submetering!N15-Submetering!O15</f>
        <v>114.87400000000616</v>
      </c>
      <c r="L15" s="74">
        <v>7.84</v>
      </c>
      <c r="M15" s="71">
        <f>Submetering!Y15</f>
        <v>75</v>
      </c>
      <c r="N15" s="104">
        <f>Submetering!Z15</f>
        <v>131</v>
      </c>
    </row>
    <row r="16" spans="1:15" x14ac:dyDescent="0.25">
      <c r="A16" s="110" t="s">
        <v>80</v>
      </c>
      <c r="B16" s="72">
        <f t="shared" si="0"/>
        <v>15</v>
      </c>
      <c r="C16" s="73">
        <v>7</v>
      </c>
      <c r="D16" s="72">
        <v>2022</v>
      </c>
      <c r="E16" s="71">
        <f>Submetering!E16+Submetering!F16+Submetering!G16+Submetering!H16+Submetering!I16+Submetering!J16+Submetering!K16</f>
        <v>32643</v>
      </c>
      <c r="F16" s="74">
        <v>0.2</v>
      </c>
      <c r="G16" s="71">
        <f>Submetering!P16</f>
        <v>572</v>
      </c>
      <c r="H16" s="74">
        <v>6.47</v>
      </c>
      <c r="I16" s="71">
        <f>Submetering!T16-Submetering!T16*15%-Submetering!X16</f>
        <v>54491.756999994177</v>
      </c>
      <c r="J16" s="70">
        <v>0.21</v>
      </c>
      <c r="K16" s="71">
        <f>Submetering!N16-Submetering!O16</f>
        <v>122.29999999999836</v>
      </c>
      <c r="L16" s="74">
        <v>7.84</v>
      </c>
      <c r="M16" s="71">
        <f>Submetering!Y16</f>
        <v>50</v>
      </c>
      <c r="N16" s="104">
        <f>Submetering!Z16</f>
        <v>96</v>
      </c>
    </row>
    <row r="17" spans="1:14" x14ac:dyDescent="0.25">
      <c r="A17" s="110" t="s">
        <v>80</v>
      </c>
      <c r="B17" s="72">
        <f t="shared" si="0"/>
        <v>16</v>
      </c>
      <c r="C17" s="73">
        <v>7</v>
      </c>
      <c r="D17" s="72">
        <v>2022</v>
      </c>
      <c r="E17" s="71">
        <f>Submetering!E17+Submetering!F17+Submetering!G17+Submetering!H17+Submetering!I17+Submetering!J17+Submetering!K17</f>
        <v>33302</v>
      </c>
      <c r="F17" s="74">
        <v>0.2</v>
      </c>
      <c r="G17" s="71">
        <f>Submetering!P17</f>
        <v>532</v>
      </c>
      <c r="H17" s="74">
        <v>6.47</v>
      </c>
      <c r="I17" s="71">
        <f>Submetering!T17-Submetering!T17*15%-Submetering!X17</f>
        <v>68392.02440000145</v>
      </c>
      <c r="J17" s="70">
        <v>0.21</v>
      </c>
      <c r="K17" s="71">
        <f>Submetering!N17-Submetering!O17</f>
        <v>84.803999999998268</v>
      </c>
      <c r="L17" s="74">
        <v>7.84</v>
      </c>
      <c r="M17" s="71">
        <f>Submetering!Y17</f>
        <v>43</v>
      </c>
      <c r="N17" s="104">
        <f>Submetering!Z17</f>
        <v>74</v>
      </c>
    </row>
    <row r="18" spans="1:14" x14ac:dyDescent="0.25">
      <c r="A18" s="110" t="s">
        <v>80</v>
      </c>
      <c r="B18" s="72">
        <f t="shared" si="0"/>
        <v>17</v>
      </c>
      <c r="C18" s="73">
        <v>7</v>
      </c>
      <c r="D18" s="72">
        <v>2022</v>
      </c>
      <c r="E18" s="71">
        <f>Submetering!E18+Submetering!F18+Submetering!G18+Submetering!H18+Submetering!I18+Submetering!J18+Submetering!K18</f>
        <v>32393</v>
      </c>
      <c r="F18" s="74">
        <v>0.2</v>
      </c>
      <c r="G18" s="71">
        <f>Submetering!P18</f>
        <v>559</v>
      </c>
      <c r="H18" s="74">
        <v>6.47</v>
      </c>
      <c r="I18" s="71">
        <f>Submetering!T18-Submetering!T18*15%-Submetering!X18</f>
        <v>70422.9372</v>
      </c>
      <c r="J18" s="70">
        <v>0.21</v>
      </c>
      <c r="K18" s="71">
        <f>Submetering!N18-Submetering!O18</f>
        <v>92.633999999998196</v>
      </c>
      <c r="L18" s="74">
        <v>7.84</v>
      </c>
      <c r="M18" s="71">
        <f>Submetering!Y18</f>
        <v>49</v>
      </c>
      <c r="N18" s="104">
        <f>Submetering!Z18</f>
        <v>87</v>
      </c>
    </row>
    <row r="19" spans="1:14" x14ac:dyDescent="0.25">
      <c r="A19" s="110" t="s">
        <v>80</v>
      </c>
      <c r="B19" s="72">
        <f t="shared" si="0"/>
        <v>18</v>
      </c>
      <c r="C19" s="73">
        <v>7</v>
      </c>
      <c r="D19" s="72">
        <v>2022</v>
      </c>
      <c r="E19" s="71">
        <f>Submetering!E19+Submetering!F19+Submetering!G19+Submetering!H19+Submetering!I19+Submetering!J19+Submetering!K19</f>
        <v>31277</v>
      </c>
      <c r="F19" s="74">
        <v>0.2</v>
      </c>
      <c r="G19" s="71">
        <f>Submetering!P19</f>
        <v>604</v>
      </c>
      <c r="H19" s="74">
        <v>6.47</v>
      </c>
      <c r="I19" s="71">
        <f>Submetering!T19-Submetering!T19*15%-Submetering!X19</f>
        <v>63639.010399998544</v>
      </c>
      <c r="J19" s="70">
        <v>0.21</v>
      </c>
      <c r="K19" s="71">
        <f>Submetering!N19-Submetering!O19</f>
        <v>116.78600000000188</v>
      </c>
      <c r="L19" s="74">
        <v>7.84</v>
      </c>
      <c r="M19" s="71">
        <f>Submetering!Y19</f>
        <v>51</v>
      </c>
      <c r="N19" s="104">
        <f>Submetering!Z19</f>
        <v>78</v>
      </c>
    </row>
    <row r="20" spans="1:14" x14ac:dyDescent="0.25">
      <c r="A20" s="110" t="s">
        <v>80</v>
      </c>
      <c r="B20" s="72">
        <f t="shared" si="0"/>
        <v>19</v>
      </c>
      <c r="C20" s="73">
        <v>7</v>
      </c>
      <c r="D20" s="72">
        <v>2022</v>
      </c>
      <c r="E20" s="71">
        <f>Submetering!E20+Submetering!F20+Submetering!G20+Submetering!H20+Submetering!I20+Submetering!J20+Submetering!K20</f>
        <v>31366</v>
      </c>
      <c r="F20" s="74">
        <v>0.2</v>
      </c>
      <c r="G20" s="71">
        <f>Submetering!P20</f>
        <v>627</v>
      </c>
      <c r="H20" s="74">
        <v>6.47</v>
      </c>
      <c r="I20" s="71">
        <f>Submetering!T20-Submetering!T20*15%-Submetering!X20</f>
        <v>65549.198200004364</v>
      </c>
      <c r="J20" s="70">
        <v>0.21</v>
      </c>
      <c r="K20" s="71">
        <f>Submetering!N20-Submetering!O20</f>
        <v>129.6989999999978</v>
      </c>
      <c r="L20" s="74">
        <v>7.84</v>
      </c>
      <c r="M20" s="71">
        <f>Submetering!Y20</f>
        <v>63</v>
      </c>
      <c r="N20" s="104">
        <f>Submetering!Z20</f>
        <v>92</v>
      </c>
    </row>
    <row r="21" spans="1:14" x14ac:dyDescent="0.25">
      <c r="A21" s="110" t="s">
        <v>80</v>
      </c>
      <c r="B21" s="72">
        <f t="shared" si="0"/>
        <v>20</v>
      </c>
      <c r="C21" s="73">
        <v>7</v>
      </c>
      <c r="D21" s="72">
        <v>2022</v>
      </c>
      <c r="E21" s="71">
        <f>Submetering!E21+Submetering!F21+Submetering!G21+Submetering!H21+Submetering!I21+Submetering!J21+Submetering!K21</f>
        <v>30900</v>
      </c>
      <c r="F21" s="74">
        <v>0.2</v>
      </c>
      <c r="G21" s="71">
        <f>Submetering!P21</f>
        <v>648</v>
      </c>
      <c r="H21" s="74">
        <v>6.47</v>
      </c>
      <c r="I21" s="71">
        <f>Submetering!T21-Submetering!T21*15%-Submetering!X21</f>
        <v>66042.984800001446</v>
      </c>
      <c r="J21" s="70">
        <v>0.21</v>
      </c>
      <c r="K21" s="71">
        <f>Submetering!N21-Submetering!O21</f>
        <v>109.65400000000136</v>
      </c>
      <c r="L21" s="74">
        <v>7.84</v>
      </c>
      <c r="M21" s="71">
        <f>Submetering!Y21</f>
        <v>59</v>
      </c>
      <c r="N21" s="104">
        <f>Submetering!Z21</f>
        <v>89</v>
      </c>
    </row>
    <row r="22" spans="1:14" x14ac:dyDescent="0.25">
      <c r="A22" s="110" t="s">
        <v>80</v>
      </c>
      <c r="B22" s="72">
        <f t="shared" si="0"/>
        <v>21</v>
      </c>
      <c r="C22" s="73">
        <v>7</v>
      </c>
      <c r="D22" s="72">
        <v>2022</v>
      </c>
      <c r="E22" s="71">
        <f>Submetering!E22+Submetering!F22+Submetering!G22+Submetering!H22+Submetering!I22+Submetering!J22+Submetering!K22</f>
        <v>31297</v>
      </c>
      <c r="F22" s="74">
        <v>0.2</v>
      </c>
      <c r="G22" s="71">
        <f>Submetering!P22</f>
        <v>665</v>
      </c>
      <c r="H22" s="74">
        <v>6.47</v>
      </c>
      <c r="I22" s="71">
        <f>Submetering!T22-Submetering!T22*15%-Submetering!X22</f>
        <v>67953.881199994183</v>
      </c>
      <c r="J22" s="70">
        <v>0.21</v>
      </c>
      <c r="K22" s="71">
        <f>Submetering!N22-Submetering!O22</f>
        <v>126.53300000000218</v>
      </c>
      <c r="L22" s="74">
        <v>7.84</v>
      </c>
      <c r="M22" s="71">
        <f>Submetering!Y22</f>
        <v>69</v>
      </c>
      <c r="N22" s="104">
        <f>Submetering!Z22</f>
        <v>100</v>
      </c>
    </row>
    <row r="23" spans="1:14" x14ac:dyDescent="0.25">
      <c r="A23" s="110" t="s">
        <v>80</v>
      </c>
      <c r="B23" s="72">
        <f t="shared" si="0"/>
        <v>22</v>
      </c>
      <c r="C23" s="73">
        <v>7</v>
      </c>
      <c r="D23" s="72">
        <v>2022</v>
      </c>
      <c r="E23" s="71">
        <f>Submetering!E23+Submetering!F23+Submetering!G23+Submetering!H23+Submetering!I23+Submetering!J23+Submetering!K23</f>
        <v>31608</v>
      </c>
      <c r="F23" s="74">
        <v>0.2</v>
      </c>
      <c r="G23" s="71">
        <f>Submetering!P23</f>
        <v>647</v>
      </c>
      <c r="H23" s="74">
        <v>6.47</v>
      </c>
      <c r="I23" s="71">
        <f>Submetering!T23-Submetering!T23*15%-Submetering!X23</f>
        <v>70892.383600002911</v>
      </c>
      <c r="J23" s="70">
        <v>0.21</v>
      </c>
      <c r="K23" s="71">
        <f>Submetering!N23-Submetering!O23</f>
        <v>112.03399999999692</v>
      </c>
      <c r="L23" s="74">
        <v>7.84</v>
      </c>
      <c r="M23" s="71">
        <f>Submetering!Y23</f>
        <v>38</v>
      </c>
      <c r="N23" s="104">
        <f>Submetering!Z23</f>
        <v>71</v>
      </c>
    </row>
    <row r="24" spans="1:14" x14ac:dyDescent="0.25">
      <c r="A24" s="110" t="s">
        <v>80</v>
      </c>
      <c r="B24" s="72">
        <f t="shared" si="0"/>
        <v>23</v>
      </c>
      <c r="C24" s="73">
        <v>7</v>
      </c>
      <c r="D24" s="72">
        <v>2022</v>
      </c>
      <c r="E24" s="71">
        <f>Submetering!E24+Submetering!F24+Submetering!G24+Submetering!H24+Submetering!I24+Submetering!J24+Submetering!K24</f>
        <v>31494</v>
      </c>
      <c r="F24" s="74">
        <v>0.2</v>
      </c>
      <c r="G24" s="71">
        <f>Submetering!P24</f>
        <v>633</v>
      </c>
      <c r="H24" s="74">
        <v>6.47</v>
      </c>
      <c r="I24" s="71">
        <f>Submetering!T24-Submetering!T24*15%-Submetering!X24</f>
        <v>75281.301800001456</v>
      </c>
      <c r="J24" s="70">
        <v>0.21</v>
      </c>
      <c r="K24" s="71">
        <f>Submetering!N24-Submetering!O24</f>
        <v>104.23499999999967</v>
      </c>
      <c r="L24" s="74">
        <v>7.84</v>
      </c>
      <c r="M24" s="71">
        <f>Submetering!Y24</f>
        <v>31</v>
      </c>
      <c r="N24" s="104">
        <f>Submetering!Z24</f>
        <v>69</v>
      </c>
    </row>
    <row r="25" spans="1:14" x14ac:dyDescent="0.25">
      <c r="A25" s="110" t="s">
        <v>80</v>
      </c>
      <c r="B25" s="72">
        <f t="shared" si="0"/>
        <v>24</v>
      </c>
      <c r="C25" s="73">
        <v>7</v>
      </c>
      <c r="D25" s="72">
        <v>2022</v>
      </c>
      <c r="E25" s="71">
        <f>Submetering!E25+Submetering!F25+Submetering!G25+Submetering!H25+Submetering!I25+Submetering!J25+Submetering!K25</f>
        <v>31040</v>
      </c>
      <c r="F25" s="74">
        <v>0.2</v>
      </c>
      <c r="G25" s="71">
        <f>Submetering!P25</f>
        <v>541</v>
      </c>
      <c r="H25" s="74">
        <v>6.47</v>
      </c>
      <c r="I25" s="71">
        <f>Submetering!T25-Submetering!T25*15%-Submetering!X25</f>
        <v>77033.997600000002</v>
      </c>
      <c r="J25" s="70">
        <v>0.21</v>
      </c>
      <c r="K25" s="71">
        <f>Submetering!N25-Submetering!O25</f>
        <v>116.3410000000049</v>
      </c>
      <c r="L25" s="74">
        <v>7.84</v>
      </c>
      <c r="M25" s="71">
        <f>Submetering!Y25</f>
        <v>37</v>
      </c>
      <c r="N25" s="104">
        <f>Submetering!Z25</f>
        <v>58</v>
      </c>
    </row>
    <row r="26" spans="1:14" x14ac:dyDescent="0.25">
      <c r="A26" s="110" t="s">
        <v>80</v>
      </c>
      <c r="B26" s="72">
        <f>B25+1</f>
        <v>25</v>
      </c>
      <c r="C26" s="73">
        <v>7</v>
      </c>
      <c r="D26" s="72">
        <v>2022</v>
      </c>
      <c r="E26" s="71">
        <f>Submetering!E26+Submetering!F26+Submetering!G26+Submetering!H26+Submetering!I26+Submetering!J26+Submetering!K26</f>
        <v>32961</v>
      </c>
      <c r="F26" s="74">
        <v>0.2</v>
      </c>
      <c r="G26" s="71">
        <f>Submetering!P26</f>
        <v>597</v>
      </c>
      <c r="H26" s="74">
        <v>6.47</v>
      </c>
      <c r="I26" s="71">
        <f>Submetering!T26-Submetering!T26*15%-Submetering!X26</f>
        <v>76900.650599995643</v>
      </c>
      <c r="J26" s="70">
        <v>0.21</v>
      </c>
      <c r="K26" s="71">
        <f>Submetering!N26-Submetering!O26</f>
        <v>110.36999999999443</v>
      </c>
      <c r="L26" s="74">
        <v>7.84</v>
      </c>
      <c r="M26" s="71">
        <f>Submetering!Y26</f>
        <v>56</v>
      </c>
      <c r="N26" s="104">
        <f>Submetering!Z26</f>
        <v>82</v>
      </c>
    </row>
    <row r="27" spans="1:14" x14ac:dyDescent="0.25">
      <c r="A27" s="110" t="s">
        <v>80</v>
      </c>
      <c r="B27" s="72">
        <f t="shared" si="0"/>
        <v>26</v>
      </c>
      <c r="C27" s="73">
        <v>7</v>
      </c>
      <c r="D27" s="72">
        <v>2022</v>
      </c>
      <c r="E27" s="71">
        <f>Submetering!E27+Submetering!F27+Submetering!G27+Submetering!H27+Submetering!I27+Submetering!J27+Submetering!K27</f>
        <v>32771</v>
      </c>
      <c r="F27" s="74">
        <v>0.2</v>
      </c>
      <c r="G27" s="71">
        <f>Submetering!P27</f>
        <v>627</v>
      </c>
      <c r="H27" s="74">
        <v>6.47</v>
      </c>
      <c r="I27" s="71">
        <f>Submetering!T27-Submetering!T27*15%-Submetering!X27</f>
        <v>62102.1204</v>
      </c>
      <c r="J27" s="70">
        <v>0.21</v>
      </c>
      <c r="K27" s="71">
        <f>Submetering!N27-Submetering!O27</f>
        <v>109.6340000000082</v>
      </c>
      <c r="L27" s="74">
        <v>7.84</v>
      </c>
      <c r="M27" s="71">
        <f>Submetering!Y27</f>
        <v>73</v>
      </c>
      <c r="N27" s="104">
        <f>Submetering!Z27</f>
        <v>102</v>
      </c>
    </row>
    <row r="28" spans="1:14" x14ac:dyDescent="0.25">
      <c r="A28" s="110" t="s">
        <v>80</v>
      </c>
      <c r="B28" s="72">
        <f t="shared" si="0"/>
        <v>27</v>
      </c>
      <c r="C28" s="73">
        <v>7</v>
      </c>
      <c r="D28" s="72">
        <v>2022</v>
      </c>
      <c r="E28" s="71">
        <f>Submetering!E28+Submetering!F28+Submetering!G28+Submetering!H28+Submetering!I28+Submetering!J28+Submetering!K28</f>
        <v>33793</v>
      </c>
      <c r="F28" s="74">
        <v>0.2</v>
      </c>
      <c r="G28" s="71">
        <f>Submetering!P28</f>
        <v>641</v>
      </c>
      <c r="H28" s="74">
        <v>6.47</v>
      </c>
      <c r="I28" s="71">
        <f>Submetering!T28-Submetering!T28*15%-Submetering!X28</f>
        <v>64088.912800000006</v>
      </c>
      <c r="J28" s="70">
        <v>0.21</v>
      </c>
      <c r="K28" s="71">
        <f>Submetering!N28-Submetering!O28</f>
        <v>121.9869999999928</v>
      </c>
      <c r="L28" s="74">
        <v>7.84</v>
      </c>
      <c r="M28" s="71">
        <f>Submetering!Y28</f>
        <v>79</v>
      </c>
      <c r="N28" s="104">
        <f>Submetering!Z28</f>
        <v>124</v>
      </c>
    </row>
    <row r="29" spans="1:14" x14ac:dyDescent="0.25">
      <c r="A29" s="110" t="s">
        <v>80</v>
      </c>
      <c r="B29" s="72">
        <f t="shared" si="0"/>
        <v>28</v>
      </c>
      <c r="C29" s="73">
        <v>7</v>
      </c>
      <c r="D29" s="72">
        <v>2022</v>
      </c>
      <c r="E29" s="71">
        <f>Submetering!E29+Submetering!F29+Submetering!G29+Submetering!H29+Submetering!I29+Submetering!J29+Submetering!K29</f>
        <v>33789</v>
      </c>
      <c r="F29" s="74">
        <v>0.2</v>
      </c>
      <c r="G29" s="71">
        <f>Submetering!P29</f>
        <v>619</v>
      </c>
      <c r="H29" s="74">
        <v>6.47</v>
      </c>
      <c r="I29" s="71">
        <f>Submetering!T29-Submetering!T29*15%-Submetering!X29</f>
        <v>62921.941600004357</v>
      </c>
      <c r="J29" s="70">
        <v>0.21</v>
      </c>
      <c r="K29" s="71">
        <f>Submetering!N29-Submetering!O29</f>
        <v>108.43200000000706</v>
      </c>
      <c r="L29" s="74">
        <v>7.84</v>
      </c>
      <c r="M29" s="71">
        <f>Submetering!Y29</f>
        <v>57</v>
      </c>
      <c r="N29" s="104">
        <f>Submetering!Z29</f>
        <v>102</v>
      </c>
    </row>
    <row r="30" spans="1:14" x14ac:dyDescent="0.25">
      <c r="A30" s="110" t="s">
        <v>80</v>
      </c>
      <c r="B30" s="72">
        <f t="shared" si="0"/>
        <v>29</v>
      </c>
      <c r="C30" s="73">
        <v>7</v>
      </c>
      <c r="D30" s="72">
        <v>2022</v>
      </c>
      <c r="E30" s="71">
        <f>Submetering!E30+Submetering!F30+Submetering!G30+Submetering!H30+Submetering!I30+Submetering!J30+Submetering!K30</f>
        <v>32766</v>
      </c>
      <c r="F30" s="74">
        <v>0.2</v>
      </c>
      <c r="G30" s="71">
        <f>Submetering!P30</f>
        <v>640</v>
      </c>
      <c r="H30" s="74">
        <v>6.47</v>
      </c>
      <c r="I30" s="71">
        <f>Submetering!T30-Submetering!T30*15%-Submetering!X30</f>
        <v>65174.483200001458</v>
      </c>
      <c r="J30" s="70">
        <v>0.21</v>
      </c>
      <c r="K30" s="71">
        <f>Submetering!N30-Submetering!O30</f>
        <v>124.32999999999356</v>
      </c>
      <c r="L30" s="74">
        <v>7.84</v>
      </c>
      <c r="M30" s="71">
        <f>Submetering!Y30</f>
        <v>53</v>
      </c>
      <c r="N30" s="104">
        <f>Submetering!Z30</f>
        <v>97</v>
      </c>
    </row>
    <row r="31" spans="1:14" x14ac:dyDescent="0.25">
      <c r="A31" s="110" t="s">
        <v>80</v>
      </c>
      <c r="B31" s="72">
        <f t="shared" si="0"/>
        <v>30</v>
      </c>
      <c r="C31" s="73">
        <v>7</v>
      </c>
      <c r="D31" s="72">
        <v>2022</v>
      </c>
      <c r="E31" s="71">
        <f>Submetering!E31+Submetering!F31+Submetering!G31+Submetering!H31+Submetering!I31+Submetering!J31+Submetering!K31</f>
        <v>33465</v>
      </c>
      <c r="F31" s="74">
        <v>0.2</v>
      </c>
      <c r="G31" s="71">
        <f>Submetering!P31</f>
        <v>604</v>
      </c>
      <c r="H31" s="74">
        <v>6.47</v>
      </c>
      <c r="I31" s="71">
        <f>Submetering!T31-Submetering!T31*15%-Submetering!X31</f>
        <v>63887.731799995643</v>
      </c>
      <c r="J31" s="70">
        <v>0.21</v>
      </c>
      <c r="K31" s="71">
        <f>Submetering!N31-Submetering!O31</f>
        <v>106.00000000000364</v>
      </c>
      <c r="L31" s="74">
        <v>7.84</v>
      </c>
      <c r="M31" s="71">
        <f>Submetering!Y31</f>
        <v>47</v>
      </c>
      <c r="N31" s="104">
        <f>Submetering!Z31</f>
        <v>92</v>
      </c>
    </row>
    <row r="32" spans="1:14" x14ac:dyDescent="0.25">
      <c r="A32" s="110" t="s">
        <v>80</v>
      </c>
      <c r="B32" s="72">
        <f t="shared" si="0"/>
        <v>31</v>
      </c>
      <c r="C32" s="73">
        <v>7</v>
      </c>
      <c r="D32" s="72">
        <v>2022</v>
      </c>
      <c r="E32" s="71">
        <f>Submetering!E32+Submetering!F32+Submetering!G32+Submetering!H32+Submetering!I32+Submetering!J32+Submetering!K32</f>
        <v>31265</v>
      </c>
      <c r="F32" s="74">
        <v>0.2</v>
      </c>
      <c r="G32" s="71">
        <f>Submetering!P32</f>
        <v>533</v>
      </c>
      <c r="H32" s="74">
        <v>6.47</v>
      </c>
      <c r="I32" s="71">
        <f>Submetering!T32-Submetering!T32*15%-Submetering!X32</f>
        <v>59841.126399998553</v>
      </c>
      <c r="J32" s="70">
        <v>0.21</v>
      </c>
      <c r="K32" s="71">
        <f>Submetering!N32-Submetering!O32</f>
        <v>105.57099999999627</v>
      </c>
      <c r="L32" s="74">
        <v>7.84</v>
      </c>
      <c r="M32" s="71">
        <f>Submetering!Y32</f>
        <v>50</v>
      </c>
      <c r="N32" s="104">
        <f>Submetering!Z32</f>
        <v>87</v>
      </c>
    </row>
    <row r="33" spans="5:14" x14ac:dyDescent="0.25">
      <c r="E33" s="4">
        <f>SUM(E2:E32)</f>
        <v>1029556</v>
      </c>
      <c r="G33" s="4">
        <f>SUM(G2:G32)</f>
        <v>19321</v>
      </c>
      <c r="I33" s="4">
        <f>SUM(I2:I32)</f>
        <v>2184063.4583999971</v>
      </c>
      <c r="K33" s="4">
        <f>SUM(K2:K32)</f>
        <v>3532.4800000000951</v>
      </c>
      <c r="M33" s="4">
        <f>SUM(M2:M32)</f>
        <v>1924</v>
      </c>
      <c r="N33" s="4">
        <f>SUM(N2:N32)</f>
        <v>3331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Z33" sqref="Z33"/>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7</v>
      </c>
      <c r="D2" s="99">
        <v>2022</v>
      </c>
      <c r="E2" s="101">
        <f>'FS-AD Daily '!B6</f>
        <v>6050</v>
      </c>
      <c r="F2" s="101">
        <f>'FS-AD Daily '!C6</f>
        <v>3974</v>
      </c>
      <c r="G2" s="101">
        <f>'FS-AD Daily '!D6</f>
        <v>951</v>
      </c>
      <c r="H2" s="101">
        <f>'FS-AD Daily '!E6</f>
        <v>7516</v>
      </c>
      <c r="I2" s="101">
        <f>'FS-AD Daily '!F6</f>
        <v>6150</v>
      </c>
      <c r="J2" s="101">
        <f>'FS-AD Daily '!G6</f>
        <v>3047</v>
      </c>
      <c r="K2" s="101">
        <f>'FS-AD Daily '!H6</f>
        <v>8622</v>
      </c>
      <c r="L2" s="101">
        <f>'FS-AD Daily '!I6</f>
        <v>2366</v>
      </c>
      <c r="M2" s="101">
        <f>'FS-AD Daily '!J6</f>
        <v>7188</v>
      </c>
      <c r="N2" s="101">
        <f>'FS-AD Daily '!T6</f>
        <v>217.59000000000378</v>
      </c>
      <c r="O2" s="101">
        <f>'FS-AD Daily '!R6</f>
        <v>82.265999999999622</v>
      </c>
      <c r="P2" s="101">
        <f>'FS-AD Daily '!Z6</f>
        <v>717</v>
      </c>
      <c r="Q2" s="101">
        <f>'FS-AD Daily '!V6</f>
        <v>154</v>
      </c>
      <c r="R2" s="101">
        <f>'FS-AD Daily '!W6</f>
        <v>179.77999999999884</v>
      </c>
      <c r="S2" s="101">
        <f>P2-Q2-R2</f>
        <v>383.22000000000116</v>
      </c>
      <c r="T2" s="101">
        <f>'FS-AD Daily '!AD6*3.516</f>
        <v>123193.60800000001</v>
      </c>
      <c r="U2" s="101">
        <f>('FS-AD Daily '!AF6)*1000</f>
        <v>61000</v>
      </c>
      <c r="V2" s="101">
        <f>('FS-AD Daily '!AG6)*1000</f>
        <v>0</v>
      </c>
      <c r="W2" s="101">
        <f>'FS-AD Daily '!AH6*1000</f>
        <v>17000</v>
      </c>
      <c r="X2" s="101">
        <f>('FS-AD Daily '!AK6)*1000</f>
        <v>34000</v>
      </c>
      <c r="Y2" s="101">
        <f>'FS-AD Daily '!AN6</f>
        <v>71</v>
      </c>
      <c r="Z2" s="102">
        <v>126</v>
      </c>
    </row>
    <row r="3" spans="1:26" x14ac:dyDescent="0.25">
      <c r="A3" s="103" t="s">
        <v>80</v>
      </c>
      <c r="B3" s="69">
        <f>B2+1</f>
        <v>2</v>
      </c>
      <c r="C3" s="70">
        <v>7</v>
      </c>
      <c r="D3" s="69">
        <v>2022</v>
      </c>
      <c r="E3" s="71">
        <f>'FS-AD Daily '!B7</f>
        <v>5549</v>
      </c>
      <c r="F3" s="71">
        <f>'FS-AD Daily '!C7</f>
        <v>3896</v>
      </c>
      <c r="G3" s="71">
        <f>'FS-AD Daily '!D7</f>
        <v>963</v>
      </c>
      <c r="H3" s="71">
        <f>'FS-AD Daily '!E7</f>
        <v>7364</v>
      </c>
      <c r="I3" s="71">
        <f>'FS-AD Daily '!F7</f>
        <v>5931</v>
      </c>
      <c r="J3" s="71">
        <f>'FS-AD Daily '!G7</f>
        <v>3010</v>
      </c>
      <c r="K3" s="71">
        <f>'FS-AD Daily '!H7</f>
        <v>8183</v>
      </c>
      <c r="L3" s="71">
        <f>'FS-AD Daily '!I7</f>
        <v>2320</v>
      </c>
      <c r="M3" s="71">
        <f>'FS-AD Daily '!J7</f>
        <v>7164</v>
      </c>
      <c r="N3" s="71">
        <f>'FS-AD Daily '!T7</f>
        <v>190.28499999999985</v>
      </c>
      <c r="O3" s="71">
        <f>'FS-AD Daily '!R7</f>
        <v>89.748999999997977</v>
      </c>
      <c r="P3" s="71">
        <f>'FS-AD Daily '!Z7</f>
        <v>716</v>
      </c>
      <c r="Q3" s="71">
        <f>'FS-AD Daily '!V7</f>
        <v>156.79999999998836</v>
      </c>
      <c r="R3" s="71">
        <f>'FS-AD Daily '!W7</f>
        <v>179.31999999997788</v>
      </c>
      <c r="S3" s="71">
        <f t="shared" ref="S3:S30" si="0">P3-Q3-R3</f>
        <v>379.88000000003376</v>
      </c>
      <c r="T3" s="71">
        <f>'FS-AD Daily '!AD7*3.516</f>
        <v>134631.15599999999</v>
      </c>
      <c r="U3" s="71">
        <f>('FS-AD Daily '!AF7)*1000</f>
        <v>69000</v>
      </c>
      <c r="V3" s="71">
        <f>('FS-AD Daily '!AG7)*1000</f>
        <v>0</v>
      </c>
      <c r="W3" s="71">
        <f>'FS-AD Daily '!AH7*1000</f>
        <v>17000</v>
      </c>
      <c r="X3" s="71">
        <f>('FS-AD Daily '!AK7)*1000</f>
        <v>35000</v>
      </c>
      <c r="Y3" s="71">
        <f>'FS-AD Daily '!AN7</f>
        <v>66</v>
      </c>
      <c r="Z3" s="104">
        <v>132</v>
      </c>
    </row>
    <row r="4" spans="1:26" x14ac:dyDescent="0.25">
      <c r="A4" s="103" t="s">
        <v>80</v>
      </c>
      <c r="B4" s="69">
        <f t="shared" ref="B4:B32" si="1">B3+1</f>
        <v>3</v>
      </c>
      <c r="C4" s="70">
        <v>7</v>
      </c>
      <c r="D4" s="69">
        <v>2022</v>
      </c>
      <c r="E4" s="71">
        <f>'FS-AD Daily '!B8</f>
        <v>5554</v>
      </c>
      <c r="F4" s="71">
        <f>'FS-AD Daily '!C8</f>
        <v>3911</v>
      </c>
      <c r="G4" s="71">
        <f>'FS-AD Daily '!D8</f>
        <v>908</v>
      </c>
      <c r="H4" s="71">
        <f>'FS-AD Daily '!E8</f>
        <v>7396</v>
      </c>
      <c r="I4" s="71">
        <f>'FS-AD Daily '!F8</f>
        <v>5824</v>
      </c>
      <c r="J4" s="71">
        <f>'FS-AD Daily '!G8</f>
        <v>2947</v>
      </c>
      <c r="K4" s="71">
        <f>'FS-AD Daily '!H8</f>
        <v>8078</v>
      </c>
      <c r="L4" s="71">
        <f>'FS-AD Daily '!I8</f>
        <v>2367</v>
      </c>
      <c r="M4" s="71">
        <f>'FS-AD Daily '!J8</f>
        <v>7082</v>
      </c>
      <c r="N4" s="71">
        <f>'FS-AD Daily '!T8</f>
        <v>190.31899999999951</v>
      </c>
      <c r="O4" s="71">
        <f>'FS-AD Daily '!R8</f>
        <v>81.318000000002939</v>
      </c>
      <c r="P4" s="71">
        <f>'FS-AD Daily '!Z8</f>
        <v>678</v>
      </c>
      <c r="Q4" s="71">
        <f>'FS-AD Daily '!V8</f>
        <v>152.10000000003492</v>
      </c>
      <c r="R4" s="71">
        <f>'FS-AD Daily '!W8</f>
        <v>182.90000000002328</v>
      </c>
      <c r="S4" s="71">
        <f t="shared" si="0"/>
        <v>342.99999999994179</v>
      </c>
      <c r="T4" s="71">
        <f>'FS-AD Daily '!AD8*3.516</f>
        <v>134704.992</v>
      </c>
      <c r="U4" s="71">
        <f>('FS-AD Daily '!AF8)*1000</f>
        <v>69000</v>
      </c>
      <c r="V4" s="71">
        <f>('FS-AD Daily '!AG8)*1000</f>
        <v>0</v>
      </c>
      <c r="W4" s="71">
        <f>'FS-AD Daily '!AH8*1000</f>
        <v>18000</v>
      </c>
      <c r="X4" s="71">
        <f>('FS-AD Daily '!AK8)*1000</f>
        <v>35000</v>
      </c>
      <c r="Y4" s="71">
        <f>'FS-AD Daily '!AN8</f>
        <v>74</v>
      </c>
      <c r="Z4" s="104">
        <v>131</v>
      </c>
    </row>
    <row r="5" spans="1:26" x14ac:dyDescent="0.25">
      <c r="A5" s="103" t="s">
        <v>80</v>
      </c>
      <c r="B5" s="69">
        <f t="shared" si="1"/>
        <v>4</v>
      </c>
      <c r="C5" s="70">
        <v>7</v>
      </c>
      <c r="D5" s="69">
        <v>2022</v>
      </c>
      <c r="E5" s="71">
        <f>'FS-AD Daily '!B9</f>
        <v>5849</v>
      </c>
      <c r="F5" s="71">
        <f>'FS-AD Daily '!C9</f>
        <v>4340</v>
      </c>
      <c r="G5" s="71">
        <f>'FS-AD Daily '!D9</f>
        <v>928</v>
      </c>
      <c r="H5" s="71">
        <f>'FS-AD Daily '!E9</f>
        <v>7566</v>
      </c>
      <c r="I5" s="71">
        <f>'FS-AD Daily '!F9</f>
        <v>6081</v>
      </c>
      <c r="J5" s="71">
        <f>'FS-AD Daily '!G9</f>
        <v>2877</v>
      </c>
      <c r="K5" s="71">
        <f>'FS-AD Daily '!H9</f>
        <v>7384</v>
      </c>
      <c r="L5" s="71">
        <f>'FS-AD Daily '!I9</f>
        <v>2319</v>
      </c>
      <c r="M5" s="71">
        <f>'FS-AD Daily '!J9</f>
        <v>7095</v>
      </c>
      <c r="N5" s="71">
        <f>'FS-AD Daily '!T9</f>
        <v>200.12199999999939</v>
      </c>
      <c r="O5" s="71">
        <f>'FS-AD Daily '!R9</f>
        <v>69.082999999998719</v>
      </c>
      <c r="P5" s="71">
        <f>'FS-AD Daily '!Z9</f>
        <v>692</v>
      </c>
      <c r="Q5" s="71">
        <f>'FS-AD Daily '!V9</f>
        <v>155.69999999995343</v>
      </c>
      <c r="R5" s="71">
        <f>'FS-AD Daily '!W9</f>
        <v>181.04999999998836</v>
      </c>
      <c r="S5" s="71">
        <f t="shared" si="0"/>
        <v>355.25000000005821</v>
      </c>
      <c r="T5" s="71">
        <f>'FS-AD Daily '!AD9*3.516</f>
        <v>126083.76</v>
      </c>
      <c r="U5" s="71">
        <f>('FS-AD Daily '!AF9)*1000</f>
        <v>64300.00000000291</v>
      </c>
      <c r="V5" s="71">
        <f>('FS-AD Daily '!AG9)*1000</f>
        <v>0</v>
      </c>
      <c r="W5" s="71">
        <f>'FS-AD Daily '!AH9*1000</f>
        <v>17099.999999998545</v>
      </c>
      <c r="X5" s="71">
        <f>('FS-AD Daily '!AK9)*1000</f>
        <v>35199.99999999709</v>
      </c>
      <c r="Y5" s="71">
        <f>'FS-AD Daily '!AN9</f>
        <v>89</v>
      </c>
      <c r="Z5" s="104">
        <v>146</v>
      </c>
    </row>
    <row r="6" spans="1:26" x14ac:dyDescent="0.25">
      <c r="A6" s="103" t="s">
        <v>80</v>
      </c>
      <c r="B6" s="69">
        <f t="shared" si="1"/>
        <v>5</v>
      </c>
      <c r="C6" s="70">
        <v>7</v>
      </c>
      <c r="D6" s="69">
        <v>2022</v>
      </c>
      <c r="E6" s="71">
        <f>'FS-AD Daily '!B10</f>
        <v>5946</v>
      </c>
      <c r="F6" s="71">
        <f>'FS-AD Daily '!C10</f>
        <v>4192</v>
      </c>
      <c r="G6" s="71">
        <f>'FS-AD Daily '!D10</f>
        <v>964</v>
      </c>
      <c r="H6" s="71">
        <f>'FS-AD Daily '!E10</f>
        <v>7538</v>
      </c>
      <c r="I6" s="71">
        <f>'FS-AD Daily '!F10</f>
        <v>5921</v>
      </c>
      <c r="J6" s="71">
        <f>'FS-AD Daily '!G10</f>
        <v>2946</v>
      </c>
      <c r="K6" s="71">
        <f>'FS-AD Daily '!H10</f>
        <v>7384</v>
      </c>
      <c r="L6" s="71">
        <f>'FS-AD Daily '!I10</f>
        <v>2345</v>
      </c>
      <c r="M6" s="71">
        <f>'FS-AD Daily '!J10</f>
        <v>7092</v>
      </c>
      <c r="N6" s="71">
        <f>'FS-AD Daily '!T10</f>
        <v>205.12499999999636</v>
      </c>
      <c r="O6" s="71">
        <f>'FS-AD Daily '!R10</f>
        <v>73.009000000000924</v>
      </c>
      <c r="P6" s="71">
        <f>'FS-AD Daily '!Z10</f>
        <v>650</v>
      </c>
      <c r="Q6" s="71">
        <f>'FS-AD Daily '!V10</f>
        <v>173.40000000002328</v>
      </c>
      <c r="R6" s="71">
        <f>'FS-AD Daily '!W10</f>
        <v>141.60000000000582</v>
      </c>
      <c r="S6" s="71">
        <f t="shared" si="0"/>
        <v>334.9999999999709</v>
      </c>
      <c r="T6" s="71">
        <f>'FS-AD Daily '!AD10*3.516</f>
        <v>133910.37599999999</v>
      </c>
      <c r="U6" s="71">
        <f>('FS-AD Daily '!AF10)*1000</f>
        <v>67099.999999991269</v>
      </c>
      <c r="V6" s="71">
        <f>('FS-AD Daily '!AG10)*1000</f>
        <v>0</v>
      </c>
      <c r="W6" s="71">
        <f>'FS-AD Daily '!AH10*1000</f>
        <v>17200.000000000728</v>
      </c>
      <c r="X6" s="71">
        <f>('FS-AD Daily '!AK10)*1000</f>
        <v>35500</v>
      </c>
      <c r="Y6" s="71">
        <f>'FS-AD Daily '!AN10</f>
        <v>81</v>
      </c>
      <c r="Z6" s="104">
        <v>135</v>
      </c>
    </row>
    <row r="7" spans="1:26" x14ac:dyDescent="0.25">
      <c r="A7" s="103" t="s">
        <v>80</v>
      </c>
      <c r="B7" s="69">
        <f t="shared" si="1"/>
        <v>6</v>
      </c>
      <c r="C7" s="70">
        <v>7</v>
      </c>
      <c r="D7" s="69">
        <v>2022</v>
      </c>
      <c r="E7" s="71">
        <f>'FS-AD Daily '!B11</f>
        <v>6034</v>
      </c>
      <c r="F7" s="71">
        <f>'FS-AD Daily '!C11</f>
        <v>4115</v>
      </c>
      <c r="G7" s="71">
        <f>'FS-AD Daily '!D11</f>
        <v>916</v>
      </c>
      <c r="H7" s="71">
        <f>'FS-AD Daily '!E11</f>
        <v>7491</v>
      </c>
      <c r="I7" s="71">
        <f>'FS-AD Daily '!F11</f>
        <v>5885</v>
      </c>
      <c r="J7" s="71">
        <f>'FS-AD Daily '!G11</f>
        <v>2948</v>
      </c>
      <c r="K7" s="71">
        <f>'FS-AD Daily '!H11</f>
        <v>7338</v>
      </c>
      <c r="L7" s="71">
        <f>'FS-AD Daily '!I11</f>
        <v>2394</v>
      </c>
      <c r="M7" s="71">
        <f>'FS-AD Daily '!J11</f>
        <v>7083</v>
      </c>
      <c r="N7" s="71">
        <f>'FS-AD Daily '!T11</f>
        <v>178.9370000000963</v>
      </c>
      <c r="O7" s="71">
        <f>'FS-AD Daily '!R11</f>
        <v>80.632999999997992</v>
      </c>
      <c r="P7" s="71">
        <f>'FS-AD Daily '!Z11</f>
        <v>654</v>
      </c>
      <c r="Q7" s="71">
        <f>'FS-AD Daily '!V11</f>
        <v>159.79999999998836</v>
      </c>
      <c r="R7" s="71">
        <f>'FS-AD Daily '!W11</f>
        <v>155.36999999999534</v>
      </c>
      <c r="S7" s="71">
        <f t="shared" si="0"/>
        <v>338.8300000000163</v>
      </c>
      <c r="T7" s="71">
        <f>'FS-AD Daily '!AD11*3.516</f>
        <v>134339.32800000001</v>
      </c>
      <c r="U7" s="71">
        <f>('FS-AD Daily '!AF11)*1000</f>
        <v>67200.000000011642</v>
      </c>
      <c r="V7" s="71">
        <f>('FS-AD Daily '!AG11)*1000</f>
        <v>0</v>
      </c>
      <c r="W7" s="71">
        <f>'FS-AD Daily '!AH11*1000</f>
        <v>17200.000000000728</v>
      </c>
      <c r="X7" s="71">
        <f>('FS-AD Daily '!AK11)*1000</f>
        <v>37100.000000005821</v>
      </c>
      <c r="Y7" s="71">
        <f>'FS-AD Daily '!AN11</f>
        <v>63</v>
      </c>
      <c r="Z7" s="104">
        <v>113</v>
      </c>
    </row>
    <row r="8" spans="1:26" x14ac:dyDescent="0.25">
      <c r="A8" s="103" t="s">
        <v>80</v>
      </c>
      <c r="B8" s="69">
        <f t="shared" si="1"/>
        <v>7</v>
      </c>
      <c r="C8" s="70">
        <v>7</v>
      </c>
      <c r="D8" s="69">
        <v>2022</v>
      </c>
      <c r="E8" s="71">
        <f>'FS-AD Daily '!B12</f>
        <v>6094</v>
      </c>
      <c r="F8" s="71">
        <f>'FS-AD Daily '!C12</f>
        <v>3753</v>
      </c>
      <c r="G8" s="71">
        <f>'FS-AD Daily '!D12</f>
        <v>902</v>
      </c>
      <c r="H8" s="71">
        <f>'FS-AD Daily '!E12</f>
        <v>7157</v>
      </c>
      <c r="I8" s="71">
        <f>'FS-AD Daily '!F12</f>
        <v>5926</v>
      </c>
      <c r="J8" s="71">
        <f>'FS-AD Daily '!G12</f>
        <v>2848</v>
      </c>
      <c r="K8" s="71">
        <f>'FS-AD Daily '!H12</f>
        <v>7357</v>
      </c>
      <c r="L8" s="71">
        <f>'FS-AD Daily '!I12</f>
        <v>2395</v>
      </c>
      <c r="M8" s="71">
        <f>'FS-AD Daily '!J12</f>
        <v>7103</v>
      </c>
      <c r="N8" s="71">
        <f>'FS-AD Daily '!T12</f>
        <v>202.77700000000186</v>
      </c>
      <c r="O8" s="71">
        <f>'FS-AD Daily '!R12</f>
        <v>79.401000000000749</v>
      </c>
      <c r="P8" s="71">
        <f>'FS-AD Daily '!Z12</f>
        <v>607</v>
      </c>
      <c r="Q8" s="71">
        <f>'FS-AD Daily '!V12</f>
        <v>165.29999999998836</v>
      </c>
      <c r="R8" s="71">
        <f>'FS-AD Daily '!W12</f>
        <v>132.82999999998719</v>
      </c>
      <c r="S8" s="71">
        <f t="shared" si="0"/>
        <v>308.87000000002445</v>
      </c>
      <c r="T8" s="71">
        <f>'FS-AD Daily '!AD12*3.516</f>
        <v>122427.12</v>
      </c>
      <c r="U8" s="71">
        <f>('FS-AD Daily '!AF12)*1000</f>
        <v>60799.999999988358</v>
      </c>
      <c r="V8" s="71">
        <f>('FS-AD Daily '!AG12)*1000</f>
        <v>0</v>
      </c>
      <c r="W8" s="71">
        <f>'FS-AD Daily '!AH12*1000</f>
        <v>16900.000000001455</v>
      </c>
      <c r="X8" s="71">
        <f>('FS-AD Daily '!AK12)*1000</f>
        <v>33099.999999998545</v>
      </c>
      <c r="Y8" s="71">
        <f>'FS-AD Daily '!AN12</f>
        <v>57</v>
      </c>
      <c r="Z8" s="104">
        <v>97</v>
      </c>
    </row>
    <row r="9" spans="1:26" x14ac:dyDescent="0.25">
      <c r="A9" s="103" t="s">
        <v>80</v>
      </c>
      <c r="B9" s="69">
        <f t="shared" si="1"/>
        <v>8</v>
      </c>
      <c r="C9" s="70">
        <v>7</v>
      </c>
      <c r="D9" s="69">
        <v>2022</v>
      </c>
      <c r="E9" s="71">
        <f>'FS-AD Daily '!B13</f>
        <v>6048</v>
      </c>
      <c r="F9" s="71">
        <f>'FS-AD Daily '!C13</f>
        <v>3738</v>
      </c>
      <c r="G9" s="71">
        <f>'FS-AD Daily '!D13</f>
        <v>923</v>
      </c>
      <c r="H9" s="71">
        <f>'FS-AD Daily '!E13</f>
        <v>6996</v>
      </c>
      <c r="I9" s="71">
        <f>'FS-AD Daily '!F13</f>
        <v>5946</v>
      </c>
      <c r="J9" s="71">
        <f>'FS-AD Daily '!G13</f>
        <v>2664</v>
      </c>
      <c r="K9" s="71">
        <f>'FS-AD Daily '!H13</f>
        <v>7254</v>
      </c>
      <c r="L9" s="71">
        <f>'FS-AD Daily '!I13</f>
        <v>2315</v>
      </c>
      <c r="M9" s="71">
        <f>'FS-AD Daily '!J13</f>
        <v>7125</v>
      </c>
      <c r="N9" s="71">
        <f>'FS-AD Daily '!T13</f>
        <v>186.80799999999726</v>
      </c>
      <c r="O9" s="71">
        <f>'FS-AD Daily '!R13</f>
        <v>70.138999999999214</v>
      </c>
      <c r="P9" s="71">
        <f>'FS-AD Daily '!Z13</f>
        <v>658</v>
      </c>
      <c r="Q9" s="71">
        <f>'FS-AD Daily '!V13</f>
        <v>172.80000000004657</v>
      </c>
      <c r="R9" s="71">
        <f>'FS-AD Daily '!W13</f>
        <v>130.70000000001164</v>
      </c>
      <c r="S9" s="71">
        <f t="shared" si="0"/>
        <v>354.49999999994179</v>
      </c>
      <c r="T9" s="71">
        <f>'FS-AD Daily '!AD13*3.516</f>
        <v>119255.68799999999</v>
      </c>
      <c r="U9" s="71">
        <f>('FS-AD Daily '!AF13)*1000</f>
        <v>58800.00000000291</v>
      </c>
      <c r="V9" s="71">
        <f>('FS-AD Daily '!AG13)*1000</f>
        <v>0</v>
      </c>
      <c r="W9" s="71">
        <f>'FS-AD Daily '!AH13*1000</f>
        <v>16699.99999999709</v>
      </c>
      <c r="X9" s="71">
        <f>('FS-AD Daily '!AK13)*1000</f>
        <v>34000</v>
      </c>
      <c r="Y9" s="71">
        <f>'FS-AD Daily '!AN13</f>
        <v>64</v>
      </c>
      <c r="Z9" s="104">
        <v>131</v>
      </c>
    </row>
    <row r="10" spans="1:26" x14ac:dyDescent="0.25">
      <c r="A10" s="103" t="s">
        <v>80</v>
      </c>
      <c r="B10" s="69">
        <f t="shared" si="1"/>
        <v>9</v>
      </c>
      <c r="C10" s="70">
        <v>7</v>
      </c>
      <c r="D10" s="69">
        <v>2022</v>
      </c>
      <c r="E10" s="71">
        <f>'FS-AD Daily '!B14</f>
        <v>6100</v>
      </c>
      <c r="F10" s="71">
        <f>'FS-AD Daily '!C14</f>
        <v>3697</v>
      </c>
      <c r="G10" s="71">
        <f>'FS-AD Daily '!D14</f>
        <v>879</v>
      </c>
      <c r="H10" s="71">
        <f>'FS-AD Daily '!E14</f>
        <v>7277</v>
      </c>
      <c r="I10" s="71">
        <f>'FS-AD Daily '!F14</f>
        <v>6095</v>
      </c>
      <c r="J10" s="71">
        <f>'FS-AD Daily '!G14</f>
        <v>2764</v>
      </c>
      <c r="K10" s="71">
        <f>'FS-AD Daily '!H14</f>
        <v>7281</v>
      </c>
      <c r="L10" s="71">
        <f>'FS-AD Daily '!I14</f>
        <v>2198</v>
      </c>
      <c r="M10" s="71">
        <f>'FS-AD Daily '!J14</f>
        <v>7080</v>
      </c>
      <c r="N10" s="71">
        <f>'FS-AD Daily '!T14</f>
        <v>193.29299999999785</v>
      </c>
      <c r="O10" s="71">
        <f>'FS-AD Daily '!R14</f>
        <v>80.197000000001935</v>
      </c>
      <c r="P10" s="71">
        <f>'FS-AD Daily '!Z14</f>
        <v>646</v>
      </c>
      <c r="Q10" s="71">
        <f>'FS-AD Daily '!V14</f>
        <v>170.5</v>
      </c>
      <c r="R10" s="71">
        <f>'FS-AD Daily '!W14</f>
        <v>166.47000000000116</v>
      </c>
      <c r="S10" s="71">
        <f t="shared" si="0"/>
        <v>309.02999999999884</v>
      </c>
      <c r="T10" s="71">
        <f>'FS-AD Daily '!AD14*3.516</f>
        <v>117314.856</v>
      </c>
      <c r="U10" s="71">
        <f>('FS-AD Daily '!AF14)*1000</f>
        <v>58100.000000005821</v>
      </c>
      <c r="V10" s="71">
        <f>('FS-AD Daily '!AG14)*1000</f>
        <v>0</v>
      </c>
      <c r="W10" s="71">
        <f>'FS-AD Daily '!AH14*1000</f>
        <v>16700.000000000728</v>
      </c>
      <c r="X10" s="71">
        <f>('FS-AD Daily '!AK14)*1000</f>
        <v>34099.999999998545</v>
      </c>
      <c r="Y10" s="71">
        <f>'FS-AD Daily '!AN14</f>
        <v>77</v>
      </c>
      <c r="Z10" s="104">
        <v>152</v>
      </c>
    </row>
    <row r="11" spans="1:26" x14ac:dyDescent="0.25">
      <c r="A11" s="103" t="s">
        <v>80</v>
      </c>
      <c r="B11" s="69">
        <f t="shared" si="1"/>
        <v>10</v>
      </c>
      <c r="C11" s="70">
        <v>7</v>
      </c>
      <c r="D11" s="69">
        <v>2022</v>
      </c>
      <c r="E11" s="71">
        <f>'FS-AD Daily '!B15</f>
        <v>5985</v>
      </c>
      <c r="F11" s="71">
        <f>'FS-AD Daily '!C15</f>
        <v>3538</v>
      </c>
      <c r="G11" s="71">
        <f>'FS-AD Daily '!D15</f>
        <v>898</v>
      </c>
      <c r="H11" s="71">
        <f>'FS-AD Daily '!E15</f>
        <v>7103</v>
      </c>
      <c r="I11" s="71">
        <f>'FS-AD Daily '!F15</f>
        <v>5849</v>
      </c>
      <c r="J11" s="71">
        <f>'FS-AD Daily '!G15</f>
        <v>2894</v>
      </c>
      <c r="K11" s="71">
        <f>'FS-AD Daily '!H15</f>
        <v>7202</v>
      </c>
      <c r="L11" s="71">
        <f>'FS-AD Daily '!I15</f>
        <v>2190</v>
      </c>
      <c r="M11" s="71">
        <f>'FS-AD Daily '!J15</f>
        <v>6750</v>
      </c>
      <c r="N11" s="71">
        <f>'FS-AD Daily '!T15</f>
        <v>197.61200000000463</v>
      </c>
      <c r="O11" s="71">
        <f>'FS-AD Daily '!R15</f>
        <v>64.449999999998909</v>
      </c>
      <c r="P11" s="71">
        <f>'FS-AD Daily '!Z15</f>
        <v>592</v>
      </c>
      <c r="Q11" s="71">
        <f>'FS-AD Daily '!V15</f>
        <v>165.79999999998836</v>
      </c>
      <c r="R11" s="71">
        <f>'FS-AD Daily '!W15</f>
        <v>124.44000000000233</v>
      </c>
      <c r="S11" s="71">
        <f t="shared" si="0"/>
        <v>301.76000000000931</v>
      </c>
      <c r="T11" s="71">
        <f>'FS-AD Daily '!AD15*3.516</f>
        <v>126094.308</v>
      </c>
      <c r="U11" s="71">
        <f>('FS-AD Daily '!AF15)*1000</f>
        <v>62199.99999999709</v>
      </c>
      <c r="V11" s="71">
        <f>('FS-AD Daily '!AG15)*1000</f>
        <v>0</v>
      </c>
      <c r="W11" s="71">
        <f>'FS-AD Daily '!AH15*1000</f>
        <v>16900.000000001455</v>
      </c>
      <c r="X11" s="71">
        <f>('FS-AD Daily '!AK15)*1000</f>
        <v>34000</v>
      </c>
      <c r="Y11" s="71">
        <f>'FS-AD Daily '!AN15</f>
        <v>85</v>
      </c>
      <c r="Z11" s="104">
        <v>172</v>
      </c>
    </row>
    <row r="12" spans="1:26" x14ac:dyDescent="0.25">
      <c r="A12" s="103" t="s">
        <v>80</v>
      </c>
      <c r="B12" s="69">
        <f t="shared" si="1"/>
        <v>11</v>
      </c>
      <c r="C12" s="70">
        <v>7</v>
      </c>
      <c r="D12" s="69">
        <v>2022</v>
      </c>
      <c r="E12" s="71">
        <f>'FS-AD Daily '!B16</f>
        <v>6131</v>
      </c>
      <c r="F12" s="71">
        <f>'FS-AD Daily '!C16</f>
        <v>3520</v>
      </c>
      <c r="G12" s="71">
        <f>'FS-AD Daily '!D16</f>
        <v>972</v>
      </c>
      <c r="H12" s="71">
        <f>'FS-AD Daily '!E16</f>
        <v>7160</v>
      </c>
      <c r="I12" s="71">
        <f>'FS-AD Daily '!F16</f>
        <v>5842</v>
      </c>
      <c r="J12" s="71">
        <f>'FS-AD Daily '!G16</f>
        <v>2920</v>
      </c>
      <c r="K12" s="71">
        <f>'FS-AD Daily '!H16</f>
        <v>7305</v>
      </c>
      <c r="L12" s="71">
        <f>'FS-AD Daily '!I16</f>
        <v>2232</v>
      </c>
      <c r="M12" s="71">
        <f>'FS-AD Daily '!J16</f>
        <v>6924</v>
      </c>
      <c r="N12" s="71">
        <f>'FS-AD Daily '!T16</f>
        <v>177.05199999999604</v>
      </c>
      <c r="O12" s="71">
        <f>'FS-AD Daily '!R16</f>
        <v>73.122000000000298</v>
      </c>
      <c r="P12" s="71">
        <f>'FS-AD Daily '!Z16</f>
        <v>623</v>
      </c>
      <c r="Q12" s="71">
        <f>'FS-AD Daily '!V16</f>
        <v>159.5</v>
      </c>
      <c r="R12" s="71">
        <f>'FS-AD Daily '!W16</f>
        <v>176.44000000000233</v>
      </c>
      <c r="S12" s="71">
        <f t="shared" si="0"/>
        <v>287.05999999999767</v>
      </c>
      <c r="T12" s="71">
        <f>'FS-AD Daily '!AD16*3.516</f>
        <v>120633.96</v>
      </c>
      <c r="U12" s="71">
        <f>('FS-AD Daily '!AF16)*1000</f>
        <v>59500</v>
      </c>
      <c r="V12" s="71">
        <f>('FS-AD Daily '!AG16)*1000</f>
        <v>0</v>
      </c>
      <c r="W12" s="71">
        <f>'FS-AD Daily '!AH16*1000</f>
        <v>13799.999999999272</v>
      </c>
      <c r="X12" s="71">
        <f>('FS-AD Daily '!AK16)*1000</f>
        <v>34099.999999998545</v>
      </c>
      <c r="Y12" s="71">
        <f>'FS-AD Daily '!AN16</f>
        <v>74</v>
      </c>
      <c r="Z12" s="104">
        <v>129</v>
      </c>
    </row>
    <row r="13" spans="1:26" x14ac:dyDescent="0.25">
      <c r="A13" s="103" t="s">
        <v>80</v>
      </c>
      <c r="B13" s="69">
        <f t="shared" si="1"/>
        <v>12</v>
      </c>
      <c r="C13" s="70">
        <v>7</v>
      </c>
      <c r="D13" s="69">
        <v>2022</v>
      </c>
      <c r="E13" s="71">
        <f>'FS-AD Daily '!B17</f>
        <v>5982</v>
      </c>
      <c r="F13" s="71">
        <f>'FS-AD Daily '!C17</f>
        <v>3406</v>
      </c>
      <c r="G13" s="71">
        <f>'FS-AD Daily '!D17</f>
        <v>896</v>
      </c>
      <c r="H13" s="71">
        <f>'FS-AD Daily '!E17</f>
        <v>7112</v>
      </c>
      <c r="I13" s="71">
        <f>'FS-AD Daily '!F17</f>
        <v>5966</v>
      </c>
      <c r="J13" s="71">
        <f>'FS-AD Daily '!G17</f>
        <v>2955</v>
      </c>
      <c r="K13" s="71">
        <f>'FS-AD Daily '!H17</f>
        <v>7266</v>
      </c>
      <c r="L13" s="71">
        <f>'FS-AD Daily '!I17</f>
        <v>2239</v>
      </c>
      <c r="M13" s="71">
        <f>'FS-AD Daily '!J17</f>
        <v>7059</v>
      </c>
      <c r="N13" s="71">
        <f>'FS-AD Daily '!T17</f>
        <v>195.02200000000084</v>
      </c>
      <c r="O13" s="71">
        <f>'FS-AD Daily '!R17</f>
        <v>63.676999999997861</v>
      </c>
      <c r="P13" s="71">
        <f>'FS-AD Daily '!Z17</f>
        <v>619</v>
      </c>
      <c r="Q13" s="71">
        <f>'FS-AD Daily '!V17</f>
        <v>160.59999999997672</v>
      </c>
      <c r="R13" s="71">
        <f>'FS-AD Daily '!W17</f>
        <v>176.92999999999302</v>
      </c>
      <c r="S13" s="71">
        <f t="shared" si="0"/>
        <v>281.47000000003027</v>
      </c>
      <c r="T13" s="71">
        <f>'FS-AD Daily '!AD17*3.516</f>
        <v>130158.804</v>
      </c>
      <c r="U13" s="71">
        <f>('FS-AD Daily '!AF17)*1000</f>
        <v>65899.999999994179</v>
      </c>
      <c r="V13" s="71">
        <f>('FS-AD Daily '!AG17)*1000</f>
        <v>0</v>
      </c>
      <c r="W13" s="71">
        <f>'FS-AD Daily '!AH17*1000</f>
        <v>20700.000000000728</v>
      </c>
      <c r="X13" s="71">
        <f>('FS-AD Daily '!AK17)*1000</f>
        <v>35200.000000004366</v>
      </c>
      <c r="Y13" s="71">
        <f>'FS-AD Daily '!AN17</f>
        <v>74</v>
      </c>
      <c r="Z13" s="104">
        <v>120</v>
      </c>
    </row>
    <row r="14" spans="1:26" x14ac:dyDescent="0.25">
      <c r="A14" s="103" t="s">
        <v>80</v>
      </c>
      <c r="B14" s="69">
        <f t="shared" si="1"/>
        <v>13</v>
      </c>
      <c r="C14" s="70">
        <v>7</v>
      </c>
      <c r="D14" s="69">
        <v>2022</v>
      </c>
      <c r="E14" s="71">
        <f>'FS-AD Daily '!B18</f>
        <v>6028</v>
      </c>
      <c r="F14" s="71">
        <f>'FS-AD Daily '!C18</f>
        <v>3659</v>
      </c>
      <c r="G14" s="71">
        <f>'FS-AD Daily '!D18</f>
        <v>894</v>
      </c>
      <c r="H14" s="71">
        <f>'FS-AD Daily '!E18</f>
        <v>7361</v>
      </c>
      <c r="I14" s="71">
        <f>'FS-AD Daily '!F18</f>
        <v>5941</v>
      </c>
      <c r="J14" s="71">
        <f>'FS-AD Daily '!G18</f>
        <v>2955</v>
      </c>
      <c r="K14" s="71">
        <f>'FS-AD Daily '!H18</f>
        <v>7287</v>
      </c>
      <c r="L14" s="71">
        <f>'FS-AD Daily '!I18</f>
        <v>2314</v>
      </c>
      <c r="M14" s="71">
        <f>'FS-AD Daily '!J18</f>
        <v>6999</v>
      </c>
      <c r="N14" s="71">
        <f>'FS-AD Daily '!T18</f>
        <v>155.12299999999959</v>
      </c>
      <c r="O14" s="71">
        <f>'FS-AD Daily '!R18</f>
        <v>66.759000000002743</v>
      </c>
      <c r="P14" s="71">
        <f>'FS-AD Daily '!Z18</f>
        <v>590</v>
      </c>
      <c r="Q14" s="71">
        <f>'FS-AD Daily '!V18</f>
        <v>145.10000000003492</v>
      </c>
      <c r="R14" s="71">
        <f>'FS-AD Daily '!W18</f>
        <v>147.35999999998603</v>
      </c>
      <c r="S14" s="71">
        <f t="shared" si="0"/>
        <v>297.53999999997905</v>
      </c>
      <c r="T14" s="71">
        <f>'FS-AD Daily '!AD18*3.516</f>
        <v>126762.348</v>
      </c>
      <c r="U14" s="71">
        <f>('FS-AD Daily '!AF18)*1000</f>
        <v>63600.000000005821</v>
      </c>
      <c r="V14" s="71">
        <f>('FS-AD Daily '!AG18)*1000</f>
        <v>0</v>
      </c>
      <c r="W14" s="71">
        <f>'FS-AD Daily '!AH18*1000</f>
        <v>17200.000000000728</v>
      </c>
      <c r="X14" s="71">
        <f>('FS-AD Daily '!AK18)*1000</f>
        <v>32699.99999999709</v>
      </c>
      <c r="Y14" s="71">
        <f>'FS-AD Daily '!AN18</f>
        <v>69</v>
      </c>
      <c r="Z14" s="104">
        <v>116</v>
      </c>
    </row>
    <row r="15" spans="1:26" x14ac:dyDescent="0.25">
      <c r="A15" s="103" t="s">
        <v>80</v>
      </c>
      <c r="B15" s="69">
        <f t="shared" si="1"/>
        <v>14</v>
      </c>
      <c r="C15" s="70">
        <v>7</v>
      </c>
      <c r="D15" s="69">
        <v>2022</v>
      </c>
      <c r="E15" s="71">
        <f>'FS-AD Daily '!B19</f>
        <v>6028</v>
      </c>
      <c r="F15" s="71">
        <f>'FS-AD Daily '!C19</f>
        <v>3632</v>
      </c>
      <c r="G15" s="71">
        <f>'FS-AD Daily '!D19</f>
        <v>900</v>
      </c>
      <c r="H15" s="71">
        <f>'FS-AD Daily '!E19</f>
        <v>7393</v>
      </c>
      <c r="I15" s="71">
        <f>'FS-AD Daily '!F19</f>
        <v>6053</v>
      </c>
      <c r="J15" s="71">
        <f>'FS-AD Daily '!G19</f>
        <v>2965</v>
      </c>
      <c r="K15" s="71">
        <f>'FS-AD Daily '!H19</f>
        <v>7262</v>
      </c>
      <c r="L15" s="71">
        <f>'FS-AD Daily '!I19</f>
        <v>2334</v>
      </c>
      <c r="M15" s="71">
        <f>'FS-AD Daily '!J19</f>
        <v>7031</v>
      </c>
      <c r="N15" s="71">
        <f>'FS-AD Daily '!T19</f>
        <v>191.08900000000358</v>
      </c>
      <c r="O15" s="71">
        <f>'FS-AD Daily '!R19</f>
        <v>76.214999999997417</v>
      </c>
      <c r="P15" s="71">
        <f>'FS-AD Daily '!Z19</f>
        <v>590</v>
      </c>
      <c r="Q15" s="71">
        <f>'FS-AD Daily '!V19</f>
        <v>143.89999999996508</v>
      </c>
      <c r="R15" s="71">
        <f>'FS-AD Daily '!W19</f>
        <v>173.96000000002095</v>
      </c>
      <c r="S15" s="71">
        <f t="shared" si="0"/>
        <v>272.14000000001397</v>
      </c>
      <c r="T15" s="71">
        <f>'FS-AD Daily '!AD19*3.516</f>
        <v>130074.42</v>
      </c>
      <c r="U15" s="71">
        <f>('FS-AD Daily '!AF19)*1000</f>
        <v>65500</v>
      </c>
      <c r="V15" s="71">
        <f>('FS-AD Daily '!AG19)*1000</f>
        <v>0</v>
      </c>
      <c r="W15" s="71">
        <f>'FS-AD Daily '!AH19*1000</f>
        <v>17099.999999998545</v>
      </c>
      <c r="X15" s="71">
        <f>('FS-AD Daily '!AK19)*1000</f>
        <v>14199.99999999709</v>
      </c>
      <c r="Y15" s="71">
        <f>'FS-AD Daily '!AN19</f>
        <v>75</v>
      </c>
      <c r="Z15" s="104">
        <v>131</v>
      </c>
    </row>
    <row r="16" spans="1:26" x14ac:dyDescent="0.25">
      <c r="A16" s="103" t="s">
        <v>80</v>
      </c>
      <c r="B16" s="69">
        <f t="shared" si="1"/>
        <v>15</v>
      </c>
      <c r="C16" s="70">
        <v>7</v>
      </c>
      <c r="D16" s="69">
        <v>2022</v>
      </c>
      <c r="E16" s="71">
        <f>'FS-AD Daily '!B20</f>
        <v>5596</v>
      </c>
      <c r="F16" s="71">
        <f>'FS-AD Daily '!C20</f>
        <v>3341</v>
      </c>
      <c r="G16" s="71">
        <f>'FS-AD Daily '!D20</f>
        <v>907</v>
      </c>
      <c r="H16" s="71">
        <f>'FS-AD Daily '!E20</f>
        <v>7028</v>
      </c>
      <c r="I16" s="71">
        <f>'FS-AD Daily '!F20</f>
        <v>5793</v>
      </c>
      <c r="J16" s="71">
        <f>'FS-AD Daily '!G20</f>
        <v>2830</v>
      </c>
      <c r="K16" s="71">
        <f>'FS-AD Daily '!H20</f>
        <v>7148</v>
      </c>
      <c r="L16" s="71">
        <f>'FS-AD Daily '!I20</f>
        <v>2135</v>
      </c>
      <c r="M16" s="71">
        <f>'FS-AD Daily '!J20</f>
        <v>7045</v>
      </c>
      <c r="N16" s="71">
        <f>'FS-AD Daily '!T20</f>
        <v>200.54400000000169</v>
      </c>
      <c r="O16" s="71">
        <f>'FS-AD Daily '!R20</f>
        <v>78.244000000003325</v>
      </c>
      <c r="P16" s="71">
        <f>'FS-AD Daily '!Z20</f>
        <v>572</v>
      </c>
      <c r="Q16" s="71">
        <f>'FS-AD Daily '!V20</f>
        <v>141.90000000002328</v>
      </c>
      <c r="R16" s="71">
        <f>'FS-AD Daily '!W20</f>
        <v>143.72999999998137</v>
      </c>
      <c r="S16" s="71">
        <f t="shared" si="0"/>
        <v>286.36999999999534</v>
      </c>
      <c r="T16" s="71">
        <f>'FS-AD Daily '!AD20*3.516</f>
        <v>121284.42</v>
      </c>
      <c r="U16" s="71">
        <f>('FS-AD Daily '!AF20)*1000</f>
        <v>59300.00000000291</v>
      </c>
      <c r="V16" s="71">
        <f>('FS-AD Daily '!AG20)*1000</f>
        <v>0</v>
      </c>
      <c r="W16" s="71">
        <f>'FS-AD Daily '!AH20*1000</f>
        <v>16799.999999999272</v>
      </c>
      <c r="X16" s="71">
        <f>('FS-AD Daily '!AK20)*1000</f>
        <v>48600.000000005821</v>
      </c>
      <c r="Y16" s="71">
        <f>'FS-AD Daily '!AN20</f>
        <v>50</v>
      </c>
      <c r="Z16" s="104">
        <v>96</v>
      </c>
    </row>
    <row r="17" spans="1:26" x14ac:dyDescent="0.25">
      <c r="A17" s="103" t="s">
        <v>80</v>
      </c>
      <c r="B17" s="69">
        <f t="shared" si="1"/>
        <v>16</v>
      </c>
      <c r="C17" s="70">
        <v>7</v>
      </c>
      <c r="D17" s="69">
        <v>2022</v>
      </c>
      <c r="E17" s="71">
        <f>'FS-AD Daily '!B21</f>
        <v>6069</v>
      </c>
      <c r="F17" s="71">
        <f>'FS-AD Daily '!C21</f>
        <v>3514</v>
      </c>
      <c r="G17" s="71">
        <f>'FS-AD Daily '!D21</f>
        <v>901</v>
      </c>
      <c r="H17" s="71">
        <f>'FS-AD Daily '!E21</f>
        <v>7048</v>
      </c>
      <c r="I17" s="71">
        <f>'FS-AD Daily '!F21</f>
        <v>5769</v>
      </c>
      <c r="J17" s="71">
        <f>'FS-AD Daily '!G21</f>
        <v>2771</v>
      </c>
      <c r="K17" s="71">
        <f>'FS-AD Daily '!H21</f>
        <v>7230</v>
      </c>
      <c r="L17" s="71">
        <f>'FS-AD Daily '!I21</f>
        <v>2101</v>
      </c>
      <c r="M17" s="71">
        <f>'FS-AD Daily '!J21</f>
        <v>7042</v>
      </c>
      <c r="N17" s="71">
        <f>'FS-AD Daily '!T21</f>
        <v>168.44999999999709</v>
      </c>
      <c r="O17" s="71">
        <f>'FS-AD Daily '!R21</f>
        <v>83.645999999998821</v>
      </c>
      <c r="P17" s="71">
        <f>'FS-AD Daily '!Z21</f>
        <v>532</v>
      </c>
      <c r="Q17" s="71">
        <f>'FS-AD Daily '!V21</f>
        <v>148.20000000001164</v>
      </c>
      <c r="R17" s="71">
        <f>'FS-AD Daily '!W21</f>
        <v>110.94000000000233</v>
      </c>
      <c r="S17" s="71">
        <f t="shared" si="0"/>
        <v>272.85999999998603</v>
      </c>
      <c r="T17" s="71">
        <f>'FS-AD Daily '!AD21*3.516</f>
        <v>114108.264</v>
      </c>
      <c r="U17" s="71">
        <f>('FS-AD Daily '!AF21)*1000</f>
        <v>56599.999999991269</v>
      </c>
      <c r="V17" s="71">
        <f>('FS-AD Daily '!AG21)*1000</f>
        <v>0</v>
      </c>
      <c r="W17" s="71">
        <f>'FS-AD Daily '!AH21*1000</f>
        <v>17000</v>
      </c>
      <c r="X17" s="71">
        <f>('FS-AD Daily '!AK21)*1000</f>
        <v>28599.999999998545</v>
      </c>
      <c r="Y17" s="71">
        <f>'FS-AD Daily '!AN21</f>
        <v>43</v>
      </c>
      <c r="Z17" s="104">
        <v>74</v>
      </c>
    </row>
    <row r="18" spans="1:26" x14ac:dyDescent="0.25">
      <c r="A18" s="103" t="s">
        <v>80</v>
      </c>
      <c r="B18" s="69">
        <f t="shared" si="1"/>
        <v>17</v>
      </c>
      <c r="C18" s="70">
        <v>7</v>
      </c>
      <c r="D18" s="69">
        <v>2022</v>
      </c>
      <c r="E18" s="71">
        <f>'FS-AD Daily '!B22</f>
        <v>5916</v>
      </c>
      <c r="F18" s="71">
        <f>'FS-AD Daily '!C22</f>
        <v>3619</v>
      </c>
      <c r="G18" s="71">
        <f>'FS-AD Daily '!D22</f>
        <v>859</v>
      </c>
      <c r="H18" s="71">
        <f>'FS-AD Daily '!E22</f>
        <v>7068</v>
      </c>
      <c r="I18" s="71">
        <f>'FS-AD Daily '!F22</f>
        <v>5633</v>
      </c>
      <c r="J18" s="71">
        <f>'FS-AD Daily '!G22</f>
        <v>2562</v>
      </c>
      <c r="K18" s="71">
        <f>'FS-AD Daily '!H22</f>
        <v>6736</v>
      </c>
      <c r="L18" s="71">
        <f>'FS-AD Daily '!I22</f>
        <v>2186</v>
      </c>
      <c r="M18" s="71">
        <f>'FS-AD Daily '!J22</f>
        <v>6788</v>
      </c>
      <c r="N18" s="71">
        <f>'FS-AD Daily '!T22</f>
        <v>157.05099999999948</v>
      </c>
      <c r="O18" s="71">
        <f>'FS-AD Daily '!R22</f>
        <v>64.417000000001281</v>
      </c>
      <c r="P18" s="71">
        <f>'FS-AD Daily '!Z22</f>
        <v>559</v>
      </c>
      <c r="Q18" s="71">
        <f>'FS-AD Daily '!V22</f>
        <v>138</v>
      </c>
      <c r="R18" s="71">
        <f>'FS-AD Daily '!W22</f>
        <v>130.23000000001048</v>
      </c>
      <c r="S18" s="71">
        <f t="shared" si="0"/>
        <v>290.76999999998952</v>
      </c>
      <c r="T18" s="71">
        <f>'FS-AD Daily '!AD22*3.516</f>
        <v>118144.632</v>
      </c>
      <c r="U18" s="71">
        <f>('FS-AD Daily '!AF22)*1000</f>
        <v>57600.000000005821</v>
      </c>
      <c r="V18" s="71">
        <f>('FS-AD Daily '!AG22)*1000</f>
        <v>0</v>
      </c>
      <c r="W18" s="71">
        <f>'FS-AD Daily '!AH22*1000</f>
        <v>16900.000000001455</v>
      </c>
      <c r="X18" s="71">
        <f>('FS-AD Daily '!AK22)*1000</f>
        <v>30000</v>
      </c>
      <c r="Y18" s="71">
        <f>'FS-AD Daily '!AN22</f>
        <v>49</v>
      </c>
      <c r="Z18" s="104">
        <v>87</v>
      </c>
    </row>
    <row r="19" spans="1:26" x14ac:dyDescent="0.25">
      <c r="A19" s="103" t="s">
        <v>80</v>
      </c>
      <c r="B19" s="69">
        <f t="shared" si="1"/>
        <v>18</v>
      </c>
      <c r="C19" s="70">
        <v>7</v>
      </c>
      <c r="D19" s="69">
        <v>2022</v>
      </c>
      <c r="E19" s="71">
        <f>'FS-AD Daily '!B23</f>
        <v>5785</v>
      </c>
      <c r="F19" s="71">
        <f>'FS-AD Daily '!C23</f>
        <v>3552</v>
      </c>
      <c r="G19" s="71">
        <f>'FS-AD Daily '!D23</f>
        <v>886</v>
      </c>
      <c r="H19" s="71">
        <f>'FS-AD Daily '!E23</f>
        <v>7085</v>
      </c>
      <c r="I19" s="71">
        <f>'FS-AD Daily '!F23</f>
        <v>5908</v>
      </c>
      <c r="J19" s="71">
        <f>'FS-AD Daily '!G23</f>
        <v>2614</v>
      </c>
      <c r="K19" s="71">
        <f>'FS-AD Daily '!H23</f>
        <v>5447</v>
      </c>
      <c r="L19" s="71">
        <f>'FS-AD Daily '!I23</f>
        <v>2302</v>
      </c>
      <c r="M19" s="71">
        <f>'FS-AD Daily '!J23</f>
        <v>6699</v>
      </c>
      <c r="N19" s="71">
        <f>'FS-AD Daily '!T23</f>
        <v>184.96099999999933</v>
      </c>
      <c r="O19" s="71">
        <f>'FS-AD Daily '!R23</f>
        <v>68.174999999997453</v>
      </c>
      <c r="P19" s="71">
        <f>'FS-AD Daily '!Z23</f>
        <v>604</v>
      </c>
      <c r="Q19" s="71">
        <f>'FS-AD Daily '!V23</f>
        <v>143.19999999995343</v>
      </c>
      <c r="R19" s="71">
        <f>'FS-AD Daily '!W23</f>
        <v>161.95000000001164</v>
      </c>
      <c r="S19" s="71">
        <f t="shared" si="0"/>
        <v>298.85000000003492</v>
      </c>
      <c r="T19" s="71">
        <f>'FS-AD Daily '!AD23*3.516</f>
        <v>108869.424</v>
      </c>
      <c r="U19" s="71">
        <f>('FS-AD Daily '!AF23)*1000</f>
        <v>56800.00000000291</v>
      </c>
      <c r="V19" s="71">
        <f>('FS-AD Daily '!AG23)*1000</f>
        <v>0</v>
      </c>
      <c r="W19" s="71">
        <f>'FS-AD Daily '!AH23*1000</f>
        <v>17599.999999998545</v>
      </c>
      <c r="X19" s="71">
        <f>('FS-AD Daily '!AK23)*1000</f>
        <v>28900.000000001455</v>
      </c>
      <c r="Y19" s="71">
        <f>'FS-AD Daily '!AN23</f>
        <v>51</v>
      </c>
      <c r="Z19" s="104">
        <v>78</v>
      </c>
    </row>
    <row r="20" spans="1:26" x14ac:dyDescent="0.25">
      <c r="A20" s="103" t="s">
        <v>80</v>
      </c>
      <c r="B20" s="69">
        <f t="shared" si="1"/>
        <v>19</v>
      </c>
      <c r="C20" s="70">
        <v>7</v>
      </c>
      <c r="D20" s="69">
        <v>2022</v>
      </c>
      <c r="E20" s="71">
        <f>'FS-AD Daily '!B24</f>
        <v>5613</v>
      </c>
      <c r="F20" s="71">
        <f>'FS-AD Daily '!C24</f>
        <v>3718</v>
      </c>
      <c r="G20" s="71">
        <f>'FS-AD Daily '!D24</f>
        <v>916</v>
      </c>
      <c r="H20" s="71">
        <f>'FS-AD Daily '!E24</f>
        <v>6969</v>
      </c>
      <c r="I20" s="71">
        <f>'FS-AD Daily '!F24</f>
        <v>5949</v>
      </c>
      <c r="J20" s="71">
        <f>'FS-AD Daily '!G24</f>
        <v>2684</v>
      </c>
      <c r="K20" s="71">
        <f>'FS-AD Daily '!H24</f>
        <v>5517</v>
      </c>
      <c r="L20" s="71">
        <f>'FS-AD Daily '!I24</f>
        <v>2280</v>
      </c>
      <c r="M20" s="71">
        <f>'FS-AD Daily '!J24</f>
        <v>6931</v>
      </c>
      <c r="N20" s="71">
        <f>'FS-AD Daily '!T24</f>
        <v>196.40799999999945</v>
      </c>
      <c r="O20" s="71">
        <f>'FS-AD Daily '!R24</f>
        <v>66.709000000001652</v>
      </c>
      <c r="P20" s="71">
        <f>'FS-AD Daily '!Z24</f>
        <v>627</v>
      </c>
      <c r="Q20" s="71">
        <f>'FS-AD Daily '!V24</f>
        <v>164.5</v>
      </c>
      <c r="R20" s="71">
        <f>'FS-AD Daily '!W24</f>
        <v>165.75</v>
      </c>
      <c r="S20" s="71">
        <f t="shared" si="0"/>
        <v>296.75</v>
      </c>
      <c r="T20" s="71">
        <f>'FS-AD Daily '!AD24*3.516</f>
        <v>111587.292</v>
      </c>
      <c r="U20" s="71">
        <f>('FS-AD Daily '!AF24)*1000</f>
        <v>55699.99999999709</v>
      </c>
      <c r="V20" s="71">
        <f>('FS-AD Daily '!AG24)*1000</f>
        <v>0</v>
      </c>
      <c r="W20" s="71">
        <f>'FS-AD Daily '!AH24*1000</f>
        <v>17299.999999999272</v>
      </c>
      <c r="X20" s="71">
        <f>('FS-AD Daily '!AK24)*1000</f>
        <v>29299.999999995634</v>
      </c>
      <c r="Y20" s="71">
        <f>'FS-AD Daily '!AN24</f>
        <v>63</v>
      </c>
      <c r="Z20" s="104">
        <v>92</v>
      </c>
    </row>
    <row r="21" spans="1:26" x14ac:dyDescent="0.25">
      <c r="A21" s="103" t="s">
        <v>80</v>
      </c>
      <c r="B21" s="69">
        <f t="shared" si="1"/>
        <v>20</v>
      </c>
      <c r="C21" s="70">
        <v>7</v>
      </c>
      <c r="D21" s="69">
        <v>2022</v>
      </c>
      <c r="E21" s="71">
        <f>'FS-AD Daily '!B25</f>
        <v>5446</v>
      </c>
      <c r="F21" s="71">
        <f>'FS-AD Daily '!C25</f>
        <v>3759</v>
      </c>
      <c r="G21" s="71">
        <f>'FS-AD Daily '!D25</f>
        <v>845</v>
      </c>
      <c r="H21" s="71">
        <f>'FS-AD Daily '!E25</f>
        <v>6797</v>
      </c>
      <c r="I21" s="71">
        <f>'FS-AD Daily '!F25</f>
        <v>5875</v>
      </c>
      <c r="J21" s="71">
        <f>'FS-AD Daily '!G25</f>
        <v>2727</v>
      </c>
      <c r="K21" s="71">
        <f>'FS-AD Daily '!H25</f>
        <v>5451</v>
      </c>
      <c r="L21" s="71">
        <f>'FS-AD Daily '!I25</f>
        <v>2224</v>
      </c>
      <c r="M21" s="71">
        <f>'FS-AD Daily '!J25</f>
        <v>6752</v>
      </c>
      <c r="N21" s="71">
        <f>'FS-AD Daily '!T25</f>
        <v>184.34900000000198</v>
      </c>
      <c r="O21" s="71">
        <f>'FS-AD Daily '!R25</f>
        <v>74.695000000000618</v>
      </c>
      <c r="P21" s="71">
        <f>'FS-AD Daily '!Z25</f>
        <v>648</v>
      </c>
      <c r="Q21" s="71">
        <f>'FS-AD Daily '!V25</f>
        <v>177.30000000004657</v>
      </c>
      <c r="R21" s="71">
        <f>'FS-AD Daily '!W25</f>
        <v>170.01999999998952</v>
      </c>
      <c r="S21" s="71">
        <f t="shared" si="0"/>
        <v>300.67999999996391</v>
      </c>
      <c r="T21" s="71">
        <f>'FS-AD Daily '!AD25*3.516</f>
        <v>111344.68799999999</v>
      </c>
      <c r="U21" s="71">
        <f>('FS-AD Daily '!AF25)*1000</f>
        <v>55300.00000000291</v>
      </c>
      <c r="V21" s="71">
        <f>('FS-AD Daily '!AG25)*1000</f>
        <v>0</v>
      </c>
      <c r="W21" s="71">
        <f>'FS-AD Daily '!AH25*1000</f>
        <v>17000</v>
      </c>
      <c r="X21" s="71">
        <f>('FS-AD Daily '!AK25)*1000</f>
        <v>28599.999999998545</v>
      </c>
      <c r="Y21" s="71">
        <f>'FS-AD Daily '!AN25</f>
        <v>59</v>
      </c>
      <c r="Z21" s="104">
        <v>89</v>
      </c>
    </row>
    <row r="22" spans="1:26" x14ac:dyDescent="0.25">
      <c r="A22" s="103" t="s">
        <v>80</v>
      </c>
      <c r="B22" s="69">
        <f t="shared" si="1"/>
        <v>21</v>
      </c>
      <c r="C22" s="70">
        <v>7</v>
      </c>
      <c r="D22" s="69">
        <v>2022</v>
      </c>
      <c r="E22" s="71">
        <f>'FS-AD Daily '!B26</f>
        <v>5466</v>
      </c>
      <c r="F22" s="71">
        <f>'FS-AD Daily '!C26</f>
        <v>3885</v>
      </c>
      <c r="G22" s="71">
        <f>'FS-AD Daily '!D26</f>
        <v>870</v>
      </c>
      <c r="H22" s="71">
        <f>'FS-AD Daily '!E26</f>
        <v>6824</v>
      </c>
      <c r="I22" s="71">
        <f>'FS-AD Daily '!F26</f>
        <v>5971</v>
      </c>
      <c r="J22" s="71">
        <f>'FS-AD Daily '!G26</f>
        <v>2804</v>
      </c>
      <c r="K22" s="71">
        <f>'FS-AD Daily '!H26</f>
        <v>5477</v>
      </c>
      <c r="L22" s="71">
        <f>'FS-AD Daily '!I26</f>
        <v>2227</v>
      </c>
      <c r="M22" s="71">
        <f>'FS-AD Daily '!J26</f>
        <v>6834</v>
      </c>
      <c r="N22" s="71">
        <f>'FS-AD Daily '!T26</f>
        <v>201.52200000000084</v>
      </c>
      <c r="O22" s="71">
        <f>'FS-AD Daily '!R26</f>
        <v>74.988999999998668</v>
      </c>
      <c r="P22" s="71">
        <f>'FS-AD Daily '!Z26</f>
        <v>665</v>
      </c>
      <c r="Q22" s="71">
        <f>'FS-AD Daily '!V26</f>
        <v>186.39999999996508</v>
      </c>
      <c r="R22" s="71">
        <f>'FS-AD Daily '!W26</f>
        <v>170.86999999999534</v>
      </c>
      <c r="S22" s="71">
        <f t="shared" si="0"/>
        <v>307.73000000003958</v>
      </c>
      <c r="T22" s="71">
        <f>'FS-AD Daily '!AD26*3.516</f>
        <v>114769.272</v>
      </c>
      <c r="U22" s="71">
        <f>('FS-AD Daily '!AF26)*1000</f>
        <v>56599.999999991269</v>
      </c>
      <c r="V22" s="71">
        <f>('FS-AD Daily '!AG26)*1000</f>
        <v>0</v>
      </c>
      <c r="W22" s="71">
        <f>'FS-AD Daily '!AH26*1000</f>
        <v>17500</v>
      </c>
      <c r="X22" s="71">
        <f>('FS-AD Daily '!AK26)*1000</f>
        <v>29600.000000005821</v>
      </c>
      <c r="Y22" s="71">
        <f>'FS-AD Daily '!AN26</f>
        <v>69</v>
      </c>
      <c r="Z22" s="104">
        <v>100</v>
      </c>
    </row>
    <row r="23" spans="1:26" x14ac:dyDescent="0.25">
      <c r="A23" s="103" t="s">
        <v>80</v>
      </c>
      <c r="B23" s="69">
        <f t="shared" si="1"/>
        <v>22</v>
      </c>
      <c r="C23" s="70">
        <v>7</v>
      </c>
      <c r="D23" s="69">
        <v>2022</v>
      </c>
      <c r="E23" s="71">
        <f>'FS-AD Daily '!B27</f>
        <v>5636</v>
      </c>
      <c r="F23" s="71">
        <f>'FS-AD Daily '!C27</f>
        <v>3760</v>
      </c>
      <c r="G23" s="71">
        <f>'FS-AD Daily '!D27</f>
        <v>885</v>
      </c>
      <c r="H23" s="71">
        <f>'FS-AD Daily '!E27</f>
        <v>6939</v>
      </c>
      <c r="I23" s="71">
        <f>'FS-AD Daily '!F27</f>
        <v>6112</v>
      </c>
      <c r="J23" s="71">
        <f>'FS-AD Daily '!G27</f>
        <v>2792</v>
      </c>
      <c r="K23" s="71">
        <f>'FS-AD Daily '!H27</f>
        <v>5484</v>
      </c>
      <c r="L23" s="71">
        <f>'FS-AD Daily '!I27</f>
        <v>2203</v>
      </c>
      <c r="M23" s="71">
        <f>'FS-AD Daily '!J27</f>
        <v>6928</v>
      </c>
      <c r="N23" s="71">
        <f>'FS-AD Daily '!T27</f>
        <v>188.28599999999642</v>
      </c>
      <c r="O23" s="71">
        <f>'FS-AD Daily '!R27</f>
        <v>76.251999999999498</v>
      </c>
      <c r="P23" s="71">
        <f>'FS-AD Daily '!Z27</f>
        <v>647</v>
      </c>
      <c r="Q23" s="71">
        <f>'FS-AD Daily '!V27</f>
        <v>179.29999999998836</v>
      </c>
      <c r="R23" s="71">
        <f>'FS-AD Daily '!W27</f>
        <v>169.04999999998836</v>
      </c>
      <c r="S23" s="71">
        <f t="shared" si="0"/>
        <v>298.65000000002328</v>
      </c>
      <c r="T23" s="71">
        <f>'FS-AD Daily '!AD27*3.516</f>
        <v>118932.216</v>
      </c>
      <c r="U23" s="71">
        <f>('FS-AD Daily '!AF27)*1000</f>
        <v>58400.000000008731</v>
      </c>
      <c r="V23" s="71">
        <f>('FS-AD Daily '!AG27)*1000</f>
        <v>0</v>
      </c>
      <c r="W23" s="71">
        <f>'FS-AD Daily '!AH27*1000</f>
        <v>18300.00000000291</v>
      </c>
      <c r="X23" s="71">
        <f>('FS-AD Daily '!AK27)*1000</f>
        <v>30199.99999999709</v>
      </c>
      <c r="Y23" s="71">
        <f>'FS-AD Daily '!AN27</f>
        <v>38</v>
      </c>
      <c r="Z23" s="104">
        <v>71</v>
      </c>
    </row>
    <row r="24" spans="1:26" x14ac:dyDescent="0.25">
      <c r="A24" s="103" t="s">
        <v>80</v>
      </c>
      <c r="B24" s="69">
        <f t="shared" si="1"/>
        <v>23</v>
      </c>
      <c r="C24" s="70">
        <v>7</v>
      </c>
      <c r="D24" s="69">
        <v>2022</v>
      </c>
      <c r="E24" s="71">
        <f>'FS-AD Daily '!B28</f>
        <v>5671</v>
      </c>
      <c r="F24" s="71">
        <f>'FS-AD Daily '!C28</f>
        <v>3535</v>
      </c>
      <c r="G24" s="71">
        <f>'FS-AD Daily '!D28</f>
        <v>882</v>
      </c>
      <c r="H24" s="71">
        <f>'FS-AD Daily '!E28</f>
        <v>7031</v>
      </c>
      <c r="I24" s="71">
        <f>'FS-AD Daily '!F28</f>
        <v>6131</v>
      </c>
      <c r="J24" s="71">
        <f>'FS-AD Daily '!G28</f>
        <v>2740</v>
      </c>
      <c r="K24" s="71">
        <f>'FS-AD Daily '!H28</f>
        <v>5504</v>
      </c>
      <c r="L24" s="71">
        <f>'FS-AD Daily '!I28</f>
        <v>2215</v>
      </c>
      <c r="M24" s="71">
        <f>'FS-AD Daily '!J28</f>
        <v>7056</v>
      </c>
      <c r="N24" s="71">
        <f>'FS-AD Daily '!T28</f>
        <v>182.96900000000096</v>
      </c>
      <c r="O24" s="71">
        <f>'FS-AD Daily '!R28</f>
        <v>78.734000000001288</v>
      </c>
      <c r="P24" s="71">
        <f>'FS-AD Daily '!Z28</f>
        <v>633</v>
      </c>
      <c r="Q24" s="71">
        <f>'FS-AD Daily '!V28</f>
        <v>177.90000000002328</v>
      </c>
      <c r="R24" s="71">
        <f>'FS-AD Daily '!W28</f>
        <v>145.43000000002212</v>
      </c>
      <c r="S24" s="71">
        <f t="shared" si="0"/>
        <v>309.6699999999546</v>
      </c>
      <c r="T24" s="71">
        <f>'FS-AD Daily '!AD28*3.516</f>
        <v>125742.708</v>
      </c>
      <c r="U24" s="71">
        <f>('FS-AD Daily '!AF28)*1000</f>
        <v>63000</v>
      </c>
      <c r="V24" s="71">
        <f>('FS-AD Daily '!AG28)*1000</f>
        <v>0</v>
      </c>
      <c r="W24" s="71">
        <f>'FS-AD Daily '!AH28*1000</f>
        <v>19000</v>
      </c>
      <c r="X24" s="71">
        <f>('FS-AD Daily '!AK28)*1000</f>
        <v>31599.999999998545</v>
      </c>
      <c r="Y24" s="71">
        <f>'FS-AD Daily '!AN28</f>
        <v>31</v>
      </c>
      <c r="Z24" s="104">
        <v>69</v>
      </c>
    </row>
    <row r="25" spans="1:26" x14ac:dyDescent="0.25">
      <c r="A25" s="103" t="s">
        <v>80</v>
      </c>
      <c r="B25" s="69">
        <f t="shared" si="1"/>
        <v>24</v>
      </c>
      <c r="C25" s="70">
        <v>7</v>
      </c>
      <c r="D25" s="69">
        <v>2022</v>
      </c>
      <c r="E25" s="71">
        <f>'FS-AD Daily '!B29</f>
        <v>5589</v>
      </c>
      <c r="F25" s="71">
        <f>'FS-AD Daily '!C29</f>
        <v>3796</v>
      </c>
      <c r="G25" s="71">
        <f>'FS-AD Daily '!D29</f>
        <v>902</v>
      </c>
      <c r="H25" s="71">
        <f>'FS-AD Daily '!E29</f>
        <v>7071</v>
      </c>
      <c r="I25" s="71">
        <f>'FS-AD Daily '!F29</f>
        <v>5580</v>
      </c>
      <c r="J25" s="71">
        <f>'FS-AD Daily '!G29</f>
        <v>2671</v>
      </c>
      <c r="K25" s="71">
        <f>'FS-AD Daily '!H29</f>
        <v>5431</v>
      </c>
      <c r="L25" s="71">
        <f>'FS-AD Daily '!I29</f>
        <v>2246</v>
      </c>
      <c r="M25" s="71">
        <f>'FS-AD Daily '!J29</f>
        <v>6908</v>
      </c>
      <c r="N25" s="71">
        <f>'FS-AD Daily '!T29</f>
        <v>189.14900000000489</v>
      </c>
      <c r="O25" s="71">
        <f>'FS-AD Daily '!R29</f>
        <v>72.807999999999993</v>
      </c>
      <c r="P25" s="71">
        <f>'FS-AD Daily '!Z29</f>
        <v>541</v>
      </c>
      <c r="Q25" s="71">
        <f>'FS-AD Daily '!V29</f>
        <v>158.79999999998836</v>
      </c>
      <c r="R25" s="71">
        <f>'FS-AD Daily '!W29</f>
        <v>113.72000000000116</v>
      </c>
      <c r="S25" s="71">
        <f t="shared" si="0"/>
        <v>268.48000000001048</v>
      </c>
      <c r="T25" s="71">
        <f>'FS-AD Daily '!AD29*3.516</f>
        <v>127687.056</v>
      </c>
      <c r="U25" s="71">
        <f>('FS-AD Daily '!AF29)*1000</f>
        <v>65000</v>
      </c>
      <c r="V25" s="71">
        <f>('FS-AD Daily '!AG29)*1000</f>
        <v>0</v>
      </c>
      <c r="W25" s="71">
        <f>'FS-AD Daily '!AH29*1000</f>
        <v>17799.999999999272</v>
      </c>
      <c r="X25" s="71">
        <f>('FS-AD Daily '!AK29)*1000</f>
        <v>31500</v>
      </c>
      <c r="Y25" s="71">
        <f>'FS-AD Daily '!AN29</f>
        <v>37</v>
      </c>
      <c r="Z25" s="104">
        <v>58</v>
      </c>
    </row>
    <row r="26" spans="1:26" x14ac:dyDescent="0.25">
      <c r="A26" s="103" t="s">
        <v>80</v>
      </c>
      <c r="B26" s="69">
        <f>B25+1</f>
        <v>25</v>
      </c>
      <c r="C26" s="70">
        <v>7</v>
      </c>
      <c r="D26" s="69">
        <v>2022</v>
      </c>
      <c r="E26" s="71">
        <f>'FS-AD Daily '!B30</f>
        <v>5561</v>
      </c>
      <c r="F26" s="71">
        <f>'FS-AD Daily '!C30</f>
        <v>4508</v>
      </c>
      <c r="G26" s="71">
        <f>'FS-AD Daily '!D30</f>
        <v>872</v>
      </c>
      <c r="H26" s="71">
        <f>'FS-AD Daily '!E30</f>
        <v>6917</v>
      </c>
      <c r="I26" s="71">
        <f>'FS-AD Daily '!F30</f>
        <v>5847</v>
      </c>
      <c r="J26" s="71">
        <f>'FS-AD Daily '!G30</f>
        <v>2825</v>
      </c>
      <c r="K26" s="71">
        <f>'FS-AD Daily '!H30</f>
        <v>6431</v>
      </c>
      <c r="L26" s="71">
        <f>'FS-AD Daily '!I30</f>
        <v>2277</v>
      </c>
      <c r="M26" s="71">
        <f>'FS-AD Daily '!J30</f>
        <v>6880</v>
      </c>
      <c r="N26" s="71">
        <f>'FS-AD Daily '!T30</f>
        <v>178.71799999999348</v>
      </c>
      <c r="O26" s="71">
        <f>'FS-AD Daily '!R30</f>
        <v>68.347999999999047</v>
      </c>
      <c r="P26" s="71">
        <f>'FS-AD Daily '!Z30</f>
        <v>597</v>
      </c>
      <c r="Q26" s="71">
        <f>'FS-AD Daily '!V30</f>
        <v>170.60000000003492</v>
      </c>
      <c r="R26" s="71">
        <f>'FS-AD Daily '!W30</f>
        <v>156.01999999998952</v>
      </c>
      <c r="S26" s="71">
        <f t="shared" si="0"/>
        <v>270.37999999997555</v>
      </c>
      <c r="T26" s="71">
        <f>'FS-AD Daily '!AD30*3.516</f>
        <v>127177.236</v>
      </c>
      <c r="U26" s="71">
        <f>('FS-AD Daily '!AF30)*1000</f>
        <v>62899.999999994179</v>
      </c>
      <c r="V26" s="71">
        <f>('FS-AD Daily '!AG30)*1000</f>
        <v>0</v>
      </c>
      <c r="W26" s="71">
        <f>'FS-AD Daily '!AH30*1000</f>
        <v>17899.999999997817</v>
      </c>
      <c r="X26" s="71">
        <f>('FS-AD Daily '!AK30)*1000</f>
        <v>31200.000000004366</v>
      </c>
      <c r="Y26" s="71">
        <f>'FS-AD Daily '!AN30</f>
        <v>56</v>
      </c>
      <c r="Z26" s="104">
        <v>82</v>
      </c>
    </row>
    <row r="27" spans="1:26" x14ac:dyDescent="0.25">
      <c r="A27" s="103" t="s">
        <v>80</v>
      </c>
      <c r="B27" s="69">
        <f t="shared" si="1"/>
        <v>26</v>
      </c>
      <c r="C27" s="70">
        <v>7</v>
      </c>
      <c r="D27" s="69">
        <v>2022</v>
      </c>
      <c r="E27" s="71">
        <f>'FS-AD Daily '!B31</f>
        <v>5424</v>
      </c>
      <c r="F27" s="71">
        <f>'FS-AD Daily '!C31</f>
        <v>3933</v>
      </c>
      <c r="G27" s="71">
        <f>'FS-AD Daily '!D31</f>
        <v>875</v>
      </c>
      <c r="H27" s="71">
        <f>'FS-AD Daily '!E31</f>
        <v>6834</v>
      </c>
      <c r="I27" s="71">
        <f>'FS-AD Daily '!F31</f>
        <v>5747</v>
      </c>
      <c r="J27" s="71">
        <f>'FS-AD Daily '!G31</f>
        <v>2734</v>
      </c>
      <c r="K27" s="71">
        <f>'FS-AD Daily '!H31</f>
        <v>7224</v>
      </c>
      <c r="L27" s="71">
        <f>'FS-AD Daily '!I31</f>
        <v>2247</v>
      </c>
      <c r="M27" s="71">
        <f>'FS-AD Daily '!J31</f>
        <v>6808</v>
      </c>
      <c r="N27" s="71">
        <f>'FS-AD Daily '!T31</f>
        <v>180.27000000000771</v>
      </c>
      <c r="O27" s="71">
        <f>'FS-AD Daily '!R31</f>
        <v>70.635999999999513</v>
      </c>
      <c r="P27" s="71">
        <f>'FS-AD Daily '!Z31</f>
        <v>627</v>
      </c>
      <c r="Q27" s="71">
        <f>'FS-AD Daily '!V31</f>
        <v>171</v>
      </c>
      <c r="R27" s="71">
        <f>'FS-AD Daily '!W31</f>
        <v>176.57999999998719</v>
      </c>
      <c r="S27" s="71">
        <f t="shared" si="0"/>
        <v>279.42000000001281</v>
      </c>
      <c r="T27" s="71">
        <f>'FS-AD Daily '!AD31*3.516</f>
        <v>104826.024</v>
      </c>
      <c r="U27" s="71">
        <f>('FS-AD Daily '!AF31)*1000</f>
        <v>50600.000000005821</v>
      </c>
      <c r="V27" s="71">
        <f>('FS-AD Daily '!AG31)*1000</f>
        <v>0</v>
      </c>
      <c r="W27" s="71">
        <f>'FS-AD Daily '!AH31*1000</f>
        <v>16000</v>
      </c>
      <c r="X27" s="71">
        <f>('FS-AD Daily '!AK31)*1000</f>
        <v>27000</v>
      </c>
      <c r="Y27" s="71">
        <f>'FS-AD Daily '!AN31</f>
        <v>73</v>
      </c>
      <c r="Z27" s="104">
        <v>102</v>
      </c>
    </row>
    <row r="28" spans="1:26" x14ac:dyDescent="0.25">
      <c r="A28" s="103" t="s">
        <v>80</v>
      </c>
      <c r="B28" s="69">
        <f t="shared" si="1"/>
        <v>27</v>
      </c>
      <c r="C28" s="70">
        <v>7</v>
      </c>
      <c r="D28" s="69">
        <v>2022</v>
      </c>
      <c r="E28" s="71">
        <f>'FS-AD Daily '!B32</f>
        <v>5410</v>
      </c>
      <c r="F28" s="71">
        <f>'FS-AD Daily '!C32</f>
        <v>3938</v>
      </c>
      <c r="G28" s="71">
        <f>'FS-AD Daily '!D32</f>
        <v>858</v>
      </c>
      <c r="H28" s="71">
        <f>'FS-AD Daily '!E32</f>
        <v>7046</v>
      </c>
      <c r="I28" s="71">
        <f>'FS-AD Daily '!F32</f>
        <v>5716</v>
      </c>
      <c r="J28" s="71">
        <f>'FS-AD Daily '!G32</f>
        <v>2852</v>
      </c>
      <c r="K28" s="71">
        <f>'FS-AD Daily '!H32</f>
        <v>7973</v>
      </c>
      <c r="L28" s="71">
        <f>'FS-AD Daily '!I32</f>
        <v>2191</v>
      </c>
      <c r="M28" s="71">
        <f>'FS-AD Daily '!J32</f>
        <v>6846</v>
      </c>
      <c r="N28" s="71">
        <f>'FS-AD Daily '!T32</f>
        <v>205.02399999999398</v>
      </c>
      <c r="O28" s="71">
        <f>'FS-AD Daily '!R32</f>
        <v>83.037000000001171</v>
      </c>
      <c r="P28" s="71">
        <f>'FS-AD Daily '!Z32</f>
        <v>641</v>
      </c>
      <c r="Q28" s="71">
        <f>'FS-AD Daily '!V32</f>
        <v>177.59999999997672</v>
      </c>
      <c r="R28" s="71">
        <f>'FS-AD Daily '!W32</f>
        <v>179.76000000000931</v>
      </c>
      <c r="S28" s="71">
        <f t="shared" si="0"/>
        <v>283.64000000001397</v>
      </c>
      <c r="T28" s="71">
        <f>'FS-AD Daily '!AD32*3.516</f>
        <v>109516.368</v>
      </c>
      <c r="U28" s="71">
        <f>('FS-AD Daily '!AF32)*1000</f>
        <v>52099.999999991269</v>
      </c>
      <c r="V28" s="71">
        <f>('FS-AD Daily '!AG32)*1000</f>
        <v>0</v>
      </c>
      <c r="W28" s="71">
        <f>'FS-AD Daily '!AH32*1000</f>
        <v>16500</v>
      </c>
      <c r="X28" s="71">
        <f>('FS-AD Daily '!AK32)*1000</f>
        <v>29000</v>
      </c>
      <c r="Y28" s="71">
        <f>'FS-AD Daily '!AN32</f>
        <v>79</v>
      </c>
      <c r="Z28" s="104">
        <v>124</v>
      </c>
    </row>
    <row r="29" spans="1:26" x14ac:dyDescent="0.25">
      <c r="A29" s="103" t="s">
        <v>80</v>
      </c>
      <c r="B29" s="69">
        <f t="shared" si="1"/>
        <v>28</v>
      </c>
      <c r="C29" s="70">
        <v>7</v>
      </c>
      <c r="D29" s="69">
        <v>2022</v>
      </c>
      <c r="E29" s="71">
        <f>'FS-AD Daily '!B33</f>
        <v>5525</v>
      </c>
      <c r="F29" s="71">
        <f>'FS-AD Daily '!C33</f>
        <v>4005</v>
      </c>
      <c r="G29" s="71">
        <f>'FS-AD Daily '!D33</f>
        <v>874</v>
      </c>
      <c r="H29" s="71">
        <f>'FS-AD Daily '!E33</f>
        <v>7044</v>
      </c>
      <c r="I29" s="71">
        <f>'FS-AD Daily '!F33</f>
        <v>5903</v>
      </c>
      <c r="J29" s="71">
        <f>'FS-AD Daily '!G33</f>
        <v>2953</v>
      </c>
      <c r="K29" s="71">
        <f>'FS-AD Daily '!H33</f>
        <v>7485</v>
      </c>
      <c r="L29" s="71">
        <f>'FS-AD Daily '!I33</f>
        <v>2230</v>
      </c>
      <c r="M29" s="71">
        <f>'FS-AD Daily '!J33</f>
        <v>6926</v>
      </c>
      <c r="N29" s="71">
        <f>'FS-AD Daily '!T33</f>
        <v>178.68600000000515</v>
      </c>
      <c r="O29" s="71">
        <f>'FS-AD Daily '!R33</f>
        <v>70.253999999998086</v>
      </c>
      <c r="P29" s="71">
        <f>'FS-AD Daily '!Z33</f>
        <v>619</v>
      </c>
      <c r="Q29" s="71">
        <f>'FS-AD Daily '!V33</f>
        <v>176.40000000002328</v>
      </c>
      <c r="R29" s="71">
        <f>'FS-AD Daily '!W33</f>
        <v>175.77000000001863</v>
      </c>
      <c r="S29" s="71">
        <f t="shared" si="0"/>
        <v>266.82999999995809</v>
      </c>
      <c r="T29" s="71">
        <f>'FS-AD Daily '!AD33*3.516</f>
        <v>106731.696</v>
      </c>
      <c r="U29" s="71">
        <f>('FS-AD Daily '!AF33)*1000</f>
        <v>51600.000000005821</v>
      </c>
      <c r="V29" s="71">
        <f>('FS-AD Daily '!AG33)*1000</f>
        <v>0</v>
      </c>
      <c r="W29" s="71">
        <f>'FS-AD Daily '!AH33*1000</f>
        <v>15300.00000000291</v>
      </c>
      <c r="X29" s="71">
        <f>('FS-AD Daily '!AK33)*1000</f>
        <v>27799.999999995634</v>
      </c>
      <c r="Y29" s="71">
        <f>'FS-AD Daily '!AN33</f>
        <v>57</v>
      </c>
      <c r="Z29" s="104">
        <v>102</v>
      </c>
    </row>
    <row r="30" spans="1:26" x14ac:dyDescent="0.25">
      <c r="A30" s="103" t="s">
        <v>80</v>
      </c>
      <c r="B30" s="69">
        <f t="shared" si="1"/>
        <v>29</v>
      </c>
      <c r="C30" s="70">
        <v>7</v>
      </c>
      <c r="D30" s="69">
        <v>2022</v>
      </c>
      <c r="E30" s="71">
        <f>'FS-AD Daily '!B34</f>
        <v>5407</v>
      </c>
      <c r="F30" s="71">
        <f>'FS-AD Daily '!C34</f>
        <v>3759</v>
      </c>
      <c r="G30" s="71">
        <f>'FS-AD Daily '!D34</f>
        <v>898</v>
      </c>
      <c r="H30" s="71">
        <f>'FS-AD Daily '!E34</f>
        <v>6916</v>
      </c>
      <c r="I30" s="71">
        <f>'FS-AD Daily '!F34</f>
        <v>6055</v>
      </c>
      <c r="J30" s="71">
        <f>'FS-AD Daily '!G34</f>
        <v>2787</v>
      </c>
      <c r="K30" s="71">
        <f>'FS-AD Daily '!H34</f>
        <v>6944</v>
      </c>
      <c r="L30" s="71">
        <f>'FS-AD Daily '!I34</f>
        <v>2190</v>
      </c>
      <c r="M30" s="71">
        <f>'FS-AD Daily '!J34</f>
        <v>6976</v>
      </c>
      <c r="N30" s="71">
        <f>'FS-AD Daily '!T34</f>
        <v>209.71499999999651</v>
      </c>
      <c r="O30" s="71">
        <f>'FS-AD Daily '!R34</f>
        <v>85.385000000002947</v>
      </c>
      <c r="P30" s="71">
        <f>'FS-AD Daily '!Z34</f>
        <v>640</v>
      </c>
      <c r="Q30" s="71">
        <f>'FS-AD Daily '!V34</f>
        <v>178.79999999998836</v>
      </c>
      <c r="R30" s="71">
        <f>'FS-AD Daily '!W34</f>
        <v>181.9199999999837</v>
      </c>
      <c r="S30" s="71">
        <f t="shared" si="0"/>
        <v>279.28000000002794</v>
      </c>
      <c r="T30" s="71">
        <f>'FS-AD Daily '!AD34*3.516</f>
        <v>111499.39200000001</v>
      </c>
      <c r="U30" s="71">
        <f>('FS-AD Daily '!AF34)*1000</f>
        <v>53000</v>
      </c>
      <c r="V30" s="71">
        <f>('FS-AD Daily '!AG34)*1000</f>
        <v>0</v>
      </c>
      <c r="W30" s="71">
        <f>'FS-AD Daily '!AH34*1000</f>
        <v>16099.999999998545</v>
      </c>
      <c r="X30" s="71">
        <f>('FS-AD Daily '!AK34)*1000</f>
        <v>29599.999999998545</v>
      </c>
      <c r="Y30" s="71">
        <f>'FS-AD Daily '!AN34</f>
        <v>53</v>
      </c>
      <c r="Z30" s="104">
        <v>97</v>
      </c>
    </row>
    <row r="31" spans="1:26" x14ac:dyDescent="0.25">
      <c r="A31" s="103" t="s">
        <v>80</v>
      </c>
      <c r="B31" s="69">
        <f t="shared" si="1"/>
        <v>30</v>
      </c>
      <c r="C31" s="70">
        <v>7</v>
      </c>
      <c r="D31" s="69">
        <v>2022</v>
      </c>
      <c r="E31" s="71">
        <f>'FS-AD Daily '!B35</f>
        <v>5473</v>
      </c>
      <c r="F31" s="71">
        <f>'FS-AD Daily '!C35</f>
        <v>3688</v>
      </c>
      <c r="G31" s="71">
        <f>'FS-AD Daily '!D35</f>
        <v>839</v>
      </c>
      <c r="H31" s="71">
        <f>'FS-AD Daily '!E35</f>
        <v>7121</v>
      </c>
      <c r="I31" s="71">
        <f>'FS-AD Daily '!F35</f>
        <v>6330</v>
      </c>
      <c r="J31" s="71">
        <f>'FS-AD Daily '!G35</f>
        <v>2953</v>
      </c>
      <c r="K31" s="71">
        <f>'FS-AD Daily '!H35</f>
        <v>7061</v>
      </c>
      <c r="L31" s="71">
        <f>'FS-AD Daily '!I35</f>
        <v>2224</v>
      </c>
      <c r="M31" s="71">
        <f>'FS-AD Daily '!J35</f>
        <v>7131</v>
      </c>
      <c r="N31" s="71">
        <f>'FS-AD Daily '!T35</f>
        <v>181.09400000000096</v>
      </c>
      <c r="O31" s="71">
        <f>'FS-AD Daily '!R35</f>
        <v>75.093999999997322</v>
      </c>
      <c r="P31" s="71">
        <f>'FS-AD Daily '!Z35</f>
        <v>604</v>
      </c>
      <c r="Q31" s="71">
        <f>'FS-AD Daily '!V35</f>
        <v>173.89999999996508</v>
      </c>
      <c r="R31" s="71">
        <f>'FS-AD Daily '!W35</f>
        <v>129</v>
      </c>
      <c r="S31" s="71">
        <f t="shared" ref="S31:S32" si="2">P31-Q31-R31</f>
        <v>301.10000000003492</v>
      </c>
      <c r="T31" s="71">
        <f>'FS-AD Daily '!AD35*3.516</f>
        <v>108338.508</v>
      </c>
      <c r="U31" s="71">
        <f>('FS-AD Daily '!AF35)*1000</f>
        <v>51199.99999999709</v>
      </c>
      <c r="V31" s="71">
        <f>('FS-AD Daily '!AG35)*1000</f>
        <v>0</v>
      </c>
      <c r="W31" s="71">
        <f>'FS-AD Daily '!AH35*1000</f>
        <v>16200.000000000728</v>
      </c>
      <c r="X31" s="71">
        <f>('FS-AD Daily '!AK35)*1000</f>
        <v>28200.000000004366</v>
      </c>
      <c r="Y31" s="71">
        <f>'FS-AD Daily '!AN35</f>
        <v>47</v>
      </c>
      <c r="Z31" s="121">
        <v>92</v>
      </c>
    </row>
    <row r="32" spans="1:26" ht="15.75" thickBot="1" x14ac:dyDescent="0.3">
      <c r="A32" s="103" t="s">
        <v>80</v>
      </c>
      <c r="B32" s="69">
        <f t="shared" si="1"/>
        <v>31</v>
      </c>
      <c r="C32" s="70">
        <v>7</v>
      </c>
      <c r="D32" s="69">
        <v>2022</v>
      </c>
      <c r="E32" s="71">
        <f>'FS-AD Daily '!B36</f>
        <v>5220</v>
      </c>
      <c r="F32" s="71">
        <f>'FS-AD Daily '!C36</f>
        <v>3348</v>
      </c>
      <c r="G32" s="71">
        <f>'FS-AD Daily '!D36</f>
        <v>823</v>
      </c>
      <c r="H32" s="71">
        <f>'FS-AD Daily '!E36</f>
        <v>6853</v>
      </c>
      <c r="I32" s="71">
        <f>'FS-AD Daily '!F36</f>
        <v>5717</v>
      </c>
      <c r="J32" s="71">
        <f>'FS-AD Daily '!G36</f>
        <v>2660</v>
      </c>
      <c r="K32" s="71">
        <f>'FS-AD Daily '!H36</f>
        <v>6644</v>
      </c>
      <c r="L32" s="71">
        <f>'FS-AD Daily '!I36</f>
        <v>2170</v>
      </c>
      <c r="M32" s="71">
        <f>'FS-AD Daily '!J36</f>
        <v>6573</v>
      </c>
      <c r="N32" s="71">
        <f>'FS-AD Daily '!T36</f>
        <v>171.56399999999849</v>
      </c>
      <c r="O32" s="71">
        <f>'FS-AD Daily '!R36</f>
        <v>65.993000000002212</v>
      </c>
      <c r="P32" s="71">
        <f>'FS-AD Daily '!Z36</f>
        <v>533</v>
      </c>
      <c r="Q32" s="71">
        <f>'FS-AD Daily '!V36</f>
        <v>150.20000000001164</v>
      </c>
      <c r="R32" s="71">
        <f>'FS-AD Daily '!W36</f>
        <v>147.39000000001397</v>
      </c>
      <c r="S32" s="71">
        <f t="shared" si="2"/>
        <v>235.40999999997439</v>
      </c>
      <c r="T32" s="71">
        <f>'FS-AD Daily '!AD36*3.516</f>
        <v>102048.38400000001</v>
      </c>
      <c r="U32" s="71">
        <f>('FS-AD Daily '!AF36)*1000</f>
        <v>47500</v>
      </c>
      <c r="V32" s="71">
        <f>('FS-AD Daily '!AG36)*1000</f>
        <v>0</v>
      </c>
      <c r="W32" s="71">
        <f>'FS-AD Daily '!AH36*1000</f>
        <v>15899.999999997817</v>
      </c>
      <c r="X32" s="71">
        <f>('FS-AD Daily '!AK36)*1000</f>
        <v>26900.000000001455</v>
      </c>
      <c r="Y32" s="71">
        <f>'FS-AD Daily '!AN36</f>
        <v>50</v>
      </c>
      <c r="Z32" s="105">
        <v>87</v>
      </c>
    </row>
    <row r="33" spans="9:26" x14ac:dyDescent="0.25">
      <c r="I33" s="4">
        <f t="shared" ref="I33:W33" si="3">SUM(I2:I32)</f>
        <v>183446</v>
      </c>
      <c r="J33" s="4">
        <f t="shared" si="3"/>
        <v>87699</v>
      </c>
      <c r="K33" s="4">
        <f t="shared" si="3"/>
        <v>214390</v>
      </c>
      <c r="L33" s="4">
        <f t="shared" si="3"/>
        <v>69976</v>
      </c>
      <c r="M33" s="4">
        <f t="shared" si="3"/>
        <v>215898</v>
      </c>
      <c r="N33" s="4">
        <f t="shared" si="3"/>
        <v>5839.9140000000953</v>
      </c>
      <c r="O33" s="4">
        <f t="shared" si="3"/>
        <v>2307.4340000000002</v>
      </c>
      <c r="P33" s="4">
        <f t="shared" si="3"/>
        <v>19321</v>
      </c>
      <c r="Q33" s="4">
        <f t="shared" si="3"/>
        <v>5049.2999999999884</v>
      </c>
      <c r="R33" s="4">
        <f t="shared" si="3"/>
        <v>4877.2799999999988</v>
      </c>
      <c r="S33" s="4">
        <f t="shared" si="3"/>
        <v>9394.4200000000128</v>
      </c>
      <c r="T33" s="4">
        <f t="shared" si="3"/>
        <v>3722192.3039999995</v>
      </c>
      <c r="U33" s="4">
        <f t="shared" si="3"/>
        <v>1845199.9999999967</v>
      </c>
      <c r="V33" s="4">
        <f t="shared" si="3"/>
        <v>0</v>
      </c>
      <c r="W33" s="4">
        <f t="shared" si="3"/>
        <v>528599.9999999986</v>
      </c>
      <c r="X33" s="4">
        <f>'FS-AD Daily '!U38</f>
        <v>27694.643200000748</v>
      </c>
      <c r="Y33" s="4">
        <f>SUM(Y2:Y32)</f>
        <v>1924</v>
      </c>
      <c r="Z33" s="4">
        <f>SUM(Z2:Z32)</f>
        <v>3331</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85" zoomScaleNormal="85" workbookViewId="0">
      <pane ySplit="5" topLeftCell="A6" activePane="bottomLeft" state="frozen"/>
      <selection pane="bottomLeft" activeCell="AN37" sqref="AN37"/>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9" t="s">
        <v>14</v>
      </c>
      <c r="C1" s="129"/>
      <c r="D1" s="129"/>
      <c r="E1" s="129"/>
      <c r="F1" s="129"/>
      <c r="G1" s="129"/>
      <c r="H1" s="129"/>
      <c r="I1" s="129"/>
      <c r="J1" s="129"/>
      <c r="K1" s="25" t="s">
        <v>15</v>
      </c>
      <c r="L1" s="26" t="s">
        <v>16</v>
      </c>
      <c r="M1" s="27" t="s">
        <v>17</v>
      </c>
      <c r="N1" s="28" t="s">
        <v>18</v>
      </c>
      <c r="O1" s="28" t="s">
        <v>19</v>
      </c>
      <c r="P1" s="65" t="s">
        <v>20</v>
      </c>
      <c r="Q1" s="30" t="s">
        <v>21</v>
      </c>
      <c r="R1" s="31" t="s">
        <v>22</v>
      </c>
      <c r="S1" s="29" t="s">
        <v>23</v>
      </c>
      <c r="T1" s="32" t="s">
        <v>24</v>
      </c>
      <c r="U1" s="33" t="s">
        <v>25</v>
      </c>
      <c r="V1" s="32" t="s">
        <v>26</v>
      </c>
      <c r="W1" s="32" t="s">
        <v>27</v>
      </c>
      <c r="X1" s="130" t="s">
        <v>28</v>
      </c>
      <c r="Y1" s="130"/>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2022</v>
      </c>
      <c r="B2" s="22">
        <v>1</v>
      </c>
      <c r="C2" s="22">
        <v>2</v>
      </c>
      <c r="D2" s="22">
        <v>3</v>
      </c>
      <c r="E2" s="22">
        <v>4</v>
      </c>
      <c r="F2" s="22">
        <v>5</v>
      </c>
      <c r="G2" s="22">
        <v>6</v>
      </c>
      <c r="H2" s="22">
        <v>7</v>
      </c>
      <c r="I2" s="22">
        <v>8</v>
      </c>
      <c r="J2" s="22">
        <v>9</v>
      </c>
      <c r="K2" s="125" t="s">
        <v>41</v>
      </c>
      <c r="L2" s="124" t="s">
        <v>42</v>
      </c>
      <c r="M2" s="10"/>
      <c r="N2" s="10"/>
      <c r="O2" s="10"/>
      <c r="P2" s="10"/>
      <c r="Q2" s="10"/>
      <c r="R2" s="10"/>
      <c r="S2" s="133"/>
      <c r="T2" s="47"/>
      <c r="U2" s="127"/>
      <c r="V2" s="45"/>
      <c r="W2" s="45"/>
      <c r="X2" s="22">
        <v>1</v>
      </c>
      <c r="Y2" s="22">
        <v>2</v>
      </c>
      <c r="Z2" s="23"/>
      <c r="AA2" s="124" t="s">
        <v>100</v>
      </c>
      <c r="AB2" s="43"/>
      <c r="AC2" s="125" t="s">
        <v>43</v>
      </c>
      <c r="AD2" s="126"/>
      <c r="AE2" s="127" t="s">
        <v>102</v>
      </c>
      <c r="AF2" s="45"/>
      <c r="AG2" s="45"/>
      <c r="AH2" s="45"/>
      <c r="AI2" s="44"/>
      <c r="AJ2" s="44"/>
      <c r="AK2" s="44"/>
      <c r="AL2" s="44"/>
      <c r="AM2" s="127" t="s">
        <v>102</v>
      </c>
      <c r="AN2" s="128"/>
      <c r="AO2" s="123"/>
    </row>
    <row r="3" spans="1:44" ht="15" customHeight="1" x14ac:dyDescent="0.25">
      <c r="A3" s="9"/>
      <c r="B3" s="11" t="s">
        <v>44</v>
      </c>
      <c r="C3" s="11" t="s">
        <v>45</v>
      </c>
      <c r="D3" s="11" t="s">
        <v>46</v>
      </c>
      <c r="E3" s="11" t="s">
        <v>47</v>
      </c>
      <c r="F3" s="11" t="s">
        <v>48</v>
      </c>
      <c r="G3" s="11" t="s">
        <v>49</v>
      </c>
      <c r="H3" s="11" t="s">
        <v>50</v>
      </c>
      <c r="I3" s="11" t="s">
        <v>51</v>
      </c>
      <c r="J3" s="11" t="s">
        <v>52</v>
      </c>
      <c r="K3" s="131"/>
      <c r="L3" s="132"/>
      <c r="M3" s="10"/>
      <c r="N3" s="10"/>
      <c r="O3" s="10"/>
      <c r="P3" s="10"/>
      <c r="Q3" s="10"/>
      <c r="R3" s="10"/>
      <c r="S3" s="133"/>
      <c r="T3" s="47"/>
      <c r="U3" s="127"/>
      <c r="V3" s="45"/>
      <c r="W3" s="45"/>
      <c r="X3" s="11"/>
      <c r="Y3" s="11"/>
      <c r="Z3" s="12"/>
      <c r="AA3" s="124"/>
      <c r="AB3" s="43"/>
      <c r="AC3" s="125"/>
      <c r="AD3" s="126"/>
      <c r="AE3" s="127"/>
      <c r="AF3" s="45"/>
      <c r="AG3" s="45"/>
      <c r="AH3" s="45"/>
      <c r="AI3" s="13"/>
      <c r="AJ3" s="44"/>
      <c r="AK3" s="44"/>
      <c r="AL3" s="44"/>
      <c r="AM3" s="127"/>
      <c r="AN3" s="128"/>
      <c r="AO3" s="123"/>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3"/>
      <c r="T4" s="47"/>
      <c r="U4" s="127"/>
      <c r="V4" s="45"/>
      <c r="W4" s="45"/>
      <c r="X4" s="52"/>
      <c r="Y4" s="87">
        <v>1096266</v>
      </c>
      <c r="Z4" s="12"/>
      <c r="AA4" s="124"/>
      <c r="AB4" s="86">
        <v>14132704</v>
      </c>
      <c r="AC4" s="125"/>
      <c r="AD4" s="126"/>
      <c r="AE4" s="127"/>
      <c r="AF4" s="45"/>
      <c r="AG4" s="45"/>
      <c r="AH4" s="45"/>
      <c r="AI4" s="43">
        <v>55305</v>
      </c>
      <c r="AJ4" s="43"/>
      <c r="AK4" s="43"/>
      <c r="AL4" s="43"/>
      <c r="AM4" s="127"/>
      <c r="AN4" s="128"/>
      <c r="AO4" s="123"/>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44743</v>
      </c>
      <c r="B6" s="86">
        <f>14405845-14399795</f>
        <v>6050</v>
      </c>
      <c r="C6" s="86">
        <f>9235993-9232019</f>
        <v>3974</v>
      </c>
      <c r="D6" s="86">
        <f>1837007-1836056</f>
        <v>951</v>
      </c>
      <c r="E6" s="86">
        <f>13923085-13915569</f>
        <v>7516</v>
      </c>
      <c r="F6" s="86">
        <f>13629618-13623468</f>
        <v>6150</v>
      </c>
      <c r="G6" s="86">
        <f>9366586-9363539</f>
        <v>3047</v>
      </c>
      <c r="H6" s="86">
        <f>10702218-10693596</f>
        <v>8622</v>
      </c>
      <c r="I6" s="86">
        <f>6046226-6043860</f>
        <v>2366</v>
      </c>
      <c r="J6" s="86">
        <f>14065123-14057935</f>
        <v>7188</v>
      </c>
      <c r="K6" s="63">
        <f>SUM(B6:H6)</f>
        <v>36310</v>
      </c>
      <c r="L6" s="40">
        <f>K6*0.2</f>
        <v>7262</v>
      </c>
      <c r="M6" s="83">
        <f>39765.527-39570.6</f>
        <v>194.92700000000332</v>
      </c>
      <c r="N6" s="83">
        <f>5124.781-5122.147</f>
        <v>2.6340000000000146</v>
      </c>
      <c r="O6" s="83">
        <f>10502.053-10501.993</f>
        <v>5.9999999999490683E-2</v>
      </c>
      <c r="P6" s="82">
        <f>16644.414-16564.842</f>
        <v>79.572000000000116</v>
      </c>
      <c r="Q6" s="83">
        <f>30052.574-30029.911</f>
        <v>22.663000000000466</v>
      </c>
      <c r="R6" s="84">
        <f t="shared" ref="R6:R34" si="0">N6+O6+P6</f>
        <v>82.265999999999622</v>
      </c>
      <c r="S6" s="84">
        <f t="shared" ref="S6:S34" si="1">(N6+O6+P6)*7.84</f>
        <v>644.96543999999699</v>
      </c>
      <c r="T6" s="64">
        <f t="shared" ref="T6:T34" si="2">M6+Q6</f>
        <v>217.59000000000378</v>
      </c>
      <c r="U6" s="84">
        <f>T6*7.84</f>
        <v>1705.9056000000296</v>
      </c>
      <c r="V6" s="84">
        <f>427351-427197</f>
        <v>154</v>
      </c>
      <c r="W6" s="84">
        <f>170326.2-170146.42</f>
        <v>179.77999999999884</v>
      </c>
      <c r="X6" s="85" t="s">
        <v>63</v>
      </c>
      <c r="Y6" s="85">
        <v>1096983</v>
      </c>
      <c r="Z6" s="61">
        <f>IF((Y6-Y5&lt;0), "0",Y6-Y4)</f>
        <v>717</v>
      </c>
      <c r="AA6" s="90">
        <f>Z6*6.47</f>
        <v>4638.99</v>
      </c>
      <c r="AB6" s="75">
        <v>14167742</v>
      </c>
      <c r="AC6" s="75">
        <f>AB4</f>
        <v>14132704</v>
      </c>
      <c r="AD6" s="41">
        <f t="shared" ref="AD6:AD34" si="3">IF((AB6-AC6&lt;0), "0",AB6-AC6)</f>
        <v>35038</v>
      </c>
      <c r="AE6" s="84">
        <f>AD6*0.327899</f>
        <v>11488.925162</v>
      </c>
      <c r="AF6" s="84">
        <f>101844-101783</f>
        <v>61</v>
      </c>
      <c r="AG6" s="64">
        <f>50692.5-50692.5</f>
        <v>0</v>
      </c>
      <c r="AH6" s="84">
        <f>32188-32171</f>
        <v>17</v>
      </c>
      <c r="AI6" s="75">
        <f>AI4</f>
        <v>55305</v>
      </c>
      <c r="AJ6" s="75">
        <v>55339</v>
      </c>
      <c r="AK6" s="59">
        <f>IF((AJ6-AI6)&lt;0, "0",AJ6-AI6)</f>
        <v>34</v>
      </c>
      <c r="AL6" s="120">
        <f t="shared" ref="AL6:AL34" si="4">AK6*(284.34513609)</f>
        <v>9667.7346270599992</v>
      </c>
      <c r="AM6" s="84">
        <f>AL6*0.327899</f>
        <v>3170.0405164783465</v>
      </c>
      <c r="AN6" s="41">
        <v>71</v>
      </c>
      <c r="AO6" s="77">
        <f t="shared" ref="AO6:AO36" si="5">L6+U6+AA6+AE6</f>
        <v>25095.820762000028</v>
      </c>
    </row>
    <row r="7" spans="1:44" x14ac:dyDescent="0.25">
      <c r="A7" s="79">
        <v>44744</v>
      </c>
      <c r="B7" s="86">
        <f>14411394-14405845</f>
        <v>5549</v>
      </c>
      <c r="C7" s="86">
        <f>9239889-9235993</f>
        <v>3896</v>
      </c>
      <c r="D7" s="86">
        <f>1837970-1837007</f>
        <v>963</v>
      </c>
      <c r="E7" s="86">
        <f>13930449-13923085</f>
        <v>7364</v>
      </c>
      <c r="F7" s="86">
        <f>13635549-13629618</f>
        <v>5931</v>
      </c>
      <c r="G7" s="86">
        <f>9369596-9366586</f>
        <v>3010</v>
      </c>
      <c r="H7" s="86">
        <f>10710401-10702218</f>
        <v>8183</v>
      </c>
      <c r="I7" s="86">
        <f>6048546-6046226</f>
        <v>2320</v>
      </c>
      <c r="J7" s="86">
        <f>14072287-14065123</f>
        <v>7164</v>
      </c>
      <c r="K7" s="86">
        <f>SUM(B7:H7)</f>
        <v>34896</v>
      </c>
      <c r="L7" s="14">
        <f>K7*0.2</f>
        <v>6979.2000000000007</v>
      </c>
      <c r="M7" s="83">
        <f>39946.222-39765.527</f>
        <v>180.69499999999971</v>
      </c>
      <c r="N7" s="83">
        <f>5127.619-5124.781</f>
        <v>2.8379999999997381</v>
      </c>
      <c r="O7" s="83">
        <f>10502.416-10502.053</f>
        <v>0.36299999999937427</v>
      </c>
      <c r="P7" s="82">
        <f>16730.962-16644.414</f>
        <v>86.547999999998865</v>
      </c>
      <c r="Q7" s="83">
        <f>30062.164-30052.574</f>
        <v>9.5900000000001455</v>
      </c>
      <c r="R7" s="83">
        <f t="shared" si="0"/>
        <v>89.748999999997977</v>
      </c>
      <c r="S7" s="83">
        <f>(N7+O7+P7)*7.84</f>
        <v>703.63215999998408</v>
      </c>
      <c r="T7" s="83">
        <f>M7+Q7</f>
        <v>190.28499999999985</v>
      </c>
      <c r="U7" s="83">
        <f>T7*7.84</f>
        <v>1491.8343999999988</v>
      </c>
      <c r="V7" s="83">
        <f>427507.8-427351</f>
        <v>156.79999999998836</v>
      </c>
      <c r="W7" s="83">
        <f>170505.52-170326.2</f>
        <v>179.31999999997788</v>
      </c>
      <c r="X7" s="86" t="s">
        <v>63</v>
      </c>
      <c r="Y7" s="86">
        <v>1097699</v>
      </c>
      <c r="Z7" s="5">
        <f>IF((Y7-Y6&lt;0), "0",Y7-Y6)</f>
        <v>716</v>
      </c>
      <c r="AA7" s="14">
        <f t="shared" ref="AA7:AA34" si="6">Z7*6.47</f>
        <v>4632.5199999999995</v>
      </c>
      <c r="AB7" s="87">
        <v>14206033</v>
      </c>
      <c r="AC7" s="87">
        <f>AB6</f>
        <v>14167742</v>
      </c>
      <c r="AD7" s="5">
        <f t="shared" si="3"/>
        <v>38291</v>
      </c>
      <c r="AE7" s="83">
        <f>AD7*0.327899</f>
        <v>12555.580609000001</v>
      </c>
      <c r="AF7" s="83">
        <f>101913-101844</f>
        <v>69</v>
      </c>
      <c r="AG7" s="83">
        <f>50692.5-50692.5</f>
        <v>0</v>
      </c>
      <c r="AH7" s="83">
        <f>32205-32188</f>
        <v>17</v>
      </c>
      <c r="AI7" s="87">
        <f>AJ6</f>
        <v>55339</v>
      </c>
      <c r="AJ7" s="87">
        <v>55374</v>
      </c>
      <c r="AK7" s="48">
        <f t="shared" ref="AK7:AK34" si="7">IF((AJ7-AI7)&lt;0, "0",AJ7-AI7)</f>
        <v>35</v>
      </c>
      <c r="AL7" s="89">
        <f t="shared" si="4"/>
        <v>9952.0797631499991</v>
      </c>
      <c r="AM7" s="83">
        <f>AL7*0.327899</f>
        <v>3263.2770022571217</v>
      </c>
      <c r="AN7" s="5">
        <v>66</v>
      </c>
      <c r="AO7" s="78">
        <f t="shared" si="5"/>
        <v>25659.135009000001</v>
      </c>
    </row>
    <row r="8" spans="1:44" x14ac:dyDescent="0.25">
      <c r="A8" s="79">
        <v>44745</v>
      </c>
      <c r="B8" s="86">
        <f>14416948-14411394</f>
        <v>5554</v>
      </c>
      <c r="C8" s="86">
        <f>9243800-9239889</f>
        <v>3911</v>
      </c>
      <c r="D8" s="86">
        <f>1838878-1837970</f>
        <v>908</v>
      </c>
      <c r="E8" s="86">
        <f>13937845-13930449</f>
        <v>7396</v>
      </c>
      <c r="F8" s="86">
        <f>13641373-13635549</f>
        <v>5824</v>
      </c>
      <c r="G8" s="86">
        <f>9372543-9369596</f>
        <v>2947</v>
      </c>
      <c r="H8" s="86">
        <f>10718479-10710401</f>
        <v>8078</v>
      </c>
      <c r="I8" s="86">
        <f>6050913-6048546</f>
        <v>2367</v>
      </c>
      <c r="J8" s="86">
        <f>14079369-14072287</f>
        <v>7082</v>
      </c>
      <c r="K8" s="86">
        <f>SUM(B8:H8)</f>
        <v>34618</v>
      </c>
      <c r="L8" s="14">
        <f t="shared" ref="L8:L34" si="8">K8*0.2</f>
        <v>6923.6</v>
      </c>
      <c r="M8" s="83">
        <f>40119.067-39946.222</f>
        <v>172.84500000000116</v>
      </c>
      <c r="N8" s="83">
        <f>5129.799-5127.619</f>
        <v>2.180000000000291</v>
      </c>
      <c r="O8" s="83">
        <f>10502.476-10502.416</f>
        <v>6.0000000001309672E-2</v>
      </c>
      <c r="P8" s="82">
        <f>16810.04-16730.962</f>
        <v>79.078000000001339</v>
      </c>
      <c r="Q8" s="83">
        <f>30079.638-30062.164</f>
        <v>17.473999999998341</v>
      </c>
      <c r="R8" s="83">
        <f t="shared" si="0"/>
        <v>81.318000000002939</v>
      </c>
      <c r="S8" s="83">
        <f>(N8+O8+P8)*7.84</f>
        <v>637.53312000002302</v>
      </c>
      <c r="T8" s="83">
        <f>M8+Q8</f>
        <v>190.31899999999951</v>
      </c>
      <c r="U8" s="83">
        <f>T8*7.84</f>
        <v>1492.1009599999961</v>
      </c>
      <c r="V8" s="83">
        <f>427659.9-427507.8</f>
        <v>152.10000000003492</v>
      </c>
      <c r="W8" s="83">
        <f>170688.42-170505.52</f>
        <v>182.90000000002328</v>
      </c>
      <c r="X8" s="86" t="s">
        <v>63</v>
      </c>
      <c r="Y8" s="86">
        <v>1098377</v>
      </c>
      <c r="Z8" s="5">
        <f t="shared" ref="Z8:Z34" si="9">IF((Y8-Y7&lt;0), "0",Y8-Y7)</f>
        <v>678</v>
      </c>
      <c r="AA8" s="14">
        <f t="shared" si="6"/>
        <v>4386.66</v>
      </c>
      <c r="AB8" s="87">
        <v>14244345</v>
      </c>
      <c r="AC8" s="87">
        <f t="shared" ref="AC8:AC34" si="10">AB7</f>
        <v>14206033</v>
      </c>
      <c r="AD8" s="5">
        <f t="shared" si="3"/>
        <v>38312</v>
      </c>
      <c r="AE8" s="83">
        <f t="shared" ref="AE8:AE36" si="11">AD8*0.327899</f>
        <v>12562.466488</v>
      </c>
      <c r="AF8" s="83">
        <f>101982-101913</f>
        <v>69</v>
      </c>
      <c r="AG8" s="122">
        <f>50692.5-50692.5</f>
        <v>0</v>
      </c>
      <c r="AH8" s="83">
        <f>32223-32205</f>
        <v>18</v>
      </c>
      <c r="AI8" s="87">
        <f t="shared" ref="AI8:AI36" si="12">AJ7</f>
        <v>55374</v>
      </c>
      <c r="AJ8" s="87">
        <v>55409</v>
      </c>
      <c r="AK8" s="48">
        <f t="shared" si="7"/>
        <v>35</v>
      </c>
      <c r="AL8" s="89">
        <f t="shared" si="4"/>
        <v>9952.0797631499991</v>
      </c>
      <c r="AM8" s="83">
        <f t="shared" ref="AM8:AM36" si="13">AL8*0.327899</f>
        <v>3263.2770022571217</v>
      </c>
      <c r="AN8" s="5">
        <v>74</v>
      </c>
      <c r="AO8" s="78">
        <f t="shared" si="5"/>
        <v>25364.827447999996</v>
      </c>
    </row>
    <row r="9" spans="1:44" x14ac:dyDescent="0.25">
      <c r="A9" s="79">
        <v>44746</v>
      </c>
      <c r="B9" s="86">
        <f>14422797-14416948</f>
        <v>5849</v>
      </c>
      <c r="C9" s="86">
        <f>9248140-9243800</f>
        <v>4340</v>
      </c>
      <c r="D9" s="86">
        <f>1839806-1838878</f>
        <v>928</v>
      </c>
      <c r="E9" s="86">
        <f>13945411-13937845</f>
        <v>7566</v>
      </c>
      <c r="F9" s="86">
        <f>13647454-13641373</f>
        <v>6081</v>
      </c>
      <c r="G9" s="86">
        <f>9375420-9372543</f>
        <v>2877</v>
      </c>
      <c r="H9" s="86">
        <f>10725863-10718479</f>
        <v>7384</v>
      </c>
      <c r="I9" s="86">
        <f>6053232-6050913</f>
        <v>2319</v>
      </c>
      <c r="J9" s="86">
        <f>14086464-14079369</f>
        <v>7095</v>
      </c>
      <c r="K9" s="86">
        <f t="shared" ref="K9:K34" si="14">SUM(B9:H9)</f>
        <v>35025</v>
      </c>
      <c r="L9" s="14">
        <f t="shared" si="8"/>
        <v>7005</v>
      </c>
      <c r="M9" s="83">
        <f>40301.792-40119.067</f>
        <v>182.72499999999854</v>
      </c>
      <c r="N9" s="83">
        <f>5132.845-5129.799</f>
        <v>3.0460000000002765</v>
      </c>
      <c r="O9" s="83">
        <f>10502.626-10502.476</f>
        <v>0.1499999999996362</v>
      </c>
      <c r="P9" s="82">
        <f>16875.927-16810.04</f>
        <v>65.886999999998807</v>
      </c>
      <c r="Q9" s="83">
        <f>30097.035-30079.638</f>
        <v>17.397000000000844</v>
      </c>
      <c r="R9" s="83">
        <f t="shared" si="0"/>
        <v>69.082999999998719</v>
      </c>
      <c r="S9" s="83">
        <f t="shared" si="1"/>
        <v>541.6107199999899</v>
      </c>
      <c r="T9" s="83">
        <f t="shared" si="2"/>
        <v>200.12199999999939</v>
      </c>
      <c r="U9" s="83">
        <f t="shared" ref="U9:U37" si="15">T9*7.84</f>
        <v>1568.9564799999953</v>
      </c>
      <c r="V9" s="83">
        <f>427815.6-427659.9</f>
        <v>155.69999999995343</v>
      </c>
      <c r="W9" s="83">
        <f>170869.47-170688.42</f>
        <v>181.04999999998836</v>
      </c>
      <c r="X9" s="86" t="s">
        <v>63</v>
      </c>
      <c r="Y9" s="86">
        <v>1099069</v>
      </c>
      <c r="Z9" s="5">
        <f t="shared" si="9"/>
        <v>692</v>
      </c>
      <c r="AA9" s="14">
        <f t="shared" si="6"/>
        <v>4477.24</v>
      </c>
      <c r="AB9" s="87">
        <v>14280205</v>
      </c>
      <c r="AC9" s="87">
        <f t="shared" si="10"/>
        <v>14244345</v>
      </c>
      <c r="AD9" s="5">
        <f t="shared" si="3"/>
        <v>35860</v>
      </c>
      <c r="AE9" s="83">
        <f t="shared" si="11"/>
        <v>11758.458140000001</v>
      </c>
      <c r="AF9" s="83">
        <f>102046.3-101982</f>
        <v>64.30000000000291</v>
      </c>
      <c r="AG9" s="122">
        <f>50692.5-50692.5</f>
        <v>0</v>
      </c>
      <c r="AH9" s="83">
        <f>32240.1-32223</f>
        <v>17.099999999998545</v>
      </c>
      <c r="AI9" s="87">
        <f t="shared" si="12"/>
        <v>55409</v>
      </c>
      <c r="AJ9" s="87">
        <v>55444.2</v>
      </c>
      <c r="AK9" s="48">
        <f t="shared" si="7"/>
        <v>35.19999999999709</v>
      </c>
      <c r="AL9" s="89">
        <f t="shared" si="4"/>
        <v>10008.948790367172</v>
      </c>
      <c r="AM9" s="83">
        <f t="shared" si="13"/>
        <v>3281.9242994126053</v>
      </c>
      <c r="AN9" s="5">
        <v>89</v>
      </c>
      <c r="AO9" s="78">
        <f t="shared" si="5"/>
        <v>24809.654619999994</v>
      </c>
    </row>
    <row r="10" spans="1:44" x14ac:dyDescent="0.25">
      <c r="A10" s="79">
        <v>44747</v>
      </c>
      <c r="B10" s="86">
        <f>14428743-14422797</f>
        <v>5946</v>
      </c>
      <c r="C10" s="86">
        <f>9252332-9248140</f>
        <v>4192</v>
      </c>
      <c r="D10" s="86">
        <f>1840770-1839806</f>
        <v>964</v>
      </c>
      <c r="E10" s="86">
        <f>13952949-13945411</f>
        <v>7538</v>
      </c>
      <c r="F10" s="86">
        <f>13653375-13647454</f>
        <v>5921</v>
      </c>
      <c r="G10" s="86">
        <f>9378366-9375420</f>
        <v>2946</v>
      </c>
      <c r="H10" s="86">
        <f>10733247-10725863</f>
        <v>7384</v>
      </c>
      <c r="I10" s="86">
        <f>6055577-6053232</f>
        <v>2345</v>
      </c>
      <c r="J10" s="86">
        <f>14093556-14086464</f>
        <v>7092</v>
      </c>
      <c r="K10" s="86">
        <f t="shared" si="14"/>
        <v>34891</v>
      </c>
      <c r="L10" s="14">
        <f t="shared" si="8"/>
        <v>6978.2000000000007</v>
      </c>
      <c r="M10" s="83">
        <f>40487.7229999999-40301.792</f>
        <v>185.93099999999686</v>
      </c>
      <c r="N10" s="83">
        <f>5135.296-5132.845</f>
        <v>2.4510000000000218</v>
      </c>
      <c r="O10" s="83">
        <f>10502.839-10502.626</f>
        <v>0.21299999999973807</v>
      </c>
      <c r="P10" s="82">
        <f>16946.272-16875.927</f>
        <v>70.345000000001164</v>
      </c>
      <c r="Q10" s="83">
        <f>30116.229-30097.035</f>
        <v>19.193999999999505</v>
      </c>
      <c r="R10" s="83">
        <f t="shared" si="0"/>
        <v>73.009000000000924</v>
      </c>
      <c r="S10" s="83">
        <f t="shared" si="1"/>
        <v>572.39056000000721</v>
      </c>
      <c r="T10" s="83">
        <f t="shared" si="2"/>
        <v>205.12499999999636</v>
      </c>
      <c r="U10" s="83">
        <f t="shared" si="15"/>
        <v>1608.1799999999714</v>
      </c>
      <c r="V10" s="83">
        <f>427989-427815.6</f>
        <v>173.40000000002328</v>
      </c>
      <c r="W10" s="83">
        <f>171011.07-170869.47</f>
        <v>141.60000000000582</v>
      </c>
      <c r="X10" s="86" t="s">
        <v>63</v>
      </c>
      <c r="Y10" s="86">
        <v>1099719</v>
      </c>
      <c r="Z10" s="5">
        <f t="shared" si="9"/>
        <v>650</v>
      </c>
      <c r="AA10" s="14">
        <f t="shared" si="6"/>
        <v>4205.5</v>
      </c>
      <c r="AB10" s="87">
        <v>14318291</v>
      </c>
      <c r="AC10" s="87">
        <f t="shared" si="10"/>
        <v>14280205</v>
      </c>
      <c r="AD10" s="5">
        <f t="shared" si="3"/>
        <v>38086</v>
      </c>
      <c r="AE10" s="83">
        <f t="shared" si="11"/>
        <v>12488.361314</v>
      </c>
      <c r="AF10" s="83">
        <f>102113.4-102046.3</f>
        <v>67.099999999991269</v>
      </c>
      <c r="AG10" s="122">
        <f>50692.5-50692.5</f>
        <v>0</v>
      </c>
      <c r="AH10" s="83">
        <f>32257.3-32240.1</f>
        <v>17.200000000000728</v>
      </c>
      <c r="AI10" s="87">
        <f t="shared" si="12"/>
        <v>55444.2</v>
      </c>
      <c r="AJ10" s="87">
        <v>55479.7</v>
      </c>
      <c r="AK10" s="48">
        <f t="shared" si="7"/>
        <v>35.5</v>
      </c>
      <c r="AL10" s="89">
        <f t="shared" si="4"/>
        <v>10094.252331194999</v>
      </c>
      <c r="AM10" s="83">
        <f t="shared" si="13"/>
        <v>3309.8952451465088</v>
      </c>
      <c r="AN10" s="5">
        <v>81</v>
      </c>
      <c r="AO10" s="78">
        <f t="shared" si="5"/>
        <v>25280.24131399997</v>
      </c>
    </row>
    <row r="11" spans="1:44" x14ac:dyDescent="0.25">
      <c r="A11" s="79">
        <v>44748</v>
      </c>
      <c r="B11" s="86">
        <f>14434777-14428743</f>
        <v>6034</v>
      </c>
      <c r="C11" s="86">
        <f>9256447-9252332</f>
        <v>4115</v>
      </c>
      <c r="D11" s="86">
        <f>1841686-1840770</f>
        <v>916</v>
      </c>
      <c r="E11" s="86">
        <f>13960440-13952949</f>
        <v>7491</v>
      </c>
      <c r="F11" s="86">
        <f>13659260-13653375</f>
        <v>5885</v>
      </c>
      <c r="G11" s="86">
        <f>9381314-9378366</f>
        <v>2948</v>
      </c>
      <c r="H11" s="86">
        <f>10740585-10733247</f>
        <v>7338</v>
      </c>
      <c r="I11" s="86">
        <f>6057971-6055577</f>
        <v>2394</v>
      </c>
      <c r="J11" s="86">
        <f>14100639-14093556</f>
        <v>7083</v>
      </c>
      <c r="K11" s="86">
        <f t="shared" si="14"/>
        <v>34727</v>
      </c>
      <c r="L11" s="14">
        <f t="shared" si="8"/>
        <v>6945.4000000000005</v>
      </c>
      <c r="M11" s="83">
        <f>40649.778-40487.7229999999</f>
        <v>162.05500000009488</v>
      </c>
      <c r="N11" s="83">
        <f>5137.992-5135.296</f>
        <v>2.6959999999999127</v>
      </c>
      <c r="O11" s="83">
        <f>10503.072-10502.839</f>
        <v>0.23300000000017462</v>
      </c>
      <c r="P11" s="82">
        <f>17023.976-16946.272</f>
        <v>77.703999999997905</v>
      </c>
      <c r="Q11" s="83">
        <f>30133.111-30116.229</f>
        <v>16.882000000001426</v>
      </c>
      <c r="R11" s="83">
        <f t="shared" si="0"/>
        <v>80.632999999997992</v>
      </c>
      <c r="S11" s="83">
        <f t="shared" si="1"/>
        <v>632.16271999998423</v>
      </c>
      <c r="T11" s="83">
        <f t="shared" si="2"/>
        <v>178.9370000000963</v>
      </c>
      <c r="U11" s="83">
        <f t="shared" si="15"/>
        <v>1402.8660800007549</v>
      </c>
      <c r="V11" s="83">
        <f>428148.8-427989</f>
        <v>159.79999999998836</v>
      </c>
      <c r="W11" s="83">
        <f>171166.44-171011.07</f>
        <v>155.36999999999534</v>
      </c>
      <c r="X11" s="86" t="s">
        <v>63</v>
      </c>
      <c r="Y11" s="86">
        <v>1100373</v>
      </c>
      <c r="Z11" s="5">
        <f t="shared" si="9"/>
        <v>654</v>
      </c>
      <c r="AA11" s="14">
        <f t="shared" si="6"/>
        <v>4231.38</v>
      </c>
      <c r="AB11" s="87">
        <v>14356499</v>
      </c>
      <c r="AC11" s="86">
        <f t="shared" si="10"/>
        <v>14318291</v>
      </c>
      <c r="AD11" s="5">
        <f t="shared" si="3"/>
        <v>38208</v>
      </c>
      <c r="AE11" s="83">
        <f t="shared" si="11"/>
        <v>12528.364992000001</v>
      </c>
      <c r="AF11" s="83">
        <f>102180.6-102113.4</f>
        <v>67.200000000011642</v>
      </c>
      <c r="AG11" s="122">
        <f t="shared" ref="AG11:AG15" si="16">50692.5-50692.5</f>
        <v>0</v>
      </c>
      <c r="AH11" s="83">
        <f>32274.5-32257.3</f>
        <v>17.200000000000728</v>
      </c>
      <c r="AI11" s="87">
        <f t="shared" si="12"/>
        <v>55479.7</v>
      </c>
      <c r="AJ11" s="87">
        <v>55516.800000000003</v>
      </c>
      <c r="AK11" s="48">
        <f t="shared" si="7"/>
        <v>37.100000000005821</v>
      </c>
      <c r="AL11" s="89">
        <f t="shared" si="4"/>
        <v>10549.204548940654</v>
      </c>
      <c r="AM11" s="83">
        <f t="shared" si="13"/>
        <v>3459.0736223930912</v>
      </c>
      <c r="AN11" s="5">
        <v>63</v>
      </c>
      <c r="AO11" s="78">
        <f t="shared" si="5"/>
        <v>25108.011072000758</v>
      </c>
    </row>
    <row r="12" spans="1:44" x14ac:dyDescent="0.25">
      <c r="A12" s="79">
        <v>44749</v>
      </c>
      <c r="B12" s="86">
        <f>14440871-14434777</f>
        <v>6094</v>
      </c>
      <c r="C12" s="86">
        <f>9260200-9256447</f>
        <v>3753</v>
      </c>
      <c r="D12" s="86">
        <f>1842588-1841686</f>
        <v>902</v>
      </c>
      <c r="E12" s="86">
        <f>13967597-13960440</f>
        <v>7157</v>
      </c>
      <c r="F12" s="86">
        <f>13665186-13659260</f>
        <v>5926</v>
      </c>
      <c r="G12" s="86">
        <f>9384162-9381314</f>
        <v>2848</v>
      </c>
      <c r="H12" s="86">
        <f>10747942-10740585</f>
        <v>7357</v>
      </c>
      <c r="I12" s="86">
        <f>6060366-6057971</f>
        <v>2395</v>
      </c>
      <c r="J12" s="86">
        <f>14107742-14100639</f>
        <v>7103</v>
      </c>
      <c r="K12" s="86">
        <f t="shared" si="14"/>
        <v>34037</v>
      </c>
      <c r="L12" s="14">
        <f t="shared" si="8"/>
        <v>6807.4000000000005</v>
      </c>
      <c r="M12" s="83">
        <f>40842.616-40649.778</f>
        <v>192.83800000000338</v>
      </c>
      <c r="N12" s="83">
        <f>5140.959-5137.992</f>
        <v>2.9669999999996435</v>
      </c>
      <c r="O12" s="83">
        <f>10503.183-10503.072</f>
        <v>0.1110000000007858</v>
      </c>
      <c r="P12" s="82">
        <f>17100.299-17023.976</f>
        <v>76.32300000000032</v>
      </c>
      <c r="Q12" s="83">
        <f>30143.05-30133.111</f>
        <v>9.9389999999984866</v>
      </c>
      <c r="R12" s="83">
        <f t="shared" si="0"/>
        <v>79.401000000000749</v>
      </c>
      <c r="S12" s="83">
        <f t="shared" si="1"/>
        <v>622.50384000000588</v>
      </c>
      <c r="T12" s="83">
        <f t="shared" si="2"/>
        <v>202.77700000000186</v>
      </c>
      <c r="U12" s="83">
        <f t="shared" si="15"/>
        <v>1589.7716800000146</v>
      </c>
      <c r="V12" s="83">
        <f>428314.1-428148.8</f>
        <v>165.29999999998836</v>
      </c>
      <c r="W12" s="83">
        <f>171299.27-171166.44</f>
        <v>132.82999999998719</v>
      </c>
      <c r="X12" s="86" t="s">
        <v>63</v>
      </c>
      <c r="Y12" s="86">
        <v>1100980</v>
      </c>
      <c r="Z12" s="5">
        <f t="shared" si="9"/>
        <v>607</v>
      </c>
      <c r="AA12" s="14">
        <f t="shared" si="6"/>
        <v>3927.29</v>
      </c>
      <c r="AB12" s="87">
        <v>14391319</v>
      </c>
      <c r="AC12" s="86">
        <f t="shared" si="10"/>
        <v>14356499</v>
      </c>
      <c r="AD12" s="5">
        <f t="shared" si="3"/>
        <v>34820</v>
      </c>
      <c r="AE12" s="83">
        <f t="shared" si="11"/>
        <v>11417.44318</v>
      </c>
      <c r="AF12" s="83">
        <f>102241.4-102180.6</f>
        <v>60.799999999988358</v>
      </c>
      <c r="AG12" s="122">
        <f t="shared" si="16"/>
        <v>0</v>
      </c>
      <c r="AH12" s="83">
        <f>32291.4-32274.5</f>
        <v>16.900000000001455</v>
      </c>
      <c r="AI12" s="87">
        <f t="shared" si="12"/>
        <v>55516.800000000003</v>
      </c>
      <c r="AJ12" s="87">
        <v>55549.9</v>
      </c>
      <c r="AK12" s="48">
        <f t="shared" si="7"/>
        <v>33.099999999998545</v>
      </c>
      <c r="AL12" s="89">
        <f t="shared" si="4"/>
        <v>9411.824004578586</v>
      </c>
      <c r="AM12" s="83">
        <f t="shared" si="13"/>
        <v>3086.1276792773137</v>
      </c>
      <c r="AN12" s="5">
        <v>57</v>
      </c>
      <c r="AO12" s="78">
        <f t="shared" si="5"/>
        <v>23741.904860000017</v>
      </c>
    </row>
    <row r="13" spans="1:44" x14ac:dyDescent="0.25">
      <c r="A13" s="79">
        <v>44750</v>
      </c>
      <c r="B13" s="86">
        <f>14446919-14440871</f>
        <v>6048</v>
      </c>
      <c r="C13" s="86">
        <f>9263938-9260200</f>
        <v>3738</v>
      </c>
      <c r="D13" s="86">
        <f>1843511-1842588</f>
        <v>923</v>
      </c>
      <c r="E13" s="86">
        <f>13974593-13967597</f>
        <v>6996</v>
      </c>
      <c r="F13" s="86">
        <f>13671132-13665186</f>
        <v>5946</v>
      </c>
      <c r="G13" s="86">
        <f>9386826-9384162</f>
        <v>2664</v>
      </c>
      <c r="H13" s="86">
        <f>10755196-10747942</f>
        <v>7254</v>
      </c>
      <c r="I13" s="86">
        <f>6062681-6060366</f>
        <v>2315</v>
      </c>
      <c r="J13" s="86">
        <f>14114867-14107742</f>
        <v>7125</v>
      </c>
      <c r="K13" s="86">
        <f t="shared" si="14"/>
        <v>33569</v>
      </c>
      <c r="L13" s="14">
        <f t="shared" si="8"/>
        <v>6713.8</v>
      </c>
      <c r="M13" s="83">
        <f>40997.772-40842.616</f>
        <v>155.1559999999954</v>
      </c>
      <c r="N13" s="83">
        <f>5144.256-5140.959</f>
        <v>3.2970000000004802</v>
      </c>
      <c r="O13" s="83">
        <f>10503.294-10503.183</f>
        <v>0.11099999999896681</v>
      </c>
      <c r="P13" s="82">
        <f>17167.03-17100.299</f>
        <v>66.730999999999767</v>
      </c>
      <c r="Q13" s="83">
        <f>30174.702-30143.05</f>
        <v>31.652000000001863</v>
      </c>
      <c r="R13" s="83">
        <f t="shared" si="0"/>
        <v>70.138999999999214</v>
      </c>
      <c r="S13" s="83">
        <f t="shared" si="1"/>
        <v>549.88975999999388</v>
      </c>
      <c r="T13" s="83">
        <f t="shared" si="2"/>
        <v>186.80799999999726</v>
      </c>
      <c r="U13" s="83">
        <f t="shared" si="15"/>
        <v>1464.5747199999785</v>
      </c>
      <c r="V13" s="83">
        <f>428486.9-428314.1</f>
        <v>172.80000000004657</v>
      </c>
      <c r="W13" s="83">
        <f>171429.97-171299.27</f>
        <v>130.70000000001164</v>
      </c>
      <c r="X13" s="86" t="s">
        <v>63</v>
      </c>
      <c r="Y13" s="86">
        <v>1101638</v>
      </c>
      <c r="Z13" s="5">
        <f t="shared" si="9"/>
        <v>658</v>
      </c>
      <c r="AA13" s="14">
        <f t="shared" si="6"/>
        <v>4257.26</v>
      </c>
      <c r="AB13" s="87">
        <v>14425237</v>
      </c>
      <c r="AC13" s="86">
        <f t="shared" si="10"/>
        <v>14391319</v>
      </c>
      <c r="AD13" s="5">
        <f t="shared" si="3"/>
        <v>33918</v>
      </c>
      <c r="AE13" s="83">
        <f t="shared" si="11"/>
        <v>11121.678282000001</v>
      </c>
      <c r="AF13" s="83">
        <f>102300.2-102241.4</f>
        <v>58.80000000000291</v>
      </c>
      <c r="AG13" s="122">
        <f t="shared" si="16"/>
        <v>0</v>
      </c>
      <c r="AH13" s="83">
        <f>32308.1-32291.4</f>
        <v>16.69999999999709</v>
      </c>
      <c r="AI13" s="87">
        <f t="shared" si="12"/>
        <v>55549.9</v>
      </c>
      <c r="AJ13" s="87">
        <v>55583.9</v>
      </c>
      <c r="AK13" s="48">
        <f t="shared" si="7"/>
        <v>34</v>
      </c>
      <c r="AL13" s="89">
        <f t="shared" si="4"/>
        <v>9667.7346270599992</v>
      </c>
      <c r="AM13" s="83">
        <f t="shared" si="13"/>
        <v>3170.0405164783465</v>
      </c>
      <c r="AN13" s="5">
        <v>64</v>
      </c>
      <c r="AO13" s="78">
        <f t="shared" si="5"/>
        <v>23557.313001999981</v>
      </c>
    </row>
    <row r="14" spans="1:44" x14ac:dyDescent="0.25">
      <c r="A14" s="79">
        <v>44751</v>
      </c>
      <c r="B14" s="86">
        <f>14453019-14446919</f>
        <v>6100</v>
      </c>
      <c r="C14" s="86">
        <f>9267635-9263938</f>
        <v>3697</v>
      </c>
      <c r="D14" s="86">
        <f>1844390-1843511</f>
        <v>879</v>
      </c>
      <c r="E14" s="86">
        <f>13981870-13974593</f>
        <v>7277</v>
      </c>
      <c r="F14" s="86">
        <f>13677227-13671132</f>
        <v>6095</v>
      </c>
      <c r="G14" s="86">
        <f>9389590-9386826</f>
        <v>2764</v>
      </c>
      <c r="H14" s="86">
        <f>10762477-10755196</f>
        <v>7281</v>
      </c>
      <c r="I14" s="86">
        <f>6064879-6062681</f>
        <v>2198</v>
      </c>
      <c r="J14" s="86">
        <f>14121947-14114867</f>
        <v>7080</v>
      </c>
      <c r="K14" s="86">
        <f t="shared" si="14"/>
        <v>34093</v>
      </c>
      <c r="L14" s="14">
        <f t="shared" si="8"/>
        <v>6818.6</v>
      </c>
      <c r="M14" s="83">
        <f>41181.198-40997.772</f>
        <v>183.42599999999948</v>
      </c>
      <c r="N14" s="83">
        <f>5146.316-5144.256</f>
        <v>2.0599999999994907</v>
      </c>
      <c r="O14" s="83">
        <f>10503.511-10503.294</f>
        <v>0.21700000000055297</v>
      </c>
      <c r="P14" s="82">
        <f>17244.95-17167.03</f>
        <v>77.920000000001892</v>
      </c>
      <c r="Q14" s="83">
        <f>30184.569-30174.702</f>
        <v>9.8669999999983702</v>
      </c>
      <c r="R14" s="83">
        <f>N14+O14+P14</f>
        <v>80.197000000001935</v>
      </c>
      <c r="S14" s="83">
        <f t="shared" si="1"/>
        <v>628.74448000001519</v>
      </c>
      <c r="T14" s="83">
        <f t="shared" si="2"/>
        <v>193.29299999999785</v>
      </c>
      <c r="U14" s="83">
        <f t="shared" si="15"/>
        <v>1515.417119999983</v>
      </c>
      <c r="V14" s="83">
        <f>428657.4-428486.9</f>
        <v>170.5</v>
      </c>
      <c r="W14" s="83">
        <f>171596.44-171429.97</f>
        <v>166.47000000000116</v>
      </c>
      <c r="X14" s="86" t="s">
        <v>63</v>
      </c>
      <c r="Y14" s="87">
        <v>1102284</v>
      </c>
      <c r="Z14" s="5">
        <f>IF((Y14-Y13&lt;0), "0",Y14-Y13)</f>
        <v>646</v>
      </c>
      <c r="AA14" s="14">
        <f t="shared" si="6"/>
        <v>4179.62</v>
      </c>
      <c r="AB14" s="87">
        <v>14458603</v>
      </c>
      <c r="AC14" s="86">
        <f t="shared" si="10"/>
        <v>14425237</v>
      </c>
      <c r="AD14" s="5">
        <f t="shared" si="3"/>
        <v>33366</v>
      </c>
      <c r="AE14" s="83">
        <f t="shared" si="11"/>
        <v>10940.678034</v>
      </c>
      <c r="AF14" s="83">
        <f>102358.3-102300.2</f>
        <v>58.100000000005821</v>
      </c>
      <c r="AG14" s="122">
        <f t="shared" si="16"/>
        <v>0</v>
      </c>
      <c r="AH14" s="83">
        <f>32324.8-32308.1</f>
        <v>16.700000000000728</v>
      </c>
      <c r="AI14" s="87">
        <f t="shared" si="12"/>
        <v>55583.9</v>
      </c>
      <c r="AJ14" s="87">
        <v>55618</v>
      </c>
      <c r="AK14" s="48">
        <f t="shared" si="7"/>
        <v>34.099999999998545</v>
      </c>
      <c r="AL14" s="89">
        <f t="shared" si="4"/>
        <v>9696.1691406685859</v>
      </c>
      <c r="AM14" s="83">
        <f t="shared" si="13"/>
        <v>3179.3641650560885</v>
      </c>
      <c r="AN14" s="5">
        <v>77</v>
      </c>
      <c r="AO14" s="78">
        <f t="shared" si="5"/>
        <v>23454.315153999985</v>
      </c>
    </row>
    <row r="15" spans="1:44" x14ac:dyDescent="0.25">
      <c r="A15" s="79">
        <v>44752</v>
      </c>
      <c r="B15" s="86">
        <f>14459004-14453019</f>
        <v>5985</v>
      </c>
      <c r="C15" s="86">
        <f>9271173-9267635</f>
        <v>3538</v>
      </c>
      <c r="D15" s="86">
        <f>1845288-1844390</f>
        <v>898</v>
      </c>
      <c r="E15" s="86">
        <f>13988973-13981870</f>
        <v>7103</v>
      </c>
      <c r="F15" s="86">
        <f>13683076-13677227</f>
        <v>5849</v>
      </c>
      <c r="G15" s="86">
        <f>9392484-9389590</f>
        <v>2894</v>
      </c>
      <c r="H15" s="86">
        <f>10769679-10762477</f>
        <v>7202</v>
      </c>
      <c r="I15" s="86">
        <f>6067069-6064879</f>
        <v>2190</v>
      </c>
      <c r="J15" s="86">
        <f>14128697-14121947</f>
        <v>6750</v>
      </c>
      <c r="K15" s="86">
        <f t="shared" si="14"/>
        <v>33469</v>
      </c>
      <c r="L15" s="14">
        <f t="shared" si="8"/>
        <v>6693.8</v>
      </c>
      <c r="M15" s="83">
        <f>41344.707-41181.198</f>
        <v>163.50900000000547</v>
      </c>
      <c r="N15" s="83">
        <f>5148.801-5146.316</f>
        <v>2.4850000000005821</v>
      </c>
      <c r="O15" s="83">
        <f>10503.718-10503.511</f>
        <v>0.20700000000033469</v>
      </c>
      <c r="P15" s="82">
        <f>17306.708-17244.95</f>
        <v>61.757999999997992</v>
      </c>
      <c r="Q15" s="83">
        <f>30218.672-30184.569</f>
        <v>34.102999999999156</v>
      </c>
      <c r="R15" s="83">
        <f t="shared" si="0"/>
        <v>64.449999999998909</v>
      </c>
      <c r="S15" s="83">
        <f t="shared" si="1"/>
        <v>505.28799999999143</v>
      </c>
      <c r="T15" s="83">
        <f t="shared" si="2"/>
        <v>197.61200000000463</v>
      </c>
      <c r="U15" s="83">
        <f t="shared" si="15"/>
        <v>1549.2780800000362</v>
      </c>
      <c r="V15" s="83">
        <f>428823.2-428657.4</f>
        <v>165.79999999998836</v>
      </c>
      <c r="W15" s="83">
        <f>171720.88-171596.44</f>
        <v>124.44000000000233</v>
      </c>
      <c r="X15" s="86" t="s">
        <v>63</v>
      </c>
      <c r="Y15" s="87">
        <v>1102876</v>
      </c>
      <c r="Z15" s="5">
        <f t="shared" si="9"/>
        <v>592</v>
      </c>
      <c r="AA15" s="14">
        <f t="shared" si="6"/>
        <v>3830.24</v>
      </c>
      <c r="AB15" s="87">
        <v>14494466</v>
      </c>
      <c r="AC15" s="86">
        <f t="shared" si="10"/>
        <v>14458603</v>
      </c>
      <c r="AD15" s="5">
        <f t="shared" si="3"/>
        <v>35863</v>
      </c>
      <c r="AE15" s="83">
        <f t="shared" si="11"/>
        <v>11759.441837</v>
      </c>
      <c r="AF15" s="83">
        <f>102420.5-102358.3</f>
        <v>62.19999999999709</v>
      </c>
      <c r="AG15" s="122">
        <f t="shared" si="16"/>
        <v>0</v>
      </c>
      <c r="AH15" s="83">
        <f>32341.7-32324.8</f>
        <v>16.900000000001455</v>
      </c>
      <c r="AI15" s="87">
        <f t="shared" si="12"/>
        <v>55618</v>
      </c>
      <c r="AJ15" s="87">
        <v>55652</v>
      </c>
      <c r="AK15" s="48">
        <f t="shared" si="7"/>
        <v>34</v>
      </c>
      <c r="AL15" s="89">
        <f t="shared" si="4"/>
        <v>9667.7346270599992</v>
      </c>
      <c r="AM15" s="83">
        <f t="shared" si="13"/>
        <v>3170.0405164783465</v>
      </c>
      <c r="AN15" s="5">
        <v>85</v>
      </c>
      <c r="AO15" s="88">
        <f t="shared" si="5"/>
        <v>23832.759917000036</v>
      </c>
    </row>
    <row r="16" spans="1:44" x14ac:dyDescent="0.25">
      <c r="A16" s="79">
        <v>44753</v>
      </c>
      <c r="B16" s="86">
        <f>14465135-14459004</f>
        <v>6131</v>
      </c>
      <c r="C16" s="86">
        <f>9274693-9271173</f>
        <v>3520</v>
      </c>
      <c r="D16" s="86">
        <f>1846260-1845288</f>
        <v>972</v>
      </c>
      <c r="E16" s="86">
        <f>13996133-13988973</f>
        <v>7160</v>
      </c>
      <c r="F16" s="86">
        <f>13688918-13683076</f>
        <v>5842</v>
      </c>
      <c r="G16" s="86">
        <f>9395404-9392484</f>
        <v>2920</v>
      </c>
      <c r="H16" s="86">
        <f>10776984-10769679</f>
        <v>7305</v>
      </c>
      <c r="I16" s="86">
        <f>6069301-6067069</f>
        <v>2232</v>
      </c>
      <c r="J16" s="86">
        <f>14135621-14128697</f>
        <v>6924</v>
      </c>
      <c r="K16" s="86">
        <f t="shared" si="14"/>
        <v>33850</v>
      </c>
      <c r="L16" s="14">
        <f t="shared" si="8"/>
        <v>6770</v>
      </c>
      <c r="M16" s="83">
        <f>41511.662-41344.707</f>
        <v>166.95499999999447</v>
      </c>
      <c r="N16" s="83">
        <f>5150.508-5148.801</f>
        <v>1.7069999999994252</v>
      </c>
      <c r="O16" s="83">
        <f>10503.788-10503.718</f>
        <v>6.9999999999708962E-2</v>
      </c>
      <c r="P16" s="82">
        <f>17378.053-17306.708</f>
        <v>71.345000000001164</v>
      </c>
      <c r="Q16" s="83">
        <f>30228.769-30218.672</f>
        <v>10.097000000001572</v>
      </c>
      <c r="R16" s="83">
        <f t="shared" si="0"/>
        <v>73.122000000000298</v>
      </c>
      <c r="S16" s="83">
        <f t="shared" si="1"/>
        <v>573.27648000000238</v>
      </c>
      <c r="T16" s="83">
        <f t="shared" si="2"/>
        <v>177.05199999999604</v>
      </c>
      <c r="U16" s="83">
        <f t="shared" si="15"/>
        <v>1388.0876799999689</v>
      </c>
      <c r="V16" s="83">
        <f>428982.7-428823.2</f>
        <v>159.5</v>
      </c>
      <c r="W16" s="83">
        <f>171897.32-171720.88</f>
        <v>176.44000000000233</v>
      </c>
      <c r="X16" s="86" t="s">
        <v>63</v>
      </c>
      <c r="Y16" s="87">
        <v>1103499</v>
      </c>
      <c r="Z16" s="5">
        <f t="shared" si="9"/>
        <v>623</v>
      </c>
      <c r="AA16" s="14">
        <f t="shared" si="6"/>
        <v>4030.81</v>
      </c>
      <c r="AB16" s="87">
        <v>14528776</v>
      </c>
      <c r="AC16" s="86">
        <f t="shared" si="10"/>
        <v>14494466</v>
      </c>
      <c r="AD16" s="5">
        <f t="shared" si="3"/>
        <v>34310</v>
      </c>
      <c r="AE16" s="83">
        <f t="shared" si="11"/>
        <v>11250.214690000001</v>
      </c>
      <c r="AF16" s="83">
        <f>102480-102420.5</f>
        <v>59.5</v>
      </c>
      <c r="AG16" s="83">
        <f t="shared" ref="AG16:AG36" si="17">50692.5-50692.5</f>
        <v>0</v>
      </c>
      <c r="AH16" s="83">
        <f>32355.5-32341.7</f>
        <v>13.799999999999272</v>
      </c>
      <c r="AI16" s="87">
        <f t="shared" si="12"/>
        <v>55652</v>
      </c>
      <c r="AJ16" s="87">
        <v>55686.1</v>
      </c>
      <c r="AK16" s="48">
        <f t="shared" si="7"/>
        <v>34.099999999998545</v>
      </c>
      <c r="AL16" s="89">
        <f t="shared" si="4"/>
        <v>9696.1691406685859</v>
      </c>
      <c r="AM16" s="83">
        <f t="shared" si="13"/>
        <v>3179.3641650560885</v>
      </c>
      <c r="AN16" s="5">
        <v>74</v>
      </c>
      <c r="AO16" s="78">
        <f t="shared" si="5"/>
        <v>23439.11236999997</v>
      </c>
    </row>
    <row r="17" spans="1:41" x14ac:dyDescent="0.25">
      <c r="A17" s="79">
        <v>44754</v>
      </c>
      <c r="B17" s="86">
        <f>14471117-14465135</f>
        <v>5982</v>
      </c>
      <c r="C17" s="86">
        <f>9278099-9274693</f>
        <v>3406</v>
      </c>
      <c r="D17" s="86">
        <f>1847156-1846260</f>
        <v>896</v>
      </c>
      <c r="E17" s="86">
        <f>14003245-13996133</f>
        <v>7112</v>
      </c>
      <c r="F17" s="86">
        <f>13694884-13688918</f>
        <v>5966</v>
      </c>
      <c r="G17" s="86">
        <f>9398359-9395404</f>
        <v>2955</v>
      </c>
      <c r="H17" s="86">
        <f>10784250-10776984</f>
        <v>7266</v>
      </c>
      <c r="I17" s="86">
        <f>6071540-6069301</f>
        <v>2239</v>
      </c>
      <c r="J17" s="86">
        <f>14142680-14135621</f>
        <v>7059</v>
      </c>
      <c r="K17" s="86">
        <f t="shared" si="14"/>
        <v>33583</v>
      </c>
      <c r="L17" s="14">
        <f t="shared" si="8"/>
        <v>6716.6</v>
      </c>
      <c r="M17" s="83">
        <f>41682.208-41511.662</f>
        <v>170.5460000000021</v>
      </c>
      <c r="N17" s="83">
        <f>5150.973-5150.508</f>
        <v>0.46500000000014552</v>
      </c>
      <c r="O17" s="83">
        <f>10503.863-10503.788</f>
        <v>7.4999999998908606E-2</v>
      </c>
      <c r="P17" s="82">
        <f>17441.19-17378.053</f>
        <v>63.136999999998807</v>
      </c>
      <c r="Q17" s="83">
        <f>30253.245-30228.769</f>
        <v>24.475999999998749</v>
      </c>
      <c r="R17" s="83">
        <f t="shared" si="0"/>
        <v>63.676999999997861</v>
      </c>
      <c r="S17" s="83">
        <f t="shared" si="1"/>
        <v>499.2276799999832</v>
      </c>
      <c r="T17" s="83">
        <f t="shared" si="2"/>
        <v>195.02200000000084</v>
      </c>
      <c r="U17" s="83">
        <f t="shared" si="15"/>
        <v>1528.9724800000065</v>
      </c>
      <c r="V17" s="83">
        <f>429143.3-428982.7</f>
        <v>160.59999999997672</v>
      </c>
      <c r="W17" s="83">
        <f>172074.25-171897.32</f>
        <v>176.92999999999302</v>
      </c>
      <c r="X17" s="86" t="s">
        <v>63</v>
      </c>
      <c r="Y17" s="87">
        <v>1104118</v>
      </c>
      <c r="Z17" s="5">
        <f t="shared" si="9"/>
        <v>619</v>
      </c>
      <c r="AA17" s="14">
        <f t="shared" si="6"/>
        <v>4004.93</v>
      </c>
      <c r="AB17" s="87">
        <v>14565795</v>
      </c>
      <c r="AC17" s="86">
        <f t="shared" si="10"/>
        <v>14528776</v>
      </c>
      <c r="AD17" s="5">
        <f t="shared" si="3"/>
        <v>37019</v>
      </c>
      <c r="AE17" s="83">
        <f t="shared" si="11"/>
        <v>12138.493081000001</v>
      </c>
      <c r="AF17" s="83">
        <f>102545.9-102480</f>
        <v>65.899999999994179</v>
      </c>
      <c r="AG17" s="83">
        <f t="shared" si="17"/>
        <v>0</v>
      </c>
      <c r="AH17" s="83">
        <f>32376.2-32355.5</f>
        <v>20.700000000000728</v>
      </c>
      <c r="AI17" s="87">
        <f t="shared" si="12"/>
        <v>55686.1</v>
      </c>
      <c r="AJ17" s="87">
        <v>55721.3</v>
      </c>
      <c r="AK17" s="48">
        <f t="shared" si="7"/>
        <v>35.200000000004366</v>
      </c>
      <c r="AL17" s="89">
        <f t="shared" si="4"/>
        <v>10008.948790369241</v>
      </c>
      <c r="AM17" s="83">
        <f t="shared" si="13"/>
        <v>3281.9242994132837</v>
      </c>
      <c r="AN17" s="5">
        <v>74</v>
      </c>
      <c r="AO17" s="78">
        <f t="shared" si="5"/>
        <v>24388.995561000007</v>
      </c>
    </row>
    <row r="18" spans="1:41" x14ac:dyDescent="0.25">
      <c r="A18" s="79">
        <v>44755</v>
      </c>
      <c r="B18" s="86">
        <f>14477145-14471117</f>
        <v>6028</v>
      </c>
      <c r="C18" s="86">
        <f>9281758-9278099</f>
        <v>3659</v>
      </c>
      <c r="D18" s="86">
        <f>1848050-1847156</f>
        <v>894</v>
      </c>
      <c r="E18" s="86">
        <f>14010606-14003245</f>
        <v>7361</v>
      </c>
      <c r="F18" s="86">
        <f>13700825-13694884</f>
        <v>5941</v>
      </c>
      <c r="G18" s="86">
        <f>9401314-9398359</f>
        <v>2955</v>
      </c>
      <c r="H18" s="86">
        <f>10791537-10784250</f>
        <v>7287</v>
      </c>
      <c r="I18" s="86">
        <f>6073854-6071540</f>
        <v>2314</v>
      </c>
      <c r="J18" s="86">
        <f>14149679-14142680</f>
        <v>6999</v>
      </c>
      <c r="K18" s="86">
        <f t="shared" si="14"/>
        <v>34125</v>
      </c>
      <c r="L18" s="14">
        <f t="shared" si="8"/>
        <v>6825</v>
      </c>
      <c r="M18" s="83">
        <f>41831.058-41688.208</f>
        <v>142.84999999999854</v>
      </c>
      <c r="N18" s="83">
        <f>5156.38-5150.973</f>
        <v>5.4070000000001528</v>
      </c>
      <c r="O18" s="83">
        <f>10503.956-10503.863</f>
        <v>9.30000000007567E-2</v>
      </c>
      <c r="P18" s="82">
        <f>17502.449-17441.19</f>
        <v>61.259000000001834</v>
      </c>
      <c r="Q18" s="83">
        <f>30265.518-30253.245</f>
        <v>12.273000000001048</v>
      </c>
      <c r="R18" s="83">
        <f t="shared" si="0"/>
        <v>66.759000000002743</v>
      </c>
      <c r="S18" s="83">
        <f t="shared" si="1"/>
        <v>523.39056000002154</v>
      </c>
      <c r="T18" s="83">
        <f t="shared" si="2"/>
        <v>155.12299999999959</v>
      </c>
      <c r="U18" s="83">
        <f t="shared" si="15"/>
        <v>1216.1643199999967</v>
      </c>
      <c r="V18" s="83">
        <f>429288.4-429143.3</f>
        <v>145.10000000003492</v>
      </c>
      <c r="W18" s="83">
        <f>172221.61-172074.25</f>
        <v>147.35999999998603</v>
      </c>
      <c r="X18" s="86" t="s">
        <v>63</v>
      </c>
      <c r="Y18" s="87">
        <v>1104708</v>
      </c>
      <c r="Z18" s="5">
        <f t="shared" si="9"/>
        <v>590</v>
      </c>
      <c r="AA18" s="14">
        <f t="shared" si="6"/>
        <v>3817.2999999999997</v>
      </c>
      <c r="AB18" s="87">
        <v>14601848</v>
      </c>
      <c r="AC18" s="86">
        <f t="shared" si="10"/>
        <v>14565795</v>
      </c>
      <c r="AD18" s="5">
        <f t="shared" si="3"/>
        <v>36053</v>
      </c>
      <c r="AE18" s="83">
        <f t="shared" si="11"/>
        <v>11821.742646999999</v>
      </c>
      <c r="AF18" s="82">
        <f>102609.5-102545.9</f>
        <v>63.600000000005821</v>
      </c>
      <c r="AG18" s="83">
        <f t="shared" si="17"/>
        <v>0</v>
      </c>
      <c r="AH18" s="82">
        <f>32393.4-32376.2</f>
        <v>17.200000000000728</v>
      </c>
      <c r="AI18" s="87">
        <f t="shared" si="12"/>
        <v>55721.3</v>
      </c>
      <c r="AJ18" s="87">
        <v>55754</v>
      </c>
      <c r="AK18" s="48">
        <f t="shared" si="7"/>
        <v>32.69999999999709</v>
      </c>
      <c r="AL18" s="89">
        <f t="shared" si="4"/>
        <v>9298.085950142171</v>
      </c>
      <c r="AM18" s="83">
        <f t="shared" si="13"/>
        <v>3048.8330849656677</v>
      </c>
      <c r="AN18" s="5">
        <v>69</v>
      </c>
      <c r="AO18" s="78">
        <f t="shared" si="5"/>
        <v>23680.206966999995</v>
      </c>
    </row>
    <row r="19" spans="1:41" x14ac:dyDescent="0.25">
      <c r="A19" s="79">
        <v>44756</v>
      </c>
      <c r="B19" s="86">
        <f>14483173-14477145</f>
        <v>6028</v>
      </c>
      <c r="C19" s="86">
        <f>9285390-9281758</f>
        <v>3632</v>
      </c>
      <c r="D19" s="86">
        <f>1848950-1848050</f>
        <v>900</v>
      </c>
      <c r="E19" s="86">
        <f>14017999-14010606</f>
        <v>7393</v>
      </c>
      <c r="F19" s="86">
        <f>13706878-13700825</f>
        <v>6053</v>
      </c>
      <c r="G19" s="86">
        <f>9404279-9401314</f>
        <v>2965</v>
      </c>
      <c r="H19" s="86">
        <f>10798799-10791537</f>
        <v>7262</v>
      </c>
      <c r="I19" s="86">
        <f>6076188-6073854</f>
        <v>2334</v>
      </c>
      <c r="J19" s="86">
        <f>14156710-14149679</f>
        <v>7031</v>
      </c>
      <c r="K19" s="86">
        <f t="shared" si="14"/>
        <v>34233</v>
      </c>
      <c r="L19" s="14">
        <f t="shared" si="8"/>
        <v>6846.6</v>
      </c>
      <c r="M19" s="83">
        <f>42003.097-41831.058</f>
        <v>172.03900000000431</v>
      </c>
      <c r="N19" s="83">
        <f>5159.323-5156.38</f>
        <v>2.943000000000211</v>
      </c>
      <c r="O19" s="83">
        <f>10504.094-10503.956</f>
        <v>0.13799999999901047</v>
      </c>
      <c r="P19" s="82">
        <f>17575.583-17502.449</f>
        <v>73.133999999998196</v>
      </c>
      <c r="Q19" s="83">
        <f>30284.568-30265.518</f>
        <v>19.049999999999272</v>
      </c>
      <c r="R19" s="83">
        <f t="shared" si="0"/>
        <v>76.214999999997417</v>
      </c>
      <c r="S19" s="83">
        <f t="shared" si="1"/>
        <v>597.5255999999797</v>
      </c>
      <c r="T19" s="83">
        <f t="shared" si="2"/>
        <v>191.08900000000358</v>
      </c>
      <c r="U19" s="83">
        <f t="shared" si="15"/>
        <v>1498.137760000028</v>
      </c>
      <c r="V19" s="83">
        <f>429432.3-429288.4</f>
        <v>143.89999999996508</v>
      </c>
      <c r="W19" s="83">
        <f>172395.57-172221.61</f>
        <v>173.96000000002095</v>
      </c>
      <c r="X19" s="86" t="s">
        <v>63</v>
      </c>
      <c r="Y19" s="87">
        <v>1105298</v>
      </c>
      <c r="Z19" s="5">
        <f t="shared" si="9"/>
        <v>590</v>
      </c>
      <c r="AA19" s="14">
        <f t="shared" si="6"/>
        <v>3817.2999999999997</v>
      </c>
      <c r="AB19" s="87">
        <v>14638843</v>
      </c>
      <c r="AC19" s="86">
        <f t="shared" si="10"/>
        <v>14601848</v>
      </c>
      <c r="AD19" s="5">
        <f t="shared" si="3"/>
        <v>36995</v>
      </c>
      <c r="AE19" s="83">
        <f t="shared" si="11"/>
        <v>12130.623505</v>
      </c>
      <c r="AF19" s="83">
        <f>102675-102609.5</f>
        <v>65.5</v>
      </c>
      <c r="AG19" s="83">
        <f t="shared" si="17"/>
        <v>0</v>
      </c>
      <c r="AH19" s="83">
        <f>32410.5-32393.4</f>
        <v>17.099999999998545</v>
      </c>
      <c r="AI19" s="87">
        <f t="shared" si="12"/>
        <v>55754</v>
      </c>
      <c r="AJ19" s="87">
        <v>55768.2</v>
      </c>
      <c r="AK19" s="48">
        <f t="shared" si="7"/>
        <v>14.19999999999709</v>
      </c>
      <c r="AL19" s="89">
        <f t="shared" si="4"/>
        <v>4037.700932477172</v>
      </c>
      <c r="AM19" s="83">
        <f t="shared" si="13"/>
        <v>1323.9580980583323</v>
      </c>
      <c r="AN19" s="5">
        <v>75</v>
      </c>
      <c r="AO19" s="78">
        <f t="shared" si="5"/>
        <v>24292.661265000028</v>
      </c>
    </row>
    <row r="20" spans="1:41" x14ac:dyDescent="0.25">
      <c r="A20" s="79">
        <v>44757</v>
      </c>
      <c r="B20" s="86">
        <f>14488769-14483173</f>
        <v>5596</v>
      </c>
      <c r="C20" s="86">
        <f>9288731-9285390</f>
        <v>3341</v>
      </c>
      <c r="D20" s="86">
        <f>1849857-1848950</f>
        <v>907</v>
      </c>
      <c r="E20" s="86">
        <f>14025027-14017999</f>
        <v>7028</v>
      </c>
      <c r="F20" s="86">
        <f>13712671-13706878</f>
        <v>5793</v>
      </c>
      <c r="G20" s="86">
        <f>9407109-9404279</f>
        <v>2830</v>
      </c>
      <c r="H20" s="86">
        <f>10805947-10798799</f>
        <v>7148</v>
      </c>
      <c r="I20" s="86">
        <f>6078323-6076188</f>
        <v>2135</v>
      </c>
      <c r="J20" s="86">
        <f>14163755-14156710</f>
        <v>7045</v>
      </c>
      <c r="K20" s="86">
        <f t="shared" si="14"/>
        <v>32643</v>
      </c>
      <c r="L20" s="14">
        <f t="shared" si="8"/>
        <v>6528.6</v>
      </c>
      <c r="M20" s="83">
        <f>42172.196-42003.097</f>
        <v>169.09900000000198</v>
      </c>
      <c r="N20" s="83">
        <f>5161.282-5159.323</f>
        <v>1.9589999999998327</v>
      </c>
      <c r="O20" s="83">
        <f>10504.154-10504.094</f>
        <v>6.0000000001309672E-2</v>
      </c>
      <c r="P20" s="82">
        <f>17651.808-17575.583</f>
        <v>76.225000000002183</v>
      </c>
      <c r="Q20" s="83">
        <f>30316.013-30284.568</f>
        <v>31.444999999999709</v>
      </c>
      <c r="R20" s="83">
        <f t="shared" si="0"/>
        <v>78.244000000003325</v>
      </c>
      <c r="S20" s="83">
        <f t="shared" si="1"/>
        <v>613.43296000002601</v>
      </c>
      <c r="T20" s="83">
        <f t="shared" si="2"/>
        <v>200.54400000000169</v>
      </c>
      <c r="U20" s="83">
        <f t="shared" si="15"/>
        <v>1572.2649600000132</v>
      </c>
      <c r="V20" s="83">
        <f>429574.2-429432.3</f>
        <v>141.90000000002328</v>
      </c>
      <c r="W20" s="83">
        <f>172539.3-172395.57</f>
        <v>143.72999999998137</v>
      </c>
      <c r="X20" s="86" t="s">
        <v>63</v>
      </c>
      <c r="Y20" s="87">
        <v>1105870</v>
      </c>
      <c r="Z20" s="5">
        <f t="shared" si="9"/>
        <v>572</v>
      </c>
      <c r="AA20" s="14">
        <f t="shared" si="6"/>
        <v>3700.8399999999997</v>
      </c>
      <c r="AB20" s="87">
        <v>14673338</v>
      </c>
      <c r="AC20" s="86">
        <f t="shared" si="10"/>
        <v>14638843</v>
      </c>
      <c r="AD20" s="5">
        <f t="shared" si="3"/>
        <v>34495</v>
      </c>
      <c r="AE20" s="83">
        <f t="shared" si="11"/>
        <v>11310.876005</v>
      </c>
      <c r="AF20" s="83">
        <f>102734.3-102675</f>
        <v>59.30000000000291</v>
      </c>
      <c r="AG20" s="83">
        <f t="shared" si="17"/>
        <v>0</v>
      </c>
      <c r="AH20" s="83">
        <f>32427.3-32410.5</f>
        <v>16.799999999999272</v>
      </c>
      <c r="AI20" s="87">
        <f t="shared" si="12"/>
        <v>55768.2</v>
      </c>
      <c r="AJ20" s="87">
        <v>55816.800000000003</v>
      </c>
      <c r="AK20" s="48">
        <f t="shared" si="7"/>
        <v>48.600000000005821</v>
      </c>
      <c r="AL20" s="89">
        <f t="shared" si="4"/>
        <v>13819.173613975654</v>
      </c>
      <c r="AM20" s="83">
        <f t="shared" si="13"/>
        <v>4531.2932088490033</v>
      </c>
      <c r="AN20" s="5">
        <v>50</v>
      </c>
      <c r="AO20" s="78">
        <f t="shared" si="5"/>
        <v>23112.580965000016</v>
      </c>
    </row>
    <row r="21" spans="1:41" x14ac:dyDescent="0.25">
      <c r="A21" s="79">
        <v>44758</v>
      </c>
      <c r="B21" s="86">
        <f>14494838-14488769</f>
        <v>6069</v>
      </c>
      <c r="C21" s="86">
        <f>9292245-9288731</f>
        <v>3514</v>
      </c>
      <c r="D21" s="86">
        <f>1850758-1849857</f>
        <v>901</v>
      </c>
      <c r="E21" s="86">
        <f>14032075-14025027</f>
        <v>7048</v>
      </c>
      <c r="F21" s="86">
        <f>13718440-13712671</f>
        <v>5769</v>
      </c>
      <c r="G21" s="86">
        <f>9409880-9407109</f>
        <v>2771</v>
      </c>
      <c r="H21" s="86">
        <f>10813177-10805947</f>
        <v>7230</v>
      </c>
      <c r="I21" s="86">
        <f>6080424-6078323</f>
        <v>2101</v>
      </c>
      <c r="J21" s="86">
        <f>14170797-14163755</f>
        <v>7042</v>
      </c>
      <c r="K21" s="86">
        <f t="shared" si="14"/>
        <v>33302</v>
      </c>
      <c r="L21" s="14">
        <f t="shared" si="8"/>
        <v>6660.4000000000005</v>
      </c>
      <c r="M21" s="83">
        <f>42330.417-42172.196</f>
        <v>158.22099999999773</v>
      </c>
      <c r="N21" s="83">
        <f>5164.54-5161.282</f>
        <v>3.2579999999998108</v>
      </c>
      <c r="O21" s="83">
        <f>10504.295-10504.154</f>
        <v>0.14099999999962165</v>
      </c>
      <c r="P21" s="82">
        <f>17732.055-17651.808</f>
        <v>80.246999999999389</v>
      </c>
      <c r="Q21" s="83">
        <f>30326.242-30316.013</f>
        <v>10.22899999999936</v>
      </c>
      <c r="R21" s="83">
        <f t="shared" si="0"/>
        <v>83.645999999998821</v>
      </c>
      <c r="S21" s="83">
        <f t="shared" si="1"/>
        <v>655.78463999999076</v>
      </c>
      <c r="T21" s="83">
        <f t="shared" si="2"/>
        <v>168.44999999999709</v>
      </c>
      <c r="U21" s="83">
        <f t="shared" si="15"/>
        <v>1320.6479999999772</v>
      </c>
      <c r="V21" s="83">
        <f>429722.4-429574.2</f>
        <v>148.20000000001164</v>
      </c>
      <c r="W21" s="83">
        <f>172650.24-172539.3</f>
        <v>110.94000000000233</v>
      </c>
      <c r="X21" s="86" t="s">
        <v>63</v>
      </c>
      <c r="Y21" s="87">
        <v>1106402</v>
      </c>
      <c r="Z21" s="5">
        <f t="shared" si="9"/>
        <v>532</v>
      </c>
      <c r="AA21" s="14">
        <f t="shared" si="6"/>
        <v>3442.04</v>
      </c>
      <c r="AB21" s="87">
        <v>14705792</v>
      </c>
      <c r="AC21" s="86">
        <f t="shared" si="10"/>
        <v>14673338</v>
      </c>
      <c r="AD21" s="5">
        <f t="shared" si="3"/>
        <v>32454</v>
      </c>
      <c r="AE21" s="83">
        <f t="shared" si="11"/>
        <v>10641.634146</v>
      </c>
      <c r="AF21" s="83">
        <f>102790.9-102734.3</f>
        <v>56.599999999991269</v>
      </c>
      <c r="AG21" s="83">
        <f t="shared" si="17"/>
        <v>0</v>
      </c>
      <c r="AH21" s="83">
        <f>32444.3-32427.3</f>
        <v>17</v>
      </c>
      <c r="AI21" s="87">
        <f t="shared" si="12"/>
        <v>55816.800000000003</v>
      </c>
      <c r="AJ21" s="87">
        <v>55845.4</v>
      </c>
      <c r="AK21" s="48">
        <f t="shared" si="7"/>
        <v>28.599999999998545</v>
      </c>
      <c r="AL21" s="89">
        <f t="shared" si="4"/>
        <v>8132.2708921735857</v>
      </c>
      <c r="AM21" s="83">
        <f t="shared" si="13"/>
        <v>2666.5634932728267</v>
      </c>
      <c r="AN21" s="5">
        <v>43</v>
      </c>
      <c r="AO21" s="78">
        <f t="shared" si="5"/>
        <v>22064.722145999978</v>
      </c>
    </row>
    <row r="22" spans="1:41" x14ac:dyDescent="0.25">
      <c r="A22" s="79">
        <v>44759</v>
      </c>
      <c r="B22" s="86">
        <f>14500754-14494838</f>
        <v>5916</v>
      </c>
      <c r="C22" s="86">
        <f>9295864-9292245</f>
        <v>3619</v>
      </c>
      <c r="D22" s="86">
        <f>1851617-1850758</f>
        <v>859</v>
      </c>
      <c r="E22" s="86">
        <f>14039143-14032075</f>
        <v>7068</v>
      </c>
      <c r="F22" s="86">
        <f>13724073-13718440</f>
        <v>5633</v>
      </c>
      <c r="G22" s="86">
        <f>9412442-9409880</f>
        <v>2562</v>
      </c>
      <c r="H22" s="86">
        <f>10819913-10813177</f>
        <v>6736</v>
      </c>
      <c r="I22" s="86">
        <f>6082610-6080424</f>
        <v>2186</v>
      </c>
      <c r="J22" s="86">
        <f>14177585-14170797</f>
        <v>6788</v>
      </c>
      <c r="K22" s="86">
        <f t="shared" si="14"/>
        <v>32393</v>
      </c>
      <c r="L22" s="14">
        <f t="shared" si="8"/>
        <v>6478.6</v>
      </c>
      <c r="M22" s="83">
        <f>42477.594-42330.417</f>
        <v>147.17699999999604</v>
      </c>
      <c r="N22" s="83">
        <f>5166.316-5164.54</f>
        <v>1.7759999999998399</v>
      </c>
      <c r="O22" s="83">
        <f>10504.322-10504.295</f>
        <v>2.7000000000043656E-2</v>
      </c>
      <c r="P22" s="82">
        <f>17794.669-17732.055</f>
        <v>62.614000000001397</v>
      </c>
      <c r="Q22" s="83">
        <f>30336.116-30326.242</f>
        <v>9.8740000000034343</v>
      </c>
      <c r="R22" s="83">
        <f t="shared" si="0"/>
        <v>64.417000000001281</v>
      </c>
      <c r="S22" s="83">
        <f t="shared" si="1"/>
        <v>505.02928000001003</v>
      </c>
      <c r="T22" s="83">
        <f t="shared" si="2"/>
        <v>157.05099999999948</v>
      </c>
      <c r="U22" s="83">
        <f t="shared" si="15"/>
        <v>1231.2798399999958</v>
      </c>
      <c r="V22" s="83">
        <f>429860.4-429722.4</f>
        <v>138</v>
      </c>
      <c r="W22" s="83">
        <f>172780.47-172650.24</f>
        <v>130.23000000001048</v>
      </c>
      <c r="X22" s="86" t="s">
        <v>63</v>
      </c>
      <c r="Y22" s="87">
        <v>1106961</v>
      </c>
      <c r="Z22" s="5">
        <f t="shared" si="9"/>
        <v>559</v>
      </c>
      <c r="AA22" s="14">
        <f t="shared" si="6"/>
        <v>3616.73</v>
      </c>
      <c r="AB22" s="87">
        <v>14739394</v>
      </c>
      <c r="AC22" s="86">
        <f t="shared" si="10"/>
        <v>14705792</v>
      </c>
      <c r="AD22" s="5">
        <f t="shared" si="3"/>
        <v>33602</v>
      </c>
      <c r="AE22" s="83">
        <f t="shared" si="11"/>
        <v>11018.062198</v>
      </c>
      <c r="AF22" s="83">
        <f>102848.5-102790.9</f>
        <v>57.600000000005821</v>
      </c>
      <c r="AG22" s="83">
        <f t="shared" si="17"/>
        <v>0</v>
      </c>
      <c r="AH22" s="83">
        <f>32461.2-32444.3</f>
        <v>16.900000000001455</v>
      </c>
      <c r="AI22" s="87">
        <f t="shared" si="12"/>
        <v>55845.4</v>
      </c>
      <c r="AJ22" s="87">
        <v>55875.4</v>
      </c>
      <c r="AK22" s="48">
        <f t="shared" si="7"/>
        <v>30</v>
      </c>
      <c r="AL22" s="89">
        <f t="shared" si="4"/>
        <v>8530.3540826999997</v>
      </c>
      <c r="AM22" s="83">
        <f t="shared" si="13"/>
        <v>2797.094573363247</v>
      </c>
      <c r="AN22" s="5">
        <v>49</v>
      </c>
      <c r="AO22" s="78">
        <f t="shared" si="5"/>
        <v>22344.672037999997</v>
      </c>
    </row>
    <row r="23" spans="1:41" x14ac:dyDescent="0.25">
      <c r="A23" s="79">
        <v>44760</v>
      </c>
      <c r="B23" s="86">
        <f>14506539-14500754</f>
        <v>5785</v>
      </c>
      <c r="C23" s="86">
        <f>9299416-9295864</f>
        <v>3552</v>
      </c>
      <c r="D23" s="86">
        <f>1852503-1851617</f>
        <v>886</v>
      </c>
      <c r="E23" s="86">
        <f>14046228-14039143</f>
        <v>7085</v>
      </c>
      <c r="F23" s="86">
        <f>13729981-13724073</f>
        <v>5908</v>
      </c>
      <c r="G23" s="86">
        <f>9415056-9412442</f>
        <v>2614</v>
      </c>
      <c r="H23" s="86">
        <f>10825360-10819913</f>
        <v>5447</v>
      </c>
      <c r="I23" s="86">
        <f>6084912-6082610</f>
        <v>2302</v>
      </c>
      <c r="J23" s="86">
        <f>14184284-14177585</f>
        <v>6699</v>
      </c>
      <c r="K23" s="86">
        <f t="shared" si="14"/>
        <v>31277</v>
      </c>
      <c r="L23" s="14">
        <f t="shared" si="8"/>
        <v>6255.4000000000005</v>
      </c>
      <c r="M23" s="83">
        <f>42625.361-42477.594</f>
        <v>147.76699999999983</v>
      </c>
      <c r="N23" s="83">
        <f>5169.889-5166.316</f>
        <v>3.5730000000003201</v>
      </c>
      <c r="O23" s="83">
        <f>10504.474-10504.322</f>
        <v>0.15200000000004366</v>
      </c>
      <c r="P23" s="82">
        <f>17859.119-17794.669</f>
        <v>64.44999999999709</v>
      </c>
      <c r="Q23" s="83">
        <f>30373.31-30336.116</f>
        <v>37.193999999999505</v>
      </c>
      <c r="R23" s="83">
        <f t="shared" si="0"/>
        <v>68.174999999997453</v>
      </c>
      <c r="S23" s="83">
        <f t="shared" si="1"/>
        <v>534.49199999998007</v>
      </c>
      <c r="T23" s="83">
        <f t="shared" si="2"/>
        <v>184.96099999999933</v>
      </c>
      <c r="U23" s="83">
        <f t="shared" si="15"/>
        <v>1450.0942399999947</v>
      </c>
      <c r="V23" s="83">
        <f>430003.6-429860.4</f>
        <v>143.19999999995343</v>
      </c>
      <c r="W23" s="83">
        <f>172942.42-172780.47</f>
        <v>161.95000000001164</v>
      </c>
      <c r="X23" s="86" t="s">
        <v>63</v>
      </c>
      <c r="Y23" s="87">
        <v>1107565</v>
      </c>
      <c r="Z23" s="5">
        <f t="shared" si="9"/>
        <v>604</v>
      </c>
      <c r="AA23" s="14">
        <f t="shared" si="6"/>
        <v>3907.8799999999997</v>
      </c>
      <c r="AB23" s="87">
        <v>14770358</v>
      </c>
      <c r="AC23" s="86">
        <f t="shared" si="10"/>
        <v>14739394</v>
      </c>
      <c r="AD23" s="5">
        <f t="shared" si="3"/>
        <v>30964</v>
      </c>
      <c r="AE23" s="83">
        <f t="shared" si="11"/>
        <v>10153.064635999999</v>
      </c>
      <c r="AF23" s="83">
        <f>102905.3-102848.5</f>
        <v>56.80000000000291</v>
      </c>
      <c r="AG23" s="83">
        <f t="shared" si="17"/>
        <v>0</v>
      </c>
      <c r="AH23" s="83">
        <f>32478.8-32461.2</f>
        <v>17.599999999998545</v>
      </c>
      <c r="AI23" s="87">
        <f t="shared" si="12"/>
        <v>55875.4</v>
      </c>
      <c r="AJ23" s="87">
        <v>55904.3</v>
      </c>
      <c r="AK23" s="48">
        <f t="shared" si="7"/>
        <v>28.900000000001455</v>
      </c>
      <c r="AL23" s="89">
        <f t="shared" si="4"/>
        <v>8217.5744330014131</v>
      </c>
      <c r="AM23" s="83">
        <f t="shared" si="13"/>
        <v>2694.5344390067303</v>
      </c>
      <c r="AN23" s="5">
        <v>51</v>
      </c>
      <c r="AO23" s="78">
        <f t="shared" si="5"/>
        <v>21766.438875999993</v>
      </c>
    </row>
    <row r="24" spans="1:41" x14ac:dyDescent="0.25">
      <c r="A24" s="79">
        <v>44761</v>
      </c>
      <c r="B24" s="86">
        <f>14512152-14506539</f>
        <v>5613</v>
      </c>
      <c r="C24" s="86">
        <f>9303134-9299416</f>
        <v>3718</v>
      </c>
      <c r="D24" s="86">
        <f>1853419-1852503</f>
        <v>916</v>
      </c>
      <c r="E24" s="86">
        <f>14053197-14046228</f>
        <v>6969</v>
      </c>
      <c r="F24" s="86">
        <f>13735930-13729981</f>
        <v>5949</v>
      </c>
      <c r="G24" s="86">
        <f>9417740-9415056</f>
        <v>2684</v>
      </c>
      <c r="H24" s="86">
        <f>10830877-10825360</f>
        <v>5517</v>
      </c>
      <c r="I24" s="86">
        <f>6087192-6084912</f>
        <v>2280</v>
      </c>
      <c r="J24" s="86">
        <f>14191215-14184284</f>
        <v>6931</v>
      </c>
      <c r="K24" s="86">
        <f t="shared" si="14"/>
        <v>31366</v>
      </c>
      <c r="L24" s="14">
        <f t="shared" si="8"/>
        <v>6273.2000000000007</v>
      </c>
      <c r="M24" s="83">
        <f>42797.52-42625.361</f>
        <v>172.15899999999965</v>
      </c>
      <c r="N24" s="83">
        <f>5173.088-5169.889</f>
        <v>3.1989999999996144</v>
      </c>
      <c r="O24" s="83">
        <f>10504.544-10504.474</f>
        <v>6.9999999999708962E-2</v>
      </c>
      <c r="P24" s="82">
        <f>17922.559-17859.119</f>
        <v>63.440000000002328</v>
      </c>
      <c r="Q24" s="83">
        <f>30397.559-30373.31</f>
        <v>24.248999999999796</v>
      </c>
      <c r="R24" s="83">
        <f t="shared" si="0"/>
        <v>66.709000000001652</v>
      </c>
      <c r="S24" s="83">
        <f t="shared" si="1"/>
        <v>522.99856000001296</v>
      </c>
      <c r="T24" s="83">
        <f t="shared" si="2"/>
        <v>196.40799999999945</v>
      </c>
      <c r="U24" s="83">
        <f t="shared" si="15"/>
        <v>1539.8387199999956</v>
      </c>
      <c r="V24" s="83">
        <f>430168.1-430003.6</f>
        <v>164.5</v>
      </c>
      <c r="W24" s="83">
        <f>173108.17-172942.42</f>
        <v>165.75</v>
      </c>
      <c r="X24" s="86" t="s">
        <v>63</v>
      </c>
      <c r="Y24" s="87">
        <v>1108192</v>
      </c>
      <c r="Z24" s="5">
        <f t="shared" si="9"/>
        <v>627</v>
      </c>
      <c r="AA24" s="14">
        <f t="shared" si="6"/>
        <v>4056.69</v>
      </c>
      <c r="AB24" s="87">
        <v>14802095</v>
      </c>
      <c r="AC24" s="86">
        <f t="shared" si="10"/>
        <v>14770358</v>
      </c>
      <c r="AD24" s="5">
        <f t="shared" si="3"/>
        <v>31737</v>
      </c>
      <c r="AE24" s="83">
        <f t="shared" si="11"/>
        <v>10406.530563</v>
      </c>
      <c r="AF24" s="83">
        <f>102961-102905.3</f>
        <v>55.69999999999709</v>
      </c>
      <c r="AG24" s="83">
        <f t="shared" si="17"/>
        <v>0</v>
      </c>
      <c r="AH24" s="83">
        <f>32496.1-32478.8</f>
        <v>17.299999999999272</v>
      </c>
      <c r="AI24" s="87">
        <f t="shared" si="12"/>
        <v>55904.3</v>
      </c>
      <c r="AJ24" s="87">
        <v>55933.599999999999</v>
      </c>
      <c r="AK24" s="48">
        <f t="shared" si="7"/>
        <v>29.299999999995634</v>
      </c>
      <c r="AL24" s="89">
        <f t="shared" si="4"/>
        <v>8331.3124874357582</v>
      </c>
      <c r="AM24" s="83">
        <f t="shared" si="13"/>
        <v>2731.8290333176978</v>
      </c>
      <c r="AN24" s="5">
        <v>63</v>
      </c>
      <c r="AO24" s="78">
        <f t="shared" si="5"/>
        <v>22276.259282999999</v>
      </c>
    </row>
    <row r="25" spans="1:41" x14ac:dyDescent="0.25">
      <c r="A25" s="79">
        <v>44762</v>
      </c>
      <c r="B25" s="86">
        <f>14517598-14512152</f>
        <v>5446</v>
      </c>
      <c r="C25" s="86">
        <f>9306893-9303134</f>
        <v>3759</v>
      </c>
      <c r="D25" s="86">
        <f>1854264-1853419</f>
        <v>845</v>
      </c>
      <c r="E25" s="86">
        <f>14059994-14053197</f>
        <v>6797</v>
      </c>
      <c r="F25" s="86">
        <f>13741805-13735930</f>
        <v>5875</v>
      </c>
      <c r="G25" s="86">
        <f>9420467-9417740</f>
        <v>2727</v>
      </c>
      <c r="H25" s="86">
        <f>10836328-10830877</f>
        <v>5451</v>
      </c>
      <c r="I25" s="86">
        <f>6089416-6087192</f>
        <v>2224</v>
      </c>
      <c r="J25" s="86">
        <f>14197967-14191215</f>
        <v>6752</v>
      </c>
      <c r="K25" s="86">
        <f t="shared" si="14"/>
        <v>30900</v>
      </c>
      <c r="L25" s="14">
        <f t="shared" si="8"/>
        <v>6180</v>
      </c>
      <c r="M25" s="83">
        <f>42959.339-42797.52</f>
        <v>161.81900000000314</v>
      </c>
      <c r="N25" s="83">
        <f>5175.328-5173.088</f>
        <v>2.2400000000006912</v>
      </c>
      <c r="O25" s="83">
        <f>10504.692-10504.544</f>
        <v>0.14799999999922875</v>
      </c>
      <c r="P25" s="82">
        <f>17994.866-17922.559</f>
        <v>72.307000000000698</v>
      </c>
      <c r="Q25" s="83">
        <f>30420.089-30397.559</f>
        <v>22.529999999998836</v>
      </c>
      <c r="R25" s="83">
        <f t="shared" si="0"/>
        <v>74.695000000000618</v>
      </c>
      <c r="S25" s="83">
        <f t="shared" si="1"/>
        <v>585.60880000000486</v>
      </c>
      <c r="T25" s="83">
        <f t="shared" si="2"/>
        <v>184.34900000000198</v>
      </c>
      <c r="U25" s="83">
        <f t="shared" si="15"/>
        <v>1445.2961600000156</v>
      </c>
      <c r="V25" s="83">
        <f>430345.4-430168.1</f>
        <v>177.30000000004657</v>
      </c>
      <c r="W25" s="83">
        <f>173278.19-173108.17</f>
        <v>170.01999999998952</v>
      </c>
      <c r="X25" s="86" t="s">
        <v>63</v>
      </c>
      <c r="Y25" s="87">
        <v>1108840</v>
      </c>
      <c r="Z25" s="5">
        <f t="shared" si="9"/>
        <v>648</v>
      </c>
      <c r="AA25" s="14">
        <f t="shared" si="6"/>
        <v>4192.5599999999995</v>
      </c>
      <c r="AB25" s="87">
        <v>14833763</v>
      </c>
      <c r="AC25" s="86">
        <f t="shared" si="10"/>
        <v>14802095</v>
      </c>
      <c r="AD25" s="5">
        <f t="shared" si="3"/>
        <v>31668</v>
      </c>
      <c r="AE25" s="83">
        <f t="shared" si="11"/>
        <v>10383.905532000001</v>
      </c>
      <c r="AF25" s="83">
        <f>103016.3-102961</f>
        <v>55.30000000000291</v>
      </c>
      <c r="AG25" s="83">
        <f t="shared" si="17"/>
        <v>0</v>
      </c>
      <c r="AH25" s="83">
        <f>32513.1-32496.1</f>
        <v>17</v>
      </c>
      <c r="AI25" s="87">
        <f t="shared" si="12"/>
        <v>55933.599999999999</v>
      </c>
      <c r="AJ25" s="87">
        <v>55962.2</v>
      </c>
      <c r="AK25" s="48">
        <f t="shared" si="7"/>
        <v>28.599999999998545</v>
      </c>
      <c r="AL25" s="89">
        <f t="shared" si="4"/>
        <v>8132.2708921735857</v>
      </c>
      <c r="AM25" s="83">
        <f t="shared" si="13"/>
        <v>2666.5634932728267</v>
      </c>
      <c r="AN25" s="5">
        <v>59</v>
      </c>
      <c r="AO25" s="78">
        <f t="shared" si="5"/>
        <v>22201.761692000015</v>
      </c>
    </row>
    <row r="26" spans="1:41" x14ac:dyDescent="0.25">
      <c r="A26" s="79">
        <v>44763</v>
      </c>
      <c r="B26" s="86">
        <f>14523064-14517598</f>
        <v>5466</v>
      </c>
      <c r="C26" s="86">
        <f>9310778-9306893</f>
        <v>3885</v>
      </c>
      <c r="D26" s="86">
        <f>1855134-1854264</f>
        <v>870</v>
      </c>
      <c r="E26" s="86">
        <f>14066818-14059994</f>
        <v>6824</v>
      </c>
      <c r="F26" s="86">
        <f>13747776-13741805</f>
        <v>5971</v>
      </c>
      <c r="G26" s="86">
        <f>9423271-9420467</f>
        <v>2804</v>
      </c>
      <c r="H26" s="86">
        <f>10841805-10836328</f>
        <v>5477</v>
      </c>
      <c r="I26" s="86">
        <f>6091643-6089416</f>
        <v>2227</v>
      </c>
      <c r="J26" s="86">
        <f>14204801-14197967</f>
        <v>6834</v>
      </c>
      <c r="K26" s="86">
        <f t="shared" si="14"/>
        <v>31297</v>
      </c>
      <c r="L26" s="14">
        <f t="shared" si="8"/>
        <v>6259.4000000000005</v>
      </c>
      <c r="M26" s="83">
        <f>43146.911-42959.339</f>
        <v>187.57200000000012</v>
      </c>
      <c r="N26" s="83">
        <f>5178.945-5175.328</f>
        <v>3.6169999999992797</v>
      </c>
      <c r="O26" s="83">
        <f>10504.764-10504.692</f>
        <v>7.2000000000116415E-2</v>
      </c>
      <c r="P26" s="82">
        <f>18066.166-17994.866</f>
        <v>71.299999999999272</v>
      </c>
      <c r="Q26" s="83">
        <f>30434.039-30420.089</f>
        <v>13.950000000000728</v>
      </c>
      <c r="R26" s="83">
        <f t="shared" si="0"/>
        <v>74.988999999998668</v>
      </c>
      <c r="S26" s="83">
        <f t="shared" si="1"/>
        <v>587.91375999998957</v>
      </c>
      <c r="T26" s="83">
        <f t="shared" si="2"/>
        <v>201.52200000000084</v>
      </c>
      <c r="U26" s="83">
        <f t="shared" si="15"/>
        <v>1579.9324800000065</v>
      </c>
      <c r="V26" s="83">
        <f>430531.8-430345.4</f>
        <v>186.39999999996508</v>
      </c>
      <c r="W26" s="83">
        <f>173449.06-173278.19</f>
        <v>170.86999999999534</v>
      </c>
      <c r="X26" s="86" t="s">
        <v>63</v>
      </c>
      <c r="Y26" s="87">
        <v>1109505</v>
      </c>
      <c r="Z26" s="5">
        <f t="shared" si="9"/>
        <v>665</v>
      </c>
      <c r="AA26" s="14">
        <f t="shared" si="6"/>
        <v>4302.55</v>
      </c>
      <c r="AB26" s="87">
        <v>14866405</v>
      </c>
      <c r="AC26" s="86">
        <f t="shared" si="10"/>
        <v>14833763</v>
      </c>
      <c r="AD26" s="5">
        <f t="shared" si="3"/>
        <v>32642</v>
      </c>
      <c r="AE26" s="83">
        <f t="shared" si="11"/>
        <v>10703.279157999999</v>
      </c>
      <c r="AF26" s="83">
        <f>103072.9-103016.3</f>
        <v>56.599999999991269</v>
      </c>
      <c r="AG26" s="83">
        <f t="shared" si="17"/>
        <v>0</v>
      </c>
      <c r="AH26" s="83">
        <f>32530.6-32513.1</f>
        <v>17.5</v>
      </c>
      <c r="AI26" s="87">
        <f t="shared" si="12"/>
        <v>55962.2</v>
      </c>
      <c r="AJ26" s="87">
        <v>55991.8</v>
      </c>
      <c r="AK26" s="48">
        <f t="shared" si="7"/>
        <v>29.600000000005821</v>
      </c>
      <c r="AL26" s="89">
        <f t="shared" si="4"/>
        <v>8416.6160282656547</v>
      </c>
      <c r="AM26" s="83">
        <f t="shared" si="13"/>
        <v>2759.7999790522799</v>
      </c>
      <c r="AN26" s="5">
        <v>69</v>
      </c>
      <c r="AO26" s="78">
        <f t="shared" si="5"/>
        <v>22845.161638000005</v>
      </c>
    </row>
    <row r="27" spans="1:41" x14ac:dyDescent="0.25">
      <c r="A27" s="79">
        <v>44764</v>
      </c>
      <c r="B27" s="86">
        <f>14528700-14523064</f>
        <v>5636</v>
      </c>
      <c r="C27" s="86">
        <f>9314538-9310778</f>
        <v>3760</v>
      </c>
      <c r="D27" s="86">
        <f>1856019-1855134</f>
        <v>885</v>
      </c>
      <c r="E27" s="86">
        <f>14073757-14066818</f>
        <v>6939</v>
      </c>
      <c r="F27" s="86">
        <f>13753888-13747776</f>
        <v>6112</v>
      </c>
      <c r="G27" s="86">
        <f>9426063-9423271</f>
        <v>2792</v>
      </c>
      <c r="H27" s="86">
        <f>10847289-10841805</f>
        <v>5484</v>
      </c>
      <c r="I27" s="86">
        <f>6093846-6091643</f>
        <v>2203</v>
      </c>
      <c r="J27" s="86">
        <f>14211729-14204801</f>
        <v>6928</v>
      </c>
      <c r="K27" s="86">
        <f t="shared" si="14"/>
        <v>31608</v>
      </c>
      <c r="L27" s="14">
        <f t="shared" si="8"/>
        <v>6321.6</v>
      </c>
      <c r="M27" s="83">
        <f>43302.119-43146.911</f>
        <v>155.20799999999872</v>
      </c>
      <c r="N27" s="83">
        <f>5181.274-5178.945</f>
        <v>2.329000000000633</v>
      </c>
      <c r="O27" s="83">
        <f>10504.912-10504.764</f>
        <v>0.14800000000104774</v>
      </c>
      <c r="P27" s="82">
        <f>18139.941-18066.166</f>
        <v>73.774999999997817</v>
      </c>
      <c r="Q27" s="83">
        <f>30467.117-30434.039</f>
        <v>33.077999999997701</v>
      </c>
      <c r="R27" s="83">
        <f t="shared" si="0"/>
        <v>76.251999999999498</v>
      </c>
      <c r="S27" s="83">
        <f t="shared" si="1"/>
        <v>597.81567999999606</v>
      </c>
      <c r="T27" s="83">
        <f t="shared" si="2"/>
        <v>188.28599999999642</v>
      </c>
      <c r="U27" s="83">
        <f t="shared" si="15"/>
        <v>1476.1622399999719</v>
      </c>
      <c r="V27" s="83">
        <f>430711.1-430531.8</f>
        <v>179.29999999998836</v>
      </c>
      <c r="W27" s="83">
        <f>173618.11-173449.06</f>
        <v>169.04999999998836</v>
      </c>
      <c r="X27" s="86" t="s">
        <v>63</v>
      </c>
      <c r="Y27" s="87">
        <v>1110152</v>
      </c>
      <c r="Z27" s="5">
        <f t="shared" si="9"/>
        <v>647</v>
      </c>
      <c r="AA27" s="14">
        <f t="shared" si="6"/>
        <v>4186.09</v>
      </c>
      <c r="AB27" s="87">
        <v>14900231</v>
      </c>
      <c r="AC27" s="86">
        <f t="shared" si="10"/>
        <v>14866405</v>
      </c>
      <c r="AD27" s="5">
        <f t="shared" si="3"/>
        <v>33826</v>
      </c>
      <c r="AE27" s="83">
        <f t="shared" si="11"/>
        <v>11091.511574</v>
      </c>
      <c r="AF27" s="83">
        <f>103131.3-103072.9</f>
        <v>58.400000000008731</v>
      </c>
      <c r="AG27" s="83">
        <f t="shared" si="17"/>
        <v>0</v>
      </c>
      <c r="AH27" s="83">
        <f>32548.9-32530.6</f>
        <v>18.30000000000291</v>
      </c>
      <c r="AI27" s="87">
        <f t="shared" si="12"/>
        <v>55991.8</v>
      </c>
      <c r="AJ27" s="87">
        <v>56022</v>
      </c>
      <c r="AK27" s="48">
        <f t="shared" si="7"/>
        <v>30.19999999999709</v>
      </c>
      <c r="AL27" s="89">
        <f t="shared" si="4"/>
        <v>8587.2231099171713</v>
      </c>
      <c r="AM27" s="83">
        <f t="shared" si="13"/>
        <v>2815.7418705187306</v>
      </c>
      <c r="AN27" s="5">
        <v>38</v>
      </c>
      <c r="AO27" s="78">
        <f t="shared" si="5"/>
        <v>23075.363813999975</v>
      </c>
    </row>
    <row r="28" spans="1:41" x14ac:dyDescent="0.25">
      <c r="A28" s="79">
        <v>44765</v>
      </c>
      <c r="B28" s="86">
        <f>14534371-14528700</f>
        <v>5671</v>
      </c>
      <c r="C28" s="86">
        <f>9318073-9314538</f>
        <v>3535</v>
      </c>
      <c r="D28" s="86">
        <f>1856901-1856019</f>
        <v>882</v>
      </c>
      <c r="E28" s="86">
        <f>14080788-14073757</f>
        <v>7031</v>
      </c>
      <c r="F28" s="86">
        <f>13760019-13753888</f>
        <v>6131</v>
      </c>
      <c r="G28" s="86">
        <f>9428803-9426063</f>
        <v>2740</v>
      </c>
      <c r="H28" s="86">
        <f>10852793-10847289</f>
        <v>5504</v>
      </c>
      <c r="I28" s="86">
        <f>6096061-6093846</f>
        <v>2215</v>
      </c>
      <c r="J28" s="86">
        <f>14218785-14211729</f>
        <v>7056</v>
      </c>
      <c r="K28" s="86">
        <f t="shared" si="14"/>
        <v>31494</v>
      </c>
      <c r="L28" s="14">
        <f t="shared" si="8"/>
        <v>6298.8</v>
      </c>
      <c r="M28" s="83">
        <f>43474.579-43302.119</f>
        <v>172.45999999999913</v>
      </c>
      <c r="N28" s="83">
        <f>5183.946-5181.274</f>
        <v>2.6719999999995707</v>
      </c>
      <c r="O28" s="83">
        <f>10505.271-10504.912</f>
        <v>0.35900000000037835</v>
      </c>
      <c r="P28" s="82">
        <f>18215.644-18139.941</f>
        <v>75.703000000001339</v>
      </c>
      <c r="Q28" s="83">
        <f>30477.626-30467.117</f>
        <v>10.509000000001834</v>
      </c>
      <c r="R28" s="83">
        <f t="shared" si="0"/>
        <v>78.734000000001288</v>
      </c>
      <c r="S28" s="83">
        <f t="shared" si="1"/>
        <v>617.27456000001007</v>
      </c>
      <c r="T28" s="83">
        <f t="shared" si="2"/>
        <v>182.96900000000096</v>
      </c>
      <c r="U28" s="83">
        <f t="shared" si="15"/>
        <v>1434.4769600000075</v>
      </c>
      <c r="V28" s="83">
        <f>430889-430711.1</f>
        <v>177.90000000002328</v>
      </c>
      <c r="W28" s="83">
        <f>173763.54-173618.11</f>
        <v>145.43000000002212</v>
      </c>
      <c r="X28" s="86" t="s">
        <v>63</v>
      </c>
      <c r="Y28" s="87">
        <v>1110785</v>
      </c>
      <c r="Z28" s="5">
        <f t="shared" si="9"/>
        <v>633</v>
      </c>
      <c r="AA28" s="14">
        <f t="shared" si="6"/>
        <v>4095.5099999999998</v>
      </c>
      <c r="AB28" s="87">
        <v>14935994</v>
      </c>
      <c r="AC28" s="86">
        <f t="shared" si="10"/>
        <v>14900231</v>
      </c>
      <c r="AD28" s="5">
        <f t="shared" si="3"/>
        <v>35763</v>
      </c>
      <c r="AE28" s="83">
        <f t="shared" si="11"/>
        <v>11726.651937000001</v>
      </c>
      <c r="AF28" s="83">
        <f>103194.3-103131.3</f>
        <v>63</v>
      </c>
      <c r="AG28" s="83">
        <f t="shared" si="17"/>
        <v>0</v>
      </c>
      <c r="AH28" s="83">
        <f>32567.9-32548.9</f>
        <v>19</v>
      </c>
      <c r="AI28" s="87">
        <f t="shared" si="12"/>
        <v>56022</v>
      </c>
      <c r="AJ28" s="87">
        <v>56053.599999999999</v>
      </c>
      <c r="AK28" s="48">
        <f t="shared" si="7"/>
        <v>31.599999999998545</v>
      </c>
      <c r="AL28" s="89">
        <f t="shared" si="4"/>
        <v>8985.3063004435862</v>
      </c>
      <c r="AM28" s="83">
        <f t="shared" si="13"/>
        <v>2946.2729506091514</v>
      </c>
      <c r="AN28" s="5">
        <v>31</v>
      </c>
      <c r="AO28" s="78">
        <f t="shared" si="5"/>
        <v>23555.438897000007</v>
      </c>
    </row>
    <row r="29" spans="1:41" x14ac:dyDescent="0.25">
      <c r="A29" s="79">
        <v>44766</v>
      </c>
      <c r="B29" s="86">
        <f>14539960-14534371</f>
        <v>5589</v>
      </c>
      <c r="C29" s="86">
        <f>9321869-9318073</f>
        <v>3796</v>
      </c>
      <c r="D29" s="86">
        <f>1857803-1856901</f>
        <v>902</v>
      </c>
      <c r="E29" s="86">
        <f>14087859-14080788</f>
        <v>7071</v>
      </c>
      <c r="F29" s="86">
        <f>13765599-13760019</f>
        <v>5580</v>
      </c>
      <c r="G29" s="86">
        <f>9431474-9428803</f>
        <v>2671</v>
      </c>
      <c r="H29" s="86">
        <f>10858224-10852793</f>
        <v>5431</v>
      </c>
      <c r="I29" s="86">
        <f>6098307-6096061</f>
        <v>2246</v>
      </c>
      <c r="J29" s="86">
        <f>14225693-14218785</f>
        <v>6908</v>
      </c>
      <c r="K29" s="86">
        <f t="shared" si="14"/>
        <v>31040</v>
      </c>
      <c r="L29" s="14">
        <f t="shared" si="8"/>
        <v>6208</v>
      </c>
      <c r="M29" s="83">
        <f>43631.607-43474.579</f>
        <v>157.0280000000057</v>
      </c>
      <c r="N29" s="83">
        <f>5185.655-5183.946</f>
        <v>1.7089999999998327</v>
      </c>
      <c r="O29" s="83">
        <f>10505.314-10505.271</f>
        <v>4.2999999999665306E-2</v>
      </c>
      <c r="P29" s="82">
        <f>18286.7-18215.644</f>
        <v>71.056000000000495</v>
      </c>
      <c r="Q29" s="83">
        <f>30509.747-30477.626</f>
        <v>32.120999999999185</v>
      </c>
      <c r="R29" s="83">
        <f t="shared" si="0"/>
        <v>72.807999999999993</v>
      </c>
      <c r="S29" s="83">
        <f t="shared" si="1"/>
        <v>570.81471999999997</v>
      </c>
      <c r="T29" s="83">
        <f t="shared" si="2"/>
        <v>189.14900000000489</v>
      </c>
      <c r="U29" s="83">
        <f t="shared" si="15"/>
        <v>1482.9281600000384</v>
      </c>
      <c r="V29" s="83">
        <f>431047.8-430889</f>
        <v>158.79999999998836</v>
      </c>
      <c r="W29" s="83">
        <f>173877.26-173763.54</f>
        <v>113.72000000000116</v>
      </c>
      <c r="X29" s="86" t="s">
        <v>63</v>
      </c>
      <c r="Y29" s="87">
        <v>1111326</v>
      </c>
      <c r="Z29" s="5">
        <f t="shared" si="9"/>
        <v>541</v>
      </c>
      <c r="AA29" s="14">
        <f t="shared" si="6"/>
        <v>3500.27</v>
      </c>
      <c r="AB29" s="87">
        <v>14972310</v>
      </c>
      <c r="AC29" s="86">
        <f t="shared" si="10"/>
        <v>14935994</v>
      </c>
      <c r="AD29" s="5">
        <f t="shared" si="3"/>
        <v>36316</v>
      </c>
      <c r="AE29" s="83">
        <f t="shared" si="11"/>
        <v>11907.980084000001</v>
      </c>
      <c r="AF29" s="83">
        <f>103259.3-103194.3</f>
        <v>65</v>
      </c>
      <c r="AG29" s="83">
        <f t="shared" si="17"/>
        <v>0</v>
      </c>
      <c r="AH29" s="83">
        <f>32585.7-32567.9</f>
        <v>17.799999999999272</v>
      </c>
      <c r="AI29" s="87">
        <f t="shared" si="12"/>
        <v>56053.599999999999</v>
      </c>
      <c r="AJ29" s="87">
        <v>56085.1</v>
      </c>
      <c r="AK29" s="48">
        <f t="shared" si="7"/>
        <v>31.5</v>
      </c>
      <c r="AL29" s="89">
        <f t="shared" si="4"/>
        <v>8956.8717868349995</v>
      </c>
      <c r="AM29" s="83">
        <f t="shared" si="13"/>
        <v>2936.9493020314094</v>
      </c>
      <c r="AN29" s="5">
        <v>37</v>
      </c>
      <c r="AO29" s="78">
        <f t="shared" si="5"/>
        <v>23099.178244000039</v>
      </c>
    </row>
    <row r="30" spans="1:41" x14ac:dyDescent="0.25">
      <c r="A30" s="79">
        <v>44767</v>
      </c>
      <c r="B30" s="86">
        <f>14545521-14539960</f>
        <v>5561</v>
      </c>
      <c r="C30" s="86">
        <f>9326377-9321869</f>
        <v>4508</v>
      </c>
      <c r="D30" s="86">
        <f>1858675-1857803</f>
        <v>872</v>
      </c>
      <c r="E30" s="86">
        <f>14094776-14087859</f>
        <v>6917</v>
      </c>
      <c r="F30" s="86">
        <f>13771446-13765599</f>
        <v>5847</v>
      </c>
      <c r="G30" s="86">
        <f>9434299-9431474</f>
        <v>2825</v>
      </c>
      <c r="H30" s="86">
        <f>10864655-10858224</f>
        <v>6431</v>
      </c>
      <c r="I30" s="86">
        <f>6100584-6098307</f>
        <v>2277</v>
      </c>
      <c r="J30" s="86">
        <f>14232573-14225693</f>
        <v>6880</v>
      </c>
      <c r="K30" s="86">
        <f t="shared" si="14"/>
        <v>32961</v>
      </c>
      <c r="L30" s="14">
        <f t="shared" si="8"/>
        <v>6592.2000000000007</v>
      </c>
      <c r="M30" s="83">
        <f>43800.365-43631.607</f>
        <v>168.75799999999435</v>
      </c>
      <c r="N30" s="83">
        <f>5188.98-5185.655</f>
        <v>3.3249999999998181</v>
      </c>
      <c r="O30" s="83">
        <f>10505.392-10505.314</f>
        <v>7.7999999999519787E-2</v>
      </c>
      <c r="P30" s="82">
        <f>18351.645-18286.7</f>
        <v>64.944999999999709</v>
      </c>
      <c r="Q30" s="83">
        <f>30519.707-30509.747</f>
        <v>9.9599999999991269</v>
      </c>
      <c r="R30" s="83">
        <f t="shared" si="0"/>
        <v>68.347999999999047</v>
      </c>
      <c r="S30" s="83">
        <f t="shared" si="1"/>
        <v>535.84831999999255</v>
      </c>
      <c r="T30" s="83">
        <f t="shared" si="2"/>
        <v>178.71799999999348</v>
      </c>
      <c r="U30" s="83">
        <f t="shared" si="15"/>
        <v>1401.1491199999489</v>
      </c>
      <c r="V30" s="83">
        <f>431218.4-431047.8</f>
        <v>170.60000000003492</v>
      </c>
      <c r="W30" s="83">
        <f>174033.28-173877.26</f>
        <v>156.01999999998952</v>
      </c>
      <c r="X30" s="86" t="s">
        <v>63</v>
      </c>
      <c r="Y30" s="87">
        <v>1111923</v>
      </c>
      <c r="Z30" s="5">
        <f t="shared" si="9"/>
        <v>597</v>
      </c>
      <c r="AA30" s="14">
        <f t="shared" si="6"/>
        <v>3862.5899999999997</v>
      </c>
      <c r="AB30" s="87">
        <v>15008481</v>
      </c>
      <c r="AC30" s="86">
        <f t="shared" si="10"/>
        <v>14972310</v>
      </c>
      <c r="AD30" s="5">
        <f t="shared" si="3"/>
        <v>36171</v>
      </c>
      <c r="AE30" s="83">
        <f t="shared" si="11"/>
        <v>11860.434729000001</v>
      </c>
      <c r="AF30" s="83">
        <f>103322.2-103259.3</f>
        <v>62.899999999994179</v>
      </c>
      <c r="AG30" s="83">
        <f t="shared" si="17"/>
        <v>0</v>
      </c>
      <c r="AH30" s="83">
        <f>32603.6-32585.7</f>
        <v>17.899999999997817</v>
      </c>
      <c r="AI30" s="87">
        <f t="shared" si="12"/>
        <v>56085.1</v>
      </c>
      <c r="AJ30" s="87">
        <v>56116.3</v>
      </c>
      <c r="AK30" s="48">
        <f t="shared" si="7"/>
        <v>31.200000000004366</v>
      </c>
      <c r="AL30" s="89">
        <f t="shared" si="4"/>
        <v>8871.5682460092412</v>
      </c>
      <c r="AM30" s="83">
        <f t="shared" si="13"/>
        <v>2908.9783562981843</v>
      </c>
      <c r="AN30" s="5">
        <v>56</v>
      </c>
      <c r="AO30" s="78">
        <f t="shared" si="5"/>
        <v>23716.373848999952</v>
      </c>
    </row>
    <row r="31" spans="1:41" x14ac:dyDescent="0.25">
      <c r="A31" s="79">
        <v>44768</v>
      </c>
      <c r="B31" s="86">
        <f>14550945-14545521</f>
        <v>5424</v>
      </c>
      <c r="C31" s="86">
        <f>9330310-9326377</f>
        <v>3933</v>
      </c>
      <c r="D31" s="86">
        <f>1859550-1858675</f>
        <v>875</v>
      </c>
      <c r="E31" s="86">
        <f>14101610-14094776</f>
        <v>6834</v>
      </c>
      <c r="F31" s="86">
        <f>13777193-13771446</f>
        <v>5747</v>
      </c>
      <c r="G31" s="86">
        <f>9437033-9434299</f>
        <v>2734</v>
      </c>
      <c r="H31" s="86">
        <f>10871879-10864655</f>
        <v>7224</v>
      </c>
      <c r="I31" s="86">
        <f>6102831-6100584</f>
        <v>2247</v>
      </c>
      <c r="J31" s="86">
        <f>14239381-14232573</f>
        <v>6808</v>
      </c>
      <c r="K31" s="86">
        <f t="shared" si="14"/>
        <v>32771</v>
      </c>
      <c r="L31" s="14">
        <f t="shared" si="8"/>
        <v>6554.2000000000007</v>
      </c>
      <c r="M31" s="83">
        <f>43954.101-43800.365</f>
        <v>153.73600000000442</v>
      </c>
      <c r="N31" s="83">
        <f>5192.379-5188.98</f>
        <v>3.399000000000342</v>
      </c>
      <c r="O31" s="83">
        <f>10505.638-10505.392</f>
        <v>0.24600000000100408</v>
      </c>
      <c r="P31" s="82">
        <f>18418.636-18351.645</f>
        <v>66.990999999998166</v>
      </c>
      <c r="Q31" s="83">
        <f>30546.241-30519.707</f>
        <v>26.534000000003289</v>
      </c>
      <c r="R31" s="83">
        <f t="shared" si="0"/>
        <v>70.635999999999513</v>
      </c>
      <c r="S31" s="83">
        <f t="shared" si="1"/>
        <v>553.78623999999616</v>
      </c>
      <c r="T31" s="83">
        <f t="shared" si="2"/>
        <v>180.27000000000771</v>
      </c>
      <c r="U31" s="83">
        <f t="shared" si="15"/>
        <v>1413.3168000000605</v>
      </c>
      <c r="V31" s="83">
        <f>431389.4-431218.4</f>
        <v>171</v>
      </c>
      <c r="W31" s="83">
        <f>174209.86-174033.28</f>
        <v>176.57999999998719</v>
      </c>
      <c r="X31" s="86" t="s">
        <v>63</v>
      </c>
      <c r="Y31" s="87">
        <v>1112550</v>
      </c>
      <c r="Z31" s="5">
        <f t="shared" si="9"/>
        <v>627</v>
      </c>
      <c r="AA31" s="14">
        <f t="shared" si="6"/>
        <v>4056.69</v>
      </c>
      <c r="AB31" s="87">
        <v>15038295</v>
      </c>
      <c r="AC31" s="86">
        <f t="shared" si="10"/>
        <v>15008481</v>
      </c>
      <c r="AD31" s="5">
        <f t="shared" si="3"/>
        <v>29814</v>
      </c>
      <c r="AE31" s="83">
        <f t="shared" si="11"/>
        <v>9775.9807860000001</v>
      </c>
      <c r="AF31" s="83">
        <f>103372.8-103322.2</f>
        <v>50.600000000005821</v>
      </c>
      <c r="AG31" s="83">
        <f t="shared" si="17"/>
        <v>0</v>
      </c>
      <c r="AH31" s="83">
        <f>32619.6-32603.6</f>
        <v>16</v>
      </c>
      <c r="AI31" s="87">
        <f t="shared" si="12"/>
        <v>56116.3</v>
      </c>
      <c r="AJ31" s="87">
        <v>56143.3</v>
      </c>
      <c r="AK31" s="48">
        <f t="shared" si="7"/>
        <v>27</v>
      </c>
      <c r="AL31" s="89">
        <f t="shared" si="4"/>
        <v>7677.3186744299992</v>
      </c>
      <c r="AM31" s="83">
        <f t="shared" si="13"/>
        <v>2517.3851160269223</v>
      </c>
      <c r="AN31" s="5">
        <v>73</v>
      </c>
      <c r="AO31" s="78">
        <f t="shared" si="5"/>
        <v>21800.187586000062</v>
      </c>
    </row>
    <row r="32" spans="1:41" x14ac:dyDescent="0.25">
      <c r="A32" s="79">
        <v>44769</v>
      </c>
      <c r="B32" s="86">
        <f>14556355-14550945</f>
        <v>5410</v>
      </c>
      <c r="C32" s="86">
        <f>9334248-9330310</f>
        <v>3938</v>
      </c>
      <c r="D32" s="86">
        <f>1860408-1859550</f>
        <v>858</v>
      </c>
      <c r="E32" s="86">
        <f>14108656-14101610</f>
        <v>7046</v>
      </c>
      <c r="F32" s="86">
        <f>13782909-13777193</f>
        <v>5716</v>
      </c>
      <c r="G32" s="86">
        <f>9439885-9437033</f>
        <v>2852</v>
      </c>
      <c r="H32" s="86">
        <f>10879852-10871879</f>
        <v>7973</v>
      </c>
      <c r="I32" s="86">
        <f>6105022-6102831</f>
        <v>2191</v>
      </c>
      <c r="J32" s="86">
        <f>14246227-14239381</f>
        <v>6846</v>
      </c>
      <c r="K32" s="86">
        <f t="shared" si="14"/>
        <v>33793</v>
      </c>
      <c r="L32" s="14">
        <f t="shared" si="8"/>
        <v>6758.6</v>
      </c>
      <c r="M32" s="83">
        <f>44144.604-43954.101</f>
        <v>190.50299999999697</v>
      </c>
      <c r="N32" s="83">
        <f>5195.329-5192.379</f>
        <v>2.9499999999998181</v>
      </c>
      <c r="O32" s="83">
        <f>10505.861-10505.638</f>
        <v>0.22299999999995634</v>
      </c>
      <c r="P32" s="82">
        <f>18498.5-18418.636</f>
        <v>79.864000000001397</v>
      </c>
      <c r="Q32" s="83">
        <f>30560.762-30546.241</f>
        <v>14.520999999997002</v>
      </c>
      <c r="R32" s="83">
        <f t="shared" si="0"/>
        <v>83.037000000001171</v>
      </c>
      <c r="S32" s="83">
        <f t="shared" si="1"/>
        <v>651.01008000000922</v>
      </c>
      <c r="T32" s="83">
        <f t="shared" si="2"/>
        <v>205.02399999999398</v>
      </c>
      <c r="U32" s="83">
        <f t="shared" si="15"/>
        <v>1607.3881599999527</v>
      </c>
      <c r="V32" s="83">
        <f>431567-431389.4</f>
        <v>177.59999999997672</v>
      </c>
      <c r="W32" s="83">
        <f>174389.62-174209.86</f>
        <v>179.76000000000931</v>
      </c>
      <c r="X32" s="86" t="s">
        <v>63</v>
      </c>
      <c r="Y32" s="87">
        <v>1113191</v>
      </c>
      <c r="Z32" s="5">
        <f t="shared" si="9"/>
        <v>641</v>
      </c>
      <c r="AA32" s="14">
        <f t="shared" si="6"/>
        <v>4147.2699999999995</v>
      </c>
      <c r="AB32" s="87">
        <v>15069443</v>
      </c>
      <c r="AC32" s="86">
        <f t="shared" si="10"/>
        <v>15038295</v>
      </c>
      <c r="AD32" s="5">
        <f t="shared" si="3"/>
        <v>31148</v>
      </c>
      <c r="AE32" s="83">
        <f t="shared" si="11"/>
        <v>10213.398052</v>
      </c>
      <c r="AF32" s="83">
        <f>103424.9-103372.8</f>
        <v>52.099999999991269</v>
      </c>
      <c r="AG32" s="83">
        <f t="shared" si="17"/>
        <v>0</v>
      </c>
      <c r="AH32" s="83">
        <f>32636.1-32619.6</f>
        <v>16.5</v>
      </c>
      <c r="AI32" s="87">
        <f t="shared" si="12"/>
        <v>56143.3</v>
      </c>
      <c r="AJ32" s="87">
        <v>56172.3</v>
      </c>
      <c r="AK32" s="48">
        <f t="shared" si="7"/>
        <v>29</v>
      </c>
      <c r="AL32" s="89">
        <f t="shared" si="4"/>
        <v>8246.0089466099998</v>
      </c>
      <c r="AM32" s="83">
        <f t="shared" si="13"/>
        <v>2703.8580875844723</v>
      </c>
      <c r="AN32" s="5">
        <v>79</v>
      </c>
      <c r="AO32" s="78">
        <f t="shared" si="5"/>
        <v>22726.656211999954</v>
      </c>
    </row>
    <row r="33" spans="1:41" x14ac:dyDescent="0.25">
      <c r="A33" s="79">
        <v>44770</v>
      </c>
      <c r="B33" s="86">
        <f>14561880-14556355</f>
        <v>5525</v>
      </c>
      <c r="C33" s="86">
        <f>9338253-9334248</f>
        <v>4005</v>
      </c>
      <c r="D33" s="86">
        <f>1861282-1860408</f>
        <v>874</v>
      </c>
      <c r="E33" s="86">
        <f>14115700-14108656</f>
        <v>7044</v>
      </c>
      <c r="F33" s="86">
        <f>13788812-13782909</f>
        <v>5903</v>
      </c>
      <c r="G33" s="86">
        <f>9442838-9439885</f>
        <v>2953</v>
      </c>
      <c r="H33" s="86">
        <f>10887337-10879852</f>
        <v>7485</v>
      </c>
      <c r="I33" s="86">
        <f>6107252-6105022</f>
        <v>2230</v>
      </c>
      <c r="J33" s="86">
        <f>14253153-14246227</f>
        <v>6926</v>
      </c>
      <c r="K33" s="86">
        <f t="shared" si="14"/>
        <v>33789</v>
      </c>
      <c r="L33" s="14">
        <f t="shared" si="8"/>
        <v>6757.8</v>
      </c>
      <c r="M33" s="83">
        <f>44310.139-44144.604</f>
        <v>165.53500000000349</v>
      </c>
      <c r="N33" s="83">
        <f>5198.387-5195.329</f>
        <v>3.0579999999999927</v>
      </c>
      <c r="O33" s="83">
        <f>10505.97-10505.861</f>
        <v>0.10899999999855936</v>
      </c>
      <c r="P33" s="82">
        <f>18565.587-18498.5</f>
        <v>67.086999999999534</v>
      </c>
      <c r="Q33" s="83">
        <f>30573.913-30560.762</f>
        <v>13.151000000001659</v>
      </c>
      <c r="R33" s="83">
        <f t="shared" si="0"/>
        <v>70.253999999998086</v>
      </c>
      <c r="S33" s="83">
        <f t="shared" si="1"/>
        <v>550.79135999998493</v>
      </c>
      <c r="T33" s="83">
        <f t="shared" si="2"/>
        <v>178.68600000000515</v>
      </c>
      <c r="U33" s="83">
        <f t="shared" si="15"/>
        <v>1400.8982400000405</v>
      </c>
      <c r="V33" s="83">
        <f>431743.4-431567</f>
        <v>176.40000000002328</v>
      </c>
      <c r="W33" s="83">
        <f>174565.39-174389.62</f>
        <v>175.77000000001863</v>
      </c>
      <c r="X33" s="86" t="s">
        <v>63</v>
      </c>
      <c r="Y33" s="87">
        <v>1113810</v>
      </c>
      <c r="Z33" s="5">
        <f t="shared" si="9"/>
        <v>619</v>
      </c>
      <c r="AA33" s="14">
        <f t="shared" si="6"/>
        <v>4004.93</v>
      </c>
      <c r="AB33" s="87">
        <v>15099799</v>
      </c>
      <c r="AC33" s="86">
        <f t="shared" si="10"/>
        <v>15069443</v>
      </c>
      <c r="AD33" s="5">
        <f t="shared" si="3"/>
        <v>30356</v>
      </c>
      <c r="AE33" s="83">
        <f t="shared" si="11"/>
        <v>9953.7020439999997</v>
      </c>
      <c r="AF33" s="83">
        <f>103476.5-103424.9</f>
        <v>51.600000000005821</v>
      </c>
      <c r="AG33" s="83">
        <f t="shared" si="17"/>
        <v>0</v>
      </c>
      <c r="AH33" s="83">
        <f>32651.4-32636.1</f>
        <v>15.30000000000291</v>
      </c>
      <c r="AI33" s="87">
        <f t="shared" si="12"/>
        <v>56172.3</v>
      </c>
      <c r="AJ33" s="87">
        <v>56200.1</v>
      </c>
      <c r="AK33" s="48">
        <f t="shared" si="7"/>
        <v>27.799999999995634</v>
      </c>
      <c r="AL33" s="89">
        <f t="shared" si="4"/>
        <v>7904.7947833007584</v>
      </c>
      <c r="AM33" s="83">
        <f t="shared" si="13"/>
        <v>2591.9743046495355</v>
      </c>
      <c r="AN33" s="5">
        <v>57</v>
      </c>
      <c r="AO33" s="78">
        <f t="shared" si="5"/>
        <v>22117.33028400004</v>
      </c>
    </row>
    <row r="34" spans="1:41" x14ac:dyDescent="0.25">
      <c r="A34" s="79">
        <v>44771</v>
      </c>
      <c r="B34" s="86">
        <f>14567287-14561880</f>
        <v>5407</v>
      </c>
      <c r="C34" s="86">
        <f>9342012-9338253</f>
        <v>3759</v>
      </c>
      <c r="D34" s="86">
        <f>1862180-1861282</f>
        <v>898</v>
      </c>
      <c r="E34" s="86">
        <f>14122616-14115700</f>
        <v>6916</v>
      </c>
      <c r="F34" s="86">
        <f>13794867-13788812</f>
        <v>6055</v>
      </c>
      <c r="G34" s="86">
        <f>9445625-9442838</f>
        <v>2787</v>
      </c>
      <c r="H34" s="86">
        <f>10894281-10887337</f>
        <v>6944</v>
      </c>
      <c r="I34" s="86">
        <f>6109442-6107252</f>
        <v>2190</v>
      </c>
      <c r="J34" s="86">
        <f>14260129-14253153</f>
        <v>6976</v>
      </c>
      <c r="K34" s="86">
        <f t="shared" si="14"/>
        <v>32766</v>
      </c>
      <c r="L34" s="14">
        <f t="shared" si="8"/>
        <v>6553.2000000000007</v>
      </c>
      <c r="M34" s="83">
        <f>44490.203-44310.139</f>
        <v>180.06399999999849</v>
      </c>
      <c r="N34" s="83">
        <f>5202.339-5198.387</f>
        <v>3.9520000000002256</v>
      </c>
      <c r="O34" s="83">
        <f>10506.109-10505.97</f>
        <v>0.13900000000103319</v>
      </c>
      <c r="P34" s="82">
        <f>18646.881-18565.587</f>
        <v>81.294000000001688</v>
      </c>
      <c r="Q34" s="83">
        <f>30603.564-30573.913</f>
        <v>29.650999999998021</v>
      </c>
      <c r="R34" s="83">
        <f t="shared" si="0"/>
        <v>85.385000000002947</v>
      </c>
      <c r="S34" s="83">
        <f t="shared" si="1"/>
        <v>669.4184000000231</v>
      </c>
      <c r="T34" s="83">
        <f t="shared" si="2"/>
        <v>209.71499999999651</v>
      </c>
      <c r="U34" s="83">
        <f t="shared" si="15"/>
        <v>1644.1655999999725</v>
      </c>
      <c r="V34" s="83">
        <f>431922.2-431743.4</f>
        <v>178.79999999998836</v>
      </c>
      <c r="W34" s="83">
        <f>174747.31-174565.39</f>
        <v>181.9199999999837</v>
      </c>
      <c r="X34" s="86" t="s">
        <v>63</v>
      </c>
      <c r="Y34" s="87">
        <v>1114450</v>
      </c>
      <c r="Z34" s="5">
        <f t="shared" si="9"/>
        <v>640</v>
      </c>
      <c r="AA34" s="14">
        <f t="shared" si="6"/>
        <v>4140.8</v>
      </c>
      <c r="AB34" s="87">
        <v>15131511</v>
      </c>
      <c r="AC34" s="86">
        <f t="shared" si="10"/>
        <v>15099799</v>
      </c>
      <c r="AD34" s="5">
        <f t="shared" si="3"/>
        <v>31712</v>
      </c>
      <c r="AE34" s="83">
        <f t="shared" si="11"/>
        <v>10398.333087999999</v>
      </c>
      <c r="AF34" s="83">
        <f>103529.5-103476.5</f>
        <v>53</v>
      </c>
      <c r="AG34" s="83">
        <f t="shared" si="17"/>
        <v>0</v>
      </c>
      <c r="AH34" s="83">
        <f>32667.5-32651.4</f>
        <v>16.099999999998545</v>
      </c>
      <c r="AI34" s="87">
        <f t="shared" si="12"/>
        <v>56200.1</v>
      </c>
      <c r="AJ34" s="87">
        <v>56229.7</v>
      </c>
      <c r="AK34" s="48">
        <f t="shared" si="7"/>
        <v>29.599999999998545</v>
      </c>
      <c r="AL34" s="89">
        <f t="shared" si="4"/>
        <v>8416.6160282635865</v>
      </c>
      <c r="AM34" s="83">
        <f t="shared" si="13"/>
        <v>2759.7999790516019</v>
      </c>
      <c r="AN34" s="5">
        <v>53</v>
      </c>
      <c r="AO34" s="78">
        <f t="shared" si="5"/>
        <v>22736.498687999974</v>
      </c>
    </row>
    <row r="35" spans="1:41" x14ac:dyDescent="0.25">
      <c r="A35" s="79">
        <v>44772</v>
      </c>
      <c r="B35" s="86">
        <f>14572760-14567287</f>
        <v>5473</v>
      </c>
      <c r="C35" s="86">
        <f>9345700-9342012</f>
        <v>3688</v>
      </c>
      <c r="D35" s="86">
        <f>1863019-1862180</f>
        <v>839</v>
      </c>
      <c r="E35" s="86">
        <f>14129737-14122616</f>
        <v>7121</v>
      </c>
      <c r="F35" s="86">
        <f>13801197-13794867</f>
        <v>6330</v>
      </c>
      <c r="G35" s="86">
        <f>9448578-9445625</f>
        <v>2953</v>
      </c>
      <c r="H35" s="86">
        <f>10901342-10894281</f>
        <v>7061</v>
      </c>
      <c r="I35" s="86">
        <f>6111666-6109442</f>
        <v>2224</v>
      </c>
      <c r="J35" s="86">
        <f>14267260-14260129</f>
        <v>7131</v>
      </c>
      <c r="K35" s="86">
        <f t="shared" ref="K35:K36" si="18">SUM(B35:H35)</f>
        <v>33465</v>
      </c>
      <c r="L35" s="14">
        <f t="shared" ref="L35:L36" si="19">K35*0.2</f>
        <v>6693</v>
      </c>
      <c r="M35" s="83">
        <f>44662.693-44490.203</f>
        <v>172.48999999999796</v>
      </c>
      <c r="N35" s="83">
        <f>5204.839-5202.339</f>
        <v>2.5</v>
      </c>
      <c r="O35" s="83">
        <f>10506.517-10506.109</f>
        <v>0.40799999999944703</v>
      </c>
      <c r="P35" s="82">
        <f>18719.067-18646.881</f>
        <v>72.185999999997875</v>
      </c>
      <c r="Q35" s="83">
        <f>30612.168-30603.564</f>
        <v>8.6040000000029977</v>
      </c>
      <c r="R35" s="83">
        <f t="shared" ref="R35:R36" si="20">N35+O35+P35</f>
        <v>75.093999999997322</v>
      </c>
      <c r="S35" s="83">
        <f t="shared" ref="S35:S36" si="21">(N35+O35+P35)*7.84</f>
        <v>588.73695999997904</v>
      </c>
      <c r="T35" s="83">
        <f t="shared" ref="T35:T36" si="22">M35+Q35</f>
        <v>181.09400000000096</v>
      </c>
      <c r="U35" s="83">
        <f t="shared" ref="U35:U36" si="23">T35*7.84</f>
        <v>1419.7769600000074</v>
      </c>
      <c r="V35" s="83">
        <f>432096.1-431922.2</f>
        <v>173.89999999996508</v>
      </c>
      <c r="W35" s="83">
        <f>174876.31-174747.31</f>
        <v>129</v>
      </c>
      <c r="X35" s="86" t="s">
        <v>63</v>
      </c>
      <c r="Y35" s="87">
        <v>1115054</v>
      </c>
      <c r="Z35" s="5">
        <f t="shared" ref="Z35:Z36" si="24">IF((Y35-Y34&lt;0), "0",Y35-Y34)</f>
        <v>604</v>
      </c>
      <c r="AA35" s="14">
        <f t="shared" ref="AA35:AA36" si="25">Z35*6.47</f>
        <v>3907.8799999999997</v>
      </c>
      <c r="AB35" s="87">
        <v>15162324</v>
      </c>
      <c r="AC35" s="86">
        <f t="shared" ref="AC35:AC36" si="26">AB34</f>
        <v>15131511</v>
      </c>
      <c r="AD35" s="5">
        <f t="shared" ref="AD35:AD36" si="27">IF((AB35-AC35&lt;0), "0",AB35-AC35)</f>
        <v>30813</v>
      </c>
      <c r="AE35" s="83">
        <f t="shared" si="11"/>
        <v>10103.551887</v>
      </c>
      <c r="AF35" s="83">
        <f>103580.7-103529.5</f>
        <v>51.19999999999709</v>
      </c>
      <c r="AG35" s="83">
        <f t="shared" si="17"/>
        <v>0</v>
      </c>
      <c r="AH35" s="83">
        <f>32683.7-32667.5</f>
        <v>16.200000000000728</v>
      </c>
      <c r="AI35" s="87">
        <f t="shared" si="12"/>
        <v>56229.7</v>
      </c>
      <c r="AJ35" s="87">
        <v>56257.9</v>
      </c>
      <c r="AK35" s="48">
        <f t="shared" ref="AK35:AK36" si="28">IF((AJ35-AI35)&lt;0, "0",AJ35-AI35)</f>
        <v>28.200000000004366</v>
      </c>
      <c r="AL35" s="89">
        <f t="shared" ref="AL35:AL36" si="29">AK35*(284.34513609)</f>
        <v>8018.5328377392407</v>
      </c>
      <c r="AM35" s="83">
        <f t="shared" si="13"/>
        <v>2629.2688989618591</v>
      </c>
      <c r="AN35" s="5">
        <v>47</v>
      </c>
      <c r="AO35" s="78">
        <f t="shared" si="5"/>
        <v>22124.208847000009</v>
      </c>
    </row>
    <row r="36" spans="1:41" x14ac:dyDescent="0.25">
      <c r="A36" s="79">
        <v>44773</v>
      </c>
      <c r="B36" s="86">
        <f>14577980-14572760</f>
        <v>5220</v>
      </c>
      <c r="C36" s="86">
        <f>9349048-9345700</f>
        <v>3348</v>
      </c>
      <c r="D36" s="86">
        <f>1863842-1863019</f>
        <v>823</v>
      </c>
      <c r="E36" s="86">
        <f>14136590-14129737</f>
        <v>6853</v>
      </c>
      <c r="F36" s="86">
        <f>13806914-13801197</f>
        <v>5717</v>
      </c>
      <c r="G36" s="86">
        <f>9451238-9448578</f>
        <v>2660</v>
      </c>
      <c r="H36" s="86">
        <f>10907986-10901342</f>
        <v>6644</v>
      </c>
      <c r="I36" s="86">
        <f>6113836-6111666</f>
        <v>2170</v>
      </c>
      <c r="J36" s="86">
        <f>14273833-14267260</f>
        <v>6573</v>
      </c>
      <c r="K36" s="86">
        <f t="shared" si="18"/>
        <v>31265</v>
      </c>
      <c r="L36" s="14">
        <f t="shared" si="19"/>
        <v>6253</v>
      </c>
      <c r="M36" s="83">
        <f>44813.964-44662.693</f>
        <v>151.27100000000064</v>
      </c>
      <c r="N36" s="83">
        <f>5206.6-5204.839</f>
        <v>1.761000000000422</v>
      </c>
      <c r="O36" s="83">
        <f>10506.709-10506.517</f>
        <v>0.19200000000091677</v>
      </c>
      <c r="P36" s="82">
        <f>18783.107-18719.067</f>
        <v>64.040000000000873</v>
      </c>
      <c r="Q36" s="83">
        <f>30632.461-30612.168</f>
        <v>20.292999999997846</v>
      </c>
      <c r="R36" s="83">
        <f t="shared" si="20"/>
        <v>65.993000000002212</v>
      </c>
      <c r="S36" s="83">
        <f t="shared" si="21"/>
        <v>517.38512000001731</v>
      </c>
      <c r="T36" s="83">
        <f t="shared" si="22"/>
        <v>171.56399999999849</v>
      </c>
      <c r="U36" s="83">
        <f t="shared" si="23"/>
        <v>1345.061759999988</v>
      </c>
      <c r="V36" s="83">
        <f>432246.3-432096.1</f>
        <v>150.20000000001164</v>
      </c>
      <c r="W36" s="83">
        <f>175023.7-174876.31</f>
        <v>147.39000000001397</v>
      </c>
      <c r="X36" s="86" t="s">
        <v>63</v>
      </c>
      <c r="Y36" s="87">
        <v>1115587</v>
      </c>
      <c r="Z36" s="5">
        <f t="shared" si="24"/>
        <v>533</v>
      </c>
      <c r="AA36" s="14">
        <f t="shared" si="25"/>
        <v>3448.5099999999998</v>
      </c>
      <c r="AB36" s="87">
        <v>15191348</v>
      </c>
      <c r="AC36" s="86">
        <f t="shared" si="26"/>
        <v>15162324</v>
      </c>
      <c r="AD36" s="5">
        <f t="shared" si="27"/>
        <v>29024</v>
      </c>
      <c r="AE36" s="83">
        <f t="shared" si="11"/>
        <v>9516.9405759999991</v>
      </c>
      <c r="AF36" s="83">
        <f>103628.2-103580.7</f>
        <v>47.5</v>
      </c>
      <c r="AG36" s="83">
        <f t="shared" si="17"/>
        <v>0</v>
      </c>
      <c r="AH36" s="83">
        <f>32699.6-32683.7</f>
        <v>15.899999999997817</v>
      </c>
      <c r="AI36" s="87">
        <f t="shared" si="12"/>
        <v>56257.9</v>
      </c>
      <c r="AJ36" s="87">
        <v>56284.800000000003</v>
      </c>
      <c r="AK36" s="48">
        <f t="shared" si="28"/>
        <v>26.900000000001455</v>
      </c>
      <c r="AL36" s="89">
        <f t="shared" si="29"/>
        <v>7648.8841608214134</v>
      </c>
      <c r="AM36" s="83">
        <f t="shared" si="13"/>
        <v>2508.0614674491808</v>
      </c>
      <c r="AN36" s="5">
        <v>50</v>
      </c>
      <c r="AO36" s="78">
        <f t="shared" si="5"/>
        <v>20563.512335999985</v>
      </c>
    </row>
    <row r="37" spans="1:41" x14ac:dyDescent="0.25">
      <c r="A37" s="76"/>
      <c r="D37" s="6">
        <f>SUM(D6:D36)</f>
        <v>27786</v>
      </c>
      <c r="E37" s="6" t="s">
        <v>93</v>
      </c>
      <c r="G37" s="6">
        <f t="shared" ref="G37:L37" si="30">SUM(G6:G36)</f>
        <v>87699</v>
      </c>
      <c r="H37" s="6">
        <f t="shared" si="30"/>
        <v>214390</v>
      </c>
      <c r="I37" s="6">
        <f t="shared" si="30"/>
        <v>69976</v>
      </c>
      <c r="J37" s="6">
        <f t="shared" si="30"/>
        <v>215898</v>
      </c>
      <c r="K37" s="6">
        <f t="shared" si="30"/>
        <v>1029556</v>
      </c>
      <c r="L37" s="15">
        <f t="shared" si="30"/>
        <v>205911.20000000004</v>
      </c>
      <c r="R37" s="16">
        <f>SUM(R6:R36)</f>
        <v>2307.4340000000002</v>
      </c>
      <c r="T37" s="16">
        <f>SUM(T6:T36)</f>
        <v>5839.9140000000953</v>
      </c>
      <c r="U37" s="16">
        <f t="shared" si="15"/>
        <v>45784.925760000748</v>
      </c>
      <c r="Z37" s="17">
        <f>SUM(Z6:Z36)</f>
        <v>19321</v>
      </c>
      <c r="AA37" s="17">
        <f>SUM(AA6:AA36)</f>
        <v>125006.87</v>
      </c>
      <c r="AD37" s="17">
        <f>SUM(AD6:AD36)</f>
        <v>1058644</v>
      </c>
      <c r="AE37" s="16">
        <f>AD37*0.334569</f>
        <v>354189.46443599998</v>
      </c>
      <c r="AF37" s="16">
        <f>SUM(AF6:AF36)</f>
        <v>1845.1999999999971</v>
      </c>
      <c r="AG37" s="16">
        <f>SUM(AG6:AG36)</f>
        <v>0</v>
      </c>
      <c r="AH37" s="16">
        <f>SUM(AH6:AH36)</f>
        <v>528.59999999999854</v>
      </c>
      <c r="AK37" s="42">
        <f>SUM(AK6:AK36)</f>
        <v>979.80000000000291</v>
      </c>
      <c r="AL37" s="42">
        <f>SUM(AL6:AL36)</f>
        <v>278601.36434098275</v>
      </c>
      <c r="AM37" s="42">
        <f>SUM(AM6:AM36)</f>
        <v>91353.108766043966</v>
      </c>
      <c r="AN37" s="42">
        <f>SUM(AN6:AN36)</f>
        <v>1924</v>
      </c>
      <c r="AO37" s="42">
        <f>SUM(AO6:AO36)</f>
        <v>723831.30471600092</v>
      </c>
    </row>
    <row r="38" spans="1:41" x14ac:dyDescent="0.25">
      <c r="D38" s="6" t="e">
        <f>#REF!*24</f>
        <v>#REF!</v>
      </c>
      <c r="E38" s="6" t="s">
        <v>1</v>
      </c>
      <c r="R38" s="16">
        <v>7.84</v>
      </c>
      <c r="T38" s="16" t="s">
        <v>99</v>
      </c>
      <c r="U38" s="16">
        <f>U37-R39</f>
        <v>27694.643200000748</v>
      </c>
    </row>
    <row r="39" spans="1:41" x14ac:dyDescent="0.25">
      <c r="D39" s="6" t="e">
        <f>D38*31</f>
        <v>#REF!</v>
      </c>
      <c r="E39" s="6" t="s">
        <v>2</v>
      </c>
      <c r="F39" s="6" t="s">
        <v>94</v>
      </c>
      <c r="G39" s="6" t="e">
        <f>D39*0.2</f>
        <v>#REF!</v>
      </c>
      <c r="R39" s="16">
        <f>R37*R38</f>
        <v>18090.28256</v>
      </c>
      <c r="U39" s="16">
        <f>U38/R38</f>
        <v>3532.4800000000955</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4" ma:contentTypeDescription="Create a new document." ma:contentTypeScope="" ma:versionID="b91eb22a3c415965adaa06a4ede6a68f">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b499ca2ea6e613fe67e5797409ceb1a7"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68C7322-DDD4-4103-9BFC-E4E0AA6EEC1D}">
  <ds:schemaRefs>
    <ds:schemaRef ds:uri="http://schemas.microsoft.com/sharepoint/v3/contenttype/forms"/>
  </ds:schemaRefs>
</ds:datastoreItem>
</file>

<file path=customXml/itemProps2.xml><?xml version="1.0" encoding="utf-8"?>
<ds:datastoreItem xmlns:ds="http://schemas.openxmlformats.org/officeDocument/2006/customXml" ds:itemID="{396C8D42-6205-48ED-A426-119B6942F6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B0F865-9138-4E1D-8771-8D60B0AC9DE3}">
  <ds:schemaRefs>
    <ds:schemaRef ds:uri="http://purl.org/dc/dcmitype/"/>
    <ds:schemaRef ds:uri="http://purl.org/dc/terms/"/>
    <ds:schemaRef ds:uri="http://purl.org/dc/elements/1.1/"/>
    <ds:schemaRef ds:uri="999013b5-db2e-47f1-85a9-df7f954d7a13"/>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a21bcabd-71d1-4587-a317-3c23b4e732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Janet Perona</cp:lastModifiedBy>
  <dcterms:created xsi:type="dcterms:W3CDTF">2017-05-03T09:23:30Z</dcterms:created>
  <dcterms:modified xsi:type="dcterms:W3CDTF">2022-08-02T06:12:07Z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ies>
</file>