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H17" i="10"/>
  <c r="I17" i="10" s="1"/>
  <c r="H16" i="10"/>
  <c r="I16" i="10" s="1"/>
  <c r="H15" i="10"/>
  <c r="I15" i="10" s="1"/>
  <c r="H14" i="10"/>
  <c r="H13" i="10"/>
  <c r="I13" i="10" s="1"/>
  <c r="H12" i="10"/>
  <c r="H11" i="10"/>
  <c r="I11" i="10" s="1"/>
  <c r="H10" i="10"/>
  <c r="I10" i="10" s="1"/>
  <c r="H9" i="10"/>
  <c r="I9" i="10" s="1"/>
  <c r="H8" i="10"/>
  <c r="H7" i="10"/>
  <c r="H6" i="10"/>
  <c r="I6" i="10" s="1"/>
  <c r="I5" i="10"/>
  <c r="H5" i="10"/>
  <c r="H4" i="10"/>
  <c r="I4" i="10" s="1"/>
  <c r="G18" i="9"/>
  <c r="I18" i="9" s="1"/>
  <c r="J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18" i="8"/>
  <c r="G17" i="8"/>
  <c r="H17" i="8" s="1"/>
  <c r="G16" i="8"/>
  <c r="H16" i="8" s="1"/>
  <c r="G15" i="8"/>
  <c r="H15" i="8" s="1"/>
  <c r="G14" i="8"/>
  <c r="G13" i="8"/>
  <c r="G12" i="8"/>
  <c r="G11" i="8"/>
  <c r="H11" i="8" s="1"/>
  <c r="G10" i="8"/>
  <c r="H10" i="8" s="1"/>
  <c r="G9" i="8"/>
  <c r="H9" i="8" s="1"/>
  <c r="G8" i="8"/>
  <c r="G7" i="8"/>
  <c r="G6" i="8"/>
  <c r="G5" i="8"/>
  <c r="H5" i="8" s="1"/>
  <c r="G4" i="8"/>
  <c r="H4" i="8" s="1"/>
  <c r="H12" i="8" l="1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U35" i="10" s="1"/>
  <c r="H34" i="10"/>
  <c r="AX33" i="10"/>
  <c r="AV33" i="10"/>
  <c r="AS33" i="10"/>
  <c r="AQ33" i="10"/>
  <c r="AO33" i="10"/>
  <c r="AP33" i="10" s="1"/>
  <c r="AC33" i="10"/>
  <c r="AD34" i="10" s="1"/>
  <c r="T33" i="10"/>
  <c r="H33" i="10"/>
  <c r="AX32" i="10"/>
  <c r="AV32" i="10"/>
  <c r="AS32" i="10"/>
  <c r="AT33" i="10" s="1"/>
  <c r="AQ32" i="10"/>
  <c r="AO32" i="10"/>
  <c r="AP32" i="10" s="1"/>
  <c r="AC32" i="10"/>
  <c r="T32" i="10"/>
  <c r="H32" i="10"/>
  <c r="AX31" i="10"/>
  <c r="AV31" i="10"/>
  <c r="AS31" i="10"/>
  <c r="AQ31" i="10"/>
  <c r="AO31" i="10"/>
  <c r="AC31" i="10"/>
  <c r="T31" i="10"/>
  <c r="U32" i="10" s="1"/>
  <c r="H31" i="10"/>
  <c r="AX30" i="10"/>
  <c r="AV30" i="10"/>
  <c r="AS30" i="10"/>
  <c r="AQ30" i="10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U27" i="10" s="1"/>
  <c r="H27" i="10"/>
  <c r="AX26" i="10"/>
  <c r="AV26" i="10"/>
  <c r="AS26" i="10"/>
  <c r="AT27" i="10" s="1"/>
  <c r="AQ26" i="10"/>
  <c r="AR27" i="10" s="1"/>
  <c r="AO26" i="10"/>
  <c r="AC26" i="10"/>
  <c r="T26" i="10"/>
  <c r="H26" i="10"/>
  <c r="AX25" i="10"/>
  <c r="AV25" i="10"/>
  <c r="AS25" i="10"/>
  <c r="AT25" i="10" s="1"/>
  <c r="AQ25" i="10"/>
  <c r="AR26" i="10" s="1"/>
  <c r="AO25" i="10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O21" i="10"/>
  <c r="AC21" i="10"/>
  <c r="AD22" i="10" s="1"/>
  <c r="T21" i="10"/>
  <c r="H21" i="10"/>
  <c r="AX20" i="10"/>
  <c r="AV20" i="10"/>
  <c r="AS20" i="10"/>
  <c r="AQ20" i="10"/>
  <c r="AO20" i="10"/>
  <c r="AP20" i="10" s="1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R18" i="10" s="1"/>
  <c r="AO17" i="10"/>
  <c r="AC17" i="10"/>
  <c r="AD18" i="10" s="1"/>
  <c r="T17" i="10"/>
  <c r="AX16" i="10"/>
  <c r="AV16" i="10"/>
  <c r="AS16" i="10"/>
  <c r="AT17" i="10" s="1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C8" i="10"/>
  <c r="T8" i="10"/>
  <c r="U8" i="10" s="1"/>
  <c r="E6" i="5"/>
  <c r="AX7" i="10"/>
  <c r="AV7" i="10"/>
  <c r="AS7" i="10"/>
  <c r="AQ7" i="10"/>
  <c r="AO7" i="10"/>
  <c r="AC7" i="10"/>
  <c r="AD7" i="10"/>
  <c r="T7" i="10"/>
  <c r="E5" i="5"/>
  <c r="AX6" i="10"/>
  <c r="AV6" i="10"/>
  <c r="AS6" i="10"/>
  <c r="AQ6" i="10"/>
  <c r="AR6" i="10" s="1"/>
  <c r="AO6" i="10"/>
  <c r="AC6" i="10"/>
  <c r="AD6" i="10" s="1"/>
  <c r="T6" i="10"/>
  <c r="AX5" i="10"/>
  <c r="AV5" i="10"/>
  <c r="AS5" i="10"/>
  <c r="AT6" i="10" s="1"/>
  <c r="AQ5" i="10"/>
  <c r="AO5" i="10"/>
  <c r="AP6" i="10" s="1"/>
  <c r="AC5" i="10"/>
  <c r="AD5" i="10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20" i="10"/>
  <c r="U22" i="10"/>
  <c r="U23" i="10"/>
  <c r="U26" i="10"/>
  <c r="U28" i="10"/>
  <c r="U30" i="10"/>
  <c r="U31" i="10"/>
  <c r="U34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8" i="10"/>
  <c r="AT21" i="10"/>
  <c r="AT22" i="10"/>
  <c r="AT23" i="10"/>
  <c r="AT26" i="10"/>
  <c r="AT29" i="10"/>
  <c r="AT30" i="10"/>
  <c r="AT31" i="10"/>
  <c r="AT34" i="10"/>
  <c r="AP21" i="10"/>
  <c r="AP24" i="10"/>
  <c r="AP25" i="10"/>
  <c r="AP35" i="10"/>
  <c r="AW13" i="10"/>
  <c r="V13" i="10"/>
  <c r="J31" i="9" l="1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AX36" i="10"/>
  <c r="U11" i="10"/>
  <c r="AP14" i="10"/>
  <c r="AR19" i="10"/>
  <c r="AD20" i="10"/>
  <c r="AR22" i="10"/>
  <c r="AD26" i="10"/>
  <c r="AR31" i="10"/>
  <c r="AD32" i="10"/>
  <c r="AR34" i="10"/>
  <c r="J32" i="9"/>
  <c r="AP5" i="10"/>
  <c r="AU5" i="10" s="1"/>
  <c r="AP9" i="10"/>
  <c r="AP19" i="10"/>
  <c r="U21" i="10"/>
  <c r="AT28" i="10"/>
  <c r="AP28" i="10"/>
  <c r="U33" i="10"/>
  <c r="AP11" i="10"/>
  <c r="H21" i="8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D15" i="10"/>
  <c r="AP22" i="10"/>
  <c r="AU22" i="10" s="1"/>
  <c r="AU31" i="10"/>
  <c r="AP34" i="10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V35" i="10" s="1"/>
  <c r="W35" i="10" s="1"/>
  <c r="AU35" i="10"/>
  <c r="AU28" i="10"/>
  <c r="AU9" i="10"/>
  <c r="AU32" i="10"/>
  <c r="AT8" i="10"/>
  <c r="AR25" i="10"/>
  <c r="AU25" i="10" s="1"/>
  <c r="AR33" i="10"/>
  <c r="AU33" i="10" s="1"/>
  <c r="AP23" i="10"/>
  <c r="AU23" i="10" s="1"/>
  <c r="AT11" i="10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31" i="5"/>
  <c r="G16" i="5"/>
  <c r="G18" i="5"/>
  <c r="L37" i="9"/>
  <c r="M37" i="9" s="1"/>
  <c r="G9" i="5"/>
  <c r="AW21" i="10"/>
  <c r="V21" i="10"/>
  <c r="W21" i="10" s="1"/>
  <c r="AE21" i="10"/>
  <c r="AF21" i="10" s="1"/>
  <c r="AE22" i="10"/>
  <c r="AF22" i="10" s="1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V34" i="10"/>
  <c r="W34" i="10" s="1"/>
  <c r="AW34" i="10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35" i="10"/>
  <c r="AE35" i="10"/>
  <c r="AF35" i="10" s="1"/>
  <c r="AW7" i="10"/>
  <c r="AW5" i="10"/>
  <c r="AE7" i="10"/>
  <c r="AF7" i="10" s="1"/>
  <c r="AE8" i="10"/>
  <c r="AF8" i="10" s="1"/>
  <c r="AE9" i="10"/>
  <c r="V10" i="10"/>
  <c r="V30" i="10" l="1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<sst xmlns="http://schemas.openxmlformats.org/spreadsheetml/2006/main" count="116" uniqueCount="58">
  <si>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</si>
  <si>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</si>
  <si>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</si>
  <si>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</si>
  <si>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</si>
  <si>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</si>
  <si>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</si>
  <si>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</si>
  <si>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</si>
  <si>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</si>
  <si>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</si>
  <si>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</si>
  <si>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</si>
  <si>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</si>
  <si>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</si>
  <si>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</si>
  <si>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</si>
  <si>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</si>
  <si>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</si>
  <si>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</si>
  <si>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</si>
  <si>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</si>
  <si>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</si>
  <si>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</si>
  <si>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</si>
  <si>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</si>
  <si>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</si>
  <si>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</si>
  <si>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</si>
  <si>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</si>
  <si>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</si>
  <si>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</si>
  <si>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</si>
  <si>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</si>
  <si>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</si>
  <si>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</si>
  <si>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</si>
  <si>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</si>
  <si>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</si>
  <si>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</si>
  <si>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</si>
  <si>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</si>
  <si>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</si>
  <si>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</si>
  <si>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</si>
  <si>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</si>
  <si>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</si>
  <si>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</si>
  <si>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</si>
  <si>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</si>
  <si>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</si>
  <si>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</si>
  <si>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</si>
  <si>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</si>
  <si>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</si>
  <si>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Istanbul at Sultanahmet</t>
  </si>
  <si>
    <t>BİRİM FİYAT : 0.70  x 44794,8 =28668,6 TL/Kwh+KDV</t>
  </si>
  <si>
    <t>BİRİM FİYAT :   12.93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</si>
</sst>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0296"/>
        <c:axId val="8799512"/>
      </c:lineChart>
      <c:dateAx>
        <c:axId val="8800296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79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879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0296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7944"/>
        <c:axId val="8801080"/>
      </c:lineChart>
      <c:dateAx>
        <c:axId val="879794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080"/>
        <c:crosses val="autoZero"/>
        <c:auto val="0"/>
        <c:lblOffset val="100"/>
        <c:baseTimeUnit val="days"/>
      </c:dateAx>
      <c:valAx>
        <c:axId val="88010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94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831736"/>
        <c:axId val="371832520"/>
      </c:lineChart>
      <c:dateAx>
        <c:axId val="3718317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2520"/>
        <c:crosses val="autoZero"/>
        <c:auto val="0"/>
        <c:lblOffset val="100"/>
        <c:baseTimeUnit val="days"/>
        <c:majorUnit val="1"/>
        <c:majorTimeUnit val="days"/>
      </c:dateAx>
      <c:valAx>
        <c:axId val="371832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317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3" zoomScale="110" zoomScaleNormal="110" workbookViewId="0">
      <selection activeCell="M6" sqref="M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0.7</v>
      </c>
      <c r="G2" s="13">
        <v>0</v>
      </c>
      <c r="H2" s="3">
        <v>1.65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0.7</v>
      </c>
      <c r="G3" s="13">
        <f>Gas!J5</f>
        <v>0</v>
      </c>
      <c r="H3" s="3">
        <v>1.65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0.7</v>
      </c>
      <c r="G4" s="13">
        <f>Gas!J6</f>
        <v>0</v>
      </c>
      <c r="H4" s="3">
        <v>1.65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55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55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55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55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55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55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55</v>
      </c>
      <c r="B17" s="15">
        <f t="shared" si="0"/>
        <v>16</v>
      </c>
      <c r="C17" s="3">
        <v>3</v>
      </c>
      <c r="D17" s="12">
        <v>2021</v>
      </c>
      <c r="E17" s="13">
        <f>Electricity!I19</f>
        <v>1813.320000000298</v>
      </c>
      <c r="F17" s="3">
        <v>0.7</v>
      </c>
      <c r="G17" s="13">
        <f>Gas!J19</f>
        <v>0</v>
      </c>
      <c r="H17" s="3">
        <v>1.65</v>
      </c>
      <c r="I17" s="13">
        <f>Water!H19</f>
        <v>7</v>
      </c>
      <c r="J17" s="3">
        <v>12.93</v>
      </c>
      <c r="K17" s="12">
        <v>0</v>
      </c>
    </row>
    <row r="18" spans="1:11" s="16" customFormat="1" x14ac:dyDescent="0.25">
      <c r="A18" s="26" t="s">
        <v>55</v>
      </c>
      <c r="B18" s="15">
        <f t="shared" si="0"/>
        <v>17</v>
      </c>
      <c r="C18" s="3">
        <v>3</v>
      </c>
      <c r="D18" s="12">
        <v>2021</v>
      </c>
      <c r="E18" s="13">
        <f>Electricity!I20</f>
        <v>1835.3999999985099</v>
      </c>
      <c r="F18" s="3">
        <v>0.7</v>
      </c>
      <c r="G18" s="13">
        <f>Gas!J20</f>
        <v>0</v>
      </c>
      <c r="H18" s="3">
        <v>1.65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55</v>
      </c>
      <c r="B19" s="15">
        <f t="shared" si="0"/>
        <v>18</v>
      </c>
      <c r="C19" s="3">
        <v>3</v>
      </c>
      <c r="D19" s="12">
        <v>2021</v>
      </c>
      <c r="E19" s="13">
        <f>Electricity!I21</f>
        <v>1868.519999999553</v>
      </c>
      <c r="F19" s="3">
        <v>0.7</v>
      </c>
      <c r="G19" s="13">
        <f>Gas!J21</f>
        <v>0</v>
      </c>
      <c r="H19" s="3">
        <v>1.65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55</v>
      </c>
      <c r="B20" s="15">
        <f t="shared" si="0"/>
        <v>19</v>
      </c>
      <c r="C20" s="3">
        <v>3</v>
      </c>
      <c r="D20" s="12">
        <v>2021</v>
      </c>
      <c r="E20" s="13">
        <f>Electricity!I22</f>
        <v>1901.640000000596</v>
      </c>
      <c r="F20" s="3">
        <v>0.7</v>
      </c>
      <c r="G20" s="13">
        <f>Gas!J22</f>
        <v>0</v>
      </c>
      <c r="H20" s="3">
        <v>1.65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55</v>
      </c>
      <c r="B21" s="15">
        <f t="shared" si="0"/>
        <v>20</v>
      </c>
      <c r="C21" s="3">
        <v>3</v>
      </c>
      <c r="D21" s="12">
        <v>2021</v>
      </c>
      <c r="E21" s="13">
        <f>Electricity!I23</f>
        <v>1705.6800000015646</v>
      </c>
      <c r="F21" s="3">
        <v>0.7</v>
      </c>
      <c r="G21" s="13">
        <f>Gas!J23</f>
        <v>0</v>
      </c>
      <c r="H21" s="3">
        <v>1.65</v>
      </c>
      <c r="I21" s="13">
        <f>Water!H23</f>
        <v>3</v>
      </c>
      <c r="J21" s="3">
        <v>12.93</v>
      </c>
      <c r="K21" s="12">
        <v>0</v>
      </c>
    </row>
    <row r="22" spans="1:11" s="16" customFormat="1" x14ac:dyDescent="0.25">
      <c r="A22" s="26" t="s">
        <v>55</v>
      </c>
      <c r="B22" s="15">
        <f t="shared" si="0"/>
        <v>21</v>
      </c>
      <c r="C22" s="3">
        <v>3</v>
      </c>
      <c r="D22" s="12">
        <v>2021</v>
      </c>
      <c r="E22" s="13">
        <f>Electricity!I24</f>
        <v>1747.0800000000745</v>
      </c>
      <c r="F22" s="3">
        <v>0.7</v>
      </c>
      <c r="G22" s="13">
        <f>Gas!J24</f>
        <v>0</v>
      </c>
      <c r="H22" s="3">
        <v>1.65</v>
      </c>
      <c r="I22" s="13">
        <f>Water!H24</f>
        <v>4</v>
      </c>
      <c r="J22" s="3">
        <v>12.93</v>
      </c>
      <c r="K22" s="12">
        <v>0</v>
      </c>
    </row>
    <row r="23" spans="1:11" s="16" customFormat="1" x14ac:dyDescent="0.25">
      <c r="A23" s="26" t="s">
        <v>55</v>
      </c>
      <c r="B23" s="15">
        <f t="shared" si="0"/>
        <v>22</v>
      </c>
      <c r="C23" s="3">
        <v>3</v>
      </c>
      <c r="D23" s="12">
        <v>2021</v>
      </c>
      <c r="E23" s="13">
        <f>Electricity!I25</f>
        <v>1217.1599999982864</v>
      </c>
      <c r="F23" s="3">
        <v>0.7</v>
      </c>
      <c r="G23" s="13">
        <f>Gas!J25</f>
        <v>0</v>
      </c>
      <c r="H23" s="3">
        <v>1.65</v>
      </c>
      <c r="I23" s="13">
        <f>Water!H25</f>
        <v>28</v>
      </c>
      <c r="J23" s="3">
        <v>12.93</v>
      </c>
      <c r="K23" s="12">
        <v>0</v>
      </c>
    </row>
    <row r="24" spans="1:11" s="16" customFormat="1" x14ac:dyDescent="0.25">
      <c r="A24" s="26" t="s">
        <v>55</v>
      </c>
      <c r="B24" s="15">
        <f t="shared" si="0"/>
        <v>23</v>
      </c>
      <c r="C24" s="3">
        <v>3</v>
      </c>
      <c r="D24" s="12">
        <v>2021</v>
      </c>
      <c r="E24" s="13">
        <f>Electricity!I26</f>
        <v>1680.8400000017136</v>
      </c>
      <c r="F24" s="3">
        <v>0.7</v>
      </c>
      <c r="G24" s="13">
        <f>Gas!J26</f>
        <v>9.1078119999729097</v>
      </c>
      <c r="H24" s="3">
        <v>1.65</v>
      </c>
      <c r="I24" s="13">
        <f>Water!H26</f>
        <v>3</v>
      </c>
      <c r="J24" s="3">
        <v>12.93</v>
      </c>
      <c r="K24" s="12">
        <v>0</v>
      </c>
    </row>
    <row r="25" spans="1:11" s="16" customFormat="1" x14ac:dyDescent="0.25">
      <c r="A25" s="26" t="s">
        <v>55</v>
      </c>
      <c r="B25" s="15">
        <f t="shared" si="0"/>
        <v>24</v>
      </c>
      <c r="C25" s="3">
        <v>3</v>
      </c>
      <c r="D25" s="12">
        <v>2021</v>
      </c>
      <c r="E25" s="13">
        <f>Electricity!I27</f>
        <v>1785.7200000006706</v>
      </c>
      <c r="F25" s="3">
        <v>0.7</v>
      </c>
      <c r="G25" s="13">
        <f>Gas!J27</f>
        <v>9.1078119999729097</v>
      </c>
      <c r="H25" s="3">
        <v>1.65</v>
      </c>
      <c r="I25" s="13">
        <f>Water!H27</f>
        <v>3</v>
      </c>
      <c r="J25" s="3">
        <v>12.93</v>
      </c>
      <c r="K25" s="12">
        <v>0</v>
      </c>
    </row>
    <row r="26" spans="1:11" s="16" customFormat="1" x14ac:dyDescent="0.25">
      <c r="A26" s="26" t="s">
        <v>55</v>
      </c>
      <c r="B26" s="15">
        <f>B25+1</f>
        <v>25</v>
      </c>
      <c r="C26" s="3">
        <v>3</v>
      </c>
      <c r="D26" s="12">
        <v>2021</v>
      </c>
      <c r="E26" s="13">
        <f>Electricity!I28</f>
        <v>1766.3999999966472</v>
      </c>
      <c r="F26" s="3">
        <v>0.7</v>
      </c>
      <c r="G26" s="13">
        <f>Gas!J28</f>
        <v>10.408928000135347</v>
      </c>
      <c r="H26" s="3">
        <v>1.65</v>
      </c>
      <c r="I26" s="13">
        <f>Water!H28</f>
        <v>3</v>
      </c>
      <c r="J26" s="3">
        <v>12.93</v>
      </c>
      <c r="K26" s="12">
        <v>0</v>
      </c>
    </row>
    <row r="27" spans="1:11" s="16" customFormat="1" x14ac:dyDescent="0.25">
      <c r="A27" s="26" t="s">
        <v>55</v>
      </c>
      <c r="B27" s="15">
        <f t="shared" si="0"/>
        <v>26</v>
      </c>
      <c r="C27" s="3">
        <v>3</v>
      </c>
      <c r="D27" s="12">
        <v>2021</v>
      </c>
      <c r="E27" s="13">
        <f>Electricity!I29</f>
        <v>1989.9600000027567</v>
      </c>
      <c r="F27" s="3">
        <v>0.7</v>
      </c>
      <c r="G27" s="13">
        <f>Gas!J29</f>
        <v>9.1078119999729097</v>
      </c>
      <c r="H27" s="3">
        <v>1.65</v>
      </c>
      <c r="I27" s="13">
        <f>Water!H29</f>
        <v>2</v>
      </c>
      <c r="J27" s="3">
        <v>12.93</v>
      </c>
      <c r="K27" s="12">
        <v>0</v>
      </c>
    </row>
    <row r="28" spans="1:11" s="16" customFormat="1" x14ac:dyDescent="0.25">
      <c r="A28" s="26" t="s">
        <v>55</v>
      </c>
      <c r="B28" s="15">
        <f t="shared" si="0"/>
        <v>27</v>
      </c>
      <c r="C28" s="3">
        <v>3</v>
      </c>
      <c r="D28" s="12">
        <v>2021</v>
      </c>
      <c r="E28" s="13">
        <f>Electricity!I30</f>
        <v>1976.160000000149</v>
      </c>
      <c r="F28" s="3">
        <v>0.7</v>
      </c>
      <c r="G28" s="13">
        <f>Gas!J30</f>
        <v>7.8066959998104721</v>
      </c>
      <c r="H28" s="3">
        <v>1.65</v>
      </c>
      <c r="I28" s="13">
        <f>Water!H30</f>
        <v>4</v>
      </c>
      <c r="J28" s="3">
        <v>12.93</v>
      </c>
      <c r="K28" s="12">
        <v>0</v>
      </c>
    </row>
    <row r="29" spans="1:11" s="16" customFormat="1" x14ac:dyDescent="0.25">
      <c r="A29" s="26" t="s">
        <v>55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31" sqref="E3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54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28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>
        <v>8968</v>
      </c>
      <c r="F19" s="24">
        <v>1065</v>
      </c>
      <c r="G19" s="24">
        <f t="shared" ref="G19:G34" si="3">E19+F19</f>
        <v>10033</v>
      </c>
      <c r="H19" s="25">
        <f t="shared" ref="H19:H34" si="4">IF((G19-G18)&gt;0,G19-G18,0)</f>
        <v>7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>
        <v>8971</v>
      </c>
      <c r="F20" s="24">
        <v>1065</v>
      </c>
      <c r="G20" s="24">
        <f t="shared" si="3"/>
        <v>10036</v>
      </c>
      <c r="H20" s="25">
        <f t="shared" si="4"/>
        <v>3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>
        <v>8974</v>
      </c>
      <c r="F21" s="24">
        <v>1065</v>
      </c>
      <c r="G21" s="24">
        <f t="shared" si="3"/>
        <v>10039</v>
      </c>
      <c r="H21" s="25">
        <f t="shared" si="4"/>
        <v>3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>
        <v>8979</v>
      </c>
      <c r="F22" s="24">
        <v>1065</v>
      </c>
      <c r="G22" s="24">
        <f t="shared" si="3"/>
        <v>10044</v>
      </c>
      <c r="H22" s="25">
        <f t="shared" si="4"/>
        <v>5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>
        <v>8982</v>
      </c>
      <c r="F23" s="24">
        <v>1065</v>
      </c>
      <c r="G23" s="24">
        <f t="shared" si="3"/>
        <v>10047</v>
      </c>
      <c r="H23" s="25">
        <f t="shared" si="4"/>
        <v>3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>
        <v>8986</v>
      </c>
      <c r="F24" s="24">
        <v>1065</v>
      </c>
      <c r="G24" s="24">
        <f t="shared" si="3"/>
        <v>10051</v>
      </c>
      <c r="H24" s="25">
        <f t="shared" si="4"/>
        <v>4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>
        <v>9014</v>
      </c>
      <c r="F25" s="24">
        <v>1065</v>
      </c>
      <c r="G25" s="24">
        <f t="shared" si="3"/>
        <v>10079</v>
      </c>
      <c r="H25" s="25">
        <f t="shared" si="4"/>
        <v>28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>
        <v>9017</v>
      </c>
      <c r="F26" s="24">
        <v>1065</v>
      </c>
      <c r="G26" s="24">
        <f t="shared" si="3"/>
        <v>10082</v>
      </c>
      <c r="H26" s="25">
        <f t="shared" si="4"/>
        <v>3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29</v>
      </c>
    </row>
    <row r="27" spans="4:15" s="33" customFormat="1" ht="11.25" customHeight="1" x14ac:dyDescent="0.25">
      <c r="D27" s="40">
        <v>44279</v>
      </c>
      <c r="E27" s="29">
        <v>9020</v>
      </c>
      <c r="F27" s="24">
        <v>1065</v>
      </c>
      <c r="G27" s="24">
        <f t="shared" si="3"/>
        <v>10085</v>
      </c>
      <c r="H27" s="25">
        <f t="shared" si="4"/>
        <v>3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>
        <v>9023</v>
      </c>
      <c r="F28" s="24">
        <v>1065</v>
      </c>
      <c r="G28" s="24">
        <f t="shared" si="3"/>
        <v>10088</v>
      </c>
      <c r="H28" s="25">
        <f t="shared" si="4"/>
        <v>3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>
        <v>9025</v>
      </c>
      <c r="F29" s="24">
        <v>1065</v>
      </c>
      <c r="G29" s="24">
        <f t="shared" si="3"/>
        <v>10090</v>
      </c>
      <c r="H29" s="25">
        <f t="shared" si="4"/>
        <v>2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>
        <v>9029</v>
      </c>
      <c r="F30" s="24">
        <v>1065</v>
      </c>
      <c r="G30" s="24">
        <f t="shared" si="3"/>
        <v>10094</v>
      </c>
      <c r="H30" s="25">
        <f t="shared" si="4"/>
        <v>4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30</v>
      </c>
      <c r="E35" s="49"/>
      <c r="F35" s="49"/>
      <c r="G35" s="29"/>
      <c r="H35" s="50">
        <f>SUM(H4:H34)</f>
        <v>104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31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31" sqref="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52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32</v>
      </c>
      <c r="C3" s="33" t="s">
        <v>33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>
        <v>760788</v>
      </c>
      <c r="F19" s="24">
        <v>172062</v>
      </c>
      <c r="G19" s="24">
        <f t="shared" ref="G19:G34" si="5">E19+F19</f>
        <v>932850</v>
      </c>
      <c r="H19" s="18">
        <v>1.3011159999999999</v>
      </c>
      <c r="I19" s="24">
        <f t="shared" ref="I19:I34" si="6">H19*G19</f>
        <v>1213746.0606</v>
      </c>
      <c r="J19" s="25">
        <f t="shared" ref="J19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>
        <v>760788</v>
      </c>
      <c r="F20" s="24">
        <v>172062</v>
      </c>
      <c r="G20" s="24">
        <f t="shared" si="5"/>
        <v>932850</v>
      </c>
      <c r="H20" s="18">
        <v>1.3011159999999999</v>
      </c>
      <c r="I20" s="24">
        <f t="shared" si="6"/>
        <v>1213746.0606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>
        <v>760788</v>
      </c>
      <c r="F21" s="24">
        <v>172062</v>
      </c>
      <c r="G21" s="24">
        <f t="shared" si="5"/>
        <v>932850</v>
      </c>
      <c r="H21" s="18">
        <v>1.3011159999999999</v>
      </c>
      <c r="I21" s="24">
        <f t="shared" si="6"/>
        <v>1213746.0606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>
        <v>760788</v>
      </c>
      <c r="F22" s="24">
        <v>172062</v>
      </c>
      <c r="G22" s="24">
        <f t="shared" si="5"/>
        <v>932850</v>
      </c>
      <c r="H22" s="18">
        <v>1.3011159999999999</v>
      </c>
      <c r="I22" s="24">
        <f t="shared" si="6"/>
        <v>1213746.0606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>
        <v>760788</v>
      </c>
      <c r="F23" s="24">
        <v>172062</v>
      </c>
      <c r="G23" s="24">
        <f t="shared" si="5"/>
        <v>932850</v>
      </c>
      <c r="H23" s="18">
        <v>1.3011159999999999</v>
      </c>
      <c r="I23" s="24">
        <f t="shared" si="6"/>
        <v>1213746.0606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>
        <v>760788</v>
      </c>
      <c r="F24" s="24">
        <v>172062</v>
      </c>
      <c r="G24" s="24">
        <f t="shared" si="5"/>
        <v>932850</v>
      </c>
      <c r="H24" s="18">
        <v>1.3011159999999999</v>
      </c>
      <c r="I24" s="24">
        <f t="shared" si="6"/>
        <v>1213746.0606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>
        <v>760788</v>
      </c>
      <c r="F25" s="24">
        <v>172062</v>
      </c>
      <c r="G25" s="24">
        <f t="shared" si="5"/>
        <v>932850</v>
      </c>
      <c r="H25" s="18">
        <v>1.3011159999999999</v>
      </c>
      <c r="I25" s="24">
        <f t="shared" si="6"/>
        <v>1213746.0606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>
        <v>760788</v>
      </c>
      <c r="F26" s="24">
        <v>172069</v>
      </c>
      <c r="G26" s="24">
        <f t="shared" si="5"/>
        <v>932857</v>
      </c>
      <c r="H26" s="18">
        <v>1.3011159999999999</v>
      </c>
      <c r="I26" s="24">
        <f t="shared" si="6"/>
        <v>1213755.1684119999</v>
      </c>
      <c r="J26" s="25">
        <f t="shared" si="7"/>
        <v>9.1078119999729097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>
        <v>760788</v>
      </c>
      <c r="F27" s="24">
        <v>172076</v>
      </c>
      <c r="G27" s="24">
        <f t="shared" si="5"/>
        <v>932864</v>
      </c>
      <c r="H27" s="18">
        <v>1.3011159999999999</v>
      </c>
      <c r="I27" s="24">
        <f t="shared" si="6"/>
        <v>1213764.2762239999</v>
      </c>
      <c r="J27" s="25">
        <f t="shared" si="7"/>
        <v>9.1078119999729097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>
        <v>760788</v>
      </c>
      <c r="F28" s="24">
        <v>172084</v>
      </c>
      <c r="G28" s="24">
        <f t="shared" si="5"/>
        <v>932872</v>
      </c>
      <c r="H28" s="18">
        <v>1.3011159999999999</v>
      </c>
      <c r="I28" s="24">
        <f t="shared" si="6"/>
        <v>1213774.685152</v>
      </c>
      <c r="J28" s="25">
        <f t="shared" si="7"/>
        <v>10.408928000135347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>
        <v>760788</v>
      </c>
      <c r="F29" s="24">
        <v>172091</v>
      </c>
      <c r="G29" s="24">
        <f t="shared" si="5"/>
        <v>932879</v>
      </c>
      <c r="H29" s="18">
        <v>1.3011159999999999</v>
      </c>
      <c r="I29" s="24">
        <f t="shared" si="6"/>
        <v>1213783.792964</v>
      </c>
      <c r="J29" s="25">
        <f t="shared" si="7"/>
        <v>9.1078119999729097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>
        <v>760788</v>
      </c>
      <c r="F30" s="24">
        <v>172097</v>
      </c>
      <c r="G30" s="24">
        <f t="shared" si="5"/>
        <v>932885</v>
      </c>
      <c r="H30" s="18">
        <v>1.3011159999999999</v>
      </c>
      <c r="I30" s="24">
        <f>H30*G30</f>
        <v>1213791.5996599998</v>
      </c>
      <c r="J30" s="25">
        <f t="shared" si="7"/>
        <v>7.8066959998104721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30</v>
      </c>
      <c r="E35" s="65"/>
      <c r="F35" s="65"/>
      <c r="G35" s="65"/>
      <c r="H35" s="65"/>
      <c r="I35" s="66"/>
      <c r="J35" s="50">
        <f>SUM(J4:J34)</f>
        <v>242.0075759999454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53</v>
      </c>
    </row>
    <row r="39" spans="4:18" ht="12.75" customHeight="1" x14ac:dyDescent="0.25">
      <c r="D39" s="55" t="s">
        <v>31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6" workbookViewId="0">
      <selection activeCell="F31" sqref="F31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51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49</v>
      </c>
      <c r="R1" s="108"/>
      <c r="S1" s="108"/>
      <c r="T1" s="108"/>
      <c r="U1" s="108"/>
      <c r="V1" s="108"/>
      <c r="W1" s="108"/>
      <c r="X1" s="108"/>
      <c r="Y1" s="17"/>
      <c r="Z1" s="108" t="s">
        <v>50</v>
      </c>
      <c r="AA1" s="108"/>
      <c r="AB1" s="108"/>
      <c r="AC1" s="108"/>
      <c r="AD1" s="108"/>
      <c r="AE1" s="108"/>
      <c r="AF1" s="108"/>
      <c r="AG1" s="108"/>
      <c r="AI1" s="108" t="s">
        <v>51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34</v>
      </c>
      <c r="D3" s="75" t="s">
        <v>35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36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37</v>
      </c>
      <c r="S3" s="19" t="s">
        <v>13</v>
      </c>
      <c r="T3" s="19" t="s">
        <v>38</v>
      </c>
      <c r="U3" s="19" t="s">
        <v>39</v>
      </c>
      <c r="V3" s="19" t="s">
        <v>40</v>
      </c>
      <c r="W3" s="19" t="s">
        <v>41</v>
      </c>
      <c r="X3" s="79" t="s">
        <v>42</v>
      </c>
      <c r="Y3" s="33"/>
      <c r="Z3" s="18" t="s">
        <v>11</v>
      </c>
      <c r="AA3" s="19" t="s">
        <v>37</v>
      </c>
      <c r="AB3" s="19" t="s">
        <v>13</v>
      </c>
      <c r="AC3" s="19" t="s">
        <v>38</v>
      </c>
      <c r="AD3" s="19" t="s">
        <v>43</v>
      </c>
      <c r="AE3" s="19" t="s">
        <v>40</v>
      </c>
      <c r="AF3" s="19" t="s">
        <v>44</v>
      </c>
      <c r="AG3" s="79" t="s">
        <v>42</v>
      </c>
      <c r="AI3" s="18" t="s">
        <v>11</v>
      </c>
      <c r="AJ3" s="19" t="s">
        <v>12</v>
      </c>
      <c r="AK3" s="79" t="s">
        <v>45</v>
      </c>
      <c r="AL3" s="79" t="s">
        <v>46</v>
      </c>
      <c r="AM3" s="79" t="s">
        <v>47</v>
      </c>
      <c r="AN3" s="19" t="s">
        <v>13</v>
      </c>
      <c r="AO3" s="109" t="s">
        <v>45</v>
      </c>
      <c r="AP3" s="110"/>
      <c r="AQ3" s="109" t="s">
        <v>46</v>
      </c>
      <c r="AR3" s="110"/>
      <c r="AS3" s="109" t="s">
        <v>47</v>
      </c>
      <c r="AT3" s="110"/>
      <c r="AU3" s="19"/>
      <c r="AV3" s="19" t="s">
        <v>14</v>
      </c>
      <c r="AW3" s="19" t="s">
        <v>15</v>
      </c>
      <c r="AX3" s="19" t="s">
        <v>36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107">
        <v>4646.5309999999999</v>
      </c>
      <c r="G19" s="23">
        <v>2760</v>
      </c>
      <c r="H19" s="24">
        <f t="shared" ref="H19:H35" si="28">G19*F19</f>
        <v>12824425.560000001</v>
      </c>
      <c r="I19" s="25">
        <f t="shared" ref="I19:I35" si="29">IF((H19-H18)&gt;0,H19-H18,0)</f>
        <v>1813.320000000298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1813.320000000298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1813.320000000298</v>
      </c>
      <c r="AF19" s="87">
        <f t="shared" si="26"/>
        <v>0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1813.320000000298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107">
        <v>4647.1959999999999</v>
      </c>
      <c r="G20" s="23">
        <v>2760</v>
      </c>
      <c r="H20" s="24">
        <f t="shared" si="28"/>
        <v>12826260.959999999</v>
      </c>
      <c r="I20" s="25">
        <f t="shared" si="29"/>
        <v>1835.3999999985099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1835.3999999985099</v>
      </c>
      <c r="W20" s="87">
        <f t="shared" si="2"/>
        <v>0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1835.3999999985099</v>
      </c>
      <c r="AF20" s="87">
        <f t="shared" si="26"/>
        <v>0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1835.3999999985099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>
        <v>4647.8729999999996</v>
      </c>
      <c r="G21" s="23">
        <v>2760</v>
      </c>
      <c r="H21" s="24">
        <f t="shared" si="28"/>
        <v>12828129.479999999</v>
      </c>
      <c r="I21" s="25">
        <f t="shared" si="29"/>
        <v>1868.519999999553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1868.519999999553</v>
      </c>
      <c r="W21" s="87">
        <f t="shared" si="2"/>
        <v>0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1868.519999999553</v>
      </c>
      <c r="AF21" s="87">
        <f>AD21/AE21</f>
        <v>0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1868.519999999553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>
        <v>4648.5619999999999</v>
      </c>
      <c r="G22" s="23">
        <v>2760</v>
      </c>
      <c r="H22" s="24">
        <f t="shared" si="28"/>
        <v>12830031.119999999</v>
      </c>
      <c r="I22" s="25">
        <f t="shared" si="29"/>
        <v>1901.640000000596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1901.640000000596</v>
      </c>
      <c r="W22" s="87">
        <f t="shared" si="2"/>
        <v>0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1901.640000000596</v>
      </c>
      <c r="AF22" s="87">
        <f t="shared" si="26"/>
        <v>0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1901.640000000596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>
        <v>4649.18</v>
      </c>
      <c r="G23" s="23">
        <v>2760</v>
      </c>
      <c r="H23" s="24">
        <f t="shared" si="28"/>
        <v>12831736.800000001</v>
      </c>
      <c r="I23" s="25">
        <f t="shared" si="29"/>
        <v>1705.6800000015646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1705.6800000015646</v>
      </c>
      <c r="W23" s="87">
        <f t="shared" si="2"/>
        <v>0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1705.6800000015646</v>
      </c>
      <c r="AF23" s="87">
        <f t="shared" si="26"/>
        <v>0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1705.6800000015646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>
        <v>4649.8130000000001</v>
      </c>
      <c r="G24" s="23">
        <v>2760</v>
      </c>
      <c r="H24" s="24">
        <f t="shared" si="28"/>
        <v>12833483.880000001</v>
      </c>
      <c r="I24" s="25">
        <f t="shared" si="29"/>
        <v>1747.0800000000745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1747.0800000000745</v>
      </c>
      <c r="W24" s="87">
        <f t="shared" si="2"/>
        <v>0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1747.0800000000745</v>
      </c>
      <c r="AF24" s="87">
        <f t="shared" si="26"/>
        <v>0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1747.0800000000745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>
        <v>4650.2539999999999</v>
      </c>
      <c r="G25" s="23">
        <v>2760</v>
      </c>
      <c r="H25" s="24">
        <f t="shared" si="28"/>
        <v>12834701.039999999</v>
      </c>
      <c r="I25" s="25">
        <f t="shared" si="29"/>
        <v>1217.1599999982864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1217.1599999982864</v>
      </c>
      <c r="W25" s="87">
        <f t="shared" si="2"/>
        <v>0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1217.1599999982864</v>
      </c>
      <c r="AF25" s="87">
        <f t="shared" si="26"/>
        <v>0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1217.1599999982864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>
        <v>4650.8630000000003</v>
      </c>
      <c r="G26" s="23">
        <v>2760</v>
      </c>
      <c r="H26" s="24">
        <f t="shared" si="28"/>
        <v>12836381.880000001</v>
      </c>
      <c r="I26" s="25">
        <f t="shared" si="29"/>
        <v>1680.8400000017136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1680.8400000017136</v>
      </c>
      <c r="W26" s="100">
        <f t="shared" si="2"/>
        <v>0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1680.8400000017136</v>
      </c>
      <c r="AF26" s="100">
        <f>AD26/AE26</f>
        <v>0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1680.8400000017136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>
        <v>4651.51</v>
      </c>
      <c r="G27" s="23">
        <v>2760</v>
      </c>
      <c r="H27" s="24">
        <f t="shared" si="28"/>
        <v>12838167.600000001</v>
      </c>
      <c r="I27" s="25">
        <f t="shared" si="29"/>
        <v>1785.7200000006706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1785.7200000006706</v>
      </c>
      <c r="W27" s="100">
        <f t="shared" si="2"/>
        <v>0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1785.7200000006706</v>
      </c>
      <c r="AF27" s="100">
        <f>AD27/AE27</f>
        <v>0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1785.7200000006706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>
        <v>4652.1499999999996</v>
      </c>
      <c r="G28" s="23">
        <v>2760</v>
      </c>
      <c r="H28" s="24">
        <f t="shared" si="28"/>
        <v>12839933.999999998</v>
      </c>
      <c r="I28" s="25">
        <f t="shared" si="29"/>
        <v>1766.3999999966472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1766.3999999966472</v>
      </c>
      <c r="W28" s="100">
        <f t="shared" si="2"/>
        <v>0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1766.3999999966472</v>
      </c>
      <c r="AF28" s="100">
        <f>AD28/AE28</f>
        <v>0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1766.3999999966472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>
        <v>4652.8710000000001</v>
      </c>
      <c r="G29" s="23">
        <v>2760</v>
      </c>
      <c r="H29" s="24">
        <f t="shared" si="28"/>
        <v>12841923.960000001</v>
      </c>
      <c r="I29" s="25">
        <f t="shared" si="29"/>
        <v>1989.9600000027567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1989.9600000027567</v>
      </c>
      <c r="W29" s="100">
        <f t="shared" si="2"/>
        <v>0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1989.9600000027567</v>
      </c>
      <c r="AF29" s="100">
        <f t="shared" si="26"/>
        <v>0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1989.9600000027567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>
        <v>4653.5870000000004</v>
      </c>
      <c r="G30" s="23">
        <v>2760</v>
      </c>
      <c r="H30" s="24">
        <f t="shared" si="28"/>
        <v>12843900.120000001</v>
      </c>
      <c r="I30" s="25">
        <f t="shared" si="29"/>
        <v>1976.160000000149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1976.160000000149</v>
      </c>
      <c r="W30" s="100">
        <f t="shared" si="2"/>
        <v>0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1976.160000000149</v>
      </c>
      <c r="AF30" s="100">
        <f t="shared" si="26"/>
        <v>0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1976.160000000149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30</v>
      </c>
      <c r="F36" s="49"/>
      <c r="G36" s="49"/>
      <c r="H36" s="29"/>
      <c r="I36" s="99">
        <f>SUM(I5:I35)</f>
        <v>42981.480000000447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30</v>
      </c>
      <c r="R36" s="49"/>
      <c r="S36" s="49"/>
      <c r="T36" s="29"/>
      <c r="U36" s="99"/>
      <c r="V36" s="99">
        <f t="shared" si="22"/>
        <v>42981.480000000447</v>
      </c>
      <c r="W36" s="100">
        <f>U36/V36</f>
        <v>0</v>
      </c>
      <c r="X36" s="88">
        <v>0.2</v>
      </c>
      <c r="Y36" s="33"/>
      <c r="Z36" s="102" t="s">
        <v>30</v>
      </c>
      <c r="AA36" s="40"/>
      <c r="AB36" s="49"/>
      <c r="AC36" s="29"/>
      <c r="AD36" s="99"/>
      <c r="AE36" s="99">
        <f>V36</f>
        <v>42981.480000000447</v>
      </c>
      <c r="AF36" s="100">
        <f>AD36/AE36</f>
        <v>0</v>
      </c>
      <c r="AG36" s="88">
        <v>0.15</v>
      </c>
      <c r="AI36" s="48" t="s">
        <v>30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44231.760000001639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48</v>
      </c>
      <c r="E38" s="54" t="s">
        <v>56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2021-03-27T04:02:33Z</dcterms:modified>
</cp:coreProperties>
</file>