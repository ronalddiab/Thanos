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16" i="4" l="1"/>
  <c r="M122" i="4"/>
  <c r="M128" i="4"/>
  <c r="M134" i="4"/>
  <c r="M140" i="4"/>
  <c r="M146" i="4"/>
  <c r="M152" i="4"/>
  <c r="M158" i="4"/>
  <c r="M164" i="4"/>
  <c r="M170" i="4"/>
  <c r="M176" i="4"/>
  <c r="M182" i="4"/>
  <c r="M188" i="4"/>
  <c r="M194" i="4"/>
  <c r="M200" i="4"/>
  <c r="M206" i="4"/>
  <c r="M212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M105" i="4" s="1"/>
  <c r="L106" i="4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16" i="4"/>
  <c r="K119" i="4"/>
  <c r="K122" i="4"/>
  <c r="K124" i="4"/>
  <c r="K125" i="4"/>
  <c r="K130" i="4"/>
  <c r="K131" i="4"/>
  <c r="K134" i="4"/>
  <c r="K137" i="4"/>
  <c r="K140" i="4"/>
  <c r="K142" i="4"/>
  <c r="K143" i="4"/>
  <c r="K146" i="4"/>
  <c r="K148" i="4"/>
  <c r="K149" i="4"/>
  <c r="K150" i="4"/>
  <c r="K154" i="4"/>
  <c r="K155" i="4"/>
  <c r="K160" i="4"/>
  <c r="K161" i="4"/>
  <c r="K162" i="4"/>
  <c r="K164" i="4"/>
  <c r="K167" i="4"/>
  <c r="K172" i="4"/>
  <c r="K173" i="4"/>
  <c r="K176" i="4"/>
  <c r="K178" i="4"/>
  <c r="K179" i="4"/>
  <c r="K182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K106" i="4" s="1"/>
  <c r="J107" i="4"/>
  <c r="J108" i="4"/>
  <c r="J109" i="4"/>
  <c r="J110" i="4"/>
  <c r="J111" i="4"/>
  <c r="J112" i="4"/>
  <c r="J113" i="4"/>
  <c r="K113" i="4" s="1"/>
  <c r="J114" i="4"/>
  <c r="K114" i="4" s="1"/>
  <c r="J115" i="4"/>
  <c r="K115" i="4" s="1"/>
  <c r="J116" i="4"/>
  <c r="J117" i="4"/>
  <c r="K117" i="4" s="1"/>
  <c r="J118" i="4"/>
  <c r="K118" i="4" s="1"/>
  <c r="J119" i="4"/>
  <c r="J120" i="4"/>
  <c r="K120" i="4" s="1"/>
  <c r="J121" i="4"/>
  <c r="K121" i="4" s="1"/>
  <c r="J122" i="4"/>
  <c r="J123" i="4"/>
  <c r="K123" i="4" s="1"/>
  <c r="J124" i="4"/>
  <c r="J125" i="4"/>
  <c r="J126" i="4"/>
  <c r="K126" i="4" s="1"/>
  <c r="J127" i="4"/>
  <c r="K127" i="4" s="1"/>
  <c r="J128" i="4"/>
  <c r="K128" i="4" s="1"/>
  <c r="J129" i="4"/>
  <c r="K129" i="4" s="1"/>
  <c r="J130" i="4"/>
  <c r="J131" i="4"/>
  <c r="J132" i="4"/>
  <c r="K132" i="4" s="1"/>
  <c r="J133" i="4"/>
  <c r="K133" i="4" s="1"/>
  <c r="J134" i="4"/>
  <c r="J135" i="4"/>
  <c r="K135" i="4" s="1"/>
  <c r="J136" i="4"/>
  <c r="K136" i="4" s="1"/>
  <c r="J137" i="4"/>
  <c r="J138" i="4"/>
  <c r="K138" i="4" s="1"/>
  <c r="J139" i="4"/>
  <c r="K139" i="4" s="1"/>
  <c r="J140" i="4"/>
  <c r="J141" i="4"/>
  <c r="K141" i="4" s="1"/>
  <c r="J142" i="4"/>
  <c r="J143" i="4"/>
  <c r="J144" i="4"/>
  <c r="K144" i="4" s="1"/>
  <c r="J145" i="4"/>
  <c r="K145" i="4" s="1"/>
  <c r="J146" i="4"/>
  <c r="J147" i="4"/>
  <c r="K147" i="4" s="1"/>
  <c r="J148" i="4"/>
  <c r="J149" i="4"/>
  <c r="J150" i="4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J161" i="4"/>
  <c r="J162" i="4"/>
  <c r="J163" i="4"/>
  <c r="K163" i="4" s="1"/>
  <c r="J164" i="4"/>
  <c r="J165" i="4"/>
  <c r="K165" i="4" s="1"/>
  <c r="J166" i="4"/>
  <c r="K166" i="4" s="1"/>
  <c r="J167" i="4"/>
  <c r="J168" i="4"/>
  <c r="K168" i="4" s="1"/>
  <c r="J169" i="4"/>
  <c r="K169" i="4" s="1"/>
  <c r="J170" i="4"/>
  <c r="K170" i="4" s="1"/>
  <c r="J171" i="4"/>
  <c r="K171" i="4" s="1"/>
  <c r="J172" i="4"/>
  <c r="J173" i="4"/>
  <c r="J174" i="4"/>
  <c r="K174" i="4" s="1"/>
  <c r="J175" i="4"/>
  <c r="K175" i="4" s="1"/>
  <c r="J176" i="4"/>
  <c r="J177" i="4"/>
  <c r="K177" i="4" s="1"/>
  <c r="J178" i="4"/>
  <c r="J179" i="4"/>
  <c r="J180" i="4"/>
  <c r="K180" i="4" s="1"/>
  <c r="J181" i="4"/>
  <c r="K181" i="4" s="1"/>
  <c r="J182" i="4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M93" i="4" s="1"/>
  <c r="J93" i="4"/>
  <c r="K93" i="4" s="1"/>
  <c r="I93" i="4"/>
  <c r="K112" i="4" l="1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K63" i="4" s="1"/>
  <c r="I63" i="4"/>
  <c r="O62" i="4"/>
  <c r="L62" i="4"/>
  <c r="J62" i="4"/>
  <c r="I62" i="4"/>
  <c r="M70" i="4" l="1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E221" i="1" s="1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E207" i="1" s="1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E203" i="1" s="1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14" i="3" l="1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F300" i="1" s="1"/>
  <c r="Q360" i="4"/>
  <c r="M338" i="4"/>
  <c r="F266" i="1"/>
  <c r="P207" i="4"/>
  <c r="K185" i="4"/>
  <c r="P329" i="4"/>
  <c r="K308" i="4"/>
  <c r="E361" i="1"/>
  <c r="F258" i="1"/>
  <c r="E242" i="1"/>
  <c r="E243" i="1"/>
  <c r="E245" i="1"/>
  <c r="E246" i="1"/>
  <c r="F246" i="1" s="1"/>
  <c r="E247" i="1"/>
  <c r="E249" i="1"/>
  <c r="E250" i="1"/>
  <c r="E251" i="1"/>
  <c r="E252" i="1"/>
  <c r="E254" i="1"/>
  <c r="E255" i="1"/>
  <c r="E256" i="1"/>
  <c r="E258" i="1"/>
  <c r="E259" i="1"/>
  <c r="E260" i="1"/>
  <c r="F260" i="1" s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F272" i="1"/>
  <c r="F29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79" i="1"/>
  <c r="E67" i="1"/>
  <c r="F67" i="1" s="1"/>
  <c r="E205" i="1"/>
  <c r="F205" i="1" s="1"/>
  <c r="E253" i="1"/>
  <c r="E257" i="1"/>
  <c r="E261" i="1"/>
  <c r="F261" i="1" s="1"/>
  <c r="E265" i="1"/>
  <c r="E269" i="1"/>
  <c r="F269" i="1" s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F254" i="1"/>
  <c r="F262" i="1"/>
  <c r="F315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E334" i="1"/>
  <c r="F334" i="1" s="1"/>
  <c r="F250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F324" i="1" s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55" i="1"/>
  <c r="F263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F294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F244" i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<sst xmlns="http://schemas.openxmlformats.org/spreadsheetml/2006/main" count="606" uniqueCount="76">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</sst>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2" workbookViewId="0">
      <selection activeCell="Q107" sqref="Q10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4">
        <v>0.67</v>
      </c>
      <c r="G112" s="4" t="str">
        <f>'Gas Water'!M114</f>
        <v/>
      </c>
      <c r="H112" s="154">
        <v>1.77</v>
      </c>
      <c r="I112" s="2" t="str">
        <f>'Gas Water'!L114</f>
        <v/>
      </c>
      <c r="J112" s="154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4">
        <v>0.67</v>
      </c>
      <c r="G113" s="4" t="str">
        <f>'Gas Water'!M115</f>
        <v/>
      </c>
      <c r="H113" s="154">
        <v>1.77</v>
      </c>
      <c r="I113" s="2" t="str">
        <f>'Gas Water'!L115</f>
        <v/>
      </c>
      <c r="J113" s="154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4">
        <v>0.67</v>
      </c>
      <c r="G114" s="4" t="str">
        <f>'Gas Water'!M116</f>
        <v/>
      </c>
      <c r="H114" s="154">
        <v>1.77</v>
      </c>
      <c r="I114" s="2" t="str">
        <f>'Gas Water'!L116</f>
        <v/>
      </c>
      <c r="J114" s="154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4">
        <v>0.67</v>
      </c>
      <c r="G115" s="4" t="str">
        <f>'Gas Water'!M117</f>
        <v/>
      </c>
      <c r="H115" s="154">
        <v>1.77</v>
      </c>
      <c r="I115" s="2" t="str">
        <f>'Gas Water'!L117</f>
        <v/>
      </c>
      <c r="J115" s="154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4">
        <v>0.67</v>
      </c>
      <c r="G116" s="4" t="str">
        <f>'Gas Water'!M118</f>
        <v/>
      </c>
      <c r="H116" s="154">
        <v>1.77</v>
      </c>
      <c r="I116" s="2" t="str">
        <f>'Gas Water'!L118</f>
        <v/>
      </c>
      <c r="J116" s="154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8" workbookViewId="0">
      <selection activeCell="R99" sqref="R9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4"/>
        <v/>
      </c>
      <c r="M114" s="30" t="str">
        <f t="shared" si="3"/>
        <v/>
      </c>
      <c r="N114" s="197" t="s">
        <v>21</v>
      </c>
      <c r="O114" s="197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4"/>
        <v/>
      </c>
      <c r="M115" s="30" t="str">
        <f t="shared" si="3"/>
        <v/>
      </c>
      <c r="N115" s="198"/>
      <c r="O115" s="198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4"/>
        <v/>
      </c>
      <c r="M116" s="30" t="str">
        <f t="shared" si="3"/>
        <v/>
      </c>
      <c r="N116" s="199"/>
      <c r="O116" s="199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4"/>
        <v/>
      </c>
      <c r="M117" s="30" t="str">
        <f t="shared" si="3"/>
        <v/>
      </c>
      <c r="N117" s="32">
        <f>SUM(L95:L124)</f>
        <v>3079</v>
      </c>
      <c r="O117" s="32">
        <f>SUM(M95:M124)</f>
        <v>50165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4"/>
        <v/>
      </c>
      <c r="M118" s="30" t="str">
        <f t="shared" si="3"/>
        <v/>
      </c>
      <c r="N118" s="197" t="s">
        <v>23</v>
      </c>
      <c r="O118" s="197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4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4"/>
        <v/>
      </c>
      <c r="M120" s="30" t="str">
        <f t="shared" si="3"/>
        <v/>
      </c>
      <c r="N120" s="32">
        <f>AVERAGE(L95:L124)</f>
        <v>162.05263157894737</v>
      </c>
      <c r="O120" s="32">
        <f>AVERAGE(M95:M124)</f>
        <v>2640.2631578947367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4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320404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306685</v>
      </c>
      <c r="J371" s="40">
        <f t="shared" si="29"/>
        <v>15640</v>
      </c>
      <c r="K371" s="40">
        <f t="shared" si="29"/>
        <v>15132</v>
      </c>
      <c r="L371" s="40">
        <f t="shared" si="29"/>
        <v>14814</v>
      </c>
      <c r="M371" s="40">
        <f t="shared" si="29"/>
        <v>337457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91" workbookViewId="0">
      <selection activeCell="J119" sqref="J119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/>
      <c r="E113" s="58"/>
      <c r="F113" s="59"/>
      <c r="G113" s="60"/>
      <c r="H113" s="60">
        <v>4140</v>
      </c>
      <c r="I113" s="60" t="str">
        <f t="shared" si="14"/>
        <v/>
      </c>
      <c r="J113" s="60" t="str">
        <f t="shared" si="15"/>
        <v/>
      </c>
      <c r="K113" s="61" t="str">
        <f t="shared" si="10"/>
        <v/>
      </c>
      <c r="L113" s="60" t="str">
        <f t="shared" si="11"/>
        <v/>
      </c>
      <c r="M113" s="61" t="str">
        <f t="shared" si="12"/>
        <v/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/>
      <c r="E114" s="58"/>
      <c r="F114" s="59"/>
      <c r="G114" s="60"/>
      <c r="H114" s="60">
        <v>4140</v>
      </c>
      <c r="I114" s="60" t="str">
        <f t="shared" si="14"/>
        <v/>
      </c>
      <c r="J114" s="60" t="str">
        <f t="shared" si="15"/>
        <v/>
      </c>
      <c r="K114" s="61" t="str">
        <f t="shared" si="10"/>
        <v/>
      </c>
      <c r="L114" s="60" t="str">
        <f t="shared" si="11"/>
        <v/>
      </c>
      <c r="M114" s="61" t="str">
        <f t="shared" si="12"/>
        <v/>
      </c>
      <c r="N114" s="62">
        <v>66068309</v>
      </c>
      <c r="O114" s="62">
        <f t="shared" si="13"/>
        <v>0</v>
      </c>
      <c r="P114" s="71">
        <f>IF(J94="",0,+SUM(J94:J123)/SUM(I94:I123))</f>
        <v>4.066068473579805E-2</v>
      </c>
      <c r="Q114" s="71">
        <f>IF(L94="",0,+SUM(L94:L123)/SUM(I94:I123))</f>
        <v>4.066068473579805E-2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/>
      <c r="E115" s="58"/>
      <c r="F115" s="59"/>
      <c r="G115" s="60"/>
      <c r="H115" s="60">
        <v>4140</v>
      </c>
      <c r="I115" s="60" t="str">
        <f t="shared" si="14"/>
        <v/>
      </c>
      <c r="J115" s="60" t="str">
        <f t="shared" si="15"/>
        <v/>
      </c>
      <c r="K115" s="61" t="str">
        <f t="shared" si="10"/>
        <v/>
      </c>
      <c r="L115" s="60" t="str">
        <f t="shared" si="11"/>
        <v/>
      </c>
      <c r="M115" s="61" t="str">
        <f t="shared" si="12"/>
        <v/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/>
      <c r="E116" s="58"/>
      <c r="F116" s="59"/>
      <c r="G116" s="60"/>
      <c r="H116" s="60">
        <v>4140</v>
      </c>
      <c r="I116" s="60" t="str">
        <f t="shared" si="14"/>
        <v/>
      </c>
      <c r="J116" s="60" t="str">
        <f t="shared" si="15"/>
        <v/>
      </c>
      <c r="K116" s="61" t="str">
        <f t="shared" si="10"/>
        <v/>
      </c>
      <c r="L116" s="60" t="str">
        <f t="shared" si="11"/>
        <v/>
      </c>
      <c r="M116" s="61" t="str">
        <f t="shared" si="12"/>
        <v/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/>
      <c r="E117" s="58"/>
      <c r="F117" s="59"/>
      <c r="G117" s="60"/>
      <c r="H117" s="60">
        <v>4140</v>
      </c>
      <c r="I117" s="60" t="str">
        <f t="shared" si="14"/>
        <v/>
      </c>
      <c r="J117" s="60" t="str">
        <f t="shared" si="15"/>
        <v/>
      </c>
      <c r="K117" s="61" t="str">
        <f t="shared" si="10"/>
        <v/>
      </c>
      <c r="L117" s="60" t="str">
        <f t="shared" si="11"/>
        <v/>
      </c>
      <c r="M117" s="61" t="str">
        <f t="shared" si="12"/>
        <v/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 t="shared" si="14"/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2313626.0999999959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2021-04-21T11:20:08Z</dcterms:modified>
  <cp:category/>
  <cp:contentStatus/>
</cp:coreProperties>
</file>