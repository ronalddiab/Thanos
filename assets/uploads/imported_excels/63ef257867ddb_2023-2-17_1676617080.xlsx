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F18" i="3"/>
  <c r="E17" i="3"/>
  <c r="F17" i="3" l="1"/>
  <c r="E16" i="3"/>
  <c r="F16" i="3" l="1"/>
  <c r="E15" i="3"/>
  <c r="F15" i="3" l="1"/>
  <c r="E14" i="3"/>
  <c r="F14" i="3" l="1"/>
  <c r="F13" i="3"/>
  <c r="E13" i="3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F6" i="3"/>
  <c r="E6" i="3"/>
  <c r="E5" i="3"/>
  <c r="F5" i="3" l="1"/>
  <c r="E4" i="3"/>
  <c r="I3" i="3" l="1"/>
  <c r="J3" i="3"/>
  <c r="F4" i="3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BK7" i="3" s="1"/>
  <c r="FB16" i="4"/>
  <c r="FB17" i="4"/>
  <c r="FB18" i="4"/>
  <c r="FB19" i="4"/>
  <c r="FB20" i="4"/>
  <c r="FB21" i="4"/>
  <c r="BK13" i="3" s="1"/>
  <c r="FB22" i="4"/>
  <c r="FB23" i="4"/>
  <c r="FB24" i="4"/>
  <c r="BK16" i="3" s="1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BI15" i="3" s="1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BJ15" i="3" s="1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BH15" i="3" s="1"/>
  <c r="EV24" i="4"/>
  <c r="BH16" i="3" s="1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BG14" i="3" s="1"/>
  <c r="ET23" i="4"/>
  <c r="ET24" i="4"/>
  <c r="BG16" i="3" s="1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BF15" i="3" s="1"/>
  <c r="EO24" i="4"/>
  <c r="BF16" i="3" s="1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BE14" i="3" s="1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BD15" i="3" s="1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BB15" i="3" s="1"/>
  <c r="EI24" i="4"/>
  <c r="BB16" i="3" s="1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BA14" i="3" s="1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AY15" i="3" s="1"/>
  <c r="EB24" i="4"/>
  <c r="AY16" i="3" s="1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AX14" i="3" s="1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AU14" i="3" s="1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AR15" i="3" s="1"/>
  <c r="DO24" i="4"/>
  <c r="AR16" i="3" s="1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AS14" i="3" s="1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AQ15" i="3" s="1"/>
  <c r="DI24" i="4"/>
  <c r="AQ16" i="3" s="1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AN14" i="3" s="1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AL15" i="3" s="1"/>
  <c r="DC24" i="4"/>
  <c r="AL16" i="3" s="1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AM14" i="3" s="1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AK16" i="3" s="1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AC14" i="3" s="1"/>
  <c r="CT23" i="4"/>
  <c r="CT24" i="4"/>
  <c r="AC16" i="3" s="1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AA14" i="3" s="1"/>
  <c r="CN23" i="4"/>
  <c r="CN24" i="4"/>
  <c r="AA16" i="3" s="1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AI15" i="3" s="1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AH16" i="3" s="1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AG16" i="3" s="1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AF15" i="3" s="1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AE16" i="3" s="1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AD16" i="3" s="1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8" i="4"/>
  <c r="BG19" i="4"/>
  <c r="BG20" i="4"/>
  <c r="BG21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Y12" i="3" s="1"/>
  <c r="BF21" i="4"/>
  <c r="Y13" i="3" s="1"/>
  <c r="BF22" i="4"/>
  <c r="BF23" i="4"/>
  <c r="BF24" i="4"/>
  <c r="Y16" i="3" s="1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8" i="4"/>
  <c r="BD19" i="4"/>
  <c r="BD20" i="4"/>
  <c r="BD21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X14" i="3" s="1"/>
  <c r="BC23" i="4"/>
  <c r="BC24" i="4"/>
  <c r="X16" i="3" s="1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8" i="4"/>
  <c r="BA19" i="4"/>
  <c r="BA20" i="4"/>
  <c r="BA21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AV12" i="4"/>
  <c r="AV13" i="4"/>
  <c r="AV14" i="4"/>
  <c r="AV15" i="4"/>
  <c r="AV16" i="4"/>
  <c r="AV17" i="4"/>
  <c r="AV18" i="4"/>
  <c r="V10" i="3" s="1"/>
  <c r="AV19" i="4"/>
  <c r="AV20" i="4"/>
  <c r="AV21" i="4"/>
  <c r="AV22" i="4"/>
  <c r="AV23" i="4"/>
  <c r="AV24" i="4"/>
  <c r="V16" i="3" s="1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U16" i="3" s="1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T4" i="3" s="1"/>
  <c r="AP13" i="4"/>
  <c r="AP14" i="4"/>
  <c r="AP15" i="4"/>
  <c r="AP16" i="4"/>
  <c r="AP17" i="4"/>
  <c r="AP18" i="4"/>
  <c r="T10" i="3" s="1"/>
  <c r="AP19" i="4"/>
  <c r="AP20" i="4"/>
  <c r="AP21" i="4"/>
  <c r="AP22" i="4"/>
  <c r="AP23" i="4"/>
  <c r="AP24" i="4"/>
  <c r="T16" i="3" s="1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AM12" i="4"/>
  <c r="AM13" i="4"/>
  <c r="AM14" i="4"/>
  <c r="AM15" i="4"/>
  <c r="AM16" i="4"/>
  <c r="AM17" i="4"/>
  <c r="AM18" i="4"/>
  <c r="S10" i="3" s="1"/>
  <c r="AM19" i="4"/>
  <c r="AM20" i="4"/>
  <c r="AM21" i="4"/>
  <c r="AM22" i="4"/>
  <c r="S14" i="3" s="1"/>
  <c r="AM23" i="4"/>
  <c r="AM24" i="4"/>
  <c r="S16" i="3" s="1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R10" i="3" s="1"/>
  <c r="AJ19" i="4"/>
  <c r="AJ20" i="4"/>
  <c r="AJ21" i="4"/>
  <c r="AJ22" i="4"/>
  <c r="R14" i="3" s="1"/>
  <c r="AJ23" i="4"/>
  <c r="AJ24" i="4"/>
  <c r="R16" i="3" s="1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Q4" i="3" s="1"/>
  <c r="AG13" i="4"/>
  <c r="AG14" i="4"/>
  <c r="AG15" i="4"/>
  <c r="AG16" i="4"/>
  <c r="AG17" i="4"/>
  <c r="AG18" i="4"/>
  <c r="Q10" i="3" s="1"/>
  <c r="AG19" i="4"/>
  <c r="AG20" i="4"/>
  <c r="AG21" i="4"/>
  <c r="AG22" i="4"/>
  <c r="Q14" i="3" s="1"/>
  <c r="AG23" i="4"/>
  <c r="AG24" i="4"/>
  <c r="Q16" i="3" s="1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AD12" i="4"/>
  <c r="AD13" i="4"/>
  <c r="AD14" i="4"/>
  <c r="AD15" i="4"/>
  <c r="AD16" i="4"/>
  <c r="AD17" i="4"/>
  <c r="AD18" i="4"/>
  <c r="P10" i="3" s="1"/>
  <c r="AD19" i="4"/>
  <c r="AD20" i="4"/>
  <c r="AD21" i="4"/>
  <c r="AD22" i="4"/>
  <c r="P14" i="3" s="1"/>
  <c r="AD23" i="4"/>
  <c r="AD24" i="4"/>
  <c r="P16" i="3" s="1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AA15" i="4"/>
  <c r="AA16" i="4"/>
  <c r="AA17" i="4"/>
  <c r="AA18" i="4"/>
  <c r="O10" i="3" s="1"/>
  <c r="AA19" i="4"/>
  <c r="AA20" i="4"/>
  <c r="AA21" i="4"/>
  <c r="AA22" i="4"/>
  <c r="AA23" i="4"/>
  <c r="AA24" i="4"/>
  <c r="O16" i="3" s="1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8" i="4"/>
  <c r="S19" i="4"/>
  <c r="S20" i="4"/>
  <c r="S21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8" i="4"/>
  <c r="P19" i="4"/>
  <c r="P20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J5" i="3" s="1"/>
  <c r="N13" i="4"/>
  <c r="J6" i="3" s="1"/>
  <c r="N14" i="4"/>
  <c r="J7" i="3" s="1"/>
  <c r="N15" i="4"/>
  <c r="J8" i="3" s="1"/>
  <c r="N16" i="4"/>
  <c r="J9" i="3" s="1"/>
  <c r="N17" i="4"/>
  <c r="J10" i="3" s="1"/>
  <c r="N18" i="4"/>
  <c r="J11" i="3" s="1"/>
  <c r="N19" i="4"/>
  <c r="J12" i="3" s="1"/>
  <c r="N20" i="4"/>
  <c r="J13" i="3" s="1"/>
  <c r="N21" i="4"/>
  <c r="J14" i="3" s="1"/>
  <c r="N22" i="4"/>
  <c r="J15" i="3" s="1"/>
  <c r="N23" i="4"/>
  <c r="J16" i="3" s="1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J4" i="3" s="1"/>
  <c r="L12" i="4"/>
  <c r="I5" i="3" s="1"/>
  <c r="L13" i="4"/>
  <c r="I6" i="3" s="1"/>
  <c r="L14" i="4"/>
  <c r="I7" i="3" s="1"/>
  <c r="L15" i="4"/>
  <c r="I8" i="3" s="1"/>
  <c r="L16" i="4"/>
  <c r="I9" i="3" s="1"/>
  <c r="L17" i="4"/>
  <c r="I10" i="3" s="1"/>
  <c r="L18" i="4"/>
  <c r="I11" i="3" s="1"/>
  <c r="L19" i="4"/>
  <c r="I12" i="3" s="1"/>
  <c r="L20" i="4"/>
  <c r="I13" i="3" s="1"/>
  <c r="L21" i="4"/>
  <c r="I14" i="3" s="1"/>
  <c r="L22" i="4"/>
  <c r="I15" i="3" s="1"/>
  <c r="L23" i="4"/>
  <c r="I16" i="3" s="1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I4" i="3" s="1"/>
  <c r="J12" i="4"/>
  <c r="BL4" i="3" s="1"/>
  <c r="J13" i="4"/>
  <c r="BL5" i="3" s="1"/>
  <c r="J14" i="4"/>
  <c r="BL6" i="3" s="1"/>
  <c r="J15" i="4"/>
  <c r="BL7" i="3" s="1"/>
  <c r="J16" i="4"/>
  <c r="BL8" i="3" s="1"/>
  <c r="J17" i="4"/>
  <c r="BL9" i="3" s="1"/>
  <c r="J18" i="4"/>
  <c r="BL10" i="3" s="1"/>
  <c r="J19" i="4"/>
  <c r="BL11" i="3" s="1"/>
  <c r="J20" i="4"/>
  <c r="BL12" i="3" s="1"/>
  <c r="J21" i="4"/>
  <c r="BL13" i="3" s="1"/>
  <c r="J22" i="4"/>
  <c r="BL14" i="3" s="1"/>
  <c r="J23" i="4"/>
  <c r="BL15" i="3" s="1"/>
  <c r="J24" i="4"/>
  <c r="BL16" i="3" s="1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X13" i="4"/>
  <c r="X14" i="4"/>
  <c r="X15" i="4"/>
  <c r="X16" i="4"/>
  <c r="X17" i="4"/>
  <c r="X18" i="4"/>
  <c r="X19" i="4"/>
  <c r="X20" i="4"/>
  <c r="N12" i="3" s="1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M15" i="3" s="1"/>
  <c r="U24" i="4"/>
  <c r="M16" i="3" s="1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L14" i="3" s="1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O10" i="4"/>
  <c r="O11" i="4"/>
  <c r="O12" i="4"/>
  <c r="O13" i="4"/>
  <c r="O14" i="4"/>
  <c r="O15" i="4"/>
  <c r="O16" i="4"/>
  <c r="O17" i="4"/>
  <c r="O18" i="4"/>
  <c r="O19" i="4"/>
  <c r="O20" i="4"/>
  <c r="K12" i="3" s="1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H16" i="3" s="1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G15" i="3" s="1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0" i="4"/>
  <c r="C9" i="4"/>
  <c r="G14" i="3" l="1"/>
  <c r="H15" i="3"/>
  <c r="W16" i="3"/>
  <c r="Z16" i="3"/>
  <c r="AB16" i="3"/>
  <c r="AK15" i="3"/>
  <c r="K16" i="3"/>
  <c r="N16" i="3"/>
  <c r="X12" i="3"/>
  <c r="AG15" i="3"/>
  <c r="AI13" i="3"/>
  <c r="AB15" i="3"/>
  <c r="AC12" i="3"/>
  <c r="AK14" i="3"/>
  <c r="AJ16" i="3"/>
  <c r="AM12" i="3"/>
  <c r="AL14" i="3"/>
  <c r="AO16" i="3"/>
  <c r="AN12" i="3"/>
  <c r="AQ14" i="3"/>
  <c r="AP16" i="3"/>
  <c r="AS12" i="3"/>
  <c r="AT16" i="3"/>
  <c r="AU12" i="3"/>
  <c r="AW16" i="3"/>
  <c r="AX12" i="3"/>
  <c r="AZ16" i="3"/>
  <c r="BA12" i="3"/>
  <c r="BB14" i="3"/>
  <c r="BD16" i="3"/>
  <c r="BE12" i="3"/>
  <c r="BF14" i="3"/>
  <c r="BC16" i="3"/>
  <c r="BG12" i="3"/>
  <c r="BJ16" i="3"/>
  <c r="BK15" i="3"/>
  <c r="L16" i="3"/>
  <c r="AM16" i="3"/>
  <c r="AN16" i="3"/>
  <c r="AS16" i="3"/>
  <c r="AU16" i="3"/>
  <c r="AX16" i="3"/>
  <c r="BA16" i="3"/>
  <c r="BE16" i="3"/>
  <c r="G16" i="3"/>
  <c r="AF16" i="3"/>
  <c r="AI16" i="3"/>
  <c r="BI16" i="3"/>
  <c r="O15" i="3"/>
  <c r="P15" i="3"/>
  <c r="Q15" i="3"/>
  <c r="R15" i="3"/>
  <c r="S15" i="3"/>
  <c r="T15" i="3"/>
  <c r="U15" i="3"/>
  <c r="V15" i="3"/>
  <c r="W15" i="3"/>
  <c r="AD15" i="3"/>
  <c r="Z15" i="3"/>
  <c r="AR14" i="3"/>
  <c r="AY14" i="3"/>
  <c r="K15" i="3"/>
  <c r="N15" i="3"/>
  <c r="AJ15" i="3"/>
  <c r="AO15" i="3"/>
  <c r="AP15" i="3"/>
  <c r="AT15" i="3"/>
  <c r="AW15" i="3"/>
  <c r="AZ15" i="3"/>
  <c r="BC15" i="3"/>
  <c r="H12" i="3"/>
  <c r="K14" i="3"/>
  <c r="M12" i="3"/>
  <c r="N14" i="3"/>
  <c r="O13" i="3"/>
  <c r="O7" i="3"/>
  <c r="P13" i="3"/>
  <c r="Q13" i="3"/>
  <c r="Q7" i="3"/>
  <c r="R13" i="3"/>
  <c r="R7" i="3"/>
  <c r="S13" i="3"/>
  <c r="T13" i="3"/>
  <c r="T7" i="3"/>
  <c r="U13" i="3"/>
  <c r="U7" i="3"/>
  <c r="V13" i="3"/>
  <c r="W13" i="3"/>
  <c r="W7" i="3"/>
  <c r="Y15" i="3"/>
  <c r="AD13" i="3"/>
  <c r="AE15" i="3"/>
  <c r="AE9" i="3"/>
  <c r="AE3" i="3"/>
  <c r="AG13" i="3"/>
  <c r="AH15" i="3"/>
  <c r="AH9" i="3"/>
  <c r="AH3" i="3"/>
  <c r="AI11" i="3"/>
  <c r="AI5" i="3"/>
  <c r="Z13" i="3"/>
  <c r="Z7" i="3"/>
  <c r="AA10" i="3"/>
  <c r="AA4" i="3"/>
  <c r="AB13" i="3"/>
  <c r="AB7" i="3"/>
  <c r="AC10" i="3"/>
  <c r="AC4" i="3"/>
  <c r="AK12" i="3"/>
  <c r="AK6" i="3"/>
  <c r="AJ14" i="3"/>
  <c r="AJ8" i="3"/>
  <c r="AM10" i="3"/>
  <c r="AM4" i="3"/>
  <c r="AL12" i="3"/>
  <c r="AL6" i="3"/>
  <c r="AO14" i="3"/>
  <c r="AO8" i="3"/>
  <c r="AN10" i="3"/>
  <c r="AN4" i="3"/>
  <c r="AQ12" i="3"/>
  <c r="AQ6" i="3"/>
  <c r="AP14" i="3"/>
  <c r="AP8" i="3"/>
  <c r="AS10" i="3"/>
  <c r="AS4" i="3"/>
  <c r="AR12" i="3"/>
  <c r="AR6" i="3"/>
  <c r="AT14" i="3"/>
  <c r="AT8" i="3"/>
  <c r="AU10" i="3"/>
  <c r="AU4" i="3"/>
  <c r="AW14" i="3"/>
  <c r="AW8" i="3"/>
  <c r="AX10" i="3"/>
  <c r="AX4" i="3"/>
  <c r="AY12" i="3"/>
  <c r="AY6" i="3"/>
  <c r="AZ14" i="3"/>
  <c r="AZ8" i="3"/>
  <c r="BA10" i="3"/>
  <c r="BA4" i="3"/>
  <c r="BB12" i="3"/>
  <c r="BB6" i="3"/>
  <c r="L15" i="3"/>
  <c r="X15" i="3"/>
  <c r="AA15" i="3"/>
  <c r="AC15" i="3"/>
  <c r="AM15" i="3"/>
  <c r="AN15" i="3"/>
  <c r="AS15" i="3"/>
  <c r="AU15" i="3"/>
  <c r="AX15" i="3"/>
  <c r="BA15" i="3"/>
  <c r="BE15" i="3"/>
  <c r="BG15" i="3"/>
  <c r="AD10" i="3"/>
  <c r="AE12" i="3"/>
  <c r="AF14" i="3"/>
  <c r="AG10" i="3"/>
  <c r="AH12" i="3"/>
  <c r="AI14" i="3"/>
  <c r="AA13" i="3"/>
  <c r="AC13" i="3"/>
  <c r="AM13" i="3"/>
  <c r="AN13" i="3"/>
  <c r="AQ9" i="3"/>
  <c r="AS13" i="3"/>
  <c r="AR9" i="3"/>
  <c r="AU13" i="3"/>
  <c r="AX13" i="3"/>
  <c r="AY9" i="3"/>
  <c r="AZ11" i="3"/>
  <c r="BA13" i="3"/>
  <c r="BB9" i="3"/>
  <c r="BD11" i="3"/>
  <c r="BE13" i="3"/>
  <c r="BF9" i="3"/>
  <c r="BC11" i="3"/>
  <c r="BG13" i="3"/>
  <c r="BH9" i="3"/>
  <c r="BJ11" i="3"/>
  <c r="BI14" i="3"/>
  <c r="H14" i="3"/>
  <c r="M14" i="3"/>
  <c r="BH14" i="3"/>
  <c r="G12" i="3"/>
  <c r="H13" i="3"/>
  <c r="L11" i="3"/>
  <c r="M13" i="3"/>
  <c r="O14" i="3"/>
  <c r="T14" i="3"/>
  <c r="U14" i="3"/>
  <c r="V14" i="3"/>
  <c r="W14" i="3"/>
  <c r="X11" i="3"/>
  <c r="Y10" i="3"/>
  <c r="AD14" i="3"/>
  <c r="AG14" i="3"/>
  <c r="Z14" i="3"/>
  <c r="AB14" i="3"/>
  <c r="BK14" i="3"/>
  <c r="BD14" i="3"/>
  <c r="BD8" i="3"/>
  <c r="BE10" i="3"/>
  <c r="BE4" i="3"/>
  <c r="BF12" i="3"/>
  <c r="BF6" i="3"/>
  <c r="BC14" i="3"/>
  <c r="BC8" i="3"/>
  <c r="BG10" i="3"/>
  <c r="BG4" i="3"/>
  <c r="BH12" i="3"/>
  <c r="BH6" i="3"/>
  <c r="BJ14" i="3"/>
  <c r="BJ8" i="3"/>
  <c r="BI11" i="3"/>
  <c r="BI5" i="3"/>
  <c r="X9" i="3"/>
  <c r="Y14" i="3"/>
  <c r="AD12" i="3"/>
  <c r="AE14" i="3"/>
  <c r="AG12" i="3"/>
  <c r="AH14" i="3"/>
  <c r="AJ13" i="3"/>
  <c r="AL11" i="3"/>
  <c r="AO13" i="3"/>
  <c r="AR11" i="3"/>
  <c r="AW13" i="3"/>
  <c r="AY11" i="3"/>
  <c r="BJ13" i="3"/>
  <c r="BK12" i="3"/>
  <c r="G10" i="3"/>
  <c r="H11" i="3"/>
  <c r="K13" i="3"/>
  <c r="N13" i="3"/>
  <c r="P11" i="3"/>
  <c r="P5" i="3"/>
  <c r="R11" i="3"/>
  <c r="S11" i="3"/>
  <c r="S5" i="3"/>
  <c r="T11" i="3"/>
  <c r="U11" i="3"/>
  <c r="V11" i="3"/>
  <c r="V5" i="3"/>
  <c r="W11" i="3"/>
  <c r="X10" i="3"/>
  <c r="AD11" i="3"/>
  <c r="AE13" i="3"/>
  <c r="AE7" i="3"/>
  <c r="AF9" i="3"/>
  <c r="AG11" i="3"/>
  <c r="AH13" i="3"/>
  <c r="AH7" i="3"/>
  <c r="AI9" i="3"/>
  <c r="Z11" i="3"/>
  <c r="AA8" i="3"/>
  <c r="AB11" i="3"/>
  <c r="AC8" i="3"/>
  <c r="AJ12" i="3"/>
  <c r="AM8" i="3"/>
  <c r="AO12" i="3"/>
  <c r="AN8" i="3"/>
  <c r="AQ10" i="3"/>
  <c r="AP12" i="3"/>
  <c r="AS8" i="3"/>
  <c r="AR10" i="3"/>
  <c r="AT12" i="3"/>
  <c r="AU8" i="3"/>
  <c r="AW12" i="3"/>
  <c r="AZ12" i="3"/>
  <c r="BA8" i="3"/>
  <c r="BB10" i="3"/>
  <c r="BD12" i="3"/>
  <c r="BE8" i="3"/>
  <c r="BF10" i="3"/>
  <c r="BC12" i="3"/>
  <c r="BH10" i="3"/>
  <c r="BJ12" i="3"/>
  <c r="BI9" i="3"/>
  <c r="BK11" i="3"/>
  <c r="L13" i="3"/>
  <c r="AF13" i="3"/>
  <c r="AA12" i="3"/>
  <c r="BI13" i="3"/>
  <c r="G13" i="3"/>
  <c r="G7" i="3"/>
  <c r="H8" i="3"/>
  <c r="K10" i="3"/>
  <c r="L12" i="3"/>
  <c r="M8" i="3"/>
  <c r="N10" i="3"/>
  <c r="P8" i="3"/>
  <c r="S8" i="3"/>
  <c r="X13" i="3"/>
  <c r="AF12" i="3"/>
  <c r="AI12" i="3"/>
  <c r="AA11" i="3"/>
  <c r="AC11" i="3"/>
  <c r="AK13" i="3"/>
  <c r="AM11" i="3"/>
  <c r="AL13" i="3"/>
  <c r="AN11" i="3"/>
  <c r="AQ13" i="3"/>
  <c r="AS11" i="3"/>
  <c r="AR13" i="3"/>
  <c r="AU11" i="3"/>
  <c r="AX11" i="3"/>
  <c r="AY13" i="3"/>
  <c r="BA11" i="3"/>
  <c r="BB13" i="3"/>
  <c r="BE11" i="3"/>
  <c r="BF13" i="3"/>
  <c r="BG11" i="3"/>
  <c r="BH13" i="3"/>
  <c r="BI12" i="3"/>
  <c r="O12" i="3"/>
  <c r="P12" i="3"/>
  <c r="Q12" i="3"/>
  <c r="R12" i="3"/>
  <c r="S12" i="3"/>
  <c r="T12" i="3"/>
  <c r="U12" i="3"/>
  <c r="V12" i="3"/>
  <c r="W12" i="3"/>
  <c r="Z12" i="3"/>
  <c r="AB12" i="3"/>
  <c r="AK11" i="3"/>
  <c r="AQ11" i="3"/>
  <c r="AP13" i="3"/>
  <c r="AT13" i="3"/>
  <c r="AZ13" i="3"/>
  <c r="BD13" i="3"/>
  <c r="BC13" i="3"/>
  <c r="K7" i="3"/>
  <c r="L9" i="3"/>
  <c r="M11" i="3"/>
  <c r="N7" i="3"/>
  <c r="O11" i="3"/>
  <c r="Q11" i="3"/>
  <c r="X4" i="3"/>
  <c r="Y11" i="3"/>
  <c r="Y5" i="3"/>
  <c r="AK10" i="3"/>
  <c r="AL10" i="3"/>
  <c r="AX8" i="3"/>
  <c r="AY10" i="3"/>
  <c r="BG8" i="3"/>
  <c r="G9" i="3"/>
  <c r="H10" i="3"/>
  <c r="M10" i="3"/>
  <c r="U10" i="3"/>
  <c r="W10" i="3"/>
  <c r="Z10" i="3"/>
  <c r="AB10" i="3"/>
  <c r="AK9" i="3"/>
  <c r="AJ11" i="3"/>
  <c r="AL9" i="3"/>
  <c r="AO11" i="3"/>
  <c r="AP11" i="3"/>
  <c r="AT11" i="3"/>
  <c r="AW11" i="3"/>
  <c r="BK10" i="3"/>
  <c r="G8" i="3"/>
  <c r="K11" i="3"/>
  <c r="K5" i="3"/>
  <c r="L7" i="3"/>
  <c r="M9" i="3"/>
  <c r="M3" i="3"/>
  <c r="N11" i="3"/>
  <c r="N5" i="3"/>
  <c r="Y9" i="3"/>
  <c r="AD9" i="3"/>
  <c r="AE11" i="3"/>
  <c r="AG9" i="3"/>
  <c r="AH11" i="3"/>
  <c r="Z9" i="3"/>
  <c r="AB9" i="3"/>
  <c r="AC6" i="3"/>
  <c r="AK8" i="3"/>
  <c r="AJ10" i="3"/>
  <c r="AJ4" i="3"/>
  <c r="AM6" i="3"/>
  <c r="AL8" i="3"/>
  <c r="AO10" i="3"/>
  <c r="AO4" i="3"/>
  <c r="AN6" i="3"/>
  <c r="AQ8" i="3"/>
  <c r="AP10" i="3"/>
  <c r="AP4" i="3"/>
  <c r="AS6" i="3"/>
  <c r="AR8" i="3"/>
  <c r="AT10" i="3"/>
  <c r="AT4" i="3"/>
  <c r="AU6" i="3"/>
  <c r="AW10" i="3"/>
  <c r="AW4" i="3"/>
  <c r="AX6" i="3"/>
  <c r="AY8" i="3"/>
  <c r="AZ10" i="3"/>
  <c r="AZ4" i="3"/>
  <c r="BA6" i="3"/>
  <c r="BB8" i="3"/>
  <c r="BD10" i="3"/>
  <c r="BD4" i="3"/>
  <c r="BE6" i="3"/>
  <c r="BF8" i="3"/>
  <c r="BC10" i="3"/>
  <c r="BC4" i="3"/>
  <c r="BG6" i="3"/>
  <c r="AD7" i="3"/>
  <c r="AF11" i="3"/>
  <c r="G11" i="3"/>
  <c r="BB11" i="3"/>
  <c r="BF11" i="3"/>
  <c r="BH11" i="3"/>
  <c r="H9" i="3"/>
  <c r="H3" i="3"/>
  <c r="X8" i="3"/>
  <c r="BH8" i="3"/>
  <c r="BJ10" i="3"/>
  <c r="BK9" i="3"/>
  <c r="AE10" i="3"/>
  <c r="AH10" i="3"/>
  <c r="BJ9" i="3"/>
  <c r="BK8" i="3"/>
  <c r="K9" i="3"/>
  <c r="N9" i="3"/>
  <c r="L10" i="3"/>
  <c r="AF10" i="3"/>
  <c r="AI10" i="3"/>
  <c r="BI10" i="3"/>
  <c r="O9" i="3"/>
  <c r="P9" i="3"/>
  <c r="Q9" i="3"/>
  <c r="R9" i="3"/>
  <c r="S9" i="3"/>
  <c r="T9" i="3"/>
  <c r="U9" i="3"/>
  <c r="U3" i="3"/>
  <c r="V9" i="3"/>
  <c r="W9" i="3"/>
  <c r="AJ9" i="3"/>
  <c r="AO9" i="3"/>
  <c r="AP9" i="3"/>
  <c r="AT9" i="3"/>
  <c r="AW9" i="3"/>
  <c r="AZ9" i="3"/>
  <c r="BD9" i="3"/>
  <c r="BC9" i="3"/>
  <c r="AF5" i="3"/>
  <c r="O6" i="3"/>
  <c r="R6" i="3"/>
  <c r="U6" i="3"/>
  <c r="AA9" i="3"/>
  <c r="AC9" i="3"/>
  <c r="AM9" i="3"/>
  <c r="AN9" i="3"/>
  <c r="AS9" i="3"/>
  <c r="AU9" i="3"/>
  <c r="AX9" i="3"/>
  <c r="BA9" i="3"/>
  <c r="BE9" i="3"/>
  <c r="BG9" i="3"/>
  <c r="V8" i="3"/>
  <c r="AE6" i="3"/>
  <c r="AF8" i="3"/>
  <c r="AH6" i="3"/>
  <c r="AI8" i="3"/>
  <c r="AA7" i="3"/>
  <c r="AJ5" i="3"/>
  <c r="AM7" i="3"/>
  <c r="AO5" i="3"/>
  <c r="AN7" i="3"/>
  <c r="AQ3" i="3"/>
  <c r="AP5" i="3"/>
  <c r="AS7" i="3"/>
  <c r="AR3" i="3"/>
  <c r="AT5" i="3"/>
  <c r="AU7" i="3"/>
  <c r="AW5" i="3"/>
  <c r="AX7" i="3"/>
  <c r="AY3" i="3"/>
  <c r="AZ5" i="3"/>
  <c r="BA7" i="3"/>
  <c r="BB3" i="3"/>
  <c r="BD5" i="3"/>
  <c r="BE7" i="3"/>
  <c r="BF3" i="3"/>
  <c r="BC5" i="3"/>
  <c r="BG7" i="3"/>
  <c r="BH3" i="3"/>
  <c r="BJ5" i="3"/>
  <c r="BI8" i="3"/>
  <c r="BK4" i="3"/>
  <c r="L5" i="3"/>
  <c r="K8" i="3"/>
  <c r="N8" i="3"/>
  <c r="Q8" i="3"/>
  <c r="T8" i="3"/>
  <c r="W8" i="3"/>
  <c r="Y8" i="3"/>
  <c r="AD8" i="3"/>
  <c r="AG8" i="3"/>
  <c r="Z8" i="3"/>
  <c r="AB8" i="3"/>
  <c r="H4" i="3"/>
  <c r="K6" i="3"/>
  <c r="L8" i="3"/>
  <c r="M4" i="3"/>
  <c r="N6" i="3"/>
  <c r="O8" i="3"/>
  <c r="R8" i="3"/>
  <c r="U8" i="3"/>
  <c r="X5" i="3"/>
  <c r="AE8" i="3"/>
  <c r="AH8" i="3"/>
  <c r="AC7" i="3"/>
  <c r="O5" i="3"/>
  <c r="P7" i="3"/>
  <c r="R5" i="3"/>
  <c r="S7" i="3"/>
  <c r="V7" i="3"/>
  <c r="Y7" i="3"/>
  <c r="AE5" i="3"/>
  <c r="AF7" i="3"/>
  <c r="AH5" i="3"/>
  <c r="AI7" i="3"/>
  <c r="AA6" i="3"/>
  <c r="BI7" i="3"/>
  <c r="AK7" i="3"/>
  <c r="AL7" i="3"/>
  <c r="AQ7" i="3"/>
  <c r="AR7" i="3"/>
  <c r="AY7" i="3"/>
  <c r="BB7" i="3"/>
  <c r="BF7" i="3"/>
  <c r="BH7" i="3"/>
  <c r="G6" i="3"/>
  <c r="H7" i="3"/>
  <c r="M7" i="3"/>
  <c r="AG7" i="3"/>
  <c r="G5" i="3"/>
  <c r="H6" i="3"/>
  <c r="Q6" i="3"/>
  <c r="T6" i="3"/>
  <c r="W6" i="3"/>
  <c r="X7" i="3"/>
  <c r="AJ7" i="3"/>
  <c r="AO7" i="3"/>
  <c r="AP7" i="3"/>
  <c r="AT7" i="3"/>
  <c r="AW7" i="3"/>
  <c r="AZ7" i="3"/>
  <c r="BD7" i="3"/>
  <c r="BC7" i="3"/>
  <c r="BJ7" i="3"/>
  <c r="G4" i="3"/>
  <c r="H5" i="3"/>
  <c r="L3" i="3"/>
  <c r="M5" i="3"/>
  <c r="P3" i="3"/>
  <c r="Q5" i="3"/>
  <c r="S3" i="3"/>
  <c r="T5" i="3"/>
  <c r="V3" i="3"/>
  <c r="W5" i="3"/>
  <c r="X6" i="3"/>
  <c r="Y3" i="3"/>
  <c r="AD5" i="3"/>
  <c r="AF3" i="3"/>
  <c r="AG5" i="3"/>
  <c r="AI3" i="3"/>
  <c r="Z5" i="3"/>
  <c r="AB5" i="3"/>
  <c r="AK4" i="3"/>
  <c r="AJ6" i="3"/>
  <c r="AL4" i="3"/>
  <c r="AO6" i="3"/>
  <c r="AQ4" i="3"/>
  <c r="AP6" i="3"/>
  <c r="AR4" i="3"/>
  <c r="AT6" i="3"/>
  <c r="AW6" i="3"/>
  <c r="AY4" i="3"/>
  <c r="AZ6" i="3"/>
  <c r="BB4" i="3"/>
  <c r="BD6" i="3"/>
  <c r="BF4" i="3"/>
  <c r="BC6" i="3"/>
  <c r="BH4" i="3"/>
  <c r="BJ6" i="3"/>
  <c r="BI3" i="3"/>
  <c r="BK5" i="3"/>
  <c r="U5" i="3"/>
  <c r="K4" i="3"/>
  <c r="L6" i="3"/>
  <c r="N4" i="3"/>
  <c r="O4" i="3"/>
  <c r="P6" i="3"/>
  <c r="S6" i="3"/>
  <c r="V6" i="3"/>
  <c r="Y6" i="3"/>
  <c r="AF6" i="3"/>
  <c r="AI6" i="3"/>
  <c r="AA5" i="3"/>
  <c r="AC5" i="3"/>
  <c r="AM5" i="3"/>
  <c r="AN5" i="3"/>
  <c r="AS5" i="3"/>
  <c r="AU5" i="3"/>
  <c r="AX5" i="3"/>
  <c r="BA5" i="3"/>
  <c r="BE5" i="3"/>
  <c r="BG5" i="3"/>
  <c r="BJ3" i="3"/>
  <c r="BI6" i="3"/>
  <c r="M6" i="3"/>
  <c r="AD6" i="3"/>
  <c r="AG6" i="3"/>
  <c r="Z6" i="3"/>
  <c r="AB6" i="3"/>
  <c r="AK5" i="3"/>
  <c r="AL5" i="3"/>
  <c r="AQ5" i="3"/>
  <c r="AR5" i="3"/>
  <c r="AY5" i="3"/>
  <c r="BB5" i="3"/>
  <c r="BF5" i="3"/>
  <c r="BH5" i="3"/>
  <c r="BK6" i="3"/>
  <c r="W4" i="3"/>
  <c r="AD4" i="3"/>
  <c r="AG4" i="3"/>
  <c r="Z4" i="3"/>
  <c r="AB4" i="3"/>
  <c r="AK3" i="3"/>
  <c r="AL3" i="3"/>
  <c r="BJ4" i="3"/>
  <c r="R4" i="3"/>
  <c r="U4" i="3"/>
  <c r="X3" i="3"/>
  <c r="AE4" i="3"/>
  <c r="AH4" i="3"/>
  <c r="AJ3" i="3"/>
  <c r="AO3" i="3"/>
  <c r="AP3" i="3"/>
  <c r="AT3" i="3"/>
  <c r="AW3" i="3"/>
  <c r="AZ3" i="3"/>
  <c r="BD3" i="3"/>
  <c r="BC3" i="3"/>
  <c r="N3" i="3"/>
  <c r="L4" i="3"/>
  <c r="P4" i="3"/>
  <c r="S4" i="3"/>
  <c r="V4" i="3"/>
  <c r="Y4" i="3"/>
  <c r="AF4" i="3"/>
  <c r="AI4" i="3"/>
  <c r="BI4" i="3"/>
  <c r="Q3" i="3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4" i="4"/>
  <c r="AH2" i="3"/>
  <c r="CH9" i="4"/>
  <c r="CG48" i="4" s="1"/>
  <c r="EH9" i="4"/>
  <c r="BA2" i="3"/>
  <c r="O47" i="4"/>
  <c r="O44" i="4"/>
  <c r="AD44" i="4"/>
  <c r="AD47" i="4"/>
  <c r="M2" i="3"/>
  <c r="V9" i="4"/>
  <c r="AS47" i="4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C44" i="4" l="1"/>
  <c r="C47" i="4"/>
  <c r="C49" i="4" s="1"/>
  <c r="BF44" i="4"/>
  <c r="AV47" i="4"/>
  <c r="CK48" i="4"/>
  <c r="CK49" i="4" s="1"/>
  <c r="CK45" i="4"/>
  <c r="AA44" i="4"/>
  <c r="AA47" i="4"/>
  <c r="X44" i="4"/>
  <c r="X47" i="4"/>
  <c r="AB2" i="3"/>
  <c r="G2" i="1" s="1"/>
  <c r="CR9" i="4"/>
  <c r="F45" i="4"/>
  <c r="F48" i="4"/>
  <c r="F49" i="4" s="1"/>
  <c r="CQ47" i="4"/>
  <c r="CQ44" i="4"/>
  <c r="AG2" i="3"/>
  <c r="CF9" i="4"/>
  <c r="CE48" i="4" s="1"/>
  <c r="CN48" i="4"/>
  <c r="CN45" i="4"/>
  <c r="U44" i="4"/>
  <c r="U47" i="4"/>
  <c r="E2" i="1"/>
  <c r="BC44" i="4"/>
  <c r="AZ44" i="4"/>
  <c r="AA51" i="4" l="1"/>
  <c r="CN44" i="4"/>
  <c r="CN47" i="4"/>
  <c r="CN49" i="4" s="1"/>
  <c r="CQ48" i="4"/>
  <c r="CQ49" i="4" s="1"/>
  <c r="CQ45" i="4"/>
  <c r="AA50" i="4"/>
  <c r="P16" i="4" l="1"/>
  <c r="S16" i="4"/>
  <c r="BA16" i="4"/>
  <c r="BD16" i="4"/>
  <c r="BG16" i="4"/>
  <c r="P17" i="4"/>
  <c r="S17" i="4"/>
  <c r="BA17" i="4"/>
  <c r="BD17" i="4"/>
  <c r="BG17" i="4"/>
  <c r="V17" i="4" l="1"/>
  <c r="Y17" i="4"/>
  <c r="AB17" i="4"/>
  <c r="AE17" i="4"/>
  <c r="AH17" i="4"/>
  <c r="AK17" i="4"/>
  <c r="AN17" i="4"/>
  <c r="AQ17" i="4"/>
  <c r="AT17" i="4"/>
  <c r="AW17" i="4"/>
  <c r="V18" i="4"/>
  <c r="Y18" i="4"/>
  <c r="AB18" i="4"/>
  <c r="AE18" i="4"/>
  <c r="AH18" i="4"/>
  <c r="AK18" i="4"/>
  <c r="AN18" i="4"/>
  <c r="AQ18" i="4"/>
  <c r="AT18" i="4"/>
  <c r="AW18" i="4"/>
  <c r="AV48" i="4" l="1"/>
  <c r="AV49" i="4" s="1"/>
  <c r="AV45" i="4"/>
  <c r="AD45" i="4"/>
  <c r="AD48" i="4"/>
  <c r="AD49" i="4" s="1"/>
  <c r="AS48" i="4"/>
  <c r="AS49" i="4" s="1"/>
  <c r="AS45" i="4"/>
  <c r="AA45" i="4"/>
  <c r="AA48" i="4"/>
  <c r="AA49" i="4" s="1"/>
  <c r="AP48" i="4"/>
  <c r="AP49" i="4" s="1"/>
  <c r="AP45" i="4"/>
  <c r="X48" i="4"/>
  <c r="X49" i="4" s="1"/>
  <c r="X45" i="4"/>
  <c r="AM45" i="4"/>
  <c r="AM48" i="4"/>
  <c r="AM49" i="4" s="1"/>
  <c r="U45" i="4"/>
  <c r="U48" i="4"/>
  <c r="AJ45" i="4"/>
  <c r="AJ48" i="4"/>
  <c r="AJ49" i="4" s="1"/>
  <c r="AG45" i="4"/>
  <c r="AG48" i="4"/>
  <c r="AG49" i="4" s="1"/>
  <c r="U49" i="4" l="1"/>
  <c r="AM50" i="4"/>
  <c r="AV50" i="4" s="1"/>
  <c r="AM51" i="4"/>
  <c r="AV51" i="4" s="1"/>
  <c r="P21" i="4" l="1"/>
  <c r="P22" i="4"/>
  <c r="S22" i="4"/>
  <c r="BA22" i="4"/>
  <c r="BD22" i="4"/>
  <c r="BG22" i="4"/>
  <c r="P23" i="4"/>
  <c r="S23" i="4"/>
  <c r="BA23" i="4"/>
  <c r="BD23" i="4"/>
  <c r="BG23" i="4"/>
  <c r="BF45" i="4" l="1"/>
  <c r="BF46" i="4" s="1"/>
  <c r="BF48" i="4"/>
  <c r="BF49" i="4" s="1"/>
  <c r="BC45" i="4"/>
  <c r="BC46" i="4" s="1"/>
  <c r="BC48" i="4"/>
  <c r="BC49" i="4" s="1"/>
  <c r="AZ45" i="4"/>
  <c r="AZ46" i="4" s="1"/>
  <c r="AZ48" i="4"/>
  <c r="R48" i="4"/>
  <c r="R49" i="4" s="1"/>
  <c r="O45" i="4"/>
  <c r="O48" i="4"/>
  <c r="O49" i="4" s="1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<sst xmlns="http://schemas.openxmlformats.org/spreadsheetml/2006/main" count="407" uniqueCount="202">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</sst>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114355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114743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221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115117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184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B12">
            <v>0.76</v>
          </cell>
          <cell r="E12">
            <v>245300</v>
          </cell>
          <cell r="F12">
            <v>620</v>
          </cell>
          <cell r="G12">
            <v>534</v>
          </cell>
          <cell r="H12">
            <v>267089</v>
          </cell>
          <cell r="I12">
            <v>457</v>
          </cell>
          <cell r="J12">
            <v>115539</v>
          </cell>
          <cell r="K12">
            <v>16416</v>
          </cell>
          <cell r="L12">
            <v>208</v>
          </cell>
          <cell r="N12">
            <v>930563</v>
          </cell>
          <cell r="O12">
            <v>120</v>
          </cell>
          <cell r="Q12">
            <v>245900</v>
          </cell>
          <cell r="R12">
            <v>16</v>
          </cell>
          <cell r="U12">
            <v>120562</v>
          </cell>
          <cell r="V12">
            <v>70</v>
          </cell>
          <cell r="W12">
            <v>226</v>
          </cell>
          <cell r="X12">
            <v>6750</v>
          </cell>
          <cell r="Y12">
            <v>5</v>
          </cell>
          <cell r="AE12">
            <v>8286297.5999999996</v>
          </cell>
          <cell r="AF12">
            <v>1948.7999999998137</v>
          </cell>
          <cell r="AG12">
            <v>3312.9599999999627</v>
          </cell>
          <cell r="AH12">
            <v>15736316.4</v>
          </cell>
          <cell r="AI12">
            <v>4677.1199999991804</v>
          </cell>
          <cell r="AJ12">
            <v>4725.8400000017136</v>
          </cell>
          <cell r="AK12">
            <v>15922572.959999999</v>
          </cell>
          <cell r="AL12">
            <v>0</v>
          </cell>
          <cell r="AM12">
            <v>0</v>
          </cell>
          <cell r="AN12">
            <v>19063648.800000001</v>
          </cell>
          <cell r="AO12">
            <v>8087.519999999553</v>
          </cell>
          <cell r="AP12">
            <v>146.16000000014901</v>
          </cell>
          <cell r="AQ12">
            <v>19334239.68</v>
          </cell>
          <cell r="AR12">
            <v>535.91999999806285</v>
          </cell>
          <cell r="AS12">
            <v>7990.0800000019372</v>
          </cell>
          <cell r="AT12">
            <v>17872444.800000001</v>
          </cell>
          <cell r="AU12">
            <v>5115.6000000014901</v>
          </cell>
          <cell r="AV12">
            <v>5700.2400000002235</v>
          </cell>
          <cell r="AW12">
            <v>15024858.24</v>
          </cell>
          <cell r="AX12">
            <v>3800.160000000149</v>
          </cell>
          <cell r="AY12">
            <v>3946.320000000298</v>
          </cell>
          <cell r="AZ12">
            <v>14569472.4</v>
          </cell>
          <cell r="BA12">
            <v>4530.9600000008941</v>
          </cell>
          <cell r="BB12">
            <v>4092.480000000447</v>
          </cell>
          <cell r="BC12">
            <v>11353513.92</v>
          </cell>
          <cell r="BD12">
            <v>2971.9199999999255</v>
          </cell>
          <cell r="BE12">
            <v>3215.5200000014156</v>
          </cell>
          <cell r="BF12">
            <v>18025230.719999999</v>
          </cell>
          <cell r="BG12">
            <v>5748.9599999971688</v>
          </cell>
          <cell r="BH12">
            <v>5407.9199999999255</v>
          </cell>
          <cell r="BM12">
            <v>78651900</v>
          </cell>
          <cell r="BN12">
            <v>0</v>
          </cell>
          <cell r="BO12">
            <v>0</v>
          </cell>
          <cell r="BP12">
            <v>81579600</v>
          </cell>
          <cell r="BQ12">
            <v>32600</v>
          </cell>
          <cell r="BR12">
            <v>0</v>
          </cell>
          <cell r="BS12">
            <v>75558200</v>
          </cell>
          <cell r="BT12">
            <v>3000</v>
          </cell>
          <cell r="BU12">
            <v>38700</v>
          </cell>
          <cell r="BV12">
            <v>10614070</v>
          </cell>
          <cell r="BW12">
            <v>6390</v>
          </cell>
          <cell r="BY12">
            <v>0.59</v>
          </cell>
          <cell r="BZ12">
            <v>7.0000000000000062E-2</v>
          </cell>
          <cell r="CA12">
            <v>6.0000000000000053E-2</v>
          </cell>
          <cell r="CB12">
            <v>65399</v>
          </cell>
          <cell r="CC12">
            <v>15</v>
          </cell>
          <cell r="CD12">
            <v>56535</v>
          </cell>
          <cell r="CE12">
            <v>20</v>
          </cell>
          <cell r="CF12">
            <v>19088</v>
          </cell>
          <cell r="CG12">
            <v>7</v>
          </cell>
          <cell r="CH12">
            <v>26152</v>
          </cell>
          <cell r="CI12">
            <v>10</v>
          </cell>
          <cell r="CJ12">
            <v>29319</v>
          </cell>
          <cell r="CK12">
            <v>16</v>
          </cell>
          <cell r="CL12">
            <v>64507</v>
          </cell>
          <cell r="CM12">
            <v>36</v>
          </cell>
          <cell r="CN12">
            <v>272347</v>
          </cell>
          <cell r="CO12">
            <v>73</v>
          </cell>
          <cell r="CP12">
            <v>107</v>
          </cell>
          <cell r="CQ12">
            <v>221570</v>
          </cell>
          <cell r="CR12">
            <v>126</v>
          </cell>
          <cell r="CT12">
            <v>370549</v>
          </cell>
          <cell r="CU12">
            <v>262</v>
          </cell>
          <cell r="CV12">
            <v>255</v>
          </cell>
          <cell r="CW12">
            <v>704512</v>
          </cell>
          <cell r="CX12">
            <v>172</v>
          </cell>
          <cell r="CZ12">
            <v>9345</v>
          </cell>
          <cell r="DA12">
            <v>7</v>
          </cell>
          <cell r="DB12">
            <v>6329</v>
          </cell>
          <cell r="DC12">
            <v>5</v>
          </cell>
          <cell r="DD12">
            <v>33041</v>
          </cell>
          <cell r="DE12">
            <v>15</v>
          </cell>
          <cell r="DF12">
            <v>33185</v>
          </cell>
          <cell r="DG12">
            <v>15</v>
          </cell>
          <cell r="DH12">
            <v>22443</v>
          </cell>
          <cell r="DI12">
            <v>8</v>
          </cell>
          <cell r="DJ12">
            <v>24371</v>
          </cell>
          <cell r="DK12">
            <v>5</v>
          </cell>
          <cell r="DL12">
            <v>7726</v>
          </cell>
          <cell r="DM12">
            <v>12</v>
          </cell>
          <cell r="DN12">
            <v>10232</v>
          </cell>
          <cell r="DO12">
            <v>11</v>
          </cell>
          <cell r="DP12">
            <v>3532</v>
          </cell>
          <cell r="DQ12">
            <v>6</v>
          </cell>
          <cell r="DR12">
            <v>6920</v>
          </cell>
          <cell r="DS12">
            <v>9</v>
          </cell>
          <cell r="DT12">
            <v>30514</v>
          </cell>
          <cell r="DU12">
            <v>0</v>
          </cell>
          <cell r="DW12">
            <v>6960.4</v>
          </cell>
          <cell r="DX12">
            <v>11.799999999999272</v>
          </cell>
          <cell r="DY12">
            <v>11727.2</v>
          </cell>
          <cell r="DZ12">
            <v>7.8000000000010914</v>
          </cell>
          <cell r="EA12">
            <v>5166.2</v>
          </cell>
          <cell r="EB12">
            <v>6.0999999999994543</v>
          </cell>
          <cell r="EC12">
            <v>5762.5</v>
          </cell>
          <cell r="ED12">
            <v>7.8999999999996362</v>
          </cell>
          <cell r="EE12">
            <v>1158881</v>
          </cell>
          <cell r="EF12">
            <v>602</v>
          </cell>
          <cell r="EI12">
            <v>239779.7</v>
          </cell>
          <cell r="EJ12">
            <v>155.70000000001164</v>
          </cell>
          <cell r="EL12">
            <v>12298700</v>
          </cell>
          <cell r="EM12">
            <v>2600</v>
          </cell>
          <cell r="EN12">
            <v>947000</v>
          </cell>
          <cell r="EO12">
            <v>220</v>
          </cell>
          <cell r="EP12">
            <v>7299500</v>
          </cell>
          <cell r="EQ12">
            <v>800</v>
          </cell>
          <cell r="ER12">
            <v>2512300</v>
          </cell>
          <cell r="ES12">
            <v>400</v>
          </cell>
          <cell r="ET12">
            <v>1309460</v>
          </cell>
          <cell r="EU12">
            <v>620</v>
          </cell>
          <cell r="EV12">
            <v>16741100</v>
          </cell>
          <cell r="EW12">
            <v>700</v>
          </cell>
          <cell r="EY12">
            <v>43028</v>
          </cell>
          <cell r="EZ12">
            <v>17</v>
          </cell>
          <cell r="FA12">
            <v>37516</v>
          </cell>
          <cell r="FB12">
            <v>12</v>
          </cell>
          <cell r="FC12">
            <v>8110</v>
          </cell>
          <cell r="FD12">
            <v>12</v>
          </cell>
          <cell r="FE12">
            <v>60095</v>
          </cell>
          <cell r="FF12">
            <v>14</v>
          </cell>
          <cell r="FG12">
            <v>51516</v>
          </cell>
          <cell r="FH12">
            <v>38</v>
          </cell>
        </row>
        <row r="13">
          <cell r="B13">
            <v>0.69</v>
          </cell>
          <cell r="E13">
            <v>245833</v>
          </cell>
          <cell r="F13">
            <v>533</v>
          </cell>
          <cell r="G13">
            <v>606</v>
          </cell>
          <cell r="H13">
            <v>267514</v>
          </cell>
          <cell r="I13">
            <v>425</v>
          </cell>
          <cell r="J13">
            <v>116003</v>
          </cell>
          <cell r="K13">
            <v>16641</v>
          </cell>
          <cell r="L13">
            <v>225</v>
          </cell>
          <cell r="N13">
            <v>930787</v>
          </cell>
          <cell r="O13">
            <v>224</v>
          </cell>
          <cell r="Q13">
            <v>245905</v>
          </cell>
          <cell r="R13">
            <v>5</v>
          </cell>
          <cell r="U13">
            <v>120633</v>
          </cell>
          <cell r="V13">
            <v>71</v>
          </cell>
          <cell r="W13">
            <v>171</v>
          </cell>
          <cell r="X13">
            <v>6760</v>
          </cell>
          <cell r="Y13">
            <v>10</v>
          </cell>
          <cell r="AE13">
            <v>8288295.1199999992</v>
          </cell>
          <cell r="AF13">
            <v>1997.519999999553</v>
          </cell>
          <cell r="AG13">
            <v>2241.1200000001118</v>
          </cell>
          <cell r="AH13">
            <v>15741090.959999999</v>
          </cell>
          <cell r="AI13">
            <v>4774.5599999986589</v>
          </cell>
          <cell r="AJ13">
            <v>5066.8800000008196</v>
          </cell>
          <cell r="AK13">
            <v>15923596.08</v>
          </cell>
          <cell r="AL13">
            <v>1023.1200000010431</v>
          </cell>
          <cell r="AM13">
            <v>0</v>
          </cell>
          <cell r="AN13">
            <v>19071200.399999999</v>
          </cell>
          <cell r="AO13">
            <v>7551.5999999977648</v>
          </cell>
          <cell r="AP13">
            <v>9744</v>
          </cell>
          <cell r="AQ13">
            <v>19334288.399999999</v>
          </cell>
          <cell r="AR13">
            <v>48.719999998807907</v>
          </cell>
          <cell r="AS13">
            <v>1656.480000000447</v>
          </cell>
          <cell r="AT13">
            <v>17878583.52</v>
          </cell>
          <cell r="AU13">
            <v>6138.7199999988079</v>
          </cell>
          <cell r="AV13">
            <v>5992.5599999986589</v>
          </cell>
          <cell r="AW13">
            <v>15028560.959999999</v>
          </cell>
          <cell r="AX13">
            <v>3702.7199999988079</v>
          </cell>
          <cell r="AY13">
            <v>4384.7999999988824</v>
          </cell>
          <cell r="AZ13">
            <v>14573759.76</v>
          </cell>
          <cell r="BA13">
            <v>4287.359999999404</v>
          </cell>
          <cell r="BB13">
            <v>4482.2400000002235</v>
          </cell>
          <cell r="BC13">
            <v>11356583.280000001</v>
          </cell>
          <cell r="BD13">
            <v>3069.3600000012666</v>
          </cell>
          <cell r="BE13">
            <v>4043.7599999997765</v>
          </cell>
          <cell r="BF13">
            <v>18030833.52</v>
          </cell>
          <cell r="BG13">
            <v>5602.8000000007451</v>
          </cell>
          <cell r="BH13">
            <v>6090</v>
          </cell>
          <cell r="BM13">
            <v>78656200</v>
          </cell>
          <cell r="BN13">
            <v>4300</v>
          </cell>
          <cell r="BO13">
            <v>0</v>
          </cell>
          <cell r="BP13">
            <v>81612700</v>
          </cell>
          <cell r="BQ13">
            <v>33100</v>
          </cell>
          <cell r="BR13">
            <v>40000</v>
          </cell>
          <cell r="BS13">
            <v>75558200</v>
          </cell>
          <cell r="BT13">
            <v>0</v>
          </cell>
          <cell r="BU13">
            <v>2800</v>
          </cell>
          <cell r="BV13">
            <v>10620300</v>
          </cell>
          <cell r="BW13">
            <v>6230</v>
          </cell>
          <cell r="BY13">
            <v>0.5</v>
          </cell>
          <cell r="BZ13">
            <v>8.9999999999999969E-2</v>
          </cell>
          <cell r="CA13">
            <v>-0.15000000000000002</v>
          </cell>
          <cell r="CB13">
            <v>65415</v>
          </cell>
          <cell r="CC13">
            <v>16</v>
          </cell>
          <cell r="CD13">
            <v>56557</v>
          </cell>
          <cell r="CE13">
            <v>22</v>
          </cell>
          <cell r="CF13">
            <v>19094</v>
          </cell>
          <cell r="CG13">
            <v>6</v>
          </cell>
          <cell r="CH13">
            <v>26161</v>
          </cell>
          <cell r="CI13">
            <v>9</v>
          </cell>
          <cell r="CJ13">
            <v>29334</v>
          </cell>
          <cell r="CK13">
            <v>15</v>
          </cell>
          <cell r="CL13">
            <v>64541</v>
          </cell>
          <cell r="CM13">
            <v>34</v>
          </cell>
          <cell r="CN13">
            <v>272422</v>
          </cell>
          <cell r="CO13">
            <v>75</v>
          </cell>
          <cell r="CP13">
            <v>113</v>
          </cell>
          <cell r="CQ13">
            <v>221695</v>
          </cell>
          <cell r="CR13">
            <v>125</v>
          </cell>
          <cell r="CT13">
            <v>370812</v>
          </cell>
          <cell r="CU13">
            <v>263</v>
          </cell>
          <cell r="CV13">
            <v>310</v>
          </cell>
          <cell r="CW13">
            <v>704686</v>
          </cell>
          <cell r="CX13">
            <v>174</v>
          </cell>
          <cell r="CZ13">
            <v>9352</v>
          </cell>
          <cell r="DA13">
            <v>7</v>
          </cell>
          <cell r="DB13">
            <v>6333</v>
          </cell>
          <cell r="DC13">
            <v>4</v>
          </cell>
          <cell r="DD13">
            <v>33057</v>
          </cell>
          <cell r="DE13">
            <v>16</v>
          </cell>
          <cell r="DF13">
            <v>33201</v>
          </cell>
          <cell r="DG13">
            <v>16</v>
          </cell>
          <cell r="DH13">
            <v>22452</v>
          </cell>
          <cell r="DI13">
            <v>9</v>
          </cell>
          <cell r="DJ13">
            <v>24375</v>
          </cell>
          <cell r="DK13">
            <v>4</v>
          </cell>
          <cell r="DL13">
            <v>7738</v>
          </cell>
          <cell r="DM13">
            <v>12</v>
          </cell>
          <cell r="DN13">
            <v>10241</v>
          </cell>
          <cell r="DO13">
            <v>9</v>
          </cell>
          <cell r="DP13">
            <v>3535</v>
          </cell>
          <cell r="DQ13">
            <v>3</v>
          </cell>
          <cell r="DR13">
            <v>6927</v>
          </cell>
          <cell r="DS13">
            <v>7</v>
          </cell>
          <cell r="DT13">
            <v>30518</v>
          </cell>
          <cell r="DU13">
            <v>4</v>
          </cell>
          <cell r="DW13">
            <v>6971.2</v>
          </cell>
          <cell r="DX13">
            <v>10.800000000000182</v>
          </cell>
          <cell r="DY13">
            <v>11735.1</v>
          </cell>
          <cell r="DZ13">
            <v>7.8999999999996362</v>
          </cell>
          <cell r="EA13">
            <v>5172</v>
          </cell>
          <cell r="EB13">
            <v>5.8000000000001819</v>
          </cell>
          <cell r="EC13">
            <v>5770</v>
          </cell>
          <cell r="ED13">
            <v>7.5</v>
          </cell>
          <cell r="EE13">
            <v>1159411</v>
          </cell>
          <cell r="EF13">
            <v>530</v>
          </cell>
          <cell r="EI13">
            <v>239930.4</v>
          </cell>
          <cell r="EJ13">
            <v>150.69999999998254</v>
          </cell>
          <cell r="EL13">
            <v>12301300</v>
          </cell>
          <cell r="EM13">
            <v>2600</v>
          </cell>
          <cell r="EN13">
            <v>947250</v>
          </cell>
          <cell r="EO13">
            <v>250</v>
          </cell>
          <cell r="EP13">
            <v>7300300</v>
          </cell>
          <cell r="EQ13">
            <v>800</v>
          </cell>
          <cell r="ER13">
            <v>2512800</v>
          </cell>
          <cell r="ES13">
            <v>500</v>
          </cell>
          <cell r="ET13">
            <v>1310100</v>
          </cell>
          <cell r="EU13">
            <v>640</v>
          </cell>
          <cell r="EV13">
            <v>16742300</v>
          </cell>
          <cell r="EW13">
            <v>1200</v>
          </cell>
          <cell r="EY13">
            <v>43045</v>
          </cell>
          <cell r="EZ13">
            <v>17</v>
          </cell>
          <cell r="FA13">
            <v>37526</v>
          </cell>
          <cell r="FB13">
            <v>10</v>
          </cell>
          <cell r="FC13">
            <v>8120</v>
          </cell>
          <cell r="FD13">
            <v>10</v>
          </cell>
          <cell r="FE13">
            <v>60107</v>
          </cell>
          <cell r="FF13">
            <v>12</v>
          </cell>
          <cell r="FG13">
            <v>51547</v>
          </cell>
          <cell r="FH13">
            <v>31</v>
          </cell>
        </row>
        <row r="14">
          <cell r="B14">
            <v>0.72</v>
          </cell>
          <cell r="E14">
            <v>246351</v>
          </cell>
          <cell r="F14">
            <v>518</v>
          </cell>
          <cell r="G14">
            <v>492</v>
          </cell>
          <cell r="H14">
            <v>267899</v>
          </cell>
          <cell r="I14">
            <v>385</v>
          </cell>
          <cell r="J14">
            <v>116374</v>
          </cell>
          <cell r="K14">
            <v>16824</v>
          </cell>
          <cell r="L14">
            <v>183</v>
          </cell>
          <cell r="N14">
            <v>930939</v>
          </cell>
          <cell r="O14">
            <v>152</v>
          </cell>
          <cell r="Q14">
            <v>245921</v>
          </cell>
          <cell r="R14">
            <v>16</v>
          </cell>
          <cell r="U14">
            <v>120701</v>
          </cell>
          <cell r="V14">
            <v>68</v>
          </cell>
          <cell r="W14">
            <v>32</v>
          </cell>
          <cell r="X14">
            <v>6767</v>
          </cell>
          <cell r="Y14">
            <v>7</v>
          </cell>
          <cell r="AE14">
            <v>8290243.919999999</v>
          </cell>
          <cell r="AF14">
            <v>1948.7999999998137</v>
          </cell>
          <cell r="AG14">
            <v>2046.2400000002235</v>
          </cell>
          <cell r="AH14">
            <v>15745719.359999999</v>
          </cell>
          <cell r="AI14">
            <v>4628.4000000003725</v>
          </cell>
          <cell r="AJ14">
            <v>4482.2400000002235</v>
          </cell>
          <cell r="AK14">
            <v>15929929.68</v>
          </cell>
          <cell r="AL14">
            <v>6333.5999999996275</v>
          </cell>
          <cell r="AM14">
            <v>0</v>
          </cell>
          <cell r="AN14">
            <v>19072418.399999999</v>
          </cell>
          <cell r="AO14">
            <v>1218</v>
          </cell>
          <cell r="AP14">
            <v>8379.839999999851</v>
          </cell>
          <cell r="AQ14">
            <v>19335506.399999999</v>
          </cell>
          <cell r="AR14">
            <v>1218</v>
          </cell>
          <cell r="AS14">
            <v>876.95999999716878</v>
          </cell>
          <cell r="AT14">
            <v>17884137.599999998</v>
          </cell>
          <cell r="AU14">
            <v>5554.0799999982119</v>
          </cell>
          <cell r="AV14">
            <v>5554.0800000019372</v>
          </cell>
          <cell r="AW14">
            <v>15032214.959999999</v>
          </cell>
          <cell r="AX14">
            <v>3654</v>
          </cell>
          <cell r="AY14">
            <v>4092.4800000023097</v>
          </cell>
          <cell r="AZ14">
            <v>14578290.719999999</v>
          </cell>
          <cell r="BA14">
            <v>4530.9599999990314</v>
          </cell>
          <cell r="BB14">
            <v>4043.7599999997765</v>
          </cell>
          <cell r="BC14">
            <v>11359701.359999999</v>
          </cell>
          <cell r="BD14">
            <v>3118.0799999982119</v>
          </cell>
          <cell r="BE14">
            <v>3751.4400000013411</v>
          </cell>
          <cell r="BF14">
            <v>18036338.879999999</v>
          </cell>
          <cell r="BG14">
            <v>5505.359999999404</v>
          </cell>
          <cell r="BH14">
            <v>5310.480000000447</v>
          </cell>
          <cell r="BM14">
            <v>78690800</v>
          </cell>
          <cell r="BN14">
            <v>34600</v>
          </cell>
          <cell r="BO14">
            <v>0</v>
          </cell>
          <cell r="BP14">
            <v>81612700</v>
          </cell>
          <cell r="BQ14">
            <v>0</v>
          </cell>
          <cell r="BR14">
            <v>37600</v>
          </cell>
          <cell r="BS14">
            <v>75562200</v>
          </cell>
          <cell r="BT14">
            <v>4000</v>
          </cell>
          <cell r="BU14">
            <v>0</v>
          </cell>
          <cell r="BV14">
            <v>10625860</v>
          </cell>
          <cell r="BW14">
            <v>5560</v>
          </cell>
          <cell r="BY14">
            <v>0.67</v>
          </cell>
          <cell r="BZ14">
            <v>-0.17000000000000004</v>
          </cell>
          <cell r="CA14">
            <v>8.0000000000000071E-2</v>
          </cell>
          <cell r="CB14">
            <v>65432</v>
          </cell>
          <cell r="CC14">
            <v>17</v>
          </cell>
          <cell r="CD14">
            <v>56578</v>
          </cell>
          <cell r="CE14">
            <v>21</v>
          </cell>
          <cell r="CF14">
            <v>19100</v>
          </cell>
          <cell r="CG14">
            <v>6</v>
          </cell>
          <cell r="CH14">
            <v>26170</v>
          </cell>
          <cell r="CI14">
            <v>9</v>
          </cell>
          <cell r="CJ14">
            <v>29350</v>
          </cell>
          <cell r="CK14">
            <v>16</v>
          </cell>
          <cell r="CL14">
            <v>64575</v>
          </cell>
          <cell r="CM14">
            <v>34</v>
          </cell>
          <cell r="CN14">
            <v>272496</v>
          </cell>
          <cell r="CO14">
            <v>74</v>
          </cell>
          <cell r="CP14">
            <v>103</v>
          </cell>
          <cell r="CQ14">
            <v>221815</v>
          </cell>
          <cell r="CR14">
            <v>120</v>
          </cell>
          <cell r="CT14">
            <v>371032</v>
          </cell>
          <cell r="CU14">
            <v>220</v>
          </cell>
          <cell r="CV14">
            <v>406</v>
          </cell>
          <cell r="CW14">
            <v>704859</v>
          </cell>
          <cell r="CX14">
            <v>173</v>
          </cell>
          <cell r="CZ14">
            <v>9356</v>
          </cell>
          <cell r="DA14">
            <v>4</v>
          </cell>
          <cell r="DB14">
            <v>6335</v>
          </cell>
          <cell r="DC14">
            <v>2</v>
          </cell>
          <cell r="DD14">
            <v>33071</v>
          </cell>
          <cell r="DE14">
            <v>14</v>
          </cell>
          <cell r="DF14">
            <v>33213</v>
          </cell>
          <cell r="DG14">
            <v>12</v>
          </cell>
          <cell r="DH14">
            <v>22459</v>
          </cell>
          <cell r="DI14">
            <v>7</v>
          </cell>
          <cell r="DJ14">
            <v>24380</v>
          </cell>
          <cell r="DK14">
            <v>5</v>
          </cell>
          <cell r="DL14">
            <v>7745</v>
          </cell>
          <cell r="DM14">
            <v>7</v>
          </cell>
          <cell r="DN14">
            <v>10250</v>
          </cell>
          <cell r="DO14">
            <v>9</v>
          </cell>
          <cell r="DP14">
            <v>3541</v>
          </cell>
          <cell r="DQ14">
            <v>6</v>
          </cell>
          <cell r="DR14">
            <v>6931</v>
          </cell>
          <cell r="DS14">
            <v>4</v>
          </cell>
          <cell r="DT14">
            <v>30525</v>
          </cell>
          <cell r="DU14">
            <v>7</v>
          </cell>
          <cell r="DW14">
            <v>6982.1</v>
          </cell>
          <cell r="DX14">
            <v>10.900000000000546</v>
          </cell>
          <cell r="DY14">
            <v>11743.1</v>
          </cell>
          <cell r="DZ14">
            <v>8</v>
          </cell>
          <cell r="EA14">
            <v>5177.7</v>
          </cell>
          <cell r="EB14">
            <v>5.6999999999998181</v>
          </cell>
          <cell r="EC14">
            <v>5776.3</v>
          </cell>
          <cell r="ED14">
            <v>6.3000000000001819</v>
          </cell>
          <cell r="EE14">
            <v>1159948</v>
          </cell>
          <cell r="EF14">
            <v>537</v>
          </cell>
          <cell r="EI14">
            <v>240082.8</v>
          </cell>
          <cell r="EJ14">
            <v>152.39999999999418</v>
          </cell>
          <cell r="EL14">
            <v>12304000</v>
          </cell>
          <cell r="EM14">
            <v>2700</v>
          </cell>
          <cell r="EN14">
            <v>947500</v>
          </cell>
          <cell r="EO14">
            <v>250</v>
          </cell>
          <cell r="EP14">
            <v>7301200</v>
          </cell>
          <cell r="EQ14">
            <v>900</v>
          </cell>
          <cell r="ER14">
            <v>2513200</v>
          </cell>
          <cell r="ES14">
            <v>400</v>
          </cell>
          <cell r="ET14">
            <v>1310790</v>
          </cell>
          <cell r="EU14">
            <v>690</v>
          </cell>
          <cell r="EV14">
            <v>16743500</v>
          </cell>
          <cell r="EW14">
            <v>1200</v>
          </cell>
          <cell r="EY14">
            <v>43060</v>
          </cell>
          <cell r="EZ14">
            <v>15</v>
          </cell>
          <cell r="FA14">
            <v>37537</v>
          </cell>
          <cell r="FB14">
            <v>11</v>
          </cell>
          <cell r="FC14">
            <v>8129</v>
          </cell>
          <cell r="FD14">
            <v>9</v>
          </cell>
          <cell r="FE14">
            <v>60120</v>
          </cell>
          <cell r="FF14">
            <v>13</v>
          </cell>
          <cell r="FG14">
            <v>51576</v>
          </cell>
          <cell r="FH14">
            <v>29</v>
          </cell>
        </row>
        <row r="15">
          <cell r="B15">
            <v>0.57999999999999996</v>
          </cell>
          <cell r="E15">
            <v>246939</v>
          </cell>
          <cell r="F15">
            <v>588</v>
          </cell>
          <cell r="G15">
            <v>518</v>
          </cell>
          <cell r="H15">
            <v>268280</v>
          </cell>
          <cell r="I15">
            <v>381</v>
          </cell>
          <cell r="J15">
            <v>116762</v>
          </cell>
          <cell r="K15">
            <v>17025</v>
          </cell>
          <cell r="L15">
            <v>201</v>
          </cell>
          <cell r="N15">
            <v>931159</v>
          </cell>
          <cell r="O15">
            <v>220</v>
          </cell>
          <cell r="Q15">
            <v>245994</v>
          </cell>
          <cell r="R15">
            <v>73</v>
          </cell>
          <cell r="U15">
            <v>120790</v>
          </cell>
          <cell r="V15">
            <v>89</v>
          </cell>
          <cell r="W15">
            <v>44</v>
          </cell>
          <cell r="X15">
            <v>6774</v>
          </cell>
          <cell r="Y15">
            <v>7</v>
          </cell>
          <cell r="AE15">
            <v>8292192.7199999988</v>
          </cell>
          <cell r="AF15">
            <v>1948.7999999998137</v>
          </cell>
          <cell r="AG15">
            <v>2874.4799999995157</v>
          </cell>
          <cell r="AH15">
            <v>15750396.48</v>
          </cell>
          <cell r="AI15">
            <v>4677.1200000010431</v>
          </cell>
          <cell r="AJ15">
            <v>4823.2799999993294</v>
          </cell>
          <cell r="AK15">
            <v>15929978.4</v>
          </cell>
          <cell r="AL15">
            <v>48.720000000670552</v>
          </cell>
          <cell r="AM15">
            <v>0</v>
          </cell>
          <cell r="AN15">
            <v>19074269.760000002</v>
          </cell>
          <cell r="AO15">
            <v>1851.3600000031292</v>
          </cell>
          <cell r="AP15">
            <v>7990.0799999982119</v>
          </cell>
          <cell r="AQ15">
            <v>19343301.599999998</v>
          </cell>
          <cell r="AR15">
            <v>7795.1999999992549</v>
          </cell>
          <cell r="AS15">
            <v>48.720000002533197</v>
          </cell>
          <cell r="AT15">
            <v>17889691.68</v>
          </cell>
          <cell r="AU15">
            <v>5554.0800000019372</v>
          </cell>
          <cell r="AV15">
            <v>5846.3999999985099</v>
          </cell>
          <cell r="AW15">
            <v>15036210</v>
          </cell>
          <cell r="AX15">
            <v>3995.0400000009686</v>
          </cell>
          <cell r="AY15">
            <v>4384.7999999988824</v>
          </cell>
          <cell r="AZ15">
            <v>14582480.640000001</v>
          </cell>
          <cell r="BA15">
            <v>4189.9200000017881</v>
          </cell>
          <cell r="BB15">
            <v>4238.640000000596</v>
          </cell>
          <cell r="BC15">
            <v>11362965.6</v>
          </cell>
          <cell r="BD15">
            <v>3264.2400000002235</v>
          </cell>
          <cell r="BE15">
            <v>3800.1599999982864</v>
          </cell>
          <cell r="BF15">
            <v>18041844.239999998</v>
          </cell>
          <cell r="BG15">
            <v>5505.359999999404</v>
          </cell>
          <cell r="BH15">
            <v>5359.1999999992549</v>
          </cell>
          <cell r="BM15">
            <v>78690800</v>
          </cell>
          <cell r="BN15">
            <v>0</v>
          </cell>
          <cell r="BO15">
            <v>0</v>
          </cell>
          <cell r="BP15">
            <v>81617000</v>
          </cell>
          <cell r="BQ15">
            <v>4300</v>
          </cell>
          <cell r="BR15">
            <v>32500</v>
          </cell>
          <cell r="BS15">
            <v>75602000</v>
          </cell>
          <cell r="BT15">
            <v>39800</v>
          </cell>
          <cell r="BU15">
            <v>0</v>
          </cell>
          <cell r="BV15">
            <v>10631870</v>
          </cell>
          <cell r="BW15">
            <v>6010</v>
          </cell>
          <cell r="BY15">
            <v>0.75</v>
          </cell>
          <cell r="BZ15">
            <v>-7.999999999999996E-2</v>
          </cell>
          <cell r="CA15">
            <v>-9.000000000000008E-2</v>
          </cell>
          <cell r="CB15">
            <v>65447</v>
          </cell>
          <cell r="CC15">
            <v>15</v>
          </cell>
          <cell r="CD15">
            <v>56597</v>
          </cell>
          <cell r="CE15">
            <v>19</v>
          </cell>
          <cell r="CF15">
            <v>19105</v>
          </cell>
          <cell r="CG15">
            <v>5</v>
          </cell>
          <cell r="CH15">
            <v>26179</v>
          </cell>
          <cell r="CI15">
            <v>9</v>
          </cell>
          <cell r="CJ15">
            <v>29365</v>
          </cell>
          <cell r="CK15">
            <v>15</v>
          </cell>
          <cell r="CL15">
            <v>64608</v>
          </cell>
          <cell r="CM15">
            <v>33</v>
          </cell>
          <cell r="CN15">
            <v>272572</v>
          </cell>
          <cell r="CO15">
            <v>76</v>
          </cell>
          <cell r="CP15">
            <v>108</v>
          </cell>
          <cell r="CQ15">
            <v>221928</v>
          </cell>
          <cell r="CR15">
            <v>113</v>
          </cell>
          <cell r="CT15">
            <v>371235</v>
          </cell>
          <cell r="CU15">
            <v>203</v>
          </cell>
          <cell r="CV15">
            <v>447</v>
          </cell>
          <cell r="CW15">
            <v>705036</v>
          </cell>
          <cell r="CX15">
            <v>177</v>
          </cell>
          <cell r="CZ15">
            <v>9361</v>
          </cell>
          <cell r="DA15">
            <v>5</v>
          </cell>
          <cell r="DB15">
            <v>6338</v>
          </cell>
          <cell r="DC15">
            <v>3</v>
          </cell>
          <cell r="DD15">
            <v>33074</v>
          </cell>
          <cell r="DE15">
            <v>3</v>
          </cell>
          <cell r="DF15">
            <v>33227</v>
          </cell>
          <cell r="DG15">
            <v>14</v>
          </cell>
          <cell r="DH15">
            <v>22466</v>
          </cell>
          <cell r="DI15">
            <v>7</v>
          </cell>
          <cell r="DJ15">
            <v>24384</v>
          </cell>
          <cell r="DK15">
            <v>4</v>
          </cell>
          <cell r="DL15">
            <v>7752</v>
          </cell>
          <cell r="DM15">
            <v>7</v>
          </cell>
          <cell r="DN15">
            <v>10260</v>
          </cell>
          <cell r="DO15">
            <v>10</v>
          </cell>
          <cell r="DP15">
            <v>3547</v>
          </cell>
          <cell r="DQ15">
            <v>6</v>
          </cell>
          <cell r="DR15">
            <v>6935</v>
          </cell>
          <cell r="DS15">
            <v>4</v>
          </cell>
          <cell r="DT15">
            <v>30525</v>
          </cell>
          <cell r="DU15">
            <v>0</v>
          </cell>
          <cell r="DW15">
            <v>6992.1</v>
          </cell>
          <cell r="DX15">
            <v>10</v>
          </cell>
          <cell r="DY15">
            <v>11751.1</v>
          </cell>
          <cell r="DZ15">
            <v>8</v>
          </cell>
          <cell r="EA15">
            <v>5183.6000000000004</v>
          </cell>
          <cell r="EB15">
            <v>5.9000000000005457</v>
          </cell>
          <cell r="EC15">
            <v>5782.9</v>
          </cell>
          <cell r="ED15">
            <v>6.5999999999994543</v>
          </cell>
          <cell r="EE15">
            <v>1160468</v>
          </cell>
          <cell r="EF15">
            <v>520</v>
          </cell>
          <cell r="EI15">
            <v>240234.6</v>
          </cell>
          <cell r="EJ15">
            <v>151.80000000001746</v>
          </cell>
          <cell r="EL15">
            <v>12307000</v>
          </cell>
          <cell r="EM15">
            <v>3000</v>
          </cell>
          <cell r="EN15">
            <v>947750</v>
          </cell>
          <cell r="EO15">
            <v>250</v>
          </cell>
          <cell r="EP15">
            <v>7302200</v>
          </cell>
          <cell r="EQ15">
            <v>1000</v>
          </cell>
          <cell r="ER15">
            <v>2513600</v>
          </cell>
          <cell r="ES15">
            <v>400</v>
          </cell>
          <cell r="ET15">
            <v>1311460</v>
          </cell>
          <cell r="EU15">
            <v>670</v>
          </cell>
          <cell r="EV15">
            <v>16745500</v>
          </cell>
          <cell r="EW15">
            <v>2000</v>
          </cell>
          <cell r="EY15">
            <v>43076</v>
          </cell>
          <cell r="EZ15">
            <v>16</v>
          </cell>
          <cell r="FA15">
            <v>37547</v>
          </cell>
          <cell r="FB15">
            <v>10</v>
          </cell>
          <cell r="FC15">
            <v>8138</v>
          </cell>
          <cell r="FD15">
            <v>9</v>
          </cell>
          <cell r="FE15">
            <v>60132</v>
          </cell>
          <cell r="FF15">
            <v>12</v>
          </cell>
          <cell r="FG15">
            <v>51608</v>
          </cell>
          <cell r="FH15">
            <v>32</v>
          </cell>
        </row>
        <row r="16">
          <cell r="B16">
            <v>0.68</v>
          </cell>
          <cell r="E16">
            <v>247568</v>
          </cell>
          <cell r="F16">
            <v>629</v>
          </cell>
          <cell r="G16">
            <v>521</v>
          </cell>
          <cell r="H16">
            <v>268684</v>
          </cell>
          <cell r="I16">
            <v>404</v>
          </cell>
          <cell r="J16">
            <v>117183</v>
          </cell>
          <cell r="K16">
            <v>17223</v>
          </cell>
          <cell r="L16">
            <v>198</v>
          </cell>
          <cell r="N16">
            <v>931423</v>
          </cell>
          <cell r="O16">
            <v>264</v>
          </cell>
          <cell r="Q16">
            <v>246084</v>
          </cell>
          <cell r="R16">
            <v>90</v>
          </cell>
          <cell r="U16">
            <v>120875</v>
          </cell>
          <cell r="V16">
            <v>85</v>
          </cell>
          <cell r="W16">
            <v>214</v>
          </cell>
          <cell r="X16">
            <v>6780</v>
          </cell>
          <cell r="Y16">
            <v>6</v>
          </cell>
          <cell r="AE16">
            <v>8294190.2400000002</v>
          </cell>
          <cell r="AF16">
            <v>1997.5200000014156</v>
          </cell>
          <cell r="AG16">
            <v>2874.480000000447</v>
          </cell>
          <cell r="AH16">
            <v>15754927.439999999</v>
          </cell>
          <cell r="AI16">
            <v>4530.9599999990314</v>
          </cell>
          <cell r="AJ16">
            <v>4774.5599999986589</v>
          </cell>
          <cell r="AK16">
            <v>15929978.4</v>
          </cell>
          <cell r="AL16">
            <v>0</v>
          </cell>
          <cell r="AM16">
            <v>0</v>
          </cell>
          <cell r="AN16">
            <v>19082552.16</v>
          </cell>
          <cell r="AO16">
            <v>8282.3999999985099</v>
          </cell>
          <cell r="AP16">
            <v>2484.7200000025332</v>
          </cell>
          <cell r="AQ16">
            <v>19344958.080000002</v>
          </cell>
          <cell r="AR16">
            <v>1656.4800000041723</v>
          </cell>
          <cell r="AS16">
            <v>4823.2799999974668</v>
          </cell>
          <cell r="AT16">
            <v>17895391.919999998</v>
          </cell>
          <cell r="AU16">
            <v>5700.2399999983609</v>
          </cell>
          <cell r="AV16">
            <v>5602.8000000007451</v>
          </cell>
          <cell r="AW16">
            <v>15040058.880000001</v>
          </cell>
          <cell r="AX16">
            <v>3848.8800000008196</v>
          </cell>
          <cell r="AY16">
            <v>4287.359999999404</v>
          </cell>
          <cell r="AZ16">
            <v>14586573.119999999</v>
          </cell>
          <cell r="BA16">
            <v>4092.4799999985844</v>
          </cell>
          <cell r="BB16">
            <v>4287.359999999404</v>
          </cell>
          <cell r="BC16">
            <v>11365693.92</v>
          </cell>
          <cell r="BD16">
            <v>2728.320000000298</v>
          </cell>
          <cell r="BE16">
            <v>3410.4000000003725</v>
          </cell>
          <cell r="BF16">
            <v>18047398.32</v>
          </cell>
          <cell r="BG16">
            <v>5554.0800000019372</v>
          </cell>
          <cell r="BH16">
            <v>5456.6399999987334</v>
          </cell>
          <cell r="BM16">
            <v>78690800</v>
          </cell>
          <cell r="BN16">
            <v>0</v>
          </cell>
          <cell r="BO16">
            <v>0</v>
          </cell>
          <cell r="BP16">
            <v>81659200</v>
          </cell>
          <cell r="BQ16">
            <v>42200</v>
          </cell>
          <cell r="BR16">
            <v>10800</v>
          </cell>
          <cell r="BS16">
            <v>75606200</v>
          </cell>
          <cell r="BT16">
            <v>4200</v>
          </cell>
          <cell r="BU16">
            <v>21400</v>
          </cell>
          <cell r="BV16">
            <v>10638000</v>
          </cell>
          <cell r="BW16">
            <v>6130</v>
          </cell>
          <cell r="BY16">
            <v>0.68</v>
          </cell>
          <cell r="BZ16">
            <v>6.9999999999999951E-2</v>
          </cell>
          <cell r="CA16">
            <v>9.9999999999999978E-2</v>
          </cell>
          <cell r="CB16">
            <v>65464</v>
          </cell>
          <cell r="CC16">
            <v>17</v>
          </cell>
          <cell r="CD16">
            <v>56617</v>
          </cell>
          <cell r="CE16">
            <v>20</v>
          </cell>
          <cell r="CF16">
            <v>19114</v>
          </cell>
          <cell r="CG16">
            <v>9</v>
          </cell>
          <cell r="CH16">
            <v>26188</v>
          </cell>
          <cell r="CI16">
            <v>9</v>
          </cell>
          <cell r="CJ16">
            <v>29380</v>
          </cell>
          <cell r="CK16">
            <v>15</v>
          </cell>
          <cell r="CL16">
            <v>64644</v>
          </cell>
          <cell r="CM16">
            <v>36</v>
          </cell>
          <cell r="CN16">
            <v>272647</v>
          </cell>
          <cell r="CO16">
            <v>75</v>
          </cell>
          <cell r="CP16">
            <v>108</v>
          </cell>
          <cell r="CQ16">
            <v>222046</v>
          </cell>
          <cell r="CR16">
            <v>118</v>
          </cell>
          <cell r="CT16">
            <v>371493</v>
          </cell>
          <cell r="CU16">
            <v>258</v>
          </cell>
          <cell r="CV16">
            <v>447</v>
          </cell>
          <cell r="CW16">
            <v>705211</v>
          </cell>
          <cell r="CX16">
            <v>175</v>
          </cell>
          <cell r="CZ16">
            <v>9374</v>
          </cell>
          <cell r="DA16">
            <v>13</v>
          </cell>
          <cell r="DB16">
            <v>6345</v>
          </cell>
          <cell r="DC16">
            <v>7</v>
          </cell>
          <cell r="DD16">
            <v>33078</v>
          </cell>
          <cell r="DE16">
            <v>4</v>
          </cell>
          <cell r="DF16">
            <v>33240</v>
          </cell>
          <cell r="DG16">
            <v>13</v>
          </cell>
          <cell r="DH16">
            <v>22474</v>
          </cell>
          <cell r="DI16">
            <v>8</v>
          </cell>
          <cell r="DJ16">
            <v>24388</v>
          </cell>
          <cell r="DK16">
            <v>4</v>
          </cell>
          <cell r="DL16">
            <v>7761</v>
          </cell>
          <cell r="DM16">
            <v>9</v>
          </cell>
          <cell r="DN16">
            <v>10269</v>
          </cell>
          <cell r="DO16">
            <v>9</v>
          </cell>
          <cell r="DP16">
            <v>3552</v>
          </cell>
          <cell r="DQ16">
            <v>5</v>
          </cell>
          <cell r="DR16">
            <v>6940</v>
          </cell>
          <cell r="DS16">
            <v>5</v>
          </cell>
          <cell r="DT16">
            <v>30531</v>
          </cell>
          <cell r="DU16">
            <v>6</v>
          </cell>
          <cell r="DW16">
            <v>7003.4</v>
          </cell>
          <cell r="DX16">
            <v>11.299999999999272</v>
          </cell>
          <cell r="DY16">
            <v>11759.8</v>
          </cell>
          <cell r="DZ16">
            <v>8.6999999999989086</v>
          </cell>
          <cell r="EA16">
            <v>5189.3999999999996</v>
          </cell>
          <cell r="EB16">
            <v>5.7999999999992724</v>
          </cell>
          <cell r="EC16">
            <v>5789.4</v>
          </cell>
          <cell r="ED16">
            <v>6.5</v>
          </cell>
          <cell r="EE16">
            <v>1160979</v>
          </cell>
          <cell r="EF16">
            <v>511</v>
          </cell>
          <cell r="EI16">
            <v>240386.9</v>
          </cell>
          <cell r="EJ16">
            <v>152.29999999998836</v>
          </cell>
          <cell r="EL16">
            <v>12310200</v>
          </cell>
          <cell r="EM16">
            <v>3200</v>
          </cell>
          <cell r="EN16">
            <v>948010</v>
          </cell>
          <cell r="EO16">
            <v>260</v>
          </cell>
          <cell r="EP16">
            <v>7303200</v>
          </cell>
          <cell r="EQ16">
            <v>1000</v>
          </cell>
          <cell r="ER16">
            <v>2513900</v>
          </cell>
          <cell r="ES16">
            <v>300</v>
          </cell>
          <cell r="ET16">
            <v>1312140</v>
          </cell>
          <cell r="EU16">
            <v>680</v>
          </cell>
          <cell r="EV16">
            <v>16748500</v>
          </cell>
          <cell r="EW16">
            <v>3000</v>
          </cell>
          <cell r="EY16">
            <v>43091</v>
          </cell>
          <cell r="EZ16">
            <v>15</v>
          </cell>
          <cell r="FA16">
            <v>37558</v>
          </cell>
          <cell r="FB16">
            <v>11</v>
          </cell>
          <cell r="FC16">
            <v>8146</v>
          </cell>
          <cell r="FD16">
            <v>8</v>
          </cell>
          <cell r="FE16">
            <v>60149</v>
          </cell>
          <cell r="FF16">
            <v>17</v>
          </cell>
          <cell r="FG16">
            <v>51635</v>
          </cell>
          <cell r="FH16">
            <v>27</v>
          </cell>
        </row>
        <row r="17">
          <cell r="B17">
            <v>0.7</v>
          </cell>
          <cell r="E17">
            <v>248178</v>
          </cell>
          <cell r="F17">
            <v>610</v>
          </cell>
          <cell r="G17">
            <v>587</v>
          </cell>
          <cell r="H17">
            <v>269100</v>
          </cell>
          <cell r="I17">
            <v>416</v>
          </cell>
          <cell r="J17">
            <v>117634</v>
          </cell>
          <cell r="K17">
            <v>17418</v>
          </cell>
          <cell r="L17">
            <v>195</v>
          </cell>
          <cell r="N17">
            <v>931694</v>
          </cell>
          <cell r="O17">
            <v>271</v>
          </cell>
          <cell r="Q17">
            <v>246172</v>
          </cell>
          <cell r="R17">
            <v>88</v>
          </cell>
          <cell r="U17">
            <v>120942</v>
          </cell>
          <cell r="V17">
            <v>67</v>
          </cell>
          <cell r="W17">
            <v>188</v>
          </cell>
          <cell r="X17">
            <v>6784</v>
          </cell>
          <cell r="Y17">
            <v>4</v>
          </cell>
          <cell r="AE17">
            <v>8296187.7599999998</v>
          </cell>
          <cell r="AF17">
            <v>1997.519999999553</v>
          </cell>
          <cell r="AG17">
            <v>2143.679999999702</v>
          </cell>
          <cell r="AH17">
            <v>15759653.280000001</v>
          </cell>
          <cell r="AI17">
            <v>4725.8400000017136</v>
          </cell>
          <cell r="AJ17">
            <v>4628.4000000003725</v>
          </cell>
          <cell r="AK17">
            <v>15931001.52</v>
          </cell>
          <cell r="AL17">
            <v>1023.1199999991804</v>
          </cell>
          <cell r="AM17">
            <v>1120.5599999986589</v>
          </cell>
          <cell r="AN17">
            <v>19083672.719999999</v>
          </cell>
          <cell r="AO17">
            <v>1120.5599999986589</v>
          </cell>
          <cell r="AP17">
            <v>8087.519999999553</v>
          </cell>
          <cell r="AQ17">
            <v>19351340.399999999</v>
          </cell>
          <cell r="AR17">
            <v>6382.3199999965727</v>
          </cell>
          <cell r="AS17">
            <v>0</v>
          </cell>
          <cell r="AT17">
            <v>17900946</v>
          </cell>
          <cell r="AU17">
            <v>5554.0800000019372</v>
          </cell>
          <cell r="AV17">
            <v>5748.9599999990314</v>
          </cell>
          <cell r="AW17">
            <v>15043712.880000001</v>
          </cell>
          <cell r="AX17">
            <v>3654</v>
          </cell>
          <cell r="AY17">
            <v>4384.8000000007451</v>
          </cell>
          <cell r="AZ17">
            <v>14590909.199999999</v>
          </cell>
          <cell r="BA17">
            <v>4336.0800000000745</v>
          </cell>
          <cell r="BB17">
            <v>4530.9599999990314</v>
          </cell>
          <cell r="BC17">
            <v>11368519.68</v>
          </cell>
          <cell r="BD17">
            <v>2825.7599999997765</v>
          </cell>
          <cell r="BE17">
            <v>3556.5600000005215</v>
          </cell>
          <cell r="BF17">
            <v>18052903.68</v>
          </cell>
          <cell r="BG17">
            <v>5505.359999999404</v>
          </cell>
          <cell r="BH17">
            <v>5359.2000000011176</v>
          </cell>
          <cell r="BM17">
            <v>78694800</v>
          </cell>
          <cell r="BN17">
            <v>4000</v>
          </cell>
          <cell r="BO17">
            <v>0</v>
          </cell>
          <cell r="BP17">
            <v>81659200</v>
          </cell>
          <cell r="BQ17">
            <v>0</v>
          </cell>
          <cell r="BR17">
            <v>34600</v>
          </cell>
          <cell r="BS17">
            <v>75637900</v>
          </cell>
          <cell r="BT17">
            <v>31700</v>
          </cell>
          <cell r="BU17">
            <v>0</v>
          </cell>
          <cell r="BV17">
            <v>10644620</v>
          </cell>
          <cell r="BW17">
            <v>6620</v>
          </cell>
          <cell r="BY17">
            <v>0.59</v>
          </cell>
          <cell r="BZ17">
            <v>9.000000000000008E-2</v>
          </cell>
          <cell r="CA17">
            <v>8.0000000000000071E-2</v>
          </cell>
          <cell r="CB17">
            <v>65479</v>
          </cell>
          <cell r="CC17">
            <v>15</v>
          </cell>
          <cell r="CD17">
            <v>56637</v>
          </cell>
          <cell r="CE17">
            <v>20</v>
          </cell>
          <cell r="CF17">
            <v>19121</v>
          </cell>
          <cell r="CG17">
            <v>7</v>
          </cell>
          <cell r="CH17">
            <v>26197</v>
          </cell>
          <cell r="CI17">
            <v>9</v>
          </cell>
          <cell r="CJ17">
            <v>29394</v>
          </cell>
          <cell r="CK17">
            <v>14</v>
          </cell>
          <cell r="CL17">
            <v>64680</v>
          </cell>
          <cell r="CM17">
            <v>36</v>
          </cell>
          <cell r="CN17">
            <v>272725</v>
          </cell>
          <cell r="CO17">
            <v>78</v>
          </cell>
          <cell r="CP17">
            <v>107</v>
          </cell>
          <cell r="CQ17">
            <v>222166</v>
          </cell>
          <cell r="CR17">
            <v>120</v>
          </cell>
          <cell r="CT17">
            <v>371780</v>
          </cell>
          <cell r="CU17">
            <v>287</v>
          </cell>
          <cell r="CV17">
            <v>318</v>
          </cell>
          <cell r="CW17">
            <v>705398</v>
          </cell>
          <cell r="CX17">
            <v>187</v>
          </cell>
          <cell r="CZ17">
            <v>9384</v>
          </cell>
          <cell r="DA17">
            <v>10</v>
          </cell>
          <cell r="DB17">
            <v>6351</v>
          </cell>
          <cell r="DC17">
            <v>6</v>
          </cell>
          <cell r="DD17">
            <v>33112</v>
          </cell>
          <cell r="DE17">
            <v>34</v>
          </cell>
          <cell r="DF17">
            <v>33252</v>
          </cell>
          <cell r="DG17">
            <v>12</v>
          </cell>
          <cell r="DH17">
            <v>22481</v>
          </cell>
          <cell r="DI17">
            <v>7</v>
          </cell>
          <cell r="DJ17">
            <v>24392</v>
          </cell>
          <cell r="DK17">
            <v>4</v>
          </cell>
          <cell r="DL17">
            <v>7771</v>
          </cell>
          <cell r="DM17">
            <v>10</v>
          </cell>
          <cell r="DN17">
            <v>10275</v>
          </cell>
          <cell r="DO17">
            <v>6</v>
          </cell>
          <cell r="DP17">
            <v>3556</v>
          </cell>
          <cell r="DQ17">
            <v>4</v>
          </cell>
          <cell r="DR17">
            <v>6948</v>
          </cell>
          <cell r="DS17">
            <v>8</v>
          </cell>
          <cell r="DT17">
            <v>30538</v>
          </cell>
          <cell r="DU17">
            <v>7</v>
          </cell>
          <cell r="DW17">
            <v>7014.1</v>
          </cell>
          <cell r="DX17">
            <v>10.700000000000728</v>
          </cell>
          <cell r="DY17">
            <v>11767.8</v>
          </cell>
          <cell r="DZ17">
            <v>8</v>
          </cell>
          <cell r="EA17">
            <v>5195.2</v>
          </cell>
          <cell r="EB17">
            <v>5.8000000000001819</v>
          </cell>
          <cell r="EC17">
            <v>5795.6</v>
          </cell>
          <cell r="ED17">
            <v>6.2000000000007276</v>
          </cell>
          <cell r="EE17">
            <v>1161481</v>
          </cell>
          <cell r="EF17">
            <v>502</v>
          </cell>
          <cell r="EI17">
            <v>240537.3</v>
          </cell>
          <cell r="EJ17">
            <v>150.39999999999418</v>
          </cell>
          <cell r="EL17">
            <v>12312400</v>
          </cell>
          <cell r="EM17">
            <v>2200</v>
          </cell>
          <cell r="EN17">
            <v>948250</v>
          </cell>
          <cell r="EO17">
            <v>240</v>
          </cell>
          <cell r="EP17">
            <v>7303900</v>
          </cell>
          <cell r="EQ17">
            <v>700</v>
          </cell>
          <cell r="ER17">
            <v>2514200</v>
          </cell>
          <cell r="ES17">
            <v>300</v>
          </cell>
          <cell r="ET17">
            <v>1312770</v>
          </cell>
          <cell r="EU17">
            <v>630</v>
          </cell>
          <cell r="EV17">
            <v>16750500</v>
          </cell>
          <cell r="EW17">
            <v>2000</v>
          </cell>
          <cell r="EY17">
            <v>43106</v>
          </cell>
          <cell r="EZ17">
            <v>15</v>
          </cell>
          <cell r="FA17">
            <v>37569</v>
          </cell>
          <cell r="FB17">
            <v>11</v>
          </cell>
          <cell r="FC17">
            <v>8155</v>
          </cell>
          <cell r="FD17">
            <v>9</v>
          </cell>
          <cell r="FE17">
            <v>60163</v>
          </cell>
          <cell r="FF17">
            <v>14</v>
          </cell>
          <cell r="FG17">
            <v>51664</v>
          </cell>
          <cell r="FH17">
            <v>29</v>
          </cell>
        </row>
        <row r="18">
          <cell r="B18">
            <v>0.67</v>
          </cell>
          <cell r="E18">
            <v>248856</v>
          </cell>
          <cell r="F18">
            <v>678</v>
          </cell>
          <cell r="G18">
            <v>557</v>
          </cell>
          <cell r="H18">
            <v>269581</v>
          </cell>
          <cell r="I18">
            <v>481</v>
          </cell>
          <cell r="J18">
            <v>118068</v>
          </cell>
          <cell r="K18">
            <v>17625</v>
          </cell>
          <cell r="L18">
            <v>207</v>
          </cell>
          <cell r="N18">
            <v>931960</v>
          </cell>
          <cell r="O18">
            <v>266</v>
          </cell>
          <cell r="Q18">
            <v>246252</v>
          </cell>
          <cell r="R18">
            <v>80</v>
          </cell>
          <cell r="U18">
            <v>121000</v>
          </cell>
          <cell r="V18">
            <v>58</v>
          </cell>
          <cell r="W18">
            <v>202</v>
          </cell>
          <cell r="X18">
            <v>6790</v>
          </cell>
          <cell r="Y18">
            <v>6</v>
          </cell>
          <cell r="AE18">
            <v>8298234</v>
          </cell>
          <cell r="AF18">
            <v>2046.2400000002235</v>
          </cell>
          <cell r="AG18">
            <v>1997.5200000004843</v>
          </cell>
          <cell r="AH18">
            <v>15764330.4</v>
          </cell>
          <cell r="AI18">
            <v>4677.1199999991804</v>
          </cell>
          <cell r="AJ18">
            <v>4579.679999999702</v>
          </cell>
          <cell r="AK18">
            <v>15936994.08</v>
          </cell>
          <cell r="AL18">
            <v>5992.5600000005215</v>
          </cell>
          <cell r="AM18">
            <v>1364.160000000149</v>
          </cell>
          <cell r="AN18">
            <v>19085718.960000001</v>
          </cell>
          <cell r="AO18">
            <v>2046.2400000020862</v>
          </cell>
          <cell r="AP18">
            <v>8720.8799999989569</v>
          </cell>
          <cell r="AQ18">
            <v>19351340.399999999</v>
          </cell>
          <cell r="AR18">
            <v>0</v>
          </cell>
          <cell r="AS18">
            <v>0</v>
          </cell>
          <cell r="AT18">
            <v>17906500.080000002</v>
          </cell>
          <cell r="AU18">
            <v>5554.0800000019372</v>
          </cell>
          <cell r="AV18">
            <v>5895.1200000010431</v>
          </cell>
          <cell r="AW18">
            <v>15047659.199999999</v>
          </cell>
          <cell r="AX18">
            <v>3946.3199999984354</v>
          </cell>
          <cell r="AY18">
            <v>3848.8800000008196</v>
          </cell>
          <cell r="AZ18">
            <v>14595342.719999999</v>
          </cell>
          <cell r="BA18">
            <v>4433.519999999553</v>
          </cell>
          <cell r="BB18">
            <v>4189.9199999999255</v>
          </cell>
          <cell r="BC18">
            <v>11371589.040000001</v>
          </cell>
          <cell r="BD18">
            <v>3069.3600000012666</v>
          </cell>
          <cell r="BE18">
            <v>3069.359999999404</v>
          </cell>
          <cell r="BF18">
            <v>18058555.199999999</v>
          </cell>
          <cell r="BG18">
            <v>5651.519999999553</v>
          </cell>
          <cell r="BH18">
            <v>5554.0800000000745</v>
          </cell>
          <cell r="BM18">
            <v>78725300</v>
          </cell>
          <cell r="BN18">
            <v>30500</v>
          </cell>
          <cell r="BO18">
            <v>0</v>
          </cell>
          <cell r="BP18">
            <v>81663000</v>
          </cell>
          <cell r="BQ18">
            <v>3800</v>
          </cell>
          <cell r="BR18">
            <v>38100</v>
          </cell>
          <cell r="BS18">
            <v>75637900</v>
          </cell>
          <cell r="BT18">
            <v>0</v>
          </cell>
          <cell r="BU18">
            <v>0</v>
          </cell>
          <cell r="BV18">
            <v>10651870</v>
          </cell>
          <cell r="BW18">
            <v>7250</v>
          </cell>
          <cell r="BY18">
            <v>0.79</v>
          </cell>
          <cell r="BZ18">
            <v>-0.20000000000000007</v>
          </cell>
          <cell r="CA18">
            <v>9.9999999999999978E-2</v>
          </cell>
          <cell r="CB18">
            <v>65494</v>
          </cell>
          <cell r="CC18">
            <v>15</v>
          </cell>
          <cell r="CD18">
            <v>56656</v>
          </cell>
          <cell r="CE18">
            <v>19</v>
          </cell>
          <cell r="CF18">
            <v>19128</v>
          </cell>
          <cell r="CG18">
            <v>7</v>
          </cell>
          <cell r="CH18">
            <v>26206</v>
          </cell>
          <cell r="CI18">
            <v>9</v>
          </cell>
          <cell r="CJ18">
            <v>29408</v>
          </cell>
          <cell r="CK18">
            <v>14</v>
          </cell>
          <cell r="CL18">
            <v>64715</v>
          </cell>
          <cell r="CM18">
            <v>35</v>
          </cell>
          <cell r="CN18">
            <v>272804</v>
          </cell>
          <cell r="CO18">
            <v>79</v>
          </cell>
          <cell r="CP18">
            <v>108</v>
          </cell>
          <cell r="CQ18">
            <v>222290</v>
          </cell>
          <cell r="CR18">
            <v>124</v>
          </cell>
          <cell r="CT18">
            <v>372074</v>
          </cell>
          <cell r="CU18">
            <v>294</v>
          </cell>
          <cell r="CV18">
            <v>226</v>
          </cell>
          <cell r="CW18">
            <v>705587</v>
          </cell>
          <cell r="CX18">
            <v>189</v>
          </cell>
          <cell r="CZ18">
            <v>9396</v>
          </cell>
          <cell r="DA18">
            <v>12</v>
          </cell>
          <cell r="DB18">
            <v>6360</v>
          </cell>
          <cell r="DC18">
            <v>9</v>
          </cell>
          <cell r="DD18">
            <v>33129</v>
          </cell>
          <cell r="DE18">
            <v>17</v>
          </cell>
          <cell r="DF18">
            <v>33270</v>
          </cell>
          <cell r="DG18">
            <v>18</v>
          </cell>
          <cell r="DH18">
            <v>22490</v>
          </cell>
          <cell r="DI18">
            <v>9</v>
          </cell>
          <cell r="DJ18">
            <v>24397</v>
          </cell>
          <cell r="DK18">
            <v>5</v>
          </cell>
          <cell r="DL18">
            <v>7784</v>
          </cell>
          <cell r="DM18">
            <v>13</v>
          </cell>
          <cell r="DN18">
            <v>10283</v>
          </cell>
          <cell r="DO18">
            <v>8</v>
          </cell>
          <cell r="DP18">
            <v>3560</v>
          </cell>
          <cell r="DQ18">
            <v>4</v>
          </cell>
          <cell r="DR18">
            <v>6958</v>
          </cell>
          <cell r="DS18">
            <v>10</v>
          </cell>
          <cell r="DT18">
            <v>30544</v>
          </cell>
          <cell r="DU18">
            <v>6</v>
          </cell>
          <cell r="DW18">
            <v>7025.5</v>
          </cell>
          <cell r="DX18">
            <v>11.399999999999636</v>
          </cell>
          <cell r="DY18">
            <v>11776.6</v>
          </cell>
          <cell r="DZ18">
            <v>8.8000000000010914</v>
          </cell>
          <cell r="EA18">
            <v>5201.2</v>
          </cell>
          <cell r="EB18">
            <v>6</v>
          </cell>
          <cell r="EC18">
            <v>5803</v>
          </cell>
          <cell r="ED18">
            <v>7.3999999999996362</v>
          </cell>
          <cell r="EE18">
            <v>1162034</v>
          </cell>
          <cell r="EF18">
            <v>553</v>
          </cell>
          <cell r="EI18">
            <v>240695.2</v>
          </cell>
          <cell r="EJ18">
            <v>157.90000000002328</v>
          </cell>
          <cell r="EL18">
            <v>12314800</v>
          </cell>
          <cell r="EM18">
            <v>2400</v>
          </cell>
          <cell r="EN18">
            <v>948500</v>
          </cell>
          <cell r="EO18">
            <v>250</v>
          </cell>
          <cell r="EP18">
            <v>7304700</v>
          </cell>
          <cell r="EQ18">
            <v>800</v>
          </cell>
          <cell r="ER18">
            <v>2514400</v>
          </cell>
          <cell r="ES18">
            <v>200</v>
          </cell>
          <cell r="ET18">
            <v>1313450</v>
          </cell>
          <cell r="EU18">
            <v>680</v>
          </cell>
          <cell r="EV18">
            <v>16751800</v>
          </cell>
          <cell r="EW18">
            <v>1300</v>
          </cell>
          <cell r="EY18">
            <v>43120</v>
          </cell>
          <cell r="EZ18">
            <v>14</v>
          </cell>
          <cell r="FA18">
            <v>37581</v>
          </cell>
          <cell r="FB18">
            <v>12</v>
          </cell>
          <cell r="FC18">
            <v>8168</v>
          </cell>
          <cell r="FD18">
            <v>13</v>
          </cell>
          <cell r="FE18">
            <v>60180</v>
          </cell>
          <cell r="FF18">
            <v>17</v>
          </cell>
          <cell r="FG18">
            <v>51699</v>
          </cell>
          <cell r="FH18">
            <v>35</v>
          </cell>
        </row>
        <row r="19">
          <cell r="B19">
            <v>0.91</v>
          </cell>
          <cell r="E19">
            <v>249440</v>
          </cell>
          <cell r="F19">
            <v>584</v>
          </cell>
          <cell r="G19">
            <v>568</v>
          </cell>
          <cell r="H19">
            <v>270041</v>
          </cell>
          <cell r="I19">
            <v>460</v>
          </cell>
          <cell r="J19">
            <v>118505</v>
          </cell>
          <cell r="K19">
            <v>18003</v>
          </cell>
          <cell r="L19">
            <v>378</v>
          </cell>
          <cell r="N19">
            <v>932092</v>
          </cell>
          <cell r="O19">
            <v>132</v>
          </cell>
          <cell r="Q19">
            <v>246265</v>
          </cell>
          <cell r="R19">
            <v>13</v>
          </cell>
          <cell r="U19">
            <v>121062</v>
          </cell>
          <cell r="V19">
            <v>62</v>
          </cell>
          <cell r="W19">
            <v>220</v>
          </cell>
          <cell r="X19">
            <v>6793</v>
          </cell>
          <cell r="Y19">
            <v>3</v>
          </cell>
          <cell r="AE19">
            <v>8300280.2400000002</v>
          </cell>
          <cell r="AF19">
            <v>2046.2400000002235</v>
          </cell>
          <cell r="AG19">
            <v>2094.9599999999627</v>
          </cell>
          <cell r="AH19">
            <v>15769056.24</v>
          </cell>
          <cell r="AI19">
            <v>4725.839999999851</v>
          </cell>
          <cell r="AJ19">
            <v>4482.2400000002235</v>
          </cell>
          <cell r="AK19">
            <v>15937091.52</v>
          </cell>
          <cell r="AL19">
            <v>97.439999999478459</v>
          </cell>
          <cell r="AM19">
            <v>1364.160000000149</v>
          </cell>
          <cell r="AN19">
            <v>19092393.599999998</v>
          </cell>
          <cell r="AO19">
            <v>6674.6399999968708</v>
          </cell>
          <cell r="AP19">
            <v>8769.6000000014901</v>
          </cell>
          <cell r="AQ19">
            <v>19353337.919999998</v>
          </cell>
          <cell r="AR19">
            <v>1997.519999999553</v>
          </cell>
          <cell r="AS19">
            <v>0</v>
          </cell>
          <cell r="AT19">
            <v>17911956.719999999</v>
          </cell>
          <cell r="AU19">
            <v>5456.6399999968708</v>
          </cell>
          <cell r="AV19">
            <v>5943.839999999851</v>
          </cell>
          <cell r="AW19">
            <v>15051410.640000001</v>
          </cell>
          <cell r="AX19">
            <v>3751.4400000013411</v>
          </cell>
          <cell r="AY19">
            <v>4238.6399999987334</v>
          </cell>
          <cell r="AZ19">
            <v>14599824.959999999</v>
          </cell>
          <cell r="BA19">
            <v>4482.2400000002235</v>
          </cell>
          <cell r="BB19">
            <v>4482.2400000002235</v>
          </cell>
          <cell r="BC19">
            <v>11374755.84</v>
          </cell>
          <cell r="BD19">
            <v>3166.7999999988824</v>
          </cell>
          <cell r="BE19">
            <v>3069.3600000012666</v>
          </cell>
          <cell r="BF19">
            <v>18064206.719999999</v>
          </cell>
          <cell r="BG19">
            <v>5651.519999999553</v>
          </cell>
          <cell r="BH19">
            <v>5602.8000000007451</v>
          </cell>
          <cell r="BM19">
            <v>78725300</v>
          </cell>
          <cell r="BN19">
            <v>0</v>
          </cell>
          <cell r="BO19">
            <v>0</v>
          </cell>
          <cell r="BP19">
            <v>81696700</v>
          </cell>
          <cell r="BQ19">
            <v>33700</v>
          </cell>
          <cell r="BR19">
            <v>39200</v>
          </cell>
          <cell r="BS19">
            <v>75641800</v>
          </cell>
          <cell r="BT19">
            <v>3900</v>
          </cell>
          <cell r="BU19">
            <v>0</v>
          </cell>
          <cell r="BV19">
            <v>10659050</v>
          </cell>
          <cell r="BW19">
            <v>7180</v>
          </cell>
          <cell r="BY19">
            <v>0.68</v>
          </cell>
          <cell r="BZ19">
            <v>0.10999999999999999</v>
          </cell>
          <cell r="CA19">
            <v>-0.13</v>
          </cell>
          <cell r="CB19">
            <v>65513</v>
          </cell>
          <cell r="CC19">
            <v>19</v>
          </cell>
          <cell r="CD19">
            <v>56679</v>
          </cell>
          <cell r="CE19">
            <v>23</v>
          </cell>
          <cell r="CF19">
            <v>19133</v>
          </cell>
          <cell r="CG19">
            <v>5</v>
          </cell>
          <cell r="CH19">
            <v>26215</v>
          </cell>
          <cell r="CI19">
            <v>9</v>
          </cell>
          <cell r="CJ19">
            <v>29425</v>
          </cell>
          <cell r="CK19">
            <v>17</v>
          </cell>
          <cell r="CL19">
            <v>64754</v>
          </cell>
          <cell r="CM19">
            <v>39</v>
          </cell>
          <cell r="CN19">
            <v>272881</v>
          </cell>
          <cell r="CO19">
            <v>77</v>
          </cell>
          <cell r="CP19">
            <v>105</v>
          </cell>
          <cell r="CQ19">
            <v>222409</v>
          </cell>
          <cell r="CR19">
            <v>119</v>
          </cell>
          <cell r="CT19">
            <v>372356</v>
          </cell>
          <cell r="CU19">
            <v>282</v>
          </cell>
          <cell r="CV19">
            <v>266</v>
          </cell>
          <cell r="CW19">
            <v>705772</v>
          </cell>
          <cell r="CX19">
            <v>185</v>
          </cell>
          <cell r="CZ19">
            <v>9407</v>
          </cell>
          <cell r="DA19">
            <v>11</v>
          </cell>
          <cell r="DB19">
            <v>6365</v>
          </cell>
          <cell r="DC19">
            <v>5</v>
          </cell>
          <cell r="DD19">
            <v>33143</v>
          </cell>
          <cell r="DE19">
            <v>14</v>
          </cell>
          <cell r="DF19">
            <v>33284</v>
          </cell>
          <cell r="DG19">
            <v>14</v>
          </cell>
          <cell r="DH19">
            <v>22498</v>
          </cell>
          <cell r="DI19">
            <v>8</v>
          </cell>
          <cell r="DJ19">
            <v>24400</v>
          </cell>
          <cell r="DK19">
            <v>3</v>
          </cell>
          <cell r="DL19">
            <v>7795</v>
          </cell>
          <cell r="DM19">
            <v>11</v>
          </cell>
          <cell r="DN19">
            <v>10294</v>
          </cell>
          <cell r="DO19">
            <v>11</v>
          </cell>
          <cell r="DP19">
            <v>3564</v>
          </cell>
          <cell r="DQ19">
            <v>4</v>
          </cell>
          <cell r="DR19">
            <v>6967</v>
          </cell>
          <cell r="DS19">
            <v>9</v>
          </cell>
          <cell r="DT19">
            <v>30545</v>
          </cell>
          <cell r="DU19">
            <v>1</v>
          </cell>
          <cell r="DW19">
            <v>7036.7</v>
          </cell>
          <cell r="DX19">
            <v>11.199999999999818</v>
          </cell>
          <cell r="DY19">
            <v>11785.2</v>
          </cell>
          <cell r="DZ19">
            <v>8.6000000000003638</v>
          </cell>
          <cell r="EA19">
            <v>5207.1000000000004</v>
          </cell>
          <cell r="EB19">
            <v>5.9000000000005457</v>
          </cell>
          <cell r="EC19">
            <v>5810.7</v>
          </cell>
          <cell r="ED19">
            <v>7.6999999999998181</v>
          </cell>
          <cell r="EE19">
            <v>1162614</v>
          </cell>
          <cell r="EF19">
            <v>580</v>
          </cell>
          <cell r="EI19">
            <v>240847.2</v>
          </cell>
          <cell r="EJ19">
            <v>152</v>
          </cell>
          <cell r="EL19">
            <v>12317300</v>
          </cell>
          <cell r="EM19">
            <v>2500</v>
          </cell>
          <cell r="EN19">
            <v>948740</v>
          </cell>
          <cell r="EO19">
            <v>240</v>
          </cell>
          <cell r="EP19">
            <v>7305500</v>
          </cell>
          <cell r="EQ19">
            <v>800</v>
          </cell>
          <cell r="ER19">
            <v>2514700</v>
          </cell>
          <cell r="ES19">
            <v>300</v>
          </cell>
          <cell r="ET19">
            <v>1314070</v>
          </cell>
          <cell r="EU19">
            <v>620</v>
          </cell>
          <cell r="EV19">
            <v>16753200</v>
          </cell>
          <cell r="EW19">
            <v>1400</v>
          </cell>
          <cell r="EY19">
            <v>43135</v>
          </cell>
          <cell r="EZ19">
            <v>15</v>
          </cell>
          <cell r="FA19">
            <v>37591</v>
          </cell>
          <cell r="FB19">
            <v>10</v>
          </cell>
          <cell r="FC19">
            <v>8182</v>
          </cell>
          <cell r="FD19">
            <v>14</v>
          </cell>
          <cell r="FE19">
            <v>60196</v>
          </cell>
          <cell r="FF19">
            <v>16</v>
          </cell>
          <cell r="FG19">
            <v>51733</v>
          </cell>
          <cell r="FH19">
            <v>34</v>
          </cell>
        </row>
        <row r="20">
          <cell r="B20">
            <v>0.91</v>
          </cell>
          <cell r="E20">
            <v>250016</v>
          </cell>
          <cell r="F20">
            <v>576</v>
          </cell>
          <cell r="G20">
            <v>614</v>
          </cell>
          <cell r="H20">
            <v>270503</v>
          </cell>
          <cell r="I20">
            <v>462</v>
          </cell>
          <cell r="J20">
            <v>118989</v>
          </cell>
          <cell r="K20">
            <v>18272</v>
          </cell>
          <cell r="L20">
            <v>269</v>
          </cell>
          <cell r="N20">
            <v>932219</v>
          </cell>
          <cell r="O20">
            <v>127</v>
          </cell>
          <cell r="Q20">
            <v>246265</v>
          </cell>
          <cell r="R20">
            <v>0</v>
          </cell>
          <cell r="U20">
            <v>121140</v>
          </cell>
          <cell r="V20">
            <v>78</v>
          </cell>
          <cell r="W20">
            <v>18</v>
          </cell>
          <cell r="X20">
            <v>6796</v>
          </cell>
          <cell r="Y20">
            <v>3</v>
          </cell>
          <cell r="AE20">
            <v>8302277.7599999998</v>
          </cell>
          <cell r="AF20">
            <v>1997.519999999553</v>
          </cell>
          <cell r="AG20">
            <v>2241.1200000001118</v>
          </cell>
          <cell r="AH20">
            <v>15773684.640000001</v>
          </cell>
          <cell r="AI20">
            <v>4628.4000000003725</v>
          </cell>
          <cell r="AJ20">
            <v>4677.1200000010431</v>
          </cell>
          <cell r="AK20">
            <v>15938114.640000001</v>
          </cell>
          <cell r="AL20">
            <v>1023.1200000010431</v>
          </cell>
          <cell r="AM20">
            <v>0</v>
          </cell>
          <cell r="AN20">
            <v>19092442.32</v>
          </cell>
          <cell r="AO20">
            <v>48.720000002533197</v>
          </cell>
          <cell r="AP20">
            <v>10913.279999997467</v>
          </cell>
          <cell r="AQ20">
            <v>19361669.039999999</v>
          </cell>
          <cell r="AR20">
            <v>8331.1200000010431</v>
          </cell>
          <cell r="AS20">
            <v>0</v>
          </cell>
          <cell r="AT20">
            <v>17917705.68</v>
          </cell>
          <cell r="AU20">
            <v>5748.9600000008941</v>
          </cell>
          <cell r="AV20">
            <v>6236.160000000149</v>
          </cell>
          <cell r="AW20">
            <v>15055259.52</v>
          </cell>
          <cell r="AX20">
            <v>3848.8799999989569</v>
          </cell>
          <cell r="AY20">
            <v>4433.5200000014156</v>
          </cell>
          <cell r="AZ20">
            <v>14604307.199999999</v>
          </cell>
          <cell r="BA20">
            <v>4482.2400000002235</v>
          </cell>
          <cell r="BB20">
            <v>4628.4000000003725</v>
          </cell>
          <cell r="BC20">
            <v>11378068.799999999</v>
          </cell>
          <cell r="BD20">
            <v>3312.9599999990314</v>
          </cell>
          <cell r="BE20">
            <v>3264.2399999983609</v>
          </cell>
          <cell r="BF20">
            <v>18069760.800000001</v>
          </cell>
          <cell r="BG20">
            <v>5554.0800000019372</v>
          </cell>
          <cell r="BH20">
            <v>5602.7999999988824</v>
          </cell>
          <cell r="BM20">
            <v>78729300</v>
          </cell>
          <cell r="BN20">
            <v>4000</v>
          </cell>
          <cell r="BO20">
            <v>0</v>
          </cell>
          <cell r="BP20">
            <v>81696700</v>
          </cell>
          <cell r="BQ20">
            <v>0</v>
          </cell>
          <cell r="BR20">
            <v>42300</v>
          </cell>
          <cell r="BS20">
            <v>75678400</v>
          </cell>
          <cell r="BT20">
            <v>36600</v>
          </cell>
          <cell r="BU20">
            <v>0</v>
          </cell>
          <cell r="BV20">
            <v>10665930</v>
          </cell>
          <cell r="BW20">
            <v>6880</v>
          </cell>
          <cell r="BY20">
            <v>0.8</v>
          </cell>
          <cell r="BZ20">
            <v>-0.12</v>
          </cell>
          <cell r="CA20">
            <v>0.12</v>
          </cell>
          <cell r="CB20">
            <v>65530</v>
          </cell>
          <cell r="CC20">
            <v>17</v>
          </cell>
          <cell r="CD20">
            <v>56700</v>
          </cell>
          <cell r="CE20">
            <v>21</v>
          </cell>
          <cell r="CF20">
            <v>19141</v>
          </cell>
          <cell r="CG20">
            <v>8</v>
          </cell>
          <cell r="CH20">
            <v>26225</v>
          </cell>
          <cell r="CI20">
            <v>10</v>
          </cell>
          <cell r="CJ20">
            <v>29440</v>
          </cell>
          <cell r="CK20">
            <v>15</v>
          </cell>
          <cell r="CL20">
            <v>64789</v>
          </cell>
          <cell r="CM20">
            <v>35</v>
          </cell>
          <cell r="CN20">
            <v>272960</v>
          </cell>
          <cell r="CO20">
            <v>79</v>
          </cell>
          <cell r="CP20">
            <v>100</v>
          </cell>
          <cell r="CQ20">
            <v>222531</v>
          </cell>
          <cell r="CR20">
            <v>122</v>
          </cell>
          <cell r="CT20">
            <v>372643</v>
          </cell>
          <cell r="CU20">
            <v>287</v>
          </cell>
          <cell r="CV20">
            <v>290</v>
          </cell>
          <cell r="CW20">
            <v>705961</v>
          </cell>
          <cell r="CX20">
            <v>189</v>
          </cell>
          <cell r="CZ20">
            <v>9413</v>
          </cell>
          <cell r="DA20">
            <v>6</v>
          </cell>
          <cell r="DB20">
            <v>6368</v>
          </cell>
          <cell r="DC20">
            <v>3</v>
          </cell>
          <cell r="DD20">
            <v>33159</v>
          </cell>
          <cell r="DE20">
            <v>16</v>
          </cell>
          <cell r="DF20">
            <v>33299</v>
          </cell>
          <cell r="DG20">
            <v>15</v>
          </cell>
          <cell r="DH20">
            <v>22508</v>
          </cell>
          <cell r="DI20">
            <v>10</v>
          </cell>
          <cell r="DJ20">
            <v>24406</v>
          </cell>
          <cell r="DK20">
            <v>6</v>
          </cell>
          <cell r="DL20">
            <v>7807</v>
          </cell>
          <cell r="DM20">
            <v>12</v>
          </cell>
          <cell r="DN20">
            <v>10302</v>
          </cell>
          <cell r="DO20">
            <v>8</v>
          </cell>
          <cell r="DP20">
            <v>3568</v>
          </cell>
          <cell r="DQ20">
            <v>4</v>
          </cell>
          <cell r="DR20">
            <v>6976</v>
          </cell>
          <cell r="DS20">
            <v>9</v>
          </cell>
          <cell r="DT20">
            <v>30545</v>
          </cell>
          <cell r="DU20">
            <v>0</v>
          </cell>
          <cell r="DW20">
            <v>7040.5</v>
          </cell>
          <cell r="DX20">
            <v>3.8000000000001819</v>
          </cell>
          <cell r="DY20">
            <v>11792.9</v>
          </cell>
          <cell r="DZ20">
            <v>7.6999999999989086</v>
          </cell>
          <cell r="EA20">
            <v>5213</v>
          </cell>
          <cell r="EB20">
            <v>5.8999999999996362</v>
          </cell>
          <cell r="EC20">
            <v>5817.6</v>
          </cell>
          <cell r="ED20">
            <v>6.9000000000005457</v>
          </cell>
          <cell r="EE20">
            <v>1163200</v>
          </cell>
          <cell r="EF20">
            <v>586</v>
          </cell>
          <cell r="EI20">
            <v>240999.5</v>
          </cell>
          <cell r="EJ20">
            <v>152.29999999998836</v>
          </cell>
          <cell r="EL20">
            <v>12320300</v>
          </cell>
          <cell r="EM20">
            <v>3000</v>
          </cell>
          <cell r="EN20">
            <v>949000</v>
          </cell>
          <cell r="EO20">
            <v>260</v>
          </cell>
          <cell r="EP20">
            <v>7306400</v>
          </cell>
          <cell r="EQ20">
            <v>900</v>
          </cell>
          <cell r="ER20">
            <v>2514900</v>
          </cell>
          <cell r="ES20">
            <v>200</v>
          </cell>
          <cell r="ET20">
            <v>1314780</v>
          </cell>
          <cell r="EU20">
            <v>710</v>
          </cell>
          <cell r="EV20">
            <v>16755000</v>
          </cell>
          <cell r="EW20">
            <v>1800</v>
          </cell>
          <cell r="EY20">
            <v>43150</v>
          </cell>
          <cell r="EZ20">
            <v>15</v>
          </cell>
          <cell r="FA20">
            <v>37603</v>
          </cell>
          <cell r="FB20">
            <v>12</v>
          </cell>
          <cell r="FC20">
            <v>8193</v>
          </cell>
          <cell r="FD20">
            <v>11</v>
          </cell>
          <cell r="FE20">
            <v>60209</v>
          </cell>
          <cell r="FF20">
            <v>13</v>
          </cell>
          <cell r="FG20">
            <v>51764</v>
          </cell>
          <cell r="FH20">
            <v>31</v>
          </cell>
        </row>
        <row r="21">
          <cell r="B21">
            <v>0.89</v>
          </cell>
          <cell r="E21">
            <v>250545</v>
          </cell>
          <cell r="F21">
            <v>529</v>
          </cell>
          <cell r="G21">
            <v>601</v>
          </cell>
          <cell r="H21">
            <v>270909</v>
          </cell>
          <cell r="I21">
            <v>406</v>
          </cell>
          <cell r="J21">
            <v>119457</v>
          </cell>
          <cell r="K21">
            <v>18525</v>
          </cell>
          <cell r="L21">
            <v>253</v>
          </cell>
          <cell r="N21">
            <v>932485</v>
          </cell>
          <cell r="O21">
            <v>266</v>
          </cell>
          <cell r="Q21">
            <v>246265</v>
          </cell>
          <cell r="R21">
            <v>0</v>
          </cell>
          <cell r="U21">
            <v>121223</v>
          </cell>
          <cell r="V21">
            <v>83</v>
          </cell>
          <cell r="W21">
            <v>185</v>
          </cell>
          <cell r="X21">
            <v>6806</v>
          </cell>
          <cell r="Y21">
            <v>10</v>
          </cell>
          <cell r="AE21">
            <v>8304275.2800000003</v>
          </cell>
          <cell r="AF21">
            <v>1997.5200000004843</v>
          </cell>
          <cell r="AG21">
            <v>2046.2399999992922</v>
          </cell>
          <cell r="AH21">
            <v>15778361.76</v>
          </cell>
          <cell r="AI21">
            <v>4677.1199999991804</v>
          </cell>
          <cell r="AJ21">
            <v>4384.7999999988824</v>
          </cell>
          <cell r="AK21">
            <v>15945276.48</v>
          </cell>
          <cell r="AL21">
            <v>7161.839999999851</v>
          </cell>
          <cell r="AM21">
            <v>48.720000000670552</v>
          </cell>
          <cell r="AN21">
            <v>19093368</v>
          </cell>
          <cell r="AO21">
            <v>925.67999999970198</v>
          </cell>
          <cell r="AP21">
            <v>8769.6000000014901</v>
          </cell>
          <cell r="AQ21">
            <v>19362935.760000002</v>
          </cell>
          <cell r="AR21">
            <v>1266.7200000025332</v>
          </cell>
          <cell r="AS21">
            <v>0</v>
          </cell>
          <cell r="AT21">
            <v>17923503.359999999</v>
          </cell>
          <cell r="AU21">
            <v>5797.679999999702</v>
          </cell>
          <cell r="AV21">
            <v>6090</v>
          </cell>
          <cell r="AW21">
            <v>15058816.08</v>
          </cell>
          <cell r="AX21">
            <v>3556.5600000005215</v>
          </cell>
          <cell r="AY21">
            <v>4092.4799999985844</v>
          </cell>
          <cell r="AZ21">
            <v>14608692</v>
          </cell>
          <cell r="BA21">
            <v>4384.8000000007451</v>
          </cell>
          <cell r="BB21">
            <v>4189.9199999999255</v>
          </cell>
          <cell r="BC21">
            <v>11380992</v>
          </cell>
          <cell r="BD21">
            <v>2923.2000000011176</v>
          </cell>
          <cell r="BE21">
            <v>2874.480000000447</v>
          </cell>
          <cell r="BF21">
            <v>18074973.84</v>
          </cell>
          <cell r="BG21">
            <v>5213.0399999991059</v>
          </cell>
          <cell r="BH21">
            <v>5359.2000000011176</v>
          </cell>
          <cell r="BM21">
            <v>78768300</v>
          </cell>
          <cell r="BN21">
            <v>39000</v>
          </cell>
          <cell r="BO21">
            <v>0</v>
          </cell>
          <cell r="BP21">
            <v>81700800</v>
          </cell>
          <cell r="BQ21">
            <v>4100</v>
          </cell>
          <cell r="BR21">
            <v>33100</v>
          </cell>
          <cell r="BS21">
            <v>75678400</v>
          </cell>
          <cell r="BT21">
            <v>0</v>
          </cell>
          <cell r="BU21">
            <v>0</v>
          </cell>
          <cell r="BV21">
            <v>10672650</v>
          </cell>
          <cell r="BW21">
            <v>6720</v>
          </cell>
          <cell r="BY21">
            <v>0.7</v>
          </cell>
          <cell r="BZ21">
            <v>0.10000000000000009</v>
          </cell>
          <cell r="CA21">
            <v>-0.10999999999999999</v>
          </cell>
          <cell r="CB21">
            <v>65546</v>
          </cell>
          <cell r="CC21">
            <v>16</v>
          </cell>
          <cell r="CD21">
            <v>56720</v>
          </cell>
          <cell r="CE21">
            <v>20</v>
          </cell>
          <cell r="CF21">
            <v>19148</v>
          </cell>
          <cell r="CG21">
            <v>7</v>
          </cell>
          <cell r="CH21">
            <v>26235</v>
          </cell>
          <cell r="CI21">
            <v>10</v>
          </cell>
          <cell r="CJ21">
            <v>29455</v>
          </cell>
          <cell r="CK21">
            <v>15</v>
          </cell>
          <cell r="CL21">
            <v>64824</v>
          </cell>
          <cell r="CM21">
            <v>35</v>
          </cell>
          <cell r="CN21">
            <v>273037</v>
          </cell>
          <cell r="CO21">
            <v>77</v>
          </cell>
          <cell r="CP21">
            <v>96</v>
          </cell>
          <cell r="CQ21">
            <v>222644</v>
          </cell>
          <cell r="CR21">
            <v>113</v>
          </cell>
          <cell r="CT21">
            <v>372877</v>
          </cell>
          <cell r="CU21">
            <v>234</v>
          </cell>
          <cell r="CV21">
            <v>365</v>
          </cell>
          <cell r="CW21">
            <v>706144</v>
          </cell>
          <cell r="CX21">
            <v>183</v>
          </cell>
          <cell r="CZ21">
            <v>9417</v>
          </cell>
          <cell r="DA21">
            <v>4</v>
          </cell>
          <cell r="DB21">
            <v>6370</v>
          </cell>
          <cell r="DC21">
            <v>2</v>
          </cell>
          <cell r="DD21">
            <v>33172</v>
          </cell>
          <cell r="DE21">
            <v>13</v>
          </cell>
          <cell r="DF21">
            <v>33313</v>
          </cell>
          <cell r="DG21">
            <v>14</v>
          </cell>
          <cell r="DH21">
            <v>22517</v>
          </cell>
          <cell r="DI21">
            <v>9</v>
          </cell>
          <cell r="DJ21">
            <v>24411</v>
          </cell>
          <cell r="DK21">
            <v>5</v>
          </cell>
          <cell r="DL21">
            <v>7816</v>
          </cell>
          <cell r="DM21">
            <v>9</v>
          </cell>
          <cell r="DN21">
            <v>10308</v>
          </cell>
          <cell r="DO21">
            <v>6</v>
          </cell>
          <cell r="DP21">
            <v>3572</v>
          </cell>
          <cell r="DQ21">
            <v>4</v>
          </cell>
          <cell r="DR21">
            <v>6983</v>
          </cell>
          <cell r="DS21">
            <v>7</v>
          </cell>
          <cell r="DT21">
            <v>30551</v>
          </cell>
          <cell r="DU21">
            <v>6</v>
          </cell>
          <cell r="DW21">
            <v>7058</v>
          </cell>
          <cell r="DX21">
            <v>17.5</v>
          </cell>
          <cell r="DY21">
            <v>11801.2</v>
          </cell>
          <cell r="DZ21">
            <v>8.3000000000010914</v>
          </cell>
          <cell r="EA21">
            <v>5219</v>
          </cell>
          <cell r="EB21">
            <v>6</v>
          </cell>
          <cell r="EC21">
            <v>5823.3</v>
          </cell>
          <cell r="ED21">
            <v>5.6999999999998181</v>
          </cell>
          <cell r="EE21">
            <v>1163765</v>
          </cell>
          <cell r="EF21">
            <v>565</v>
          </cell>
          <cell r="EI21">
            <v>241151.6</v>
          </cell>
          <cell r="EJ21">
            <v>152.10000000000582</v>
          </cell>
          <cell r="EL21">
            <v>12322900</v>
          </cell>
          <cell r="EM21">
            <v>2600</v>
          </cell>
          <cell r="EN21">
            <v>949220</v>
          </cell>
          <cell r="EO21">
            <v>220</v>
          </cell>
          <cell r="EP21">
            <v>7307300</v>
          </cell>
          <cell r="EQ21">
            <v>900</v>
          </cell>
          <cell r="ER21">
            <v>2515300</v>
          </cell>
          <cell r="ES21">
            <v>400</v>
          </cell>
          <cell r="ET21">
            <v>1315440</v>
          </cell>
          <cell r="EU21">
            <v>660</v>
          </cell>
          <cell r="EV21">
            <v>16756600</v>
          </cell>
          <cell r="EW21">
            <v>1600</v>
          </cell>
          <cell r="EY21">
            <v>43165</v>
          </cell>
          <cell r="EZ21">
            <v>15</v>
          </cell>
          <cell r="FA21">
            <v>37615</v>
          </cell>
          <cell r="FB21">
            <v>12</v>
          </cell>
          <cell r="FC21">
            <v>8202</v>
          </cell>
          <cell r="FD21">
            <v>9</v>
          </cell>
          <cell r="FE21">
            <v>60221</v>
          </cell>
          <cell r="FF21">
            <v>12</v>
          </cell>
          <cell r="FG21">
            <v>51797</v>
          </cell>
          <cell r="FH21">
            <v>33</v>
          </cell>
        </row>
        <row r="22">
          <cell r="B22">
            <v>0.88</v>
          </cell>
          <cell r="E22">
            <v>251159</v>
          </cell>
          <cell r="F22">
            <v>614</v>
          </cell>
          <cell r="G22">
            <v>545</v>
          </cell>
          <cell r="H22">
            <v>271369</v>
          </cell>
          <cell r="I22">
            <v>460</v>
          </cell>
          <cell r="J22">
            <v>119868</v>
          </cell>
          <cell r="K22">
            <v>18810</v>
          </cell>
          <cell r="L22">
            <v>285</v>
          </cell>
          <cell r="N22">
            <v>932756</v>
          </cell>
          <cell r="O22">
            <v>271</v>
          </cell>
          <cell r="Q22">
            <v>246265</v>
          </cell>
          <cell r="R22">
            <v>0</v>
          </cell>
          <cell r="U22">
            <v>121316</v>
          </cell>
          <cell r="V22">
            <v>93</v>
          </cell>
          <cell r="W22">
            <v>212</v>
          </cell>
          <cell r="X22">
            <v>6818</v>
          </cell>
          <cell r="Y22">
            <v>12</v>
          </cell>
          <cell r="AE22">
            <v>8306418.959999999</v>
          </cell>
          <cell r="AF22">
            <v>2143.6799999987707</v>
          </cell>
          <cell r="AG22">
            <v>2143.6800000006333</v>
          </cell>
          <cell r="AH22">
            <v>15783038.880000001</v>
          </cell>
          <cell r="AI22">
            <v>4677.1200000010431</v>
          </cell>
          <cell r="AJ22">
            <v>4530.9599999990314</v>
          </cell>
          <cell r="AK22">
            <v>15945422.640000001</v>
          </cell>
          <cell r="AL22">
            <v>146.16000000014901</v>
          </cell>
          <cell r="AM22">
            <v>0</v>
          </cell>
          <cell r="AN22">
            <v>19100870.879999999</v>
          </cell>
          <cell r="AO22">
            <v>7502.8799999989569</v>
          </cell>
          <cell r="AP22">
            <v>8477.2800000011921</v>
          </cell>
          <cell r="AQ22">
            <v>19365128.16</v>
          </cell>
          <cell r="AR22">
            <v>2192.3999999985099</v>
          </cell>
          <cell r="AS22">
            <v>1120.5600000023842</v>
          </cell>
          <cell r="AT22">
            <v>17929398.48</v>
          </cell>
          <cell r="AU22">
            <v>5895.1200000010431</v>
          </cell>
          <cell r="AV22">
            <v>5797.679999999702</v>
          </cell>
          <cell r="AW22">
            <v>15062713.68</v>
          </cell>
          <cell r="AX22">
            <v>3897.5999999996275</v>
          </cell>
          <cell r="AY22">
            <v>3897.5999999996275</v>
          </cell>
          <cell r="AZ22">
            <v>14613369.119999999</v>
          </cell>
          <cell r="BA22">
            <v>4677.1199999991804</v>
          </cell>
          <cell r="BB22">
            <v>4189.9199999999255</v>
          </cell>
          <cell r="BC22">
            <v>11383866.48</v>
          </cell>
          <cell r="BD22">
            <v>2874.480000000447</v>
          </cell>
          <cell r="BE22">
            <v>2874.480000000447</v>
          </cell>
          <cell r="BF22">
            <v>18080527.919999998</v>
          </cell>
          <cell r="BG22">
            <v>5554.0799999982119</v>
          </cell>
          <cell r="BH22">
            <v>5164.3199999984354</v>
          </cell>
          <cell r="BM22">
            <v>78768300</v>
          </cell>
          <cell r="BN22">
            <v>0</v>
          </cell>
          <cell r="BO22">
            <v>0</v>
          </cell>
          <cell r="BP22">
            <v>81741500</v>
          </cell>
          <cell r="BQ22">
            <v>40700</v>
          </cell>
          <cell r="BR22">
            <v>35900</v>
          </cell>
          <cell r="BS22">
            <v>75683200</v>
          </cell>
          <cell r="BT22">
            <v>4800</v>
          </cell>
          <cell r="BU22">
            <v>0</v>
          </cell>
          <cell r="BV22">
            <v>10679900</v>
          </cell>
          <cell r="BW22">
            <v>7250</v>
          </cell>
          <cell r="BY22">
            <v>0.79</v>
          </cell>
          <cell r="BZ22">
            <v>-9.000000000000008E-2</v>
          </cell>
          <cell r="CA22">
            <v>-0.19999999999999996</v>
          </cell>
          <cell r="CB22">
            <v>65565</v>
          </cell>
          <cell r="CC22">
            <v>19</v>
          </cell>
          <cell r="CD22">
            <v>56739</v>
          </cell>
          <cell r="CE22">
            <v>19</v>
          </cell>
          <cell r="CF22">
            <v>19155</v>
          </cell>
          <cell r="CG22">
            <v>7</v>
          </cell>
          <cell r="CH22">
            <v>26245</v>
          </cell>
          <cell r="CI22">
            <v>10</v>
          </cell>
          <cell r="CJ22">
            <v>29472</v>
          </cell>
          <cell r="CK22">
            <v>17</v>
          </cell>
          <cell r="CL22">
            <v>64861</v>
          </cell>
          <cell r="CM22">
            <v>37</v>
          </cell>
          <cell r="CN22">
            <v>273125</v>
          </cell>
          <cell r="CO22">
            <v>88</v>
          </cell>
          <cell r="CP22">
            <v>101</v>
          </cell>
          <cell r="CQ22">
            <v>222764</v>
          </cell>
          <cell r="CR22">
            <v>120</v>
          </cell>
          <cell r="CT22">
            <v>373115</v>
          </cell>
          <cell r="CU22">
            <v>238</v>
          </cell>
          <cell r="CV22">
            <v>326</v>
          </cell>
          <cell r="CW22">
            <v>706331</v>
          </cell>
          <cell r="CX22">
            <v>187</v>
          </cell>
          <cell r="CZ22">
            <v>9426</v>
          </cell>
          <cell r="DA22">
            <v>9</v>
          </cell>
          <cell r="DB22">
            <v>6374</v>
          </cell>
          <cell r="DC22">
            <v>4</v>
          </cell>
          <cell r="DD22">
            <v>33187</v>
          </cell>
          <cell r="DE22">
            <v>15</v>
          </cell>
          <cell r="DF22">
            <v>33329</v>
          </cell>
          <cell r="DG22">
            <v>16</v>
          </cell>
          <cell r="DH22">
            <v>22526</v>
          </cell>
          <cell r="DI22">
            <v>9</v>
          </cell>
          <cell r="DJ22">
            <v>24416</v>
          </cell>
          <cell r="DK22">
            <v>5</v>
          </cell>
          <cell r="DL22">
            <v>7827</v>
          </cell>
          <cell r="DM22">
            <v>11</v>
          </cell>
          <cell r="DN22">
            <v>10316</v>
          </cell>
          <cell r="DO22">
            <v>8</v>
          </cell>
          <cell r="DP22">
            <v>3577</v>
          </cell>
          <cell r="DQ22">
            <v>5</v>
          </cell>
          <cell r="DR22">
            <v>6992</v>
          </cell>
          <cell r="DS22">
            <v>9</v>
          </cell>
          <cell r="DT22">
            <v>30557</v>
          </cell>
          <cell r="DU22">
            <v>6</v>
          </cell>
          <cell r="DW22">
            <v>7068.8</v>
          </cell>
          <cell r="DX22">
            <v>10.800000000000182</v>
          </cell>
          <cell r="DY22">
            <v>11810.1</v>
          </cell>
          <cell r="DZ22">
            <v>8.8999999999996362</v>
          </cell>
          <cell r="EA22">
            <v>5225</v>
          </cell>
          <cell r="EB22">
            <v>6</v>
          </cell>
          <cell r="EC22">
            <v>5829.7</v>
          </cell>
          <cell r="ED22">
            <v>6.3999999999996362</v>
          </cell>
          <cell r="EE22">
            <v>1164365</v>
          </cell>
          <cell r="EF22">
            <v>600</v>
          </cell>
          <cell r="EI22">
            <v>241305.9</v>
          </cell>
          <cell r="EJ22">
            <v>154.29999999998836</v>
          </cell>
          <cell r="EL22">
            <v>12326000</v>
          </cell>
          <cell r="EM22">
            <v>3100</v>
          </cell>
          <cell r="EN22">
            <v>949470</v>
          </cell>
          <cell r="EO22">
            <v>250</v>
          </cell>
          <cell r="EP22">
            <v>7308200</v>
          </cell>
          <cell r="EQ22">
            <v>900</v>
          </cell>
          <cell r="ER22">
            <v>2515700</v>
          </cell>
          <cell r="ES22">
            <v>400</v>
          </cell>
          <cell r="ET22">
            <v>1316100</v>
          </cell>
          <cell r="EU22">
            <v>660</v>
          </cell>
          <cell r="EV22">
            <v>16759300</v>
          </cell>
          <cell r="EW22">
            <v>2700</v>
          </cell>
          <cell r="EY22">
            <v>43180</v>
          </cell>
          <cell r="EZ22">
            <v>15</v>
          </cell>
          <cell r="FA22">
            <v>37628</v>
          </cell>
          <cell r="FB22">
            <v>13</v>
          </cell>
          <cell r="FC22">
            <v>8212</v>
          </cell>
          <cell r="FD22">
            <v>10</v>
          </cell>
          <cell r="FE22">
            <v>60236</v>
          </cell>
          <cell r="FF22">
            <v>15</v>
          </cell>
          <cell r="FG22">
            <v>51830</v>
          </cell>
          <cell r="FH22">
            <v>33</v>
          </cell>
        </row>
        <row r="23">
          <cell r="B23">
            <v>0.81</v>
          </cell>
          <cell r="E23">
            <v>251749</v>
          </cell>
          <cell r="F23">
            <v>590</v>
          </cell>
          <cell r="G23">
            <v>562</v>
          </cell>
          <cell r="H23">
            <v>271819</v>
          </cell>
          <cell r="I23">
            <v>450</v>
          </cell>
          <cell r="J23">
            <v>120301</v>
          </cell>
          <cell r="K23">
            <v>19062</v>
          </cell>
          <cell r="L23">
            <v>252</v>
          </cell>
          <cell r="N23">
            <v>933029</v>
          </cell>
          <cell r="O23">
            <v>273</v>
          </cell>
          <cell r="Q23">
            <v>246265</v>
          </cell>
          <cell r="R23">
            <v>0</v>
          </cell>
          <cell r="U23">
            <v>121412</v>
          </cell>
          <cell r="V23">
            <v>96</v>
          </cell>
          <cell r="W23">
            <v>210</v>
          </cell>
          <cell r="X23">
            <v>6825</v>
          </cell>
          <cell r="Y23">
            <v>7</v>
          </cell>
          <cell r="AE23">
            <v>8309098.5599999996</v>
          </cell>
          <cell r="AF23">
            <v>2679.6000000005588</v>
          </cell>
          <cell r="AG23">
            <v>2143.679999999702</v>
          </cell>
          <cell r="AH23">
            <v>15787764.719999999</v>
          </cell>
          <cell r="AI23">
            <v>4725.8399999979883</v>
          </cell>
          <cell r="AJ23">
            <v>4530.9600000027567</v>
          </cell>
          <cell r="AK23">
            <v>15946835.52</v>
          </cell>
          <cell r="AL23">
            <v>1412.8799999989569</v>
          </cell>
          <cell r="AM23">
            <v>48.719999998807907</v>
          </cell>
          <cell r="AN23">
            <v>19100919.599999998</v>
          </cell>
          <cell r="AO23">
            <v>48.719999998807907</v>
          </cell>
          <cell r="AP23">
            <v>9549.1199999973178</v>
          </cell>
          <cell r="AQ23">
            <v>19373459.280000001</v>
          </cell>
          <cell r="AR23">
            <v>8331.1200000010431</v>
          </cell>
          <cell r="AS23">
            <v>1364.160000000149</v>
          </cell>
          <cell r="AT23">
            <v>17935293.599999998</v>
          </cell>
          <cell r="AU23">
            <v>5895.1199999973178</v>
          </cell>
          <cell r="AV23">
            <v>5651.5200000014156</v>
          </cell>
          <cell r="AW23">
            <v>15067049.76</v>
          </cell>
          <cell r="AX23">
            <v>4336.0800000000745</v>
          </cell>
          <cell r="AY23">
            <v>4141.1999999992549</v>
          </cell>
          <cell r="AZ23">
            <v>14617997.52</v>
          </cell>
          <cell r="BA23">
            <v>4628.4000000003725</v>
          </cell>
          <cell r="BB23">
            <v>4287.359999999404</v>
          </cell>
          <cell r="BC23">
            <v>11386838.4</v>
          </cell>
          <cell r="BD23">
            <v>2971.9199999999255</v>
          </cell>
          <cell r="BE23">
            <v>2777.0399999991059</v>
          </cell>
          <cell r="BF23">
            <v>18086228.16</v>
          </cell>
          <cell r="BG23">
            <v>5700.2400000020862</v>
          </cell>
          <cell r="BH23">
            <v>5700.2399999983609</v>
          </cell>
          <cell r="BM23">
            <v>78772900</v>
          </cell>
          <cell r="BN23">
            <v>4600</v>
          </cell>
          <cell r="BO23">
            <v>0</v>
          </cell>
          <cell r="BP23">
            <v>81741500</v>
          </cell>
          <cell r="BQ23">
            <v>0</v>
          </cell>
          <cell r="BR23">
            <v>43200</v>
          </cell>
          <cell r="BS23">
            <v>75725300</v>
          </cell>
          <cell r="BT23">
            <v>42100</v>
          </cell>
          <cell r="BU23">
            <v>0</v>
          </cell>
          <cell r="BV23">
            <v>10687040</v>
          </cell>
          <cell r="BW23">
            <v>7140</v>
          </cell>
          <cell r="BY23">
            <v>0.69</v>
          </cell>
          <cell r="BZ23">
            <v>0.10000000000000009</v>
          </cell>
          <cell r="CA23">
            <v>7.999999999999996E-2</v>
          </cell>
          <cell r="CB23">
            <v>65580</v>
          </cell>
          <cell r="CC23">
            <v>15</v>
          </cell>
          <cell r="CD23">
            <v>56760</v>
          </cell>
          <cell r="CE23">
            <v>21</v>
          </cell>
          <cell r="CF23">
            <v>19161</v>
          </cell>
          <cell r="CG23">
            <v>6</v>
          </cell>
          <cell r="CH23">
            <v>26255</v>
          </cell>
          <cell r="CI23">
            <v>10</v>
          </cell>
          <cell r="CJ23">
            <v>29486</v>
          </cell>
          <cell r="CK23">
            <v>14</v>
          </cell>
          <cell r="CL23">
            <v>64898</v>
          </cell>
          <cell r="CM23">
            <v>37</v>
          </cell>
          <cell r="CN23">
            <v>273206</v>
          </cell>
          <cell r="CO23">
            <v>81</v>
          </cell>
          <cell r="CP23">
            <v>100</v>
          </cell>
          <cell r="CQ23">
            <v>222876</v>
          </cell>
          <cell r="CR23">
            <v>112</v>
          </cell>
          <cell r="CT23">
            <v>373379</v>
          </cell>
          <cell r="CU23">
            <v>264</v>
          </cell>
          <cell r="CV23">
            <v>257</v>
          </cell>
          <cell r="CW23">
            <v>706518</v>
          </cell>
          <cell r="CX23">
            <v>187</v>
          </cell>
          <cell r="CZ23">
            <v>9436</v>
          </cell>
          <cell r="DA23">
            <v>10</v>
          </cell>
          <cell r="DB23">
            <v>6384</v>
          </cell>
          <cell r="DC23">
            <v>10</v>
          </cell>
          <cell r="DD23">
            <v>33202</v>
          </cell>
          <cell r="DE23">
            <v>15</v>
          </cell>
          <cell r="DF23">
            <v>33342</v>
          </cell>
          <cell r="DG23">
            <v>13</v>
          </cell>
          <cell r="DH23">
            <v>22535</v>
          </cell>
          <cell r="DI23">
            <v>9</v>
          </cell>
          <cell r="DJ23">
            <v>24420</v>
          </cell>
          <cell r="DK23">
            <v>4</v>
          </cell>
          <cell r="DL23">
            <v>7838</v>
          </cell>
          <cell r="DM23">
            <v>11</v>
          </cell>
          <cell r="DN23">
            <v>10323</v>
          </cell>
          <cell r="DO23">
            <v>7</v>
          </cell>
          <cell r="DP23">
            <v>3580</v>
          </cell>
          <cell r="DQ23">
            <v>3</v>
          </cell>
          <cell r="DR23">
            <v>7000</v>
          </cell>
          <cell r="DS23">
            <v>8</v>
          </cell>
          <cell r="DT23">
            <v>30557</v>
          </cell>
          <cell r="DU23">
            <v>0</v>
          </cell>
          <cell r="DW23">
            <v>7079.8</v>
          </cell>
          <cell r="DX23">
            <v>11</v>
          </cell>
          <cell r="DY23">
            <v>11818.7</v>
          </cell>
          <cell r="DZ23">
            <v>8.6000000000003638</v>
          </cell>
          <cell r="EA23">
            <v>5231.2</v>
          </cell>
          <cell r="EB23">
            <v>6.1999999999998181</v>
          </cell>
          <cell r="EC23">
            <v>5836.2</v>
          </cell>
          <cell r="ED23">
            <v>6.5</v>
          </cell>
          <cell r="EE23">
            <v>1164956</v>
          </cell>
          <cell r="EF23">
            <v>591</v>
          </cell>
          <cell r="EI23">
            <v>241462.39999999999</v>
          </cell>
          <cell r="EJ23">
            <v>156.5</v>
          </cell>
          <cell r="EL23">
            <v>12329100</v>
          </cell>
          <cell r="EM23">
            <v>3100</v>
          </cell>
          <cell r="EN23">
            <v>949720</v>
          </cell>
          <cell r="EO23">
            <v>250</v>
          </cell>
          <cell r="EP23">
            <v>7309300</v>
          </cell>
          <cell r="EQ23">
            <v>1100</v>
          </cell>
          <cell r="ER23">
            <v>2516100</v>
          </cell>
          <cell r="ES23">
            <v>400</v>
          </cell>
          <cell r="ET23">
            <v>1316770</v>
          </cell>
          <cell r="EU23">
            <v>670</v>
          </cell>
          <cell r="EV23">
            <v>16763500</v>
          </cell>
          <cell r="EW23">
            <v>4200</v>
          </cell>
          <cell r="EY23">
            <v>43196</v>
          </cell>
          <cell r="EZ23">
            <v>16</v>
          </cell>
          <cell r="FA23">
            <v>37641</v>
          </cell>
          <cell r="FB23">
            <v>13</v>
          </cell>
          <cell r="FC23">
            <v>8220</v>
          </cell>
          <cell r="FD23">
            <v>8</v>
          </cell>
          <cell r="FE23">
            <v>60252</v>
          </cell>
          <cell r="FF23">
            <v>16</v>
          </cell>
          <cell r="FG23">
            <v>51863</v>
          </cell>
          <cell r="FH23">
            <v>33</v>
          </cell>
        </row>
        <row r="24">
          <cell r="B24">
            <v>0.79</v>
          </cell>
          <cell r="E24">
            <v>252320</v>
          </cell>
          <cell r="F24">
            <v>571</v>
          </cell>
          <cell r="G24">
            <v>574</v>
          </cell>
          <cell r="H24">
            <v>272247</v>
          </cell>
          <cell r="I24">
            <v>428</v>
          </cell>
          <cell r="J24">
            <v>120746</v>
          </cell>
          <cell r="K24">
            <v>19398</v>
          </cell>
          <cell r="L24">
            <v>336</v>
          </cell>
          <cell r="N24">
            <v>933301</v>
          </cell>
          <cell r="O24">
            <v>272</v>
          </cell>
          <cell r="Q24">
            <v>246265</v>
          </cell>
          <cell r="R24">
            <v>0</v>
          </cell>
          <cell r="U24">
            <v>121500</v>
          </cell>
          <cell r="V24">
            <v>88</v>
          </cell>
          <cell r="W24">
            <v>247</v>
          </cell>
          <cell r="X24">
            <v>6829</v>
          </cell>
          <cell r="Y24">
            <v>4</v>
          </cell>
          <cell r="AE24">
            <v>8311485.8399999999</v>
          </cell>
          <cell r="AF24">
            <v>2387.2800000002608</v>
          </cell>
          <cell r="AG24">
            <v>2143.679999999702</v>
          </cell>
          <cell r="AH24">
            <v>15792246.959999999</v>
          </cell>
          <cell r="AI24">
            <v>4482.2400000002235</v>
          </cell>
          <cell r="AJ24">
            <v>4774.5599999986589</v>
          </cell>
          <cell r="AK24">
            <v>15954192.24</v>
          </cell>
          <cell r="AL24">
            <v>7356.7200000006706</v>
          </cell>
          <cell r="AM24">
            <v>146.16000000014901</v>
          </cell>
          <cell r="AN24">
            <v>19102137.599999998</v>
          </cell>
          <cell r="AO24">
            <v>1218</v>
          </cell>
          <cell r="AP24">
            <v>8964.480000000447</v>
          </cell>
          <cell r="AQ24">
            <v>19374092.639999997</v>
          </cell>
          <cell r="AR24">
            <v>633.35999999567866</v>
          </cell>
          <cell r="AS24">
            <v>1461.6000000014901</v>
          </cell>
          <cell r="AT24">
            <v>17940652.800000001</v>
          </cell>
          <cell r="AU24">
            <v>5359.2000000029802</v>
          </cell>
          <cell r="AV24">
            <v>5700.2399999983609</v>
          </cell>
          <cell r="AW24">
            <v>15070947.359999999</v>
          </cell>
          <cell r="AX24">
            <v>3897.5999999996275</v>
          </cell>
          <cell r="AY24">
            <v>4433.5200000014156</v>
          </cell>
          <cell r="AZ24">
            <v>14622431.039999999</v>
          </cell>
          <cell r="BA24">
            <v>4433.519999999553</v>
          </cell>
          <cell r="BB24">
            <v>4482.2400000002235</v>
          </cell>
          <cell r="BC24">
            <v>11389664.16</v>
          </cell>
          <cell r="BD24">
            <v>2825.7599999997765</v>
          </cell>
          <cell r="BE24">
            <v>2971.9200000017881</v>
          </cell>
          <cell r="BF24">
            <v>18091782.239999998</v>
          </cell>
          <cell r="BG24">
            <v>5554.0799999982119</v>
          </cell>
          <cell r="BH24">
            <v>5602.8000000007451</v>
          </cell>
          <cell r="BM24">
            <v>78815500</v>
          </cell>
          <cell r="BN24">
            <v>42600</v>
          </cell>
          <cell r="BO24">
            <v>0</v>
          </cell>
          <cell r="BP24">
            <v>81746300</v>
          </cell>
          <cell r="BQ24">
            <v>4800</v>
          </cell>
          <cell r="BR24">
            <v>42500</v>
          </cell>
          <cell r="BS24">
            <v>75725300</v>
          </cell>
          <cell r="BT24">
            <v>0</v>
          </cell>
          <cell r="BU24">
            <v>0</v>
          </cell>
          <cell r="BV24">
            <v>10693800</v>
          </cell>
          <cell r="BW24">
            <v>6760</v>
          </cell>
          <cell r="BY24">
            <v>0.84</v>
          </cell>
          <cell r="BZ24">
            <v>-0.15000000000000002</v>
          </cell>
          <cell r="CA24">
            <v>5.9999999999999942E-2</v>
          </cell>
          <cell r="CB24">
            <v>65594</v>
          </cell>
          <cell r="CC24">
            <v>14</v>
          </cell>
          <cell r="CD24">
            <v>56781</v>
          </cell>
          <cell r="CE24">
            <v>21</v>
          </cell>
          <cell r="CF24">
            <v>19169</v>
          </cell>
          <cell r="CG24">
            <v>8</v>
          </cell>
          <cell r="CH24">
            <v>26264</v>
          </cell>
          <cell r="CI24">
            <v>9</v>
          </cell>
          <cell r="CJ24">
            <v>29499</v>
          </cell>
          <cell r="CK24">
            <v>13</v>
          </cell>
          <cell r="CL24">
            <v>64934</v>
          </cell>
          <cell r="CM24">
            <v>36</v>
          </cell>
          <cell r="CN24">
            <v>273285</v>
          </cell>
          <cell r="CO24">
            <v>79</v>
          </cell>
          <cell r="CP24">
            <v>100</v>
          </cell>
          <cell r="CQ24">
            <v>222983</v>
          </cell>
          <cell r="CR24">
            <v>107</v>
          </cell>
          <cell r="CT24">
            <v>373605</v>
          </cell>
          <cell r="CU24">
            <v>226</v>
          </cell>
          <cell r="CV24">
            <v>303</v>
          </cell>
          <cell r="CW24">
            <v>706699</v>
          </cell>
          <cell r="CX24">
            <v>181</v>
          </cell>
          <cell r="CZ24">
            <v>9443</v>
          </cell>
          <cell r="DA24">
            <v>7</v>
          </cell>
          <cell r="DB24">
            <v>6388</v>
          </cell>
          <cell r="DC24">
            <v>4</v>
          </cell>
          <cell r="DD24">
            <v>33217</v>
          </cell>
          <cell r="DE24">
            <v>15</v>
          </cell>
          <cell r="DF24">
            <v>33357</v>
          </cell>
          <cell r="DG24">
            <v>15</v>
          </cell>
          <cell r="DH24">
            <v>22544</v>
          </cell>
          <cell r="DI24">
            <v>9</v>
          </cell>
          <cell r="DJ24">
            <v>24425</v>
          </cell>
          <cell r="DK24">
            <v>5</v>
          </cell>
          <cell r="DL24">
            <v>7848</v>
          </cell>
          <cell r="DM24">
            <v>10</v>
          </cell>
          <cell r="DN24">
            <v>10327</v>
          </cell>
          <cell r="DO24">
            <v>4</v>
          </cell>
          <cell r="DP24">
            <v>3585</v>
          </cell>
          <cell r="DQ24">
            <v>5</v>
          </cell>
          <cell r="DR24">
            <v>7008</v>
          </cell>
          <cell r="DS24">
            <v>8</v>
          </cell>
          <cell r="DT24">
            <v>30570</v>
          </cell>
          <cell r="DU24">
            <v>13</v>
          </cell>
          <cell r="DW24">
            <v>7091</v>
          </cell>
          <cell r="DX24">
            <v>11.199999999999818</v>
          </cell>
          <cell r="DY24">
            <v>11826.9</v>
          </cell>
          <cell r="DZ24">
            <v>8.1999999999989086</v>
          </cell>
          <cell r="EA24">
            <v>5237.2</v>
          </cell>
          <cell r="EB24">
            <v>6</v>
          </cell>
          <cell r="EC24">
            <v>5843.1</v>
          </cell>
          <cell r="ED24">
            <v>6.9000000000005457</v>
          </cell>
          <cell r="EE24">
            <v>1165500</v>
          </cell>
          <cell r="EF24">
            <v>544</v>
          </cell>
          <cell r="EI24">
            <v>241610.4</v>
          </cell>
          <cell r="EJ24">
            <v>148</v>
          </cell>
          <cell r="EL24">
            <v>12332100</v>
          </cell>
          <cell r="EM24">
            <v>3000</v>
          </cell>
          <cell r="EN24">
            <v>949940</v>
          </cell>
          <cell r="EO24">
            <v>220</v>
          </cell>
          <cell r="EP24">
            <v>7310300</v>
          </cell>
          <cell r="EQ24">
            <v>1000</v>
          </cell>
          <cell r="ER24">
            <v>2516600</v>
          </cell>
          <cell r="ES24">
            <v>500</v>
          </cell>
          <cell r="ET24">
            <v>1317400</v>
          </cell>
          <cell r="EU24">
            <v>630</v>
          </cell>
          <cell r="EV24">
            <v>16767800</v>
          </cell>
          <cell r="EW24">
            <v>4300</v>
          </cell>
          <cell r="EY24">
            <v>43211</v>
          </cell>
          <cell r="EZ24">
            <v>15</v>
          </cell>
          <cell r="FA24">
            <v>37653</v>
          </cell>
          <cell r="FB24">
            <v>12</v>
          </cell>
          <cell r="FC24">
            <v>8229</v>
          </cell>
          <cell r="FD24">
            <v>9</v>
          </cell>
          <cell r="FE24">
            <v>60266</v>
          </cell>
          <cell r="FF24">
            <v>14</v>
          </cell>
          <cell r="FG24">
            <v>51894</v>
          </cell>
          <cell r="FH24">
            <v>31</v>
          </cell>
        </row>
        <row r="25">
          <cell r="F25">
            <v>-252320</v>
          </cell>
          <cell r="G25">
            <v>613</v>
          </cell>
          <cell r="I25">
            <v>-272247</v>
          </cell>
          <cell r="J25">
            <v>121240</v>
          </cell>
          <cell r="L25">
            <v>-19398</v>
          </cell>
          <cell r="O25">
            <v>-933301</v>
          </cell>
          <cell r="R25">
            <v>-246265</v>
          </cell>
          <cell r="V25">
            <v>-121500</v>
          </cell>
          <cell r="W25">
            <v>223</v>
          </cell>
          <cell r="Y25">
            <v>-6829</v>
          </cell>
          <cell r="AF25">
            <v>-8311485.8399999999</v>
          </cell>
          <cell r="AG25">
            <v>2192.4000000003725</v>
          </cell>
          <cell r="AI25">
            <v>-15792246.959999999</v>
          </cell>
          <cell r="AJ25">
            <v>4774.5600000005215</v>
          </cell>
          <cell r="AL25">
            <v>-15954192.24</v>
          </cell>
          <cell r="AM25">
            <v>194.88000000081956</v>
          </cell>
          <cell r="AO25">
            <v>-19102137.599999998</v>
          </cell>
          <cell r="AP25">
            <v>8038.8000000007451</v>
          </cell>
          <cell r="AR25">
            <v>-19374092.639999997</v>
          </cell>
          <cell r="AS25">
            <v>1510.320000000298</v>
          </cell>
          <cell r="AU25">
            <v>-17940652.800000001</v>
          </cell>
          <cell r="AV25">
            <v>6041.2800000011921</v>
          </cell>
          <cell r="AX25">
            <v>-15070947.359999999</v>
          </cell>
          <cell r="AY25">
            <v>4579.679999999702</v>
          </cell>
          <cell r="BA25">
            <v>-14622431.039999999</v>
          </cell>
          <cell r="BB25">
            <v>4433.519999999553</v>
          </cell>
          <cell r="BD25">
            <v>-11389664.16</v>
          </cell>
          <cell r="BE25">
            <v>3312.9599999990314</v>
          </cell>
          <cell r="BG25">
            <v>-18091782.239999998</v>
          </cell>
          <cell r="BH25">
            <v>5651.5200000014156</v>
          </cell>
          <cell r="BN25">
            <v>-78815500</v>
          </cell>
          <cell r="BO25">
            <v>0</v>
          </cell>
          <cell r="BQ25">
            <v>-81746300</v>
          </cell>
          <cell r="BR25">
            <v>40900</v>
          </cell>
          <cell r="BT25">
            <v>-75725300</v>
          </cell>
          <cell r="BU25">
            <v>0</v>
          </cell>
          <cell r="BW25">
            <v>-10693800</v>
          </cell>
          <cell r="BZ25">
            <v>0.84</v>
          </cell>
          <cell r="CA25">
            <v>-4.9999999999999933E-2</v>
          </cell>
          <cell r="CC25">
            <v>-65594</v>
          </cell>
          <cell r="CE25">
            <v>-56781</v>
          </cell>
          <cell r="CG25">
            <v>-19169</v>
          </cell>
          <cell r="CI25">
            <v>-26264</v>
          </cell>
          <cell r="CK25">
            <v>-29499</v>
          </cell>
          <cell r="CM25">
            <v>-64934</v>
          </cell>
          <cell r="CO25">
            <v>-273285</v>
          </cell>
          <cell r="CP25">
            <v>99</v>
          </cell>
          <cell r="CR25">
            <v>-222983</v>
          </cell>
          <cell r="CU25">
            <v>-373605</v>
          </cell>
          <cell r="CV25">
            <v>353</v>
          </cell>
          <cell r="CX25">
            <v>-706699</v>
          </cell>
          <cell r="DA25">
            <v>-9443</v>
          </cell>
          <cell r="DC25">
            <v>-6388</v>
          </cell>
          <cell r="DE25">
            <v>-33217</v>
          </cell>
          <cell r="DG25">
            <v>-33357</v>
          </cell>
          <cell r="DI25">
            <v>-22544</v>
          </cell>
          <cell r="DK25">
            <v>-24425</v>
          </cell>
          <cell r="DM25">
            <v>-7848</v>
          </cell>
          <cell r="DO25">
            <v>-10327</v>
          </cell>
          <cell r="DQ25">
            <v>-3585</v>
          </cell>
          <cell r="DS25">
            <v>-7008</v>
          </cell>
          <cell r="DU25">
            <v>-30570</v>
          </cell>
          <cell r="DX25">
            <v>-7091</v>
          </cell>
          <cell r="DZ25">
            <v>-11826.9</v>
          </cell>
          <cell r="EB25">
            <v>-5237.2</v>
          </cell>
          <cell r="ED25">
            <v>-5843.1</v>
          </cell>
          <cell r="EF25">
            <v>-1165500</v>
          </cell>
          <cell r="EJ25">
            <v>-241610.4</v>
          </cell>
          <cell r="EM25">
            <v>-12332100</v>
          </cell>
          <cell r="EO25">
            <v>-949940</v>
          </cell>
          <cell r="EQ25">
            <v>-7310300</v>
          </cell>
          <cell r="ES25">
            <v>-2516600</v>
          </cell>
          <cell r="EU25">
            <v>-1317400</v>
          </cell>
          <cell r="EW25">
            <v>-16767800</v>
          </cell>
          <cell r="EZ25">
            <v>-43211</v>
          </cell>
          <cell r="FB25">
            <v>-37653</v>
          </cell>
          <cell r="FD25">
            <v>-8229</v>
          </cell>
          <cell r="FF25">
            <v>-60266</v>
          </cell>
          <cell r="FH25">
            <v>-51894</v>
          </cell>
        </row>
        <row r="26">
          <cell r="F26">
            <v>0</v>
          </cell>
          <cell r="G26">
            <v>643</v>
          </cell>
          <cell r="I26">
            <v>0</v>
          </cell>
          <cell r="J26">
            <v>121742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225</v>
          </cell>
          <cell r="Y26">
            <v>0</v>
          </cell>
          <cell r="AF26">
            <v>0</v>
          </cell>
          <cell r="AG26">
            <v>2094.9599999990314</v>
          </cell>
          <cell r="AI26">
            <v>0</v>
          </cell>
          <cell r="AJ26">
            <v>4823.2800000011921</v>
          </cell>
          <cell r="AL26">
            <v>0</v>
          </cell>
          <cell r="AM26">
            <v>194.88000000081956</v>
          </cell>
          <cell r="AO26">
            <v>0</v>
          </cell>
          <cell r="AP26">
            <v>8428.5600000023842</v>
          </cell>
          <cell r="AR26">
            <v>0</v>
          </cell>
          <cell r="AS26">
            <v>1364.1599999964237</v>
          </cell>
          <cell r="AU26">
            <v>0</v>
          </cell>
          <cell r="AV26">
            <v>6138.7199999988079</v>
          </cell>
          <cell r="AX26">
            <v>0</v>
          </cell>
          <cell r="AY26">
            <v>4384.7999999988824</v>
          </cell>
          <cell r="BA26">
            <v>0</v>
          </cell>
          <cell r="BB26">
            <v>4628.4000000003725</v>
          </cell>
          <cell r="BD26">
            <v>0</v>
          </cell>
          <cell r="BE26">
            <v>3069.359999999404</v>
          </cell>
          <cell r="BG26">
            <v>0</v>
          </cell>
          <cell r="BH26">
            <v>5554.0799999982119</v>
          </cell>
          <cell r="BN26">
            <v>0</v>
          </cell>
          <cell r="BO26">
            <v>0</v>
          </cell>
          <cell r="BQ26">
            <v>0</v>
          </cell>
          <cell r="BR26">
            <v>41000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7.999999999999996E-2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99</v>
          </cell>
          <cell r="CR26">
            <v>0</v>
          </cell>
          <cell r="CU26">
            <v>0</v>
          </cell>
          <cell r="CV26">
            <v>289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643</v>
          </cell>
          <cell r="I27">
            <v>0</v>
          </cell>
          <cell r="J27">
            <v>122247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97</v>
          </cell>
          <cell r="Y27">
            <v>0</v>
          </cell>
          <cell r="AF27">
            <v>0</v>
          </cell>
          <cell r="AG27">
            <v>3312.9600000008941</v>
          </cell>
          <cell r="AI27">
            <v>0</v>
          </cell>
          <cell r="AJ27">
            <v>5310.4799999985844</v>
          </cell>
          <cell r="AL27">
            <v>0</v>
          </cell>
          <cell r="AM27">
            <v>7941.359999999404</v>
          </cell>
          <cell r="AO27">
            <v>0</v>
          </cell>
          <cell r="AP27">
            <v>779.51999999955297</v>
          </cell>
          <cell r="AR27">
            <v>0</v>
          </cell>
          <cell r="AS27">
            <v>48.720000002533197</v>
          </cell>
          <cell r="AU27">
            <v>0</v>
          </cell>
          <cell r="AV27">
            <v>5943.839999999851</v>
          </cell>
          <cell r="AX27">
            <v>0</v>
          </cell>
          <cell r="AY27">
            <v>4336.0800000019372</v>
          </cell>
          <cell r="BA27">
            <v>0</v>
          </cell>
          <cell r="BB27">
            <v>4628.4000000003725</v>
          </cell>
          <cell r="BD27">
            <v>0</v>
          </cell>
          <cell r="BE27">
            <v>2971.9200000017881</v>
          </cell>
          <cell r="BG27">
            <v>0</v>
          </cell>
          <cell r="BH27">
            <v>5943.8400000017136</v>
          </cell>
          <cell r="BN27">
            <v>0</v>
          </cell>
          <cell r="BO27">
            <v>38900</v>
          </cell>
          <cell r="BQ27">
            <v>0</v>
          </cell>
          <cell r="BR27">
            <v>4000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-9.9999999999999978E-2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101</v>
          </cell>
          <cell r="CR27">
            <v>0</v>
          </cell>
          <cell r="CU27">
            <v>0</v>
          </cell>
          <cell r="CV27">
            <v>268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628</v>
          </cell>
          <cell r="I28">
            <v>0</v>
          </cell>
          <cell r="J28">
            <v>122700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208</v>
          </cell>
          <cell r="Y28">
            <v>0</v>
          </cell>
          <cell r="AF28">
            <v>0</v>
          </cell>
          <cell r="AG28">
            <v>3410.4000000003725</v>
          </cell>
          <cell r="AI28">
            <v>0</v>
          </cell>
          <cell r="AJ28">
            <v>4384.7999999988824</v>
          </cell>
          <cell r="AL28">
            <v>0</v>
          </cell>
          <cell r="AM28">
            <v>8428.5600000005215</v>
          </cell>
          <cell r="AO28">
            <v>0</v>
          </cell>
          <cell r="AP28">
            <v>194.87999999895692</v>
          </cell>
          <cell r="AR28">
            <v>0</v>
          </cell>
          <cell r="AS28">
            <v>0</v>
          </cell>
          <cell r="AU28">
            <v>0</v>
          </cell>
          <cell r="AV28">
            <v>5895.1200000010431</v>
          </cell>
          <cell r="AX28">
            <v>0</v>
          </cell>
          <cell r="AY28">
            <v>4336.0800000000745</v>
          </cell>
          <cell r="BA28">
            <v>0</v>
          </cell>
          <cell r="BB28">
            <v>4433.5200000014156</v>
          </cell>
          <cell r="BD28">
            <v>0</v>
          </cell>
          <cell r="BE28">
            <v>3166.7999999988824</v>
          </cell>
          <cell r="BG28">
            <v>0</v>
          </cell>
          <cell r="BH28">
            <v>5700.2399999983609</v>
          </cell>
          <cell r="BN28">
            <v>0</v>
          </cell>
          <cell r="BO28">
            <v>44100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6.9999999999999951E-2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98</v>
          </cell>
          <cell r="CR28">
            <v>0</v>
          </cell>
          <cell r="CU28">
            <v>0</v>
          </cell>
          <cell r="CV28">
            <v>231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637</v>
          </cell>
          <cell r="I29">
            <v>0</v>
          </cell>
          <cell r="J29">
            <v>123150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205</v>
          </cell>
          <cell r="Y29">
            <v>0</v>
          </cell>
          <cell r="AF29">
            <v>0</v>
          </cell>
          <cell r="AG29">
            <v>3264.2399999992922</v>
          </cell>
          <cell r="AI29">
            <v>0</v>
          </cell>
          <cell r="AJ29">
            <v>4725.8400000017136</v>
          </cell>
          <cell r="AL29">
            <v>0</v>
          </cell>
          <cell r="AM29">
            <v>7697.7599999997765</v>
          </cell>
          <cell r="AO29">
            <v>0</v>
          </cell>
          <cell r="AP29">
            <v>194.87999999895692</v>
          </cell>
          <cell r="AR29">
            <v>0</v>
          </cell>
          <cell r="AS29">
            <v>0</v>
          </cell>
          <cell r="AU29">
            <v>0</v>
          </cell>
          <cell r="AV29">
            <v>5992.5600000005215</v>
          </cell>
          <cell r="AX29">
            <v>0</v>
          </cell>
          <cell r="AY29">
            <v>3751.4399999976158</v>
          </cell>
          <cell r="BA29">
            <v>0</v>
          </cell>
          <cell r="BB29">
            <v>4092.4799999985844</v>
          </cell>
          <cell r="BD29">
            <v>0</v>
          </cell>
          <cell r="BE29">
            <v>2971.9199999999255</v>
          </cell>
          <cell r="BG29">
            <v>0</v>
          </cell>
          <cell r="BH29">
            <v>5554.0800000019372</v>
          </cell>
          <cell r="BN29">
            <v>0</v>
          </cell>
          <cell r="BO29">
            <v>39100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-0.12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102</v>
          </cell>
          <cell r="CR29">
            <v>0</v>
          </cell>
          <cell r="CU29">
            <v>0</v>
          </cell>
          <cell r="CV29">
            <v>243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616</v>
          </cell>
          <cell r="I30">
            <v>0</v>
          </cell>
          <cell r="J30">
            <v>123605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230</v>
          </cell>
          <cell r="Y30">
            <v>0</v>
          </cell>
          <cell r="AF30">
            <v>0</v>
          </cell>
          <cell r="AG30">
            <v>3410.3999999994412</v>
          </cell>
          <cell r="AI30">
            <v>0</v>
          </cell>
          <cell r="AJ30">
            <v>4872</v>
          </cell>
          <cell r="AL30">
            <v>0</v>
          </cell>
          <cell r="AM30">
            <v>7405.4399999994785</v>
          </cell>
          <cell r="AO30">
            <v>0</v>
          </cell>
          <cell r="AP30">
            <v>146.16000000014901</v>
          </cell>
          <cell r="AR30">
            <v>0</v>
          </cell>
          <cell r="AS30">
            <v>0</v>
          </cell>
          <cell r="AU30">
            <v>0</v>
          </cell>
          <cell r="AV30">
            <v>5895.1199999991804</v>
          </cell>
          <cell r="AX30">
            <v>0</v>
          </cell>
          <cell r="AY30">
            <v>3751.4400000013411</v>
          </cell>
          <cell r="BA30">
            <v>0</v>
          </cell>
          <cell r="BB30">
            <v>4287.3600000012666</v>
          </cell>
          <cell r="BD30">
            <v>0</v>
          </cell>
          <cell r="BE30">
            <v>3020.640000000596</v>
          </cell>
          <cell r="BG30">
            <v>0</v>
          </cell>
          <cell r="BH30">
            <v>5407.9199999980628</v>
          </cell>
          <cell r="BN30">
            <v>0</v>
          </cell>
          <cell r="BO30">
            <v>38900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0.1100000000000001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99</v>
          </cell>
          <cell r="CR30">
            <v>0</v>
          </cell>
          <cell r="CU30">
            <v>0</v>
          </cell>
          <cell r="CV30">
            <v>277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496</v>
          </cell>
          <cell r="I31">
            <v>0</v>
          </cell>
          <cell r="J31">
            <v>124053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237</v>
          </cell>
          <cell r="Y31">
            <v>0</v>
          </cell>
          <cell r="AF31">
            <v>0</v>
          </cell>
          <cell r="AG31">
            <v>3556.5600000005215</v>
          </cell>
          <cell r="AI31">
            <v>0</v>
          </cell>
          <cell r="AJ31">
            <v>4677.1199999991804</v>
          </cell>
          <cell r="AL31">
            <v>0</v>
          </cell>
          <cell r="AM31">
            <v>8331.1199999991804</v>
          </cell>
          <cell r="AO31">
            <v>0</v>
          </cell>
          <cell r="AP31">
            <v>48.719999998807907</v>
          </cell>
          <cell r="AR31">
            <v>0</v>
          </cell>
          <cell r="AS31">
            <v>97.439999997615814</v>
          </cell>
          <cell r="AU31">
            <v>0</v>
          </cell>
          <cell r="AV31">
            <v>5992.5599999986589</v>
          </cell>
          <cell r="AX31">
            <v>0</v>
          </cell>
          <cell r="AY31">
            <v>3897.5999999996275</v>
          </cell>
          <cell r="BA31">
            <v>0</v>
          </cell>
          <cell r="BB31">
            <v>4384.7999999988824</v>
          </cell>
          <cell r="BD31">
            <v>0</v>
          </cell>
          <cell r="BE31">
            <v>2923.1999999992549</v>
          </cell>
          <cell r="BG31">
            <v>0</v>
          </cell>
          <cell r="BH31">
            <v>5456.6400000024587</v>
          </cell>
          <cell r="BN31">
            <v>0</v>
          </cell>
          <cell r="BO31">
            <v>44700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6.9999999999999951E-2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99</v>
          </cell>
          <cell r="CR31">
            <v>0</v>
          </cell>
          <cell r="CU31">
            <v>0</v>
          </cell>
          <cell r="CV31">
            <v>196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649</v>
          </cell>
          <cell r="I32">
            <v>0</v>
          </cell>
          <cell r="J32">
            <v>124510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237</v>
          </cell>
          <cell r="Y32">
            <v>0</v>
          </cell>
          <cell r="AF32">
            <v>0</v>
          </cell>
          <cell r="AG32">
            <v>3605.2800000002608</v>
          </cell>
          <cell r="AI32">
            <v>0</v>
          </cell>
          <cell r="AJ32">
            <v>4920.7200000006706</v>
          </cell>
          <cell r="AL32">
            <v>0</v>
          </cell>
          <cell r="AM32">
            <v>8477.2800000011921</v>
          </cell>
          <cell r="AO32">
            <v>0</v>
          </cell>
          <cell r="AP32">
            <v>48.720000002533197</v>
          </cell>
          <cell r="AR32">
            <v>0</v>
          </cell>
          <cell r="AS32">
            <v>0</v>
          </cell>
          <cell r="AU32">
            <v>0</v>
          </cell>
          <cell r="AV32">
            <v>5846.4000000003725</v>
          </cell>
          <cell r="AX32">
            <v>0</v>
          </cell>
          <cell r="AY32">
            <v>3995.0400000009686</v>
          </cell>
          <cell r="BA32">
            <v>0</v>
          </cell>
          <cell r="BB32">
            <v>4238.6399999987334</v>
          </cell>
          <cell r="BD32">
            <v>0</v>
          </cell>
          <cell r="BE32">
            <v>2777.0400000009686</v>
          </cell>
          <cell r="BG32">
            <v>0</v>
          </cell>
          <cell r="BH32">
            <v>5651.519999999553</v>
          </cell>
          <cell r="BN32">
            <v>0</v>
          </cell>
          <cell r="BO32">
            <v>45100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7.999999999999996E-2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99</v>
          </cell>
          <cell r="CR32">
            <v>0</v>
          </cell>
          <cell r="CU32">
            <v>0</v>
          </cell>
          <cell r="CV32">
            <v>280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842</v>
          </cell>
          <cell r="I33">
            <v>0</v>
          </cell>
          <cell r="J33">
            <v>124997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49</v>
          </cell>
          <cell r="Y33">
            <v>0</v>
          </cell>
          <cell r="AF33">
            <v>0</v>
          </cell>
          <cell r="AG33">
            <v>3605.2800000002608</v>
          </cell>
          <cell r="AI33">
            <v>0</v>
          </cell>
          <cell r="AJ33">
            <v>4823.2799999993294</v>
          </cell>
          <cell r="AL33">
            <v>0</v>
          </cell>
          <cell r="AM33">
            <v>9305.519999999553</v>
          </cell>
          <cell r="AO33">
            <v>0</v>
          </cell>
          <cell r="AP33">
            <v>146.16000000014901</v>
          </cell>
          <cell r="AR33">
            <v>0</v>
          </cell>
          <cell r="AS33">
            <v>0</v>
          </cell>
          <cell r="AU33">
            <v>0</v>
          </cell>
          <cell r="AV33">
            <v>5992.5600000023842</v>
          </cell>
          <cell r="AX33">
            <v>0</v>
          </cell>
          <cell r="AY33">
            <v>4189.9199999980628</v>
          </cell>
          <cell r="BA33">
            <v>0</v>
          </cell>
          <cell r="BB33">
            <v>4482.2400000002235</v>
          </cell>
          <cell r="BD33">
            <v>0</v>
          </cell>
          <cell r="BE33">
            <v>3118.0799999982119</v>
          </cell>
          <cell r="BG33">
            <v>0</v>
          </cell>
          <cell r="BH33">
            <v>5651.519999999553</v>
          </cell>
          <cell r="BN33">
            <v>0</v>
          </cell>
          <cell r="BO33">
            <v>50300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-0.14000000000000001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101</v>
          </cell>
          <cell r="CR33">
            <v>0</v>
          </cell>
          <cell r="CU33">
            <v>0</v>
          </cell>
          <cell r="CV33">
            <v>208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730</v>
          </cell>
          <cell r="I34">
            <v>0</v>
          </cell>
          <cell r="J34">
            <v>125511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6</v>
          </cell>
          <cell r="Y34">
            <v>0</v>
          </cell>
          <cell r="AF34">
            <v>0</v>
          </cell>
          <cell r="AG34">
            <v>2094.9599999999627</v>
          </cell>
          <cell r="AI34">
            <v>0</v>
          </cell>
          <cell r="AJ34">
            <v>4920.7200000006706</v>
          </cell>
          <cell r="AL34">
            <v>0</v>
          </cell>
          <cell r="AM34">
            <v>1218</v>
          </cell>
          <cell r="AO34">
            <v>0</v>
          </cell>
          <cell r="AP34">
            <v>9208.0800000019372</v>
          </cell>
          <cell r="AR34">
            <v>0</v>
          </cell>
          <cell r="AS34">
            <v>584.64000000059605</v>
          </cell>
          <cell r="AU34">
            <v>0</v>
          </cell>
          <cell r="AV34">
            <v>6041.2799999974668</v>
          </cell>
          <cell r="AX34">
            <v>0</v>
          </cell>
          <cell r="AY34">
            <v>4433.5200000014156</v>
          </cell>
          <cell r="BA34">
            <v>0</v>
          </cell>
          <cell r="BB34">
            <v>4579.6800000015646</v>
          </cell>
          <cell r="BD34">
            <v>0</v>
          </cell>
          <cell r="BE34">
            <v>3166.8000000007451</v>
          </cell>
          <cell r="BG34">
            <v>0</v>
          </cell>
          <cell r="BH34">
            <v>5943.8399999979883</v>
          </cell>
          <cell r="BN34">
            <v>0</v>
          </cell>
          <cell r="BO34">
            <v>2400</v>
          </cell>
          <cell r="BQ34">
            <v>0</v>
          </cell>
          <cell r="BR34">
            <v>46000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8.0000000000000071E-2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101</v>
          </cell>
          <cell r="CR34">
            <v>0</v>
          </cell>
          <cell r="CU34">
            <v>0</v>
          </cell>
          <cell r="CV34">
            <v>199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616</v>
          </cell>
          <cell r="I35">
            <v>0</v>
          </cell>
          <cell r="J35">
            <v>125951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270</v>
          </cell>
          <cell r="Y35">
            <v>0</v>
          </cell>
          <cell r="AF35">
            <v>0</v>
          </cell>
          <cell r="AG35">
            <v>1851.359999999404</v>
          </cell>
          <cell r="AI35">
            <v>0</v>
          </cell>
          <cell r="AJ35">
            <v>4677.1199999991804</v>
          </cell>
          <cell r="AL35">
            <v>0</v>
          </cell>
          <cell r="AM35">
            <v>828.24000000022352</v>
          </cell>
          <cell r="AO35">
            <v>0</v>
          </cell>
          <cell r="AP35">
            <v>10279.919999998063</v>
          </cell>
          <cell r="AR35">
            <v>0</v>
          </cell>
          <cell r="AS35">
            <v>730.80000000074506</v>
          </cell>
          <cell r="AU35">
            <v>0</v>
          </cell>
          <cell r="AV35">
            <v>5846.4000000003725</v>
          </cell>
          <cell r="AX35">
            <v>0</v>
          </cell>
          <cell r="AY35">
            <v>4336.0800000000745</v>
          </cell>
          <cell r="BA35">
            <v>0</v>
          </cell>
          <cell r="BB35">
            <v>4287.359999999404</v>
          </cell>
          <cell r="BD35">
            <v>0</v>
          </cell>
          <cell r="BE35">
            <v>3069.359999999404</v>
          </cell>
          <cell r="BG35">
            <v>0</v>
          </cell>
          <cell r="BH35">
            <v>5943.8400000017136</v>
          </cell>
          <cell r="BN35">
            <v>0</v>
          </cell>
          <cell r="BO35">
            <v>0</v>
          </cell>
          <cell r="BQ35">
            <v>0</v>
          </cell>
          <cell r="BR35">
            <v>54000</v>
          </cell>
          <cell r="BT35">
            <v>0</v>
          </cell>
          <cell r="BU35">
            <v>0</v>
          </cell>
          <cell r="BW35">
            <v>0</v>
          </cell>
          <cell r="BZ35">
            <v>0</v>
          </cell>
          <cell r="CA35">
            <v>8.9999999999999969E-2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98</v>
          </cell>
          <cell r="CR35">
            <v>0</v>
          </cell>
          <cell r="CU35">
            <v>0</v>
          </cell>
          <cell r="CV35">
            <v>161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126373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0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J22" sqref="J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Submetering!Z3+Submetering!AA3+Submetering!AB3</f>
        <v>814.58999999999992</v>
      </c>
      <c r="H3" s="216">
        <f t="shared" ref="H3:H29" si="0">1.62/0.52</f>
        <v>3.1153846153846154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Submetering!Z4+Submetering!AA4+Submetering!AB4</f>
        <v>791.90999999999985</v>
      </c>
      <c r="H4" s="216">
        <f t="shared" si="0"/>
        <v>3.1153846153846154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37416.959999996237</v>
      </c>
      <c r="F5">
        <v>0.44447999999999999</v>
      </c>
      <c r="G5" s="3">
        <f>Submetering!Z5+Submetering!AA5+Submetering!AB5</f>
        <v>871.29</v>
      </c>
      <c r="H5" s="216">
        <f t="shared" si="0"/>
        <v>3.1153846153846154</v>
      </c>
      <c r="I5" s="3">
        <f>Submetering!G5</f>
        <v>620</v>
      </c>
      <c r="J5">
        <v>13.83</v>
      </c>
      <c r="K5" s="3">
        <f>Submetering!BL5</f>
        <v>208</v>
      </c>
      <c r="L5">
        <v>1.2</v>
      </c>
      <c r="M5" s="216">
        <f>Submetering!E5</f>
        <v>180.12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38196.479999994859</v>
      </c>
      <c r="F6">
        <v>0.44447999999999999</v>
      </c>
      <c r="G6" s="3">
        <f>Submetering!Z6+Submetering!AA6+Submetering!AB6</f>
        <v>875.06999999999994</v>
      </c>
      <c r="H6" s="216">
        <f t="shared" si="0"/>
        <v>3.1153846153846154</v>
      </c>
      <c r="I6" s="3">
        <f>Submetering!G6</f>
        <v>533</v>
      </c>
      <c r="J6">
        <v>13.83</v>
      </c>
      <c r="K6" s="3">
        <f>Submetering!BL6</f>
        <v>225</v>
      </c>
      <c r="L6">
        <v>1.2</v>
      </c>
      <c r="M6" s="216">
        <f>Submetering!E6</f>
        <v>163.53</v>
      </c>
      <c r="N6">
        <f>Submetering!F6</f>
        <v>286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37709.279999994673</v>
      </c>
      <c r="F7">
        <v>0.44447999999999999</v>
      </c>
      <c r="G7" s="3">
        <f>Submetering!Z7+Submetering!AA7+Submetering!AB7</f>
        <v>782.45999999999992</v>
      </c>
      <c r="H7" s="216">
        <f t="shared" si="0"/>
        <v>3.1153846153846154</v>
      </c>
      <c r="I7" s="3">
        <f>Submetering!G7</f>
        <v>518</v>
      </c>
      <c r="J7">
        <v>13.83</v>
      </c>
      <c r="K7" s="3">
        <f>Submetering!BL7</f>
        <v>183</v>
      </c>
      <c r="L7">
        <v>1.2</v>
      </c>
      <c r="M7" s="216">
        <f>Submetering!E7</f>
        <v>170.64</v>
      </c>
      <c r="N7">
        <f>Submetering!F7</f>
        <v>290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38829.840000008233</v>
      </c>
      <c r="F8">
        <v>0.44447999999999999</v>
      </c>
      <c r="G8" s="3">
        <f>Submetering!Z8+Submetering!AA8+Submetering!AB8</f>
        <v>740.87999999999988</v>
      </c>
      <c r="H8" s="216">
        <f t="shared" si="0"/>
        <v>3.1153846153846154</v>
      </c>
      <c r="I8" s="3">
        <f>Submetering!G8</f>
        <v>588</v>
      </c>
      <c r="J8">
        <v>13.83</v>
      </c>
      <c r="K8" s="3">
        <f>Submetering!BL8</f>
        <v>201</v>
      </c>
      <c r="L8">
        <v>1.2</v>
      </c>
      <c r="M8" s="216">
        <f>Submetering!E8</f>
        <v>137.45999999999998</v>
      </c>
      <c r="N8">
        <f>Submetering!F8</f>
        <v>241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38391.360000003129</v>
      </c>
      <c r="F9">
        <v>0.44447999999999999</v>
      </c>
      <c r="G9" s="3">
        <f>Submetering!Z9+Submetering!AA9+Submetering!AB9</f>
        <v>852.38999999999987</v>
      </c>
      <c r="H9" s="216">
        <f t="shared" si="0"/>
        <v>3.1153846153846154</v>
      </c>
      <c r="I9" s="3">
        <f>Submetering!G9</f>
        <v>629</v>
      </c>
      <c r="J9">
        <v>13.83</v>
      </c>
      <c r="K9" s="3">
        <f>Submetering!BL9</f>
        <v>198</v>
      </c>
      <c r="L9">
        <v>1.2</v>
      </c>
      <c r="M9" s="216">
        <f>Submetering!E9</f>
        <v>161.16000000000003</v>
      </c>
      <c r="N9">
        <f>Submetering!F9</f>
        <v>268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37124.639999996871</v>
      </c>
      <c r="F10">
        <v>0.44447999999999999</v>
      </c>
      <c r="G10" s="3">
        <f>Submetering!Z10+Submetering!AA10+Submetering!AB10</f>
        <v>916.64999999999986</v>
      </c>
      <c r="H10" s="216">
        <f t="shared" si="0"/>
        <v>3.1153846153846154</v>
      </c>
      <c r="I10" s="3">
        <f>Submetering!G10</f>
        <v>610</v>
      </c>
      <c r="J10">
        <v>13.83</v>
      </c>
      <c r="K10" s="3">
        <f>Submetering!BL10</f>
        <v>195</v>
      </c>
      <c r="L10">
        <v>1.2</v>
      </c>
      <c r="M10" s="216">
        <f>Submetering!E10</f>
        <v>165.89999999999998</v>
      </c>
      <c r="N10">
        <f>Submetering!F10</f>
        <v>300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37416.960000002757</v>
      </c>
      <c r="F11">
        <v>0.44447999999999999</v>
      </c>
      <c r="G11" s="3">
        <f>Submetering!Z11+Submetering!AA11+Submetering!AB11</f>
        <v>939.32999999999993</v>
      </c>
      <c r="H11" s="216">
        <f t="shared" si="0"/>
        <v>3.1153846153846154</v>
      </c>
      <c r="I11" s="3">
        <f>Submetering!G11</f>
        <v>678</v>
      </c>
      <c r="J11">
        <v>13.83</v>
      </c>
      <c r="K11" s="3">
        <f>Submetering!BL11</f>
        <v>207</v>
      </c>
      <c r="L11">
        <v>1.2</v>
      </c>
      <c r="M11" s="216">
        <f>Submetering!E11</f>
        <v>158.79000000000002</v>
      </c>
      <c r="N11">
        <f>Submetering!F11</f>
        <v>308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38050.319999992847</v>
      </c>
      <c r="F12">
        <v>0.44447999999999999</v>
      </c>
      <c r="G12" s="3">
        <f>Submetering!Z12+Submetering!AA12+Submetering!AB12</f>
        <v>903.42000000000007</v>
      </c>
      <c r="H12" s="216">
        <f t="shared" si="0"/>
        <v>3.1153846153846154</v>
      </c>
      <c r="I12" s="3">
        <f>Submetering!G12</f>
        <v>584</v>
      </c>
      <c r="J12">
        <v>13.83</v>
      </c>
      <c r="K12" s="3">
        <f>Submetering!BL12</f>
        <v>378</v>
      </c>
      <c r="L12">
        <v>1.2</v>
      </c>
      <c r="M12" s="216">
        <f>Submetering!E12</f>
        <v>215.67000000000002</v>
      </c>
      <c r="N12">
        <f>Submetering!F12</f>
        <v>399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38976.000000005588</v>
      </c>
      <c r="F13">
        <v>0.44447999999999999</v>
      </c>
      <c r="G13" s="3">
        <f>Submetering!Z13+Submetering!AA13+Submetering!AB13</f>
        <v>922.31999999999994</v>
      </c>
      <c r="H13" s="216">
        <f t="shared" si="0"/>
        <v>3.1153846153846154</v>
      </c>
      <c r="I13" s="3">
        <f>Submetering!G13</f>
        <v>576</v>
      </c>
      <c r="J13">
        <v>13.83</v>
      </c>
      <c r="K13" s="3">
        <f>Submetering!BL13</f>
        <v>269</v>
      </c>
      <c r="L13">
        <v>1.2</v>
      </c>
      <c r="M13" s="216">
        <f>Submetering!E13</f>
        <v>215.67000000000002</v>
      </c>
      <c r="N13">
        <f>Submetering!F13</f>
        <v>391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37904.160000002943</v>
      </c>
      <c r="F14">
        <v>0.44447999999999999</v>
      </c>
      <c r="G14" s="3">
        <f>Submetering!Z14+Submetering!AA14+Submetering!AB14</f>
        <v>801.36</v>
      </c>
      <c r="H14" s="216">
        <f t="shared" si="0"/>
        <v>3.1153846153846154</v>
      </c>
      <c r="I14" s="3">
        <f>Submetering!G14</f>
        <v>529</v>
      </c>
      <c r="J14">
        <v>13.83</v>
      </c>
      <c r="K14" s="3">
        <f>Submetering!BL14</f>
        <v>253</v>
      </c>
      <c r="L14">
        <v>1.2</v>
      </c>
      <c r="M14" s="216">
        <f>Submetering!E14</f>
        <v>210.93</v>
      </c>
      <c r="N14">
        <f>Submetering!F14</f>
        <v>377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39560.639999995939</v>
      </c>
      <c r="F15">
        <v>0.44447999999999999</v>
      </c>
      <c r="G15" s="3">
        <f>Submetering!Z15+Submetering!AA15+Submetering!AB15</f>
        <v>842.94</v>
      </c>
      <c r="H15" s="216">
        <f t="shared" si="0"/>
        <v>3.1153846153846154</v>
      </c>
      <c r="I15" s="3">
        <f>Submetering!G15</f>
        <v>614</v>
      </c>
      <c r="J15">
        <v>13.83</v>
      </c>
      <c r="K15" s="3">
        <f>Submetering!BL15</f>
        <v>285</v>
      </c>
      <c r="L15">
        <v>1.2</v>
      </c>
      <c r="M15" s="216">
        <f>Submetering!E15</f>
        <v>208.56</v>
      </c>
      <c r="N15">
        <f>Submetering!F15</f>
        <v>384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40729.919999997132</v>
      </c>
      <c r="F16">
        <v>0.44447999999999999</v>
      </c>
      <c r="G16" s="3">
        <f>Submetering!Z16+Submetering!AA16+Submetering!AB16</f>
        <v>863.73</v>
      </c>
      <c r="H16" s="216">
        <f t="shared" si="0"/>
        <v>3.1153846153846154</v>
      </c>
      <c r="I16" s="3">
        <f>Submetering!G16</f>
        <v>590</v>
      </c>
      <c r="J16">
        <v>13.83</v>
      </c>
      <c r="K16" s="3">
        <f>Submetering!BL16</f>
        <v>252</v>
      </c>
      <c r="L16">
        <v>1.2</v>
      </c>
      <c r="M16" s="216">
        <f>Submetering!E16</f>
        <v>191.97</v>
      </c>
      <c r="N16">
        <f>Submetering!F16</f>
        <v>333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38147.759999996983</v>
      </c>
      <c r="F17">
        <v>0.44447999999999999</v>
      </c>
      <c r="G17" s="3">
        <f>Submetering!Z17+Submetering!AA17+Submetering!AB17</f>
        <v>778.68</v>
      </c>
      <c r="H17" s="216">
        <f t="shared" si="0"/>
        <v>3.1153846153846154</v>
      </c>
      <c r="I17" s="3">
        <f>Submetering!G17</f>
        <v>571</v>
      </c>
      <c r="J17">
        <v>13.83</v>
      </c>
      <c r="K17" s="3">
        <f>Submetering!BL17</f>
        <v>336</v>
      </c>
      <c r="L17">
        <v>1.2</v>
      </c>
      <c r="M17" s="216">
        <f>Submetering!E17</f>
        <v>187.23000000000002</v>
      </c>
      <c r="N17">
        <f>Submetering!F17</f>
        <v>339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16">
        <f t="shared" si="0"/>
        <v>3.1153846153846154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16">
        <f>Submetering!E18</f>
        <v>0</v>
      </c>
      <c r="N18">
        <f>Submetering!F18</f>
        <v>370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6">
        <f t="shared" si="0"/>
        <v>3.1153846153846154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6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6">
        <f t="shared" si="0"/>
        <v>3.1153846153846154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6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6">
        <f t="shared" si="0"/>
        <v>3.1153846153846154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6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6">
        <f t="shared" si="0"/>
        <v>3.1153846153846154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6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6">
        <f t="shared" si="0"/>
        <v>3.1153846153846154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6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6">
        <f t="shared" si="0"/>
        <v>3.1153846153846154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6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6">
        <f t="shared" si="0"/>
        <v>3.1153846153846154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6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6">
        <f t="shared" si="0"/>
        <v>3.1153846153846154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6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6">
        <f t="shared" si="0"/>
        <v>3.1153846153846154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6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9" sqref="A1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Readings'!L11</f>
        <v>272</v>
      </c>
      <c r="J4" s="3">
        <f>'DJB Daily Readings'!N11</f>
        <v>0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>
        <f>237*0.76</f>
        <v>180.12</v>
      </c>
      <c r="F5" s="75">
        <f>280+32</f>
        <v>312</v>
      </c>
      <c r="G5" s="3">
        <f>'DJB Daily Readings'!C13-'DJB Daily Readings'!C12</f>
        <v>620</v>
      </c>
      <c r="H5" s="3">
        <f>'DJB Daily Readings'!F13-'DJB Daily Readings'!F12</f>
        <v>457</v>
      </c>
      <c r="I5" s="3">
        <f>'DJB Daily Readings'!L12</f>
        <v>260</v>
      </c>
      <c r="J5" s="3">
        <f>'DJB Daily Readings'!N12</f>
        <v>14</v>
      </c>
      <c r="K5" s="3">
        <f>'DJB Daily Readings'!O13-'DJB Daily Readings'!O12</f>
        <v>70</v>
      </c>
      <c r="L5" s="3">
        <f>'DJB Daily Readings'!R13-'DJB Daily Readings'!R12</f>
        <v>5</v>
      </c>
      <c r="M5" s="3">
        <f>'DJB Daily Readings'!U13-'DJB Daily Readings'!U12</f>
        <v>1948.7999999998137</v>
      </c>
      <c r="N5" s="3">
        <f>'DJB Daily Readings'!X13-'DJB Daily Readings'!X12</f>
        <v>4677.1199999991804</v>
      </c>
      <c r="O5" s="3">
        <f>'DJB Daily Readings'!AA13-'DJB Daily Readings'!AA12</f>
        <v>0</v>
      </c>
      <c r="P5" s="3">
        <f>'DJB Daily Readings'!AD13-'DJB Daily Readings'!AD12</f>
        <v>8087.519999999553</v>
      </c>
      <c r="Q5" s="3">
        <f>'DJB Daily Readings'!AG13-'DJB Daily Readings'!AG12</f>
        <v>535.91999999806285</v>
      </c>
      <c r="R5" s="3">
        <f>'DJB Daily Readings'!AJ13-'DJB Daily Readings'!AJ12</f>
        <v>5115.6000000014901</v>
      </c>
      <c r="S5" s="3">
        <f>'DJB Daily Readings'!AM13-'DJB Daily Readings'!AM12</f>
        <v>3800.160000000149</v>
      </c>
      <c r="T5" s="3">
        <f>'DJB Daily Readings'!AP13-'DJB Daily Readings'!AP12</f>
        <v>4530.9600000008941</v>
      </c>
      <c r="U5" s="3">
        <f>'DJB Daily Readings'!AS13-'DJB Daily Readings'!AS12</f>
        <v>2971.9199999999255</v>
      </c>
      <c r="V5" s="3">
        <f>'DJB Daily Readings'!AV13-'DJB Daily Readings'!AV12</f>
        <v>5748.9599999971688</v>
      </c>
      <c r="W5" s="3">
        <f>'DJB Daily Readings'!AZ13-'DJB Daily Readings'!AZ12</f>
        <v>0</v>
      </c>
      <c r="X5" s="3">
        <f>'DJB Daily Readings'!BC13-'DJB Daily Readings'!BC12</f>
        <v>32600</v>
      </c>
      <c r="Y5" s="3">
        <f>'DJB Daily Readings'!BF13-'DJB Daily Readings'!BF12</f>
        <v>3000</v>
      </c>
      <c r="Z5" s="3">
        <f>('DJB Daily Readings'!CK13-'DJB Daily Readings'!CK12)*1.89</f>
        <v>137.97</v>
      </c>
      <c r="AA5" s="3">
        <f>('DJB Daily Readings'!CN13-'DJB Daily Readings'!CN12)*1.89</f>
        <v>238.14</v>
      </c>
      <c r="AB5" s="3">
        <f>('DJB Daily Readings'!CQ13-'DJB Daily Readings'!CQ12)*1.89</f>
        <v>495.17999999999995</v>
      </c>
      <c r="AC5" s="3">
        <f>'DJB Daily Readings'!CT13-'DJB Daily Readings'!CT12</f>
        <v>172</v>
      </c>
      <c r="AD5" s="80">
        <f>('DJB Daily Readings'!BY13-'DJB Daily Readings'!BY12)*1.89</f>
        <v>28.349999999999998</v>
      </c>
      <c r="AE5" s="80">
        <f>('DJB Daily Readings'!CA13-'DJB Daily Readings'!CA12)*1.89</f>
        <v>37.799999999999997</v>
      </c>
      <c r="AF5" s="80">
        <f>('DJB Daily Readings'!CC13-'DJB Daily Readings'!CC12)*1.89</f>
        <v>13.229999999999999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68.039999999999992</v>
      </c>
      <c r="AJ5" s="77">
        <f>'DJB Daily Readings'!CY13-'DJB Daily Readings'!CY12</f>
        <v>5</v>
      </c>
      <c r="AK5" s="77">
        <f>'DJB Daily Readings'!CW13-'DJB Daily Readings'!CW12</f>
        <v>7</v>
      </c>
      <c r="AL5" s="78">
        <f>'DJB Daily Readings'!DC13-'DJB Daily Readings'!DC12</f>
        <v>15</v>
      </c>
      <c r="AM5" s="78">
        <f>'DJB Daily Readings'!DA13-'DJB Daily Readings'!DA12</f>
        <v>15</v>
      </c>
      <c r="AN5" s="78">
        <f>'DJB Daily Readings'!DG13-'DJB Daily Readings'!DG12</f>
        <v>5</v>
      </c>
      <c r="AO5" s="78">
        <f>'DJB Daily Readings'!DE13-'DJB Daily Readings'!DE12</f>
        <v>8</v>
      </c>
      <c r="AP5" s="78">
        <f>'DJB Daily Readings'!DK13-'DJB Daily Readings'!DK12</f>
        <v>11</v>
      </c>
      <c r="AQ5" s="78">
        <f>'DJB Daily Readings'!DI13-'DJB Daily Readings'!DI12</f>
        <v>12</v>
      </c>
      <c r="AR5" s="78">
        <f>'DJB Daily Readings'!DO13-'DJB Daily Readings'!DO12</f>
        <v>9</v>
      </c>
      <c r="AS5" s="78">
        <f>'DJB Daily Readings'!DM13-'DJB Daily Readings'!DM12</f>
        <v>6</v>
      </c>
      <c r="AT5" s="78">
        <f>'DJB Daily Readings'!DQ13-'DJB Daily Readings'!DQ12</f>
        <v>0</v>
      </c>
      <c r="AU5" s="78">
        <f>'DJB Daily Readings'!DT13-'DJB Daily Readings'!DT12</f>
        <v>11.799999999999272</v>
      </c>
      <c r="AW5" s="78">
        <f>'DJB Daily Readings'!DX13-'DJB Daily Readings'!DX12</f>
        <v>6.0999999999994543</v>
      </c>
      <c r="AX5" s="78">
        <f>'DJB Daily Readings'!DZ13-'DJB Daily Readings'!DZ12</f>
        <v>7.8999999999996362</v>
      </c>
      <c r="AY5" s="78">
        <f>'DJB Daily Readings'!EB13-'DJB Daily Readings'!EB12</f>
        <v>602</v>
      </c>
      <c r="AZ5" s="78">
        <f>'DJB Daily Readings'!ED13-'DJB Daily Readings'!ED12</f>
        <v>155.70000000001164</v>
      </c>
      <c r="BA5" s="78">
        <f>'DJB Daily Readings'!EG13-'DJB Daily Readings'!EG12</f>
        <v>2600</v>
      </c>
      <c r="BB5" s="78">
        <f>'DJB Daily Readings'!EI13-'DJB Daily Readings'!EI12</f>
        <v>220</v>
      </c>
      <c r="BC5" s="78">
        <f>'DJB Daily Readings'!EQ13-'DJB Daily Readings'!EQ12</f>
        <v>700</v>
      </c>
      <c r="BD5" s="78">
        <f>'DJB Daily Readings'!EK13-'DJB Daily Readings'!EK12</f>
        <v>800</v>
      </c>
      <c r="BE5" s="78">
        <f>'DJB Daily Readings'!EM13-'DJB Daily Readings'!EM12</f>
        <v>400</v>
      </c>
      <c r="BF5" s="78">
        <f>'DJB Daily Readings'!EO13-'DJB Daily Readings'!EO12</f>
        <v>620</v>
      </c>
      <c r="BG5" s="78">
        <f>('DJB Daily Readings'!ET13-'DJB Daily Readings'!ET12)*1.89</f>
        <v>32.129999999999995</v>
      </c>
      <c r="BH5" s="78">
        <f>('DJB Daily Readings'!EV13-'DJB Daily Readings'!EV12)*1.89</f>
        <v>22.68</v>
      </c>
      <c r="BI5" s="78">
        <f>('DJB Daily Readings'!EZ13-'DJB Daily Readings'!EZ12)*1.89</f>
        <v>26.459999999999997</v>
      </c>
      <c r="BJ5" s="78">
        <f>('DJB Daily Readings'!EX13-'DJB Daily Readings'!EX12)*1.89</f>
        <v>22.68</v>
      </c>
      <c r="BK5" s="78">
        <f>('DJB Daily Readings'!FB13-'DJB Daily Readings'!FB12)*1.89</f>
        <v>71.819999999999993</v>
      </c>
      <c r="BL5" s="78">
        <f>'DJB Daily Readings'!J13</f>
        <v>208</v>
      </c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>
        <f>237*0.69</f>
        <v>163.53</v>
      </c>
      <c r="F6" s="75">
        <f>267+19</f>
        <v>286</v>
      </c>
      <c r="G6" s="3">
        <f>'DJB Daily Readings'!C14-'DJB Daily Readings'!C13</f>
        <v>533</v>
      </c>
      <c r="H6" s="3">
        <f>'DJB Daily Readings'!F14-'DJB Daily Readings'!F13</f>
        <v>425</v>
      </c>
      <c r="I6" s="3">
        <f>'DJB Daily Readings'!L13</f>
        <v>120</v>
      </c>
      <c r="J6" s="3">
        <f>'DJB Daily Readings'!N13</f>
        <v>16</v>
      </c>
      <c r="K6" s="3">
        <f>'DJB Daily Readings'!O14-'DJB Daily Readings'!O13</f>
        <v>71</v>
      </c>
      <c r="L6" s="3">
        <f>'DJB Daily Readings'!R14-'DJB Daily Readings'!R13</f>
        <v>10</v>
      </c>
      <c r="M6" s="3">
        <f>'DJB Daily Readings'!U14-'DJB Daily Readings'!U13</f>
        <v>1997.519999999553</v>
      </c>
      <c r="N6" s="3">
        <f>'DJB Daily Readings'!X14-'DJB Daily Readings'!X13</f>
        <v>4774.5599999986589</v>
      </c>
      <c r="O6" s="3">
        <f>'DJB Daily Readings'!AA14-'DJB Daily Readings'!AA13</f>
        <v>1023.1200000010431</v>
      </c>
      <c r="P6" s="3">
        <f>'DJB Daily Readings'!AD14-'DJB Daily Readings'!AD13</f>
        <v>7551.5999999977648</v>
      </c>
      <c r="Q6" s="3">
        <f>'DJB Daily Readings'!AG14-'DJB Daily Readings'!AG13</f>
        <v>48.719999998807907</v>
      </c>
      <c r="R6" s="3">
        <f>'DJB Daily Readings'!AJ14-'DJB Daily Readings'!AJ13</f>
        <v>6138.7199999988079</v>
      </c>
      <c r="S6" s="3">
        <f>'DJB Daily Readings'!AM14-'DJB Daily Readings'!AM13</f>
        <v>3702.7199999988079</v>
      </c>
      <c r="T6" s="3">
        <f>'DJB Daily Readings'!AP14-'DJB Daily Readings'!AP13</f>
        <v>4287.359999999404</v>
      </c>
      <c r="U6" s="3">
        <f>'DJB Daily Readings'!AS14-'DJB Daily Readings'!AS13</f>
        <v>3069.3600000012666</v>
      </c>
      <c r="V6" s="3">
        <f>'DJB Daily Readings'!AV14-'DJB Daily Readings'!AV13</f>
        <v>5602.8000000007451</v>
      </c>
      <c r="W6" s="3">
        <f>'DJB Daily Readings'!AZ14-'DJB Daily Readings'!AZ13</f>
        <v>4300</v>
      </c>
      <c r="X6" s="3">
        <f>'DJB Daily Readings'!BC14-'DJB Daily Readings'!BC13</f>
        <v>33100</v>
      </c>
      <c r="Y6" s="3">
        <f>'DJB Daily Readings'!BF14-'DJB Daily Readings'!BF13</f>
        <v>0</v>
      </c>
      <c r="Z6" s="3">
        <f>('DJB Daily Readings'!CK14-'DJB Daily Readings'!CK13)*1.89</f>
        <v>141.75</v>
      </c>
      <c r="AA6" s="3">
        <f>('DJB Daily Readings'!CN14-'DJB Daily Readings'!CN13)*1.89</f>
        <v>236.25</v>
      </c>
      <c r="AB6" s="3">
        <f>('DJB Daily Readings'!CQ14-'DJB Daily Readings'!CQ13)*1.89</f>
        <v>497.07</v>
      </c>
      <c r="AC6" s="3">
        <f>'DJB Daily Readings'!CT14-'DJB Daily Readings'!CT13</f>
        <v>174</v>
      </c>
      <c r="AD6" s="80">
        <f>('DJB Daily Readings'!BY14-'DJB Daily Readings'!BY13)*1.89</f>
        <v>30.24</v>
      </c>
      <c r="AE6" s="80">
        <f>('DJB Daily Readings'!CA14-'DJB Daily Readings'!CA13)*1.89</f>
        <v>41.58</v>
      </c>
      <c r="AF6" s="80">
        <f>('DJB Daily Readings'!CC14-'DJB Daily Readings'!CC13)*1.89</f>
        <v>11.34</v>
      </c>
      <c r="AG6" s="80">
        <f>('DJB Daily Readings'!CE14-'DJB Daily Readings'!CE13)*1.89</f>
        <v>17.009999999999998</v>
      </c>
      <c r="AH6" s="80">
        <f>('DJB Daily Readings'!CG14-'DJB Daily Readings'!CG13)*1.89</f>
        <v>28.349999999999998</v>
      </c>
      <c r="AI6" s="80">
        <f>('DJB Daily Readings'!CI14-'DJB Daily Readings'!CI13)*1.89</f>
        <v>64.259999999999991</v>
      </c>
      <c r="AJ6" s="77">
        <f>'DJB Daily Readings'!CY14-'DJB Daily Readings'!CY13</f>
        <v>4</v>
      </c>
      <c r="AK6" s="77">
        <f>'DJB Daily Readings'!CW14-'DJB Daily Readings'!CW13</f>
        <v>7</v>
      </c>
      <c r="AL6" s="78">
        <f>'DJB Daily Readings'!DC14-'DJB Daily Readings'!DC13</f>
        <v>16</v>
      </c>
      <c r="AM6" s="78">
        <f>'DJB Daily Readings'!DA14-'DJB Daily Readings'!DA13</f>
        <v>16</v>
      </c>
      <c r="AN6" s="78">
        <f>'DJB Daily Readings'!DG14-'DJB Daily Readings'!DG13</f>
        <v>4</v>
      </c>
      <c r="AO6" s="78">
        <f>'DJB Daily Readings'!DE14-'DJB Daily Readings'!DE13</f>
        <v>9</v>
      </c>
      <c r="AP6" s="78">
        <f>'DJB Daily Readings'!DK14-'DJB Daily Readings'!DK13</f>
        <v>9</v>
      </c>
      <c r="AQ6" s="78">
        <f>'DJB Daily Readings'!DI14-'DJB Daily Readings'!DI13</f>
        <v>12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4</v>
      </c>
      <c r="AU6" s="78">
        <f>'DJB Daily Readings'!DT14-'DJB Daily Readings'!DT13</f>
        <v>10.800000000000182</v>
      </c>
      <c r="AW6" s="78">
        <f>'DJB Daily Readings'!DX14-'DJB Daily Readings'!DX13</f>
        <v>5.8000000000001819</v>
      </c>
      <c r="AX6" s="78">
        <f>'DJB Daily Readings'!DZ14-'DJB Daily Readings'!DZ13</f>
        <v>7.5</v>
      </c>
      <c r="AY6" s="78">
        <f>'DJB Daily Readings'!EB14-'DJB Daily Readings'!EB13</f>
        <v>530</v>
      </c>
      <c r="AZ6" s="78">
        <f>'DJB Daily Readings'!ED14-'DJB Daily Readings'!ED13</f>
        <v>150.69999999998254</v>
      </c>
      <c r="BA6" s="78">
        <f>'DJB Daily Readings'!EG14-'DJB Daily Readings'!EG13</f>
        <v>2600</v>
      </c>
      <c r="BB6" s="78">
        <f>'DJB Daily Readings'!EI14-'DJB Daily Readings'!EI13</f>
        <v>250</v>
      </c>
      <c r="BC6" s="78">
        <f>'DJB Daily Readings'!EQ14-'DJB Daily Readings'!EQ13</f>
        <v>1200</v>
      </c>
      <c r="BD6" s="78">
        <f>'DJB Daily Readings'!EK14-'DJB Daily Readings'!EK13</f>
        <v>800</v>
      </c>
      <c r="BE6" s="78">
        <f>'DJB Daily Readings'!EM14-'DJB Daily Readings'!EM13</f>
        <v>500</v>
      </c>
      <c r="BF6" s="78">
        <f>'DJB Daily Readings'!EO14-'DJB Daily Readings'!EO13</f>
        <v>640</v>
      </c>
      <c r="BG6" s="78">
        <f>('DJB Daily Readings'!ET14-'DJB Daily Readings'!ET13)*1.89</f>
        <v>32.129999999999995</v>
      </c>
      <c r="BH6" s="78">
        <f>('DJB Daily Readings'!EV14-'DJB Daily Readings'!EV13)*1.89</f>
        <v>18.899999999999999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58.589999999999996</v>
      </c>
      <c r="BL6" s="78">
        <f>'DJB Daily Readings'!J14</f>
        <v>225</v>
      </c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>
        <f>237*0.72</f>
        <v>170.64</v>
      </c>
      <c r="F7" s="75">
        <f>273+17</f>
        <v>290</v>
      </c>
      <c r="G7" s="3">
        <f>'DJB Daily Readings'!C15-'DJB Daily Readings'!C14</f>
        <v>518</v>
      </c>
      <c r="H7" s="3">
        <f>'DJB Daily Readings'!F15-'DJB Daily Readings'!F14</f>
        <v>385</v>
      </c>
      <c r="I7" s="3">
        <f>'DJB Daily Readings'!L14</f>
        <v>224</v>
      </c>
      <c r="J7" s="3">
        <f>'DJB Daily Readings'!N14</f>
        <v>5</v>
      </c>
      <c r="K7" s="3">
        <f>'DJB Daily Readings'!O15-'DJB Daily Readings'!O14</f>
        <v>68</v>
      </c>
      <c r="L7" s="3">
        <f>'DJB Daily Readings'!R15-'DJB Daily Readings'!R14</f>
        <v>7</v>
      </c>
      <c r="M7" s="3">
        <f>'DJB Daily Readings'!U15-'DJB Daily Readings'!U14</f>
        <v>1948.7999999998137</v>
      </c>
      <c r="N7" s="3">
        <f>'DJB Daily Readings'!X15-'DJB Daily Readings'!X14</f>
        <v>4628.4000000003725</v>
      </c>
      <c r="O7" s="3">
        <f>'DJB Daily Readings'!AA15-'DJB Daily Readings'!AA14</f>
        <v>6333.5999999996275</v>
      </c>
      <c r="P7" s="3">
        <f>'DJB Daily Readings'!AD15-'DJB Daily Readings'!AD14</f>
        <v>1218</v>
      </c>
      <c r="Q7" s="3">
        <f>'DJB Daily Readings'!AG15-'DJB Daily Readings'!AG14</f>
        <v>1218</v>
      </c>
      <c r="R7" s="3">
        <f>'DJB Daily Readings'!AJ15-'DJB Daily Readings'!AJ14</f>
        <v>5554.0799999982119</v>
      </c>
      <c r="S7" s="3">
        <f>'DJB Daily Readings'!AM15-'DJB Daily Readings'!AM14</f>
        <v>3654</v>
      </c>
      <c r="T7" s="3">
        <f>'DJB Daily Readings'!AP15-'DJB Daily Readings'!AP14</f>
        <v>4530.9599999990314</v>
      </c>
      <c r="U7" s="3">
        <f>'DJB Daily Readings'!AS15-'DJB Daily Readings'!AS14</f>
        <v>3118.0799999982119</v>
      </c>
      <c r="V7" s="3">
        <f>'DJB Daily Readings'!AV15-'DJB Daily Readings'!AV14</f>
        <v>5505.359999999404</v>
      </c>
      <c r="W7" s="3">
        <f>'DJB Daily Readings'!AZ15-'DJB Daily Readings'!AZ14</f>
        <v>34600</v>
      </c>
      <c r="X7" s="3">
        <f>'DJB Daily Readings'!BC15-'DJB Daily Readings'!BC14</f>
        <v>0</v>
      </c>
      <c r="Y7" s="3">
        <f>'DJB Daily Readings'!BF15-'DJB Daily Readings'!BF14</f>
        <v>4000</v>
      </c>
      <c r="Z7" s="3">
        <f>('DJB Daily Readings'!CK15-'DJB Daily Readings'!CK14)*1.89</f>
        <v>139.85999999999999</v>
      </c>
      <c r="AA7" s="3">
        <f>('DJB Daily Readings'!CN15-'DJB Daily Readings'!CN14)*1.89</f>
        <v>226.79999999999998</v>
      </c>
      <c r="AB7" s="3">
        <f>('DJB Daily Readings'!CQ15-'DJB Daily Readings'!CQ14)*1.89</f>
        <v>415.79999999999995</v>
      </c>
      <c r="AC7" s="3">
        <f>'DJB Daily Readings'!CT15-'DJB Daily Readings'!CT14</f>
        <v>173</v>
      </c>
      <c r="AD7" s="80">
        <f>('DJB Daily Readings'!BY15-'DJB Daily Readings'!BY14)*1.89</f>
        <v>32.129999999999995</v>
      </c>
      <c r="AE7" s="80">
        <f>('DJB Daily Readings'!CA15-'DJB Daily Readings'!CA14)*1.89</f>
        <v>39.69</v>
      </c>
      <c r="AF7" s="80">
        <f>('DJB Daily Readings'!CC15-'DJB Daily Readings'!CC14)*1.89</f>
        <v>11.34</v>
      </c>
      <c r="AG7" s="80">
        <f>('DJB Daily Readings'!CE15-'DJB Daily Readings'!CE14)*1.89</f>
        <v>17.009999999999998</v>
      </c>
      <c r="AH7" s="80">
        <f>('DJB Daily Readings'!CG15-'DJB Daily Readings'!CG14)*1.89</f>
        <v>30.24</v>
      </c>
      <c r="AI7" s="80">
        <f>('DJB Daily Readings'!CI15-'DJB Daily Readings'!CI14)*1.89</f>
        <v>64.259999999999991</v>
      </c>
      <c r="AJ7" s="77">
        <f>'DJB Daily Readings'!CY15-'DJB Daily Readings'!CY14</f>
        <v>2</v>
      </c>
      <c r="AK7" s="77">
        <f>'DJB Daily Readings'!CW15-'DJB Daily Readings'!CW14</f>
        <v>4</v>
      </c>
      <c r="AL7" s="78">
        <f>'DJB Daily Readings'!DC15-'DJB Daily Readings'!DC14</f>
        <v>12</v>
      </c>
      <c r="AM7" s="78">
        <f>'DJB Daily Readings'!DA15-'DJB Daily Readings'!DA14</f>
        <v>14</v>
      </c>
      <c r="AN7" s="78">
        <f>'DJB Daily Readings'!DG15-'DJB Daily Readings'!DG14</f>
        <v>5</v>
      </c>
      <c r="AO7" s="78">
        <f>'DJB Daily Readings'!DE15-'DJB Daily Readings'!DE14</f>
        <v>7</v>
      </c>
      <c r="AP7" s="78">
        <f>'DJB Daily Readings'!DK15-'DJB Daily Readings'!DK14</f>
        <v>9</v>
      </c>
      <c r="AQ7" s="78">
        <f>'DJB Daily Readings'!DI15-'DJB Daily Readings'!DI14</f>
        <v>7</v>
      </c>
      <c r="AR7" s="78">
        <f>'DJB Daily Readings'!DO15-'DJB Daily Readings'!DO14</f>
        <v>4</v>
      </c>
      <c r="AS7" s="78">
        <f>'DJB Daily Readings'!DM15-'DJB Daily Readings'!DM14</f>
        <v>6</v>
      </c>
      <c r="AT7" s="78">
        <f>'DJB Daily Readings'!DQ15-'DJB Daily Readings'!DQ14</f>
        <v>7</v>
      </c>
      <c r="AU7" s="78">
        <f>'DJB Daily Readings'!DT15-'DJB Daily Readings'!DT14</f>
        <v>10.900000000000546</v>
      </c>
      <c r="AW7" s="78">
        <f>'DJB Daily Readings'!DX15-'DJB Daily Readings'!DX14</f>
        <v>5.6999999999998181</v>
      </c>
      <c r="AX7" s="78">
        <f>'DJB Daily Readings'!DZ15-'DJB Daily Readings'!DZ14</f>
        <v>6.3000000000001819</v>
      </c>
      <c r="AY7" s="78">
        <f>'DJB Daily Readings'!EB15-'DJB Daily Readings'!EB14</f>
        <v>537</v>
      </c>
      <c r="AZ7" s="78">
        <f>'DJB Daily Readings'!ED15-'DJB Daily Readings'!ED14</f>
        <v>152.39999999999418</v>
      </c>
      <c r="BA7" s="78">
        <f>'DJB Daily Readings'!EG15-'DJB Daily Readings'!EG14</f>
        <v>2700</v>
      </c>
      <c r="BB7" s="78">
        <f>'DJB Daily Readings'!EI15-'DJB Daily Readings'!EI14</f>
        <v>250</v>
      </c>
      <c r="BC7" s="78">
        <f>'DJB Daily Readings'!EQ15-'DJB Daily Readings'!EQ14</f>
        <v>1200</v>
      </c>
      <c r="BD7" s="78">
        <f>'DJB Daily Readings'!EK15-'DJB Daily Readings'!EK14</f>
        <v>900</v>
      </c>
      <c r="BE7" s="78">
        <f>'DJB Daily Readings'!EM15-'DJB Daily Readings'!EM14</f>
        <v>400</v>
      </c>
      <c r="BF7" s="78">
        <f>'DJB Daily Readings'!EO15-'DJB Daily Readings'!EO14</f>
        <v>690</v>
      </c>
      <c r="BG7" s="78">
        <f>('DJB Daily Readings'!ET15-'DJB Daily Readings'!ET14)*1.89</f>
        <v>28.349999999999998</v>
      </c>
      <c r="BH7" s="78">
        <f>('DJB Daily Readings'!EV15-'DJB Daily Readings'!EV14)*1.89</f>
        <v>20.79</v>
      </c>
      <c r="BI7" s="78">
        <f>('DJB Daily Readings'!EZ15-'DJB Daily Readings'!EZ14)*1.89</f>
        <v>24.57</v>
      </c>
      <c r="BJ7" s="78">
        <f>('DJB Daily Readings'!EX15-'DJB Daily Readings'!EX14)*1.89</f>
        <v>17.009999999999998</v>
      </c>
      <c r="BK7" s="78">
        <f>('DJB Daily Readings'!FB15-'DJB Daily Readings'!FB14)*1.89</f>
        <v>54.809999999999995</v>
      </c>
      <c r="BL7" s="78">
        <f>'DJB Daily Readings'!J15</f>
        <v>183</v>
      </c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>
        <f>237*0.58</f>
        <v>137.45999999999998</v>
      </c>
      <c r="F8" s="75">
        <f>223+18</f>
        <v>241</v>
      </c>
      <c r="G8" s="3">
        <f>'DJB Daily Readings'!C16-'DJB Daily Readings'!C15</f>
        <v>588</v>
      </c>
      <c r="H8" s="3">
        <f>'DJB Daily Readings'!F16-'DJB Daily Readings'!F15</f>
        <v>381</v>
      </c>
      <c r="I8" s="3">
        <f>'DJB Daily Readings'!L15</f>
        <v>152</v>
      </c>
      <c r="J8" s="3">
        <f>'DJB Daily Readings'!N15</f>
        <v>16</v>
      </c>
      <c r="K8" s="3">
        <f>'DJB Daily Readings'!O16-'DJB Daily Readings'!O15</f>
        <v>89</v>
      </c>
      <c r="L8" s="3">
        <f>'DJB Daily Readings'!R16-'DJB Daily Readings'!R15</f>
        <v>7</v>
      </c>
      <c r="M8" s="3">
        <f>'DJB Daily Readings'!U16-'DJB Daily Readings'!U15</f>
        <v>1948.7999999998137</v>
      </c>
      <c r="N8" s="3">
        <f>'DJB Daily Readings'!X16-'DJB Daily Readings'!X15</f>
        <v>4677.1200000010431</v>
      </c>
      <c r="O8" s="3">
        <f>'DJB Daily Readings'!AA16-'DJB Daily Readings'!AA15</f>
        <v>48.720000000670552</v>
      </c>
      <c r="P8" s="3">
        <f>'DJB Daily Readings'!AD16-'DJB Daily Readings'!AD15</f>
        <v>1851.3600000031292</v>
      </c>
      <c r="Q8" s="3">
        <f>'DJB Daily Readings'!AG16-'DJB Daily Readings'!AG15</f>
        <v>7795.1999999992549</v>
      </c>
      <c r="R8" s="3">
        <f>'DJB Daily Readings'!AJ16-'DJB Daily Readings'!AJ15</f>
        <v>5554.0800000019372</v>
      </c>
      <c r="S8" s="3">
        <f>'DJB Daily Readings'!AM16-'DJB Daily Readings'!AM15</f>
        <v>3995.0400000009686</v>
      </c>
      <c r="T8" s="3">
        <f>'DJB Daily Readings'!AP16-'DJB Daily Readings'!AP15</f>
        <v>4189.9200000017881</v>
      </c>
      <c r="U8" s="3">
        <f>'DJB Daily Readings'!AS16-'DJB Daily Readings'!AS15</f>
        <v>3264.2400000002235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4300</v>
      </c>
      <c r="Y8" s="3">
        <f>'DJB Daily Readings'!BF16-'DJB Daily Readings'!BF15</f>
        <v>39800</v>
      </c>
      <c r="Z8" s="3">
        <f>('DJB Daily Readings'!CK16-'DJB Daily Readings'!CK15)*1.89</f>
        <v>143.63999999999999</v>
      </c>
      <c r="AA8" s="3">
        <f>('DJB Daily Readings'!CN16-'DJB Daily Readings'!CN15)*1.89</f>
        <v>213.57</v>
      </c>
      <c r="AB8" s="3">
        <f>('DJB Daily Readings'!CQ16-'DJB Daily Readings'!CQ15)*1.89</f>
        <v>383.66999999999996</v>
      </c>
      <c r="AC8" s="3">
        <f>'DJB Daily Readings'!CT16-'DJB Daily Readings'!CT15</f>
        <v>177</v>
      </c>
      <c r="AD8" s="80">
        <f>('DJB Daily Readings'!BY16-'DJB Daily Readings'!BY15)*1.89</f>
        <v>28.349999999999998</v>
      </c>
      <c r="AE8" s="80">
        <f>('DJB Daily Readings'!CA16-'DJB Daily Readings'!CA15)*1.89</f>
        <v>35.909999999999997</v>
      </c>
      <c r="AF8" s="80">
        <f>('DJB Daily Readings'!CC16-'DJB Daily Readings'!CC15)*1.89</f>
        <v>9.4499999999999993</v>
      </c>
      <c r="AG8" s="80">
        <f>('DJB Daily Readings'!CE16-'DJB Daily Readings'!CE15)*1.89</f>
        <v>17.009999999999998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3</v>
      </c>
      <c r="AK8" s="77">
        <f>'DJB Daily Readings'!CW16-'DJB Daily Readings'!CW15</f>
        <v>5</v>
      </c>
      <c r="AL8" s="78">
        <f>'DJB Daily Readings'!DC16-'DJB Daily Readings'!DC15</f>
        <v>14</v>
      </c>
      <c r="AM8" s="78">
        <f>'DJB Daily Readings'!DA16-'DJB Daily Readings'!DA15</f>
        <v>3</v>
      </c>
      <c r="AN8" s="78">
        <f>'DJB Daily Readings'!DG16-'DJB Daily Readings'!DG15</f>
        <v>4</v>
      </c>
      <c r="AO8" s="78">
        <f>'DJB Daily Readings'!DE16-'DJB Daily Readings'!DE15</f>
        <v>7</v>
      </c>
      <c r="AP8" s="78">
        <f>'DJB Daily Readings'!DK16-'DJB Daily Readings'!DK15</f>
        <v>10</v>
      </c>
      <c r="AQ8" s="78">
        <f>'DJB Daily Readings'!DI16-'DJB Daily Readings'!DI15</f>
        <v>7</v>
      </c>
      <c r="AR8" s="78">
        <f>'DJB Daily Readings'!DO16-'DJB Daily Readings'!DO15</f>
        <v>4</v>
      </c>
      <c r="AS8" s="78">
        <f>'DJB Daily Readings'!DM16-'DJB Daily Readings'!DM15</f>
        <v>6</v>
      </c>
      <c r="AT8" s="78">
        <f>'DJB Daily Readings'!DQ16-'DJB Daily Readings'!DQ15</f>
        <v>0</v>
      </c>
      <c r="AU8" s="78">
        <f>'DJB Daily Readings'!DT16-'DJB Daily Readings'!DT15</f>
        <v>10</v>
      </c>
      <c r="AW8" s="78">
        <f>'DJB Daily Readings'!DX16-'DJB Daily Readings'!DX15</f>
        <v>5.9000000000005457</v>
      </c>
      <c r="AX8" s="78">
        <f>'DJB Daily Readings'!DZ16-'DJB Daily Readings'!DZ15</f>
        <v>6.5999999999994543</v>
      </c>
      <c r="AY8" s="78">
        <f>'DJB Daily Readings'!EB16-'DJB Daily Readings'!EB15</f>
        <v>520</v>
      </c>
      <c r="AZ8" s="78">
        <f>'DJB Daily Readings'!ED16-'DJB Daily Readings'!ED15</f>
        <v>151.80000000001746</v>
      </c>
      <c r="BA8" s="78">
        <f>'DJB Daily Readings'!EG16-'DJB Daily Readings'!EG15</f>
        <v>3000</v>
      </c>
      <c r="BB8" s="78">
        <f>'DJB Daily Readings'!EI16-'DJB Daily Readings'!EI15</f>
        <v>250</v>
      </c>
      <c r="BC8" s="78">
        <f>'DJB Daily Readings'!EQ16-'DJB Daily Readings'!EQ15</f>
        <v>2000</v>
      </c>
      <c r="BD8" s="78">
        <f>'DJB Daily Readings'!EK16-'DJB Daily Readings'!EK15</f>
        <v>1000</v>
      </c>
      <c r="BE8" s="78">
        <f>'DJB Daily Readings'!EM16-'DJB Daily Readings'!EM15</f>
        <v>400</v>
      </c>
      <c r="BF8" s="78">
        <f>'DJB Daily Readings'!EO16-'DJB Daily Readings'!EO15</f>
        <v>670</v>
      </c>
      <c r="BG8" s="78">
        <f>('DJB Daily Readings'!ET16-'DJB Daily Readings'!ET15)*1.89</f>
        <v>30.24</v>
      </c>
      <c r="BH8" s="78">
        <f>('DJB Daily Readings'!EV16-'DJB Daily Readings'!EV15)*1.89</f>
        <v>18.899999999999999</v>
      </c>
      <c r="BI8" s="78">
        <f>('DJB Daily Readings'!EZ16-'DJB Daily Readings'!EZ15)*1.89</f>
        <v>22.68</v>
      </c>
      <c r="BJ8" s="78">
        <f>('DJB Daily Readings'!EX16-'DJB Daily Readings'!EX15)*1.89</f>
        <v>17.009999999999998</v>
      </c>
      <c r="BK8" s="78">
        <f>('DJB Daily Readings'!FB16-'DJB Daily Readings'!FB15)*1.89</f>
        <v>60.48</v>
      </c>
      <c r="BL8" s="78">
        <f>'DJB Daily Readings'!J16</f>
        <v>201</v>
      </c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>
        <f>237*0.68</f>
        <v>161.16000000000003</v>
      </c>
      <c r="F9" s="75">
        <f>245+23</f>
        <v>268</v>
      </c>
      <c r="G9" s="3">
        <f>'DJB Daily Readings'!C17-'DJB Daily Readings'!C16</f>
        <v>629</v>
      </c>
      <c r="H9" s="3">
        <f>'DJB Daily Readings'!F17-'DJB Daily Readings'!F16</f>
        <v>404</v>
      </c>
      <c r="I9" s="3">
        <f>'DJB Daily Readings'!L16</f>
        <v>220</v>
      </c>
      <c r="J9" s="3">
        <f>'DJB Daily Readings'!N16</f>
        <v>73</v>
      </c>
      <c r="K9" s="3">
        <f>'DJB Daily Readings'!O17-'DJB Daily Readings'!O16</f>
        <v>85</v>
      </c>
      <c r="L9" s="3">
        <f>'DJB Daily Readings'!R17-'DJB Daily Readings'!R16</f>
        <v>6</v>
      </c>
      <c r="M9" s="3">
        <f>'DJB Daily Readings'!U17-'DJB Daily Readings'!U16</f>
        <v>1997.5200000014156</v>
      </c>
      <c r="N9" s="3">
        <f>'DJB Daily Readings'!X17-'DJB Daily Readings'!X16</f>
        <v>4530.9599999990314</v>
      </c>
      <c r="O9" s="3">
        <f>'DJB Daily Readings'!AA17-'DJB Daily Readings'!AA16</f>
        <v>0</v>
      </c>
      <c r="P9" s="3">
        <f>'DJB Daily Readings'!AD17-'DJB Daily Readings'!AD16</f>
        <v>8282.3999999985099</v>
      </c>
      <c r="Q9" s="3">
        <f>'DJB Daily Readings'!AG17-'DJB Daily Readings'!AG16</f>
        <v>1656.4800000041723</v>
      </c>
      <c r="R9" s="3">
        <f>'DJB Daily Readings'!AJ17-'DJB Daily Readings'!AJ16</f>
        <v>5700.2399999983609</v>
      </c>
      <c r="S9" s="3">
        <f>'DJB Daily Readings'!AM17-'DJB Daily Readings'!AM16</f>
        <v>3848.8800000008196</v>
      </c>
      <c r="T9" s="3">
        <f>'DJB Daily Readings'!AP17-'DJB Daily Readings'!AP16</f>
        <v>4092.4799999985844</v>
      </c>
      <c r="U9" s="3">
        <f>'DJB Daily Readings'!AS17-'DJB Daily Readings'!AS16</f>
        <v>2728.320000000298</v>
      </c>
      <c r="V9" s="3">
        <f>'DJB Daily Readings'!AV17-'DJB Daily Readings'!AV16</f>
        <v>5554.0800000019372</v>
      </c>
      <c r="W9" s="3">
        <f>'DJB Daily Readings'!AZ17-'DJB Daily Readings'!AZ16</f>
        <v>0</v>
      </c>
      <c r="X9" s="3">
        <f>'DJB Daily Readings'!BC17-'DJB Daily Readings'!BC16</f>
        <v>42200</v>
      </c>
      <c r="Y9" s="3">
        <f>'DJB Daily Readings'!BF17-'DJB Daily Readings'!BF16</f>
        <v>4200</v>
      </c>
      <c r="Z9" s="3">
        <f>('DJB Daily Readings'!CK17-'DJB Daily Readings'!CK16)*1.89</f>
        <v>141.75</v>
      </c>
      <c r="AA9" s="3">
        <f>('DJB Daily Readings'!CN17-'DJB Daily Readings'!CN16)*1.89</f>
        <v>223.01999999999998</v>
      </c>
      <c r="AB9" s="3">
        <f>('DJB Daily Readings'!CQ17-'DJB Daily Readings'!CQ16)*1.89</f>
        <v>487.61999999999995</v>
      </c>
      <c r="AC9" s="3">
        <f>'DJB Daily Readings'!CT17-'DJB Daily Readings'!CT16</f>
        <v>175</v>
      </c>
      <c r="AD9" s="80">
        <f>('DJB Daily Readings'!BY17-'DJB Daily Readings'!BY16)*1.89</f>
        <v>32.129999999999995</v>
      </c>
      <c r="AE9" s="80">
        <f>('DJB Daily Readings'!CA17-'DJB Daily Readings'!CA16)*1.89</f>
        <v>37.799999999999997</v>
      </c>
      <c r="AF9" s="80">
        <f>('DJB Daily Readings'!CC17-'DJB Daily Readings'!CC16)*1.89</f>
        <v>17.009999999999998</v>
      </c>
      <c r="AG9" s="80">
        <f>('DJB Daily Readings'!CE17-'DJB Daily Readings'!CE16)*1.89</f>
        <v>17.009999999999998</v>
      </c>
      <c r="AH9" s="80">
        <f>('DJB Daily Readings'!CG17-'DJB Daily Readings'!CG16)*1.89</f>
        <v>28.349999999999998</v>
      </c>
      <c r="AI9" s="80">
        <f>('DJB Daily Readings'!CI17-'DJB Daily Readings'!CI16)*1.89</f>
        <v>68.039999999999992</v>
      </c>
      <c r="AJ9" s="77">
        <f>'DJB Daily Readings'!CY17-'DJB Daily Readings'!CY16</f>
        <v>7</v>
      </c>
      <c r="AK9" s="77">
        <f>'DJB Daily Readings'!CW17-'DJB Daily Readings'!CW16</f>
        <v>13</v>
      </c>
      <c r="AL9" s="78">
        <f>'DJB Daily Readings'!DC17-'DJB Daily Readings'!DC16</f>
        <v>13</v>
      </c>
      <c r="AM9" s="78">
        <f>'DJB Daily Readings'!DA17-'DJB Daily Readings'!DA16</f>
        <v>4</v>
      </c>
      <c r="AN9" s="78">
        <f>'DJB Daily Readings'!DG17-'DJB Daily Readings'!DG16</f>
        <v>4</v>
      </c>
      <c r="AO9" s="78">
        <f>'DJB Daily Readings'!DE17-'DJB Daily Readings'!DE16</f>
        <v>8</v>
      </c>
      <c r="AP9" s="78">
        <f>'DJB Daily Readings'!DK17-'DJB Daily Readings'!DK16</f>
        <v>9</v>
      </c>
      <c r="AQ9" s="78">
        <f>'DJB Daily Readings'!DI17-'DJB Daily Readings'!DI16</f>
        <v>9</v>
      </c>
      <c r="AR9" s="78">
        <f>'DJB Daily Readings'!DO17-'DJB Daily Readings'!DO16</f>
        <v>5</v>
      </c>
      <c r="AS9" s="78">
        <f>'DJB Daily Readings'!DM17-'DJB Daily Readings'!DM16</f>
        <v>5</v>
      </c>
      <c r="AT9" s="78">
        <f>'DJB Daily Readings'!DQ17-'DJB Daily Readings'!DQ16</f>
        <v>6</v>
      </c>
      <c r="AU9" s="78">
        <f>'DJB Daily Readings'!DT17-'DJB Daily Readings'!DT16</f>
        <v>11.299999999999272</v>
      </c>
      <c r="AW9" s="78">
        <f>'DJB Daily Readings'!DX17-'DJB Daily Readings'!DX16</f>
        <v>5.7999999999992724</v>
      </c>
      <c r="AX9" s="78">
        <f>'DJB Daily Readings'!DZ17-'DJB Daily Readings'!DZ16</f>
        <v>6.5</v>
      </c>
      <c r="AY9" s="78">
        <f>'DJB Daily Readings'!EB17-'DJB Daily Readings'!EB16</f>
        <v>511</v>
      </c>
      <c r="AZ9" s="78">
        <f>'DJB Daily Readings'!ED17-'DJB Daily Readings'!ED16</f>
        <v>152.29999999998836</v>
      </c>
      <c r="BA9" s="78">
        <f>'DJB Daily Readings'!EG17-'DJB Daily Readings'!EG16</f>
        <v>3200</v>
      </c>
      <c r="BB9" s="78">
        <f>'DJB Daily Readings'!EI17-'DJB Daily Readings'!EI16</f>
        <v>260</v>
      </c>
      <c r="BC9" s="78">
        <f>'DJB Daily Readings'!EQ17-'DJB Daily Readings'!EQ16</f>
        <v>3000</v>
      </c>
      <c r="BD9" s="78">
        <f>'DJB Daily Readings'!EK17-'DJB Daily Readings'!EK16</f>
        <v>1000</v>
      </c>
      <c r="BE9" s="78">
        <f>'DJB Daily Readings'!EM17-'DJB Daily Readings'!EM16</f>
        <v>300</v>
      </c>
      <c r="BF9" s="78">
        <f>'DJB Daily Readings'!EO17-'DJB Daily Readings'!EO16</f>
        <v>680</v>
      </c>
      <c r="BG9" s="78">
        <f>('DJB Daily Readings'!ET17-'DJB Daily Readings'!ET16)*1.89</f>
        <v>28.349999999999998</v>
      </c>
      <c r="BH9" s="78">
        <f>('DJB Daily Readings'!EV17-'DJB Daily Readings'!EV16)*1.89</f>
        <v>20.79</v>
      </c>
      <c r="BI9" s="78">
        <f>('DJB Daily Readings'!EZ17-'DJB Daily Readings'!EZ16)*1.89</f>
        <v>32.129999999999995</v>
      </c>
      <c r="BJ9" s="78">
        <f>('DJB Daily Readings'!EX17-'DJB Daily Readings'!EX16)*1.89</f>
        <v>15.12</v>
      </c>
      <c r="BK9" s="78">
        <f>('DJB Daily Readings'!FB17-'DJB Daily Readings'!FB16)*1.89</f>
        <v>51.029999999999994</v>
      </c>
      <c r="BL9" s="78">
        <f>'DJB Daily Readings'!J17</f>
        <v>198</v>
      </c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>
        <f>237*0.7</f>
        <v>165.89999999999998</v>
      </c>
      <c r="F10" s="75">
        <f>263+37</f>
        <v>300</v>
      </c>
      <c r="G10" s="3">
        <f>'DJB Daily Readings'!C18-'DJB Daily Readings'!C17</f>
        <v>610</v>
      </c>
      <c r="H10" s="3">
        <f>'DJB Daily Readings'!F18-'DJB Daily Readings'!F17</f>
        <v>416</v>
      </c>
      <c r="I10" s="3">
        <f>'DJB Daily Readings'!L17</f>
        <v>264</v>
      </c>
      <c r="J10" s="3">
        <f>'DJB Daily Readings'!N17</f>
        <v>90</v>
      </c>
      <c r="K10" s="3">
        <f>'DJB Daily Readings'!O18-'DJB Daily Readings'!O17</f>
        <v>67</v>
      </c>
      <c r="L10" s="3">
        <f>'DJB Daily Readings'!R18-'DJB Daily Readings'!R17</f>
        <v>4</v>
      </c>
      <c r="M10" s="3">
        <f>'DJB Daily Readings'!U18-'DJB Daily Readings'!U17</f>
        <v>1997.519999999553</v>
      </c>
      <c r="N10" s="3">
        <f>'DJB Daily Readings'!X18-'DJB Daily Readings'!X17</f>
        <v>4725.8400000017136</v>
      </c>
      <c r="O10" s="3">
        <f>'DJB Daily Readings'!AA18-'DJB Daily Readings'!AA17</f>
        <v>1023.1199999991804</v>
      </c>
      <c r="P10" s="3">
        <f>'DJB Daily Readings'!AD18-'DJB Daily Readings'!AD17</f>
        <v>1120.5599999986589</v>
      </c>
      <c r="Q10" s="3">
        <f>'DJB Daily Readings'!AG18-'DJB Daily Readings'!AG17</f>
        <v>6382.3199999965727</v>
      </c>
      <c r="R10" s="3">
        <f>'DJB Daily Readings'!AJ18-'DJB Daily Readings'!AJ17</f>
        <v>5554.0800000019372</v>
      </c>
      <c r="S10" s="3">
        <f>'DJB Daily Readings'!AM18-'DJB Daily Readings'!AM17</f>
        <v>3654</v>
      </c>
      <c r="T10" s="3">
        <f>'DJB Daily Readings'!AP18-'DJB Daily Readings'!AP17</f>
        <v>4336.0800000000745</v>
      </c>
      <c r="U10" s="3">
        <f>'DJB Daily Readings'!AS18-'DJB Daily Readings'!AS17</f>
        <v>2825.7599999997765</v>
      </c>
      <c r="V10" s="3">
        <f>'DJB Daily Readings'!AV18-'DJB Daily Readings'!AV17</f>
        <v>5505.359999999404</v>
      </c>
      <c r="W10" s="3">
        <f>'DJB Daily Readings'!AZ18-'DJB Daily Readings'!AZ17</f>
        <v>4000</v>
      </c>
      <c r="X10" s="3">
        <f>'DJB Daily Readings'!BC18-'DJB Daily Readings'!BC17</f>
        <v>0</v>
      </c>
      <c r="Y10" s="3">
        <f>'DJB Daily Readings'!BF18-'DJB Daily Readings'!BF17</f>
        <v>31700</v>
      </c>
      <c r="Z10" s="3">
        <f>('DJB Daily Readings'!CK18-'DJB Daily Readings'!CK17)*1.89</f>
        <v>147.41999999999999</v>
      </c>
      <c r="AA10" s="3">
        <f>('DJB Daily Readings'!CN18-'DJB Daily Readings'!CN17)*1.89</f>
        <v>226.79999999999998</v>
      </c>
      <c r="AB10" s="3">
        <f>('DJB Daily Readings'!CQ18-'DJB Daily Readings'!CQ17)*1.89</f>
        <v>542.42999999999995</v>
      </c>
      <c r="AC10" s="3">
        <f>'DJB Daily Readings'!CT18-'DJB Daily Readings'!CT17</f>
        <v>187</v>
      </c>
      <c r="AD10" s="80">
        <f>('DJB Daily Readings'!BY18-'DJB Daily Readings'!BY17)*1.89</f>
        <v>28.349999999999998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26.459999999999997</v>
      </c>
      <c r="AI10" s="80">
        <f>('DJB Daily Readings'!CI18-'DJB Daily Readings'!CI17)*1.89</f>
        <v>68.039999999999992</v>
      </c>
      <c r="AJ10" s="77">
        <f>'DJB Daily Readings'!CY18-'DJB Daily Readings'!CY17</f>
        <v>6</v>
      </c>
      <c r="AK10" s="77">
        <f>'DJB Daily Readings'!CW18-'DJB Daily Readings'!CW17</f>
        <v>10</v>
      </c>
      <c r="AL10" s="78">
        <f>'DJB Daily Readings'!DC18-'DJB Daily Readings'!DC17</f>
        <v>12</v>
      </c>
      <c r="AM10" s="78">
        <f>'DJB Daily Readings'!DA18-'DJB Daily Readings'!DA17</f>
        <v>34</v>
      </c>
      <c r="AN10" s="78">
        <f>'DJB Daily Readings'!DG18-'DJB Daily Readings'!DG17</f>
        <v>4</v>
      </c>
      <c r="AO10" s="78">
        <f>'DJB Daily Readings'!DE18-'DJB Daily Readings'!DE17</f>
        <v>7</v>
      </c>
      <c r="AP10" s="78">
        <f>'DJB Daily Readings'!DK18-'DJB Daily Readings'!DK17</f>
        <v>6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7</v>
      </c>
      <c r="AU10" s="78">
        <f>'DJB Daily Readings'!DT18-'DJB Daily Readings'!DT17</f>
        <v>10.700000000000728</v>
      </c>
      <c r="AW10" s="78">
        <f>'DJB Daily Readings'!DX18-'DJB Daily Readings'!DX17</f>
        <v>5.8000000000001819</v>
      </c>
      <c r="AX10" s="78">
        <f>'DJB Daily Readings'!DZ18-'DJB Daily Readings'!DZ17</f>
        <v>6.2000000000007276</v>
      </c>
      <c r="AY10" s="78">
        <f>'DJB Daily Readings'!EB18-'DJB Daily Readings'!EB17</f>
        <v>502</v>
      </c>
      <c r="AZ10" s="78">
        <f>'DJB Daily Readings'!ED18-'DJB Daily Readings'!ED17</f>
        <v>150.39999999999418</v>
      </c>
      <c r="BA10" s="78">
        <f>'DJB Daily Readings'!EG18-'DJB Daily Readings'!EG17</f>
        <v>2200</v>
      </c>
      <c r="BB10" s="78">
        <f>'DJB Daily Readings'!EI18-'DJB Daily Readings'!EI17</f>
        <v>240</v>
      </c>
      <c r="BC10" s="78">
        <f>'DJB Daily Readings'!EQ18-'DJB Daily Readings'!EQ17</f>
        <v>2000</v>
      </c>
      <c r="BD10" s="78">
        <f>'DJB Daily Readings'!EK18-'DJB Daily Readings'!EK17</f>
        <v>700</v>
      </c>
      <c r="BE10" s="78">
        <f>'DJB Daily Readings'!EM18-'DJB Daily Readings'!EM17</f>
        <v>300</v>
      </c>
      <c r="BF10" s="78">
        <f>'DJB Daily Readings'!EO18-'DJB Daily Readings'!EO17</f>
        <v>630</v>
      </c>
      <c r="BG10" s="78">
        <f>('DJB Daily Readings'!ET18-'DJB Daily Readings'!ET17)*1.89</f>
        <v>28.349999999999998</v>
      </c>
      <c r="BH10" s="78">
        <f>('DJB Daily Readings'!EV18-'DJB Daily Readings'!EV17)*1.89</f>
        <v>20.79</v>
      </c>
      <c r="BI10" s="78">
        <f>('DJB Daily Readings'!EZ18-'DJB Daily Readings'!EZ17)*1.89</f>
        <v>26.459999999999997</v>
      </c>
      <c r="BJ10" s="78">
        <f>('DJB Daily Readings'!EX18-'DJB Daily Readings'!EX17)*1.89</f>
        <v>17.009999999999998</v>
      </c>
      <c r="BK10" s="78">
        <f>('DJB Daily Readings'!FB18-'DJB Daily Readings'!FB17)*1.89</f>
        <v>54.809999999999995</v>
      </c>
      <c r="BL10" s="78">
        <f>'DJB Daily Readings'!J18</f>
        <v>195</v>
      </c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>
        <f>237*0.67</f>
        <v>158.79000000000002</v>
      </c>
      <c r="F11" s="75">
        <f>265+43</f>
        <v>308</v>
      </c>
      <c r="G11" s="3">
        <f>'DJB Daily Readings'!C19-'DJB Daily Readings'!C18</f>
        <v>678</v>
      </c>
      <c r="H11" s="3">
        <f>'DJB Daily Readings'!F19-'DJB Daily Readings'!F18</f>
        <v>481</v>
      </c>
      <c r="I11" s="3">
        <f>'DJB Daily Readings'!L18</f>
        <v>271</v>
      </c>
      <c r="J11" s="3">
        <f>'DJB Daily Readings'!N18</f>
        <v>88</v>
      </c>
      <c r="K11" s="3">
        <f>'DJB Daily Readings'!O19-'DJB Daily Readings'!O18</f>
        <v>58</v>
      </c>
      <c r="L11" s="3">
        <f>'DJB Daily Readings'!R19-'DJB Daily Readings'!R18</f>
        <v>6</v>
      </c>
      <c r="M11" s="3">
        <f>'DJB Daily Readings'!U19-'DJB Daily Readings'!U18</f>
        <v>2046.2400000002235</v>
      </c>
      <c r="N11" s="3">
        <f>'DJB Daily Readings'!X19-'DJB Daily Readings'!X18</f>
        <v>4677.1199999991804</v>
      </c>
      <c r="O11" s="3">
        <f>'DJB Daily Readings'!AA19-'DJB Daily Readings'!AA18</f>
        <v>5992.5600000005215</v>
      </c>
      <c r="P11" s="3">
        <f>'DJB Daily Readings'!AD19-'DJB Daily Readings'!AD18</f>
        <v>2046.2400000020862</v>
      </c>
      <c r="Q11" s="3">
        <f>'DJB Daily Readings'!AG19-'DJB Daily Readings'!AG18</f>
        <v>0</v>
      </c>
      <c r="R11" s="3">
        <f>'DJB Daily Readings'!AJ19-'DJB Daily Readings'!AJ18</f>
        <v>5554.0800000019372</v>
      </c>
      <c r="S11" s="3">
        <f>'DJB Daily Readings'!AM19-'DJB Daily Readings'!AM18</f>
        <v>3946.3199999984354</v>
      </c>
      <c r="T11" s="3">
        <f>'DJB Daily Readings'!AP19-'DJB Daily Readings'!AP18</f>
        <v>4433.519999999553</v>
      </c>
      <c r="U11" s="3">
        <f>'DJB Daily Readings'!AS19-'DJB Daily Readings'!AS18</f>
        <v>3069.3600000012666</v>
      </c>
      <c r="V11" s="3">
        <f>'DJB Daily Readings'!AV19-'DJB Daily Readings'!AV18</f>
        <v>5651.519999999553</v>
      </c>
      <c r="W11" s="3">
        <f>'DJB Daily Readings'!AZ19-'DJB Daily Readings'!AZ18</f>
        <v>30500</v>
      </c>
      <c r="X11" s="3">
        <f>'DJB Daily Readings'!BC19-'DJB Daily Readings'!BC18</f>
        <v>3800</v>
      </c>
      <c r="Y11" s="3">
        <f>'DJB Daily Readings'!BF19-'DJB Daily Readings'!BF18</f>
        <v>0</v>
      </c>
      <c r="Z11" s="3">
        <f>('DJB Daily Readings'!CK19-'DJB Daily Readings'!CK18)*1.89</f>
        <v>149.31</v>
      </c>
      <c r="AA11" s="3">
        <f>('DJB Daily Readings'!CN19-'DJB Daily Readings'!CN18)*1.89</f>
        <v>234.35999999999999</v>
      </c>
      <c r="AB11" s="3">
        <f>('DJB Daily Readings'!CQ19-'DJB Daily Readings'!CQ18)*1.89</f>
        <v>555.66</v>
      </c>
      <c r="AC11" s="3">
        <f>'DJB Daily Readings'!CT19-'DJB Daily Readings'!CT18</f>
        <v>189</v>
      </c>
      <c r="AD11" s="80">
        <f>('DJB Daily Readings'!BY19-'DJB Daily Readings'!BY18)*1.89</f>
        <v>28.349999999999998</v>
      </c>
      <c r="AE11" s="80">
        <f>('DJB Daily Readings'!CA19-'DJB Daily Readings'!CA18)*1.89</f>
        <v>35.909999999999997</v>
      </c>
      <c r="AF11" s="80">
        <f>('DJB Daily Readings'!CC19-'DJB Daily Readings'!CC18)*1.89</f>
        <v>13.229999999999999</v>
      </c>
      <c r="AG11" s="80">
        <f>('DJB Daily Readings'!CE19-'DJB Daily Readings'!CE18)*1.89</f>
        <v>17.009999999999998</v>
      </c>
      <c r="AH11" s="80">
        <f>('DJB Daily Readings'!CG19-'DJB Daily Readings'!CG18)*1.89</f>
        <v>26.459999999999997</v>
      </c>
      <c r="AI11" s="80">
        <f>('DJB Daily Readings'!CI19-'DJB Daily Readings'!CI18)*1.89</f>
        <v>66.149999999999991</v>
      </c>
      <c r="AJ11" s="77">
        <f>'DJB Daily Readings'!CY19-'DJB Daily Readings'!CY18</f>
        <v>9</v>
      </c>
      <c r="AK11" s="77">
        <f>'DJB Daily Readings'!CW19-'DJB Daily Readings'!CW18</f>
        <v>12</v>
      </c>
      <c r="AL11" s="78">
        <f>'DJB Daily Readings'!DC19-'DJB Daily Readings'!DC18</f>
        <v>18</v>
      </c>
      <c r="AM11" s="78">
        <f>'DJB Daily Readings'!DA19-'DJB Daily Readings'!DA18</f>
        <v>17</v>
      </c>
      <c r="AN11" s="78">
        <f>'DJB Daily Readings'!DG19-'DJB Daily Readings'!DG18</f>
        <v>5</v>
      </c>
      <c r="AO11" s="78">
        <f>'DJB Daily Readings'!DE19-'DJB Daily Readings'!DE18</f>
        <v>9</v>
      </c>
      <c r="AP11" s="78">
        <f>'DJB Daily Readings'!DK19-'DJB Daily Readings'!DK18</f>
        <v>8</v>
      </c>
      <c r="AQ11" s="78">
        <f>'DJB Daily Readings'!DI19-'DJB Daily Readings'!DI18</f>
        <v>13</v>
      </c>
      <c r="AR11" s="78">
        <f>'DJB Daily Readings'!DO19-'DJB Daily Readings'!DO18</f>
        <v>10</v>
      </c>
      <c r="AS11" s="78">
        <f>'DJB Daily Readings'!DM19-'DJB Daily Readings'!DM18</f>
        <v>4</v>
      </c>
      <c r="AT11" s="78">
        <f>'DJB Daily Readings'!DQ19-'DJB Daily Readings'!DQ18</f>
        <v>6</v>
      </c>
      <c r="AU11" s="78">
        <f>'DJB Daily Readings'!DT19-'DJB Daily Readings'!DT18</f>
        <v>11.399999999999636</v>
      </c>
      <c r="AW11" s="78">
        <f>'DJB Daily Readings'!DX19-'DJB Daily Readings'!DX18</f>
        <v>6</v>
      </c>
      <c r="AX11" s="78">
        <f>'DJB Daily Readings'!DZ19-'DJB Daily Readings'!DZ18</f>
        <v>7.3999999999996362</v>
      </c>
      <c r="AY11" s="78">
        <f>'DJB Daily Readings'!EB19-'DJB Daily Readings'!EB18</f>
        <v>553</v>
      </c>
      <c r="AZ11" s="78">
        <f>'DJB Daily Readings'!ED19-'DJB Daily Readings'!ED18</f>
        <v>157.90000000002328</v>
      </c>
      <c r="BA11" s="78">
        <f>'DJB Daily Readings'!EG19-'DJB Daily Readings'!EG18</f>
        <v>2400</v>
      </c>
      <c r="BB11" s="78">
        <f>'DJB Daily Readings'!EI19-'DJB Daily Readings'!EI18</f>
        <v>250</v>
      </c>
      <c r="BC11" s="78">
        <f>'DJB Daily Readings'!EQ19-'DJB Daily Readings'!EQ18</f>
        <v>1300</v>
      </c>
      <c r="BD11" s="78">
        <f>'DJB Daily Readings'!EK19-'DJB Daily Readings'!EK18</f>
        <v>800</v>
      </c>
      <c r="BE11" s="78">
        <f>'DJB Daily Readings'!EM19-'DJB Daily Readings'!EM18</f>
        <v>200</v>
      </c>
      <c r="BF11" s="78">
        <f>'DJB Daily Readings'!EO19-'DJB Daily Readings'!EO18</f>
        <v>680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32.129999999999995</v>
      </c>
      <c r="BJ11" s="78">
        <f>('DJB Daily Readings'!EX19-'DJB Daily Readings'!EX18)*1.89</f>
        <v>24.57</v>
      </c>
      <c r="BK11" s="78">
        <f>('DJB Daily Readings'!FB19-'DJB Daily Readings'!FB18)*1.89</f>
        <v>66.149999999999991</v>
      </c>
      <c r="BL11" s="78">
        <f>'DJB Daily Readings'!J19</f>
        <v>207</v>
      </c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>
        <f>237*0.91</f>
        <v>215.67000000000002</v>
      </c>
      <c r="F12" s="75">
        <f>320+79</f>
        <v>399</v>
      </c>
      <c r="G12" s="3">
        <f>'DJB Daily Readings'!C20-'DJB Daily Readings'!C19</f>
        <v>584</v>
      </c>
      <c r="H12" s="3">
        <f>'DJB Daily Readings'!F20-'DJB Daily Readings'!F19</f>
        <v>460</v>
      </c>
      <c r="I12" s="3">
        <f>'DJB Daily Readings'!L19</f>
        <v>266</v>
      </c>
      <c r="J12" s="3">
        <f>'DJB Daily Readings'!N19</f>
        <v>80</v>
      </c>
      <c r="K12" s="3">
        <f>'DJB Daily Readings'!O20-'DJB Daily Readings'!O19</f>
        <v>62</v>
      </c>
      <c r="L12" s="3">
        <f>'DJB Daily Readings'!R20-'DJB Daily Readings'!R19</f>
        <v>3</v>
      </c>
      <c r="M12" s="3">
        <f>'DJB Daily Readings'!U20-'DJB Daily Readings'!U19</f>
        <v>2046.2400000002235</v>
      </c>
      <c r="N12" s="3">
        <f>'DJB Daily Readings'!X20-'DJB Daily Readings'!X19</f>
        <v>4725.839999999851</v>
      </c>
      <c r="O12" s="3">
        <f>'DJB Daily Readings'!AA20-'DJB Daily Readings'!AA19</f>
        <v>97.439999999478459</v>
      </c>
      <c r="P12" s="3">
        <f>'DJB Daily Readings'!AD20-'DJB Daily Readings'!AD19</f>
        <v>6674.6399999968708</v>
      </c>
      <c r="Q12" s="3">
        <f>'DJB Daily Readings'!AG20-'DJB Daily Readings'!AG19</f>
        <v>1997.519999999553</v>
      </c>
      <c r="R12" s="3">
        <f>'DJB Daily Readings'!AJ20-'DJB Daily Readings'!AJ19</f>
        <v>5456.6399999968708</v>
      </c>
      <c r="S12" s="3">
        <f>'DJB Daily Readings'!AM20-'DJB Daily Readings'!AM19</f>
        <v>3751.4400000013411</v>
      </c>
      <c r="T12" s="3">
        <f>'DJB Daily Readings'!AP20-'DJB Daily Readings'!AP19</f>
        <v>4482.2400000002235</v>
      </c>
      <c r="U12" s="3">
        <f>'DJB Daily Readings'!AS20-'DJB Daily Readings'!AS19</f>
        <v>3166.7999999988824</v>
      </c>
      <c r="V12" s="3">
        <f>'DJB Daily Readings'!AV20-'DJB Daily Readings'!AV19</f>
        <v>5651.519999999553</v>
      </c>
      <c r="W12" s="3">
        <f>'DJB Daily Readings'!AZ20-'DJB Daily Readings'!AZ19</f>
        <v>0</v>
      </c>
      <c r="X12" s="3">
        <f>'DJB Daily Readings'!BC20-'DJB Daily Readings'!BC19</f>
        <v>33700</v>
      </c>
      <c r="Y12" s="3">
        <f>'DJB Daily Readings'!BF20-'DJB Daily Readings'!BF19</f>
        <v>3900</v>
      </c>
      <c r="Z12" s="3">
        <f>('DJB Daily Readings'!CK20-'DJB Daily Readings'!CK19)*1.89</f>
        <v>145.53</v>
      </c>
      <c r="AA12" s="3">
        <f>('DJB Daily Readings'!CN20-'DJB Daily Readings'!CN19)*1.89</f>
        <v>224.91</v>
      </c>
      <c r="AB12" s="3">
        <f>('DJB Daily Readings'!CQ20-'DJB Daily Readings'!CQ19)*1.89</f>
        <v>532.98</v>
      </c>
      <c r="AC12" s="3">
        <f>'DJB Daily Readings'!CT20-'DJB Daily Readings'!CT19</f>
        <v>185</v>
      </c>
      <c r="AD12" s="80">
        <f>('DJB Daily Readings'!BY20-'DJB Daily Readings'!BY19)*1.89</f>
        <v>35.909999999999997</v>
      </c>
      <c r="AE12" s="80">
        <f>('DJB Daily Readings'!CA20-'DJB Daily Readings'!CA19)*1.89</f>
        <v>43.47</v>
      </c>
      <c r="AF12" s="80">
        <f>('DJB Daily Readings'!CC20-'DJB Daily Readings'!CC19)*1.89</f>
        <v>9.4499999999999993</v>
      </c>
      <c r="AG12" s="80">
        <f>('DJB Daily Readings'!CE20-'DJB Daily Readings'!CE19)*1.89</f>
        <v>17.009999999999998</v>
      </c>
      <c r="AH12" s="80">
        <f>('DJB Daily Readings'!CG20-'DJB Daily Readings'!CG19)*1.89</f>
        <v>32.129999999999995</v>
      </c>
      <c r="AI12" s="80">
        <f>('DJB Daily Readings'!CI20-'DJB Daily Readings'!CI19)*1.89</f>
        <v>73.709999999999994</v>
      </c>
      <c r="AJ12" s="77">
        <f>'DJB Daily Readings'!CY20-'DJB Daily Readings'!CY19</f>
        <v>5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3</v>
      </c>
      <c r="AO12" s="78">
        <f>'DJB Daily Readings'!DE20-'DJB Daily Readings'!DE19</f>
        <v>8</v>
      </c>
      <c r="AP12" s="78">
        <f>'DJB Daily Readings'!DK20-'DJB Daily Readings'!DK19</f>
        <v>11</v>
      </c>
      <c r="AQ12" s="78">
        <f>'DJB Daily Readings'!DI20-'DJB Daily Readings'!DI19</f>
        <v>11</v>
      </c>
      <c r="AR12" s="78">
        <f>'DJB Daily Readings'!DO20-'DJB Daily Readings'!DO19</f>
        <v>9</v>
      </c>
      <c r="AS12" s="78">
        <f>'DJB Daily Readings'!DM20-'DJB Daily Readings'!DM19</f>
        <v>4</v>
      </c>
      <c r="AT12" s="78">
        <f>'DJB Daily Readings'!DQ20-'DJB Daily Readings'!DQ19</f>
        <v>1</v>
      </c>
      <c r="AU12" s="78">
        <f>'DJB Daily Readings'!DT20-'DJB Daily Readings'!DT19</f>
        <v>11.199999999999818</v>
      </c>
      <c r="AW12" s="78">
        <f>'DJB Daily Readings'!DX20-'DJB Daily Readings'!DX19</f>
        <v>5.9000000000005457</v>
      </c>
      <c r="AX12" s="78">
        <f>'DJB Daily Readings'!DZ20-'DJB Daily Readings'!DZ19</f>
        <v>7.6999999999998181</v>
      </c>
      <c r="AY12" s="78">
        <f>'DJB Daily Readings'!EB20-'DJB Daily Readings'!EB19</f>
        <v>580</v>
      </c>
      <c r="AZ12" s="78">
        <f>'DJB Daily Readings'!ED20-'DJB Daily Readings'!ED19</f>
        <v>152</v>
      </c>
      <c r="BA12" s="78">
        <f>'DJB Daily Readings'!EG20-'DJB Daily Readings'!EG19</f>
        <v>2500</v>
      </c>
      <c r="BB12" s="78">
        <f>'DJB Daily Readings'!EI20-'DJB Daily Readings'!EI19</f>
        <v>240</v>
      </c>
      <c r="BC12" s="78">
        <f>'DJB Daily Readings'!EQ20-'DJB Daily Readings'!EQ19</f>
        <v>1400</v>
      </c>
      <c r="BD12" s="78">
        <f>'DJB Daily Readings'!EK20-'DJB Daily Readings'!EK19</f>
        <v>800</v>
      </c>
      <c r="BE12" s="78">
        <f>'DJB Daily Readings'!EM20-'DJB Daily Readings'!EM19</f>
        <v>300</v>
      </c>
      <c r="BF12" s="78">
        <f>'DJB Daily Readings'!EO20-'DJB Daily Readings'!EO19</f>
        <v>620</v>
      </c>
      <c r="BG12" s="78">
        <f>('DJB Daily Readings'!ET20-'DJB Daily Readings'!ET19)*1.89</f>
        <v>28.349999999999998</v>
      </c>
      <c r="BH12" s="78">
        <f>('DJB Daily Readings'!EV20-'DJB Daily Readings'!EV19)*1.89</f>
        <v>18.899999999999999</v>
      </c>
      <c r="BI12" s="78">
        <f>('DJB Daily Readings'!EZ20-'DJB Daily Readings'!EZ19)*1.89</f>
        <v>30.24</v>
      </c>
      <c r="BJ12" s="78">
        <f>('DJB Daily Readings'!EX20-'DJB Daily Readings'!EX19)*1.89</f>
        <v>26.459999999999997</v>
      </c>
      <c r="BK12" s="78">
        <f>('DJB Daily Readings'!FB20-'DJB Daily Readings'!FB19)*1.89</f>
        <v>64.259999999999991</v>
      </c>
      <c r="BL12" s="78">
        <f>'DJB Daily Readings'!J20</f>
        <v>378</v>
      </c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>
        <f>237*0.91</f>
        <v>215.67000000000002</v>
      </c>
      <c r="F13" s="75">
        <f>335+56</f>
        <v>391</v>
      </c>
      <c r="G13" s="3">
        <f>'DJB Daily Readings'!C21-'DJB Daily Readings'!C20</f>
        <v>576</v>
      </c>
      <c r="H13" s="3">
        <f>'DJB Daily Readings'!F21-'DJB Daily Readings'!F20</f>
        <v>462</v>
      </c>
      <c r="I13" s="3">
        <f>'DJB Daily Readings'!L20</f>
        <v>132</v>
      </c>
      <c r="J13" s="3">
        <f>'DJB Daily Readings'!N20</f>
        <v>13</v>
      </c>
      <c r="K13" s="3">
        <f>'DJB Daily Readings'!O21-'DJB Daily Readings'!O20</f>
        <v>78</v>
      </c>
      <c r="L13" s="3">
        <f>'DJB Daily Readings'!R21-'DJB Daily Readings'!R20</f>
        <v>3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1023.1200000010431</v>
      </c>
      <c r="P13" s="3">
        <f>'DJB Daily Readings'!AD21-'DJB Daily Readings'!AD20</f>
        <v>48.720000002533197</v>
      </c>
      <c r="Q13" s="3">
        <f>'DJB Daily Readings'!AG21-'DJB Daily Readings'!AG20</f>
        <v>8331.1200000010431</v>
      </c>
      <c r="R13" s="3">
        <f>'DJB Daily Readings'!AJ21-'DJB Daily Readings'!AJ20</f>
        <v>5748.9600000008941</v>
      </c>
      <c r="S13" s="3">
        <f>'DJB Daily Readings'!AM21-'DJB Daily Readings'!AM20</f>
        <v>3848.8799999989569</v>
      </c>
      <c r="T13" s="3">
        <f>'DJB Daily Readings'!AP21-'DJB Daily Readings'!AP20</f>
        <v>4482.2400000002235</v>
      </c>
      <c r="U13" s="3">
        <f>'DJB Daily Readings'!AS21-'DJB Daily Readings'!AS20</f>
        <v>3312.9599999990314</v>
      </c>
      <c r="V13" s="3">
        <f>'DJB Daily Readings'!AV21-'DJB Daily Readings'!AV20</f>
        <v>5554.0800000019372</v>
      </c>
      <c r="W13" s="3">
        <f>'DJB Daily Readings'!AZ21-'DJB Daily Readings'!AZ20</f>
        <v>4000</v>
      </c>
      <c r="X13" s="3">
        <f>'DJB Daily Readings'!BC21-'DJB Daily Readings'!BC20</f>
        <v>0</v>
      </c>
      <c r="Y13" s="3">
        <f>'DJB Daily Readings'!BF21-'DJB Daily Readings'!BF20</f>
        <v>36600</v>
      </c>
      <c r="Z13" s="3">
        <f>('DJB Daily Readings'!CK21-'DJB Daily Readings'!CK20)*1.89</f>
        <v>149.31</v>
      </c>
      <c r="AA13" s="3">
        <f>('DJB Daily Readings'!CN21-'DJB Daily Readings'!CN20)*1.89</f>
        <v>230.57999999999998</v>
      </c>
      <c r="AB13" s="3">
        <f>('DJB Daily Readings'!CQ21-'DJB Daily Readings'!CQ20)*1.89</f>
        <v>542.42999999999995</v>
      </c>
      <c r="AC13" s="3">
        <f>'DJB Daily Readings'!CT21-'DJB Daily Readings'!CT20</f>
        <v>189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15.12</v>
      </c>
      <c r="AG13" s="80">
        <f>('DJB Daily Readings'!CE21-'DJB Daily Readings'!CE20)*1.89</f>
        <v>18.899999999999999</v>
      </c>
      <c r="AH13" s="80">
        <f>('DJB Daily Readings'!CG21-'DJB Daily Readings'!CG20)*1.89</f>
        <v>28.349999999999998</v>
      </c>
      <c r="AI13" s="80">
        <f>('DJB Daily Readings'!CI21-'DJB Daily Readings'!CI20)*1.89</f>
        <v>66.149999999999991</v>
      </c>
      <c r="AJ13" s="77">
        <f>'DJB Daily Readings'!CY21-'DJB Daily Readings'!CY20</f>
        <v>3</v>
      </c>
      <c r="AK13" s="77">
        <f>'DJB Daily Readings'!CW21-'DJB Daily Readings'!CW20</f>
        <v>6</v>
      </c>
      <c r="AL13" s="78">
        <f>'DJB Daily Readings'!DC21-'DJB Daily Readings'!DC20</f>
        <v>15</v>
      </c>
      <c r="AM13" s="78">
        <f>'DJB Daily Readings'!DA21-'DJB Daily Readings'!DA20</f>
        <v>16</v>
      </c>
      <c r="AN13" s="78">
        <f>'DJB Daily Readings'!DG21-'DJB Daily Readings'!DG20</f>
        <v>6</v>
      </c>
      <c r="AO13" s="78">
        <f>'DJB Daily Readings'!DE21-'DJB Daily Readings'!DE20</f>
        <v>10</v>
      </c>
      <c r="AP13" s="78">
        <f>'DJB Daily Readings'!DK21-'DJB Daily Readings'!DK20</f>
        <v>8</v>
      </c>
      <c r="AQ13" s="78">
        <f>'DJB Daily Readings'!DI21-'DJB Daily Readings'!DI20</f>
        <v>12</v>
      </c>
      <c r="AR13" s="78">
        <f>'DJB Daily Readings'!DO21-'DJB Daily Readings'!DO20</f>
        <v>9</v>
      </c>
      <c r="AS13" s="78">
        <f>'DJB Daily Readings'!DM21-'DJB Daily Readings'!DM20</f>
        <v>4</v>
      </c>
      <c r="AT13" s="78">
        <f>'DJB Daily Readings'!DQ21-'DJB Daily Readings'!DQ20</f>
        <v>0</v>
      </c>
      <c r="AU13" s="78">
        <f>'DJB Daily Readings'!DT21-'DJB Daily Readings'!DT20</f>
        <v>3.8000000000001819</v>
      </c>
      <c r="AW13" s="78">
        <f>'DJB Daily Readings'!DX21-'DJB Daily Readings'!DX20</f>
        <v>5.8999999999996362</v>
      </c>
      <c r="AX13" s="78">
        <f>'DJB Daily Readings'!DZ21-'DJB Daily Readings'!DZ20</f>
        <v>6.9000000000005457</v>
      </c>
      <c r="AY13" s="78">
        <f>'DJB Daily Readings'!EB21-'DJB Daily Readings'!EB20</f>
        <v>586</v>
      </c>
      <c r="AZ13" s="78">
        <f>'DJB Daily Readings'!ED21-'DJB Daily Readings'!ED20</f>
        <v>152.29999999998836</v>
      </c>
      <c r="BA13" s="78">
        <f>'DJB Daily Readings'!EG21-'DJB Daily Readings'!EG20</f>
        <v>3000</v>
      </c>
      <c r="BB13" s="78">
        <f>'DJB Daily Readings'!EI21-'DJB Daily Readings'!EI20</f>
        <v>260</v>
      </c>
      <c r="BC13" s="78">
        <f>'DJB Daily Readings'!EQ21-'DJB Daily Readings'!EQ20</f>
        <v>1800</v>
      </c>
      <c r="BD13" s="78">
        <f>'DJB Daily Readings'!EK21-'DJB Daily Readings'!EK20</f>
        <v>900</v>
      </c>
      <c r="BE13" s="78">
        <f>'DJB Daily Readings'!EM21-'DJB Daily Readings'!EM20</f>
        <v>200</v>
      </c>
      <c r="BF13" s="78">
        <f>'DJB Daily Readings'!EO21-'DJB Daily Readings'!EO20</f>
        <v>710</v>
      </c>
      <c r="BG13" s="78">
        <f>('DJB Daily Readings'!ET21-'DJB Daily Readings'!ET20)*1.89</f>
        <v>28.349999999999998</v>
      </c>
      <c r="BH13" s="78">
        <f>('DJB Daily Readings'!EV21-'DJB Daily Readings'!EV20)*1.89</f>
        <v>22.68</v>
      </c>
      <c r="BI13" s="78">
        <f>('DJB Daily Readings'!EZ21-'DJB Daily Readings'!EZ20)*1.89</f>
        <v>24.57</v>
      </c>
      <c r="BJ13" s="78">
        <f>('DJB Daily Readings'!EX21-'DJB Daily Readings'!EX20)*1.89</f>
        <v>20.79</v>
      </c>
      <c r="BK13" s="78">
        <f>('DJB Daily Readings'!FB21-'DJB Daily Readings'!FB20)*1.89</f>
        <v>58.589999999999996</v>
      </c>
      <c r="BL13" s="78">
        <f>'DJB Daily Readings'!J21</f>
        <v>269</v>
      </c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>
        <f>237*0.89</f>
        <v>210.93</v>
      </c>
      <c r="F14" s="75">
        <f>322+55</f>
        <v>377</v>
      </c>
      <c r="G14" s="3">
        <f>'DJB Daily Readings'!C22-'DJB Daily Readings'!C21</f>
        <v>529</v>
      </c>
      <c r="H14" s="3">
        <f>'DJB Daily Readings'!F22-'DJB Daily Readings'!F21</f>
        <v>406</v>
      </c>
      <c r="I14" s="3">
        <f>'DJB Daily Readings'!L21</f>
        <v>127</v>
      </c>
      <c r="J14" s="3">
        <f>'DJB Daily Readings'!N21</f>
        <v>0</v>
      </c>
      <c r="K14" s="3">
        <f>'DJB Daily Readings'!O22-'DJB Daily Readings'!O21</f>
        <v>83</v>
      </c>
      <c r="L14" s="3">
        <f>'DJB Daily Readings'!R22-'DJB Daily Readings'!R21</f>
        <v>10</v>
      </c>
      <c r="M14" s="3">
        <f>'DJB Daily Readings'!U22-'DJB Daily Readings'!U21</f>
        <v>1997.5200000004843</v>
      </c>
      <c r="N14" s="3">
        <f>'DJB Daily Readings'!X22-'DJB Daily Readings'!X21</f>
        <v>4677.1199999991804</v>
      </c>
      <c r="O14" s="3">
        <f>'DJB Daily Readings'!AA22-'DJB Daily Readings'!AA21</f>
        <v>7161.839999999851</v>
      </c>
      <c r="P14" s="3">
        <f>'DJB Daily Readings'!AD22-'DJB Daily Readings'!AD21</f>
        <v>925.67999999970198</v>
      </c>
      <c r="Q14" s="3">
        <f>'DJB Daily Readings'!AG22-'DJB Daily Readings'!AG21</f>
        <v>1266.7200000025332</v>
      </c>
      <c r="R14" s="3">
        <f>'DJB Daily Readings'!AJ22-'DJB Daily Readings'!AJ21</f>
        <v>5797.679999999702</v>
      </c>
      <c r="S14" s="3">
        <f>'DJB Daily Readings'!AM22-'DJB Daily Readings'!AM21</f>
        <v>3556.5600000005215</v>
      </c>
      <c r="T14" s="3">
        <f>'DJB Daily Readings'!AP22-'DJB Daily Readings'!AP21</f>
        <v>4384.8000000007451</v>
      </c>
      <c r="U14" s="3">
        <f>'DJB Daily Readings'!AS22-'DJB Daily Readings'!AS21</f>
        <v>2923.2000000011176</v>
      </c>
      <c r="V14" s="3">
        <f>'DJB Daily Readings'!AV22-'DJB Daily Readings'!AV21</f>
        <v>5213.0399999991059</v>
      </c>
      <c r="W14" s="3">
        <f>'DJB Daily Readings'!AZ22-'DJB Daily Readings'!AZ21</f>
        <v>39000</v>
      </c>
      <c r="X14" s="3">
        <f>'DJB Daily Readings'!BC22-'DJB Daily Readings'!BC21</f>
        <v>4100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213.57</v>
      </c>
      <c r="AB14" s="3">
        <f>('DJB Daily Readings'!CQ22-'DJB Daily Readings'!CQ21)*1.89</f>
        <v>442.26</v>
      </c>
      <c r="AC14" s="3">
        <f>'DJB Daily Readings'!CT22-'DJB Daily Readings'!CT21</f>
        <v>183</v>
      </c>
      <c r="AD14" s="80">
        <f>('DJB Daily Readings'!BY22-'DJB Daily Readings'!BY21)*1.89</f>
        <v>30.24</v>
      </c>
      <c r="AE14" s="80">
        <f>('DJB Daily Readings'!CA22-'DJB Daily Readings'!CA21)*1.89</f>
        <v>37.799999999999997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66.149999999999991</v>
      </c>
      <c r="AJ14" s="77">
        <f>'DJB Daily Readings'!CY22-'DJB Daily Readings'!CY21</f>
        <v>2</v>
      </c>
      <c r="AK14" s="77">
        <f>'DJB Daily Readings'!CW22-'DJB Daily Readings'!CW21</f>
        <v>4</v>
      </c>
      <c r="AL14" s="78">
        <f>'DJB Daily Readings'!DC22-'DJB Daily Readings'!DC21</f>
        <v>14</v>
      </c>
      <c r="AM14" s="78">
        <f>'DJB Daily Readings'!DA22-'DJB Daily Readings'!DA21</f>
        <v>13</v>
      </c>
      <c r="AN14" s="78">
        <f>'DJB Daily Readings'!DG22-'DJB Daily Readings'!DG21</f>
        <v>5</v>
      </c>
      <c r="AO14" s="78">
        <f>'DJB Daily Readings'!DE22-'DJB Daily Readings'!DE21</f>
        <v>9</v>
      </c>
      <c r="AP14" s="78">
        <f>'DJB Daily Readings'!DK22-'DJB Daily Readings'!DK21</f>
        <v>6</v>
      </c>
      <c r="AQ14" s="78">
        <f>'DJB Daily Readings'!DI22-'DJB Daily Readings'!DI21</f>
        <v>9</v>
      </c>
      <c r="AR14" s="78">
        <f>'DJB Daily Readings'!DO22-'DJB Daily Readings'!DO21</f>
        <v>7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'DJB Daily Readings'!DT22-'DJB Daily Readings'!DT21</f>
        <v>17.5</v>
      </c>
      <c r="AW14" s="78">
        <f>'DJB Daily Readings'!DX22-'DJB Daily Readings'!DX21</f>
        <v>6</v>
      </c>
      <c r="AX14" s="78">
        <f>'DJB Daily Readings'!DZ22-'DJB Daily Readings'!DZ21</f>
        <v>5.6999999999998181</v>
      </c>
      <c r="AY14" s="78">
        <f>'DJB Daily Readings'!EB22-'DJB Daily Readings'!EB21</f>
        <v>565</v>
      </c>
      <c r="AZ14" s="78">
        <f>'DJB Daily Readings'!ED22-'DJB Daily Readings'!ED21</f>
        <v>152.10000000000582</v>
      </c>
      <c r="BA14" s="78">
        <f>'DJB Daily Readings'!EG22-'DJB Daily Readings'!EG21</f>
        <v>2600</v>
      </c>
      <c r="BB14" s="78">
        <f>'DJB Daily Readings'!EI22-'DJB Daily Readings'!EI21</f>
        <v>220</v>
      </c>
      <c r="BC14" s="78">
        <f>'DJB Daily Readings'!EQ22-'DJB Daily Readings'!EQ21</f>
        <v>1600</v>
      </c>
      <c r="BD14" s="78">
        <f>'DJB Daily Readings'!EK22-'DJB Daily Readings'!EK21</f>
        <v>900</v>
      </c>
      <c r="BE14" s="78">
        <f>'DJB Daily Readings'!EM22-'DJB Daily Readings'!EM21</f>
        <v>400</v>
      </c>
      <c r="BF14" s="78">
        <f>'DJB Daily Readings'!EO22-'DJB Daily Readings'!EO21</f>
        <v>660</v>
      </c>
      <c r="BG14" s="78">
        <f>('DJB Daily Readings'!ET22-'DJB Daily Readings'!ET21)*1.89</f>
        <v>28.349999999999998</v>
      </c>
      <c r="BH14" s="78">
        <f>('DJB Daily Readings'!EV22-'DJB Daily Readings'!EV21)*1.89</f>
        <v>22.68</v>
      </c>
      <c r="BI14" s="78">
        <f>('DJB Daily Readings'!EZ22-'DJB Daily Readings'!EZ21)*1.89</f>
        <v>22.68</v>
      </c>
      <c r="BJ14" s="78">
        <f>('DJB Daily Readings'!EX22-'DJB Daily Readings'!EX21)*1.89</f>
        <v>17.009999999999998</v>
      </c>
      <c r="BK14" s="78">
        <f>('DJB Daily Readings'!FB22-'DJB Daily Readings'!FB21)*1.89</f>
        <v>62.37</v>
      </c>
      <c r="BL14" s="78">
        <f>'DJB Daily Readings'!J22</f>
        <v>253</v>
      </c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>
        <f>237*0.88</f>
        <v>208.56</v>
      </c>
      <c r="F15" s="75">
        <f>330+54</f>
        <v>384</v>
      </c>
      <c r="G15" s="3">
        <f>'DJB Daily Readings'!C23-'DJB Daily Readings'!C22</f>
        <v>614</v>
      </c>
      <c r="H15" s="3">
        <f>'DJB Daily Readings'!F23-'DJB Daily Readings'!F22</f>
        <v>460</v>
      </c>
      <c r="I15" s="3">
        <f>'DJB Daily Readings'!L22</f>
        <v>266</v>
      </c>
      <c r="J15" s="3">
        <f>'DJB Daily Readings'!N22</f>
        <v>0</v>
      </c>
      <c r="K15" s="3">
        <f>'DJB Daily Readings'!O23-'DJB Daily Readings'!O22</f>
        <v>93</v>
      </c>
      <c r="L15" s="3">
        <f>'DJB Daily Readings'!R23-'DJB Daily Readings'!R22</f>
        <v>12</v>
      </c>
      <c r="M15" s="3">
        <f>'DJB Daily Readings'!U23-'DJB Daily Readings'!U22</f>
        <v>2143.6799999987707</v>
      </c>
      <c r="N15" s="3">
        <f>'DJB Daily Readings'!X23-'DJB Daily Readings'!X22</f>
        <v>4677.1200000010431</v>
      </c>
      <c r="O15" s="3">
        <f>'DJB Daily Readings'!AA23-'DJB Daily Readings'!AA22</f>
        <v>146.16000000014901</v>
      </c>
      <c r="P15" s="3">
        <f>'DJB Daily Readings'!AD23-'DJB Daily Readings'!AD22</f>
        <v>7502.8799999989569</v>
      </c>
      <c r="Q15" s="3">
        <f>'DJB Daily Readings'!AG23-'DJB Daily Readings'!AG22</f>
        <v>2192.3999999985099</v>
      </c>
      <c r="R15" s="3">
        <f>'DJB Daily Readings'!AJ23-'DJB Daily Readings'!AJ22</f>
        <v>5895.1200000010431</v>
      </c>
      <c r="S15" s="3">
        <f>'DJB Daily Readings'!AM23-'DJB Daily Readings'!AM22</f>
        <v>3897.5999999996275</v>
      </c>
      <c r="T15" s="3">
        <f>'DJB Daily Readings'!AP23-'DJB Daily Readings'!AP22</f>
        <v>4677.1199999991804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40700</v>
      </c>
      <c r="Y15" s="3">
        <f>'DJB Daily Readings'!BF23-'DJB Daily Readings'!BF22</f>
        <v>4800</v>
      </c>
      <c r="Z15" s="3">
        <f>('DJB Daily Readings'!CK23-'DJB Daily Readings'!CK22)*1.89</f>
        <v>166.32</v>
      </c>
      <c r="AA15" s="3">
        <f>('DJB Daily Readings'!CN23-'DJB Daily Readings'!CN22)*1.89</f>
        <v>226.79999999999998</v>
      </c>
      <c r="AB15" s="3">
        <f>('DJB Daily Readings'!CQ23-'DJB Daily Readings'!CQ22)*1.89</f>
        <v>449.82</v>
      </c>
      <c r="AC15" s="3">
        <f>'DJB Daily Readings'!CT23-'DJB Daily Readings'!CT22</f>
        <v>187</v>
      </c>
      <c r="AD15" s="80">
        <f>('DJB Daily Readings'!BY23-'DJB Daily Readings'!BY22)*1.89</f>
        <v>35.909999999999997</v>
      </c>
      <c r="AE15" s="80">
        <f>('DJB Daily Readings'!CA23-'DJB Daily Readings'!CA22)*1.89</f>
        <v>35.909999999999997</v>
      </c>
      <c r="AF15" s="80">
        <f>('DJB Daily Readings'!CC23-'DJB Daily Readings'!CC22)*1.89</f>
        <v>13.229999999999999</v>
      </c>
      <c r="AG15" s="80">
        <f>('DJB Daily Readings'!CE23-'DJB Daily Readings'!CE22)*1.89</f>
        <v>18.899999999999999</v>
      </c>
      <c r="AH15" s="80">
        <f>('DJB Daily Readings'!CG23-'DJB Daily Readings'!CG22)*1.89</f>
        <v>32.129999999999995</v>
      </c>
      <c r="AI15" s="80">
        <f>('DJB Daily Readings'!CI23-'DJB Daily Readings'!CI22)*1.89</f>
        <v>69.929999999999993</v>
      </c>
      <c r="AJ15" s="77">
        <f>'DJB Daily Readings'!CY23-'DJB Daily Readings'!CY22</f>
        <v>4</v>
      </c>
      <c r="AK15" s="77">
        <f>'DJB Daily Readings'!CW23-'DJB Daily Readings'!CW22</f>
        <v>9</v>
      </c>
      <c r="AL15" s="78">
        <f>'DJB Daily Readings'!DC23-'DJB Daily Readings'!DC22</f>
        <v>16</v>
      </c>
      <c r="AM15" s="78">
        <f>'DJB Daily Readings'!DA23-'DJB Daily Readings'!DA22</f>
        <v>15</v>
      </c>
      <c r="AN15" s="78">
        <f>'DJB Daily Readings'!DG23-'DJB Daily Readings'!DG22</f>
        <v>5</v>
      </c>
      <c r="AO15" s="78">
        <f>'DJB Daily Readings'!DE23-'DJB Daily Readings'!DE22</f>
        <v>9</v>
      </c>
      <c r="AP15" s="78">
        <f>'DJB Daily Readings'!DK23-'DJB Daily Readings'!DK22</f>
        <v>8</v>
      </c>
      <c r="AQ15" s="78">
        <f>'DJB Daily Readings'!DI23-'DJB Daily Readings'!DI22</f>
        <v>11</v>
      </c>
      <c r="AR15" s="78">
        <f>'DJB Daily Readings'!DO23-'DJB Daily Readings'!DO22</f>
        <v>9</v>
      </c>
      <c r="AS15" s="78">
        <f>'DJB Daily Readings'!DM23-'DJB Daily Readings'!DM22</f>
        <v>5</v>
      </c>
      <c r="AT15" s="78">
        <f>'DJB Daily Readings'!DQ23-'DJB Daily Readings'!DQ22</f>
        <v>6</v>
      </c>
      <c r="AU15" s="78">
        <f>'DJB Daily Readings'!DT23-'DJB Daily Readings'!DT22</f>
        <v>10.800000000000182</v>
      </c>
      <c r="AW15" s="78">
        <f>'DJB Daily Readings'!DX23-'DJB Daily Readings'!DX22</f>
        <v>6</v>
      </c>
      <c r="AX15" s="78">
        <f>'DJB Daily Readings'!DZ23-'DJB Daily Readings'!DZ22</f>
        <v>6.3999999999996362</v>
      </c>
      <c r="AY15" s="78">
        <f>'DJB Daily Readings'!EB23-'DJB Daily Readings'!EB22</f>
        <v>600</v>
      </c>
      <c r="AZ15" s="78">
        <f>'DJB Daily Readings'!ED23-'DJB Daily Readings'!ED22</f>
        <v>154.29999999998836</v>
      </c>
      <c r="BA15" s="78">
        <f>'DJB Daily Readings'!EG23-'DJB Daily Readings'!EG22</f>
        <v>3100</v>
      </c>
      <c r="BB15" s="78">
        <f>'DJB Daily Readings'!EI23-'DJB Daily Readings'!EI22</f>
        <v>250</v>
      </c>
      <c r="BC15" s="78">
        <f>'DJB Daily Readings'!EQ23-'DJB Daily Readings'!EQ22</f>
        <v>2700</v>
      </c>
      <c r="BD15" s="78">
        <f>'DJB Daily Readings'!EK23-'DJB Daily Readings'!EK22</f>
        <v>900</v>
      </c>
      <c r="BE15" s="78">
        <f>'DJB Daily Readings'!EM23-'DJB Daily Readings'!EM22</f>
        <v>400</v>
      </c>
      <c r="BF15" s="78">
        <f>'DJB Daily Readings'!EO23-'DJB Daily Readings'!EO22</f>
        <v>660</v>
      </c>
      <c r="BG15" s="78">
        <f>('DJB Daily Readings'!ET23-'DJB Daily Readings'!ET22)*1.89</f>
        <v>28.349999999999998</v>
      </c>
      <c r="BH15" s="78">
        <f>('DJB Daily Readings'!EV23-'DJB Daily Readings'!EV22)*1.89</f>
        <v>24.57</v>
      </c>
      <c r="BI15" s="78">
        <f>('DJB Daily Readings'!EZ23-'DJB Daily Readings'!EZ22)*1.89</f>
        <v>28.349999999999998</v>
      </c>
      <c r="BJ15" s="78">
        <f>('DJB Daily Readings'!EX23-'DJB Daily Readings'!EX22)*1.89</f>
        <v>18.899999999999999</v>
      </c>
      <c r="BK15" s="78">
        <f>('DJB Daily Readings'!FB23-'DJB Daily Readings'!FB22)*1.89</f>
        <v>62.37</v>
      </c>
      <c r="BL15" s="78">
        <f>'DJB Daily Readings'!J23</f>
        <v>285</v>
      </c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>
        <f>237*0.81</f>
        <v>191.97</v>
      </c>
      <c r="F16" s="75">
        <f>275+58</f>
        <v>333</v>
      </c>
      <c r="G16" s="3">
        <f>'DJB Daily Readings'!C24-'DJB Daily Readings'!C23</f>
        <v>590</v>
      </c>
      <c r="H16" s="3">
        <f>'DJB Daily Readings'!F24-'DJB Daily Readings'!F23</f>
        <v>450</v>
      </c>
      <c r="I16" s="3">
        <f>'DJB Daily Readings'!L23</f>
        <v>271</v>
      </c>
      <c r="J16" s="3">
        <f>'DJB Daily Readings'!N23</f>
        <v>0</v>
      </c>
      <c r="K16" s="3">
        <f>'DJB Daily Readings'!O24-'DJB Daily Readings'!O23</f>
        <v>96</v>
      </c>
      <c r="L16" s="3">
        <f>'DJB Daily Readings'!R24-'DJB Daily Readings'!R23</f>
        <v>7</v>
      </c>
      <c r="M16" s="3">
        <f>'DJB Daily Readings'!U24-'DJB Daily Readings'!U23</f>
        <v>2679.6000000005588</v>
      </c>
      <c r="N16" s="3">
        <f>'DJB Daily Readings'!X24-'DJB Daily Readings'!X23</f>
        <v>4725.8399999979883</v>
      </c>
      <c r="O16" s="3">
        <f>'DJB Daily Readings'!AA24-'DJB Daily Readings'!AA23</f>
        <v>1412.8799999989569</v>
      </c>
      <c r="P16" s="3">
        <f>'DJB Daily Readings'!AD24-'DJB Daily Readings'!AD23</f>
        <v>48.719999998807907</v>
      </c>
      <c r="Q16" s="3">
        <f>'DJB Daily Readings'!AG24-'DJB Daily Readings'!AG23</f>
        <v>8331.1200000010431</v>
      </c>
      <c r="R16" s="3">
        <f>'DJB Daily Readings'!AJ24-'DJB Daily Readings'!AJ23</f>
        <v>5895.1199999973178</v>
      </c>
      <c r="S16" s="3">
        <f>'DJB Daily Readings'!AM24-'DJB Daily Readings'!AM23</f>
        <v>4336.0800000000745</v>
      </c>
      <c r="T16" s="3">
        <f>'DJB Daily Readings'!AP24-'DJB Daily Readings'!AP23</f>
        <v>4628.4000000003725</v>
      </c>
      <c r="U16" s="3">
        <f>'DJB Daily Readings'!AS24-'DJB Daily Readings'!AS23</f>
        <v>2971.9199999999255</v>
      </c>
      <c r="V16" s="3">
        <f>'DJB Daily Readings'!AV24-'DJB Daily Readings'!AV23</f>
        <v>5700.2400000020862</v>
      </c>
      <c r="W16" s="3">
        <f>'DJB Daily Readings'!AZ24-'DJB Daily Readings'!AZ23</f>
        <v>4600</v>
      </c>
      <c r="X16" s="3">
        <f>'DJB Daily Readings'!BC24-'DJB Daily Readings'!BC23</f>
        <v>0</v>
      </c>
      <c r="Y16" s="3">
        <f>'DJB Daily Readings'!BF24-'DJB Daily Readings'!BF23</f>
        <v>42100</v>
      </c>
      <c r="Z16" s="3">
        <f>('DJB Daily Readings'!CK24-'DJB Daily Readings'!CK23)*1.89</f>
        <v>153.09</v>
      </c>
      <c r="AA16" s="3">
        <f>('DJB Daily Readings'!CN24-'DJB Daily Readings'!CN23)*1.89</f>
        <v>211.67999999999998</v>
      </c>
      <c r="AB16" s="3">
        <f>('DJB Daily Readings'!CQ24-'DJB Daily Readings'!CQ23)*1.89</f>
        <v>498.96</v>
      </c>
      <c r="AC16" s="3">
        <f>'DJB Daily Readings'!CT24-'DJB Daily Readings'!CT23</f>
        <v>187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11.34</v>
      </c>
      <c r="AG16" s="80">
        <f>('DJB Daily Readings'!CE24-'DJB Daily Readings'!CE23)*1.89</f>
        <v>18.899999999999999</v>
      </c>
      <c r="AH16" s="80">
        <f>('DJB Daily Readings'!CG24-'DJB Daily Readings'!CG23)*1.89</f>
        <v>26.459999999999997</v>
      </c>
      <c r="AI16" s="80">
        <f>('DJB Daily Readings'!CI24-'DJB Daily Readings'!CI23)*1.89</f>
        <v>69.929999999999993</v>
      </c>
      <c r="AJ16" s="77">
        <f>'DJB Daily Readings'!CY24-'DJB Daily Readings'!CY23</f>
        <v>10</v>
      </c>
      <c r="AK16" s="77">
        <f>'DJB Daily Readings'!CW24-'DJB Daily Readings'!CW23</f>
        <v>10</v>
      </c>
      <c r="AL16" s="78">
        <f>'DJB Daily Readings'!DC24-'DJB Daily Readings'!DC23</f>
        <v>13</v>
      </c>
      <c r="AM16" s="78">
        <f>'DJB Daily Readings'!DA24-'DJB Daily Readings'!DA23</f>
        <v>15</v>
      </c>
      <c r="AN16" s="78">
        <f>'DJB Daily Readings'!DG24-'DJB Daily Readings'!DG23</f>
        <v>4</v>
      </c>
      <c r="AO16" s="78">
        <f>'DJB Daily Readings'!DE24-'DJB Daily Readings'!DE23</f>
        <v>9</v>
      </c>
      <c r="AP16" s="78">
        <f>'DJB Daily Readings'!DK24-'DJB Daily Readings'!DK23</f>
        <v>7</v>
      </c>
      <c r="AQ16" s="78">
        <f>'DJB Daily Readings'!DI24-'DJB Daily Readings'!DI23</f>
        <v>11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0</v>
      </c>
      <c r="AU16" s="78">
        <f>'DJB Daily Readings'!DT24-'DJB Daily Readings'!DT23</f>
        <v>11</v>
      </c>
      <c r="AW16" s="78">
        <f>'DJB Daily Readings'!DX24-'DJB Daily Readings'!DX23</f>
        <v>6.1999999999998181</v>
      </c>
      <c r="AX16" s="78">
        <f>'DJB Daily Readings'!DZ24-'DJB Daily Readings'!DZ23</f>
        <v>6.5</v>
      </c>
      <c r="AY16" s="78">
        <f>'DJB Daily Readings'!EB24-'DJB Daily Readings'!EB23</f>
        <v>591</v>
      </c>
      <c r="AZ16" s="78">
        <f>'DJB Daily Readings'!ED24-'DJB Daily Readings'!ED23</f>
        <v>156.5</v>
      </c>
      <c r="BA16" s="78">
        <f>'DJB Daily Readings'!EG24-'DJB Daily Readings'!EG23</f>
        <v>3100</v>
      </c>
      <c r="BB16" s="78">
        <f>'DJB Daily Readings'!EI24-'DJB Daily Readings'!EI23</f>
        <v>250</v>
      </c>
      <c r="BC16" s="78">
        <f>'DJB Daily Readings'!EQ24-'DJB Daily Readings'!EQ23</f>
        <v>4200</v>
      </c>
      <c r="BD16" s="78">
        <f>'DJB Daily Readings'!EK24-'DJB Daily Readings'!EK23</f>
        <v>1100</v>
      </c>
      <c r="BE16" s="78">
        <f>'DJB Daily Readings'!EM24-'DJB Daily Readings'!EM23</f>
        <v>400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24.57</v>
      </c>
      <c r="BI16" s="78">
        <f>('DJB Daily Readings'!EZ24-'DJB Daily Readings'!EZ23)*1.89</f>
        <v>30.24</v>
      </c>
      <c r="BJ16" s="78">
        <f>('DJB Daily Readings'!EX24-'DJB Daily Readings'!EX23)*1.89</f>
        <v>15.12</v>
      </c>
      <c r="BK16" s="78">
        <f>('DJB Daily Readings'!FB24-'DJB Daily Readings'!FB23)*1.89</f>
        <v>62.37</v>
      </c>
      <c r="BL16" s="78">
        <f>'DJB Daily Readings'!J24</f>
        <v>252</v>
      </c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>
        <f>237*0.79</f>
        <v>187.23000000000002</v>
      </c>
      <c r="F17" s="75">
        <f>276+63</f>
        <v>339</v>
      </c>
      <c r="G17" s="3">
        <f>'DJB Daily Readings'!C25-'DJB Daily Readings'!C24</f>
        <v>571</v>
      </c>
      <c r="H17" s="3">
        <f>'DJB Daily Readings'!F25-'DJB Daily Readings'!F24</f>
        <v>428</v>
      </c>
      <c r="I17" s="3">
        <f>'DJB Daily Readings'!L24</f>
        <v>273</v>
      </c>
      <c r="J17" s="3">
        <f>'DJB Daily Readings'!N24</f>
        <v>0</v>
      </c>
      <c r="K17" s="3">
        <f>'DJB Daily Readings'!O25-'DJB Daily Readings'!O24</f>
        <v>88</v>
      </c>
      <c r="L17" s="3">
        <f>'DJB Daily Readings'!R25-'DJB Daily Readings'!R24</f>
        <v>4</v>
      </c>
      <c r="M17" s="3">
        <f>'DJB Daily Readings'!U25-'DJB Daily Readings'!U24</f>
        <v>2387.2800000002608</v>
      </c>
      <c r="N17" s="3">
        <f>'DJB Daily Readings'!X25-'DJB Daily Readings'!X24</f>
        <v>4482.2400000002235</v>
      </c>
      <c r="O17" s="3">
        <f>'DJB Daily Readings'!AA25-'DJB Daily Readings'!AA24</f>
        <v>7356.7200000006706</v>
      </c>
      <c r="P17" s="3">
        <f>'DJB Daily Readings'!AD25-'DJB Daily Readings'!AD24</f>
        <v>1218</v>
      </c>
      <c r="Q17" s="3">
        <f>'DJB Daily Readings'!AG25-'DJB Daily Readings'!AG24</f>
        <v>633.35999999567866</v>
      </c>
      <c r="R17" s="3">
        <f>'DJB Daily Readings'!AJ25-'DJB Daily Readings'!AJ24</f>
        <v>5359.2000000029802</v>
      </c>
      <c r="S17" s="3">
        <f>'DJB Daily Readings'!AM25-'DJB Daily Readings'!AM24</f>
        <v>3897.5999999996275</v>
      </c>
      <c r="T17" s="3">
        <f>'DJB Daily Readings'!AP25-'DJB Daily Readings'!AP24</f>
        <v>4433.519999999553</v>
      </c>
      <c r="U17" s="3">
        <f>'DJB Daily Readings'!AS25-'DJB Daily Readings'!AS24</f>
        <v>2825.7599999997765</v>
      </c>
      <c r="V17" s="3">
        <f>'DJB Daily Readings'!AV25-'DJB Daily Readings'!AV24</f>
        <v>5554.0799999982119</v>
      </c>
      <c r="W17" s="3">
        <f>'DJB Daily Readings'!AZ25-'DJB Daily Readings'!AZ24</f>
        <v>42600</v>
      </c>
      <c r="X17" s="3">
        <f>'DJB Daily Readings'!BC25-'DJB Daily Readings'!BC24</f>
        <v>4800</v>
      </c>
      <c r="Y17" s="3">
        <f>'DJB Daily Readings'!BF25-'DJB Daily Readings'!BF24</f>
        <v>0</v>
      </c>
      <c r="Z17" s="3">
        <f>('DJB Daily Readings'!CK25-'DJB Daily Readings'!CK24)*1.89</f>
        <v>149.31</v>
      </c>
      <c r="AA17" s="3">
        <f>('DJB Daily Readings'!CN25-'DJB Daily Readings'!CN24)*1.89</f>
        <v>202.23</v>
      </c>
      <c r="AB17" s="3">
        <f>('DJB Daily Readings'!CQ25-'DJB Daily Readings'!CQ24)*1.89</f>
        <v>427.14</v>
      </c>
      <c r="AC17" s="3">
        <f>'DJB Daily Readings'!CT25-'DJB Daily Readings'!CT24</f>
        <v>181</v>
      </c>
      <c r="AD17" s="80">
        <f>('DJB Daily Readings'!BY25-'DJB Daily Readings'!BY24)*1.89</f>
        <v>26.459999999999997</v>
      </c>
      <c r="AE17" s="80">
        <f>('DJB Daily Readings'!CA25-'DJB Daily Readings'!CA24)*1.89</f>
        <v>39.69</v>
      </c>
      <c r="AF17" s="80">
        <f>('DJB Daily Readings'!CC25-'DJB Daily Readings'!CC24)*1.89</f>
        <v>15.12</v>
      </c>
      <c r="AG17" s="80">
        <f>('DJB Daily Readings'!CE25-'DJB Daily Readings'!CE24)*1.89</f>
        <v>17.009999999999998</v>
      </c>
      <c r="AH17" s="80">
        <f>('DJB Daily Readings'!CG25-'DJB Daily Readings'!CG24)*1.89</f>
        <v>24.57</v>
      </c>
      <c r="AI17" s="80">
        <f>('DJB Daily Readings'!CI25-'DJB Daily Readings'!CI24)*1.89</f>
        <v>68.039999999999992</v>
      </c>
      <c r="AJ17" s="77">
        <f>'DJB Daily Readings'!CY25-'DJB Daily Readings'!CY24</f>
        <v>4</v>
      </c>
      <c r="AK17" s="77">
        <f>'DJB Daily Readings'!CW25-'DJB Daily Readings'!CW24</f>
        <v>7</v>
      </c>
      <c r="AL17" s="78">
        <f>'DJB Daily Readings'!DC25-'DJB Daily Readings'!DC24</f>
        <v>15</v>
      </c>
      <c r="AM17" s="78">
        <f>'DJB Daily Readings'!DA25-'DJB Daily Readings'!DA24</f>
        <v>15</v>
      </c>
      <c r="AN17" s="78">
        <f>'DJB Daily Readings'!DG25-'DJB Daily Readings'!DG24</f>
        <v>5</v>
      </c>
      <c r="AO17" s="78">
        <f>'DJB Daily Readings'!DE25-'DJB Daily Readings'!DE24</f>
        <v>9</v>
      </c>
      <c r="AP17" s="78">
        <f>'DJB Daily Readings'!DK25-'DJB Daily Readings'!DK24</f>
        <v>4</v>
      </c>
      <c r="AQ17" s="78">
        <f>'DJB Daily Readings'!DI25-'DJB Daily Readings'!DI24</f>
        <v>10</v>
      </c>
      <c r="AR17" s="78">
        <f>'DJB Daily Readings'!DO25-'DJB Daily Readings'!DO24</f>
        <v>8</v>
      </c>
      <c r="AS17" s="78">
        <f>'DJB Daily Readings'!DM25-'DJB Daily Readings'!DM24</f>
        <v>5</v>
      </c>
      <c r="AT17" s="78">
        <f>'DJB Daily Readings'!DQ25-'DJB Daily Readings'!DQ24</f>
        <v>13</v>
      </c>
      <c r="AU17" s="78">
        <f>'DJB Daily Readings'!DT25-'DJB Daily Readings'!DT24</f>
        <v>11.199999999999818</v>
      </c>
      <c r="AW17" s="78">
        <f>'DJB Daily Readings'!DX25-'DJB Daily Readings'!DX24</f>
        <v>6</v>
      </c>
      <c r="AX17" s="78">
        <f>'DJB Daily Readings'!DZ25-'DJB Daily Readings'!DZ24</f>
        <v>6.9000000000005457</v>
      </c>
      <c r="AY17" s="78">
        <f>'DJB Daily Readings'!EB25-'DJB Daily Readings'!EB24</f>
        <v>544</v>
      </c>
      <c r="AZ17" s="78">
        <f>'DJB Daily Readings'!ED25-'DJB Daily Readings'!ED24</f>
        <v>148</v>
      </c>
      <c r="BA17" s="78">
        <f>'DJB Daily Readings'!EG25-'DJB Daily Readings'!EG24</f>
        <v>3000</v>
      </c>
      <c r="BB17" s="78">
        <f>'DJB Daily Readings'!EI25-'DJB Daily Readings'!EI24</f>
        <v>220</v>
      </c>
      <c r="BC17" s="78">
        <f>'DJB Daily Readings'!EQ25-'DJB Daily Readings'!EQ24</f>
        <v>4300</v>
      </c>
      <c r="BD17" s="78">
        <f>'DJB Daily Readings'!EK25-'DJB Daily Readings'!EK24</f>
        <v>1000</v>
      </c>
      <c r="BE17" s="78">
        <f>'DJB Daily Readings'!EM25-'DJB Daily Readings'!EM24</f>
        <v>500</v>
      </c>
      <c r="BF17" s="78">
        <f>'DJB Daily Readings'!EO25-'DJB Daily Readings'!EO24</f>
        <v>630</v>
      </c>
      <c r="BG17" s="78">
        <f>('DJB Daily Readings'!ET25-'DJB Daily Readings'!ET24)*1.89</f>
        <v>28.349999999999998</v>
      </c>
      <c r="BH17" s="78">
        <f>('DJB Daily Readings'!EV25-'DJB Daily Readings'!EV24)*1.89</f>
        <v>22.68</v>
      </c>
      <c r="BI17" s="78">
        <f>('DJB Daily Readings'!EZ25-'DJB Daily Readings'!EZ24)*1.89</f>
        <v>26.459999999999997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336</v>
      </c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/>
      <c r="F18" s="75">
        <f>308+62</f>
        <v>370</v>
      </c>
      <c r="AJ18" s="77"/>
      <c r="AK18" s="77"/>
      <c r="BL18" s="78"/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/>
      <c r="AJ19" s="77"/>
      <c r="AK19" s="77"/>
      <c r="BL19" s="78"/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/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1" sqref="L11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12" t="s">
        <v>73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2"/>
      <c r="CI1" s="412"/>
      <c r="CJ1" s="412"/>
      <c r="CK1" s="412"/>
      <c r="CL1" s="412"/>
      <c r="CM1" s="412"/>
      <c r="CN1" s="412"/>
      <c r="CO1" s="412"/>
      <c r="CP1" s="412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412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412"/>
      <c r="FA1" s="412"/>
      <c r="FB1" s="412"/>
      <c r="FC1" s="412"/>
    </row>
    <row r="2" spans="1:159" ht="16.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 s="412"/>
      <c r="AZ2" s="412"/>
      <c r="BA2" s="412"/>
      <c r="BB2" s="412"/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2"/>
      <c r="BT2" s="412"/>
      <c r="BU2" s="412"/>
      <c r="BV2" s="412"/>
      <c r="BW2" s="412"/>
      <c r="BX2" s="412"/>
      <c r="BY2" s="412"/>
      <c r="BZ2" s="412"/>
      <c r="CA2" s="412"/>
      <c r="CB2" s="412"/>
      <c r="CC2" s="412"/>
      <c r="CD2" s="412"/>
      <c r="CE2" s="412"/>
      <c r="CF2" s="412"/>
      <c r="CG2" s="412"/>
      <c r="CH2" s="412"/>
      <c r="CI2" s="412"/>
      <c r="CJ2" s="412"/>
      <c r="CK2" s="412"/>
      <c r="CL2" s="412"/>
      <c r="CM2" s="412"/>
      <c r="CN2" s="412"/>
      <c r="CO2" s="412"/>
      <c r="CP2" s="412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412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412"/>
      <c r="FA2" s="412"/>
      <c r="FB2" s="412"/>
      <c r="FC2" s="412"/>
    </row>
    <row r="3" spans="1:159" ht="45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12"/>
      <c r="BR3" s="412"/>
      <c r="BS3" s="412"/>
      <c r="BT3" s="412"/>
      <c r="BU3" s="412"/>
      <c r="BV3" s="412"/>
      <c r="BW3" s="412"/>
      <c r="BX3" s="412"/>
      <c r="BY3" s="412"/>
      <c r="BZ3" s="412"/>
      <c r="CA3" s="412"/>
      <c r="CB3" s="412"/>
      <c r="CC3" s="412"/>
      <c r="CD3" s="412"/>
      <c r="CE3" s="412"/>
      <c r="CF3" s="412"/>
      <c r="CG3" s="412"/>
      <c r="CH3" s="412"/>
      <c r="CI3" s="412"/>
      <c r="CJ3" s="412"/>
      <c r="CK3" s="412"/>
      <c r="CL3" s="412"/>
      <c r="CM3" s="412"/>
      <c r="CN3" s="412"/>
      <c r="CO3" s="412"/>
      <c r="CP3" s="412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412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412"/>
      <c r="FA3" s="412"/>
      <c r="FB3" s="412"/>
      <c r="FC3" s="412"/>
    </row>
    <row r="4" spans="1:159" ht="16.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  <c r="BH4" s="412"/>
      <c r="BI4" s="412"/>
      <c r="BJ4" s="412"/>
      <c r="BK4" s="412"/>
      <c r="BL4" s="412"/>
      <c r="BM4" s="412"/>
      <c r="BN4" s="412"/>
      <c r="BO4" s="412"/>
      <c r="BP4" s="412"/>
      <c r="BQ4" s="412"/>
      <c r="BR4" s="412"/>
      <c r="BS4" s="412"/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412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412"/>
      <c r="FA4" s="412"/>
      <c r="FB4" s="412"/>
      <c r="FC4" s="412"/>
    </row>
    <row r="5" spans="1:159" ht="10.5" customHeight="1" thickBot="1" x14ac:dyDescent="0.3">
      <c r="A5" s="413"/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2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2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2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2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13"/>
      <c r="EE5" s="413"/>
      <c r="EF5" s="412"/>
      <c r="EG5" s="413"/>
      <c r="EH5" s="413"/>
      <c r="EI5" s="413"/>
      <c r="EJ5" s="413"/>
      <c r="EK5" s="413"/>
      <c r="EL5" s="413"/>
      <c r="EM5" s="413"/>
      <c r="EN5" s="413"/>
      <c r="EO5" s="413"/>
      <c r="EP5" s="413"/>
      <c r="EQ5" s="413"/>
      <c r="ER5" s="413"/>
      <c r="ES5" s="412"/>
      <c r="ET5" s="413"/>
      <c r="EU5" s="413"/>
      <c r="EV5" s="413"/>
      <c r="EW5" s="413"/>
      <c r="EX5" s="413"/>
      <c r="EY5" s="413"/>
      <c r="EZ5" s="413"/>
      <c r="FA5" s="413"/>
      <c r="FB5" s="413"/>
      <c r="FC5" s="413"/>
    </row>
    <row r="6" spans="1:159" ht="24.75" customHeight="1" thickBot="1" x14ac:dyDescent="0.3">
      <c r="A6" s="414" t="s">
        <v>185</v>
      </c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6"/>
      <c r="T6" s="443"/>
      <c r="U6" s="417" t="s">
        <v>186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9"/>
      <c r="AY6" s="460"/>
      <c r="AZ6" s="417" t="s">
        <v>187</v>
      </c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9"/>
      <c r="BU6" s="556"/>
      <c r="BV6" s="420" t="s">
        <v>188</v>
      </c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2"/>
      <c r="CV6" s="484"/>
      <c r="CW6" s="433" t="s">
        <v>74</v>
      </c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4"/>
      <c r="DS6" s="500"/>
      <c r="DT6" s="508" t="s">
        <v>189</v>
      </c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10"/>
      <c r="EF6" s="547"/>
      <c r="EG6" s="508" t="s">
        <v>190</v>
      </c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10"/>
      <c r="ES6" s="523"/>
      <c r="ET6" s="520" t="s">
        <v>191</v>
      </c>
      <c r="EU6" s="521"/>
      <c r="EV6" s="521"/>
      <c r="EW6" s="521"/>
      <c r="EX6" s="521"/>
      <c r="EY6" s="521"/>
      <c r="EZ6" s="521"/>
      <c r="FA6" s="521"/>
      <c r="FB6" s="521"/>
      <c r="FC6" s="522"/>
    </row>
    <row r="7" spans="1:159" ht="45" customHeight="1" thickBot="1" x14ac:dyDescent="0.3">
      <c r="A7" s="423" t="s">
        <v>75</v>
      </c>
      <c r="B7" s="425" t="s">
        <v>76</v>
      </c>
      <c r="C7" s="427" t="s">
        <v>77</v>
      </c>
      <c r="D7" s="428"/>
      <c r="E7" s="429"/>
      <c r="F7" s="430" t="s">
        <v>78</v>
      </c>
      <c r="G7" s="431"/>
      <c r="H7" s="432"/>
      <c r="I7" s="435" t="s">
        <v>79</v>
      </c>
      <c r="J7" s="435"/>
      <c r="K7" s="436" t="s">
        <v>80</v>
      </c>
      <c r="L7" s="437"/>
      <c r="M7" s="438" t="s">
        <v>81</v>
      </c>
      <c r="N7" s="432"/>
      <c r="O7" s="438" t="s">
        <v>82</v>
      </c>
      <c r="P7" s="431"/>
      <c r="Q7" s="432"/>
      <c r="R7" s="436" t="s">
        <v>83</v>
      </c>
      <c r="S7" s="439"/>
      <c r="T7" s="443"/>
      <c r="U7" s="440" t="s">
        <v>84</v>
      </c>
      <c r="V7" s="441"/>
      <c r="W7" s="442"/>
      <c r="X7" s="450" t="s">
        <v>85</v>
      </c>
      <c r="Y7" s="441"/>
      <c r="Z7" s="442"/>
      <c r="AA7" s="450" t="s">
        <v>86</v>
      </c>
      <c r="AB7" s="441"/>
      <c r="AC7" s="442"/>
      <c r="AD7" s="450" t="s">
        <v>87</v>
      </c>
      <c r="AE7" s="441"/>
      <c r="AF7" s="442"/>
      <c r="AG7" s="450" t="s">
        <v>88</v>
      </c>
      <c r="AH7" s="441"/>
      <c r="AI7" s="442"/>
      <c r="AJ7" s="451" t="s">
        <v>89</v>
      </c>
      <c r="AK7" s="452"/>
      <c r="AL7" s="453"/>
      <c r="AM7" s="451" t="s">
        <v>90</v>
      </c>
      <c r="AN7" s="452"/>
      <c r="AO7" s="453"/>
      <c r="AP7" s="450" t="s">
        <v>91</v>
      </c>
      <c r="AQ7" s="441"/>
      <c r="AR7" s="442"/>
      <c r="AS7" s="451" t="s">
        <v>92</v>
      </c>
      <c r="AT7" s="452"/>
      <c r="AU7" s="453"/>
      <c r="AV7" s="454" t="s">
        <v>93</v>
      </c>
      <c r="AW7" s="455"/>
      <c r="AX7" s="456"/>
      <c r="AY7" s="460"/>
      <c r="AZ7" s="457" t="s">
        <v>94</v>
      </c>
      <c r="BA7" s="455"/>
      <c r="BB7" s="458"/>
      <c r="BC7" s="459" t="s">
        <v>95</v>
      </c>
      <c r="BD7" s="459"/>
      <c r="BE7" s="459"/>
      <c r="BF7" s="459" t="s">
        <v>96</v>
      </c>
      <c r="BG7" s="459"/>
      <c r="BH7" s="459"/>
      <c r="BI7" s="472" t="s">
        <v>97</v>
      </c>
      <c r="BJ7" s="472"/>
      <c r="BK7" s="472" t="s">
        <v>98</v>
      </c>
      <c r="BL7" s="472"/>
      <c r="BM7" s="472" t="s">
        <v>99</v>
      </c>
      <c r="BN7" s="472"/>
      <c r="BO7" s="472" t="s">
        <v>100</v>
      </c>
      <c r="BP7" s="472"/>
      <c r="BQ7" s="473" t="s">
        <v>101</v>
      </c>
      <c r="BR7" s="474"/>
      <c r="BS7" s="475" t="s">
        <v>102</v>
      </c>
      <c r="BT7" s="476"/>
      <c r="BU7" s="557"/>
      <c r="BV7" s="559" t="s">
        <v>103</v>
      </c>
      <c r="BW7" s="478"/>
      <c r="BX7" s="479"/>
      <c r="BY7" s="560" t="s">
        <v>104</v>
      </c>
      <c r="BZ7" s="560"/>
      <c r="CA7" s="470" t="s">
        <v>105</v>
      </c>
      <c r="CB7" s="471"/>
      <c r="CC7" s="470" t="s">
        <v>106</v>
      </c>
      <c r="CD7" s="471"/>
      <c r="CE7" s="470" t="s">
        <v>107</v>
      </c>
      <c r="CF7" s="471"/>
      <c r="CG7" s="470" t="s">
        <v>108</v>
      </c>
      <c r="CH7" s="471"/>
      <c r="CI7" s="470" t="s">
        <v>109</v>
      </c>
      <c r="CJ7" s="471"/>
      <c r="CK7" s="477" t="s">
        <v>110</v>
      </c>
      <c r="CL7" s="478"/>
      <c r="CM7" s="479"/>
      <c r="CN7" s="477" t="s">
        <v>111</v>
      </c>
      <c r="CO7" s="478"/>
      <c r="CP7" s="479"/>
      <c r="CQ7" s="477" t="s">
        <v>112</v>
      </c>
      <c r="CR7" s="478"/>
      <c r="CS7" s="479"/>
      <c r="CT7" s="480" t="s">
        <v>113</v>
      </c>
      <c r="CU7" s="481"/>
      <c r="CV7" s="485"/>
      <c r="CW7" s="482" t="s">
        <v>114</v>
      </c>
      <c r="CX7" s="483"/>
      <c r="CY7" s="483"/>
      <c r="CZ7" s="483"/>
      <c r="DA7" s="489" t="s">
        <v>115</v>
      </c>
      <c r="DB7" s="428"/>
      <c r="DC7" s="428"/>
      <c r="DD7" s="490"/>
      <c r="DE7" s="489" t="s">
        <v>116</v>
      </c>
      <c r="DF7" s="428"/>
      <c r="DG7" s="428"/>
      <c r="DH7" s="428"/>
      <c r="DI7" s="482" t="s">
        <v>117</v>
      </c>
      <c r="DJ7" s="489"/>
      <c r="DK7" s="489"/>
      <c r="DL7" s="491"/>
      <c r="DM7" s="427" t="s">
        <v>118</v>
      </c>
      <c r="DN7" s="428"/>
      <c r="DO7" s="428"/>
      <c r="DP7" s="429"/>
      <c r="DQ7" s="427" t="s">
        <v>119</v>
      </c>
      <c r="DR7" s="429"/>
      <c r="DS7" s="501"/>
      <c r="DT7" s="498" t="s">
        <v>120</v>
      </c>
      <c r="DU7" s="499"/>
      <c r="DV7" s="506" t="s">
        <v>121</v>
      </c>
      <c r="DW7" s="499"/>
      <c r="DX7" s="507" t="s">
        <v>122</v>
      </c>
      <c r="DY7" s="506"/>
      <c r="DZ7" s="506" t="s">
        <v>123</v>
      </c>
      <c r="EA7" s="499"/>
      <c r="EB7" s="506" t="s">
        <v>124</v>
      </c>
      <c r="EC7" s="499"/>
      <c r="ED7" s="506" t="s">
        <v>125</v>
      </c>
      <c r="EE7" s="511"/>
      <c r="EF7" s="548"/>
      <c r="EG7" s="518" t="s">
        <v>126</v>
      </c>
      <c r="EH7" s="507"/>
      <c r="EI7" s="507" t="s">
        <v>127</v>
      </c>
      <c r="EJ7" s="507"/>
      <c r="EK7" s="507" t="s">
        <v>128</v>
      </c>
      <c r="EL7" s="507"/>
      <c r="EM7" s="507" t="s">
        <v>129</v>
      </c>
      <c r="EN7" s="507"/>
      <c r="EO7" s="507" t="s">
        <v>130</v>
      </c>
      <c r="EP7" s="507"/>
      <c r="EQ7" s="507" t="s">
        <v>131</v>
      </c>
      <c r="ER7" s="519"/>
      <c r="ES7" s="523"/>
      <c r="ET7" s="482" t="s">
        <v>132</v>
      </c>
      <c r="EU7" s="483"/>
      <c r="EV7" s="483" t="s">
        <v>133</v>
      </c>
      <c r="EW7" s="483"/>
      <c r="EX7" s="483" t="s">
        <v>134</v>
      </c>
      <c r="EY7" s="483"/>
      <c r="EZ7" s="483" t="s">
        <v>135</v>
      </c>
      <c r="FA7" s="483"/>
      <c r="FB7" s="483" t="s">
        <v>136</v>
      </c>
      <c r="FC7" s="491"/>
    </row>
    <row r="8" spans="1:159" s="4" customFormat="1" ht="44.25" customHeight="1" thickBot="1" x14ac:dyDescent="0.3">
      <c r="A8" s="424"/>
      <c r="B8" s="426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43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460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557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85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501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548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460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534">
        <f>C10-C9</f>
        <v>498</v>
      </c>
      <c r="E9" s="448">
        <f>'[1]February - 2023'!G8</f>
        <v>500</v>
      </c>
      <c r="F9" s="150">
        <f>'[1]February - 2023'!H8</f>
        <v>265351</v>
      </c>
      <c r="G9" s="446">
        <f>F10-F9</f>
        <v>390</v>
      </c>
      <c r="H9" s="448">
        <f>'[1]February - 2023'!J8</f>
        <v>114355</v>
      </c>
      <c r="I9" s="239">
        <f>'[1]February - 2023'!K8</f>
        <v>15530</v>
      </c>
      <c r="J9" s="446">
        <f>I10-I9</f>
        <v>232</v>
      </c>
      <c r="K9" s="239">
        <f>'[1]February - 2023'!N8</f>
        <v>929662</v>
      </c>
      <c r="L9" s="445">
        <f>K10-K9</f>
        <v>249</v>
      </c>
      <c r="M9" s="239">
        <f>'[1]February - 2023'!Q8</f>
        <v>245870</v>
      </c>
      <c r="N9" s="445">
        <f>M10-M9</f>
        <v>0</v>
      </c>
      <c r="O9" s="239">
        <f>'[1]February - 2023'!U8</f>
        <v>120277</v>
      </c>
      <c r="P9" s="446">
        <f>O10-O9</f>
        <v>67</v>
      </c>
      <c r="Q9" s="448">
        <f>'[1]February - 2023'!W9</f>
        <v>0</v>
      </c>
      <c r="R9" s="239">
        <f>'[1]February - 2023'!X8</f>
        <v>6721</v>
      </c>
      <c r="S9" s="536">
        <f>R10-R9</f>
        <v>11</v>
      </c>
      <c r="T9" s="444"/>
      <c r="U9" s="244">
        <f>'[1]February - 2023'!AE8</f>
        <v>8278599.8399999999</v>
      </c>
      <c r="V9" s="538">
        <f>U10-U9</f>
        <v>1997.519999999553</v>
      </c>
      <c r="W9" s="464">
        <f>'[1]February - 2023'!AG8</f>
        <v>2971.9199999989942</v>
      </c>
      <c r="X9" s="232">
        <f>'[1]February - 2023'!AH8</f>
        <v>15718143.84</v>
      </c>
      <c r="Y9" s="446">
        <f>X10-X9</f>
        <v>4579.679999999702</v>
      </c>
      <c r="Z9" s="464">
        <f>'[1]February - 2023'!AJ8</f>
        <v>4482.2400000002235</v>
      </c>
      <c r="AA9" s="232">
        <f>'[1]February - 2023'!AK8</f>
        <v>15913657.199999999</v>
      </c>
      <c r="AB9" s="446">
        <f>AA10-AA9</f>
        <v>0</v>
      </c>
      <c r="AC9" s="464">
        <f>'[1]February - 2023'!AM8</f>
        <v>0</v>
      </c>
      <c r="AD9" s="232">
        <f>'[1]February - 2023'!AN8</f>
        <v>19053368.879999999</v>
      </c>
      <c r="AE9" s="446">
        <f>AD10-AD9</f>
        <v>1364.160000000149</v>
      </c>
      <c r="AF9" s="464">
        <f>'[1]February - 2023'!AP8</f>
        <v>194.87999999895692</v>
      </c>
      <c r="AG9" s="232">
        <f>'[1]February - 2023'!AQ8</f>
        <v>19316895.359999999</v>
      </c>
      <c r="AH9" s="446">
        <f>AG10-AG9</f>
        <v>7405.4400000013411</v>
      </c>
      <c r="AI9" s="464">
        <f>'[1]February - 2023'!AS8</f>
        <v>8087.519999999553</v>
      </c>
      <c r="AJ9" s="232">
        <f>'[1]February - 2023'!AT8</f>
        <v>17853785.039999999</v>
      </c>
      <c r="AK9" s="446">
        <f>AJ10-AJ9</f>
        <v>4482.2400000020862</v>
      </c>
      <c r="AL9" s="464">
        <f>'[1]February - 2023'!AV8</f>
        <v>5066.8800000008196</v>
      </c>
      <c r="AM9" s="232">
        <f>'[1]February - 2023'!AW8</f>
        <v>15009949.919999998</v>
      </c>
      <c r="AN9" s="446">
        <f>AM10-AM9</f>
        <v>3751.4400000013411</v>
      </c>
      <c r="AO9" s="464">
        <f>'[1]February - 2023'!AY8</f>
        <v>3702.7200000006706</v>
      </c>
      <c r="AP9" s="232">
        <f>'[1]February - 2023'!AZ8</f>
        <v>14552176.799999999</v>
      </c>
      <c r="AQ9" s="446">
        <f>AP10-AP9</f>
        <v>4530.9600000008941</v>
      </c>
      <c r="AR9" s="464">
        <f>'[1]February - 2023'!BB8</f>
        <v>3848.8800000008196</v>
      </c>
      <c r="AS9" s="232">
        <f>'[1]February - 2023'!BC8</f>
        <v>11342357.040000001</v>
      </c>
      <c r="AT9" s="446">
        <f>AS10-AS9</f>
        <v>2923.1999999992549</v>
      </c>
      <c r="AU9" s="464">
        <f>'[1]February - 2023'!BE8</f>
        <v>2825.7599999997765</v>
      </c>
      <c r="AV9" s="232">
        <f>'[1]February - 2023'!BF8</f>
        <v>18002722.080000002</v>
      </c>
      <c r="AW9" s="446">
        <f>AV10-AV9</f>
        <v>5700.2399999983609</v>
      </c>
      <c r="AX9" s="466">
        <f>'[1]February - 2023'!BH8</f>
        <v>4969.4399999994785</v>
      </c>
      <c r="AY9" s="461"/>
      <c r="AZ9" s="247">
        <f>'[1]February - 2023'!BM8</f>
        <v>78617600</v>
      </c>
      <c r="BA9" s="468">
        <f>AZ10-AZ9</f>
        <v>0</v>
      </c>
      <c r="BB9" s="462">
        <f>'[1]February - 2023'!BO8</f>
        <v>0</v>
      </c>
      <c r="BC9" s="247">
        <f>'[1]February - 2023'!BP8</f>
        <v>81547000</v>
      </c>
      <c r="BD9" s="468">
        <f>BC10-BC9</f>
        <v>0</v>
      </c>
      <c r="BE9" s="462">
        <f>'[1]February - 2023'!BR8</f>
        <v>0</v>
      </c>
      <c r="BF9" s="247">
        <f>'[1]February - 2023'!BS8</f>
        <v>75469900</v>
      </c>
      <c r="BG9" s="468">
        <f>BF10-BF9</f>
        <v>35200</v>
      </c>
      <c r="BH9" s="462">
        <f>'[1]February - 2023'!BU8</f>
        <v>41400</v>
      </c>
      <c r="BI9" s="26"/>
      <c r="BJ9" s="44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541">
        <f>BS10-BS9</f>
        <v>5910</v>
      </c>
      <c r="BU9" s="557"/>
      <c r="BV9" s="84">
        <f>'[1]February - 2023'!BY8</f>
        <v>0.78</v>
      </c>
      <c r="BW9" s="552">
        <f>BV10-BV9</f>
        <v>6.9999999999999951E-2</v>
      </c>
      <c r="BX9" s="554">
        <f>'[1]February - 2023'!$CA$8</f>
        <v>7.999999999999996E-2</v>
      </c>
      <c r="BY9" s="85">
        <f>'[1]February - 2023'!CB8</f>
        <v>65338</v>
      </c>
      <c r="BZ9" s="540">
        <f>BY10-BY9</f>
        <v>17</v>
      </c>
      <c r="CA9" s="85">
        <f>'[1]February - 2023'!CD8</f>
        <v>56457</v>
      </c>
      <c r="CB9" s="540">
        <f>CA10-CA9</f>
        <v>20</v>
      </c>
      <c r="CC9" s="85">
        <f>'[1]February - 2023'!CF8</f>
        <v>19060</v>
      </c>
      <c r="CD9" s="540">
        <f>CC10-CC9</f>
        <v>8</v>
      </c>
      <c r="CE9" s="85">
        <f>'[1]February - 2023'!CH8</f>
        <v>26116</v>
      </c>
      <c r="CF9" s="540">
        <f>CE10-CE9</f>
        <v>10</v>
      </c>
      <c r="CG9" s="85">
        <f>'[1]February - 2023'!CJ8</f>
        <v>29262</v>
      </c>
      <c r="CH9" s="540">
        <f>CG10-CG9</f>
        <v>14</v>
      </c>
      <c r="CI9" s="85">
        <f>'[1]February - 2023'!CL8</f>
        <v>64366</v>
      </c>
      <c r="CJ9" s="540">
        <f>CI10-CI9</f>
        <v>35</v>
      </c>
      <c r="CK9" s="85">
        <f>'[1]February - 2023'!CN8</f>
        <v>272050</v>
      </c>
      <c r="CL9" s="540">
        <f>CK10-CK9</f>
        <v>79</v>
      </c>
      <c r="CM9" s="492">
        <f>'[1]February - 2023'!CP8</f>
        <v>109</v>
      </c>
      <c r="CN9" s="85">
        <f>'[1]February - 2023'!CQ8</f>
        <v>221087</v>
      </c>
      <c r="CO9" s="540">
        <f>CN10-CN9</f>
        <v>121</v>
      </c>
      <c r="CP9" s="492">
        <f>'[1]February - 2023'!CV8</f>
        <v>237</v>
      </c>
      <c r="CQ9" s="85">
        <f>'[1]February - 2023'!CT8</f>
        <v>369542</v>
      </c>
      <c r="CR9" s="540">
        <f>CQ10-CQ9</f>
        <v>276</v>
      </c>
      <c r="CS9" s="492">
        <f>'[1]February - 2023'!CV8</f>
        <v>237</v>
      </c>
      <c r="CT9" s="85">
        <f>'[1]February - 2023'!CW8</f>
        <v>703819</v>
      </c>
      <c r="CU9" s="494">
        <f>CT10-CT9</f>
        <v>183</v>
      </c>
      <c r="CV9" s="485"/>
      <c r="CW9" s="259">
        <f>'[1]February - 2023'!CZ8</f>
        <v>9310</v>
      </c>
      <c r="CX9" s="496">
        <f>CW10-CW9</f>
        <v>10</v>
      </c>
      <c r="CY9" s="260">
        <f>'[1]February - 2023'!DB8</f>
        <v>6304</v>
      </c>
      <c r="CZ9" s="496">
        <f>CY10-CY9</f>
        <v>8</v>
      </c>
      <c r="DA9" s="260">
        <f>'[1]February - 2023'!DD8</f>
        <v>32983</v>
      </c>
      <c r="DB9" s="496">
        <f>DA10-DA9</f>
        <v>14</v>
      </c>
      <c r="DC9" s="260">
        <f>'[1]February - 2023'!DF8</f>
        <v>33127</v>
      </c>
      <c r="DD9" s="496">
        <f>DC10-DC9</f>
        <v>12</v>
      </c>
      <c r="DE9" s="260">
        <f>'[1]February - 2023'!DH8</f>
        <v>22410</v>
      </c>
      <c r="DF9" s="496">
        <f>DE10-DE9</f>
        <v>9</v>
      </c>
      <c r="DG9" s="260">
        <f>'[1]February - 2023'!DJ8</f>
        <v>24352</v>
      </c>
      <c r="DH9" s="496">
        <f>DG10-DG9</f>
        <v>4</v>
      </c>
      <c r="DI9" s="260">
        <f>'[1]February - 2023'!DL8</f>
        <v>7683</v>
      </c>
      <c r="DJ9" s="496">
        <f>DI10-DI9</f>
        <v>8</v>
      </c>
      <c r="DK9" s="260">
        <f>'[1]February - 2023'!DN8</f>
        <v>10195</v>
      </c>
      <c r="DL9" s="496">
        <f>DK10-DK9</f>
        <v>8</v>
      </c>
      <c r="DM9" s="260">
        <f>'[1]February - 2023'!DP8</f>
        <v>3511</v>
      </c>
      <c r="DN9" s="496">
        <f>DM10-DM9</f>
        <v>4</v>
      </c>
      <c r="DO9" s="260">
        <f>'[1]February - 2023'!DR8</f>
        <v>6890</v>
      </c>
      <c r="DP9" s="496">
        <f>DO10-DO9</f>
        <v>6</v>
      </c>
      <c r="DQ9" s="260">
        <f>'[1]February - 2023'!DT8</f>
        <v>30498</v>
      </c>
      <c r="DR9" s="550">
        <f>DQ10-DQ9</f>
        <v>4</v>
      </c>
      <c r="DS9" s="501"/>
      <c r="DT9" s="189">
        <f>'[1]February - 2023'!DW8</f>
        <v>6915.1</v>
      </c>
      <c r="DU9" s="514">
        <f>DT10-DT9</f>
        <v>11.199999999999818</v>
      </c>
      <c r="DV9" s="87">
        <f>'[1]February - 2023'!DY8</f>
        <v>11694.4</v>
      </c>
      <c r="DW9" s="512">
        <f>DV10-DV9</f>
        <v>8.3000000000010914</v>
      </c>
      <c r="DX9" s="87">
        <f>'[1]February - 2023'!EA8</f>
        <v>5142.5</v>
      </c>
      <c r="DY9" s="514">
        <f>DX10-DX9</f>
        <v>5.8000000000001819</v>
      </c>
      <c r="DZ9" s="87">
        <f>'[1]February - 2023'!EC8</f>
        <v>5734.6</v>
      </c>
      <c r="EA9" s="514">
        <f>DZ10-DZ9</f>
        <v>6.2999999999992724</v>
      </c>
      <c r="EB9" s="87">
        <f>'[1]February - 2023'!EE8</f>
        <v>1156684</v>
      </c>
      <c r="EC9" s="514">
        <f>EB10-EB9</f>
        <v>484</v>
      </c>
      <c r="ED9" s="87">
        <f>'[1]February - 2023'!EI8</f>
        <v>239167.3</v>
      </c>
      <c r="EE9" s="516">
        <f>ED10-ED9</f>
        <v>153.80000000001746</v>
      </c>
      <c r="EF9" s="548"/>
      <c r="EG9" s="213">
        <f>'[1]February - 2023'!EL8</f>
        <v>12286600</v>
      </c>
      <c r="EH9" s="525">
        <f>EG10-EG9</f>
        <v>2700</v>
      </c>
      <c r="EI9" s="86">
        <f>'[1]February - 2023'!EN8</f>
        <v>946040</v>
      </c>
      <c r="EJ9" s="525">
        <f>EI10-EI9</f>
        <v>220</v>
      </c>
      <c r="EK9" s="86">
        <f>'[1]February - 2023'!EP8</f>
        <v>7295900</v>
      </c>
      <c r="EL9" s="525">
        <f>EK10-EK9</f>
        <v>800</v>
      </c>
      <c r="EM9" s="86">
        <f>'[1]February - 2023'!ER8</f>
        <v>2510900</v>
      </c>
      <c r="EN9" s="525">
        <f>EM10-EM9</f>
        <v>200</v>
      </c>
      <c r="EO9" s="86">
        <f>'[1]February - 2023'!ET8</f>
        <v>1306940</v>
      </c>
      <c r="EP9" s="525">
        <f>EO10-EO9</f>
        <v>540</v>
      </c>
      <c r="EQ9" s="86">
        <f>'[1]February - 2023'!EV8</f>
        <v>16731000</v>
      </c>
      <c r="ER9" s="532">
        <f>EQ10-EQ9</f>
        <v>1600</v>
      </c>
      <c r="ES9" s="523"/>
      <c r="ET9" s="253">
        <f>'[1]February - 2023'!EY8</f>
        <v>42965</v>
      </c>
      <c r="EU9" s="497">
        <f>ET10-ET9</f>
        <v>16</v>
      </c>
      <c r="EV9" s="254">
        <f>'[1]February - 2023'!FA8</f>
        <v>37471</v>
      </c>
      <c r="EW9" s="497">
        <f>EV10-EV9</f>
        <v>11</v>
      </c>
      <c r="EX9" s="254">
        <f>'[1]February - 2023'!FC8</f>
        <v>8068</v>
      </c>
      <c r="EY9" s="497">
        <f>'[1]February - 2023'!$FD$8</f>
        <v>8</v>
      </c>
      <c r="EZ9" s="254">
        <f>'[1]February - 2023'!FE8</f>
        <v>60035</v>
      </c>
      <c r="FA9" s="497">
        <f>EZ10-EZ9</f>
        <v>15</v>
      </c>
      <c r="FB9" s="254">
        <f>'[1]February - 2023'!FG8</f>
        <v>51390</v>
      </c>
      <c r="FC9" s="528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535"/>
      <c r="E10" s="449"/>
      <c r="F10" s="150">
        <f>'[1]February - 2023'!H9</f>
        <v>265741</v>
      </c>
      <c r="G10" s="447"/>
      <c r="H10" s="449"/>
      <c r="I10" s="239">
        <f>'[1]February - 2023'!K9</f>
        <v>15762</v>
      </c>
      <c r="J10" s="447"/>
      <c r="K10" s="239">
        <f>'[1]February - 2023'!N9</f>
        <v>929911</v>
      </c>
      <c r="L10" s="446"/>
      <c r="M10" s="239">
        <f>'[1]February - 2023'!Q9</f>
        <v>245870</v>
      </c>
      <c r="N10" s="446"/>
      <c r="O10" s="239">
        <f>'[1]February - 2023'!U9</f>
        <v>120344</v>
      </c>
      <c r="P10" s="447"/>
      <c r="Q10" s="449"/>
      <c r="R10" s="239">
        <f>'[1]February - 2023'!X9</f>
        <v>6732</v>
      </c>
      <c r="S10" s="537"/>
      <c r="T10" s="444"/>
      <c r="U10" s="244">
        <f>'[1]February - 2023'!AE9</f>
        <v>8280597.3599999994</v>
      </c>
      <c r="V10" s="539"/>
      <c r="W10" s="465"/>
      <c r="X10" s="261">
        <f>'[1]February - 2023'!AH9</f>
        <v>15722723.52</v>
      </c>
      <c r="Y10" s="447"/>
      <c r="Z10" s="465"/>
      <c r="AA10" s="261">
        <f>'[1]February - 2023'!AK9</f>
        <v>15913657.199999999</v>
      </c>
      <c r="AB10" s="447"/>
      <c r="AC10" s="465"/>
      <c r="AD10" s="261">
        <f>'[1]February - 2023'!AN9</f>
        <v>19054733.039999999</v>
      </c>
      <c r="AE10" s="447"/>
      <c r="AF10" s="465"/>
      <c r="AG10" s="261">
        <f>'[1]February - 2023'!AQ9</f>
        <v>19324300.800000001</v>
      </c>
      <c r="AH10" s="447"/>
      <c r="AI10" s="465"/>
      <c r="AJ10" s="261">
        <f>'[1]February - 2023'!AT9</f>
        <v>17858267.280000001</v>
      </c>
      <c r="AK10" s="447"/>
      <c r="AL10" s="465"/>
      <c r="AM10" s="261">
        <f>'[1]February - 2023'!AW9</f>
        <v>15013701.359999999</v>
      </c>
      <c r="AN10" s="447"/>
      <c r="AO10" s="465"/>
      <c r="AP10" s="261">
        <f>'[1]February - 2023'!AZ9</f>
        <v>14556707.76</v>
      </c>
      <c r="AQ10" s="447"/>
      <c r="AR10" s="465"/>
      <c r="AS10" s="261">
        <f>'[1]February - 2023'!BC9</f>
        <v>11345280.24</v>
      </c>
      <c r="AT10" s="447"/>
      <c r="AU10" s="465"/>
      <c r="AV10" s="261">
        <f>'[1]February - 2023'!BF9</f>
        <v>18008422.32</v>
      </c>
      <c r="AW10" s="447"/>
      <c r="AX10" s="467"/>
      <c r="AY10" s="461"/>
      <c r="AZ10" s="247">
        <f>'[1]February - 2023'!BM9</f>
        <v>78617600</v>
      </c>
      <c r="BA10" s="469"/>
      <c r="BB10" s="463"/>
      <c r="BC10" s="247">
        <f>'[1]February - 2023'!BP9</f>
        <v>81547000</v>
      </c>
      <c r="BD10" s="469"/>
      <c r="BE10" s="463"/>
      <c r="BF10" s="247">
        <f>'[1]February - 2023'!BS9</f>
        <v>75505100</v>
      </c>
      <c r="BG10" s="469"/>
      <c r="BH10" s="463"/>
      <c r="BI10" s="25"/>
      <c r="BJ10" s="44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551"/>
      <c r="BU10" s="557"/>
      <c r="BV10" s="84">
        <f>'[1]February - 2023'!BY9</f>
        <v>0.85</v>
      </c>
      <c r="BW10" s="553"/>
      <c r="BX10" s="555"/>
      <c r="BY10" s="85">
        <f>'[1]February - 2023'!CB9</f>
        <v>65355</v>
      </c>
      <c r="BZ10" s="541"/>
      <c r="CA10" s="85">
        <f>'[1]February - 2023'!CD9</f>
        <v>56477</v>
      </c>
      <c r="CB10" s="541"/>
      <c r="CC10" s="85">
        <f>'[1]February - 2023'!CF9</f>
        <v>19068</v>
      </c>
      <c r="CD10" s="541"/>
      <c r="CE10" s="85">
        <f>'[1]February - 2023'!CH9</f>
        <v>26126</v>
      </c>
      <c r="CF10" s="541"/>
      <c r="CG10" s="85">
        <f>'[1]February - 2023'!CJ9</f>
        <v>29276</v>
      </c>
      <c r="CH10" s="541"/>
      <c r="CI10" s="85">
        <f>'[1]February - 2023'!CL9</f>
        <v>64401</v>
      </c>
      <c r="CJ10" s="541"/>
      <c r="CK10" s="85">
        <f>'[1]February - 2023'!CN9</f>
        <v>272129</v>
      </c>
      <c r="CL10" s="541"/>
      <c r="CM10" s="493"/>
      <c r="CN10" s="85">
        <f>'[1]February - 2023'!CQ9</f>
        <v>221208</v>
      </c>
      <c r="CO10" s="541"/>
      <c r="CP10" s="493"/>
      <c r="CQ10" s="85">
        <f>'[1]February - 2023'!CT9</f>
        <v>369818</v>
      </c>
      <c r="CR10" s="541"/>
      <c r="CS10" s="493"/>
      <c r="CT10" s="85">
        <f>'[1]February - 2023'!CW9</f>
        <v>704002</v>
      </c>
      <c r="CU10" s="495"/>
      <c r="CV10" s="485"/>
      <c r="CW10" s="259">
        <f>'[1]February - 2023'!CZ9</f>
        <v>9320</v>
      </c>
      <c r="CX10" s="497"/>
      <c r="CY10" s="260">
        <f>'[1]February - 2023'!DB9</f>
        <v>6312</v>
      </c>
      <c r="CZ10" s="497"/>
      <c r="DA10" s="260">
        <f>'[1]February - 2023'!DD9</f>
        <v>32997</v>
      </c>
      <c r="DB10" s="497"/>
      <c r="DC10" s="260">
        <f>'[1]February - 2023'!DF9</f>
        <v>33139</v>
      </c>
      <c r="DD10" s="497"/>
      <c r="DE10" s="260">
        <f>'[1]February - 2023'!DH9</f>
        <v>22419</v>
      </c>
      <c r="DF10" s="497"/>
      <c r="DG10" s="260">
        <f>'[1]February - 2023'!DJ9</f>
        <v>24356</v>
      </c>
      <c r="DH10" s="497"/>
      <c r="DI10" s="260">
        <f>'[1]February - 2023'!DL9</f>
        <v>7691</v>
      </c>
      <c r="DJ10" s="497"/>
      <c r="DK10" s="260">
        <f>'[1]February - 2023'!DN9</f>
        <v>10203</v>
      </c>
      <c r="DL10" s="497"/>
      <c r="DM10" s="260">
        <f>'[1]February - 2023'!DP9</f>
        <v>3515</v>
      </c>
      <c r="DN10" s="497"/>
      <c r="DO10" s="260">
        <f>'[1]February - 2023'!DR9</f>
        <v>6896</v>
      </c>
      <c r="DP10" s="497"/>
      <c r="DQ10" s="260">
        <f>'[1]February - 2023'!DT9</f>
        <v>30502</v>
      </c>
      <c r="DR10" s="528"/>
      <c r="DS10" s="501"/>
      <c r="DT10" s="189">
        <f>'[1]February - 2023'!DW9</f>
        <v>6926.3</v>
      </c>
      <c r="DU10" s="515"/>
      <c r="DV10" s="87">
        <f>'[1]February - 2023'!DY9</f>
        <v>11702.7</v>
      </c>
      <c r="DW10" s="513"/>
      <c r="DX10" s="87">
        <f>'[1]February - 2023'!EA9</f>
        <v>5148.3</v>
      </c>
      <c r="DY10" s="515"/>
      <c r="DZ10" s="87">
        <f>'[1]February - 2023'!EC9</f>
        <v>5740.9</v>
      </c>
      <c r="EA10" s="515"/>
      <c r="EB10" s="87">
        <f>'[1]February - 2023'!EE9</f>
        <v>1157168</v>
      </c>
      <c r="EC10" s="515"/>
      <c r="ED10" s="87">
        <f>'[1]February - 2023'!EI9</f>
        <v>239321.1</v>
      </c>
      <c r="EE10" s="517"/>
      <c r="EF10" s="548"/>
      <c r="EG10" s="213">
        <f>'[1]February - 2023'!EL9</f>
        <v>12289300</v>
      </c>
      <c r="EH10" s="526"/>
      <c r="EI10" s="86">
        <f>'[1]February - 2023'!EN9</f>
        <v>946260</v>
      </c>
      <c r="EJ10" s="526"/>
      <c r="EK10" s="86">
        <f>'[1]February - 2023'!EP9</f>
        <v>7296700</v>
      </c>
      <c r="EL10" s="526"/>
      <c r="EM10" s="86">
        <f>'[1]February - 2023'!ER9</f>
        <v>2511100</v>
      </c>
      <c r="EN10" s="526"/>
      <c r="EO10" s="86">
        <f>'[1]February - 2023'!ET9</f>
        <v>1307480</v>
      </c>
      <c r="EP10" s="526"/>
      <c r="EQ10" s="86">
        <f>'[1]February - 2023'!EV9</f>
        <v>16732600</v>
      </c>
      <c r="ER10" s="533"/>
      <c r="ES10" s="523"/>
      <c r="ET10" s="253">
        <f>'[1]February - 2023'!EY9</f>
        <v>42981</v>
      </c>
      <c r="EU10" s="527"/>
      <c r="EV10" s="254">
        <f>'[1]February - 2023'!FA9</f>
        <v>37482</v>
      </c>
      <c r="EW10" s="527"/>
      <c r="EX10" s="254">
        <f>'[1]February - 2023'!FC9</f>
        <v>8076</v>
      </c>
      <c r="EY10" s="527"/>
      <c r="EZ10" s="254">
        <f>'[1]February - 2023'!FE9</f>
        <v>60050</v>
      </c>
      <c r="FA10" s="527"/>
      <c r="FB10" s="254">
        <f>'[1]February - 2023'!FG9</f>
        <v>51417</v>
      </c>
      <c r="FC10" s="529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114743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221</v>
      </c>
      <c r="R11" s="239">
        <f>'[1]February - 2023'!X10</f>
        <v>6738</v>
      </c>
      <c r="S11" s="187">
        <f>'[1]February - 2023'!Y10</f>
        <v>6</v>
      </c>
      <c r="T11" s="444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61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557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85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501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548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52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620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457</v>
      </c>
      <c r="H12" s="150">
        <f>'[1]February - 2023'!J11</f>
        <v>115117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184</v>
      </c>
      <c r="R12" s="239">
        <f>'[1]February - 2023'!X11</f>
        <v>6745</v>
      </c>
      <c r="S12" s="187">
        <f>'[1]February - 2023'!Y11</f>
        <v>7</v>
      </c>
      <c r="T12" s="444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61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557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85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501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548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52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0.76</v>
      </c>
      <c r="C13" s="228">
        <f>'[1]February - 2023'!E12</f>
        <v>245300</v>
      </c>
      <c r="D13" s="151">
        <f>'[1]February - 2023'!F13</f>
        <v>533</v>
      </c>
      <c r="E13" s="150">
        <f>'[1]February - 2023'!G12</f>
        <v>534</v>
      </c>
      <c r="F13" s="150">
        <f>'[1]February - 2023'!H12</f>
        <v>267089</v>
      </c>
      <c r="G13" s="151">
        <f>'[1]February - 2023'!I13</f>
        <v>425</v>
      </c>
      <c r="H13" s="150">
        <f>'[1]February - 2023'!J12</f>
        <v>115539</v>
      </c>
      <c r="I13" s="239">
        <f>'[1]February - 2023'!K12</f>
        <v>16416</v>
      </c>
      <c r="J13" s="151">
        <f>'[1]February - 2023'!L12</f>
        <v>208</v>
      </c>
      <c r="K13" s="239">
        <f>'[1]February - 2023'!N12</f>
        <v>930563</v>
      </c>
      <c r="L13" s="151">
        <f>'[1]February - 2023'!O12</f>
        <v>120</v>
      </c>
      <c r="M13" s="239">
        <f>'[1]February - 2023'!Q12</f>
        <v>245900</v>
      </c>
      <c r="N13" s="151">
        <f>'[1]February - 2023'!R12</f>
        <v>16</v>
      </c>
      <c r="O13" s="239">
        <f>'[1]February - 2023'!U12</f>
        <v>120562</v>
      </c>
      <c r="P13" s="151">
        <f>'[1]February - 2023'!V12</f>
        <v>70</v>
      </c>
      <c r="Q13" s="150">
        <f>'[1]February - 2023'!W12</f>
        <v>226</v>
      </c>
      <c r="R13" s="239">
        <f>'[1]February - 2023'!X12</f>
        <v>6750</v>
      </c>
      <c r="S13" s="187">
        <f>'[1]February - 2023'!Y12</f>
        <v>5</v>
      </c>
      <c r="T13" s="444"/>
      <c r="U13" s="244">
        <f>'[1]February - 2023'!AE12</f>
        <v>8286297.5999999996</v>
      </c>
      <c r="V13" s="265">
        <f>'[1]February - 2023'!AF12</f>
        <v>1948.7999999998137</v>
      </c>
      <c r="W13" s="88">
        <f>'[1]February - 2023'!AG12</f>
        <v>3312.9599999999627</v>
      </c>
      <c r="X13" s="261">
        <f>'[1]February - 2023'!AH12</f>
        <v>15736316.4</v>
      </c>
      <c r="Y13" s="265">
        <f>'[1]February - 2023'!AI12</f>
        <v>4677.1199999991804</v>
      </c>
      <c r="Z13" s="88">
        <f>'[1]February - 2023'!AJ12</f>
        <v>4725.8400000017136</v>
      </c>
      <c r="AA13" s="261">
        <f>'[1]February - 2023'!AK12</f>
        <v>15922572.959999999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19063648.800000001</v>
      </c>
      <c r="AE13" s="265">
        <f>'[1]February - 2023'!AO12</f>
        <v>8087.519999999553</v>
      </c>
      <c r="AF13" s="88">
        <f>'[1]February - 2023'!AP12</f>
        <v>146.16000000014901</v>
      </c>
      <c r="AG13" s="261">
        <f>'[1]February - 2023'!AQ12</f>
        <v>19334239.68</v>
      </c>
      <c r="AH13" s="265">
        <f>'[1]February - 2023'!AR12</f>
        <v>535.91999999806285</v>
      </c>
      <c r="AI13" s="88">
        <f>'[1]February - 2023'!AS12</f>
        <v>7990.0800000019372</v>
      </c>
      <c r="AJ13" s="261">
        <f>'[1]February - 2023'!AT12</f>
        <v>17872444.800000001</v>
      </c>
      <c r="AK13" s="265">
        <f>'[1]February - 2023'!AU12</f>
        <v>5115.6000000014901</v>
      </c>
      <c r="AL13" s="88">
        <f>'[1]February - 2023'!AV12</f>
        <v>5700.2400000002235</v>
      </c>
      <c r="AM13" s="261">
        <f>'[1]February - 2023'!AW12</f>
        <v>15024858.24</v>
      </c>
      <c r="AN13" s="265">
        <f>'[1]February - 2023'!AX12</f>
        <v>3800.160000000149</v>
      </c>
      <c r="AO13" s="88">
        <f>'[1]February - 2023'!AY12</f>
        <v>3946.320000000298</v>
      </c>
      <c r="AP13" s="261">
        <f>'[1]February - 2023'!AZ12</f>
        <v>14569472.4</v>
      </c>
      <c r="AQ13" s="265">
        <f>'[1]February - 2023'!BA12</f>
        <v>4530.9600000008941</v>
      </c>
      <c r="AR13" s="88">
        <f>'[1]February - 2023'!BB12</f>
        <v>4092.480000000447</v>
      </c>
      <c r="AS13" s="261">
        <f>'[1]February - 2023'!BC12</f>
        <v>11353513.92</v>
      </c>
      <c r="AT13" s="265">
        <f>'[1]February - 2023'!BD12</f>
        <v>2971.9199999999255</v>
      </c>
      <c r="AU13" s="88">
        <f>'[1]February - 2023'!BE12</f>
        <v>3215.5200000014156</v>
      </c>
      <c r="AV13" s="261">
        <f>'[1]February - 2023'!BF12</f>
        <v>18025230.719999999</v>
      </c>
      <c r="AW13" s="229">
        <f>'[1]February - 2023'!BG12</f>
        <v>5748.9599999971688</v>
      </c>
      <c r="AX13" s="230">
        <f>'[1]February - 2023'!BH12</f>
        <v>5407.9199999999255</v>
      </c>
      <c r="AY13" s="461"/>
      <c r="AZ13" s="247">
        <f>'[1]February - 2023'!BM12</f>
        <v>78651900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81579600</v>
      </c>
      <c r="BD13" s="223">
        <f>'[1]February - 2023'!BQ12</f>
        <v>32600</v>
      </c>
      <c r="BE13" s="89">
        <f>'[1]February - 2023'!BR12</f>
        <v>0</v>
      </c>
      <c r="BF13" s="247">
        <f>'[1]February - 2023'!BS12</f>
        <v>75558200</v>
      </c>
      <c r="BG13" s="223">
        <f>'[1]February - 2023'!BT12</f>
        <v>3000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10614070</v>
      </c>
      <c r="BT13" s="165">
        <f>'[1]February - 2023'!BW12</f>
        <v>6390</v>
      </c>
      <c r="BU13" s="557"/>
      <c r="BV13" s="84">
        <f>'[1]February - 2023'!BY12</f>
        <v>0.59</v>
      </c>
      <c r="BW13" s="219">
        <f>'[1]February - 2023'!BZ12</f>
        <v>7.0000000000000062E-2</v>
      </c>
      <c r="BX13" s="84">
        <f>'[1]February - 2023'!CA12</f>
        <v>6.0000000000000053E-2</v>
      </c>
      <c r="BY13" s="85">
        <f>'[1]February - 2023'!CB12</f>
        <v>65399</v>
      </c>
      <c r="BZ13" s="171">
        <f>'[1]February - 2023'!CC12</f>
        <v>15</v>
      </c>
      <c r="CA13" s="85">
        <f>'[1]February - 2023'!CD12</f>
        <v>56535</v>
      </c>
      <c r="CB13" s="171">
        <f>'[1]February - 2023'!CE12</f>
        <v>20</v>
      </c>
      <c r="CC13" s="85">
        <f>'[1]February - 2023'!CF12</f>
        <v>19088</v>
      </c>
      <c r="CD13" s="171">
        <f>'[1]February - 2023'!CG12</f>
        <v>7</v>
      </c>
      <c r="CE13" s="85">
        <f>'[1]February - 2023'!CH12</f>
        <v>26152</v>
      </c>
      <c r="CF13" s="171">
        <f>'[1]February - 2023'!CI12</f>
        <v>10</v>
      </c>
      <c r="CG13" s="85">
        <f>'[1]February - 2023'!CJ12</f>
        <v>29319</v>
      </c>
      <c r="CH13" s="171">
        <f>'[1]February - 2023'!CK12</f>
        <v>16</v>
      </c>
      <c r="CI13" s="85">
        <f>'[1]February - 2023'!CL12</f>
        <v>64507</v>
      </c>
      <c r="CJ13" s="171">
        <f>'[1]February - 2023'!CM12</f>
        <v>36</v>
      </c>
      <c r="CK13" s="85">
        <f>'[1]February - 2023'!CN12</f>
        <v>272347</v>
      </c>
      <c r="CL13" s="224">
        <f>'[1]February - 2023'!CO12</f>
        <v>73</v>
      </c>
      <c r="CM13" s="85">
        <f>'[1]February - 2023'!CP12</f>
        <v>107</v>
      </c>
      <c r="CN13" s="85">
        <f>'[1]February - 2023'!CQ12</f>
        <v>221570</v>
      </c>
      <c r="CO13" s="224">
        <f>'[1]February - 2023'!CR12</f>
        <v>126</v>
      </c>
      <c r="CP13" s="85">
        <f>'[1]February - 2023'!CV12</f>
        <v>255</v>
      </c>
      <c r="CQ13" s="85">
        <f>'[1]February - 2023'!CT12</f>
        <v>370549</v>
      </c>
      <c r="CR13" s="224">
        <f>'[1]February - 2023'!CU12</f>
        <v>262</v>
      </c>
      <c r="CS13" s="85">
        <f>'[1]February - 2023'!CV12</f>
        <v>255</v>
      </c>
      <c r="CT13" s="85">
        <f>'[1]February - 2023'!CW12</f>
        <v>704512</v>
      </c>
      <c r="CU13" s="171">
        <f>'[1]February - 2023'!CX12</f>
        <v>172</v>
      </c>
      <c r="CV13" s="485"/>
      <c r="CW13" s="259">
        <f>'[1]February - 2023'!CZ12</f>
        <v>9345</v>
      </c>
      <c r="CX13" s="262">
        <f>'[1]February - 2023'!DA12</f>
        <v>7</v>
      </c>
      <c r="CY13" s="260">
        <f>'[1]February - 2023'!DB12</f>
        <v>6329</v>
      </c>
      <c r="CZ13" s="262">
        <f>'[1]February - 2023'!DC12</f>
        <v>5</v>
      </c>
      <c r="DA13" s="260">
        <f>'[1]February - 2023'!DD12</f>
        <v>33041</v>
      </c>
      <c r="DB13" s="262">
        <f>'[1]February - 2023'!DE12</f>
        <v>15</v>
      </c>
      <c r="DC13" s="260">
        <f>'[1]February - 2023'!DF12</f>
        <v>33185</v>
      </c>
      <c r="DD13" s="262">
        <f>'[1]February - 2023'!DG12</f>
        <v>15</v>
      </c>
      <c r="DE13" s="260">
        <f>'[1]February - 2023'!DH12</f>
        <v>22443</v>
      </c>
      <c r="DF13" s="262">
        <f>'[1]February - 2023'!DI12</f>
        <v>8</v>
      </c>
      <c r="DG13" s="260">
        <f>'[1]February - 2023'!DJ12</f>
        <v>24371</v>
      </c>
      <c r="DH13" s="262">
        <f>'[1]February - 2023'!DK12</f>
        <v>5</v>
      </c>
      <c r="DI13" s="260">
        <f>'[1]February - 2023'!DL12</f>
        <v>7726</v>
      </c>
      <c r="DJ13" s="262">
        <f>'[1]February - 2023'!DM12</f>
        <v>12</v>
      </c>
      <c r="DK13" s="260">
        <f>'[1]February - 2023'!DN12</f>
        <v>10232</v>
      </c>
      <c r="DL13" s="262">
        <f>'[1]February - 2023'!DO12</f>
        <v>11</v>
      </c>
      <c r="DM13" s="260">
        <f>'[1]February - 2023'!DP12</f>
        <v>3532</v>
      </c>
      <c r="DN13" s="262">
        <f>'[1]February - 2023'!DQ12</f>
        <v>6</v>
      </c>
      <c r="DO13" s="260">
        <f>'[1]February - 2023'!DR12</f>
        <v>6920</v>
      </c>
      <c r="DP13" s="262">
        <f>'[1]February - 2023'!DS12</f>
        <v>9</v>
      </c>
      <c r="DQ13" s="260">
        <f>'[1]February - 2023'!DT12</f>
        <v>30514</v>
      </c>
      <c r="DR13" s="263">
        <f>'[1]February - 2023'!DU12</f>
        <v>0</v>
      </c>
      <c r="DS13" s="501"/>
      <c r="DT13" s="189">
        <f>'[1]February - 2023'!DW12</f>
        <v>6960.4</v>
      </c>
      <c r="DU13" s="200">
        <f>'[1]February - 2023'!DX12</f>
        <v>11.799999999999272</v>
      </c>
      <c r="DV13" s="87">
        <f>'[1]February - 2023'!DY12</f>
        <v>11727.2</v>
      </c>
      <c r="DW13" s="194">
        <f>'[1]February - 2023'!DZ12</f>
        <v>7.8000000000010914</v>
      </c>
      <c r="DX13" s="87">
        <f>'[1]February - 2023'!EA12</f>
        <v>5166.2</v>
      </c>
      <c r="DY13" s="194">
        <f>'[1]February - 2023'!EB12</f>
        <v>6.0999999999994543</v>
      </c>
      <c r="DZ13" s="87">
        <f>'[1]February - 2023'!EC12</f>
        <v>5762.5</v>
      </c>
      <c r="EA13" s="194">
        <f>'[1]February - 2023'!ED12</f>
        <v>7.8999999999996362</v>
      </c>
      <c r="EB13" s="87">
        <f>'[1]February - 2023'!EE12</f>
        <v>1158881</v>
      </c>
      <c r="EC13" s="194">
        <f>'[1]February - 2023'!EF12</f>
        <v>602</v>
      </c>
      <c r="ED13" s="87">
        <f>'[1]February - 2023'!EI12</f>
        <v>239779.7</v>
      </c>
      <c r="EE13" s="207">
        <f>'[1]February - 2023'!EJ12</f>
        <v>155.70000000001164</v>
      </c>
      <c r="EF13" s="548"/>
      <c r="EG13" s="213">
        <f>'[1]February - 2023'!EL12</f>
        <v>12298700</v>
      </c>
      <c r="EH13" s="208">
        <f>'[1]February - 2023'!EM12</f>
        <v>2600</v>
      </c>
      <c r="EI13" s="86">
        <f>'[1]February - 2023'!EN12</f>
        <v>947000</v>
      </c>
      <c r="EJ13" s="208">
        <f>'[1]February - 2023'!EO12</f>
        <v>220</v>
      </c>
      <c r="EK13" s="86">
        <f>'[1]February - 2023'!EP12</f>
        <v>7299500</v>
      </c>
      <c r="EL13" s="208">
        <f>'[1]February - 2023'!EQ12</f>
        <v>800</v>
      </c>
      <c r="EM13" s="86">
        <f>'[1]February - 2023'!ER12</f>
        <v>2512300</v>
      </c>
      <c r="EN13" s="208">
        <f>'[1]February - 2023'!ES12</f>
        <v>400</v>
      </c>
      <c r="EO13" s="86">
        <f>'[1]February - 2023'!ET12</f>
        <v>1309460</v>
      </c>
      <c r="EP13" s="208">
        <f>'[1]February - 2023'!EU12</f>
        <v>620</v>
      </c>
      <c r="EQ13" s="86">
        <f>'[1]February - 2023'!EV12</f>
        <v>16741100</v>
      </c>
      <c r="ER13" s="208">
        <f>'[1]February - 2023'!EW12</f>
        <v>700</v>
      </c>
      <c r="ES13" s="523"/>
      <c r="ET13" s="253">
        <f>'[1]February - 2023'!EY12</f>
        <v>43028</v>
      </c>
      <c r="EU13" s="266">
        <f>'[1]February - 2023'!EZ12</f>
        <v>17</v>
      </c>
      <c r="EV13" s="254">
        <f>'[1]February - 2023'!FA12</f>
        <v>37516</v>
      </c>
      <c r="EW13" s="266">
        <f>'[1]February - 2023'!FB12</f>
        <v>12</v>
      </c>
      <c r="EX13" s="254">
        <f>'[1]February - 2023'!FC12</f>
        <v>8110</v>
      </c>
      <c r="EY13" s="266">
        <f>'[1]February - 2023'!FD12</f>
        <v>12</v>
      </c>
      <c r="EZ13" s="254">
        <f>'[1]February - 2023'!FE12</f>
        <v>60095</v>
      </c>
      <c r="FA13" s="266">
        <f>'[1]February - 2023'!FF12</f>
        <v>14</v>
      </c>
      <c r="FB13" s="254">
        <f>'[1]February - 2023'!FG12</f>
        <v>51516</v>
      </c>
      <c r="FC13" s="264">
        <f>'[1]February - 2023'!FH12</f>
        <v>38</v>
      </c>
    </row>
    <row r="14" spans="1:159" ht="30" customHeight="1" x14ac:dyDescent="0.25">
      <c r="A14" s="186">
        <v>44962</v>
      </c>
      <c r="B14" s="188">
        <f>'[1]February - 2023'!B13</f>
        <v>0.69</v>
      </c>
      <c r="C14" s="228">
        <f>'[1]February - 2023'!E13</f>
        <v>245833</v>
      </c>
      <c r="D14" s="151">
        <f>'[1]February - 2023'!F14</f>
        <v>518</v>
      </c>
      <c r="E14" s="150">
        <f>'[1]February - 2023'!G13</f>
        <v>606</v>
      </c>
      <c r="F14" s="150">
        <f>'[1]February - 2023'!H13</f>
        <v>267514</v>
      </c>
      <c r="G14" s="151">
        <f>'[1]February - 2023'!I14</f>
        <v>385</v>
      </c>
      <c r="H14" s="150">
        <f>'[1]February - 2023'!J13</f>
        <v>116003</v>
      </c>
      <c r="I14" s="239">
        <f>'[1]February - 2023'!K13</f>
        <v>16641</v>
      </c>
      <c r="J14" s="151">
        <f>'[1]February - 2023'!L13</f>
        <v>225</v>
      </c>
      <c r="K14" s="239">
        <f>'[1]February - 2023'!N13</f>
        <v>930787</v>
      </c>
      <c r="L14" s="151">
        <f>'[1]February - 2023'!O13</f>
        <v>224</v>
      </c>
      <c r="M14" s="239">
        <f>'[1]February - 2023'!Q13</f>
        <v>245905</v>
      </c>
      <c r="N14" s="151">
        <f>'[1]February - 2023'!R13</f>
        <v>5</v>
      </c>
      <c r="O14" s="239">
        <f>'[1]February - 2023'!U13</f>
        <v>120633</v>
      </c>
      <c r="P14" s="151">
        <f>'[1]February - 2023'!V13</f>
        <v>71</v>
      </c>
      <c r="Q14" s="150">
        <f>'[1]February - 2023'!W13</f>
        <v>171</v>
      </c>
      <c r="R14" s="239">
        <f>'[1]February - 2023'!X13</f>
        <v>6760</v>
      </c>
      <c r="S14" s="187">
        <f>'[1]February - 2023'!Y13</f>
        <v>10</v>
      </c>
      <c r="T14" s="444"/>
      <c r="U14" s="244">
        <f>'[1]February - 2023'!AE13</f>
        <v>8288295.1199999992</v>
      </c>
      <c r="V14" s="265">
        <f>'[1]February - 2023'!AF13</f>
        <v>1997.519999999553</v>
      </c>
      <c r="W14" s="88">
        <f>'[1]February - 2023'!AG13</f>
        <v>2241.1200000001118</v>
      </c>
      <c r="X14" s="261">
        <f>'[1]February - 2023'!AH13</f>
        <v>15741090.959999999</v>
      </c>
      <c r="Y14" s="265">
        <f>'[1]February - 2023'!AI13</f>
        <v>4774.5599999986589</v>
      </c>
      <c r="Z14" s="88">
        <f>'[1]February - 2023'!AJ13</f>
        <v>5066.8800000008196</v>
      </c>
      <c r="AA14" s="261">
        <f>'[1]February - 2023'!AK13</f>
        <v>15923596.08</v>
      </c>
      <c r="AB14" s="265">
        <f>'[1]February - 2023'!AL13</f>
        <v>1023.1200000010431</v>
      </c>
      <c r="AC14" s="88">
        <f>'[1]February - 2023'!AM13</f>
        <v>0</v>
      </c>
      <c r="AD14" s="261">
        <f>'[1]February - 2023'!AN13</f>
        <v>19071200.399999999</v>
      </c>
      <c r="AE14" s="265">
        <f>'[1]February - 2023'!AO13</f>
        <v>7551.5999999977648</v>
      </c>
      <c r="AF14" s="88">
        <f>'[1]February - 2023'!AP13</f>
        <v>9744</v>
      </c>
      <c r="AG14" s="261">
        <f>'[1]February - 2023'!AQ13</f>
        <v>19334288.399999999</v>
      </c>
      <c r="AH14" s="265">
        <f>'[1]February - 2023'!AR13</f>
        <v>48.719999998807907</v>
      </c>
      <c r="AI14" s="88">
        <f>'[1]February - 2023'!AS13</f>
        <v>1656.480000000447</v>
      </c>
      <c r="AJ14" s="261">
        <f>'[1]February - 2023'!AT13</f>
        <v>17878583.52</v>
      </c>
      <c r="AK14" s="265">
        <f>'[1]February - 2023'!AU13</f>
        <v>6138.7199999988079</v>
      </c>
      <c r="AL14" s="88">
        <f>'[1]February - 2023'!AV13</f>
        <v>5992.5599999986589</v>
      </c>
      <c r="AM14" s="261">
        <f>'[1]February - 2023'!AW13</f>
        <v>15028560.959999999</v>
      </c>
      <c r="AN14" s="265">
        <f>'[1]February - 2023'!AX13</f>
        <v>3702.7199999988079</v>
      </c>
      <c r="AO14" s="88">
        <f>'[1]February - 2023'!AY13</f>
        <v>4384.7999999988824</v>
      </c>
      <c r="AP14" s="261">
        <f>'[1]February - 2023'!AZ13</f>
        <v>14573759.76</v>
      </c>
      <c r="AQ14" s="265">
        <f>'[1]February - 2023'!BA13</f>
        <v>4287.359999999404</v>
      </c>
      <c r="AR14" s="88">
        <f>'[1]February - 2023'!BB13</f>
        <v>4482.2400000002235</v>
      </c>
      <c r="AS14" s="261">
        <f>'[1]February - 2023'!BC13</f>
        <v>11356583.280000001</v>
      </c>
      <c r="AT14" s="265">
        <f>'[1]February - 2023'!BD13</f>
        <v>3069.3600000012666</v>
      </c>
      <c r="AU14" s="88">
        <f>'[1]February - 2023'!BE13</f>
        <v>4043.7599999997765</v>
      </c>
      <c r="AV14" s="261">
        <f>'[1]February - 2023'!BF13</f>
        <v>18030833.52</v>
      </c>
      <c r="AW14" s="229">
        <f>'[1]February - 2023'!BG13</f>
        <v>5602.8000000007451</v>
      </c>
      <c r="AX14" s="230">
        <f>'[1]February - 2023'!BH13</f>
        <v>6090</v>
      </c>
      <c r="AY14" s="461"/>
      <c r="AZ14" s="247">
        <f>'[1]February - 2023'!BM13</f>
        <v>78656200</v>
      </c>
      <c r="BA14" s="160">
        <f>'[1]February - 2023'!BN13</f>
        <v>4300</v>
      </c>
      <c r="BB14" s="89">
        <f>'[1]February - 2023'!BO14</f>
        <v>0</v>
      </c>
      <c r="BC14" s="247">
        <f>'[1]February - 2023'!BP13</f>
        <v>81612700</v>
      </c>
      <c r="BD14" s="223">
        <f>'[1]February - 2023'!BQ13</f>
        <v>33100</v>
      </c>
      <c r="BE14" s="89">
        <f>'[1]February - 2023'!BR13</f>
        <v>40000</v>
      </c>
      <c r="BF14" s="247">
        <f>'[1]February - 2023'!BS13</f>
        <v>75558200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10620300</v>
      </c>
      <c r="BT14" s="165">
        <f>'[1]February - 2023'!BW13</f>
        <v>6230</v>
      </c>
      <c r="BU14" s="557"/>
      <c r="BV14" s="84">
        <f>'[1]February - 2023'!BY13</f>
        <v>0.5</v>
      </c>
      <c r="BW14" s="219">
        <f>'[1]February - 2023'!BZ13</f>
        <v>8.9999999999999969E-2</v>
      </c>
      <c r="BX14" s="84">
        <f>'[1]February - 2023'!CA13</f>
        <v>-0.15000000000000002</v>
      </c>
      <c r="BY14" s="85">
        <f>'[1]February - 2023'!CB13</f>
        <v>65415</v>
      </c>
      <c r="BZ14" s="171">
        <f>'[1]February - 2023'!CC13</f>
        <v>16</v>
      </c>
      <c r="CA14" s="85">
        <f>'[1]February - 2023'!CD13</f>
        <v>56557</v>
      </c>
      <c r="CB14" s="171">
        <f>'[1]February - 2023'!CE13</f>
        <v>22</v>
      </c>
      <c r="CC14" s="85">
        <f>'[1]February - 2023'!CF13</f>
        <v>19094</v>
      </c>
      <c r="CD14" s="171">
        <f>'[1]February - 2023'!CG13</f>
        <v>6</v>
      </c>
      <c r="CE14" s="85">
        <f>'[1]February - 2023'!CH13</f>
        <v>26161</v>
      </c>
      <c r="CF14" s="171">
        <f>'[1]February - 2023'!CI13</f>
        <v>9</v>
      </c>
      <c r="CG14" s="85">
        <f>'[1]February - 2023'!CJ13</f>
        <v>29334</v>
      </c>
      <c r="CH14" s="171">
        <f>'[1]February - 2023'!CK13</f>
        <v>15</v>
      </c>
      <c r="CI14" s="85">
        <f>'[1]February - 2023'!CL13</f>
        <v>64541</v>
      </c>
      <c r="CJ14" s="171">
        <f>'[1]February - 2023'!CM13</f>
        <v>34</v>
      </c>
      <c r="CK14" s="85">
        <f>'[1]February - 2023'!CN13</f>
        <v>272422</v>
      </c>
      <c r="CL14" s="224">
        <f>'[1]February - 2023'!CO13</f>
        <v>75</v>
      </c>
      <c r="CM14" s="85">
        <f>'[1]February - 2023'!CP13</f>
        <v>113</v>
      </c>
      <c r="CN14" s="85">
        <f>'[1]February - 2023'!CQ13</f>
        <v>221695</v>
      </c>
      <c r="CO14" s="224">
        <f>'[1]February - 2023'!CR13</f>
        <v>125</v>
      </c>
      <c r="CP14" s="85">
        <f>'[1]February - 2023'!CV13</f>
        <v>310</v>
      </c>
      <c r="CQ14" s="85">
        <f>'[1]February - 2023'!CT13</f>
        <v>370812</v>
      </c>
      <c r="CR14" s="224">
        <f>'[1]February - 2023'!CU13</f>
        <v>263</v>
      </c>
      <c r="CS14" s="85">
        <f>'[1]February - 2023'!CV13</f>
        <v>310</v>
      </c>
      <c r="CT14" s="85">
        <f>'[1]February - 2023'!CW13</f>
        <v>704686</v>
      </c>
      <c r="CU14" s="171">
        <f>'[1]February - 2023'!CX13</f>
        <v>174</v>
      </c>
      <c r="CV14" s="485"/>
      <c r="CW14" s="259">
        <f>'[1]February - 2023'!CZ13</f>
        <v>9352</v>
      </c>
      <c r="CX14" s="262">
        <f>'[1]February - 2023'!DA13</f>
        <v>7</v>
      </c>
      <c r="CY14" s="260">
        <f>'[1]February - 2023'!DB13</f>
        <v>6333</v>
      </c>
      <c r="CZ14" s="262">
        <f>'[1]February - 2023'!DC13</f>
        <v>4</v>
      </c>
      <c r="DA14" s="260">
        <f>'[1]February - 2023'!DD13</f>
        <v>33057</v>
      </c>
      <c r="DB14" s="262">
        <f>'[1]February - 2023'!DE13</f>
        <v>16</v>
      </c>
      <c r="DC14" s="260">
        <f>'[1]February - 2023'!DF13</f>
        <v>33201</v>
      </c>
      <c r="DD14" s="262">
        <f>'[1]February - 2023'!DG13</f>
        <v>16</v>
      </c>
      <c r="DE14" s="260">
        <f>'[1]February - 2023'!DH13</f>
        <v>22452</v>
      </c>
      <c r="DF14" s="262">
        <f>'[1]February - 2023'!DI13</f>
        <v>9</v>
      </c>
      <c r="DG14" s="260">
        <f>'[1]February - 2023'!DJ13</f>
        <v>24375</v>
      </c>
      <c r="DH14" s="262">
        <f>'[1]February - 2023'!DK13</f>
        <v>4</v>
      </c>
      <c r="DI14" s="260">
        <f>'[1]February - 2023'!DL13</f>
        <v>7738</v>
      </c>
      <c r="DJ14" s="262">
        <f>'[1]February - 2023'!DM13</f>
        <v>12</v>
      </c>
      <c r="DK14" s="260">
        <f>'[1]February - 2023'!DN13</f>
        <v>10241</v>
      </c>
      <c r="DL14" s="262">
        <f>'[1]February - 2023'!DO13</f>
        <v>9</v>
      </c>
      <c r="DM14" s="260">
        <f>'[1]February - 2023'!DP13</f>
        <v>3535</v>
      </c>
      <c r="DN14" s="262">
        <f>'[1]February - 2023'!DQ13</f>
        <v>3</v>
      </c>
      <c r="DO14" s="260">
        <f>'[1]February - 2023'!DR13</f>
        <v>6927</v>
      </c>
      <c r="DP14" s="262">
        <f>'[1]February - 2023'!DS13</f>
        <v>7</v>
      </c>
      <c r="DQ14" s="260">
        <f>'[1]February - 2023'!DT13</f>
        <v>30518</v>
      </c>
      <c r="DR14" s="263">
        <f>'[1]February - 2023'!DU13</f>
        <v>4</v>
      </c>
      <c r="DS14" s="501"/>
      <c r="DT14" s="189">
        <f>'[1]February - 2023'!DW13</f>
        <v>6971.2</v>
      </c>
      <c r="DU14" s="200">
        <f>'[1]February - 2023'!DX13</f>
        <v>10.800000000000182</v>
      </c>
      <c r="DV14" s="87">
        <f>'[1]February - 2023'!DY13</f>
        <v>11735.1</v>
      </c>
      <c r="DW14" s="194">
        <f>'[1]February - 2023'!DZ13</f>
        <v>7.8999999999996362</v>
      </c>
      <c r="DX14" s="87">
        <f>'[1]February - 2023'!EA13</f>
        <v>5172</v>
      </c>
      <c r="DY14" s="194">
        <f>'[1]February - 2023'!EB13</f>
        <v>5.8000000000001819</v>
      </c>
      <c r="DZ14" s="87">
        <f>'[1]February - 2023'!EC13</f>
        <v>5770</v>
      </c>
      <c r="EA14" s="194">
        <f>'[1]February - 2023'!ED13</f>
        <v>7.5</v>
      </c>
      <c r="EB14" s="87">
        <f>'[1]February - 2023'!EE13</f>
        <v>1159411</v>
      </c>
      <c r="EC14" s="194">
        <f>'[1]February - 2023'!EF13</f>
        <v>530</v>
      </c>
      <c r="ED14" s="87">
        <f>'[1]February - 2023'!EI13</f>
        <v>239930.4</v>
      </c>
      <c r="EE14" s="207">
        <f>'[1]February - 2023'!EJ13</f>
        <v>150.69999999998254</v>
      </c>
      <c r="EF14" s="548"/>
      <c r="EG14" s="213">
        <f>'[1]February - 2023'!EL13</f>
        <v>12301300</v>
      </c>
      <c r="EH14" s="208">
        <f>'[1]February - 2023'!EM13</f>
        <v>2600</v>
      </c>
      <c r="EI14" s="86">
        <f>'[1]February - 2023'!EN13</f>
        <v>947250</v>
      </c>
      <c r="EJ14" s="208">
        <f>'[1]February - 2023'!EO13</f>
        <v>250</v>
      </c>
      <c r="EK14" s="86">
        <f>'[1]February - 2023'!EP13</f>
        <v>7300300</v>
      </c>
      <c r="EL14" s="208">
        <f>'[1]February - 2023'!EQ13</f>
        <v>800</v>
      </c>
      <c r="EM14" s="86">
        <f>'[1]February - 2023'!ER13</f>
        <v>2512800</v>
      </c>
      <c r="EN14" s="208">
        <f>'[1]February - 2023'!ES13</f>
        <v>500</v>
      </c>
      <c r="EO14" s="86">
        <f>'[1]February - 2023'!ET13</f>
        <v>1310100</v>
      </c>
      <c r="EP14" s="208">
        <f>'[1]February - 2023'!EU13</f>
        <v>640</v>
      </c>
      <c r="EQ14" s="86">
        <f>'[1]February - 2023'!EV13</f>
        <v>16742300</v>
      </c>
      <c r="ER14" s="208">
        <f>'[1]February - 2023'!EW13</f>
        <v>1200</v>
      </c>
      <c r="ES14" s="523"/>
      <c r="ET14" s="253">
        <f>'[1]February - 2023'!EY13</f>
        <v>43045</v>
      </c>
      <c r="EU14" s="266">
        <f>'[1]February - 2023'!EZ13</f>
        <v>17</v>
      </c>
      <c r="EV14" s="254">
        <f>'[1]February - 2023'!FA13</f>
        <v>37526</v>
      </c>
      <c r="EW14" s="266">
        <f>'[1]February - 2023'!FB13</f>
        <v>10</v>
      </c>
      <c r="EX14" s="254">
        <f>'[1]February - 2023'!FC13</f>
        <v>8120</v>
      </c>
      <c r="EY14" s="266">
        <f>'[1]February - 2023'!FD13</f>
        <v>10</v>
      </c>
      <c r="EZ14" s="254">
        <f>'[1]February - 2023'!FE13</f>
        <v>60107</v>
      </c>
      <c r="FA14" s="266">
        <f>'[1]February - 2023'!FF13</f>
        <v>12</v>
      </c>
      <c r="FB14" s="254">
        <f>'[1]February - 2023'!FG13</f>
        <v>51547</v>
      </c>
      <c r="FC14" s="264">
        <f>'[1]February - 2023'!FH13</f>
        <v>31</v>
      </c>
    </row>
    <row r="15" spans="1:159" ht="30" customHeight="1" x14ac:dyDescent="0.25">
      <c r="A15" s="186">
        <v>44963</v>
      </c>
      <c r="B15" s="188">
        <f>'[1]February - 2023'!B14</f>
        <v>0.72</v>
      </c>
      <c r="C15" s="228">
        <f>'[1]February - 2023'!E14</f>
        <v>246351</v>
      </c>
      <c r="D15" s="151">
        <f>'[1]February - 2023'!F15</f>
        <v>588</v>
      </c>
      <c r="E15" s="150">
        <f>'[1]February - 2023'!G14</f>
        <v>492</v>
      </c>
      <c r="F15" s="150">
        <f>'[1]February - 2023'!H14</f>
        <v>267899</v>
      </c>
      <c r="G15" s="151">
        <f>'[1]February - 2023'!I15</f>
        <v>381</v>
      </c>
      <c r="H15" s="150">
        <f>'[1]February - 2023'!J14</f>
        <v>116374</v>
      </c>
      <c r="I15" s="239">
        <f>'[1]February - 2023'!K14</f>
        <v>16824</v>
      </c>
      <c r="J15" s="151">
        <f>'[1]February - 2023'!L14</f>
        <v>183</v>
      </c>
      <c r="K15" s="239">
        <f>'[1]February - 2023'!N14</f>
        <v>930939</v>
      </c>
      <c r="L15" s="151">
        <f>'[1]February - 2023'!O14</f>
        <v>152</v>
      </c>
      <c r="M15" s="239">
        <f>'[1]February - 2023'!Q14</f>
        <v>245921</v>
      </c>
      <c r="N15" s="151">
        <f>'[1]February - 2023'!R14</f>
        <v>16</v>
      </c>
      <c r="O15" s="239">
        <f>'[1]February - 2023'!U14</f>
        <v>120701</v>
      </c>
      <c r="P15" s="151">
        <f>'[1]February - 2023'!V14</f>
        <v>68</v>
      </c>
      <c r="Q15" s="150">
        <f>'[1]February - 2023'!W14</f>
        <v>32</v>
      </c>
      <c r="R15" s="239">
        <f>'[1]February - 2023'!X14</f>
        <v>6767</v>
      </c>
      <c r="S15" s="187">
        <f>'[1]February - 2023'!Y14</f>
        <v>7</v>
      </c>
      <c r="T15" s="444"/>
      <c r="U15" s="244">
        <f>'[1]February - 2023'!AE14</f>
        <v>8290243.919999999</v>
      </c>
      <c r="V15" s="265">
        <f>'[1]February - 2023'!AF14</f>
        <v>1948.7999999998137</v>
      </c>
      <c r="W15" s="88">
        <f>'[1]February - 2023'!AG14</f>
        <v>2046.2400000002235</v>
      </c>
      <c r="X15" s="261">
        <f>'[1]February - 2023'!AH14</f>
        <v>15745719.359999999</v>
      </c>
      <c r="Y15" s="265">
        <f>'[1]February - 2023'!AI14</f>
        <v>4628.4000000003725</v>
      </c>
      <c r="Z15" s="88">
        <f>'[1]February - 2023'!AJ14</f>
        <v>4482.2400000002235</v>
      </c>
      <c r="AA15" s="261">
        <f>'[1]February - 2023'!AK14</f>
        <v>15929929.68</v>
      </c>
      <c r="AB15" s="265">
        <f>'[1]February - 2023'!AL14</f>
        <v>6333.5999999996275</v>
      </c>
      <c r="AC15" s="88">
        <f>'[1]February - 2023'!AM14</f>
        <v>0</v>
      </c>
      <c r="AD15" s="261">
        <f>'[1]February - 2023'!AN14</f>
        <v>19072418.399999999</v>
      </c>
      <c r="AE15" s="265">
        <f>'[1]February - 2023'!AO14</f>
        <v>1218</v>
      </c>
      <c r="AF15" s="88">
        <f>'[1]February - 2023'!AP14</f>
        <v>8379.839999999851</v>
      </c>
      <c r="AG15" s="261">
        <f>'[1]February - 2023'!AQ14</f>
        <v>19335506.399999999</v>
      </c>
      <c r="AH15" s="265">
        <f>'[1]February - 2023'!AR14</f>
        <v>1218</v>
      </c>
      <c r="AI15" s="88">
        <f>'[1]February - 2023'!AS14</f>
        <v>876.95999999716878</v>
      </c>
      <c r="AJ15" s="261">
        <f>'[1]February - 2023'!AT14</f>
        <v>17884137.599999998</v>
      </c>
      <c r="AK15" s="265">
        <f>'[1]February - 2023'!AU14</f>
        <v>5554.0799999982119</v>
      </c>
      <c r="AL15" s="88">
        <f>'[1]February - 2023'!AV14</f>
        <v>5554.0800000019372</v>
      </c>
      <c r="AM15" s="261">
        <f>'[1]February - 2023'!AW14</f>
        <v>15032214.959999999</v>
      </c>
      <c r="AN15" s="265">
        <f>'[1]February - 2023'!AX14</f>
        <v>3654</v>
      </c>
      <c r="AO15" s="88">
        <f>'[1]February - 2023'!AY14</f>
        <v>4092.4800000023097</v>
      </c>
      <c r="AP15" s="261">
        <f>'[1]February - 2023'!AZ14</f>
        <v>14578290.719999999</v>
      </c>
      <c r="AQ15" s="265">
        <f>'[1]February - 2023'!BA14</f>
        <v>4530.9599999990314</v>
      </c>
      <c r="AR15" s="88">
        <f>'[1]February - 2023'!BB14</f>
        <v>4043.7599999997765</v>
      </c>
      <c r="AS15" s="261">
        <f>'[1]February - 2023'!BC14</f>
        <v>11359701.359999999</v>
      </c>
      <c r="AT15" s="265">
        <f>'[1]February - 2023'!BD14</f>
        <v>3118.0799999982119</v>
      </c>
      <c r="AU15" s="88">
        <f>'[1]February - 2023'!BE14</f>
        <v>3751.4400000013411</v>
      </c>
      <c r="AV15" s="261">
        <f>'[1]February - 2023'!BF14</f>
        <v>18036338.879999999</v>
      </c>
      <c r="AW15" s="229">
        <f>'[1]February - 2023'!BG14</f>
        <v>5505.359999999404</v>
      </c>
      <c r="AX15" s="230">
        <f>'[1]February - 2023'!BH14</f>
        <v>5310.480000000447</v>
      </c>
      <c r="AY15" s="461"/>
      <c r="AZ15" s="247">
        <f>'[1]February - 2023'!BM14</f>
        <v>78690800</v>
      </c>
      <c r="BA15" s="160">
        <f>'[1]February - 2023'!BN14</f>
        <v>34600</v>
      </c>
      <c r="BB15" s="89">
        <f>'[1]February - 2023'!BO15</f>
        <v>0</v>
      </c>
      <c r="BC15" s="247">
        <f>'[1]February - 2023'!BP14</f>
        <v>81612700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75562200</v>
      </c>
      <c r="BG15" s="223">
        <f>'[1]February - 2023'!BT14</f>
        <v>4000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10625860</v>
      </c>
      <c r="BT15" s="165">
        <f>'[1]February - 2023'!BW14</f>
        <v>5560</v>
      </c>
      <c r="BU15" s="557"/>
      <c r="BV15" s="84">
        <f>'[1]February - 2023'!BY14</f>
        <v>0.67</v>
      </c>
      <c r="BW15" s="219">
        <f>'[1]February - 2023'!BZ14</f>
        <v>-0.17000000000000004</v>
      </c>
      <c r="BX15" s="84">
        <f>'[1]February - 2023'!CA14</f>
        <v>8.0000000000000071E-2</v>
      </c>
      <c r="BY15" s="85">
        <f>'[1]February - 2023'!CB14</f>
        <v>65432</v>
      </c>
      <c r="BZ15" s="171">
        <f>'[1]February - 2023'!CC14</f>
        <v>17</v>
      </c>
      <c r="CA15" s="85">
        <f>'[1]February - 2023'!CD14</f>
        <v>56578</v>
      </c>
      <c r="CB15" s="171">
        <f>'[1]February - 2023'!CE14</f>
        <v>21</v>
      </c>
      <c r="CC15" s="85">
        <f>'[1]February - 2023'!CF14</f>
        <v>19100</v>
      </c>
      <c r="CD15" s="171">
        <f>'[1]February - 2023'!CG14</f>
        <v>6</v>
      </c>
      <c r="CE15" s="85">
        <f>'[1]February - 2023'!CH14</f>
        <v>26170</v>
      </c>
      <c r="CF15" s="171">
        <f>'[1]February - 2023'!CI14</f>
        <v>9</v>
      </c>
      <c r="CG15" s="85">
        <f>'[1]February - 2023'!CJ14</f>
        <v>29350</v>
      </c>
      <c r="CH15" s="171">
        <f>'[1]February - 2023'!CK14</f>
        <v>16</v>
      </c>
      <c r="CI15" s="85">
        <f>'[1]February - 2023'!CL14</f>
        <v>64575</v>
      </c>
      <c r="CJ15" s="171">
        <f>'[1]February - 2023'!CM14</f>
        <v>34</v>
      </c>
      <c r="CK15" s="85">
        <f>'[1]February - 2023'!CN14</f>
        <v>272496</v>
      </c>
      <c r="CL15" s="224">
        <f>'[1]February - 2023'!CO14</f>
        <v>74</v>
      </c>
      <c r="CM15" s="85">
        <f>'[1]February - 2023'!CP14</f>
        <v>103</v>
      </c>
      <c r="CN15" s="85">
        <f>'[1]February - 2023'!CQ14</f>
        <v>221815</v>
      </c>
      <c r="CO15" s="224">
        <f>'[1]February - 2023'!CR14</f>
        <v>120</v>
      </c>
      <c r="CP15" s="85">
        <f>'[1]February - 2023'!CV14</f>
        <v>406</v>
      </c>
      <c r="CQ15" s="85">
        <f>'[1]February - 2023'!CT14</f>
        <v>371032</v>
      </c>
      <c r="CR15" s="224">
        <f>'[1]February - 2023'!CU14</f>
        <v>220</v>
      </c>
      <c r="CS15" s="85">
        <f>'[1]February - 2023'!CV14</f>
        <v>406</v>
      </c>
      <c r="CT15" s="85">
        <f>'[1]February - 2023'!CW14</f>
        <v>704859</v>
      </c>
      <c r="CU15" s="171">
        <f>'[1]February - 2023'!CX14</f>
        <v>173</v>
      </c>
      <c r="CV15" s="485"/>
      <c r="CW15" s="259">
        <f>'[1]February - 2023'!CZ14</f>
        <v>9356</v>
      </c>
      <c r="CX15" s="262">
        <f>'[1]February - 2023'!DA14</f>
        <v>4</v>
      </c>
      <c r="CY15" s="260">
        <f>'[1]February - 2023'!DB14</f>
        <v>6335</v>
      </c>
      <c r="CZ15" s="262">
        <f>'[1]February - 2023'!DC14</f>
        <v>2</v>
      </c>
      <c r="DA15" s="260">
        <f>'[1]February - 2023'!DD14</f>
        <v>33071</v>
      </c>
      <c r="DB15" s="262">
        <f>'[1]February - 2023'!DE14</f>
        <v>14</v>
      </c>
      <c r="DC15" s="260">
        <f>'[1]February - 2023'!DF14</f>
        <v>33213</v>
      </c>
      <c r="DD15" s="262">
        <f>'[1]February - 2023'!DG14</f>
        <v>12</v>
      </c>
      <c r="DE15" s="260">
        <f>'[1]February - 2023'!DH14</f>
        <v>22459</v>
      </c>
      <c r="DF15" s="262">
        <f>'[1]February - 2023'!DI14</f>
        <v>7</v>
      </c>
      <c r="DG15" s="260">
        <f>'[1]February - 2023'!DJ14</f>
        <v>24380</v>
      </c>
      <c r="DH15" s="262">
        <f>'[1]February - 2023'!DK14</f>
        <v>5</v>
      </c>
      <c r="DI15" s="260">
        <f>'[1]February - 2023'!DL14</f>
        <v>7745</v>
      </c>
      <c r="DJ15" s="262">
        <f>'[1]February - 2023'!DM14</f>
        <v>7</v>
      </c>
      <c r="DK15" s="260">
        <f>'[1]February - 2023'!DN14</f>
        <v>10250</v>
      </c>
      <c r="DL15" s="262">
        <f>'[1]February - 2023'!DO14</f>
        <v>9</v>
      </c>
      <c r="DM15" s="260">
        <f>'[1]February - 2023'!DP14</f>
        <v>3541</v>
      </c>
      <c r="DN15" s="262">
        <f>'[1]February - 2023'!DQ14</f>
        <v>6</v>
      </c>
      <c r="DO15" s="260">
        <f>'[1]February - 2023'!DR14</f>
        <v>6931</v>
      </c>
      <c r="DP15" s="262">
        <f>'[1]February - 2023'!DS14</f>
        <v>4</v>
      </c>
      <c r="DQ15" s="260">
        <f>'[1]February - 2023'!DT14</f>
        <v>30525</v>
      </c>
      <c r="DR15" s="263">
        <f>'[1]February - 2023'!DU14</f>
        <v>7</v>
      </c>
      <c r="DS15" s="501"/>
      <c r="DT15" s="189">
        <f>'[1]February - 2023'!DW14</f>
        <v>6982.1</v>
      </c>
      <c r="DU15" s="200">
        <f>'[1]February - 2023'!DX14</f>
        <v>10.900000000000546</v>
      </c>
      <c r="DV15" s="87">
        <f>'[1]February - 2023'!DY14</f>
        <v>11743.1</v>
      </c>
      <c r="DW15" s="194">
        <f>'[1]February - 2023'!DZ14</f>
        <v>8</v>
      </c>
      <c r="DX15" s="87">
        <f>'[1]February - 2023'!EA14</f>
        <v>5177.7</v>
      </c>
      <c r="DY15" s="194">
        <f>'[1]February - 2023'!EB14</f>
        <v>5.6999999999998181</v>
      </c>
      <c r="DZ15" s="87">
        <f>'[1]February - 2023'!EC14</f>
        <v>5776.3</v>
      </c>
      <c r="EA15" s="194">
        <f>'[1]February - 2023'!ED14</f>
        <v>6.3000000000001819</v>
      </c>
      <c r="EB15" s="87">
        <f>'[1]February - 2023'!EE14</f>
        <v>1159948</v>
      </c>
      <c r="EC15" s="194">
        <f>'[1]February - 2023'!EF14</f>
        <v>537</v>
      </c>
      <c r="ED15" s="87">
        <f>'[1]February - 2023'!EI14</f>
        <v>240082.8</v>
      </c>
      <c r="EE15" s="207">
        <f>'[1]February - 2023'!EJ14</f>
        <v>152.39999999999418</v>
      </c>
      <c r="EF15" s="548"/>
      <c r="EG15" s="213">
        <f>'[1]February - 2023'!EL14</f>
        <v>12304000</v>
      </c>
      <c r="EH15" s="208">
        <f>'[1]February - 2023'!EM14</f>
        <v>2700</v>
      </c>
      <c r="EI15" s="86">
        <f>'[1]February - 2023'!EN14</f>
        <v>947500</v>
      </c>
      <c r="EJ15" s="208">
        <f>'[1]February - 2023'!EO14</f>
        <v>250</v>
      </c>
      <c r="EK15" s="86">
        <f>'[1]February - 2023'!EP14</f>
        <v>7301200</v>
      </c>
      <c r="EL15" s="208">
        <f>'[1]February - 2023'!EQ14</f>
        <v>900</v>
      </c>
      <c r="EM15" s="86">
        <f>'[1]February - 2023'!ER14</f>
        <v>2513200</v>
      </c>
      <c r="EN15" s="208">
        <f>'[1]February - 2023'!ES14</f>
        <v>400</v>
      </c>
      <c r="EO15" s="86">
        <f>'[1]February - 2023'!ET14</f>
        <v>1310790</v>
      </c>
      <c r="EP15" s="208">
        <f>'[1]February - 2023'!EU14</f>
        <v>690</v>
      </c>
      <c r="EQ15" s="86">
        <f>'[1]February - 2023'!EV14</f>
        <v>16743500</v>
      </c>
      <c r="ER15" s="208">
        <f>'[1]February - 2023'!EW14</f>
        <v>1200</v>
      </c>
      <c r="ES15" s="523"/>
      <c r="ET15" s="253">
        <f>'[1]February - 2023'!EY14</f>
        <v>43060</v>
      </c>
      <c r="EU15" s="266">
        <f>'[1]February - 2023'!EZ14</f>
        <v>15</v>
      </c>
      <c r="EV15" s="254">
        <f>'[1]February - 2023'!FA14</f>
        <v>37537</v>
      </c>
      <c r="EW15" s="266">
        <f>'[1]February - 2023'!FB14</f>
        <v>11</v>
      </c>
      <c r="EX15" s="254">
        <f>'[1]February - 2023'!FC14</f>
        <v>8129</v>
      </c>
      <c r="EY15" s="266">
        <f>'[1]February - 2023'!FD14</f>
        <v>9</v>
      </c>
      <c r="EZ15" s="254">
        <f>'[1]February - 2023'!FE14</f>
        <v>60120</v>
      </c>
      <c r="FA15" s="266">
        <f>'[1]February - 2023'!FF14</f>
        <v>13</v>
      </c>
      <c r="FB15" s="254">
        <f>'[1]February - 2023'!FG14</f>
        <v>51576</v>
      </c>
      <c r="FC15" s="264">
        <f>'[1]February - 2023'!FH14</f>
        <v>29</v>
      </c>
    </row>
    <row r="16" spans="1:159" ht="30" customHeight="1" x14ac:dyDescent="0.25">
      <c r="A16" s="186">
        <v>44964</v>
      </c>
      <c r="B16" s="188">
        <f>'[1]February - 2023'!B15</f>
        <v>0.57999999999999996</v>
      </c>
      <c r="C16" s="228">
        <f>'[1]February - 2023'!E15</f>
        <v>246939</v>
      </c>
      <c r="D16" s="151">
        <f>'[1]February - 2023'!F16</f>
        <v>629</v>
      </c>
      <c r="E16" s="150">
        <f>'[1]February - 2023'!G15</f>
        <v>518</v>
      </c>
      <c r="F16" s="150">
        <f>'[1]February - 2023'!H15</f>
        <v>268280</v>
      </c>
      <c r="G16" s="151">
        <f>'[1]February - 2023'!I16</f>
        <v>404</v>
      </c>
      <c r="H16" s="150">
        <f>'[1]February - 2023'!J15</f>
        <v>116762</v>
      </c>
      <c r="I16" s="239">
        <f>'[1]February - 2023'!K15</f>
        <v>17025</v>
      </c>
      <c r="J16" s="151">
        <f>'[1]February - 2023'!L15</f>
        <v>201</v>
      </c>
      <c r="K16" s="239">
        <f>'[1]February - 2023'!N15</f>
        <v>931159</v>
      </c>
      <c r="L16" s="151">
        <f>'[1]February - 2023'!O15</f>
        <v>220</v>
      </c>
      <c r="M16" s="239">
        <f>'[1]February - 2023'!Q15</f>
        <v>245994</v>
      </c>
      <c r="N16" s="151">
        <f>'[1]February - 2023'!R15</f>
        <v>73</v>
      </c>
      <c r="O16" s="239">
        <f>'[1]February - 2023'!U15</f>
        <v>120790</v>
      </c>
      <c r="P16" s="151">
        <f>'[1]February - 2023'!V15</f>
        <v>89</v>
      </c>
      <c r="Q16" s="150">
        <f>'[1]February - 2023'!W15</f>
        <v>44</v>
      </c>
      <c r="R16" s="239">
        <f>'[1]February - 2023'!X15</f>
        <v>6774</v>
      </c>
      <c r="S16" s="187">
        <f>'[1]February - 2023'!Y15</f>
        <v>7</v>
      </c>
      <c r="T16" s="444"/>
      <c r="U16" s="244">
        <f>'[1]February - 2023'!AE15</f>
        <v>8292192.7199999988</v>
      </c>
      <c r="V16" s="265">
        <f>'[1]February - 2023'!AF15</f>
        <v>1948.7999999998137</v>
      </c>
      <c r="W16" s="88">
        <f>'[1]February - 2023'!AG15</f>
        <v>2874.4799999995157</v>
      </c>
      <c r="X16" s="261">
        <f>'[1]February - 2023'!AH15</f>
        <v>15750396.48</v>
      </c>
      <c r="Y16" s="265">
        <f>'[1]February - 2023'!AI15</f>
        <v>4677.1200000010431</v>
      </c>
      <c r="Z16" s="88">
        <f>'[1]February - 2023'!AJ15</f>
        <v>4823.2799999993294</v>
      </c>
      <c r="AA16" s="261">
        <f>'[1]February - 2023'!AK15</f>
        <v>15929978.4</v>
      </c>
      <c r="AB16" s="265">
        <f>'[1]February - 2023'!AL15</f>
        <v>48.720000000670552</v>
      </c>
      <c r="AC16" s="88">
        <f>'[1]February - 2023'!AM15</f>
        <v>0</v>
      </c>
      <c r="AD16" s="261">
        <f>'[1]February - 2023'!AN15</f>
        <v>19074269.760000002</v>
      </c>
      <c r="AE16" s="265">
        <f>'[1]February - 2023'!AO15</f>
        <v>1851.3600000031292</v>
      </c>
      <c r="AF16" s="88">
        <f>'[1]February - 2023'!AP15</f>
        <v>7990.0799999982119</v>
      </c>
      <c r="AG16" s="261">
        <f>'[1]February - 2023'!AQ15</f>
        <v>19343301.599999998</v>
      </c>
      <c r="AH16" s="265">
        <f>'[1]February - 2023'!AR15</f>
        <v>7795.1999999992549</v>
      </c>
      <c r="AI16" s="88">
        <f>'[1]February - 2023'!AS15</f>
        <v>48.720000002533197</v>
      </c>
      <c r="AJ16" s="261">
        <f>'[1]February - 2023'!AT15</f>
        <v>17889691.68</v>
      </c>
      <c r="AK16" s="265">
        <f>'[1]February - 2023'!AU15</f>
        <v>5554.0800000019372</v>
      </c>
      <c r="AL16" s="88">
        <f>'[1]February - 2023'!AV15</f>
        <v>5846.3999999985099</v>
      </c>
      <c r="AM16" s="261">
        <f>'[1]February - 2023'!AW15</f>
        <v>15036210</v>
      </c>
      <c r="AN16" s="265">
        <f>'[1]February - 2023'!AX15</f>
        <v>3995.0400000009686</v>
      </c>
      <c r="AO16" s="88">
        <f>'[1]February - 2023'!AY15</f>
        <v>4384.7999999988824</v>
      </c>
      <c r="AP16" s="261">
        <f>'[1]February - 2023'!AZ15</f>
        <v>14582480.640000001</v>
      </c>
      <c r="AQ16" s="265">
        <f>'[1]February - 2023'!BA15</f>
        <v>4189.9200000017881</v>
      </c>
      <c r="AR16" s="88">
        <f>'[1]February - 2023'!BB15</f>
        <v>4238.640000000596</v>
      </c>
      <c r="AS16" s="261">
        <f>'[1]February - 2023'!BC15</f>
        <v>11362965.6</v>
      </c>
      <c r="AT16" s="265">
        <f>'[1]February - 2023'!BD15</f>
        <v>3264.2400000002235</v>
      </c>
      <c r="AU16" s="88">
        <f>'[1]February - 2023'!BE15</f>
        <v>3800.1599999982864</v>
      </c>
      <c r="AV16" s="261">
        <f>'[1]February - 2023'!BF15</f>
        <v>18041844.239999998</v>
      </c>
      <c r="AW16" s="229">
        <f>'[1]February - 2023'!BG15</f>
        <v>5505.359999999404</v>
      </c>
      <c r="AX16" s="230">
        <f>'[1]February - 2023'!BH15</f>
        <v>5359.1999999992549</v>
      </c>
      <c r="AY16" s="461"/>
      <c r="AZ16" s="247">
        <f>'[1]February - 2023'!BM15</f>
        <v>78690800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81617000</v>
      </c>
      <c r="BD16" s="223">
        <f>'[1]February - 2023'!BQ15</f>
        <v>4300</v>
      </c>
      <c r="BE16" s="89">
        <f>'[1]February - 2023'!BR15</f>
        <v>32500</v>
      </c>
      <c r="BF16" s="247">
        <f>'[1]February - 2023'!BS15</f>
        <v>75602000</v>
      </c>
      <c r="BG16" s="223">
        <f>'[1]February - 2023'!BT15</f>
        <v>39800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10631870</v>
      </c>
      <c r="BT16" s="165">
        <f>'[1]February - 2023'!BW15</f>
        <v>6010</v>
      </c>
      <c r="BU16" s="557"/>
      <c r="BV16" s="84">
        <f>'[1]February - 2023'!BY15</f>
        <v>0.75</v>
      </c>
      <c r="BW16" s="219">
        <f>'[1]February - 2023'!BZ15</f>
        <v>-7.999999999999996E-2</v>
      </c>
      <c r="BX16" s="84">
        <f>'[1]February - 2023'!CA15</f>
        <v>-9.000000000000008E-2</v>
      </c>
      <c r="BY16" s="85">
        <f>'[1]February - 2023'!CB15</f>
        <v>65447</v>
      </c>
      <c r="BZ16" s="171">
        <f>'[1]February - 2023'!CC15</f>
        <v>15</v>
      </c>
      <c r="CA16" s="85">
        <f>'[1]February - 2023'!CD15</f>
        <v>56597</v>
      </c>
      <c r="CB16" s="171">
        <f>'[1]February - 2023'!CE15</f>
        <v>19</v>
      </c>
      <c r="CC16" s="85">
        <f>'[1]February - 2023'!CF15</f>
        <v>19105</v>
      </c>
      <c r="CD16" s="171">
        <f>'[1]February - 2023'!CG15</f>
        <v>5</v>
      </c>
      <c r="CE16" s="85">
        <f>'[1]February - 2023'!CH15</f>
        <v>26179</v>
      </c>
      <c r="CF16" s="171">
        <f>'[1]February - 2023'!CI15</f>
        <v>9</v>
      </c>
      <c r="CG16" s="85">
        <f>'[1]February - 2023'!CJ15</f>
        <v>29365</v>
      </c>
      <c r="CH16" s="171">
        <f>'[1]February - 2023'!CK15</f>
        <v>15</v>
      </c>
      <c r="CI16" s="85">
        <f>'[1]February - 2023'!CL15</f>
        <v>64608</v>
      </c>
      <c r="CJ16" s="171">
        <f>'[1]February - 2023'!CM15</f>
        <v>33</v>
      </c>
      <c r="CK16" s="85">
        <f>'[1]February - 2023'!CN15</f>
        <v>272572</v>
      </c>
      <c r="CL16" s="224">
        <f>'[1]February - 2023'!CO15</f>
        <v>76</v>
      </c>
      <c r="CM16" s="85">
        <f>'[1]February - 2023'!CP15</f>
        <v>108</v>
      </c>
      <c r="CN16" s="85">
        <f>'[1]February - 2023'!CQ15</f>
        <v>221928</v>
      </c>
      <c r="CO16" s="224">
        <f>'[1]February - 2023'!CR15</f>
        <v>113</v>
      </c>
      <c r="CP16" s="85">
        <f>'[1]February - 2023'!CV15</f>
        <v>447</v>
      </c>
      <c r="CQ16" s="85">
        <f>'[1]February - 2023'!CT15</f>
        <v>371235</v>
      </c>
      <c r="CR16" s="224">
        <f>'[1]February - 2023'!CU15</f>
        <v>203</v>
      </c>
      <c r="CS16" s="85">
        <f>'[1]February - 2023'!CV15</f>
        <v>447</v>
      </c>
      <c r="CT16" s="85">
        <f>'[1]February - 2023'!CW15</f>
        <v>705036</v>
      </c>
      <c r="CU16" s="171">
        <f>'[1]February - 2023'!CX15</f>
        <v>177</v>
      </c>
      <c r="CV16" s="485"/>
      <c r="CW16" s="259">
        <f>'[1]February - 2023'!CZ15</f>
        <v>9361</v>
      </c>
      <c r="CX16" s="262">
        <f>'[1]February - 2023'!DA15</f>
        <v>5</v>
      </c>
      <c r="CY16" s="260">
        <f>'[1]February - 2023'!DB15</f>
        <v>6338</v>
      </c>
      <c r="CZ16" s="262">
        <f>'[1]February - 2023'!DC15</f>
        <v>3</v>
      </c>
      <c r="DA16" s="260">
        <f>'[1]February - 2023'!DD15</f>
        <v>33074</v>
      </c>
      <c r="DB16" s="262">
        <f>'[1]February - 2023'!DE15</f>
        <v>3</v>
      </c>
      <c r="DC16" s="260">
        <f>'[1]February - 2023'!DF15</f>
        <v>33227</v>
      </c>
      <c r="DD16" s="262">
        <f>'[1]February - 2023'!DG15</f>
        <v>14</v>
      </c>
      <c r="DE16" s="260">
        <f>'[1]February - 2023'!DH15</f>
        <v>22466</v>
      </c>
      <c r="DF16" s="262">
        <f>'[1]February - 2023'!DI15</f>
        <v>7</v>
      </c>
      <c r="DG16" s="260">
        <f>'[1]February - 2023'!DJ15</f>
        <v>24384</v>
      </c>
      <c r="DH16" s="262">
        <f>'[1]February - 2023'!DK15</f>
        <v>4</v>
      </c>
      <c r="DI16" s="260">
        <f>'[1]February - 2023'!DL15</f>
        <v>7752</v>
      </c>
      <c r="DJ16" s="262">
        <f>'[1]February - 2023'!DM15</f>
        <v>7</v>
      </c>
      <c r="DK16" s="260">
        <f>'[1]February - 2023'!DN15</f>
        <v>10260</v>
      </c>
      <c r="DL16" s="262">
        <f>'[1]February - 2023'!DO15</f>
        <v>10</v>
      </c>
      <c r="DM16" s="260">
        <f>'[1]February - 2023'!DP15</f>
        <v>3547</v>
      </c>
      <c r="DN16" s="262">
        <f>'[1]February - 2023'!DQ15</f>
        <v>6</v>
      </c>
      <c r="DO16" s="260">
        <f>'[1]February - 2023'!DR15</f>
        <v>6935</v>
      </c>
      <c r="DP16" s="262">
        <f>'[1]February - 2023'!DS15</f>
        <v>4</v>
      </c>
      <c r="DQ16" s="260">
        <f>'[1]February - 2023'!DT15</f>
        <v>30525</v>
      </c>
      <c r="DR16" s="263">
        <f>'[1]February - 2023'!DU15</f>
        <v>0</v>
      </c>
      <c r="DS16" s="501"/>
      <c r="DT16" s="189">
        <f>'[1]February - 2023'!DW15</f>
        <v>6992.1</v>
      </c>
      <c r="DU16" s="200">
        <f>'[1]February - 2023'!DX15</f>
        <v>10</v>
      </c>
      <c r="DV16" s="87">
        <f>'[1]February - 2023'!DY15</f>
        <v>11751.1</v>
      </c>
      <c r="DW16" s="194">
        <f>'[1]February - 2023'!DZ15</f>
        <v>8</v>
      </c>
      <c r="DX16" s="87">
        <f>'[1]February - 2023'!EA15</f>
        <v>5183.6000000000004</v>
      </c>
      <c r="DY16" s="194">
        <f>'[1]February - 2023'!EB15</f>
        <v>5.9000000000005457</v>
      </c>
      <c r="DZ16" s="87">
        <f>'[1]February - 2023'!EC15</f>
        <v>5782.9</v>
      </c>
      <c r="EA16" s="194">
        <f>'[1]February - 2023'!ED15</f>
        <v>6.5999999999994543</v>
      </c>
      <c r="EB16" s="87">
        <f>'[1]February - 2023'!EE15</f>
        <v>1160468</v>
      </c>
      <c r="EC16" s="194">
        <f>'[1]February - 2023'!EF15</f>
        <v>520</v>
      </c>
      <c r="ED16" s="87">
        <f>'[1]February - 2023'!EI15</f>
        <v>240234.6</v>
      </c>
      <c r="EE16" s="207">
        <f>'[1]February - 2023'!EJ15</f>
        <v>151.80000000001746</v>
      </c>
      <c r="EF16" s="548"/>
      <c r="EG16" s="213">
        <f>'[1]February - 2023'!EL15</f>
        <v>12307000</v>
      </c>
      <c r="EH16" s="208">
        <f>'[1]February - 2023'!EM15</f>
        <v>3000</v>
      </c>
      <c r="EI16" s="86">
        <f>'[1]February - 2023'!EN15</f>
        <v>947750</v>
      </c>
      <c r="EJ16" s="208">
        <f>'[1]February - 2023'!EO15</f>
        <v>250</v>
      </c>
      <c r="EK16" s="86">
        <f>'[1]February - 2023'!EP15</f>
        <v>7302200</v>
      </c>
      <c r="EL16" s="208">
        <f>'[1]February - 2023'!EQ15</f>
        <v>1000</v>
      </c>
      <c r="EM16" s="86">
        <f>'[1]February - 2023'!ER15</f>
        <v>2513600</v>
      </c>
      <c r="EN16" s="208">
        <f>'[1]February - 2023'!ES15</f>
        <v>400</v>
      </c>
      <c r="EO16" s="86">
        <f>'[1]February - 2023'!ET15</f>
        <v>1311460</v>
      </c>
      <c r="EP16" s="208">
        <f>'[1]February - 2023'!EU15</f>
        <v>670</v>
      </c>
      <c r="EQ16" s="86">
        <f>'[1]February - 2023'!EV15</f>
        <v>16745500</v>
      </c>
      <c r="ER16" s="208">
        <f>'[1]February - 2023'!EW15</f>
        <v>2000</v>
      </c>
      <c r="ES16" s="523"/>
      <c r="ET16" s="253">
        <f>'[1]February - 2023'!EY15</f>
        <v>43076</v>
      </c>
      <c r="EU16" s="266">
        <f>'[1]February - 2023'!EZ15</f>
        <v>16</v>
      </c>
      <c r="EV16" s="254">
        <f>'[1]February - 2023'!FA15</f>
        <v>37547</v>
      </c>
      <c r="EW16" s="266">
        <f>'[1]February - 2023'!FB15</f>
        <v>10</v>
      </c>
      <c r="EX16" s="254">
        <f>'[1]February - 2023'!FC15</f>
        <v>8138</v>
      </c>
      <c r="EY16" s="266">
        <f>'[1]February - 2023'!FD15</f>
        <v>9</v>
      </c>
      <c r="EZ16" s="254">
        <f>'[1]February - 2023'!FE15</f>
        <v>60132</v>
      </c>
      <c r="FA16" s="266">
        <f>'[1]February - 2023'!FF15</f>
        <v>12</v>
      </c>
      <c r="FB16" s="254">
        <f>'[1]February - 2023'!FG15</f>
        <v>51608</v>
      </c>
      <c r="FC16" s="264">
        <f>'[1]February - 2023'!FH15</f>
        <v>32</v>
      </c>
    </row>
    <row r="17" spans="1:159" ht="30" customHeight="1" x14ac:dyDescent="0.25">
      <c r="A17" s="186">
        <v>44965</v>
      </c>
      <c r="B17" s="188">
        <f>'[1]February - 2023'!B16</f>
        <v>0.68</v>
      </c>
      <c r="C17" s="228">
        <f>'[1]February - 2023'!E16</f>
        <v>247568</v>
      </c>
      <c r="D17" s="151">
        <f>'[1]February - 2023'!F17</f>
        <v>610</v>
      </c>
      <c r="E17" s="150">
        <f>'[1]February - 2023'!G16</f>
        <v>521</v>
      </c>
      <c r="F17" s="150">
        <f>'[1]February - 2023'!H16</f>
        <v>268684</v>
      </c>
      <c r="G17" s="151">
        <f>'[1]February - 2023'!I17</f>
        <v>416</v>
      </c>
      <c r="H17" s="150">
        <f>'[1]February - 2023'!J16</f>
        <v>117183</v>
      </c>
      <c r="I17" s="239">
        <f>'[1]February - 2023'!K16</f>
        <v>17223</v>
      </c>
      <c r="J17" s="151">
        <f>'[1]February - 2023'!L16</f>
        <v>198</v>
      </c>
      <c r="K17" s="239">
        <f>'[1]February - 2023'!N16</f>
        <v>931423</v>
      </c>
      <c r="L17" s="151">
        <f>'[1]February - 2023'!O16</f>
        <v>264</v>
      </c>
      <c r="M17" s="239">
        <f>'[1]February - 2023'!Q16</f>
        <v>246084</v>
      </c>
      <c r="N17" s="151">
        <f>'[1]February - 2023'!R16</f>
        <v>90</v>
      </c>
      <c r="O17" s="239">
        <f>'[1]February - 2023'!U16</f>
        <v>120875</v>
      </c>
      <c r="P17" s="151">
        <f>'[1]February - 2023'!V16</f>
        <v>85</v>
      </c>
      <c r="Q17" s="150">
        <f>'[1]February - 2023'!W16</f>
        <v>214</v>
      </c>
      <c r="R17" s="239">
        <f>'[1]February - 2023'!X16</f>
        <v>6780</v>
      </c>
      <c r="S17" s="187">
        <f>'[1]February - 2023'!Y16</f>
        <v>6</v>
      </c>
      <c r="T17" s="444"/>
      <c r="U17" s="244">
        <f>'[1]February - 2023'!AE16</f>
        <v>8294190.2400000002</v>
      </c>
      <c r="V17" s="265">
        <f>'[1]February - 2023'!AF16</f>
        <v>1997.5200000014156</v>
      </c>
      <c r="W17" s="88">
        <f>'[1]February - 2023'!AG16</f>
        <v>2874.480000000447</v>
      </c>
      <c r="X17" s="261">
        <f>'[1]February - 2023'!AH16</f>
        <v>15754927.439999999</v>
      </c>
      <c r="Y17" s="265">
        <f>'[1]February - 2023'!AI16</f>
        <v>4530.9599999990314</v>
      </c>
      <c r="Z17" s="88">
        <f>'[1]February - 2023'!AJ16</f>
        <v>4774.5599999986589</v>
      </c>
      <c r="AA17" s="261">
        <f>'[1]February - 2023'!AK16</f>
        <v>15929978.4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19082552.16</v>
      </c>
      <c r="AE17" s="265">
        <f>'[1]February - 2023'!AO16</f>
        <v>8282.3999999985099</v>
      </c>
      <c r="AF17" s="88">
        <f>'[1]February - 2023'!AP16</f>
        <v>2484.7200000025332</v>
      </c>
      <c r="AG17" s="261">
        <f>'[1]February - 2023'!AQ16</f>
        <v>19344958.080000002</v>
      </c>
      <c r="AH17" s="265">
        <f>'[1]February - 2023'!AR16</f>
        <v>1656.4800000041723</v>
      </c>
      <c r="AI17" s="88">
        <f>'[1]February - 2023'!AS16</f>
        <v>4823.2799999974668</v>
      </c>
      <c r="AJ17" s="261">
        <f>'[1]February - 2023'!AT16</f>
        <v>17895391.919999998</v>
      </c>
      <c r="AK17" s="265">
        <f>'[1]February - 2023'!AU16</f>
        <v>5700.2399999983609</v>
      </c>
      <c r="AL17" s="88">
        <f>'[1]February - 2023'!AV16</f>
        <v>5602.8000000007451</v>
      </c>
      <c r="AM17" s="261">
        <f>'[1]February - 2023'!AW16</f>
        <v>15040058.880000001</v>
      </c>
      <c r="AN17" s="265">
        <f>'[1]February - 2023'!AX16</f>
        <v>3848.8800000008196</v>
      </c>
      <c r="AO17" s="88">
        <f>'[1]February - 2023'!AY16</f>
        <v>4287.359999999404</v>
      </c>
      <c r="AP17" s="261">
        <f>'[1]February - 2023'!AZ16</f>
        <v>14586573.119999999</v>
      </c>
      <c r="AQ17" s="265">
        <f>'[1]February - 2023'!BA16</f>
        <v>4092.4799999985844</v>
      </c>
      <c r="AR17" s="88">
        <f>'[1]February - 2023'!BB16</f>
        <v>4287.359999999404</v>
      </c>
      <c r="AS17" s="261">
        <f>'[1]February - 2023'!BC16</f>
        <v>11365693.92</v>
      </c>
      <c r="AT17" s="265">
        <f>'[1]February - 2023'!BD16</f>
        <v>2728.320000000298</v>
      </c>
      <c r="AU17" s="88">
        <f>'[1]February - 2023'!BE16</f>
        <v>3410.4000000003725</v>
      </c>
      <c r="AV17" s="261">
        <f>'[1]February - 2023'!BF16</f>
        <v>18047398.32</v>
      </c>
      <c r="AW17" s="229">
        <f>'[1]February - 2023'!BG16</f>
        <v>5554.0800000019372</v>
      </c>
      <c r="AX17" s="230">
        <f>'[1]February - 2023'!BH16</f>
        <v>5456.6399999987334</v>
      </c>
      <c r="AY17" s="461"/>
      <c r="AZ17" s="247">
        <f>'[1]February - 2023'!BM16</f>
        <v>78690800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81659200</v>
      </c>
      <c r="BD17" s="223">
        <f>'[1]February - 2023'!BQ16</f>
        <v>42200</v>
      </c>
      <c r="BE17" s="89">
        <f>'[1]February - 2023'!BR16</f>
        <v>10800</v>
      </c>
      <c r="BF17" s="247">
        <f>'[1]February - 2023'!BS16</f>
        <v>75606200</v>
      </c>
      <c r="BG17" s="223">
        <f>'[1]February - 2023'!BT16</f>
        <v>4200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10638000</v>
      </c>
      <c r="BT17" s="165">
        <f>'[1]February - 2023'!BW16</f>
        <v>6130</v>
      </c>
      <c r="BU17" s="557"/>
      <c r="BV17" s="84">
        <f>'[1]February - 2023'!BY16</f>
        <v>0.68</v>
      </c>
      <c r="BW17" s="219">
        <f>'[1]February - 2023'!BZ16</f>
        <v>6.9999999999999951E-2</v>
      </c>
      <c r="BX17" s="84">
        <f>'[1]February - 2023'!CA16</f>
        <v>9.9999999999999978E-2</v>
      </c>
      <c r="BY17" s="85">
        <f>'[1]February - 2023'!CB16</f>
        <v>65464</v>
      </c>
      <c r="BZ17" s="171">
        <f>'[1]February - 2023'!CC16</f>
        <v>17</v>
      </c>
      <c r="CA17" s="85">
        <f>'[1]February - 2023'!CD16</f>
        <v>56617</v>
      </c>
      <c r="CB17" s="171">
        <f>'[1]February - 2023'!CE16</f>
        <v>20</v>
      </c>
      <c r="CC17" s="85">
        <f>'[1]February - 2023'!CF16</f>
        <v>19114</v>
      </c>
      <c r="CD17" s="171">
        <f>'[1]February - 2023'!CG16</f>
        <v>9</v>
      </c>
      <c r="CE17" s="85">
        <f>'[1]February - 2023'!CH16</f>
        <v>26188</v>
      </c>
      <c r="CF17" s="171">
        <f>'[1]February - 2023'!CI16</f>
        <v>9</v>
      </c>
      <c r="CG17" s="85">
        <f>'[1]February - 2023'!CJ16</f>
        <v>29380</v>
      </c>
      <c r="CH17" s="171">
        <f>'[1]February - 2023'!CK16</f>
        <v>15</v>
      </c>
      <c r="CI17" s="85">
        <f>'[1]February - 2023'!CL16</f>
        <v>64644</v>
      </c>
      <c r="CJ17" s="171">
        <f>'[1]February - 2023'!CM16</f>
        <v>36</v>
      </c>
      <c r="CK17" s="85">
        <f>'[1]February - 2023'!CN16</f>
        <v>272647</v>
      </c>
      <c r="CL17" s="224">
        <f>'[1]February - 2023'!CO16</f>
        <v>75</v>
      </c>
      <c r="CM17" s="85">
        <f>'[1]February - 2023'!CP16</f>
        <v>108</v>
      </c>
      <c r="CN17" s="85">
        <f>'[1]February - 2023'!CQ16</f>
        <v>222046</v>
      </c>
      <c r="CO17" s="224">
        <f>'[1]February - 2023'!CR16</f>
        <v>118</v>
      </c>
      <c r="CP17" s="85">
        <f>'[1]February - 2023'!CV16</f>
        <v>447</v>
      </c>
      <c r="CQ17" s="85">
        <f>'[1]February - 2023'!CT16</f>
        <v>371493</v>
      </c>
      <c r="CR17" s="224">
        <f>'[1]February - 2023'!CU16</f>
        <v>258</v>
      </c>
      <c r="CS17" s="85">
        <f>'[1]February - 2023'!CV16</f>
        <v>447</v>
      </c>
      <c r="CT17" s="85">
        <f>'[1]February - 2023'!CW16</f>
        <v>705211</v>
      </c>
      <c r="CU17" s="171">
        <f>'[1]February - 2023'!CX16</f>
        <v>175</v>
      </c>
      <c r="CV17" s="485"/>
      <c r="CW17" s="259">
        <f>'[1]February - 2023'!CZ16</f>
        <v>9374</v>
      </c>
      <c r="CX17" s="262">
        <f>'[1]February - 2023'!DA16</f>
        <v>13</v>
      </c>
      <c r="CY17" s="260">
        <f>'[1]February - 2023'!DB16</f>
        <v>6345</v>
      </c>
      <c r="CZ17" s="262">
        <f>'[1]February - 2023'!DC16</f>
        <v>7</v>
      </c>
      <c r="DA17" s="260">
        <f>'[1]February - 2023'!DD16</f>
        <v>33078</v>
      </c>
      <c r="DB17" s="262">
        <f>'[1]February - 2023'!DE16</f>
        <v>4</v>
      </c>
      <c r="DC17" s="260">
        <f>'[1]February - 2023'!DF16</f>
        <v>33240</v>
      </c>
      <c r="DD17" s="262">
        <f>'[1]February - 2023'!DG16</f>
        <v>13</v>
      </c>
      <c r="DE17" s="260">
        <f>'[1]February - 2023'!DH16</f>
        <v>22474</v>
      </c>
      <c r="DF17" s="262">
        <f>'[1]February - 2023'!DI16</f>
        <v>8</v>
      </c>
      <c r="DG17" s="260">
        <f>'[1]February - 2023'!DJ16</f>
        <v>24388</v>
      </c>
      <c r="DH17" s="262">
        <f>'[1]February - 2023'!DK16</f>
        <v>4</v>
      </c>
      <c r="DI17" s="260">
        <f>'[1]February - 2023'!DL16</f>
        <v>7761</v>
      </c>
      <c r="DJ17" s="262">
        <f>'[1]February - 2023'!DM16</f>
        <v>9</v>
      </c>
      <c r="DK17" s="260">
        <f>'[1]February - 2023'!DN16</f>
        <v>10269</v>
      </c>
      <c r="DL17" s="262">
        <f>'[1]February - 2023'!DO16</f>
        <v>9</v>
      </c>
      <c r="DM17" s="260">
        <f>'[1]February - 2023'!DP16</f>
        <v>3552</v>
      </c>
      <c r="DN17" s="262">
        <f>'[1]February - 2023'!DQ16</f>
        <v>5</v>
      </c>
      <c r="DO17" s="260">
        <f>'[1]February - 2023'!DR16</f>
        <v>6940</v>
      </c>
      <c r="DP17" s="262">
        <f>'[1]February - 2023'!DS16</f>
        <v>5</v>
      </c>
      <c r="DQ17" s="260">
        <f>'[1]February - 2023'!DT16</f>
        <v>30531</v>
      </c>
      <c r="DR17" s="263">
        <f>'[1]February - 2023'!DU16</f>
        <v>6</v>
      </c>
      <c r="DS17" s="501"/>
      <c r="DT17" s="189">
        <f>'[1]February - 2023'!DW16</f>
        <v>7003.4</v>
      </c>
      <c r="DU17" s="200">
        <f>'[1]February - 2023'!DX16</f>
        <v>11.299999999999272</v>
      </c>
      <c r="DV17" s="87">
        <f>'[1]February - 2023'!DY16</f>
        <v>11759.8</v>
      </c>
      <c r="DW17" s="194">
        <f>'[1]February - 2023'!DZ16</f>
        <v>8.6999999999989086</v>
      </c>
      <c r="DX17" s="87">
        <f>'[1]February - 2023'!EA16</f>
        <v>5189.3999999999996</v>
      </c>
      <c r="DY17" s="194">
        <f>'[1]February - 2023'!EB16</f>
        <v>5.7999999999992724</v>
      </c>
      <c r="DZ17" s="87">
        <f>'[1]February - 2023'!EC16</f>
        <v>5789.4</v>
      </c>
      <c r="EA17" s="194">
        <f>'[1]February - 2023'!ED16</f>
        <v>6.5</v>
      </c>
      <c r="EB17" s="87">
        <f>'[1]February - 2023'!EE16</f>
        <v>1160979</v>
      </c>
      <c r="EC17" s="194">
        <f>'[1]February - 2023'!EF16</f>
        <v>511</v>
      </c>
      <c r="ED17" s="87">
        <f>'[1]February - 2023'!EI16</f>
        <v>240386.9</v>
      </c>
      <c r="EE17" s="207">
        <f>'[1]February - 2023'!EJ16</f>
        <v>152.29999999998836</v>
      </c>
      <c r="EF17" s="548"/>
      <c r="EG17" s="213">
        <f>'[1]February - 2023'!EL16</f>
        <v>12310200</v>
      </c>
      <c r="EH17" s="208">
        <f>'[1]February - 2023'!EM16</f>
        <v>3200</v>
      </c>
      <c r="EI17" s="86">
        <f>'[1]February - 2023'!EN16</f>
        <v>948010</v>
      </c>
      <c r="EJ17" s="208">
        <f>'[1]February - 2023'!EO16</f>
        <v>260</v>
      </c>
      <c r="EK17" s="86">
        <f>'[1]February - 2023'!EP16</f>
        <v>7303200</v>
      </c>
      <c r="EL17" s="208">
        <f>'[1]February - 2023'!EQ16</f>
        <v>1000</v>
      </c>
      <c r="EM17" s="86">
        <f>'[1]February - 2023'!ER16</f>
        <v>2513900</v>
      </c>
      <c r="EN17" s="208">
        <f>'[1]February - 2023'!ES16</f>
        <v>300</v>
      </c>
      <c r="EO17" s="86">
        <f>'[1]February - 2023'!ET16</f>
        <v>1312140</v>
      </c>
      <c r="EP17" s="208">
        <f>'[1]February - 2023'!EU16</f>
        <v>680</v>
      </c>
      <c r="EQ17" s="86">
        <f>'[1]February - 2023'!EV16</f>
        <v>16748500</v>
      </c>
      <c r="ER17" s="208">
        <f>'[1]February - 2023'!EW16</f>
        <v>3000</v>
      </c>
      <c r="ES17" s="523"/>
      <c r="ET17" s="253">
        <f>'[1]February - 2023'!EY16</f>
        <v>43091</v>
      </c>
      <c r="EU17" s="266">
        <f>'[1]February - 2023'!EZ16</f>
        <v>15</v>
      </c>
      <c r="EV17" s="254">
        <f>'[1]February - 2023'!FA16</f>
        <v>37558</v>
      </c>
      <c r="EW17" s="266">
        <f>'[1]February - 2023'!FB16</f>
        <v>11</v>
      </c>
      <c r="EX17" s="254">
        <f>'[1]February - 2023'!FC16</f>
        <v>8146</v>
      </c>
      <c r="EY17" s="266">
        <f>'[1]February - 2023'!FD16</f>
        <v>8</v>
      </c>
      <c r="EZ17" s="254">
        <f>'[1]February - 2023'!FE16</f>
        <v>60149</v>
      </c>
      <c r="FA17" s="266">
        <f>'[1]February - 2023'!FF16</f>
        <v>17</v>
      </c>
      <c r="FB17" s="254">
        <f>'[1]February - 2023'!FG16</f>
        <v>51635</v>
      </c>
      <c r="FC17" s="264">
        <f>'[1]February - 2023'!FH16</f>
        <v>27</v>
      </c>
    </row>
    <row r="18" spans="1:159" ht="30" customHeight="1" x14ac:dyDescent="0.25">
      <c r="A18" s="186">
        <v>44966</v>
      </c>
      <c r="B18" s="188">
        <f>'[1]February - 2023'!B17</f>
        <v>0.7</v>
      </c>
      <c r="C18" s="228">
        <f>'[1]February - 2023'!E17</f>
        <v>248178</v>
      </c>
      <c r="D18" s="151">
        <f>'[1]February - 2023'!F18</f>
        <v>678</v>
      </c>
      <c r="E18" s="150">
        <f>'[1]February - 2023'!G17</f>
        <v>587</v>
      </c>
      <c r="F18" s="150">
        <f>'[1]February - 2023'!H17</f>
        <v>269100</v>
      </c>
      <c r="G18" s="151">
        <f>'[1]February - 2023'!I18</f>
        <v>481</v>
      </c>
      <c r="H18" s="150">
        <f>'[1]February - 2023'!J17</f>
        <v>117634</v>
      </c>
      <c r="I18" s="239">
        <f>'[1]February - 2023'!K17</f>
        <v>17418</v>
      </c>
      <c r="J18" s="151">
        <f>'[1]February - 2023'!L17</f>
        <v>195</v>
      </c>
      <c r="K18" s="239">
        <f>'[1]February - 2023'!N17</f>
        <v>931694</v>
      </c>
      <c r="L18" s="151">
        <f>'[1]February - 2023'!O17</f>
        <v>271</v>
      </c>
      <c r="M18" s="239">
        <f>'[1]February - 2023'!Q17</f>
        <v>246172</v>
      </c>
      <c r="N18" s="151">
        <f>'[1]February - 2023'!R17</f>
        <v>88</v>
      </c>
      <c r="O18" s="239">
        <f>'[1]February - 2023'!U17</f>
        <v>120942</v>
      </c>
      <c r="P18" s="151">
        <f>'[1]February - 2023'!V17</f>
        <v>67</v>
      </c>
      <c r="Q18" s="150">
        <f>'[1]February - 2023'!W17</f>
        <v>188</v>
      </c>
      <c r="R18" s="239">
        <f>'[1]February - 2023'!X17</f>
        <v>6784</v>
      </c>
      <c r="S18" s="187">
        <f>'[1]February - 2023'!Y17</f>
        <v>4</v>
      </c>
      <c r="T18" s="444"/>
      <c r="U18" s="244">
        <f>'[1]February - 2023'!AE17</f>
        <v>8296187.7599999998</v>
      </c>
      <c r="V18" s="265">
        <f>'[1]February - 2023'!AF17</f>
        <v>1997.519999999553</v>
      </c>
      <c r="W18" s="88">
        <f>'[1]February - 2023'!AG17</f>
        <v>2143.679999999702</v>
      </c>
      <c r="X18" s="261">
        <f>'[1]February - 2023'!AH17</f>
        <v>15759653.280000001</v>
      </c>
      <c r="Y18" s="265">
        <f>'[1]February - 2023'!AI17</f>
        <v>4725.8400000017136</v>
      </c>
      <c r="Z18" s="88">
        <f>'[1]February - 2023'!AJ17</f>
        <v>4628.4000000003725</v>
      </c>
      <c r="AA18" s="261">
        <f>'[1]February - 2023'!AK17</f>
        <v>15931001.52</v>
      </c>
      <c r="AB18" s="265">
        <f>'[1]February - 2023'!AL17</f>
        <v>1023.1199999991804</v>
      </c>
      <c r="AC18" s="88">
        <f>'[1]February - 2023'!AM17</f>
        <v>1120.5599999986589</v>
      </c>
      <c r="AD18" s="261">
        <f>'[1]February - 2023'!AN17</f>
        <v>19083672.719999999</v>
      </c>
      <c r="AE18" s="265">
        <f>'[1]February - 2023'!AO17</f>
        <v>1120.5599999986589</v>
      </c>
      <c r="AF18" s="88">
        <f>'[1]February - 2023'!AP17</f>
        <v>8087.519999999553</v>
      </c>
      <c r="AG18" s="261">
        <f>'[1]February - 2023'!AQ17</f>
        <v>19351340.399999999</v>
      </c>
      <c r="AH18" s="265">
        <f>'[1]February - 2023'!AR17</f>
        <v>6382.3199999965727</v>
      </c>
      <c r="AI18" s="88">
        <f>'[1]February - 2023'!AS17</f>
        <v>0</v>
      </c>
      <c r="AJ18" s="261">
        <f>'[1]February - 2023'!AT17</f>
        <v>17900946</v>
      </c>
      <c r="AK18" s="265">
        <f>'[1]February - 2023'!AU17</f>
        <v>5554.0800000019372</v>
      </c>
      <c r="AL18" s="88">
        <f>'[1]February - 2023'!AV17</f>
        <v>5748.9599999990314</v>
      </c>
      <c r="AM18" s="261">
        <f>'[1]February - 2023'!AW17</f>
        <v>15043712.880000001</v>
      </c>
      <c r="AN18" s="265">
        <f>'[1]February - 2023'!AX17</f>
        <v>3654</v>
      </c>
      <c r="AO18" s="88">
        <f>'[1]February - 2023'!AY17</f>
        <v>4384.8000000007451</v>
      </c>
      <c r="AP18" s="261">
        <f>'[1]February - 2023'!AZ17</f>
        <v>14590909.199999999</v>
      </c>
      <c r="AQ18" s="265">
        <f>'[1]February - 2023'!BA17</f>
        <v>4336.0800000000745</v>
      </c>
      <c r="AR18" s="88">
        <f>'[1]February - 2023'!BB17</f>
        <v>4530.9599999990314</v>
      </c>
      <c r="AS18" s="261">
        <f>'[1]February - 2023'!BC17</f>
        <v>11368519.68</v>
      </c>
      <c r="AT18" s="265">
        <f>'[1]February - 2023'!BD17</f>
        <v>2825.7599999997765</v>
      </c>
      <c r="AU18" s="88">
        <f>'[1]February - 2023'!BE17</f>
        <v>3556.5600000005215</v>
      </c>
      <c r="AV18" s="261">
        <f>'[1]February - 2023'!BF17</f>
        <v>18052903.68</v>
      </c>
      <c r="AW18" s="229">
        <f>'[1]February - 2023'!BG17</f>
        <v>5505.359999999404</v>
      </c>
      <c r="AX18" s="230">
        <f>'[1]February - 2023'!BH17</f>
        <v>5359.2000000011176</v>
      </c>
      <c r="AY18" s="461"/>
      <c r="AZ18" s="247">
        <f>'[1]February - 2023'!BM17</f>
        <v>78694800</v>
      </c>
      <c r="BA18" s="160">
        <f>'[1]February - 2023'!BN17</f>
        <v>4000</v>
      </c>
      <c r="BB18" s="89">
        <f>'[1]February - 2023'!BO18</f>
        <v>0</v>
      </c>
      <c r="BC18" s="247">
        <f>'[1]February - 2023'!BP17</f>
        <v>81659200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75637900</v>
      </c>
      <c r="BG18" s="223">
        <f>'[1]February - 2023'!BT17</f>
        <v>31700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10644620</v>
      </c>
      <c r="BT18" s="165">
        <f>'[1]February - 2023'!BW17</f>
        <v>6620</v>
      </c>
      <c r="BU18" s="557"/>
      <c r="BV18" s="84">
        <f>'[1]February - 2023'!BY17</f>
        <v>0.59</v>
      </c>
      <c r="BW18" s="219">
        <f>'[1]February - 2023'!BZ17</f>
        <v>9.000000000000008E-2</v>
      </c>
      <c r="BX18" s="84">
        <f>'[1]February - 2023'!CA17</f>
        <v>8.0000000000000071E-2</v>
      </c>
      <c r="BY18" s="85">
        <f>'[1]February - 2023'!CB17</f>
        <v>65479</v>
      </c>
      <c r="BZ18" s="171">
        <f>'[1]February - 2023'!CC17</f>
        <v>15</v>
      </c>
      <c r="CA18" s="85">
        <f>'[1]February - 2023'!CD17</f>
        <v>56637</v>
      </c>
      <c r="CB18" s="171">
        <f>'[1]February - 2023'!CE17</f>
        <v>20</v>
      </c>
      <c r="CC18" s="85">
        <f>'[1]February - 2023'!CF17</f>
        <v>19121</v>
      </c>
      <c r="CD18" s="171">
        <f>'[1]February - 2023'!CG17</f>
        <v>7</v>
      </c>
      <c r="CE18" s="85">
        <f>'[1]February - 2023'!CH17</f>
        <v>26197</v>
      </c>
      <c r="CF18" s="171">
        <f>'[1]February - 2023'!CI17</f>
        <v>9</v>
      </c>
      <c r="CG18" s="85">
        <f>'[1]February - 2023'!CJ17</f>
        <v>29394</v>
      </c>
      <c r="CH18" s="171">
        <f>'[1]February - 2023'!CK17</f>
        <v>14</v>
      </c>
      <c r="CI18" s="85">
        <f>'[1]February - 2023'!CL17</f>
        <v>64680</v>
      </c>
      <c r="CJ18" s="171">
        <f>'[1]February - 2023'!CM17</f>
        <v>36</v>
      </c>
      <c r="CK18" s="85">
        <f>'[1]February - 2023'!CN17</f>
        <v>272725</v>
      </c>
      <c r="CL18" s="224">
        <f>'[1]February - 2023'!CO17</f>
        <v>78</v>
      </c>
      <c r="CM18" s="85">
        <f>'[1]February - 2023'!CP17</f>
        <v>107</v>
      </c>
      <c r="CN18" s="85">
        <f>'[1]February - 2023'!CQ17</f>
        <v>222166</v>
      </c>
      <c r="CO18" s="224">
        <f>'[1]February - 2023'!CR17</f>
        <v>120</v>
      </c>
      <c r="CP18" s="85">
        <f>'[1]February - 2023'!CV17</f>
        <v>318</v>
      </c>
      <c r="CQ18" s="85">
        <f>'[1]February - 2023'!CT17</f>
        <v>371780</v>
      </c>
      <c r="CR18" s="224">
        <f>'[1]February - 2023'!CU17</f>
        <v>287</v>
      </c>
      <c r="CS18" s="85">
        <f>'[1]February - 2023'!CV17</f>
        <v>318</v>
      </c>
      <c r="CT18" s="85">
        <f>'[1]February - 2023'!CW17</f>
        <v>705398</v>
      </c>
      <c r="CU18" s="171">
        <f>'[1]February - 2023'!CX17</f>
        <v>187</v>
      </c>
      <c r="CV18" s="485"/>
      <c r="CW18" s="259">
        <f>'[1]February - 2023'!CZ17</f>
        <v>9384</v>
      </c>
      <c r="CX18" s="262">
        <f>'[1]February - 2023'!DA17</f>
        <v>10</v>
      </c>
      <c r="CY18" s="260">
        <f>'[1]February - 2023'!DB17</f>
        <v>6351</v>
      </c>
      <c r="CZ18" s="262">
        <f>'[1]February - 2023'!DC17</f>
        <v>6</v>
      </c>
      <c r="DA18" s="260">
        <f>'[1]February - 2023'!DD17</f>
        <v>33112</v>
      </c>
      <c r="DB18" s="262">
        <f>'[1]February - 2023'!DE17</f>
        <v>34</v>
      </c>
      <c r="DC18" s="260">
        <f>'[1]February - 2023'!DF17</f>
        <v>33252</v>
      </c>
      <c r="DD18" s="262">
        <f>'[1]February - 2023'!DG17</f>
        <v>12</v>
      </c>
      <c r="DE18" s="260">
        <f>'[1]February - 2023'!DH17</f>
        <v>22481</v>
      </c>
      <c r="DF18" s="262">
        <f>'[1]February - 2023'!DI17</f>
        <v>7</v>
      </c>
      <c r="DG18" s="260">
        <f>'[1]February - 2023'!DJ17</f>
        <v>24392</v>
      </c>
      <c r="DH18" s="262">
        <f>'[1]February - 2023'!DK17</f>
        <v>4</v>
      </c>
      <c r="DI18" s="260">
        <f>'[1]February - 2023'!DL17</f>
        <v>7771</v>
      </c>
      <c r="DJ18" s="262">
        <f>'[1]February - 2023'!DM17</f>
        <v>10</v>
      </c>
      <c r="DK18" s="260">
        <f>'[1]February - 2023'!DN17</f>
        <v>10275</v>
      </c>
      <c r="DL18" s="262">
        <f>'[1]February - 2023'!DO17</f>
        <v>6</v>
      </c>
      <c r="DM18" s="260">
        <f>'[1]February - 2023'!DP17</f>
        <v>3556</v>
      </c>
      <c r="DN18" s="262">
        <f>'[1]February - 2023'!DQ17</f>
        <v>4</v>
      </c>
      <c r="DO18" s="260">
        <f>'[1]February - 2023'!DR17</f>
        <v>6948</v>
      </c>
      <c r="DP18" s="262">
        <f>'[1]February - 2023'!DS17</f>
        <v>8</v>
      </c>
      <c r="DQ18" s="260">
        <f>'[1]February - 2023'!DT17</f>
        <v>30538</v>
      </c>
      <c r="DR18" s="263">
        <f>'[1]February - 2023'!DU17</f>
        <v>7</v>
      </c>
      <c r="DS18" s="501"/>
      <c r="DT18" s="189">
        <f>'[1]February - 2023'!DW17</f>
        <v>7014.1</v>
      </c>
      <c r="DU18" s="200">
        <f>'[1]February - 2023'!DX17</f>
        <v>10.700000000000728</v>
      </c>
      <c r="DV18" s="87">
        <f>'[1]February - 2023'!DY17</f>
        <v>11767.8</v>
      </c>
      <c r="DW18" s="194">
        <f>'[1]February - 2023'!DZ17</f>
        <v>8</v>
      </c>
      <c r="DX18" s="87">
        <f>'[1]February - 2023'!EA17</f>
        <v>5195.2</v>
      </c>
      <c r="DY18" s="194">
        <f>'[1]February - 2023'!EB17</f>
        <v>5.8000000000001819</v>
      </c>
      <c r="DZ18" s="87">
        <f>'[1]February - 2023'!EC17</f>
        <v>5795.6</v>
      </c>
      <c r="EA18" s="194">
        <f>'[1]February - 2023'!ED17</f>
        <v>6.2000000000007276</v>
      </c>
      <c r="EB18" s="87">
        <f>'[1]February - 2023'!EE17</f>
        <v>1161481</v>
      </c>
      <c r="EC18" s="194">
        <f>'[1]February - 2023'!EF17</f>
        <v>502</v>
      </c>
      <c r="ED18" s="87">
        <f>'[1]February - 2023'!EI17</f>
        <v>240537.3</v>
      </c>
      <c r="EE18" s="207">
        <f>'[1]February - 2023'!EJ17</f>
        <v>150.39999999999418</v>
      </c>
      <c r="EF18" s="548"/>
      <c r="EG18" s="213">
        <f>'[1]February - 2023'!EL17</f>
        <v>12312400</v>
      </c>
      <c r="EH18" s="208">
        <f>'[1]February - 2023'!EM17</f>
        <v>2200</v>
      </c>
      <c r="EI18" s="86">
        <f>'[1]February - 2023'!EN17</f>
        <v>948250</v>
      </c>
      <c r="EJ18" s="208">
        <f>'[1]February - 2023'!EO17</f>
        <v>240</v>
      </c>
      <c r="EK18" s="86">
        <f>'[1]February - 2023'!EP17</f>
        <v>7303900</v>
      </c>
      <c r="EL18" s="208">
        <f>'[1]February - 2023'!EQ17</f>
        <v>700</v>
      </c>
      <c r="EM18" s="86">
        <f>'[1]February - 2023'!ER17</f>
        <v>2514200</v>
      </c>
      <c r="EN18" s="208">
        <f>'[1]February - 2023'!ES17</f>
        <v>300</v>
      </c>
      <c r="EO18" s="86">
        <f>'[1]February - 2023'!ET17</f>
        <v>1312770</v>
      </c>
      <c r="EP18" s="208">
        <f>'[1]February - 2023'!EU17</f>
        <v>630</v>
      </c>
      <c r="EQ18" s="86">
        <f>'[1]February - 2023'!EV17</f>
        <v>16750500</v>
      </c>
      <c r="ER18" s="208">
        <f>'[1]February - 2023'!EW17</f>
        <v>2000</v>
      </c>
      <c r="ES18" s="523"/>
      <c r="ET18" s="253">
        <f>'[1]February - 2023'!EY17</f>
        <v>43106</v>
      </c>
      <c r="EU18" s="266">
        <f>'[1]February - 2023'!EZ17</f>
        <v>15</v>
      </c>
      <c r="EV18" s="254">
        <f>'[1]February - 2023'!FA17</f>
        <v>37569</v>
      </c>
      <c r="EW18" s="266">
        <f>'[1]February - 2023'!FB17</f>
        <v>11</v>
      </c>
      <c r="EX18" s="254">
        <f>'[1]February - 2023'!FC17</f>
        <v>8155</v>
      </c>
      <c r="EY18" s="266">
        <f>'[1]February - 2023'!FD17</f>
        <v>9</v>
      </c>
      <c r="EZ18" s="254">
        <f>'[1]February - 2023'!FE17</f>
        <v>60163</v>
      </c>
      <c r="FA18" s="266">
        <f>'[1]February - 2023'!FF17</f>
        <v>14</v>
      </c>
      <c r="FB18" s="254">
        <f>'[1]February - 2023'!FG17</f>
        <v>51664</v>
      </c>
      <c r="FC18" s="264">
        <f>'[1]February - 2023'!FH17</f>
        <v>29</v>
      </c>
    </row>
    <row r="19" spans="1:159" ht="30" customHeight="1" x14ac:dyDescent="0.25">
      <c r="A19" s="186">
        <v>44967</v>
      </c>
      <c r="B19" s="188">
        <f>'[1]February - 2023'!B18</f>
        <v>0.67</v>
      </c>
      <c r="C19" s="228">
        <f>'[1]February - 2023'!E18</f>
        <v>248856</v>
      </c>
      <c r="D19" s="151">
        <f>'[1]February - 2023'!F19</f>
        <v>584</v>
      </c>
      <c r="E19" s="150">
        <f>'[1]February - 2023'!G18</f>
        <v>557</v>
      </c>
      <c r="F19" s="150">
        <f>'[1]February - 2023'!H18</f>
        <v>269581</v>
      </c>
      <c r="G19" s="151">
        <f>'[1]February - 2023'!I19</f>
        <v>460</v>
      </c>
      <c r="H19" s="150">
        <f>'[1]February - 2023'!J18</f>
        <v>118068</v>
      </c>
      <c r="I19" s="239">
        <f>'[1]February - 2023'!K18</f>
        <v>17625</v>
      </c>
      <c r="J19" s="151">
        <f>'[1]February - 2023'!L18</f>
        <v>207</v>
      </c>
      <c r="K19" s="239">
        <f>'[1]February - 2023'!N18</f>
        <v>931960</v>
      </c>
      <c r="L19" s="151">
        <f>'[1]February - 2023'!O18</f>
        <v>266</v>
      </c>
      <c r="M19" s="239">
        <f>'[1]February - 2023'!Q18</f>
        <v>246252</v>
      </c>
      <c r="N19" s="151">
        <f>'[1]February - 2023'!R18</f>
        <v>80</v>
      </c>
      <c r="O19" s="239">
        <f>'[1]February - 2023'!U18</f>
        <v>121000</v>
      </c>
      <c r="P19" s="151">
        <f>'[1]February - 2023'!V18</f>
        <v>58</v>
      </c>
      <c r="Q19" s="150">
        <f>'[1]February - 2023'!W18</f>
        <v>202</v>
      </c>
      <c r="R19" s="239">
        <f>'[1]February - 2023'!X18</f>
        <v>6790</v>
      </c>
      <c r="S19" s="187">
        <f>'[1]February - 2023'!Y18</f>
        <v>6</v>
      </c>
      <c r="T19" s="444"/>
      <c r="U19" s="244">
        <f>'[1]February - 2023'!AE18</f>
        <v>8298234</v>
      </c>
      <c r="V19" s="265">
        <f>'[1]February - 2023'!AF18</f>
        <v>2046.2400000002235</v>
      </c>
      <c r="W19" s="88">
        <f>'[1]February - 2023'!AG18</f>
        <v>1997.5200000004843</v>
      </c>
      <c r="X19" s="261">
        <f>'[1]February - 2023'!AH18</f>
        <v>15764330.4</v>
      </c>
      <c r="Y19" s="265">
        <f>'[1]February - 2023'!AI18</f>
        <v>4677.1199999991804</v>
      </c>
      <c r="Z19" s="88">
        <f>'[1]February - 2023'!AJ18</f>
        <v>4579.679999999702</v>
      </c>
      <c r="AA19" s="261">
        <f>'[1]February - 2023'!AK18</f>
        <v>15936994.08</v>
      </c>
      <c r="AB19" s="265">
        <f>'[1]February - 2023'!AL18</f>
        <v>5992.5600000005215</v>
      </c>
      <c r="AC19" s="88">
        <f>'[1]February - 2023'!AM18</f>
        <v>1364.160000000149</v>
      </c>
      <c r="AD19" s="261">
        <f>'[1]February - 2023'!AN18</f>
        <v>19085718.960000001</v>
      </c>
      <c r="AE19" s="265">
        <f>'[1]February - 2023'!AO18</f>
        <v>2046.2400000020862</v>
      </c>
      <c r="AF19" s="88">
        <f>'[1]February - 2023'!AP18</f>
        <v>8720.8799999989569</v>
      </c>
      <c r="AG19" s="261">
        <f>'[1]February - 2023'!AQ18</f>
        <v>19351340.399999999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17906500.080000002</v>
      </c>
      <c r="AK19" s="265">
        <f>'[1]February - 2023'!AU18</f>
        <v>5554.0800000019372</v>
      </c>
      <c r="AL19" s="88">
        <f>'[1]February - 2023'!AV18</f>
        <v>5895.1200000010431</v>
      </c>
      <c r="AM19" s="261">
        <f>'[1]February - 2023'!AW18</f>
        <v>15047659.199999999</v>
      </c>
      <c r="AN19" s="265">
        <f>'[1]February - 2023'!AX18</f>
        <v>3946.3199999984354</v>
      </c>
      <c r="AO19" s="88">
        <f>'[1]February - 2023'!AY18</f>
        <v>3848.8800000008196</v>
      </c>
      <c r="AP19" s="261">
        <f>'[1]February - 2023'!AZ18</f>
        <v>14595342.719999999</v>
      </c>
      <c r="AQ19" s="265">
        <f>'[1]February - 2023'!BA18</f>
        <v>4433.519999999553</v>
      </c>
      <c r="AR19" s="88">
        <f>'[1]February - 2023'!BB18</f>
        <v>4189.9199999999255</v>
      </c>
      <c r="AS19" s="261">
        <f>'[1]February - 2023'!BC18</f>
        <v>11371589.040000001</v>
      </c>
      <c r="AT19" s="265">
        <f>'[1]February - 2023'!BD18</f>
        <v>3069.3600000012666</v>
      </c>
      <c r="AU19" s="88">
        <f>'[1]February - 2023'!BE18</f>
        <v>3069.359999999404</v>
      </c>
      <c r="AV19" s="261">
        <f>'[1]February - 2023'!BF18</f>
        <v>18058555.199999999</v>
      </c>
      <c r="AW19" s="229">
        <f>'[1]February - 2023'!BG18</f>
        <v>5651.519999999553</v>
      </c>
      <c r="AX19" s="230">
        <f>'[1]February - 2023'!BH18</f>
        <v>5554.0800000000745</v>
      </c>
      <c r="AY19" s="461"/>
      <c r="AZ19" s="247">
        <f>'[1]February - 2023'!BM18</f>
        <v>78725300</v>
      </c>
      <c r="BA19" s="160">
        <f>'[1]February - 2023'!BN18</f>
        <v>30500</v>
      </c>
      <c r="BB19" s="89">
        <f>'[1]February - 2023'!BO19</f>
        <v>0</v>
      </c>
      <c r="BC19" s="247">
        <f>'[1]February - 2023'!BP18</f>
        <v>81663000</v>
      </c>
      <c r="BD19" s="223">
        <f>'[1]February - 2023'!BQ18</f>
        <v>3800</v>
      </c>
      <c r="BE19" s="89">
        <f>'[1]February - 2023'!BR18</f>
        <v>38100</v>
      </c>
      <c r="BF19" s="247">
        <f>'[1]February - 2023'!BS18</f>
        <v>75637900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10651870</v>
      </c>
      <c r="BT19" s="165">
        <f>'[1]February - 2023'!BW18</f>
        <v>7250</v>
      </c>
      <c r="BU19" s="557"/>
      <c r="BV19" s="84">
        <f>'[1]February - 2023'!BY18</f>
        <v>0.79</v>
      </c>
      <c r="BW19" s="219">
        <f>'[1]February - 2023'!BZ18</f>
        <v>-0.20000000000000007</v>
      </c>
      <c r="BX19" s="84">
        <f>'[1]February - 2023'!CA18</f>
        <v>9.9999999999999978E-2</v>
      </c>
      <c r="BY19" s="85">
        <f>'[1]February - 2023'!CB18</f>
        <v>65494</v>
      </c>
      <c r="BZ19" s="171">
        <f>'[1]February - 2023'!CC18</f>
        <v>15</v>
      </c>
      <c r="CA19" s="85">
        <f>'[1]February - 2023'!CD18</f>
        <v>56656</v>
      </c>
      <c r="CB19" s="171">
        <f>'[1]February - 2023'!CE18</f>
        <v>19</v>
      </c>
      <c r="CC19" s="85">
        <f>'[1]February - 2023'!CF18</f>
        <v>19128</v>
      </c>
      <c r="CD19" s="171">
        <f>'[1]February - 2023'!CG18</f>
        <v>7</v>
      </c>
      <c r="CE19" s="85">
        <f>'[1]February - 2023'!CH18</f>
        <v>26206</v>
      </c>
      <c r="CF19" s="171">
        <f>'[1]February - 2023'!CI18</f>
        <v>9</v>
      </c>
      <c r="CG19" s="85">
        <f>'[1]February - 2023'!CJ18</f>
        <v>29408</v>
      </c>
      <c r="CH19" s="171">
        <f>'[1]February - 2023'!CK18</f>
        <v>14</v>
      </c>
      <c r="CI19" s="85">
        <f>'[1]February - 2023'!CL18</f>
        <v>64715</v>
      </c>
      <c r="CJ19" s="171">
        <f>'[1]February - 2023'!CM18</f>
        <v>35</v>
      </c>
      <c r="CK19" s="85">
        <f>'[1]February - 2023'!CN18</f>
        <v>272804</v>
      </c>
      <c r="CL19" s="224">
        <f>'[1]February - 2023'!CO18</f>
        <v>79</v>
      </c>
      <c r="CM19" s="85">
        <f>'[1]February - 2023'!CP18</f>
        <v>108</v>
      </c>
      <c r="CN19" s="85">
        <f>'[1]February - 2023'!CQ18</f>
        <v>222290</v>
      </c>
      <c r="CO19" s="224">
        <f>'[1]February - 2023'!CR18</f>
        <v>124</v>
      </c>
      <c r="CP19" s="85">
        <f>'[1]February - 2023'!CV18</f>
        <v>226</v>
      </c>
      <c r="CQ19" s="85">
        <f>'[1]February - 2023'!CT18</f>
        <v>372074</v>
      </c>
      <c r="CR19" s="224">
        <f>'[1]February - 2023'!CU18</f>
        <v>294</v>
      </c>
      <c r="CS19" s="85">
        <f>'[1]February - 2023'!CV18</f>
        <v>226</v>
      </c>
      <c r="CT19" s="85">
        <f>'[1]February - 2023'!CW18</f>
        <v>705587</v>
      </c>
      <c r="CU19" s="171">
        <f>'[1]February - 2023'!CX18</f>
        <v>189</v>
      </c>
      <c r="CV19" s="485"/>
      <c r="CW19" s="259">
        <f>'[1]February - 2023'!CZ18</f>
        <v>9396</v>
      </c>
      <c r="CX19" s="262">
        <f>'[1]February - 2023'!DA18</f>
        <v>12</v>
      </c>
      <c r="CY19" s="260">
        <f>'[1]February - 2023'!DB18</f>
        <v>6360</v>
      </c>
      <c r="CZ19" s="262">
        <f>'[1]February - 2023'!DC18</f>
        <v>9</v>
      </c>
      <c r="DA19" s="260">
        <f>'[1]February - 2023'!DD18</f>
        <v>33129</v>
      </c>
      <c r="DB19" s="262">
        <f>'[1]February - 2023'!DE18</f>
        <v>17</v>
      </c>
      <c r="DC19" s="260">
        <f>'[1]February - 2023'!DF18</f>
        <v>33270</v>
      </c>
      <c r="DD19" s="262">
        <f>'[1]February - 2023'!DG18</f>
        <v>18</v>
      </c>
      <c r="DE19" s="260">
        <f>'[1]February - 2023'!DH18</f>
        <v>22490</v>
      </c>
      <c r="DF19" s="262">
        <f>'[1]February - 2023'!DI18</f>
        <v>9</v>
      </c>
      <c r="DG19" s="260">
        <f>'[1]February - 2023'!DJ18</f>
        <v>24397</v>
      </c>
      <c r="DH19" s="262">
        <f>'[1]February - 2023'!DK18</f>
        <v>5</v>
      </c>
      <c r="DI19" s="260">
        <f>'[1]February - 2023'!DL18</f>
        <v>7784</v>
      </c>
      <c r="DJ19" s="262">
        <f>'[1]February - 2023'!DM18</f>
        <v>13</v>
      </c>
      <c r="DK19" s="260">
        <f>'[1]February - 2023'!DN18</f>
        <v>10283</v>
      </c>
      <c r="DL19" s="262">
        <f>'[1]February - 2023'!DO18</f>
        <v>8</v>
      </c>
      <c r="DM19" s="260">
        <f>'[1]February - 2023'!DP18</f>
        <v>3560</v>
      </c>
      <c r="DN19" s="262">
        <f>'[1]February - 2023'!DQ18</f>
        <v>4</v>
      </c>
      <c r="DO19" s="260">
        <f>'[1]February - 2023'!DR18</f>
        <v>6958</v>
      </c>
      <c r="DP19" s="262">
        <f>'[1]February - 2023'!DS18</f>
        <v>10</v>
      </c>
      <c r="DQ19" s="260">
        <f>'[1]February - 2023'!DT18</f>
        <v>30544</v>
      </c>
      <c r="DR19" s="263">
        <f>'[1]February - 2023'!DU18</f>
        <v>6</v>
      </c>
      <c r="DS19" s="501"/>
      <c r="DT19" s="189">
        <f>'[1]February - 2023'!DW18</f>
        <v>7025.5</v>
      </c>
      <c r="DU19" s="200">
        <f>'[1]February - 2023'!DX18</f>
        <v>11.399999999999636</v>
      </c>
      <c r="DV19" s="87">
        <f>'[1]February - 2023'!DY18</f>
        <v>11776.6</v>
      </c>
      <c r="DW19" s="194">
        <f>'[1]February - 2023'!DZ18</f>
        <v>8.8000000000010914</v>
      </c>
      <c r="DX19" s="87">
        <f>'[1]February - 2023'!EA18</f>
        <v>5201.2</v>
      </c>
      <c r="DY19" s="194">
        <f>'[1]February - 2023'!EB18</f>
        <v>6</v>
      </c>
      <c r="DZ19" s="87">
        <f>'[1]February - 2023'!EC18</f>
        <v>5803</v>
      </c>
      <c r="EA19" s="194">
        <f>'[1]February - 2023'!ED18</f>
        <v>7.3999999999996362</v>
      </c>
      <c r="EB19" s="87">
        <f>'[1]February - 2023'!EE18</f>
        <v>1162034</v>
      </c>
      <c r="EC19" s="194">
        <f>'[1]February - 2023'!EF18</f>
        <v>553</v>
      </c>
      <c r="ED19" s="87">
        <f>'[1]February - 2023'!EI18</f>
        <v>240695.2</v>
      </c>
      <c r="EE19" s="207">
        <f>'[1]February - 2023'!EJ18</f>
        <v>157.90000000002328</v>
      </c>
      <c r="EF19" s="548"/>
      <c r="EG19" s="213">
        <f>'[1]February - 2023'!EL18</f>
        <v>12314800</v>
      </c>
      <c r="EH19" s="208">
        <f>'[1]February - 2023'!EM18</f>
        <v>2400</v>
      </c>
      <c r="EI19" s="86">
        <f>'[1]February - 2023'!EN18</f>
        <v>948500</v>
      </c>
      <c r="EJ19" s="208">
        <f>'[1]February - 2023'!EO18</f>
        <v>250</v>
      </c>
      <c r="EK19" s="86">
        <f>'[1]February - 2023'!EP18</f>
        <v>7304700</v>
      </c>
      <c r="EL19" s="208">
        <f>'[1]February - 2023'!EQ18</f>
        <v>800</v>
      </c>
      <c r="EM19" s="86">
        <f>'[1]February - 2023'!ER18</f>
        <v>2514400</v>
      </c>
      <c r="EN19" s="208">
        <f>'[1]February - 2023'!ES18</f>
        <v>200</v>
      </c>
      <c r="EO19" s="86">
        <f>'[1]February - 2023'!ET18</f>
        <v>1313450</v>
      </c>
      <c r="EP19" s="208">
        <f>'[1]February - 2023'!EU18</f>
        <v>680</v>
      </c>
      <c r="EQ19" s="86">
        <f>'[1]February - 2023'!EV18</f>
        <v>16751800</v>
      </c>
      <c r="ER19" s="208">
        <f>'[1]February - 2023'!EW18</f>
        <v>1300</v>
      </c>
      <c r="ES19" s="523"/>
      <c r="ET19" s="253">
        <f>'[1]February - 2023'!EY18</f>
        <v>43120</v>
      </c>
      <c r="EU19" s="266">
        <f>'[1]February - 2023'!EZ18</f>
        <v>14</v>
      </c>
      <c r="EV19" s="254">
        <f>'[1]February - 2023'!FA18</f>
        <v>37581</v>
      </c>
      <c r="EW19" s="266">
        <f>'[1]February - 2023'!FB18</f>
        <v>12</v>
      </c>
      <c r="EX19" s="254">
        <f>'[1]February - 2023'!FC18</f>
        <v>8168</v>
      </c>
      <c r="EY19" s="266">
        <f>'[1]February - 2023'!FD18</f>
        <v>13</v>
      </c>
      <c r="EZ19" s="254">
        <f>'[1]February - 2023'!FE18</f>
        <v>60180</v>
      </c>
      <c r="FA19" s="266">
        <f>'[1]February - 2023'!FF18</f>
        <v>17</v>
      </c>
      <c r="FB19" s="254">
        <f>'[1]February - 2023'!FG18</f>
        <v>51699</v>
      </c>
      <c r="FC19" s="264">
        <f>'[1]February - 2023'!FH18</f>
        <v>35</v>
      </c>
    </row>
    <row r="20" spans="1:159" ht="30" customHeight="1" x14ac:dyDescent="0.25">
      <c r="A20" s="186">
        <v>44968</v>
      </c>
      <c r="B20" s="188">
        <f>'[1]February - 2023'!B19</f>
        <v>0.91</v>
      </c>
      <c r="C20" s="228">
        <f>'[1]February - 2023'!E19</f>
        <v>249440</v>
      </c>
      <c r="D20" s="151">
        <f>'[1]February - 2023'!F20</f>
        <v>576</v>
      </c>
      <c r="E20" s="150">
        <f>'[1]February - 2023'!G19</f>
        <v>568</v>
      </c>
      <c r="F20" s="150">
        <f>'[1]February - 2023'!H19</f>
        <v>270041</v>
      </c>
      <c r="G20" s="151">
        <f>'[1]February - 2023'!I20</f>
        <v>462</v>
      </c>
      <c r="H20" s="150">
        <f>'[1]February - 2023'!J19</f>
        <v>118505</v>
      </c>
      <c r="I20" s="239">
        <f>'[1]February - 2023'!K19</f>
        <v>18003</v>
      </c>
      <c r="J20" s="151">
        <f>'[1]February - 2023'!L19</f>
        <v>378</v>
      </c>
      <c r="K20" s="239">
        <f>'[1]February - 2023'!N19</f>
        <v>932092</v>
      </c>
      <c r="L20" s="151">
        <f>'[1]February - 2023'!O19</f>
        <v>132</v>
      </c>
      <c r="M20" s="239">
        <f>'[1]February - 2023'!Q19</f>
        <v>246265</v>
      </c>
      <c r="N20" s="151">
        <f>'[1]February - 2023'!R19</f>
        <v>13</v>
      </c>
      <c r="O20" s="239">
        <f>'[1]February - 2023'!U19</f>
        <v>121062</v>
      </c>
      <c r="P20" s="151">
        <f>'[1]February - 2023'!V19</f>
        <v>62</v>
      </c>
      <c r="Q20" s="150">
        <f>'[1]February - 2023'!W19</f>
        <v>220</v>
      </c>
      <c r="R20" s="239">
        <f>'[1]February - 2023'!X19</f>
        <v>6793</v>
      </c>
      <c r="S20" s="187">
        <f>'[1]February - 2023'!Y19</f>
        <v>3</v>
      </c>
      <c r="T20" s="444"/>
      <c r="U20" s="244">
        <f>'[1]February - 2023'!AE19</f>
        <v>8300280.2400000002</v>
      </c>
      <c r="V20" s="265">
        <f>'[1]February - 2023'!AF19</f>
        <v>2046.2400000002235</v>
      </c>
      <c r="W20" s="88">
        <f>'[1]February - 2023'!AG19</f>
        <v>2094.9599999999627</v>
      </c>
      <c r="X20" s="261">
        <f>'[1]February - 2023'!AH19</f>
        <v>15769056.24</v>
      </c>
      <c r="Y20" s="265">
        <f>'[1]February - 2023'!AI19</f>
        <v>4725.839999999851</v>
      </c>
      <c r="Z20" s="88">
        <f>'[1]February - 2023'!AJ19</f>
        <v>4482.2400000002235</v>
      </c>
      <c r="AA20" s="261">
        <f>'[1]February - 2023'!AK19</f>
        <v>15937091.52</v>
      </c>
      <c r="AB20" s="265">
        <f>'[1]February - 2023'!AL19</f>
        <v>97.439999999478459</v>
      </c>
      <c r="AC20" s="88">
        <f>'[1]February - 2023'!AM19</f>
        <v>1364.160000000149</v>
      </c>
      <c r="AD20" s="261">
        <f>'[1]February - 2023'!AN19</f>
        <v>19092393.599999998</v>
      </c>
      <c r="AE20" s="265">
        <f>'[1]February - 2023'!AO19</f>
        <v>6674.6399999968708</v>
      </c>
      <c r="AF20" s="88">
        <f>'[1]February - 2023'!AP19</f>
        <v>8769.6000000014901</v>
      </c>
      <c r="AG20" s="261">
        <f>'[1]February - 2023'!AQ19</f>
        <v>19353337.919999998</v>
      </c>
      <c r="AH20" s="265">
        <f>'[1]February - 2023'!AR19</f>
        <v>1997.519999999553</v>
      </c>
      <c r="AI20" s="88">
        <f>'[1]February - 2023'!AS19</f>
        <v>0</v>
      </c>
      <c r="AJ20" s="261">
        <f>'[1]February - 2023'!AT19</f>
        <v>17911956.719999999</v>
      </c>
      <c r="AK20" s="265">
        <f>'[1]February - 2023'!AU19</f>
        <v>5456.6399999968708</v>
      </c>
      <c r="AL20" s="88">
        <f>'[1]February - 2023'!AV19</f>
        <v>5943.839999999851</v>
      </c>
      <c r="AM20" s="261">
        <f>'[1]February - 2023'!AW19</f>
        <v>15051410.640000001</v>
      </c>
      <c r="AN20" s="265">
        <f>'[1]February - 2023'!AX19</f>
        <v>3751.4400000013411</v>
      </c>
      <c r="AO20" s="88">
        <f>'[1]February - 2023'!AY19</f>
        <v>4238.6399999987334</v>
      </c>
      <c r="AP20" s="261">
        <f>'[1]February - 2023'!AZ19</f>
        <v>14599824.959999999</v>
      </c>
      <c r="AQ20" s="265">
        <f>'[1]February - 2023'!BA19</f>
        <v>4482.2400000002235</v>
      </c>
      <c r="AR20" s="88">
        <f>'[1]February - 2023'!BB19</f>
        <v>4482.2400000002235</v>
      </c>
      <c r="AS20" s="261">
        <f>'[1]February - 2023'!BC19</f>
        <v>11374755.84</v>
      </c>
      <c r="AT20" s="265">
        <f>'[1]February - 2023'!BD19</f>
        <v>3166.7999999988824</v>
      </c>
      <c r="AU20" s="88">
        <f>'[1]February - 2023'!BE19</f>
        <v>3069.3600000012666</v>
      </c>
      <c r="AV20" s="261">
        <f>'[1]February - 2023'!BF19</f>
        <v>18064206.719999999</v>
      </c>
      <c r="AW20" s="229">
        <f>'[1]February - 2023'!BG19</f>
        <v>5651.519999999553</v>
      </c>
      <c r="AX20" s="230">
        <f>'[1]February - 2023'!BH19</f>
        <v>5602.8000000007451</v>
      </c>
      <c r="AY20" s="461"/>
      <c r="AZ20" s="247">
        <f>'[1]February - 2023'!BM19</f>
        <v>78725300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81696700</v>
      </c>
      <c r="BD20" s="223">
        <f>'[1]February - 2023'!BQ19</f>
        <v>33700</v>
      </c>
      <c r="BE20" s="89">
        <f>'[1]February - 2023'!BR19</f>
        <v>39200</v>
      </c>
      <c r="BF20" s="247">
        <f>'[1]February - 2023'!BS19</f>
        <v>75641800</v>
      </c>
      <c r="BG20" s="223">
        <f>'[1]February - 2023'!BT19</f>
        <v>3900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10659050</v>
      </c>
      <c r="BT20" s="165">
        <f>'[1]February - 2023'!BW19</f>
        <v>7180</v>
      </c>
      <c r="BU20" s="557"/>
      <c r="BV20" s="84">
        <f>'[1]February - 2023'!BY19</f>
        <v>0.68</v>
      </c>
      <c r="BW20" s="219">
        <f>'[1]February - 2023'!BZ19</f>
        <v>0.10999999999999999</v>
      </c>
      <c r="BX20" s="84">
        <f>'[1]February - 2023'!CA19</f>
        <v>-0.13</v>
      </c>
      <c r="BY20" s="85">
        <f>'[1]February - 2023'!CB19</f>
        <v>65513</v>
      </c>
      <c r="BZ20" s="171">
        <f>'[1]February - 2023'!CC19</f>
        <v>19</v>
      </c>
      <c r="CA20" s="85">
        <f>'[1]February - 2023'!CD19</f>
        <v>56679</v>
      </c>
      <c r="CB20" s="171">
        <f>'[1]February - 2023'!CE19</f>
        <v>23</v>
      </c>
      <c r="CC20" s="85">
        <f>'[1]February - 2023'!CF19</f>
        <v>19133</v>
      </c>
      <c r="CD20" s="171">
        <f>'[1]February - 2023'!CG19</f>
        <v>5</v>
      </c>
      <c r="CE20" s="85">
        <f>'[1]February - 2023'!CH19</f>
        <v>26215</v>
      </c>
      <c r="CF20" s="171">
        <f>'[1]February - 2023'!CI19</f>
        <v>9</v>
      </c>
      <c r="CG20" s="85">
        <f>'[1]February - 2023'!CJ19</f>
        <v>29425</v>
      </c>
      <c r="CH20" s="171">
        <f>'[1]February - 2023'!CK19</f>
        <v>17</v>
      </c>
      <c r="CI20" s="85">
        <f>'[1]February - 2023'!CL19</f>
        <v>64754</v>
      </c>
      <c r="CJ20" s="171">
        <f>'[1]February - 2023'!CM19</f>
        <v>39</v>
      </c>
      <c r="CK20" s="85">
        <f>'[1]February - 2023'!CN19</f>
        <v>272881</v>
      </c>
      <c r="CL20" s="224">
        <f>'[1]February - 2023'!CO19</f>
        <v>77</v>
      </c>
      <c r="CM20" s="85">
        <f>'[1]February - 2023'!CP19</f>
        <v>105</v>
      </c>
      <c r="CN20" s="85">
        <f>'[1]February - 2023'!CQ19</f>
        <v>222409</v>
      </c>
      <c r="CO20" s="224">
        <f>'[1]February - 2023'!CR19</f>
        <v>119</v>
      </c>
      <c r="CP20" s="85">
        <f>'[1]February - 2023'!CV19</f>
        <v>266</v>
      </c>
      <c r="CQ20" s="85">
        <f>'[1]February - 2023'!CT19</f>
        <v>372356</v>
      </c>
      <c r="CR20" s="224">
        <f>'[1]February - 2023'!CU19</f>
        <v>282</v>
      </c>
      <c r="CS20" s="85">
        <f>'[1]February - 2023'!CV19</f>
        <v>266</v>
      </c>
      <c r="CT20" s="85">
        <f>'[1]February - 2023'!CW19</f>
        <v>705772</v>
      </c>
      <c r="CU20" s="171">
        <f>'[1]February - 2023'!CX19</f>
        <v>185</v>
      </c>
      <c r="CV20" s="485"/>
      <c r="CW20" s="259">
        <f>'[1]February - 2023'!CZ19</f>
        <v>9407</v>
      </c>
      <c r="CX20" s="262">
        <f>'[1]February - 2023'!DA19</f>
        <v>11</v>
      </c>
      <c r="CY20" s="260">
        <f>'[1]February - 2023'!DB19</f>
        <v>6365</v>
      </c>
      <c r="CZ20" s="262">
        <f>'[1]February - 2023'!DC19</f>
        <v>5</v>
      </c>
      <c r="DA20" s="260">
        <f>'[1]February - 2023'!DD19</f>
        <v>33143</v>
      </c>
      <c r="DB20" s="262">
        <f>'[1]February - 2023'!DE19</f>
        <v>14</v>
      </c>
      <c r="DC20" s="260">
        <f>'[1]February - 2023'!DF19</f>
        <v>33284</v>
      </c>
      <c r="DD20" s="262">
        <f>'[1]February - 2023'!DG19</f>
        <v>14</v>
      </c>
      <c r="DE20" s="260">
        <f>'[1]February - 2023'!DH19</f>
        <v>22498</v>
      </c>
      <c r="DF20" s="262">
        <f>'[1]February - 2023'!DI19</f>
        <v>8</v>
      </c>
      <c r="DG20" s="260">
        <f>'[1]February - 2023'!DJ19</f>
        <v>24400</v>
      </c>
      <c r="DH20" s="262">
        <f>'[1]February - 2023'!DK19</f>
        <v>3</v>
      </c>
      <c r="DI20" s="260">
        <f>'[1]February - 2023'!DL19</f>
        <v>7795</v>
      </c>
      <c r="DJ20" s="262">
        <f>'[1]February - 2023'!DM19</f>
        <v>11</v>
      </c>
      <c r="DK20" s="260">
        <f>'[1]February - 2023'!DN19</f>
        <v>10294</v>
      </c>
      <c r="DL20" s="262">
        <f>'[1]February - 2023'!DO19</f>
        <v>11</v>
      </c>
      <c r="DM20" s="260">
        <f>'[1]February - 2023'!DP19</f>
        <v>3564</v>
      </c>
      <c r="DN20" s="262">
        <f>'[1]February - 2023'!DQ19</f>
        <v>4</v>
      </c>
      <c r="DO20" s="260">
        <f>'[1]February - 2023'!DR19</f>
        <v>6967</v>
      </c>
      <c r="DP20" s="262">
        <f>'[1]February - 2023'!DS19</f>
        <v>9</v>
      </c>
      <c r="DQ20" s="260">
        <f>'[1]February - 2023'!DT19</f>
        <v>30545</v>
      </c>
      <c r="DR20" s="263">
        <f>'[1]February - 2023'!DU19</f>
        <v>1</v>
      </c>
      <c r="DS20" s="501"/>
      <c r="DT20" s="189">
        <f>'[1]February - 2023'!DW19</f>
        <v>7036.7</v>
      </c>
      <c r="DU20" s="200">
        <f>'[1]February - 2023'!DX19</f>
        <v>11.199999999999818</v>
      </c>
      <c r="DV20" s="87">
        <f>'[1]February - 2023'!DY19</f>
        <v>11785.2</v>
      </c>
      <c r="DW20" s="194">
        <f>'[1]February - 2023'!DZ19</f>
        <v>8.6000000000003638</v>
      </c>
      <c r="DX20" s="87">
        <f>'[1]February - 2023'!EA19</f>
        <v>5207.1000000000004</v>
      </c>
      <c r="DY20" s="194">
        <f>'[1]February - 2023'!EB19</f>
        <v>5.9000000000005457</v>
      </c>
      <c r="DZ20" s="87">
        <f>'[1]February - 2023'!EC19</f>
        <v>5810.7</v>
      </c>
      <c r="EA20" s="194">
        <f>'[1]February - 2023'!ED19</f>
        <v>7.6999999999998181</v>
      </c>
      <c r="EB20" s="87">
        <f>'[1]February - 2023'!EE19</f>
        <v>1162614</v>
      </c>
      <c r="EC20" s="194">
        <f>'[1]February - 2023'!EF19</f>
        <v>580</v>
      </c>
      <c r="ED20" s="87">
        <f>'[1]February - 2023'!EI19</f>
        <v>240847.2</v>
      </c>
      <c r="EE20" s="207">
        <f>'[1]February - 2023'!EJ19</f>
        <v>152</v>
      </c>
      <c r="EF20" s="548"/>
      <c r="EG20" s="213">
        <f>'[1]February - 2023'!EL19</f>
        <v>12317300</v>
      </c>
      <c r="EH20" s="208">
        <f>'[1]February - 2023'!EM19</f>
        <v>2500</v>
      </c>
      <c r="EI20" s="86">
        <f>'[1]February - 2023'!EN19</f>
        <v>948740</v>
      </c>
      <c r="EJ20" s="208">
        <f>'[1]February - 2023'!EO19</f>
        <v>240</v>
      </c>
      <c r="EK20" s="86">
        <f>'[1]February - 2023'!EP19</f>
        <v>7305500</v>
      </c>
      <c r="EL20" s="208">
        <f>'[1]February - 2023'!EQ19</f>
        <v>800</v>
      </c>
      <c r="EM20" s="86">
        <f>'[1]February - 2023'!ER19</f>
        <v>2514700</v>
      </c>
      <c r="EN20" s="208">
        <f>'[1]February - 2023'!ES19</f>
        <v>300</v>
      </c>
      <c r="EO20" s="86">
        <f>'[1]February - 2023'!ET19</f>
        <v>1314070</v>
      </c>
      <c r="EP20" s="208">
        <f>'[1]February - 2023'!EU19</f>
        <v>620</v>
      </c>
      <c r="EQ20" s="86">
        <f>'[1]February - 2023'!EV19</f>
        <v>16753200</v>
      </c>
      <c r="ER20" s="208">
        <f>'[1]February - 2023'!EW19</f>
        <v>1400</v>
      </c>
      <c r="ES20" s="523"/>
      <c r="ET20" s="253">
        <f>'[1]February - 2023'!EY19</f>
        <v>43135</v>
      </c>
      <c r="EU20" s="266">
        <f>'[1]February - 2023'!EZ19</f>
        <v>15</v>
      </c>
      <c r="EV20" s="254">
        <f>'[1]February - 2023'!FA19</f>
        <v>37591</v>
      </c>
      <c r="EW20" s="266">
        <f>'[1]February - 2023'!FB19</f>
        <v>10</v>
      </c>
      <c r="EX20" s="254">
        <f>'[1]February - 2023'!FC19</f>
        <v>8182</v>
      </c>
      <c r="EY20" s="266">
        <f>'[1]February - 2023'!FD19</f>
        <v>14</v>
      </c>
      <c r="EZ20" s="254">
        <f>'[1]February - 2023'!FE19</f>
        <v>60196</v>
      </c>
      <c r="FA20" s="266">
        <f>'[1]February - 2023'!FF19</f>
        <v>16</v>
      </c>
      <c r="FB20" s="254">
        <f>'[1]February - 2023'!FG19</f>
        <v>51733</v>
      </c>
      <c r="FC20" s="264">
        <f>'[1]February - 2023'!FH19</f>
        <v>34</v>
      </c>
    </row>
    <row r="21" spans="1:159" ht="30" customHeight="1" x14ac:dyDescent="0.25">
      <c r="A21" s="186">
        <v>44969</v>
      </c>
      <c r="B21" s="188">
        <f>'[1]February - 2023'!B20</f>
        <v>0.91</v>
      </c>
      <c r="C21" s="228">
        <f>'[1]February - 2023'!E20</f>
        <v>250016</v>
      </c>
      <c r="D21" s="151">
        <f>'[1]February - 2023'!F21</f>
        <v>529</v>
      </c>
      <c r="E21" s="150">
        <f>'[1]February - 2023'!G20</f>
        <v>614</v>
      </c>
      <c r="F21" s="150">
        <f>'[1]February - 2023'!H20</f>
        <v>270503</v>
      </c>
      <c r="G21" s="151">
        <f>'[1]February - 2023'!I21</f>
        <v>406</v>
      </c>
      <c r="H21" s="150">
        <f>'[1]February - 2023'!J20</f>
        <v>118989</v>
      </c>
      <c r="I21" s="239">
        <f>'[1]February - 2023'!K20</f>
        <v>18272</v>
      </c>
      <c r="J21" s="151">
        <f>'[1]February - 2023'!L20</f>
        <v>269</v>
      </c>
      <c r="K21" s="239">
        <f>'[1]February - 2023'!N20</f>
        <v>932219</v>
      </c>
      <c r="L21" s="151">
        <f>'[1]February - 2023'!O20</f>
        <v>127</v>
      </c>
      <c r="M21" s="239">
        <f>'[1]February - 2023'!Q20</f>
        <v>246265</v>
      </c>
      <c r="N21" s="151">
        <f>'[1]February - 2023'!R20</f>
        <v>0</v>
      </c>
      <c r="O21" s="239">
        <f>'[1]February - 2023'!U20</f>
        <v>121140</v>
      </c>
      <c r="P21" s="151">
        <f>'[1]February - 2023'!V20</f>
        <v>78</v>
      </c>
      <c r="Q21" s="150">
        <f>'[1]February - 2023'!W20</f>
        <v>18</v>
      </c>
      <c r="R21" s="239">
        <f>'[1]February - 2023'!X20</f>
        <v>6796</v>
      </c>
      <c r="S21" s="187">
        <f>'[1]February - 2023'!Y20</f>
        <v>3</v>
      </c>
      <c r="T21" s="444"/>
      <c r="U21" s="244">
        <f>'[1]February - 2023'!AE20</f>
        <v>8302277.7599999998</v>
      </c>
      <c r="V21" s="265">
        <f>'[1]February - 2023'!AF20</f>
        <v>1997.519999999553</v>
      </c>
      <c r="W21" s="88">
        <f>'[1]February - 2023'!AG20</f>
        <v>2241.1200000001118</v>
      </c>
      <c r="X21" s="261">
        <f>'[1]February - 2023'!AH20</f>
        <v>15773684.640000001</v>
      </c>
      <c r="Y21" s="265">
        <f>'[1]February - 2023'!AI20</f>
        <v>4628.4000000003725</v>
      </c>
      <c r="Z21" s="88">
        <f>'[1]February - 2023'!AJ20</f>
        <v>4677.1200000010431</v>
      </c>
      <c r="AA21" s="261">
        <f>'[1]February - 2023'!AK20</f>
        <v>15938114.640000001</v>
      </c>
      <c r="AB21" s="265">
        <f>'[1]February - 2023'!AL20</f>
        <v>1023.1200000010431</v>
      </c>
      <c r="AC21" s="88">
        <f>'[1]February - 2023'!AM20</f>
        <v>0</v>
      </c>
      <c r="AD21" s="261">
        <f>'[1]February - 2023'!AN20</f>
        <v>19092442.32</v>
      </c>
      <c r="AE21" s="265">
        <f>'[1]February - 2023'!AO20</f>
        <v>48.720000002533197</v>
      </c>
      <c r="AF21" s="88">
        <f>'[1]February - 2023'!AP20</f>
        <v>10913.279999997467</v>
      </c>
      <c r="AG21" s="261">
        <f>'[1]February - 2023'!AQ20</f>
        <v>19361669.039999999</v>
      </c>
      <c r="AH21" s="265">
        <f>'[1]February - 2023'!AR20</f>
        <v>8331.1200000010431</v>
      </c>
      <c r="AI21" s="88">
        <f>'[1]February - 2023'!AS20</f>
        <v>0</v>
      </c>
      <c r="AJ21" s="261">
        <f>'[1]February - 2023'!AT20</f>
        <v>17917705.68</v>
      </c>
      <c r="AK21" s="265">
        <f>'[1]February - 2023'!AU20</f>
        <v>5748.9600000008941</v>
      </c>
      <c r="AL21" s="88">
        <f>'[1]February - 2023'!AV20</f>
        <v>6236.160000000149</v>
      </c>
      <c r="AM21" s="261">
        <f>'[1]February - 2023'!AW20</f>
        <v>15055259.52</v>
      </c>
      <c r="AN21" s="265">
        <f>'[1]February - 2023'!AX20</f>
        <v>3848.8799999989569</v>
      </c>
      <c r="AO21" s="88">
        <f>'[1]February - 2023'!AY20</f>
        <v>4433.5200000014156</v>
      </c>
      <c r="AP21" s="261">
        <f>'[1]February - 2023'!AZ20</f>
        <v>14604307.199999999</v>
      </c>
      <c r="AQ21" s="265">
        <f>'[1]February - 2023'!BA20</f>
        <v>4482.2400000002235</v>
      </c>
      <c r="AR21" s="88">
        <f>'[1]February - 2023'!BB20</f>
        <v>4628.4000000003725</v>
      </c>
      <c r="AS21" s="261">
        <f>'[1]February - 2023'!BC20</f>
        <v>11378068.799999999</v>
      </c>
      <c r="AT21" s="265">
        <f>'[1]February - 2023'!BD20</f>
        <v>3312.9599999990314</v>
      </c>
      <c r="AU21" s="88">
        <f>'[1]February - 2023'!BE20</f>
        <v>3264.2399999983609</v>
      </c>
      <c r="AV21" s="261">
        <f>'[1]February - 2023'!BF20</f>
        <v>18069760.800000001</v>
      </c>
      <c r="AW21" s="229">
        <f>'[1]February - 2023'!BG20</f>
        <v>5554.0800000019372</v>
      </c>
      <c r="AX21" s="230">
        <f>'[1]February - 2023'!BH20</f>
        <v>5602.7999999988824</v>
      </c>
      <c r="AY21" s="461"/>
      <c r="AZ21" s="247">
        <f>'[1]February - 2023'!BM20</f>
        <v>78729300</v>
      </c>
      <c r="BA21" s="160">
        <f>'[1]February - 2023'!BN20</f>
        <v>4000</v>
      </c>
      <c r="BB21" s="89">
        <f>'[1]February - 2023'!BO21</f>
        <v>0</v>
      </c>
      <c r="BC21" s="247">
        <f>'[1]February - 2023'!BP20</f>
        <v>81696700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75678400</v>
      </c>
      <c r="BG21" s="223">
        <f>'[1]February - 2023'!BT20</f>
        <v>36600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10665930</v>
      </c>
      <c r="BT21" s="165">
        <f>'[1]February - 2023'!BW20</f>
        <v>6880</v>
      </c>
      <c r="BU21" s="557"/>
      <c r="BV21" s="84">
        <f>'[1]February - 2023'!BY20</f>
        <v>0.8</v>
      </c>
      <c r="BW21" s="219">
        <f>'[1]February - 2023'!BZ20</f>
        <v>-0.12</v>
      </c>
      <c r="BX21" s="84">
        <f>'[1]February - 2023'!CA20</f>
        <v>0.12</v>
      </c>
      <c r="BY21" s="85">
        <f>'[1]February - 2023'!CB20</f>
        <v>65530</v>
      </c>
      <c r="BZ21" s="171">
        <f>'[1]February - 2023'!CC20</f>
        <v>17</v>
      </c>
      <c r="CA21" s="85">
        <f>'[1]February - 2023'!CD20</f>
        <v>56700</v>
      </c>
      <c r="CB21" s="171">
        <f>'[1]February - 2023'!CE20</f>
        <v>21</v>
      </c>
      <c r="CC21" s="85">
        <f>'[1]February - 2023'!CF20</f>
        <v>19141</v>
      </c>
      <c r="CD21" s="171">
        <f>'[1]February - 2023'!CG20</f>
        <v>8</v>
      </c>
      <c r="CE21" s="85">
        <f>'[1]February - 2023'!CH20</f>
        <v>26225</v>
      </c>
      <c r="CF21" s="171">
        <f>'[1]February - 2023'!CI20</f>
        <v>10</v>
      </c>
      <c r="CG21" s="85">
        <f>'[1]February - 2023'!CJ20</f>
        <v>29440</v>
      </c>
      <c r="CH21" s="171">
        <f>'[1]February - 2023'!CK20</f>
        <v>15</v>
      </c>
      <c r="CI21" s="85">
        <f>'[1]February - 2023'!CL20</f>
        <v>64789</v>
      </c>
      <c r="CJ21" s="171">
        <f>'[1]February - 2023'!CM20</f>
        <v>35</v>
      </c>
      <c r="CK21" s="85">
        <f>'[1]February - 2023'!CN20</f>
        <v>272960</v>
      </c>
      <c r="CL21" s="224">
        <f>'[1]February - 2023'!CO20</f>
        <v>79</v>
      </c>
      <c r="CM21" s="85">
        <f>'[1]February - 2023'!CP20</f>
        <v>100</v>
      </c>
      <c r="CN21" s="85">
        <f>'[1]February - 2023'!CQ20</f>
        <v>222531</v>
      </c>
      <c r="CO21" s="224">
        <f>'[1]February - 2023'!CR20</f>
        <v>122</v>
      </c>
      <c r="CP21" s="85">
        <f>'[1]February - 2023'!CV20</f>
        <v>290</v>
      </c>
      <c r="CQ21" s="85">
        <f>'[1]February - 2023'!CT20</f>
        <v>372643</v>
      </c>
      <c r="CR21" s="224">
        <f>'[1]February - 2023'!CU20</f>
        <v>287</v>
      </c>
      <c r="CS21" s="85">
        <f>'[1]February - 2023'!CV20</f>
        <v>290</v>
      </c>
      <c r="CT21" s="85">
        <f>'[1]February - 2023'!CW20</f>
        <v>705961</v>
      </c>
      <c r="CU21" s="171">
        <f>'[1]February - 2023'!CX20</f>
        <v>189</v>
      </c>
      <c r="CV21" s="485"/>
      <c r="CW21" s="259">
        <f>'[1]February - 2023'!CZ20</f>
        <v>9413</v>
      </c>
      <c r="CX21" s="262">
        <f>'[1]February - 2023'!DA20</f>
        <v>6</v>
      </c>
      <c r="CY21" s="260">
        <f>'[1]February - 2023'!DB20</f>
        <v>6368</v>
      </c>
      <c r="CZ21" s="262">
        <f>'[1]February - 2023'!DC20</f>
        <v>3</v>
      </c>
      <c r="DA21" s="260">
        <f>'[1]February - 2023'!DD20</f>
        <v>33159</v>
      </c>
      <c r="DB21" s="262">
        <f>'[1]February - 2023'!DE20</f>
        <v>16</v>
      </c>
      <c r="DC21" s="260">
        <f>'[1]February - 2023'!DF20</f>
        <v>33299</v>
      </c>
      <c r="DD21" s="262">
        <f>'[1]February - 2023'!DG20</f>
        <v>15</v>
      </c>
      <c r="DE21" s="260">
        <f>'[1]February - 2023'!DH20</f>
        <v>22508</v>
      </c>
      <c r="DF21" s="262">
        <f>'[1]February - 2023'!DI20</f>
        <v>10</v>
      </c>
      <c r="DG21" s="260">
        <f>'[1]February - 2023'!DJ20</f>
        <v>24406</v>
      </c>
      <c r="DH21" s="262">
        <f>'[1]February - 2023'!DK20</f>
        <v>6</v>
      </c>
      <c r="DI21" s="260">
        <f>'[1]February - 2023'!DL20</f>
        <v>7807</v>
      </c>
      <c r="DJ21" s="262">
        <f>'[1]February - 2023'!DM20</f>
        <v>12</v>
      </c>
      <c r="DK21" s="260">
        <f>'[1]February - 2023'!DN20</f>
        <v>10302</v>
      </c>
      <c r="DL21" s="262">
        <f>'[1]February - 2023'!DO20</f>
        <v>8</v>
      </c>
      <c r="DM21" s="260">
        <f>'[1]February - 2023'!DP20</f>
        <v>3568</v>
      </c>
      <c r="DN21" s="262">
        <f>'[1]February - 2023'!DQ20</f>
        <v>4</v>
      </c>
      <c r="DO21" s="260">
        <f>'[1]February - 2023'!DR20</f>
        <v>6976</v>
      </c>
      <c r="DP21" s="262">
        <f>'[1]February - 2023'!DS20</f>
        <v>9</v>
      </c>
      <c r="DQ21" s="260">
        <f>'[1]February - 2023'!DT20</f>
        <v>30545</v>
      </c>
      <c r="DR21" s="263">
        <f>'[1]February - 2023'!DU20</f>
        <v>0</v>
      </c>
      <c r="DS21" s="501"/>
      <c r="DT21" s="189">
        <f>'[1]February - 2023'!DW20</f>
        <v>7040.5</v>
      </c>
      <c r="DU21" s="200">
        <f>'[1]February - 2023'!DX20</f>
        <v>3.8000000000001819</v>
      </c>
      <c r="DV21" s="87">
        <f>'[1]February - 2023'!DY20</f>
        <v>11792.9</v>
      </c>
      <c r="DW21" s="194">
        <f>'[1]February - 2023'!DZ20</f>
        <v>7.6999999999989086</v>
      </c>
      <c r="DX21" s="87">
        <f>'[1]February - 2023'!EA20</f>
        <v>5213</v>
      </c>
      <c r="DY21" s="194">
        <f>'[1]February - 2023'!EB20</f>
        <v>5.8999999999996362</v>
      </c>
      <c r="DZ21" s="87">
        <f>'[1]February - 2023'!EC20</f>
        <v>5817.6</v>
      </c>
      <c r="EA21" s="194">
        <f>'[1]February - 2023'!ED20</f>
        <v>6.9000000000005457</v>
      </c>
      <c r="EB21" s="87">
        <f>'[1]February - 2023'!EE20</f>
        <v>1163200</v>
      </c>
      <c r="EC21" s="194">
        <f>'[1]February - 2023'!EF20</f>
        <v>586</v>
      </c>
      <c r="ED21" s="87">
        <f>'[1]February - 2023'!EI20</f>
        <v>240999.5</v>
      </c>
      <c r="EE21" s="207">
        <f>'[1]February - 2023'!EJ20</f>
        <v>152.29999999998836</v>
      </c>
      <c r="EF21" s="548"/>
      <c r="EG21" s="213">
        <f>'[1]February - 2023'!EL20</f>
        <v>12320300</v>
      </c>
      <c r="EH21" s="208">
        <f>'[1]February - 2023'!EM20</f>
        <v>3000</v>
      </c>
      <c r="EI21" s="86">
        <f>'[1]February - 2023'!EN20</f>
        <v>949000</v>
      </c>
      <c r="EJ21" s="208">
        <f>'[1]February - 2023'!EO20</f>
        <v>260</v>
      </c>
      <c r="EK21" s="86">
        <f>'[1]February - 2023'!EP20</f>
        <v>7306400</v>
      </c>
      <c r="EL21" s="208">
        <f>'[1]February - 2023'!EQ20</f>
        <v>900</v>
      </c>
      <c r="EM21" s="86">
        <f>'[1]February - 2023'!ER20</f>
        <v>2514900</v>
      </c>
      <c r="EN21" s="208">
        <f>'[1]February - 2023'!ES20</f>
        <v>200</v>
      </c>
      <c r="EO21" s="86">
        <f>'[1]February - 2023'!ET20</f>
        <v>1314780</v>
      </c>
      <c r="EP21" s="208">
        <f>'[1]February - 2023'!EU20</f>
        <v>710</v>
      </c>
      <c r="EQ21" s="86">
        <f>'[1]February - 2023'!EV20</f>
        <v>16755000</v>
      </c>
      <c r="ER21" s="208">
        <f>'[1]February - 2023'!EW20</f>
        <v>1800</v>
      </c>
      <c r="ES21" s="523"/>
      <c r="ET21" s="253">
        <f>'[1]February - 2023'!EY20</f>
        <v>43150</v>
      </c>
      <c r="EU21" s="266">
        <f>'[1]February - 2023'!EZ20</f>
        <v>15</v>
      </c>
      <c r="EV21" s="254">
        <f>'[1]February - 2023'!FA20</f>
        <v>37603</v>
      </c>
      <c r="EW21" s="266">
        <f>'[1]February - 2023'!FB20</f>
        <v>12</v>
      </c>
      <c r="EX21" s="254">
        <f>'[1]February - 2023'!FC20</f>
        <v>8193</v>
      </c>
      <c r="EY21" s="266">
        <f>'[1]February - 2023'!FD20</f>
        <v>11</v>
      </c>
      <c r="EZ21" s="254">
        <f>'[1]February - 2023'!FE20</f>
        <v>60209</v>
      </c>
      <c r="FA21" s="266">
        <f>'[1]February - 2023'!FF20</f>
        <v>13</v>
      </c>
      <c r="FB21" s="254">
        <f>'[1]February - 2023'!FG20</f>
        <v>51764</v>
      </c>
      <c r="FC21" s="264">
        <f>'[1]February - 2023'!FH20</f>
        <v>31</v>
      </c>
    </row>
    <row r="22" spans="1:159" ht="30" customHeight="1" x14ac:dyDescent="0.25">
      <c r="A22" s="186">
        <v>44970</v>
      </c>
      <c r="B22" s="188">
        <f>'[1]February - 2023'!B21</f>
        <v>0.89</v>
      </c>
      <c r="C22" s="228">
        <f>'[1]February - 2023'!E21</f>
        <v>250545</v>
      </c>
      <c r="D22" s="151">
        <f>'[1]February - 2023'!F22</f>
        <v>614</v>
      </c>
      <c r="E22" s="150">
        <f>'[1]February - 2023'!G21</f>
        <v>601</v>
      </c>
      <c r="F22" s="150">
        <f>'[1]February - 2023'!H21</f>
        <v>270909</v>
      </c>
      <c r="G22" s="151">
        <f>'[1]February - 2023'!I22</f>
        <v>460</v>
      </c>
      <c r="H22" s="150">
        <f>'[1]February - 2023'!J21</f>
        <v>119457</v>
      </c>
      <c r="I22" s="239">
        <f>'[1]February - 2023'!K21</f>
        <v>18525</v>
      </c>
      <c r="J22" s="151">
        <f>'[1]February - 2023'!L21</f>
        <v>253</v>
      </c>
      <c r="K22" s="239">
        <f>'[1]February - 2023'!N21</f>
        <v>932485</v>
      </c>
      <c r="L22" s="151">
        <f>'[1]February - 2023'!O21</f>
        <v>266</v>
      </c>
      <c r="M22" s="239">
        <f>'[1]February - 2023'!Q21</f>
        <v>246265</v>
      </c>
      <c r="N22" s="151">
        <f>'[1]February - 2023'!R21</f>
        <v>0</v>
      </c>
      <c r="O22" s="239">
        <f>'[1]February - 2023'!U21</f>
        <v>121223</v>
      </c>
      <c r="P22" s="151">
        <f>'[1]February - 2023'!V21</f>
        <v>83</v>
      </c>
      <c r="Q22" s="150">
        <f>'[1]February - 2023'!W21</f>
        <v>185</v>
      </c>
      <c r="R22" s="239">
        <f>'[1]February - 2023'!X21</f>
        <v>6806</v>
      </c>
      <c r="S22" s="187">
        <f>'[1]February - 2023'!Y21</f>
        <v>10</v>
      </c>
      <c r="T22" s="444"/>
      <c r="U22" s="244">
        <f>'[1]February - 2023'!AE21</f>
        <v>8304275.2800000003</v>
      </c>
      <c r="V22" s="265">
        <f>'[1]February - 2023'!AF21</f>
        <v>1997.5200000004843</v>
      </c>
      <c r="W22" s="88">
        <f>'[1]February - 2023'!AG21</f>
        <v>2046.2399999992922</v>
      </c>
      <c r="X22" s="261">
        <f>'[1]February - 2023'!AH21</f>
        <v>15778361.76</v>
      </c>
      <c r="Y22" s="265">
        <f>'[1]February - 2023'!AI21</f>
        <v>4677.1199999991804</v>
      </c>
      <c r="Z22" s="88">
        <f>'[1]February - 2023'!AJ21</f>
        <v>4384.7999999988824</v>
      </c>
      <c r="AA22" s="261">
        <f>'[1]February - 2023'!AK21</f>
        <v>15945276.48</v>
      </c>
      <c r="AB22" s="265">
        <f>'[1]February - 2023'!AL21</f>
        <v>7161.839999999851</v>
      </c>
      <c r="AC22" s="88">
        <f>'[1]February - 2023'!AM21</f>
        <v>48.720000000670552</v>
      </c>
      <c r="AD22" s="261">
        <f>'[1]February - 2023'!AN21</f>
        <v>19093368</v>
      </c>
      <c r="AE22" s="265">
        <f>'[1]February - 2023'!AO21</f>
        <v>925.67999999970198</v>
      </c>
      <c r="AF22" s="88">
        <f>'[1]February - 2023'!AP21</f>
        <v>8769.6000000014901</v>
      </c>
      <c r="AG22" s="261">
        <f>'[1]February - 2023'!AQ21</f>
        <v>19362935.760000002</v>
      </c>
      <c r="AH22" s="265">
        <f>'[1]February - 2023'!AR21</f>
        <v>1266.7200000025332</v>
      </c>
      <c r="AI22" s="88">
        <f>'[1]February - 2023'!AS21</f>
        <v>0</v>
      </c>
      <c r="AJ22" s="261">
        <f>'[1]February - 2023'!AT21</f>
        <v>17923503.359999999</v>
      </c>
      <c r="AK22" s="265">
        <f>'[1]February - 2023'!AU21</f>
        <v>5797.679999999702</v>
      </c>
      <c r="AL22" s="88">
        <f>'[1]February - 2023'!AV21</f>
        <v>6090</v>
      </c>
      <c r="AM22" s="261">
        <f>'[1]February - 2023'!AW21</f>
        <v>15058816.08</v>
      </c>
      <c r="AN22" s="265">
        <f>'[1]February - 2023'!AX21</f>
        <v>3556.5600000005215</v>
      </c>
      <c r="AO22" s="88">
        <f>'[1]February - 2023'!AY21</f>
        <v>4092.4799999985844</v>
      </c>
      <c r="AP22" s="261">
        <f>'[1]February - 2023'!AZ21</f>
        <v>14608692</v>
      </c>
      <c r="AQ22" s="265">
        <f>'[1]February - 2023'!BA21</f>
        <v>4384.8000000007451</v>
      </c>
      <c r="AR22" s="88">
        <f>'[1]February - 2023'!BB21</f>
        <v>4189.9199999999255</v>
      </c>
      <c r="AS22" s="261">
        <f>'[1]February - 2023'!BC21</f>
        <v>11380992</v>
      </c>
      <c r="AT22" s="265">
        <f>'[1]February - 2023'!BD21</f>
        <v>2923.2000000011176</v>
      </c>
      <c r="AU22" s="88">
        <f>'[1]February - 2023'!BE21</f>
        <v>2874.480000000447</v>
      </c>
      <c r="AV22" s="261">
        <f>'[1]February - 2023'!BF21</f>
        <v>18074973.84</v>
      </c>
      <c r="AW22" s="229">
        <f>'[1]February - 2023'!BG21</f>
        <v>5213.0399999991059</v>
      </c>
      <c r="AX22" s="230">
        <f>'[1]February - 2023'!BH21</f>
        <v>5359.2000000011176</v>
      </c>
      <c r="AY22" s="461"/>
      <c r="AZ22" s="247">
        <f>'[1]February - 2023'!BM21</f>
        <v>78768300</v>
      </c>
      <c r="BA22" s="160">
        <f>'[1]February - 2023'!BN21</f>
        <v>39000</v>
      </c>
      <c r="BB22" s="89">
        <f>'[1]February - 2023'!BO22</f>
        <v>0</v>
      </c>
      <c r="BC22" s="247">
        <f>'[1]February - 2023'!BP21</f>
        <v>81700800</v>
      </c>
      <c r="BD22" s="223">
        <f>'[1]February - 2023'!BQ21</f>
        <v>4100</v>
      </c>
      <c r="BE22" s="89">
        <f>'[1]February - 2023'!BR21</f>
        <v>33100</v>
      </c>
      <c r="BF22" s="247">
        <f>'[1]February - 2023'!BS21</f>
        <v>75678400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10672650</v>
      </c>
      <c r="BT22" s="165">
        <f>'[1]February - 2023'!BW21</f>
        <v>6720</v>
      </c>
      <c r="BU22" s="557"/>
      <c r="BV22" s="84">
        <f>'[1]February - 2023'!BY21</f>
        <v>0.7</v>
      </c>
      <c r="BW22" s="219">
        <f>'[1]February - 2023'!BZ21</f>
        <v>0.10000000000000009</v>
      </c>
      <c r="BX22" s="84">
        <f>'[1]February - 2023'!CA21</f>
        <v>-0.10999999999999999</v>
      </c>
      <c r="BY22" s="85">
        <f>'[1]February - 2023'!CB21</f>
        <v>65546</v>
      </c>
      <c r="BZ22" s="171">
        <f>'[1]February - 2023'!CC21</f>
        <v>16</v>
      </c>
      <c r="CA22" s="85">
        <f>'[1]February - 2023'!CD21</f>
        <v>56720</v>
      </c>
      <c r="CB22" s="171">
        <f>'[1]February - 2023'!CE21</f>
        <v>20</v>
      </c>
      <c r="CC22" s="85">
        <f>'[1]February - 2023'!CF21</f>
        <v>19148</v>
      </c>
      <c r="CD22" s="171">
        <f>'[1]February - 2023'!CG21</f>
        <v>7</v>
      </c>
      <c r="CE22" s="85">
        <f>'[1]February - 2023'!CH21</f>
        <v>26235</v>
      </c>
      <c r="CF22" s="171">
        <f>'[1]February - 2023'!CI21</f>
        <v>10</v>
      </c>
      <c r="CG22" s="85">
        <f>'[1]February - 2023'!CJ21</f>
        <v>29455</v>
      </c>
      <c r="CH22" s="171">
        <f>'[1]February - 2023'!CK21</f>
        <v>15</v>
      </c>
      <c r="CI22" s="85">
        <f>'[1]February - 2023'!CL21</f>
        <v>64824</v>
      </c>
      <c r="CJ22" s="171">
        <f>'[1]February - 2023'!CM21</f>
        <v>35</v>
      </c>
      <c r="CK22" s="85">
        <f>'[1]February - 2023'!CN21</f>
        <v>273037</v>
      </c>
      <c r="CL22" s="224">
        <f>'[1]February - 2023'!CO21</f>
        <v>77</v>
      </c>
      <c r="CM22" s="85">
        <f>'[1]February - 2023'!CP21</f>
        <v>96</v>
      </c>
      <c r="CN22" s="85">
        <f>'[1]February - 2023'!CQ21</f>
        <v>222644</v>
      </c>
      <c r="CO22" s="224">
        <f>'[1]February - 2023'!CR21</f>
        <v>113</v>
      </c>
      <c r="CP22" s="85">
        <f>'[1]February - 2023'!CV21</f>
        <v>365</v>
      </c>
      <c r="CQ22" s="85">
        <f>'[1]February - 2023'!CT21</f>
        <v>372877</v>
      </c>
      <c r="CR22" s="224">
        <f>'[1]February - 2023'!CU21</f>
        <v>234</v>
      </c>
      <c r="CS22" s="85">
        <f>'[1]February - 2023'!CV21</f>
        <v>365</v>
      </c>
      <c r="CT22" s="85">
        <f>'[1]February - 2023'!CW21</f>
        <v>706144</v>
      </c>
      <c r="CU22" s="171">
        <f>'[1]February - 2023'!CX21</f>
        <v>183</v>
      </c>
      <c r="CV22" s="485"/>
      <c r="CW22" s="259">
        <f>'[1]February - 2023'!CZ21</f>
        <v>9417</v>
      </c>
      <c r="CX22" s="262">
        <f>'[1]February - 2023'!DA21</f>
        <v>4</v>
      </c>
      <c r="CY22" s="260">
        <f>'[1]February - 2023'!DB21</f>
        <v>6370</v>
      </c>
      <c r="CZ22" s="262">
        <f>'[1]February - 2023'!DC21</f>
        <v>2</v>
      </c>
      <c r="DA22" s="260">
        <f>'[1]February - 2023'!DD21</f>
        <v>33172</v>
      </c>
      <c r="DB22" s="262">
        <f>'[1]February - 2023'!DE21</f>
        <v>13</v>
      </c>
      <c r="DC22" s="260">
        <f>'[1]February - 2023'!DF21</f>
        <v>33313</v>
      </c>
      <c r="DD22" s="262">
        <f>'[1]February - 2023'!DG21</f>
        <v>14</v>
      </c>
      <c r="DE22" s="260">
        <f>'[1]February - 2023'!DH21</f>
        <v>22517</v>
      </c>
      <c r="DF22" s="262">
        <f>'[1]February - 2023'!DI21</f>
        <v>9</v>
      </c>
      <c r="DG22" s="260">
        <f>'[1]February - 2023'!DJ21</f>
        <v>24411</v>
      </c>
      <c r="DH22" s="262">
        <f>'[1]February - 2023'!DK21</f>
        <v>5</v>
      </c>
      <c r="DI22" s="260">
        <f>'[1]February - 2023'!DL21</f>
        <v>7816</v>
      </c>
      <c r="DJ22" s="262">
        <f>'[1]February - 2023'!DM21</f>
        <v>9</v>
      </c>
      <c r="DK22" s="260">
        <f>'[1]February - 2023'!DN21</f>
        <v>10308</v>
      </c>
      <c r="DL22" s="262">
        <f>'[1]February - 2023'!DO21</f>
        <v>6</v>
      </c>
      <c r="DM22" s="260">
        <f>'[1]February - 2023'!DP21</f>
        <v>3572</v>
      </c>
      <c r="DN22" s="262">
        <f>'[1]February - 2023'!DQ21</f>
        <v>4</v>
      </c>
      <c r="DO22" s="260">
        <f>'[1]February - 2023'!DR21</f>
        <v>6983</v>
      </c>
      <c r="DP22" s="262">
        <f>'[1]February - 2023'!DS21</f>
        <v>7</v>
      </c>
      <c r="DQ22" s="260">
        <f>'[1]February - 2023'!DT21</f>
        <v>30551</v>
      </c>
      <c r="DR22" s="263">
        <f>'[1]February - 2023'!DU21</f>
        <v>6</v>
      </c>
      <c r="DS22" s="501"/>
      <c r="DT22" s="189">
        <f>'[1]February - 2023'!DW21</f>
        <v>7058</v>
      </c>
      <c r="DU22" s="200">
        <f>'[1]February - 2023'!DX21</f>
        <v>17.5</v>
      </c>
      <c r="DV22" s="87">
        <f>'[1]February - 2023'!DY21</f>
        <v>11801.2</v>
      </c>
      <c r="DW22" s="194">
        <f>'[1]February - 2023'!DZ21</f>
        <v>8.3000000000010914</v>
      </c>
      <c r="DX22" s="87">
        <f>'[1]February - 2023'!EA21</f>
        <v>5219</v>
      </c>
      <c r="DY22" s="194">
        <f>'[1]February - 2023'!EB21</f>
        <v>6</v>
      </c>
      <c r="DZ22" s="87">
        <f>'[1]February - 2023'!EC21</f>
        <v>5823.3</v>
      </c>
      <c r="EA22" s="194">
        <f>'[1]February - 2023'!ED21</f>
        <v>5.6999999999998181</v>
      </c>
      <c r="EB22" s="87">
        <f>'[1]February - 2023'!EE21</f>
        <v>1163765</v>
      </c>
      <c r="EC22" s="194">
        <f>'[1]February - 2023'!EF21</f>
        <v>565</v>
      </c>
      <c r="ED22" s="87">
        <f>'[1]February - 2023'!EI21</f>
        <v>241151.6</v>
      </c>
      <c r="EE22" s="207">
        <f>'[1]February - 2023'!EJ21</f>
        <v>152.10000000000582</v>
      </c>
      <c r="EF22" s="548"/>
      <c r="EG22" s="213">
        <f>'[1]February - 2023'!EL21</f>
        <v>12322900</v>
      </c>
      <c r="EH22" s="208">
        <f>'[1]February - 2023'!EM21</f>
        <v>2600</v>
      </c>
      <c r="EI22" s="86">
        <f>'[1]February - 2023'!EN21</f>
        <v>949220</v>
      </c>
      <c r="EJ22" s="208">
        <f>'[1]February - 2023'!EO21</f>
        <v>220</v>
      </c>
      <c r="EK22" s="86">
        <f>'[1]February - 2023'!EP21</f>
        <v>7307300</v>
      </c>
      <c r="EL22" s="208">
        <f>'[1]February - 2023'!EQ21</f>
        <v>900</v>
      </c>
      <c r="EM22" s="86">
        <f>'[1]February - 2023'!ER21</f>
        <v>2515300</v>
      </c>
      <c r="EN22" s="208">
        <f>'[1]February - 2023'!ES21</f>
        <v>400</v>
      </c>
      <c r="EO22" s="86">
        <f>'[1]February - 2023'!ET21</f>
        <v>1315440</v>
      </c>
      <c r="EP22" s="208">
        <f>'[1]February - 2023'!EU21</f>
        <v>660</v>
      </c>
      <c r="EQ22" s="86">
        <f>'[1]February - 2023'!EV21</f>
        <v>16756600</v>
      </c>
      <c r="ER22" s="208">
        <f>'[1]February - 2023'!EW21</f>
        <v>1600</v>
      </c>
      <c r="ES22" s="523"/>
      <c r="ET22" s="253">
        <f>'[1]February - 2023'!EY21</f>
        <v>43165</v>
      </c>
      <c r="EU22" s="266">
        <f>'[1]February - 2023'!EZ21</f>
        <v>15</v>
      </c>
      <c r="EV22" s="254">
        <f>'[1]February - 2023'!FA21</f>
        <v>37615</v>
      </c>
      <c r="EW22" s="266">
        <f>'[1]February - 2023'!FB21</f>
        <v>12</v>
      </c>
      <c r="EX22" s="254">
        <f>'[1]February - 2023'!FC21</f>
        <v>8202</v>
      </c>
      <c r="EY22" s="266">
        <f>'[1]February - 2023'!FD21</f>
        <v>9</v>
      </c>
      <c r="EZ22" s="254">
        <f>'[1]February - 2023'!FE21</f>
        <v>60221</v>
      </c>
      <c r="FA22" s="266">
        <f>'[1]February - 2023'!FF21</f>
        <v>12</v>
      </c>
      <c r="FB22" s="254">
        <f>'[1]February - 2023'!FG21</f>
        <v>51797</v>
      </c>
      <c r="FC22" s="264">
        <f>'[1]February - 2023'!FH21</f>
        <v>33</v>
      </c>
    </row>
    <row r="23" spans="1:159" ht="30" customHeight="1" x14ac:dyDescent="0.25">
      <c r="A23" s="186">
        <v>44971</v>
      </c>
      <c r="B23" s="188">
        <f>'[1]February - 2023'!B22</f>
        <v>0.88</v>
      </c>
      <c r="C23" s="228">
        <f>'[1]February - 2023'!E22</f>
        <v>251159</v>
      </c>
      <c r="D23" s="151">
        <f>'[1]February - 2023'!F23</f>
        <v>590</v>
      </c>
      <c r="E23" s="150">
        <f>'[1]February - 2023'!G22</f>
        <v>545</v>
      </c>
      <c r="F23" s="150">
        <f>'[1]February - 2023'!H22</f>
        <v>271369</v>
      </c>
      <c r="G23" s="151">
        <f>'[1]February - 2023'!I23</f>
        <v>450</v>
      </c>
      <c r="H23" s="150">
        <f>'[1]February - 2023'!J22</f>
        <v>119868</v>
      </c>
      <c r="I23" s="239">
        <f>'[1]February - 2023'!K22</f>
        <v>18810</v>
      </c>
      <c r="J23" s="151">
        <f>'[1]February - 2023'!L22</f>
        <v>285</v>
      </c>
      <c r="K23" s="239">
        <f>'[1]February - 2023'!N22</f>
        <v>932756</v>
      </c>
      <c r="L23" s="151">
        <f>'[1]February - 2023'!O22</f>
        <v>271</v>
      </c>
      <c r="M23" s="239">
        <f>'[1]February - 2023'!Q22</f>
        <v>246265</v>
      </c>
      <c r="N23" s="151">
        <f>'[1]February - 2023'!R22</f>
        <v>0</v>
      </c>
      <c r="O23" s="239">
        <f>'[1]February - 2023'!U22</f>
        <v>121316</v>
      </c>
      <c r="P23" s="151">
        <f>'[1]February - 2023'!V22</f>
        <v>93</v>
      </c>
      <c r="Q23" s="150">
        <f>'[1]February - 2023'!W22</f>
        <v>212</v>
      </c>
      <c r="R23" s="239">
        <f>'[1]February - 2023'!X22</f>
        <v>6818</v>
      </c>
      <c r="S23" s="187">
        <f>'[1]February - 2023'!Y22</f>
        <v>12</v>
      </c>
      <c r="T23" s="444"/>
      <c r="U23" s="244">
        <f>'[1]February - 2023'!AE22</f>
        <v>8306418.959999999</v>
      </c>
      <c r="V23" s="265">
        <f>'[1]February - 2023'!AF22</f>
        <v>2143.6799999987707</v>
      </c>
      <c r="W23" s="88">
        <f>'[1]February - 2023'!AG22</f>
        <v>2143.6800000006333</v>
      </c>
      <c r="X23" s="261">
        <f>'[1]February - 2023'!AH22</f>
        <v>15783038.880000001</v>
      </c>
      <c r="Y23" s="265">
        <f>'[1]February - 2023'!AI22</f>
        <v>4677.1200000010431</v>
      </c>
      <c r="Z23" s="88">
        <f>'[1]February - 2023'!AJ22</f>
        <v>4530.9599999990314</v>
      </c>
      <c r="AA23" s="261">
        <f>'[1]February - 2023'!AK22</f>
        <v>15945422.640000001</v>
      </c>
      <c r="AB23" s="265">
        <f>'[1]February - 2023'!AL22</f>
        <v>146.16000000014901</v>
      </c>
      <c r="AC23" s="88">
        <f>'[1]February - 2023'!AM22</f>
        <v>0</v>
      </c>
      <c r="AD23" s="261">
        <f>'[1]February - 2023'!AN22</f>
        <v>19100870.879999999</v>
      </c>
      <c r="AE23" s="265">
        <f>'[1]February - 2023'!AO22</f>
        <v>7502.8799999989569</v>
      </c>
      <c r="AF23" s="88">
        <f>'[1]February - 2023'!AP22</f>
        <v>8477.2800000011921</v>
      </c>
      <c r="AG23" s="261">
        <f>'[1]February - 2023'!AQ22</f>
        <v>19365128.16</v>
      </c>
      <c r="AH23" s="265">
        <f>'[1]February - 2023'!AR22</f>
        <v>2192.3999999985099</v>
      </c>
      <c r="AI23" s="88">
        <f>'[1]February - 2023'!AS22</f>
        <v>1120.5600000023842</v>
      </c>
      <c r="AJ23" s="261">
        <f>'[1]February - 2023'!AT22</f>
        <v>17929398.48</v>
      </c>
      <c r="AK23" s="265">
        <f>'[1]February - 2023'!AU22</f>
        <v>5895.1200000010431</v>
      </c>
      <c r="AL23" s="88">
        <f>'[1]February - 2023'!AV22</f>
        <v>5797.679999999702</v>
      </c>
      <c r="AM23" s="261">
        <f>'[1]February - 2023'!AW22</f>
        <v>15062713.68</v>
      </c>
      <c r="AN23" s="265">
        <f>'[1]February - 2023'!AX22</f>
        <v>3897.5999999996275</v>
      </c>
      <c r="AO23" s="88">
        <f>'[1]February - 2023'!AY22</f>
        <v>3897.5999999996275</v>
      </c>
      <c r="AP23" s="261">
        <f>'[1]February - 2023'!AZ22</f>
        <v>14613369.119999999</v>
      </c>
      <c r="AQ23" s="265">
        <f>'[1]February - 2023'!BA22</f>
        <v>4677.1199999991804</v>
      </c>
      <c r="AR23" s="88">
        <f>'[1]February - 2023'!BB22</f>
        <v>4189.9199999999255</v>
      </c>
      <c r="AS23" s="261">
        <f>'[1]February - 2023'!BC22</f>
        <v>11383866.48</v>
      </c>
      <c r="AT23" s="265">
        <f>'[1]February - 2023'!BD22</f>
        <v>2874.480000000447</v>
      </c>
      <c r="AU23" s="88">
        <f>'[1]February - 2023'!BE22</f>
        <v>2874.480000000447</v>
      </c>
      <c r="AV23" s="261">
        <f>'[1]February - 2023'!BF22</f>
        <v>18080527.919999998</v>
      </c>
      <c r="AW23" s="229">
        <f>'[1]February - 2023'!BG22</f>
        <v>5554.0799999982119</v>
      </c>
      <c r="AX23" s="230">
        <f>'[1]February - 2023'!BH22</f>
        <v>5164.3199999984354</v>
      </c>
      <c r="AY23" s="461"/>
      <c r="AZ23" s="247">
        <f>'[1]February - 2023'!BM22</f>
        <v>78768300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81741500</v>
      </c>
      <c r="BD23" s="223">
        <f>'[1]February - 2023'!BQ22</f>
        <v>40700</v>
      </c>
      <c r="BE23" s="89">
        <f>'[1]February - 2023'!BR22</f>
        <v>35900</v>
      </c>
      <c r="BF23" s="247">
        <f>'[1]February - 2023'!BS22</f>
        <v>75683200</v>
      </c>
      <c r="BG23" s="223">
        <f>'[1]February - 2023'!BT22</f>
        <v>4800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10679900</v>
      </c>
      <c r="BT23" s="165">
        <f>'[1]February - 2023'!BW22</f>
        <v>7250</v>
      </c>
      <c r="BU23" s="557"/>
      <c r="BV23" s="84">
        <f>'[1]February - 2023'!BY22</f>
        <v>0.79</v>
      </c>
      <c r="BW23" s="219">
        <f>'[1]February - 2023'!BZ22</f>
        <v>-9.000000000000008E-2</v>
      </c>
      <c r="BX23" s="84">
        <f>'[1]February - 2023'!CA22</f>
        <v>-0.19999999999999996</v>
      </c>
      <c r="BY23" s="85">
        <f>'[1]February - 2023'!CB22</f>
        <v>65565</v>
      </c>
      <c r="BZ23" s="171">
        <f>'[1]February - 2023'!CC22</f>
        <v>19</v>
      </c>
      <c r="CA23" s="85">
        <f>'[1]February - 2023'!CD22</f>
        <v>56739</v>
      </c>
      <c r="CB23" s="171">
        <f>'[1]February - 2023'!CE22</f>
        <v>19</v>
      </c>
      <c r="CC23" s="85">
        <f>'[1]February - 2023'!CF22</f>
        <v>19155</v>
      </c>
      <c r="CD23" s="171">
        <f>'[1]February - 2023'!CG22</f>
        <v>7</v>
      </c>
      <c r="CE23" s="85">
        <f>'[1]February - 2023'!CH22</f>
        <v>26245</v>
      </c>
      <c r="CF23" s="171">
        <f>'[1]February - 2023'!CI22</f>
        <v>10</v>
      </c>
      <c r="CG23" s="85">
        <f>'[1]February - 2023'!CJ22</f>
        <v>29472</v>
      </c>
      <c r="CH23" s="171">
        <f>'[1]February - 2023'!CK22</f>
        <v>17</v>
      </c>
      <c r="CI23" s="85">
        <f>'[1]February - 2023'!CL22</f>
        <v>64861</v>
      </c>
      <c r="CJ23" s="171">
        <f>'[1]February - 2023'!CM22</f>
        <v>37</v>
      </c>
      <c r="CK23" s="85">
        <f>'[1]February - 2023'!CN22</f>
        <v>273125</v>
      </c>
      <c r="CL23" s="224">
        <f>'[1]February - 2023'!CO22</f>
        <v>88</v>
      </c>
      <c r="CM23" s="85">
        <f>'[1]February - 2023'!CP22</f>
        <v>101</v>
      </c>
      <c r="CN23" s="85">
        <f>'[1]February - 2023'!CQ22</f>
        <v>222764</v>
      </c>
      <c r="CO23" s="224">
        <f>'[1]February - 2023'!CR22</f>
        <v>120</v>
      </c>
      <c r="CP23" s="85">
        <f>'[1]February - 2023'!CV22</f>
        <v>326</v>
      </c>
      <c r="CQ23" s="85">
        <f>'[1]February - 2023'!CT22</f>
        <v>373115</v>
      </c>
      <c r="CR23" s="224">
        <f>'[1]February - 2023'!CU22</f>
        <v>238</v>
      </c>
      <c r="CS23" s="85">
        <f>'[1]February - 2023'!CV22</f>
        <v>326</v>
      </c>
      <c r="CT23" s="85">
        <f>'[1]February - 2023'!CW22</f>
        <v>706331</v>
      </c>
      <c r="CU23" s="171">
        <f>'[1]February - 2023'!CX22</f>
        <v>187</v>
      </c>
      <c r="CV23" s="485"/>
      <c r="CW23" s="259">
        <f>'[1]February - 2023'!CZ22</f>
        <v>9426</v>
      </c>
      <c r="CX23" s="262">
        <f>'[1]February - 2023'!DA22</f>
        <v>9</v>
      </c>
      <c r="CY23" s="260">
        <f>'[1]February - 2023'!DB22</f>
        <v>6374</v>
      </c>
      <c r="CZ23" s="262">
        <f>'[1]February - 2023'!DC22</f>
        <v>4</v>
      </c>
      <c r="DA23" s="260">
        <f>'[1]February - 2023'!DD22</f>
        <v>33187</v>
      </c>
      <c r="DB23" s="262">
        <f>'[1]February - 2023'!DE22</f>
        <v>15</v>
      </c>
      <c r="DC23" s="260">
        <f>'[1]February - 2023'!DF22</f>
        <v>33329</v>
      </c>
      <c r="DD23" s="262">
        <f>'[1]February - 2023'!DG22</f>
        <v>16</v>
      </c>
      <c r="DE23" s="260">
        <f>'[1]February - 2023'!DH22</f>
        <v>22526</v>
      </c>
      <c r="DF23" s="262">
        <f>'[1]February - 2023'!DI22</f>
        <v>9</v>
      </c>
      <c r="DG23" s="260">
        <f>'[1]February - 2023'!DJ22</f>
        <v>24416</v>
      </c>
      <c r="DH23" s="262">
        <f>'[1]February - 2023'!DK22</f>
        <v>5</v>
      </c>
      <c r="DI23" s="260">
        <f>'[1]February - 2023'!DL22</f>
        <v>7827</v>
      </c>
      <c r="DJ23" s="262">
        <f>'[1]February - 2023'!DM22</f>
        <v>11</v>
      </c>
      <c r="DK23" s="260">
        <f>'[1]February - 2023'!DN22</f>
        <v>10316</v>
      </c>
      <c r="DL23" s="262">
        <f>'[1]February - 2023'!DO22</f>
        <v>8</v>
      </c>
      <c r="DM23" s="260">
        <f>'[1]February - 2023'!DP22</f>
        <v>3577</v>
      </c>
      <c r="DN23" s="262">
        <f>'[1]February - 2023'!DQ22</f>
        <v>5</v>
      </c>
      <c r="DO23" s="260">
        <f>'[1]February - 2023'!DR22</f>
        <v>6992</v>
      </c>
      <c r="DP23" s="262">
        <f>'[1]February - 2023'!DS22</f>
        <v>9</v>
      </c>
      <c r="DQ23" s="260">
        <f>'[1]February - 2023'!DT22</f>
        <v>30557</v>
      </c>
      <c r="DR23" s="263">
        <f>'[1]February - 2023'!DU22</f>
        <v>6</v>
      </c>
      <c r="DS23" s="501"/>
      <c r="DT23" s="189">
        <f>'[1]February - 2023'!DW22</f>
        <v>7068.8</v>
      </c>
      <c r="DU23" s="200">
        <f>'[1]February - 2023'!DX22</f>
        <v>10.800000000000182</v>
      </c>
      <c r="DV23" s="87">
        <f>'[1]February - 2023'!DY22</f>
        <v>11810.1</v>
      </c>
      <c r="DW23" s="194">
        <f>'[1]February - 2023'!DZ22</f>
        <v>8.8999999999996362</v>
      </c>
      <c r="DX23" s="87">
        <f>'[1]February - 2023'!EA22</f>
        <v>5225</v>
      </c>
      <c r="DY23" s="194">
        <f>'[1]February - 2023'!EB22</f>
        <v>6</v>
      </c>
      <c r="DZ23" s="87">
        <f>'[1]February - 2023'!EC22</f>
        <v>5829.7</v>
      </c>
      <c r="EA23" s="194">
        <f>'[1]February - 2023'!ED22</f>
        <v>6.3999999999996362</v>
      </c>
      <c r="EB23" s="87">
        <f>'[1]February - 2023'!EE22</f>
        <v>1164365</v>
      </c>
      <c r="EC23" s="194">
        <f>'[1]February - 2023'!EF22</f>
        <v>600</v>
      </c>
      <c r="ED23" s="87">
        <f>'[1]February - 2023'!EI22</f>
        <v>241305.9</v>
      </c>
      <c r="EE23" s="207">
        <f>'[1]February - 2023'!EJ22</f>
        <v>154.29999999998836</v>
      </c>
      <c r="EF23" s="548"/>
      <c r="EG23" s="213">
        <f>'[1]February - 2023'!EL22</f>
        <v>12326000</v>
      </c>
      <c r="EH23" s="208">
        <f>'[1]February - 2023'!EM22</f>
        <v>3100</v>
      </c>
      <c r="EI23" s="86">
        <f>'[1]February - 2023'!EN22</f>
        <v>949470</v>
      </c>
      <c r="EJ23" s="208">
        <f>'[1]February - 2023'!EO22</f>
        <v>250</v>
      </c>
      <c r="EK23" s="86">
        <f>'[1]February - 2023'!EP22</f>
        <v>7308200</v>
      </c>
      <c r="EL23" s="208">
        <f>'[1]February - 2023'!EQ22</f>
        <v>900</v>
      </c>
      <c r="EM23" s="86">
        <f>'[1]February - 2023'!ER22</f>
        <v>2515700</v>
      </c>
      <c r="EN23" s="208">
        <f>'[1]February - 2023'!ES22</f>
        <v>400</v>
      </c>
      <c r="EO23" s="86">
        <f>'[1]February - 2023'!ET22</f>
        <v>1316100</v>
      </c>
      <c r="EP23" s="208">
        <f>'[1]February - 2023'!EU22</f>
        <v>660</v>
      </c>
      <c r="EQ23" s="86">
        <f>'[1]February - 2023'!EV22</f>
        <v>16759300</v>
      </c>
      <c r="ER23" s="208">
        <f>'[1]February - 2023'!EW22</f>
        <v>2700</v>
      </c>
      <c r="ES23" s="523"/>
      <c r="ET23" s="253">
        <f>'[1]February - 2023'!EY22</f>
        <v>43180</v>
      </c>
      <c r="EU23" s="266">
        <f>'[1]February - 2023'!EZ22</f>
        <v>15</v>
      </c>
      <c r="EV23" s="254">
        <f>'[1]February - 2023'!FA22</f>
        <v>37628</v>
      </c>
      <c r="EW23" s="266">
        <f>'[1]February - 2023'!FB22</f>
        <v>13</v>
      </c>
      <c r="EX23" s="254">
        <f>'[1]February - 2023'!FC22</f>
        <v>8212</v>
      </c>
      <c r="EY23" s="266">
        <f>'[1]February - 2023'!FD22</f>
        <v>10</v>
      </c>
      <c r="EZ23" s="254">
        <f>'[1]February - 2023'!FE22</f>
        <v>60236</v>
      </c>
      <c r="FA23" s="266">
        <f>'[1]February - 2023'!FF22</f>
        <v>15</v>
      </c>
      <c r="FB23" s="254">
        <f>'[1]February - 2023'!FG22</f>
        <v>51830</v>
      </c>
      <c r="FC23" s="264">
        <f>'[1]February - 2023'!FH22</f>
        <v>33</v>
      </c>
    </row>
    <row r="24" spans="1:159" ht="30" customHeight="1" x14ac:dyDescent="0.25">
      <c r="A24" s="186">
        <v>44972</v>
      </c>
      <c r="B24" s="188">
        <f>'[1]February - 2023'!B23</f>
        <v>0.81</v>
      </c>
      <c r="C24" s="228">
        <f>'[1]February - 2023'!E23</f>
        <v>251749</v>
      </c>
      <c r="D24" s="151">
        <f>'[1]February - 2023'!F24</f>
        <v>571</v>
      </c>
      <c r="E24" s="150">
        <f>'[1]February - 2023'!G23</f>
        <v>562</v>
      </c>
      <c r="F24" s="150">
        <f>'[1]February - 2023'!H23</f>
        <v>271819</v>
      </c>
      <c r="G24" s="151">
        <f>'[1]February - 2023'!I24</f>
        <v>428</v>
      </c>
      <c r="H24" s="150">
        <f>'[1]February - 2023'!J23</f>
        <v>120301</v>
      </c>
      <c r="I24" s="239">
        <f>'[1]February - 2023'!K23</f>
        <v>19062</v>
      </c>
      <c r="J24" s="151">
        <f>'[1]February - 2023'!L23</f>
        <v>252</v>
      </c>
      <c r="K24" s="239">
        <f>'[1]February - 2023'!N23</f>
        <v>933029</v>
      </c>
      <c r="L24" s="151">
        <f>'[1]February - 2023'!O23</f>
        <v>273</v>
      </c>
      <c r="M24" s="239">
        <f>'[1]February - 2023'!Q23</f>
        <v>246265</v>
      </c>
      <c r="N24" s="151">
        <f>'[1]February - 2023'!R23</f>
        <v>0</v>
      </c>
      <c r="O24" s="239">
        <f>'[1]February - 2023'!U23</f>
        <v>121412</v>
      </c>
      <c r="P24" s="151">
        <f>'[1]February - 2023'!V23</f>
        <v>96</v>
      </c>
      <c r="Q24" s="150">
        <f>'[1]February - 2023'!W23</f>
        <v>210</v>
      </c>
      <c r="R24" s="239">
        <f>'[1]February - 2023'!X23</f>
        <v>6825</v>
      </c>
      <c r="S24" s="187">
        <f>'[1]February - 2023'!Y23</f>
        <v>7</v>
      </c>
      <c r="T24" s="444"/>
      <c r="U24" s="244">
        <f>'[1]February - 2023'!AE23</f>
        <v>8309098.5599999996</v>
      </c>
      <c r="V24" s="265">
        <f>'[1]February - 2023'!AF23</f>
        <v>2679.6000000005588</v>
      </c>
      <c r="W24" s="88">
        <f>'[1]February - 2023'!AG23</f>
        <v>2143.679999999702</v>
      </c>
      <c r="X24" s="261">
        <f>'[1]February - 2023'!AH23</f>
        <v>15787764.719999999</v>
      </c>
      <c r="Y24" s="265">
        <f>'[1]February - 2023'!AI23</f>
        <v>4725.8399999979883</v>
      </c>
      <c r="Z24" s="88">
        <f>'[1]February - 2023'!AJ23</f>
        <v>4530.9600000027567</v>
      </c>
      <c r="AA24" s="261">
        <f>'[1]February - 2023'!AK23</f>
        <v>15946835.52</v>
      </c>
      <c r="AB24" s="265">
        <f>'[1]February - 2023'!AL23</f>
        <v>1412.8799999989569</v>
      </c>
      <c r="AC24" s="88">
        <f>'[1]February - 2023'!AM23</f>
        <v>48.719999998807907</v>
      </c>
      <c r="AD24" s="261">
        <f>'[1]February - 2023'!AN23</f>
        <v>19100919.599999998</v>
      </c>
      <c r="AE24" s="265">
        <f>'[1]February - 2023'!AO23</f>
        <v>48.719999998807907</v>
      </c>
      <c r="AF24" s="88">
        <f>'[1]February - 2023'!AP23</f>
        <v>9549.1199999973178</v>
      </c>
      <c r="AG24" s="261">
        <f>'[1]February - 2023'!AQ23</f>
        <v>19373459.280000001</v>
      </c>
      <c r="AH24" s="265">
        <f>'[1]February - 2023'!AR23</f>
        <v>8331.1200000010431</v>
      </c>
      <c r="AI24" s="88">
        <f>'[1]February - 2023'!AS23</f>
        <v>1364.160000000149</v>
      </c>
      <c r="AJ24" s="261">
        <f>'[1]February - 2023'!AT23</f>
        <v>17935293.599999998</v>
      </c>
      <c r="AK24" s="265">
        <f>'[1]February - 2023'!AU23</f>
        <v>5895.1199999973178</v>
      </c>
      <c r="AL24" s="88">
        <f>'[1]February - 2023'!AV23</f>
        <v>5651.5200000014156</v>
      </c>
      <c r="AM24" s="261">
        <f>'[1]February - 2023'!AW23</f>
        <v>15067049.76</v>
      </c>
      <c r="AN24" s="265">
        <f>'[1]February - 2023'!AX23</f>
        <v>4336.0800000000745</v>
      </c>
      <c r="AO24" s="88">
        <f>'[1]February - 2023'!AY23</f>
        <v>4141.1999999992549</v>
      </c>
      <c r="AP24" s="261">
        <f>'[1]February - 2023'!AZ23</f>
        <v>14617997.52</v>
      </c>
      <c r="AQ24" s="265">
        <f>'[1]February - 2023'!BA23</f>
        <v>4628.4000000003725</v>
      </c>
      <c r="AR24" s="88">
        <f>'[1]February - 2023'!BB23</f>
        <v>4287.359999999404</v>
      </c>
      <c r="AS24" s="261">
        <f>'[1]February - 2023'!BC23</f>
        <v>11386838.4</v>
      </c>
      <c r="AT24" s="265">
        <f>'[1]February - 2023'!BD23</f>
        <v>2971.9199999999255</v>
      </c>
      <c r="AU24" s="88">
        <f>'[1]February - 2023'!BE23</f>
        <v>2777.0399999991059</v>
      </c>
      <c r="AV24" s="261">
        <f>'[1]February - 2023'!BF23</f>
        <v>18086228.16</v>
      </c>
      <c r="AW24" s="229">
        <f>'[1]February - 2023'!BG23</f>
        <v>5700.2400000020862</v>
      </c>
      <c r="AX24" s="230">
        <f>'[1]February - 2023'!BH23</f>
        <v>5700.2399999983609</v>
      </c>
      <c r="AY24" s="461"/>
      <c r="AZ24" s="247">
        <f>'[1]February - 2023'!BM23</f>
        <v>78772900</v>
      </c>
      <c r="BA24" s="160">
        <f>'[1]February - 2023'!BN23</f>
        <v>4600</v>
      </c>
      <c r="BB24" s="89">
        <f>'[1]February - 2023'!BO24</f>
        <v>0</v>
      </c>
      <c r="BC24" s="247">
        <f>'[1]February - 2023'!BP23</f>
        <v>81741500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75725300</v>
      </c>
      <c r="BG24" s="223">
        <f>'[1]February - 2023'!BT23</f>
        <v>42100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10687040</v>
      </c>
      <c r="BT24" s="165">
        <f>'[1]February - 2023'!BW23</f>
        <v>7140</v>
      </c>
      <c r="BU24" s="557"/>
      <c r="BV24" s="84">
        <f>'[1]February - 2023'!BY23</f>
        <v>0.69</v>
      </c>
      <c r="BW24" s="219">
        <f>'[1]February - 2023'!BZ23</f>
        <v>0.10000000000000009</v>
      </c>
      <c r="BX24" s="84">
        <f>'[1]February - 2023'!CA23</f>
        <v>7.999999999999996E-2</v>
      </c>
      <c r="BY24" s="85">
        <f>'[1]February - 2023'!CB23</f>
        <v>65580</v>
      </c>
      <c r="BZ24" s="171">
        <f>'[1]February - 2023'!CC23</f>
        <v>15</v>
      </c>
      <c r="CA24" s="85">
        <f>'[1]February - 2023'!CD23</f>
        <v>56760</v>
      </c>
      <c r="CB24" s="171">
        <f>'[1]February - 2023'!CE23</f>
        <v>21</v>
      </c>
      <c r="CC24" s="85">
        <f>'[1]February - 2023'!CF23</f>
        <v>19161</v>
      </c>
      <c r="CD24" s="171">
        <f>'[1]February - 2023'!CG23</f>
        <v>6</v>
      </c>
      <c r="CE24" s="85">
        <f>'[1]February - 2023'!CH23</f>
        <v>26255</v>
      </c>
      <c r="CF24" s="171">
        <f>'[1]February - 2023'!CI23</f>
        <v>10</v>
      </c>
      <c r="CG24" s="85">
        <f>'[1]February - 2023'!CJ23</f>
        <v>29486</v>
      </c>
      <c r="CH24" s="171">
        <f>'[1]February - 2023'!CK23</f>
        <v>14</v>
      </c>
      <c r="CI24" s="85">
        <f>'[1]February - 2023'!CL23</f>
        <v>64898</v>
      </c>
      <c r="CJ24" s="171">
        <f>'[1]February - 2023'!CM23</f>
        <v>37</v>
      </c>
      <c r="CK24" s="85">
        <f>'[1]February - 2023'!CN23</f>
        <v>273206</v>
      </c>
      <c r="CL24" s="224">
        <f>'[1]February - 2023'!CO23</f>
        <v>81</v>
      </c>
      <c r="CM24" s="85">
        <f>'[1]February - 2023'!CP23</f>
        <v>100</v>
      </c>
      <c r="CN24" s="85">
        <f>'[1]February - 2023'!CQ23</f>
        <v>222876</v>
      </c>
      <c r="CO24" s="224">
        <f>'[1]February - 2023'!CR23</f>
        <v>112</v>
      </c>
      <c r="CP24" s="85">
        <f>'[1]February - 2023'!CV23</f>
        <v>257</v>
      </c>
      <c r="CQ24" s="85">
        <f>'[1]February - 2023'!CT23</f>
        <v>373379</v>
      </c>
      <c r="CR24" s="224">
        <f>'[1]February - 2023'!CU23</f>
        <v>264</v>
      </c>
      <c r="CS24" s="85">
        <f>'[1]February - 2023'!CV23</f>
        <v>257</v>
      </c>
      <c r="CT24" s="85">
        <f>'[1]February - 2023'!CW23</f>
        <v>706518</v>
      </c>
      <c r="CU24" s="171">
        <f>'[1]February - 2023'!CX23</f>
        <v>187</v>
      </c>
      <c r="CV24" s="485"/>
      <c r="CW24" s="259">
        <f>'[1]February - 2023'!CZ23</f>
        <v>9436</v>
      </c>
      <c r="CX24" s="262">
        <f>'[1]February - 2023'!DA23</f>
        <v>10</v>
      </c>
      <c r="CY24" s="260">
        <f>'[1]February - 2023'!DB23</f>
        <v>6384</v>
      </c>
      <c r="CZ24" s="262">
        <f>'[1]February - 2023'!DC23</f>
        <v>10</v>
      </c>
      <c r="DA24" s="260">
        <f>'[1]February - 2023'!DD23</f>
        <v>33202</v>
      </c>
      <c r="DB24" s="262">
        <f>'[1]February - 2023'!DE23</f>
        <v>15</v>
      </c>
      <c r="DC24" s="260">
        <f>'[1]February - 2023'!DF23</f>
        <v>33342</v>
      </c>
      <c r="DD24" s="262">
        <f>'[1]February - 2023'!DG23</f>
        <v>13</v>
      </c>
      <c r="DE24" s="260">
        <f>'[1]February - 2023'!DH23</f>
        <v>22535</v>
      </c>
      <c r="DF24" s="262">
        <f>'[1]February - 2023'!DI23</f>
        <v>9</v>
      </c>
      <c r="DG24" s="260">
        <f>'[1]February - 2023'!DJ23</f>
        <v>24420</v>
      </c>
      <c r="DH24" s="262">
        <f>'[1]February - 2023'!DK23</f>
        <v>4</v>
      </c>
      <c r="DI24" s="260">
        <f>'[1]February - 2023'!DL23</f>
        <v>7838</v>
      </c>
      <c r="DJ24" s="262">
        <f>'[1]February - 2023'!DM23</f>
        <v>11</v>
      </c>
      <c r="DK24" s="260">
        <f>'[1]February - 2023'!DN23</f>
        <v>10323</v>
      </c>
      <c r="DL24" s="262">
        <f>'[1]February - 2023'!DO23</f>
        <v>7</v>
      </c>
      <c r="DM24" s="260">
        <f>'[1]February - 2023'!DP23</f>
        <v>3580</v>
      </c>
      <c r="DN24" s="262">
        <f>'[1]February - 2023'!DQ23</f>
        <v>3</v>
      </c>
      <c r="DO24" s="260">
        <f>'[1]February - 2023'!DR23</f>
        <v>7000</v>
      </c>
      <c r="DP24" s="262">
        <f>'[1]February - 2023'!DS23</f>
        <v>8</v>
      </c>
      <c r="DQ24" s="260">
        <f>'[1]February - 2023'!DT23</f>
        <v>30557</v>
      </c>
      <c r="DR24" s="263">
        <f>'[1]February - 2023'!DU23</f>
        <v>0</v>
      </c>
      <c r="DS24" s="501"/>
      <c r="DT24" s="189">
        <f>'[1]February - 2023'!DW23</f>
        <v>7079.8</v>
      </c>
      <c r="DU24" s="200">
        <f>'[1]February - 2023'!DX23</f>
        <v>11</v>
      </c>
      <c r="DV24" s="87">
        <f>'[1]February - 2023'!DY23</f>
        <v>11818.7</v>
      </c>
      <c r="DW24" s="194">
        <f>'[1]February - 2023'!DZ23</f>
        <v>8.6000000000003638</v>
      </c>
      <c r="DX24" s="87">
        <f>'[1]February - 2023'!EA23</f>
        <v>5231.2</v>
      </c>
      <c r="DY24" s="194">
        <f>'[1]February - 2023'!EB23</f>
        <v>6.1999999999998181</v>
      </c>
      <c r="DZ24" s="87">
        <f>'[1]February - 2023'!EC23</f>
        <v>5836.2</v>
      </c>
      <c r="EA24" s="194">
        <f>'[1]February - 2023'!ED23</f>
        <v>6.5</v>
      </c>
      <c r="EB24" s="87">
        <f>'[1]February - 2023'!EE23</f>
        <v>1164956</v>
      </c>
      <c r="EC24" s="194">
        <f>'[1]February - 2023'!EF23</f>
        <v>591</v>
      </c>
      <c r="ED24" s="87">
        <f>'[1]February - 2023'!EI23</f>
        <v>241462.39999999999</v>
      </c>
      <c r="EE24" s="207">
        <f>'[1]February - 2023'!EJ23</f>
        <v>156.5</v>
      </c>
      <c r="EF24" s="548"/>
      <c r="EG24" s="213">
        <f>'[1]February - 2023'!EL23</f>
        <v>12329100</v>
      </c>
      <c r="EH24" s="208">
        <f>'[1]February - 2023'!EM23</f>
        <v>3100</v>
      </c>
      <c r="EI24" s="86">
        <f>'[1]February - 2023'!EN23</f>
        <v>949720</v>
      </c>
      <c r="EJ24" s="208">
        <f>'[1]February - 2023'!EO23</f>
        <v>250</v>
      </c>
      <c r="EK24" s="86">
        <f>'[1]February - 2023'!EP23</f>
        <v>7309300</v>
      </c>
      <c r="EL24" s="208">
        <f>'[1]February - 2023'!EQ23</f>
        <v>1100</v>
      </c>
      <c r="EM24" s="86">
        <f>'[1]February - 2023'!ER23</f>
        <v>2516100</v>
      </c>
      <c r="EN24" s="208">
        <f>'[1]February - 2023'!ES23</f>
        <v>400</v>
      </c>
      <c r="EO24" s="86">
        <f>'[1]February - 2023'!ET23</f>
        <v>1316770</v>
      </c>
      <c r="EP24" s="208">
        <f>'[1]February - 2023'!EU23</f>
        <v>670</v>
      </c>
      <c r="EQ24" s="86">
        <f>'[1]February - 2023'!EV23</f>
        <v>16763500</v>
      </c>
      <c r="ER24" s="208">
        <f>'[1]February - 2023'!EW23</f>
        <v>4200</v>
      </c>
      <c r="ES24" s="523"/>
      <c r="ET24" s="253">
        <f>'[1]February - 2023'!EY23</f>
        <v>43196</v>
      </c>
      <c r="EU24" s="266">
        <f>'[1]February - 2023'!EZ23</f>
        <v>16</v>
      </c>
      <c r="EV24" s="254">
        <f>'[1]February - 2023'!FA23</f>
        <v>37641</v>
      </c>
      <c r="EW24" s="266">
        <f>'[1]February - 2023'!FB23</f>
        <v>13</v>
      </c>
      <c r="EX24" s="254">
        <f>'[1]February - 2023'!FC23</f>
        <v>8220</v>
      </c>
      <c r="EY24" s="266">
        <f>'[1]February - 2023'!FD23</f>
        <v>8</v>
      </c>
      <c r="EZ24" s="254">
        <f>'[1]February - 2023'!FE23</f>
        <v>60252</v>
      </c>
      <c r="FA24" s="266">
        <f>'[1]February - 2023'!FF23</f>
        <v>16</v>
      </c>
      <c r="FB24" s="254">
        <f>'[1]February - 2023'!FG23</f>
        <v>51863</v>
      </c>
      <c r="FC24" s="264">
        <f>'[1]February - 2023'!FH23</f>
        <v>33</v>
      </c>
    </row>
    <row r="25" spans="1:159" ht="30" customHeight="1" x14ac:dyDescent="0.25">
      <c r="A25" s="186">
        <v>44973</v>
      </c>
      <c r="B25" s="188">
        <f>'[1]February - 2023'!B24</f>
        <v>0.79</v>
      </c>
      <c r="C25" s="228">
        <f>'[1]February - 2023'!E24</f>
        <v>252320</v>
      </c>
      <c r="D25" s="151">
        <f>'[1]February - 2023'!F25</f>
        <v>-252320</v>
      </c>
      <c r="E25" s="150">
        <f>'[1]February - 2023'!G24</f>
        <v>574</v>
      </c>
      <c r="F25" s="150">
        <f>'[1]February - 2023'!H24</f>
        <v>272247</v>
      </c>
      <c r="G25" s="151">
        <f>'[1]February - 2023'!I25</f>
        <v>-272247</v>
      </c>
      <c r="H25" s="150">
        <f>'[1]February - 2023'!J24</f>
        <v>120746</v>
      </c>
      <c r="I25" s="239">
        <f>'[1]February - 2023'!K24</f>
        <v>19398</v>
      </c>
      <c r="J25" s="151">
        <f>'[1]February - 2023'!L24</f>
        <v>336</v>
      </c>
      <c r="K25" s="239">
        <f>'[1]February - 2023'!N24</f>
        <v>933301</v>
      </c>
      <c r="L25" s="151">
        <f>'[1]February - 2023'!O24</f>
        <v>272</v>
      </c>
      <c r="M25" s="239">
        <f>'[1]February - 2023'!Q24</f>
        <v>246265</v>
      </c>
      <c r="N25" s="151">
        <f>'[1]February - 2023'!R24</f>
        <v>0</v>
      </c>
      <c r="O25" s="239">
        <f>'[1]February - 2023'!U24</f>
        <v>121500</v>
      </c>
      <c r="P25" s="151">
        <f>'[1]February - 2023'!V24</f>
        <v>88</v>
      </c>
      <c r="Q25" s="150">
        <f>'[1]February - 2023'!W24</f>
        <v>247</v>
      </c>
      <c r="R25" s="239">
        <f>'[1]February - 2023'!X24</f>
        <v>6829</v>
      </c>
      <c r="S25" s="187">
        <f>'[1]February - 2023'!Y24</f>
        <v>4</v>
      </c>
      <c r="T25" s="444"/>
      <c r="U25" s="244">
        <f>'[1]February - 2023'!AE24</f>
        <v>8311485.8399999999</v>
      </c>
      <c r="V25" s="265">
        <f>'[1]February - 2023'!AF24</f>
        <v>2387.2800000002608</v>
      </c>
      <c r="W25" s="88">
        <f>'[1]February - 2023'!AG24</f>
        <v>2143.679999999702</v>
      </c>
      <c r="X25" s="261">
        <f>'[1]February - 2023'!AH24</f>
        <v>15792246.959999999</v>
      </c>
      <c r="Y25" s="265">
        <f>'[1]February - 2023'!AI24</f>
        <v>4482.2400000002235</v>
      </c>
      <c r="Z25" s="88">
        <f>'[1]February - 2023'!AJ24</f>
        <v>4774.5599999986589</v>
      </c>
      <c r="AA25" s="261">
        <f>'[1]February - 2023'!AK24</f>
        <v>15954192.24</v>
      </c>
      <c r="AB25" s="265">
        <f>'[1]February - 2023'!AL24</f>
        <v>7356.7200000006706</v>
      </c>
      <c r="AC25" s="88">
        <f>'[1]February - 2023'!AM24</f>
        <v>146.16000000014901</v>
      </c>
      <c r="AD25" s="261">
        <f>'[1]February - 2023'!AN24</f>
        <v>19102137.599999998</v>
      </c>
      <c r="AE25" s="265">
        <f>'[1]February - 2023'!AO24</f>
        <v>1218</v>
      </c>
      <c r="AF25" s="88">
        <f>'[1]February - 2023'!AP24</f>
        <v>8964.480000000447</v>
      </c>
      <c r="AG25" s="261">
        <f>'[1]February - 2023'!AQ24</f>
        <v>19374092.639999997</v>
      </c>
      <c r="AH25" s="265">
        <f>'[1]February - 2023'!AR24</f>
        <v>633.35999999567866</v>
      </c>
      <c r="AI25" s="88">
        <f>'[1]February - 2023'!AS24</f>
        <v>1461.6000000014901</v>
      </c>
      <c r="AJ25" s="261">
        <f>'[1]February - 2023'!AT24</f>
        <v>17940652.800000001</v>
      </c>
      <c r="AK25" s="265">
        <f>'[1]February - 2023'!AU24</f>
        <v>5359.2000000029802</v>
      </c>
      <c r="AL25" s="88">
        <f>'[1]February - 2023'!AV24</f>
        <v>5700.2399999983609</v>
      </c>
      <c r="AM25" s="261">
        <f>'[1]February - 2023'!AW24</f>
        <v>15070947.359999999</v>
      </c>
      <c r="AN25" s="265">
        <f>'[1]February - 2023'!AX24</f>
        <v>3897.5999999996275</v>
      </c>
      <c r="AO25" s="88">
        <f>'[1]February - 2023'!AY24</f>
        <v>4433.5200000014156</v>
      </c>
      <c r="AP25" s="261">
        <f>'[1]February - 2023'!AZ24</f>
        <v>14622431.039999999</v>
      </c>
      <c r="AQ25" s="265">
        <f>'[1]February - 2023'!BA24</f>
        <v>4433.519999999553</v>
      </c>
      <c r="AR25" s="88">
        <f>'[1]February - 2023'!BB24</f>
        <v>4482.2400000002235</v>
      </c>
      <c r="AS25" s="261">
        <f>'[1]February - 2023'!BC24</f>
        <v>11389664.16</v>
      </c>
      <c r="AT25" s="265">
        <f>'[1]February - 2023'!BD24</f>
        <v>2825.7599999997765</v>
      </c>
      <c r="AU25" s="88">
        <f>'[1]February - 2023'!BE24</f>
        <v>2971.9200000017881</v>
      </c>
      <c r="AV25" s="261">
        <f>'[1]February - 2023'!BF24</f>
        <v>18091782.239999998</v>
      </c>
      <c r="AW25" s="229">
        <f>'[1]February - 2023'!BG24</f>
        <v>5554.0799999982119</v>
      </c>
      <c r="AX25" s="230">
        <f>'[1]February - 2023'!BH24</f>
        <v>5602.8000000007451</v>
      </c>
      <c r="AY25" s="461"/>
      <c r="AZ25" s="247">
        <f>'[1]February - 2023'!BM24</f>
        <v>78815500</v>
      </c>
      <c r="BA25" s="160">
        <f>'[1]February - 2023'!BN24</f>
        <v>42600</v>
      </c>
      <c r="BB25" s="89">
        <f>'[1]February - 2023'!BO25</f>
        <v>0</v>
      </c>
      <c r="BC25" s="247">
        <f>'[1]February - 2023'!BP24</f>
        <v>81746300</v>
      </c>
      <c r="BD25" s="223">
        <f>'[1]February - 2023'!BQ24</f>
        <v>4800</v>
      </c>
      <c r="BE25" s="89">
        <f>'[1]February - 2023'!BR24</f>
        <v>42500</v>
      </c>
      <c r="BF25" s="247">
        <f>'[1]February - 2023'!BS24</f>
        <v>75725300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10693800</v>
      </c>
      <c r="BT25" s="165">
        <f>'[1]February - 2023'!BW24</f>
        <v>6760</v>
      </c>
      <c r="BU25" s="557"/>
      <c r="BV25" s="84">
        <f>'[1]February - 2023'!BY24</f>
        <v>0.84</v>
      </c>
      <c r="BW25" s="219">
        <f>'[1]February - 2023'!BZ24</f>
        <v>-0.15000000000000002</v>
      </c>
      <c r="BX25" s="84">
        <f>'[1]February - 2023'!CA24</f>
        <v>5.9999999999999942E-2</v>
      </c>
      <c r="BY25" s="85">
        <f>'[1]February - 2023'!CB24</f>
        <v>65594</v>
      </c>
      <c r="BZ25" s="171">
        <f>'[1]February - 2023'!CC24</f>
        <v>14</v>
      </c>
      <c r="CA25" s="85">
        <f>'[1]February - 2023'!CD24</f>
        <v>56781</v>
      </c>
      <c r="CB25" s="171">
        <f>'[1]February - 2023'!CE24</f>
        <v>21</v>
      </c>
      <c r="CC25" s="85">
        <f>'[1]February - 2023'!CF24</f>
        <v>19169</v>
      </c>
      <c r="CD25" s="171">
        <f>'[1]February - 2023'!CG24</f>
        <v>8</v>
      </c>
      <c r="CE25" s="85">
        <f>'[1]February - 2023'!CH24</f>
        <v>26264</v>
      </c>
      <c r="CF25" s="171">
        <f>'[1]February - 2023'!CI24</f>
        <v>9</v>
      </c>
      <c r="CG25" s="85">
        <f>'[1]February - 2023'!CJ24</f>
        <v>29499</v>
      </c>
      <c r="CH25" s="171">
        <f>'[1]February - 2023'!CK24</f>
        <v>13</v>
      </c>
      <c r="CI25" s="85">
        <f>'[1]February - 2023'!CL24</f>
        <v>64934</v>
      </c>
      <c r="CJ25" s="171">
        <f>'[1]February - 2023'!CM24</f>
        <v>36</v>
      </c>
      <c r="CK25" s="85">
        <f>'[1]February - 2023'!CN24</f>
        <v>273285</v>
      </c>
      <c r="CL25" s="224">
        <f>'[1]February - 2023'!CO24</f>
        <v>79</v>
      </c>
      <c r="CM25" s="85">
        <f>'[1]February - 2023'!CP24</f>
        <v>100</v>
      </c>
      <c r="CN25" s="85">
        <f>'[1]February - 2023'!CQ24</f>
        <v>222983</v>
      </c>
      <c r="CO25" s="224">
        <f>'[1]February - 2023'!CR24</f>
        <v>107</v>
      </c>
      <c r="CP25" s="85">
        <f>'[1]February - 2023'!CV24</f>
        <v>303</v>
      </c>
      <c r="CQ25" s="85">
        <f>'[1]February - 2023'!CT24</f>
        <v>373605</v>
      </c>
      <c r="CR25" s="224">
        <f>'[1]February - 2023'!CU24</f>
        <v>226</v>
      </c>
      <c r="CS25" s="85">
        <f>'[1]February - 2023'!CV24</f>
        <v>303</v>
      </c>
      <c r="CT25" s="85">
        <f>'[1]February - 2023'!CW24</f>
        <v>706699</v>
      </c>
      <c r="CU25" s="171">
        <f>'[1]February - 2023'!CX24</f>
        <v>181</v>
      </c>
      <c r="CV25" s="485"/>
      <c r="CW25" s="259">
        <f>'[1]February - 2023'!CZ24</f>
        <v>9443</v>
      </c>
      <c r="CX25" s="262">
        <f>'[1]February - 2023'!DA24</f>
        <v>7</v>
      </c>
      <c r="CY25" s="260">
        <f>'[1]February - 2023'!DB24</f>
        <v>6388</v>
      </c>
      <c r="CZ25" s="262">
        <f>'[1]February - 2023'!DC24</f>
        <v>4</v>
      </c>
      <c r="DA25" s="260">
        <f>'[1]February - 2023'!DD24</f>
        <v>33217</v>
      </c>
      <c r="DB25" s="262">
        <f>'[1]February - 2023'!DE24</f>
        <v>15</v>
      </c>
      <c r="DC25" s="260">
        <f>'[1]February - 2023'!DF24</f>
        <v>33357</v>
      </c>
      <c r="DD25" s="262">
        <f>'[1]February - 2023'!DG24</f>
        <v>15</v>
      </c>
      <c r="DE25" s="260">
        <f>'[1]February - 2023'!DH24</f>
        <v>22544</v>
      </c>
      <c r="DF25" s="262">
        <f>'[1]February - 2023'!DI24</f>
        <v>9</v>
      </c>
      <c r="DG25" s="260">
        <f>'[1]February - 2023'!DJ24</f>
        <v>24425</v>
      </c>
      <c r="DH25" s="262">
        <f>'[1]February - 2023'!DK24</f>
        <v>5</v>
      </c>
      <c r="DI25" s="260">
        <f>'[1]February - 2023'!DL24</f>
        <v>7848</v>
      </c>
      <c r="DJ25" s="262">
        <f>'[1]February - 2023'!DM24</f>
        <v>10</v>
      </c>
      <c r="DK25" s="260">
        <f>'[1]February - 2023'!DN24</f>
        <v>10327</v>
      </c>
      <c r="DL25" s="262">
        <f>'[1]February - 2023'!DO24</f>
        <v>4</v>
      </c>
      <c r="DM25" s="260">
        <f>'[1]February - 2023'!DP24</f>
        <v>3585</v>
      </c>
      <c r="DN25" s="262">
        <f>'[1]February - 2023'!DQ24</f>
        <v>5</v>
      </c>
      <c r="DO25" s="260">
        <f>'[1]February - 2023'!DR24</f>
        <v>7008</v>
      </c>
      <c r="DP25" s="262">
        <f>'[1]February - 2023'!DS24</f>
        <v>8</v>
      </c>
      <c r="DQ25" s="260">
        <f>'[1]February - 2023'!DT24</f>
        <v>30570</v>
      </c>
      <c r="DR25" s="263">
        <f>'[1]February - 2023'!DU24</f>
        <v>13</v>
      </c>
      <c r="DS25" s="501"/>
      <c r="DT25" s="189">
        <f>'[1]February - 2023'!DW24</f>
        <v>7091</v>
      </c>
      <c r="DU25" s="200">
        <f>'[1]February - 2023'!DX24</f>
        <v>11.199999999999818</v>
      </c>
      <c r="DV25" s="87">
        <f>'[1]February - 2023'!DY24</f>
        <v>11826.9</v>
      </c>
      <c r="DW25" s="194">
        <f>'[1]February - 2023'!DZ24</f>
        <v>8.1999999999989086</v>
      </c>
      <c r="DX25" s="87">
        <f>'[1]February - 2023'!EA24</f>
        <v>5237.2</v>
      </c>
      <c r="DY25" s="194">
        <f>'[1]February - 2023'!EB24</f>
        <v>6</v>
      </c>
      <c r="DZ25" s="87">
        <f>'[1]February - 2023'!EC24</f>
        <v>5843.1</v>
      </c>
      <c r="EA25" s="194">
        <f>'[1]February - 2023'!ED24</f>
        <v>6.9000000000005457</v>
      </c>
      <c r="EB25" s="87">
        <f>'[1]February - 2023'!EE24</f>
        <v>1165500</v>
      </c>
      <c r="EC25" s="194">
        <f>'[1]February - 2023'!EF24</f>
        <v>544</v>
      </c>
      <c r="ED25" s="87">
        <f>'[1]February - 2023'!EI24</f>
        <v>241610.4</v>
      </c>
      <c r="EE25" s="207">
        <f>'[1]February - 2023'!EJ24</f>
        <v>148</v>
      </c>
      <c r="EF25" s="548"/>
      <c r="EG25" s="213">
        <f>'[1]February - 2023'!EL24</f>
        <v>12332100</v>
      </c>
      <c r="EH25" s="208">
        <f>'[1]February - 2023'!EM24</f>
        <v>3000</v>
      </c>
      <c r="EI25" s="86">
        <f>'[1]February - 2023'!EN24</f>
        <v>949940</v>
      </c>
      <c r="EJ25" s="208">
        <f>'[1]February - 2023'!EO24</f>
        <v>220</v>
      </c>
      <c r="EK25" s="86">
        <f>'[1]February - 2023'!EP24</f>
        <v>7310300</v>
      </c>
      <c r="EL25" s="208">
        <f>'[1]February - 2023'!EQ24</f>
        <v>1000</v>
      </c>
      <c r="EM25" s="86">
        <f>'[1]February - 2023'!ER24</f>
        <v>2516600</v>
      </c>
      <c r="EN25" s="208">
        <f>'[1]February - 2023'!ES24</f>
        <v>500</v>
      </c>
      <c r="EO25" s="86">
        <f>'[1]February - 2023'!ET24</f>
        <v>1317400</v>
      </c>
      <c r="EP25" s="208">
        <f>'[1]February - 2023'!EU24</f>
        <v>630</v>
      </c>
      <c r="EQ25" s="86">
        <f>'[1]February - 2023'!EV24</f>
        <v>16767800</v>
      </c>
      <c r="ER25" s="208">
        <f>'[1]February - 2023'!EW24</f>
        <v>4300</v>
      </c>
      <c r="ES25" s="523"/>
      <c r="ET25" s="253">
        <f>'[1]February - 2023'!EY24</f>
        <v>43211</v>
      </c>
      <c r="EU25" s="266">
        <f>'[1]February - 2023'!EZ24</f>
        <v>15</v>
      </c>
      <c r="EV25" s="254">
        <f>'[1]February - 2023'!FA24</f>
        <v>37653</v>
      </c>
      <c r="EW25" s="266">
        <f>'[1]February - 2023'!FB24</f>
        <v>12</v>
      </c>
      <c r="EX25" s="254">
        <f>'[1]February - 2023'!FC24</f>
        <v>8229</v>
      </c>
      <c r="EY25" s="266">
        <f>'[1]February - 2023'!FD24</f>
        <v>9</v>
      </c>
      <c r="EZ25" s="254">
        <f>'[1]February - 2023'!FE24</f>
        <v>60266</v>
      </c>
      <c r="FA25" s="266">
        <f>'[1]February - 2023'!FF24</f>
        <v>14</v>
      </c>
      <c r="FB25" s="254">
        <f>'[1]February - 2023'!FG24</f>
        <v>51894</v>
      </c>
      <c r="FC25" s="264">
        <f>'[1]February - 2023'!FH24</f>
        <v>31</v>
      </c>
    </row>
    <row r="26" spans="1:159" ht="30" customHeight="1" x14ac:dyDescent="0.25">
      <c r="A26" s="186">
        <v>44974</v>
      </c>
      <c r="B26" s="188">
        <f>'[1]February - 2023'!B25</f>
        <v>0</v>
      </c>
      <c r="C26" s="228">
        <f>'[1]February - 2023'!E25</f>
        <v>0</v>
      </c>
      <c r="D26" s="151">
        <f>'[1]February - 2023'!F26</f>
        <v>0</v>
      </c>
      <c r="E26" s="150">
        <f>'[1]February - 2023'!G25</f>
        <v>613</v>
      </c>
      <c r="F26" s="150">
        <f>'[1]February - 2023'!H25</f>
        <v>0</v>
      </c>
      <c r="G26" s="151">
        <f>'[1]February - 2023'!I26</f>
        <v>0</v>
      </c>
      <c r="H26" s="150">
        <f>'[1]February - 2023'!J25</f>
        <v>121240</v>
      </c>
      <c r="I26" s="239">
        <f>'[1]February - 2023'!K25</f>
        <v>0</v>
      </c>
      <c r="J26" s="151">
        <f>'[1]February - 2023'!L25</f>
        <v>-19398</v>
      </c>
      <c r="K26" s="239">
        <f>'[1]February - 2023'!N25</f>
        <v>0</v>
      </c>
      <c r="L26" s="151">
        <f>'[1]February - 2023'!O25</f>
        <v>-933301</v>
      </c>
      <c r="M26" s="239">
        <f>'[1]February - 2023'!Q25</f>
        <v>0</v>
      </c>
      <c r="N26" s="151">
        <f>'[1]February - 2023'!R25</f>
        <v>-246265</v>
      </c>
      <c r="O26" s="239">
        <f>'[1]February - 2023'!U25</f>
        <v>0</v>
      </c>
      <c r="P26" s="151">
        <f>'[1]February - 2023'!V25</f>
        <v>-121500</v>
      </c>
      <c r="Q26" s="150">
        <f>'[1]February - 2023'!W25</f>
        <v>223</v>
      </c>
      <c r="R26" s="239">
        <f>'[1]February - 2023'!X25</f>
        <v>0</v>
      </c>
      <c r="S26" s="187">
        <f>'[1]February - 2023'!Y25</f>
        <v>-6829</v>
      </c>
      <c r="T26" s="444"/>
      <c r="U26" s="244">
        <f>'[1]February - 2023'!AE25</f>
        <v>0</v>
      </c>
      <c r="V26" s="265">
        <f>'[1]February - 2023'!AF25</f>
        <v>-8311485.8399999999</v>
      </c>
      <c r="W26" s="88">
        <f>'[1]February - 2023'!AG25</f>
        <v>2192.4000000003725</v>
      </c>
      <c r="X26" s="261">
        <f>'[1]February - 2023'!AH25</f>
        <v>0</v>
      </c>
      <c r="Y26" s="265">
        <f>'[1]February - 2023'!AI25</f>
        <v>-15792246.959999999</v>
      </c>
      <c r="Z26" s="88">
        <f>'[1]February - 2023'!AJ25</f>
        <v>4774.5600000005215</v>
      </c>
      <c r="AA26" s="261">
        <f>'[1]February - 2023'!AK25</f>
        <v>0</v>
      </c>
      <c r="AB26" s="265">
        <f>'[1]February - 2023'!AL25</f>
        <v>-15954192.24</v>
      </c>
      <c r="AC26" s="88">
        <f>'[1]February - 2023'!AM25</f>
        <v>194.88000000081956</v>
      </c>
      <c r="AD26" s="261">
        <f>'[1]February - 2023'!AN25</f>
        <v>0</v>
      </c>
      <c r="AE26" s="265">
        <f>'[1]February - 2023'!AO25</f>
        <v>-19102137.599999998</v>
      </c>
      <c r="AF26" s="88">
        <f>'[1]February - 2023'!AP25</f>
        <v>8038.8000000007451</v>
      </c>
      <c r="AG26" s="261">
        <f>'[1]February - 2023'!AQ25</f>
        <v>0</v>
      </c>
      <c r="AH26" s="265">
        <f>'[1]February - 2023'!AR25</f>
        <v>-19374092.639999997</v>
      </c>
      <c r="AI26" s="88">
        <f>'[1]February - 2023'!AS25</f>
        <v>1510.320000000298</v>
      </c>
      <c r="AJ26" s="261">
        <f>'[1]February - 2023'!AT25</f>
        <v>0</v>
      </c>
      <c r="AK26" s="265">
        <f>'[1]February - 2023'!AU25</f>
        <v>-17940652.800000001</v>
      </c>
      <c r="AL26" s="88">
        <f>'[1]February - 2023'!AV25</f>
        <v>6041.2800000011921</v>
      </c>
      <c r="AM26" s="261">
        <f>'[1]February - 2023'!AW25</f>
        <v>0</v>
      </c>
      <c r="AN26" s="265">
        <f>'[1]February - 2023'!AX25</f>
        <v>-15070947.359999999</v>
      </c>
      <c r="AO26" s="88">
        <f>'[1]February - 2023'!AY25</f>
        <v>4579.679999999702</v>
      </c>
      <c r="AP26" s="261">
        <f>'[1]February - 2023'!AZ25</f>
        <v>0</v>
      </c>
      <c r="AQ26" s="265">
        <f>'[1]February - 2023'!BA25</f>
        <v>-14622431.039999999</v>
      </c>
      <c r="AR26" s="88">
        <f>'[1]February - 2023'!BB25</f>
        <v>4433.519999999553</v>
      </c>
      <c r="AS26" s="261">
        <f>'[1]February - 2023'!BC25</f>
        <v>0</v>
      </c>
      <c r="AT26" s="265">
        <f>'[1]February - 2023'!BD25</f>
        <v>-11389664.16</v>
      </c>
      <c r="AU26" s="88">
        <f>'[1]February - 2023'!BE25</f>
        <v>3312.9599999990314</v>
      </c>
      <c r="AV26" s="261">
        <f>'[1]February - 2023'!BF25</f>
        <v>0</v>
      </c>
      <c r="AW26" s="229">
        <f>'[1]February - 2023'!BG25</f>
        <v>-18091782.239999998</v>
      </c>
      <c r="AX26" s="230">
        <f>'[1]February - 2023'!BH25</f>
        <v>5651.5200000014156</v>
      </c>
      <c r="AY26" s="461"/>
      <c r="AZ26" s="247">
        <f>'[1]February - 2023'!BM25</f>
        <v>0</v>
      </c>
      <c r="BA26" s="160">
        <f>'[1]February - 2023'!BN25</f>
        <v>-78815500</v>
      </c>
      <c r="BB26" s="89">
        <f>'[1]February - 2023'!BO26</f>
        <v>0</v>
      </c>
      <c r="BC26" s="247">
        <f>'[1]February - 2023'!BP25</f>
        <v>0</v>
      </c>
      <c r="BD26" s="223">
        <f>'[1]February - 2023'!BQ25</f>
        <v>-81746300</v>
      </c>
      <c r="BE26" s="89">
        <f>'[1]February - 2023'!BR25</f>
        <v>40900</v>
      </c>
      <c r="BF26" s="247">
        <f>'[1]February - 2023'!BS25</f>
        <v>0</v>
      </c>
      <c r="BG26" s="223">
        <f>'[1]February - 2023'!BT25</f>
        <v>-75725300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0</v>
      </c>
      <c r="BT26" s="165">
        <f>'[1]February - 2023'!BW25</f>
        <v>-10693800</v>
      </c>
      <c r="BU26" s="557"/>
      <c r="BV26" s="84">
        <f>'[1]February - 2023'!BY25</f>
        <v>0</v>
      </c>
      <c r="BW26" s="219">
        <f>'[1]February - 2023'!BZ25</f>
        <v>0.84</v>
      </c>
      <c r="BX26" s="84">
        <f>'[1]February - 2023'!CA25</f>
        <v>-4.9999999999999933E-2</v>
      </c>
      <c r="BY26" s="85">
        <f>'[1]February - 2023'!CB25</f>
        <v>0</v>
      </c>
      <c r="BZ26" s="171">
        <f>'[1]February - 2023'!CC25</f>
        <v>-65594</v>
      </c>
      <c r="CA26" s="85">
        <f>'[1]February - 2023'!CD25</f>
        <v>0</v>
      </c>
      <c r="CB26" s="171">
        <f>'[1]February - 2023'!CE25</f>
        <v>-56781</v>
      </c>
      <c r="CC26" s="85">
        <f>'[1]February - 2023'!CF25</f>
        <v>0</v>
      </c>
      <c r="CD26" s="171">
        <f>'[1]February - 2023'!CG25</f>
        <v>-19169</v>
      </c>
      <c r="CE26" s="85">
        <f>'[1]February - 2023'!CH25</f>
        <v>0</v>
      </c>
      <c r="CF26" s="171">
        <f>'[1]February - 2023'!CI25</f>
        <v>-26264</v>
      </c>
      <c r="CG26" s="85">
        <f>'[1]February - 2023'!CJ25</f>
        <v>0</v>
      </c>
      <c r="CH26" s="171">
        <f>'[1]February - 2023'!CK25</f>
        <v>-29499</v>
      </c>
      <c r="CI26" s="85">
        <f>'[1]February - 2023'!CL25</f>
        <v>0</v>
      </c>
      <c r="CJ26" s="171">
        <f>'[1]February - 2023'!CM25</f>
        <v>-64934</v>
      </c>
      <c r="CK26" s="85">
        <f>'[1]February - 2023'!CN25</f>
        <v>0</v>
      </c>
      <c r="CL26" s="224">
        <f>'[1]February - 2023'!CO25</f>
        <v>-273285</v>
      </c>
      <c r="CM26" s="85">
        <f>'[1]February - 2023'!CP25</f>
        <v>99</v>
      </c>
      <c r="CN26" s="85">
        <f>'[1]February - 2023'!CQ25</f>
        <v>0</v>
      </c>
      <c r="CO26" s="224">
        <f>'[1]February - 2023'!CR25</f>
        <v>-222983</v>
      </c>
      <c r="CP26" s="85">
        <f>'[1]February - 2023'!CV25</f>
        <v>353</v>
      </c>
      <c r="CQ26" s="85">
        <f>'[1]February - 2023'!CT25</f>
        <v>0</v>
      </c>
      <c r="CR26" s="224">
        <f>'[1]February - 2023'!CU25</f>
        <v>-373605</v>
      </c>
      <c r="CS26" s="85">
        <f>'[1]February - 2023'!CV25</f>
        <v>353</v>
      </c>
      <c r="CT26" s="85">
        <f>'[1]February - 2023'!CW25</f>
        <v>0</v>
      </c>
      <c r="CU26" s="171">
        <f>'[1]February - 2023'!CX25</f>
        <v>-706699</v>
      </c>
      <c r="CV26" s="485"/>
      <c r="CW26" s="259">
        <f>'[1]February - 2023'!CZ25</f>
        <v>0</v>
      </c>
      <c r="CX26" s="262">
        <f>'[1]February - 2023'!DA25</f>
        <v>-9443</v>
      </c>
      <c r="CY26" s="260">
        <f>'[1]February - 2023'!DB25</f>
        <v>0</v>
      </c>
      <c r="CZ26" s="262">
        <f>'[1]February - 2023'!DC25</f>
        <v>-6388</v>
      </c>
      <c r="DA26" s="260">
        <f>'[1]February - 2023'!DD25</f>
        <v>0</v>
      </c>
      <c r="DB26" s="262">
        <f>'[1]February - 2023'!DE25</f>
        <v>-33217</v>
      </c>
      <c r="DC26" s="260">
        <f>'[1]February - 2023'!DF25</f>
        <v>0</v>
      </c>
      <c r="DD26" s="262">
        <f>'[1]February - 2023'!DG25</f>
        <v>-33357</v>
      </c>
      <c r="DE26" s="260">
        <f>'[1]February - 2023'!DH25</f>
        <v>0</v>
      </c>
      <c r="DF26" s="262">
        <f>'[1]February - 2023'!DI25</f>
        <v>-22544</v>
      </c>
      <c r="DG26" s="260">
        <f>'[1]February - 2023'!DJ25</f>
        <v>0</v>
      </c>
      <c r="DH26" s="262">
        <f>'[1]February - 2023'!DK25</f>
        <v>-24425</v>
      </c>
      <c r="DI26" s="260">
        <f>'[1]February - 2023'!DL25</f>
        <v>0</v>
      </c>
      <c r="DJ26" s="262">
        <f>'[1]February - 2023'!DM25</f>
        <v>-7848</v>
      </c>
      <c r="DK26" s="260">
        <f>'[1]February - 2023'!DN25</f>
        <v>0</v>
      </c>
      <c r="DL26" s="262">
        <f>'[1]February - 2023'!DO25</f>
        <v>-10327</v>
      </c>
      <c r="DM26" s="260">
        <f>'[1]February - 2023'!DP25</f>
        <v>0</v>
      </c>
      <c r="DN26" s="262">
        <f>'[1]February - 2023'!DQ25</f>
        <v>-3585</v>
      </c>
      <c r="DO26" s="260">
        <f>'[1]February - 2023'!DR25</f>
        <v>0</v>
      </c>
      <c r="DP26" s="262">
        <f>'[1]February - 2023'!DS25</f>
        <v>-7008</v>
      </c>
      <c r="DQ26" s="260">
        <f>'[1]February - 2023'!DT25</f>
        <v>0</v>
      </c>
      <c r="DR26" s="263">
        <f>'[1]February - 2023'!DU25</f>
        <v>-30570</v>
      </c>
      <c r="DS26" s="501"/>
      <c r="DT26" s="189">
        <f>'[1]February - 2023'!DW25</f>
        <v>0</v>
      </c>
      <c r="DU26" s="200">
        <f>'[1]February - 2023'!DX25</f>
        <v>-7091</v>
      </c>
      <c r="DV26" s="87">
        <f>'[1]February - 2023'!DY25</f>
        <v>0</v>
      </c>
      <c r="DW26" s="194">
        <f>'[1]February - 2023'!DZ25</f>
        <v>-11826.9</v>
      </c>
      <c r="DX26" s="87">
        <f>'[1]February - 2023'!EA25</f>
        <v>0</v>
      </c>
      <c r="DY26" s="194">
        <f>'[1]February - 2023'!EB25</f>
        <v>-5237.2</v>
      </c>
      <c r="DZ26" s="87">
        <f>'[1]February - 2023'!EC25</f>
        <v>0</v>
      </c>
      <c r="EA26" s="194">
        <f>'[1]February - 2023'!ED25</f>
        <v>-5843.1</v>
      </c>
      <c r="EB26" s="87">
        <f>'[1]February - 2023'!EE25</f>
        <v>0</v>
      </c>
      <c r="EC26" s="194">
        <f>'[1]February - 2023'!EF25</f>
        <v>-1165500</v>
      </c>
      <c r="ED26" s="87">
        <f>'[1]February - 2023'!EI25</f>
        <v>0</v>
      </c>
      <c r="EE26" s="207">
        <f>'[1]February - 2023'!EJ25</f>
        <v>-241610.4</v>
      </c>
      <c r="EF26" s="548"/>
      <c r="EG26" s="213">
        <f>'[1]February - 2023'!EL25</f>
        <v>0</v>
      </c>
      <c r="EH26" s="208">
        <f>'[1]February - 2023'!EM25</f>
        <v>-12332100</v>
      </c>
      <c r="EI26" s="86">
        <f>'[1]February - 2023'!EN25</f>
        <v>0</v>
      </c>
      <c r="EJ26" s="208">
        <f>'[1]February - 2023'!EO25</f>
        <v>-949940</v>
      </c>
      <c r="EK26" s="86">
        <f>'[1]February - 2023'!EP25</f>
        <v>0</v>
      </c>
      <c r="EL26" s="208">
        <f>'[1]February - 2023'!EQ25</f>
        <v>-7310300</v>
      </c>
      <c r="EM26" s="86">
        <f>'[1]February - 2023'!ER25</f>
        <v>0</v>
      </c>
      <c r="EN26" s="208">
        <f>'[1]February - 2023'!ES25</f>
        <v>-2516600</v>
      </c>
      <c r="EO26" s="86">
        <f>'[1]February - 2023'!ET25</f>
        <v>0</v>
      </c>
      <c r="EP26" s="208">
        <f>'[1]February - 2023'!EU25</f>
        <v>-1317400</v>
      </c>
      <c r="EQ26" s="86">
        <f>'[1]February - 2023'!EV25</f>
        <v>0</v>
      </c>
      <c r="ER26" s="208">
        <f>'[1]February - 2023'!EW25</f>
        <v>-16767800</v>
      </c>
      <c r="ES26" s="523"/>
      <c r="ET26" s="253">
        <f>'[1]February - 2023'!EY25</f>
        <v>0</v>
      </c>
      <c r="EU26" s="266">
        <f>'[1]February - 2023'!EZ25</f>
        <v>-43211</v>
      </c>
      <c r="EV26" s="254">
        <f>'[1]February - 2023'!FA25</f>
        <v>0</v>
      </c>
      <c r="EW26" s="266">
        <f>'[1]February - 2023'!FB25</f>
        <v>-37653</v>
      </c>
      <c r="EX26" s="254">
        <f>'[1]February - 2023'!FC25</f>
        <v>0</v>
      </c>
      <c r="EY26" s="266">
        <f>'[1]February - 2023'!FD25</f>
        <v>-8229</v>
      </c>
      <c r="EZ26" s="254">
        <f>'[1]February - 2023'!FE25</f>
        <v>0</v>
      </c>
      <c r="FA26" s="266">
        <f>'[1]February - 2023'!FF25</f>
        <v>-60266</v>
      </c>
      <c r="FB26" s="254">
        <f>'[1]February - 2023'!FG25</f>
        <v>0</v>
      </c>
      <c r="FC26" s="264">
        <f>'[1]February - 2023'!FH25</f>
        <v>-51894</v>
      </c>
    </row>
    <row r="27" spans="1:159" ht="30" customHeight="1" x14ac:dyDescent="0.25">
      <c r="A27" s="186">
        <v>44975</v>
      </c>
      <c r="B27" s="188">
        <f>'[1]February - 2023'!B26</f>
        <v>0</v>
      </c>
      <c r="C27" s="228">
        <f>'[1]February - 2023'!E26</f>
        <v>0</v>
      </c>
      <c r="D27" s="151">
        <f>'[1]February - 2023'!F27</f>
        <v>0</v>
      </c>
      <c r="E27" s="150">
        <f>'[1]February - 2023'!G26</f>
        <v>643</v>
      </c>
      <c r="F27" s="150">
        <f>'[1]February - 2023'!H26</f>
        <v>0</v>
      </c>
      <c r="G27" s="151">
        <f>'[1]February - 2023'!I27</f>
        <v>0</v>
      </c>
      <c r="H27" s="150">
        <f>'[1]February - 2023'!J26</f>
        <v>121742</v>
      </c>
      <c r="I27" s="239">
        <f>'[1]February - 2023'!K26</f>
        <v>0</v>
      </c>
      <c r="J27" s="151">
        <f>'[1]February - 2023'!L26</f>
        <v>0</v>
      </c>
      <c r="K27" s="239">
        <f>'[1]February - 2023'!N26</f>
        <v>0</v>
      </c>
      <c r="L27" s="151">
        <f>'[1]February - 2023'!O26</f>
        <v>0</v>
      </c>
      <c r="M27" s="239">
        <f>'[1]February - 2023'!Q26</f>
        <v>0</v>
      </c>
      <c r="N27" s="151">
        <f>'[1]February - 2023'!R26</f>
        <v>0</v>
      </c>
      <c r="O27" s="239">
        <f>'[1]February - 2023'!U26</f>
        <v>0</v>
      </c>
      <c r="P27" s="151">
        <f>'[1]February - 2023'!V26</f>
        <v>0</v>
      </c>
      <c r="Q27" s="150">
        <f>'[1]February - 2023'!W26</f>
        <v>225</v>
      </c>
      <c r="R27" s="239">
        <f>'[1]February - 2023'!X26</f>
        <v>0</v>
      </c>
      <c r="S27" s="187">
        <f>'[1]February - 2023'!Y26</f>
        <v>0</v>
      </c>
      <c r="T27" s="444"/>
      <c r="U27" s="244">
        <f>'[1]February - 2023'!AE26</f>
        <v>0</v>
      </c>
      <c r="V27" s="265">
        <f>'[1]February - 2023'!AF26</f>
        <v>0</v>
      </c>
      <c r="W27" s="88">
        <f>'[1]February - 2023'!AG26</f>
        <v>2094.9599999990314</v>
      </c>
      <c r="X27" s="261">
        <f>'[1]February - 2023'!AH26</f>
        <v>0</v>
      </c>
      <c r="Y27" s="265">
        <f>'[1]February - 2023'!AI26</f>
        <v>0</v>
      </c>
      <c r="Z27" s="88">
        <f>'[1]February - 2023'!AJ26</f>
        <v>4823.2800000011921</v>
      </c>
      <c r="AA27" s="261">
        <f>'[1]February - 2023'!AK26</f>
        <v>0</v>
      </c>
      <c r="AB27" s="265">
        <f>'[1]February - 2023'!AL26</f>
        <v>0</v>
      </c>
      <c r="AC27" s="88">
        <f>'[1]February - 2023'!AM26</f>
        <v>194.88000000081956</v>
      </c>
      <c r="AD27" s="261">
        <f>'[1]February - 2023'!AN26</f>
        <v>0</v>
      </c>
      <c r="AE27" s="265">
        <f>'[1]February - 2023'!AO26</f>
        <v>0</v>
      </c>
      <c r="AF27" s="88">
        <f>'[1]February - 2023'!AP26</f>
        <v>8428.5600000023842</v>
      </c>
      <c r="AG27" s="261">
        <f>'[1]February - 2023'!AQ26</f>
        <v>0</v>
      </c>
      <c r="AH27" s="265">
        <f>'[1]February - 2023'!AR26</f>
        <v>0</v>
      </c>
      <c r="AI27" s="88">
        <f>'[1]February - 2023'!AS26</f>
        <v>1364.1599999964237</v>
      </c>
      <c r="AJ27" s="261">
        <f>'[1]February - 2023'!AT26</f>
        <v>0</v>
      </c>
      <c r="AK27" s="265">
        <f>'[1]February - 2023'!AU26</f>
        <v>0</v>
      </c>
      <c r="AL27" s="88">
        <f>'[1]February - 2023'!AV26</f>
        <v>6138.7199999988079</v>
      </c>
      <c r="AM27" s="261">
        <f>'[1]February - 2023'!AW26</f>
        <v>0</v>
      </c>
      <c r="AN27" s="265">
        <f>'[1]February - 2023'!AX26</f>
        <v>0</v>
      </c>
      <c r="AO27" s="88">
        <f>'[1]February - 2023'!AY26</f>
        <v>4384.7999999988824</v>
      </c>
      <c r="AP27" s="261">
        <f>'[1]February - 2023'!AZ26</f>
        <v>0</v>
      </c>
      <c r="AQ27" s="265">
        <f>'[1]February - 2023'!BA26</f>
        <v>0</v>
      </c>
      <c r="AR27" s="88">
        <f>'[1]February - 2023'!BB26</f>
        <v>4628.4000000003725</v>
      </c>
      <c r="AS27" s="261">
        <f>'[1]February - 2023'!BC26</f>
        <v>0</v>
      </c>
      <c r="AT27" s="265">
        <f>'[1]February - 2023'!BD26</f>
        <v>0</v>
      </c>
      <c r="AU27" s="88">
        <f>'[1]February - 2023'!BE26</f>
        <v>3069.359999999404</v>
      </c>
      <c r="AV27" s="261">
        <f>'[1]February - 2023'!BF26</f>
        <v>0</v>
      </c>
      <c r="AW27" s="229">
        <f>'[1]February - 2023'!BG26</f>
        <v>0</v>
      </c>
      <c r="AX27" s="230">
        <f>'[1]February - 2023'!BH26</f>
        <v>5554.0799999982119</v>
      </c>
      <c r="AY27" s="461"/>
      <c r="AZ27" s="247">
        <f>'[1]February - 2023'!BM26</f>
        <v>0</v>
      </c>
      <c r="BA27" s="160">
        <f>'[1]February - 2023'!BN26</f>
        <v>0</v>
      </c>
      <c r="BB27" s="89">
        <f>'[1]February - 2023'!BO27</f>
        <v>38900</v>
      </c>
      <c r="BC27" s="247">
        <f>'[1]February - 2023'!BP26</f>
        <v>0</v>
      </c>
      <c r="BD27" s="223">
        <f>'[1]February - 2023'!BQ26</f>
        <v>0</v>
      </c>
      <c r="BE27" s="89">
        <f>'[1]February - 2023'!BR26</f>
        <v>41000</v>
      </c>
      <c r="BF27" s="247">
        <f>'[1]February - 2023'!BS26</f>
        <v>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0</v>
      </c>
      <c r="BT27" s="165">
        <f>'[1]February - 2023'!BW26</f>
        <v>0</v>
      </c>
      <c r="BU27" s="557"/>
      <c r="BV27" s="84">
        <f>'[1]February - 2023'!BY26</f>
        <v>0</v>
      </c>
      <c r="BW27" s="219">
        <f>'[1]February - 2023'!BZ26</f>
        <v>0</v>
      </c>
      <c r="BX27" s="84">
        <f>'[1]February - 2023'!CA26</f>
        <v>7.999999999999996E-2</v>
      </c>
      <c r="BY27" s="85">
        <f>'[1]February - 2023'!CB26</f>
        <v>0</v>
      </c>
      <c r="BZ27" s="171">
        <f>'[1]February - 2023'!CC26</f>
        <v>0</v>
      </c>
      <c r="CA27" s="85">
        <f>'[1]February - 2023'!CD26</f>
        <v>0</v>
      </c>
      <c r="CB27" s="171">
        <f>'[1]February - 2023'!CE26</f>
        <v>0</v>
      </c>
      <c r="CC27" s="85">
        <f>'[1]February - 2023'!CF26</f>
        <v>0</v>
      </c>
      <c r="CD27" s="171">
        <f>'[1]February - 2023'!CG26</f>
        <v>0</v>
      </c>
      <c r="CE27" s="85">
        <f>'[1]February - 2023'!CH26</f>
        <v>0</v>
      </c>
      <c r="CF27" s="171">
        <f>'[1]February - 2023'!CI26</f>
        <v>0</v>
      </c>
      <c r="CG27" s="85">
        <f>'[1]February - 2023'!CJ26</f>
        <v>0</v>
      </c>
      <c r="CH27" s="171">
        <f>'[1]February - 2023'!CK26</f>
        <v>0</v>
      </c>
      <c r="CI27" s="85">
        <f>'[1]February - 2023'!CL26</f>
        <v>0</v>
      </c>
      <c r="CJ27" s="171">
        <f>'[1]February - 2023'!CM26</f>
        <v>0</v>
      </c>
      <c r="CK27" s="85">
        <f>'[1]February - 2023'!CN26</f>
        <v>0</v>
      </c>
      <c r="CL27" s="224">
        <f>'[1]February - 2023'!CO26</f>
        <v>0</v>
      </c>
      <c r="CM27" s="85">
        <f>'[1]February - 2023'!CP26</f>
        <v>99</v>
      </c>
      <c r="CN27" s="85">
        <f>'[1]February - 2023'!CQ26</f>
        <v>0</v>
      </c>
      <c r="CO27" s="224">
        <f>'[1]February - 2023'!CR26</f>
        <v>0</v>
      </c>
      <c r="CP27" s="85">
        <f>'[1]February - 2023'!CV26</f>
        <v>289</v>
      </c>
      <c r="CQ27" s="85">
        <f>'[1]February - 2023'!CT26</f>
        <v>0</v>
      </c>
      <c r="CR27" s="224">
        <f>'[1]February - 2023'!CU26</f>
        <v>0</v>
      </c>
      <c r="CS27" s="85">
        <f>'[1]February - 2023'!CV26</f>
        <v>289</v>
      </c>
      <c r="CT27" s="85">
        <f>'[1]February - 2023'!CW26</f>
        <v>0</v>
      </c>
      <c r="CU27" s="171">
        <f>'[1]February - 2023'!CX26</f>
        <v>0</v>
      </c>
      <c r="CV27" s="485"/>
      <c r="CW27" s="259">
        <f>'[1]February - 2023'!CZ26</f>
        <v>0</v>
      </c>
      <c r="CX27" s="262">
        <f>'[1]February - 2023'!DA26</f>
        <v>0</v>
      </c>
      <c r="CY27" s="260">
        <f>'[1]February - 2023'!DB26</f>
        <v>0</v>
      </c>
      <c r="CZ27" s="262">
        <f>'[1]February - 2023'!DC26</f>
        <v>0</v>
      </c>
      <c r="DA27" s="260">
        <f>'[1]February - 2023'!DD26</f>
        <v>0</v>
      </c>
      <c r="DB27" s="262">
        <f>'[1]February - 2023'!DE26</f>
        <v>0</v>
      </c>
      <c r="DC27" s="260">
        <f>'[1]February - 2023'!DF26</f>
        <v>0</v>
      </c>
      <c r="DD27" s="262">
        <f>'[1]February - 2023'!DG26</f>
        <v>0</v>
      </c>
      <c r="DE27" s="260">
        <f>'[1]February - 2023'!DH26</f>
        <v>0</v>
      </c>
      <c r="DF27" s="262">
        <f>'[1]February - 2023'!DI26</f>
        <v>0</v>
      </c>
      <c r="DG27" s="260">
        <f>'[1]February - 2023'!DJ26</f>
        <v>0</v>
      </c>
      <c r="DH27" s="262">
        <f>'[1]February - 2023'!DK26</f>
        <v>0</v>
      </c>
      <c r="DI27" s="260">
        <f>'[1]February - 2023'!DL26</f>
        <v>0</v>
      </c>
      <c r="DJ27" s="262">
        <f>'[1]February - 2023'!DM26</f>
        <v>0</v>
      </c>
      <c r="DK27" s="260">
        <f>'[1]February - 2023'!DN26</f>
        <v>0</v>
      </c>
      <c r="DL27" s="262">
        <f>'[1]February - 2023'!DO26</f>
        <v>0</v>
      </c>
      <c r="DM27" s="260">
        <f>'[1]February - 2023'!DP26</f>
        <v>0</v>
      </c>
      <c r="DN27" s="262">
        <f>'[1]February - 2023'!DQ26</f>
        <v>0</v>
      </c>
      <c r="DO27" s="260">
        <f>'[1]February - 2023'!DR26</f>
        <v>0</v>
      </c>
      <c r="DP27" s="262">
        <f>'[1]February - 2023'!DS26</f>
        <v>0</v>
      </c>
      <c r="DQ27" s="260">
        <f>'[1]February - 2023'!DT26</f>
        <v>0</v>
      </c>
      <c r="DR27" s="263">
        <f>'[1]February - 2023'!DU26</f>
        <v>0</v>
      </c>
      <c r="DS27" s="501"/>
      <c r="DT27" s="189">
        <f>'[1]February - 2023'!DW26</f>
        <v>0</v>
      </c>
      <c r="DU27" s="200">
        <f>'[1]February - 2023'!DX26</f>
        <v>0</v>
      </c>
      <c r="DV27" s="87">
        <f>'[1]February - 2023'!DY26</f>
        <v>0</v>
      </c>
      <c r="DW27" s="194">
        <f>'[1]February - 2023'!DZ26</f>
        <v>0</v>
      </c>
      <c r="DX27" s="87">
        <f>'[1]February - 2023'!EA26</f>
        <v>0</v>
      </c>
      <c r="DY27" s="194">
        <f>'[1]February - 2023'!EB26</f>
        <v>0</v>
      </c>
      <c r="DZ27" s="87">
        <f>'[1]February - 2023'!EC26</f>
        <v>0</v>
      </c>
      <c r="EA27" s="194">
        <f>'[1]February - 2023'!ED26</f>
        <v>0</v>
      </c>
      <c r="EB27" s="87">
        <f>'[1]February - 2023'!EE26</f>
        <v>0</v>
      </c>
      <c r="EC27" s="194">
        <f>'[1]February - 2023'!EF26</f>
        <v>0</v>
      </c>
      <c r="ED27" s="87">
        <f>'[1]February - 2023'!EI26</f>
        <v>0</v>
      </c>
      <c r="EE27" s="207">
        <f>'[1]February - 2023'!EJ26</f>
        <v>0</v>
      </c>
      <c r="EF27" s="548"/>
      <c r="EG27" s="213">
        <f>'[1]February - 2023'!EL26</f>
        <v>0</v>
      </c>
      <c r="EH27" s="208">
        <f>'[1]February - 2023'!EM26</f>
        <v>0</v>
      </c>
      <c r="EI27" s="86">
        <f>'[1]February - 2023'!EN26</f>
        <v>0</v>
      </c>
      <c r="EJ27" s="208">
        <f>'[1]February - 2023'!EO26</f>
        <v>0</v>
      </c>
      <c r="EK27" s="86">
        <f>'[1]February - 2023'!EP26</f>
        <v>0</v>
      </c>
      <c r="EL27" s="208">
        <f>'[1]February - 2023'!EQ26</f>
        <v>0</v>
      </c>
      <c r="EM27" s="86">
        <f>'[1]February - 2023'!ER26</f>
        <v>0</v>
      </c>
      <c r="EN27" s="208">
        <f>'[1]February - 2023'!ES26</f>
        <v>0</v>
      </c>
      <c r="EO27" s="86">
        <f>'[1]February - 2023'!ET26</f>
        <v>0</v>
      </c>
      <c r="EP27" s="208">
        <f>'[1]February - 2023'!EU26</f>
        <v>0</v>
      </c>
      <c r="EQ27" s="86">
        <f>'[1]February - 2023'!EV26</f>
        <v>0</v>
      </c>
      <c r="ER27" s="208">
        <f>'[1]February - 2023'!EW26</f>
        <v>0</v>
      </c>
      <c r="ES27" s="523"/>
      <c r="ET27" s="253">
        <f>'[1]February - 2023'!EY26</f>
        <v>0</v>
      </c>
      <c r="EU27" s="266">
        <f>'[1]February - 2023'!EZ26</f>
        <v>0</v>
      </c>
      <c r="EV27" s="254">
        <f>'[1]February - 2023'!FA26</f>
        <v>0</v>
      </c>
      <c r="EW27" s="266">
        <f>'[1]February - 2023'!FB26</f>
        <v>0</v>
      </c>
      <c r="EX27" s="254">
        <f>'[1]February - 2023'!FC26</f>
        <v>0</v>
      </c>
      <c r="EY27" s="266">
        <f>'[1]February - 2023'!FD26</f>
        <v>0</v>
      </c>
      <c r="EZ27" s="254">
        <f>'[1]February - 2023'!FE26</f>
        <v>0</v>
      </c>
      <c r="FA27" s="266">
        <f>'[1]February - 2023'!FF26</f>
        <v>0</v>
      </c>
      <c r="FB27" s="254">
        <f>'[1]February - 2023'!FG26</f>
        <v>0</v>
      </c>
      <c r="FC27" s="264">
        <f>'[1]February - 2023'!FH26</f>
        <v>0</v>
      </c>
    </row>
    <row r="28" spans="1:159" ht="30" customHeight="1" x14ac:dyDescent="0.25">
      <c r="A28" s="186">
        <v>44976</v>
      </c>
      <c r="B28" s="188">
        <f>'[1]February - 2023'!B27</f>
        <v>0</v>
      </c>
      <c r="C28" s="228">
        <f>'[1]February - 2023'!E27</f>
        <v>0</v>
      </c>
      <c r="D28" s="151">
        <f>'[1]February - 2023'!F28</f>
        <v>0</v>
      </c>
      <c r="E28" s="150">
        <f>'[1]February - 2023'!G27</f>
        <v>643</v>
      </c>
      <c r="F28" s="150">
        <f>'[1]February - 2023'!H27</f>
        <v>0</v>
      </c>
      <c r="G28" s="151">
        <f>'[1]February - 2023'!I28</f>
        <v>0</v>
      </c>
      <c r="H28" s="150">
        <f>'[1]February - 2023'!J27</f>
        <v>122247</v>
      </c>
      <c r="I28" s="239">
        <f>'[1]February - 2023'!K27</f>
        <v>0</v>
      </c>
      <c r="J28" s="151">
        <f>'[1]February - 2023'!L27</f>
        <v>0</v>
      </c>
      <c r="K28" s="239">
        <f>'[1]February - 2023'!N27</f>
        <v>0</v>
      </c>
      <c r="L28" s="151">
        <f>'[1]February - 2023'!O27</f>
        <v>0</v>
      </c>
      <c r="M28" s="239">
        <f>'[1]February - 2023'!Q27</f>
        <v>0</v>
      </c>
      <c r="N28" s="151">
        <f>'[1]February - 2023'!R27</f>
        <v>0</v>
      </c>
      <c r="O28" s="239">
        <f>'[1]February - 2023'!U27</f>
        <v>0</v>
      </c>
      <c r="P28" s="151">
        <f>'[1]February - 2023'!V27</f>
        <v>0</v>
      </c>
      <c r="Q28" s="150">
        <f>'[1]February - 2023'!W27</f>
        <v>97</v>
      </c>
      <c r="R28" s="239">
        <f>'[1]February - 2023'!X27</f>
        <v>0</v>
      </c>
      <c r="S28" s="187">
        <f>'[1]February - 2023'!Y27</f>
        <v>0</v>
      </c>
      <c r="T28" s="444"/>
      <c r="U28" s="244">
        <f>'[1]February - 2023'!AE27</f>
        <v>0</v>
      </c>
      <c r="V28" s="265">
        <f>'[1]February - 2023'!AF27</f>
        <v>0</v>
      </c>
      <c r="W28" s="88">
        <f>'[1]February - 2023'!AG27</f>
        <v>3312.9600000008941</v>
      </c>
      <c r="X28" s="261">
        <f>'[1]February - 2023'!AH27</f>
        <v>0</v>
      </c>
      <c r="Y28" s="265">
        <f>'[1]February - 2023'!AI27</f>
        <v>0</v>
      </c>
      <c r="Z28" s="88">
        <f>'[1]February - 2023'!AJ27</f>
        <v>5310.4799999985844</v>
      </c>
      <c r="AA28" s="261">
        <f>'[1]February - 2023'!AK27</f>
        <v>0</v>
      </c>
      <c r="AB28" s="265">
        <f>'[1]February - 2023'!AL27</f>
        <v>0</v>
      </c>
      <c r="AC28" s="88">
        <f>'[1]February - 2023'!AM27</f>
        <v>7941.359999999404</v>
      </c>
      <c r="AD28" s="261">
        <f>'[1]February - 2023'!AN27</f>
        <v>0</v>
      </c>
      <c r="AE28" s="265">
        <f>'[1]February - 2023'!AO27</f>
        <v>0</v>
      </c>
      <c r="AF28" s="88">
        <f>'[1]February - 2023'!AP27</f>
        <v>779.51999999955297</v>
      </c>
      <c r="AG28" s="261">
        <f>'[1]February - 2023'!AQ27</f>
        <v>0</v>
      </c>
      <c r="AH28" s="265">
        <f>'[1]February - 2023'!AR27</f>
        <v>0</v>
      </c>
      <c r="AI28" s="88">
        <f>'[1]February - 2023'!AS27</f>
        <v>48.720000002533197</v>
      </c>
      <c r="AJ28" s="261">
        <f>'[1]February - 2023'!AT27</f>
        <v>0</v>
      </c>
      <c r="AK28" s="265">
        <f>'[1]February - 2023'!AU27</f>
        <v>0</v>
      </c>
      <c r="AL28" s="88">
        <f>'[1]February - 2023'!AV27</f>
        <v>5943.839999999851</v>
      </c>
      <c r="AM28" s="261">
        <f>'[1]February - 2023'!AW27</f>
        <v>0</v>
      </c>
      <c r="AN28" s="265">
        <f>'[1]February - 2023'!AX27</f>
        <v>0</v>
      </c>
      <c r="AO28" s="88">
        <f>'[1]February - 2023'!AY27</f>
        <v>4336.0800000019372</v>
      </c>
      <c r="AP28" s="261">
        <f>'[1]February - 2023'!AZ27</f>
        <v>0</v>
      </c>
      <c r="AQ28" s="265">
        <f>'[1]February - 2023'!BA27</f>
        <v>0</v>
      </c>
      <c r="AR28" s="88">
        <f>'[1]February - 2023'!BB27</f>
        <v>4628.4000000003725</v>
      </c>
      <c r="AS28" s="261">
        <f>'[1]February - 2023'!BC27</f>
        <v>0</v>
      </c>
      <c r="AT28" s="265">
        <f>'[1]February - 2023'!BD27</f>
        <v>0</v>
      </c>
      <c r="AU28" s="88">
        <f>'[1]February - 2023'!BE27</f>
        <v>2971.9200000017881</v>
      </c>
      <c r="AV28" s="261">
        <f>'[1]February - 2023'!BF27</f>
        <v>0</v>
      </c>
      <c r="AW28" s="229">
        <f>'[1]February - 2023'!BG27</f>
        <v>0</v>
      </c>
      <c r="AX28" s="230">
        <f>'[1]February - 2023'!BH27</f>
        <v>5943.8400000017136</v>
      </c>
      <c r="AY28" s="461"/>
      <c r="AZ28" s="247">
        <f>'[1]February - 2023'!BM27</f>
        <v>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0</v>
      </c>
      <c r="BD28" s="223">
        <f>'[1]February - 2023'!BQ27</f>
        <v>0</v>
      </c>
      <c r="BE28" s="89">
        <f>'[1]February - 2023'!BR27</f>
        <v>4000</v>
      </c>
      <c r="BF28" s="247">
        <f>'[1]February - 2023'!BS27</f>
        <v>0</v>
      </c>
      <c r="BG28" s="223">
        <f>'[1]February - 2023'!BT27</f>
        <v>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0</v>
      </c>
      <c r="BT28" s="165">
        <f>'[1]February - 2023'!BW27</f>
        <v>0</v>
      </c>
      <c r="BU28" s="557"/>
      <c r="BV28" s="84">
        <f>'[1]February - 2023'!BY27</f>
        <v>0</v>
      </c>
      <c r="BW28" s="219">
        <f>'[1]February - 2023'!BZ27</f>
        <v>0</v>
      </c>
      <c r="BX28" s="84">
        <f>'[1]February - 2023'!CA27</f>
        <v>-9.9999999999999978E-2</v>
      </c>
      <c r="BY28" s="85">
        <f>'[1]February - 2023'!CB27</f>
        <v>0</v>
      </c>
      <c r="BZ28" s="171">
        <f>'[1]February - 2023'!CC27</f>
        <v>0</v>
      </c>
      <c r="CA28" s="85">
        <f>'[1]February - 2023'!CD27</f>
        <v>0</v>
      </c>
      <c r="CB28" s="171">
        <f>'[1]February - 2023'!CE27</f>
        <v>0</v>
      </c>
      <c r="CC28" s="85">
        <f>'[1]February - 2023'!CF27</f>
        <v>0</v>
      </c>
      <c r="CD28" s="171">
        <f>'[1]February - 2023'!CG27</f>
        <v>0</v>
      </c>
      <c r="CE28" s="85">
        <f>'[1]February - 2023'!CH27</f>
        <v>0</v>
      </c>
      <c r="CF28" s="171">
        <f>'[1]February - 2023'!CI27</f>
        <v>0</v>
      </c>
      <c r="CG28" s="85">
        <f>'[1]February - 2023'!CJ27</f>
        <v>0</v>
      </c>
      <c r="CH28" s="171">
        <f>'[1]February - 2023'!CK27</f>
        <v>0</v>
      </c>
      <c r="CI28" s="85">
        <f>'[1]February - 2023'!CL27</f>
        <v>0</v>
      </c>
      <c r="CJ28" s="171">
        <f>'[1]February - 2023'!CM27</f>
        <v>0</v>
      </c>
      <c r="CK28" s="85">
        <f>'[1]February - 2023'!CN27</f>
        <v>0</v>
      </c>
      <c r="CL28" s="224">
        <f>'[1]February - 2023'!CO27</f>
        <v>0</v>
      </c>
      <c r="CM28" s="85">
        <f>'[1]February - 2023'!CP27</f>
        <v>101</v>
      </c>
      <c r="CN28" s="85">
        <f>'[1]February - 2023'!CQ27</f>
        <v>0</v>
      </c>
      <c r="CO28" s="224">
        <f>'[1]February - 2023'!CR27</f>
        <v>0</v>
      </c>
      <c r="CP28" s="85">
        <f>'[1]February - 2023'!CV27</f>
        <v>268</v>
      </c>
      <c r="CQ28" s="85">
        <f>'[1]February - 2023'!CT27</f>
        <v>0</v>
      </c>
      <c r="CR28" s="224">
        <f>'[1]February - 2023'!CU27</f>
        <v>0</v>
      </c>
      <c r="CS28" s="85">
        <f>'[1]February - 2023'!CV27</f>
        <v>268</v>
      </c>
      <c r="CT28" s="85">
        <f>'[1]February - 2023'!CW27</f>
        <v>0</v>
      </c>
      <c r="CU28" s="171">
        <f>'[1]February - 2023'!CX27</f>
        <v>0</v>
      </c>
      <c r="CV28" s="485"/>
      <c r="CW28" s="259">
        <f>'[1]February - 2023'!CZ27</f>
        <v>0</v>
      </c>
      <c r="CX28" s="262">
        <f>'[1]February - 2023'!DA27</f>
        <v>0</v>
      </c>
      <c r="CY28" s="260">
        <f>'[1]February - 2023'!DB27</f>
        <v>0</v>
      </c>
      <c r="CZ28" s="262">
        <f>'[1]February - 2023'!DC27</f>
        <v>0</v>
      </c>
      <c r="DA28" s="260">
        <f>'[1]February - 2023'!DD27</f>
        <v>0</v>
      </c>
      <c r="DB28" s="262">
        <f>'[1]February - 2023'!DE27</f>
        <v>0</v>
      </c>
      <c r="DC28" s="260">
        <f>'[1]February - 2023'!DF27</f>
        <v>0</v>
      </c>
      <c r="DD28" s="262">
        <f>'[1]February - 2023'!DG27</f>
        <v>0</v>
      </c>
      <c r="DE28" s="260">
        <f>'[1]February - 2023'!DH27</f>
        <v>0</v>
      </c>
      <c r="DF28" s="262">
        <f>'[1]February - 2023'!DI27</f>
        <v>0</v>
      </c>
      <c r="DG28" s="260">
        <f>'[1]February - 2023'!DJ27</f>
        <v>0</v>
      </c>
      <c r="DH28" s="262">
        <f>'[1]February - 2023'!DK27</f>
        <v>0</v>
      </c>
      <c r="DI28" s="260">
        <f>'[1]February - 2023'!DL27</f>
        <v>0</v>
      </c>
      <c r="DJ28" s="262">
        <f>'[1]February - 2023'!DM27</f>
        <v>0</v>
      </c>
      <c r="DK28" s="260">
        <f>'[1]February - 2023'!DN27</f>
        <v>0</v>
      </c>
      <c r="DL28" s="262">
        <f>'[1]February - 2023'!DO27</f>
        <v>0</v>
      </c>
      <c r="DM28" s="260">
        <f>'[1]February - 2023'!DP27</f>
        <v>0</v>
      </c>
      <c r="DN28" s="262">
        <f>'[1]February - 2023'!DQ27</f>
        <v>0</v>
      </c>
      <c r="DO28" s="260">
        <f>'[1]February - 2023'!DR27</f>
        <v>0</v>
      </c>
      <c r="DP28" s="262">
        <f>'[1]February - 2023'!DS27</f>
        <v>0</v>
      </c>
      <c r="DQ28" s="260">
        <f>'[1]February - 2023'!DT27</f>
        <v>0</v>
      </c>
      <c r="DR28" s="263">
        <f>'[1]February - 2023'!DU27</f>
        <v>0</v>
      </c>
      <c r="DS28" s="501"/>
      <c r="DT28" s="189">
        <f>'[1]February - 2023'!DW27</f>
        <v>0</v>
      </c>
      <c r="DU28" s="200">
        <f>'[1]February - 2023'!DX27</f>
        <v>0</v>
      </c>
      <c r="DV28" s="87">
        <f>'[1]February - 2023'!DY27</f>
        <v>0</v>
      </c>
      <c r="DW28" s="194">
        <f>'[1]February - 2023'!DZ27</f>
        <v>0</v>
      </c>
      <c r="DX28" s="87">
        <f>'[1]February - 2023'!EA27</f>
        <v>0</v>
      </c>
      <c r="DY28" s="194">
        <f>'[1]February - 2023'!EB27</f>
        <v>0</v>
      </c>
      <c r="DZ28" s="87">
        <f>'[1]February - 2023'!EC27</f>
        <v>0</v>
      </c>
      <c r="EA28" s="194">
        <f>'[1]February - 2023'!ED27</f>
        <v>0</v>
      </c>
      <c r="EB28" s="87">
        <f>'[1]February - 2023'!EE27</f>
        <v>0</v>
      </c>
      <c r="EC28" s="194">
        <f>'[1]February - 2023'!EF27</f>
        <v>0</v>
      </c>
      <c r="ED28" s="87">
        <f>'[1]February - 2023'!EI27</f>
        <v>0</v>
      </c>
      <c r="EE28" s="207">
        <f>'[1]February - 2023'!EJ27</f>
        <v>0</v>
      </c>
      <c r="EF28" s="548"/>
      <c r="EG28" s="213">
        <f>'[1]February - 2023'!EL27</f>
        <v>0</v>
      </c>
      <c r="EH28" s="208">
        <f>'[1]February - 2023'!EM27</f>
        <v>0</v>
      </c>
      <c r="EI28" s="86">
        <f>'[1]February - 2023'!EN27</f>
        <v>0</v>
      </c>
      <c r="EJ28" s="208">
        <f>'[1]February - 2023'!EO27</f>
        <v>0</v>
      </c>
      <c r="EK28" s="86">
        <f>'[1]February - 2023'!EP27</f>
        <v>0</v>
      </c>
      <c r="EL28" s="208">
        <f>'[1]February - 2023'!EQ27</f>
        <v>0</v>
      </c>
      <c r="EM28" s="86">
        <f>'[1]February - 2023'!ER27</f>
        <v>0</v>
      </c>
      <c r="EN28" s="208">
        <f>'[1]February - 2023'!ES27</f>
        <v>0</v>
      </c>
      <c r="EO28" s="86">
        <f>'[1]February - 2023'!ET27</f>
        <v>0</v>
      </c>
      <c r="EP28" s="208">
        <f>'[1]February - 2023'!EU27</f>
        <v>0</v>
      </c>
      <c r="EQ28" s="86">
        <f>'[1]February - 2023'!EV27</f>
        <v>0</v>
      </c>
      <c r="ER28" s="208">
        <f>'[1]February - 2023'!EW27</f>
        <v>0</v>
      </c>
      <c r="ES28" s="523"/>
      <c r="ET28" s="253">
        <f>'[1]February - 2023'!EY27</f>
        <v>0</v>
      </c>
      <c r="EU28" s="266">
        <f>'[1]February - 2023'!EZ27</f>
        <v>0</v>
      </c>
      <c r="EV28" s="254">
        <f>'[1]February - 2023'!FA27</f>
        <v>0</v>
      </c>
      <c r="EW28" s="266">
        <f>'[1]February - 2023'!FB27</f>
        <v>0</v>
      </c>
      <c r="EX28" s="254">
        <f>'[1]February - 2023'!FC27</f>
        <v>0</v>
      </c>
      <c r="EY28" s="266">
        <f>'[1]February - 2023'!FD27</f>
        <v>0</v>
      </c>
      <c r="EZ28" s="254">
        <f>'[1]February - 2023'!FE27</f>
        <v>0</v>
      </c>
      <c r="FA28" s="266">
        <f>'[1]February - 2023'!FF27</f>
        <v>0</v>
      </c>
      <c r="FB28" s="254">
        <f>'[1]February - 2023'!FG27</f>
        <v>0</v>
      </c>
      <c r="FC28" s="264">
        <f>'[1]February - 2023'!FH27</f>
        <v>0</v>
      </c>
    </row>
    <row r="29" spans="1:159" ht="30" customHeight="1" x14ac:dyDescent="0.25">
      <c r="A29" s="186">
        <v>44977</v>
      </c>
      <c r="B29" s="188">
        <f>'[1]February - 2023'!B28</f>
        <v>0</v>
      </c>
      <c r="C29" s="228">
        <f>'[1]February - 2023'!E28</f>
        <v>0</v>
      </c>
      <c r="D29" s="151">
        <f>'[1]February - 2023'!F29</f>
        <v>0</v>
      </c>
      <c r="E29" s="150">
        <f>'[1]February - 2023'!G28</f>
        <v>628</v>
      </c>
      <c r="F29" s="150">
        <f>'[1]February - 2023'!H28</f>
        <v>0</v>
      </c>
      <c r="G29" s="151">
        <f>'[1]February - 2023'!I29</f>
        <v>0</v>
      </c>
      <c r="H29" s="150">
        <f>'[1]February - 2023'!J28</f>
        <v>122700</v>
      </c>
      <c r="I29" s="239">
        <f>'[1]February - 2023'!K28</f>
        <v>0</v>
      </c>
      <c r="J29" s="151">
        <f>'[1]February - 2023'!L28</f>
        <v>0</v>
      </c>
      <c r="K29" s="239">
        <f>'[1]February - 2023'!N28</f>
        <v>0</v>
      </c>
      <c r="L29" s="151">
        <f>'[1]February - 2023'!O28</f>
        <v>0</v>
      </c>
      <c r="M29" s="239">
        <f>'[1]February - 2023'!Q28</f>
        <v>0</v>
      </c>
      <c r="N29" s="151">
        <f>'[1]February - 2023'!R28</f>
        <v>0</v>
      </c>
      <c r="O29" s="239">
        <f>'[1]February - 2023'!U28</f>
        <v>0</v>
      </c>
      <c r="P29" s="151">
        <f>'[1]February - 2023'!V28</f>
        <v>0</v>
      </c>
      <c r="Q29" s="150">
        <f>'[1]February - 2023'!W28</f>
        <v>208</v>
      </c>
      <c r="R29" s="239">
        <f>'[1]February - 2023'!X28</f>
        <v>0</v>
      </c>
      <c r="S29" s="187">
        <f>'[1]February - 2023'!Y28</f>
        <v>0</v>
      </c>
      <c r="T29" s="444"/>
      <c r="U29" s="244">
        <f>'[1]February - 2023'!AE28</f>
        <v>0</v>
      </c>
      <c r="V29" s="265">
        <f>'[1]February - 2023'!AF28</f>
        <v>0</v>
      </c>
      <c r="W29" s="88">
        <f>'[1]February - 2023'!AG28</f>
        <v>3410.4000000003725</v>
      </c>
      <c r="X29" s="261">
        <f>'[1]February - 2023'!AH28</f>
        <v>0</v>
      </c>
      <c r="Y29" s="265">
        <f>'[1]February - 2023'!AI28</f>
        <v>0</v>
      </c>
      <c r="Z29" s="88">
        <f>'[1]February - 2023'!AJ28</f>
        <v>4384.7999999988824</v>
      </c>
      <c r="AA29" s="261">
        <f>'[1]February - 2023'!AK28</f>
        <v>0</v>
      </c>
      <c r="AB29" s="265">
        <f>'[1]February - 2023'!AL28</f>
        <v>0</v>
      </c>
      <c r="AC29" s="88">
        <f>'[1]February - 2023'!AM28</f>
        <v>8428.5600000005215</v>
      </c>
      <c r="AD29" s="261">
        <f>'[1]February - 2023'!AN28</f>
        <v>0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0</v>
      </c>
      <c r="AH29" s="265">
        <f>'[1]February - 2023'!AR28</f>
        <v>0</v>
      </c>
      <c r="AI29" s="88">
        <f>'[1]February - 2023'!AS28</f>
        <v>0</v>
      </c>
      <c r="AJ29" s="261">
        <f>'[1]February - 2023'!AT28</f>
        <v>0</v>
      </c>
      <c r="AK29" s="265">
        <f>'[1]February - 2023'!AU28</f>
        <v>0</v>
      </c>
      <c r="AL29" s="88">
        <f>'[1]February - 2023'!AV28</f>
        <v>5895.1200000010431</v>
      </c>
      <c r="AM29" s="261">
        <f>'[1]February - 2023'!AW28</f>
        <v>0</v>
      </c>
      <c r="AN29" s="265">
        <f>'[1]February - 2023'!AX28</f>
        <v>0</v>
      </c>
      <c r="AO29" s="88">
        <f>'[1]February - 2023'!AY28</f>
        <v>4336.0800000000745</v>
      </c>
      <c r="AP29" s="261">
        <f>'[1]February - 2023'!AZ28</f>
        <v>0</v>
      </c>
      <c r="AQ29" s="265">
        <f>'[1]February - 2023'!BA28</f>
        <v>0</v>
      </c>
      <c r="AR29" s="88">
        <f>'[1]February - 2023'!BB28</f>
        <v>4433.5200000014156</v>
      </c>
      <c r="AS29" s="261">
        <f>'[1]February - 2023'!BC28</f>
        <v>0</v>
      </c>
      <c r="AT29" s="265">
        <f>'[1]February - 2023'!BD28</f>
        <v>0</v>
      </c>
      <c r="AU29" s="88">
        <f>'[1]February - 2023'!BE28</f>
        <v>3166.7999999988824</v>
      </c>
      <c r="AV29" s="261">
        <f>'[1]February - 2023'!BF28</f>
        <v>0</v>
      </c>
      <c r="AW29" s="229">
        <f>'[1]February - 2023'!BG28</f>
        <v>0</v>
      </c>
      <c r="AX29" s="230">
        <f>'[1]February - 2023'!BH28</f>
        <v>5700.2399999983609</v>
      </c>
      <c r="AY29" s="461"/>
      <c r="AZ29" s="247">
        <f>'[1]February - 2023'!BM28</f>
        <v>0</v>
      </c>
      <c r="BA29" s="160">
        <f>'[1]February - 2023'!BN28</f>
        <v>0</v>
      </c>
      <c r="BB29" s="89">
        <f>'[1]February - 2023'!BO29</f>
        <v>39100</v>
      </c>
      <c r="BC29" s="247">
        <f>'[1]February - 2023'!BP28</f>
        <v>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0</v>
      </c>
      <c r="BG29" s="223">
        <f>'[1]February - 2023'!BT28</f>
        <v>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0</v>
      </c>
      <c r="BT29" s="165">
        <f>'[1]February - 2023'!BW28</f>
        <v>0</v>
      </c>
      <c r="BU29" s="557"/>
      <c r="BV29" s="84">
        <f>'[1]February - 2023'!BY28</f>
        <v>0</v>
      </c>
      <c r="BW29" s="219">
        <f>'[1]February - 2023'!BZ28</f>
        <v>0</v>
      </c>
      <c r="BX29" s="84">
        <f>'[1]February - 2023'!CA28</f>
        <v>6.9999999999999951E-2</v>
      </c>
      <c r="BY29" s="85">
        <f>'[1]February - 2023'!CB28</f>
        <v>0</v>
      </c>
      <c r="BZ29" s="171">
        <f>'[1]February - 2023'!CC28</f>
        <v>0</v>
      </c>
      <c r="CA29" s="85">
        <f>'[1]February - 2023'!CD28</f>
        <v>0</v>
      </c>
      <c r="CB29" s="171">
        <f>'[1]February - 2023'!CE28</f>
        <v>0</v>
      </c>
      <c r="CC29" s="85">
        <f>'[1]February - 2023'!CF28</f>
        <v>0</v>
      </c>
      <c r="CD29" s="171">
        <f>'[1]February - 2023'!CG28</f>
        <v>0</v>
      </c>
      <c r="CE29" s="85">
        <f>'[1]February - 2023'!CH28</f>
        <v>0</v>
      </c>
      <c r="CF29" s="171">
        <f>'[1]February - 2023'!CI28</f>
        <v>0</v>
      </c>
      <c r="CG29" s="85">
        <f>'[1]February - 2023'!CJ28</f>
        <v>0</v>
      </c>
      <c r="CH29" s="171">
        <f>'[1]February - 2023'!CK28</f>
        <v>0</v>
      </c>
      <c r="CI29" s="85">
        <f>'[1]February - 2023'!CL28</f>
        <v>0</v>
      </c>
      <c r="CJ29" s="171">
        <f>'[1]February - 2023'!CM28</f>
        <v>0</v>
      </c>
      <c r="CK29" s="85">
        <f>'[1]February - 2023'!CN28</f>
        <v>0</v>
      </c>
      <c r="CL29" s="224">
        <f>'[1]February - 2023'!CO28</f>
        <v>0</v>
      </c>
      <c r="CM29" s="85">
        <f>'[1]February - 2023'!CP28</f>
        <v>98</v>
      </c>
      <c r="CN29" s="85">
        <f>'[1]February - 2023'!CQ28</f>
        <v>0</v>
      </c>
      <c r="CO29" s="224">
        <f>'[1]February - 2023'!CR28</f>
        <v>0</v>
      </c>
      <c r="CP29" s="85">
        <f>'[1]February - 2023'!CV28</f>
        <v>231</v>
      </c>
      <c r="CQ29" s="85">
        <f>'[1]February - 2023'!CT28</f>
        <v>0</v>
      </c>
      <c r="CR29" s="224">
        <f>'[1]February - 2023'!CU28</f>
        <v>0</v>
      </c>
      <c r="CS29" s="85">
        <f>'[1]February - 2023'!CV28</f>
        <v>231</v>
      </c>
      <c r="CT29" s="85">
        <f>'[1]February - 2023'!CW28</f>
        <v>0</v>
      </c>
      <c r="CU29" s="171">
        <f>'[1]February - 2023'!CX28</f>
        <v>0</v>
      </c>
      <c r="CV29" s="485"/>
      <c r="CW29" s="259">
        <f>'[1]February - 2023'!CZ28</f>
        <v>0</v>
      </c>
      <c r="CX29" s="262">
        <f>'[1]February - 2023'!DA28</f>
        <v>0</v>
      </c>
      <c r="CY29" s="260">
        <f>'[1]February - 2023'!DB28</f>
        <v>0</v>
      </c>
      <c r="CZ29" s="262">
        <f>'[1]February - 2023'!DC28</f>
        <v>0</v>
      </c>
      <c r="DA29" s="260">
        <f>'[1]February - 2023'!DD28</f>
        <v>0</v>
      </c>
      <c r="DB29" s="262">
        <f>'[1]February - 2023'!DE28</f>
        <v>0</v>
      </c>
      <c r="DC29" s="260">
        <f>'[1]February - 2023'!DF28</f>
        <v>0</v>
      </c>
      <c r="DD29" s="262">
        <f>'[1]February - 2023'!DG28</f>
        <v>0</v>
      </c>
      <c r="DE29" s="260">
        <f>'[1]February - 2023'!DH28</f>
        <v>0</v>
      </c>
      <c r="DF29" s="262">
        <f>'[1]February - 2023'!DI28</f>
        <v>0</v>
      </c>
      <c r="DG29" s="260">
        <f>'[1]February - 2023'!DJ28</f>
        <v>0</v>
      </c>
      <c r="DH29" s="262">
        <f>'[1]February - 2023'!DK28</f>
        <v>0</v>
      </c>
      <c r="DI29" s="260">
        <f>'[1]February - 2023'!DL28</f>
        <v>0</v>
      </c>
      <c r="DJ29" s="262">
        <f>'[1]February - 2023'!DM28</f>
        <v>0</v>
      </c>
      <c r="DK29" s="260">
        <f>'[1]February - 2023'!DN28</f>
        <v>0</v>
      </c>
      <c r="DL29" s="262">
        <f>'[1]February - 2023'!DO28</f>
        <v>0</v>
      </c>
      <c r="DM29" s="260">
        <f>'[1]February - 2023'!DP28</f>
        <v>0</v>
      </c>
      <c r="DN29" s="262">
        <f>'[1]February - 2023'!DQ28</f>
        <v>0</v>
      </c>
      <c r="DO29" s="260">
        <f>'[1]February - 2023'!DR28</f>
        <v>0</v>
      </c>
      <c r="DP29" s="262">
        <f>'[1]February - 2023'!DS28</f>
        <v>0</v>
      </c>
      <c r="DQ29" s="260">
        <f>'[1]February - 2023'!DT28</f>
        <v>0</v>
      </c>
      <c r="DR29" s="263">
        <f>'[1]February - 2023'!DU28</f>
        <v>0</v>
      </c>
      <c r="DS29" s="501"/>
      <c r="DT29" s="189">
        <f>'[1]February - 2023'!DW28</f>
        <v>0</v>
      </c>
      <c r="DU29" s="200">
        <f>'[1]February - 2023'!DX28</f>
        <v>0</v>
      </c>
      <c r="DV29" s="87">
        <f>'[1]February - 2023'!DY28</f>
        <v>0</v>
      </c>
      <c r="DW29" s="194">
        <f>'[1]February - 2023'!DZ28</f>
        <v>0</v>
      </c>
      <c r="DX29" s="87">
        <f>'[1]February - 2023'!EA28</f>
        <v>0</v>
      </c>
      <c r="DY29" s="194">
        <f>'[1]February - 2023'!EB28</f>
        <v>0</v>
      </c>
      <c r="DZ29" s="87">
        <f>'[1]February - 2023'!EC28</f>
        <v>0</v>
      </c>
      <c r="EA29" s="194">
        <f>'[1]February - 2023'!ED28</f>
        <v>0</v>
      </c>
      <c r="EB29" s="87">
        <f>'[1]February - 2023'!EE28</f>
        <v>0</v>
      </c>
      <c r="EC29" s="194">
        <f>'[1]February - 2023'!EF28</f>
        <v>0</v>
      </c>
      <c r="ED29" s="87">
        <f>'[1]February - 2023'!EI28</f>
        <v>0</v>
      </c>
      <c r="EE29" s="207">
        <f>'[1]February - 2023'!EJ28</f>
        <v>0</v>
      </c>
      <c r="EF29" s="548"/>
      <c r="EG29" s="213">
        <f>'[1]February - 2023'!EL28</f>
        <v>0</v>
      </c>
      <c r="EH29" s="208">
        <f>'[1]February - 2023'!EM28</f>
        <v>0</v>
      </c>
      <c r="EI29" s="86">
        <f>'[1]February - 2023'!EN28</f>
        <v>0</v>
      </c>
      <c r="EJ29" s="208">
        <f>'[1]February - 2023'!EO28</f>
        <v>0</v>
      </c>
      <c r="EK29" s="86">
        <f>'[1]February - 2023'!EP28</f>
        <v>0</v>
      </c>
      <c r="EL29" s="208">
        <f>'[1]February - 2023'!EQ28</f>
        <v>0</v>
      </c>
      <c r="EM29" s="86">
        <f>'[1]February - 2023'!ER28</f>
        <v>0</v>
      </c>
      <c r="EN29" s="208">
        <f>'[1]February - 2023'!ES28</f>
        <v>0</v>
      </c>
      <c r="EO29" s="86">
        <f>'[1]February - 2023'!ET28</f>
        <v>0</v>
      </c>
      <c r="EP29" s="208">
        <f>'[1]February - 2023'!EU28</f>
        <v>0</v>
      </c>
      <c r="EQ29" s="86">
        <f>'[1]February - 2023'!EV28</f>
        <v>0</v>
      </c>
      <c r="ER29" s="208">
        <f>'[1]February - 2023'!EW28</f>
        <v>0</v>
      </c>
      <c r="ES29" s="523"/>
      <c r="ET29" s="253">
        <f>'[1]February - 2023'!EY28</f>
        <v>0</v>
      </c>
      <c r="EU29" s="266">
        <f>'[1]February - 2023'!EZ28</f>
        <v>0</v>
      </c>
      <c r="EV29" s="254">
        <f>'[1]February - 2023'!FA28</f>
        <v>0</v>
      </c>
      <c r="EW29" s="266">
        <f>'[1]February - 2023'!FB28</f>
        <v>0</v>
      </c>
      <c r="EX29" s="254">
        <f>'[1]February - 2023'!FC28</f>
        <v>0</v>
      </c>
      <c r="EY29" s="266">
        <f>'[1]February - 2023'!FD28</f>
        <v>0</v>
      </c>
      <c r="EZ29" s="254">
        <f>'[1]February - 2023'!FE28</f>
        <v>0</v>
      </c>
      <c r="FA29" s="266">
        <f>'[1]February - 2023'!FF28</f>
        <v>0</v>
      </c>
      <c r="FB29" s="254">
        <f>'[1]February - 2023'!FG28</f>
        <v>0</v>
      </c>
      <c r="FC29" s="264">
        <f>'[1]February - 2023'!FH28</f>
        <v>0</v>
      </c>
    </row>
    <row r="30" spans="1:159" ht="30" customHeight="1" x14ac:dyDescent="0.25">
      <c r="A30" s="186">
        <v>44978</v>
      </c>
      <c r="B30" s="188">
        <f>'[1]February - 2023'!B29</f>
        <v>0</v>
      </c>
      <c r="C30" s="228">
        <f>'[1]February - 2023'!E29</f>
        <v>0</v>
      </c>
      <c r="D30" s="151">
        <f>'[1]February - 2023'!F30</f>
        <v>0</v>
      </c>
      <c r="E30" s="150">
        <f>'[1]February - 2023'!G29</f>
        <v>637</v>
      </c>
      <c r="F30" s="150">
        <f>'[1]February - 2023'!H29</f>
        <v>0</v>
      </c>
      <c r="G30" s="151">
        <f>'[1]February - 2023'!I30</f>
        <v>0</v>
      </c>
      <c r="H30" s="150">
        <f>'[1]February - 2023'!J29</f>
        <v>123150</v>
      </c>
      <c r="I30" s="239">
        <f>'[1]February - 2023'!K29</f>
        <v>0</v>
      </c>
      <c r="J30" s="151">
        <f>'[1]February - 2023'!L29</f>
        <v>0</v>
      </c>
      <c r="K30" s="239">
        <f>'[1]February - 2023'!N29</f>
        <v>0</v>
      </c>
      <c r="L30" s="151">
        <f>'[1]February - 2023'!O29</f>
        <v>0</v>
      </c>
      <c r="M30" s="239">
        <f>'[1]February - 2023'!Q29</f>
        <v>0</v>
      </c>
      <c r="N30" s="151">
        <f>'[1]February - 2023'!R29</f>
        <v>0</v>
      </c>
      <c r="O30" s="239">
        <f>'[1]February - 2023'!U29</f>
        <v>0</v>
      </c>
      <c r="P30" s="151">
        <f>'[1]February - 2023'!V29</f>
        <v>0</v>
      </c>
      <c r="Q30" s="150">
        <f>'[1]February - 2023'!W29</f>
        <v>205</v>
      </c>
      <c r="R30" s="239">
        <f>'[1]February - 2023'!X29</f>
        <v>0</v>
      </c>
      <c r="S30" s="187">
        <f>'[1]February - 2023'!Y29</f>
        <v>0</v>
      </c>
      <c r="T30" s="444"/>
      <c r="U30" s="244">
        <f>'[1]February - 2023'!AE29</f>
        <v>0</v>
      </c>
      <c r="V30" s="265">
        <f>'[1]February - 2023'!AF29</f>
        <v>0</v>
      </c>
      <c r="W30" s="88">
        <f>'[1]February - 2023'!AG29</f>
        <v>3264.2399999992922</v>
      </c>
      <c r="X30" s="261">
        <f>'[1]February - 2023'!AH29</f>
        <v>0</v>
      </c>
      <c r="Y30" s="265">
        <f>'[1]February - 2023'!AI29</f>
        <v>0</v>
      </c>
      <c r="Z30" s="88">
        <f>'[1]February - 2023'!AJ29</f>
        <v>4725.8400000017136</v>
      </c>
      <c r="AA30" s="261">
        <f>'[1]February - 2023'!AK29</f>
        <v>0</v>
      </c>
      <c r="AB30" s="265">
        <f>'[1]February - 2023'!AL29</f>
        <v>0</v>
      </c>
      <c r="AC30" s="88">
        <f>'[1]February - 2023'!AM29</f>
        <v>7697.7599999997765</v>
      </c>
      <c r="AD30" s="261">
        <f>'[1]February - 2023'!AN29</f>
        <v>0</v>
      </c>
      <c r="AE30" s="265">
        <f>'[1]February - 2023'!AO29</f>
        <v>0</v>
      </c>
      <c r="AF30" s="88">
        <f>'[1]February - 2023'!AP29</f>
        <v>194.87999999895692</v>
      </c>
      <c r="AG30" s="261">
        <f>'[1]February - 2023'!AQ29</f>
        <v>0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0</v>
      </c>
      <c r="AK30" s="265">
        <f>'[1]February - 2023'!AU29</f>
        <v>0</v>
      </c>
      <c r="AL30" s="88">
        <f>'[1]February - 2023'!AV29</f>
        <v>5992.5600000005215</v>
      </c>
      <c r="AM30" s="261">
        <f>'[1]February - 2023'!AW29</f>
        <v>0</v>
      </c>
      <c r="AN30" s="265">
        <f>'[1]February - 2023'!AX29</f>
        <v>0</v>
      </c>
      <c r="AO30" s="88">
        <f>'[1]February - 2023'!AY29</f>
        <v>3751.4399999976158</v>
      </c>
      <c r="AP30" s="261">
        <f>'[1]February - 2023'!AZ29</f>
        <v>0</v>
      </c>
      <c r="AQ30" s="265">
        <f>'[1]February - 2023'!BA29</f>
        <v>0</v>
      </c>
      <c r="AR30" s="88">
        <f>'[1]February - 2023'!BB29</f>
        <v>4092.4799999985844</v>
      </c>
      <c r="AS30" s="261">
        <f>'[1]February - 2023'!BC29</f>
        <v>0</v>
      </c>
      <c r="AT30" s="265">
        <f>'[1]February - 2023'!BD29</f>
        <v>0</v>
      </c>
      <c r="AU30" s="88">
        <f>'[1]February - 2023'!BE29</f>
        <v>2971.9199999999255</v>
      </c>
      <c r="AV30" s="261">
        <f>'[1]February - 2023'!BF29</f>
        <v>0</v>
      </c>
      <c r="AW30" s="229">
        <f>'[1]February - 2023'!BG29</f>
        <v>0</v>
      </c>
      <c r="AX30" s="230">
        <f>'[1]February - 2023'!BH29</f>
        <v>5554.0800000019372</v>
      </c>
      <c r="AY30" s="461"/>
      <c r="AZ30" s="247">
        <f>'[1]February - 2023'!BM29</f>
        <v>0</v>
      </c>
      <c r="BA30" s="160">
        <f>'[1]February - 2023'!BN29</f>
        <v>0</v>
      </c>
      <c r="BB30" s="89">
        <f>'[1]February - 2023'!BO30</f>
        <v>38900</v>
      </c>
      <c r="BC30" s="247">
        <f>'[1]February - 2023'!BP29</f>
        <v>0</v>
      </c>
      <c r="BD30" s="223">
        <f>'[1]February - 2023'!BQ29</f>
        <v>0</v>
      </c>
      <c r="BE30" s="89">
        <f>'[1]February - 2023'!BR29</f>
        <v>0</v>
      </c>
      <c r="BF30" s="247">
        <f>'[1]February - 2023'!BS29</f>
        <v>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0</v>
      </c>
      <c r="BT30" s="165">
        <f>'[1]February - 2023'!BW29</f>
        <v>0</v>
      </c>
      <c r="BU30" s="557"/>
      <c r="BV30" s="84">
        <f>'[1]February - 2023'!BY29</f>
        <v>0</v>
      </c>
      <c r="BW30" s="219">
        <f>'[1]February - 2023'!BZ29</f>
        <v>0</v>
      </c>
      <c r="BX30" s="84">
        <f>'[1]February - 2023'!CA29</f>
        <v>-0.12</v>
      </c>
      <c r="BY30" s="85">
        <f>'[1]February - 2023'!CB29</f>
        <v>0</v>
      </c>
      <c r="BZ30" s="171">
        <f>'[1]February - 2023'!CC29</f>
        <v>0</v>
      </c>
      <c r="CA30" s="85">
        <f>'[1]February - 2023'!CD29</f>
        <v>0</v>
      </c>
      <c r="CB30" s="171">
        <f>'[1]February - 2023'!CE29</f>
        <v>0</v>
      </c>
      <c r="CC30" s="85">
        <f>'[1]February - 2023'!CF29</f>
        <v>0</v>
      </c>
      <c r="CD30" s="171">
        <f>'[1]February - 2023'!CG29</f>
        <v>0</v>
      </c>
      <c r="CE30" s="85">
        <f>'[1]February - 2023'!CH29</f>
        <v>0</v>
      </c>
      <c r="CF30" s="171">
        <f>'[1]February - 2023'!CI29</f>
        <v>0</v>
      </c>
      <c r="CG30" s="85">
        <f>'[1]February - 2023'!CJ29</f>
        <v>0</v>
      </c>
      <c r="CH30" s="171">
        <f>'[1]February - 2023'!CK29</f>
        <v>0</v>
      </c>
      <c r="CI30" s="85">
        <f>'[1]February - 2023'!CL29</f>
        <v>0</v>
      </c>
      <c r="CJ30" s="171">
        <f>'[1]February - 2023'!CM29</f>
        <v>0</v>
      </c>
      <c r="CK30" s="85">
        <f>'[1]February - 2023'!CN29</f>
        <v>0</v>
      </c>
      <c r="CL30" s="224">
        <f>'[1]February - 2023'!CO29</f>
        <v>0</v>
      </c>
      <c r="CM30" s="85">
        <f>'[1]February - 2023'!CP29</f>
        <v>102</v>
      </c>
      <c r="CN30" s="85">
        <f>'[1]February - 2023'!CQ29</f>
        <v>0</v>
      </c>
      <c r="CO30" s="224">
        <f>'[1]February - 2023'!CR29</f>
        <v>0</v>
      </c>
      <c r="CP30" s="85">
        <f>'[1]February - 2023'!CV29</f>
        <v>243</v>
      </c>
      <c r="CQ30" s="85">
        <f>'[1]February - 2023'!CT29</f>
        <v>0</v>
      </c>
      <c r="CR30" s="224">
        <f>'[1]February - 2023'!CU29</f>
        <v>0</v>
      </c>
      <c r="CS30" s="85">
        <f>'[1]February - 2023'!CV29</f>
        <v>243</v>
      </c>
      <c r="CT30" s="85">
        <f>'[1]February - 2023'!CW29</f>
        <v>0</v>
      </c>
      <c r="CU30" s="171">
        <f>'[1]February - 2023'!CX29</f>
        <v>0</v>
      </c>
      <c r="CV30" s="485"/>
      <c r="CW30" s="259">
        <f>'[1]February - 2023'!CZ29</f>
        <v>0</v>
      </c>
      <c r="CX30" s="262">
        <f>'[1]February - 2023'!DA29</f>
        <v>0</v>
      </c>
      <c r="CY30" s="260">
        <f>'[1]February - 2023'!DB29</f>
        <v>0</v>
      </c>
      <c r="CZ30" s="262">
        <f>'[1]February - 2023'!DC29</f>
        <v>0</v>
      </c>
      <c r="DA30" s="260">
        <f>'[1]February - 2023'!DD29</f>
        <v>0</v>
      </c>
      <c r="DB30" s="262">
        <f>'[1]February - 2023'!DE29</f>
        <v>0</v>
      </c>
      <c r="DC30" s="260">
        <f>'[1]February - 2023'!DF29</f>
        <v>0</v>
      </c>
      <c r="DD30" s="262">
        <f>'[1]February - 2023'!DG29</f>
        <v>0</v>
      </c>
      <c r="DE30" s="260">
        <f>'[1]February - 2023'!DH29</f>
        <v>0</v>
      </c>
      <c r="DF30" s="262">
        <f>'[1]February - 2023'!DI29</f>
        <v>0</v>
      </c>
      <c r="DG30" s="260">
        <f>'[1]February - 2023'!DJ29</f>
        <v>0</v>
      </c>
      <c r="DH30" s="262">
        <f>'[1]February - 2023'!DK29</f>
        <v>0</v>
      </c>
      <c r="DI30" s="260">
        <f>'[1]February - 2023'!DL29</f>
        <v>0</v>
      </c>
      <c r="DJ30" s="262">
        <f>'[1]February - 2023'!DM29</f>
        <v>0</v>
      </c>
      <c r="DK30" s="260">
        <f>'[1]February - 2023'!DN29</f>
        <v>0</v>
      </c>
      <c r="DL30" s="262">
        <f>'[1]February - 2023'!DO29</f>
        <v>0</v>
      </c>
      <c r="DM30" s="260">
        <f>'[1]February - 2023'!DP29</f>
        <v>0</v>
      </c>
      <c r="DN30" s="262">
        <f>'[1]February - 2023'!DQ29</f>
        <v>0</v>
      </c>
      <c r="DO30" s="260">
        <f>'[1]February - 2023'!DR29</f>
        <v>0</v>
      </c>
      <c r="DP30" s="262">
        <f>'[1]February - 2023'!DS29</f>
        <v>0</v>
      </c>
      <c r="DQ30" s="260">
        <f>'[1]February - 2023'!DT29</f>
        <v>0</v>
      </c>
      <c r="DR30" s="263">
        <f>'[1]February - 2023'!DU29</f>
        <v>0</v>
      </c>
      <c r="DS30" s="501"/>
      <c r="DT30" s="189">
        <f>'[1]February - 2023'!DW29</f>
        <v>0</v>
      </c>
      <c r="DU30" s="200">
        <f>'[1]February - 2023'!DX29</f>
        <v>0</v>
      </c>
      <c r="DV30" s="87">
        <f>'[1]February - 2023'!DY29</f>
        <v>0</v>
      </c>
      <c r="DW30" s="194">
        <f>'[1]February - 2023'!DZ29</f>
        <v>0</v>
      </c>
      <c r="DX30" s="87">
        <f>'[1]February - 2023'!EA29</f>
        <v>0</v>
      </c>
      <c r="DY30" s="194">
        <f>'[1]February - 2023'!EB29</f>
        <v>0</v>
      </c>
      <c r="DZ30" s="87">
        <f>'[1]February - 2023'!EC29</f>
        <v>0</v>
      </c>
      <c r="EA30" s="194">
        <f>'[1]February - 2023'!ED29</f>
        <v>0</v>
      </c>
      <c r="EB30" s="87">
        <f>'[1]February - 2023'!EE29</f>
        <v>0</v>
      </c>
      <c r="EC30" s="194">
        <f>'[1]February - 2023'!EF29</f>
        <v>0</v>
      </c>
      <c r="ED30" s="87">
        <f>'[1]February - 2023'!EI29</f>
        <v>0</v>
      </c>
      <c r="EE30" s="207">
        <f>'[1]February - 2023'!EJ29</f>
        <v>0</v>
      </c>
      <c r="EF30" s="548"/>
      <c r="EG30" s="213">
        <f>'[1]February - 2023'!EL29</f>
        <v>0</v>
      </c>
      <c r="EH30" s="208">
        <f>'[1]February - 2023'!EM29</f>
        <v>0</v>
      </c>
      <c r="EI30" s="86">
        <f>'[1]February - 2023'!EN29</f>
        <v>0</v>
      </c>
      <c r="EJ30" s="208">
        <f>'[1]February - 2023'!EO29</f>
        <v>0</v>
      </c>
      <c r="EK30" s="86">
        <f>'[1]February - 2023'!EP29</f>
        <v>0</v>
      </c>
      <c r="EL30" s="208">
        <f>'[1]February - 2023'!EQ29</f>
        <v>0</v>
      </c>
      <c r="EM30" s="86">
        <f>'[1]February - 2023'!ER29</f>
        <v>0</v>
      </c>
      <c r="EN30" s="208">
        <f>'[1]February - 2023'!ES29</f>
        <v>0</v>
      </c>
      <c r="EO30" s="86">
        <f>'[1]February - 2023'!ET29</f>
        <v>0</v>
      </c>
      <c r="EP30" s="208">
        <f>'[1]February - 2023'!EU29</f>
        <v>0</v>
      </c>
      <c r="EQ30" s="86">
        <f>'[1]February - 2023'!EV29</f>
        <v>0</v>
      </c>
      <c r="ER30" s="208">
        <f>'[1]February - 2023'!EW29</f>
        <v>0</v>
      </c>
      <c r="ES30" s="523"/>
      <c r="ET30" s="253">
        <f>'[1]February - 2023'!EY29</f>
        <v>0</v>
      </c>
      <c r="EU30" s="266">
        <f>'[1]February - 2023'!EZ29</f>
        <v>0</v>
      </c>
      <c r="EV30" s="254">
        <f>'[1]February - 2023'!FA29</f>
        <v>0</v>
      </c>
      <c r="EW30" s="266">
        <f>'[1]February - 2023'!FB29</f>
        <v>0</v>
      </c>
      <c r="EX30" s="254">
        <f>'[1]February - 2023'!FC29</f>
        <v>0</v>
      </c>
      <c r="EY30" s="266">
        <f>'[1]February - 2023'!FD29</f>
        <v>0</v>
      </c>
      <c r="EZ30" s="254">
        <f>'[1]February - 2023'!FE29</f>
        <v>0</v>
      </c>
      <c r="FA30" s="266">
        <f>'[1]February - 2023'!FF29</f>
        <v>0</v>
      </c>
      <c r="FB30" s="254">
        <f>'[1]February - 2023'!FG29</f>
        <v>0</v>
      </c>
      <c r="FC30" s="264">
        <f>'[1]February - 2023'!FH29</f>
        <v>0</v>
      </c>
    </row>
    <row r="31" spans="1:159" ht="30" customHeight="1" x14ac:dyDescent="0.25">
      <c r="A31" s="186">
        <v>44979</v>
      </c>
      <c r="B31" s="188">
        <f>'[1]February - 2023'!B30</f>
        <v>0</v>
      </c>
      <c r="C31" s="228">
        <f>'[1]February - 2023'!E30</f>
        <v>0</v>
      </c>
      <c r="D31" s="151">
        <f>'[1]February - 2023'!F31</f>
        <v>0</v>
      </c>
      <c r="E31" s="150">
        <f>'[1]February - 2023'!G30</f>
        <v>616</v>
      </c>
      <c r="F31" s="150">
        <f>'[1]February - 2023'!H30</f>
        <v>0</v>
      </c>
      <c r="G31" s="151">
        <f>'[1]February - 2023'!I31</f>
        <v>0</v>
      </c>
      <c r="H31" s="150">
        <f>'[1]February - 2023'!J30</f>
        <v>123605</v>
      </c>
      <c r="I31" s="239">
        <f>'[1]February - 2023'!K30</f>
        <v>0</v>
      </c>
      <c r="J31" s="151">
        <f>'[1]February - 2023'!L30</f>
        <v>0</v>
      </c>
      <c r="K31" s="239">
        <f>'[1]February - 2023'!N30</f>
        <v>0</v>
      </c>
      <c r="L31" s="151">
        <f>'[1]February - 2023'!O30</f>
        <v>0</v>
      </c>
      <c r="M31" s="239">
        <f>'[1]February - 2023'!Q30</f>
        <v>0</v>
      </c>
      <c r="N31" s="151">
        <f>'[1]February - 2023'!R30</f>
        <v>0</v>
      </c>
      <c r="O31" s="239">
        <f>'[1]February - 2023'!U30</f>
        <v>0</v>
      </c>
      <c r="P31" s="151">
        <f>'[1]February - 2023'!V30</f>
        <v>0</v>
      </c>
      <c r="Q31" s="150">
        <f>'[1]February - 2023'!W30</f>
        <v>230</v>
      </c>
      <c r="R31" s="239">
        <f>'[1]February - 2023'!X30</f>
        <v>0</v>
      </c>
      <c r="S31" s="187">
        <f>'[1]February - 2023'!Y30</f>
        <v>0</v>
      </c>
      <c r="T31" s="444"/>
      <c r="U31" s="244">
        <f>'[1]February - 2023'!AE30</f>
        <v>0</v>
      </c>
      <c r="V31" s="265">
        <f>'[1]February - 2023'!AF30</f>
        <v>0</v>
      </c>
      <c r="W31" s="88">
        <f>'[1]February - 2023'!AG30</f>
        <v>3410.3999999994412</v>
      </c>
      <c r="X31" s="261">
        <f>'[1]February - 2023'!AH30</f>
        <v>0</v>
      </c>
      <c r="Y31" s="265">
        <f>'[1]February - 2023'!AI30</f>
        <v>0</v>
      </c>
      <c r="Z31" s="88">
        <f>'[1]February - 2023'!AJ30</f>
        <v>4872</v>
      </c>
      <c r="AA31" s="261">
        <f>'[1]February - 2023'!AK30</f>
        <v>0</v>
      </c>
      <c r="AB31" s="265">
        <f>'[1]February - 2023'!AL30</f>
        <v>0</v>
      </c>
      <c r="AC31" s="88">
        <f>'[1]February - 2023'!AM30</f>
        <v>7405.4399999994785</v>
      </c>
      <c r="AD31" s="261">
        <f>'[1]February - 2023'!AN30</f>
        <v>0</v>
      </c>
      <c r="AE31" s="265">
        <f>'[1]February - 2023'!AO30</f>
        <v>0</v>
      </c>
      <c r="AF31" s="88">
        <f>'[1]February - 2023'!AP30</f>
        <v>146.16000000014901</v>
      </c>
      <c r="AG31" s="261">
        <f>'[1]February - 2023'!AQ30</f>
        <v>0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0</v>
      </c>
      <c r="AK31" s="265">
        <f>'[1]February - 2023'!AU30</f>
        <v>0</v>
      </c>
      <c r="AL31" s="88">
        <f>'[1]February - 2023'!AV30</f>
        <v>5895.1199999991804</v>
      </c>
      <c r="AM31" s="261">
        <f>'[1]February - 2023'!AW30</f>
        <v>0</v>
      </c>
      <c r="AN31" s="265">
        <f>'[1]February - 2023'!AX30</f>
        <v>0</v>
      </c>
      <c r="AO31" s="88">
        <f>'[1]February - 2023'!AY30</f>
        <v>3751.4400000013411</v>
      </c>
      <c r="AP31" s="261">
        <f>'[1]February - 2023'!AZ30</f>
        <v>0</v>
      </c>
      <c r="AQ31" s="265">
        <f>'[1]February - 2023'!BA30</f>
        <v>0</v>
      </c>
      <c r="AR31" s="88">
        <f>'[1]February - 2023'!BB30</f>
        <v>4287.3600000012666</v>
      </c>
      <c r="AS31" s="261">
        <f>'[1]February - 2023'!BC30</f>
        <v>0</v>
      </c>
      <c r="AT31" s="265">
        <f>'[1]February - 2023'!BD30</f>
        <v>0</v>
      </c>
      <c r="AU31" s="88">
        <f>'[1]February - 2023'!BE30</f>
        <v>3020.640000000596</v>
      </c>
      <c r="AV31" s="261">
        <f>'[1]February - 2023'!BF30</f>
        <v>0</v>
      </c>
      <c r="AW31" s="229">
        <f>'[1]February - 2023'!BG30</f>
        <v>0</v>
      </c>
      <c r="AX31" s="230">
        <f>'[1]February - 2023'!BH30</f>
        <v>5407.9199999980628</v>
      </c>
      <c r="AY31" s="461"/>
      <c r="AZ31" s="247">
        <f>'[1]February - 2023'!BM30</f>
        <v>0</v>
      </c>
      <c r="BA31" s="160">
        <f>'[1]February - 2023'!BN30</f>
        <v>0</v>
      </c>
      <c r="BB31" s="89">
        <f>'[1]February - 2023'!BO31</f>
        <v>44700</v>
      </c>
      <c r="BC31" s="247">
        <f>'[1]February - 2023'!BP30</f>
        <v>0</v>
      </c>
      <c r="BD31" s="223">
        <f>'[1]February - 2023'!BQ30</f>
        <v>0</v>
      </c>
      <c r="BE31" s="89">
        <f>'[1]February - 2023'!BR30</f>
        <v>0</v>
      </c>
      <c r="BF31" s="247">
        <f>'[1]February - 2023'!BS30</f>
        <v>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0</v>
      </c>
      <c r="BT31" s="165">
        <f>'[1]February - 2023'!BW30</f>
        <v>0</v>
      </c>
      <c r="BU31" s="557"/>
      <c r="BV31" s="84">
        <f>'[1]February - 2023'!BY30</f>
        <v>0</v>
      </c>
      <c r="BW31" s="219">
        <f>'[1]February - 2023'!BZ30</f>
        <v>0</v>
      </c>
      <c r="BX31" s="84">
        <f>'[1]February - 2023'!CA30</f>
        <v>0.1100000000000001</v>
      </c>
      <c r="BY31" s="85">
        <f>'[1]February - 2023'!CB30</f>
        <v>0</v>
      </c>
      <c r="BZ31" s="171">
        <f>'[1]February - 2023'!CC30</f>
        <v>0</v>
      </c>
      <c r="CA31" s="85">
        <f>'[1]February - 2023'!CD30</f>
        <v>0</v>
      </c>
      <c r="CB31" s="171">
        <f>'[1]February - 2023'!CE30</f>
        <v>0</v>
      </c>
      <c r="CC31" s="85">
        <f>'[1]February - 2023'!CF30</f>
        <v>0</v>
      </c>
      <c r="CD31" s="171">
        <f>'[1]February - 2023'!CG30</f>
        <v>0</v>
      </c>
      <c r="CE31" s="85">
        <f>'[1]February - 2023'!CH30</f>
        <v>0</v>
      </c>
      <c r="CF31" s="171">
        <f>'[1]February - 2023'!CI30</f>
        <v>0</v>
      </c>
      <c r="CG31" s="85">
        <f>'[1]February - 2023'!CJ30</f>
        <v>0</v>
      </c>
      <c r="CH31" s="171">
        <f>'[1]February - 2023'!CK30</f>
        <v>0</v>
      </c>
      <c r="CI31" s="85">
        <f>'[1]February - 2023'!CL30</f>
        <v>0</v>
      </c>
      <c r="CJ31" s="171">
        <f>'[1]February - 2023'!CM30</f>
        <v>0</v>
      </c>
      <c r="CK31" s="85">
        <f>'[1]February - 2023'!CN30</f>
        <v>0</v>
      </c>
      <c r="CL31" s="224">
        <f>'[1]February - 2023'!CO30</f>
        <v>0</v>
      </c>
      <c r="CM31" s="85">
        <f>'[1]February - 2023'!CP30</f>
        <v>99</v>
      </c>
      <c r="CN31" s="85">
        <f>'[1]February - 2023'!CQ30</f>
        <v>0</v>
      </c>
      <c r="CO31" s="224">
        <f>'[1]February - 2023'!CR30</f>
        <v>0</v>
      </c>
      <c r="CP31" s="85">
        <f>'[1]February - 2023'!CV30</f>
        <v>277</v>
      </c>
      <c r="CQ31" s="85">
        <f>'[1]February - 2023'!CT30</f>
        <v>0</v>
      </c>
      <c r="CR31" s="224">
        <f>'[1]February - 2023'!CU30</f>
        <v>0</v>
      </c>
      <c r="CS31" s="85">
        <f>'[1]February - 2023'!CV30</f>
        <v>277</v>
      </c>
      <c r="CT31" s="85">
        <f>'[1]February - 2023'!CW30</f>
        <v>0</v>
      </c>
      <c r="CU31" s="171">
        <f>'[1]February - 2023'!CX30</f>
        <v>0</v>
      </c>
      <c r="CV31" s="485"/>
      <c r="CW31" s="259">
        <f>'[1]February - 2023'!CZ30</f>
        <v>0</v>
      </c>
      <c r="CX31" s="262">
        <f>'[1]February - 2023'!DA30</f>
        <v>0</v>
      </c>
      <c r="CY31" s="260">
        <f>'[1]February - 2023'!DB30</f>
        <v>0</v>
      </c>
      <c r="CZ31" s="262">
        <f>'[1]February - 2023'!DC30</f>
        <v>0</v>
      </c>
      <c r="DA31" s="260">
        <f>'[1]February - 2023'!DD30</f>
        <v>0</v>
      </c>
      <c r="DB31" s="262">
        <f>'[1]February - 2023'!DE30</f>
        <v>0</v>
      </c>
      <c r="DC31" s="260">
        <f>'[1]February - 2023'!DF30</f>
        <v>0</v>
      </c>
      <c r="DD31" s="262">
        <f>'[1]February - 2023'!DG30</f>
        <v>0</v>
      </c>
      <c r="DE31" s="260">
        <f>'[1]February - 2023'!DH30</f>
        <v>0</v>
      </c>
      <c r="DF31" s="262">
        <f>'[1]February - 2023'!DI30</f>
        <v>0</v>
      </c>
      <c r="DG31" s="260">
        <f>'[1]February - 2023'!DJ30</f>
        <v>0</v>
      </c>
      <c r="DH31" s="262">
        <f>'[1]February - 2023'!DK30</f>
        <v>0</v>
      </c>
      <c r="DI31" s="260">
        <f>'[1]February - 2023'!DL30</f>
        <v>0</v>
      </c>
      <c r="DJ31" s="262">
        <f>'[1]February - 2023'!DM30</f>
        <v>0</v>
      </c>
      <c r="DK31" s="260">
        <f>'[1]February - 2023'!DN30</f>
        <v>0</v>
      </c>
      <c r="DL31" s="262">
        <f>'[1]February - 2023'!DO30</f>
        <v>0</v>
      </c>
      <c r="DM31" s="260">
        <f>'[1]February - 2023'!DP30</f>
        <v>0</v>
      </c>
      <c r="DN31" s="262">
        <f>'[1]February - 2023'!DQ30</f>
        <v>0</v>
      </c>
      <c r="DO31" s="260">
        <f>'[1]February - 2023'!DR30</f>
        <v>0</v>
      </c>
      <c r="DP31" s="262">
        <f>'[1]February - 2023'!DS30</f>
        <v>0</v>
      </c>
      <c r="DQ31" s="260">
        <f>'[1]February - 2023'!DT30</f>
        <v>0</v>
      </c>
      <c r="DR31" s="263">
        <f>'[1]February - 2023'!DU30</f>
        <v>0</v>
      </c>
      <c r="DS31" s="501"/>
      <c r="DT31" s="189">
        <f>'[1]February - 2023'!DW30</f>
        <v>0</v>
      </c>
      <c r="DU31" s="200">
        <f>'[1]February - 2023'!DX30</f>
        <v>0</v>
      </c>
      <c r="DV31" s="87">
        <f>'[1]February - 2023'!DY30</f>
        <v>0</v>
      </c>
      <c r="DW31" s="194">
        <f>'[1]February - 2023'!DZ30</f>
        <v>0</v>
      </c>
      <c r="DX31" s="87">
        <f>'[1]February - 2023'!EA30</f>
        <v>0</v>
      </c>
      <c r="DY31" s="194">
        <f>'[1]February - 2023'!EB30</f>
        <v>0</v>
      </c>
      <c r="DZ31" s="87">
        <f>'[1]February - 2023'!EC30</f>
        <v>0</v>
      </c>
      <c r="EA31" s="194">
        <f>'[1]February - 2023'!ED30</f>
        <v>0</v>
      </c>
      <c r="EB31" s="87">
        <f>'[1]February - 2023'!EE30</f>
        <v>0</v>
      </c>
      <c r="EC31" s="194">
        <f>'[1]February - 2023'!EF30</f>
        <v>0</v>
      </c>
      <c r="ED31" s="87">
        <f>'[1]February - 2023'!EI30</f>
        <v>0</v>
      </c>
      <c r="EE31" s="207">
        <f>'[1]February - 2023'!EJ30</f>
        <v>0</v>
      </c>
      <c r="EF31" s="548"/>
      <c r="EG31" s="213">
        <f>'[1]February - 2023'!EL30</f>
        <v>0</v>
      </c>
      <c r="EH31" s="208">
        <f>'[1]February - 2023'!EM30</f>
        <v>0</v>
      </c>
      <c r="EI31" s="86">
        <f>'[1]February - 2023'!EN30</f>
        <v>0</v>
      </c>
      <c r="EJ31" s="208">
        <f>'[1]February - 2023'!EO30</f>
        <v>0</v>
      </c>
      <c r="EK31" s="86">
        <f>'[1]February - 2023'!EP30</f>
        <v>0</v>
      </c>
      <c r="EL31" s="208">
        <f>'[1]February - 2023'!EQ30</f>
        <v>0</v>
      </c>
      <c r="EM31" s="86">
        <f>'[1]February - 2023'!ER30</f>
        <v>0</v>
      </c>
      <c r="EN31" s="208">
        <f>'[1]February - 2023'!ES30</f>
        <v>0</v>
      </c>
      <c r="EO31" s="86">
        <f>'[1]February - 2023'!ET30</f>
        <v>0</v>
      </c>
      <c r="EP31" s="208">
        <f>'[1]February - 2023'!EU30</f>
        <v>0</v>
      </c>
      <c r="EQ31" s="86">
        <f>'[1]February - 2023'!EV30</f>
        <v>0</v>
      </c>
      <c r="ER31" s="208">
        <f>'[1]February - 2023'!EW30</f>
        <v>0</v>
      </c>
      <c r="ES31" s="523"/>
      <c r="ET31" s="253">
        <f>'[1]February - 2023'!EY30</f>
        <v>0</v>
      </c>
      <c r="EU31" s="266">
        <f>'[1]February - 2023'!EZ30</f>
        <v>0</v>
      </c>
      <c r="EV31" s="254">
        <f>'[1]February - 2023'!FA30</f>
        <v>0</v>
      </c>
      <c r="EW31" s="266">
        <f>'[1]February - 2023'!FB30</f>
        <v>0</v>
      </c>
      <c r="EX31" s="254">
        <f>'[1]February - 2023'!FC30</f>
        <v>0</v>
      </c>
      <c r="EY31" s="266">
        <f>'[1]February - 2023'!FD30</f>
        <v>0</v>
      </c>
      <c r="EZ31" s="254">
        <f>'[1]February - 2023'!FE30</f>
        <v>0</v>
      </c>
      <c r="FA31" s="266">
        <f>'[1]February - 2023'!FF30</f>
        <v>0</v>
      </c>
      <c r="FB31" s="254">
        <f>'[1]February - 2023'!FG30</f>
        <v>0</v>
      </c>
      <c r="FC31" s="264">
        <f>'[1]February - 2023'!FH30</f>
        <v>0</v>
      </c>
    </row>
    <row r="32" spans="1:159" ht="30" customHeight="1" x14ac:dyDescent="0.25">
      <c r="A32" s="186">
        <v>44980</v>
      </c>
      <c r="B32" s="188">
        <f>'[1]February - 2023'!B31</f>
        <v>0</v>
      </c>
      <c r="C32" s="228">
        <f>'[1]February - 2023'!E31</f>
        <v>0</v>
      </c>
      <c r="D32" s="151">
        <f>'[1]February - 2023'!F32</f>
        <v>0</v>
      </c>
      <c r="E32" s="150">
        <f>'[1]February - 2023'!G31</f>
        <v>496</v>
      </c>
      <c r="F32" s="150">
        <f>'[1]February - 2023'!H31</f>
        <v>0</v>
      </c>
      <c r="G32" s="151">
        <f>'[1]February - 2023'!I32</f>
        <v>0</v>
      </c>
      <c r="H32" s="150">
        <f>'[1]February - 2023'!J31</f>
        <v>124053</v>
      </c>
      <c r="I32" s="239">
        <f>'[1]February - 2023'!K31</f>
        <v>0</v>
      </c>
      <c r="J32" s="151">
        <f>'[1]February - 2023'!L31</f>
        <v>0</v>
      </c>
      <c r="K32" s="239">
        <f>'[1]February - 2023'!N31</f>
        <v>0</v>
      </c>
      <c r="L32" s="151">
        <f>'[1]February - 2023'!O31</f>
        <v>0</v>
      </c>
      <c r="M32" s="239">
        <f>'[1]February - 2023'!Q31</f>
        <v>0</v>
      </c>
      <c r="N32" s="151">
        <f>'[1]February - 2023'!R31</f>
        <v>0</v>
      </c>
      <c r="O32" s="239">
        <f>'[1]February - 2023'!U31</f>
        <v>0</v>
      </c>
      <c r="P32" s="151">
        <f>'[1]February - 2023'!V31</f>
        <v>0</v>
      </c>
      <c r="Q32" s="150">
        <f>'[1]February - 2023'!W31</f>
        <v>237</v>
      </c>
      <c r="R32" s="239">
        <f>'[1]February - 2023'!X31</f>
        <v>0</v>
      </c>
      <c r="S32" s="187">
        <f>'[1]February - 2023'!Y31</f>
        <v>0</v>
      </c>
      <c r="T32" s="444"/>
      <c r="U32" s="244">
        <f>'[1]February - 2023'!AE31</f>
        <v>0</v>
      </c>
      <c r="V32" s="265">
        <f>'[1]February - 2023'!AF31</f>
        <v>0</v>
      </c>
      <c r="W32" s="88">
        <f>'[1]February - 2023'!AG31</f>
        <v>3556.5600000005215</v>
      </c>
      <c r="X32" s="261">
        <f>'[1]February - 2023'!AH31</f>
        <v>0</v>
      </c>
      <c r="Y32" s="265">
        <f>'[1]February - 2023'!AI31</f>
        <v>0</v>
      </c>
      <c r="Z32" s="88">
        <f>'[1]February - 2023'!AJ31</f>
        <v>4677.1199999991804</v>
      </c>
      <c r="AA32" s="261">
        <f>'[1]February - 2023'!AK31</f>
        <v>0</v>
      </c>
      <c r="AB32" s="265">
        <f>'[1]February - 2023'!AL31</f>
        <v>0</v>
      </c>
      <c r="AC32" s="88">
        <f>'[1]February - 2023'!AM31</f>
        <v>8331.1199999991804</v>
      </c>
      <c r="AD32" s="261">
        <f>'[1]February - 2023'!AN31</f>
        <v>0</v>
      </c>
      <c r="AE32" s="265">
        <f>'[1]February - 2023'!AO31</f>
        <v>0</v>
      </c>
      <c r="AF32" s="88">
        <f>'[1]February - 2023'!AP31</f>
        <v>48.719999998807907</v>
      </c>
      <c r="AG32" s="261">
        <f>'[1]February - 2023'!AQ31</f>
        <v>0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0</v>
      </c>
      <c r="AK32" s="265">
        <f>'[1]February - 2023'!AU31</f>
        <v>0</v>
      </c>
      <c r="AL32" s="88">
        <f>'[1]February - 2023'!AV31</f>
        <v>5992.5599999986589</v>
      </c>
      <c r="AM32" s="261">
        <f>'[1]February - 2023'!AW31</f>
        <v>0</v>
      </c>
      <c r="AN32" s="265">
        <f>'[1]February - 2023'!AX31</f>
        <v>0</v>
      </c>
      <c r="AO32" s="88">
        <f>'[1]February - 2023'!AY31</f>
        <v>3897.5999999996275</v>
      </c>
      <c r="AP32" s="261">
        <f>'[1]February - 2023'!AZ31</f>
        <v>0</v>
      </c>
      <c r="AQ32" s="265">
        <f>'[1]February - 2023'!BA31</f>
        <v>0</v>
      </c>
      <c r="AR32" s="88">
        <f>'[1]February - 2023'!BB31</f>
        <v>4384.7999999988824</v>
      </c>
      <c r="AS32" s="261">
        <f>'[1]February - 2023'!BC31</f>
        <v>0</v>
      </c>
      <c r="AT32" s="265">
        <f>'[1]February - 2023'!BD31</f>
        <v>0</v>
      </c>
      <c r="AU32" s="88">
        <f>'[1]February - 2023'!BE31</f>
        <v>2923.1999999992549</v>
      </c>
      <c r="AV32" s="261">
        <f>'[1]February - 2023'!BF31</f>
        <v>0</v>
      </c>
      <c r="AW32" s="229">
        <f>'[1]February - 2023'!BG31</f>
        <v>0</v>
      </c>
      <c r="AX32" s="230">
        <f>'[1]February - 2023'!BH31</f>
        <v>5456.6400000024587</v>
      </c>
      <c r="AY32" s="461"/>
      <c r="AZ32" s="247">
        <f>'[1]February - 2023'!BM31</f>
        <v>0</v>
      </c>
      <c r="BA32" s="160">
        <f>'[1]February - 2023'!BN31</f>
        <v>0</v>
      </c>
      <c r="BB32" s="89">
        <f>'[1]February - 2023'!BO32</f>
        <v>45100</v>
      </c>
      <c r="BC32" s="247">
        <f>'[1]February - 2023'!BP31</f>
        <v>0</v>
      </c>
      <c r="BD32" s="223">
        <f>'[1]February - 2023'!BQ31</f>
        <v>0</v>
      </c>
      <c r="BE32" s="89">
        <f>'[1]February - 2023'!BR31</f>
        <v>0</v>
      </c>
      <c r="BF32" s="247">
        <f>'[1]February - 2023'!BS31</f>
        <v>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0</v>
      </c>
      <c r="BT32" s="165">
        <f>'[1]February - 2023'!BW31</f>
        <v>0</v>
      </c>
      <c r="BU32" s="557"/>
      <c r="BV32" s="84">
        <f>'[1]February - 2023'!BY31</f>
        <v>0</v>
      </c>
      <c r="BW32" s="219">
        <f>'[1]February - 2023'!BZ31</f>
        <v>0</v>
      </c>
      <c r="BX32" s="84">
        <f>'[1]February - 2023'!CA31</f>
        <v>6.9999999999999951E-2</v>
      </c>
      <c r="BY32" s="85">
        <f>'[1]February - 2023'!CB31</f>
        <v>0</v>
      </c>
      <c r="BZ32" s="171">
        <f>'[1]February - 2023'!CC31</f>
        <v>0</v>
      </c>
      <c r="CA32" s="85">
        <f>'[1]February - 2023'!CD31</f>
        <v>0</v>
      </c>
      <c r="CB32" s="171">
        <f>'[1]February - 2023'!CE31</f>
        <v>0</v>
      </c>
      <c r="CC32" s="85">
        <f>'[1]February - 2023'!CF31</f>
        <v>0</v>
      </c>
      <c r="CD32" s="171">
        <f>'[1]February - 2023'!CG31</f>
        <v>0</v>
      </c>
      <c r="CE32" s="85">
        <f>'[1]February - 2023'!CH31</f>
        <v>0</v>
      </c>
      <c r="CF32" s="171">
        <f>'[1]February - 2023'!CI31</f>
        <v>0</v>
      </c>
      <c r="CG32" s="85">
        <f>'[1]February - 2023'!CJ31</f>
        <v>0</v>
      </c>
      <c r="CH32" s="171">
        <f>'[1]February - 2023'!CK31</f>
        <v>0</v>
      </c>
      <c r="CI32" s="85">
        <f>'[1]February - 2023'!CL31</f>
        <v>0</v>
      </c>
      <c r="CJ32" s="171">
        <f>'[1]February - 2023'!CM31</f>
        <v>0</v>
      </c>
      <c r="CK32" s="85">
        <f>'[1]February - 2023'!CN31</f>
        <v>0</v>
      </c>
      <c r="CL32" s="224">
        <f>'[1]February - 2023'!CO31</f>
        <v>0</v>
      </c>
      <c r="CM32" s="85">
        <f>'[1]February - 2023'!CP31</f>
        <v>99</v>
      </c>
      <c r="CN32" s="85">
        <f>'[1]February - 2023'!CQ31</f>
        <v>0</v>
      </c>
      <c r="CO32" s="224">
        <f>'[1]February - 2023'!CR31</f>
        <v>0</v>
      </c>
      <c r="CP32" s="85">
        <f>'[1]February - 2023'!CV31</f>
        <v>196</v>
      </c>
      <c r="CQ32" s="85">
        <f>'[1]February - 2023'!CT31</f>
        <v>0</v>
      </c>
      <c r="CR32" s="224">
        <f>'[1]February - 2023'!CU31</f>
        <v>0</v>
      </c>
      <c r="CS32" s="85">
        <f>'[1]February - 2023'!CV31</f>
        <v>196</v>
      </c>
      <c r="CT32" s="85">
        <f>'[1]February - 2023'!CW31</f>
        <v>0</v>
      </c>
      <c r="CU32" s="171">
        <f>'[1]February - 2023'!CX31</f>
        <v>0</v>
      </c>
      <c r="CV32" s="485"/>
      <c r="CW32" s="259">
        <f>'[1]February - 2023'!CZ31</f>
        <v>0</v>
      </c>
      <c r="CX32" s="262">
        <f>'[1]February - 2023'!DA31</f>
        <v>0</v>
      </c>
      <c r="CY32" s="260">
        <f>'[1]February - 2023'!DB31</f>
        <v>0</v>
      </c>
      <c r="CZ32" s="262">
        <f>'[1]February - 2023'!DC31</f>
        <v>0</v>
      </c>
      <c r="DA32" s="260">
        <f>'[1]February - 2023'!DD31</f>
        <v>0</v>
      </c>
      <c r="DB32" s="262">
        <f>'[1]February - 2023'!DE31</f>
        <v>0</v>
      </c>
      <c r="DC32" s="260">
        <f>'[1]February - 2023'!DF31</f>
        <v>0</v>
      </c>
      <c r="DD32" s="262">
        <f>'[1]February - 2023'!DG31</f>
        <v>0</v>
      </c>
      <c r="DE32" s="260">
        <f>'[1]February - 2023'!DH31</f>
        <v>0</v>
      </c>
      <c r="DF32" s="262">
        <f>'[1]February - 2023'!DI31</f>
        <v>0</v>
      </c>
      <c r="DG32" s="260">
        <f>'[1]February - 2023'!DJ31</f>
        <v>0</v>
      </c>
      <c r="DH32" s="262">
        <f>'[1]February - 2023'!DK31</f>
        <v>0</v>
      </c>
      <c r="DI32" s="260">
        <f>'[1]February - 2023'!DL31</f>
        <v>0</v>
      </c>
      <c r="DJ32" s="262">
        <f>'[1]February - 2023'!DM31</f>
        <v>0</v>
      </c>
      <c r="DK32" s="260">
        <f>'[1]February - 2023'!DN31</f>
        <v>0</v>
      </c>
      <c r="DL32" s="262">
        <f>'[1]February - 2023'!DO31</f>
        <v>0</v>
      </c>
      <c r="DM32" s="260">
        <f>'[1]February - 2023'!DP31</f>
        <v>0</v>
      </c>
      <c r="DN32" s="262">
        <f>'[1]February - 2023'!DQ31</f>
        <v>0</v>
      </c>
      <c r="DO32" s="260">
        <f>'[1]February - 2023'!DR31</f>
        <v>0</v>
      </c>
      <c r="DP32" s="262">
        <f>'[1]February - 2023'!DS31</f>
        <v>0</v>
      </c>
      <c r="DQ32" s="260">
        <f>'[1]February - 2023'!DT31</f>
        <v>0</v>
      </c>
      <c r="DR32" s="263">
        <f>'[1]February - 2023'!DU31</f>
        <v>0</v>
      </c>
      <c r="DS32" s="501"/>
      <c r="DT32" s="189">
        <f>'[1]February - 2023'!DW31</f>
        <v>0</v>
      </c>
      <c r="DU32" s="200">
        <f>'[1]February - 2023'!DX31</f>
        <v>0</v>
      </c>
      <c r="DV32" s="87">
        <f>'[1]February - 2023'!DY31</f>
        <v>0</v>
      </c>
      <c r="DW32" s="194">
        <f>'[1]February - 2023'!DZ31</f>
        <v>0</v>
      </c>
      <c r="DX32" s="87">
        <f>'[1]February - 2023'!EA31</f>
        <v>0</v>
      </c>
      <c r="DY32" s="194">
        <f>'[1]February - 2023'!EB31</f>
        <v>0</v>
      </c>
      <c r="DZ32" s="87">
        <f>'[1]February - 2023'!EC31</f>
        <v>0</v>
      </c>
      <c r="EA32" s="194">
        <f>'[1]February - 2023'!ED31</f>
        <v>0</v>
      </c>
      <c r="EB32" s="87">
        <f>'[1]February - 2023'!EE31</f>
        <v>0</v>
      </c>
      <c r="EC32" s="194">
        <f>'[1]February - 2023'!EF31</f>
        <v>0</v>
      </c>
      <c r="ED32" s="87">
        <f>'[1]February - 2023'!EI31</f>
        <v>0</v>
      </c>
      <c r="EE32" s="207">
        <f>'[1]February - 2023'!EJ31</f>
        <v>0</v>
      </c>
      <c r="EF32" s="548"/>
      <c r="EG32" s="213">
        <f>'[1]February - 2023'!EL31</f>
        <v>0</v>
      </c>
      <c r="EH32" s="208">
        <f>'[1]February - 2023'!EM31</f>
        <v>0</v>
      </c>
      <c r="EI32" s="86">
        <f>'[1]February - 2023'!EN31</f>
        <v>0</v>
      </c>
      <c r="EJ32" s="208">
        <f>'[1]February - 2023'!EO31</f>
        <v>0</v>
      </c>
      <c r="EK32" s="86">
        <f>'[1]February - 2023'!EP31</f>
        <v>0</v>
      </c>
      <c r="EL32" s="208">
        <f>'[1]February - 2023'!EQ31</f>
        <v>0</v>
      </c>
      <c r="EM32" s="86">
        <f>'[1]February - 2023'!ER31</f>
        <v>0</v>
      </c>
      <c r="EN32" s="208">
        <f>'[1]February - 2023'!ES31</f>
        <v>0</v>
      </c>
      <c r="EO32" s="86">
        <f>'[1]February - 2023'!ET31</f>
        <v>0</v>
      </c>
      <c r="EP32" s="208">
        <f>'[1]February - 2023'!EU31</f>
        <v>0</v>
      </c>
      <c r="EQ32" s="86">
        <f>'[1]February - 2023'!EV31</f>
        <v>0</v>
      </c>
      <c r="ER32" s="208">
        <f>'[1]February - 2023'!EW31</f>
        <v>0</v>
      </c>
      <c r="ES32" s="523"/>
      <c r="ET32" s="253">
        <f>'[1]February - 2023'!EY31</f>
        <v>0</v>
      </c>
      <c r="EU32" s="266">
        <f>'[1]February - 2023'!EZ31</f>
        <v>0</v>
      </c>
      <c r="EV32" s="254">
        <f>'[1]February - 2023'!FA31</f>
        <v>0</v>
      </c>
      <c r="EW32" s="266">
        <f>'[1]February - 2023'!FB31</f>
        <v>0</v>
      </c>
      <c r="EX32" s="254">
        <f>'[1]February - 2023'!FC31</f>
        <v>0</v>
      </c>
      <c r="EY32" s="266">
        <f>'[1]February - 2023'!FD31</f>
        <v>0</v>
      </c>
      <c r="EZ32" s="254">
        <f>'[1]February - 2023'!FE31</f>
        <v>0</v>
      </c>
      <c r="FA32" s="266">
        <f>'[1]February - 2023'!FF31</f>
        <v>0</v>
      </c>
      <c r="FB32" s="254">
        <f>'[1]February - 2023'!FG31</f>
        <v>0</v>
      </c>
      <c r="FC32" s="264">
        <f>'[1]February - 2023'!FH31</f>
        <v>0</v>
      </c>
    </row>
    <row r="33" spans="1:160" ht="30" customHeight="1" x14ac:dyDescent="0.25">
      <c r="A33" s="186">
        <v>44981</v>
      </c>
      <c r="B33" s="188">
        <f>'[1]February - 2023'!B32</f>
        <v>0</v>
      </c>
      <c r="C33" s="228">
        <f>'[1]February - 2023'!E32</f>
        <v>0</v>
      </c>
      <c r="D33" s="151">
        <f>'[1]February - 2023'!F33</f>
        <v>0</v>
      </c>
      <c r="E33" s="150">
        <f>'[1]February - 2023'!G32</f>
        <v>649</v>
      </c>
      <c r="F33" s="150">
        <f>'[1]February - 2023'!H32</f>
        <v>0</v>
      </c>
      <c r="G33" s="151">
        <f>'[1]February - 2023'!I33</f>
        <v>0</v>
      </c>
      <c r="H33" s="150">
        <f>'[1]February - 2023'!J32</f>
        <v>124510</v>
      </c>
      <c r="I33" s="239">
        <f>'[1]February - 2023'!K32</f>
        <v>0</v>
      </c>
      <c r="J33" s="151">
        <f>'[1]February - 2023'!L32</f>
        <v>0</v>
      </c>
      <c r="K33" s="239">
        <f>'[1]February - 2023'!N32</f>
        <v>0</v>
      </c>
      <c r="L33" s="151">
        <f>'[1]February - 2023'!O32</f>
        <v>0</v>
      </c>
      <c r="M33" s="239">
        <f>'[1]February - 2023'!Q32</f>
        <v>0</v>
      </c>
      <c r="N33" s="151">
        <f>'[1]February - 2023'!R32</f>
        <v>0</v>
      </c>
      <c r="O33" s="239">
        <f>'[1]February - 2023'!U32</f>
        <v>0</v>
      </c>
      <c r="P33" s="151">
        <f>'[1]February - 2023'!V32</f>
        <v>0</v>
      </c>
      <c r="Q33" s="150">
        <f>'[1]February - 2023'!W32</f>
        <v>237</v>
      </c>
      <c r="R33" s="239">
        <f>'[1]February - 2023'!X32</f>
        <v>0</v>
      </c>
      <c r="S33" s="187">
        <f>'[1]February - 2023'!Y32</f>
        <v>0</v>
      </c>
      <c r="T33" s="444"/>
      <c r="U33" s="244">
        <f>'[1]February - 2023'!AE32</f>
        <v>0</v>
      </c>
      <c r="V33" s="265">
        <f>'[1]February - 2023'!AF32</f>
        <v>0</v>
      </c>
      <c r="W33" s="88">
        <f>'[1]February - 2023'!AG32</f>
        <v>3605.2800000002608</v>
      </c>
      <c r="X33" s="261">
        <f>'[1]February - 2023'!AH32</f>
        <v>0</v>
      </c>
      <c r="Y33" s="265">
        <f>'[1]February - 2023'!AI32</f>
        <v>0</v>
      </c>
      <c r="Z33" s="88">
        <f>'[1]February - 2023'!AJ32</f>
        <v>4920.7200000006706</v>
      </c>
      <c r="AA33" s="261">
        <f>'[1]February - 2023'!AK32</f>
        <v>0</v>
      </c>
      <c r="AB33" s="265">
        <f>'[1]February - 2023'!AL32</f>
        <v>0</v>
      </c>
      <c r="AC33" s="88">
        <f>'[1]February - 2023'!AM32</f>
        <v>8477.2800000011921</v>
      </c>
      <c r="AD33" s="261">
        <f>'[1]February - 2023'!AN32</f>
        <v>0</v>
      </c>
      <c r="AE33" s="265">
        <f>'[1]February - 2023'!AO32</f>
        <v>0</v>
      </c>
      <c r="AF33" s="88">
        <f>'[1]February - 2023'!AP32</f>
        <v>48.720000002533197</v>
      </c>
      <c r="AG33" s="261">
        <f>'[1]February - 2023'!AQ32</f>
        <v>0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0</v>
      </c>
      <c r="AK33" s="265">
        <f>'[1]February - 2023'!AU32</f>
        <v>0</v>
      </c>
      <c r="AL33" s="88">
        <f>'[1]February - 2023'!AV32</f>
        <v>5846.4000000003725</v>
      </c>
      <c r="AM33" s="261">
        <f>'[1]February - 2023'!AW32</f>
        <v>0</v>
      </c>
      <c r="AN33" s="265">
        <f>'[1]February - 2023'!AX32</f>
        <v>0</v>
      </c>
      <c r="AO33" s="88">
        <f>'[1]February - 2023'!AY32</f>
        <v>3995.0400000009686</v>
      </c>
      <c r="AP33" s="261">
        <f>'[1]February - 2023'!AZ32</f>
        <v>0</v>
      </c>
      <c r="AQ33" s="265">
        <f>'[1]February - 2023'!BA32</f>
        <v>0</v>
      </c>
      <c r="AR33" s="88">
        <f>'[1]February - 2023'!BB32</f>
        <v>4238.6399999987334</v>
      </c>
      <c r="AS33" s="261">
        <f>'[1]February - 2023'!BC32</f>
        <v>0</v>
      </c>
      <c r="AT33" s="265">
        <f>'[1]February - 2023'!BD32</f>
        <v>0</v>
      </c>
      <c r="AU33" s="88">
        <f>'[1]February - 2023'!BE32</f>
        <v>2777.0400000009686</v>
      </c>
      <c r="AV33" s="261">
        <f>'[1]February - 2023'!BF32</f>
        <v>0</v>
      </c>
      <c r="AW33" s="229">
        <f>'[1]February - 2023'!BG32</f>
        <v>0</v>
      </c>
      <c r="AX33" s="230">
        <f>'[1]February - 2023'!BH32</f>
        <v>5651.519999999553</v>
      </c>
      <c r="AY33" s="461"/>
      <c r="AZ33" s="247">
        <f>'[1]February - 2023'!BM32</f>
        <v>0</v>
      </c>
      <c r="BA33" s="160">
        <f>'[1]February - 2023'!BN32</f>
        <v>0</v>
      </c>
      <c r="BB33" s="89">
        <f>'[1]February - 2023'!BO33</f>
        <v>50300</v>
      </c>
      <c r="BC33" s="247">
        <f>'[1]February - 2023'!BP32</f>
        <v>0</v>
      </c>
      <c r="BD33" s="223">
        <f>'[1]February - 2023'!BQ32</f>
        <v>0</v>
      </c>
      <c r="BE33" s="89">
        <f>'[1]February - 2023'!BR32</f>
        <v>0</v>
      </c>
      <c r="BF33" s="247">
        <f>'[1]February - 2023'!BS32</f>
        <v>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0</v>
      </c>
      <c r="BT33" s="165">
        <f>'[1]February - 2023'!BW32</f>
        <v>0</v>
      </c>
      <c r="BU33" s="557"/>
      <c r="BV33" s="84">
        <f>'[1]February - 2023'!BY32</f>
        <v>0</v>
      </c>
      <c r="BW33" s="219">
        <f>'[1]February - 2023'!BZ32</f>
        <v>0</v>
      </c>
      <c r="BX33" s="84">
        <f>'[1]February - 2023'!CA32</f>
        <v>7.999999999999996E-2</v>
      </c>
      <c r="BY33" s="85">
        <f>'[1]February - 2023'!CB32</f>
        <v>0</v>
      </c>
      <c r="BZ33" s="171">
        <f>'[1]February - 2023'!CC32</f>
        <v>0</v>
      </c>
      <c r="CA33" s="85">
        <f>'[1]February - 2023'!CD32</f>
        <v>0</v>
      </c>
      <c r="CB33" s="171">
        <f>'[1]February - 2023'!CE32</f>
        <v>0</v>
      </c>
      <c r="CC33" s="85">
        <f>'[1]February - 2023'!CF32</f>
        <v>0</v>
      </c>
      <c r="CD33" s="171">
        <f>'[1]February - 2023'!CG32</f>
        <v>0</v>
      </c>
      <c r="CE33" s="85">
        <f>'[1]February - 2023'!CH32</f>
        <v>0</v>
      </c>
      <c r="CF33" s="171">
        <f>'[1]February - 2023'!CI32</f>
        <v>0</v>
      </c>
      <c r="CG33" s="85">
        <f>'[1]February - 2023'!CJ32</f>
        <v>0</v>
      </c>
      <c r="CH33" s="171">
        <f>'[1]February - 2023'!CK32</f>
        <v>0</v>
      </c>
      <c r="CI33" s="85">
        <f>'[1]February - 2023'!CL32</f>
        <v>0</v>
      </c>
      <c r="CJ33" s="171">
        <f>'[1]February - 2023'!CM32</f>
        <v>0</v>
      </c>
      <c r="CK33" s="85">
        <f>'[1]February - 2023'!CN32</f>
        <v>0</v>
      </c>
      <c r="CL33" s="224">
        <f>'[1]February - 2023'!CO32</f>
        <v>0</v>
      </c>
      <c r="CM33" s="85">
        <f>'[1]February - 2023'!CP32</f>
        <v>99</v>
      </c>
      <c r="CN33" s="85">
        <f>'[1]February - 2023'!CQ32</f>
        <v>0</v>
      </c>
      <c r="CO33" s="224">
        <f>'[1]February - 2023'!CR32</f>
        <v>0</v>
      </c>
      <c r="CP33" s="85">
        <f>'[1]February - 2023'!CV32</f>
        <v>280</v>
      </c>
      <c r="CQ33" s="85">
        <f>'[1]February - 2023'!CT32</f>
        <v>0</v>
      </c>
      <c r="CR33" s="224">
        <f>'[1]February - 2023'!CU32</f>
        <v>0</v>
      </c>
      <c r="CS33" s="85">
        <f>'[1]February - 2023'!CV32</f>
        <v>280</v>
      </c>
      <c r="CT33" s="85">
        <f>'[1]February - 2023'!CW32</f>
        <v>0</v>
      </c>
      <c r="CU33" s="171">
        <f>'[1]February - 2023'!CX32</f>
        <v>0</v>
      </c>
      <c r="CV33" s="485"/>
      <c r="CW33" s="259">
        <f>'[1]February - 2023'!CZ32</f>
        <v>0</v>
      </c>
      <c r="CX33" s="262">
        <f>'[1]February - 2023'!DA32</f>
        <v>0</v>
      </c>
      <c r="CY33" s="260">
        <f>'[1]February - 2023'!DB32</f>
        <v>0</v>
      </c>
      <c r="CZ33" s="262">
        <f>'[1]February - 2023'!DC32</f>
        <v>0</v>
      </c>
      <c r="DA33" s="260">
        <f>'[1]February - 2023'!DD32</f>
        <v>0</v>
      </c>
      <c r="DB33" s="262">
        <f>'[1]February - 2023'!DE32</f>
        <v>0</v>
      </c>
      <c r="DC33" s="260">
        <f>'[1]February - 2023'!DF32</f>
        <v>0</v>
      </c>
      <c r="DD33" s="262">
        <f>'[1]February - 2023'!DG32</f>
        <v>0</v>
      </c>
      <c r="DE33" s="260">
        <f>'[1]February - 2023'!DH32</f>
        <v>0</v>
      </c>
      <c r="DF33" s="262">
        <f>'[1]February - 2023'!DI32</f>
        <v>0</v>
      </c>
      <c r="DG33" s="260">
        <f>'[1]February - 2023'!DJ32</f>
        <v>0</v>
      </c>
      <c r="DH33" s="262">
        <f>'[1]February - 2023'!DK32</f>
        <v>0</v>
      </c>
      <c r="DI33" s="260">
        <f>'[1]February - 2023'!DL32</f>
        <v>0</v>
      </c>
      <c r="DJ33" s="262">
        <f>'[1]February - 2023'!DM32</f>
        <v>0</v>
      </c>
      <c r="DK33" s="260">
        <f>'[1]February - 2023'!DN32</f>
        <v>0</v>
      </c>
      <c r="DL33" s="262">
        <f>'[1]February - 2023'!DO32</f>
        <v>0</v>
      </c>
      <c r="DM33" s="260">
        <f>'[1]February - 2023'!DP32</f>
        <v>0</v>
      </c>
      <c r="DN33" s="262">
        <f>'[1]February - 2023'!DQ32</f>
        <v>0</v>
      </c>
      <c r="DO33" s="260">
        <f>'[1]February - 2023'!DR32</f>
        <v>0</v>
      </c>
      <c r="DP33" s="262">
        <f>'[1]February - 2023'!DS32</f>
        <v>0</v>
      </c>
      <c r="DQ33" s="260">
        <f>'[1]February - 2023'!DT32</f>
        <v>0</v>
      </c>
      <c r="DR33" s="263">
        <f>'[1]February - 2023'!DU32</f>
        <v>0</v>
      </c>
      <c r="DS33" s="501"/>
      <c r="DT33" s="189">
        <f>'[1]February - 2023'!DW32</f>
        <v>0</v>
      </c>
      <c r="DU33" s="200">
        <f>'[1]February - 2023'!DX32</f>
        <v>0</v>
      </c>
      <c r="DV33" s="87">
        <f>'[1]February - 2023'!DY32</f>
        <v>0</v>
      </c>
      <c r="DW33" s="194">
        <f>'[1]February - 2023'!DZ32</f>
        <v>0</v>
      </c>
      <c r="DX33" s="87">
        <f>'[1]February - 2023'!EA32</f>
        <v>0</v>
      </c>
      <c r="DY33" s="194">
        <f>'[1]February - 2023'!EB32</f>
        <v>0</v>
      </c>
      <c r="DZ33" s="87">
        <f>'[1]February - 2023'!EC32</f>
        <v>0</v>
      </c>
      <c r="EA33" s="194">
        <f>'[1]February - 2023'!ED32</f>
        <v>0</v>
      </c>
      <c r="EB33" s="87">
        <f>'[1]February - 2023'!EE32</f>
        <v>0</v>
      </c>
      <c r="EC33" s="194">
        <f>'[1]February - 2023'!EF32</f>
        <v>0</v>
      </c>
      <c r="ED33" s="87">
        <f>'[1]February - 2023'!EI32</f>
        <v>0</v>
      </c>
      <c r="EE33" s="207">
        <f>'[1]February - 2023'!EJ32</f>
        <v>0</v>
      </c>
      <c r="EF33" s="548"/>
      <c r="EG33" s="213">
        <f>'[1]February - 2023'!EL32</f>
        <v>0</v>
      </c>
      <c r="EH33" s="208">
        <f>'[1]February - 2023'!EM32</f>
        <v>0</v>
      </c>
      <c r="EI33" s="86">
        <f>'[1]February - 2023'!EN32</f>
        <v>0</v>
      </c>
      <c r="EJ33" s="208">
        <f>'[1]February - 2023'!EO32</f>
        <v>0</v>
      </c>
      <c r="EK33" s="86">
        <f>'[1]February - 2023'!EP32</f>
        <v>0</v>
      </c>
      <c r="EL33" s="208">
        <f>'[1]February - 2023'!EQ32</f>
        <v>0</v>
      </c>
      <c r="EM33" s="86">
        <f>'[1]February - 2023'!ER32</f>
        <v>0</v>
      </c>
      <c r="EN33" s="208">
        <f>'[1]February - 2023'!ES32</f>
        <v>0</v>
      </c>
      <c r="EO33" s="86">
        <f>'[1]February - 2023'!ET32</f>
        <v>0</v>
      </c>
      <c r="EP33" s="208">
        <f>'[1]February - 2023'!EU32</f>
        <v>0</v>
      </c>
      <c r="EQ33" s="86">
        <f>'[1]February - 2023'!EV32</f>
        <v>0</v>
      </c>
      <c r="ER33" s="208">
        <f>'[1]February - 2023'!EW32</f>
        <v>0</v>
      </c>
      <c r="ES33" s="523"/>
      <c r="ET33" s="253">
        <f>'[1]February - 2023'!EY32</f>
        <v>0</v>
      </c>
      <c r="EU33" s="266">
        <f>'[1]February - 2023'!EZ32</f>
        <v>0</v>
      </c>
      <c r="EV33" s="254">
        <f>'[1]February - 2023'!FA32</f>
        <v>0</v>
      </c>
      <c r="EW33" s="266">
        <f>'[1]February - 2023'!FB32</f>
        <v>0</v>
      </c>
      <c r="EX33" s="254">
        <f>'[1]February - 2023'!FC32</f>
        <v>0</v>
      </c>
      <c r="EY33" s="266">
        <f>'[1]February - 2023'!FD32</f>
        <v>0</v>
      </c>
      <c r="EZ33" s="254">
        <f>'[1]February - 2023'!FE32</f>
        <v>0</v>
      </c>
      <c r="FA33" s="266">
        <f>'[1]February - 2023'!FF32</f>
        <v>0</v>
      </c>
      <c r="FB33" s="254">
        <f>'[1]February - 2023'!FG32</f>
        <v>0</v>
      </c>
      <c r="FC33" s="264">
        <f>'[1]February - 2023'!FH32</f>
        <v>0</v>
      </c>
    </row>
    <row r="34" spans="1:160" ht="30" customHeight="1" x14ac:dyDescent="0.25">
      <c r="A34" s="186">
        <v>44982</v>
      </c>
      <c r="B34" s="188">
        <f>'[1]February - 2023'!B33</f>
        <v>0</v>
      </c>
      <c r="C34" s="228">
        <f>'[1]February - 2023'!E33</f>
        <v>0</v>
      </c>
      <c r="D34" s="151">
        <f>'[1]February - 2023'!F34</f>
        <v>0</v>
      </c>
      <c r="E34" s="150">
        <f>'[1]February - 2023'!G33</f>
        <v>842</v>
      </c>
      <c r="F34" s="150">
        <f>'[1]February - 2023'!H33</f>
        <v>0</v>
      </c>
      <c r="G34" s="151">
        <f>'[1]February - 2023'!I34</f>
        <v>0</v>
      </c>
      <c r="H34" s="150">
        <f>'[1]February - 2023'!J33</f>
        <v>124997</v>
      </c>
      <c r="I34" s="239">
        <f>'[1]February - 2023'!K33</f>
        <v>0</v>
      </c>
      <c r="J34" s="151">
        <f>'[1]February - 2023'!L33</f>
        <v>0</v>
      </c>
      <c r="K34" s="239">
        <f>'[1]February - 2023'!N33</f>
        <v>0</v>
      </c>
      <c r="L34" s="151">
        <f>'[1]February - 2023'!O33</f>
        <v>0</v>
      </c>
      <c r="M34" s="239">
        <f>'[1]February - 2023'!Q33</f>
        <v>0</v>
      </c>
      <c r="N34" s="151">
        <f>'[1]February - 2023'!R33</f>
        <v>0</v>
      </c>
      <c r="O34" s="239">
        <f>'[1]February - 2023'!U33</f>
        <v>0</v>
      </c>
      <c r="P34" s="151">
        <f>'[1]February - 2023'!V33</f>
        <v>0</v>
      </c>
      <c r="Q34" s="150">
        <f>'[1]February - 2023'!W33</f>
        <v>49</v>
      </c>
      <c r="R34" s="239">
        <f>'[1]February - 2023'!X33</f>
        <v>0</v>
      </c>
      <c r="S34" s="187">
        <f>'[1]February - 2023'!Y33</f>
        <v>0</v>
      </c>
      <c r="T34" s="444"/>
      <c r="U34" s="244">
        <f>'[1]February - 2023'!AE33</f>
        <v>0</v>
      </c>
      <c r="V34" s="265">
        <f>'[1]February - 2023'!AF33</f>
        <v>0</v>
      </c>
      <c r="W34" s="88">
        <f>'[1]February - 2023'!AG33</f>
        <v>3605.2800000002608</v>
      </c>
      <c r="X34" s="261">
        <f>'[1]February - 2023'!AH33</f>
        <v>0</v>
      </c>
      <c r="Y34" s="265">
        <f>'[1]February - 2023'!AI33</f>
        <v>0</v>
      </c>
      <c r="Z34" s="88">
        <f>'[1]February - 2023'!AJ33</f>
        <v>4823.2799999993294</v>
      </c>
      <c r="AA34" s="261">
        <f>'[1]February - 2023'!AK33</f>
        <v>0</v>
      </c>
      <c r="AB34" s="265">
        <f>'[1]February - 2023'!AL33</f>
        <v>0</v>
      </c>
      <c r="AC34" s="88">
        <f>'[1]February - 2023'!AM33</f>
        <v>9305.519999999553</v>
      </c>
      <c r="AD34" s="261">
        <f>'[1]February - 2023'!AN33</f>
        <v>0</v>
      </c>
      <c r="AE34" s="265">
        <f>'[1]February - 2023'!AO33</f>
        <v>0</v>
      </c>
      <c r="AF34" s="88">
        <f>'[1]February - 2023'!AP33</f>
        <v>146.16000000014901</v>
      </c>
      <c r="AG34" s="261">
        <f>'[1]February - 2023'!AQ33</f>
        <v>0</v>
      </c>
      <c r="AH34" s="265">
        <f>'[1]February - 2023'!AR33</f>
        <v>0</v>
      </c>
      <c r="AI34" s="88">
        <f>'[1]February - 2023'!AS33</f>
        <v>0</v>
      </c>
      <c r="AJ34" s="261">
        <f>'[1]February - 2023'!AT33</f>
        <v>0</v>
      </c>
      <c r="AK34" s="265">
        <f>'[1]February - 2023'!AU33</f>
        <v>0</v>
      </c>
      <c r="AL34" s="88">
        <f>'[1]February - 2023'!AV33</f>
        <v>5992.5600000023842</v>
      </c>
      <c r="AM34" s="261">
        <f>'[1]February - 2023'!AW33</f>
        <v>0</v>
      </c>
      <c r="AN34" s="265">
        <f>'[1]February - 2023'!AX33</f>
        <v>0</v>
      </c>
      <c r="AO34" s="88">
        <f>'[1]February - 2023'!AY33</f>
        <v>4189.9199999980628</v>
      </c>
      <c r="AP34" s="261">
        <f>'[1]February - 2023'!AZ33</f>
        <v>0</v>
      </c>
      <c r="AQ34" s="265">
        <f>'[1]February - 2023'!BA33</f>
        <v>0</v>
      </c>
      <c r="AR34" s="88">
        <f>'[1]February - 2023'!BB33</f>
        <v>4482.2400000002235</v>
      </c>
      <c r="AS34" s="261">
        <f>'[1]February - 2023'!BC33</f>
        <v>0</v>
      </c>
      <c r="AT34" s="265">
        <f>'[1]February - 2023'!BD33</f>
        <v>0</v>
      </c>
      <c r="AU34" s="88">
        <f>'[1]February - 2023'!BE33</f>
        <v>3118.0799999982119</v>
      </c>
      <c r="AV34" s="261">
        <f>'[1]February - 2023'!BF33</f>
        <v>0</v>
      </c>
      <c r="AW34" s="229">
        <f>'[1]February - 2023'!BG33</f>
        <v>0</v>
      </c>
      <c r="AX34" s="230">
        <f>'[1]February - 2023'!BH33</f>
        <v>5651.519999999553</v>
      </c>
      <c r="AY34" s="461"/>
      <c r="AZ34" s="247">
        <f>'[1]February - 2023'!BM33</f>
        <v>0</v>
      </c>
      <c r="BA34" s="160">
        <f>'[1]February - 2023'!BN33</f>
        <v>0</v>
      </c>
      <c r="BB34" s="89">
        <f>'[1]February - 2023'!BO34</f>
        <v>2400</v>
      </c>
      <c r="BC34" s="247">
        <f>'[1]February - 2023'!BP33</f>
        <v>0</v>
      </c>
      <c r="BD34" s="223">
        <f>'[1]February - 2023'!BQ33</f>
        <v>0</v>
      </c>
      <c r="BE34" s="89">
        <f>'[1]February - 2023'!BR33</f>
        <v>0</v>
      </c>
      <c r="BF34" s="247">
        <f>'[1]February - 2023'!BS33</f>
        <v>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0</v>
      </c>
      <c r="BT34" s="165">
        <f>'[1]February - 2023'!BW33</f>
        <v>0</v>
      </c>
      <c r="BU34" s="557"/>
      <c r="BV34" s="84">
        <f>'[1]February - 2023'!BY33</f>
        <v>0</v>
      </c>
      <c r="BW34" s="219">
        <f>'[1]February - 2023'!BZ33</f>
        <v>0</v>
      </c>
      <c r="BX34" s="84">
        <f>'[1]February - 2023'!CA33</f>
        <v>-0.14000000000000001</v>
      </c>
      <c r="BY34" s="85">
        <f>'[1]February - 2023'!CB33</f>
        <v>0</v>
      </c>
      <c r="BZ34" s="171">
        <f>'[1]February - 2023'!CC33</f>
        <v>0</v>
      </c>
      <c r="CA34" s="85">
        <f>'[1]February - 2023'!CD33</f>
        <v>0</v>
      </c>
      <c r="CB34" s="171">
        <f>'[1]February - 2023'!CE33</f>
        <v>0</v>
      </c>
      <c r="CC34" s="85">
        <f>'[1]February - 2023'!CF33</f>
        <v>0</v>
      </c>
      <c r="CD34" s="171">
        <f>'[1]February - 2023'!CG33</f>
        <v>0</v>
      </c>
      <c r="CE34" s="85">
        <f>'[1]February - 2023'!CH33</f>
        <v>0</v>
      </c>
      <c r="CF34" s="171">
        <f>'[1]February - 2023'!CI33</f>
        <v>0</v>
      </c>
      <c r="CG34" s="85">
        <f>'[1]February - 2023'!CJ33</f>
        <v>0</v>
      </c>
      <c r="CH34" s="171">
        <f>'[1]February - 2023'!CK33</f>
        <v>0</v>
      </c>
      <c r="CI34" s="85">
        <f>'[1]February - 2023'!CL33</f>
        <v>0</v>
      </c>
      <c r="CJ34" s="171">
        <f>'[1]February - 2023'!CM33</f>
        <v>0</v>
      </c>
      <c r="CK34" s="85">
        <f>'[1]February - 2023'!CN33</f>
        <v>0</v>
      </c>
      <c r="CL34" s="224">
        <f>'[1]February - 2023'!CO33</f>
        <v>0</v>
      </c>
      <c r="CM34" s="85">
        <f>'[1]February - 2023'!CP33</f>
        <v>101</v>
      </c>
      <c r="CN34" s="85">
        <f>'[1]February - 2023'!CQ33</f>
        <v>0</v>
      </c>
      <c r="CO34" s="224">
        <f>'[1]February - 2023'!CR33</f>
        <v>0</v>
      </c>
      <c r="CP34" s="85">
        <f>'[1]February - 2023'!CV33</f>
        <v>208</v>
      </c>
      <c r="CQ34" s="85">
        <f>'[1]February - 2023'!CT33</f>
        <v>0</v>
      </c>
      <c r="CR34" s="224">
        <f>'[1]February - 2023'!CU33</f>
        <v>0</v>
      </c>
      <c r="CS34" s="85">
        <f>'[1]February - 2023'!CV33</f>
        <v>208</v>
      </c>
      <c r="CT34" s="85">
        <f>'[1]February - 2023'!CW33</f>
        <v>0</v>
      </c>
      <c r="CU34" s="171">
        <f>'[1]February - 2023'!CX33</f>
        <v>0</v>
      </c>
      <c r="CV34" s="485"/>
      <c r="CW34" s="259">
        <f>'[1]February - 2023'!CZ33</f>
        <v>0</v>
      </c>
      <c r="CX34" s="262">
        <f>'[1]February - 2023'!DA33</f>
        <v>0</v>
      </c>
      <c r="CY34" s="260">
        <f>'[1]February - 2023'!DB33</f>
        <v>0</v>
      </c>
      <c r="CZ34" s="262">
        <f>'[1]February - 2023'!DC33</f>
        <v>0</v>
      </c>
      <c r="DA34" s="260">
        <f>'[1]February - 2023'!DD33</f>
        <v>0</v>
      </c>
      <c r="DB34" s="262">
        <f>'[1]February - 2023'!DE33</f>
        <v>0</v>
      </c>
      <c r="DC34" s="260">
        <f>'[1]February - 2023'!DF33</f>
        <v>0</v>
      </c>
      <c r="DD34" s="262">
        <f>'[1]February - 2023'!DG33</f>
        <v>0</v>
      </c>
      <c r="DE34" s="260">
        <f>'[1]February - 2023'!DH33</f>
        <v>0</v>
      </c>
      <c r="DF34" s="262">
        <f>'[1]February - 2023'!DI33</f>
        <v>0</v>
      </c>
      <c r="DG34" s="260">
        <f>'[1]February - 2023'!DJ33</f>
        <v>0</v>
      </c>
      <c r="DH34" s="262">
        <f>'[1]February - 2023'!DK33</f>
        <v>0</v>
      </c>
      <c r="DI34" s="260">
        <f>'[1]February - 2023'!DL33</f>
        <v>0</v>
      </c>
      <c r="DJ34" s="262">
        <f>'[1]February - 2023'!DM33</f>
        <v>0</v>
      </c>
      <c r="DK34" s="260">
        <f>'[1]February - 2023'!DN33</f>
        <v>0</v>
      </c>
      <c r="DL34" s="262">
        <f>'[1]February - 2023'!DO33</f>
        <v>0</v>
      </c>
      <c r="DM34" s="260">
        <f>'[1]February - 2023'!DP33</f>
        <v>0</v>
      </c>
      <c r="DN34" s="262">
        <f>'[1]February - 2023'!DQ33</f>
        <v>0</v>
      </c>
      <c r="DO34" s="260">
        <f>'[1]February - 2023'!DR33</f>
        <v>0</v>
      </c>
      <c r="DP34" s="262">
        <f>'[1]February - 2023'!DS33</f>
        <v>0</v>
      </c>
      <c r="DQ34" s="260">
        <f>'[1]February - 2023'!DT33</f>
        <v>0</v>
      </c>
      <c r="DR34" s="263">
        <f>'[1]February - 2023'!DU33</f>
        <v>0</v>
      </c>
      <c r="DS34" s="501"/>
      <c r="DT34" s="189">
        <f>'[1]February - 2023'!DW33</f>
        <v>0</v>
      </c>
      <c r="DU34" s="200">
        <f>'[1]February - 2023'!DX33</f>
        <v>0</v>
      </c>
      <c r="DV34" s="87">
        <f>'[1]February - 2023'!DY33</f>
        <v>0</v>
      </c>
      <c r="DW34" s="194">
        <f>'[1]February - 2023'!DZ33</f>
        <v>0</v>
      </c>
      <c r="DX34" s="87">
        <f>'[1]February - 2023'!EA33</f>
        <v>0</v>
      </c>
      <c r="DY34" s="194">
        <f>'[1]February - 2023'!EB33</f>
        <v>0</v>
      </c>
      <c r="DZ34" s="87">
        <f>'[1]February - 2023'!EC33</f>
        <v>0</v>
      </c>
      <c r="EA34" s="194">
        <f>'[1]February - 2023'!ED33</f>
        <v>0</v>
      </c>
      <c r="EB34" s="87">
        <f>'[1]February - 2023'!EE33</f>
        <v>0</v>
      </c>
      <c r="EC34" s="194">
        <f>'[1]February - 2023'!EF33</f>
        <v>0</v>
      </c>
      <c r="ED34" s="87">
        <f>'[1]February - 2023'!EI33</f>
        <v>0</v>
      </c>
      <c r="EE34" s="207">
        <f>'[1]February - 2023'!EJ33</f>
        <v>0</v>
      </c>
      <c r="EF34" s="548"/>
      <c r="EG34" s="213">
        <f>'[1]February - 2023'!EL33</f>
        <v>0</v>
      </c>
      <c r="EH34" s="208">
        <f>'[1]February - 2023'!EM33</f>
        <v>0</v>
      </c>
      <c r="EI34" s="86">
        <f>'[1]February - 2023'!EN33</f>
        <v>0</v>
      </c>
      <c r="EJ34" s="208">
        <f>'[1]February - 2023'!EO33</f>
        <v>0</v>
      </c>
      <c r="EK34" s="86">
        <f>'[1]February - 2023'!EP33</f>
        <v>0</v>
      </c>
      <c r="EL34" s="208">
        <f>'[1]February - 2023'!EQ33</f>
        <v>0</v>
      </c>
      <c r="EM34" s="86">
        <f>'[1]February - 2023'!ER33</f>
        <v>0</v>
      </c>
      <c r="EN34" s="208">
        <f>'[1]February - 2023'!ES33</f>
        <v>0</v>
      </c>
      <c r="EO34" s="86">
        <f>'[1]February - 2023'!ET33</f>
        <v>0</v>
      </c>
      <c r="EP34" s="208">
        <f>'[1]February - 2023'!EU33</f>
        <v>0</v>
      </c>
      <c r="EQ34" s="86">
        <f>'[1]February - 2023'!EV33</f>
        <v>0</v>
      </c>
      <c r="ER34" s="208">
        <f>'[1]February - 2023'!EW33</f>
        <v>0</v>
      </c>
      <c r="ES34" s="523"/>
      <c r="ET34" s="253">
        <f>'[1]February - 2023'!EY33</f>
        <v>0</v>
      </c>
      <c r="EU34" s="266">
        <f>'[1]February - 2023'!EZ33</f>
        <v>0</v>
      </c>
      <c r="EV34" s="254">
        <f>'[1]February - 2023'!FA33</f>
        <v>0</v>
      </c>
      <c r="EW34" s="266">
        <f>'[1]February - 2023'!FB33</f>
        <v>0</v>
      </c>
      <c r="EX34" s="254">
        <f>'[1]February - 2023'!FC33</f>
        <v>0</v>
      </c>
      <c r="EY34" s="266">
        <f>'[1]February - 2023'!FD33</f>
        <v>0</v>
      </c>
      <c r="EZ34" s="254">
        <f>'[1]February - 2023'!FE33</f>
        <v>0</v>
      </c>
      <c r="FA34" s="266">
        <f>'[1]February - 2023'!FF33</f>
        <v>0</v>
      </c>
      <c r="FB34" s="254">
        <f>'[1]February - 2023'!FG33</f>
        <v>0</v>
      </c>
      <c r="FC34" s="264">
        <f>'[1]February - 2023'!FH33</f>
        <v>0</v>
      </c>
    </row>
    <row r="35" spans="1:160" ht="30" customHeight="1" x14ac:dyDescent="0.25">
      <c r="A35" s="186">
        <v>44983</v>
      </c>
      <c r="B35" s="188">
        <f>'[1]February - 2023'!B34</f>
        <v>0</v>
      </c>
      <c r="C35" s="228">
        <f>'[1]February - 2023'!E34</f>
        <v>0</v>
      </c>
      <c r="D35" s="151">
        <f>'[1]February - 2023'!F35</f>
        <v>0</v>
      </c>
      <c r="E35" s="150">
        <f>'[1]February - 2023'!G34</f>
        <v>730</v>
      </c>
      <c r="F35" s="150">
        <f>'[1]February - 2023'!H34</f>
        <v>0</v>
      </c>
      <c r="G35" s="151">
        <f>'[1]February - 2023'!I35</f>
        <v>0</v>
      </c>
      <c r="H35" s="150">
        <f>'[1]February - 2023'!J34</f>
        <v>125511</v>
      </c>
      <c r="I35" s="239">
        <f>'[1]February - 2023'!K34</f>
        <v>0</v>
      </c>
      <c r="J35" s="151">
        <f>'[1]February - 2023'!L34</f>
        <v>0</v>
      </c>
      <c r="K35" s="239">
        <f>'[1]February - 2023'!N34</f>
        <v>0</v>
      </c>
      <c r="L35" s="151">
        <f>'[1]February - 2023'!O34</f>
        <v>0</v>
      </c>
      <c r="M35" s="239">
        <f>'[1]February - 2023'!Q34</f>
        <v>0</v>
      </c>
      <c r="N35" s="151">
        <f>'[1]February - 2023'!R34</f>
        <v>0</v>
      </c>
      <c r="O35" s="239">
        <f>'[1]February - 2023'!U34</f>
        <v>0</v>
      </c>
      <c r="P35" s="151">
        <f>'[1]February - 2023'!V34</f>
        <v>0</v>
      </c>
      <c r="Q35" s="150">
        <f>'[1]February - 2023'!W34</f>
        <v>6</v>
      </c>
      <c r="R35" s="239">
        <f>'[1]February - 2023'!X34</f>
        <v>0</v>
      </c>
      <c r="S35" s="187">
        <f>'[1]February - 2023'!Y34</f>
        <v>0</v>
      </c>
      <c r="T35" s="444"/>
      <c r="U35" s="244">
        <f>'[1]February - 2023'!AE34</f>
        <v>0</v>
      </c>
      <c r="V35" s="265">
        <f>'[1]February - 2023'!AF34</f>
        <v>0</v>
      </c>
      <c r="W35" s="88">
        <f>'[1]February - 2023'!AG34</f>
        <v>2094.9599999999627</v>
      </c>
      <c r="X35" s="261">
        <f>'[1]February - 2023'!AH34</f>
        <v>0</v>
      </c>
      <c r="Y35" s="265">
        <f>'[1]February - 2023'!AI34</f>
        <v>0</v>
      </c>
      <c r="Z35" s="88">
        <f>'[1]February - 2023'!AJ34</f>
        <v>4920.7200000006706</v>
      </c>
      <c r="AA35" s="261">
        <f>'[1]February - 2023'!AK34</f>
        <v>0</v>
      </c>
      <c r="AB35" s="265">
        <f>'[1]February - 2023'!AL34</f>
        <v>0</v>
      </c>
      <c r="AC35" s="88">
        <f>'[1]February - 2023'!AM34</f>
        <v>1218</v>
      </c>
      <c r="AD35" s="261">
        <f>'[1]February - 2023'!AN34</f>
        <v>0</v>
      </c>
      <c r="AE35" s="265">
        <f>'[1]February - 2023'!AO34</f>
        <v>0</v>
      </c>
      <c r="AF35" s="88">
        <f>'[1]February - 2023'!AP34</f>
        <v>9208.0800000019372</v>
      </c>
      <c r="AG35" s="261">
        <f>'[1]February - 2023'!AQ34</f>
        <v>0</v>
      </c>
      <c r="AH35" s="265">
        <f>'[1]February - 2023'!AR34</f>
        <v>0</v>
      </c>
      <c r="AI35" s="88">
        <f>'[1]February - 2023'!AS34</f>
        <v>584.64000000059605</v>
      </c>
      <c r="AJ35" s="261">
        <f>'[1]February - 2023'!AT34</f>
        <v>0</v>
      </c>
      <c r="AK35" s="265">
        <f>'[1]February - 2023'!AU34</f>
        <v>0</v>
      </c>
      <c r="AL35" s="88">
        <f>'[1]February - 2023'!AV34</f>
        <v>6041.2799999974668</v>
      </c>
      <c r="AM35" s="261">
        <f>'[1]February - 2023'!AW34</f>
        <v>0</v>
      </c>
      <c r="AN35" s="265">
        <f>'[1]February - 2023'!AX34</f>
        <v>0</v>
      </c>
      <c r="AO35" s="88">
        <f>'[1]February - 2023'!AY34</f>
        <v>4433.5200000014156</v>
      </c>
      <c r="AP35" s="261">
        <f>'[1]February - 2023'!AZ34</f>
        <v>0</v>
      </c>
      <c r="AQ35" s="265">
        <f>'[1]February - 2023'!BA34</f>
        <v>0</v>
      </c>
      <c r="AR35" s="88">
        <f>'[1]February - 2023'!BB34</f>
        <v>4579.6800000015646</v>
      </c>
      <c r="AS35" s="261">
        <f>'[1]February - 2023'!BC34</f>
        <v>0</v>
      </c>
      <c r="AT35" s="265">
        <f>'[1]February - 2023'!BD34</f>
        <v>0</v>
      </c>
      <c r="AU35" s="88">
        <f>'[1]February - 2023'!BE34</f>
        <v>3166.8000000007451</v>
      </c>
      <c r="AV35" s="261">
        <f>'[1]February - 2023'!BF34</f>
        <v>0</v>
      </c>
      <c r="AW35" s="229">
        <f>'[1]February - 2023'!BG34</f>
        <v>0</v>
      </c>
      <c r="AX35" s="230">
        <f>'[1]February - 2023'!BH34</f>
        <v>5943.8399999979883</v>
      </c>
      <c r="AY35" s="461"/>
      <c r="AZ35" s="247">
        <f>'[1]February - 2023'!BM34</f>
        <v>0</v>
      </c>
      <c r="BA35" s="160">
        <f>'[1]February - 2023'!BN34</f>
        <v>0</v>
      </c>
      <c r="BB35" s="89">
        <f>'[1]February - 2023'!BO35</f>
        <v>0</v>
      </c>
      <c r="BC35" s="247">
        <f>'[1]February - 2023'!BP34</f>
        <v>0</v>
      </c>
      <c r="BD35" s="223">
        <f>'[1]February - 2023'!BQ34</f>
        <v>0</v>
      </c>
      <c r="BE35" s="89">
        <f>'[1]February - 2023'!BR34</f>
        <v>46000</v>
      </c>
      <c r="BF35" s="247">
        <f>'[1]February - 2023'!BS34</f>
        <v>0</v>
      </c>
      <c r="BG35" s="223">
        <f>'[1]February - 2023'!BT34</f>
        <v>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0</v>
      </c>
      <c r="BT35" s="165">
        <f>'[1]February - 2023'!BW34</f>
        <v>0</v>
      </c>
      <c r="BU35" s="557"/>
      <c r="BV35" s="84">
        <f>'[1]February - 2023'!BY34</f>
        <v>0</v>
      </c>
      <c r="BW35" s="219">
        <f>'[1]February - 2023'!BZ34</f>
        <v>0</v>
      </c>
      <c r="BX35" s="84">
        <f>'[1]February - 2023'!CA34</f>
        <v>8.0000000000000071E-2</v>
      </c>
      <c r="BY35" s="85">
        <f>'[1]February - 2023'!CB34</f>
        <v>0</v>
      </c>
      <c r="BZ35" s="171">
        <f>'[1]February - 2023'!CC34</f>
        <v>0</v>
      </c>
      <c r="CA35" s="85">
        <f>'[1]February - 2023'!CD34</f>
        <v>0</v>
      </c>
      <c r="CB35" s="171">
        <f>'[1]February - 2023'!CE34</f>
        <v>0</v>
      </c>
      <c r="CC35" s="85">
        <f>'[1]February - 2023'!CF34</f>
        <v>0</v>
      </c>
      <c r="CD35" s="171">
        <f>'[1]February - 2023'!CG34</f>
        <v>0</v>
      </c>
      <c r="CE35" s="85">
        <f>'[1]February - 2023'!CH34</f>
        <v>0</v>
      </c>
      <c r="CF35" s="171">
        <f>'[1]February - 2023'!CI34</f>
        <v>0</v>
      </c>
      <c r="CG35" s="85">
        <f>'[1]February - 2023'!CJ34</f>
        <v>0</v>
      </c>
      <c r="CH35" s="171">
        <f>'[1]February - 2023'!CK34</f>
        <v>0</v>
      </c>
      <c r="CI35" s="85">
        <f>'[1]February - 2023'!CL34</f>
        <v>0</v>
      </c>
      <c r="CJ35" s="171">
        <f>'[1]February - 2023'!CM34</f>
        <v>0</v>
      </c>
      <c r="CK35" s="85">
        <f>'[1]February - 2023'!CN34</f>
        <v>0</v>
      </c>
      <c r="CL35" s="224">
        <f>'[1]February - 2023'!CO34</f>
        <v>0</v>
      </c>
      <c r="CM35" s="85">
        <f>'[1]February - 2023'!CP34</f>
        <v>101</v>
      </c>
      <c r="CN35" s="85">
        <f>'[1]February - 2023'!CQ34</f>
        <v>0</v>
      </c>
      <c r="CO35" s="224">
        <f>'[1]February - 2023'!CR34</f>
        <v>0</v>
      </c>
      <c r="CP35" s="85">
        <f>'[1]February - 2023'!CV34</f>
        <v>199</v>
      </c>
      <c r="CQ35" s="85">
        <f>'[1]February - 2023'!CT34</f>
        <v>0</v>
      </c>
      <c r="CR35" s="224">
        <f>'[1]February - 2023'!CU34</f>
        <v>0</v>
      </c>
      <c r="CS35" s="85">
        <f>'[1]February - 2023'!CV34</f>
        <v>199</v>
      </c>
      <c r="CT35" s="85">
        <f>'[1]February - 2023'!CW34</f>
        <v>0</v>
      </c>
      <c r="CU35" s="171">
        <f>'[1]February - 2023'!CX34</f>
        <v>0</v>
      </c>
      <c r="CV35" s="485"/>
      <c r="CW35" s="259">
        <f>'[1]February - 2023'!CZ34</f>
        <v>0</v>
      </c>
      <c r="CX35" s="262">
        <f>'[1]February - 2023'!DA34</f>
        <v>0</v>
      </c>
      <c r="CY35" s="260">
        <f>'[1]February - 2023'!DB34</f>
        <v>0</v>
      </c>
      <c r="CZ35" s="262">
        <f>'[1]February - 2023'!DC34</f>
        <v>0</v>
      </c>
      <c r="DA35" s="260">
        <f>'[1]February - 2023'!DD34</f>
        <v>0</v>
      </c>
      <c r="DB35" s="262">
        <f>'[1]February - 2023'!DE34</f>
        <v>0</v>
      </c>
      <c r="DC35" s="260">
        <f>'[1]February - 2023'!DF34</f>
        <v>0</v>
      </c>
      <c r="DD35" s="262">
        <f>'[1]February - 2023'!DG34</f>
        <v>0</v>
      </c>
      <c r="DE35" s="260">
        <f>'[1]February - 2023'!DH34</f>
        <v>0</v>
      </c>
      <c r="DF35" s="262">
        <f>'[1]February - 2023'!DI34</f>
        <v>0</v>
      </c>
      <c r="DG35" s="260">
        <f>'[1]February - 2023'!DJ34</f>
        <v>0</v>
      </c>
      <c r="DH35" s="262">
        <f>'[1]February - 2023'!DK34</f>
        <v>0</v>
      </c>
      <c r="DI35" s="260">
        <f>'[1]February - 2023'!DL34</f>
        <v>0</v>
      </c>
      <c r="DJ35" s="262">
        <f>'[1]February - 2023'!DM34</f>
        <v>0</v>
      </c>
      <c r="DK35" s="260">
        <f>'[1]February - 2023'!DN34</f>
        <v>0</v>
      </c>
      <c r="DL35" s="262">
        <f>'[1]February - 2023'!DO34</f>
        <v>0</v>
      </c>
      <c r="DM35" s="260">
        <f>'[1]February - 2023'!DP34</f>
        <v>0</v>
      </c>
      <c r="DN35" s="262">
        <f>'[1]February - 2023'!DQ34</f>
        <v>0</v>
      </c>
      <c r="DO35" s="260">
        <f>'[1]February - 2023'!DR34</f>
        <v>0</v>
      </c>
      <c r="DP35" s="262">
        <f>'[1]February - 2023'!DS34</f>
        <v>0</v>
      </c>
      <c r="DQ35" s="260">
        <f>'[1]February - 2023'!DT34</f>
        <v>0</v>
      </c>
      <c r="DR35" s="263">
        <f>'[1]February - 2023'!DU34</f>
        <v>0</v>
      </c>
      <c r="DS35" s="501"/>
      <c r="DT35" s="189">
        <f>'[1]February - 2023'!DW34</f>
        <v>0</v>
      </c>
      <c r="DU35" s="200">
        <f>'[1]February - 2023'!DX34</f>
        <v>0</v>
      </c>
      <c r="DV35" s="87">
        <f>'[1]February - 2023'!DY34</f>
        <v>0</v>
      </c>
      <c r="DW35" s="194">
        <f>'[1]February - 2023'!DZ34</f>
        <v>0</v>
      </c>
      <c r="DX35" s="87">
        <f>'[1]February - 2023'!EA34</f>
        <v>0</v>
      </c>
      <c r="DY35" s="194">
        <f>'[1]February - 2023'!EB34</f>
        <v>0</v>
      </c>
      <c r="DZ35" s="87">
        <f>'[1]February - 2023'!EC34</f>
        <v>0</v>
      </c>
      <c r="EA35" s="194">
        <f>'[1]February - 2023'!ED34</f>
        <v>0</v>
      </c>
      <c r="EB35" s="87">
        <f>'[1]February - 2023'!EE34</f>
        <v>0</v>
      </c>
      <c r="EC35" s="194">
        <f>'[1]February - 2023'!EF34</f>
        <v>0</v>
      </c>
      <c r="ED35" s="87">
        <f>'[1]February - 2023'!EI34</f>
        <v>0</v>
      </c>
      <c r="EE35" s="207">
        <f>'[1]February - 2023'!EJ34</f>
        <v>0</v>
      </c>
      <c r="EF35" s="548"/>
      <c r="EG35" s="213">
        <f>'[1]February - 2023'!EL34</f>
        <v>0</v>
      </c>
      <c r="EH35" s="208">
        <f>'[1]February - 2023'!EM34</f>
        <v>0</v>
      </c>
      <c r="EI35" s="86">
        <f>'[1]February - 2023'!EN34</f>
        <v>0</v>
      </c>
      <c r="EJ35" s="208">
        <f>'[1]February - 2023'!EO34</f>
        <v>0</v>
      </c>
      <c r="EK35" s="86">
        <f>'[1]February - 2023'!EP34</f>
        <v>0</v>
      </c>
      <c r="EL35" s="208">
        <f>'[1]February - 2023'!EQ34</f>
        <v>0</v>
      </c>
      <c r="EM35" s="86">
        <f>'[1]February - 2023'!ER34</f>
        <v>0</v>
      </c>
      <c r="EN35" s="208">
        <f>'[1]February - 2023'!ES34</f>
        <v>0</v>
      </c>
      <c r="EO35" s="86">
        <f>'[1]February - 2023'!ET34</f>
        <v>0</v>
      </c>
      <c r="EP35" s="208">
        <f>'[1]February - 2023'!EU34</f>
        <v>0</v>
      </c>
      <c r="EQ35" s="86">
        <f>'[1]February - 2023'!EV34</f>
        <v>0</v>
      </c>
      <c r="ER35" s="208">
        <f>'[1]February - 2023'!EW34</f>
        <v>0</v>
      </c>
      <c r="ES35" s="523"/>
      <c r="ET35" s="253">
        <f>'[1]February - 2023'!EY34</f>
        <v>0</v>
      </c>
      <c r="EU35" s="266">
        <f>'[1]February - 2023'!EZ34</f>
        <v>0</v>
      </c>
      <c r="EV35" s="254">
        <f>'[1]February - 2023'!FA34</f>
        <v>0</v>
      </c>
      <c r="EW35" s="266">
        <f>'[1]February - 2023'!FB34</f>
        <v>0</v>
      </c>
      <c r="EX35" s="254">
        <f>'[1]February - 2023'!FC34</f>
        <v>0</v>
      </c>
      <c r="EY35" s="266">
        <f>'[1]February - 2023'!FD34</f>
        <v>0</v>
      </c>
      <c r="EZ35" s="254">
        <f>'[1]February - 2023'!FE34</f>
        <v>0</v>
      </c>
      <c r="FA35" s="266">
        <f>'[1]February - 2023'!FF34</f>
        <v>0</v>
      </c>
      <c r="FB35" s="254">
        <f>'[1]February - 2023'!FG34</f>
        <v>0</v>
      </c>
      <c r="FC35" s="264">
        <f>'[1]February - 2023'!FH34</f>
        <v>0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125951</v>
      </c>
      <c r="I36" s="239">
        <f>'[1]February - 2023'!K35</f>
        <v>0</v>
      </c>
      <c r="J36" s="151">
        <f>'[1]February - 2023'!L35</f>
        <v>0</v>
      </c>
      <c r="K36" s="239">
        <f>'[1]February - 2023'!N35</f>
        <v>0</v>
      </c>
      <c r="L36" s="151">
        <f>'[1]February - 2023'!O35</f>
        <v>0</v>
      </c>
      <c r="M36" s="239">
        <f>'[1]February - 2023'!Q35</f>
        <v>0</v>
      </c>
      <c r="N36" s="151">
        <f>'[1]February - 2023'!R35</f>
        <v>0</v>
      </c>
      <c r="O36" s="239">
        <f>'[1]February - 2023'!U35</f>
        <v>0</v>
      </c>
      <c r="P36" s="151">
        <f>'[1]February - 2023'!V35</f>
        <v>0</v>
      </c>
      <c r="Q36" s="150">
        <f>'[1]February - 2023'!W35</f>
        <v>270</v>
      </c>
      <c r="R36" s="239">
        <f>'[1]February - 2023'!X35</f>
        <v>0</v>
      </c>
      <c r="S36" s="187">
        <f>'[1]February - 2023'!Y35</f>
        <v>0</v>
      </c>
      <c r="T36" s="444"/>
      <c r="U36" s="244">
        <f>'[1]February - 2023'!AE35</f>
        <v>0</v>
      </c>
      <c r="V36" s="265">
        <f>'[1]February - 2023'!AF35</f>
        <v>0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0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0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0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0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0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0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0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0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0</v>
      </c>
      <c r="AX36" s="230">
        <f>'[1]February - 2023'!BH35</f>
        <v>5943.8400000017136</v>
      </c>
      <c r="AY36" s="461"/>
      <c r="AZ36" s="247">
        <f>'[1]February - 2023'!BM35</f>
        <v>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0</v>
      </c>
      <c r="BU36" s="557"/>
      <c r="BV36" s="84">
        <f>'[1]February - 2023'!BY35</f>
        <v>0</v>
      </c>
      <c r="BW36" s="219">
        <f>'[1]February - 2023'!BZ35</f>
        <v>0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0</v>
      </c>
      <c r="CA36" s="85">
        <f>'[1]February - 2023'!CD35</f>
        <v>0</v>
      </c>
      <c r="CB36" s="171">
        <f>'[1]February - 2023'!CE35</f>
        <v>0</v>
      </c>
      <c r="CC36" s="85">
        <f>'[1]February - 2023'!CF35</f>
        <v>0</v>
      </c>
      <c r="CD36" s="171">
        <f>'[1]February - 2023'!CG35</f>
        <v>0</v>
      </c>
      <c r="CE36" s="85">
        <f>'[1]February - 2023'!CH35</f>
        <v>0</v>
      </c>
      <c r="CF36" s="171">
        <f>'[1]February - 2023'!CI35</f>
        <v>0</v>
      </c>
      <c r="CG36" s="85">
        <f>'[1]February - 2023'!CJ35</f>
        <v>0</v>
      </c>
      <c r="CH36" s="171">
        <f>'[1]February - 2023'!CK35</f>
        <v>0</v>
      </c>
      <c r="CI36" s="85">
        <f>'[1]February - 2023'!CL35</f>
        <v>0</v>
      </c>
      <c r="CJ36" s="171">
        <f>'[1]February - 2023'!CM35</f>
        <v>0</v>
      </c>
      <c r="CK36" s="85">
        <f>'[1]February - 2023'!CN35</f>
        <v>0</v>
      </c>
      <c r="CL36" s="224">
        <f>'[1]February - 2023'!CO35</f>
        <v>0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0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0</v>
      </c>
      <c r="CV36" s="485"/>
      <c r="CW36" s="259">
        <f>'[1]February - 2023'!CZ35</f>
        <v>0</v>
      </c>
      <c r="CX36" s="262">
        <f>'[1]February - 2023'!DA35</f>
        <v>0</v>
      </c>
      <c r="CY36" s="260">
        <f>'[1]February - 2023'!DB35</f>
        <v>0</v>
      </c>
      <c r="CZ36" s="262">
        <f>'[1]February - 2023'!DC35</f>
        <v>0</v>
      </c>
      <c r="DA36" s="260">
        <f>'[1]February - 2023'!DD35</f>
        <v>0</v>
      </c>
      <c r="DB36" s="262">
        <f>'[1]February - 2023'!DE35</f>
        <v>0</v>
      </c>
      <c r="DC36" s="260">
        <f>'[1]February - 2023'!DF35</f>
        <v>0</v>
      </c>
      <c r="DD36" s="262">
        <f>'[1]February - 2023'!DG35</f>
        <v>0</v>
      </c>
      <c r="DE36" s="260">
        <f>'[1]February - 2023'!DH35</f>
        <v>0</v>
      </c>
      <c r="DF36" s="262">
        <f>'[1]February - 2023'!DI35</f>
        <v>0</v>
      </c>
      <c r="DG36" s="260">
        <f>'[1]February - 2023'!DJ35</f>
        <v>0</v>
      </c>
      <c r="DH36" s="262">
        <f>'[1]February - 2023'!DK35</f>
        <v>0</v>
      </c>
      <c r="DI36" s="260">
        <f>'[1]February - 2023'!DL35</f>
        <v>0</v>
      </c>
      <c r="DJ36" s="262">
        <f>'[1]February - 2023'!DM35</f>
        <v>0</v>
      </c>
      <c r="DK36" s="260">
        <f>'[1]February - 2023'!DN35</f>
        <v>0</v>
      </c>
      <c r="DL36" s="262">
        <f>'[1]February - 2023'!DO35</f>
        <v>0</v>
      </c>
      <c r="DM36" s="260">
        <f>'[1]February - 2023'!DP35</f>
        <v>0</v>
      </c>
      <c r="DN36" s="262">
        <f>'[1]February - 2023'!DQ35</f>
        <v>0</v>
      </c>
      <c r="DO36" s="260">
        <f>'[1]February - 2023'!DR35</f>
        <v>0</v>
      </c>
      <c r="DP36" s="262">
        <f>'[1]February - 2023'!DS35</f>
        <v>0</v>
      </c>
      <c r="DQ36" s="260">
        <f>'[1]February - 2023'!DT35</f>
        <v>0</v>
      </c>
      <c r="DR36" s="263">
        <f>'[1]February - 2023'!DU35</f>
        <v>0</v>
      </c>
      <c r="DS36" s="501"/>
      <c r="DT36" s="189">
        <f>'[1]February - 2023'!DW35</f>
        <v>0</v>
      </c>
      <c r="DU36" s="200">
        <f>'[1]February - 2023'!DX35</f>
        <v>0</v>
      </c>
      <c r="DV36" s="87">
        <f>'[1]February - 2023'!DY35</f>
        <v>0</v>
      </c>
      <c r="DW36" s="194">
        <f>'[1]February - 2023'!DZ35</f>
        <v>0</v>
      </c>
      <c r="DX36" s="87">
        <f>'[1]February - 2023'!EA35</f>
        <v>0</v>
      </c>
      <c r="DY36" s="194">
        <f>'[1]February - 2023'!EB35</f>
        <v>0</v>
      </c>
      <c r="DZ36" s="87">
        <f>'[1]February - 2023'!EC35</f>
        <v>0</v>
      </c>
      <c r="EA36" s="194">
        <f>'[1]February - 2023'!ED35</f>
        <v>0</v>
      </c>
      <c r="EB36" s="87">
        <f>'[1]February - 2023'!EE35</f>
        <v>0</v>
      </c>
      <c r="EC36" s="194">
        <f>'[1]February - 2023'!EF35</f>
        <v>0</v>
      </c>
      <c r="ED36" s="87">
        <f>'[1]February - 2023'!EI35</f>
        <v>0</v>
      </c>
      <c r="EE36" s="207">
        <f>'[1]February - 2023'!EJ35</f>
        <v>0</v>
      </c>
      <c r="EF36" s="548"/>
      <c r="EG36" s="213">
        <f>'[1]February - 2023'!EL35</f>
        <v>0</v>
      </c>
      <c r="EH36" s="208">
        <f>'[1]February - 2023'!EM35</f>
        <v>0</v>
      </c>
      <c r="EI36" s="86">
        <f>'[1]February - 2023'!EN35</f>
        <v>0</v>
      </c>
      <c r="EJ36" s="208">
        <f>'[1]February - 2023'!EO35</f>
        <v>0</v>
      </c>
      <c r="EK36" s="86">
        <f>'[1]February - 2023'!EP35</f>
        <v>0</v>
      </c>
      <c r="EL36" s="208">
        <f>'[1]February - 2023'!EQ35</f>
        <v>0</v>
      </c>
      <c r="EM36" s="86">
        <f>'[1]February - 2023'!ER35</f>
        <v>0</v>
      </c>
      <c r="EN36" s="208">
        <f>'[1]February - 2023'!ES35</f>
        <v>0</v>
      </c>
      <c r="EO36" s="86">
        <f>'[1]February - 2023'!ET35</f>
        <v>0</v>
      </c>
      <c r="EP36" s="208">
        <f>'[1]February - 2023'!EU35</f>
        <v>0</v>
      </c>
      <c r="EQ36" s="86">
        <f>'[1]February - 2023'!EV35</f>
        <v>0</v>
      </c>
      <c r="ER36" s="208">
        <f>'[1]February - 2023'!EW35</f>
        <v>0</v>
      </c>
      <c r="ES36" s="523"/>
      <c r="ET36" s="253">
        <f>'[1]February - 2023'!EY35</f>
        <v>0</v>
      </c>
      <c r="EU36" s="266">
        <f>'[1]February - 2023'!EZ35</f>
        <v>0</v>
      </c>
      <c r="EV36" s="254">
        <f>'[1]February - 2023'!FA35</f>
        <v>0</v>
      </c>
      <c r="EW36" s="266">
        <f>'[1]February - 2023'!FB35</f>
        <v>0</v>
      </c>
      <c r="EX36" s="254">
        <f>'[1]February - 2023'!FC35</f>
        <v>0</v>
      </c>
      <c r="EY36" s="266">
        <f>'[1]February - 2023'!FD35</f>
        <v>0</v>
      </c>
      <c r="EZ36" s="254">
        <f>'[1]February - 2023'!FE35</f>
        <v>0</v>
      </c>
      <c r="FA36" s="266">
        <f>'[1]February - 2023'!FF35</f>
        <v>0</v>
      </c>
      <c r="FB36" s="254">
        <f>'[1]February - 2023'!FG35</f>
        <v>0</v>
      </c>
      <c r="FC36" s="264">
        <f>'[1]February - 2023'!FH35</f>
        <v>0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126373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0</v>
      </c>
      <c r="R37" s="239">
        <f>'[1]February - 2023'!X36</f>
        <v>0</v>
      </c>
      <c r="S37" s="187">
        <f>'[1]February - 2023'!Y36</f>
        <v>0</v>
      </c>
      <c r="T37" s="444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61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557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85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501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548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52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44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61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557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85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501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548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52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44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61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558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85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501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548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52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85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501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548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524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7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8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9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485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8"/>
      <c r="DS41" s="502"/>
      <c r="DT41" s="503"/>
      <c r="DU41" s="504"/>
      <c r="DV41" s="504"/>
      <c r="DW41" s="504"/>
      <c r="DX41" s="504"/>
      <c r="DY41" s="504"/>
      <c r="DZ41" s="504"/>
      <c r="EA41" s="504"/>
      <c r="EB41" s="504"/>
      <c r="EC41" s="504"/>
      <c r="ED41" s="504"/>
      <c r="EE41" s="505"/>
      <c r="EF41" s="549"/>
      <c r="EG41" s="530"/>
      <c r="EH41" s="530"/>
      <c r="EI41" s="530"/>
      <c r="EJ41" s="530"/>
      <c r="EK41" s="530"/>
      <c r="EL41" s="530"/>
      <c r="EM41" s="530"/>
      <c r="EN41" s="530"/>
      <c r="EO41" s="530"/>
      <c r="EP41" s="530"/>
      <c r="EQ41" s="530"/>
      <c r="ER41" s="530"/>
      <c r="ES41" s="524"/>
      <c r="ET41" s="531"/>
      <c r="EU41" s="531"/>
      <c r="EV41" s="531"/>
      <c r="EW41" s="531"/>
      <c r="EX41" s="531"/>
      <c r="EY41" s="531"/>
      <c r="EZ41" s="531"/>
      <c r="FA41" s="531"/>
      <c r="FB41" s="531"/>
      <c r="FC41" s="531"/>
      <c r="FD41" s="28"/>
    </row>
    <row r="42" spans="1:160" ht="28.5" customHeight="1" thickBot="1" x14ac:dyDescent="0.35">
      <c r="A42" s="375" t="s">
        <v>193</v>
      </c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7"/>
      <c r="T42" s="378"/>
      <c r="U42" s="381" t="s">
        <v>194</v>
      </c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2"/>
      <c r="AZ42" s="383" t="s">
        <v>156</v>
      </c>
      <c r="BA42" s="384"/>
      <c r="BB42" s="384"/>
      <c r="BC42" s="384"/>
      <c r="BD42" s="384"/>
      <c r="BE42" s="384"/>
      <c r="BF42" s="384"/>
      <c r="BG42" s="384"/>
      <c r="BH42" s="385"/>
      <c r="BI42" s="386"/>
      <c r="BJ42" s="387"/>
      <c r="BK42" s="387"/>
      <c r="BL42" s="387"/>
      <c r="BM42" s="387"/>
      <c r="BN42" s="387"/>
      <c r="BO42" s="387"/>
      <c r="BP42" s="387"/>
      <c r="BQ42" s="387"/>
      <c r="BR42" s="388"/>
      <c r="BS42" s="389" t="s">
        <v>157</v>
      </c>
      <c r="BT42" s="390"/>
      <c r="BU42" s="30"/>
      <c r="BV42" s="542" t="s">
        <v>188</v>
      </c>
      <c r="BW42" s="543"/>
      <c r="BX42" s="543"/>
      <c r="BY42" s="543"/>
      <c r="BZ42" s="543"/>
      <c r="CA42" s="543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4"/>
      <c r="CV42" s="485"/>
      <c r="CW42" s="391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3"/>
      <c r="DS42" s="502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549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524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394" t="s">
        <v>159</v>
      </c>
      <c r="B43" s="394"/>
      <c r="C43" s="352" t="s">
        <v>160</v>
      </c>
      <c r="D43" s="352"/>
      <c r="E43" s="353"/>
      <c r="F43" s="351" t="s">
        <v>161</v>
      </c>
      <c r="G43" s="352"/>
      <c r="H43" s="353"/>
      <c r="I43" s="357" t="s">
        <v>162</v>
      </c>
      <c r="J43" s="357"/>
      <c r="K43" s="357" t="s">
        <v>163</v>
      </c>
      <c r="L43" s="357"/>
      <c r="M43" s="357"/>
      <c r="N43" s="357"/>
      <c r="O43" s="351" t="s">
        <v>164</v>
      </c>
      <c r="P43" s="352"/>
      <c r="Q43" s="352"/>
      <c r="R43" s="352"/>
      <c r="S43" s="352"/>
      <c r="T43" s="379"/>
      <c r="U43" s="351" t="s">
        <v>165</v>
      </c>
      <c r="V43" s="352"/>
      <c r="W43" s="353"/>
      <c r="X43" s="351" t="s">
        <v>166</v>
      </c>
      <c r="Y43" s="352"/>
      <c r="Z43" s="353"/>
      <c r="AA43" s="351" t="s">
        <v>167</v>
      </c>
      <c r="AB43" s="352"/>
      <c r="AC43" s="353"/>
      <c r="AD43" s="351" t="s">
        <v>168</v>
      </c>
      <c r="AE43" s="352"/>
      <c r="AF43" s="353"/>
      <c r="AG43" s="351" t="s">
        <v>169</v>
      </c>
      <c r="AH43" s="352"/>
      <c r="AI43" s="353"/>
      <c r="AJ43" s="351" t="s">
        <v>170</v>
      </c>
      <c r="AK43" s="352"/>
      <c r="AL43" s="353"/>
      <c r="AM43" s="351" t="s">
        <v>171</v>
      </c>
      <c r="AN43" s="352"/>
      <c r="AO43" s="353"/>
      <c r="AP43" s="351" t="s">
        <v>172</v>
      </c>
      <c r="AQ43" s="352"/>
      <c r="AR43" s="353"/>
      <c r="AS43" s="351" t="s">
        <v>173</v>
      </c>
      <c r="AT43" s="352"/>
      <c r="AU43" s="353"/>
      <c r="AV43" s="351" t="s">
        <v>174</v>
      </c>
      <c r="AW43" s="352"/>
      <c r="AX43" s="352"/>
      <c r="AY43" s="354"/>
      <c r="AZ43" s="545" t="s">
        <v>175</v>
      </c>
      <c r="BA43" s="546"/>
      <c r="BB43" s="546"/>
      <c r="BC43" s="546" t="s">
        <v>176</v>
      </c>
      <c r="BD43" s="546"/>
      <c r="BE43" s="546"/>
      <c r="BF43" s="546" t="s">
        <v>177</v>
      </c>
      <c r="BG43" s="546"/>
      <c r="BH43" s="546"/>
      <c r="BI43" s="355"/>
      <c r="BJ43" s="356"/>
      <c r="BK43" s="355"/>
      <c r="BL43" s="356"/>
      <c r="BM43" s="355"/>
      <c r="BN43" s="356"/>
      <c r="BO43" s="355"/>
      <c r="BP43" s="356"/>
      <c r="BQ43" s="355"/>
      <c r="BR43" s="356"/>
      <c r="BS43" s="355" t="s">
        <v>178</v>
      </c>
      <c r="BT43" s="356"/>
      <c r="BU43" s="361"/>
      <c r="BV43" s="362" t="s">
        <v>103</v>
      </c>
      <c r="BW43" s="363"/>
      <c r="BX43" s="91"/>
      <c r="BY43" s="364" t="s">
        <v>104</v>
      </c>
      <c r="BZ43" s="364"/>
      <c r="CA43" s="359" t="s">
        <v>105</v>
      </c>
      <c r="CB43" s="360"/>
      <c r="CC43" s="359" t="s">
        <v>106</v>
      </c>
      <c r="CD43" s="360"/>
      <c r="CE43" s="359" t="s">
        <v>107</v>
      </c>
      <c r="CF43" s="360"/>
      <c r="CG43" s="359" t="s">
        <v>108</v>
      </c>
      <c r="CH43" s="360"/>
      <c r="CI43" s="359" t="s">
        <v>109</v>
      </c>
      <c r="CJ43" s="360"/>
      <c r="CK43" s="370" t="s">
        <v>110</v>
      </c>
      <c r="CL43" s="371"/>
      <c r="CM43" s="372"/>
      <c r="CN43" s="367" t="s">
        <v>111</v>
      </c>
      <c r="CO43" s="368"/>
      <c r="CP43" s="369"/>
      <c r="CQ43" s="370" t="s">
        <v>179</v>
      </c>
      <c r="CR43" s="371"/>
      <c r="CS43" s="372"/>
      <c r="CT43" s="342" t="s">
        <v>180</v>
      </c>
      <c r="CU43" s="343"/>
      <c r="CV43" s="485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502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549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524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400" t="s">
        <v>195</v>
      </c>
      <c r="B44" s="400"/>
      <c r="C44" s="401">
        <f>SUM(E9:E24)</f>
        <v>8223</v>
      </c>
      <c r="D44" s="402"/>
      <c r="E44" s="403"/>
      <c r="F44" s="404">
        <f>SUM(H9:H24)</f>
        <v>1758898</v>
      </c>
      <c r="G44" s="405"/>
      <c r="H44" s="406"/>
      <c r="I44" s="404"/>
      <c r="J44" s="406"/>
      <c r="K44" s="407"/>
      <c r="L44" s="408"/>
      <c r="M44" s="409"/>
      <c r="N44" s="409"/>
      <c r="O44" s="404">
        <f>SUM(Q9:Q24)</f>
        <v>2327</v>
      </c>
      <c r="P44" s="405"/>
      <c r="Q44" s="406"/>
      <c r="R44" s="410"/>
      <c r="S44" s="411"/>
      <c r="T44" s="379"/>
      <c r="U44" s="348">
        <f>SUM(W9:W24)</f>
        <v>37709.279999999329</v>
      </c>
      <c r="V44" s="349"/>
      <c r="W44" s="350"/>
      <c r="X44" s="348">
        <f>SUM(Z9:Z24)</f>
        <v>69767.040000000969</v>
      </c>
      <c r="Y44" s="349"/>
      <c r="Z44" s="350"/>
      <c r="AA44" s="348">
        <f>SUM(AC9:AC24)</f>
        <v>3946.3199999984354</v>
      </c>
      <c r="AB44" s="349"/>
      <c r="AC44" s="350"/>
      <c r="AD44" s="348">
        <f>SUM(AF9:AF24)</f>
        <v>92519.279999997467</v>
      </c>
      <c r="AE44" s="349"/>
      <c r="AF44" s="350"/>
      <c r="AG44" s="348">
        <f>SUM(AI9:AI24)</f>
        <v>41265.839999999851</v>
      </c>
      <c r="AH44" s="349"/>
      <c r="AI44" s="350"/>
      <c r="AJ44" s="348">
        <f>SUM(AL9:AL24)</f>
        <v>86185.680000001565</v>
      </c>
      <c r="AK44" s="349"/>
      <c r="AL44" s="350"/>
      <c r="AM44" s="348">
        <f>SUM(AO9:AO24)</f>
        <v>62020.559999998659</v>
      </c>
      <c r="AN44" s="349"/>
      <c r="AO44" s="350"/>
      <c r="AP44" s="348">
        <f>SUM(AR9:AR24)</f>
        <v>63823.199999999255</v>
      </c>
      <c r="AQ44" s="349"/>
      <c r="AR44" s="350"/>
      <c r="AS44" s="348">
        <f>SUM(AU9:AU24)</f>
        <v>48817.439999999478</v>
      </c>
      <c r="AT44" s="349"/>
      <c r="AU44" s="350"/>
      <c r="AV44" s="348">
        <f>SUM(AX9:AX24)</f>
        <v>81459.839999997988</v>
      </c>
      <c r="AW44" s="349"/>
      <c r="AX44" s="349"/>
      <c r="AY44" s="354"/>
      <c r="AZ44" s="349">
        <f>SUM(BB9:BB24)</f>
        <v>0</v>
      </c>
      <c r="BA44" s="349"/>
      <c r="BB44" s="349"/>
      <c r="BC44" s="348">
        <f>SUM(BE9:BE24)</f>
        <v>387300</v>
      </c>
      <c r="BD44" s="349"/>
      <c r="BE44" s="349"/>
      <c r="BF44" s="344">
        <f>SUM(BH9:BH24)</f>
        <v>177700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361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44">
        <f>SUM(CM9:CM24)</f>
        <v>1580</v>
      </c>
      <c r="CL44" s="344"/>
      <c r="CM44" s="344"/>
      <c r="CN44" s="344">
        <f>SUM(CP9:CP24)</f>
        <v>4763</v>
      </c>
      <c r="CO44" s="344"/>
      <c r="CP44" s="344"/>
      <c r="CQ44" s="344">
        <f>SUM(CS9:CS24)</f>
        <v>4763</v>
      </c>
      <c r="CR44" s="344"/>
      <c r="CS44" s="344"/>
      <c r="CT44" s="96"/>
      <c r="CU44" s="176"/>
      <c r="CV44" s="485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502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549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524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561" t="s">
        <v>195</v>
      </c>
      <c r="B45" s="561"/>
      <c r="C45" s="562">
        <f>SUM(D9:D24)</f>
        <v>8715</v>
      </c>
      <c r="D45" s="562"/>
      <c r="E45" s="563"/>
      <c r="F45" s="562">
        <f>SUM(G9:G24)</f>
        <v>6435</v>
      </c>
      <c r="G45" s="562"/>
      <c r="H45" s="563"/>
      <c r="I45" s="564"/>
      <c r="J45" s="564"/>
      <c r="K45" s="564"/>
      <c r="L45" s="564"/>
      <c r="M45" s="564"/>
      <c r="N45" s="564"/>
      <c r="O45" s="562">
        <f>SUM(P9:P24)</f>
        <v>1135</v>
      </c>
      <c r="P45" s="562"/>
      <c r="Q45" s="563"/>
      <c r="R45" s="565"/>
      <c r="S45" s="566"/>
      <c r="T45" s="380"/>
      <c r="U45" s="333">
        <f>SUM(V9:V24)</f>
        <v>30498.719999999739</v>
      </c>
      <c r="V45" s="333"/>
      <c r="W45" s="334"/>
      <c r="X45" s="333">
        <f>SUM(Y9:Y24)</f>
        <v>69620.879999998957</v>
      </c>
      <c r="Y45" s="333"/>
      <c r="Z45" s="334"/>
      <c r="AA45" s="333">
        <f>SUM(AB9:AB24)</f>
        <v>33178.320000000298</v>
      </c>
      <c r="AB45" s="333"/>
      <c r="AC45" s="334"/>
      <c r="AD45" s="333">
        <f>SUM(AE9:AE24)</f>
        <v>47550.719999998808</v>
      </c>
      <c r="AE45" s="333"/>
      <c r="AF45" s="334"/>
      <c r="AG45" s="333">
        <f>SUM(AH9:AH24)</f>
        <v>56563.920000001788</v>
      </c>
      <c r="AH45" s="333"/>
      <c r="AI45" s="334"/>
      <c r="AJ45" s="333">
        <f>SUM(AK9:AK24)</f>
        <v>81508.559999998659</v>
      </c>
      <c r="AK45" s="333"/>
      <c r="AL45" s="334"/>
      <c r="AM45" s="333">
        <f>SUM(AN9:AN24)</f>
        <v>57099.840000001714</v>
      </c>
      <c r="AN45" s="333"/>
      <c r="AO45" s="334"/>
      <c r="AP45" s="333">
        <f>SUM(AQ9:AQ24)</f>
        <v>65820.720000000671</v>
      </c>
      <c r="AQ45" s="333"/>
      <c r="AR45" s="334"/>
      <c r="AS45" s="333">
        <f>SUM(AT9:AT24)</f>
        <v>44481.359999999404</v>
      </c>
      <c r="AT45" s="333"/>
      <c r="AU45" s="334"/>
      <c r="AV45" s="333">
        <f>SUM(AW9:AW24)</f>
        <v>83506.079999998212</v>
      </c>
      <c r="AW45" s="333"/>
      <c r="AX45" s="333"/>
      <c r="AY45" s="354"/>
      <c r="AZ45" s="334">
        <f>SUM(BA9:BA24)</f>
        <v>155300</v>
      </c>
      <c r="BA45" s="344"/>
      <c r="BB45" s="344"/>
      <c r="BC45" s="344">
        <f>SUM(BD9:BD24)</f>
        <v>194500</v>
      </c>
      <c r="BD45" s="344"/>
      <c r="BE45" s="344"/>
      <c r="BF45" s="344">
        <f>SUM(BG9:BG24)</f>
        <v>255400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361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44">
        <f>SUM(CL9:CL24)</f>
        <v>1156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3837</v>
      </c>
      <c r="CR45" s="344"/>
      <c r="CS45" s="344"/>
      <c r="CT45" s="101"/>
      <c r="CU45" s="177"/>
      <c r="CV45" s="485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502"/>
      <c r="DT45" s="345" t="s">
        <v>181</v>
      </c>
      <c r="DU45" s="346"/>
      <c r="DV45" s="346"/>
      <c r="DW45" s="346"/>
      <c r="DX45" s="346"/>
      <c r="DY45" s="346"/>
      <c r="DZ45" s="346"/>
      <c r="EA45" s="346"/>
      <c r="EB45" s="346"/>
      <c r="EC45" s="346"/>
      <c r="ED45" s="346"/>
      <c r="EE45" s="346"/>
      <c r="EF45" s="346"/>
      <c r="EG45" s="346"/>
      <c r="EH45" s="346"/>
      <c r="EI45" s="346"/>
      <c r="EJ45" s="347"/>
      <c r="EK45" s="358"/>
      <c r="EL45" s="358"/>
      <c r="EM45" s="358"/>
      <c r="EN45" s="358"/>
      <c r="EO45" s="358"/>
      <c r="EP45" s="358"/>
      <c r="EQ45" s="358"/>
      <c r="ER45" s="358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4"/>
      <c r="AZ46" s="373">
        <f>AZ44-AZ45</f>
        <v>-155300</v>
      </c>
      <c r="BA46" s="374"/>
      <c r="BB46" s="374"/>
      <c r="BC46" s="373">
        <f>BC45-BC44</f>
        <v>-192800</v>
      </c>
      <c r="BD46" s="374"/>
      <c r="BE46" s="374"/>
      <c r="BF46" s="373">
        <f>BF45-BF44</f>
        <v>77700</v>
      </c>
      <c r="BG46" s="374"/>
      <c r="BH46" s="37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361"/>
      <c r="BV46" s="365"/>
      <c r="BW46" s="365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6"/>
      <c r="CV46" s="485"/>
    </row>
    <row r="47" spans="1:160" ht="33.75" customHeight="1" x14ac:dyDescent="0.25">
      <c r="A47" s="341" t="s">
        <v>196</v>
      </c>
      <c r="B47" s="341"/>
      <c r="C47" s="329">
        <f>SUM(E9:E39)</f>
        <v>16458</v>
      </c>
      <c r="D47" s="330"/>
      <c r="E47" s="331"/>
      <c r="F47" s="329">
        <f>SUM(H9:H39)</f>
        <v>3365723</v>
      </c>
      <c r="G47" s="330"/>
      <c r="H47" s="331"/>
      <c r="I47" s="335">
        <v>7048.9</v>
      </c>
      <c r="J47" s="335"/>
      <c r="K47" s="335">
        <v>7702.2000000000116</v>
      </c>
      <c r="L47" s="335"/>
      <c r="M47" s="335"/>
      <c r="N47" s="335"/>
      <c r="O47" s="335">
        <f>SUM(Q9:Q39)</f>
        <v>4561</v>
      </c>
      <c r="P47" s="335"/>
      <c r="Q47" s="335"/>
      <c r="R47" s="329">
        <v>476</v>
      </c>
      <c r="S47" s="330"/>
      <c r="T47" s="336"/>
      <c r="U47" s="332">
        <f>SUM(W9:W39)</f>
        <v>75223.679999999702</v>
      </c>
      <c r="V47" s="333"/>
      <c r="W47" s="334"/>
      <c r="X47" s="332">
        <f>SUM(Z9:Z39)</f>
        <v>132274.80000000075</v>
      </c>
      <c r="Y47" s="333"/>
      <c r="Z47" s="334"/>
      <c r="AA47" s="332">
        <f>SUM(AC9:AC39)</f>
        <v>67574.640000000596</v>
      </c>
      <c r="AB47" s="333"/>
      <c r="AC47" s="334"/>
      <c r="AD47" s="332">
        <f>SUM(AF9:AF39)</f>
        <v>145380.48000000045</v>
      </c>
      <c r="AE47" s="333"/>
      <c r="AF47" s="334"/>
      <c r="AG47" s="332">
        <f>SUM(AI9:AI39)</f>
        <v>47794.319999996573</v>
      </c>
      <c r="AH47" s="333"/>
      <c r="AI47" s="334"/>
      <c r="AJ47" s="332">
        <f>SUM(AL9:AL39)</f>
        <v>163358.16000000015</v>
      </c>
      <c r="AK47" s="333"/>
      <c r="AL47" s="334"/>
      <c r="AM47" s="332">
        <f>SUM(AO9:AO39)</f>
        <v>116440.79999999888</v>
      </c>
      <c r="AN47" s="333"/>
      <c r="AO47" s="334"/>
      <c r="AP47" s="332">
        <f>SUM(AR9:AR39)</f>
        <v>121215.3599999994</v>
      </c>
      <c r="AQ47" s="333"/>
      <c r="AR47" s="334"/>
      <c r="AS47" s="332">
        <f>SUM(AU9:AU39)</f>
        <v>88329.360000001267</v>
      </c>
      <c r="AT47" s="333"/>
      <c r="AU47" s="334"/>
      <c r="AV47" s="332">
        <f>SUM(AX9:AX39)</f>
        <v>155319.36000000127</v>
      </c>
      <c r="AW47" s="333"/>
      <c r="AX47" s="333"/>
      <c r="AY47" s="354"/>
      <c r="AZ47" s="317">
        <v>347300</v>
      </c>
      <c r="BA47" s="317"/>
      <c r="BB47" s="318"/>
      <c r="BC47" s="319">
        <v>361100</v>
      </c>
      <c r="BD47" s="317"/>
      <c r="BE47" s="318"/>
      <c r="BF47" s="319">
        <v>558842</v>
      </c>
      <c r="BG47" s="317"/>
      <c r="BH47" s="31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0">
        <v>131110</v>
      </c>
      <c r="BT47" s="571"/>
      <c r="BU47" s="361"/>
      <c r="BV47" s="572"/>
      <c r="BW47" s="572"/>
      <c r="BX47" s="108"/>
      <c r="BY47" s="314">
        <v>718</v>
      </c>
      <c r="BZ47" s="315"/>
      <c r="CA47" s="314">
        <v>719</v>
      </c>
      <c r="CB47" s="315"/>
      <c r="CC47" s="314">
        <v>234</v>
      </c>
      <c r="CD47" s="315"/>
      <c r="CE47" s="314">
        <v>265</v>
      </c>
      <c r="CF47" s="315"/>
      <c r="CG47" s="314">
        <v>368</v>
      </c>
      <c r="CH47" s="315"/>
      <c r="CI47" s="314">
        <v>820</v>
      </c>
      <c r="CJ47" s="315"/>
      <c r="CK47" s="332">
        <f>SUM(CM9:CM39)</f>
        <v>2878</v>
      </c>
      <c r="CL47" s="333"/>
      <c r="CM47" s="334"/>
      <c r="CN47" s="332">
        <f>SUM(CP9:CP39)</f>
        <v>7966</v>
      </c>
      <c r="CO47" s="333"/>
      <c r="CP47" s="334"/>
      <c r="CQ47" s="332">
        <f>SUM(CS9:CS39)</f>
        <v>7966</v>
      </c>
      <c r="CR47" s="333"/>
      <c r="CS47" s="334"/>
      <c r="CT47" s="567">
        <v>3894</v>
      </c>
      <c r="CU47" s="568"/>
      <c r="CV47" s="485"/>
      <c r="DJ47" s="4">
        <v>487.2</v>
      </c>
    </row>
    <row r="48" spans="1:160" ht="30" customHeight="1" x14ac:dyDescent="0.25">
      <c r="A48" s="308" t="s">
        <v>197</v>
      </c>
      <c r="B48" s="308"/>
      <c r="C48" s="329">
        <f>SUM(D10:D39)</f>
        <v>-244103</v>
      </c>
      <c r="D48" s="330"/>
      <c r="E48" s="331"/>
      <c r="F48" s="329">
        <f>SUM(G9:G39)</f>
        <v>-265812</v>
      </c>
      <c r="G48" s="330"/>
      <c r="H48" s="331"/>
      <c r="I48" s="329">
        <f>SUM(J10:J39)</f>
        <v>-15762</v>
      </c>
      <c r="J48" s="331"/>
      <c r="K48" s="329">
        <f>SUM(L9:L39)</f>
        <v>-929662</v>
      </c>
      <c r="L48" s="331"/>
      <c r="M48" s="329"/>
      <c r="N48" s="331"/>
      <c r="O48" s="329">
        <f>SUM(P9:P39)</f>
        <v>-120277</v>
      </c>
      <c r="P48" s="330"/>
      <c r="Q48" s="331"/>
      <c r="R48" s="329">
        <f>SUM(S9:S39)</f>
        <v>-6721</v>
      </c>
      <c r="S48" s="330"/>
      <c r="T48" s="336"/>
      <c r="U48" s="337">
        <f>SUM(V9:V39)</f>
        <v>-8278599.8399999999</v>
      </c>
      <c r="V48" s="338"/>
      <c r="W48" s="339"/>
      <c r="X48" s="337">
        <f>SUM(Y9:Y39)</f>
        <v>-15718143.84</v>
      </c>
      <c r="Y48" s="338"/>
      <c r="Z48" s="339"/>
      <c r="AA48" s="326">
        <f>SUM(AB9:AB39)</f>
        <v>-15913657.199999999</v>
      </c>
      <c r="AB48" s="327"/>
      <c r="AC48" s="328"/>
      <c r="AD48" s="326">
        <f>SUM(AE9:AE39)</f>
        <v>-19053368.879999999</v>
      </c>
      <c r="AE48" s="327"/>
      <c r="AF48" s="328"/>
      <c r="AG48" s="326">
        <f>SUM(AH9:AH39)</f>
        <v>-19316895.359999999</v>
      </c>
      <c r="AH48" s="327"/>
      <c r="AI48" s="328"/>
      <c r="AJ48" s="326">
        <f>SUM(AK9:AK39)</f>
        <v>-17853785.039999999</v>
      </c>
      <c r="AK48" s="327"/>
      <c r="AL48" s="328"/>
      <c r="AM48" s="326">
        <f>SUM(AN9:AN39)</f>
        <v>-15009949.919999998</v>
      </c>
      <c r="AN48" s="327"/>
      <c r="AO48" s="328"/>
      <c r="AP48" s="326">
        <f>SUM(AQ9:AQ39)</f>
        <v>-14552176.799999999</v>
      </c>
      <c r="AQ48" s="327"/>
      <c r="AR48" s="328"/>
      <c r="AS48" s="326">
        <f>SUM(AT9:AT39)</f>
        <v>-11342357.040000001</v>
      </c>
      <c r="AT48" s="327"/>
      <c r="AU48" s="328"/>
      <c r="AV48" s="326">
        <f>SUM(AW9:AW39)</f>
        <v>-18002722.080000002</v>
      </c>
      <c r="AW48" s="327"/>
      <c r="AX48" s="327"/>
      <c r="AY48" s="354"/>
      <c r="AZ48" s="317">
        <f>SUM(BA9:BA40)</f>
        <v>-78617600</v>
      </c>
      <c r="BA48" s="317"/>
      <c r="BB48" s="318"/>
      <c r="BC48" s="317">
        <f t="shared" ref="BC48" si="0">SUM(BD9:BD40)</f>
        <v>-81547000</v>
      </c>
      <c r="BD48" s="317"/>
      <c r="BE48" s="318"/>
      <c r="BF48" s="317">
        <f t="shared" ref="BF48" si="1">SUM(BG9:BG40)</f>
        <v>-75469900</v>
      </c>
      <c r="BG48" s="317"/>
      <c r="BH48" s="31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69">
        <f>SUM(BT9:BT39)</f>
        <v>-10588930</v>
      </c>
      <c r="BT48" s="569"/>
      <c r="BU48" s="361"/>
      <c r="BV48" s="573"/>
      <c r="BW48" s="574"/>
      <c r="BX48" s="111"/>
      <c r="BY48" s="314">
        <f>SUM(BZ9:BZ39)</f>
        <v>-65338</v>
      </c>
      <c r="BZ48" s="315"/>
      <c r="CA48" s="314">
        <f>SUM(CB9:CB39)</f>
        <v>-56457</v>
      </c>
      <c r="CB48" s="315"/>
      <c r="CC48" s="314">
        <f>SUM(CD9:CD39)</f>
        <v>-19060</v>
      </c>
      <c r="CD48" s="315"/>
      <c r="CE48" s="314">
        <f>SUM(CF9:CF39)</f>
        <v>-26116</v>
      </c>
      <c r="CF48" s="315"/>
      <c r="CG48" s="314">
        <f>SUM(CH9:CH39)</f>
        <v>-29262</v>
      </c>
      <c r="CH48" s="315"/>
      <c r="CI48" s="314">
        <f>SUM(CJ9:CJ39)</f>
        <v>-64366</v>
      </c>
      <c r="CJ48" s="315"/>
      <c r="CK48" s="314">
        <f>SUM(CL9:CL39)</f>
        <v>-272050</v>
      </c>
      <c r="CL48" s="316"/>
      <c r="CM48" s="315"/>
      <c r="CN48" s="314">
        <f>SUM(CO9:CO39)</f>
        <v>-221087</v>
      </c>
      <c r="CO48" s="316"/>
      <c r="CP48" s="315"/>
      <c r="CQ48" s="314">
        <f>SUM(CR9:CR39)</f>
        <v>-369542</v>
      </c>
      <c r="CR48" s="316"/>
      <c r="CS48" s="315"/>
      <c r="CT48" s="314">
        <f>SUM(CU9:CU39)</f>
        <v>-703819</v>
      </c>
      <c r="CU48" s="316"/>
      <c r="CV48" s="485"/>
    </row>
    <row r="49" spans="1:159" ht="30" customHeight="1" x14ac:dyDescent="0.25">
      <c r="A49" s="575" t="s">
        <v>182</v>
      </c>
      <c r="B49" s="575"/>
      <c r="C49" s="309">
        <f>C47-C48</f>
        <v>260561</v>
      </c>
      <c r="D49" s="310"/>
      <c r="E49" s="325"/>
      <c r="F49" s="309">
        <f>F47-F48</f>
        <v>3631535</v>
      </c>
      <c r="G49" s="310"/>
      <c r="H49" s="325"/>
      <c r="I49" s="309">
        <f>I47-I48</f>
        <v>22810.9</v>
      </c>
      <c r="J49" s="325"/>
      <c r="K49" s="309">
        <f>K47-K48</f>
        <v>937364.2</v>
      </c>
      <c r="L49" s="325"/>
      <c r="M49" s="309"/>
      <c r="N49" s="325"/>
      <c r="O49" s="340">
        <f>O47-O48</f>
        <v>124838</v>
      </c>
      <c r="P49" s="340"/>
      <c r="Q49" s="340"/>
      <c r="R49" s="309">
        <f>R47-R48</f>
        <v>7197</v>
      </c>
      <c r="S49" s="310"/>
      <c r="T49" s="336"/>
      <c r="U49" s="311">
        <f>U48-U47</f>
        <v>-8353823.5199999996</v>
      </c>
      <c r="V49" s="312"/>
      <c r="W49" s="313"/>
      <c r="X49" s="311">
        <f>X47-X48</f>
        <v>15850418.640000001</v>
      </c>
      <c r="Y49" s="312"/>
      <c r="Z49" s="313"/>
      <c r="AA49" s="311">
        <f>AA47-AA48</f>
        <v>15981231.84</v>
      </c>
      <c r="AB49" s="312"/>
      <c r="AC49" s="313"/>
      <c r="AD49" s="311">
        <f>AD47-AD48</f>
        <v>19198749.359999999</v>
      </c>
      <c r="AE49" s="312"/>
      <c r="AF49" s="313"/>
      <c r="AG49" s="311">
        <f>AG47-AG48</f>
        <v>19364689.679999996</v>
      </c>
      <c r="AH49" s="312"/>
      <c r="AI49" s="313"/>
      <c r="AJ49" s="311">
        <f>AJ47-AJ48</f>
        <v>18017143.199999999</v>
      </c>
      <c r="AK49" s="312"/>
      <c r="AL49" s="313"/>
      <c r="AM49" s="311">
        <f>AM47-AM48</f>
        <v>15126390.719999997</v>
      </c>
      <c r="AN49" s="312"/>
      <c r="AO49" s="313"/>
      <c r="AP49" s="311">
        <f>AP47-AP48</f>
        <v>14673392.159999998</v>
      </c>
      <c r="AQ49" s="312"/>
      <c r="AR49" s="313"/>
      <c r="AS49" s="311">
        <f>AS47-AS48</f>
        <v>11430686.400000002</v>
      </c>
      <c r="AT49" s="312"/>
      <c r="AU49" s="313"/>
      <c r="AV49" s="311">
        <f>AV47-AV48</f>
        <v>18158041.440000005</v>
      </c>
      <c r="AW49" s="312"/>
      <c r="AX49" s="312"/>
      <c r="AY49" s="354"/>
      <c r="AZ49" s="317">
        <f>AZ48-AZ47</f>
        <v>-78964900</v>
      </c>
      <c r="BA49" s="317"/>
      <c r="BB49" s="318"/>
      <c r="BC49" s="317">
        <f t="shared" ref="BC49" si="2">BC48-BC47</f>
        <v>-81908100</v>
      </c>
      <c r="BD49" s="317"/>
      <c r="BE49" s="318"/>
      <c r="BF49" s="317">
        <f t="shared" ref="BF49" si="3">BF48-BF47</f>
        <v>-76028742</v>
      </c>
      <c r="BG49" s="317"/>
      <c r="BH49" s="31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9"/>
      <c r="BT49" s="318"/>
      <c r="BU49" s="361"/>
      <c r="BV49" s="320"/>
      <c r="BW49" s="32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322">
        <f>CK47-CK48</f>
        <v>274928</v>
      </c>
      <c r="CL49" s="323"/>
      <c r="CM49" s="324"/>
      <c r="CN49" s="322">
        <f>CN47-CN48</f>
        <v>229053</v>
      </c>
      <c r="CO49" s="323"/>
      <c r="CP49" s="324"/>
      <c r="CQ49" s="322">
        <f>CQ47-CQ48</f>
        <v>377508</v>
      </c>
      <c r="CR49" s="323"/>
      <c r="CS49" s="324"/>
      <c r="CT49" s="576">
        <f>CT47-CT48</f>
        <v>707713</v>
      </c>
      <c r="CU49" s="322"/>
      <c r="CV49" s="485"/>
    </row>
    <row r="50" spans="1:159" ht="31.5" customHeight="1" thickBot="1" x14ac:dyDescent="0.3">
      <c r="A50" s="577" t="s">
        <v>183</v>
      </c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8" t="s">
        <v>198</v>
      </c>
      <c r="V50" s="579"/>
      <c r="W50" s="579"/>
      <c r="X50" s="579"/>
      <c r="Y50" s="579"/>
      <c r="Z50" s="580"/>
      <c r="AA50" s="297">
        <f>SUM(U47,X47,AA47,AD47,AG47,AJ47,AM47,AP47,AS47,AV47)</f>
        <v>1112910.959999999</v>
      </c>
      <c r="AB50" s="298"/>
      <c r="AC50" s="298"/>
      <c r="AD50" s="298"/>
      <c r="AE50" s="298"/>
      <c r="AF50" s="299"/>
      <c r="AG50" s="581" t="s">
        <v>199</v>
      </c>
      <c r="AH50" s="582"/>
      <c r="AI50" s="582"/>
      <c r="AJ50" s="582"/>
      <c r="AK50" s="582"/>
      <c r="AL50" s="583"/>
      <c r="AM50" s="584">
        <f>SUM(U48,X48,AA48,AD48,AG48,AJ48,AM48,AP48,AS48,AV48)</f>
        <v>-155041656</v>
      </c>
      <c r="AN50" s="585"/>
      <c r="AO50" s="585"/>
      <c r="AP50" s="585"/>
      <c r="AQ50" s="585"/>
      <c r="AR50" s="586"/>
      <c r="AS50" s="304" t="s">
        <v>184</v>
      </c>
      <c r="AT50" s="305"/>
      <c r="AU50" s="306"/>
      <c r="AV50" s="304">
        <f>AA50-AM50</f>
        <v>156154566.96000001</v>
      </c>
      <c r="AW50" s="305"/>
      <c r="AX50" s="305"/>
      <c r="AY50" s="354"/>
      <c r="AZ50" s="587">
        <v>44577</v>
      </c>
      <c r="BA50" s="588"/>
      <c r="BB50" s="589"/>
      <c r="BC50" s="587">
        <v>44942</v>
      </c>
      <c r="BD50" s="588"/>
      <c r="BE50" s="589"/>
      <c r="BF50" s="278" t="s">
        <v>182</v>
      </c>
      <c r="BG50" s="279"/>
      <c r="BH50" s="30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0"/>
      <c r="BT50" s="281"/>
      <c r="BU50" s="361"/>
      <c r="BV50" s="320"/>
      <c r="BW50" s="32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320"/>
      <c r="CL50" s="591"/>
      <c r="CM50" s="321"/>
      <c r="CN50" s="320"/>
      <c r="CO50" s="591"/>
      <c r="CP50" s="321"/>
      <c r="CQ50" s="320"/>
      <c r="CR50" s="591"/>
      <c r="CS50" s="321"/>
      <c r="CT50" s="590"/>
      <c r="CU50" s="320"/>
      <c r="CV50" s="486"/>
    </row>
    <row r="51" spans="1:159" ht="27.75" customHeight="1" x14ac:dyDescent="0.3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34"/>
      <c r="U51" s="294" t="s">
        <v>200</v>
      </c>
      <c r="V51" s="295"/>
      <c r="W51" s="295"/>
      <c r="X51" s="295"/>
      <c r="Y51" s="295"/>
      <c r="Z51" s="296"/>
      <c r="AA51" s="297">
        <f>SUM(U44:AX44)</f>
        <v>587514.479999993</v>
      </c>
      <c r="AB51" s="298"/>
      <c r="AC51" s="298"/>
      <c r="AD51" s="298"/>
      <c r="AE51" s="298"/>
      <c r="AF51" s="299"/>
      <c r="AG51" s="300" t="s">
        <v>201</v>
      </c>
      <c r="AH51" s="301"/>
      <c r="AI51" s="301"/>
      <c r="AJ51" s="301"/>
      <c r="AK51" s="301"/>
      <c r="AL51" s="302"/>
      <c r="AM51" s="303">
        <f>SUM(U45:AX45)</f>
        <v>569829.11999999825</v>
      </c>
      <c r="AN51" s="303"/>
      <c r="AO51" s="303"/>
      <c r="AP51" s="303"/>
      <c r="AQ51" s="303"/>
      <c r="AR51" s="303"/>
      <c r="AS51" s="304" t="s">
        <v>184</v>
      </c>
      <c r="AT51" s="305"/>
      <c r="AU51" s="306"/>
      <c r="AV51" s="304">
        <f>AA51-AM51</f>
        <v>17685.359999994747</v>
      </c>
      <c r="AW51" s="305"/>
      <c r="AX51" s="306"/>
      <c r="AY51" s="354"/>
      <c r="AZ51" s="278">
        <f>SUM(AZ47,BC47,BF47)</f>
        <v>1267242</v>
      </c>
      <c r="BA51" s="279"/>
      <c r="BB51" s="307"/>
      <c r="BC51" s="278">
        <f>SUM(AZ48:BG48)</f>
        <v>-235634500</v>
      </c>
      <c r="BD51" s="279"/>
      <c r="BE51" s="307"/>
      <c r="BF51" s="278">
        <v>643100</v>
      </c>
      <c r="BG51" s="279"/>
      <c r="BH51" s="27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0"/>
      <c r="BT51" s="281"/>
      <c r="BU51" s="361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282"/>
      <c r="B52" s="282"/>
      <c r="C52" s="282"/>
      <c r="D52" s="283"/>
      <c r="E52" s="283"/>
      <c r="F52" s="283"/>
      <c r="G52" s="284"/>
      <c r="H52" s="284"/>
      <c r="I52" s="284"/>
      <c r="J52" s="284"/>
      <c r="K52" s="117"/>
      <c r="L52" s="283"/>
      <c r="M52" s="283"/>
      <c r="N52" s="283"/>
      <c r="O52" s="283"/>
      <c r="P52" s="36"/>
      <c r="Q52" s="36"/>
      <c r="R52" s="118"/>
      <c r="S52" s="37"/>
      <c r="T52" s="38"/>
      <c r="U52" s="285"/>
      <c r="V52" s="285"/>
      <c r="W52" s="39"/>
      <c r="X52" s="286"/>
      <c r="Y52" s="286"/>
      <c r="Z52" s="7"/>
      <c r="AA52" s="119"/>
      <c r="AY52" s="354"/>
    </row>
    <row r="53" spans="1:159" ht="25.5" customHeight="1" x14ac:dyDescent="0.25">
      <c r="A53" s="287">
        <v>487.2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</row>
    <row r="54" spans="1:159" s="1" customFormat="1" ht="12.75" customHeight="1" x14ac:dyDescent="0.4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40"/>
      <c r="R54" s="40"/>
      <c r="S54" s="149"/>
      <c r="T54" s="38"/>
      <c r="U54" s="291"/>
      <c r="V54" s="291"/>
      <c r="W54" s="291"/>
      <c r="X54" s="291"/>
      <c r="Y54" s="29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92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90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270"/>
      <c r="B56" s="270"/>
      <c r="C56" s="270"/>
      <c r="D56" s="270"/>
      <c r="E56" s="270"/>
      <c r="F56" s="270"/>
      <c r="G56" s="270"/>
      <c r="H56" s="270"/>
      <c r="I56" s="270"/>
      <c r="J56" s="271"/>
      <c r="K56" s="271"/>
      <c r="L56" s="271"/>
      <c r="M56" s="271"/>
      <c r="N56" s="270"/>
      <c r="O56" s="270"/>
      <c r="P56" s="270"/>
      <c r="Q56" s="270"/>
      <c r="R56" s="270"/>
      <c r="S56" s="270"/>
      <c r="T56" s="270"/>
      <c r="U56" s="270"/>
      <c r="V56" s="288">
        <v>487.2</v>
      </c>
      <c r="W56" s="288"/>
      <c r="X56" s="292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90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89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89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267"/>
      <c r="D58" s="143"/>
      <c r="E58" s="268"/>
      <c r="F58" s="45"/>
      <c r="G58" s="268"/>
      <c r="H58" s="46"/>
      <c r="I58" s="267"/>
      <c r="J58" s="146"/>
      <c r="K58" s="267"/>
      <c r="L58" s="48"/>
      <c r="M58" s="267"/>
      <c r="N58" s="146"/>
      <c r="O58" s="267"/>
      <c r="P58" s="146"/>
      <c r="Q58" s="268"/>
      <c r="R58" s="54"/>
      <c r="S58" s="47"/>
      <c r="T58" s="47"/>
      <c r="U58" s="54"/>
      <c r="V58" s="48"/>
      <c r="W58" s="268"/>
      <c r="X58" s="292"/>
      <c r="Y58" s="2"/>
      <c r="Z58" s="268"/>
      <c r="AB58" s="272"/>
      <c r="AC58" s="45"/>
      <c r="AD58" s="267"/>
      <c r="AE58" s="47"/>
      <c r="AF58" s="268"/>
      <c r="AG58" s="45"/>
      <c r="AH58" s="268"/>
      <c r="AI58" s="45"/>
      <c r="AJ58" s="267"/>
      <c r="AK58" s="290"/>
      <c r="AL58" s="49"/>
      <c r="AM58" s="267"/>
      <c r="AN58" s="152"/>
      <c r="AO58" s="268"/>
      <c r="AP58" s="50"/>
      <c r="AQ58" s="268"/>
      <c r="AS58" s="267"/>
      <c r="AT58" s="2"/>
      <c r="AU58" s="268"/>
      <c r="AV58" s="51"/>
      <c r="AW58" s="273"/>
      <c r="AX58" s="289"/>
      <c r="AY58" s="52"/>
      <c r="AZ58" s="267"/>
      <c r="BA58" s="159"/>
      <c r="BB58" s="268"/>
      <c r="BC58" s="53"/>
      <c r="BD58" s="275"/>
      <c r="BE58" s="53"/>
      <c r="BF58" s="267"/>
      <c r="BG58" s="159"/>
      <c r="BH58" s="268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267"/>
      <c r="D59" s="144"/>
      <c r="E59" s="268"/>
      <c r="F59" s="55"/>
      <c r="G59" s="268"/>
      <c r="H59" s="121"/>
      <c r="I59" s="267"/>
      <c r="J59" s="131"/>
      <c r="K59" s="267"/>
      <c r="L59" s="131"/>
      <c r="M59" s="267"/>
      <c r="N59" s="130"/>
      <c r="O59" s="267"/>
      <c r="P59" s="146"/>
      <c r="Q59" s="268"/>
      <c r="R59" s="54"/>
      <c r="S59" s="47"/>
      <c r="T59" s="47"/>
      <c r="U59" s="54"/>
      <c r="V59" s="48"/>
      <c r="W59" s="268"/>
      <c r="X59" s="292"/>
      <c r="Y59" s="131"/>
      <c r="Z59" s="268"/>
      <c r="AB59" s="272"/>
      <c r="AC59" s="55"/>
      <c r="AD59" s="267"/>
      <c r="AE59" s="47"/>
      <c r="AF59" s="268"/>
      <c r="AG59" s="55"/>
      <c r="AH59" s="268"/>
      <c r="AI59" s="55"/>
      <c r="AJ59" s="267"/>
      <c r="AK59" s="290"/>
      <c r="AL59" s="49"/>
      <c r="AM59" s="267"/>
      <c r="AN59" s="153"/>
      <c r="AO59" s="268"/>
      <c r="AP59" s="50"/>
      <c r="AQ59" s="268"/>
      <c r="AR59" s="56"/>
      <c r="AS59" s="267"/>
      <c r="AT59" s="153"/>
      <c r="AU59" s="268"/>
      <c r="AV59" s="57"/>
      <c r="AW59" s="272"/>
      <c r="AX59" s="289"/>
      <c r="AY59" s="58"/>
      <c r="AZ59" s="267"/>
      <c r="BA59" s="159"/>
      <c r="BB59" s="268"/>
      <c r="BC59" s="53"/>
      <c r="BD59" s="275"/>
      <c r="BE59" s="53"/>
      <c r="BF59" s="267"/>
      <c r="BG59" s="159"/>
      <c r="BH59" s="268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0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289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0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289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0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289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0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289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0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289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0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289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0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289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0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289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0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289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0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289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0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289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0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289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0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289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0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289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0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289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0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289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0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289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0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289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0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289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0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289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0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289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0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289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0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289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2"/>
      <c r="Y83" s="2"/>
      <c r="Z83" s="48"/>
      <c r="AB83" s="48"/>
      <c r="AD83" s="123"/>
      <c r="AE83" s="60"/>
      <c r="AF83" s="60"/>
      <c r="AH83" s="60"/>
      <c r="AJ83" s="123"/>
      <c r="AK83" s="290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289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0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289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0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289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0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289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0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289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0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289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0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289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89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89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89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2"/>
      <c r="AA93" s="1"/>
      <c r="AD93" s="1"/>
      <c r="AG93" s="1"/>
      <c r="AJ93" s="1"/>
      <c r="AK93" s="290"/>
      <c r="AL93" s="1"/>
      <c r="AM93" s="1"/>
      <c r="AO93" s="61"/>
      <c r="AP93" s="49"/>
      <c r="AR93" s="1"/>
      <c r="AS93" s="1"/>
      <c r="AU93" s="1"/>
      <c r="AV93" s="49"/>
      <c r="AX93" s="289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2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7"/>
      <c r="AQ94" s="277"/>
      <c r="AR94" s="277"/>
      <c r="AS94" s="277"/>
      <c r="AT94" s="277"/>
      <c r="AU94" s="277"/>
      <c r="AV94" s="277"/>
      <c r="AW94" s="277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2023-02-17T06:56:03Z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