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EE35ACB2-B195-48CD-81B9-50E925AA4BD7}" xr6:coauthVersionLast="47" xr6:coauthVersionMax="47" xr10:uidLastSave="{00000000-0000-0000-0000-000000000000}"/>
  <bookViews>
    <workbookView xWindow="-98" yWindow="-98" windowWidth="19396" windowHeight="10276" tabRatio="338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s="1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<sst xmlns="http://schemas.openxmlformats.org/spreadsheetml/2006/main" count="77" uniqueCount="40">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</sst>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abSelected="1" topLeftCell="B1" workbookViewId="0">
      <selection activeCell="L35" sqref="L35"/>
    </sheetView>
  </sheetViews>
  <sheetFormatPr defaultColWidth="8.86328125" defaultRowHeight="12.75" x14ac:dyDescent="0.35"/>
  <cols>
    <col min="1" max="1" width="23" style="5" customWidth="1"/>
    <col min="2" max="2" width="11.46484375" style="5" customWidth="1"/>
    <col min="3" max="3" width="8.86328125" style="130"/>
    <col min="4" max="4" width="13.46484375" style="5" customWidth="1"/>
    <col min="5" max="5" width="12.46484375" style="104" customWidth="1"/>
    <col min="6" max="6" width="12.46484375" style="119" customWidth="1"/>
    <col min="7" max="7" width="8.86328125" style="105"/>
    <col min="8" max="8" width="8.86328125" style="122"/>
    <col min="9" max="10" width="8.86328125" style="111"/>
    <col min="11" max="11" width="8.86328125" style="106"/>
    <col min="12" max="12" width="8.86328125" style="125"/>
    <col min="13" max="13" width="12.3984375" style="116" bestFit="1" customWidth="1"/>
    <col min="14" max="14" width="12.3984375" style="128" bestFit="1" customWidth="1"/>
    <col min="15" max="15" width="8.86328125" style="112"/>
    <col min="16" max="16" width="11.46484375" style="112" customWidth="1"/>
    <col min="17" max="16384" width="8.86328125" style="5"/>
  </cols>
  <sheetData>
    <row r="1" spans="1:16" ht="71.650000000000006" thickBot="1" x14ac:dyDescent="0.4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4.65" thickTop="1" x14ac:dyDescent="0.4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25" x14ac:dyDescent="0.4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25" x14ac:dyDescent="0.4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25" x14ac:dyDescent="0.4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25" x14ac:dyDescent="0.4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25" x14ac:dyDescent="0.4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25" x14ac:dyDescent="0.4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25" x14ac:dyDescent="0.4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25" x14ac:dyDescent="0.4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25" x14ac:dyDescent="0.4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25" x14ac:dyDescent="0.4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25" x14ac:dyDescent="0.4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25" x14ac:dyDescent="0.4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25" x14ac:dyDescent="0.4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25" x14ac:dyDescent="0.4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25" x14ac:dyDescent="0.4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0</v>
      </c>
      <c r="F17" s="118" t="e">
        <f>(September!C17*0.27)/(September!C17+September!E17)</f>
        <v>#DIV/0!</v>
      </c>
      <c r="G17" s="105">
        <f>September!U17</f>
        <v>0</v>
      </c>
      <c r="H17" s="121">
        <v>0.62</v>
      </c>
      <c r="I17" s="106" t="str">
        <f>September!W17</f>
        <v>0</v>
      </c>
      <c r="J17" s="107">
        <v>2.42</v>
      </c>
      <c r="K17" s="114">
        <f>September!AB17*5.04</f>
        <v>0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0</v>
      </c>
      <c r="P17" s="108">
        <f>September!AD17</f>
        <v>0</v>
      </c>
    </row>
    <row r="18" spans="1:16" ht="14.25" x14ac:dyDescent="0.4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0</v>
      </c>
      <c r="F18" s="118" t="e">
        <f>(September!C18*0.27)/(September!C18+September!E18)</f>
        <v>#DIV/0!</v>
      </c>
      <c r="G18" s="105">
        <f>September!U18</f>
        <v>0</v>
      </c>
      <c r="H18" s="121">
        <v>0.62</v>
      </c>
      <c r="I18" s="106">
        <f>September!W18</f>
        <v>0</v>
      </c>
      <c r="J18" s="107">
        <v>2.42</v>
      </c>
      <c r="K18" s="114">
        <f>September!AB18*5.04</f>
        <v>0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0</v>
      </c>
      <c r="P18" s="108">
        <f>September!AD18</f>
        <v>0</v>
      </c>
    </row>
    <row r="19" spans="1:16" ht="14.25" x14ac:dyDescent="0.4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0</v>
      </c>
      <c r="F19" s="118" t="e">
        <f>(September!C19*0.27)/(September!C19+September!E19)</f>
        <v>#DIV/0!</v>
      </c>
      <c r="G19" s="105">
        <f>September!U19</f>
        <v>0</v>
      </c>
      <c r="H19" s="121">
        <v>0.62</v>
      </c>
      <c r="I19" s="106">
        <f>September!W19</f>
        <v>0</v>
      </c>
      <c r="J19" s="107">
        <v>2.42</v>
      </c>
      <c r="K19" s="114">
        <f>September!AB19*5.04</f>
        <v>0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0</v>
      </c>
      <c r="P19" s="108">
        <f>September!AD19</f>
        <v>0</v>
      </c>
    </row>
    <row r="20" spans="1:16" ht="14.25" x14ac:dyDescent="0.4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0</v>
      </c>
      <c r="F20" s="118" t="e">
        <f>(September!C20*0.27)/(September!C20+September!E20)</f>
        <v>#DIV/0!</v>
      </c>
      <c r="G20" s="105">
        <f>September!U20</f>
        <v>0</v>
      </c>
      <c r="H20" s="121">
        <v>0.62</v>
      </c>
      <c r="I20" s="106">
        <f>September!W20</f>
        <v>0</v>
      </c>
      <c r="J20" s="107">
        <v>2.42</v>
      </c>
      <c r="K20" s="114">
        <f>September!AB20*5.04</f>
        <v>0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0</v>
      </c>
      <c r="P20" s="108">
        <f>September!AD20</f>
        <v>0</v>
      </c>
    </row>
    <row r="21" spans="1:16" ht="14.25" x14ac:dyDescent="0.4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25" x14ac:dyDescent="0.4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25" x14ac:dyDescent="0.4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25" x14ac:dyDescent="0.4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25" x14ac:dyDescent="0.4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25" x14ac:dyDescent="0.4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25" x14ac:dyDescent="0.4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25" x14ac:dyDescent="0.4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25" x14ac:dyDescent="0.4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25" x14ac:dyDescent="0.4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25" x14ac:dyDescent="0.4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25" x14ac:dyDescent="0.4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35">
      <c r="D33" s="109"/>
      <c r="F33" s="118"/>
      <c r="I33" s="107"/>
      <c r="J33" s="107"/>
      <c r="K33" s="114"/>
      <c r="L33" s="124"/>
      <c r="O33" s="110"/>
      <c r="P33" s="110"/>
    </row>
    <row r="34" spans="4:16" x14ac:dyDescent="0.35">
      <c r="D34" s="109"/>
      <c r="F34" s="118"/>
      <c r="I34" s="107"/>
      <c r="J34" s="107"/>
      <c r="K34" s="114"/>
      <c r="L34" s="124"/>
      <c r="O34" s="110"/>
      <c r="P34" s="110"/>
    </row>
    <row r="35" spans="4:16" x14ac:dyDescent="0.35">
      <c r="D35" s="109"/>
      <c r="F35" s="118"/>
      <c r="I35" s="107"/>
      <c r="J35" s="107"/>
      <c r="K35" s="114"/>
      <c r="L35" s="124"/>
      <c r="O35" s="110"/>
      <c r="P35" s="110"/>
    </row>
    <row r="36" spans="4:16" x14ac:dyDescent="0.35">
      <c r="D36" s="109"/>
      <c r="F36" s="118"/>
      <c r="I36" s="107"/>
      <c r="J36" s="107"/>
      <c r="K36" s="114"/>
      <c r="L36" s="124"/>
      <c r="O36" s="110"/>
      <c r="P36" s="110"/>
    </row>
    <row r="37" spans="4:16" x14ac:dyDescent="0.35">
      <c r="D37" s="109"/>
      <c r="F37" s="118"/>
      <c r="I37" s="107"/>
      <c r="J37" s="107"/>
      <c r="K37" s="114"/>
      <c r="L37" s="124"/>
      <c r="O37" s="110"/>
      <c r="P37" s="110"/>
    </row>
    <row r="38" spans="4:16" x14ac:dyDescent="0.35">
      <c r="D38" s="109"/>
      <c r="F38" s="118"/>
      <c r="I38" s="107"/>
      <c r="J38" s="107"/>
      <c r="K38" s="114"/>
      <c r="L38" s="124"/>
      <c r="O38" s="110"/>
      <c r="P38" s="110"/>
    </row>
    <row r="39" spans="4:16" x14ac:dyDescent="0.35">
      <c r="D39" s="109"/>
      <c r="F39" s="118"/>
      <c r="I39" s="107"/>
      <c r="J39" s="107"/>
      <c r="K39" s="114"/>
      <c r="L39" s="124"/>
      <c r="O39" s="110"/>
      <c r="P39" s="110"/>
    </row>
    <row r="40" spans="4:16" x14ac:dyDescent="0.35">
      <c r="F40" s="118"/>
      <c r="K40" s="114"/>
      <c r="L40" s="124"/>
    </row>
    <row r="41" spans="4:16" x14ac:dyDescent="0.35">
      <c r="F41" s="118"/>
      <c r="K41" s="114"/>
      <c r="L41" s="124"/>
    </row>
    <row r="42" spans="4:16" x14ac:dyDescent="0.35">
      <c r="F42" s="118"/>
      <c r="K42" s="114"/>
      <c r="L42" s="124"/>
    </row>
    <row r="43" spans="4:16" x14ac:dyDescent="0.35">
      <c r="F43" s="118"/>
      <c r="K43" s="114"/>
      <c r="L43" s="124"/>
    </row>
    <row r="44" spans="4:16" x14ac:dyDescent="0.35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zoomScale="85" zoomScaleNormal="85" workbookViewId="0">
      <selection activeCell="E2" sqref="E2:E32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8.265625" style="15" customWidth="1"/>
    <col min="29" max="29" width="6.3984375" customWidth="1"/>
    <col min="30" max="30" width="7" customWidth="1"/>
    <col min="32" max="36" width="15.265625" customWidth="1"/>
  </cols>
  <sheetData>
    <row r="1" spans="1:31" s="3" customFormat="1" ht="72" customHeight="1" thickTop="1" x14ac:dyDescent="0.35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5" customHeight="1" x14ac:dyDescent="0.35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3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5" customHeight="1" x14ac:dyDescent="0.35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16" si="11">Z3+AA3-Z4</f>
        <v>85</v>
      </c>
    </row>
    <row r="4" spans="1:31" ht="20.75" customHeight="1" x14ac:dyDescent="0.35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5" customHeight="1" x14ac:dyDescent="0.35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5" customHeight="1" x14ac:dyDescent="0.35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5" customHeight="1" x14ac:dyDescent="0.35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5" customHeight="1" x14ac:dyDescent="0.35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5" customHeight="1" x14ac:dyDescent="0.35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5" customHeight="1" x14ac:dyDescent="0.35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5" customHeight="1" x14ac:dyDescent="0.35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5" customHeight="1" x14ac:dyDescent="0.35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5" customHeight="1" x14ac:dyDescent="0.35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5" customHeight="1" x14ac:dyDescent="0.35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5" customHeight="1" x14ac:dyDescent="0.35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5" customHeight="1" x14ac:dyDescent="0.35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-9877.8900000000067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0" ht="20.75" customHeight="1" x14ac:dyDescent="0.35">
      <c r="A17" s="20">
        <v>45551</v>
      </c>
      <c r="B17" s="10">
        <v>12821226</v>
      </c>
      <c r="C17" s="14" t="str">
        <f>IF(OR((B18-B17)&lt;0,B18=0),"0",B18-B17)</f>
        <v>0</v>
      </c>
      <c r="D17" s="11">
        <v>540017</v>
      </c>
      <c r="E17" s="14" t="str">
        <f t="shared" ref="E17" si="25">IF(OR((D18-D17)&lt;0,D18=0),"0",D18-D17)</f>
        <v>0</v>
      </c>
      <c r="F17" s="28">
        <v>1704</v>
      </c>
      <c r="G17" s="75">
        <f t="shared" si="5"/>
        <v>0</v>
      </c>
      <c r="H17" s="77">
        <f t="shared" si="6"/>
        <v>0</v>
      </c>
      <c r="I17" s="81">
        <f t="shared" si="7"/>
        <v>-45552.200000000004</v>
      </c>
      <c r="J17" s="33">
        <f t="shared" si="1"/>
        <v>0.20000000000436557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/>
      <c r="U17" s="33">
        <f t="shared" ref="U17:U20" si="26">IF(OR((S17+T17-S18)&lt;0,S17&gt;S16),"0",(S17+T17-S18))</f>
        <v>0</v>
      </c>
      <c r="V17" s="45">
        <v>115755</v>
      </c>
      <c r="W17" s="33" t="str">
        <f t="shared" si="8"/>
        <v>0</v>
      </c>
      <c r="X17" s="48">
        <v>60692</v>
      </c>
      <c r="Y17" s="33">
        <f t="shared" si="9"/>
        <v>-60692</v>
      </c>
      <c r="Z17" s="51">
        <v>6440</v>
      </c>
      <c r="AA17" s="57">
        <v>0</v>
      </c>
      <c r="AB17" s="33" t="str">
        <f t="shared" si="10"/>
        <v>0</v>
      </c>
      <c r="AC17" s="13"/>
      <c r="AD17" s="18"/>
    </row>
    <row r="18" spans="1:30" ht="20.75" customHeight="1" x14ac:dyDescent="0.35">
      <c r="A18" s="20">
        <v>45552</v>
      </c>
      <c r="B18" s="10"/>
      <c r="C18" s="14" t="str">
        <f t="shared" ref="C18:C32" si="27">IF(OR((B19-B18)&lt;0,B19=0),"0",B19-B18)</f>
        <v>0</v>
      </c>
      <c r="D18" s="11"/>
      <c r="E18" s="14" t="str">
        <f t="shared" ref="E18" si="28">IF(OR((D19-D18)&lt;0,D19=0),"0",D19-D18)</f>
        <v>0</v>
      </c>
      <c r="F18" s="28">
        <v>1704</v>
      </c>
      <c r="G18" s="75">
        <f t="shared" si="5"/>
        <v>0</v>
      </c>
      <c r="H18" s="77">
        <f t="shared" si="6"/>
        <v>0</v>
      </c>
      <c r="I18" s="81">
        <f t="shared" si="7"/>
        <v>-45552</v>
      </c>
      <c r="J18" s="33">
        <f t="shared" si="1"/>
        <v>-1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/>
      <c r="P18" s="94"/>
      <c r="Q18" s="93"/>
      <c r="R18" s="94"/>
      <c r="S18" s="40"/>
      <c r="T18" s="39"/>
      <c r="U18" s="33">
        <f t="shared" si="26"/>
        <v>0</v>
      </c>
      <c r="V18" s="45"/>
      <c r="W18" s="33">
        <f t="shared" si="8"/>
        <v>0</v>
      </c>
      <c r="X18" s="48"/>
      <c r="Y18" s="33">
        <f t="shared" si="9"/>
        <v>0</v>
      </c>
      <c r="Z18" s="51"/>
      <c r="AA18" s="57">
        <v>0</v>
      </c>
      <c r="AB18" s="33" t="str">
        <f t="shared" si="10"/>
        <v>0</v>
      </c>
      <c r="AC18" s="13"/>
      <c r="AD18" s="18"/>
    </row>
    <row r="19" spans="1:30" ht="20.75" customHeight="1" x14ac:dyDescent="0.35">
      <c r="A19" s="20">
        <v>45553</v>
      </c>
      <c r="B19" s="10"/>
      <c r="C19" s="14" t="str">
        <f t="shared" si="27"/>
        <v>0</v>
      </c>
      <c r="D19" s="11"/>
      <c r="E19" s="14" t="str">
        <f t="shared" ref="E19" si="29">IF(OR((D20-D19)&lt;0,D20=0),"0",D20-D19)</f>
        <v>0</v>
      </c>
      <c r="F19" s="28">
        <v>1704</v>
      </c>
      <c r="G19" s="75">
        <f t="shared" si="5"/>
        <v>0</v>
      </c>
      <c r="H19" s="77">
        <f t="shared" si="6"/>
        <v>0</v>
      </c>
      <c r="I19" s="81">
        <f t="shared" si="7"/>
        <v>-45553</v>
      </c>
      <c r="J19" s="33">
        <f t="shared" si="1"/>
        <v>-1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/>
      <c r="P19" s="94"/>
      <c r="Q19" s="93"/>
      <c r="R19" s="94"/>
      <c r="S19" s="40"/>
      <c r="T19" s="39"/>
      <c r="U19" s="33">
        <f t="shared" si="26"/>
        <v>0</v>
      </c>
      <c r="V19" s="45"/>
      <c r="W19" s="33">
        <f t="shared" si="8"/>
        <v>0</v>
      </c>
      <c r="X19" s="48"/>
      <c r="Y19" s="33">
        <f t="shared" si="9"/>
        <v>0</v>
      </c>
      <c r="Z19" s="51"/>
      <c r="AA19" s="57">
        <v>0</v>
      </c>
      <c r="AB19" s="33" t="str">
        <f t="shared" si="10"/>
        <v>0</v>
      </c>
      <c r="AC19" s="13"/>
      <c r="AD19" s="18"/>
    </row>
    <row r="20" spans="1:30" ht="20.75" customHeight="1" x14ac:dyDescent="0.35">
      <c r="A20" s="20">
        <v>45554</v>
      </c>
      <c r="B20" s="10"/>
      <c r="C20" s="14" t="str">
        <f t="shared" si="27"/>
        <v>0</v>
      </c>
      <c r="D20" s="11"/>
      <c r="E20" s="14" t="str">
        <f t="shared" ref="E20" si="30">IF(OR((D21-D20)&lt;0,D21=0),"0",D21-D20)</f>
        <v>0</v>
      </c>
      <c r="F20" s="28">
        <v>1704</v>
      </c>
      <c r="G20" s="75">
        <f t="shared" si="5"/>
        <v>0</v>
      </c>
      <c r="H20" s="77">
        <f t="shared" si="6"/>
        <v>0</v>
      </c>
      <c r="I20" s="81">
        <f t="shared" si="7"/>
        <v>-45554</v>
      </c>
      <c r="J20" s="33">
        <f t="shared" si="1"/>
        <v>-1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/>
      <c r="P20" s="94"/>
      <c r="Q20" s="93"/>
      <c r="R20" s="94"/>
      <c r="S20" s="40"/>
      <c r="T20" s="39"/>
      <c r="U20" s="33">
        <f t="shared" si="26"/>
        <v>0</v>
      </c>
      <c r="V20" s="45"/>
      <c r="W20" s="33">
        <f t="shared" si="8"/>
        <v>0</v>
      </c>
      <c r="X20" s="48"/>
      <c r="Y20" s="33">
        <f t="shared" si="9"/>
        <v>0</v>
      </c>
      <c r="Z20" s="51"/>
      <c r="AA20" s="57">
        <v>0</v>
      </c>
      <c r="AB20" s="33" t="str">
        <f t="shared" si="10"/>
        <v>0</v>
      </c>
      <c r="AC20" s="13"/>
      <c r="AD20" s="18"/>
    </row>
    <row r="21" spans="1:30" ht="20.75" customHeight="1" x14ac:dyDescent="0.35">
      <c r="A21" s="20">
        <v>45555</v>
      </c>
      <c r="B21" s="10"/>
      <c r="C21" s="14" t="str">
        <f t="shared" si="27"/>
        <v>0</v>
      </c>
      <c r="D21" s="11"/>
      <c r="E21" s="14" t="str">
        <f t="shared" ref="E21" si="31">IF(OR((D22-D21)&lt;0,D22=0),"0",D22-D21)</f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-45555</v>
      </c>
      <c r="J21" s="33">
        <f t="shared" si="1"/>
        <v>-1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/>
      <c r="P21" s="94"/>
      <c r="Q21" s="93"/>
      <c r="R21" s="94"/>
      <c r="S21" s="41"/>
      <c r="T21" s="39"/>
      <c r="U21" s="33">
        <f>IF(OR((S21+T21-S22)&lt;0,S21&gt;S20),"0",(S21+T21-S22))</f>
        <v>0</v>
      </c>
      <c r="V21" s="45"/>
      <c r="W21" s="33">
        <f t="shared" si="8"/>
        <v>0</v>
      </c>
      <c r="X21" s="48"/>
      <c r="Y21" s="33">
        <f t="shared" si="9"/>
        <v>0</v>
      </c>
      <c r="Z21" s="51"/>
      <c r="AA21" s="57">
        <v>0</v>
      </c>
      <c r="AB21" s="33" t="str">
        <f t="shared" si="10"/>
        <v>0</v>
      </c>
      <c r="AC21" s="13"/>
      <c r="AD21" s="18"/>
    </row>
    <row r="22" spans="1:30" ht="20.75" customHeight="1" x14ac:dyDescent="0.35">
      <c r="A22" s="20">
        <v>45556</v>
      </c>
      <c r="B22" s="10"/>
      <c r="C22" s="14" t="str">
        <f t="shared" si="27"/>
        <v>0</v>
      </c>
      <c r="D22" s="11"/>
      <c r="E22" s="14" t="str">
        <f t="shared" ref="E22" si="32">IF(OR((D23-D22)&lt;0,D23=0),"0",D23-D22)</f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1"/>
        <v>-1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33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</row>
    <row r="23" spans="1:30" ht="20.75" customHeight="1" x14ac:dyDescent="0.35">
      <c r="A23" s="20">
        <v>45557</v>
      </c>
      <c r="B23" s="10"/>
      <c r="C23" s="14" t="str">
        <f t="shared" si="27"/>
        <v>0</v>
      </c>
      <c r="D23" s="11"/>
      <c r="E23" s="14" t="str">
        <f t="shared" ref="E23" si="34">IF(OR((D24-D23)&lt;0,D24=0),"0",D24-D23)</f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1"/>
        <v>-1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33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</row>
    <row r="24" spans="1:30" ht="20.75" customHeight="1" x14ac:dyDescent="0.35">
      <c r="A24" s="20">
        <v>45558</v>
      </c>
      <c r="B24" s="10"/>
      <c r="C24" s="14" t="str">
        <f t="shared" si="27"/>
        <v>0</v>
      </c>
      <c r="D24" s="11"/>
      <c r="E24" s="14" t="str">
        <f t="shared" ref="E24" si="35">IF(OR((D25-D24)&lt;0,D25=0),"0",D25-D24)</f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1"/>
        <v>-1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33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</row>
    <row r="25" spans="1:30" ht="20.75" customHeight="1" x14ac:dyDescent="0.35">
      <c r="A25" s="20">
        <v>45559</v>
      </c>
      <c r="B25" s="10"/>
      <c r="C25" s="14" t="str">
        <f t="shared" si="27"/>
        <v>0</v>
      </c>
      <c r="D25" s="11"/>
      <c r="E25" s="14" t="str">
        <f t="shared" ref="E25" si="36">IF(OR((D26-D25)&lt;0,D26=0),"0",D26-D25)</f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1"/>
        <v>-1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33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</row>
    <row r="26" spans="1:30" ht="20.75" customHeight="1" x14ac:dyDescent="0.35">
      <c r="A26" s="20">
        <v>45560</v>
      </c>
      <c r="B26" s="10"/>
      <c r="C26" s="14" t="str">
        <f t="shared" si="27"/>
        <v>0</v>
      </c>
      <c r="D26" s="11"/>
      <c r="E26" s="14" t="str">
        <f t="shared" ref="E26" si="37">IF(OR((D27-D26)&lt;0,D27=0),"0",D27-D26)</f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1"/>
        <v>-1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33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</row>
    <row r="27" spans="1:30" ht="20.75" customHeight="1" x14ac:dyDescent="0.35">
      <c r="A27" s="20">
        <v>45561</v>
      </c>
      <c r="B27" s="10"/>
      <c r="C27" s="14" t="str">
        <f t="shared" si="27"/>
        <v>0</v>
      </c>
      <c r="D27" s="11"/>
      <c r="E27" s="14" t="str">
        <f t="shared" ref="E27" si="38">IF(OR((D28-D27)&lt;0,D28=0),"0",D28-D27)</f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1"/>
        <v>-1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33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</row>
    <row r="28" spans="1:30" ht="20.75" customHeight="1" x14ac:dyDescent="0.35">
      <c r="A28" s="20">
        <v>45562</v>
      </c>
      <c r="B28" s="10"/>
      <c r="C28" s="14" t="str">
        <f t="shared" si="27"/>
        <v>0</v>
      </c>
      <c r="D28" s="11"/>
      <c r="E28" s="14" t="str">
        <f t="shared" ref="E28" si="39">IF(OR((D29-D28)&lt;0,D29=0),"0",D29-D28)</f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1"/>
        <v>-1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33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</row>
    <row r="29" spans="1:30" ht="20.75" customHeight="1" x14ac:dyDescent="0.35">
      <c r="A29" s="20">
        <v>45563</v>
      </c>
      <c r="B29" s="10"/>
      <c r="C29" s="14" t="str">
        <f t="shared" si="27"/>
        <v>0</v>
      </c>
      <c r="D29" s="11"/>
      <c r="E29" s="14" t="str">
        <f t="shared" ref="E29" si="40">IF(OR((D30-D29)&lt;0,D30=0),"0",D30-D29)</f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1"/>
        <v>-1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33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</row>
    <row r="30" spans="1:30" ht="20.75" customHeight="1" x14ac:dyDescent="0.35">
      <c r="A30" s="20">
        <v>45564</v>
      </c>
      <c r="B30" s="10"/>
      <c r="C30" s="14" t="str">
        <f t="shared" si="27"/>
        <v>0</v>
      </c>
      <c r="D30" s="11"/>
      <c r="E30" s="14" t="str">
        <f t="shared" ref="E30" si="41">IF(OR((D31-D30)&lt;0,D31=0),"0",D31-D30)</f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1"/>
        <v>-1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33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</row>
    <row r="31" spans="1:30" ht="20.75" customHeight="1" x14ac:dyDescent="0.35">
      <c r="A31" s="20">
        <v>45565</v>
      </c>
      <c r="B31" s="10"/>
      <c r="C31" s="14" t="str">
        <f t="shared" si="27"/>
        <v>0</v>
      </c>
      <c r="D31" s="11"/>
      <c r="E31" s="14" t="str">
        <f t="shared" ref="E31" si="42">IF(OR((D32-D31)&lt;0,D32=0),"0",D32-D31)</f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1"/>
        <v>-1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33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</row>
    <row r="32" spans="1:30" ht="20.75" customHeight="1" thickBot="1" x14ac:dyDescent="0.4">
      <c r="A32" s="20">
        <v>45566</v>
      </c>
      <c r="B32" s="10"/>
      <c r="C32" s="14" t="str">
        <f t="shared" si="27"/>
        <v>0</v>
      </c>
      <c r="D32" s="11"/>
      <c r="E32" s="14" t="str">
        <f t="shared" ref="E32" si="43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1"/>
        <v>45566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33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</row>
    <row r="33" spans="1:30" ht="20.75" customHeight="1" thickTop="1" thickBot="1" x14ac:dyDescent="0.4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2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9.4" thickTop="1" x14ac:dyDescent="0.25">
      <c r="A34" s="83"/>
      <c r="B34" s="83"/>
      <c r="C34" s="84">
        <f>SUM(C2:C33)</f>
        <v>129502</v>
      </c>
      <c r="D34" s="85"/>
      <c r="E34" s="84">
        <f>SUM(E2:E33)</f>
        <v>18391</v>
      </c>
      <c r="F34" s="86"/>
      <c r="G34" s="84">
        <f>SUM(G2:G33)</f>
        <v>0</v>
      </c>
      <c r="H34" s="85">
        <f>SUM(H2:H33)</f>
        <v>147893</v>
      </c>
      <c r="I34" s="84">
        <f>SUM(I2:I32)</f>
        <v>-1264210.1099999999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1493</v>
      </c>
      <c r="U34" s="84">
        <f>SUM(U2:U33)</f>
        <v>1493</v>
      </c>
      <c r="V34" s="83"/>
      <c r="W34" s="84">
        <f>SUM(W2:W33)</f>
        <v>1788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3005</v>
      </c>
      <c r="AC34" s="87">
        <f>SUM(AC2:AC33)</f>
        <v>3204</v>
      </c>
      <c r="AD34" s="88">
        <f>SUM(AD2:AD33)</f>
        <v>6197</v>
      </c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35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2024-09-16T08:29:38Z</dcterms:modified>
  <cp:category/>
  <cp:contentStatus/>
</cp:coreProperties>
</file>