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K23" i="9"/>
  <c r="X28" i="7"/>
  <c r="L23" i="9" s="1"/>
  <c r="Y28" i="7"/>
  <c r="AN28" i="7"/>
  <c r="Z28" i="7"/>
  <c r="AO28" i="7"/>
  <c r="AA28" i="7"/>
  <c r="AB28" i="7"/>
  <c r="AC28" i="7"/>
  <c r="AR28" i="7" s="1"/>
  <c r="R29" i="7"/>
  <c r="AG29" i="7" s="1"/>
  <c r="S29" i="7"/>
  <c r="G24" i="9"/>
  <c r="T29" i="7"/>
  <c r="AI29" i="7"/>
  <c r="U29" i="7"/>
  <c r="I24" i="9" s="1"/>
  <c r="V29" i="7"/>
  <c r="AK29" i="7" s="1"/>
  <c r="W29" i="7"/>
  <c r="AL29" i="7" s="1"/>
  <c r="K24" i="9"/>
  <c r="X29" i="7"/>
  <c r="AM29" i="7" s="1"/>
  <c r="Y29" i="7"/>
  <c r="M24" i="9" s="1"/>
  <c r="Z29" i="7"/>
  <c r="AA29" i="7"/>
  <c r="AB29" i="7"/>
  <c r="P24" i="9" s="1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H32" i="7"/>
  <c r="AC22" i="7"/>
  <c r="Q17" i="9"/>
  <c r="AC23" i="7"/>
  <c r="Q18" i="9" s="1"/>
  <c r="X22" i="7"/>
  <c r="L17" i="9"/>
  <c r="AK20" i="7"/>
  <c r="AH22" i="7"/>
  <c r="P27" i="9"/>
  <c r="AI25" i="7"/>
  <c r="R28" i="9"/>
  <c r="G28" i="5"/>
  <c r="F20" i="9"/>
  <c r="N23" i="9"/>
  <c r="N28" i="9"/>
  <c r="AO36" i="7"/>
  <c r="T20" i="7"/>
  <c r="T21" i="7"/>
  <c r="AI21" i="7" s="1"/>
  <c r="F22" i="9"/>
  <c r="AP27" i="7"/>
  <c r="AW17" i="7"/>
  <c r="G18" i="9"/>
  <c r="AR22" i="7"/>
  <c r="F25" i="9"/>
  <c r="AG21" i="7"/>
  <c r="AN20" i="7"/>
  <c r="L4" i="9"/>
  <c r="K21" i="9"/>
  <c r="AG19" i="7"/>
  <c r="I27" i="9"/>
  <c r="AG31" i="7"/>
  <c r="K29" i="9"/>
  <c r="J29" i="9"/>
  <c r="Q30" i="9"/>
  <c r="O6" i="9"/>
  <c r="AP20" i="7"/>
  <c r="AW25" i="7"/>
  <c r="H29" i="9"/>
  <c r="AJ35" i="7"/>
  <c r="AO31" i="7"/>
  <c r="AH21" i="7"/>
  <c r="AO11" i="7"/>
  <c r="AL10" i="7"/>
  <c r="H26" i="9"/>
  <c r="AI31" i="7"/>
  <c r="N19" i="9"/>
  <c r="AO24" i="7"/>
  <c r="AL21" i="7"/>
  <c r="M23" i="9"/>
  <c r="AQ24" i="7"/>
  <c r="R19" i="9"/>
  <c r="G19" i="5" s="1"/>
  <c r="K26" i="9"/>
  <c r="AL31" i="7"/>
  <c r="AJ30" i="7"/>
  <c r="I15" i="9"/>
  <c r="K7" i="9"/>
  <c r="AN27" i="7"/>
  <c r="AM7" i="7"/>
  <c r="R27" i="9"/>
  <c r="G27" i="5"/>
  <c r="R22" i="9"/>
  <c r="G22" i="5" s="1"/>
  <c r="R29" i="9"/>
  <c r="G29" i="5"/>
  <c r="N25" i="9"/>
  <c r="L29" i="9"/>
  <c r="AG15" i="7"/>
  <c r="AL19" i="7"/>
  <c r="AF30" i="7"/>
  <c r="F14" i="9"/>
  <c r="O28" i="9"/>
  <c r="AM22" i="7"/>
  <c r="F19" i="9"/>
  <c r="AN9" i="7"/>
  <c r="AN36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AR34" i="7"/>
  <c r="Q29" i="9"/>
  <c r="P17" i="9"/>
  <c r="R10" i="9"/>
  <c r="G10" i="5" s="1"/>
  <c r="AW15" i="7"/>
  <c r="AK30" i="7"/>
  <c r="J22" i="9"/>
  <c r="K20" i="9"/>
  <c r="K11" i="9"/>
  <c r="AL16" i="7"/>
  <c r="AP13" i="7"/>
  <c r="AH30" i="7"/>
  <c r="AN30" i="7"/>
  <c r="M25" i="9"/>
  <c r="H21" i="9"/>
  <c r="AP36" i="7"/>
  <c r="AH15" i="7"/>
  <c r="AN11" i="7"/>
  <c r="L28" i="9"/>
  <c r="AP35" i="7"/>
  <c r="AG34" i="7"/>
  <c r="AS34" i="7" s="1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H18" i="9"/>
  <c r="F17" i="9"/>
  <c r="AN23" i="7"/>
  <c r="Q20" i="9"/>
  <c r="Q19" i="9"/>
  <c r="AP24" i="7"/>
  <c r="AK24" i="7"/>
  <c r="AJ24" i="7"/>
  <c r="G19" i="9"/>
  <c r="Q21" i="9"/>
  <c r="AI26" i="7"/>
  <c r="P21" i="9"/>
  <c r="AM28" i="7"/>
  <c r="Q24" i="9"/>
  <c r="O23" i="9"/>
  <c r="AP28" i="7"/>
  <c r="O24" i="9"/>
  <c r="AJ29" i="7"/>
  <c r="H24" i="9"/>
  <c r="AH29" i="7"/>
  <c r="E24" i="9"/>
  <c r="AP29" i="7"/>
  <c r="N24" i="9"/>
  <c r="H25" i="9"/>
  <c r="F24" i="9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10" i="7"/>
  <c r="R21" i="9"/>
  <c r="G21" i="5" s="1"/>
  <c r="AO18" i="7"/>
  <c r="AJ36" i="7"/>
  <c r="AQ35" i="7"/>
  <c r="P26" i="9"/>
  <c r="AN34" i="7"/>
  <c r="K25" i="9"/>
  <c r="AG10" i="7"/>
  <c r="G5" i="9"/>
  <c r="P22" i="9"/>
  <c r="AQ28" i="7"/>
  <c r="P23" i="9"/>
  <c r="AD34" i="7"/>
  <c r="AI35" i="7"/>
  <c r="AF34" i="7"/>
  <c r="AD32" i="7"/>
  <c r="AM31" i="7"/>
  <c r="AN8" i="7"/>
  <c r="P25" i="9"/>
  <c r="H27" i="9"/>
  <c r="M10" i="9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AW29" i="7" l="1"/>
  <c r="AQ29" i="7"/>
  <c r="AN29" i="7"/>
  <c r="AS29" i="7" s="1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H10" i="9"/>
  <c r="AI15" i="7"/>
  <c r="H31" i="9"/>
  <c r="AI36" i="7"/>
  <c r="AS36" i="7" s="1"/>
  <c r="U38" i="7"/>
  <c r="AA38" i="7"/>
  <c r="Y38" i="7"/>
  <c r="AD23" i="7"/>
  <c r="AD36" i="7"/>
  <c r="AP26" i="7"/>
  <c r="AI33" i="7"/>
  <c r="H28" i="9"/>
  <c r="E28" i="5" s="1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W38" i="7" l="1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<sst xmlns="http://schemas.openxmlformats.org/spreadsheetml/2006/main" count="127" uniqueCount="49">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</sst>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79000</v>
      </c>
      <c r="F18" s="11">
        <v>5.0000000000000001E-3</v>
      </c>
      <c r="G18" s="12">
        <f>Submetering!R18</f>
        <v>973.98599300000001</v>
      </c>
      <c r="H18" s="11">
        <v>0.52800000000000002</v>
      </c>
      <c r="I18" s="12">
        <f>Hotel!B23</f>
        <v>216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77580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77060</v>
      </c>
      <c r="F20" s="11">
        <v>5.0000000000000001E-3</v>
      </c>
      <c r="G20" s="12">
        <f>Submetering!R20</f>
        <v>800.23567400000002</v>
      </c>
      <c r="H20" s="11">
        <v>0.52800000000000002</v>
      </c>
      <c r="I20" s="12">
        <f>Hotel!B25</f>
        <v>83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869.88721800000008</v>
      </c>
      <c r="H21" s="11">
        <v>0.52800000000000002</v>
      </c>
      <c r="I21" s="12">
        <f>Hotel!B26</f>
        <v>100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76130</v>
      </c>
      <c r="F22" s="11">
        <v>5.0000000000000001E-3</v>
      </c>
      <c r="G22" s="12">
        <f>Submetering!R22</f>
        <v>916.82630199999994</v>
      </c>
      <c r="H22" s="11">
        <v>0.52800000000000002</v>
      </c>
      <c r="I22" s="12">
        <f>Hotel!B27</f>
        <v>115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78370</v>
      </c>
      <c r="F23" s="11">
        <v>5.0000000000000001E-3</v>
      </c>
      <c r="G23" s="12">
        <f>Submetering!R23</f>
        <v>761.24595099999999</v>
      </c>
      <c r="H23" s="11">
        <v>0.52800000000000002</v>
      </c>
      <c r="I23" s="12">
        <f>Hotel!B28</f>
        <v>178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10260</v>
      </c>
      <c r="F18" s="4">
        <f>Hotel!R23</f>
        <v>14800</v>
      </c>
      <c r="G18" s="4">
        <f>Hotel!S23</f>
        <v>170</v>
      </c>
      <c r="H18" s="4">
        <f>Hotel!T23</f>
        <v>1720</v>
      </c>
      <c r="I18" s="4">
        <f>Hotel!U23</f>
        <v>5470</v>
      </c>
      <c r="J18" s="4">
        <f>Hotel!V23</f>
        <v>4370</v>
      </c>
      <c r="K18" s="4">
        <f>Hotel!W23</f>
        <v>4050</v>
      </c>
      <c r="L18" s="4">
        <f>Hotel!X23</f>
        <v>5230</v>
      </c>
      <c r="M18" s="4">
        <f>Hotel!Y23</f>
        <v>6500</v>
      </c>
      <c r="N18" s="4">
        <f>Hotel!Z23</f>
        <v>2990</v>
      </c>
      <c r="O18" s="4">
        <f>Hotel!AA23</f>
        <v>3690</v>
      </c>
      <c r="P18" s="4">
        <f>Hotel!AB23</f>
        <v>7610</v>
      </c>
      <c r="Q18" s="4">
        <f>Hotel!AC23</f>
        <v>12140</v>
      </c>
      <c r="R18" s="4">
        <f>Hotel!AV23*0.00378541*100</f>
        <v>973.98599300000001</v>
      </c>
      <c r="S18" s="4">
        <f>Hotel!B23</f>
        <v>216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9980</v>
      </c>
      <c r="F19" s="4">
        <f>Hotel!R24</f>
        <v>14440</v>
      </c>
      <c r="G19" s="4">
        <f>Hotel!S24</f>
        <v>170</v>
      </c>
      <c r="H19" s="4">
        <f>Hotel!T24</f>
        <v>1690</v>
      </c>
      <c r="I19" s="4">
        <f>Hotel!U24</f>
        <v>5550</v>
      </c>
      <c r="J19" s="4">
        <f>Hotel!V24</f>
        <v>4240</v>
      </c>
      <c r="K19" s="4">
        <f>Hotel!W24</f>
        <v>3270</v>
      </c>
      <c r="L19" s="4">
        <f>Hotel!X24</f>
        <v>5140</v>
      </c>
      <c r="M19" s="4">
        <f>Hotel!Y24</f>
        <v>6370</v>
      </c>
      <c r="N19" s="4">
        <f>Hotel!Z24</f>
        <v>2880</v>
      </c>
      <c r="O19" s="4">
        <f>Hotel!AA24</f>
        <v>3480</v>
      </c>
      <c r="P19" s="4">
        <f>Hotel!AB24</f>
        <v>7400</v>
      </c>
      <c r="Q19" s="4">
        <f>Hotel!AC24</f>
        <v>12970</v>
      </c>
      <c r="R19" s="4">
        <f>Hotel!AV24*0.00378541*100</f>
        <v>758.217623</v>
      </c>
      <c r="S19" s="4">
        <f>Hotel!B24</f>
        <v>179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10250</v>
      </c>
      <c r="F20" s="4">
        <f>Hotel!R25</f>
        <v>14720</v>
      </c>
      <c r="G20" s="4">
        <f>Hotel!S25</f>
        <v>180</v>
      </c>
      <c r="H20" s="4">
        <f>Hotel!T25</f>
        <v>1690</v>
      </c>
      <c r="I20" s="4">
        <f>Hotel!U25</f>
        <v>5360</v>
      </c>
      <c r="J20" s="4">
        <f>Hotel!V25</f>
        <v>4340</v>
      </c>
      <c r="K20" s="4">
        <f>Hotel!W25</f>
        <v>3400</v>
      </c>
      <c r="L20" s="4">
        <f>Hotel!X25</f>
        <v>4970</v>
      </c>
      <c r="M20" s="4">
        <f>Hotel!Y25</f>
        <v>6430</v>
      </c>
      <c r="N20" s="4">
        <f>Hotel!Z25</f>
        <v>2800</v>
      </c>
      <c r="O20" s="4">
        <f>Hotel!AA25</f>
        <v>3260</v>
      </c>
      <c r="P20" s="4">
        <f>Hotel!AB25</f>
        <v>7460</v>
      </c>
      <c r="Q20" s="4">
        <f>Hotel!AC25</f>
        <v>12200</v>
      </c>
      <c r="R20" s="4">
        <f>Hotel!AV25*0.00378541*100</f>
        <v>800.23567400000002</v>
      </c>
      <c r="S20" s="4">
        <f>Hotel!B25</f>
        <v>83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10060</v>
      </c>
      <c r="F21" s="4">
        <f>Hotel!R26</f>
        <v>14440</v>
      </c>
      <c r="G21" s="4">
        <f>Hotel!S26</f>
        <v>180</v>
      </c>
      <c r="H21" s="4">
        <f>Hotel!T26</f>
        <v>1660</v>
      </c>
      <c r="I21" s="4">
        <f>Hotel!U26</f>
        <v>4940</v>
      </c>
      <c r="J21" s="4">
        <f>Hotel!V26</f>
        <v>4190</v>
      </c>
      <c r="K21" s="4">
        <f>Hotel!W26</f>
        <v>3070</v>
      </c>
      <c r="L21" s="4">
        <f>Hotel!X26</f>
        <v>4840</v>
      </c>
      <c r="M21" s="4">
        <f>Hotel!Y26</f>
        <v>6080</v>
      </c>
      <c r="N21" s="4">
        <f>Hotel!Z26</f>
        <v>2590</v>
      </c>
      <c r="O21" s="4">
        <f>Hotel!AA26</f>
        <v>3190</v>
      </c>
      <c r="P21" s="4">
        <f>Hotel!AB26</f>
        <v>7310</v>
      </c>
      <c r="Q21" s="4">
        <f>Hotel!AC26</f>
        <v>12530</v>
      </c>
      <c r="R21" s="4">
        <f>Hotel!AV26*0.00378541*100</f>
        <v>869.88721800000008</v>
      </c>
      <c r="S21" s="4">
        <f>Hotel!B26</f>
        <v>100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10640</v>
      </c>
      <c r="F22" s="4">
        <f>Hotel!R27</f>
        <v>15010</v>
      </c>
      <c r="G22" s="4">
        <f>Hotel!S27</f>
        <v>250</v>
      </c>
      <c r="H22" s="4">
        <f>Hotel!T27</f>
        <v>1650</v>
      </c>
      <c r="I22" s="4">
        <f>Hotel!U27</f>
        <v>4900</v>
      </c>
      <c r="J22" s="4">
        <f>Hotel!V27</f>
        <v>4220</v>
      </c>
      <c r="K22" s="4">
        <f>Hotel!W27</f>
        <v>3060</v>
      </c>
      <c r="L22" s="4">
        <f>Hotel!X27</f>
        <v>4870</v>
      </c>
      <c r="M22" s="4">
        <f>Hotel!Y27</f>
        <v>6270</v>
      </c>
      <c r="N22" s="4">
        <f>Hotel!Z27</f>
        <v>2530</v>
      </c>
      <c r="O22" s="4">
        <f>Hotel!AA27</f>
        <v>2990</v>
      </c>
      <c r="P22" s="4">
        <f>Hotel!AB27</f>
        <v>7430</v>
      </c>
      <c r="Q22" s="4">
        <f>Hotel!AC27</f>
        <v>12310</v>
      </c>
      <c r="R22" s="4">
        <f>Hotel!AV27*0.00378541*100</f>
        <v>916.82630199999994</v>
      </c>
      <c r="S22" s="4">
        <f>Hotel!B27</f>
        <v>115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10500</v>
      </c>
      <c r="F23" s="4">
        <f>Hotel!R28</f>
        <v>14950</v>
      </c>
      <c r="G23" s="4">
        <f>Hotel!S28</f>
        <v>240</v>
      </c>
      <c r="H23" s="4">
        <f>Hotel!T28</f>
        <v>1670</v>
      </c>
      <c r="I23" s="4">
        <f>Hotel!U28</f>
        <v>4980</v>
      </c>
      <c r="J23" s="4">
        <f>Hotel!V28</f>
        <v>4280</v>
      </c>
      <c r="K23" s="4">
        <f>Hotel!W28</f>
        <v>3170</v>
      </c>
      <c r="L23" s="4">
        <f>Hotel!X28</f>
        <v>5040</v>
      </c>
      <c r="M23" s="4">
        <f>Hotel!Y28</f>
        <v>6340</v>
      </c>
      <c r="N23" s="4">
        <f>Hotel!Z28</f>
        <v>2780</v>
      </c>
      <c r="O23" s="4">
        <f>Hotel!AA28</f>
        <v>3270</v>
      </c>
      <c r="P23" s="4">
        <f>Hotel!AB28</f>
        <v>7790</v>
      </c>
      <c r="Q23" s="4">
        <f>Hotel!AC28</f>
        <v>13360</v>
      </c>
      <c r="R23" s="4">
        <f>Hotel!AV28*0.00378541*100</f>
        <v>761.24595099999999</v>
      </c>
      <c r="S23" s="4">
        <f>Hotel!B28</f>
        <v>178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C1" zoomScale="93" zoomScaleNormal="93" workbookViewId="0">
      <selection activeCell="BA23" sqref="BA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>
        <v>216</v>
      </c>
      <c r="C23" s="24">
        <v>5626090</v>
      </c>
      <c r="D23" s="24">
        <v>11660910</v>
      </c>
      <c r="E23" s="24">
        <v>1412790</v>
      </c>
      <c r="F23" s="24">
        <v>2529350</v>
      </c>
      <c r="G23" s="24">
        <v>7637760</v>
      </c>
      <c r="H23" s="24">
        <v>3538800</v>
      </c>
      <c r="I23" s="24">
        <v>3579340</v>
      </c>
      <c r="J23" s="24">
        <v>4000330</v>
      </c>
      <c r="K23" s="24">
        <v>6573660</v>
      </c>
      <c r="L23" s="24">
        <v>2301390</v>
      </c>
      <c r="M23" s="24">
        <v>6151380</v>
      </c>
      <c r="N23" s="24">
        <v>8269830</v>
      </c>
      <c r="O23" s="24">
        <v>10641900</v>
      </c>
      <c r="Q23" s="37">
        <f t="shared" si="16"/>
        <v>10260</v>
      </c>
      <c r="R23" s="37">
        <f t="shared" si="17"/>
        <v>14800</v>
      </c>
      <c r="S23" s="37">
        <f t="shared" si="15"/>
        <v>170</v>
      </c>
      <c r="T23" s="37">
        <f t="shared" si="18"/>
        <v>1720</v>
      </c>
      <c r="U23" s="37">
        <f t="shared" si="19"/>
        <v>5470</v>
      </c>
      <c r="V23" s="37">
        <f t="shared" si="20"/>
        <v>4370</v>
      </c>
      <c r="W23" s="37">
        <f t="shared" si="21"/>
        <v>4050</v>
      </c>
      <c r="X23" s="37">
        <f t="shared" si="22"/>
        <v>5230</v>
      </c>
      <c r="Y23" s="37">
        <f t="shared" si="23"/>
        <v>6500</v>
      </c>
      <c r="Z23" s="37">
        <f t="shared" si="24"/>
        <v>2990</v>
      </c>
      <c r="AA23" s="37">
        <f t="shared" si="25"/>
        <v>3690</v>
      </c>
      <c r="AB23" s="37">
        <f t="shared" si="26"/>
        <v>7610</v>
      </c>
      <c r="AC23" s="37">
        <f t="shared" si="27"/>
        <v>12140</v>
      </c>
      <c r="AD23" s="35">
        <f t="shared" si="28"/>
        <v>79000</v>
      </c>
      <c r="AF23" s="20">
        <f t="shared" si="1"/>
        <v>51.300000000000004</v>
      </c>
      <c r="AG23" s="20">
        <f t="shared" si="2"/>
        <v>74</v>
      </c>
      <c r="AH23" s="20">
        <f t="shared" si="3"/>
        <v>0.85</v>
      </c>
      <c r="AI23" s="20">
        <f t="shared" si="4"/>
        <v>8.6</v>
      </c>
      <c r="AJ23" s="20">
        <f t="shared" si="5"/>
        <v>27.35</v>
      </c>
      <c r="AK23" s="20">
        <f t="shared" si="6"/>
        <v>21.85</v>
      </c>
      <c r="AL23" s="20">
        <f t="shared" si="7"/>
        <v>20.25</v>
      </c>
      <c r="AM23" s="20">
        <f t="shared" si="8"/>
        <v>26.150000000000002</v>
      </c>
      <c r="AN23" s="20">
        <f t="shared" si="9"/>
        <v>32.5</v>
      </c>
      <c r="AO23" s="20">
        <f t="shared" si="10"/>
        <v>14.950000000000001</v>
      </c>
      <c r="AP23" s="20">
        <f t="shared" si="11"/>
        <v>18.45</v>
      </c>
      <c r="AQ23" s="20">
        <f t="shared" si="12"/>
        <v>38.050000000000004</v>
      </c>
      <c r="AR23" s="20">
        <f t="shared" si="13"/>
        <v>60.7</v>
      </c>
      <c r="AS23" s="35">
        <f t="shared" si="29"/>
        <v>395</v>
      </c>
      <c r="AU23" s="47">
        <v>577737</v>
      </c>
      <c r="AV23" s="37">
        <f t="shared" si="31"/>
        <v>2573</v>
      </c>
      <c r="AW23" s="35">
        <f t="shared" si="30"/>
        <v>5.1459999999999999</v>
      </c>
    </row>
    <row r="24" spans="1:49" x14ac:dyDescent="0.25">
      <c r="A24" s="23">
        <v>43756</v>
      </c>
      <c r="B24" s="40">
        <v>179</v>
      </c>
      <c r="C24" s="24">
        <v>5636070</v>
      </c>
      <c r="D24" s="24">
        <v>11675350</v>
      </c>
      <c r="E24" s="24">
        <v>1412960</v>
      </c>
      <c r="F24" s="24">
        <v>2531040</v>
      </c>
      <c r="G24" s="24">
        <v>7643310</v>
      </c>
      <c r="H24" s="24">
        <v>3543040</v>
      </c>
      <c r="I24" s="24">
        <v>3582610</v>
      </c>
      <c r="J24" s="24">
        <v>4005470</v>
      </c>
      <c r="K24" s="24">
        <v>6580030</v>
      </c>
      <c r="L24" s="24">
        <v>2304270</v>
      </c>
      <c r="M24" s="24">
        <v>6154860</v>
      </c>
      <c r="N24" s="24">
        <v>8277230</v>
      </c>
      <c r="O24" s="24">
        <v>10654870</v>
      </c>
      <c r="Q24" s="37">
        <f t="shared" si="16"/>
        <v>9980</v>
      </c>
      <c r="R24" s="37">
        <f t="shared" si="17"/>
        <v>14440</v>
      </c>
      <c r="S24" s="37">
        <f t="shared" si="15"/>
        <v>170</v>
      </c>
      <c r="T24" s="37">
        <f t="shared" si="18"/>
        <v>1690</v>
      </c>
      <c r="U24" s="37">
        <f t="shared" si="19"/>
        <v>5550</v>
      </c>
      <c r="V24" s="37">
        <f t="shared" si="20"/>
        <v>4240</v>
      </c>
      <c r="W24" s="37">
        <f t="shared" si="21"/>
        <v>3270</v>
      </c>
      <c r="X24" s="37">
        <f t="shared" si="22"/>
        <v>5140</v>
      </c>
      <c r="Y24" s="37">
        <f t="shared" si="23"/>
        <v>6370</v>
      </c>
      <c r="Z24" s="37">
        <f t="shared" si="24"/>
        <v>2880</v>
      </c>
      <c r="AA24" s="37">
        <f t="shared" si="25"/>
        <v>3480</v>
      </c>
      <c r="AB24" s="37">
        <f t="shared" si="26"/>
        <v>7400</v>
      </c>
      <c r="AC24" s="37">
        <f t="shared" si="27"/>
        <v>12970</v>
      </c>
      <c r="AD24" s="35">
        <f t="shared" si="28"/>
        <v>77580</v>
      </c>
      <c r="AF24" s="20">
        <f t="shared" si="1"/>
        <v>49.9</v>
      </c>
      <c r="AG24" s="20">
        <f t="shared" si="2"/>
        <v>72.2</v>
      </c>
      <c r="AH24" s="20">
        <f t="shared" si="3"/>
        <v>0.85</v>
      </c>
      <c r="AI24" s="20">
        <f t="shared" si="4"/>
        <v>8.4499999999999993</v>
      </c>
      <c r="AJ24" s="20">
        <f t="shared" si="5"/>
        <v>27.75</v>
      </c>
      <c r="AK24" s="20">
        <f t="shared" si="6"/>
        <v>21.2</v>
      </c>
      <c r="AL24" s="20">
        <f t="shared" si="7"/>
        <v>16.350000000000001</v>
      </c>
      <c r="AM24" s="20">
        <f t="shared" si="8"/>
        <v>25.7</v>
      </c>
      <c r="AN24" s="20">
        <f t="shared" si="9"/>
        <v>31.85</v>
      </c>
      <c r="AO24" s="20">
        <f t="shared" si="10"/>
        <v>14.4</v>
      </c>
      <c r="AP24" s="20">
        <f t="shared" si="11"/>
        <v>17.400000000000002</v>
      </c>
      <c r="AQ24" s="20">
        <f t="shared" si="12"/>
        <v>37</v>
      </c>
      <c r="AR24" s="20">
        <f t="shared" si="13"/>
        <v>64.849999999999994</v>
      </c>
      <c r="AS24" s="35">
        <f t="shared" si="29"/>
        <v>387.89999999999986</v>
      </c>
      <c r="AU24" s="47">
        <v>579740</v>
      </c>
      <c r="AV24" s="37">
        <f t="shared" si="31"/>
        <v>2003</v>
      </c>
      <c r="AW24" s="35">
        <f t="shared" si="30"/>
        <v>4.0060000000000002</v>
      </c>
    </row>
    <row r="25" spans="1:49" x14ac:dyDescent="0.25">
      <c r="A25" s="23">
        <v>43757</v>
      </c>
      <c r="B25" s="40">
        <v>83</v>
      </c>
      <c r="C25" s="24">
        <v>5646320</v>
      </c>
      <c r="D25" s="24">
        <v>11690070</v>
      </c>
      <c r="E25" s="24">
        <v>1413140</v>
      </c>
      <c r="F25" s="24">
        <v>2532730</v>
      </c>
      <c r="G25" s="24">
        <v>7648670</v>
      </c>
      <c r="H25" s="24">
        <v>3547380</v>
      </c>
      <c r="I25" s="24">
        <v>3586010</v>
      </c>
      <c r="J25" s="24">
        <v>4010440</v>
      </c>
      <c r="K25" s="24">
        <v>6586460</v>
      </c>
      <c r="L25" s="24">
        <v>2307070</v>
      </c>
      <c r="M25" s="24">
        <v>6158120</v>
      </c>
      <c r="N25" s="24">
        <v>8284690</v>
      </c>
      <c r="O25" s="24">
        <v>10667070</v>
      </c>
      <c r="Q25" s="37">
        <f t="shared" ref="Q25:AC27" si="32">IF((C25-C24&lt;0), "0",C25-C24)</f>
        <v>10250</v>
      </c>
      <c r="R25" s="37">
        <f t="shared" si="32"/>
        <v>14720</v>
      </c>
      <c r="S25" s="37">
        <f t="shared" si="32"/>
        <v>180</v>
      </c>
      <c r="T25" s="37">
        <f t="shared" si="32"/>
        <v>1690</v>
      </c>
      <c r="U25" s="37">
        <f t="shared" si="32"/>
        <v>5360</v>
      </c>
      <c r="V25" s="37">
        <f t="shared" si="32"/>
        <v>4340</v>
      </c>
      <c r="W25" s="37">
        <f t="shared" si="32"/>
        <v>3400</v>
      </c>
      <c r="X25" s="37">
        <f t="shared" si="32"/>
        <v>4970</v>
      </c>
      <c r="Y25" s="37">
        <f t="shared" si="32"/>
        <v>6430</v>
      </c>
      <c r="Z25" s="37">
        <f t="shared" si="32"/>
        <v>2800</v>
      </c>
      <c r="AA25" s="37">
        <f t="shared" si="32"/>
        <v>3260</v>
      </c>
      <c r="AB25" s="37">
        <f t="shared" si="32"/>
        <v>7460</v>
      </c>
      <c r="AC25" s="37">
        <f t="shared" si="32"/>
        <v>12200</v>
      </c>
      <c r="AD25" s="35">
        <f t="shared" si="28"/>
        <v>77060</v>
      </c>
      <c r="AF25" s="20">
        <f t="shared" si="1"/>
        <v>51.25</v>
      </c>
      <c r="AG25" s="20">
        <f t="shared" si="2"/>
        <v>73.600000000000009</v>
      </c>
      <c r="AH25" s="20">
        <f t="shared" si="3"/>
        <v>0.9</v>
      </c>
      <c r="AI25" s="20">
        <f t="shared" si="4"/>
        <v>8.4499999999999993</v>
      </c>
      <c r="AJ25" s="20">
        <f t="shared" si="5"/>
        <v>26.8</v>
      </c>
      <c r="AK25" s="20">
        <f t="shared" si="6"/>
        <v>21.7</v>
      </c>
      <c r="AL25" s="20">
        <f t="shared" si="7"/>
        <v>17</v>
      </c>
      <c r="AM25" s="20">
        <f t="shared" si="8"/>
        <v>24.85</v>
      </c>
      <c r="AN25" s="20">
        <f t="shared" si="9"/>
        <v>32.15</v>
      </c>
      <c r="AO25" s="20">
        <f t="shared" si="10"/>
        <v>14</v>
      </c>
      <c r="AP25" s="20">
        <f t="shared" si="11"/>
        <v>16.3</v>
      </c>
      <c r="AQ25" s="20">
        <f t="shared" si="12"/>
        <v>37.300000000000004</v>
      </c>
      <c r="AR25" s="20">
        <f t="shared" si="13"/>
        <v>61</v>
      </c>
      <c r="AS25" s="35">
        <f t="shared" si="29"/>
        <v>385.3</v>
      </c>
      <c r="AU25" s="47">
        <v>581854</v>
      </c>
      <c r="AV25" s="37">
        <f t="shared" si="31"/>
        <v>2114</v>
      </c>
      <c r="AW25" s="35">
        <f t="shared" si="30"/>
        <v>4.2279999999999998</v>
      </c>
    </row>
    <row r="26" spans="1:49" x14ac:dyDescent="0.25">
      <c r="A26" s="23">
        <v>43758</v>
      </c>
      <c r="B26" s="40">
        <v>100</v>
      </c>
      <c r="C26" s="24">
        <v>5656380</v>
      </c>
      <c r="D26" s="24">
        <v>11704510</v>
      </c>
      <c r="E26" s="24">
        <v>1413320</v>
      </c>
      <c r="F26" s="24">
        <v>2534390</v>
      </c>
      <c r="G26" s="24">
        <v>7653610</v>
      </c>
      <c r="H26" s="24">
        <v>3551570</v>
      </c>
      <c r="I26" s="24">
        <v>3589080</v>
      </c>
      <c r="J26" s="24">
        <v>4015280</v>
      </c>
      <c r="K26" s="24">
        <v>6592540</v>
      </c>
      <c r="L26" s="24">
        <v>2309660</v>
      </c>
      <c r="M26" s="24">
        <v>6161310</v>
      </c>
      <c r="N26" s="24">
        <v>8292000</v>
      </c>
      <c r="O26" s="24">
        <v>10679600</v>
      </c>
      <c r="Q26" s="37">
        <f t="shared" si="32"/>
        <v>10060</v>
      </c>
      <c r="R26" s="37">
        <f t="shared" si="32"/>
        <v>14440</v>
      </c>
      <c r="S26" s="37">
        <f t="shared" si="32"/>
        <v>180</v>
      </c>
      <c r="T26" s="37">
        <f t="shared" si="32"/>
        <v>1660</v>
      </c>
      <c r="U26" s="37">
        <f t="shared" si="32"/>
        <v>4940</v>
      </c>
      <c r="V26" s="37">
        <f t="shared" si="32"/>
        <v>4190</v>
      </c>
      <c r="W26" s="37">
        <f t="shared" si="32"/>
        <v>3070</v>
      </c>
      <c r="X26" s="37">
        <f t="shared" si="32"/>
        <v>4840</v>
      </c>
      <c r="Y26" s="37">
        <f t="shared" si="32"/>
        <v>6080</v>
      </c>
      <c r="Z26" s="37">
        <f t="shared" si="32"/>
        <v>2590</v>
      </c>
      <c r="AA26" s="37">
        <f t="shared" si="32"/>
        <v>3190</v>
      </c>
      <c r="AB26" s="37">
        <f t="shared" si="32"/>
        <v>7310</v>
      </c>
      <c r="AC26" s="37">
        <f t="shared" si="32"/>
        <v>12530</v>
      </c>
      <c r="AD26" s="35">
        <f t="shared" si="28"/>
        <v>75080</v>
      </c>
      <c r="AF26" s="20">
        <f t="shared" si="1"/>
        <v>50.300000000000004</v>
      </c>
      <c r="AG26" s="20">
        <f t="shared" si="2"/>
        <v>72.2</v>
      </c>
      <c r="AH26" s="20">
        <f t="shared" si="3"/>
        <v>0.9</v>
      </c>
      <c r="AI26" s="20">
        <f t="shared" si="4"/>
        <v>8.3000000000000007</v>
      </c>
      <c r="AJ26" s="20">
        <f t="shared" si="5"/>
        <v>24.7</v>
      </c>
      <c r="AK26" s="20">
        <f t="shared" si="6"/>
        <v>20.95</v>
      </c>
      <c r="AL26" s="20">
        <f t="shared" si="7"/>
        <v>15.35</v>
      </c>
      <c r="AM26" s="20">
        <f t="shared" si="8"/>
        <v>24.2</v>
      </c>
      <c r="AN26" s="20">
        <f t="shared" si="9"/>
        <v>30.400000000000002</v>
      </c>
      <c r="AO26" s="20">
        <f t="shared" si="10"/>
        <v>12.950000000000001</v>
      </c>
      <c r="AP26" s="20">
        <f t="shared" si="11"/>
        <v>15.950000000000001</v>
      </c>
      <c r="AQ26" s="20">
        <f t="shared" si="12"/>
        <v>36.550000000000004</v>
      </c>
      <c r="AR26" s="20">
        <f t="shared" si="13"/>
        <v>62.65</v>
      </c>
      <c r="AS26" s="35">
        <f t="shared" si="29"/>
        <v>375.4</v>
      </c>
      <c r="AU26" s="47">
        <v>584152</v>
      </c>
      <c r="AV26" s="37">
        <f t="shared" si="31"/>
        <v>2298</v>
      </c>
      <c r="AW26" s="35">
        <f t="shared" si="30"/>
        <v>4.5960000000000001</v>
      </c>
    </row>
    <row r="27" spans="1:49" x14ac:dyDescent="0.25">
      <c r="A27" s="23">
        <v>43759</v>
      </c>
      <c r="B27" s="40">
        <v>115</v>
      </c>
      <c r="C27" s="24">
        <v>5667020</v>
      </c>
      <c r="D27" s="24">
        <v>11719520</v>
      </c>
      <c r="E27" s="24">
        <v>1413570</v>
      </c>
      <c r="F27" s="24">
        <v>2536040</v>
      </c>
      <c r="G27" s="24">
        <v>7658510</v>
      </c>
      <c r="H27" s="24">
        <v>3555790</v>
      </c>
      <c r="I27" s="24">
        <v>3592140</v>
      </c>
      <c r="J27" s="24">
        <v>4020150</v>
      </c>
      <c r="K27" s="24">
        <v>6598810</v>
      </c>
      <c r="L27" s="24">
        <v>2312190</v>
      </c>
      <c r="M27" s="24">
        <v>6164300</v>
      </c>
      <c r="N27" s="24">
        <v>8299430</v>
      </c>
      <c r="O27" s="24">
        <v>10691910</v>
      </c>
      <c r="Q27" s="37">
        <f t="shared" si="32"/>
        <v>10640</v>
      </c>
      <c r="R27" s="37">
        <f t="shared" si="32"/>
        <v>15010</v>
      </c>
      <c r="S27" s="37">
        <f t="shared" si="32"/>
        <v>250</v>
      </c>
      <c r="T27" s="37">
        <f t="shared" si="32"/>
        <v>1650</v>
      </c>
      <c r="U27" s="37">
        <f t="shared" si="32"/>
        <v>4900</v>
      </c>
      <c r="V27" s="37">
        <f t="shared" si="32"/>
        <v>4220</v>
      </c>
      <c r="W27" s="37">
        <f t="shared" si="32"/>
        <v>3060</v>
      </c>
      <c r="X27" s="37">
        <f t="shared" si="32"/>
        <v>4870</v>
      </c>
      <c r="Y27" s="37">
        <f t="shared" si="32"/>
        <v>6270</v>
      </c>
      <c r="Z27" s="37">
        <f t="shared" si="32"/>
        <v>2530</v>
      </c>
      <c r="AA27" s="37">
        <f t="shared" si="32"/>
        <v>2990</v>
      </c>
      <c r="AB27" s="37">
        <f t="shared" si="32"/>
        <v>7430</v>
      </c>
      <c r="AC27" s="37">
        <f t="shared" si="32"/>
        <v>12310</v>
      </c>
      <c r="AD27" s="35">
        <f t="shared" si="28"/>
        <v>76130</v>
      </c>
      <c r="AF27" s="20">
        <f t="shared" si="1"/>
        <v>53.2</v>
      </c>
      <c r="AG27" s="20">
        <f t="shared" si="2"/>
        <v>75.05</v>
      </c>
      <c r="AH27" s="20">
        <f t="shared" si="3"/>
        <v>1.25</v>
      </c>
      <c r="AI27" s="20">
        <f t="shared" si="4"/>
        <v>8.25</v>
      </c>
      <c r="AJ27" s="20">
        <f t="shared" si="5"/>
        <v>24.5</v>
      </c>
      <c r="AK27" s="20">
        <f t="shared" si="6"/>
        <v>21.1</v>
      </c>
      <c r="AL27" s="20">
        <f t="shared" si="7"/>
        <v>15.3</v>
      </c>
      <c r="AM27" s="20">
        <f t="shared" si="8"/>
        <v>24.35</v>
      </c>
      <c r="AN27" s="20">
        <f t="shared" si="9"/>
        <v>31.35</v>
      </c>
      <c r="AO27" s="20">
        <f t="shared" si="10"/>
        <v>12.65</v>
      </c>
      <c r="AP27" s="20">
        <f t="shared" si="11"/>
        <v>14.950000000000001</v>
      </c>
      <c r="AQ27" s="20">
        <f t="shared" si="12"/>
        <v>37.15</v>
      </c>
      <c r="AR27" s="20">
        <f t="shared" si="13"/>
        <v>61.550000000000004</v>
      </c>
      <c r="AS27" s="35">
        <f t="shared" si="29"/>
        <v>380.65</v>
      </c>
      <c r="AU27" s="47">
        <v>586574</v>
      </c>
      <c r="AV27" s="37">
        <f>IF((AU27-AU26&lt;0),"0",AU27-AU26)</f>
        <v>2422</v>
      </c>
      <c r="AW27" s="35">
        <f t="shared" si="30"/>
        <v>4.8440000000000003</v>
      </c>
    </row>
    <row r="28" spans="1:49" x14ac:dyDescent="0.25">
      <c r="A28" s="23">
        <v>43760</v>
      </c>
      <c r="B28" s="40">
        <v>178</v>
      </c>
      <c r="C28" s="24">
        <v>5677520</v>
      </c>
      <c r="D28" s="24">
        <v>11734470</v>
      </c>
      <c r="E28" s="24">
        <v>1413810</v>
      </c>
      <c r="F28" s="24">
        <v>2537710</v>
      </c>
      <c r="G28" s="24">
        <v>7663490</v>
      </c>
      <c r="H28" s="24">
        <v>3560070</v>
      </c>
      <c r="I28" s="24">
        <v>3595310</v>
      </c>
      <c r="J28" s="24">
        <v>4025190</v>
      </c>
      <c r="K28" s="24">
        <v>6605150</v>
      </c>
      <c r="L28" s="24">
        <v>2314970</v>
      </c>
      <c r="M28" s="24">
        <v>6167570</v>
      </c>
      <c r="N28" s="24">
        <v>8307220</v>
      </c>
      <c r="O28" s="24">
        <v>10705270</v>
      </c>
      <c r="Q28" s="37">
        <f t="shared" si="16"/>
        <v>10500</v>
      </c>
      <c r="R28" s="37">
        <f t="shared" si="17"/>
        <v>14950</v>
      </c>
      <c r="S28" s="37">
        <f t="shared" si="15"/>
        <v>240</v>
      </c>
      <c r="T28" s="37">
        <f t="shared" si="18"/>
        <v>1670</v>
      </c>
      <c r="U28" s="37">
        <f t="shared" si="19"/>
        <v>4980</v>
      </c>
      <c r="V28" s="37">
        <f t="shared" si="20"/>
        <v>4280</v>
      </c>
      <c r="W28" s="37">
        <f t="shared" si="21"/>
        <v>3170</v>
      </c>
      <c r="X28" s="37">
        <f t="shared" si="22"/>
        <v>5040</v>
      </c>
      <c r="Y28" s="37">
        <f t="shared" si="23"/>
        <v>6340</v>
      </c>
      <c r="Z28" s="37">
        <f t="shared" si="24"/>
        <v>2780</v>
      </c>
      <c r="AA28" s="37">
        <f t="shared" si="25"/>
        <v>3270</v>
      </c>
      <c r="AB28" s="37">
        <f t="shared" si="26"/>
        <v>7790</v>
      </c>
      <c r="AC28" s="37">
        <f t="shared" si="27"/>
        <v>13360</v>
      </c>
      <c r="AD28" s="35">
        <f t="shared" si="28"/>
        <v>78370</v>
      </c>
      <c r="AF28" s="20">
        <f t="shared" si="1"/>
        <v>52.5</v>
      </c>
      <c r="AG28" s="20">
        <f t="shared" si="2"/>
        <v>74.75</v>
      </c>
      <c r="AH28" s="20">
        <f t="shared" si="3"/>
        <v>1.2</v>
      </c>
      <c r="AI28" s="20">
        <f t="shared" si="4"/>
        <v>8.35</v>
      </c>
      <c r="AJ28" s="20">
        <f t="shared" si="5"/>
        <v>24.900000000000002</v>
      </c>
      <c r="AK28" s="20">
        <f t="shared" si="6"/>
        <v>21.400000000000002</v>
      </c>
      <c r="AL28" s="20">
        <f t="shared" si="7"/>
        <v>15.85</v>
      </c>
      <c r="AM28" s="20">
        <f t="shared" si="8"/>
        <v>25.2</v>
      </c>
      <c r="AN28" s="20">
        <f t="shared" si="9"/>
        <v>31.7</v>
      </c>
      <c r="AO28" s="20">
        <f t="shared" si="10"/>
        <v>13.9</v>
      </c>
      <c r="AP28" s="20">
        <f t="shared" si="11"/>
        <v>16.350000000000001</v>
      </c>
      <c r="AQ28" s="20">
        <f t="shared" si="12"/>
        <v>38.950000000000003</v>
      </c>
      <c r="AR28" s="20">
        <f t="shared" si="13"/>
        <v>66.8</v>
      </c>
      <c r="AS28" s="35">
        <f t="shared" si="29"/>
        <v>391.84999999999997</v>
      </c>
      <c r="AU28" s="47">
        <v>588585</v>
      </c>
      <c r="AV28" s="37">
        <f>IF((AU28-AU27&lt;0),"0",AU28-AU27)</f>
        <v>2011</v>
      </c>
      <c r="AW28" s="35">
        <f t="shared" si="30"/>
        <v>4.0220000000000002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235990</v>
      </c>
      <c r="R38" s="30">
        <f t="shared" si="35"/>
        <v>328860</v>
      </c>
      <c r="S38" s="30">
        <f t="shared" si="35"/>
        <v>21820</v>
      </c>
      <c r="T38" s="30">
        <f t="shared" si="35"/>
        <v>86520</v>
      </c>
      <c r="U38" s="30">
        <f t="shared" si="35"/>
        <v>115090</v>
      </c>
      <c r="V38" s="30">
        <f t="shared" si="35"/>
        <v>94960</v>
      </c>
      <c r="W38" s="30">
        <f t="shared" si="35"/>
        <v>75250</v>
      </c>
      <c r="X38" s="30">
        <f t="shared" si="35"/>
        <v>109340</v>
      </c>
      <c r="Y38" s="30">
        <f t="shared" si="35"/>
        <v>136900</v>
      </c>
      <c r="Z38" s="30">
        <f t="shared" si="35"/>
        <v>63380</v>
      </c>
      <c r="AA38" s="30">
        <f t="shared" si="35"/>
        <v>74170</v>
      </c>
      <c r="AB38" s="30">
        <f t="shared" si="35"/>
        <v>165110</v>
      </c>
      <c r="AC38" s="30">
        <f t="shared" si="35"/>
        <v>271110</v>
      </c>
      <c r="AD38" s="35">
        <f t="shared" si="35"/>
        <v>1778500</v>
      </c>
      <c r="AF38" s="35">
        <f t="shared" ref="AF38:AS38" si="36">SUM(AF7:AF34)</f>
        <v>1179.9499999999998</v>
      </c>
      <c r="AG38" s="35">
        <f t="shared" si="36"/>
        <v>1644.3</v>
      </c>
      <c r="AH38" s="35">
        <f t="shared" si="36"/>
        <v>109.1</v>
      </c>
      <c r="AI38" s="35">
        <f t="shared" si="36"/>
        <v>432.6</v>
      </c>
      <c r="AJ38" s="35">
        <f t="shared" si="36"/>
        <v>575.45000000000005</v>
      </c>
      <c r="AK38" s="35">
        <f t="shared" si="36"/>
        <v>474.8</v>
      </c>
      <c r="AL38" s="35">
        <f t="shared" si="36"/>
        <v>376.25000000000011</v>
      </c>
      <c r="AM38" s="35">
        <f t="shared" si="36"/>
        <v>546.69999999999993</v>
      </c>
      <c r="AN38" s="35">
        <f t="shared" si="36"/>
        <v>684.5</v>
      </c>
      <c r="AO38" s="35">
        <f t="shared" si="36"/>
        <v>316.89999999999998</v>
      </c>
      <c r="AP38" s="35">
        <f t="shared" si="36"/>
        <v>370.85</v>
      </c>
      <c r="AQ38" s="35">
        <f t="shared" si="36"/>
        <v>825.54999999999984</v>
      </c>
      <c r="AR38" s="35">
        <f t="shared" si="36"/>
        <v>1355.55</v>
      </c>
      <c r="AS38" s="35">
        <f t="shared" si="36"/>
        <v>8892.5</v>
      </c>
      <c r="AU38" s="48"/>
      <c r="AV38" s="35">
        <f>SUM(AV7:AV34)</f>
        <v>54645</v>
      </c>
      <c r="AW38" s="35">
        <f>SUM(AW7:AW34)</f>
        <v>98.358000000000004</v>
      </c>
    </row>
    <row r="39" spans="1:49" x14ac:dyDescent="0.25">
      <c r="D39">
        <v>5.0000000000000001E-3</v>
      </c>
      <c r="AV39" s="36">
        <f>AV38*0.00378541*1000</f>
        <v>206853.72945000001</v>
      </c>
    </row>
    <row r="40" spans="1:49" x14ac:dyDescent="0.25">
      <c r="D40">
        <v>2E-3</v>
      </c>
      <c r="AV40">
        <f>AV39/31</f>
        <v>6672.7009500000004</v>
      </c>
    </row>
    <row r="41" spans="1:49" x14ac:dyDescent="0.25">
      <c r="AV41">
        <f>AV38*0.00378541</f>
        <v>206.85372945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2019-10-23T08:19:12Z</dcterms:modified>
</cp:coreProperties>
</file>