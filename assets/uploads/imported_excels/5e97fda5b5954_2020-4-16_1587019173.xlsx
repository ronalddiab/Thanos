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<sst xmlns="http://schemas.openxmlformats.org/spreadsheetml/2006/main" count="106" uniqueCount="33">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</sst>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5" sqref="G5:G6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4</v>
      </c>
      <c r="D2" s="9">
        <v>2020</v>
      </c>
      <c r="E2" s="20">
        <f>Submetering!E2</f>
        <v>3759.75</v>
      </c>
      <c r="F2" s="16">
        <v>0.12</v>
      </c>
      <c r="G2" s="20">
        <f>Submetering!F2+Submetering!G2</f>
        <v>205.44006911469157</v>
      </c>
      <c r="H2" s="16">
        <v>0.71</v>
      </c>
      <c r="I2" s="20">
        <f>Submetering!J2+Submetering!I2+Submetering!H2</f>
        <v>18.283720670400001</v>
      </c>
      <c r="J2" s="16">
        <v>2.3196172978505634</v>
      </c>
      <c r="K2" s="20">
        <f>Submetering!K2</f>
        <v>5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4</v>
      </c>
      <c r="D3" s="9">
        <v>2020</v>
      </c>
      <c r="E3" s="20">
        <f>Submetering!E3</f>
        <v>3820.5</v>
      </c>
      <c r="F3" s="16">
        <v>0.12</v>
      </c>
      <c r="G3" s="20">
        <f>Submetering!F3+Submetering!G3</f>
        <v>159.00686102616822</v>
      </c>
      <c r="H3" s="16">
        <v>0.71</v>
      </c>
      <c r="I3" s="20">
        <f>Submetering!J3+Submetering!I3+Submetering!H3</f>
        <v>23.478000000000002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4</v>
      </c>
      <c r="D4" s="9">
        <v>2020</v>
      </c>
      <c r="E4" s="20">
        <f>Submetering!E4</f>
        <v>3861</v>
      </c>
      <c r="F4" s="16">
        <v>0.12</v>
      </c>
      <c r="G4" s="20">
        <f>Submetering!F4+Submetering!G4</f>
        <v>158.02281834766356</v>
      </c>
      <c r="H4" s="16">
        <v>0.71</v>
      </c>
      <c r="I4" s="20">
        <f>Submetering!J4+Submetering!I4+Submetering!H4</f>
        <v>18.286000000000001</v>
      </c>
      <c r="J4" s="16">
        <v>2.3196172978505634</v>
      </c>
      <c r="K4" s="20">
        <f>Submetering!K4</f>
        <v>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4</v>
      </c>
      <c r="D5" s="9">
        <v>2020</v>
      </c>
      <c r="E5" s="20">
        <f>Submetering!E5</f>
        <v>3836.25</v>
      </c>
      <c r="F5" s="16">
        <v>0.12</v>
      </c>
      <c r="G5" s="20">
        <f>Submetering!F5+Submetering!G5</f>
        <v>96.379349045981314</v>
      </c>
      <c r="H5" s="16">
        <v>0.71</v>
      </c>
      <c r="I5" s="20">
        <f>Submetering!J5+Submetering!I5+Submetering!H5</f>
        <v>21.454999999999998</v>
      </c>
      <c r="J5" s="16">
        <v>2.3196172978505634</v>
      </c>
      <c r="K5" s="20">
        <f>Submetering!K5</f>
        <v>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4</v>
      </c>
      <c r="D6" s="9">
        <v>2020</v>
      </c>
      <c r="E6" s="20">
        <f>Submetering!E6</f>
        <v>3719.25</v>
      </c>
      <c r="F6" s="16">
        <v>0.12</v>
      </c>
      <c r="G6" s="20">
        <f>Submetering!F6+Submetering!G6</f>
        <v>101.12570145906543</v>
      </c>
      <c r="H6" s="16">
        <v>0.71</v>
      </c>
      <c r="I6" s="20">
        <f>Submetering!J6+Submetering!I6+Submetering!H6</f>
        <v>23.678283974500001</v>
      </c>
      <c r="J6" s="16">
        <v>2.3196172978505634</v>
      </c>
      <c r="K6" s="20">
        <f>Submetering!K6</f>
        <v>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4</v>
      </c>
      <c r="D7" s="9">
        <v>2020</v>
      </c>
      <c r="E7" s="20">
        <f>Submetering!E7</f>
        <v>3831.75</v>
      </c>
      <c r="F7" s="16">
        <v>0.12</v>
      </c>
      <c r="G7" s="20">
        <f>Submetering!F7+Submetering!G7</f>
        <v>82.12129346727103</v>
      </c>
      <c r="H7" s="16">
        <v>0.71</v>
      </c>
      <c r="I7" s="20">
        <f>Submetering!J7+Submetering!I7+Submetering!H7</f>
        <v>20.847716025499999</v>
      </c>
      <c r="J7" s="16">
        <v>2.3196172978505634</v>
      </c>
      <c r="K7" s="20">
        <f>Submetering!K7</f>
        <v>5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4</v>
      </c>
      <c r="D8" s="9">
        <v>2020</v>
      </c>
      <c r="E8" s="20">
        <f>Submetering!E8</f>
        <v>3966.75</v>
      </c>
      <c r="F8" s="16">
        <v>0.12</v>
      </c>
      <c r="G8" s="20">
        <f>Submetering!F8+Submetering!G8</f>
        <v>26.878706532728977</v>
      </c>
      <c r="H8" s="16">
        <v>0.71</v>
      </c>
      <c r="I8" s="20">
        <f>Submetering!J8+Submetering!I8+Submetering!H8</f>
        <v>18.779685386999997</v>
      </c>
      <c r="J8" s="16">
        <v>2.3196172978505634</v>
      </c>
      <c r="K8" s="20">
        <f>Submetering!K8</f>
        <v>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4</v>
      </c>
      <c r="D9" s="9">
        <v>2020</v>
      </c>
      <c r="E9" s="20">
        <f>Submetering!E9</f>
        <v>4153.5</v>
      </c>
      <c r="F9" s="16">
        <v>0.12</v>
      </c>
      <c r="G9" s="20">
        <f>Submetering!F9+Submetering!G9</f>
        <v>5</v>
      </c>
      <c r="H9" s="16">
        <v>0.71</v>
      </c>
      <c r="I9" s="20">
        <f>Submetering!J9+Submetering!I9+Submetering!H9</f>
        <v>20.889314613000003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4</v>
      </c>
      <c r="D10" s="9">
        <v>2020</v>
      </c>
      <c r="E10" s="20">
        <f>Submetering!E10</f>
        <v>4142.25</v>
      </c>
      <c r="F10" s="16">
        <v>0.12</v>
      </c>
      <c r="G10" s="20">
        <f>Submetering!F10+Submetering!G10</f>
        <v>1</v>
      </c>
      <c r="H10" s="16">
        <v>0.71</v>
      </c>
      <c r="I10" s="20">
        <f>Submetering!J10+Submetering!I10+Submetering!H10</f>
        <v>16.4932068966</v>
      </c>
      <c r="J10" s="16">
        <v>2.3196172978505634</v>
      </c>
      <c r="K10" s="20">
        <f>Submetering!K10</f>
        <v>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4</v>
      </c>
      <c r="D11" s="9">
        <v>2020</v>
      </c>
      <c r="E11" s="20">
        <f>Submetering!E11</f>
        <v>4119.75</v>
      </c>
      <c r="F11" s="16">
        <v>0.12</v>
      </c>
      <c r="G11" s="20">
        <f>Submetering!F11+Submetering!G11</f>
        <v>2</v>
      </c>
      <c r="H11" s="16">
        <v>0.71</v>
      </c>
      <c r="I11" s="20">
        <f>Submetering!J11+Submetering!I11+Submetering!H11</f>
        <v>21.199793103399998</v>
      </c>
      <c r="J11" s="16">
        <v>2.3196172978505634</v>
      </c>
      <c r="K11" s="20">
        <f>Submetering!K11</f>
        <v>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4</v>
      </c>
      <c r="D12" s="9">
        <v>2020</v>
      </c>
      <c r="E12" s="20">
        <f>Submetering!E12</f>
        <v>3957.75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16.39</v>
      </c>
      <c r="J12" s="16">
        <v>2.3196172978505634</v>
      </c>
      <c r="K12" s="20">
        <f>Submetering!K12</f>
        <v>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4</v>
      </c>
      <c r="D13" s="9">
        <v>2020</v>
      </c>
      <c r="E13" s="20">
        <f>Submetering!E13</f>
        <v>4090.5</v>
      </c>
      <c r="F13" s="16">
        <v>0.12</v>
      </c>
      <c r="G13" s="20">
        <f>Submetering!F13+Submetering!G13</f>
        <v>3.0000000000000004</v>
      </c>
      <c r="H13" s="16">
        <v>0.71</v>
      </c>
      <c r="I13" s="20">
        <f>Submetering!J13+Submetering!I13+Submetering!H13</f>
        <v>22.579000000000001</v>
      </c>
      <c r="J13" s="16">
        <v>2.3196172978505634</v>
      </c>
      <c r="K13" s="20">
        <f>Submetering!K13</f>
        <v>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4</v>
      </c>
      <c r="D14" s="9">
        <v>2020</v>
      </c>
      <c r="E14" s="20">
        <f>Submetering!E14</f>
        <v>3955.5</v>
      </c>
      <c r="F14" s="16">
        <v>0.12</v>
      </c>
      <c r="G14" s="20">
        <f>Submetering!F14+Submetering!G14</f>
        <v>0.65592713431214955</v>
      </c>
      <c r="H14" s="16">
        <v>0.71</v>
      </c>
      <c r="I14" s="20">
        <f>Submetering!J14+Submetering!I14+Submetering!H14</f>
        <v>20.69</v>
      </c>
      <c r="J14" s="16">
        <v>2.3196172978505634</v>
      </c>
      <c r="K14" s="20">
        <f>Submetering!K14</f>
        <v>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4</v>
      </c>
      <c r="D15" s="9">
        <v>2020</v>
      </c>
      <c r="E15" s="20">
        <f>Submetering!E15</f>
        <v>4347</v>
      </c>
      <c r="F15" s="16">
        <v>0.12</v>
      </c>
      <c r="G15" s="20">
        <f>Submetering!F15+Submetering!G15</f>
        <v>1.3440728656915888</v>
      </c>
      <c r="H15" s="16">
        <v>0.71</v>
      </c>
      <c r="I15" s="20">
        <f>Submetering!J15+Submetering!I15+Submetering!H15</f>
        <v>22.292999999999999</v>
      </c>
      <c r="J15" s="16">
        <v>2.3196172978505634</v>
      </c>
      <c r="K15" s="20">
        <f>Submetering!K15</f>
        <v>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4</v>
      </c>
      <c r="D16" s="9">
        <v>2020</v>
      </c>
      <c r="E16" s="20">
        <f>Submetering!E16</f>
        <v>4110.75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16.39</v>
      </c>
      <c r="J16" s="16">
        <v>2.3196172978505634</v>
      </c>
      <c r="K16" s="20">
        <f>Submetering!K16</f>
        <v>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4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4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4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4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4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4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4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4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4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4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4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4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4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4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4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7" sqref="K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4</v>
      </c>
      <c r="D2" s="6">
        <v>2020</v>
      </c>
      <c r="E2" s="20">
        <v>3759.75</v>
      </c>
      <c r="F2" s="20">
        <v>202.53693495046727</v>
      </c>
      <c r="G2" s="20">
        <v>2.9031341642242996</v>
      </c>
      <c r="H2" s="20">
        <v>0.68400000000000005</v>
      </c>
      <c r="I2" s="20">
        <v>6</v>
      </c>
      <c r="J2" s="20">
        <v>11.5997206704</v>
      </c>
      <c r="K2" s="20">
        <v>5</v>
      </c>
    </row>
    <row r="3" spans="1:12" x14ac:dyDescent="0.25">
      <c r="A3" s="17" t="s">
        <v>32</v>
      </c>
      <c r="B3" s="6">
        <f>B2+1</f>
        <v>2</v>
      </c>
      <c r="C3" s="6">
        <v>4</v>
      </c>
      <c r="D3" s="6">
        <v>2020</v>
      </c>
      <c r="E3" s="20">
        <v>3820.5</v>
      </c>
      <c r="F3" s="20">
        <v>158.00686102616822</v>
      </c>
      <c r="G3" s="20">
        <v>1</v>
      </c>
      <c r="H3" s="20">
        <v>0.47799999999999998</v>
      </c>
      <c r="I3" s="20">
        <v>10</v>
      </c>
      <c r="J3" s="20">
        <v>13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4</v>
      </c>
      <c r="D4" s="6">
        <v>2020</v>
      </c>
      <c r="E4" s="20">
        <v>3861</v>
      </c>
      <c r="F4" s="20">
        <v>156.02281834766356</v>
      </c>
      <c r="G4" s="20">
        <v>2</v>
      </c>
      <c r="H4" s="20">
        <v>0.28599999999999998</v>
      </c>
      <c r="I4" s="20">
        <v>7</v>
      </c>
      <c r="J4" s="20">
        <v>11</v>
      </c>
      <c r="K4" s="20">
        <v>4</v>
      </c>
    </row>
    <row r="5" spans="1:12" x14ac:dyDescent="0.25">
      <c r="A5" s="17" t="s">
        <v>32</v>
      </c>
      <c r="B5" s="6">
        <f t="shared" si="0"/>
        <v>4</v>
      </c>
      <c r="C5" s="6">
        <v>4</v>
      </c>
      <c r="D5" s="6">
        <v>2020</v>
      </c>
      <c r="E5" s="20">
        <v>3836.25</v>
      </c>
      <c r="F5" s="20">
        <v>92.379349045981314</v>
      </c>
      <c r="G5" s="20">
        <v>4</v>
      </c>
      <c r="H5" s="20">
        <v>0.45500000000000002</v>
      </c>
      <c r="I5" s="20">
        <v>8</v>
      </c>
      <c r="J5" s="20">
        <v>13</v>
      </c>
      <c r="K5" s="20">
        <v>4</v>
      </c>
    </row>
    <row r="6" spans="1:12" x14ac:dyDescent="0.25">
      <c r="A6" s="17" t="s">
        <v>32</v>
      </c>
      <c r="B6" s="6">
        <f t="shared" si="0"/>
        <v>5</v>
      </c>
      <c r="C6" s="6">
        <v>4</v>
      </c>
      <c r="D6" s="6">
        <v>2020</v>
      </c>
      <c r="E6" s="20">
        <v>3719.25</v>
      </c>
      <c r="F6" s="20">
        <v>92.125701459065425</v>
      </c>
      <c r="G6" s="20">
        <v>9</v>
      </c>
      <c r="H6" s="20">
        <v>0.28000000000000003</v>
      </c>
      <c r="I6" s="20">
        <v>11</v>
      </c>
      <c r="J6" s="20">
        <v>12.3982839745</v>
      </c>
      <c r="K6" s="20">
        <v>4</v>
      </c>
    </row>
    <row r="7" spans="1:12" x14ac:dyDescent="0.25">
      <c r="A7" s="17" t="s">
        <v>32</v>
      </c>
      <c r="B7" s="6">
        <f t="shared" si="0"/>
        <v>6</v>
      </c>
      <c r="C7" s="6">
        <v>4</v>
      </c>
      <c r="D7" s="6">
        <v>2020</v>
      </c>
      <c r="E7" s="20">
        <v>3831.75</v>
      </c>
      <c r="F7" s="20">
        <v>75.47978142074767</v>
      </c>
      <c r="G7" s="20">
        <v>6.6415120465233652</v>
      </c>
      <c r="H7" s="20">
        <v>0.246</v>
      </c>
      <c r="I7" s="20">
        <v>8</v>
      </c>
      <c r="J7" s="20">
        <v>12.6017160255</v>
      </c>
      <c r="K7" s="20">
        <v>5</v>
      </c>
    </row>
    <row r="8" spans="1:12" x14ac:dyDescent="0.25">
      <c r="A8" s="17" t="s">
        <v>32</v>
      </c>
      <c r="B8" s="6">
        <f t="shared" si="0"/>
        <v>7</v>
      </c>
      <c r="C8" s="6">
        <v>4</v>
      </c>
      <c r="D8" s="6">
        <v>2020</v>
      </c>
      <c r="E8" s="20">
        <v>3966.75</v>
      </c>
      <c r="F8" s="20">
        <v>24.52021857925234</v>
      </c>
      <c r="G8" s="20">
        <v>2.3584879534766356</v>
      </c>
      <c r="H8" s="20">
        <v>0.38600000000000001</v>
      </c>
      <c r="I8" s="6">
        <v>7</v>
      </c>
      <c r="J8" s="20">
        <v>11.393685387</v>
      </c>
      <c r="K8" s="20">
        <v>6</v>
      </c>
    </row>
    <row r="9" spans="1:12" x14ac:dyDescent="0.25">
      <c r="A9" s="17" t="s">
        <v>32</v>
      </c>
      <c r="B9" s="6">
        <f t="shared" si="0"/>
        <v>8</v>
      </c>
      <c r="C9" s="6">
        <v>4</v>
      </c>
      <c r="D9" s="6">
        <v>2020</v>
      </c>
      <c r="E9" s="20">
        <v>4153.5</v>
      </c>
      <c r="F9" s="20">
        <v>0</v>
      </c>
      <c r="G9" s="6">
        <v>5</v>
      </c>
      <c r="H9" s="20">
        <v>0.28299999999999997</v>
      </c>
      <c r="I9" s="6">
        <v>7</v>
      </c>
      <c r="J9" s="20">
        <v>13.606314613</v>
      </c>
      <c r="K9" s="20">
        <v>7</v>
      </c>
    </row>
    <row r="10" spans="1:12" x14ac:dyDescent="0.25">
      <c r="A10" s="17" t="s">
        <v>32</v>
      </c>
      <c r="B10" s="6">
        <f t="shared" si="0"/>
        <v>9</v>
      </c>
      <c r="C10" s="6">
        <v>4</v>
      </c>
      <c r="D10" s="6">
        <v>2020</v>
      </c>
      <c r="E10" s="20">
        <v>4142.25</v>
      </c>
      <c r="F10" s="20">
        <v>0</v>
      </c>
      <c r="G10" s="20">
        <v>1</v>
      </c>
      <c r="H10" s="20">
        <v>1.107</v>
      </c>
      <c r="I10" s="6">
        <v>4</v>
      </c>
      <c r="J10" s="20">
        <v>11.386206896599999</v>
      </c>
      <c r="K10" s="20">
        <v>6</v>
      </c>
    </row>
    <row r="11" spans="1:12" x14ac:dyDescent="0.25">
      <c r="A11" s="17" t="s">
        <v>32</v>
      </c>
      <c r="B11" s="6">
        <f t="shared" si="0"/>
        <v>10</v>
      </c>
      <c r="C11" s="6">
        <v>4</v>
      </c>
      <c r="D11" s="6">
        <v>2020</v>
      </c>
      <c r="E11" s="20">
        <v>4119.75</v>
      </c>
      <c r="F11" s="20">
        <v>0</v>
      </c>
      <c r="G11" s="20">
        <v>2</v>
      </c>
      <c r="H11" s="20">
        <v>0.58599999999999997</v>
      </c>
      <c r="I11" s="6">
        <v>7</v>
      </c>
      <c r="J11" s="20">
        <v>13.613793103400001</v>
      </c>
      <c r="K11" s="20">
        <v>6</v>
      </c>
    </row>
    <row r="12" spans="1:12" x14ac:dyDescent="0.25">
      <c r="A12" s="17" t="s">
        <v>32</v>
      </c>
      <c r="B12" s="6">
        <f t="shared" si="0"/>
        <v>11</v>
      </c>
      <c r="C12" s="6">
        <v>4</v>
      </c>
      <c r="D12" s="6">
        <v>2020</v>
      </c>
      <c r="E12" s="20">
        <v>3957.75</v>
      </c>
      <c r="F12" s="20">
        <v>0</v>
      </c>
      <c r="G12" s="20">
        <v>0</v>
      </c>
      <c r="H12" s="20">
        <v>0.39</v>
      </c>
      <c r="I12" s="20">
        <v>3</v>
      </c>
      <c r="J12" s="20">
        <v>13</v>
      </c>
      <c r="K12" s="20">
        <v>6</v>
      </c>
    </row>
    <row r="13" spans="1:12" x14ac:dyDescent="0.25">
      <c r="A13" s="17" t="s">
        <v>32</v>
      </c>
      <c r="B13" s="6">
        <f t="shared" si="0"/>
        <v>12</v>
      </c>
      <c r="C13" s="6">
        <v>4</v>
      </c>
      <c r="D13" s="6">
        <v>2020</v>
      </c>
      <c r="E13" s="20">
        <v>4090.5</v>
      </c>
      <c r="F13" s="20">
        <v>0</v>
      </c>
      <c r="G13" s="20">
        <v>3.0000000000000004</v>
      </c>
      <c r="H13" s="20">
        <v>0.57899999999999996</v>
      </c>
      <c r="I13" s="20">
        <v>7</v>
      </c>
      <c r="J13" s="20">
        <v>15</v>
      </c>
      <c r="K13" s="20">
        <v>5</v>
      </c>
    </row>
    <row r="14" spans="1:12" x14ac:dyDescent="0.25">
      <c r="A14" s="17" t="s">
        <v>32</v>
      </c>
      <c r="B14" s="6">
        <f t="shared" si="0"/>
        <v>13</v>
      </c>
      <c r="C14" s="6">
        <v>4</v>
      </c>
      <c r="D14" s="6">
        <v>2020</v>
      </c>
      <c r="E14" s="20">
        <v>3955.5</v>
      </c>
      <c r="F14" s="20">
        <v>0</v>
      </c>
      <c r="G14" s="20">
        <v>0.65592713431214955</v>
      </c>
      <c r="H14" s="20">
        <v>0.69</v>
      </c>
      <c r="I14" s="20">
        <v>7</v>
      </c>
      <c r="J14" s="20">
        <v>13</v>
      </c>
      <c r="K14" s="20">
        <v>5</v>
      </c>
    </row>
    <row r="15" spans="1:12" x14ac:dyDescent="0.25">
      <c r="A15" s="17" t="s">
        <v>32</v>
      </c>
      <c r="B15" s="6">
        <f t="shared" si="0"/>
        <v>14</v>
      </c>
      <c r="C15" s="6">
        <v>4</v>
      </c>
      <c r="D15" s="6">
        <v>2020</v>
      </c>
      <c r="E15" s="20">
        <v>4347</v>
      </c>
      <c r="F15" s="20">
        <v>0</v>
      </c>
      <c r="G15" s="20">
        <v>1.3440728656915888</v>
      </c>
      <c r="H15" s="20">
        <v>0.29299999999999998</v>
      </c>
      <c r="I15" s="20">
        <v>7</v>
      </c>
      <c r="J15" s="20">
        <v>15</v>
      </c>
      <c r="K15" s="20">
        <v>7</v>
      </c>
    </row>
    <row r="16" spans="1:12" x14ac:dyDescent="0.25">
      <c r="A16" s="17" t="s">
        <v>32</v>
      </c>
      <c r="B16" s="6">
        <f t="shared" si="0"/>
        <v>15</v>
      </c>
      <c r="C16" s="6">
        <v>4</v>
      </c>
      <c r="D16" s="6">
        <v>2020</v>
      </c>
      <c r="E16" s="20">
        <v>4110.75</v>
      </c>
      <c r="F16" s="20">
        <v>0</v>
      </c>
      <c r="G16" s="20">
        <v>0</v>
      </c>
      <c r="H16" s="20">
        <v>0.39</v>
      </c>
      <c r="I16" s="20">
        <v>4</v>
      </c>
      <c r="J16" s="20">
        <v>12</v>
      </c>
      <c r="K16" s="20">
        <v>7</v>
      </c>
    </row>
    <row r="17" spans="1:11" x14ac:dyDescent="0.25">
      <c r="A17" s="17" t="s">
        <v>32</v>
      </c>
      <c r="B17" s="6">
        <f t="shared" si="0"/>
        <v>16</v>
      </c>
      <c r="C17" s="6">
        <v>4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4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4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4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4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4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4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4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4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4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4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4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4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4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4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2020-04-16T06:38:41Z</dcterms:modified>
</cp:coreProperties>
</file>