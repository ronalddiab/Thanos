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2021\"/>
    </mc:Choice>
  </mc:AlternateContent>
  <xr:revisionPtr revIDLastSave="0" documentId="13_ncr:1_{16FBE395-012F-4E49-9D94-70F02366985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eptember" sheetId="2" r:id="rId2"/>
  </sheets>
  <calcPr calcId="191029"/>
</workbook>
</file>

<file path=xl/calcChain.xml><?xml version="1.0" encoding="utf-8"?>
<calcChain xmlns="http://schemas.openxmlformats.org/spreadsheetml/2006/main">
  <c r="R40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E9" i="1"/>
  <c r="E12" i="1"/>
  <c r="E21" i="1"/>
  <c r="E24" i="1"/>
  <c r="E30" i="1"/>
  <c r="E31" i="1"/>
  <c r="Q38" i="2"/>
  <c r="O38" i="2"/>
  <c r="M38" i="2"/>
  <c r="K38" i="2"/>
  <c r="I38" i="2"/>
  <c r="I31" i="1" s="1"/>
  <c r="G38" i="2"/>
  <c r="E38" i="2"/>
  <c r="G31" i="1" s="1"/>
  <c r="C38" i="2"/>
  <c r="Q37" i="2"/>
  <c r="O37" i="2"/>
  <c r="M37" i="2"/>
  <c r="K37" i="2"/>
  <c r="I37" i="2"/>
  <c r="G37" i="2"/>
  <c r="E37" i="2"/>
  <c r="G30" i="1" s="1"/>
  <c r="C37" i="2"/>
  <c r="Q36" i="2"/>
  <c r="O36" i="2"/>
  <c r="I29" i="1" s="1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I28" i="1" s="1"/>
  <c r="G35" i="2"/>
  <c r="K28" i="1" s="1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I26" i="1" s="1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Q30" i="2"/>
  <c r="O30" i="2"/>
  <c r="I23" i="1" s="1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I22" i="1" s="1"/>
  <c r="G29" i="2"/>
  <c r="K22" i="1" s="1"/>
  <c r="E29" i="2"/>
  <c r="G22" i="1" s="1"/>
  <c r="C29" i="2"/>
  <c r="E22" i="1" s="1"/>
  <c r="Q28" i="2"/>
  <c r="O28" i="2"/>
  <c r="M28" i="2"/>
  <c r="K21" i="1" s="1"/>
  <c r="K28" i="2"/>
  <c r="I28" i="2"/>
  <c r="G28" i="2"/>
  <c r="E28" i="2"/>
  <c r="G21" i="1" s="1"/>
  <c r="C28" i="2"/>
  <c r="Q27" i="2"/>
  <c r="O27" i="2"/>
  <c r="I20" i="1" s="1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I19" i="1" s="1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I17" i="1" s="1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I16" i="1" s="1"/>
  <c r="G23" i="2"/>
  <c r="K16" i="1" s="1"/>
  <c r="E23" i="2"/>
  <c r="G16" i="1" s="1"/>
  <c r="C23" i="2"/>
  <c r="E16" i="1" s="1"/>
  <c r="Q22" i="2"/>
  <c r="O22" i="2"/>
  <c r="M22" i="2"/>
  <c r="K15" i="1" s="1"/>
  <c r="K22" i="2"/>
  <c r="I22" i="2"/>
  <c r="G22" i="2"/>
  <c r="E22" i="2"/>
  <c r="G15" i="1" s="1"/>
  <c r="C22" i="2"/>
  <c r="E15" i="1" s="1"/>
  <c r="Q21" i="2"/>
  <c r="O21" i="2"/>
  <c r="I14" i="1" s="1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I13" i="1" s="1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Q18" i="2"/>
  <c r="O18" i="2"/>
  <c r="I11" i="1" s="1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I10" i="1" s="1"/>
  <c r="G17" i="2"/>
  <c r="K10" i="1" s="1"/>
  <c r="E17" i="2"/>
  <c r="G10" i="1" s="1"/>
  <c r="C17" i="2"/>
  <c r="E10" i="1" s="1"/>
  <c r="Q16" i="2"/>
  <c r="O16" i="2"/>
  <c r="M16" i="2"/>
  <c r="K9" i="1" s="1"/>
  <c r="K16" i="2"/>
  <c r="I16" i="2"/>
  <c r="G16" i="2"/>
  <c r="E16" i="2"/>
  <c r="G9" i="1" s="1"/>
  <c r="C16" i="2"/>
  <c r="Q15" i="2"/>
  <c r="O15" i="2"/>
  <c r="I8" i="1" s="1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I5" i="1" s="1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I4" i="1" s="1"/>
  <c r="G11" i="2"/>
  <c r="K4" i="1" s="1"/>
  <c r="E11" i="2"/>
  <c r="G4" i="1" s="1"/>
  <c r="C11" i="2"/>
  <c r="E4" i="1" s="1"/>
  <c r="Q10" i="2"/>
  <c r="O10" i="2"/>
  <c r="M10" i="2"/>
  <c r="K3" i="1" s="1"/>
  <c r="K10" i="2"/>
  <c r="I10" i="2"/>
  <c r="G10" i="2"/>
  <c r="E10" i="2"/>
  <c r="G3" i="1" s="1"/>
  <c r="C10" i="2"/>
  <c r="E3" i="1" s="1"/>
  <c r="Q9" i="2"/>
  <c r="O9" i="2"/>
  <c r="O40" i="2" s="1"/>
  <c r="M9" i="2"/>
  <c r="M40" i="2" s="1"/>
  <c r="K9" i="2"/>
  <c r="I9" i="2"/>
  <c r="G9" i="2"/>
  <c r="E9" i="2"/>
  <c r="C9" i="2"/>
  <c r="G40" i="2" l="1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<sst xmlns="http://schemas.openxmlformats.org/spreadsheetml/2006/main" count="72" uniqueCount="35">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</sst>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H1" workbookViewId="0">
      <selection activeCell="J34" sqref="J34:J35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9</v>
      </c>
      <c r="D2" s="2">
        <v>2021</v>
      </c>
      <c r="E2" s="4">
        <f>IF(September!C9&gt;0,September!C9,0)</f>
        <v>4500</v>
      </c>
      <c r="F2" s="9">
        <v>0.16</v>
      </c>
      <c r="G2" s="4">
        <f>IF(September!E9&gt;0,September!E9,0)</f>
        <v>9.423</v>
      </c>
      <c r="H2" s="10">
        <v>1.46</v>
      </c>
      <c r="I2" s="4">
        <f>IF((September!I9+September!O9)&gt;0,(September!I9+September!O9),0)</f>
        <v>5334</v>
      </c>
      <c r="J2" s="10">
        <v>0.04</v>
      </c>
      <c r="K2" s="4">
        <f>IF((September!G9+September!M9)&gt;0,(September!G9+September!M9),0)</f>
        <v>2.7</v>
      </c>
      <c r="L2" s="10"/>
      <c r="M2" s="4">
        <f>September!R9</f>
        <v>26</v>
      </c>
    </row>
    <row r="3" spans="1:25" x14ac:dyDescent="0.25">
      <c r="A3" s="3" t="s">
        <v>7</v>
      </c>
      <c r="B3" s="2">
        <f>B2+1</f>
        <v>2</v>
      </c>
      <c r="C3" s="14">
        <v>9</v>
      </c>
      <c r="D3" s="14">
        <v>2021</v>
      </c>
      <c r="E3" s="4">
        <f>IF(September!C10&gt;0,September!C10,0)</f>
        <v>5400</v>
      </c>
      <c r="F3" s="9">
        <v>0.16</v>
      </c>
      <c r="G3" s="4">
        <f>IF(September!E10&gt;0,September!E10,0)</f>
        <v>11.516999999999999</v>
      </c>
      <c r="H3" s="14">
        <v>1.46</v>
      </c>
      <c r="I3" s="4">
        <f>IF((September!I10+September!O10)&gt;0,(September!I10+September!O10),0)</f>
        <v>6673</v>
      </c>
      <c r="J3" s="10">
        <v>0.04</v>
      </c>
      <c r="K3" s="4">
        <f>IF((September!G10+September!M10)&gt;0,(September!G10+September!M10),0)</f>
        <v>5.0000000000000009</v>
      </c>
      <c r="L3" s="14"/>
      <c r="M3" s="4">
        <f>September!R10</f>
        <v>34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9</v>
      </c>
      <c r="D4" s="14">
        <v>2021</v>
      </c>
      <c r="E4" s="4">
        <f>IF(September!C11&gt;0,September!C11,0)</f>
        <v>4800</v>
      </c>
      <c r="F4" s="9">
        <v>0.16</v>
      </c>
      <c r="G4" s="4">
        <f>IF(September!E11&gt;0,September!E11,0)</f>
        <v>10.469999999999999</v>
      </c>
      <c r="H4" s="14">
        <v>1.46</v>
      </c>
      <c r="I4" s="4">
        <f>IF((September!I11+September!O11)&gt;0,(September!I11+September!O11),0)</f>
        <v>8305</v>
      </c>
      <c r="J4" s="10">
        <v>0.04</v>
      </c>
      <c r="K4" s="4">
        <f>IF((September!G11+September!M11)&gt;0,(September!G11+September!M11),0)</f>
        <v>5.4</v>
      </c>
      <c r="L4" s="14"/>
      <c r="M4" s="4">
        <f>September!R11</f>
        <v>45</v>
      </c>
    </row>
    <row r="5" spans="1:25" x14ac:dyDescent="0.25">
      <c r="A5" s="3" t="s">
        <v>7</v>
      </c>
      <c r="B5" s="2">
        <f t="shared" si="0"/>
        <v>4</v>
      </c>
      <c r="C5" s="14">
        <v>9</v>
      </c>
      <c r="D5" s="14">
        <v>2021</v>
      </c>
      <c r="E5" s="4">
        <f>IF(September!C12&gt;0,September!C12,0)</f>
        <v>5100</v>
      </c>
      <c r="F5" s="9">
        <v>0.16</v>
      </c>
      <c r="G5" s="4">
        <f>IF(September!E12&gt;0,September!E12,0)</f>
        <v>10.469999999999999</v>
      </c>
      <c r="H5" s="14">
        <v>1.46</v>
      </c>
      <c r="I5" s="4">
        <f>IF((September!I12+September!O12)&gt;0,(September!I12+September!O12),0)</f>
        <v>6165</v>
      </c>
      <c r="J5" s="10">
        <v>0.04</v>
      </c>
      <c r="K5" s="4">
        <f>IF((September!G12+September!M12)&gt;0,(September!G12+September!M12),0)</f>
        <v>5.2</v>
      </c>
      <c r="L5" s="14"/>
      <c r="M5" s="4">
        <f>September!R12</f>
        <v>62</v>
      </c>
    </row>
    <row r="6" spans="1:25" x14ac:dyDescent="0.25">
      <c r="A6" s="3" t="s">
        <v>7</v>
      </c>
      <c r="B6" s="2">
        <f t="shared" si="0"/>
        <v>5</v>
      </c>
      <c r="C6" s="14">
        <v>9</v>
      </c>
      <c r="D6" s="14">
        <v>2021</v>
      </c>
      <c r="E6" s="4">
        <f>IF(September!C13&gt;0,September!C13,0)</f>
        <v>6300</v>
      </c>
      <c r="F6" s="9">
        <v>0.16</v>
      </c>
      <c r="G6" s="4">
        <f>IF(September!E13&gt;0,September!E13,0)</f>
        <v>11.516999999999999</v>
      </c>
      <c r="H6" s="14">
        <v>1.46</v>
      </c>
      <c r="I6" s="4">
        <f>IF((September!I13+September!O13)&gt;0,(September!I13+September!O13),0)</f>
        <v>9985</v>
      </c>
      <c r="J6" s="10">
        <v>0.04</v>
      </c>
      <c r="K6" s="4">
        <f>IF((September!G13+September!M13)&gt;0,(September!G13+September!M13),0)</f>
        <v>6.6000000000000005</v>
      </c>
      <c r="L6" s="14"/>
      <c r="M6" s="4">
        <f>September!R13</f>
        <v>48</v>
      </c>
    </row>
    <row r="7" spans="1:25" x14ac:dyDescent="0.25">
      <c r="A7" s="3" t="s">
        <v>7</v>
      </c>
      <c r="B7" s="2">
        <f t="shared" si="0"/>
        <v>6</v>
      </c>
      <c r="C7" s="14">
        <v>9</v>
      </c>
      <c r="D7" s="14">
        <v>2021</v>
      </c>
      <c r="E7" s="4">
        <f>IF(September!C14&gt;0,September!C14,0)</f>
        <v>5400</v>
      </c>
      <c r="F7" s="9">
        <v>0.16</v>
      </c>
      <c r="G7" s="4">
        <f>IF(September!E14&gt;0,September!E14,0)</f>
        <v>10.469999999999999</v>
      </c>
      <c r="H7" s="14">
        <v>1.46</v>
      </c>
      <c r="I7" s="4">
        <f>IF((September!I14+September!O14)&gt;0,(September!I14+September!O14),0)</f>
        <v>9320</v>
      </c>
      <c r="J7" s="10">
        <v>0.04</v>
      </c>
      <c r="K7" s="4">
        <f>IF((September!G14+September!M14)&gt;0,(September!G14+September!M14),0)</f>
        <v>5.4</v>
      </c>
      <c r="L7" s="14"/>
      <c r="M7" s="4">
        <f>September!R14</f>
        <v>23</v>
      </c>
    </row>
    <row r="8" spans="1:25" x14ac:dyDescent="0.25">
      <c r="A8" s="3" t="s">
        <v>7</v>
      </c>
      <c r="B8" s="2">
        <f t="shared" si="0"/>
        <v>7</v>
      </c>
      <c r="C8" s="14">
        <v>9</v>
      </c>
      <c r="D8" s="14">
        <v>2021</v>
      </c>
      <c r="E8" s="4">
        <f>IF(September!C15&gt;0,September!C15,0)</f>
        <v>6000</v>
      </c>
      <c r="F8" s="9">
        <v>0.16</v>
      </c>
      <c r="G8" s="4">
        <f>IF(September!E15&gt;0,September!E15,0)</f>
        <v>10.469999999999999</v>
      </c>
      <c r="H8" s="14">
        <v>1.46</v>
      </c>
      <c r="I8" s="4">
        <f>IF((September!I15+September!O15)&gt;0,(September!I15+September!O15),0)</f>
        <v>7882</v>
      </c>
      <c r="J8" s="10">
        <v>0.04</v>
      </c>
      <c r="K8" s="4">
        <f>IF((September!G15+September!M15)&gt;0,(September!G15+September!M15),0)</f>
        <v>4.2</v>
      </c>
      <c r="L8" s="14"/>
      <c r="M8" s="4">
        <f>September!R15</f>
        <v>22</v>
      </c>
    </row>
    <row r="9" spans="1:25" x14ac:dyDescent="0.25">
      <c r="A9" s="3" t="s">
        <v>7</v>
      </c>
      <c r="B9" s="2">
        <f t="shared" si="0"/>
        <v>8</v>
      </c>
      <c r="C9" s="14">
        <v>9</v>
      </c>
      <c r="D9" s="14">
        <v>2021</v>
      </c>
      <c r="E9" s="4">
        <f>IF(September!C16&gt;0,September!C16,0)</f>
        <v>4800</v>
      </c>
      <c r="F9" s="9">
        <v>0.16</v>
      </c>
      <c r="G9" s="4">
        <f>IF(September!E16&gt;0,September!E16,0)</f>
        <v>9.423</v>
      </c>
      <c r="H9" s="14">
        <v>1.46</v>
      </c>
      <c r="I9" s="4">
        <f>IF((September!I16+September!O16)&gt;0,(September!I16+September!O16),0)</f>
        <v>4794</v>
      </c>
      <c r="J9" s="10">
        <v>0.04</v>
      </c>
      <c r="K9" s="4">
        <f>IF((September!G16+September!M16)&gt;0,(September!G16+September!M16),0)</f>
        <v>3.9000000000000004</v>
      </c>
      <c r="L9" s="14"/>
      <c r="M9" s="4">
        <f>September!R16</f>
        <v>48</v>
      </c>
    </row>
    <row r="10" spans="1:25" x14ac:dyDescent="0.25">
      <c r="A10" s="3" t="s">
        <v>7</v>
      </c>
      <c r="B10" s="2">
        <f t="shared" si="0"/>
        <v>9</v>
      </c>
      <c r="C10" s="14">
        <v>9</v>
      </c>
      <c r="D10" s="14">
        <v>2021</v>
      </c>
      <c r="E10" s="4">
        <f>IF(September!C17&gt;0,September!C17,0)</f>
        <v>5700</v>
      </c>
      <c r="F10" s="9">
        <v>0.16</v>
      </c>
      <c r="G10" s="4">
        <f>IF(September!E17&gt;0,September!E17,0)</f>
        <v>10.469999999999999</v>
      </c>
      <c r="H10" s="14">
        <v>1.46</v>
      </c>
      <c r="I10" s="4">
        <f>IF((September!I17+September!O17)&gt;0,(September!I17+September!O17),0)</f>
        <v>6924</v>
      </c>
      <c r="J10" s="10">
        <v>0.04</v>
      </c>
      <c r="K10" s="4">
        <f>IF((September!G17+September!M17)&gt;0,(September!G17+September!M17),0)</f>
        <v>5</v>
      </c>
      <c r="L10" s="14"/>
      <c r="M10" s="4">
        <f>September!R17</f>
        <v>50</v>
      </c>
    </row>
    <row r="11" spans="1:25" x14ac:dyDescent="0.25">
      <c r="A11" s="3" t="s">
        <v>7</v>
      </c>
      <c r="B11" s="2">
        <f t="shared" si="0"/>
        <v>10</v>
      </c>
      <c r="C11" s="14">
        <v>9</v>
      </c>
      <c r="D11" s="14">
        <v>2021</v>
      </c>
      <c r="E11" s="4">
        <f>IF(September!C18&gt;0,September!C18,0)</f>
        <v>5400</v>
      </c>
      <c r="F11" s="9">
        <v>0.16</v>
      </c>
      <c r="G11" s="4">
        <f>IF(September!E18&gt;0,September!E18,0)</f>
        <v>10.469999999999999</v>
      </c>
      <c r="H11" s="14">
        <v>1.46</v>
      </c>
      <c r="I11" s="4">
        <f>IF((September!I18+September!O18)&gt;0,(September!I18+September!O18),0)</f>
        <v>7180</v>
      </c>
      <c r="J11" s="10">
        <v>0.04</v>
      </c>
      <c r="K11" s="4">
        <f>IF((September!G18+September!M18)&gt;0,(September!G18+September!M18),0)</f>
        <v>5.5</v>
      </c>
      <c r="L11" s="14"/>
      <c r="M11" s="4">
        <f>September!R18</f>
        <v>37</v>
      </c>
    </row>
    <row r="12" spans="1:25" x14ac:dyDescent="0.25">
      <c r="A12" s="3" t="s">
        <v>7</v>
      </c>
      <c r="B12" s="2">
        <f t="shared" si="0"/>
        <v>11</v>
      </c>
      <c r="C12" s="14">
        <v>9</v>
      </c>
      <c r="D12" s="14">
        <v>2021</v>
      </c>
      <c r="E12" s="4">
        <f>IF(September!C19&gt;0,September!C19,0)</f>
        <v>5700</v>
      </c>
      <c r="F12" s="9">
        <v>0.16</v>
      </c>
      <c r="G12" s="4">
        <f>IF(September!E19&gt;0,September!E19,0)</f>
        <v>10.469999999999999</v>
      </c>
      <c r="H12" s="14">
        <v>1.46</v>
      </c>
      <c r="I12" s="4">
        <f>IF((September!I19+September!O19)&gt;0,(September!I19+September!O19),0)</f>
        <v>6905</v>
      </c>
      <c r="J12" s="10">
        <v>0.04</v>
      </c>
      <c r="K12" s="4">
        <f>IF((September!G19+September!M19)&gt;0,(September!G19+September!M19),0)</f>
        <v>6</v>
      </c>
      <c r="L12" s="14"/>
      <c r="M12" s="4">
        <f>September!R19</f>
        <v>58</v>
      </c>
    </row>
    <row r="13" spans="1:25" x14ac:dyDescent="0.25">
      <c r="A13" s="3" t="s">
        <v>7</v>
      </c>
      <c r="B13" s="2">
        <f t="shared" si="0"/>
        <v>12</v>
      </c>
      <c r="C13" s="14">
        <v>9</v>
      </c>
      <c r="D13" s="14">
        <v>2021</v>
      </c>
      <c r="E13" s="4">
        <f>IF(September!C20&gt;0,September!C20,0)</f>
        <v>8400</v>
      </c>
      <c r="F13" s="9">
        <v>0.16</v>
      </c>
      <c r="G13" s="4">
        <f>IF(September!E20&gt;0,September!E20,0)</f>
        <v>12.564</v>
      </c>
      <c r="H13" s="14">
        <v>1.46</v>
      </c>
      <c r="I13" s="4">
        <f>IF((September!I20+September!O20)&gt;0,(September!I20+September!O20),0)</f>
        <v>12567</v>
      </c>
      <c r="J13" s="10">
        <v>0.04</v>
      </c>
      <c r="K13" s="4">
        <f>IF((September!G20+September!M20)&gt;0,(September!G20+September!M20),0)</f>
        <v>8.6</v>
      </c>
      <c r="L13" s="14"/>
      <c r="M13" s="4">
        <f>September!R20</f>
        <v>40</v>
      </c>
    </row>
    <row r="14" spans="1:25" x14ac:dyDescent="0.25">
      <c r="A14" s="3" t="s">
        <v>7</v>
      </c>
      <c r="B14" s="2">
        <f t="shared" si="0"/>
        <v>13</v>
      </c>
      <c r="C14" s="14">
        <v>9</v>
      </c>
      <c r="D14" s="14">
        <v>2021</v>
      </c>
      <c r="E14" s="4">
        <f>IF(September!C21&gt;0,September!C21,0)</f>
        <v>2700</v>
      </c>
      <c r="F14" s="9">
        <v>0.16</v>
      </c>
      <c r="G14" s="4">
        <f>IF(September!E21&gt;0,September!E21,0)</f>
        <v>4.1879999999999997</v>
      </c>
      <c r="H14" s="14">
        <v>1.46</v>
      </c>
      <c r="I14" s="4">
        <f>IF((September!I21+September!O21)&gt;0,(September!I21+September!O21),0)</f>
        <v>2913</v>
      </c>
      <c r="J14" s="10">
        <v>0.04</v>
      </c>
      <c r="K14" s="4">
        <f>IF((September!G21+September!M21)&gt;0,(September!G21+September!M21),0)</f>
        <v>3.8000000000000003</v>
      </c>
      <c r="L14" s="14"/>
      <c r="M14" s="4">
        <f>September!R21</f>
        <v>40</v>
      </c>
    </row>
    <row r="15" spans="1:25" x14ac:dyDescent="0.25">
      <c r="A15" s="3" t="s">
        <v>7</v>
      </c>
      <c r="B15" s="2">
        <f t="shared" si="0"/>
        <v>14</v>
      </c>
      <c r="C15" s="14">
        <v>9</v>
      </c>
      <c r="D15" s="14">
        <v>2021</v>
      </c>
      <c r="E15" s="4">
        <f>IF(September!C22&gt;0,September!C22,0)</f>
        <v>9300</v>
      </c>
      <c r="F15" s="9">
        <v>0.16</v>
      </c>
      <c r="G15" s="4">
        <f>IF(September!E22&gt;0,September!E22,0)</f>
        <v>13.610999999999999</v>
      </c>
      <c r="H15" s="14">
        <v>1.46</v>
      </c>
      <c r="I15" s="4">
        <f>IF((September!I22+September!O22)&gt;0,(September!I22+September!O22),0)</f>
        <v>11113</v>
      </c>
      <c r="J15" s="10">
        <v>0.04</v>
      </c>
      <c r="K15" s="4">
        <f>IF((September!G22+September!M22)&gt;0,(September!G22+September!M22),0)</f>
        <v>7</v>
      </c>
      <c r="L15" s="14"/>
      <c r="M15" s="4">
        <f>September!R22</f>
        <v>31</v>
      </c>
    </row>
    <row r="16" spans="1:25" x14ac:dyDescent="0.25">
      <c r="A16" s="3" t="s">
        <v>7</v>
      </c>
      <c r="B16" s="2">
        <f t="shared" si="0"/>
        <v>15</v>
      </c>
      <c r="C16" s="14">
        <v>9</v>
      </c>
      <c r="D16" s="14">
        <v>2021</v>
      </c>
      <c r="E16" s="4">
        <f>IF(September!C23&gt;0,September!C23,0)</f>
        <v>2400</v>
      </c>
      <c r="F16" s="9">
        <v>0.16</v>
      </c>
      <c r="G16" s="4">
        <f>IF(September!E23&gt;0,September!E23,0)</f>
        <v>4.1879999999999997</v>
      </c>
      <c r="H16" s="14">
        <v>1.46</v>
      </c>
      <c r="I16" s="4">
        <f>IF((September!I23+September!O23)&gt;0,(September!I23+September!O23),0)</f>
        <v>2187</v>
      </c>
      <c r="J16" s="10">
        <v>0.04</v>
      </c>
      <c r="K16" s="4">
        <f>IF((September!G23+September!M23)&gt;0,(September!G23+September!M23),0)</f>
        <v>2.8000000000000003</v>
      </c>
      <c r="L16" s="14"/>
      <c r="M16" s="4">
        <f>September!R23</f>
        <v>25</v>
      </c>
    </row>
    <row r="17" spans="1:13" x14ac:dyDescent="0.25">
      <c r="A17" s="3" t="s">
        <v>7</v>
      </c>
      <c r="B17" s="2">
        <f t="shared" si="0"/>
        <v>16</v>
      </c>
      <c r="C17" s="14">
        <v>9</v>
      </c>
      <c r="D17" s="14">
        <v>2021</v>
      </c>
      <c r="E17" s="4">
        <f>IF(September!C24&gt;0,September!C24,0)</f>
        <v>5400</v>
      </c>
      <c r="F17" s="9">
        <v>0.16</v>
      </c>
      <c r="G17" s="4">
        <f>IF(September!E24&gt;0,September!E24,0)</f>
        <v>8.3759999999999994</v>
      </c>
      <c r="H17" s="14">
        <v>1.46</v>
      </c>
      <c r="I17" s="4">
        <f>IF((September!I24+September!O24)&gt;0,(September!I24+September!O24),0)</f>
        <v>5610</v>
      </c>
      <c r="J17" s="10">
        <v>0.04</v>
      </c>
      <c r="K17" s="4">
        <f>IF((September!G24+September!M24)&gt;0,(September!G24+September!M24),0)</f>
        <v>5.4</v>
      </c>
      <c r="L17" s="14"/>
      <c r="M17" s="4">
        <f>September!R24</f>
        <v>26</v>
      </c>
    </row>
    <row r="18" spans="1:13" x14ac:dyDescent="0.25">
      <c r="A18" s="3" t="s">
        <v>7</v>
      </c>
      <c r="B18" s="2">
        <f t="shared" si="0"/>
        <v>17</v>
      </c>
      <c r="C18" s="14">
        <v>9</v>
      </c>
      <c r="D18" s="14">
        <v>2021</v>
      </c>
      <c r="E18" s="4">
        <f>IF(September!C25&gt;0,September!C25,0)</f>
        <v>5100</v>
      </c>
      <c r="F18" s="9">
        <v>0.16</v>
      </c>
      <c r="G18" s="4">
        <f>IF(September!E25&gt;0,September!E25,0)</f>
        <v>8.3759999999999994</v>
      </c>
      <c r="H18" s="14">
        <v>1.46</v>
      </c>
      <c r="I18" s="4">
        <f>IF((September!I25+September!O25)&gt;0,(September!I25+September!O25),0)</f>
        <v>12940</v>
      </c>
      <c r="J18" s="10">
        <v>0.04</v>
      </c>
      <c r="K18" s="4">
        <f>IF((September!G25+September!M25)&gt;0,(September!G25+September!M25),0)</f>
        <v>7.8000000000000007</v>
      </c>
      <c r="L18" s="14"/>
      <c r="M18" s="4">
        <f>September!R25</f>
        <v>34</v>
      </c>
    </row>
    <row r="19" spans="1:13" x14ac:dyDescent="0.25">
      <c r="A19" s="3" t="s">
        <v>7</v>
      </c>
      <c r="B19" s="2">
        <f t="shared" si="0"/>
        <v>18</v>
      </c>
      <c r="C19" s="14">
        <v>9</v>
      </c>
      <c r="D19" s="14">
        <v>2021</v>
      </c>
      <c r="E19" s="4">
        <f>IF(September!C26&gt;0,September!C26,0)</f>
        <v>6300</v>
      </c>
      <c r="F19" s="9">
        <v>0.16</v>
      </c>
      <c r="G19" s="4">
        <f>IF(September!E26&gt;0,September!E26,0)</f>
        <v>6.282</v>
      </c>
      <c r="H19" s="14">
        <v>1.46</v>
      </c>
      <c r="I19" s="4">
        <f>IF((September!I26+September!O26)&gt;0,(September!I26+September!O26),0)</f>
        <v>7442</v>
      </c>
      <c r="J19" s="10">
        <v>0.04</v>
      </c>
      <c r="K19" s="4">
        <f>IF((September!G26+September!M26)&gt;0,(September!G26+September!M26),0)</f>
        <v>7.2000000000000011</v>
      </c>
      <c r="L19" s="14"/>
      <c r="M19" s="4">
        <f>September!R26</f>
        <v>54</v>
      </c>
    </row>
    <row r="20" spans="1:13" x14ac:dyDescent="0.25">
      <c r="A20" s="3" t="s">
        <v>7</v>
      </c>
      <c r="B20" s="2">
        <f t="shared" si="0"/>
        <v>19</v>
      </c>
      <c r="C20" s="14">
        <v>9</v>
      </c>
      <c r="D20" s="14">
        <v>2021</v>
      </c>
      <c r="E20" s="4">
        <f>IF(September!C27&gt;0,September!C27,0)</f>
        <v>6600</v>
      </c>
      <c r="F20" s="9">
        <v>0.16</v>
      </c>
      <c r="G20" s="4">
        <f>IF(September!E27&gt;0,September!E27,0)</f>
        <v>14.657999999999999</v>
      </c>
      <c r="H20" s="14">
        <v>1.46</v>
      </c>
      <c r="I20" s="4">
        <f>IF((September!I27+September!O27)&gt;0,(September!I27+September!O27),0)</f>
        <v>8698</v>
      </c>
      <c r="J20" s="10">
        <v>0.04</v>
      </c>
      <c r="K20" s="4">
        <f>IF((September!G27+September!M27)&gt;0,(September!G27+September!M27),0)</f>
        <v>4.5</v>
      </c>
      <c r="L20" s="14"/>
      <c r="M20" s="4">
        <f>September!R27</f>
        <v>31</v>
      </c>
    </row>
    <row r="21" spans="1:13" x14ac:dyDescent="0.25">
      <c r="A21" s="3" t="s">
        <v>7</v>
      </c>
      <c r="B21" s="2">
        <f t="shared" si="0"/>
        <v>20</v>
      </c>
      <c r="C21" s="14">
        <v>9</v>
      </c>
      <c r="D21" s="14">
        <v>2021</v>
      </c>
      <c r="E21" s="4">
        <f>IF(September!C28&gt;0,September!C28,0)</f>
        <v>3000</v>
      </c>
      <c r="F21" s="9">
        <v>0.16</v>
      </c>
      <c r="G21" s="4">
        <f>IF(September!E28&gt;0,September!E28,0)</f>
        <v>5.2349999999999994</v>
      </c>
      <c r="H21" s="14">
        <v>1.46</v>
      </c>
      <c r="I21" s="4">
        <f>IF((September!I28+September!O28)&gt;0,(September!I28+September!O28),0)</f>
        <v>3655</v>
      </c>
      <c r="J21" s="10">
        <v>0.04</v>
      </c>
      <c r="K21" s="4">
        <f>IF((September!G28+September!M28)&gt;0,(September!G28+September!M28),0)</f>
        <v>3.1000000000000005</v>
      </c>
      <c r="L21" s="14"/>
      <c r="M21" s="4">
        <f>September!R28</f>
        <v>20</v>
      </c>
    </row>
    <row r="22" spans="1:13" x14ac:dyDescent="0.25">
      <c r="A22" s="3" t="s">
        <v>7</v>
      </c>
      <c r="B22" s="2">
        <f t="shared" si="0"/>
        <v>21</v>
      </c>
      <c r="C22" s="14">
        <v>9</v>
      </c>
      <c r="D22" s="14">
        <v>2021</v>
      </c>
      <c r="E22" s="4">
        <f>IF(September!C29&gt;0,September!C29,0)</f>
        <v>6000</v>
      </c>
      <c r="F22" s="9">
        <v>0.16</v>
      </c>
      <c r="G22" s="4">
        <f>IF(September!E29&gt;0,September!E29,0)</f>
        <v>8.3759999999999994</v>
      </c>
      <c r="H22" s="14">
        <v>1.46</v>
      </c>
      <c r="I22" s="4">
        <f>IF((September!I29+September!O29)&gt;0,(September!I29+September!O29),0)</f>
        <v>6800</v>
      </c>
      <c r="J22" s="10">
        <v>0.04</v>
      </c>
      <c r="K22" s="4">
        <f>IF((September!G29+September!M29)&gt;0,(September!G29+September!M29),0)</f>
        <v>4.5</v>
      </c>
      <c r="L22" s="14"/>
      <c r="M22" s="4">
        <f>September!R29</f>
        <v>22</v>
      </c>
    </row>
    <row r="23" spans="1:13" x14ac:dyDescent="0.25">
      <c r="A23" s="3" t="s">
        <v>7</v>
      </c>
      <c r="B23" s="2">
        <f t="shared" si="0"/>
        <v>22</v>
      </c>
      <c r="C23" s="14">
        <v>9</v>
      </c>
      <c r="D23" s="14">
        <v>2021</v>
      </c>
      <c r="E23" s="4">
        <f>IF(September!C30&gt;0,September!C30,0)</f>
        <v>6300</v>
      </c>
      <c r="F23" s="9">
        <v>0.16</v>
      </c>
      <c r="G23" s="4">
        <f>IF(September!E30&gt;0,September!E30,0)</f>
        <v>8.3759999999999994</v>
      </c>
      <c r="H23" s="14">
        <v>1.46</v>
      </c>
      <c r="I23" s="4">
        <f>IF((September!I30+September!O30)&gt;0,(September!I30+September!O30),0)</f>
        <v>5625</v>
      </c>
      <c r="J23" s="10">
        <v>0.04</v>
      </c>
      <c r="K23" s="4">
        <f>IF((September!G30+September!M30)&gt;0,(September!G30+September!M30),0)</f>
        <v>4.2</v>
      </c>
      <c r="L23" s="14"/>
      <c r="M23" s="4">
        <f>September!R30</f>
        <v>17</v>
      </c>
    </row>
    <row r="24" spans="1:13" x14ac:dyDescent="0.25">
      <c r="A24" s="3" t="s">
        <v>7</v>
      </c>
      <c r="B24" s="2">
        <f t="shared" si="0"/>
        <v>23</v>
      </c>
      <c r="C24" s="14">
        <v>9</v>
      </c>
      <c r="D24" s="14">
        <v>2021</v>
      </c>
      <c r="E24" s="4">
        <f>IF(September!C31&gt;0,September!C31,0)</f>
        <v>5700</v>
      </c>
      <c r="F24" s="9">
        <v>0.16</v>
      </c>
      <c r="G24" s="4">
        <f>IF(September!E31&gt;0,September!E31,0)</f>
        <v>7.3289999999999997</v>
      </c>
      <c r="H24" s="14">
        <v>1.46</v>
      </c>
      <c r="I24" s="4">
        <f>IF((September!I31+September!O31)&gt;0,(September!I31+September!O31),0)</f>
        <v>5940</v>
      </c>
      <c r="J24" s="10">
        <v>0.04</v>
      </c>
      <c r="K24" s="4">
        <f>IF((September!G31+September!M31)&gt;0,(September!G31+September!M31),0)</f>
        <v>4.1000000000000005</v>
      </c>
      <c r="L24" s="14"/>
      <c r="M24" s="4">
        <f>September!R31</f>
        <v>19</v>
      </c>
    </row>
    <row r="25" spans="1:13" x14ac:dyDescent="0.25">
      <c r="A25" s="3" t="s">
        <v>7</v>
      </c>
      <c r="B25" s="2">
        <f t="shared" si="0"/>
        <v>24</v>
      </c>
      <c r="C25" s="14">
        <v>9</v>
      </c>
      <c r="D25" s="14">
        <v>2021</v>
      </c>
      <c r="E25" s="4">
        <f>IF(September!C32&gt;0,September!C32,0)</f>
        <v>5700</v>
      </c>
      <c r="F25" s="9">
        <v>0.16</v>
      </c>
      <c r="G25" s="4">
        <f>IF(September!E32&gt;0,September!E32,0)</f>
        <v>8.3759999999999994</v>
      </c>
      <c r="H25" s="14">
        <v>1.46</v>
      </c>
      <c r="I25" s="4">
        <f>IF((September!I32+September!O32)&gt;0,(September!I32+September!O32),0)</f>
        <v>4420</v>
      </c>
      <c r="J25" s="10">
        <v>0.04</v>
      </c>
      <c r="K25" s="4">
        <f>IF((September!G32+September!M32)&gt;0,(September!G32+September!M32),0)</f>
        <v>4.4000000000000004</v>
      </c>
      <c r="L25" s="14"/>
      <c r="M25" s="4">
        <f>September!R32</f>
        <v>44</v>
      </c>
    </row>
    <row r="26" spans="1:13" x14ac:dyDescent="0.25">
      <c r="A26" s="3" t="s">
        <v>7</v>
      </c>
      <c r="B26" s="2">
        <f>B25+1</f>
        <v>25</v>
      </c>
      <c r="C26" s="14">
        <v>9</v>
      </c>
      <c r="D26" s="14">
        <v>2021</v>
      </c>
      <c r="E26" s="4">
        <f>IF(September!C33&gt;0,September!C33,0)</f>
        <v>5700</v>
      </c>
      <c r="F26" s="9">
        <v>0.16</v>
      </c>
      <c r="G26" s="4">
        <f>IF(September!E33&gt;0,September!E33,0)</f>
        <v>7.3289999999999997</v>
      </c>
      <c r="H26" s="14">
        <v>1.46</v>
      </c>
      <c r="I26" s="4">
        <f>IF((September!I33+September!O33)&gt;0,(September!I33+September!O33),0)</f>
        <v>4419</v>
      </c>
      <c r="J26" s="10">
        <v>0.04</v>
      </c>
      <c r="K26" s="4">
        <f>IF((September!G33+September!M33)&gt;0,(September!G33+September!M33),0)</f>
        <v>4.3000000000000007</v>
      </c>
      <c r="L26" s="14"/>
      <c r="M26" s="4">
        <f>September!R33</f>
        <v>54</v>
      </c>
    </row>
    <row r="27" spans="1:13" x14ac:dyDescent="0.25">
      <c r="A27" s="3" t="s">
        <v>7</v>
      </c>
      <c r="B27" s="2">
        <f t="shared" si="0"/>
        <v>26</v>
      </c>
      <c r="C27" s="14">
        <v>9</v>
      </c>
      <c r="D27" s="14">
        <v>2021</v>
      </c>
      <c r="E27" s="4">
        <f>IF(September!C34&gt;0,September!C34,0)</f>
        <v>6600</v>
      </c>
      <c r="F27" s="9">
        <v>0.16</v>
      </c>
      <c r="G27" s="4">
        <f>IF(September!E34&gt;0,September!E34,0)</f>
        <v>10.469999999999999</v>
      </c>
      <c r="H27" s="14">
        <v>1.46</v>
      </c>
      <c r="I27" s="4">
        <f>IF((September!I34+September!O34)&gt;0,(September!I34+September!O34),0)</f>
        <v>13487</v>
      </c>
      <c r="J27" s="10">
        <v>0.04</v>
      </c>
      <c r="K27" s="4">
        <f>IF((September!G34+September!M34)&gt;0,(September!G34+September!M34),0)</f>
        <v>7.2</v>
      </c>
      <c r="L27" s="14"/>
      <c r="M27" s="4">
        <f>September!R34</f>
        <v>32</v>
      </c>
    </row>
    <row r="28" spans="1:13" x14ac:dyDescent="0.25">
      <c r="A28" s="3" t="s">
        <v>7</v>
      </c>
      <c r="B28" s="2">
        <f t="shared" si="0"/>
        <v>27</v>
      </c>
      <c r="C28" s="14">
        <v>9</v>
      </c>
      <c r="D28" s="14">
        <v>2021</v>
      </c>
      <c r="E28" s="4">
        <f>IF(September!C35&gt;0,September!C35,0)</f>
        <v>4800</v>
      </c>
      <c r="F28" s="9">
        <v>0.16</v>
      </c>
      <c r="G28" s="4">
        <f>IF(September!E35&gt;0,September!E35,0)</f>
        <v>8.3759999999999994</v>
      </c>
      <c r="H28" s="14">
        <v>1.46</v>
      </c>
      <c r="I28" s="4">
        <f>IF((September!I35+September!O35)&gt;0,(September!I35+September!O35),0)</f>
        <v>5904</v>
      </c>
      <c r="J28" s="10">
        <v>0.04</v>
      </c>
      <c r="K28" s="4">
        <f>IF((September!G35+September!M35)&gt;0,(September!G35+September!M35),0)</f>
        <v>5</v>
      </c>
      <c r="L28" s="14"/>
      <c r="M28" s="4">
        <f>September!R35</f>
        <v>26</v>
      </c>
    </row>
    <row r="29" spans="1:13" x14ac:dyDescent="0.25">
      <c r="A29" s="3" t="s">
        <v>7</v>
      </c>
      <c r="B29" s="2">
        <f t="shared" si="0"/>
        <v>28</v>
      </c>
      <c r="C29" s="14">
        <v>9</v>
      </c>
      <c r="D29" s="14">
        <v>2021</v>
      </c>
      <c r="E29" s="4">
        <f>IF(September!C36&gt;0,September!C36,0)</f>
        <v>7200</v>
      </c>
      <c r="F29" s="9">
        <v>0.16</v>
      </c>
      <c r="G29" s="4">
        <f>IF(September!E36&gt;0,September!E36,0)</f>
        <v>9.423</v>
      </c>
      <c r="H29" s="14">
        <v>1.46</v>
      </c>
      <c r="I29" s="4">
        <f>IF((September!I36+September!O36)&gt;0,(September!I36+September!O36),0)</f>
        <v>4930</v>
      </c>
      <c r="J29" s="10">
        <v>0.04</v>
      </c>
      <c r="K29" s="4">
        <f>IF((September!G36+September!M36)&gt;0,(September!G36+September!M36),0)</f>
        <v>6.2</v>
      </c>
      <c r="L29" s="14"/>
      <c r="M29" s="4">
        <f>September!R36</f>
        <v>37</v>
      </c>
    </row>
    <row r="30" spans="1:13" x14ac:dyDescent="0.25">
      <c r="A30" s="3" t="s">
        <v>7</v>
      </c>
      <c r="B30" s="2">
        <f t="shared" si="0"/>
        <v>29</v>
      </c>
      <c r="C30" s="14">
        <v>9</v>
      </c>
      <c r="D30" s="14">
        <v>2021</v>
      </c>
      <c r="E30" s="4">
        <f>IF(September!C37&gt;0,September!C37,0)</f>
        <v>5400</v>
      </c>
      <c r="F30" s="9">
        <v>0.16</v>
      </c>
      <c r="G30" s="4">
        <f>IF(September!E37&gt;0,September!E37,0)</f>
        <v>8.3759999999999994</v>
      </c>
      <c r="H30" s="14">
        <v>1.46</v>
      </c>
      <c r="I30" s="4">
        <f>IF((September!I37+September!O37)&gt;0,(September!I37+September!O37),0)</f>
        <v>8883</v>
      </c>
      <c r="J30" s="10">
        <v>0.04</v>
      </c>
      <c r="K30" s="4">
        <f>IF((September!G37+September!M37)&gt;0,(September!G37+September!M37),0)</f>
        <v>4.9000000000000004</v>
      </c>
      <c r="L30" s="14"/>
      <c r="M30" s="4">
        <f>September!R37</f>
        <v>38</v>
      </c>
    </row>
    <row r="31" spans="1:13" x14ac:dyDescent="0.25">
      <c r="A31" s="3" t="s">
        <v>7</v>
      </c>
      <c r="B31" s="2">
        <f t="shared" si="0"/>
        <v>30</v>
      </c>
      <c r="C31" s="14">
        <v>9</v>
      </c>
      <c r="D31" s="14">
        <v>2021</v>
      </c>
      <c r="E31" s="4">
        <f>IF(September!C38&gt;0,September!C38,0)</f>
        <v>4500</v>
      </c>
      <c r="F31" s="9">
        <v>0.16</v>
      </c>
      <c r="G31" s="4">
        <f>IF(September!E38&gt;0,September!E38,0)</f>
        <v>6.282</v>
      </c>
      <c r="H31" s="14">
        <v>1.46</v>
      </c>
      <c r="I31" s="4">
        <f>IF((September!I38+September!O38)&gt;0,(September!I38+September!O38),0)</f>
        <v>4167</v>
      </c>
      <c r="J31" s="10">
        <v>0.04</v>
      </c>
      <c r="K31" s="4">
        <f>IF((September!G38+September!M38)&gt;0,(September!G38+September!M38),0)</f>
        <v>3.2</v>
      </c>
      <c r="L31" s="14"/>
      <c r="M31" s="4">
        <f>September!R38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0"/>
  <sheetViews>
    <sheetView showWhiteSpace="0" zoomScaleNormal="100" workbookViewId="0">
      <selection activeCell="U6" sqref="U6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16016</v>
      </c>
      <c r="C6" s="21"/>
      <c r="D6" s="21">
        <v>48086</v>
      </c>
      <c r="E6" s="21"/>
      <c r="F6" s="21">
        <v>28632</v>
      </c>
      <c r="G6" s="21"/>
      <c r="H6" s="21">
        <v>10738938</v>
      </c>
      <c r="I6" s="21"/>
      <c r="J6" s="21">
        <v>345271</v>
      </c>
      <c r="K6" s="21"/>
      <c r="L6" s="21">
        <v>12464</v>
      </c>
      <c r="M6" s="21"/>
      <c r="N6" s="22">
        <v>28310545</v>
      </c>
      <c r="O6" s="22"/>
      <c r="P6" s="22">
        <v>6233068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16031</v>
      </c>
      <c r="C9" s="29">
        <f>+(B9-B6)*300</f>
        <v>4500</v>
      </c>
      <c r="D9" s="29">
        <v>48095</v>
      </c>
      <c r="E9" s="29">
        <f>+(D9-D6)*1.047</f>
        <v>9.423</v>
      </c>
      <c r="F9" s="29">
        <v>28639</v>
      </c>
      <c r="G9" s="29">
        <f>+(F9-F6)*0.1</f>
        <v>0.70000000000000007</v>
      </c>
      <c r="H9" s="29">
        <v>10739460</v>
      </c>
      <c r="I9" s="29">
        <f>+H9-H6</f>
        <v>522</v>
      </c>
      <c r="J9" s="29">
        <v>345323</v>
      </c>
      <c r="K9" s="29">
        <f>+J9-J6</f>
        <v>52</v>
      </c>
      <c r="L9" s="29">
        <v>12484</v>
      </c>
      <c r="M9" s="29">
        <f>+(L9-L6)*0.1</f>
        <v>2</v>
      </c>
      <c r="N9" s="29">
        <v>28315357</v>
      </c>
      <c r="O9" s="29">
        <f>+N9-N6</f>
        <v>4812</v>
      </c>
      <c r="P9" s="29">
        <v>6233975</v>
      </c>
      <c r="Q9" s="29">
        <f>+P9-P6</f>
        <v>907</v>
      </c>
      <c r="R9" s="29">
        <v>26</v>
      </c>
    </row>
    <row r="10" spans="1:18" ht="20.25" customHeight="1" x14ac:dyDescent="0.25">
      <c r="A10" s="29">
        <v>2</v>
      </c>
      <c r="B10" s="29">
        <v>16049</v>
      </c>
      <c r="C10" s="29">
        <f>+(B10-B9)*300</f>
        <v>5400</v>
      </c>
      <c r="D10" s="29">
        <v>48106</v>
      </c>
      <c r="E10" s="29">
        <f>+(D10-D9)*1.047</f>
        <v>11.516999999999999</v>
      </c>
      <c r="F10" s="29">
        <v>28648</v>
      </c>
      <c r="G10" s="29">
        <f>+(F10-F9)*0.1</f>
        <v>0.9</v>
      </c>
      <c r="H10" s="29">
        <v>10740470</v>
      </c>
      <c r="I10" s="29">
        <f>+H10-H9</f>
        <v>1010</v>
      </c>
      <c r="J10" s="29">
        <v>345386</v>
      </c>
      <c r="K10" s="29">
        <f>+J10-J9</f>
        <v>63</v>
      </c>
      <c r="L10" s="29">
        <v>12525</v>
      </c>
      <c r="M10" s="29">
        <f>+(L10-L9)*0.1</f>
        <v>4.1000000000000005</v>
      </c>
      <c r="N10" s="29">
        <v>28321020</v>
      </c>
      <c r="O10" s="29">
        <f>+N10-N9</f>
        <v>5663</v>
      </c>
      <c r="P10" s="29">
        <v>6233976</v>
      </c>
      <c r="Q10" s="29">
        <f>+P10-P9</f>
        <v>1</v>
      </c>
      <c r="R10" s="29">
        <v>34</v>
      </c>
    </row>
    <row r="11" spans="1:18" ht="20.25" customHeight="1" x14ac:dyDescent="0.25">
      <c r="A11" s="29">
        <v>3</v>
      </c>
      <c r="B11" s="29">
        <v>16065</v>
      </c>
      <c r="C11" s="29">
        <f t="shared" ref="C11:C38" si="0">+(B11-B10)*300</f>
        <v>4800</v>
      </c>
      <c r="D11" s="29">
        <v>48116</v>
      </c>
      <c r="E11" s="29">
        <f t="shared" ref="E11:E38" si="1">+(D11-D10)*1.047</f>
        <v>10.469999999999999</v>
      </c>
      <c r="F11" s="29">
        <v>28657</v>
      </c>
      <c r="G11" s="29">
        <f t="shared" ref="G11:G38" si="2">+(F11-F10)*0.1</f>
        <v>0.9</v>
      </c>
      <c r="H11" s="29">
        <v>10742655</v>
      </c>
      <c r="I11" s="29">
        <f>+H11-H10</f>
        <v>2185</v>
      </c>
      <c r="J11" s="29">
        <v>345689</v>
      </c>
      <c r="K11" s="29">
        <f>+J11-J10</f>
        <v>303</v>
      </c>
      <c r="L11" s="29">
        <v>12570</v>
      </c>
      <c r="M11" s="29">
        <f t="shared" ref="M11:M38" si="3">+(L11-L10)*0.1</f>
        <v>4.5</v>
      </c>
      <c r="N11" s="29">
        <v>28327140</v>
      </c>
      <c r="O11" s="29">
        <f>+N11-N10</f>
        <v>6120</v>
      </c>
      <c r="P11" s="29">
        <v>6233978</v>
      </c>
      <c r="Q11" s="29">
        <f>+P11-P10</f>
        <v>2</v>
      </c>
      <c r="R11" s="29">
        <v>45</v>
      </c>
    </row>
    <row r="12" spans="1:18" ht="20.25" customHeight="1" x14ac:dyDescent="0.25">
      <c r="A12" s="29">
        <v>4</v>
      </c>
      <c r="B12" s="29">
        <v>16082</v>
      </c>
      <c r="C12" s="29">
        <f t="shared" si="0"/>
        <v>5100</v>
      </c>
      <c r="D12" s="29">
        <v>48126</v>
      </c>
      <c r="E12" s="29">
        <f t="shared" si="1"/>
        <v>10.469999999999999</v>
      </c>
      <c r="F12" s="29">
        <v>28667</v>
      </c>
      <c r="G12" s="29">
        <f t="shared" si="2"/>
        <v>1</v>
      </c>
      <c r="H12" s="29">
        <v>10743370</v>
      </c>
      <c r="I12" s="29">
        <f t="shared" ref="I12:K38" si="4">+H12-H11</f>
        <v>715</v>
      </c>
      <c r="J12" s="29">
        <v>346012</v>
      </c>
      <c r="K12" s="29">
        <f t="shared" si="4"/>
        <v>323</v>
      </c>
      <c r="L12" s="29">
        <v>12612</v>
      </c>
      <c r="M12" s="29">
        <f t="shared" si="3"/>
        <v>4.2</v>
      </c>
      <c r="N12" s="29">
        <v>28332590</v>
      </c>
      <c r="O12" s="29">
        <f t="shared" ref="O12:Q27" si="5">+N12-N11</f>
        <v>5450</v>
      </c>
      <c r="P12" s="29">
        <v>6233984</v>
      </c>
      <c r="Q12" s="29">
        <f t="shared" si="5"/>
        <v>6</v>
      </c>
      <c r="R12" s="29">
        <v>62</v>
      </c>
    </row>
    <row r="13" spans="1:18" ht="20.25" customHeight="1" x14ac:dyDescent="0.25">
      <c r="A13" s="29">
        <v>5</v>
      </c>
      <c r="B13" s="29">
        <v>16103</v>
      </c>
      <c r="C13" s="29">
        <f t="shared" si="0"/>
        <v>6300</v>
      </c>
      <c r="D13" s="29">
        <v>48137</v>
      </c>
      <c r="E13" s="29">
        <f t="shared" si="1"/>
        <v>11.516999999999999</v>
      </c>
      <c r="F13" s="29">
        <v>28677</v>
      </c>
      <c r="G13" s="29">
        <f t="shared" si="2"/>
        <v>1</v>
      </c>
      <c r="H13" s="29">
        <v>10743915</v>
      </c>
      <c r="I13" s="29">
        <f t="shared" si="4"/>
        <v>545</v>
      </c>
      <c r="J13" s="29">
        <v>346048</v>
      </c>
      <c r="K13" s="29">
        <f t="shared" si="4"/>
        <v>36</v>
      </c>
      <c r="L13" s="29">
        <v>12668</v>
      </c>
      <c r="M13" s="29">
        <f t="shared" si="3"/>
        <v>5.6000000000000005</v>
      </c>
      <c r="N13" s="29">
        <v>28342030</v>
      </c>
      <c r="O13" s="29">
        <f t="shared" si="5"/>
        <v>9440</v>
      </c>
      <c r="P13" s="29">
        <v>6233992</v>
      </c>
      <c r="Q13" s="29">
        <f t="shared" si="5"/>
        <v>8</v>
      </c>
      <c r="R13" s="29">
        <v>48</v>
      </c>
    </row>
    <row r="14" spans="1:18" ht="20.25" customHeight="1" x14ac:dyDescent="0.25">
      <c r="A14" s="29">
        <v>6</v>
      </c>
      <c r="B14" s="29">
        <v>16121</v>
      </c>
      <c r="C14" s="29">
        <f t="shared" si="0"/>
        <v>5400</v>
      </c>
      <c r="D14" s="29">
        <v>48147</v>
      </c>
      <c r="E14" s="29">
        <f t="shared" si="1"/>
        <v>10.469999999999999</v>
      </c>
      <c r="F14" s="29">
        <v>28687</v>
      </c>
      <c r="G14" s="29">
        <f t="shared" si="2"/>
        <v>1</v>
      </c>
      <c r="H14" s="29">
        <v>10744417</v>
      </c>
      <c r="I14" s="29">
        <f t="shared" si="4"/>
        <v>502</v>
      </c>
      <c r="J14" s="29">
        <v>346065</v>
      </c>
      <c r="K14" s="29">
        <f t="shared" si="4"/>
        <v>17</v>
      </c>
      <c r="L14" s="29">
        <v>12712</v>
      </c>
      <c r="M14" s="29">
        <f t="shared" si="3"/>
        <v>4.4000000000000004</v>
      </c>
      <c r="N14" s="29">
        <v>28350848</v>
      </c>
      <c r="O14" s="29">
        <f t="shared" si="5"/>
        <v>8818</v>
      </c>
      <c r="P14" s="29">
        <v>6233998</v>
      </c>
      <c r="Q14" s="29">
        <f t="shared" si="5"/>
        <v>6</v>
      </c>
      <c r="R14" s="29">
        <v>23</v>
      </c>
    </row>
    <row r="15" spans="1:18" ht="20.25" customHeight="1" x14ac:dyDescent="0.25">
      <c r="A15" s="29">
        <v>7</v>
      </c>
      <c r="B15" s="29">
        <v>16141</v>
      </c>
      <c r="C15" s="29">
        <f t="shared" si="0"/>
        <v>6000</v>
      </c>
      <c r="D15" s="29">
        <v>48157</v>
      </c>
      <c r="E15" s="29">
        <f t="shared" si="1"/>
        <v>10.469999999999999</v>
      </c>
      <c r="F15" s="29">
        <v>28695</v>
      </c>
      <c r="G15" s="29">
        <f t="shared" si="2"/>
        <v>0.8</v>
      </c>
      <c r="H15" s="29">
        <v>10745411</v>
      </c>
      <c r="I15" s="29">
        <f t="shared" si="4"/>
        <v>994</v>
      </c>
      <c r="J15" s="29">
        <v>346200</v>
      </c>
      <c r="K15" s="29">
        <f t="shared" si="4"/>
        <v>135</v>
      </c>
      <c r="L15" s="29">
        <v>12746</v>
      </c>
      <c r="M15" s="29">
        <f t="shared" si="3"/>
        <v>3.4000000000000004</v>
      </c>
      <c r="N15" s="29">
        <v>28357736</v>
      </c>
      <c r="O15" s="29">
        <f t="shared" si="5"/>
        <v>6888</v>
      </c>
      <c r="P15" s="29">
        <v>6234088</v>
      </c>
      <c r="Q15" s="29">
        <f t="shared" si="5"/>
        <v>90</v>
      </c>
      <c r="R15" s="29">
        <v>22</v>
      </c>
    </row>
    <row r="16" spans="1:18" ht="20.25" customHeight="1" x14ac:dyDescent="0.25">
      <c r="A16" s="29">
        <v>8</v>
      </c>
      <c r="B16" s="29">
        <v>16157</v>
      </c>
      <c r="C16" s="29">
        <f t="shared" si="0"/>
        <v>4800</v>
      </c>
      <c r="D16" s="29">
        <v>48166</v>
      </c>
      <c r="E16" s="29">
        <f t="shared" si="1"/>
        <v>9.423</v>
      </c>
      <c r="F16" s="29">
        <v>28705</v>
      </c>
      <c r="G16" s="29">
        <f t="shared" si="2"/>
        <v>1</v>
      </c>
      <c r="H16" s="29">
        <v>10745968</v>
      </c>
      <c r="I16" s="29">
        <f t="shared" si="4"/>
        <v>557</v>
      </c>
      <c r="J16" s="29">
        <v>346254</v>
      </c>
      <c r="K16" s="29">
        <f t="shared" si="4"/>
        <v>54</v>
      </c>
      <c r="L16" s="29">
        <v>12775</v>
      </c>
      <c r="M16" s="29">
        <f t="shared" si="3"/>
        <v>2.9000000000000004</v>
      </c>
      <c r="N16" s="29">
        <v>28361973</v>
      </c>
      <c r="O16" s="29">
        <f t="shared" si="5"/>
        <v>4237</v>
      </c>
      <c r="P16" s="29">
        <v>6234095</v>
      </c>
      <c r="Q16" s="29">
        <f t="shared" si="5"/>
        <v>7</v>
      </c>
      <c r="R16" s="29">
        <v>48</v>
      </c>
    </row>
    <row r="17" spans="1:18" ht="20.25" customHeight="1" x14ac:dyDescent="0.25">
      <c r="A17" s="29">
        <v>9</v>
      </c>
      <c r="B17" s="29">
        <v>16176</v>
      </c>
      <c r="C17" s="29">
        <f>+(B17-B16)*300</f>
        <v>5700</v>
      </c>
      <c r="D17" s="29">
        <v>48176</v>
      </c>
      <c r="E17" s="29">
        <f t="shared" si="1"/>
        <v>10.469999999999999</v>
      </c>
      <c r="F17" s="29">
        <v>28715</v>
      </c>
      <c r="G17" s="29">
        <f t="shared" si="2"/>
        <v>1</v>
      </c>
      <c r="H17" s="29">
        <v>10746860</v>
      </c>
      <c r="I17" s="29">
        <f t="shared" si="4"/>
        <v>892</v>
      </c>
      <c r="J17" s="29">
        <v>346362</v>
      </c>
      <c r="K17" s="29">
        <f t="shared" si="4"/>
        <v>108</v>
      </c>
      <c r="L17" s="29">
        <v>12815</v>
      </c>
      <c r="M17" s="29">
        <f t="shared" si="3"/>
        <v>4</v>
      </c>
      <c r="N17" s="29">
        <v>28368005</v>
      </c>
      <c r="O17" s="29">
        <f t="shared" si="5"/>
        <v>6032</v>
      </c>
      <c r="P17" s="29">
        <v>6234317</v>
      </c>
      <c r="Q17" s="29">
        <f t="shared" si="5"/>
        <v>222</v>
      </c>
      <c r="R17" s="29">
        <v>50</v>
      </c>
    </row>
    <row r="18" spans="1:18" ht="20.25" customHeight="1" x14ac:dyDescent="0.25">
      <c r="A18" s="29">
        <v>10</v>
      </c>
      <c r="B18" s="29">
        <v>16194</v>
      </c>
      <c r="C18" s="29">
        <f t="shared" si="0"/>
        <v>5400</v>
      </c>
      <c r="D18" s="29">
        <v>48186</v>
      </c>
      <c r="E18" s="29">
        <f t="shared" si="1"/>
        <v>10.469999999999999</v>
      </c>
      <c r="F18" s="29">
        <v>28725</v>
      </c>
      <c r="G18" s="29">
        <f t="shared" si="2"/>
        <v>1</v>
      </c>
      <c r="H18" s="29">
        <v>10747460</v>
      </c>
      <c r="I18" s="29">
        <f t="shared" si="4"/>
        <v>600</v>
      </c>
      <c r="J18" s="29">
        <v>346406</v>
      </c>
      <c r="K18" s="29">
        <f t="shared" si="4"/>
        <v>44</v>
      </c>
      <c r="L18" s="29">
        <v>12860</v>
      </c>
      <c r="M18" s="29">
        <f t="shared" si="3"/>
        <v>4.5</v>
      </c>
      <c r="N18" s="29">
        <v>28374585</v>
      </c>
      <c r="O18" s="29">
        <f t="shared" si="5"/>
        <v>6580</v>
      </c>
      <c r="P18" s="29">
        <v>6234342</v>
      </c>
      <c r="Q18" s="29">
        <f t="shared" si="5"/>
        <v>25</v>
      </c>
      <c r="R18" s="29">
        <v>37</v>
      </c>
    </row>
    <row r="19" spans="1:18" ht="20.25" customHeight="1" x14ac:dyDescent="0.25">
      <c r="A19" s="29">
        <v>11</v>
      </c>
      <c r="B19" s="29">
        <v>16213</v>
      </c>
      <c r="C19" s="29">
        <f t="shared" si="0"/>
        <v>5700</v>
      </c>
      <c r="D19" s="29">
        <v>48196</v>
      </c>
      <c r="E19" s="29">
        <f t="shared" si="1"/>
        <v>10.469999999999999</v>
      </c>
      <c r="F19" s="29">
        <v>28735</v>
      </c>
      <c r="G19" s="29">
        <f t="shared" si="2"/>
        <v>1</v>
      </c>
      <c r="H19" s="29">
        <v>10748020</v>
      </c>
      <c r="I19" s="29">
        <f t="shared" si="4"/>
        <v>560</v>
      </c>
      <c r="J19" s="29">
        <v>346471</v>
      </c>
      <c r="K19" s="29">
        <f t="shared" si="4"/>
        <v>65</v>
      </c>
      <c r="L19" s="29">
        <v>12910</v>
      </c>
      <c r="M19" s="29">
        <f t="shared" si="3"/>
        <v>5</v>
      </c>
      <c r="N19" s="29">
        <v>28380930</v>
      </c>
      <c r="O19" s="29">
        <f t="shared" si="5"/>
        <v>6345</v>
      </c>
      <c r="P19" s="29">
        <v>6234343</v>
      </c>
      <c r="Q19" s="29">
        <f t="shared" si="5"/>
        <v>1</v>
      </c>
      <c r="R19" s="29">
        <v>58</v>
      </c>
    </row>
    <row r="20" spans="1:18" ht="20.25" customHeight="1" x14ac:dyDescent="0.25">
      <c r="A20" s="29">
        <v>12</v>
      </c>
      <c r="B20" s="29">
        <v>16241</v>
      </c>
      <c r="C20" s="29">
        <f t="shared" si="0"/>
        <v>8400</v>
      </c>
      <c r="D20" s="29">
        <v>48208</v>
      </c>
      <c r="E20" s="29">
        <f t="shared" si="1"/>
        <v>12.564</v>
      </c>
      <c r="F20" s="29">
        <v>28754</v>
      </c>
      <c r="G20" s="29">
        <f t="shared" si="2"/>
        <v>1.9000000000000001</v>
      </c>
      <c r="H20" s="29">
        <v>10748823</v>
      </c>
      <c r="I20" s="29">
        <f t="shared" si="4"/>
        <v>803</v>
      </c>
      <c r="J20" s="29">
        <v>346433</v>
      </c>
      <c r="K20" s="29">
        <f t="shared" si="4"/>
        <v>-38</v>
      </c>
      <c r="L20" s="29">
        <v>12977</v>
      </c>
      <c r="M20" s="29">
        <f t="shared" si="3"/>
        <v>6.7</v>
      </c>
      <c r="N20" s="29">
        <v>28392694</v>
      </c>
      <c r="O20" s="29">
        <f t="shared" si="5"/>
        <v>11764</v>
      </c>
      <c r="P20" s="29">
        <v>6234594</v>
      </c>
      <c r="Q20" s="29">
        <f t="shared" si="5"/>
        <v>251</v>
      </c>
      <c r="R20" s="29">
        <v>40</v>
      </c>
    </row>
    <row r="21" spans="1:18" ht="20.25" customHeight="1" x14ac:dyDescent="0.25">
      <c r="A21" s="29">
        <v>13</v>
      </c>
      <c r="B21" s="29">
        <v>16250</v>
      </c>
      <c r="C21" s="29">
        <f t="shared" si="0"/>
        <v>2700</v>
      </c>
      <c r="D21" s="29">
        <v>48212</v>
      </c>
      <c r="E21" s="29">
        <f t="shared" si="1"/>
        <v>4.1879999999999997</v>
      </c>
      <c r="F21" s="29">
        <v>28760</v>
      </c>
      <c r="G21" s="29">
        <f t="shared" si="2"/>
        <v>0.60000000000000009</v>
      </c>
      <c r="H21" s="29">
        <v>10748950</v>
      </c>
      <c r="I21" s="29">
        <f t="shared" si="4"/>
        <v>127</v>
      </c>
      <c r="J21" s="29">
        <v>346540</v>
      </c>
      <c r="K21" s="29">
        <f t="shared" si="4"/>
        <v>107</v>
      </c>
      <c r="L21" s="29">
        <v>13009</v>
      </c>
      <c r="M21" s="29">
        <f t="shared" si="3"/>
        <v>3.2</v>
      </c>
      <c r="N21" s="29">
        <v>28395480</v>
      </c>
      <c r="O21" s="29">
        <f t="shared" si="5"/>
        <v>2786</v>
      </c>
      <c r="P21" s="29">
        <v>6234594</v>
      </c>
      <c r="Q21" s="29">
        <f t="shared" si="5"/>
        <v>0</v>
      </c>
      <c r="R21" s="29">
        <v>40</v>
      </c>
    </row>
    <row r="22" spans="1:18" ht="20.25" customHeight="1" x14ac:dyDescent="0.25">
      <c r="A22" s="29">
        <v>14</v>
      </c>
      <c r="B22" s="29">
        <v>16281</v>
      </c>
      <c r="C22" s="29">
        <f t="shared" si="0"/>
        <v>9300</v>
      </c>
      <c r="D22" s="29">
        <v>48225</v>
      </c>
      <c r="E22" s="29">
        <f t="shared" si="1"/>
        <v>13.610999999999999</v>
      </c>
      <c r="F22" s="29">
        <v>28775</v>
      </c>
      <c r="G22" s="29">
        <f t="shared" si="2"/>
        <v>1.5</v>
      </c>
      <c r="H22" s="29">
        <v>10750311</v>
      </c>
      <c r="I22" s="29">
        <f t="shared" si="4"/>
        <v>1361</v>
      </c>
      <c r="J22" s="29">
        <v>346790</v>
      </c>
      <c r="K22" s="29">
        <f t="shared" si="4"/>
        <v>250</v>
      </c>
      <c r="L22" s="29">
        <v>13064</v>
      </c>
      <c r="M22" s="29">
        <f t="shared" si="3"/>
        <v>5.5</v>
      </c>
      <c r="N22" s="29">
        <v>28405232</v>
      </c>
      <c r="O22" s="29">
        <f t="shared" si="5"/>
        <v>9752</v>
      </c>
      <c r="P22" s="29">
        <v>6234614</v>
      </c>
      <c r="Q22" s="29">
        <f t="shared" si="5"/>
        <v>20</v>
      </c>
      <c r="R22" s="29">
        <v>31</v>
      </c>
    </row>
    <row r="23" spans="1:18" ht="20.25" customHeight="1" x14ac:dyDescent="0.25">
      <c r="A23" s="29">
        <v>15</v>
      </c>
      <c r="B23" s="29">
        <v>16289</v>
      </c>
      <c r="C23" s="29">
        <f t="shared" si="0"/>
        <v>2400</v>
      </c>
      <c r="D23" s="29">
        <v>48229</v>
      </c>
      <c r="E23" s="29">
        <f t="shared" si="1"/>
        <v>4.1879999999999997</v>
      </c>
      <c r="F23" s="29">
        <v>28780</v>
      </c>
      <c r="G23" s="29">
        <f t="shared" si="2"/>
        <v>0.5</v>
      </c>
      <c r="H23" s="29">
        <v>10750460</v>
      </c>
      <c r="I23" s="29">
        <f t="shared" si="4"/>
        <v>149</v>
      </c>
      <c r="J23" s="29">
        <v>346692</v>
      </c>
      <c r="K23" s="29">
        <f t="shared" si="4"/>
        <v>-98</v>
      </c>
      <c r="L23" s="29">
        <v>13087</v>
      </c>
      <c r="M23" s="29">
        <f t="shared" si="3"/>
        <v>2.3000000000000003</v>
      </c>
      <c r="N23" s="29">
        <v>28407270</v>
      </c>
      <c r="O23" s="29">
        <f t="shared" si="5"/>
        <v>2038</v>
      </c>
      <c r="P23" s="29">
        <v>6234614</v>
      </c>
      <c r="Q23" s="29">
        <f t="shared" si="5"/>
        <v>0</v>
      </c>
      <c r="R23" s="29">
        <v>25</v>
      </c>
    </row>
    <row r="24" spans="1:18" ht="20.25" customHeight="1" x14ac:dyDescent="0.25">
      <c r="A24" s="29">
        <v>16</v>
      </c>
      <c r="B24" s="29">
        <v>16307</v>
      </c>
      <c r="C24" s="29">
        <f t="shared" si="0"/>
        <v>5400</v>
      </c>
      <c r="D24" s="29">
        <v>48237</v>
      </c>
      <c r="E24" s="29">
        <f t="shared" si="1"/>
        <v>8.3759999999999994</v>
      </c>
      <c r="F24" s="29">
        <v>28789</v>
      </c>
      <c r="G24" s="29">
        <f t="shared" si="2"/>
        <v>0.9</v>
      </c>
      <c r="H24" s="29">
        <v>10750980</v>
      </c>
      <c r="I24" s="29">
        <f t="shared" si="4"/>
        <v>520</v>
      </c>
      <c r="J24" s="29">
        <v>346751</v>
      </c>
      <c r="K24" s="29">
        <f t="shared" si="4"/>
        <v>59</v>
      </c>
      <c r="L24" s="29">
        <v>13132</v>
      </c>
      <c r="M24" s="29">
        <f t="shared" si="3"/>
        <v>4.5</v>
      </c>
      <c r="N24" s="29">
        <v>28412360</v>
      </c>
      <c r="O24" s="29">
        <f t="shared" si="5"/>
        <v>5090</v>
      </c>
      <c r="P24" s="29">
        <v>6234615</v>
      </c>
      <c r="Q24" s="29">
        <f t="shared" si="5"/>
        <v>1</v>
      </c>
      <c r="R24" s="29">
        <v>26</v>
      </c>
    </row>
    <row r="25" spans="1:18" ht="20.25" customHeight="1" x14ac:dyDescent="0.25">
      <c r="A25" s="29">
        <v>17</v>
      </c>
      <c r="B25" s="29">
        <v>16324</v>
      </c>
      <c r="C25" s="29">
        <f t="shared" si="0"/>
        <v>5100</v>
      </c>
      <c r="D25" s="29">
        <v>48245</v>
      </c>
      <c r="E25" s="29">
        <f t="shared" si="1"/>
        <v>8.3759999999999994</v>
      </c>
      <c r="F25" s="29">
        <v>28798</v>
      </c>
      <c r="G25" s="29">
        <f t="shared" si="2"/>
        <v>0.9</v>
      </c>
      <c r="H25" s="29">
        <v>10751580</v>
      </c>
      <c r="I25" s="29">
        <f t="shared" si="4"/>
        <v>600</v>
      </c>
      <c r="J25" s="29">
        <v>346843</v>
      </c>
      <c r="K25" s="29">
        <f t="shared" si="4"/>
        <v>92</v>
      </c>
      <c r="L25" s="29">
        <v>13201</v>
      </c>
      <c r="M25" s="29">
        <f t="shared" si="3"/>
        <v>6.9</v>
      </c>
      <c r="N25" s="29">
        <v>28424700</v>
      </c>
      <c r="O25" s="29">
        <f t="shared" si="5"/>
        <v>12340</v>
      </c>
      <c r="P25" s="29">
        <v>6234615</v>
      </c>
      <c r="Q25" s="29">
        <f t="shared" si="5"/>
        <v>0</v>
      </c>
      <c r="R25" s="29">
        <v>34</v>
      </c>
    </row>
    <row r="26" spans="1:18" ht="20.25" customHeight="1" x14ac:dyDescent="0.25">
      <c r="A26" s="29">
        <v>18</v>
      </c>
      <c r="B26" s="29">
        <v>16345</v>
      </c>
      <c r="C26" s="29">
        <f t="shared" si="0"/>
        <v>6300</v>
      </c>
      <c r="D26" s="29">
        <v>48251</v>
      </c>
      <c r="E26" s="29">
        <f t="shared" si="1"/>
        <v>6.282</v>
      </c>
      <c r="F26" s="29">
        <v>28819</v>
      </c>
      <c r="G26" s="29">
        <f t="shared" si="2"/>
        <v>2.1</v>
      </c>
      <c r="H26" s="29">
        <v>10752322</v>
      </c>
      <c r="I26" s="29">
        <f t="shared" si="4"/>
        <v>742</v>
      </c>
      <c r="J26" s="29">
        <v>346845</v>
      </c>
      <c r="K26" s="29">
        <f t="shared" si="4"/>
        <v>2</v>
      </c>
      <c r="L26" s="29">
        <v>13252</v>
      </c>
      <c r="M26" s="29">
        <f t="shared" si="3"/>
        <v>5.1000000000000005</v>
      </c>
      <c r="N26" s="29">
        <v>28431400</v>
      </c>
      <c r="O26" s="29">
        <f t="shared" si="5"/>
        <v>6700</v>
      </c>
      <c r="P26" s="29">
        <v>6234615</v>
      </c>
      <c r="Q26" s="29">
        <f t="shared" si="5"/>
        <v>0</v>
      </c>
      <c r="R26" s="29">
        <v>54</v>
      </c>
    </row>
    <row r="27" spans="1:18" ht="20.25" customHeight="1" x14ac:dyDescent="0.25">
      <c r="A27" s="29">
        <v>19</v>
      </c>
      <c r="B27" s="29">
        <v>16367</v>
      </c>
      <c r="C27" s="29">
        <f t="shared" si="0"/>
        <v>6600</v>
      </c>
      <c r="D27" s="29">
        <v>48265</v>
      </c>
      <c r="E27" s="29">
        <f t="shared" si="1"/>
        <v>14.657999999999999</v>
      </c>
      <c r="F27" s="29">
        <v>28821</v>
      </c>
      <c r="G27" s="29">
        <f t="shared" si="2"/>
        <v>0.2</v>
      </c>
      <c r="H27" s="29">
        <v>10753955</v>
      </c>
      <c r="I27" s="29">
        <f t="shared" si="4"/>
        <v>1633</v>
      </c>
      <c r="J27" s="29">
        <v>346848</v>
      </c>
      <c r="K27" s="29">
        <f t="shared" si="4"/>
        <v>3</v>
      </c>
      <c r="L27" s="29">
        <v>13295</v>
      </c>
      <c r="M27" s="29">
        <f t="shared" si="3"/>
        <v>4.3</v>
      </c>
      <c r="N27" s="29">
        <v>28438465</v>
      </c>
      <c r="O27" s="29">
        <f t="shared" si="5"/>
        <v>7065</v>
      </c>
      <c r="P27" s="29">
        <v>6234780</v>
      </c>
      <c r="Q27" s="29">
        <f t="shared" si="5"/>
        <v>165</v>
      </c>
      <c r="R27" s="29">
        <v>31</v>
      </c>
    </row>
    <row r="28" spans="1:18" ht="20.25" customHeight="1" x14ac:dyDescent="0.25">
      <c r="A28" s="29">
        <v>20</v>
      </c>
      <c r="B28" s="29">
        <v>16377</v>
      </c>
      <c r="C28" s="29">
        <f t="shared" si="0"/>
        <v>3000</v>
      </c>
      <c r="D28" s="29">
        <v>48270</v>
      </c>
      <c r="E28" s="29">
        <f t="shared" si="1"/>
        <v>5.2349999999999994</v>
      </c>
      <c r="F28" s="29">
        <v>28828</v>
      </c>
      <c r="G28" s="29">
        <f t="shared" si="2"/>
        <v>0.70000000000000007</v>
      </c>
      <c r="H28" s="29">
        <v>10754130</v>
      </c>
      <c r="I28" s="29">
        <f t="shared" si="4"/>
        <v>175</v>
      </c>
      <c r="J28" s="29">
        <v>346848</v>
      </c>
      <c r="K28" s="29">
        <f t="shared" si="4"/>
        <v>0</v>
      </c>
      <c r="L28" s="29">
        <v>13319</v>
      </c>
      <c r="M28" s="29">
        <f t="shared" si="3"/>
        <v>2.4000000000000004</v>
      </c>
      <c r="N28" s="29">
        <v>28441945</v>
      </c>
      <c r="O28" s="29">
        <f t="shared" ref="O28:Q38" si="6">+N28-N27</f>
        <v>3480</v>
      </c>
      <c r="P28" s="29">
        <v>6234780</v>
      </c>
      <c r="Q28" s="29">
        <f t="shared" si="6"/>
        <v>0</v>
      </c>
      <c r="R28" s="29">
        <v>20</v>
      </c>
    </row>
    <row r="29" spans="1:18" ht="20.25" customHeight="1" x14ac:dyDescent="0.25">
      <c r="A29" s="29">
        <v>21</v>
      </c>
      <c r="B29" s="29">
        <v>16397</v>
      </c>
      <c r="C29" s="29">
        <f t="shared" si="0"/>
        <v>6000</v>
      </c>
      <c r="D29" s="29">
        <v>48278</v>
      </c>
      <c r="E29" s="29">
        <f t="shared" si="1"/>
        <v>8.3759999999999994</v>
      </c>
      <c r="F29" s="29">
        <v>28839</v>
      </c>
      <c r="G29" s="29">
        <f t="shared" si="2"/>
        <v>1.1000000000000001</v>
      </c>
      <c r="H29" s="29">
        <v>10755445</v>
      </c>
      <c r="I29" s="29">
        <f t="shared" si="4"/>
        <v>1315</v>
      </c>
      <c r="J29" s="29">
        <v>347232</v>
      </c>
      <c r="K29" s="29">
        <f t="shared" si="4"/>
        <v>384</v>
      </c>
      <c r="L29" s="29">
        <v>13353</v>
      </c>
      <c r="M29" s="29">
        <f t="shared" si="3"/>
        <v>3.4000000000000004</v>
      </c>
      <c r="N29" s="29">
        <v>28447430</v>
      </c>
      <c r="O29" s="29">
        <f t="shared" si="6"/>
        <v>5485</v>
      </c>
      <c r="P29" s="29">
        <v>6235332</v>
      </c>
      <c r="Q29" s="29">
        <f t="shared" si="6"/>
        <v>552</v>
      </c>
      <c r="R29" s="29">
        <v>22</v>
      </c>
    </row>
    <row r="30" spans="1:18" ht="20.25" customHeight="1" x14ac:dyDescent="0.25">
      <c r="A30" s="29">
        <v>22</v>
      </c>
      <c r="B30" s="29">
        <v>16418</v>
      </c>
      <c r="C30" s="29">
        <f t="shared" si="0"/>
        <v>6300</v>
      </c>
      <c r="D30" s="29">
        <v>48286</v>
      </c>
      <c r="E30" s="29">
        <f t="shared" si="1"/>
        <v>8.3759999999999994</v>
      </c>
      <c r="F30" s="29">
        <v>28848</v>
      </c>
      <c r="G30" s="29">
        <f t="shared" si="2"/>
        <v>0.9</v>
      </c>
      <c r="H30" s="29">
        <v>10755890</v>
      </c>
      <c r="I30" s="29">
        <f t="shared" si="4"/>
        <v>445</v>
      </c>
      <c r="J30" s="29">
        <v>347487</v>
      </c>
      <c r="K30" s="29">
        <f t="shared" si="4"/>
        <v>255</v>
      </c>
      <c r="L30" s="29">
        <v>13386</v>
      </c>
      <c r="M30" s="29">
        <f t="shared" si="3"/>
        <v>3.3000000000000003</v>
      </c>
      <c r="N30" s="29">
        <v>28452610</v>
      </c>
      <c r="O30" s="29">
        <f t="shared" si="6"/>
        <v>5180</v>
      </c>
      <c r="P30" s="29">
        <v>6235629</v>
      </c>
      <c r="Q30" s="29">
        <f t="shared" si="6"/>
        <v>297</v>
      </c>
      <c r="R30" s="29">
        <v>17</v>
      </c>
    </row>
    <row r="31" spans="1:18" ht="20.25" customHeight="1" x14ac:dyDescent="0.25">
      <c r="A31" s="29">
        <v>23</v>
      </c>
      <c r="B31" s="29">
        <v>16437</v>
      </c>
      <c r="C31" s="29">
        <f t="shared" si="0"/>
        <v>5700</v>
      </c>
      <c r="D31" s="29">
        <v>48293</v>
      </c>
      <c r="E31" s="29">
        <f t="shared" si="1"/>
        <v>7.3289999999999997</v>
      </c>
      <c r="F31" s="29">
        <v>28856</v>
      </c>
      <c r="G31" s="29">
        <f t="shared" si="2"/>
        <v>0.8</v>
      </c>
      <c r="H31" s="29">
        <v>10757465</v>
      </c>
      <c r="I31" s="29">
        <f t="shared" si="4"/>
        <v>1575</v>
      </c>
      <c r="J31" s="29">
        <v>347595</v>
      </c>
      <c r="K31" s="29">
        <f t="shared" si="4"/>
        <v>108</v>
      </c>
      <c r="L31" s="29">
        <v>13419</v>
      </c>
      <c r="M31" s="29">
        <f t="shared" si="3"/>
        <v>3.3000000000000003</v>
      </c>
      <c r="N31" s="29">
        <v>28456975</v>
      </c>
      <c r="O31" s="29">
        <f t="shared" si="6"/>
        <v>4365</v>
      </c>
      <c r="P31" s="29">
        <v>6235960</v>
      </c>
      <c r="Q31" s="29">
        <f t="shared" si="6"/>
        <v>331</v>
      </c>
      <c r="R31" s="29">
        <v>19</v>
      </c>
    </row>
    <row r="32" spans="1:18" ht="20.25" customHeight="1" x14ac:dyDescent="0.25">
      <c r="A32" s="29">
        <v>24</v>
      </c>
      <c r="B32" s="29">
        <v>16456</v>
      </c>
      <c r="C32" s="29">
        <f t="shared" si="0"/>
        <v>5700</v>
      </c>
      <c r="D32" s="29">
        <v>48301</v>
      </c>
      <c r="E32" s="29">
        <f t="shared" si="1"/>
        <v>8.3759999999999994</v>
      </c>
      <c r="F32" s="29">
        <v>28867</v>
      </c>
      <c r="G32" s="29">
        <f t="shared" si="2"/>
        <v>1.1000000000000001</v>
      </c>
      <c r="H32" s="29">
        <v>10758180</v>
      </c>
      <c r="I32" s="29">
        <f t="shared" si="4"/>
        <v>715</v>
      </c>
      <c r="J32" s="29">
        <v>347619</v>
      </c>
      <c r="K32" s="29">
        <f t="shared" si="4"/>
        <v>24</v>
      </c>
      <c r="L32" s="29">
        <v>13452</v>
      </c>
      <c r="M32" s="29">
        <f t="shared" si="3"/>
        <v>3.3000000000000003</v>
      </c>
      <c r="N32" s="29">
        <v>28460680</v>
      </c>
      <c r="O32" s="29">
        <f t="shared" si="6"/>
        <v>3705</v>
      </c>
      <c r="P32" s="29">
        <v>6236374</v>
      </c>
      <c r="Q32" s="29">
        <f t="shared" si="6"/>
        <v>414</v>
      </c>
      <c r="R32" s="29">
        <v>44</v>
      </c>
    </row>
    <row r="33" spans="1:18" ht="20.25" customHeight="1" x14ac:dyDescent="0.25">
      <c r="A33" s="29">
        <v>25</v>
      </c>
      <c r="B33" s="29">
        <v>16475</v>
      </c>
      <c r="C33" s="29">
        <f t="shared" si="0"/>
        <v>5700</v>
      </c>
      <c r="D33" s="29">
        <v>48308</v>
      </c>
      <c r="E33" s="29">
        <f t="shared" si="1"/>
        <v>7.3289999999999997</v>
      </c>
      <c r="F33" s="29">
        <v>28878</v>
      </c>
      <c r="G33" s="29">
        <f t="shared" si="2"/>
        <v>1.1000000000000001</v>
      </c>
      <c r="H33" s="29">
        <v>10758894</v>
      </c>
      <c r="I33" s="29">
        <f t="shared" si="4"/>
        <v>714</v>
      </c>
      <c r="J33" s="29">
        <v>347642</v>
      </c>
      <c r="K33" s="29">
        <f t="shared" si="4"/>
        <v>23</v>
      </c>
      <c r="L33" s="29">
        <v>13484</v>
      </c>
      <c r="M33" s="29">
        <f t="shared" si="3"/>
        <v>3.2</v>
      </c>
      <c r="N33" s="29">
        <v>28464385</v>
      </c>
      <c r="O33" s="29">
        <f t="shared" si="6"/>
        <v>3705</v>
      </c>
      <c r="P33" s="29">
        <v>6236388</v>
      </c>
      <c r="Q33" s="29">
        <f t="shared" si="6"/>
        <v>14</v>
      </c>
      <c r="R33" s="29">
        <v>54</v>
      </c>
    </row>
    <row r="34" spans="1:18" ht="20.25" customHeight="1" x14ac:dyDescent="0.25">
      <c r="A34" s="29">
        <v>26</v>
      </c>
      <c r="B34" s="29">
        <v>16497</v>
      </c>
      <c r="C34" s="29">
        <f t="shared" si="0"/>
        <v>6600</v>
      </c>
      <c r="D34" s="29">
        <v>48318</v>
      </c>
      <c r="E34" s="29">
        <f t="shared" si="1"/>
        <v>10.469999999999999</v>
      </c>
      <c r="F34" s="29">
        <v>28888</v>
      </c>
      <c r="G34" s="29">
        <f t="shared" si="2"/>
        <v>1</v>
      </c>
      <c r="H34" s="29">
        <v>10760042</v>
      </c>
      <c r="I34" s="29">
        <f t="shared" si="4"/>
        <v>1148</v>
      </c>
      <c r="J34" s="29">
        <v>347765</v>
      </c>
      <c r="K34" s="29">
        <f t="shared" si="4"/>
        <v>123</v>
      </c>
      <c r="L34" s="29">
        <v>13546</v>
      </c>
      <c r="M34" s="29">
        <f t="shared" si="3"/>
        <v>6.2</v>
      </c>
      <c r="N34" s="29">
        <v>28476724</v>
      </c>
      <c r="O34" s="29">
        <f t="shared" si="6"/>
        <v>12339</v>
      </c>
      <c r="P34" s="29">
        <v>6236506</v>
      </c>
      <c r="Q34" s="29">
        <f t="shared" si="6"/>
        <v>118</v>
      </c>
      <c r="R34" s="29">
        <v>32</v>
      </c>
    </row>
    <row r="35" spans="1:18" ht="20.25" customHeight="1" x14ac:dyDescent="0.25">
      <c r="A35" s="29">
        <v>27</v>
      </c>
      <c r="B35" s="29">
        <v>16513</v>
      </c>
      <c r="C35" s="29">
        <f t="shared" si="0"/>
        <v>4800</v>
      </c>
      <c r="D35" s="29">
        <v>48326</v>
      </c>
      <c r="E35" s="29">
        <f t="shared" si="1"/>
        <v>8.3759999999999994</v>
      </c>
      <c r="F35" s="29">
        <v>28898</v>
      </c>
      <c r="G35" s="29">
        <f t="shared" si="2"/>
        <v>1</v>
      </c>
      <c r="H35" s="29">
        <v>10760715</v>
      </c>
      <c r="I35" s="29">
        <f t="shared" si="4"/>
        <v>673</v>
      </c>
      <c r="J35" s="29">
        <v>347784</v>
      </c>
      <c r="K35" s="29">
        <f t="shared" si="4"/>
        <v>19</v>
      </c>
      <c r="L35" s="29">
        <v>13586</v>
      </c>
      <c r="M35" s="29">
        <f t="shared" si="3"/>
        <v>4</v>
      </c>
      <c r="N35" s="29">
        <v>28481955</v>
      </c>
      <c r="O35" s="29">
        <f t="shared" si="6"/>
        <v>5231</v>
      </c>
      <c r="P35" s="29">
        <v>6236508</v>
      </c>
      <c r="Q35" s="29">
        <f t="shared" si="6"/>
        <v>2</v>
      </c>
      <c r="R35" s="29">
        <v>26</v>
      </c>
    </row>
    <row r="36" spans="1:18" ht="20.25" customHeight="1" x14ac:dyDescent="0.25">
      <c r="A36" s="29">
        <v>28</v>
      </c>
      <c r="B36" s="29">
        <v>16537</v>
      </c>
      <c r="C36" s="29">
        <f t="shared" si="0"/>
        <v>7200</v>
      </c>
      <c r="D36" s="29">
        <v>48335</v>
      </c>
      <c r="E36" s="29">
        <f t="shared" si="1"/>
        <v>9.423</v>
      </c>
      <c r="F36" s="29">
        <v>28910</v>
      </c>
      <c r="G36" s="29">
        <f t="shared" si="2"/>
        <v>1.2000000000000002</v>
      </c>
      <c r="H36" s="29">
        <v>10761700</v>
      </c>
      <c r="I36" s="29">
        <f t="shared" si="4"/>
        <v>985</v>
      </c>
      <c r="J36" s="29">
        <v>347921</v>
      </c>
      <c r="K36" s="29">
        <f t="shared" si="4"/>
        <v>137</v>
      </c>
      <c r="L36" s="29">
        <v>13636</v>
      </c>
      <c r="M36" s="29">
        <f t="shared" si="3"/>
        <v>5</v>
      </c>
      <c r="N36" s="29">
        <v>28485900</v>
      </c>
      <c r="O36" s="29">
        <f t="shared" si="6"/>
        <v>3945</v>
      </c>
      <c r="P36" s="29">
        <v>6236605</v>
      </c>
      <c r="Q36" s="29">
        <f t="shared" si="6"/>
        <v>97</v>
      </c>
      <c r="R36" s="29">
        <v>37</v>
      </c>
    </row>
    <row r="37" spans="1:18" ht="20.25" customHeight="1" x14ac:dyDescent="0.25">
      <c r="A37" s="29">
        <v>29</v>
      </c>
      <c r="B37" s="29">
        <v>16555</v>
      </c>
      <c r="C37" s="29">
        <f t="shared" si="0"/>
        <v>5400</v>
      </c>
      <c r="D37" s="29">
        <v>48343</v>
      </c>
      <c r="E37" s="29">
        <f t="shared" si="1"/>
        <v>8.3759999999999994</v>
      </c>
      <c r="F37" s="29">
        <v>28921</v>
      </c>
      <c r="G37" s="29">
        <f t="shared" si="2"/>
        <v>1.1000000000000001</v>
      </c>
      <c r="H37" s="29">
        <v>10762352</v>
      </c>
      <c r="I37" s="29">
        <f t="shared" si="4"/>
        <v>652</v>
      </c>
      <c r="J37" s="29">
        <v>348008</v>
      </c>
      <c r="K37" s="29">
        <f t="shared" si="4"/>
        <v>87</v>
      </c>
      <c r="L37" s="29">
        <v>13674</v>
      </c>
      <c r="M37" s="29">
        <f t="shared" si="3"/>
        <v>3.8000000000000003</v>
      </c>
      <c r="N37" s="29">
        <v>28494131</v>
      </c>
      <c r="O37" s="29">
        <f t="shared" si="6"/>
        <v>8231</v>
      </c>
      <c r="P37" s="29">
        <v>6236891</v>
      </c>
      <c r="Q37" s="29">
        <f t="shared" si="6"/>
        <v>286</v>
      </c>
      <c r="R37" s="29">
        <v>38</v>
      </c>
    </row>
    <row r="38" spans="1:18" ht="20.25" customHeight="1" x14ac:dyDescent="0.25">
      <c r="A38" s="29">
        <v>30</v>
      </c>
      <c r="B38" s="29">
        <v>16570</v>
      </c>
      <c r="C38" s="29">
        <f t="shared" si="0"/>
        <v>4500</v>
      </c>
      <c r="D38" s="29">
        <v>48349</v>
      </c>
      <c r="E38" s="29">
        <f t="shared" si="1"/>
        <v>6.282</v>
      </c>
      <c r="F38" s="29">
        <v>28928</v>
      </c>
      <c r="G38" s="29">
        <f t="shared" si="2"/>
        <v>0.70000000000000007</v>
      </c>
      <c r="H38" s="29">
        <v>10762910</v>
      </c>
      <c r="I38" s="29">
        <f t="shared" si="4"/>
        <v>558</v>
      </c>
      <c r="J38" s="29">
        <v>348079</v>
      </c>
      <c r="K38" s="29">
        <f t="shared" si="4"/>
        <v>71</v>
      </c>
      <c r="L38" s="29">
        <v>13699</v>
      </c>
      <c r="M38" s="29">
        <f t="shared" si="3"/>
        <v>2.5</v>
      </c>
      <c r="N38" s="29">
        <v>28497740</v>
      </c>
      <c r="O38" s="29">
        <f t="shared" si="6"/>
        <v>3609</v>
      </c>
      <c r="P38" s="29">
        <v>6237009</v>
      </c>
      <c r="Q38" s="29">
        <f t="shared" si="6"/>
        <v>118</v>
      </c>
      <c r="R38" s="29">
        <v>50</v>
      </c>
    </row>
    <row r="40" spans="1:18" x14ac:dyDescent="0.25">
      <c r="A40" s="30" t="s">
        <v>26</v>
      </c>
      <c r="C40" s="31">
        <f>SUM(C9:C39)</f>
        <v>166200</v>
      </c>
      <c r="E40" s="31">
        <f>SUM(E9:E39)</f>
        <v>275.36099999999993</v>
      </c>
      <c r="G40" s="31">
        <f>SUM(G9:G39)</f>
        <v>29.600000000000005</v>
      </c>
      <c r="I40" s="31">
        <f>SUM(I9:I39)</f>
        <v>23972</v>
      </c>
      <c r="K40" s="31">
        <f>SUM(K9:K39)</f>
        <v>2808</v>
      </c>
      <c r="M40" s="31">
        <f>SUM(M9:M39)</f>
        <v>123.50000000000001</v>
      </c>
      <c r="O40" s="31">
        <f>SUM(O9:O39)</f>
        <v>187195</v>
      </c>
      <c r="Q40" s="31">
        <f>SUM(Q9:Q39)</f>
        <v>3941</v>
      </c>
      <c r="R40" s="16">
        <f>SUM(R9:R39)</f>
        <v>1093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2022-01-27T21:07:18Z</dcterms:modified>
  <cp:category/>
  <cp:contentStatus/>
</cp:coreProperties>
</file>