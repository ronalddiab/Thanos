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N:\Lotus Notes - Do Not Delete\Engr Admin\Utilities\HEP\2021\"/>
    </mc:Choice>
  </mc:AlternateContent>
  <bookViews>
    <workbookView xWindow="-105" yWindow="-105" windowWidth="19425" windowHeight="10425" activeTab="2"/>
  </bookViews>
  <sheets>
    <sheet name="TOTAL" sheetId="1" r:id="rId1"/>
    <sheet name="Submetering" sheetId="3" r:id="rId2"/>
    <sheet name="Hampshire Daily" sheetId="2" r:id="rId3"/>
    <sheet name="Sheet1" sheetId="4" r:id="rId4"/>
  </sheets>
  <externalReferences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1" l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L2" i="1"/>
  <c r="I34" i="2"/>
  <c r="I11" i="2"/>
  <c r="I12" i="2" s="1"/>
  <c r="I8" i="2"/>
  <c r="I9" i="2" s="1"/>
  <c r="I7" i="2"/>
  <c r="I6" i="2"/>
  <c r="I5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34" i="2"/>
  <c r="S2" i="3"/>
  <c r="T2" i="3"/>
  <c r="U2" i="3"/>
  <c r="V2" i="3"/>
  <c r="W2" i="3"/>
  <c r="X2" i="3"/>
  <c r="Y2" i="3"/>
  <c r="S3" i="3"/>
  <c r="T3" i="3"/>
  <c r="U3" i="3"/>
  <c r="V3" i="3"/>
  <c r="W3" i="3"/>
  <c r="X3" i="3"/>
  <c r="Y3" i="3"/>
  <c r="S4" i="3"/>
  <c r="T4" i="3"/>
  <c r="U4" i="3"/>
  <c r="V4" i="3"/>
  <c r="W4" i="3"/>
  <c r="X4" i="3"/>
  <c r="Y4" i="3"/>
  <c r="S5" i="3"/>
  <c r="T5" i="3"/>
  <c r="U5" i="3"/>
  <c r="V5" i="3"/>
  <c r="W5" i="3"/>
  <c r="X5" i="3"/>
  <c r="Y5" i="3"/>
  <c r="S6" i="3"/>
  <c r="T6" i="3"/>
  <c r="U6" i="3"/>
  <c r="V6" i="3"/>
  <c r="W6" i="3"/>
  <c r="X6" i="3"/>
  <c r="Y6" i="3"/>
  <c r="S7" i="3"/>
  <c r="T7" i="3"/>
  <c r="U7" i="3"/>
  <c r="V7" i="3"/>
  <c r="W7" i="3"/>
  <c r="X7" i="3"/>
  <c r="Y7" i="3"/>
  <c r="S8" i="3"/>
  <c r="T8" i="3"/>
  <c r="U8" i="3"/>
  <c r="V8" i="3"/>
  <c r="W8" i="3"/>
  <c r="X8" i="3"/>
  <c r="Y8" i="3"/>
  <c r="S9" i="3"/>
  <c r="T9" i="3"/>
  <c r="U9" i="3"/>
  <c r="V9" i="3"/>
  <c r="W9" i="3"/>
  <c r="X9" i="3"/>
  <c r="Y9" i="3"/>
  <c r="S10" i="3"/>
  <c r="T10" i="3"/>
  <c r="U10" i="3"/>
  <c r="V10" i="3"/>
  <c r="W10" i="3"/>
  <c r="X10" i="3"/>
  <c r="Y10" i="3"/>
  <c r="S11" i="3"/>
  <c r="T11" i="3"/>
  <c r="U11" i="3"/>
  <c r="V11" i="3"/>
  <c r="W11" i="3"/>
  <c r="X11" i="3"/>
  <c r="Y11" i="3"/>
  <c r="S12" i="3"/>
  <c r="T12" i="3"/>
  <c r="U12" i="3"/>
  <c r="V12" i="3"/>
  <c r="W12" i="3"/>
  <c r="X12" i="3"/>
  <c r="Y12" i="3"/>
  <c r="S13" i="3"/>
  <c r="T13" i="3"/>
  <c r="U13" i="3"/>
  <c r="V13" i="3"/>
  <c r="W13" i="3"/>
  <c r="X13" i="3"/>
  <c r="Y13" i="3"/>
  <c r="S14" i="3"/>
  <c r="T14" i="3"/>
  <c r="U14" i="3"/>
  <c r="V14" i="3"/>
  <c r="W14" i="3"/>
  <c r="X14" i="3"/>
  <c r="Y14" i="3"/>
  <c r="S15" i="3"/>
  <c r="T15" i="3"/>
  <c r="U15" i="3"/>
  <c r="V15" i="3"/>
  <c r="W15" i="3"/>
  <c r="X15" i="3"/>
  <c r="Y15" i="3"/>
  <c r="S16" i="3"/>
  <c r="T16" i="3"/>
  <c r="U16" i="3"/>
  <c r="V16" i="3"/>
  <c r="W16" i="3"/>
  <c r="X16" i="3"/>
  <c r="Y16" i="3"/>
  <c r="S17" i="3"/>
  <c r="T17" i="3"/>
  <c r="U17" i="3"/>
  <c r="V17" i="3"/>
  <c r="W17" i="3"/>
  <c r="X17" i="3"/>
  <c r="Y17" i="3"/>
  <c r="S18" i="3"/>
  <c r="T18" i="3"/>
  <c r="U18" i="3"/>
  <c r="V18" i="3"/>
  <c r="W18" i="3"/>
  <c r="X18" i="3"/>
  <c r="Y18" i="3"/>
  <c r="S19" i="3"/>
  <c r="T19" i="3"/>
  <c r="U19" i="3"/>
  <c r="V19" i="3"/>
  <c r="W19" i="3"/>
  <c r="X19" i="3"/>
  <c r="Y19" i="3"/>
  <c r="S20" i="3"/>
  <c r="T20" i="3"/>
  <c r="U20" i="3"/>
  <c r="V20" i="3"/>
  <c r="W20" i="3"/>
  <c r="X20" i="3"/>
  <c r="Y20" i="3"/>
  <c r="S21" i="3"/>
  <c r="T21" i="3"/>
  <c r="U21" i="3"/>
  <c r="V21" i="3"/>
  <c r="W21" i="3"/>
  <c r="X21" i="3"/>
  <c r="Y21" i="3"/>
  <c r="S22" i="3"/>
  <c r="T22" i="3"/>
  <c r="U22" i="3"/>
  <c r="V22" i="3"/>
  <c r="W22" i="3"/>
  <c r="X22" i="3"/>
  <c r="Y22" i="3"/>
  <c r="S23" i="3"/>
  <c r="T23" i="3"/>
  <c r="U23" i="3"/>
  <c r="V23" i="3"/>
  <c r="W23" i="3"/>
  <c r="X23" i="3"/>
  <c r="Y23" i="3"/>
  <c r="S24" i="3"/>
  <c r="T24" i="3"/>
  <c r="U24" i="3"/>
  <c r="V24" i="3"/>
  <c r="W24" i="3"/>
  <c r="X24" i="3"/>
  <c r="Y24" i="3"/>
  <c r="S25" i="3"/>
  <c r="T25" i="3"/>
  <c r="U25" i="3"/>
  <c r="V25" i="3"/>
  <c r="W25" i="3"/>
  <c r="X25" i="3"/>
  <c r="Y25" i="3"/>
  <c r="S26" i="3"/>
  <c r="T26" i="3"/>
  <c r="U26" i="3"/>
  <c r="V26" i="3"/>
  <c r="W26" i="3"/>
  <c r="X26" i="3"/>
  <c r="Y26" i="3"/>
  <c r="S27" i="3"/>
  <c r="T27" i="3"/>
  <c r="U27" i="3"/>
  <c r="V27" i="3"/>
  <c r="W27" i="3"/>
  <c r="X27" i="3"/>
  <c r="Y27" i="3"/>
  <c r="S28" i="3"/>
  <c r="T28" i="3"/>
  <c r="U28" i="3"/>
  <c r="V28" i="3"/>
  <c r="W28" i="3"/>
  <c r="X28" i="3"/>
  <c r="Y28" i="3"/>
  <c r="S29" i="3"/>
  <c r="T29" i="3"/>
  <c r="U29" i="3"/>
  <c r="V29" i="3"/>
  <c r="W29" i="3"/>
  <c r="X29" i="3"/>
  <c r="Y29" i="3"/>
  <c r="S30" i="3"/>
  <c r="T30" i="3"/>
  <c r="U30" i="3"/>
  <c r="V30" i="3"/>
  <c r="W30" i="3"/>
  <c r="X30" i="3"/>
  <c r="Y30" i="3"/>
  <c r="S31" i="3"/>
  <c r="T31" i="3"/>
  <c r="U31" i="3"/>
  <c r="V31" i="3"/>
  <c r="W31" i="3"/>
  <c r="X31" i="3"/>
  <c r="Y31" i="3"/>
  <c r="S32" i="3"/>
  <c r="T32" i="3"/>
  <c r="U32" i="3"/>
  <c r="V32" i="3"/>
  <c r="W32" i="3"/>
  <c r="X32" i="3"/>
  <c r="Y3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2" i="3"/>
  <c r="L2" i="3"/>
  <c r="M2" i="3"/>
  <c r="N2" i="3"/>
  <c r="O2" i="3"/>
  <c r="P2" i="3"/>
  <c r="Q2" i="3"/>
  <c r="L3" i="3"/>
  <c r="M3" i="3"/>
  <c r="N3" i="3"/>
  <c r="O3" i="3"/>
  <c r="P3" i="3"/>
  <c r="Q3" i="3"/>
  <c r="L4" i="3"/>
  <c r="M4" i="3"/>
  <c r="N4" i="3"/>
  <c r="O4" i="3"/>
  <c r="P4" i="3"/>
  <c r="Q4" i="3"/>
  <c r="L5" i="3"/>
  <c r="M5" i="3"/>
  <c r="N5" i="3"/>
  <c r="O5" i="3"/>
  <c r="P5" i="3"/>
  <c r="Q5" i="3"/>
  <c r="L6" i="3"/>
  <c r="M6" i="3"/>
  <c r="N6" i="3"/>
  <c r="O6" i="3"/>
  <c r="P6" i="3"/>
  <c r="Q6" i="3"/>
  <c r="L7" i="3"/>
  <c r="M7" i="3"/>
  <c r="N7" i="3"/>
  <c r="O7" i="3"/>
  <c r="P7" i="3"/>
  <c r="Q7" i="3"/>
  <c r="L8" i="3"/>
  <c r="M8" i="3"/>
  <c r="N8" i="3"/>
  <c r="O8" i="3"/>
  <c r="P8" i="3"/>
  <c r="Q8" i="3"/>
  <c r="L9" i="3"/>
  <c r="M9" i="3"/>
  <c r="N9" i="3"/>
  <c r="O9" i="3"/>
  <c r="P9" i="3"/>
  <c r="Q9" i="3"/>
  <c r="L10" i="3"/>
  <c r="M10" i="3"/>
  <c r="N10" i="3"/>
  <c r="O10" i="3"/>
  <c r="P10" i="3"/>
  <c r="Q10" i="3"/>
  <c r="L11" i="3"/>
  <c r="M11" i="3"/>
  <c r="N11" i="3"/>
  <c r="O11" i="3"/>
  <c r="P11" i="3"/>
  <c r="Q11" i="3"/>
  <c r="L12" i="3"/>
  <c r="M12" i="3"/>
  <c r="N12" i="3"/>
  <c r="O12" i="3"/>
  <c r="P12" i="3"/>
  <c r="Q12" i="3"/>
  <c r="L13" i="3"/>
  <c r="M13" i="3"/>
  <c r="N13" i="3"/>
  <c r="O13" i="3"/>
  <c r="P13" i="3"/>
  <c r="Q13" i="3"/>
  <c r="L14" i="3"/>
  <c r="M14" i="3"/>
  <c r="N14" i="3"/>
  <c r="O14" i="3"/>
  <c r="P14" i="3"/>
  <c r="Q14" i="3"/>
  <c r="L15" i="3"/>
  <c r="M15" i="3"/>
  <c r="N15" i="3"/>
  <c r="O15" i="3"/>
  <c r="P15" i="3"/>
  <c r="Q15" i="3"/>
  <c r="L16" i="3"/>
  <c r="M16" i="3"/>
  <c r="N16" i="3"/>
  <c r="O16" i="3"/>
  <c r="P16" i="3"/>
  <c r="Q16" i="3"/>
  <c r="L17" i="3"/>
  <c r="M17" i="3"/>
  <c r="N17" i="3"/>
  <c r="O17" i="3"/>
  <c r="P17" i="3"/>
  <c r="Q17" i="3"/>
  <c r="L18" i="3"/>
  <c r="M18" i="3"/>
  <c r="N18" i="3"/>
  <c r="O18" i="3"/>
  <c r="P18" i="3"/>
  <c r="Q18" i="3"/>
  <c r="L19" i="3"/>
  <c r="M19" i="3"/>
  <c r="N19" i="3"/>
  <c r="O19" i="3"/>
  <c r="P19" i="3"/>
  <c r="Q19" i="3"/>
  <c r="L20" i="3"/>
  <c r="M20" i="3"/>
  <c r="N20" i="3"/>
  <c r="O20" i="3"/>
  <c r="P20" i="3"/>
  <c r="Q20" i="3"/>
  <c r="L21" i="3"/>
  <c r="M21" i="3"/>
  <c r="N21" i="3"/>
  <c r="O21" i="3"/>
  <c r="P21" i="3"/>
  <c r="Q21" i="3"/>
  <c r="L22" i="3"/>
  <c r="M22" i="3"/>
  <c r="N22" i="3"/>
  <c r="O22" i="3"/>
  <c r="P22" i="3"/>
  <c r="Q22" i="3"/>
  <c r="L23" i="3"/>
  <c r="M23" i="3"/>
  <c r="N23" i="3"/>
  <c r="O23" i="3"/>
  <c r="P23" i="3"/>
  <c r="Q23" i="3"/>
  <c r="L24" i="3"/>
  <c r="M24" i="3"/>
  <c r="N24" i="3"/>
  <c r="O24" i="3"/>
  <c r="P24" i="3"/>
  <c r="Q24" i="3"/>
  <c r="L25" i="3"/>
  <c r="M25" i="3"/>
  <c r="N25" i="3"/>
  <c r="O25" i="3"/>
  <c r="P25" i="3"/>
  <c r="Q25" i="3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N29" i="3"/>
  <c r="O29" i="3"/>
  <c r="P29" i="3"/>
  <c r="Q29" i="3"/>
  <c r="L30" i="3"/>
  <c r="M30" i="3"/>
  <c r="N30" i="3"/>
  <c r="O30" i="3"/>
  <c r="P30" i="3"/>
  <c r="Q30" i="3"/>
  <c r="L31" i="3"/>
  <c r="M31" i="3"/>
  <c r="N31" i="3"/>
  <c r="O31" i="3"/>
  <c r="P31" i="3"/>
  <c r="Q31" i="3"/>
  <c r="L32" i="3"/>
  <c r="M32" i="3"/>
  <c r="N32" i="3"/>
  <c r="O32" i="3"/>
  <c r="P32" i="3"/>
  <c r="Q32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30" i="3"/>
  <c r="H31" i="3"/>
  <c r="H32" i="3"/>
  <c r="H2" i="3"/>
  <c r="G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L34" i="2"/>
  <c r="L32" i="2"/>
  <c r="L28" i="2"/>
  <c r="L27" i="2"/>
  <c r="L26" i="2"/>
  <c r="L23" i="2"/>
  <c r="L21" i="2"/>
  <c r="L20" i="2"/>
  <c r="L19" i="2"/>
  <c r="L17" i="2"/>
  <c r="L16" i="2"/>
  <c r="L15" i="2"/>
  <c r="L14" i="2"/>
  <c r="L13" i="2"/>
  <c r="L11" i="2"/>
  <c r="L10" i="2"/>
  <c r="L9" i="2"/>
  <c r="L8" i="2"/>
  <c r="L7" i="2"/>
  <c r="L6" i="2"/>
  <c r="I13" i="2" l="1"/>
  <c r="H9" i="3"/>
  <c r="H6" i="3"/>
  <c r="I10" i="2"/>
  <c r="AA32" i="3"/>
  <c r="Z32" i="3"/>
  <c r="AA31" i="3"/>
  <c r="Z31" i="3"/>
  <c r="AA30" i="3"/>
  <c r="Z30" i="3"/>
  <c r="AA29" i="3"/>
  <c r="Z29" i="3"/>
  <c r="AA28" i="3"/>
  <c r="Z28" i="3"/>
  <c r="AA27" i="3"/>
  <c r="Z27" i="3"/>
  <c r="AA26" i="3"/>
  <c r="Z26" i="3"/>
  <c r="AA25" i="3"/>
  <c r="Z25" i="3"/>
  <c r="AA24" i="3"/>
  <c r="Z24" i="3"/>
  <c r="AA23" i="3"/>
  <c r="Z23" i="3"/>
  <c r="AA22" i="3"/>
  <c r="Z22" i="3"/>
  <c r="AA21" i="3"/>
  <c r="Z21" i="3"/>
  <c r="AA20" i="3"/>
  <c r="Z20" i="3"/>
  <c r="AA19" i="3"/>
  <c r="Z19" i="3"/>
  <c r="AA18" i="3"/>
  <c r="Z18" i="3"/>
  <c r="AA17" i="3"/>
  <c r="Z17" i="3"/>
  <c r="AA16" i="3"/>
  <c r="Z16" i="3"/>
  <c r="AA15" i="3"/>
  <c r="Z15" i="3"/>
  <c r="AA14" i="3"/>
  <c r="Z14" i="3"/>
  <c r="AA13" i="3"/>
  <c r="Z13" i="3"/>
  <c r="AA12" i="3"/>
  <c r="Z12" i="3"/>
  <c r="AA11" i="3"/>
  <c r="Z11" i="3"/>
  <c r="AA10" i="3"/>
  <c r="Z10" i="3"/>
  <c r="AA9" i="3"/>
  <c r="Z9" i="3"/>
  <c r="AA8" i="3"/>
  <c r="Z8" i="3"/>
  <c r="AA7" i="3"/>
  <c r="Z7" i="3"/>
  <c r="AA6" i="3"/>
  <c r="Z6" i="3"/>
  <c r="AA5" i="3"/>
  <c r="Z5" i="3"/>
  <c r="AA4" i="3"/>
  <c r="Z4" i="3"/>
  <c r="AA3" i="3"/>
  <c r="Z3" i="3"/>
  <c r="AA2" i="3"/>
  <c r="Z2" i="3"/>
  <c r="H10" i="3" l="1"/>
  <c r="I14" i="2"/>
  <c r="H7" i="3"/>
  <c r="H8" i="3"/>
  <c r="I15" i="2" l="1"/>
  <c r="H11" i="3"/>
  <c r="I16" i="2" l="1"/>
  <c r="H12" i="3"/>
  <c r="I17" i="2" l="1"/>
  <c r="H13" i="3"/>
  <c r="I18" i="2" l="1"/>
  <c r="H14" i="3"/>
  <c r="I19" i="2" l="1"/>
  <c r="H15" i="3"/>
  <c r="G7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4" i="4"/>
  <c r="B5" i="4"/>
  <c r="G5" i="4" s="1"/>
  <c r="B6" i="4"/>
  <c r="G6" i="4" s="1"/>
  <c r="B7" i="4"/>
  <c r="B8" i="4"/>
  <c r="G8" i="4" s="1"/>
  <c r="B9" i="4"/>
  <c r="G9" i="4" s="1"/>
  <c r="B10" i="4"/>
  <c r="G10" i="4" s="1"/>
  <c r="B11" i="4"/>
  <c r="G11" i="4" s="1"/>
  <c r="B12" i="4"/>
  <c r="G12" i="4" s="1"/>
  <c r="B13" i="4"/>
  <c r="G13" i="4" s="1"/>
  <c r="B14" i="4"/>
  <c r="G14" i="4" s="1"/>
  <c r="B15" i="4"/>
  <c r="G15" i="4" s="1"/>
  <c r="B16" i="4"/>
  <c r="G16" i="4" s="1"/>
  <c r="B17" i="4"/>
  <c r="G17" i="4" s="1"/>
  <c r="B18" i="4"/>
  <c r="G18" i="4" s="1"/>
  <c r="B19" i="4"/>
  <c r="G19" i="4" s="1"/>
  <c r="B20" i="4"/>
  <c r="G20" i="4" s="1"/>
  <c r="B21" i="4"/>
  <c r="G21" i="4" s="1"/>
  <c r="B22" i="4"/>
  <c r="G22" i="4" s="1"/>
  <c r="B23" i="4"/>
  <c r="G23" i="4" s="1"/>
  <c r="B24" i="4"/>
  <c r="G24" i="4" s="1"/>
  <c r="B25" i="4"/>
  <c r="G25" i="4" s="1"/>
  <c r="B26" i="4"/>
  <c r="G26" i="4" s="1"/>
  <c r="B27" i="4"/>
  <c r="G27" i="4" s="1"/>
  <c r="B28" i="4"/>
  <c r="G28" i="4" s="1"/>
  <c r="B29" i="4"/>
  <c r="G29" i="4" s="1"/>
  <c r="B30" i="4"/>
  <c r="G30" i="4" s="1"/>
  <c r="B31" i="4"/>
  <c r="G31" i="4" s="1"/>
  <c r="B32" i="4"/>
  <c r="G32" i="4" s="1"/>
  <c r="B33" i="4"/>
  <c r="G33" i="4" s="1"/>
  <c r="B34" i="4"/>
  <c r="G34" i="4" s="1"/>
  <c r="B4" i="4"/>
  <c r="G4" i="4" s="1"/>
  <c r="I20" i="2" l="1"/>
  <c r="H16" i="3"/>
  <c r="G32" i="1"/>
  <c r="I32" i="1"/>
  <c r="I21" i="2" l="1"/>
  <c r="H17" i="3"/>
  <c r="E32" i="1"/>
  <c r="H18" i="3" l="1"/>
  <c r="I22" i="2"/>
  <c r="K2" i="1"/>
  <c r="G28" i="1"/>
  <c r="E28" i="1"/>
  <c r="G22" i="1"/>
  <c r="I22" i="1"/>
  <c r="G23" i="1"/>
  <c r="I23" i="1"/>
  <c r="G24" i="1"/>
  <c r="E25" i="1"/>
  <c r="G25" i="1"/>
  <c r="E26" i="1"/>
  <c r="G26" i="1"/>
  <c r="I26" i="1"/>
  <c r="E27" i="1"/>
  <c r="I27" i="1"/>
  <c r="I28" i="1"/>
  <c r="E29" i="1"/>
  <c r="G29" i="1"/>
  <c r="I29" i="1"/>
  <c r="E30" i="1"/>
  <c r="G30" i="1"/>
  <c r="I30" i="1"/>
  <c r="G6" i="1"/>
  <c r="G3" i="1"/>
  <c r="E7" i="1"/>
  <c r="E8" i="1"/>
  <c r="E11" i="1"/>
  <c r="E12" i="1"/>
  <c r="E15" i="1"/>
  <c r="E16" i="1"/>
  <c r="E31" i="1"/>
  <c r="G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I4" i="1"/>
  <c r="G7" i="1"/>
  <c r="I7" i="1"/>
  <c r="G8" i="1"/>
  <c r="I8" i="1"/>
  <c r="G9" i="1"/>
  <c r="I9" i="1"/>
  <c r="G10" i="1"/>
  <c r="G11" i="1"/>
  <c r="G12" i="1"/>
  <c r="G13" i="1"/>
  <c r="I13" i="1"/>
  <c r="G14" i="1"/>
  <c r="G15" i="1"/>
  <c r="G16" i="1"/>
  <c r="I16" i="1"/>
  <c r="G17" i="1"/>
  <c r="I17" i="1"/>
  <c r="G18" i="1"/>
  <c r="I18" i="1"/>
  <c r="G19" i="1"/>
  <c r="G20" i="1"/>
  <c r="G21" i="1"/>
  <c r="I21" i="1"/>
  <c r="G31" i="1"/>
  <c r="I3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I3" i="1"/>
  <c r="I2" i="1"/>
  <c r="G4" i="1"/>
  <c r="G5" i="1"/>
  <c r="I20" i="1"/>
  <c r="I19" i="1"/>
  <c r="I6" i="1"/>
  <c r="I5" i="1"/>
  <c r="I25" i="1"/>
  <c r="I24" i="1"/>
  <c r="G27" i="1"/>
  <c r="I15" i="1"/>
  <c r="I14" i="1"/>
  <c r="I10" i="1"/>
  <c r="I12" i="1"/>
  <c r="I23" i="2" l="1"/>
  <c r="H19" i="3"/>
  <c r="E4" i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  <c r="I24" i="2" l="1"/>
  <c r="H20" i="3"/>
  <c r="I25" i="2" l="1"/>
  <c r="H21" i="3"/>
  <c r="H22" i="3" l="1"/>
  <c r="I26" i="2"/>
  <c r="I27" i="2" l="1"/>
  <c r="H23" i="3"/>
  <c r="I28" i="2" l="1"/>
  <c r="H24" i="3"/>
  <c r="I29" i="2" l="1"/>
  <c r="H25" i="3"/>
  <c r="I30" i="2" l="1"/>
  <c r="H26" i="3"/>
  <c r="I31" i="2" l="1"/>
  <c r="H27" i="3"/>
  <c r="H28" i="3" l="1"/>
  <c r="H29" i="3"/>
</calcChain>
</file>

<file path=xl/comments1.xml><?xml version="1.0" encoding="utf-8"?>
<comments xmlns="http://schemas.openxmlformats.org/spreadsheetml/2006/main">
  <authors>
    <author>Darren Moakes</author>
  </authors>
  <commentList>
    <comment ref="B27" authorId="0" shapeId="0">
      <text>
        <r>
          <rPr>
            <b/>
            <sz val="9"/>
            <color indexed="81"/>
            <rFont val="Tahoma"/>
            <charset val="1"/>
          </rPr>
          <t>Darren Moakes:</t>
        </r>
        <r>
          <rPr>
            <sz val="9"/>
            <color indexed="81"/>
            <rFont val="Tahoma"/>
            <charset val="1"/>
          </rPr>
          <t xml:space="preserve">
Leak found on softened supply </t>
        </r>
      </text>
    </comment>
  </commentList>
</comments>
</file>

<file path=xl/sharedStrings.xml><?xml version="1.0" encoding="utf-8"?>
<sst xmlns="http://schemas.openxmlformats.org/spreadsheetml/2006/main" count="137" uniqueCount="61">
  <si>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</si>
  <si>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</si>
  <si>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</si>
  <si>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</si>
  <si>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</si>
  <si>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</si>
  <si>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</si>
  <si>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</si>
  <si>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</si>
  <si>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</si>
  <si>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</si>
  <si>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</si>
  <si>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</si>
  <si>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</si>
  <si>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</si>
  <si>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</si>
  <si>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</si>
  <si>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</si>
  <si>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</si>
  <si>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</si>
  <si>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</si>
  <si>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</si>
  <si>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</si>
  <si>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</si>
  <si>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</si>
  <si>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</si>
  <si>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</si>
  <si>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</si>
  <si>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</si>
  <si>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</si>
  <si>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</si>
  <si>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</si>
  <si>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CL02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</si>
  <si>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</si>
  <si>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</si>
  <si>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</si>
  <si>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</si>
  <si>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</si>
  <si>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</si>
  <si>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</si>
  <si>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</si>
  <si>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</si>
  <si>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</si>
  <si>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</si>
  <si>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</si>
  <si>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</si>
  <si>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</si>
  <si>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</si>
  <si>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</si>
  <si>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</si>
  <si>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CL02- m3</t>
  </si>
  <si>
    <t>LTHW East- m3</t>
  </si>
  <si>
    <t>Chilled make-up- m3</t>
  </si>
  <si>
    <t>LTHW SPA- m3</t>
  </si>
  <si>
    <t>Room Night</t>
  </si>
  <si>
    <t>Guest</t>
  </si>
  <si>
    <t>Orchard irrigation</t>
  </si>
  <si>
    <t xml:space="preserve">Kids pool </t>
  </si>
  <si>
    <t xml:space="preserve">Kids Pool </t>
  </si>
  <si>
    <t>Spa CHP Electric generated</t>
  </si>
  <si>
    <t>East CHP Electric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</si>
</sst>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[$-409]d\-mmm;@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6" fillId="0" borderId="4" xfId="1" applyNumberFormat="1" applyFont="1" applyBorder="1" applyAlignment="1">
      <alignment horizontal="center"/>
    </xf>
    <xf numFmtId="165" fontId="2" fillId="0" borderId="4" xfId="1" applyNumberFormat="1" applyFont="1" applyBorder="1" applyAlignment="1">
      <alignment horizontal="center"/>
    </xf>
    <xf numFmtId="165" fontId="2" fillId="2" borderId="3" xfId="1" applyNumberFormat="1" applyFont="1" applyFill="1" applyBorder="1" applyAlignment="1">
      <alignment horizontal="center" wrapText="1"/>
    </xf>
    <xf numFmtId="165" fontId="0" fillId="2" borderId="3" xfId="0" applyNumberForma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0" fontId="8" fillId="2" borderId="3" xfId="0" applyFont="1" applyFill="1" applyBorder="1" applyAlignment="1" applyProtection="1">
      <alignment horizontal="center"/>
      <protection locked="0"/>
    </xf>
    <xf numFmtId="0" fontId="8" fillId="5" borderId="3" xfId="0" applyNumberFormat="1" applyFont="1" applyFill="1" applyBorder="1" applyAlignment="1" applyProtection="1">
      <alignment horizontal="center"/>
      <protection locked="0"/>
    </xf>
    <xf numFmtId="0" fontId="2" fillId="3" borderId="3" xfId="1" applyFont="1" applyFill="1" applyBorder="1" applyAlignment="1">
      <alignment horizontal="center" wrapText="1"/>
    </xf>
    <xf numFmtId="0" fontId="1" fillId="3" borderId="3" xfId="1" applyFill="1" applyBorder="1" applyAlignment="1">
      <alignment horizontal="center"/>
    </xf>
    <xf numFmtId="165" fontId="2" fillId="0" borderId="5" xfId="1" applyNumberFormat="1" applyFont="1" applyBorder="1" applyAlignment="1">
      <alignment horizontal="center" wrapText="1"/>
    </xf>
    <xf numFmtId="165" fontId="2" fillId="0" borderId="6" xfId="1" applyNumberFormat="1" applyFont="1" applyBorder="1" applyAlignment="1">
      <alignment horizontal="center" wrapText="1"/>
    </xf>
    <xf numFmtId="165" fontId="1" fillId="0" borderId="7" xfId="1" applyNumberForma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3" xfId="1" applyFont="1" applyBorder="1" applyAlignment="1">
      <alignment horizontal="center" wrapText="1"/>
    </xf>
    <xf numFmtId="0" fontId="7" fillId="0" borderId="3" xfId="1" applyFont="1" applyBorder="1" applyAlignment="1">
      <alignment horizontal="center" wrapText="1"/>
    </xf>
    <xf numFmtId="0" fontId="6" fillId="2" borderId="3" xfId="1" applyFont="1" applyFill="1" applyBorder="1" applyAlignment="1">
      <alignment horizontal="center" wrapText="1"/>
    </xf>
    <xf numFmtId="0" fontId="7" fillId="2" borderId="3" xfId="1" applyFont="1" applyFill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2" fillId="4" borderId="3" xfId="1" applyFont="1" applyFill="1" applyBorder="1" applyAlignment="1">
      <alignment horizontal="center" wrapText="1"/>
    </xf>
    <xf numFmtId="0" fontId="1" fillId="4" borderId="3" xfId="1" applyFill="1" applyBorder="1" applyAlignment="1">
      <alignment horizontal="center"/>
    </xf>
    <xf numFmtId="0" fontId="2" fillId="3" borderId="3" xfId="1" applyFont="1" applyFill="1" applyBorder="1" applyAlignment="1">
      <alignment horizontal="center" wrapText="1"/>
    </xf>
    <xf numFmtId="0" fontId="1" fillId="3" borderId="3" xfId="1" applyFill="1" applyBorder="1" applyAlignment="1">
      <alignment horizontal="center"/>
    </xf>
    <xf numFmtId="0" fontId="1" fillId="3" borderId="3" xfId="1" applyFill="1" applyBorder="1" applyAlignment="1">
      <alignment horizontal="center" wrapText="1"/>
    </xf>
    <xf numFmtId="2" fontId="2" fillId="3" borderId="3" xfId="1" applyNumberFormat="1" applyFont="1" applyFill="1" applyBorder="1" applyAlignment="1">
      <alignment horizontal="center" wrapText="1"/>
    </xf>
    <xf numFmtId="0" fontId="9" fillId="0" borderId="8" xfId="0" applyFont="1" applyBorder="1"/>
    <xf numFmtId="0" fontId="9" fillId="0" borderId="9" xfId="0" applyFont="1" applyBorder="1"/>
    <xf numFmtId="0" fontId="0" fillId="0" borderId="3" xfId="0" applyBorder="1"/>
    <xf numFmtId="0" fontId="9" fillId="0" borderId="10" xfId="0" applyFont="1" applyBorder="1"/>
    <xf numFmtId="0" fontId="2" fillId="3" borderId="11" xfId="1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1" fillId="3" borderId="11" xfId="1" applyFill="1" applyBorder="1" applyAlignment="1">
      <alignment horizontal="center"/>
    </xf>
    <xf numFmtId="0" fontId="3" fillId="3" borderId="1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4" fillId="0" borderId="3" xfId="0" applyFont="1" applyBorder="1"/>
    <xf numFmtId="0" fontId="1" fillId="0" borderId="3" xfId="1" applyBorder="1"/>
    <xf numFmtId="0" fontId="0" fillId="6" borderId="3" xfId="0" applyFill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otus%20Notes%20-%20Do%20Not%20Delete/Engr%20Admin/Utilities/HEP/2020/FS%20Hampshire_HEP_Daily_DEC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ampshire Daily"/>
    </sheetNames>
    <sheetDataSet>
      <sheetData sheetId="0" refreshError="1"/>
      <sheetData sheetId="1" refreshError="1"/>
      <sheetData sheetId="2">
        <row r="4">
          <cell r="D4">
            <v>111357</v>
          </cell>
        </row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25</v>
          </cell>
          <cell r="C7">
            <v>52</v>
          </cell>
        </row>
        <row r="8">
          <cell r="B8">
            <v>51</v>
          </cell>
          <cell r="C8">
            <v>133</v>
          </cell>
        </row>
        <row r="9">
          <cell r="B9">
            <v>64</v>
          </cell>
          <cell r="C9">
            <v>172</v>
          </cell>
        </row>
        <row r="10">
          <cell r="B10">
            <v>35</v>
          </cell>
          <cell r="C10">
            <v>88</v>
          </cell>
        </row>
        <row r="11">
          <cell r="B11">
            <v>30</v>
          </cell>
          <cell r="C11">
            <v>75</v>
          </cell>
        </row>
        <row r="12">
          <cell r="B12">
            <v>21</v>
          </cell>
          <cell r="C12">
            <v>50</v>
          </cell>
        </row>
        <row r="13">
          <cell r="B13">
            <v>21</v>
          </cell>
          <cell r="C13">
            <v>49</v>
          </cell>
        </row>
        <row r="14">
          <cell r="B14">
            <v>32</v>
          </cell>
          <cell r="C14">
            <v>74</v>
          </cell>
        </row>
        <row r="15">
          <cell r="B15">
            <v>59</v>
          </cell>
          <cell r="C15">
            <v>146</v>
          </cell>
        </row>
        <row r="16">
          <cell r="B16">
            <v>71</v>
          </cell>
          <cell r="C16">
            <v>183</v>
          </cell>
        </row>
        <row r="17">
          <cell r="B17">
            <v>51</v>
          </cell>
          <cell r="C17">
            <v>141</v>
          </cell>
        </row>
        <row r="18">
          <cell r="B18">
            <v>58</v>
          </cell>
          <cell r="C18">
            <v>176</v>
          </cell>
        </row>
        <row r="19">
          <cell r="B19">
            <v>80</v>
          </cell>
          <cell r="C19">
            <v>235</v>
          </cell>
        </row>
        <row r="20">
          <cell r="B20">
            <v>67</v>
          </cell>
          <cell r="C20">
            <v>198</v>
          </cell>
        </row>
        <row r="21">
          <cell r="B21">
            <v>49</v>
          </cell>
          <cell r="C21">
            <v>149</v>
          </cell>
        </row>
        <row r="22">
          <cell r="B22">
            <v>49</v>
          </cell>
          <cell r="C22">
            <v>145</v>
          </cell>
        </row>
        <row r="23">
          <cell r="B23">
            <v>58</v>
          </cell>
          <cell r="C23">
            <v>163</v>
          </cell>
        </row>
        <row r="24">
          <cell r="B24">
            <v>26</v>
          </cell>
          <cell r="C24">
            <v>90</v>
          </cell>
        </row>
        <row r="25">
          <cell r="B25">
            <v>19</v>
          </cell>
          <cell r="C25">
            <v>72</v>
          </cell>
        </row>
        <row r="26">
          <cell r="B26">
            <v>27</v>
          </cell>
          <cell r="C26">
            <v>90</v>
          </cell>
        </row>
        <row r="27">
          <cell r="B27">
            <v>35</v>
          </cell>
          <cell r="C27">
            <v>99</v>
          </cell>
        </row>
        <row r="28">
          <cell r="B28">
            <v>26</v>
          </cell>
          <cell r="C28">
            <v>65</v>
          </cell>
        </row>
        <row r="29">
          <cell r="B29">
            <v>23</v>
          </cell>
          <cell r="C29">
            <v>53</v>
          </cell>
        </row>
        <row r="30">
          <cell r="B30">
            <v>1</v>
          </cell>
          <cell r="C30">
            <v>1</v>
          </cell>
        </row>
        <row r="31">
          <cell r="B31">
            <v>1</v>
          </cell>
          <cell r="C31">
            <v>1</v>
          </cell>
        </row>
        <row r="32">
          <cell r="B32">
            <v>7</v>
          </cell>
          <cell r="C32">
            <v>7</v>
          </cell>
        </row>
        <row r="33">
          <cell r="B33">
            <v>12</v>
          </cell>
          <cell r="C33">
            <v>12</v>
          </cell>
        </row>
        <row r="34">
          <cell r="B34">
            <v>12</v>
          </cell>
          <cell r="C34">
            <v>12</v>
          </cell>
        </row>
        <row r="35">
          <cell r="B35">
            <v>12</v>
          </cell>
          <cell r="C35">
            <v>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O24" sqref="O24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43.5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45" x14ac:dyDescent="0.35">
      <c r="A2" s="3" t="s">
        <v>41</v>
      </c>
      <c r="B2" s="2">
        <v>1</v>
      </c>
      <c r="C2" s="2">
        <v>1</v>
      </c>
      <c r="D2" s="2">
        <v>2021</v>
      </c>
      <c r="E2" s="4">
        <f>(Submetering!E2+Submetering!F2)</f>
        <v>4287</v>
      </c>
      <c r="F2" s="12">
        <v>0.14000000000000001</v>
      </c>
      <c r="G2" s="4">
        <f>Submetering!M2</f>
        <v>2345</v>
      </c>
      <c r="H2" s="12">
        <v>0.16</v>
      </c>
      <c r="I2" s="4">
        <f>Submetering!N2</f>
        <v>70</v>
      </c>
      <c r="J2" s="13">
        <v>2.06</v>
      </c>
      <c r="K2" s="4">
        <f>'Hampshire Daily'!B5</f>
        <v>10</v>
      </c>
      <c r="L2" s="4">
        <f>'Hampshire Daily'!C5</f>
        <v>10</v>
      </c>
    </row>
    <row r="3" spans="1:24" ht="14.45" x14ac:dyDescent="0.35">
      <c r="A3" s="3" t="s">
        <v>41</v>
      </c>
      <c r="B3" s="2">
        <f>B2+1</f>
        <v>2</v>
      </c>
      <c r="C3" s="2">
        <v>1</v>
      </c>
      <c r="D3" s="2">
        <v>2021</v>
      </c>
      <c r="E3" s="4">
        <f>Submetering!E3+Submetering!F3</f>
        <v>3410</v>
      </c>
      <c r="F3" s="12">
        <v>0.14000000000000001</v>
      </c>
      <c r="G3" s="4">
        <f>Submetering!M3</f>
        <v>2083</v>
      </c>
      <c r="H3" s="12">
        <v>0.16</v>
      </c>
      <c r="I3" s="4">
        <f>Submetering!N3</f>
        <v>79</v>
      </c>
      <c r="J3" s="13">
        <v>2.06</v>
      </c>
      <c r="K3" s="4">
        <f>'Hampshire Daily'!B6</f>
        <v>10</v>
      </c>
      <c r="L3" s="4">
        <f>'Hampshire Daily'!C6</f>
        <v>10</v>
      </c>
    </row>
    <row r="4" spans="1:24" ht="14.45" x14ac:dyDescent="0.35">
      <c r="A4" s="3" t="s">
        <v>41</v>
      </c>
      <c r="B4" s="2">
        <f t="shared" ref="B4:B32" si="0">B3+1</f>
        <v>3</v>
      </c>
      <c r="C4" s="2">
        <v>1</v>
      </c>
      <c r="D4" s="2">
        <v>2021</v>
      </c>
      <c r="E4" s="4">
        <f>Submetering!E4+Submetering!F4</f>
        <v>6010</v>
      </c>
      <c r="F4" s="12">
        <v>0.14000000000000001</v>
      </c>
      <c r="G4" s="4">
        <f>Submetering!M4</f>
        <v>2051</v>
      </c>
      <c r="H4" s="12">
        <v>0.16</v>
      </c>
      <c r="I4" s="4">
        <f>Submetering!N4</f>
        <v>68</v>
      </c>
      <c r="J4" s="13">
        <v>2.06</v>
      </c>
      <c r="K4" s="4">
        <f>'Hampshire Daily'!B7</f>
        <v>10</v>
      </c>
      <c r="L4" s="4">
        <f>'Hampshire Daily'!C7</f>
        <v>10</v>
      </c>
    </row>
    <row r="5" spans="1:24" ht="14.45" x14ac:dyDescent="0.35">
      <c r="A5" s="3" t="s">
        <v>41</v>
      </c>
      <c r="B5" s="2">
        <f t="shared" si="0"/>
        <v>4</v>
      </c>
      <c r="C5" s="2">
        <v>1</v>
      </c>
      <c r="D5" s="2">
        <v>2021</v>
      </c>
      <c r="E5" s="4">
        <f>Submetering!E5+Submetering!F5</f>
        <v>2676</v>
      </c>
      <c r="F5" s="12">
        <v>0.14000000000000001</v>
      </c>
      <c r="G5" s="4">
        <f>Submetering!M5</f>
        <v>2125</v>
      </c>
      <c r="H5" s="12">
        <v>0.16</v>
      </c>
      <c r="I5" s="4">
        <f>Submetering!N5</f>
        <v>87</v>
      </c>
      <c r="J5" s="13">
        <v>2.06</v>
      </c>
      <c r="K5" s="4">
        <f>'Hampshire Daily'!B8</f>
        <v>10</v>
      </c>
      <c r="L5" s="4">
        <f>'Hampshire Daily'!C8</f>
        <v>10</v>
      </c>
    </row>
    <row r="6" spans="1:24" ht="14.45" x14ac:dyDescent="0.35">
      <c r="A6" s="3" t="s">
        <v>41</v>
      </c>
      <c r="B6" s="2">
        <f t="shared" si="0"/>
        <v>5</v>
      </c>
      <c r="C6" s="2">
        <v>1</v>
      </c>
      <c r="D6" s="2">
        <v>2021</v>
      </c>
      <c r="E6" s="4">
        <f>Submetering!E6+Submetering!F6</f>
        <v>2906</v>
      </c>
      <c r="F6" s="12">
        <v>0.14000000000000001</v>
      </c>
      <c r="G6" s="4">
        <f>Submetering!M6</f>
        <v>2297</v>
      </c>
      <c r="H6" s="12">
        <v>0.16</v>
      </c>
      <c r="I6" s="4">
        <f>Submetering!N6</f>
        <v>84</v>
      </c>
      <c r="J6" s="13">
        <v>2.06</v>
      </c>
      <c r="K6" s="4">
        <f>'Hampshire Daily'!B9</f>
        <v>10</v>
      </c>
      <c r="L6" s="4">
        <f>'Hampshire Daily'!C9</f>
        <v>10</v>
      </c>
    </row>
    <row r="7" spans="1:24" ht="14.45" x14ac:dyDescent="0.35">
      <c r="A7" s="3" t="s">
        <v>41</v>
      </c>
      <c r="B7" s="2">
        <f t="shared" si="0"/>
        <v>6</v>
      </c>
      <c r="C7" s="2">
        <v>1</v>
      </c>
      <c r="D7" s="2">
        <v>2021</v>
      </c>
      <c r="E7" s="4">
        <f>Submetering!E7+Submetering!F7</f>
        <v>3501</v>
      </c>
      <c r="F7" s="12">
        <v>0.14000000000000001</v>
      </c>
      <c r="G7" s="4">
        <f>Submetering!M7</f>
        <v>2158</v>
      </c>
      <c r="H7" s="12">
        <v>0.16</v>
      </c>
      <c r="I7" s="4">
        <f>Submetering!N7</f>
        <v>55</v>
      </c>
      <c r="J7" s="13">
        <v>2.06</v>
      </c>
      <c r="K7" s="4">
        <f>'Hampshire Daily'!B10</f>
        <v>10</v>
      </c>
      <c r="L7" s="4">
        <f>'Hampshire Daily'!C10</f>
        <v>10</v>
      </c>
    </row>
    <row r="8" spans="1:24" ht="14.45" x14ac:dyDescent="0.35">
      <c r="A8" s="3" t="s">
        <v>41</v>
      </c>
      <c r="B8" s="2">
        <f t="shared" si="0"/>
        <v>7</v>
      </c>
      <c r="C8" s="2">
        <v>1</v>
      </c>
      <c r="D8" s="2">
        <v>2021</v>
      </c>
      <c r="E8" s="4">
        <f>Submetering!E8+Submetering!F8</f>
        <v>3682</v>
      </c>
      <c r="F8" s="12">
        <v>0.14000000000000001</v>
      </c>
      <c r="G8" s="4">
        <f>Submetering!M8</f>
        <v>2327</v>
      </c>
      <c r="H8" s="12">
        <v>0.16</v>
      </c>
      <c r="I8" s="4">
        <f>Submetering!N8</f>
        <v>90</v>
      </c>
      <c r="J8" s="13">
        <v>2.06</v>
      </c>
      <c r="K8" s="4">
        <f>'Hampshire Daily'!B11</f>
        <v>10</v>
      </c>
      <c r="L8" s="4">
        <f>'Hampshire Daily'!C11</f>
        <v>10</v>
      </c>
    </row>
    <row r="9" spans="1:24" ht="14.45" x14ac:dyDescent="0.35">
      <c r="A9" s="3" t="s">
        <v>41</v>
      </c>
      <c r="B9" s="2">
        <f t="shared" si="0"/>
        <v>8</v>
      </c>
      <c r="C9" s="2">
        <v>1</v>
      </c>
      <c r="D9" s="2">
        <v>2021</v>
      </c>
      <c r="E9" s="4">
        <f>Submetering!E9+Submetering!F9</f>
        <v>4368</v>
      </c>
      <c r="F9" s="12">
        <v>0.14000000000000001</v>
      </c>
      <c r="G9" s="4">
        <f>Submetering!M9</f>
        <v>2207</v>
      </c>
      <c r="H9" s="12">
        <v>0.16</v>
      </c>
      <c r="I9" s="4">
        <f>Submetering!N9</f>
        <v>99</v>
      </c>
      <c r="J9" s="13">
        <v>2.06</v>
      </c>
      <c r="K9" s="4">
        <f>'Hampshire Daily'!B12</f>
        <v>10</v>
      </c>
      <c r="L9" s="4">
        <f>'Hampshire Daily'!C12</f>
        <v>10</v>
      </c>
    </row>
    <row r="10" spans="1:24" ht="14.45" x14ac:dyDescent="0.35">
      <c r="A10" s="3" t="s">
        <v>41</v>
      </c>
      <c r="B10" s="2">
        <f t="shared" si="0"/>
        <v>9</v>
      </c>
      <c r="C10" s="2">
        <v>1</v>
      </c>
      <c r="D10" s="2">
        <v>2021</v>
      </c>
      <c r="E10" s="4">
        <f>Submetering!E10+Submetering!F10</f>
        <v>4795</v>
      </c>
      <c r="F10" s="12">
        <v>0.14000000000000001</v>
      </c>
      <c r="G10" s="4">
        <f>Submetering!M10</f>
        <v>2532</v>
      </c>
      <c r="H10" s="12">
        <v>0.16</v>
      </c>
      <c r="I10" s="4">
        <f>Submetering!N10</f>
        <v>60</v>
      </c>
      <c r="J10" s="13">
        <v>2.06</v>
      </c>
      <c r="K10" s="4">
        <f>'Hampshire Daily'!B13</f>
        <v>10</v>
      </c>
      <c r="L10" s="4">
        <f>'Hampshire Daily'!C13</f>
        <v>10</v>
      </c>
    </row>
    <row r="11" spans="1:24" ht="14.45" x14ac:dyDescent="0.35">
      <c r="A11" s="3" t="s">
        <v>41</v>
      </c>
      <c r="B11" s="2">
        <f t="shared" si="0"/>
        <v>10</v>
      </c>
      <c r="C11" s="2">
        <v>1</v>
      </c>
      <c r="D11" s="2">
        <v>2021</v>
      </c>
      <c r="E11" s="4">
        <f>Submetering!E11+Submetering!F11</f>
        <v>3652</v>
      </c>
      <c r="F11" s="12">
        <v>0.14000000000000001</v>
      </c>
      <c r="G11" s="4">
        <f>Submetering!M11</f>
        <v>1869</v>
      </c>
      <c r="H11" s="12">
        <v>0.16</v>
      </c>
      <c r="I11" s="4">
        <f>Submetering!N11</f>
        <v>110</v>
      </c>
      <c r="J11" s="13">
        <v>2.06</v>
      </c>
      <c r="K11" s="4">
        <f>'Hampshire Daily'!B14</f>
        <v>10</v>
      </c>
      <c r="L11" s="4">
        <f>'Hampshire Daily'!C14</f>
        <v>10</v>
      </c>
    </row>
    <row r="12" spans="1:24" ht="14.45" x14ac:dyDescent="0.35">
      <c r="A12" s="3" t="s">
        <v>41</v>
      </c>
      <c r="B12" s="2">
        <f t="shared" si="0"/>
        <v>11</v>
      </c>
      <c r="C12" s="2">
        <v>1</v>
      </c>
      <c r="D12" s="2">
        <v>2021</v>
      </c>
      <c r="E12" s="4">
        <f>Submetering!E12+Submetering!F12</f>
        <v>4155</v>
      </c>
      <c r="F12" s="12">
        <v>0.14000000000000001</v>
      </c>
      <c r="G12" s="4">
        <f>Submetering!M12</f>
        <v>2064</v>
      </c>
      <c r="H12" s="12">
        <v>0.16</v>
      </c>
      <c r="I12" s="4">
        <f>Submetering!N12</f>
        <v>70</v>
      </c>
      <c r="J12" s="13">
        <v>2.06</v>
      </c>
      <c r="K12" s="4">
        <f>'Hampshire Daily'!B15</f>
        <v>10</v>
      </c>
      <c r="L12" s="4">
        <f>'Hampshire Daily'!C15</f>
        <v>10</v>
      </c>
    </row>
    <row r="13" spans="1:24" ht="14.45" x14ac:dyDescent="0.35">
      <c r="A13" s="3" t="s">
        <v>41</v>
      </c>
      <c r="B13" s="2">
        <f t="shared" si="0"/>
        <v>12</v>
      </c>
      <c r="C13" s="2">
        <v>1</v>
      </c>
      <c r="D13" s="2">
        <v>2021</v>
      </c>
      <c r="E13" s="4">
        <f>Submetering!E13+Submetering!F13</f>
        <v>3612</v>
      </c>
      <c r="F13" s="12">
        <v>0.14000000000000001</v>
      </c>
      <c r="G13" s="4">
        <f>Submetering!M13</f>
        <v>1869</v>
      </c>
      <c r="H13" s="12">
        <v>0.16</v>
      </c>
      <c r="I13" s="4">
        <f>Submetering!N13</f>
        <v>75</v>
      </c>
      <c r="J13" s="13">
        <v>2.06</v>
      </c>
      <c r="K13" s="4">
        <f>'Hampshire Daily'!B16</f>
        <v>10</v>
      </c>
      <c r="L13" s="4">
        <f>'Hampshire Daily'!C16</f>
        <v>10</v>
      </c>
    </row>
    <row r="14" spans="1:24" ht="14.45" x14ac:dyDescent="0.35">
      <c r="A14" s="3" t="s">
        <v>41</v>
      </c>
      <c r="B14" s="2">
        <f t="shared" si="0"/>
        <v>13</v>
      </c>
      <c r="C14" s="2">
        <v>1</v>
      </c>
      <c r="D14" s="2">
        <v>2021</v>
      </c>
      <c r="E14" s="4">
        <f>Submetering!E14+Submetering!F14</f>
        <v>4514</v>
      </c>
      <c r="F14" s="12">
        <v>0.14000000000000001</v>
      </c>
      <c r="G14" s="4">
        <f>Submetering!M14</f>
        <v>1847</v>
      </c>
      <c r="H14" s="12">
        <v>0.16</v>
      </c>
      <c r="I14" s="4">
        <f>Submetering!N14</f>
        <v>78</v>
      </c>
      <c r="J14" s="13">
        <v>2.06</v>
      </c>
      <c r="K14" s="4">
        <f>'Hampshire Daily'!B17</f>
        <v>10</v>
      </c>
      <c r="L14" s="4">
        <f>'Hampshire Daily'!C17</f>
        <v>10</v>
      </c>
    </row>
    <row r="15" spans="1:24" ht="14.45" x14ac:dyDescent="0.35">
      <c r="A15" s="3" t="s">
        <v>41</v>
      </c>
      <c r="B15" s="2">
        <f t="shared" si="0"/>
        <v>14</v>
      </c>
      <c r="C15" s="2">
        <v>1</v>
      </c>
      <c r="D15" s="2">
        <v>2021</v>
      </c>
      <c r="E15" s="4">
        <f>Submetering!E15+Submetering!F15</f>
        <v>3919</v>
      </c>
      <c r="F15" s="12">
        <v>0.14000000000000001</v>
      </c>
      <c r="G15" s="4">
        <f>Submetering!M15</f>
        <v>1807</v>
      </c>
      <c r="H15" s="12">
        <v>0.16</v>
      </c>
      <c r="I15" s="4">
        <f>Submetering!N15</f>
        <v>66</v>
      </c>
      <c r="J15" s="13">
        <v>2.06</v>
      </c>
      <c r="K15" s="4">
        <f>'Hampshire Daily'!B18</f>
        <v>10</v>
      </c>
      <c r="L15" s="4">
        <f>'Hampshire Daily'!C18</f>
        <v>10</v>
      </c>
    </row>
    <row r="16" spans="1:24" ht="14.45" x14ac:dyDescent="0.35">
      <c r="A16" s="3" t="s">
        <v>41</v>
      </c>
      <c r="B16" s="2">
        <f t="shared" si="0"/>
        <v>15</v>
      </c>
      <c r="C16" s="2">
        <v>1</v>
      </c>
      <c r="D16" s="2">
        <v>2021</v>
      </c>
      <c r="E16" s="4">
        <f>Submetering!E16+Submetering!F16</f>
        <v>4135</v>
      </c>
      <c r="F16" s="12">
        <v>0.14000000000000001</v>
      </c>
      <c r="G16" s="4">
        <f>Submetering!M16</f>
        <v>1916</v>
      </c>
      <c r="H16" s="12">
        <v>0.16</v>
      </c>
      <c r="I16" s="4">
        <f>Submetering!N16</f>
        <v>74</v>
      </c>
      <c r="J16" s="13">
        <v>2.06</v>
      </c>
      <c r="K16" s="4">
        <f>'Hampshire Daily'!B19</f>
        <v>10</v>
      </c>
      <c r="L16" s="4">
        <f>'Hampshire Daily'!C19</f>
        <v>10</v>
      </c>
    </row>
    <row r="17" spans="1:12" x14ac:dyDescent="0.25">
      <c r="A17" s="3" t="s">
        <v>41</v>
      </c>
      <c r="B17" s="2">
        <f t="shared" si="0"/>
        <v>16</v>
      </c>
      <c r="C17" s="2">
        <v>1</v>
      </c>
      <c r="D17" s="2">
        <v>2021</v>
      </c>
      <c r="E17" s="4">
        <f>Submetering!E17+Submetering!F17</f>
        <v>4084</v>
      </c>
      <c r="F17" s="12">
        <v>0.14000000000000001</v>
      </c>
      <c r="G17" s="4">
        <f>Submetering!M17</f>
        <v>2032</v>
      </c>
      <c r="H17" s="12">
        <v>0.16</v>
      </c>
      <c r="I17" s="4">
        <f>Submetering!N17</f>
        <v>98</v>
      </c>
      <c r="J17" s="13">
        <v>2.06</v>
      </c>
      <c r="K17" s="4">
        <f>'Hampshire Daily'!B20</f>
        <v>10</v>
      </c>
      <c r="L17" s="4">
        <f>'Hampshire Daily'!C20</f>
        <v>10</v>
      </c>
    </row>
    <row r="18" spans="1:12" x14ac:dyDescent="0.25">
      <c r="A18" s="3" t="s">
        <v>41</v>
      </c>
      <c r="B18" s="2">
        <f t="shared" si="0"/>
        <v>17</v>
      </c>
      <c r="C18" s="2">
        <v>1</v>
      </c>
      <c r="D18" s="2">
        <v>2021</v>
      </c>
      <c r="E18" s="4">
        <f>Submetering!E18+Submetering!F18</f>
        <v>1623</v>
      </c>
      <c r="F18" s="12">
        <v>0.14000000000000001</v>
      </c>
      <c r="G18" s="4">
        <f>Submetering!M18</f>
        <v>2157</v>
      </c>
      <c r="H18" s="12">
        <v>0.16</v>
      </c>
      <c r="I18" s="4">
        <f>Submetering!N18</f>
        <v>77</v>
      </c>
      <c r="J18" s="13">
        <v>2.06</v>
      </c>
      <c r="K18" s="4">
        <f>'Hampshire Daily'!B21</f>
        <v>10</v>
      </c>
      <c r="L18" s="4">
        <f>'Hampshire Daily'!C21</f>
        <v>10</v>
      </c>
    </row>
    <row r="19" spans="1:12" x14ac:dyDescent="0.25">
      <c r="A19" s="3" t="s">
        <v>41</v>
      </c>
      <c r="B19" s="2">
        <f t="shared" si="0"/>
        <v>18</v>
      </c>
      <c r="C19" s="2">
        <v>1</v>
      </c>
      <c r="D19" s="2">
        <v>2021</v>
      </c>
      <c r="E19" s="4">
        <f>Submetering!E19+Submetering!F19</f>
        <v>3160</v>
      </c>
      <c r="F19" s="12">
        <v>0.14000000000000001</v>
      </c>
      <c r="G19" s="4">
        <f>Submetering!M19</f>
        <v>2068</v>
      </c>
      <c r="H19" s="12">
        <v>0.16</v>
      </c>
      <c r="I19" s="4">
        <f>Submetering!N19</f>
        <v>81</v>
      </c>
      <c r="J19" s="13">
        <v>2.06</v>
      </c>
      <c r="K19" s="4">
        <f>'Hampshire Daily'!B22</f>
        <v>10</v>
      </c>
      <c r="L19" s="4">
        <f>'Hampshire Daily'!C22</f>
        <v>10</v>
      </c>
    </row>
    <row r="20" spans="1:12" x14ac:dyDescent="0.25">
      <c r="A20" s="3" t="s">
        <v>41</v>
      </c>
      <c r="B20" s="2">
        <f t="shared" si="0"/>
        <v>19</v>
      </c>
      <c r="C20" s="2">
        <v>1</v>
      </c>
      <c r="D20" s="2">
        <v>2021</v>
      </c>
      <c r="E20" s="4">
        <f>Submetering!E20+Submetering!F20</f>
        <v>2298</v>
      </c>
      <c r="F20" s="12">
        <v>0.14000000000000001</v>
      </c>
      <c r="G20" s="4">
        <f>Submetering!M20</f>
        <v>2146</v>
      </c>
      <c r="H20" s="12">
        <v>0.16</v>
      </c>
      <c r="I20" s="4">
        <f>Submetering!N20</f>
        <v>79</v>
      </c>
      <c r="J20" s="13">
        <v>2.06</v>
      </c>
      <c r="K20" s="4">
        <f>'Hampshire Daily'!B23</f>
        <v>10</v>
      </c>
      <c r="L20" s="4">
        <f>'Hampshire Daily'!C23</f>
        <v>10</v>
      </c>
    </row>
    <row r="21" spans="1:12" x14ac:dyDescent="0.25">
      <c r="A21" s="3" t="s">
        <v>41</v>
      </c>
      <c r="B21" s="2">
        <f t="shared" si="0"/>
        <v>20</v>
      </c>
      <c r="C21" s="2">
        <v>1</v>
      </c>
      <c r="D21" s="2">
        <v>2021</v>
      </c>
      <c r="E21" s="4">
        <f>Submetering!E21+Submetering!F21</f>
        <v>1332</v>
      </c>
      <c r="F21" s="12">
        <v>0.14000000000000001</v>
      </c>
      <c r="G21" s="4">
        <f>Submetering!M21</f>
        <v>1829</v>
      </c>
      <c r="H21" s="12">
        <v>0.16</v>
      </c>
      <c r="I21" s="4">
        <f>Submetering!N21</f>
        <v>69</v>
      </c>
      <c r="J21" s="13">
        <v>2.06</v>
      </c>
      <c r="K21" s="4">
        <f>'Hampshire Daily'!B24</f>
        <v>10</v>
      </c>
      <c r="L21" s="4">
        <f>'Hampshire Daily'!C24</f>
        <v>10</v>
      </c>
    </row>
    <row r="22" spans="1:12" x14ac:dyDescent="0.25">
      <c r="A22" s="3" t="s">
        <v>41</v>
      </c>
      <c r="B22" s="2">
        <f t="shared" si="0"/>
        <v>21</v>
      </c>
      <c r="C22" s="2">
        <v>1</v>
      </c>
      <c r="D22" s="2">
        <v>2021</v>
      </c>
      <c r="E22" s="4">
        <f>Submetering!E22+Submetering!F22</f>
        <v>3305</v>
      </c>
      <c r="F22" s="12">
        <v>0.14000000000000001</v>
      </c>
      <c r="G22" s="4">
        <f>Submetering!M22</f>
        <v>1887</v>
      </c>
      <c r="H22" s="12">
        <v>0.16</v>
      </c>
      <c r="I22" s="4">
        <f>Submetering!N22</f>
        <v>83</v>
      </c>
      <c r="J22" s="13">
        <v>2.06</v>
      </c>
      <c r="K22" s="4">
        <f>'Hampshire Daily'!B25</f>
        <v>10</v>
      </c>
      <c r="L22" s="4">
        <f>'Hampshire Daily'!C25</f>
        <v>10</v>
      </c>
    </row>
    <row r="23" spans="1:12" x14ac:dyDescent="0.25">
      <c r="A23" s="3" t="s">
        <v>41</v>
      </c>
      <c r="B23" s="2">
        <f t="shared" si="0"/>
        <v>22</v>
      </c>
      <c r="C23" s="2">
        <v>1</v>
      </c>
      <c r="D23" s="2">
        <v>2021</v>
      </c>
      <c r="E23" s="4">
        <f>Submetering!E23+Submetering!F23</f>
        <v>1878</v>
      </c>
      <c r="F23" s="12">
        <v>0.14000000000000001</v>
      </c>
      <c r="G23" s="4">
        <f>Submetering!M23</f>
        <v>2142</v>
      </c>
      <c r="H23" s="12">
        <v>0.16</v>
      </c>
      <c r="I23" s="4">
        <f>Submetering!N23</f>
        <v>85</v>
      </c>
      <c r="J23" s="13">
        <v>2.06</v>
      </c>
      <c r="K23" s="4">
        <f>'Hampshire Daily'!B26</f>
        <v>10</v>
      </c>
      <c r="L23" s="4">
        <f>'Hampshire Daily'!C26</f>
        <v>10</v>
      </c>
    </row>
    <row r="24" spans="1:12" x14ac:dyDescent="0.25">
      <c r="A24" s="3" t="s">
        <v>41</v>
      </c>
      <c r="B24" s="2">
        <f t="shared" si="0"/>
        <v>23</v>
      </c>
      <c r="C24" s="2">
        <v>1</v>
      </c>
      <c r="D24" s="2">
        <v>2021</v>
      </c>
      <c r="E24" s="4">
        <f>Submetering!E24+Submetering!F24</f>
        <v>1430</v>
      </c>
      <c r="F24" s="12">
        <v>0.14000000000000001</v>
      </c>
      <c r="G24" s="4">
        <f>Submetering!M24</f>
        <v>2302</v>
      </c>
      <c r="H24" s="12">
        <v>0.16</v>
      </c>
      <c r="I24" s="4">
        <f>Submetering!N24</f>
        <v>77</v>
      </c>
      <c r="J24" s="13">
        <v>2.06</v>
      </c>
      <c r="K24" s="4">
        <f>'Hampshire Daily'!B27</f>
        <v>10</v>
      </c>
      <c r="L24" s="4">
        <f>'Hampshire Daily'!C27</f>
        <v>10</v>
      </c>
    </row>
    <row r="25" spans="1:12" x14ac:dyDescent="0.25">
      <c r="A25" s="3" t="s">
        <v>41</v>
      </c>
      <c r="B25" s="2">
        <f t="shared" si="0"/>
        <v>24</v>
      </c>
      <c r="C25" s="2">
        <v>1</v>
      </c>
      <c r="D25" s="2">
        <v>2021</v>
      </c>
      <c r="E25" s="4">
        <f>Submetering!E25+Submetering!F25</f>
        <v>1817</v>
      </c>
      <c r="F25" s="12">
        <v>0.14000000000000001</v>
      </c>
      <c r="G25" s="4">
        <f>Submetering!M25</f>
        <v>2146</v>
      </c>
      <c r="H25" s="12">
        <v>0.16</v>
      </c>
      <c r="I25" s="4">
        <f>Submetering!N25</f>
        <v>90</v>
      </c>
      <c r="J25" s="13">
        <v>2.06</v>
      </c>
      <c r="K25" s="4">
        <f>'Hampshire Daily'!B28</f>
        <v>10</v>
      </c>
      <c r="L25" s="4">
        <f>'Hampshire Daily'!C28</f>
        <v>10</v>
      </c>
    </row>
    <row r="26" spans="1:12" x14ac:dyDescent="0.25">
      <c r="A26" s="3" t="s">
        <v>41</v>
      </c>
      <c r="B26" s="2">
        <f>B25+1</f>
        <v>25</v>
      </c>
      <c r="C26" s="2">
        <v>1</v>
      </c>
      <c r="D26" s="2">
        <v>2021</v>
      </c>
      <c r="E26" s="4">
        <f>Submetering!E26+Submetering!F26</f>
        <v>978</v>
      </c>
      <c r="F26" s="12">
        <v>0.14000000000000001</v>
      </c>
      <c r="G26" s="4">
        <f>Submetering!M26</f>
        <v>2907</v>
      </c>
      <c r="H26" s="12">
        <v>0.16</v>
      </c>
      <c r="I26" s="4">
        <f>Submetering!N26</f>
        <v>59</v>
      </c>
      <c r="J26" s="13">
        <v>2.06</v>
      </c>
      <c r="K26" s="4">
        <f>'Hampshire Daily'!B29</f>
        <v>10</v>
      </c>
      <c r="L26" s="4">
        <f>'Hampshire Daily'!C29</f>
        <v>10</v>
      </c>
    </row>
    <row r="27" spans="1:12" x14ac:dyDescent="0.25">
      <c r="A27" s="3" t="s">
        <v>41</v>
      </c>
      <c r="B27" s="2">
        <f t="shared" si="0"/>
        <v>26</v>
      </c>
      <c r="C27" s="2">
        <v>1</v>
      </c>
      <c r="D27" s="2">
        <v>2021</v>
      </c>
      <c r="E27" s="4">
        <f>Submetering!E27+Submetering!F27</f>
        <v>1341</v>
      </c>
      <c r="F27" s="12">
        <v>0.14000000000000001</v>
      </c>
      <c r="G27" s="4">
        <f>Submetering!M27</f>
        <v>2595</v>
      </c>
      <c r="H27" s="12">
        <v>0.16</v>
      </c>
      <c r="I27" s="4">
        <f>Submetering!N27</f>
        <v>4</v>
      </c>
      <c r="J27" s="13">
        <v>2.06</v>
      </c>
      <c r="K27" s="4">
        <f>'Hampshire Daily'!B30</f>
        <v>10</v>
      </c>
      <c r="L27" s="4">
        <f>'Hampshire Daily'!C30</f>
        <v>10</v>
      </c>
    </row>
    <row r="28" spans="1:12" x14ac:dyDescent="0.25">
      <c r="A28" s="3" t="s">
        <v>41</v>
      </c>
      <c r="B28" s="2">
        <f t="shared" si="0"/>
        <v>27</v>
      </c>
      <c r="C28" s="2">
        <v>1</v>
      </c>
      <c r="D28" s="2">
        <v>2021</v>
      </c>
      <c r="E28" s="4">
        <f>Submetering!E28+Submetering!F28</f>
        <v>1274</v>
      </c>
      <c r="F28" s="12">
        <v>0.14000000000000001</v>
      </c>
      <c r="G28" s="4">
        <f>Submetering!M28</f>
        <v>2088</v>
      </c>
      <c r="H28" s="12">
        <v>0.16</v>
      </c>
      <c r="I28" s="4">
        <f>Submetering!N28</f>
        <v>106</v>
      </c>
      <c r="J28" s="13">
        <v>2.06</v>
      </c>
      <c r="K28" s="4">
        <f>'Hampshire Daily'!B31</f>
        <v>10</v>
      </c>
      <c r="L28" s="4">
        <f>'Hampshire Daily'!C31</f>
        <v>10</v>
      </c>
    </row>
    <row r="29" spans="1:12" x14ac:dyDescent="0.25">
      <c r="A29" s="3" t="s">
        <v>41</v>
      </c>
      <c r="B29" s="2">
        <f t="shared" si="0"/>
        <v>28</v>
      </c>
      <c r="C29" s="2">
        <v>1</v>
      </c>
      <c r="D29" s="2">
        <v>2021</v>
      </c>
      <c r="E29" s="4">
        <f>Submetering!E29+Submetering!F29</f>
        <v>3066</v>
      </c>
      <c r="F29" s="12">
        <v>0.14000000000000001</v>
      </c>
      <c r="G29" s="4">
        <f>Submetering!M29</f>
        <v>1859</v>
      </c>
      <c r="H29" s="12">
        <v>0.16</v>
      </c>
      <c r="I29" s="4">
        <f>Submetering!N29</f>
        <v>28</v>
      </c>
      <c r="J29" s="13">
        <v>2.06</v>
      </c>
      <c r="K29" s="4">
        <f>'Hampshire Daily'!B32</f>
        <v>10</v>
      </c>
      <c r="L29" s="4">
        <f>'Hampshire Daily'!C32</f>
        <v>10</v>
      </c>
    </row>
    <row r="30" spans="1:12" x14ac:dyDescent="0.25">
      <c r="A30" s="3" t="s">
        <v>41</v>
      </c>
      <c r="B30" s="2">
        <f t="shared" si="0"/>
        <v>29</v>
      </c>
      <c r="C30" s="2">
        <v>1</v>
      </c>
      <c r="D30" s="2">
        <v>2021</v>
      </c>
      <c r="E30" s="4">
        <f>Submetering!E30+Submetering!F30</f>
        <v>1528</v>
      </c>
      <c r="F30" s="12">
        <v>0.14000000000000001</v>
      </c>
      <c r="G30" s="4">
        <f>Submetering!M30</f>
        <v>2090</v>
      </c>
      <c r="H30" s="12">
        <v>0.16</v>
      </c>
      <c r="I30" s="4">
        <f>Submetering!N30</f>
        <v>22</v>
      </c>
      <c r="J30" s="13">
        <v>2.06</v>
      </c>
      <c r="K30" s="4">
        <f>'Hampshire Daily'!B33</f>
        <v>10</v>
      </c>
      <c r="L30" s="4">
        <f>'Hampshire Daily'!C33</f>
        <v>10</v>
      </c>
    </row>
    <row r="31" spans="1:12" x14ac:dyDescent="0.25">
      <c r="A31" s="3" t="s">
        <v>41</v>
      </c>
      <c r="B31" s="2">
        <f t="shared" si="0"/>
        <v>30</v>
      </c>
      <c r="C31" s="2">
        <v>1</v>
      </c>
      <c r="D31" s="2">
        <v>2021</v>
      </c>
      <c r="E31" s="4">
        <f>Submetering!E31+Submetering!F31</f>
        <v>1449</v>
      </c>
      <c r="F31" s="12">
        <v>0.14000000000000001</v>
      </c>
      <c r="G31" s="4">
        <f>Submetering!M31</f>
        <v>2055</v>
      </c>
      <c r="H31" s="12">
        <v>0.16</v>
      </c>
      <c r="I31" s="4">
        <f>Submetering!N31</f>
        <v>41</v>
      </c>
      <c r="J31" s="13">
        <v>2.06</v>
      </c>
      <c r="K31" s="4">
        <f>'Hampshire Daily'!B34</f>
        <v>10</v>
      </c>
      <c r="L31" s="4">
        <f>'Hampshire Daily'!C34</f>
        <v>10</v>
      </c>
    </row>
    <row r="32" spans="1:12" x14ac:dyDescent="0.25">
      <c r="A32" s="3" t="s">
        <v>41</v>
      </c>
      <c r="B32" s="2">
        <f t="shared" si="0"/>
        <v>31</v>
      </c>
      <c r="C32" s="2">
        <v>1</v>
      </c>
      <c r="D32" s="2">
        <v>2021</v>
      </c>
      <c r="E32" s="4">
        <f>Submetering!E32+Submetering!F32</f>
        <v>1239</v>
      </c>
      <c r="F32" s="12">
        <v>0.14000000000000001</v>
      </c>
      <c r="G32" s="4">
        <f>Submetering!M32</f>
        <v>2321</v>
      </c>
      <c r="H32" s="12">
        <v>0.16</v>
      </c>
      <c r="I32" s="4">
        <f>Submetering!N32</f>
        <v>42</v>
      </c>
      <c r="J32" s="13">
        <v>2.06</v>
      </c>
      <c r="K32" s="4">
        <f>'Hampshire Daily'!B35</f>
        <v>10</v>
      </c>
      <c r="L32" s="4">
        <f>'Hampshire Daily'!C35</f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AE32"/>
  <sheetViews>
    <sheetView zoomScale="85" zoomScaleNormal="85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Z1" sqref="Z1:Z1048576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7"/>
    <col min="4" max="4" width="13.42578125" style="1" customWidth="1"/>
    <col min="5" max="22" width="12.5703125" style="4" customWidth="1"/>
    <col min="23" max="24" width="11.5703125" style="1"/>
    <col min="25" max="25" width="11.5703125" style="4"/>
  </cols>
  <sheetData>
    <row r="1" spans="1:31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  <c r="J1" s="9" t="s">
        <v>38</v>
      </c>
      <c r="K1" s="9" t="s">
        <v>39</v>
      </c>
      <c r="L1" s="9" t="s">
        <v>40</v>
      </c>
      <c r="M1" s="9" t="s">
        <v>43</v>
      </c>
      <c r="N1" s="9" t="s">
        <v>44</v>
      </c>
      <c r="O1" s="9" t="s">
        <v>45</v>
      </c>
      <c r="P1" s="9" t="s">
        <v>46</v>
      </c>
      <c r="Q1" s="9" t="s">
        <v>47</v>
      </c>
      <c r="R1" s="9" t="s">
        <v>48</v>
      </c>
      <c r="S1" s="9" t="s">
        <v>49</v>
      </c>
      <c r="T1" s="9" t="s">
        <v>50</v>
      </c>
      <c r="U1" s="9" t="s">
        <v>53</v>
      </c>
      <c r="V1" s="9" t="s">
        <v>51</v>
      </c>
      <c r="W1" s="10" t="s">
        <v>52</v>
      </c>
      <c r="X1" s="10" t="s">
        <v>56</v>
      </c>
      <c r="Y1" s="10" t="s">
        <v>58</v>
      </c>
      <c r="Z1" s="10" t="s">
        <v>8</v>
      </c>
      <c r="AA1" s="9" t="s">
        <v>9</v>
      </c>
    </row>
    <row r="2" spans="1:31" ht="15" customHeight="1" x14ac:dyDescent="0.25">
      <c r="A2" s="3" t="s">
        <v>41</v>
      </c>
      <c r="B2" s="1">
        <v>1</v>
      </c>
      <c r="C2" s="17">
        <v>1</v>
      </c>
      <c r="D2" s="1">
        <v>2021</v>
      </c>
      <c r="E2" s="4">
        <f>IF(('Hampshire Daily'!D5-'Hampshire Daily'!D4&lt;0),"0",('Hampshire Daily'!D5-'Hampshire Daily'!D4))</f>
        <v>1810</v>
      </c>
      <c r="F2" s="4">
        <f>IF(('Hampshire Daily'!F5-'Hampshire Daily'!F4&lt;0),"0",('Hampshire Daily'!F5-'Hampshire Daily'!F4))</f>
        <v>2477</v>
      </c>
      <c r="G2" s="4">
        <f>IF(('Hampshire Daily'!H5-'Hampshire Daily'!H4&lt;0),"0",('Hampshire Daily'!H5-'Hampshire Daily'!H4))</f>
        <v>500</v>
      </c>
      <c r="H2" s="4">
        <f>IF(('Hampshire Daily'!I5-'Hampshire Daily'!I4&lt;0),"0",('Hampshire Daily'!I5-'Hampshire Daily'!I4))</f>
        <v>1360</v>
      </c>
      <c r="I2" s="4">
        <f>IF(('Hampshire Daily'!J5-'Hampshire Daily'!J4&lt;0),"0",('Hampshire Daily'!J5-'Hampshire Daily'!J4))</f>
        <v>0</v>
      </c>
      <c r="J2" s="4">
        <f>IF(('Hampshire Daily'!K5-'Hampshire Daily'!K4&lt;0),"0",('Hampshire Daily'!K5-'Hampshire Daily'!K4))</f>
        <v>800</v>
      </c>
      <c r="K2" s="4">
        <f>IF(('Hampshire Daily'!L5-'Hampshire Daily'!L4&lt;0),"0",('Hampshire Daily'!L5-'Hampshire Daily'!L4))</f>
        <v>223</v>
      </c>
      <c r="L2" s="4">
        <f>IF(('Hampshire Daily'!M5-'Hampshire Daily'!M4&lt;0),"0",('Hampshire Daily'!M5-'Hampshire Daily'!M4))</f>
        <v>6</v>
      </c>
      <c r="M2" s="4">
        <f>IF(('Hampshire Daily'!N5-'Hampshire Daily'!N4&lt;0),"0",('Hampshire Daily'!N5-'Hampshire Daily'!N4))</f>
        <v>2345</v>
      </c>
      <c r="N2" s="4">
        <f>IF(('Hampshire Daily'!O5-'Hampshire Daily'!O4&lt;0),"0",('Hampshire Daily'!O5-'Hampshire Daily'!O4))</f>
        <v>70</v>
      </c>
      <c r="O2" s="4">
        <f>IF(('Hampshire Daily'!P5-'Hampshire Daily'!P4&lt;0),"0",('Hampshire Daily'!P5-'Hampshire Daily'!P4))</f>
        <v>0</v>
      </c>
      <c r="P2" s="4">
        <f>IF(('Hampshire Daily'!Q5-'Hampshire Daily'!Q4&lt;0),"0",('Hampshire Daily'!Q5-'Hampshire Daily'!Q4))</f>
        <v>21</v>
      </c>
      <c r="Q2" s="4">
        <f>IF(('Hampshire Daily'!R5-'Hampshire Daily'!R4&lt;0),"0",('Hampshire Daily'!R5-'Hampshire Daily'!R4))</f>
        <v>0</v>
      </c>
      <c r="R2" s="4">
        <f>IF(('Hampshire Daily'!U5-'Hampshire Daily'!U4&lt;0),"0",('Hampshire Daily'!U5-'Hampshire Daily'!U4))</f>
        <v>1</v>
      </c>
      <c r="S2" s="4">
        <f>IF(('Hampshire Daily'!V5-'Hampshire Daily'!V4&lt;0),"0",('Hampshire Daily'!V5-'Hampshire Daily'!V4))</f>
        <v>0</v>
      </c>
      <c r="T2" s="4">
        <f>IF(('Hampshire Daily'!W5-'Hampshire Daily'!W4&lt;0),"0",('Hampshire Daily'!W5-'Hampshire Daily'!W4))</f>
        <v>0</v>
      </c>
      <c r="U2" s="4">
        <f>IF(('Hampshire Daily'!X5-'Hampshire Daily'!X4&lt;0),"0",('Hampshire Daily'!X5-'Hampshire Daily'!X4))</f>
        <v>6.4000000000021373E-2</v>
      </c>
      <c r="V2" s="4">
        <f>IF(('Hampshire Daily'!Y5-'Hampshire Daily'!Y4&lt;0),"0",('Hampshire Daily'!Y5-'Hampshire Daily'!Y4))</f>
        <v>0.21600000000000819</v>
      </c>
      <c r="W2" s="4">
        <f>IF(('Hampshire Daily'!Z5-'Hampshire Daily'!Z4&lt;0),"0",('Hampshire Daily'!Z5-'Hampshire Daily'!Z4))</f>
        <v>0.16900000000032378</v>
      </c>
      <c r="X2" s="4">
        <f>IF(('Hampshire Daily'!AA5-'Hampshire Daily'!AA4&lt;0),"0",('Hampshire Daily'!AA5-'Hampshire Daily'!AA4))</f>
        <v>0</v>
      </c>
      <c r="Y2" s="4">
        <f>IF(('Hampshire Daily'!AB5-'Hampshire Daily'!AB4&lt;0),"0",('Hampshire Daily'!AB5-'Hampshire Daily'!AB4))</f>
        <v>3</v>
      </c>
      <c r="Z2" s="4">
        <f>'[1]Hampshire Daily'!C5</f>
        <v>0</v>
      </c>
      <c r="AA2" s="4">
        <f>'[1]Hampshire Daily'!B5</f>
        <v>0</v>
      </c>
    </row>
    <row r="3" spans="1:31" x14ac:dyDescent="0.25">
      <c r="A3" s="3" t="s">
        <v>41</v>
      </c>
      <c r="B3" s="1">
        <f>B2+1</f>
        <v>2</v>
      </c>
      <c r="C3" s="17">
        <v>1</v>
      </c>
      <c r="D3" s="1">
        <v>2021</v>
      </c>
      <c r="E3" s="4">
        <f>IF(('Hampshire Daily'!D6-'Hampshire Daily'!D5&lt;0),"0",('Hampshire Daily'!D6-'Hampshire Daily'!D5))</f>
        <v>111</v>
      </c>
      <c r="F3" s="4">
        <f>IF(('Hampshire Daily'!F6-'Hampshire Daily'!F5&lt;0),"0",('Hampshire Daily'!F6-'Hampshire Daily'!F5))</f>
        <v>3299</v>
      </c>
      <c r="G3" s="4">
        <f>IF(('Hampshire Daily'!H6-'Hampshire Daily'!H5&lt;0),"0",('Hampshire Daily'!H6-'Hampshire Daily'!H5))</f>
        <v>1090</v>
      </c>
      <c r="H3" s="4">
        <f>IF(('Hampshire Daily'!I6-'Hampshire Daily'!I5&lt;0),"0",('Hampshire Daily'!I6-'Hampshire Daily'!I5))</f>
        <v>1360</v>
      </c>
      <c r="I3" s="4">
        <f>IF(('Hampshire Daily'!J6-'Hampshire Daily'!J5&lt;0),"0",('Hampshire Daily'!J6-'Hampshire Daily'!J5))</f>
        <v>0</v>
      </c>
      <c r="J3" s="4">
        <f>IF(('Hampshire Daily'!K6-'Hampshire Daily'!K5&lt;0),"0",('Hampshire Daily'!K6-'Hampshire Daily'!K5))</f>
        <v>800</v>
      </c>
      <c r="K3" s="4">
        <f>IF(('Hampshire Daily'!L6-'Hampshire Daily'!L5&lt;0),"0",('Hampshire Daily'!L6-'Hampshire Daily'!L5))</f>
        <v>171</v>
      </c>
      <c r="L3" s="4">
        <f>IF(('Hampshire Daily'!M6-'Hampshire Daily'!M5&lt;0),"0",('Hampshire Daily'!M6-'Hampshire Daily'!M5))</f>
        <v>13</v>
      </c>
      <c r="M3" s="4">
        <f>IF(('Hampshire Daily'!N6-'Hampshire Daily'!N5&lt;0),"0",('Hampshire Daily'!N6-'Hampshire Daily'!N5))</f>
        <v>2083</v>
      </c>
      <c r="N3" s="4">
        <f>IF(('Hampshire Daily'!O6-'Hampshire Daily'!O5&lt;0),"0",('Hampshire Daily'!O6-'Hampshire Daily'!O5))</f>
        <v>79</v>
      </c>
      <c r="O3" s="4">
        <f>IF(('Hampshire Daily'!P6-'Hampshire Daily'!P5&lt;0),"0",('Hampshire Daily'!P6-'Hampshire Daily'!P5))</f>
        <v>0</v>
      </c>
      <c r="P3" s="4">
        <f>IF(('Hampshire Daily'!Q6-'Hampshire Daily'!Q5&lt;0),"0",('Hampshire Daily'!Q6-'Hampshire Daily'!Q5))</f>
        <v>55</v>
      </c>
      <c r="Q3" s="4">
        <f>IF(('Hampshire Daily'!R6-'Hampshire Daily'!R5&lt;0),"0",('Hampshire Daily'!R6-'Hampshire Daily'!R5))</f>
        <v>0</v>
      </c>
      <c r="R3" s="4">
        <f>IF(('Hampshire Daily'!U6-'Hampshire Daily'!U5&lt;0),"0",('Hampshire Daily'!U6-'Hampshire Daily'!U5))</f>
        <v>2</v>
      </c>
      <c r="S3" s="4">
        <f>IF(('Hampshire Daily'!V6-'Hampshire Daily'!V5&lt;0),"0",('Hampshire Daily'!V6-'Hampshire Daily'!V5))</f>
        <v>0</v>
      </c>
      <c r="T3" s="4">
        <f>IF(('Hampshire Daily'!W6-'Hampshire Daily'!W5&lt;0),"0",('Hampshire Daily'!W6-'Hampshire Daily'!W5))</f>
        <v>0</v>
      </c>
      <c r="U3" s="4">
        <f>IF(('Hampshire Daily'!X6-'Hampshire Daily'!X5&lt;0),"0",('Hampshire Daily'!X6-'Hampshire Daily'!X5))</f>
        <v>9.1999999999984539E-2</v>
      </c>
      <c r="V3" s="4">
        <f>IF(('Hampshire Daily'!Y6-'Hampshire Daily'!Y5&lt;0),"0",('Hampshire Daily'!Y6-'Hampshire Daily'!Y5))</f>
        <v>0.34600000000000364</v>
      </c>
      <c r="W3" s="4">
        <f>IF(('Hampshire Daily'!Z6-'Hampshire Daily'!Z5&lt;0),"0",('Hampshire Daily'!Z6-'Hampshire Daily'!Z5))</f>
        <v>1.4000000000123691E-2</v>
      </c>
      <c r="X3" s="4">
        <f>IF(('Hampshire Daily'!AA6-'Hampshire Daily'!AA5&lt;0),"0",('Hampshire Daily'!AA6-'Hampshire Daily'!AA5))</f>
        <v>0</v>
      </c>
      <c r="Y3" s="4">
        <f>IF(('Hampshire Daily'!AB6-'Hampshire Daily'!AB5&lt;0),"0",('Hampshire Daily'!AB6-'Hampshire Daily'!AB5))</f>
        <v>2</v>
      </c>
      <c r="Z3" s="4">
        <f>'[1]Hampshire Daily'!C6</f>
        <v>0</v>
      </c>
      <c r="AA3" s="4">
        <f>'[1]Hampshire Daily'!B6</f>
        <v>0</v>
      </c>
      <c r="AB3" t="s">
        <v>42</v>
      </c>
      <c r="AC3" t="s">
        <v>42</v>
      </c>
      <c r="AD3" t="s">
        <v>42</v>
      </c>
      <c r="AE3" t="s">
        <v>42</v>
      </c>
    </row>
    <row r="4" spans="1:31" x14ac:dyDescent="0.25">
      <c r="A4" s="3" t="s">
        <v>41</v>
      </c>
      <c r="B4" s="1">
        <f t="shared" ref="B4:B32" si="0">B3+1</f>
        <v>3</v>
      </c>
      <c r="C4" s="17">
        <v>1</v>
      </c>
      <c r="D4" s="1">
        <v>2021</v>
      </c>
      <c r="E4" s="4">
        <f>IF(('Hampshire Daily'!D7-'Hampshire Daily'!D6&lt;0),"0",('Hampshire Daily'!D7-'Hampshire Daily'!D6))</f>
        <v>2753</v>
      </c>
      <c r="F4" s="4">
        <f>IF(('Hampshire Daily'!F7-'Hampshire Daily'!F6&lt;0),"0",('Hampshire Daily'!F7-'Hampshire Daily'!F6))</f>
        <v>3257</v>
      </c>
      <c r="G4" s="4">
        <f>IF(('Hampshire Daily'!H7-'Hampshire Daily'!H6&lt;0),"0",('Hampshire Daily'!H7-'Hampshire Daily'!H6))</f>
        <v>322</v>
      </c>
      <c r="H4" s="4">
        <f>IF(('Hampshire Daily'!I7-'Hampshire Daily'!I6&lt;0),"0",('Hampshire Daily'!I7-'Hampshire Daily'!I6))</f>
        <v>1360</v>
      </c>
      <c r="I4" s="4">
        <f>IF(('Hampshire Daily'!J7-'Hampshire Daily'!J6&lt;0),"0",('Hampshire Daily'!J7-'Hampshire Daily'!J6))</f>
        <v>0</v>
      </c>
      <c r="J4" s="4">
        <f>IF(('Hampshire Daily'!K7-'Hampshire Daily'!K6&lt;0),"0",('Hampshire Daily'!K7-'Hampshire Daily'!K6))</f>
        <v>800</v>
      </c>
      <c r="K4" s="4">
        <f>IF(('Hampshire Daily'!L7-'Hampshire Daily'!L6&lt;0),"0",('Hampshire Daily'!L7-'Hampshire Daily'!L6))</f>
        <v>171</v>
      </c>
      <c r="L4" s="4">
        <f>IF(('Hampshire Daily'!M7-'Hampshire Daily'!M6&lt;0),"0",('Hampshire Daily'!M7-'Hampshire Daily'!M6))</f>
        <v>432</v>
      </c>
      <c r="M4" s="4">
        <f>IF(('Hampshire Daily'!N7-'Hampshire Daily'!N6&lt;0),"0",('Hampshire Daily'!N7-'Hampshire Daily'!N6))</f>
        <v>2051</v>
      </c>
      <c r="N4" s="4">
        <f>IF(('Hampshire Daily'!O7-'Hampshire Daily'!O6&lt;0),"0",('Hampshire Daily'!O7-'Hampshire Daily'!O6))</f>
        <v>68</v>
      </c>
      <c r="O4" s="4">
        <f>IF(('Hampshire Daily'!P7-'Hampshire Daily'!P6&lt;0),"0",('Hampshire Daily'!P7-'Hampshire Daily'!P6))</f>
        <v>0</v>
      </c>
      <c r="P4" s="4">
        <f>IF(('Hampshire Daily'!Q7-'Hampshire Daily'!Q6&lt;0),"0",('Hampshire Daily'!Q7-'Hampshire Daily'!Q6))</f>
        <v>69</v>
      </c>
      <c r="Q4" s="4">
        <f>IF(('Hampshire Daily'!R7-'Hampshire Daily'!R6&lt;0),"0",('Hampshire Daily'!R7-'Hampshire Daily'!R6))</f>
        <v>0</v>
      </c>
      <c r="R4" s="4">
        <f>IF(('Hampshire Daily'!U7-'Hampshire Daily'!U6&lt;0),"0",('Hampshire Daily'!U7-'Hampshire Daily'!U6))</f>
        <v>1</v>
      </c>
      <c r="S4" s="4">
        <f>IF(('Hampshire Daily'!V7-'Hampshire Daily'!V6&lt;0),"0",('Hampshire Daily'!V7-'Hampshire Daily'!V6))</f>
        <v>1</v>
      </c>
      <c r="T4" s="4">
        <f>IF(('Hampshire Daily'!W7-'Hampshire Daily'!W6&lt;0),"0",('Hampshire Daily'!W7-'Hampshire Daily'!W6))</f>
        <v>0</v>
      </c>
      <c r="U4" s="4">
        <f>IF(('Hampshire Daily'!X7-'Hampshire Daily'!X6&lt;0),"0",('Hampshire Daily'!X7-'Hampshire Daily'!X6))</f>
        <v>8.8000000000022283E-2</v>
      </c>
      <c r="V4" s="4">
        <f>IF(('Hampshire Daily'!Y7-'Hampshire Daily'!Y6&lt;0),"0",('Hampshire Daily'!Y7-'Hampshire Daily'!Y6))</f>
        <v>0.41500000000007731</v>
      </c>
      <c r="W4" s="4">
        <f>IF(('Hampshire Daily'!Z7-'Hampshire Daily'!Z6&lt;0),"0",('Hampshire Daily'!Z7-'Hampshire Daily'!Z6))</f>
        <v>1.1999999999716238E-2</v>
      </c>
      <c r="X4" s="4">
        <f>IF(('Hampshire Daily'!AA7-'Hampshire Daily'!AA6&lt;0),"0",('Hampshire Daily'!AA7-'Hampshire Daily'!AA6))</f>
        <v>0</v>
      </c>
      <c r="Y4" s="4">
        <f>IF(('Hampshire Daily'!AB7-'Hampshire Daily'!AB6&lt;0),"0",('Hampshire Daily'!AB7-'Hampshire Daily'!AB6))</f>
        <v>5</v>
      </c>
      <c r="Z4" s="4">
        <f>'[1]Hampshire Daily'!C7</f>
        <v>52</v>
      </c>
      <c r="AA4" s="4">
        <f>'[1]Hampshire Daily'!B7</f>
        <v>25</v>
      </c>
      <c r="AB4" t="s">
        <v>42</v>
      </c>
    </row>
    <row r="5" spans="1:31" x14ac:dyDescent="0.25">
      <c r="A5" s="3" t="s">
        <v>41</v>
      </c>
      <c r="B5" s="1">
        <f t="shared" si="0"/>
        <v>4</v>
      </c>
      <c r="C5" s="17">
        <v>1</v>
      </c>
      <c r="D5" s="1">
        <v>2021</v>
      </c>
      <c r="E5" s="4">
        <f>IF(('Hampshire Daily'!D8-'Hampshire Daily'!D7&lt;0),"0",('Hampshire Daily'!D8-'Hampshire Daily'!D7))</f>
        <v>927</v>
      </c>
      <c r="F5" s="4">
        <f>IF(('Hampshire Daily'!F8-'Hampshire Daily'!F7&lt;0),"0",('Hampshire Daily'!F8-'Hampshire Daily'!F7))</f>
        <v>1749</v>
      </c>
      <c r="G5" s="4">
        <f>IF(('Hampshire Daily'!H8-'Hampshire Daily'!H7&lt;0),"0",('Hampshire Daily'!H8-'Hampshire Daily'!H7))</f>
        <v>327</v>
      </c>
      <c r="H5" s="4">
        <f>IF(('Hampshire Daily'!I8-'Hampshire Daily'!I7&lt;0),"0",('Hampshire Daily'!I8-'Hampshire Daily'!I7))</f>
        <v>1360</v>
      </c>
      <c r="I5" s="4">
        <f>IF(('Hampshire Daily'!J8-'Hampshire Daily'!J7&lt;0),"0",('Hampshire Daily'!J8-'Hampshire Daily'!J7))</f>
        <v>0</v>
      </c>
      <c r="J5" s="4">
        <f>IF(('Hampshire Daily'!K8-'Hampshire Daily'!K7&lt;0),"0",('Hampshire Daily'!K8-'Hampshire Daily'!K7))</f>
        <v>800</v>
      </c>
      <c r="K5" s="4">
        <f>IF(('Hampshire Daily'!L8-'Hampshire Daily'!L7&lt;0),"0",('Hampshire Daily'!L8-'Hampshire Daily'!L7))</f>
        <v>171</v>
      </c>
      <c r="L5" s="4">
        <f>IF(('Hampshire Daily'!M8-'Hampshire Daily'!M7&lt;0),"0",('Hampshire Daily'!M8-'Hampshire Daily'!M7))</f>
        <v>7</v>
      </c>
      <c r="M5" s="4">
        <f>IF(('Hampshire Daily'!N8-'Hampshire Daily'!N7&lt;0),"0",('Hampshire Daily'!N8-'Hampshire Daily'!N7))</f>
        <v>2125</v>
      </c>
      <c r="N5" s="4">
        <f>IF(('Hampshire Daily'!O8-'Hampshire Daily'!O7&lt;0),"0",('Hampshire Daily'!O8-'Hampshire Daily'!O7))</f>
        <v>87</v>
      </c>
      <c r="O5" s="4">
        <f>IF(('Hampshire Daily'!P8-'Hampshire Daily'!P7&lt;0),"0",('Hampshire Daily'!P8-'Hampshire Daily'!P7))</f>
        <v>0</v>
      </c>
      <c r="P5" s="4">
        <f>IF(('Hampshire Daily'!Q8-'Hampshire Daily'!Q7&lt;0),"0",('Hampshire Daily'!Q8-'Hampshire Daily'!Q7))</f>
        <v>74</v>
      </c>
      <c r="Q5" s="4">
        <f>IF(('Hampshire Daily'!R8-'Hampshire Daily'!R7&lt;0),"0",('Hampshire Daily'!R8-'Hampshire Daily'!R7))</f>
        <v>0</v>
      </c>
      <c r="R5" s="4">
        <f>IF(('Hampshire Daily'!U8-'Hampshire Daily'!U7&lt;0),"0",('Hampshire Daily'!U8-'Hampshire Daily'!U7))</f>
        <v>2</v>
      </c>
      <c r="S5" s="4">
        <f>IF(('Hampshire Daily'!V8-'Hampshire Daily'!V7&lt;0),"0",('Hampshire Daily'!V8-'Hampshire Daily'!V7))</f>
        <v>1</v>
      </c>
      <c r="T5" s="4">
        <f>IF(('Hampshire Daily'!W8-'Hampshire Daily'!W7&lt;0),"0",('Hampshire Daily'!W8-'Hampshire Daily'!W7))</f>
        <v>0</v>
      </c>
      <c r="U5" s="4">
        <f>IF(('Hampshire Daily'!X8-'Hampshire Daily'!X7&lt;0),"0",('Hampshire Daily'!X8-'Hampshire Daily'!X7))</f>
        <v>9.8999999999989541E-2</v>
      </c>
      <c r="V5" s="4">
        <f>IF(('Hampshire Daily'!Y8-'Hampshire Daily'!Y7&lt;0),"0",('Hampshire Daily'!Y8-'Hampshire Daily'!Y7))</f>
        <v>0.33699999999998909</v>
      </c>
      <c r="W5" s="4">
        <f>IF(('Hampshire Daily'!Z8-'Hampshire Daily'!Z7&lt;0),"0",('Hampshire Daily'!Z8-'Hampshire Daily'!Z7))</f>
        <v>1.2999999999919964E-2</v>
      </c>
      <c r="X5" s="4">
        <f>IF(('Hampshire Daily'!AA8-'Hampshire Daily'!AA7&lt;0),"0",('Hampshire Daily'!AA8-'Hampshire Daily'!AA7))</f>
        <v>0</v>
      </c>
      <c r="Y5" s="4">
        <f>IF(('Hampshire Daily'!AB8-'Hampshire Daily'!AB7&lt;0),"0",('Hampshire Daily'!AB8-'Hampshire Daily'!AB7))</f>
        <v>3</v>
      </c>
      <c r="Z5" s="4">
        <f>'[1]Hampshire Daily'!C8</f>
        <v>133</v>
      </c>
      <c r="AA5" s="4">
        <f>'[1]Hampshire Daily'!B8</f>
        <v>51</v>
      </c>
    </row>
    <row r="6" spans="1:31" x14ac:dyDescent="0.25">
      <c r="A6" s="3" t="s">
        <v>41</v>
      </c>
      <c r="B6" s="1">
        <f t="shared" si="0"/>
        <v>5</v>
      </c>
      <c r="C6" s="17">
        <v>1</v>
      </c>
      <c r="D6" s="1">
        <v>2021</v>
      </c>
      <c r="E6" s="4">
        <f>IF(('Hampshire Daily'!D9-'Hampshire Daily'!D8&lt;0),"0",('Hampshire Daily'!D9-'Hampshire Daily'!D8))</f>
        <v>997</v>
      </c>
      <c r="F6" s="4">
        <f>IF(('Hampshire Daily'!F9-'Hampshire Daily'!F8&lt;0),"0",('Hampshire Daily'!F9-'Hampshire Daily'!F8))</f>
        <v>1909</v>
      </c>
      <c r="G6" s="4">
        <f>IF(('Hampshire Daily'!H9-'Hampshire Daily'!H8&lt;0),"0",('Hampshire Daily'!H9-'Hampshire Daily'!H8))</f>
        <v>342</v>
      </c>
      <c r="H6" s="4">
        <f>IF(('Hampshire Daily'!I9-'Hampshire Daily'!I8&lt;0),"0",('Hampshire Daily'!I9-'Hampshire Daily'!I8))</f>
        <v>1360</v>
      </c>
      <c r="I6" s="4">
        <f>IF(('Hampshire Daily'!J9-'Hampshire Daily'!J8&lt;0),"0",('Hampshire Daily'!J9-'Hampshire Daily'!J8))</f>
        <v>0</v>
      </c>
      <c r="J6" s="4">
        <f>IF(('Hampshire Daily'!K9-'Hampshire Daily'!K8&lt;0),"0",('Hampshire Daily'!K9-'Hampshire Daily'!K8))</f>
        <v>800</v>
      </c>
      <c r="K6" s="4">
        <f>IF(('Hampshire Daily'!L9-'Hampshire Daily'!L8&lt;0),"0",('Hampshire Daily'!L9-'Hampshire Daily'!L8))</f>
        <v>201</v>
      </c>
      <c r="L6" s="4">
        <f>IF(('Hampshire Daily'!M9-'Hampshire Daily'!M8&lt;0),"0",('Hampshire Daily'!M9-'Hampshire Daily'!M8))</f>
        <v>0</v>
      </c>
      <c r="M6" s="4">
        <f>IF(('Hampshire Daily'!N9-'Hampshire Daily'!N8&lt;0),"0",('Hampshire Daily'!N9-'Hampshire Daily'!N8))</f>
        <v>2297</v>
      </c>
      <c r="N6" s="4">
        <f>IF(('Hampshire Daily'!O9-'Hampshire Daily'!O8&lt;0),"0",('Hampshire Daily'!O9-'Hampshire Daily'!O8))</f>
        <v>84</v>
      </c>
      <c r="O6" s="4">
        <f>IF(('Hampshire Daily'!P9-'Hampshire Daily'!P8&lt;0),"0",('Hampshire Daily'!P9-'Hampshire Daily'!P8))</f>
        <v>0</v>
      </c>
      <c r="P6" s="4">
        <f>IF(('Hampshire Daily'!Q9-'Hampshire Daily'!Q8&lt;0),"0",('Hampshire Daily'!Q9-'Hampshire Daily'!Q8))</f>
        <v>68</v>
      </c>
      <c r="Q6" s="4">
        <f>IF(('Hampshire Daily'!R9-'Hampshire Daily'!R8&lt;0),"0",('Hampshire Daily'!R9-'Hampshire Daily'!R8))</f>
        <v>0</v>
      </c>
      <c r="R6" s="4">
        <f>IF(('Hampshire Daily'!U9-'Hampshire Daily'!U8&lt;0),"0",('Hampshire Daily'!U9-'Hampshire Daily'!U8))</f>
        <v>3</v>
      </c>
      <c r="S6" s="4">
        <f>IF(('Hampshire Daily'!V9-'Hampshire Daily'!V8&lt;0),"0",('Hampshire Daily'!V9-'Hampshire Daily'!V8))</f>
        <v>0</v>
      </c>
      <c r="T6" s="4">
        <f>IF(('Hampshire Daily'!W9-'Hampshire Daily'!W8&lt;0),"0",('Hampshire Daily'!W9-'Hampshire Daily'!W8))</f>
        <v>0</v>
      </c>
      <c r="U6" s="4">
        <f>IF(('Hampshire Daily'!X9-'Hampshire Daily'!X8&lt;0),"0",('Hampshire Daily'!X9-'Hampshire Daily'!X8))</f>
        <v>0.1360000000000241</v>
      </c>
      <c r="V6" s="4">
        <f>IF(('Hampshire Daily'!Y9-'Hampshire Daily'!Y8&lt;0),"0",('Hampshire Daily'!Y9-'Hampshire Daily'!Y8))</f>
        <v>0.34699999999997999</v>
      </c>
      <c r="W6" s="4">
        <f>IF(('Hampshire Daily'!Z9-'Hampshire Daily'!Z8&lt;0),"0",('Hampshire Daily'!Z9-'Hampshire Daily'!Z8))</f>
        <v>1.6000000000076398E-2</v>
      </c>
      <c r="X6" s="4">
        <f>IF(('Hampshire Daily'!AA9-'Hampshire Daily'!AA8&lt;0),"0",('Hampshire Daily'!AA9-'Hampshire Daily'!AA8))</f>
        <v>0</v>
      </c>
      <c r="Y6" s="4">
        <f>IF(('Hampshire Daily'!AB9-'Hampshire Daily'!AB8&lt;0),"0",('Hampshire Daily'!AB9-'Hampshire Daily'!AB8))</f>
        <v>1</v>
      </c>
      <c r="Z6" s="4">
        <f>'[1]Hampshire Daily'!C9</f>
        <v>172</v>
      </c>
      <c r="AA6" s="4">
        <f>'[1]Hampshire Daily'!B9</f>
        <v>64</v>
      </c>
    </row>
    <row r="7" spans="1:31" x14ac:dyDescent="0.25">
      <c r="A7" s="3" t="s">
        <v>41</v>
      </c>
      <c r="B7" s="1">
        <f t="shared" si="0"/>
        <v>6</v>
      </c>
      <c r="C7" s="17">
        <v>1</v>
      </c>
      <c r="D7" s="1">
        <v>2021</v>
      </c>
      <c r="E7" s="4">
        <f>IF(('Hampshire Daily'!D10-'Hampshire Daily'!D9&lt;0),"0",('Hampshire Daily'!D10-'Hampshire Daily'!D9))</f>
        <v>1447</v>
      </c>
      <c r="F7" s="4">
        <f>IF(('Hampshire Daily'!F10-'Hampshire Daily'!F9&lt;0),"0",('Hampshire Daily'!F10-'Hampshire Daily'!F9))</f>
        <v>2054</v>
      </c>
      <c r="G7" s="4">
        <f>IF(('Hampshire Daily'!H10-'Hampshire Daily'!H9&lt;0),"0",('Hampshire Daily'!H10-'Hampshire Daily'!H9))</f>
        <v>430</v>
      </c>
      <c r="H7" s="4">
        <f>IF(('Hampshire Daily'!I10-'Hampshire Daily'!I9&lt;0),"0",('Hampshire Daily'!I10-'Hampshire Daily'!I9))</f>
        <v>1360</v>
      </c>
      <c r="I7" s="4">
        <f>IF(('Hampshire Daily'!J10-'Hampshire Daily'!J9&lt;0),"0",('Hampshire Daily'!J10-'Hampshire Daily'!J9))</f>
        <v>0</v>
      </c>
      <c r="J7" s="4">
        <f>IF(('Hampshire Daily'!K10-'Hampshire Daily'!K9&lt;0),"0",('Hampshire Daily'!K10-'Hampshire Daily'!K9))</f>
        <v>800</v>
      </c>
      <c r="K7" s="4">
        <f>IF(('Hampshire Daily'!L10-'Hampshire Daily'!L9&lt;0),"0",('Hampshire Daily'!L10-'Hampshire Daily'!L9))</f>
        <v>400</v>
      </c>
      <c r="L7" s="4">
        <f>IF(('Hampshire Daily'!M10-'Hampshire Daily'!M9&lt;0),"0",('Hampshire Daily'!M10-'Hampshire Daily'!M9))</f>
        <v>97</v>
      </c>
      <c r="M7" s="4">
        <f>IF(('Hampshire Daily'!N10-'Hampshire Daily'!N9&lt;0),"0",('Hampshire Daily'!N10-'Hampshire Daily'!N9))</f>
        <v>2158</v>
      </c>
      <c r="N7" s="4">
        <f>IF(('Hampshire Daily'!O10-'Hampshire Daily'!O9&lt;0),"0",('Hampshire Daily'!O10-'Hampshire Daily'!O9))</f>
        <v>55</v>
      </c>
      <c r="O7" s="4">
        <f>IF(('Hampshire Daily'!P10-'Hampshire Daily'!P9&lt;0),"0",('Hampshire Daily'!P10-'Hampshire Daily'!P9))</f>
        <v>3</v>
      </c>
      <c r="P7" s="4">
        <f>IF(('Hampshire Daily'!Q10-'Hampshire Daily'!Q9&lt;0),"0",('Hampshire Daily'!Q10-'Hampshire Daily'!Q9))</f>
        <v>106</v>
      </c>
      <c r="Q7" s="4">
        <f>IF(('Hampshire Daily'!R10-'Hampshire Daily'!R9&lt;0),"0",('Hampshire Daily'!R10-'Hampshire Daily'!R9))</f>
        <v>0</v>
      </c>
      <c r="R7" s="4">
        <f>IF(('Hampshire Daily'!U10-'Hampshire Daily'!U9&lt;0),"0",('Hampshire Daily'!U10-'Hampshire Daily'!U9))</f>
        <v>1</v>
      </c>
      <c r="S7" s="4">
        <f>IF(('Hampshire Daily'!V10-'Hampshire Daily'!V9&lt;0),"0",('Hampshire Daily'!V10-'Hampshire Daily'!V9))</f>
        <v>0</v>
      </c>
      <c r="T7" s="4">
        <f>IF(('Hampshire Daily'!W10-'Hampshire Daily'!W9&lt;0),"0",('Hampshire Daily'!W10-'Hampshire Daily'!W9))</f>
        <v>0</v>
      </c>
      <c r="U7" s="4">
        <f>IF(('Hampshire Daily'!X10-'Hampshire Daily'!X9&lt;0),"0",('Hampshire Daily'!X10-'Hampshire Daily'!X9))</f>
        <v>0.12299999999999045</v>
      </c>
      <c r="V7" s="4">
        <f>IF(('Hampshire Daily'!Y10-'Hampshire Daily'!Y9&lt;0),"0",('Hampshire Daily'!Y10-'Hampshire Daily'!Y9))</f>
        <v>0.41300000000001091</v>
      </c>
      <c r="W7" s="4">
        <f>IF(('Hampshire Daily'!Z10-'Hampshire Daily'!Z9&lt;0),"0",('Hampshire Daily'!Z10-'Hampshire Daily'!Z9))</f>
        <v>8.0000000002655725E-3</v>
      </c>
      <c r="X7" s="4">
        <f>IF(('Hampshire Daily'!AA10-'Hampshire Daily'!AA9&lt;0),"0",('Hampshire Daily'!AA10-'Hampshire Daily'!AA9))</f>
        <v>0</v>
      </c>
      <c r="Y7" s="4">
        <f>IF(('Hampshire Daily'!AB10-'Hampshire Daily'!AB9&lt;0),"0",('Hampshire Daily'!AB10-'Hampshire Daily'!AB9))</f>
        <v>2</v>
      </c>
      <c r="Z7" s="4">
        <f>'[1]Hampshire Daily'!C10</f>
        <v>88</v>
      </c>
      <c r="AA7" s="4">
        <f>'[1]Hampshire Daily'!B10</f>
        <v>35</v>
      </c>
    </row>
    <row r="8" spans="1:31" x14ac:dyDescent="0.25">
      <c r="A8" s="3" t="s">
        <v>41</v>
      </c>
      <c r="B8" s="1">
        <f t="shared" si="0"/>
        <v>7</v>
      </c>
      <c r="C8" s="17">
        <v>1</v>
      </c>
      <c r="D8" s="1">
        <v>2021</v>
      </c>
      <c r="E8" s="4">
        <f>IF(('Hampshire Daily'!D11-'Hampshire Daily'!D10&lt;0),"0",('Hampshire Daily'!D11-'Hampshire Daily'!D10))</f>
        <v>1044</v>
      </c>
      <c r="F8" s="4">
        <f>IF(('Hampshire Daily'!F11-'Hampshire Daily'!F10&lt;0),"0",('Hampshire Daily'!F11-'Hampshire Daily'!F10))</f>
        <v>2638</v>
      </c>
      <c r="G8" s="4">
        <f>IF(('Hampshire Daily'!H11-'Hampshire Daily'!H10&lt;0),"0",('Hampshire Daily'!H11-'Hampshire Daily'!H10))</f>
        <v>577</v>
      </c>
      <c r="H8" s="4">
        <f>IF(('Hampshire Daily'!I11-'Hampshire Daily'!I10&lt;0),"0",('Hampshire Daily'!I11-'Hampshire Daily'!I10))</f>
        <v>1360</v>
      </c>
      <c r="I8" s="4">
        <f>IF(('Hampshire Daily'!J11-'Hampshire Daily'!J10&lt;0),"0",('Hampshire Daily'!J11-'Hampshire Daily'!J10))</f>
        <v>0</v>
      </c>
      <c r="J8" s="4">
        <f>IF(('Hampshire Daily'!K11-'Hampshire Daily'!K10&lt;0),"0",('Hampshire Daily'!K11-'Hampshire Daily'!K10))</f>
        <v>800</v>
      </c>
      <c r="K8" s="4">
        <f>IF(('Hampshire Daily'!L11-'Hampshire Daily'!L10&lt;0),"0",('Hampshire Daily'!L11-'Hampshire Daily'!L10))</f>
        <v>200</v>
      </c>
      <c r="L8" s="4">
        <f>IF(('Hampshire Daily'!M11-'Hampshire Daily'!M10&lt;0),"0",('Hampshire Daily'!M11-'Hampshire Daily'!M10))</f>
        <v>0</v>
      </c>
      <c r="M8" s="4">
        <f>IF(('Hampshire Daily'!N11-'Hampshire Daily'!N10&lt;0),"0",('Hampshire Daily'!N11-'Hampshire Daily'!N10))</f>
        <v>2327</v>
      </c>
      <c r="N8" s="4">
        <f>IF(('Hampshire Daily'!O11-'Hampshire Daily'!O10&lt;0),"0",('Hampshire Daily'!O11-'Hampshire Daily'!O10))</f>
        <v>90</v>
      </c>
      <c r="O8" s="4">
        <f>IF(('Hampshire Daily'!P11-'Hampshire Daily'!P10&lt;0),"0",('Hampshire Daily'!P11-'Hampshire Daily'!P10))</f>
        <v>0</v>
      </c>
      <c r="P8" s="4">
        <f>IF(('Hampshire Daily'!Q11-'Hampshire Daily'!Q10&lt;0),"0",('Hampshire Daily'!Q11-'Hampshire Daily'!Q10))</f>
        <v>99</v>
      </c>
      <c r="Q8" s="4">
        <f>IF(('Hampshire Daily'!R11-'Hampshire Daily'!R10&lt;0),"0",('Hampshire Daily'!R11-'Hampshire Daily'!R10))</f>
        <v>0</v>
      </c>
      <c r="R8" s="4">
        <f>IF(('Hampshire Daily'!U11-'Hampshire Daily'!U10&lt;0),"0",('Hampshire Daily'!U11-'Hampshire Daily'!U10))</f>
        <v>2</v>
      </c>
      <c r="S8" s="4">
        <f>IF(('Hampshire Daily'!V11-'Hampshire Daily'!V10&lt;0),"0",('Hampshire Daily'!V11-'Hampshire Daily'!V10))</f>
        <v>0</v>
      </c>
      <c r="T8" s="4">
        <f>IF(('Hampshire Daily'!W11-'Hampshire Daily'!W10&lt;0),"0",('Hampshire Daily'!W11-'Hampshire Daily'!W10))</f>
        <v>0</v>
      </c>
      <c r="U8" s="4">
        <f>IF(('Hampshire Daily'!X11-'Hampshire Daily'!X10&lt;0),"0",('Hampshire Daily'!X11-'Hampshire Daily'!X10))</f>
        <v>0.13799999999997681</v>
      </c>
      <c r="V8" s="4">
        <f>IF(('Hampshire Daily'!Y11-'Hampshire Daily'!Y10&lt;0),"0",('Hampshire Daily'!Y11-'Hampshire Daily'!Y10))</f>
        <v>0.27699999999992997</v>
      </c>
      <c r="W8" s="4">
        <f>IF(('Hampshire Daily'!Z11-'Hampshire Daily'!Z10&lt;0),"0",('Hampshire Daily'!Z11-'Hampshire Daily'!Z10))</f>
        <v>1.0999999999967258E-2</v>
      </c>
      <c r="X8" s="4">
        <f>IF(('Hampshire Daily'!AA11-'Hampshire Daily'!AA10&lt;0),"0",('Hampshire Daily'!AA11-'Hampshire Daily'!AA10))</f>
        <v>0</v>
      </c>
      <c r="Y8" s="4">
        <f>IF(('Hampshire Daily'!AB11-'Hampshire Daily'!AB10&lt;0),"0",('Hampshire Daily'!AB11-'Hampshire Daily'!AB10))</f>
        <v>1</v>
      </c>
      <c r="Z8" s="4">
        <f>'[1]Hampshire Daily'!C11</f>
        <v>75</v>
      </c>
      <c r="AA8" s="4">
        <f>'[1]Hampshire Daily'!B11</f>
        <v>30</v>
      </c>
    </row>
    <row r="9" spans="1:31" x14ac:dyDescent="0.25">
      <c r="A9" s="3" t="s">
        <v>41</v>
      </c>
      <c r="B9" s="1">
        <f t="shared" si="0"/>
        <v>8</v>
      </c>
      <c r="C9" s="17">
        <v>1</v>
      </c>
      <c r="D9" s="1">
        <v>2021</v>
      </c>
      <c r="E9" s="4">
        <f>IF(('Hampshire Daily'!D12-'Hampshire Daily'!D11&lt;0),"0",('Hampshire Daily'!D12-'Hampshire Daily'!D11))</f>
        <v>1347</v>
      </c>
      <c r="F9" s="4">
        <f>IF(('Hampshire Daily'!F12-'Hampshire Daily'!F11&lt;0),"0",('Hampshire Daily'!F12-'Hampshire Daily'!F11))</f>
        <v>3021</v>
      </c>
      <c r="G9" s="4">
        <f>IF(('Hampshire Daily'!H12-'Hampshire Daily'!H11&lt;0),"0",('Hampshire Daily'!H12-'Hampshire Daily'!H11))</f>
        <v>717</v>
      </c>
      <c r="H9" s="4">
        <f>IF(('Hampshire Daily'!I12-'Hampshire Daily'!I11&lt;0),"0",('Hampshire Daily'!I12-'Hampshire Daily'!I11))</f>
        <v>1360</v>
      </c>
      <c r="I9" s="4">
        <f>IF(('Hampshire Daily'!J12-'Hampshire Daily'!J11&lt;0),"0",('Hampshire Daily'!J12-'Hampshire Daily'!J11))</f>
        <v>0</v>
      </c>
      <c r="J9" s="4">
        <f>IF(('Hampshire Daily'!K12-'Hampshire Daily'!K11&lt;0),"0",('Hampshire Daily'!K12-'Hampshire Daily'!K11))</f>
        <v>800</v>
      </c>
      <c r="K9" s="4">
        <f>IF(('Hampshire Daily'!L12-'Hampshire Daily'!L11&lt;0),"0",('Hampshire Daily'!L12-'Hampshire Daily'!L11))</f>
        <v>386</v>
      </c>
      <c r="L9" s="4">
        <f>IF(('Hampshire Daily'!M12-'Hampshire Daily'!M11&lt;0),"0",('Hampshire Daily'!M12-'Hampshire Daily'!M11))</f>
        <v>90</v>
      </c>
      <c r="M9" s="4">
        <f>IF(('Hampshire Daily'!N12-'Hampshire Daily'!N11&lt;0),"0",('Hampshire Daily'!N12-'Hampshire Daily'!N11))</f>
        <v>2207</v>
      </c>
      <c r="N9" s="4">
        <f>IF(('Hampshire Daily'!O12-'Hampshire Daily'!O11&lt;0),"0",('Hampshire Daily'!O12-'Hampshire Daily'!O11))</f>
        <v>99</v>
      </c>
      <c r="O9" s="4">
        <f>IF(('Hampshire Daily'!P12-'Hampshire Daily'!P11&lt;0),"0",('Hampshire Daily'!P12-'Hampshire Daily'!P11))</f>
        <v>0</v>
      </c>
      <c r="P9" s="4">
        <f>IF(('Hampshire Daily'!Q12-'Hampshire Daily'!Q11&lt;0),"0",('Hampshire Daily'!Q12-'Hampshire Daily'!Q11))</f>
        <v>32</v>
      </c>
      <c r="Q9" s="4">
        <f>IF(('Hampshire Daily'!R12-'Hampshire Daily'!R11&lt;0),"0",('Hampshire Daily'!R12-'Hampshire Daily'!R11))</f>
        <v>0</v>
      </c>
      <c r="R9" s="4">
        <f>IF(('Hampshire Daily'!U12-'Hampshire Daily'!U11&lt;0),"0",('Hampshire Daily'!U12-'Hampshire Daily'!U11))</f>
        <v>1</v>
      </c>
      <c r="S9" s="4">
        <f>IF(('Hampshire Daily'!V12-'Hampshire Daily'!V11&lt;0),"0",('Hampshire Daily'!V12-'Hampshire Daily'!V11))</f>
        <v>0</v>
      </c>
      <c r="T9" s="4">
        <f>IF(('Hampshire Daily'!W12-'Hampshire Daily'!W11&lt;0),"0",('Hampshire Daily'!W12-'Hampshire Daily'!W11))</f>
        <v>0</v>
      </c>
      <c r="U9" s="4">
        <f>IF(('Hampshire Daily'!X12-'Hampshire Daily'!X11&lt;0),"0",('Hampshire Daily'!X12-'Hampshire Daily'!X11))</f>
        <v>0.18600000000003547</v>
      </c>
      <c r="V9" s="4">
        <f>IF(('Hampshire Daily'!Y12-'Hampshire Daily'!Y11&lt;0),"0",('Hampshire Daily'!Y12-'Hampshire Daily'!Y11))</f>
        <v>0.36800000000005184</v>
      </c>
      <c r="W9" s="4">
        <f>IF(('Hampshire Daily'!Z12-'Hampshire Daily'!Z11&lt;0),"0",('Hampshire Daily'!Z12-'Hampshire Daily'!Z11))</f>
        <v>5.9999999998581188E-3</v>
      </c>
      <c r="X9" s="4">
        <f>IF(('Hampshire Daily'!AA12-'Hampshire Daily'!AA11&lt;0),"0",('Hampshire Daily'!AA12-'Hampshire Daily'!AA11))</f>
        <v>0</v>
      </c>
      <c r="Y9" s="4">
        <f>IF(('Hampshire Daily'!AB12-'Hampshire Daily'!AB11&lt;0),"0",('Hampshire Daily'!AB12-'Hampshire Daily'!AB11))</f>
        <v>3</v>
      </c>
      <c r="Z9" s="4">
        <f>'[1]Hampshire Daily'!C12</f>
        <v>50</v>
      </c>
      <c r="AA9" s="4">
        <f>'[1]Hampshire Daily'!B12</f>
        <v>21</v>
      </c>
    </row>
    <row r="10" spans="1:31" x14ac:dyDescent="0.25">
      <c r="A10" s="3" t="s">
        <v>41</v>
      </c>
      <c r="B10" s="1">
        <f t="shared" si="0"/>
        <v>9</v>
      </c>
      <c r="C10" s="17">
        <v>1</v>
      </c>
      <c r="D10" s="1">
        <v>2021</v>
      </c>
      <c r="E10" s="4">
        <f>IF(('Hampshire Daily'!D13-'Hampshire Daily'!D12&lt;0),"0",('Hampshire Daily'!D13-'Hampshire Daily'!D12))</f>
        <v>1288</v>
      </c>
      <c r="F10" s="4">
        <f>IF(('Hampshire Daily'!F13-'Hampshire Daily'!F12&lt;0),"0",('Hampshire Daily'!F13-'Hampshire Daily'!F12))</f>
        <v>3507</v>
      </c>
      <c r="G10" s="4">
        <f>IF(('Hampshire Daily'!H13-'Hampshire Daily'!H12&lt;0),"0",('Hampshire Daily'!H13-'Hampshire Daily'!H12))</f>
        <v>876</v>
      </c>
      <c r="H10" s="4">
        <f>IF(('Hampshire Daily'!I13-'Hampshire Daily'!I12&lt;0),"0",('Hampshire Daily'!I13-'Hampshire Daily'!I12))</f>
        <v>1360</v>
      </c>
      <c r="I10" s="4">
        <f>IF(('Hampshire Daily'!J13-'Hampshire Daily'!J12&lt;0),"0",('Hampshire Daily'!J13-'Hampshire Daily'!J12))</f>
        <v>0</v>
      </c>
      <c r="J10" s="4">
        <f>IF(('Hampshire Daily'!K13-'Hampshire Daily'!K12&lt;0),"0",('Hampshire Daily'!K13-'Hampshire Daily'!K12))</f>
        <v>800</v>
      </c>
      <c r="K10" s="4">
        <f>IF(('Hampshire Daily'!L13-'Hampshire Daily'!L12&lt;0),"0",('Hampshire Daily'!L13-'Hampshire Daily'!L12))</f>
        <v>181</v>
      </c>
      <c r="L10" s="4">
        <f>IF(('Hampshire Daily'!M13-'Hampshire Daily'!M12&lt;0),"0",('Hampshire Daily'!M13-'Hampshire Daily'!M12))</f>
        <v>53</v>
      </c>
      <c r="M10" s="4">
        <f>IF(('Hampshire Daily'!N13-'Hampshire Daily'!N12&lt;0),"0",('Hampshire Daily'!N13-'Hampshire Daily'!N12))</f>
        <v>2532</v>
      </c>
      <c r="N10" s="4">
        <f>IF(('Hampshire Daily'!O13-'Hampshire Daily'!O12&lt;0),"0",('Hampshire Daily'!O13-'Hampshire Daily'!O12))</f>
        <v>60</v>
      </c>
      <c r="O10" s="4">
        <f>IF(('Hampshire Daily'!P13-'Hampshire Daily'!P12&lt;0),"0",('Hampshire Daily'!P13-'Hampshire Daily'!P12))</f>
        <v>0</v>
      </c>
      <c r="P10" s="4">
        <f>IF(('Hampshire Daily'!Q13-'Hampshire Daily'!Q12&lt;0),"0",('Hampshire Daily'!Q13-'Hampshire Daily'!Q12))</f>
        <v>0</v>
      </c>
      <c r="Q10" s="4">
        <f>IF(('Hampshire Daily'!R13-'Hampshire Daily'!R12&lt;0),"0",('Hampshire Daily'!R13-'Hampshire Daily'!R12))</f>
        <v>0</v>
      </c>
      <c r="R10" s="4">
        <f>IF(('Hampshire Daily'!U13-'Hampshire Daily'!U12&lt;0),"0",('Hampshire Daily'!U13-'Hampshire Daily'!U12))</f>
        <v>2</v>
      </c>
      <c r="S10" s="4">
        <f>IF(('Hampshire Daily'!V13-'Hampshire Daily'!V12&lt;0),"0",('Hampshire Daily'!V13-'Hampshire Daily'!V12))</f>
        <v>0</v>
      </c>
      <c r="T10" s="4">
        <f>IF(('Hampshire Daily'!W13-'Hampshire Daily'!W12&lt;0),"0",('Hampshire Daily'!W13-'Hampshire Daily'!W12))</f>
        <v>0</v>
      </c>
      <c r="U10" s="4">
        <f>IF(('Hampshire Daily'!X13-'Hampshire Daily'!X12&lt;0),"0",('Hampshire Daily'!X13-'Hampshire Daily'!X12))</f>
        <v>0.18999999999999773</v>
      </c>
      <c r="V10" s="4">
        <f>IF(('Hampshire Daily'!Y13-'Hampshire Daily'!Y12&lt;0),"0",('Hampshire Daily'!Y13-'Hampshire Daily'!Y12))</f>
        <v>0.68899999999996453</v>
      </c>
      <c r="W10" s="4">
        <f>IF(('Hampshire Daily'!Z13-'Hampshire Daily'!Z12&lt;0),"0",('Hampshire Daily'!Z13-'Hampshire Daily'!Z12))</f>
        <v>7.0000000000618456E-3</v>
      </c>
      <c r="X10" s="4">
        <f>IF(('Hampshire Daily'!AA13-'Hampshire Daily'!AA12&lt;0),"0",('Hampshire Daily'!AA13-'Hampshire Daily'!AA12))</f>
        <v>0</v>
      </c>
      <c r="Y10" s="4">
        <f>IF(('Hampshire Daily'!AB13-'Hampshire Daily'!AB12&lt;0),"0",('Hampshire Daily'!AB13-'Hampshire Daily'!AB12))</f>
        <v>5</v>
      </c>
      <c r="Z10" s="4">
        <f>'[1]Hampshire Daily'!C13</f>
        <v>49</v>
      </c>
      <c r="AA10" s="4">
        <f>'[1]Hampshire Daily'!B13</f>
        <v>21</v>
      </c>
    </row>
    <row r="11" spans="1:31" x14ac:dyDescent="0.25">
      <c r="A11" s="3" t="s">
        <v>41</v>
      </c>
      <c r="B11" s="1">
        <f t="shared" si="0"/>
        <v>10</v>
      </c>
      <c r="C11" s="17">
        <v>1</v>
      </c>
      <c r="D11" s="1">
        <v>2021</v>
      </c>
      <c r="E11" s="4">
        <f>IF(('Hampshire Daily'!D14-'Hampshire Daily'!D13&lt;0),"0",('Hampshire Daily'!D14-'Hampshire Daily'!D13))</f>
        <v>813</v>
      </c>
      <c r="F11" s="4">
        <f>IF(('Hampshire Daily'!F14-'Hampshire Daily'!F13&lt;0),"0",('Hampshire Daily'!F14-'Hampshire Daily'!F13))</f>
        <v>2839</v>
      </c>
      <c r="G11" s="4">
        <f>IF(('Hampshire Daily'!H14-'Hampshire Daily'!H13&lt;0),"0",('Hampshire Daily'!H14-'Hampshire Daily'!H13))</f>
        <v>793</v>
      </c>
      <c r="H11" s="4">
        <f>IF(('Hampshire Daily'!I14-'Hampshire Daily'!I13&lt;0),"0",('Hampshire Daily'!I14-'Hampshire Daily'!I13))</f>
        <v>1360</v>
      </c>
      <c r="I11" s="4">
        <f>IF(('Hampshire Daily'!J14-'Hampshire Daily'!J13&lt;0),"0",('Hampshire Daily'!J14-'Hampshire Daily'!J13))</f>
        <v>0</v>
      </c>
      <c r="J11" s="4">
        <f>IF(('Hampshire Daily'!K14-'Hampshire Daily'!K13&lt;0),"0",('Hampshire Daily'!K14-'Hampshire Daily'!K13))</f>
        <v>800</v>
      </c>
      <c r="K11" s="4">
        <f>IF(('Hampshire Daily'!L14-'Hampshire Daily'!L13&lt;0),"0",('Hampshire Daily'!L14-'Hampshire Daily'!L13))</f>
        <v>200</v>
      </c>
      <c r="L11" s="4">
        <f>IF(('Hampshire Daily'!M14-'Hampshire Daily'!M13&lt;0),"0",('Hampshire Daily'!M14-'Hampshire Daily'!M13))</f>
        <v>0</v>
      </c>
      <c r="M11" s="4">
        <f>IF(('Hampshire Daily'!N14-'Hampshire Daily'!N13&lt;0),"0",('Hampshire Daily'!N14-'Hampshire Daily'!N13))</f>
        <v>1869</v>
      </c>
      <c r="N11" s="4">
        <f>IF(('Hampshire Daily'!O14-'Hampshire Daily'!O13&lt;0),"0",('Hampshire Daily'!O14-'Hampshire Daily'!O13))</f>
        <v>110</v>
      </c>
      <c r="O11" s="4">
        <f>IF(('Hampshire Daily'!P14-'Hampshire Daily'!P13&lt;0),"0",('Hampshire Daily'!P14-'Hampshire Daily'!P13))</f>
        <v>0</v>
      </c>
      <c r="P11" s="4">
        <f>IF(('Hampshire Daily'!Q14-'Hampshire Daily'!Q13&lt;0),"0",('Hampshire Daily'!Q14-'Hampshire Daily'!Q13))</f>
        <v>0</v>
      </c>
      <c r="Q11" s="4">
        <f>IF(('Hampshire Daily'!R14-'Hampshire Daily'!R13&lt;0),"0",('Hampshire Daily'!R14-'Hampshire Daily'!R13))</f>
        <v>0</v>
      </c>
      <c r="R11" s="4">
        <f>IF(('Hampshire Daily'!U14-'Hampshire Daily'!U13&lt;0),"0",('Hampshire Daily'!U14-'Hampshire Daily'!U13))</f>
        <v>0</v>
      </c>
      <c r="S11" s="4">
        <f>IF(('Hampshire Daily'!V14-'Hampshire Daily'!V13&lt;0),"0",('Hampshire Daily'!V14-'Hampshire Daily'!V13))</f>
        <v>0</v>
      </c>
      <c r="T11" s="4">
        <f>IF(('Hampshire Daily'!W14-'Hampshire Daily'!W13&lt;0),"0",('Hampshire Daily'!W14-'Hampshire Daily'!W13))</f>
        <v>0</v>
      </c>
      <c r="U11" s="4">
        <f>IF(('Hampshire Daily'!X14-'Hampshire Daily'!X13&lt;0),"0",('Hampshire Daily'!X14-'Hampshire Daily'!X13))</f>
        <v>0.14799999999996771</v>
      </c>
      <c r="V11" s="4">
        <f>IF(('Hampshire Daily'!Y14-'Hampshire Daily'!Y13&lt;0),"0",('Hampshire Daily'!Y14-'Hampshire Daily'!Y13))</f>
        <v>0.46100000000001273</v>
      </c>
      <c r="W11" s="4">
        <f>IF(('Hampshire Daily'!Z14-'Hampshire Daily'!Z13&lt;0),"0",('Hampshire Daily'!Z14-'Hampshire Daily'!Z13))</f>
        <v>1.0999999999967258E-2</v>
      </c>
      <c r="X11" s="4">
        <f>IF(('Hampshire Daily'!AA14-'Hampshire Daily'!AA13&lt;0),"0",('Hampshire Daily'!AA14-'Hampshire Daily'!AA13))</f>
        <v>0</v>
      </c>
      <c r="Y11" s="4">
        <f>IF(('Hampshire Daily'!AB14-'Hampshire Daily'!AB13&lt;0),"0",('Hampshire Daily'!AB14-'Hampshire Daily'!AB13))</f>
        <v>3</v>
      </c>
      <c r="Z11" s="4">
        <f>'[1]Hampshire Daily'!C14</f>
        <v>74</v>
      </c>
      <c r="AA11" s="4">
        <f>'[1]Hampshire Daily'!B14</f>
        <v>32</v>
      </c>
    </row>
    <row r="12" spans="1:31" x14ac:dyDescent="0.25">
      <c r="A12" s="3" t="s">
        <v>41</v>
      </c>
      <c r="B12" s="1">
        <f t="shared" si="0"/>
        <v>11</v>
      </c>
      <c r="C12" s="17">
        <v>1</v>
      </c>
      <c r="D12" s="1">
        <v>2021</v>
      </c>
      <c r="E12" s="4">
        <f>IF(('Hampshire Daily'!D15-'Hampshire Daily'!D14&lt;0),"0",('Hampshire Daily'!D15-'Hampshire Daily'!D14))</f>
        <v>964</v>
      </c>
      <c r="F12" s="4">
        <f>IF(('Hampshire Daily'!F15-'Hampshire Daily'!F14&lt;0),"0",('Hampshire Daily'!F15-'Hampshire Daily'!F14))</f>
        <v>3191</v>
      </c>
      <c r="G12" s="4">
        <f>IF(('Hampshire Daily'!H15-'Hampshire Daily'!H14&lt;0),"0",('Hampshire Daily'!H15-'Hampshire Daily'!H14))</f>
        <v>614</v>
      </c>
      <c r="H12" s="4">
        <f>IF(('Hampshire Daily'!I15-'Hampshire Daily'!I14&lt;0),"0",('Hampshire Daily'!I15-'Hampshire Daily'!I14))</f>
        <v>1360</v>
      </c>
      <c r="I12" s="4">
        <f>IF(('Hampshire Daily'!J15-'Hampshire Daily'!J14&lt;0),"0",('Hampshire Daily'!J15-'Hampshire Daily'!J14))</f>
        <v>0</v>
      </c>
      <c r="J12" s="4">
        <f>IF(('Hampshire Daily'!K15-'Hampshire Daily'!K14&lt;0),"0",('Hampshire Daily'!K15-'Hampshire Daily'!K14))</f>
        <v>800</v>
      </c>
      <c r="K12" s="4">
        <f>IF(('Hampshire Daily'!L15-'Hampshire Daily'!L14&lt;0),"0",('Hampshire Daily'!L15-'Hampshire Daily'!L14))</f>
        <v>191</v>
      </c>
      <c r="L12" s="4">
        <f>IF(('Hampshire Daily'!M15-'Hampshire Daily'!M14&lt;0),"0",('Hampshire Daily'!M15-'Hampshire Daily'!M14))</f>
        <v>0</v>
      </c>
      <c r="M12" s="4">
        <f>IF(('Hampshire Daily'!N15-'Hampshire Daily'!N14&lt;0),"0",('Hampshire Daily'!N15-'Hampshire Daily'!N14))</f>
        <v>2064</v>
      </c>
      <c r="N12" s="4">
        <f>IF(('Hampshire Daily'!O15-'Hampshire Daily'!O14&lt;0),"0",('Hampshire Daily'!O15-'Hampshire Daily'!O14))</f>
        <v>70</v>
      </c>
      <c r="O12" s="4">
        <f>IF(('Hampshire Daily'!P15-'Hampshire Daily'!P14&lt;0),"0",('Hampshire Daily'!P15-'Hampshire Daily'!P14))</f>
        <v>3</v>
      </c>
      <c r="P12" s="4">
        <f>IF(('Hampshire Daily'!Q15-'Hampshire Daily'!Q14&lt;0),"0",('Hampshire Daily'!Q15-'Hampshire Daily'!Q14))</f>
        <v>0</v>
      </c>
      <c r="Q12" s="4">
        <f>IF(('Hampshire Daily'!R15-'Hampshire Daily'!R14&lt;0),"0",('Hampshire Daily'!R15-'Hampshire Daily'!R14))</f>
        <v>0</v>
      </c>
      <c r="R12" s="4">
        <f>IF(('Hampshire Daily'!U15-'Hampshire Daily'!U14&lt;0),"0",('Hampshire Daily'!U15-'Hampshire Daily'!U14))</f>
        <v>3</v>
      </c>
      <c r="S12" s="4">
        <f>IF(('Hampshire Daily'!V15-'Hampshire Daily'!V14&lt;0),"0",('Hampshire Daily'!V15-'Hampshire Daily'!V14))</f>
        <v>16</v>
      </c>
      <c r="T12" s="4">
        <f>IF(('Hampshire Daily'!W15-'Hampshire Daily'!W14&lt;0),"0",('Hampshire Daily'!W15-'Hampshire Daily'!W14))</f>
        <v>0</v>
      </c>
      <c r="U12" s="4">
        <f>IF(('Hampshire Daily'!X15-'Hampshire Daily'!X14&lt;0),"0",('Hampshire Daily'!X15-'Hampshire Daily'!X14))</f>
        <v>0.17599999999998772</v>
      </c>
      <c r="V12" s="4">
        <f>IF(('Hampshire Daily'!Y15-'Hampshire Daily'!Y14&lt;0),"0",('Hampshire Daily'!Y15-'Hampshire Daily'!Y14))</f>
        <v>0.36099999999999</v>
      </c>
      <c r="W12" s="4">
        <f>IF(('Hampshire Daily'!Z15-'Hampshire Daily'!Z14&lt;0),"0",('Hampshire Daily'!Z15-'Hampshire Daily'!Z14))</f>
        <v>7.9999999998108251E-3</v>
      </c>
      <c r="X12" s="4">
        <f>IF(('Hampshire Daily'!AA15-'Hampshire Daily'!AA14&lt;0),"0",('Hampshire Daily'!AA15-'Hampshire Daily'!AA14))</f>
        <v>0</v>
      </c>
      <c r="Y12" s="4">
        <f>IF(('Hampshire Daily'!AB15-'Hampshire Daily'!AB14&lt;0),"0",('Hampshire Daily'!AB15-'Hampshire Daily'!AB14))</f>
        <v>4</v>
      </c>
      <c r="Z12" s="4">
        <f>'[1]Hampshire Daily'!C15</f>
        <v>146</v>
      </c>
      <c r="AA12" s="4">
        <f>'[1]Hampshire Daily'!B15</f>
        <v>59</v>
      </c>
    </row>
    <row r="13" spans="1:31" x14ac:dyDescent="0.25">
      <c r="A13" s="3" t="s">
        <v>41</v>
      </c>
      <c r="B13" s="1">
        <f t="shared" si="0"/>
        <v>12</v>
      </c>
      <c r="C13" s="17">
        <v>1</v>
      </c>
      <c r="D13" s="1">
        <v>2021</v>
      </c>
      <c r="E13" s="4">
        <f>IF(('Hampshire Daily'!D16-'Hampshire Daily'!D15&lt;0),"0",('Hampshire Daily'!D16-'Hampshire Daily'!D15))</f>
        <v>1004</v>
      </c>
      <c r="F13" s="4">
        <f>IF(('Hampshire Daily'!F16-'Hampshire Daily'!F15&lt;0),"0",('Hampshire Daily'!F16-'Hampshire Daily'!F15))</f>
        <v>2608</v>
      </c>
      <c r="G13" s="4">
        <f>IF(('Hampshire Daily'!H16-'Hampshire Daily'!H15&lt;0),"0",('Hampshire Daily'!H16-'Hampshire Daily'!H15))</f>
        <v>637</v>
      </c>
      <c r="H13" s="4">
        <f>IF(('Hampshire Daily'!I16-'Hampshire Daily'!I15&lt;0),"0",('Hampshire Daily'!I16-'Hampshire Daily'!I15))</f>
        <v>1360</v>
      </c>
      <c r="I13" s="4">
        <f>IF(('Hampshire Daily'!J16-'Hampshire Daily'!J15&lt;0),"0",('Hampshire Daily'!J16-'Hampshire Daily'!J15))</f>
        <v>0</v>
      </c>
      <c r="J13" s="4">
        <f>IF(('Hampshire Daily'!K16-'Hampshire Daily'!K15&lt;0),"0",('Hampshire Daily'!K16-'Hampshire Daily'!K15))</f>
        <v>800</v>
      </c>
      <c r="K13" s="4">
        <f>IF(('Hampshire Daily'!L16-'Hampshire Daily'!L15&lt;0),"0",('Hampshire Daily'!L16-'Hampshire Daily'!L15))</f>
        <v>171</v>
      </c>
      <c r="L13" s="4">
        <f>IF(('Hampshire Daily'!M16-'Hampshire Daily'!M15&lt;0),"0",('Hampshire Daily'!M16-'Hampshire Daily'!M15))</f>
        <v>2</v>
      </c>
      <c r="M13" s="4">
        <f>IF(('Hampshire Daily'!N16-'Hampshire Daily'!N15&lt;0),"0",('Hampshire Daily'!N16-'Hampshire Daily'!N15))</f>
        <v>1869</v>
      </c>
      <c r="N13" s="4">
        <f>IF(('Hampshire Daily'!O16-'Hampshire Daily'!O15&lt;0),"0",('Hampshire Daily'!O16-'Hampshire Daily'!O15))</f>
        <v>75</v>
      </c>
      <c r="O13" s="4">
        <f>IF(('Hampshire Daily'!P16-'Hampshire Daily'!P15&lt;0),"0",('Hampshire Daily'!P16-'Hampshire Daily'!P15))</f>
        <v>0</v>
      </c>
      <c r="P13" s="4">
        <f>IF(('Hampshire Daily'!Q16-'Hampshire Daily'!Q15&lt;0),"0",('Hampshire Daily'!Q16-'Hampshire Daily'!Q15))</f>
        <v>0</v>
      </c>
      <c r="Q13" s="4">
        <f>IF(('Hampshire Daily'!R16-'Hampshire Daily'!R15&lt;0),"0",('Hampshire Daily'!R16-'Hampshire Daily'!R15))</f>
        <v>1</v>
      </c>
      <c r="R13" s="4">
        <f>IF(('Hampshire Daily'!U16-'Hampshire Daily'!U15&lt;0),"0",('Hampshire Daily'!U16-'Hampshire Daily'!U15))</f>
        <v>2</v>
      </c>
      <c r="S13" s="4">
        <f>IF(('Hampshire Daily'!V16-'Hampshire Daily'!V15&lt;0),"0",('Hampshire Daily'!V16-'Hampshire Daily'!V15))</f>
        <v>0</v>
      </c>
      <c r="T13" s="4">
        <f>IF(('Hampshire Daily'!W16-'Hampshire Daily'!W15&lt;0),"0",('Hampshire Daily'!W16-'Hampshire Daily'!W15))</f>
        <v>0</v>
      </c>
      <c r="U13" s="4">
        <f>IF(('Hampshire Daily'!X16-'Hampshire Daily'!X15&lt;0),"0",('Hampshire Daily'!X16-'Hampshire Daily'!X15))</f>
        <v>0.15300000000002001</v>
      </c>
      <c r="V13" s="4">
        <f>IF(('Hampshire Daily'!Y16-'Hampshire Daily'!Y15&lt;0),"0",('Hampshire Daily'!Y16-'Hampshire Daily'!Y15))</f>
        <v>0.60300000000006548</v>
      </c>
      <c r="W13" s="4">
        <f>IF(('Hampshire Daily'!Z16-'Hampshire Daily'!Z15&lt;0),"0",('Hampshire Daily'!Z16-'Hampshire Daily'!Z15))</f>
        <v>2.5000000000090949E-2</v>
      </c>
      <c r="X13" s="4">
        <f>IF(('Hampshire Daily'!AA16-'Hampshire Daily'!AA15&lt;0),"0",('Hampshire Daily'!AA16-'Hampshire Daily'!AA15))</f>
        <v>0</v>
      </c>
      <c r="Y13" s="4">
        <f>IF(('Hampshire Daily'!AB16-'Hampshire Daily'!AB15&lt;0),"0",('Hampshire Daily'!AB16-'Hampshire Daily'!AB15))</f>
        <v>3</v>
      </c>
      <c r="Z13" s="4">
        <f>'[1]Hampshire Daily'!C16</f>
        <v>183</v>
      </c>
      <c r="AA13" s="4">
        <f>'[1]Hampshire Daily'!B16</f>
        <v>71</v>
      </c>
    </row>
    <row r="14" spans="1:31" x14ac:dyDescent="0.25">
      <c r="A14" s="3" t="s">
        <v>41</v>
      </c>
      <c r="B14" s="1">
        <f t="shared" si="0"/>
        <v>13</v>
      </c>
      <c r="C14" s="17">
        <v>1</v>
      </c>
      <c r="D14" s="1">
        <v>2021</v>
      </c>
      <c r="E14" s="4">
        <f>IF(('Hampshire Daily'!D17-'Hampshire Daily'!D16&lt;0),"0",('Hampshire Daily'!D17-'Hampshire Daily'!D16))</f>
        <v>1433</v>
      </c>
      <c r="F14" s="4">
        <f>IF(('Hampshire Daily'!F17-'Hampshire Daily'!F16&lt;0),"0",('Hampshire Daily'!F17-'Hampshire Daily'!F16))</f>
        <v>3081</v>
      </c>
      <c r="G14" s="4">
        <f>IF(('Hampshire Daily'!H17-'Hampshire Daily'!H16&lt;0),"0",('Hampshire Daily'!H17-'Hampshire Daily'!H16))</f>
        <v>701</v>
      </c>
      <c r="H14" s="4">
        <f>IF(('Hampshire Daily'!I17-'Hampshire Daily'!I16&lt;0),"0",('Hampshire Daily'!I17-'Hampshire Daily'!I16))</f>
        <v>1360</v>
      </c>
      <c r="I14" s="4">
        <f>IF(('Hampshire Daily'!J17-'Hampshire Daily'!J16&lt;0),"0",('Hampshire Daily'!J17-'Hampshire Daily'!J16))</f>
        <v>0</v>
      </c>
      <c r="J14" s="4">
        <f>IF(('Hampshire Daily'!K17-'Hampshire Daily'!K16&lt;0),"0",('Hampshire Daily'!K17-'Hampshire Daily'!K16))</f>
        <v>800</v>
      </c>
      <c r="K14" s="4">
        <f>IF(('Hampshire Daily'!L17-'Hampshire Daily'!L16&lt;0),"0",('Hampshire Daily'!L17-'Hampshire Daily'!L16))</f>
        <v>161</v>
      </c>
      <c r="L14" s="4">
        <f>IF(('Hampshire Daily'!M17-'Hampshire Daily'!M16&lt;0),"0",('Hampshire Daily'!M17-'Hampshire Daily'!M16))</f>
        <v>103</v>
      </c>
      <c r="M14" s="4">
        <f>IF(('Hampshire Daily'!N17-'Hampshire Daily'!N16&lt;0),"0",('Hampshire Daily'!N17-'Hampshire Daily'!N16))</f>
        <v>1847</v>
      </c>
      <c r="N14" s="4">
        <f>IF(('Hampshire Daily'!O17-'Hampshire Daily'!O16&lt;0),"0",('Hampshire Daily'!O17-'Hampshire Daily'!O16))</f>
        <v>78</v>
      </c>
      <c r="O14" s="4">
        <f>IF(('Hampshire Daily'!P17-'Hampshire Daily'!P16&lt;0),"0",('Hampshire Daily'!P17-'Hampshire Daily'!P16))</f>
        <v>0</v>
      </c>
      <c r="P14" s="4">
        <f>IF(('Hampshire Daily'!Q17-'Hampshire Daily'!Q16&lt;0),"0",('Hampshire Daily'!Q17-'Hampshire Daily'!Q16))</f>
        <v>0</v>
      </c>
      <c r="Q14" s="4">
        <f>IF(('Hampshire Daily'!R17-'Hampshire Daily'!R16&lt;0),"0",('Hampshire Daily'!R17-'Hampshire Daily'!R16))</f>
        <v>0</v>
      </c>
      <c r="R14" s="4">
        <f>IF(('Hampshire Daily'!U17-'Hampshire Daily'!U16&lt;0),"0",('Hampshire Daily'!U17-'Hampshire Daily'!U16))</f>
        <v>2</v>
      </c>
      <c r="S14" s="4">
        <f>IF(('Hampshire Daily'!V17-'Hampshire Daily'!V16&lt;0),"0",('Hampshire Daily'!V17-'Hampshire Daily'!V16))</f>
        <v>0</v>
      </c>
      <c r="T14" s="4">
        <f>IF(('Hampshire Daily'!W17-'Hampshire Daily'!W16&lt;0),"0",('Hampshire Daily'!W17-'Hampshire Daily'!W16))</f>
        <v>0</v>
      </c>
      <c r="U14" s="4">
        <f>IF(('Hampshire Daily'!X17-'Hampshire Daily'!X16&lt;0),"0",('Hampshire Daily'!X17-'Hampshire Daily'!X16))</f>
        <v>0.14800000000002456</v>
      </c>
      <c r="V14" s="4">
        <f>IF(('Hampshire Daily'!Y17-'Hampshire Daily'!Y16&lt;0),"0",('Hampshire Daily'!Y17-'Hampshire Daily'!Y16))</f>
        <v>0.69200000000000728</v>
      </c>
      <c r="W14" s="4">
        <f>IF(('Hampshire Daily'!Z17-'Hampshire Daily'!Z16&lt;0),"0",('Hampshire Daily'!Z17-'Hampshire Daily'!Z16))</f>
        <v>1.999999999998181E-2</v>
      </c>
      <c r="X14" s="4">
        <f>IF(('Hampshire Daily'!AA17-'Hampshire Daily'!AA16&lt;0),"0",('Hampshire Daily'!AA17-'Hampshire Daily'!AA16))</f>
        <v>0</v>
      </c>
      <c r="Y14" s="4">
        <f>IF(('Hampshire Daily'!AB17-'Hampshire Daily'!AB16&lt;0),"0",('Hampshire Daily'!AB17-'Hampshire Daily'!AB16))</f>
        <v>3</v>
      </c>
      <c r="Z14" s="4">
        <f>'[1]Hampshire Daily'!C17</f>
        <v>141</v>
      </c>
      <c r="AA14" s="4">
        <f>'[1]Hampshire Daily'!B17</f>
        <v>51</v>
      </c>
    </row>
    <row r="15" spans="1:31" x14ac:dyDescent="0.25">
      <c r="A15" s="3" t="s">
        <v>41</v>
      </c>
      <c r="B15" s="1">
        <f t="shared" si="0"/>
        <v>14</v>
      </c>
      <c r="C15" s="17">
        <v>1</v>
      </c>
      <c r="D15" s="1">
        <v>2021</v>
      </c>
      <c r="E15" s="4">
        <f>IF(('Hampshire Daily'!D18-'Hampshire Daily'!D17&lt;0),"0",('Hampshire Daily'!D18-'Hampshire Daily'!D17))</f>
        <v>1089</v>
      </c>
      <c r="F15" s="4">
        <f>IF(('Hampshire Daily'!F18-'Hampshire Daily'!F17&lt;0),"0",('Hampshire Daily'!F18-'Hampshire Daily'!F17))</f>
        <v>2830</v>
      </c>
      <c r="G15" s="4">
        <f>IF(('Hampshire Daily'!H18-'Hampshire Daily'!H17&lt;0),"0",('Hampshire Daily'!H18-'Hampshire Daily'!H17))</f>
        <v>632</v>
      </c>
      <c r="H15" s="4">
        <f>IF(('Hampshire Daily'!I18-'Hampshire Daily'!I17&lt;0),"0",('Hampshire Daily'!I18-'Hampshire Daily'!I17))</f>
        <v>1360</v>
      </c>
      <c r="I15" s="4">
        <f>IF(('Hampshire Daily'!J18-'Hampshire Daily'!J17&lt;0),"0",('Hampshire Daily'!J18-'Hampshire Daily'!J17))</f>
        <v>0</v>
      </c>
      <c r="J15" s="4">
        <f>IF(('Hampshire Daily'!K18-'Hampshire Daily'!K17&lt;0),"0",('Hampshire Daily'!K18-'Hampshire Daily'!K17))</f>
        <v>800</v>
      </c>
      <c r="K15" s="4">
        <f>IF(('Hampshire Daily'!L18-'Hampshire Daily'!L17&lt;0),"0",('Hampshire Daily'!L18-'Hampshire Daily'!L17))</f>
        <v>401</v>
      </c>
      <c r="L15" s="4">
        <f>IF(('Hampshire Daily'!M18-'Hampshire Daily'!M17&lt;0),"0",('Hampshire Daily'!M18-'Hampshire Daily'!M17))</f>
        <v>2</v>
      </c>
      <c r="M15" s="4">
        <f>IF(('Hampshire Daily'!N18-'Hampshire Daily'!N17&lt;0),"0",('Hampshire Daily'!N18-'Hampshire Daily'!N17))</f>
        <v>1807</v>
      </c>
      <c r="N15" s="4">
        <f>IF(('Hampshire Daily'!O18-'Hampshire Daily'!O17&lt;0),"0",('Hampshire Daily'!O18-'Hampshire Daily'!O17))</f>
        <v>66</v>
      </c>
      <c r="O15" s="4">
        <f>IF(('Hampshire Daily'!P18-'Hampshire Daily'!P17&lt;0),"0",('Hampshire Daily'!P18-'Hampshire Daily'!P17))</f>
        <v>0</v>
      </c>
      <c r="P15" s="4">
        <f>IF(('Hampshire Daily'!Q18-'Hampshire Daily'!Q17&lt;0),"0",('Hampshire Daily'!Q18-'Hampshire Daily'!Q17))</f>
        <v>0</v>
      </c>
      <c r="Q15" s="4">
        <f>IF(('Hampshire Daily'!R18-'Hampshire Daily'!R17&lt;0),"0",('Hampshire Daily'!R18-'Hampshire Daily'!R17))</f>
        <v>1</v>
      </c>
      <c r="R15" s="4">
        <f>IF(('Hampshire Daily'!U18-'Hampshire Daily'!U17&lt;0),"0",('Hampshire Daily'!U18-'Hampshire Daily'!U17))</f>
        <v>1</v>
      </c>
      <c r="S15" s="4">
        <f>IF(('Hampshire Daily'!V18-'Hampshire Daily'!V17&lt;0),"0",('Hampshire Daily'!V18-'Hampshire Daily'!V17))</f>
        <v>0</v>
      </c>
      <c r="T15" s="4">
        <f>IF(('Hampshire Daily'!W18-'Hampshire Daily'!W17&lt;0),"0",('Hampshire Daily'!W18-'Hampshire Daily'!W17))</f>
        <v>0</v>
      </c>
      <c r="U15" s="4">
        <f>IF(('Hampshire Daily'!X18-'Hampshire Daily'!X17&lt;0),"0",('Hampshire Daily'!X18-'Hampshire Daily'!X17))</f>
        <v>0.13599999999996726</v>
      </c>
      <c r="V15" s="4">
        <f>IF(('Hampshire Daily'!Y18-'Hampshire Daily'!Y17&lt;0),"0",('Hampshire Daily'!Y18-'Hampshire Daily'!Y17))</f>
        <v>0.67399999999997817</v>
      </c>
      <c r="W15" s="4">
        <f>IF(('Hampshire Daily'!Z18-'Hampshire Daily'!Z17&lt;0),"0",('Hampshire Daily'!Z18-'Hampshire Daily'!Z17))</f>
        <v>2.3000000000138243E-2</v>
      </c>
      <c r="X15" s="4">
        <f>IF(('Hampshire Daily'!AA18-'Hampshire Daily'!AA17&lt;0),"0",('Hampshire Daily'!AA18-'Hampshire Daily'!AA17))</f>
        <v>0</v>
      </c>
      <c r="Y15" s="4">
        <f>IF(('Hampshire Daily'!AB18-'Hampshire Daily'!AB17&lt;0),"0",('Hampshire Daily'!AB18-'Hampshire Daily'!AB17))</f>
        <v>3</v>
      </c>
      <c r="Z15" s="4">
        <f>'[1]Hampshire Daily'!C18</f>
        <v>176</v>
      </c>
      <c r="AA15" s="4">
        <f>'[1]Hampshire Daily'!B18</f>
        <v>58</v>
      </c>
    </row>
    <row r="16" spans="1:31" x14ac:dyDescent="0.25">
      <c r="A16" s="3" t="s">
        <v>41</v>
      </c>
      <c r="B16" s="1">
        <f t="shared" si="0"/>
        <v>15</v>
      </c>
      <c r="C16" s="17">
        <v>1</v>
      </c>
      <c r="D16" s="1">
        <v>2021</v>
      </c>
      <c r="E16" s="4">
        <f>IF(('Hampshire Daily'!D19-'Hampshire Daily'!D18&lt;0),"0",('Hampshire Daily'!D19-'Hampshire Daily'!D18))</f>
        <v>1010</v>
      </c>
      <c r="F16" s="4">
        <f>IF(('Hampshire Daily'!F19-'Hampshire Daily'!F18&lt;0),"0",('Hampshire Daily'!F19-'Hampshire Daily'!F18))</f>
        <v>3125</v>
      </c>
      <c r="G16" s="4">
        <f>IF(('Hampshire Daily'!H19-'Hampshire Daily'!H18&lt;0),"0",('Hampshire Daily'!H19-'Hampshire Daily'!H18))</f>
        <v>723</v>
      </c>
      <c r="H16" s="4">
        <f>IF(('Hampshire Daily'!I19-'Hampshire Daily'!I18&lt;0),"0",('Hampshire Daily'!I19-'Hampshire Daily'!I18))</f>
        <v>1360</v>
      </c>
      <c r="I16" s="4">
        <f>IF(('Hampshire Daily'!J19-'Hampshire Daily'!J18&lt;0),"0",('Hampshire Daily'!J19-'Hampshire Daily'!J18))</f>
        <v>0</v>
      </c>
      <c r="J16" s="4">
        <f>IF(('Hampshire Daily'!K19-'Hampshire Daily'!K18&lt;0),"0",('Hampshire Daily'!K19-'Hampshire Daily'!K18))</f>
        <v>800</v>
      </c>
      <c r="K16" s="4">
        <f>IF(('Hampshire Daily'!L19-'Hampshire Daily'!L18&lt;0),"0",('Hampshire Daily'!L19-'Hampshire Daily'!L18))</f>
        <v>191</v>
      </c>
      <c r="L16" s="4">
        <f>IF(('Hampshire Daily'!M19-'Hampshire Daily'!M18&lt;0),"0",('Hampshire Daily'!M19-'Hampshire Daily'!M18))</f>
        <v>0</v>
      </c>
      <c r="M16" s="4">
        <f>IF(('Hampshire Daily'!N19-'Hampshire Daily'!N18&lt;0),"0",('Hampshire Daily'!N19-'Hampshire Daily'!N18))</f>
        <v>1916</v>
      </c>
      <c r="N16" s="4">
        <f>IF(('Hampshire Daily'!O19-'Hampshire Daily'!O18&lt;0),"0",('Hampshire Daily'!O19-'Hampshire Daily'!O18))</f>
        <v>74</v>
      </c>
      <c r="O16" s="4">
        <f>IF(('Hampshire Daily'!P19-'Hampshire Daily'!P18&lt;0),"0",('Hampshire Daily'!P19-'Hampshire Daily'!P18))</f>
        <v>0</v>
      </c>
      <c r="P16" s="4">
        <f>IF(('Hampshire Daily'!Q19-'Hampshire Daily'!Q18&lt;0),"0",('Hampshire Daily'!Q19-'Hampshire Daily'!Q18))</f>
        <v>0</v>
      </c>
      <c r="Q16" s="4">
        <f>IF(('Hampshire Daily'!R19-'Hampshire Daily'!R18&lt;0),"0",('Hampshire Daily'!R19-'Hampshire Daily'!R18))</f>
        <v>0</v>
      </c>
      <c r="R16" s="4">
        <f>IF(('Hampshire Daily'!U19-'Hampshire Daily'!U18&lt;0),"0",('Hampshire Daily'!U19-'Hampshire Daily'!U18))</f>
        <v>2</v>
      </c>
      <c r="S16" s="4">
        <f>IF(('Hampshire Daily'!V19-'Hampshire Daily'!V18&lt;0),"0",('Hampshire Daily'!V19-'Hampshire Daily'!V18))</f>
        <v>0</v>
      </c>
      <c r="T16" s="4">
        <f>IF(('Hampshire Daily'!W19-'Hampshire Daily'!W18&lt;0),"0",('Hampshire Daily'!W19-'Hampshire Daily'!W18))</f>
        <v>0</v>
      </c>
      <c r="U16" s="4">
        <f>IF(('Hampshire Daily'!X19-'Hampshire Daily'!X18&lt;0),"0",('Hampshire Daily'!X19-'Hampshire Daily'!X18))</f>
        <v>0.16000000000002501</v>
      </c>
      <c r="V16" s="4">
        <f>IF(('Hampshire Daily'!Y19-'Hampshire Daily'!Y18&lt;0),"0",('Hampshire Daily'!Y19-'Hampshire Daily'!Y18))</f>
        <v>0.7199999999999136</v>
      </c>
      <c r="W16" s="4">
        <f>IF(('Hampshire Daily'!Z19-'Hampshire Daily'!Z18&lt;0),"0",('Hampshire Daily'!Z19-'Hampshire Daily'!Z18))</f>
        <v>1.6000000000076398E-2</v>
      </c>
      <c r="X16" s="4">
        <f>IF(('Hampshire Daily'!AA19-'Hampshire Daily'!AA18&lt;0),"0",('Hampshire Daily'!AA19-'Hampshire Daily'!AA18))</f>
        <v>0</v>
      </c>
      <c r="Y16" s="4">
        <f>IF(('Hampshire Daily'!AB19-'Hampshire Daily'!AB18&lt;0),"0",('Hampshire Daily'!AB19-'Hampshire Daily'!AB18))</f>
        <v>4</v>
      </c>
      <c r="Z16" s="4">
        <f>'[1]Hampshire Daily'!C19</f>
        <v>235</v>
      </c>
      <c r="AA16" s="4">
        <f>'[1]Hampshire Daily'!B19</f>
        <v>80</v>
      </c>
    </row>
    <row r="17" spans="1:27" x14ac:dyDescent="0.25">
      <c r="A17" s="3" t="s">
        <v>41</v>
      </c>
      <c r="B17" s="1">
        <f t="shared" si="0"/>
        <v>16</v>
      </c>
      <c r="C17" s="17">
        <v>1</v>
      </c>
      <c r="D17" s="1">
        <v>2021</v>
      </c>
      <c r="E17" s="4">
        <f>IF(('Hampshire Daily'!D20-'Hampshire Daily'!D19&lt;0),"0",('Hampshire Daily'!D20-'Hampshire Daily'!D19))</f>
        <v>1125</v>
      </c>
      <c r="F17" s="4">
        <f>IF(('Hampshire Daily'!F20-'Hampshire Daily'!F19&lt;0),"0",('Hampshire Daily'!F20-'Hampshire Daily'!F19))</f>
        <v>2959</v>
      </c>
      <c r="G17" s="4">
        <f>IF(('Hampshire Daily'!H20-'Hampshire Daily'!H19&lt;0),"0",('Hampshire Daily'!H20-'Hampshire Daily'!H19))</f>
        <v>704</v>
      </c>
      <c r="H17" s="4">
        <f>IF(('Hampshire Daily'!I20-'Hampshire Daily'!I19&lt;0),"0",('Hampshire Daily'!I20-'Hampshire Daily'!I19))</f>
        <v>1360</v>
      </c>
      <c r="I17" s="4">
        <f>IF(('Hampshire Daily'!J20-'Hampshire Daily'!J19&lt;0),"0",('Hampshire Daily'!J20-'Hampshire Daily'!J19))</f>
        <v>0</v>
      </c>
      <c r="J17" s="4">
        <f>IF(('Hampshire Daily'!K20-'Hampshire Daily'!K19&lt;0),"0",('Hampshire Daily'!K20-'Hampshire Daily'!K19))</f>
        <v>800</v>
      </c>
      <c r="K17" s="4">
        <f>IF(('Hampshire Daily'!L20-'Hampshire Daily'!L19&lt;0),"0",('Hampshire Daily'!L20-'Hampshire Daily'!L19))</f>
        <v>200</v>
      </c>
      <c r="L17" s="4">
        <f>IF(('Hampshire Daily'!M20-'Hampshire Daily'!M19&lt;0),"0",('Hampshire Daily'!M20-'Hampshire Daily'!M19))</f>
        <v>1</v>
      </c>
      <c r="M17" s="4">
        <f>IF(('Hampshire Daily'!N20-'Hampshire Daily'!N19&lt;0),"0",('Hampshire Daily'!N20-'Hampshire Daily'!N19))</f>
        <v>2032</v>
      </c>
      <c r="N17" s="4">
        <f>IF(('Hampshire Daily'!O20-'Hampshire Daily'!O19&lt;0),"0",('Hampshire Daily'!O20-'Hampshire Daily'!O19))</f>
        <v>98</v>
      </c>
      <c r="O17" s="4">
        <f>IF(('Hampshire Daily'!P20-'Hampshire Daily'!P19&lt;0),"0",('Hampshire Daily'!P20-'Hampshire Daily'!P19))</f>
        <v>0</v>
      </c>
      <c r="P17" s="4">
        <f>IF(('Hampshire Daily'!Q20-'Hampshire Daily'!Q19&lt;0),"0",('Hampshire Daily'!Q20-'Hampshire Daily'!Q19))</f>
        <v>0</v>
      </c>
      <c r="Q17" s="4">
        <f>IF(('Hampshire Daily'!R20-'Hampshire Daily'!R19&lt;0),"0",('Hampshire Daily'!R20-'Hampshire Daily'!R19))</f>
        <v>0</v>
      </c>
      <c r="R17" s="4">
        <f>IF(('Hampshire Daily'!U20-'Hampshire Daily'!U19&lt;0),"0",('Hampshire Daily'!U20-'Hampshire Daily'!U19))</f>
        <v>1</v>
      </c>
      <c r="S17" s="4">
        <f>IF(('Hampshire Daily'!V20-'Hampshire Daily'!V19&lt;0),"0",('Hampshire Daily'!V20-'Hampshire Daily'!V19))</f>
        <v>0</v>
      </c>
      <c r="T17" s="4">
        <f>IF(('Hampshire Daily'!W20-'Hampshire Daily'!W19&lt;0),"0",('Hampshire Daily'!W20-'Hampshire Daily'!W19))</f>
        <v>0</v>
      </c>
      <c r="U17" s="4">
        <f>IF(('Hampshire Daily'!X20-'Hampshire Daily'!X19&lt;0),"0",('Hampshire Daily'!X20-'Hampshire Daily'!X19))</f>
        <v>0.16199999999997772</v>
      </c>
      <c r="V17" s="4">
        <f>IF(('Hampshire Daily'!Y20-'Hampshire Daily'!Y19&lt;0),"0",('Hampshire Daily'!Y20-'Hampshire Daily'!Y19))</f>
        <v>0.49200000000007549</v>
      </c>
      <c r="W17" s="4">
        <f>IF(('Hampshire Daily'!Z20-'Hampshire Daily'!Z19&lt;0),"0",('Hampshire Daily'!Z20-'Hampshire Daily'!Z19))</f>
        <v>1.8000000000029104E-2</v>
      </c>
      <c r="X17" s="4">
        <f>IF(('Hampshire Daily'!AA20-'Hampshire Daily'!AA19&lt;0),"0",('Hampshire Daily'!AA20-'Hampshire Daily'!AA19))</f>
        <v>0</v>
      </c>
      <c r="Y17" s="4">
        <f>IF(('Hampshire Daily'!AB20-'Hampshire Daily'!AB19&lt;0),"0",('Hampshire Daily'!AB20-'Hampshire Daily'!AB19))</f>
        <v>3</v>
      </c>
      <c r="Z17" s="4">
        <f>'[1]Hampshire Daily'!C20</f>
        <v>198</v>
      </c>
      <c r="AA17" s="4">
        <f>'[1]Hampshire Daily'!B20</f>
        <v>67</v>
      </c>
    </row>
    <row r="18" spans="1:27" x14ac:dyDescent="0.25">
      <c r="A18" s="3" t="s">
        <v>41</v>
      </c>
      <c r="B18" s="1">
        <f t="shared" si="0"/>
        <v>17</v>
      </c>
      <c r="C18" s="17">
        <v>1</v>
      </c>
      <c r="D18" s="1">
        <v>2021</v>
      </c>
      <c r="E18" s="4">
        <f>IF(('Hampshire Daily'!D21-'Hampshire Daily'!D20&lt;0),"0",('Hampshire Daily'!D21-'Hampshire Daily'!D20))</f>
        <v>971</v>
      </c>
      <c r="F18" s="4">
        <f>IF(('Hampshire Daily'!F21-'Hampshire Daily'!F20&lt;0),"0",('Hampshire Daily'!F21-'Hampshire Daily'!F20))</f>
        <v>652</v>
      </c>
      <c r="G18" s="4">
        <f>IF(('Hampshire Daily'!H21-'Hampshire Daily'!H20&lt;0),"0",('Hampshire Daily'!H21-'Hampshire Daily'!H20))</f>
        <v>41</v>
      </c>
      <c r="H18" s="4">
        <f>IF(('Hampshire Daily'!I21-'Hampshire Daily'!I20&lt;0),"0",('Hampshire Daily'!I21-'Hampshire Daily'!I20))</f>
        <v>1360</v>
      </c>
      <c r="I18" s="4">
        <f>IF(('Hampshire Daily'!J21-'Hampshire Daily'!J20&lt;0),"0",('Hampshire Daily'!J21-'Hampshire Daily'!J20))</f>
        <v>0</v>
      </c>
      <c r="J18" s="4">
        <f>IF(('Hampshire Daily'!K21-'Hampshire Daily'!K20&lt;0),"0",('Hampshire Daily'!K21-'Hampshire Daily'!K20))</f>
        <v>800</v>
      </c>
      <c r="K18" s="4">
        <f>IF(('Hampshire Daily'!L21-'Hampshire Daily'!L20&lt;0),"0",('Hampshire Daily'!L21-'Hampshire Daily'!L20))</f>
        <v>200</v>
      </c>
      <c r="L18" s="4">
        <f>IF(('Hampshire Daily'!M21-'Hampshire Daily'!M20&lt;0),"0",('Hampshire Daily'!M21-'Hampshire Daily'!M20))</f>
        <v>2</v>
      </c>
      <c r="M18" s="4">
        <f>IF(('Hampshire Daily'!N21-'Hampshire Daily'!N20&lt;0),"0",('Hampshire Daily'!N21-'Hampshire Daily'!N20))</f>
        <v>2157</v>
      </c>
      <c r="N18" s="4">
        <f>IF(('Hampshire Daily'!O21-'Hampshire Daily'!O20&lt;0),"0",('Hampshire Daily'!O21-'Hampshire Daily'!O20))</f>
        <v>77</v>
      </c>
      <c r="O18" s="4">
        <f>IF(('Hampshire Daily'!P21-'Hampshire Daily'!P20&lt;0),"0",('Hampshire Daily'!P21-'Hampshire Daily'!P20))</f>
        <v>0</v>
      </c>
      <c r="P18" s="4">
        <f>IF(('Hampshire Daily'!Q21-'Hampshire Daily'!Q20&lt;0),"0",('Hampshire Daily'!Q21-'Hampshire Daily'!Q20))</f>
        <v>0</v>
      </c>
      <c r="Q18" s="4">
        <f>IF(('Hampshire Daily'!R21-'Hampshire Daily'!R20&lt;0),"0",('Hampshire Daily'!R21-'Hampshire Daily'!R20))</f>
        <v>1</v>
      </c>
      <c r="R18" s="4">
        <f>IF(('Hampshire Daily'!U21-'Hampshire Daily'!U20&lt;0),"0",('Hampshire Daily'!U21-'Hampshire Daily'!U20))</f>
        <v>0</v>
      </c>
      <c r="S18" s="4">
        <f>IF(('Hampshire Daily'!V21-'Hampshire Daily'!V20&lt;0),"0",('Hampshire Daily'!V21-'Hampshire Daily'!V20))</f>
        <v>0</v>
      </c>
      <c r="T18" s="4">
        <f>IF(('Hampshire Daily'!W21-'Hampshire Daily'!W20&lt;0),"0",('Hampshire Daily'!W21-'Hampshire Daily'!W20))</f>
        <v>0</v>
      </c>
      <c r="U18" s="4">
        <f>IF(('Hampshire Daily'!X21-'Hampshire Daily'!X20&lt;0),"0",('Hampshire Daily'!X21-'Hampshire Daily'!X20))</f>
        <v>0.16200000000003456</v>
      </c>
      <c r="V18" s="4">
        <f>IF(('Hampshire Daily'!Y21-'Hampshire Daily'!Y20&lt;0),"0",('Hampshire Daily'!Y21-'Hampshire Daily'!Y20))</f>
        <v>0.27199999999993452</v>
      </c>
      <c r="W18" s="4">
        <f>IF(('Hampshire Daily'!Z21-'Hampshire Daily'!Z20&lt;0),"0",('Hampshire Daily'!Z21-'Hampshire Daily'!Z20))</f>
        <v>1.8000000000029104E-2</v>
      </c>
      <c r="X18" s="4">
        <f>IF(('Hampshire Daily'!AA21-'Hampshire Daily'!AA20&lt;0),"0",('Hampshire Daily'!AA21-'Hampshire Daily'!AA20))</f>
        <v>0</v>
      </c>
      <c r="Y18" s="4">
        <f>IF(('Hampshire Daily'!AB21-'Hampshire Daily'!AB20&lt;0),"0",('Hampshire Daily'!AB21-'Hampshire Daily'!AB20))</f>
        <v>4</v>
      </c>
      <c r="Z18" s="4">
        <f>'[1]Hampshire Daily'!C21</f>
        <v>149</v>
      </c>
      <c r="AA18" s="4">
        <f>'[1]Hampshire Daily'!B21</f>
        <v>49</v>
      </c>
    </row>
    <row r="19" spans="1:27" x14ac:dyDescent="0.25">
      <c r="A19" s="3" t="s">
        <v>41</v>
      </c>
      <c r="B19" s="1">
        <f t="shared" si="0"/>
        <v>18</v>
      </c>
      <c r="C19" s="17">
        <v>1</v>
      </c>
      <c r="D19" s="1">
        <v>2021</v>
      </c>
      <c r="E19" s="4">
        <f>IF(('Hampshire Daily'!D22-'Hampshire Daily'!D21&lt;0),"0",('Hampshire Daily'!D22-'Hampshire Daily'!D21))</f>
        <v>978</v>
      </c>
      <c r="F19" s="4">
        <f>IF(('Hampshire Daily'!F22-'Hampshire Daily'!F21&lt;0),"0",('Hampshire Daily'!F22-'Hampshire Daily'!F21))</f>
        <v>2182</v>
      </c>
      <c r="G19" s="4">
        <f>IF(('Hampshire Daily'!H22-'Hampshire Daily'!H21&lt;0),"0",('Hampshire Daily'!H22-'Hampshire Daily'!H21))</f>
        <v>411</v>
      </c>
      <c r="H19" s="4">
        <f>IF(('Hampshire Daily'!I22-'Hampshire Daily'!I21&lt;0),"0",('Hampshire Daily'!I22-'Hampshire Daily'!I21))</f>
        <v>1360</v>
      </c>
      <c r="I19" s="4">
        <f>IF(('Hampshire Daily'!J22-'Hampshire Daily'!J21&lt;0),"0",('Hampshire Daily'!J22-'Hampshire Daily'!J21))</f>
        <v>0</v>
      </c>
      <c r="J19" s="4">
        <f>IF(('Hampshire Daily'!K22-'Hampshire Daily'!K21&lt;0),"0",('Hampshire Daily'!K22-'Hampshire Daily'!K21))</f>
        <v>800</v>
      </c>
      <c r="K19" s="4">
        <f>IF(('Hampshire Daily'!L22-'Hampshire Daily'!L21&lt;0),"0",('Hampshire Daily'!L22-'Hampshire Daily'!L21))</f>
        <v>282</v>
      </c>
      <c r="L19" s="4">
        <f>IF(('Hampshire Daily'!M22-'Hampshire Daily'!M21&lt;0),"0",('Hampshire Daily'!M22-'Hampshire Daily'!M21))</f>
        <v>3</v>
      </c>
      <c r="M19" s="4">
        <f>IF(('Hampshire Daily'!N22-'Hampshire Daily'!N21&lt;0),"0",('Hampshire Daily'!N22-'Hampshire Daily'!N21))</f>
        <v>2068</v>
      </c>
      <c r="N19" s="4">
        <f>IF(('Hampshire Daily'!O22-'Hampshire Daily'!O21&lt;0),"0",('Hampshire Daily'!O22-'Hampshire Daily'!O21))</f>
        <v>81</v>
      </c>
      <c r="O19" s="4">
        <f>IF(('Hampshire Daily'!P22-'Hampshire Daily'!P21&lt;0),"0",('Hampshire Daily'!P22-'Hampshire Daily'!P21))</f>
        <v>0</v>
      </c>
      <c r="P19" s="4">
        <f>IF(('Hampshire Daily'!Q22-'Hampshire Daily'!Q21&lt;0),"0",('Hampshire Daily'!Q22-'Hampshire Daily'!Q21))</f>
        <v>0</v>
      </c>
      <c r="Q19" s="4">
        <f>IF(('Hampshire Daily'!R22-'Hampshire Daily'!R21&lt;0),"0",('Hampshire Daily'!R22-'Hampshire Daily'!R21))</f>
        <v>0</v>
      </c>
      <c r="R19" s="4">
        <f>IF(('Hampshire Daily'!U22-'Hampshire Daily'!U21&lt;0),"0",('Hampshire Daily'!U22-'Hampshire Daily'!U21))</f>
        <v>1</v>
      </c>
      <c r="S19" s="4">
        <f>IF(('Hampshire Daily'!V22-'Hampshire Daily'!V21&lt;0),"0",('Hampshire Daily'!V22-'Hampshire Daily'!V21))</f>
        <v>11</v>
      </c>
      <c r="T19" s="4">
        <f>IF(('Hampshire Daily'!W22-'Hampshire Daily'!W21&lt;0),"0",('Hampshire Daily'!W22-'Hampshire Daily'!W21))</f>
        <v>0</v>
      </c>
      <c r="U19" s="4">
        <f>IF(('Hampshire Daily'!X22-'Hampshire Daily'!X21&lt;0),"0",('Hampshire Daily'!X22-'Hampshire Daily'!X21))</f>
        <v>0.17399999999997817</v>
      </c>
      <c r="V19" s="4">
        <f>IF(('Hampshire Daily'!Y22-'Hampshire Daily'!Y21&lt;0),"0",('Hampshire Daily'!Y22-'Hampshire Daily'!Y21))</f>
        <v>0.31600000000003092</v>
      </c>
      <c r="W19" s="4">
        <f>IF(('Hampshire Daily'!Z22-'Hampshire Daily'!Z21&lt;0),"0",('Hampshire Daily'!Z22-'Hampshire Daily'!Z21))</f>
        <v>2.1999999999934516E-2</v>
      </c>
      <c r="X19" s="4">
        <f>IF(('Hampshire Daily'!AA22-'Hampshire Daily'!AA21&lt;0),"0",('Hampshire Daily'!AA22-'Hampshire Daily'!AA21))</f>
        <v>0</v>
      </c>
      <c r="Y19" s="4">
        <f>IF(('Hampshire Daily'!AB22-'Hampshire Daily'!AB21&lt;0),"0",('Hampshire Daily'!AB22-'Hampshire Daily'!AB21))</f>
        <v>4</v>
      </c>
      <c r="Z19" s="4">
        <f>'[1]Hampshire Daily'!C22</f>
        <v>145</v>
      </c>
      <c r="AA19" s="4">
        <f>'[1]Hampshire Daily'!B22</f>
        <v>49</v>
      </c>
    </row>
    <row r="20" spans="1:27" x14ac:dyDescent="0.25">
      <c r="A20" s="3" t="s">
        <v>41</v>
      </c>
      <c r="B20" s="1">
        <f t="shared" si="0"/>
        <v>19</v>
      </c>
      <c r="C20" s="17">
        <v>1</v>
      </c>
      <c r="D20" s="1">
        <v>2021</v>
      </c>
      <c r="E20" s="4">
        <f>IF(('Hampshire Daily'!D23-'Hampshire Daily'!D22&lt;0),"0",('Hampshire Daily'!D23-'Hampshire Daily'!D22))</f>
        <v>1156</v>
      </c>
      <c r="F20" s="4">
        <f>IF(('Hampshire Daily'!F23-'Hampshire Daily'!F22&lt;0),"0",('Hampshire Daily'!F23-'Hampshire Daily'!F22))</f>
        <v>1142</v>
      </c>
      <c r="G20" s="4">
        <f>IF(('Hampshire Daily'!H23-'Hampshire Daily'!H22&lt;0),"0",('Hampshire Daily'!H23-'Hampshire Daily'!H22))</f>
        <v>164</v>
      </c>
      <c r="H20" s="4">
        <f>IF(('Hampshire Daily'!I23-'Hampshire Daily'!I22&lt;0),"0",('Hampshire Daily'!I23-'Hampshire Daily'!I22))</f>
        <v>1360</v>
      </c>
      <c r="I20" s="4">
        <f>IF(('Hampshire Daily'!J23-'Hampshire Daily'!J22&lt;0),"0",('Hampshire Daily'!J23-'Hampshire Daily'!J22))</f>
        <v>0</v>
      </c>
      <c r="J20" s="4">
        <f>IF(('Hampshire Daily'!K23-'Hampshire Daily'!K22&lt;0),"0",('Hampshire Daily'!K23-'Hampshire Daily'!K22))</f>
        <v>800</v>
      </c>
      <c r="K20" s="4">
        <f>IF(('Hampshire Daily'!L23-'Hampshire Daily'!L22&lt;0),"0",('Hampshire Daily'!L23-'Hampshire Daily'!L22))</f>
        <v>200</v>
      </c>
      <c r="L20" s="4">
        <f>IF(('Hampshire Daily'!M23-'Hampshire Daily'!M22&lt;0),"0",('Hampshire Daily'!M23-'Hampshire Daily'!M22))</f>
        <v>18</v>
      </c>
      <c r="M20" s="4">
        <f>IF(('Hampshire Daily'!N23-'Hampshire Daily'!N22&lt;0),"0",('Hampshire Daily'!N23-'Hampshire Daily'!N22))</f>
        <v>2146</v>
      </c>
      <c r="N20" s="4">
        <f>IF(('Hampshire Daily'!O23-'Hampshire Daily'!O22&lt;0),"0",('Hampshire Daily'!O23-'Hampshire Daily'!O22))</f>
        <v>79</v>
      </c>
      <c r="O20" s="4">
        <f>IF(('Hampshire Daily'!P23-'Hampshire Daily'!P22&lt;0),"0",('Hampshire Daily'!P23-'Hampshire Daily'!P22))</f>
        <v>0</v>
      </c>
      <c r="P20" s="4">
        <f>IF(('Hampshire Daily'!Q23-'Hampshire Daily'!Q22&lt;0),"0",('Hampshire Daily'!Q23-'Hampshire Daily'!Q22))</f>
        <v>0</v>
      </c>
      <c r="Q20" s="4">
        <f>IF(('Hampshire Daily'!R23-'Hampshire Daily'!R22&lt;0),"0",('Hampshire Daily'!R23-'Hampshire Daily'!R22))</f>
        <v>0</v>
      </c>
      <c r="R20" s="4">
        <f>IF(('Hampshire Daily'!U23-'Hampshire Daily'!U22&lt;0),"0",('Hampshire Daily'!U23-'Hampshire Daily'!U22))</f>
        <v>2</v>
      </c>
      <c r="S20" s="4">
        <f>IF(('Hampshire Daily'!V23-'Hampshire Daily'!V22&lt;0),"0",('Hampshire Daily'!V23-'Hampshire Daily'!V22))</f>
        <v>0</v>
      </c>
      <c r="T20" s="4">
        <f>IF(('Hampshire Daily'!W23-'Hampshire Daily'!W22&lt;0),"0",('Hampshire Daily'!W23-'Hampshire Daily'!W22))</f>
        <v>0</v>
      </c>
      <c r="U20" s="4">
        <f>IF(('Hampshire Daily'!X23-'Hampshire Daily'!X22&lt;0),"0",('Hampshire Daily'!X23-'Hampshire Daily'!X22))</f>
        <v>0.15600000000000591</v>
      </c>
      <c r="V20" s="4">
        <f>IF(('Hampshire Daily'!Y23-'Hampshire Daily'!Y22&lt;0),"0",('Hampshire Daily'!Y23-'Hampshire Daily'!Y22))</f>
        <v>0.22199999999997999</v>
      </c>
      <c r="W20" s="4">
        <f>IF(('Hampshire Daily'!Z23-'Hampshire Daily'!Z22&lt;0),"0",('Hampshire Daily'!Z23-'Hampshire Daily'!Z22))</f>
        <v>1.6999999999825377E-2</v>
      </c>
      <c r="X20" s="4">
        <f>IF(('Hampshire Daily'!AA23-'Hampshire Daily'!AA22&lt;0),"0",('Hampshire Daily'!AA23-'Hampshire Daily'!AA22))</f>
        <v>0</v>
      </c>
      <c r="Y20" s="4">
        <f>IF(('Hampshire Daily'!AB23-'Hampshire Daily'!AB22&lt;0),"0",('Hampshire Daily'!AB23-'Hampshire Daily'!AB22))</f>
        <v>2</v>
      </c>
      <c r="Z20" s="4">
        <f>'[1]Hampshire Daily'!C23</f>
        <v>163</v>
      </c>
      <c r="AA20" s="4">
        <f>'[1]Hampshire Daily'!B23</f>
        <v>58</v>
      </c>
    </row>
    <row r="21" spans="1:27" x14ac:dyDescent="0.25">
      <c r="A21" s="3" t="s">
        <v>41</v>
      </c>
      <c r="B21" s="1">
        <f t="shared" si="0"/>
        <v>20</v>
      </c>
      <c r="C21" s="17">
        <v>1</v>
      </c>
      <c r="D21" s="1">
        <v>2021</v>
      </c>
      <c r="E21" s="4">
        <f>IF(('Hampshire Daily'!D24-'Hampshire Daily'!D23&lt;0),"0",('Hampshire Daily'!D24-'Hampshire Daily'!D23))</f>
        <v>914</v>
      </c>
      <c r="F21" s="4">
        <f>IF(('Hampshire Daily'!F24-'Hampshire Daily'!F23&lt;0),"0",('Hampshire Daily'!F24-'Hampshire Daily'!F23))</f>
        <v>418</v>
      </c>
      <c r="G21" s="4">
        <f>IF(('Hampshire Daily'!H24-'Hampshire Daily'!H23&lt;0),"0",('Hampshire Daily'!H24-'Hampshire Daily'!H23))</f>
        <v>19</v>
      </c>
      <c r="H21" s="4">
        <f>IF(('Hampshire Daily'!I24-'Hampshire Daily'!I23&lt;0),"0",('Hampshire Daily'!I24-'Hampshire Daily'!I23))</f>
        <v>1360</v>
      </c>
      <c r="I21" s="4">
        <f>IF(('Hampshire Daily'!J24-'Hampshire Daily'!J23&lt;0),"0",('Hampshire Daily'!J24-'Hampshire Daily'!J23))</f>
        <v>0</v>
      </c>
      <c r="J21" s="4">
        <f>IF(('Hampshire Daily'!K24-'Hampshire Daily'!K23&lt;0),"0",('Hampshire Daily'!K24-'Hampshire Daily'!K23))</f>
        <v>800</v>
      </c>
      <c r="K21" s="4">
        <f>IF(('Hampshire Daily'!L24-'Hampshire Daily'!L23&lt;0),"0",('Hampshire Daily'!L24-'Hampshire Daily'!L23))</f>
        <v>179</v>
      </c>
      <c r="L21" s="4">
        <f>IF(('Hampshire Daily'!M24-'Hampshire Daily'!M23&lt;0),"0",('Hampshire Daily'!M24-'Hampshire Daily'!M23))</f>
        <v>5</v>
      </c>
      <c r="M21" s="4">
        <f>IF(('Hampshire Daily'!N24-'Hampshire Daily'!N23&lt;0),"0",('Hampshire Daily'!N24-'Hampshire Daily'!N23))</f>
        <v>1829</v>
      </c>
      <c r="N21" s="4">
        <f>IF(('Hampshire Daily'!O24-'Hampshire Daily'!O23&lt;0),"0",('Hampshire Daily'!O24-'Hampshire Daily'!O23))</f>
        <v>69</v>
      </c>
      <c r="O21" s="4">
        <f>IF(('Hampshire Daily'!P24-'Hampshire Daily'!P23&lt;0),"0",('Hampshire Daily'!P24-'Hampshire Daily'!P23))</f>
        <v>0</v>
      </c>
      <c r="P21" s="4">
        <f>IF(('Hampshire Daily'!Q24-'Hampshire Daily'!Q23&lt;0),"0",('Hampshire Daily'!Q24-'Hampshire Daily'!Q23))</f>
        <v>0</v>
      </c>
      <c r="Q21" s="4">
        <f>IF(('Hampshire Daily'!R24-'Hampshire Daily'!R23&lt;0),"0",('Hampshire Daily'!R24-'Hampshire Daily'!R23))</f>
        <v>1</v>
      </c>
      <c r="R21" s="4">
        <f>IF(('Hampshire Daily'!U24-'Hampshire Daily'!U23&lt;0),"0",('Hampshire Daily'!U24-'Hampshire Daily'!U23))</f>
        <v>1</v>
      </c>
      <c r="S21" s="4">
        <f>IF(('Hampshire Daily'!V24-'Hampshire Daily'!V23&lt;0),"0",('Hampshire Daily'!V24-'Hampshire Daily'!V23))</f>
        <v>0</v>
      </c>
      <c r="T21" s="4">
        <f>IF(('Hampshire Daily'!W24-'Hampshire Daily'!W23&lt;0),"0",('Hampshire Daily'!W24-'Hampshire Daily'!W23))</f>
        <v>0</v>
      </c>
      <c r="U21" s="4">
        <f>IF(('Hampshire Daily'!X24-'Hampshire Daily'!X23&lt;0),"0",('Hampshire Daily'!X24-'Hampshire Daily'!X23))</f>
        <v>0.14699999999999136</v>
      </c>
      <c r="V21" s="4">
        <f>IF(('Hampshire Daily'!Y24-'Hampshire Daily'!Y23&lt;0),"0",('Hampshire Daily'!Y24-'Hampshire Daily'!Y23))</f>
        <v>0.12300000000004729</v>
      </c>
      <c r="W21" s="4">
        <f>IF(('Hampshire Daily'!Z24-'Hampshire Daily'!Z23&lt;0),"0",('Hampshire Daily'!Z24-'Hampshire Daily'!Z23))</f>
        <v>1.999999999998181E-2</v>
      </c>
      <c r="X21" s="4">
        <f>IF(('Hampshire Daily'!AA24-'Hampshire Daily'!AA23&lt;0),"0",('Hampshire Daily'!AA24-'Hampshire Daily'!AA23))</f>
        <v>0</v>
      </c>
      <c r="Y21" s="4">
        <f>IF(('Hampshire Daily'!AB24-'Hampshire Daily'!AB23&lt;0),"0",('Hampshire Daily'!AB24-'Hampshire Daily'!AB23))</f>
        <v>3</v>
      </c>
      <c r="Z21" s="4">
        <f>'[1]Hampshire Daily'!C24</f>
        <v>90</v>
      </c>
      <c r="AA21" s="4">
        <f>'[1]Hampshire Daily'!B24</f>
        <v>26</v>
      </c>
    </row>
    <row r="22" spans="1:27" x14ac:dyDescent="0.25">
      <c r="A22" s="3" t="s">
        <v>41</v>
      </c>
      <c r="B22" s="1">
        <f t="shared" si="0"/>
        <v>21</v>
      </c>
      <c r="C22" s="17">
        <v>1</v>
      </c>
      <c r="D22" s="1">
        <v>2021</v>
      </c>
      <c r="E22" s="4">
        <f>IF(('Hampshire Daily'!D25-'Hampshire Daily'!D24&lt;0),"0",('Hampshire Daily'!D25-'Hampshire Daily'!D24))</f>
        <v>979</v>
      </c>
      <c r="F22" s="4">
        <f>IF(('Hampshire Daily'!F25-'Hampshire Daily'!F24&lt;0),"0",('Hampshire Daily'!F25-'Hampshire Daily'!F24))</f>
        <v>2326</v>
      </c>
      <c r="G22" s="4">
        <f>IF(('Hampshire Daily'!H25-'Hampshire Daily'!H24&lt;0),"0",('Hampshire Daily'!H25-'Hampshire Daily'!H24))</f>
        <v>472</v>
      </c>
      <c r="H22" s="4">
        <f>IF(('Hampshire Daily'!I25-'Hampshire Daily'!I24&lt;0),"0",('Hampshire Daily'!I25-'Hampshire Daily'!I24))</f>
        <v>1360</v>
      </c>
      <c r="I22" s="4">
        <f>IF(('Hampshire Daily'!J25-'Hampshire Daily'!J24&lt;0),"0",('Hampshire Daily'!J25-'Hampshire Daily'!J24))</f>
        <v>0</v>
      </c>
      <c r="J22" s="4">
        <f>IF(('Hampshire Daily'!K25-'Hampshire Daily'!K24&lt;0),"0",('Hampshire Daily'!K25-'Hampshire Daily'!K24))</f>
        <v>800</v>
      </c>
      <c r="K22" s="4">
        <f>IF(('Hampshire Daily'!L25-'Hampshire Daily'!L24&lt;0),"0",('Hampshire Daily'!L25-'Hampshire Daily'!L24))</f>
        <v>195</v>
      </c>
      <c r="L22" s="4">
        <f>IF(('Hampshire Daily'!M25-'Hampshire Daily'!M24&lt;0),"0",('Hampshire Daily'!M25-'Hampshire Daily'!M24))</f>
        <v>3</v>
      </c>
      <c r="M22" s="4">
        <f>IF(('Hampshire Daily'!N25-'Hampshire Daily'!N24&lt;0),"0",('Hampshire Daily'!N25-'Hampshire Daily'!N24))</f>
        <v>1887</v>
      </c>
      <c r="N22" s="4">
        <f>IF(('Hampshire Daily'!O25-'Hampshire Daily'!O24&lt;0),"0",('Hampshire Daily'!O25-'Hampshire Daily'!O24))</f>
        <v>83</v>
      </c>
      <c r="O22" s="4">
        <f>IF(('Hampshire Daily'!P25-'Hampshire Daily'!P24&lt;0),"0",('Hampshire Daily'!P25-'Hampshire Daily'!P24))</f>
        <v>0</v>
      </c>
      <c r="P22" s="4">
        <f>IF(('Hampshire Daily'!Q25-'Hampshire Daily'!Q24&lt;0),"0",('Hampshire Daily'!Q25-'Hampshire Daily'!Q24))</f>
        <v>0</v>
      </c>
      <c r="Q22" s="4">
        <f>IF(('Hampshire Daily'!R25-'Hampshire Daily'!R24&lt;0),"0",('Hampshire Daily'!R25-'Hampshire Daily'!R24))</f>
        <v>0</v>
      </c>
      <c r="R22" s="4">
        <f>IF(('Hampshire Daily'!U25-'Hampshire Daily'!U24&lt;0),"0",('Hampshire Daily'!U25-'Hampshire Daily'!U24))</f>
        <v>1</v>
      </c>
      <c r="S22" s="4">
        <f>IF(('Hampshire Daily'!V25-'Hampshire Daily'!V24&lt;0),"0",('Hampshire Daily'!V25-'Hampshire Daily'!V24))</f>
        <v>0</v>
      </c>
      <c r="T22" s="4">
        <f>IF(('Hampshire Daily'!W25-'Hampshire Daily'!W24&lt;0),"0",('Hampshire Daily'!W25-'Hampshire Daily'!W24))</f>
        <v>0</v>
      </c>
      <c r="U22" s="4">
        <f>IF(('Hampshire Daily'!X25-'Hampshire Daily'!X24&lt;0),"0",('Hampshire Daily'!X25-'Hampshire Daily'!X24))</f>
        <v>0.15199999999998681</v>
      </c>
      <c r="V22" s="4">
        <f>IF(('Hampshire Daily'!Y25-'Hampshire Daily'!Y24&lt;0),"0",('Hampshire Daily'!Y25-'Hampshire Daily'!Y24))</f>
        <v>0.23699999999996635</v>
      </c>
      <c r="W22" s="4">
        <f>IF(('Hampshire Daily'!Z25-'Hampshire Daily'!Z24&lt;0),"0",('Hampshire Daily'!Z25-'Hampshire Daily'!Z24))</f>
        <v>2.3000000000138243E-2</v>
      </c>
      <c r="X22" s="4">
        <f>IF(('Hampshire Daily'!AA25-'Hampshire Daily'!AA24&lt;0),"0",('Hampshire Daily'!AA25-'Hampshire Daily'!AA24))</f>
        <v>0</v>
      </c>
      <c r="Y22" s="4">
        <f>IF(('Hampshire Daily'!AB25-'Hampshire Daily'!AB24&lt;0),"0",('Hampshire Daily'!AB25-'Hampshire Daily'!AB24))</f>
        <v>2</v>
      </c>
      <c r="Z22" s="4">
        <f>'[1]Hampshire Daily'!C25</f>
        <v>72</v>
      </c>
      <c r="AA22" s="4">
        <f>'[1]Hampshire Daily'!B25</f>
        <v>19</v>
      </c>
    </row>
    <row r="23" spans="1:27" x14ac:dyDescent="0.25">
      <c r="A23" s="3" t="s">
        <v>41</v>
      </c>
      <c r="B23" s="1">
        <f t="shared" si="0"/>
        <v>22</v>
      </c>
      <c r="C23" s="17">
        <v>1</v>
      </c>
      <c r="D23" s="1">
        <v>2021</v>
      </c>
      <c r="E23" s="4">
        <f>IF(('Hampshire Daily'!D26-'Hampshire Daily'!D25&lt;0),"0",('Hampshire Daily'!D26-'Hampshire Daily'!D25))</f>
        <v>952</v>
      </c>
      <c r="F23" s="4">
        <f>IF(('Hampshire Daily'!F26-'Hampshire Daily'!F25&lt;0),"0",('Hampshire Daily'!F26-'Hampshire Daily'!F25))</f>
        <v>926</v>
      </c>
      <c r="G23" s="4">
        <f>IF(('Hampshire Daily'!H26-'Hampshire Daily'!H25&lt;0),"0",('Hampshire Daily'!H26-'Hampshire Daily'!H25))</f>
        <v>119</v>
      </c>
      <c r="H23" s="4">
        <f>IF(('Hampshire Daily'!I26-'Hampshire Daily'!I25&lt;0),"0",('Hampshire Daily'!I26-'Hampshire Daily'!I25))</f>
        <v>1360</v>
      </c>
      <c r="I23" s="4">
        <f>IF(('Hampshire Daily'!J26-'Hampshire Daily'!J25&lt;0),"0",('Hampshire Daily'!J26-'Hampshire Daily'!J25))</f>
        <v>0</v>
      </c>
      <c r="J23" s="4">
        <f>IF(('Hampshire Daily'!K26-'Hampshire Daily'!K25&lt;0),"0",('Hampshire Daily'!K26-'Hampshire Daily'!K25))</f>
        <v>800</v>
      </c>
      <c r="K23" s="4">
        <f>IF(('Hampshire Daily'!L26-'Hampshire Daily'!L25&lt;0),"0",('Hampshire Daily'!L26-'Hampshire Daily'!L25))</f>
        <v>200</v>
      </c>
      <c r="L23" s="4">
        <f>IF(('Hampshire Daily'!M26-'Hampshire Daily'!M25&lt;0),"0",('Hampshire Daily'!M26-'Hampshire Daily'!M25))</f>
        <v>0</v>
      </c>
      <c r="M23" s="4">
        <f>IF(('Hampshire Daily'!N26-'Hampshire Daily'!N25&lt;0),"0",('Hampshire Daily'!N26-'Hampshire Daily'!N25))</f>
        <v>2142</v>
      </c>
      <c r="N23" s="4">
        <f>IF(('Hampshire Daily'!O26-'Hampshire Daily'!O25&lt;0),"0",('Hampshire Daily'!O26-'Hampshire Daily'!O25))</f>
        <v>85</v>
      </c>
      <c r="O23" s="4">
        <f>IF(('Hampshire Daily'!P26-'Hampshire Daily'!P25&lt;0),"0",('Hampshire Daily'!P26-'Hampshire Daily'!P25))</f>
        <v>0</v>
      </c>
      <c r="P23" s="4">
        <f>IF(('Hampshire Daily'!Q26-'Hampshire Daily'!Q25&lt;0),"0",('Hampshire Daily'!Q26-'Hampshire Daily'!Q25))</f>
        <v>0</v>
      </c>
      <c r="Q23" s="4">
        <f>IF(('Hampshire Daily'!R26-'Hampshire Daily'!R25&lt;0),"0",('Hampshire Daily'!R26-'Hampshire Daily'!R25))</f>
        <v>0</v>
      </c>
      <c r="R23" s="4">
        <f>IF(('Hampshire Daily'!U26-'Hampshire Daily'!U25&lt;0),"0",('Hampshire Daily'!U26-'Hampshire Daily'!U25))</f>
        <v>2</v>
      </c>
      <c r="S23" s="4">
        <f>IF(('Hampshire Daily'!V26-'Hampshire Daily'!V25&lt;0),"0",('Hampshire Daily'!V26-'Hampshire Daily'!V25))</f>
        <v>0</v>
      </c>
      <c r="T23" s="4">
        <f>IF(('Hampshire Daily'!W26-'Hampshire Daily'!W25&lt;0),"0",('Hampshire Daily'!W26-'Hampshire Daily'!W25))</f>
        <v>0</v>
      </c>
      <c r="U23" s="4">
        <f>IF(('Hampshire Daily'!X26-'Hampshire Daily'!X25&lt;0),"0",('Hampshire Daily'!X26-'Hampshire Daily'!X25))</f>
        <v>0.1360000000000241</v>
      </c>
      <c r="V23" s="4">
        <f>IF(('Hampshire Daily'!Y26-'Hampshire Daily'!Y25&lt;0),"0",('Hampshire Daily'!Y26-'Hampshire Daily'!Y25))</f>
        <v>0.23800000000005639</v>
      </c>
      <c r="W23" s="4">
        <f>IF(('Hampshire Daily'!Z26-'Hampshire Daily'!Z25&lt;0),"0",('Hampshire Daily'!Z26-'Hampshire Daily'!Z25))</f>
        <v>1.6000000000076398E-2</v>
      </c>
      <c r="X23" s="4">
        <f>IF(('Hampshire Daily'!AA26-'Hampshire Daily'!AA25&lt;0),"0",('Hampshire Daily'!AA26-'Hampshire Daily'!AA25))</f>
        <v>0</v>
      </c>
      <c r="Y23" s="4">
        <f>IF(('Hampshire Daily'!AB26-'Hampshire Daily'!AB25&lt;0),"0",('Hampshire Daily'!AB26-'Hampshire Daily'!AB25))</f>
        <v>1</v>
      </c>
      <c r="Z23" s="4">
        <f>'[1]Hampshire Daily'!C26</f>
        <v>90</v>
      </c>
      <c r="AA23" s="4">
        <f>'[1]Hampshire Daily'!B26</f>
        <v>27</v>
      </c>
    </row>
    <row r="24" spans="1:27" x14ac:dyDescent="0.25">
      <c r="A24" s="3" t="s">
        <v>41</v>
      </c>
      <c r="B24" s="1">
        <f t="shared" si="0"/>
        <v>23</v>
      </c>
      <c r="C24" s="17">
        <v>1</v>
      </c>
      <c r="D24" s="1">
        <v>2021</v>
      </c>
      <c r="E24" s="4">
        <f>IF(('Hampshire Daily'!D27-'Hampshire Daily'!D26&lt;0),"0",('Hampshire Daily'!D27-'Hampshire Daily'!D26))</f>
        <v>941</v>
      </c>
      <c r="F24" s="4">
        <f>IF(('Hampshire Daily'!F27-'Hampshire Daily'!F26&lt;0),"0",('Hampshire Daily'!F27-'Hampshire Daily'!F26))</f>
        <v>489</v>
      </c>
      <c r="G24" s="4">
        <f>IF(('Hampshire Daily'!H27-'Hampshire Daily'!H26&lt;0),"0",('Hampshire Daily'!H27-'Hampshire Daily'!H26))</f>
        <v>15</v>
      </c>
      <c r="H24" s="4">
        <f>IF(('Hampshire Daily'!I27-'Hampshire Daily'!I26&lt;0),"0",('Hampshire Daily'!I27-'Hampshire Daily'!I26))</f>
        <v>1360</v>
      </c>
      <c r="I24" s="4">
        <f>IF(('Hampshire Daily'!J27-'Hampshire Daily'!J26&lt;0),"0",('Hampshire Daily'!J27-'Hampshire Daily'!J26))</f>
        <v>0</v>
      </c>
      <c r="J24" s="4">
        <f>IF(('Hampshire Daily'!K27-'Hampshire Daily'!K26&lt;0),"0",('Hampshire Daily'!K27-'Hampshire Daily'!K26))</f>
        <v>800</v>
      </c>
      <c r="K24" s="4">
        <f>IF(('Hampshire Daily'!L27-'Hampshire Daily'!L26&lt;0),"0",('Hampshire Daily'!L27-'Hampshire Daily'!L26))</f>
        <v>200</v>
      </c>
      <c r="L24" s="4">
        <f>IF(('Hampshire Daily'!M27-'Hampshire Daily'!M26&lt;0),"0",('Hampshire Daily'!M27-'Hampshire Daily'!M26))</f>
        <v>2</v>
      </c>
      <c r="M24" s="4">
        <f>IF(('Hampshire Daily'!N27-'Hampshire Daily'!N26&lt;0),"0",('Hampshire Daily'!N27-'Hampshire Daily'!N26))</f>
        <v>2302</v>
      </c>
      <c r="N24" s="4">
        <f>IF(('Hampshire Daily'!O27-'Hampshire Daily'!O26&lt;0),"0",('Hampshire Daily'!O27-'Hampshire Daily'!O26))</f>
        <v>77</v>
      </c>
      <c r="O24" s="4">
        <f>IF(('Hampshire Daily'!P27-'Hampshire Daily'!P26&lt;0),"0",('Hampshire Daily'!P27-'Hampshire Daily'!P26))</f>
        <v>0</v>
      </c>
      <c r="P24" s="4">
        <f>IF(('Hampshire Daily'!Q27-'Hampshire Daily'!Q26&lt;0),"0",('Hampshire Daily'!Q27-'Hampshire Daily'!Q26))</f>
        <v>0</v>
      </c>
      <c r="Q24" s="4">
        <f>IF(('Hampshire Daily'!R27-'Hampshire Daily'!R26&lt;0),"0",('Hampshire Daily'!R27-'Hampshire Daily'!R26))</f>
        <v>0</v>
      </c>
      <c r="R24" s="4">
        <f>IF(('Hampshire Daily'!U27-'Hampshire Daily'!U26&lt;0),"0",('Hampshire Daily'!U27-'Hampshire Daily'!U26))</f>
        <v>3</v>
      </c>
      <c r="S24" s="4">
        <f>IF(('Hampshire Daily'!V27-'Hampshire Daily'!V26&lt;0),"0",('Hampshire Daily'!V27-'Hampshire Daily'!V26))</f>
        <v>1</v>
      </c>
      <c r="T24" s="4">
        <f>IF(('Hampshire Daily'!W27-'Hampshire Daily'!W26&lt;0),"0",('Hampshire Daily'!W27-'Hampshire Daily'!W26))</f>
        <v>0</v>
      </c>
      <c r="U24" s="4">
        <f>IF(('Hampshire Daily'!X27-'Hampshire Daily'!X26&lt;0),"0",('Hampshire Daily'!X27-'Hampshire Daily'!X26))</f>
        <v>0.14400000000000546</v>
      </c>
      <c r="V24" s="4">
        <f>IF(('Hampshire Daily'!Y27-'Hampshire Daily'!Y26&lt;0),"0",('Hampshire Daily'!Y27-'Hampshire Daily'!Y26))</f>
        <v>0.23899999999991905</v>
      </c>
      <c r="W24" s="4">
        <f>IF(('Hampshire Daily'!Z27-'Hampshire Daily'!Z26&lt;0),"0",('Hampshire Daily'!Z27-'Hampshire Daily'!Z26))</f>
        <v>1.0999999999967258E-2</v>
      </c>
      <c r="X24" s="4">
        <f>IF(('Hampshire Daily'!AA27-'Hampshire Daily'!AA26&lt;0),"0",('Hampshire Daily'!AA27-'Hampshire Daily'!AA26))</f>
        <v>0</v>
      </c>
      <c r="Y24" s="4">
        <f>IF(('Hampshire Daily'!AB27-'Hampshire Daily'!AB26&lt;0),"0",('Hampshire Daily'!AB27-'Hampshire Daily'!AB26))</f>
        <v>5</v>
      </c>
      <c r="Z24" s="4">
        <f>'[1]Hampshire Daily'!C27</f>
        <v>99</v>
      </c>
      <c r="AA24" s="4">
        <f>'[1]Hampshire Daily'!B27</f>
        <v>35</v>
      </c>
    </row>
    <row r="25" spans="1:27" x14ac:dyDescent="0.25">
      <c r="A25" s="3" t="s">
        <v>41</v>
      </c>
      <c r="B25" s="1">
        <f t="shared" si="0"/>
        <v>24</v>
      </c>
      <c r="C25" s="17">
        <v>1</v>
      </c>
      <c r="D25" s="1">
        <v>2021</v>
      </c>
      <c r="E25" s="4">
        <f>IF(('Hampshire Daily'!D28-'Hampshire Daily'!D27&lt;0),"0",('Hampshire Daily'!D28-'Hampshire Daily'!D27))</f>
        <v>975</v>
      </c>
      <c r="F25" s="4">
        <f>IF(('Hampshire Daily'!F28-'Hampshire Daily'!F27&lt;0),"0",('Hampshire Daily'!F28-'Hampshire Daily'!F27))</f>
        <v>842</v>
      </c>
      <c r="G25" s="4">
        <f>IF(('Hampshire Daily'!H28-'Hampshire Daily'!H27&lt;0),"0",('Hampshire Daily'!H28-'Hampshire Daily'!H27))</f>
        <v>0</v>
      </c>
      <c r="H25" s="4">
        <f>IF(('Hampshire Daily'!I28-'Hampshire Daily'!I27&lt;0),"0",('Hampshire Daily'!I28-'Hampshire Daily'!I27))</f>
        <v>1360</v>
      </c>
      <c r="I25" s="4">
        <f>IF(('Hampshire Daily'!J28-'Hampshire Daily'!J27&lt;0),"0",('Hampshire Daily'!J28-'Hampshire Daily'!J27))</f>
        <v>0</v>
      </c>
      <c r="J25" s="4">
        <f>IF(('Hampshire Daily'!K28-'Hampshire Daily'!K27&lt;0),"0",('Hampshire Daily'!K28-'Hampshire Daily'!K27))</f>
        <v>800</v>
      </c>
      <c r="K25" s="4">
        <f>IF(('Hampshire Daily'!L28-'Hampshire Daily'!L27&lt;0),"0",('Hampshire Daily'!L28-'Hampshire Daily'!L27))</f>
        <v>200</v>
      </c>
      <c r="L25" s="4">
        <f>IF(('Hampshire Daily'!M28-'Hampshire Daily'!M27&lt;0),"0",('Hampshire Daily'!M28-'Hampshire Daily'!M27))</f>
        <v>1</v>
      </c>
      <c r="M25" s="4">
        <f>IF(('Hampshire Daily'!N28-'Hampshire Daily'!N27&lt;0),"0",('Hampshire Daily'!N28-'Hampshire Daily'!N27))</f>
        <v>2146</v>
      </c>
      <c r="N25" s="4">
        <f>IF(('Hampshire Daily'!O28-'Hampshire Daily'!O27&lt;0),"0",('Hampshire Daily'!O28-'Hampshire Daily'!O27))</f>
        <v>90</v>
      </c>
      <c r="O25" s="4">
        <f>IF(('Hampshire Daily'!P28-'Hampshire Daily'!P27&lt;0),"0",('Hampshire Daily'!P28-'Hampshire Daily'!P27))</f>
        <v>0</v>
      </c>
      <c r="P25" s="4">
        <f>IF(('Hampshire Daily'!Q28-'Hampshire Daily'!Q27&lt;0),"0",('Hampshire Daily'!Q28-'Hampshire Daily'!Q27))</f>
        <v>0</v>
      </c>
      <c r="Q25" s="4">
        <f>IF(('Hampshire Daily'!R28-'Hampshire Daily'!R27&lt;0),"0",('Hampshire Daily'!R28-'Hampshire Daily'!R27))</f>
        <v>0</v>
      </c>
      <c r="R25" s="4">
        <f>IF(('Hampshire Daily'!U28-'Hampshire Daily'!U27&lt;0),"0",('Hampshire Daily'!U28-'Hampshire Daily'!U27))</f>
        <v>1</v>
      </c>
      <c r="S25" s="4">
        <f>IF(('Hampshire Daily'!V28-'Hampshire Daily'!V27&lt;0),"0",('Hampshire Daily'!V28-'Hampshire Daily'!V27))</f>
        <v>0</v>
      </c>
      <c r="T25" s="4">
        <f>IF(('Hampshire Daily'!W28-'Hampshire Daily'!W27&lt;0),"0",('Hampshire Daily'!W28-'Hampshire Daily'!W27))</f>
        <v>0</v>
      </c>
      <c r="U25" s="4">
        <f>IF(('Hampshire Daily'!X28-'Hampshire Daily'!X27&lt;0),"0",('Hampshire Daily'!X28-'Hampshire Daily'!X27))</f>
        <v>0.14699999999999136</v>
      </c>
      <c r="V25" s="4">
        <f>IF(('Hampshire Daily'!Y28-'Hampshire Daily'!Y27&lt;0),"0",('Hampshire Daily'!Y28-'Hampshire Daily'!Y27))</f>
        <v>0.29700000000002547</v>
      </c>
      <c r="W25" s="4">
        <f>IF(('Hampshire Daily'!Z28-'Hampshire Daily'!Z27&lt;0),"0",('Hampshire Daily'!Z28-'Hampshire Daily'!Z27))</f>
        <v>9.9999999997635314E-3</v>
      </c>
      <c r="X25" s="4">
        <f>IF(('Hampshire Daily'!AA28-'Hampshire Daily'!AA27&lt;0),"0",('Hampshire Daily'!AA28-'Hampshire Daily'!AA27))</f>
        <v>0</v>
      </c>
      <c r="Y25" s="4">
        <f>IF(('Hampshire Daily'!AB28-'Hampshire Daily'!AB27&lt;0),"0",('Hampshire Daily'!AB28-'Hampshire Daily'!AB27))</f>
        <v>2</v>
      </c>
      <c r="Z25" s="4">
        <f>'[1]Hampshire Daily'!C28</f>
        <v>65</v>
      </c>
      <c r="AA25" s="4">
        <f>'[1]Hampshire Daily'!B28</f>
        <v>26</v>
      </c>
    </row>
    <row r="26" spans="1:27" x14ac:dyDescent="0.25">
      <c r="A26" s="3" t="s">
        <v>41</v>
      </c>
      <c r="B26" s="15">
        <f>B25+1</f>
        <v>25</v>
      </c>
      <c r="C26" s="17">
        <v>1</v>
      </c>
      <c r="D26" s="1">
        <v>2021</v>
      </c>
      <c r="E26" s="4">
        <f>IF(('Hampshire Daily'!D29-'Hampshire Daily'!D28&lt;0),"0",('Hampshire Daily'!D29-'Hampshire Daily'!D28))</f>
        <v>807</v>
      </c>
      <c r="F26" s="4">
        <f>IF(('Hampshire Daily'!F29-'Hampshire Daily'!F28&lt;0),"0",('Hampshire Daily'!F29-'Hampshire Daily'!F28))</f>
        <v>171</v>
      </c>
      <c r="G26" s="4">
        <f>IF(('Hampshire Daily'!H29-'Hampshire Daily'!H28&lt;0),"0",('Hampshire Daily'!H29-'Hampshire Daily'!H28))</f>
        <v>27</v>
      </c>
      <c r="H26" s="4">
        <f>IF(('Hampshire Daily'!I29-'Hampshire Daily'!I28&lt;0),"0",('Hampshire Daily'!I29-'Hampshire Daily'!I28))</f>
        <v>1360</v>
      </c>
      <c r="I26" s="4">
        <f>IF(('Hampshire Daily'!J29-'Hampshire Daily'!J28&lt;0),"0",('Hampshire Daily'!J29-'Hampshire Daily'!J28))</f>
        <v>0</v>
      </c>
      <c r="J26" s="4">
        <f>IF(('Hampshire Daily'!K29-'Hampshire Daily'!K28&lt;0),"0",('Hampshire Daily'!K29-'Hampshire Daily'!K28))</f>
        <v>800</v>
      </c>
      <c r="K26" s="4">
        <f>IF(('Hampshire Daily'!L29-'Hampshire Daily'!L28&lt;0),"0",('Hampshire Daily'!L29-'Hampshire Daily'!L28))</f>
        <v>242</v>
      </c>
      <c r="L26" s="4">
        <f>IF(('Hampshire Daily'!M29-'Hampshire Daily'!M28&lt;0),"0",('Hampshire Daily'!M29-'Hampshire Daily'!M28))</f>
        <v>0</v>
      </c>
      <c r="M26" s="4">
        <f>IF(('Hampshire Daily'!N29-'Hampshire Daily'!N28&lt;0),"0",('Hampshire Daily'!N29-'Hampshire Daily'!N28))</f>
        <v>2907</v>
      </c>
      <c r="N26" s="4">
        <f>IF(('Hampshire Daily'!O29-'Hampshire Daily'!O28&lt;0),"0",('Hampshire Daily'!O29-'Hampshire Daily'!O28))</f>
        <v>59</v>
      </c>
      <c r="O26" s="4">
        <f>IF(('Hampshire Daily'!P29-'Hampshire Daily'!P28&lt;0),"0",('Hampshire Daily'!P29-'Hampshire Daily'!P28))</f>
        <v>0</v>
      </c>
      <c r="P26" s="4">
        <f>IF(('Hampshire Daily'!Q29-'Hampshire Daily'!Q28&lt;0),"0",('Hampshire Daily'!Q29-'Hampshire Daily'!Q28))</f>
        <v>0</v>
      </c>
      <c r="Q26" s="4">
        <f>IF(('Hampshire Daily'!R29-'Hampshire Daily'!R28&lt;0),"0",('Hampshire Daily'!R29-'Hampshire Daily'!R28))</f>
        <v>0</v>
      </c>
      <c r="R26" s="4">
        <f>IF(('Hampshire Daily'!U29-'Hampshire Daily'!U28&lt;0),"0",('Hampshire Daily'!U29-'Hampshire Daily'!U28))</f>
        <v>1</v>
      </c>
      <c r="S26" s="4">
        <f>IF(('Hampshire Daily'!V29-'Hampshire Daily'!V28&lt;0),"0",('Hampshire Daily'!V29-'Hampshire Daily'!V28))</f>
        <v>3</v>
      </c>
      <c r="T26" s="4">
        <f>IF(('Hampshire Daily'!W29-'Hampshire Daily'!W28&lt;0),"0",('Hampshire Daily'!W29-'Hampshire Daily'!W28))</f>
        <v>0</v>
      </c>
      <c r="U26" s="4">
        <f>IF(('Hampshire Daily'!X29-'Hampshire Daily'!X28&lt;0),"0",('Hampshire Daily'!X29-'Hampshire Daily'!X28))</f>
        <v>0.15800000000001546</v>
      </c>
      <c r="V26" s="4">
        <f>IF(('Hampshire Daily'!Y29-'Hampshire Daily'!Y28&lt;0),"0",('Hampshire Daily'!Y29-'Hampshire Daily'!Y28))</f>
        <v>0.30200000000002092</v>
      </c>
      <c r="W26" s="4">
        <f>IF(('Hampshire Daily'!Z29-'Hampshire Daily'!Z28&lt;0),"0",('Hampshire Daily'!Z29-'Hampshire Daily'!Z28))</f>
        <v>3.9999999999054126E-3</v>
      </c>
      <c r="X26" s="4">
        <f>IF(('Hampshire Daily'!AA29-'Hampshire Daily'!AA28&lt;0),"0",('Hampshire Daily'!AA29-'Hampshire Daily'!AA28))</f>
        <v>0</v>
      </c>
      <c r="Y26" s="4">
        <f>IF(('Hampshire Daily'!AB29-'Hampshire Daily'!AB28&lt;0),"0",('Hampshire Daily'!AB29-'Hampshire Daily'!AB28))</f>
        <v>7</v>
      </c>
      <c r="Z26" s="4">
        <f>'[1]Hampshire Daily'!C29</f>
        <v>53</v>
      </c>
      <c r="AA26" s="4">
        <f>'[1]Hampshire Daily'!B29</f>
        <v>23</v>
      </c>
    </row>
    <row r="27" spans="1:27" x14ac:dyDescent="0.25">
      <c r="A27" s="3" t="s">
        <v>41</v>
      </c>
      <c r="B27" s="1">
        <f t="shared" si="0"/>
        <v>26</v>
      </c>
      <c r="C27" s="17">
        <v>1</v>
      </c>
      <c r="D27" s="1">
        <v>2021</v>
      </c>
      <c r="E27" s="4">
        <f>IF(('Hampshire Daily'!D30-'Hampshire Daily'!D29&lt;0),"0",('Hampshire Daily'!D30-'Hampshire Daily'!D29))</f>
        <v>950</v>
      </c>
      <c r="F27" s="4">
        <f>IF(('Hampshire Daily'!F30-'Hampshire Daily'!F29&lt;0),"0",('Hampshire Daily'!F30-'Hampshire Daily'!F29))</f>
        <v>391</v>
      </c>
      <c r="G27" s="4">
        <f>IF(('Hampshire Daily'!H30-'Hampshire Daily'!H29&lt;0),"0",('Hampshire Daily'!H30-'Hampshire Daily'!H29))</f>
        <v>4</v>
      </c>
      <c r="H27" s="4">
        <f>IF(('Hampshire Daily'!I30-'Hampshire Daily'!I29&lt;0),"0",('Hampshire Daily'!I30-'Hampshire Daily'!I29))</f>
        <v>1360</v>
      </c>
      <c r="I27" s="4">
        <f>IF(('Hampshire Daily'!J30-'Hampshire Daily'!J29&lt;0),"0",('Hampshire Daily'!J30-'Hampshire Daily'!J29))</f>
        <v>0</v>
      </c>
      <c r="J27" s="4">
        <f>IF(('Hampshire Daily'!K30-'Hampshire Daily'!K29&lt;0),"0",('Hampshire Daily'!K30-'Hampshire Daily'!K29))</f>
        <v>800</v>
      </c>
      <c r="K27" s="4">
        <f>IF(('Hampshire Daily'!L30-'Hampshire Daily'!L29&lt;0),"0",('Hampshire Daily'!L30-'Hampshire Daily'!L29))</f>
        <v>206</v>
      </c>
      <c r="L27" s="4">
        <f>IF(('Hampshire Daily'!M30-'Hampshire Daily'!M29&lt;0),"0",('Hampshire Daily'!M30-'Hampshire Daily'!M29))</f>
        <v>1</v>
      </c>
      <c r="M27" s="4">
        <f>IF(('Hampshire Daily'!N30-'Hampshire Daily'!N29&lt;0),"0",('Hampshire Daily'!N30-'Hampshire Daily'!N29))</f>
        <v>2595</v>
      </c>
      <c r="N27" s="4">
        <f>IF(('Hampshire Daily'!O30-'Hampshire Daily'!O29&lt;0),"0",('Hampshire Daily'!O30-'Hampshire Daily'!O29))</f>
        <v>4</v>
      </c>
      <c r="O27" s="4">
        <f>IF(('Hampshire Daily'!P30-'Hampshire Daily'!P29&lt;0),"0",('Hampshire Daily'!P30-'Hampshire Daily'!P29))</f>
        <v>0</v>
      </c>
      <c r="P27" s="4">
        <f>IF(('Hampshire Daily'!Q30-'Hampshire Daily'!Q29&lt;0),"0",('Hampshire Daily'!Q30-'Hampshire Daily'!Q29))</f>
        <v>0</v>
      </c>
      <c r="Q27" s="4">
        <f>IF(('Hampshire Daily'!R30-'Hampshire Daily'!R29&lt;0),"0",('Hampshire Daily'!R30-'Hampshire Daily'!R29))</f>
        <v>1</v>
      </c>
      <c r="R27" s="4">
        <f>IF(('Hampshire Daily'!U30-'Hampshire Daily'!U29&lt;0),"0",('Hampshire Daily'!U30-'Hampshire Daily'!U29))</f>
        <v>1</v>
      </c>
      <c r="S27" s="4">
        <f>IF(('Hampshire Daily'!V30-'Hampshire Daily'!V29&lt;0),"0",('Hampshire Daily'!V30-'Hampshire Daily'!V29))</f>
        <v>0</v>
      </c>
      <c r="T27" s="4">
        <f>IF(('Hampshire Daily'!W30-'Hampshire Daily'!W29&lt;0),"0",('Hampshire Daily'!W30-'Hampshire Daily'!W29))</f>
        <v>0</v>
      </c>
      <c r="U27" s="4">
        <f>IF(('Hampshire Daily'!X30-'Hampshire Daily'!X29&lt;0),"0",('Hampshire Daily'!X30-'Hampshire Daily'!X29))</f>
        <v>0.23599999999999</v>
      </c>
      <c r="V27" s="4">
        <f>IF(('Hampshire Daily'!Y30-'Hampshire Daily'!Y29&lt;0),"0",('Hampshire Daily'!Y30-'Hampshire Daily'!Y29))</f>
        <v>0.30999999999994543</v>
      </c>
      <c r="W27" s="4">
        <f>IF(('Hampshire Daily'!Z30-'Hampshire Daily'!Z29&lt;0),"0",('Hampshire Daily'!Z30-'Hampshire Daily'!Z29))</f>
        <v>1.0999999999967258E-2</v>
      </c>
      <c r="X27" s="4">
        <f>IF(('Hampshire Daily'!AA30-'Hampshire Daily'!AA29&lt;0),"0",('Hampshire Daily'!AA30-'Hampshire Daily'!AA29))</f>
        <v>0</v>
      </c>
      <c r="Y27" s="4">
        <f>IF(('Hampshire Daily'!AB30-'Hampshire Daily'!AB29&lt;0),"0",('Hampshire Daily'!AB30-'Hampshire Daily'!AB29))</f>
        <v>3</v>
      </c>
      <c r="Z27" s="4">
        <f>'[1]Hampshire Daily'!C30</f>
        <v>1</v>
      </c>
      <c r="AA27" s="4">
        <f>'[1]Hampshire Daily'!B30</f>
        <v>1</v>
      </c>
    </row>
    <row r="28" spans="1:27" x14ac:dyDescent="0.25">
      <c r="A28" s="3" t="s">
        <v>41</v>
      </c>
      <c r="B28" s="1">
        <f t="shared" si="0"/>
        <v>27</v>
      </c>
      <c r="C28" s="17">
        <v>1</v>
      </c>
      <c r="D28" s="1">
        <v>2021</v>
      </c>
      <c r="E28" s="4">
        <f>IF(('Hampshire Daily'!D31-'Hampshire Daily'!D30&lt;0),"0",('Hampshire Daily'!D31-'Hampshire Daily'!D30))</f>
        <v>968</v>
      </c>
      <c r="F28" s="4">
        <f>IF(('Hampshire Daily'!F31-'Hampshire Daily'!F30&lt;0),"0",('Hampshire Daily'!F31-'Hampshire Daily'!F30))</f>
        <v>306</v>
      </c>
      <c r="G28" s="4">
        <f>IF(('Hampshire Daily'!H31-'Hampshire Daily'!H30&lt;0),"0",('Hampshire Daily'!H31-'Hampshire Daily'!H30))</f>
        <v>8</v>
      </c>
      <c r="H28" s="4">
        <f>IF(('Hampshire Daily'!I31-'Hampshire Daily'!I30&lt;0),"0",('Hampshire Daily'!I31-'Hampshire Daily'!I30))</f>
        <v>1360</v>
      </c>
      <c r="I28" s="4">
        <f>IF(('Hampshire Daily'!J31-'Hampshire Daily'!J30&lt;0),"0",('Hampshire Daily'!J31-'Hampshire Daily'!J30))</f>
        <v>0</v>
      </c>
      <c r="J28" s="4">
        <f>IF(('Hampshire Daily'!K31-'Hampshire Daily'!K30&lt;0),"0",('Hampshire Daily'!K31-'Hampshire Daily'!K30))</f>
        <v>800</v>
      </c>
      <c r="K28" s="4">
        <f>IF(('Hampshire Daily'!L31-'Hampshire Daily'!L30&lt;0),"0",('Hampshire Daily'!L31-'Hampshire Daily'!L30))</f>
        <v>175</v>
      </c>
      <c r="L28" s="4">
        <f>IF(('Hampshire Daily'!M31-'Hampshire Daily'!M30&lt;0),"0",('Hampshire Daily'!M31-'Hampshire Daily'!M30))</f>
        <v>28</v>
      </c>
      <c r="M28" s="4">
        <f>IF(('Hampshire Daily'!N31-'Hampshire Daily'!N30&lt;0),"0",('Hampshire Daily'!N31-'Hampshire Daily'!N30))</f>
        <v>2088</v>
      </c>
      <c r="N28" s="4">
        <f>IF(('Hampshire Daily'!O31-'Hampshire Daily'!O30&lt;0),"0",('Hampshire Daily'!O31-'Hampshire Daily'!O30))</f>
        <v>106</v>
      </c>
      <c r="O28" s="4">
        <f>IF(('Hampshire Daily'!P31-'Hampshire Daily'!P30&lt;0),"0",('Hampshire Daily'!P31-'Hampshire Daily'!P30))</f>
        <v>0</v>
      </c>
      <c r="P28" s="4">
        <f>IF(('Hampshire Daily'!Q31-'Hampshire Daily'!Q30&lt;0),"0",('Hampshire Daily'!Q31-'Hampshire Daily'!Q30))</f>
        <v>87</v>
      </c>
      <c r="Q28" s="4">
        <f>IF(('Hampshire Daily'!R31-'Hampshire Daily'!R30&lt;0),"0",('Hampshire Daily'!R31-'Hampshire Daily'!R30))</f>
        <v>0</v>
      </c>
      <c r="R28" s="4">
        <f>IF(('Hampshire Daily'!U31-'Hampshire Daily'!U30&lt;0),"0",('Hampshire Daily'!U31-'Hampshire Daily'!U30))</f>
        <v>1</v>
      </c>
      <c r="S28" s="4">
        <f>IF(('Hampshire Daily'!V31-'Hampshire Daily'!V30&lt;0),"0",('Hampshire Daily'!V31-'Hampshire Daily'!V30))</f>
        <v>0</v>
      </c>
      <c r="T28" s="4">
        <f>IF(('Hampshire Daily'!W31-'Hampshire Daily'!W30&lt;0),"0",('Hampshire Daily'!W31-'Hampshire Daily'!W30))</f>
        <v>0</v>
      </c>
      <c r="U28" s="4">
        <f>IF(('Hampshire Daily'!X31-'Hampshire Daily'!X30&lt;0),"0",('Hampshire Daily'!X31-'Hampshire Daily'!X30))</f>
        <v>0.11299999999999955</v>
      </c>
      <c r="V28" s="4">
        <f>IF(('Hampshire Daily'!Y31-'Hampshire Daily'!Y30&lt;0),"0",('Hampshire Daily'!Y31-'Hampshire Daily'!Y30))</f>
        <v>0.21800000000007458</v>
      </c>
      <c r="W28" s="4">
        <f>IF(('Hampshire Daily'!Z31-'Hampshire Daily'!Z30&lt;0),"0",('Hampshire Daily'!Z31-'Hampshire Daily'!Z30))</f>
        <v>1.5000000000327418E-2</v>
      </c>
      <c r="X28" s="4">
        <f>IF(('Hampshire Daily'!AA31-'Hampshire Daily'!AA30&lt;0),"0",('Hampshire Daily'!AA31-'Hampshire Daily'!AA30))</f>
        <v>0</v>
      </c>
      <c r="Y28" s="4">
        <f>IF(('Hampshire Daily'!AB31-'Hampshire Daily'!AB30&lt;0),"0",('Hampshire Daily'!AB31-'Hampshire Daily'!AB30))</f>
        <v>5</v>
      </c>
      <c r="Z28" s="4">
        <f>'[1]Hampshire Daily'!C31</f>
        <v>1</v>
      </c>
      <c r="AA28" s="4">
        <f>'[1]Hampshire Daily'!B31</f>
        <v>1</v>
      </c>
    </row>
    <row r="29" spans="1:27" x14ac:dyDescent="0.25">
      <c r="A29" s="3" t="s">
        <v>41</v>
      </c>
      <c r="B29" s="1">
        <f t="shared" si="0"/>
        <v>28</v>
      </c>
      <c r="C29" s="17">
        <v>1</v>
      </c>
      <c r="D29" s="1">
        <v>2021</v>
      </c>
      <c r="E29" s="4">
        <f>IF(('Hampshire Daily'!D32-'Hampshire Daily'!D31&lt;0),"0",('Hampshire Daily'!D32-'Hampshire Daily'!D31))</f>
        <v>1183</v>
      </c>
      <c r="F29" s="4">
        <f>IF(('Hampshire Daily'!F32-'Hampshire Daily'!F31&lt;0),"0",('Hampshire Daily'!F32-'Hampshire Daily'!F31))</f>
        <v>1883</v>
      </c>
      <c r="G29" s="4">
        <f>IF(('Hampshire Daily'!H32-'Hampshire Daily'!H31&lt;0),"0",('Hampshire Daily'!H32-'Hampshire Daily'!H31))</f>
        <v>364</v>
      </c>
      <c r="H29" s="4">
        <f>IF(('Hampshire Daily'!I32-'Hampshire Daily'!I31&lt;0),"0",('Hampshire Daily'!I32-'Hampshire Daily'!I31))</f>
        <v>1463</v>
      </c>
      <c r="I29" s="4">
        <f>IF(('Hampshire Daily'!J32-'Hampshire Daily'!J31&lt;0),"0",('Hampshire Daily'!J32-'Hampshire Daily'!J31))</f>
        <v>0</v>
      </c>
      <c r="J29" s="4">
        <f>IF(('Hampshire Daily'!K32-'Hampshire Daily'!K31&lt;0),"0",('Hampshire Daily'!K32-'Hampshire Daily'!K31))</f>
        <v>828</v>
      </c>
      <c r="K29" s="4">
        <f>IF(('Hampshire Daily'!L32-'Hampshire Daily'!L31&lt;0),"0",('Hampshire Daily'!L32-'Hampshire Daily'!L31))</f>
        <v>200</v>
      </c>
      <c r="L29" s="4">
        <f>IF(('Hampshire Daily'!M32-'Hampshire Daily'!M31&lt;0),"0",('Hampshire Daily'!M32-'Hampshire Daily'!M31))</f>
        <v>56</v>
      </c>
      <c r="M29" s="4">
        <f>IF(('Hampshire Daily'!N32-'Hampshire Daily'!N31&lt;0),"0",('Hampshire Daily'!N32-'Hampshire Daily'!N31))</f>
        <v>1859</v>
      </c>
      <c r="N29" s="4">
        <f>IF(('Hampshire Daily'!O32-'Hampshire Daily'!O31&lt;0),"0",('Hampshire Daily'!O32-'Hampshire Daily'!O31))</f>
        <v>28</v>
      </c>
      <c r="O29" s="4">
        <f>IF(('Hampshire Daily'!P32-'Hampshire Daily'!P31&lt;0),"0",('Hampshire Daily'!P32-'Hampshire Daily'!P31))</f>
        <v>0</v>
      </c>
      <c r="P29" s="4">
        <f>IF(('Hampshire Daily'!Q32-'Hampshire Daily'!Q31&lt;0),"0",('Hampshire Daily'!Q32-'Hampshire Daily'!Q31))</f>
        <v>151</v>
      </c>
      <c r="Q29" s="4">
        <f>IF(('Hampshire Daily'!R32-'Hampshire Daily'!R31&lt;0),"0",('Hampshire Daily'!R32-'Hampshire Daily'!R31))</f>
        <v>0</v>
      </c>
      <c r="R29" s="4">
        <f>IF(('Hampshire Daily'!U32-'Hampshire Daily'!U31&lt;0),"0",('Hampshire Daily'!U32-'Hampshire Daily'!U31))</f>
        <v>1</v>
      </c>
      <c r="S29" s="4">
        <f>IF(('Hampshire Daily'!V32-'Hampshire Daily'!V31&lt;0),"0",('Hampshire Daily'!V32-'Hampshire Daily'!V31))</f>
        <v>0</v>
      </c>
      <c r="T29" s="4">
        <f>IF(('Hampshire Daily'!W32-'Hampshire Daily'!W31&lt;0),"0",('Hampshire Daily'!W32-'Hampshire Daily'!W31))</f>
        <v>0</v>
      </c>
      <c r="U29" s="4">
        <f>IF(('Hampshire Daily'!X32-'Hampshire Daily'!X31&lt;0),"0",('Hampshire Daily'!X32-'Hampshire Daily'!X31))</f>
        <v>9.6000000000003638E-2</v>
      </c>
      <c r="V29" s="4">
        <f>IF(('Hampshire Daily'!Y32-'Hampshire Daily'!Y31&lt;0),"0",('Hampshire Daily'!Y32-'Hampshire Daily'!Y31))</f>
        <v>0.2680000000000291</v>
      </c>
      <c r="W29" s="4">
        <f>IF(('Hampshire Daily'!Z32-'Hampshire Daily'!Z31&lt;0),"0",('Hampshire Daily'!Z32-'Hampshire Daily'!Z31))</f>
        <v>1.0999999999967258E-2</v>
      </c>
      <c r="X29" s="4">
        <f>IF(('Hampshire Daily'!AA32-'Hampshire Daily'!AA31&lt;0),"0",('Hampshire Daily'!AA32-'Hampshire Daily'!AA31))</f>
        <v>0</v>
      </c>
      <c r="Y29" s="4">
        <f>IF(('Hampshire Daily'!AB32-'Hampshire Daily'!AB31&lt;0),"0",('Hampshire Daily'!AB32-'Hampshire Daily'!AB31))</f>
        <v>3</v>
      </c>
      <c r="Z29" s="4">
        <f>'[1]Hampshire Daily'!C32</f>
        <v>7</v>
      </c>
      <c r="AA29" s="4">
        <f>'[1]Hampshire Daily'!B32</f>
        <v>7</v>
      </c>
    </row>
    <row r="30" spans="1:27" x14ac:dyDescent="0.25">
      <c r="A30" s="3" t="s">
        <v>41</v>
      </c>
      <c r="B30" s="1">
        <f t="shared" si="0"/>
        <v>29</v>
      </c>
      <c r="C30" s="17">
        <v>1</v>
      </c>
      <c r="D30" s="1">
        <v>2021</v>
      </c>
      <c r="E30" s="4">
        <f>IF(('Hampshire Daily'!D33-'Hampshire Daily'!D32&lt;0),"0",('Hampshire Daily'!D33-'Hampshire Daily'!D32))</f>
        <v>1151</v>
      </c>
      <c r="F30" s="4">
        <f>IF(('Hampshire Daily'!F33-'Hampshire Daily'!F32&lt;0),"0",('Hampshire Daily'!F33-'Hampshire Daily'!F32))</f>
        <v>377</v>
      </c>
      <c r="G30" s="4">
        <f>IF(('Hampshire Daily'!H33-'Hampshire Daily'!H32&lt;0),"0",('Hampshire Daily'!H33-'Hampshire Daily'!H32))</f>
        <v>16</v>
      </c>
      <c r="H30" s="4">
        <f>IF(('Hampshire Daily'!I33-'Hampshire Daily'!I32&lt;0),"0",('Hampshire Daily'!I33-'Hampshire Daily'!I32))</f>
        <v>1474</v>
      </c>
      <c r="I30" s="4">
        <f>IF(('Hampshire Daily'!J33-'Hampshire Daily'!J32&lt;0),"0",('Hampshire Daily'!J33-'Hampshire Daily'!J32))</f>
        <v>0</v>
      </c>
      <c r="J30" s="4">
        <f>IF(('Hampshire Daily'!K33-'Hampshire Daily'!K32&lt;0),"0",('Hampshire Daily'!K33-'Hampshire Daily'!K32))</f>
        <v>686</v>
      </c>
      <c r="K30" s="4">
        <f>IF(('Hampshire Daily'!L33-'Hampshire Daily'!L32&lt;0),"0",('Hampshire Daily'!L33-'Hampshire Daily'!L32))</f>
        <v>172</v>
      </c>
      <c r="L30" s="4">
        <f>IF(('Hampshire Daily'!M33-'Hampshire Daily'!M32&lt;0),"0",('Hampshire Daily'!M33-'Hampshire Daily'!M32))</f>
        <v>29</v>
      </c>
      <c r="M30" s="4">
        <f>IF(('Hampshire Daily'!N33-'Hampshire Daily'!N32&lt;0),"0",('Hampshire Daily'!N33-'Hampshire Daily'!N32))</f>
        <v>2090</v>
      </c>
      <c r="N30" s="4">
        <f>IF(('Hampshire Daily'!O33-'Hampshire Daily'!O32&lt;0),"0",('Hampshire Daily'!O33-'Hampshire Daily'!O32))</f>
        <v>22</v>
      </c>
      <c r="O30" s="4">
        <f>IF(('Hampshire Daily'!P33-'Hampshire Daily'!P32&lt;0),"0",('Hampshire Daily'!P33-'Hampshire Daily'!P32))</f>
        <v>0</v>
      </c>
      <c r="P30" s="4">
        <f>IF(('Hampshire Daily'!Q33-'Hampshire Daily'!Q32&lt;0),"0",('Hampshire Daily'!Q33-'Hampshire Daily'!Q32))</f>
        <v>171</v>
      </c>
      <c r="Q30" s="4">
        <f>IF(('Hampshire Daily'!R33-'Hampshire Daily'!R32&lt;0),"0",('Hampshire Daily'!R33-'Hampshire Daily'!R32))</f>
        <v>0</v>
      </c>
      <c r="R30" s="4">
        <f>IF(('Hampshire Daily'!U33-'Hampshire Daily'!U32&lt;0),"0",('Hampshire Daily'!U33-'Hampshire Daily'!U32))</f>
        <v>2</v>
      </c>
      <c r="S30" s="4">
        <f>IF(('Hampshire Daily'!V33-'Hampshire Daily'!V32&lt;0),"0",('Hampshire Daily'!V33-'Hampshire Daily'!V32))</f>
        <v>0</v>
      </c>
      <c r="T30" s="4">
        <f>IF(('Hampshire Daily'!W33-'Hampshire Daily'!W32&lt;0),"0",('Hampshire Daily'!W33-'Hampshire Daily'!W32))</f>
        <v>0</v>
      </c>
      <c r="U30" s="4">
        <f>IF(('Hampshire Daily'!X33-'Hampshire Daily'!X32&lt;0),"0",('Hampshire Daily'!X33-'Hampshire Daily'!X32))</f>
        <v>0.10599999999999454</v>
      </c>
      <c r="V30" s="4">
        <f>IF(('Hampshire Daily'!Y33-'Hampshire Daily'!Y32&lt;0),"0",('Hampshire Daily'!Y33-'Hampshire Daily'!Y32))</f>
        <v>8.2999999999969987E-2</v>
      </c>
      <c r="W30" s="4">
        <f>IF(('Hampshire Daily'!Z33-'Hampshire Daily'!Z32&lt;0),"0",('Hampshire Daily'!Z33-'Hampshire Daily'!Z32))</f>
        <v>1.0999999999967258E-2</v>
      </c>
      <c r="X30" s="4">
        <f>IF(('Hampshire Daily'!AA33-'Hampshire Daily'!AA32&lt;0),"0",('Hampshire Daily'!AA33-'Hampshire Daily'!AA32))</f>
        <v>0</v>
      </c>
      <c r="Y30" s="4">
        <f>IF(('Hampshire Daily'!AB33-'Hampshire Daily'!AB32&lt;0),"0",('Hampshire Daily'!AB33-'Hampshire Daily'!AB32))</f>
        <v>2</v>
      </c>
      <c r="Z30" s="4">
        <f>'[1]Hampshire Daily'!C33</f>
        <v>12</v>
      </c>
      <c r="AA30" s="4">
        <f>'[1]Hampshire Daily'!B33</f>
        <v>12</v>
      </c>
    </row>
    <row r="31" spans="1:27" x14ac:dyDescent="0.25">
      <c r="A31" s="3" t="s">
        <v>41</v>
      </c>
      <c r="B31" s="1">
        <f t="shared" si="0"/>
        <v>30</v>
      </c>
      <c r="C31" s="17">
        <v>1</v>
      </c>
      <c r="D31" s="1">
        <v>2021</v>
      </c>
      <c r="E31" s="4">
        <f>IF(('Hampshire Daily'!D34-'Hampshire Daily'!D33&lt;0),"0",('Hampshire Daily'!D34-'Hampshire Daily'!D33))</f>
        <v>1057</v>
      </c>
      <c r="F31" s="4">
        <f>IF(('Hampshire Daily'!F34-'Hampshire Daily'!F33&lt;0),"0",('Hampshire Daily'!F34-'Hampshire Daily'!F33))</f>
        <v>392</v>
      </c>
      <c r="G31" s="4">
        <f>IF(('Hampshire Daily'!H34-'Hampshire Daily'!H33&lt;0),"0",('Hampshire Daily'!H34-'Hampshire Daily'!H33))</f>
        <v>24</v>
      </c>
      <c r="H31" s="4">
        <f>IF(('Hampshire Daily'!I34-'Hampshire Daily'!I33&lt;0),"0",('Hampshire Daily'!I34-'Hampshire Daily'!I33))</f>
        <v>1360</v>
      </c>
      <c r="I31" s="4">
        <f>IF(('Hampshire Daily'!J34-'Hampshire Daily'!J33&lt;0),"0",('Hampshire Daily'!J34-'Hampshire Daily'!J33))</f>
        <v>0</v>
      </c>
      <c r="J31" s="4">
        <f>IF(('Hampshire Daily'!K34-'Hampshire Daily'!K33&lt;0),"0",('Hampshire Daily'!K34-'Hampshire Daily'!K33))</f>
        <v>650</v>
      </c>
      <c r="K31" s="4">
        <f>IF(('Hampshire Daily'!L34-'Hampshire Daily'!L33&lt;0),"0",('Hampshire Daily'!L34-'Hampshire Daily'!L33))</f>
        <v>200</v>
      </c>
      <c r="L31" s="4">
        <f>IF(('Hampshire Daily'!M34-'Hampshire Daily'!M33&lt;0),"0",('Hampshire Daily'!M34-'Hampshire Daily'!M33))</f>
        <v>28</v>
      </c>
      <c r="M31" s="4">
        <f>IF(('Hampshire Daily'!N34-'Hampshire Daily'!N33&lt;0),"0",('Hampshire Daily'!N34-'Hampshire Daily'!N33))</f>
        <v>2055</v>
      </c>
      <c r="N31" s="4">
        <f>IF(('Hampshire Daily'!O34-'Hampshire Daily'!O33&lt;0),"0",('Hampshire Daily'!O34-'Hampshire Daily'!O33))</f>
        <v>41</v>
      </c>
      <c r="O31" s="4">
        <f>IF(('Hampshire Daily'!P34-'Hampshire Daily'!P33&lt;0),"0",('Hampshire Daily'!P34-'Hampshire Daily'!P33))</f>
        <v>0</v>
      </c>
      <c r="P31" s="4">
        <f>IF(('Hampshire Daily'!Q34-'Hampshire Daily'!Q33&lt;0),"0",('Hampshire Daily'!Q34-'Hampshire Daily'!Q33))</f>
        <v>152</v>
      </c>
      <c r="Q31" s="4">
        <f>IF(('Hampshire Daily'!R34-'Hampshire Daily'!R33&lt;0),"0",('Hampshire Daily'!R34-'Hampshire Daily'!R33))</f>
        <v>0</v>
      </c>
      <c r="R31" s="4">
        <f>IF(('Hampshire Daily'!U34-'Hampshire Daily'!U33&lt;0),"0",('Hampshire Daily'!U34-'Hampshire Daily'!U33))</f>
        <v>2</v>
      </c>
      <c r="S31" s="4">
        <f>IF(('Hampshire Daily'!V34-'Hampshire Daily'!V33&lt;0),"0",('Hampshire Daily'!V34-'Hampshire Daily'!V33))</f>
        <v>0</v>
      </c>
      <c r="T31" s="4">
        <f>IF(('Hampshire Daily'!W34-'Hampshire Daily'!W33&lt;0),"0",('Hampshire Daily'!W34-'Hampshire Daily'!W33))</f>
        <v>0</v>
      </c>
      <c r="U31" s="4">
        <f>IF(('Hampshire Daily'!X34-'Hampshire Daily'!X33&lt;0),"0",('Hampshire Daily'!X34-'Hampshire Daily'!X33))</f>
        <v>0.1069999999999709</v>
      </c>
      <c r="V31" s="4">
        <f>IF(('Hampshire Daily'!Y34-'Hampshire Daily'!Y33&lt;0),"0",('Hampshire Daily'!Y34-'Hampshire Daily'!Y33))</f>
        <v>6.8999999999959982E-2</v>
      </c>
      <c r="W31" s="4">
        <f>IF(('Hampshire Daily'!Z34-'Hampshire Daily'!Z33&lt;0),"0",('Hampshire Daily'!Z34-'Hampshire Daily'!Z33))</f>
        <v>1.0999999999967258E-2</v>
      </c>
      <c r="X31" s="4">
        <f>IF(('Hampshire Daily'!AA34-'Hampshire Daily'!AA33&lt;0),"0",('Hampshire Daily'!AA34-'Hampshire Daily'!AA33))</f>
        <v>0</v>
      </c>
      <c r="Y31" s="4">
        <f>IF(('Hampshire Daily'!AB34-'Hampshire Daily'!AB33&lt;0),"0",('Hampshire Daily'!AB34-'Hampshire Daily'!AB33))</f>
        <v>3</v>
      </c>
      <c r="Z31" s="4">
        <f>'[1]Hampshire Daily'!C34</f>
        <v>12</v>
      </c>
      <c r="AA31" s="4">
        <f>'[1]Hampshire Daily'!B34</f>
        <v>12</v>
      </c>
    </row>
    <row r="32" spans="1:27" x14ac:dyDescent="0.25">
      <c r="A32" s="3" t="s">
        <v>41</v>
      </c>
      <c r="B32" s="1">
        <f t="shared" si="0"/>
        <v>31</v>
      </c>
      <c r="C32" s="17">
        <v>1</v>
      </c>
      <c r="D32" s="1">
        <v>2021</v>
      </c>
      <c r="E32" s="4">
        <f>IF(('Hampshire Daily'!D35-'Hampshire Daily'!D34&lt;0),"0",('Hampshire Daily'!D35-'Hampshire Daily'!D34))</f>
        <v>908</v>
      </c>
      <c r="F32" s="4">
        <f>IF(('Hampshire Daily'!F35-'Hampshire Daily'!F34&lt;0),"0",('Hampshire Daily'!F35-'Hampshire Daily'!F34))</f>
        <v>331</v>
      </c>
      <c r="G32" s="4">
        <f>IF(('Hampshire Daily'!H35-'Hampshire Daily'!H34&lt;0),"0",('Hampshire Daily'!H35-'Hampshire Daily'!H34))</f>
        <v>13</v>
      </c>
      <c r="H32" s="4">
        <f>IF(('Hampshire Daily'!I35-'Hampshire Daily'!I34&lt;0),"0",('Hampshire Daily'!I35-'Hampshire Daily'!I34))</f>
        <v>1273</v>
      </c>
      <c r="I32" s="4">
        <f>IF(('Hampshire Daily'!J35-'Hampshire Daily'!J34&lt;0),"0",('Hampshire Daily'!J35-'Hampshire Daily'!J34))</f>
        <v>0</v>
      </c>
      <c r="J32" s="4">
        <f>IF(('Hampshire Daily'!K35-'Hampshire Daily'!K34&lt;0),"0",('Hampshire Daily'!K35-'Hampshire Daily'!K34))</f>
        <v>650</v>
      </c>
      <c r="K32" s="4">
        <f>IF(('Hampshire Daily'!L35-'Hampshire Daily'!L34&lt;0),"0",('Hampshire Daily'!L35-'Hampshire Daily'!L34))</f>
        <v>143</v>
      </c>
      <c r="L32" s="4">
        <f>IF(('Hampshire Daily'!M35-'Hampshire Daily'!M34&lt;0),"0",('Hampshire Daily'!M35-'Hampshire Daily'!M34))</f>
        <v>17</v>
      </c>
      <c r="M32" s="4">
        <f>IF(('Hampshire Daily'!N35-'Hampshire Daily'!N34&lt;0),"0",('Hampshire Daily'!N35-'Hampshire Daily'!N34))</f>
        <v>2321</v>
      </c>
      <c r="N32" s="4">
        <f>IF(('Hampshire Daily'!O35-'Hampshire Daily'!O34&lt;0),"0",('Hampshire Daily'!O35-'Hampshire Daily'!O34))</f>
        <v>42</v>
      </c>
      <c r="O32" s="4">
        <f>IF(('Hampshire Daily'!P35-'Hampshire Daily'!P34&lt;0),"0",('Hampshire Daily'!P35-'Hampshire Daily'!P34))</f>
        <v>0</v>
      </c>
      <c r="P32" s="4">
        <f>IF(('Hampshire Daily'!Q35-'Hampshire Daily'!Q34&lt;0),"0",('Hampshire Daily'!Q35-'Hampshire Daily'!Q34))</f>
        <v>101</v>
      </c>
      <c r="Q32" s="4">
        <f>IF(('Hampshire Daily'!R35-'Hampshire Daily'!R34&lt;0),"0",('Hampshire Daily'!R35-'Hampshire Daily'!R34))</f>
        <v>0</v>
      </c>
      <c r="R32" s="4">
        <f>IF(('Hampshire Daily'!U35-'Hampshire Daily'!U34&lt;0),"0",('Hampshire Daily'!U35-'Hampshire Daily'!U34))</f>
        <v>0</v>
      </c>
      <c r="S32" s="4">
        <f>IF(('Hampshire Daily'!V35-'Hampshire Daily'!V34&lt;0),"0",('Hampshire Daily'!V35-'Hampshire Daily'!V34))</f>
        <v>0</v>
      </c>
      <c r="T32" s="4">
        <f>IF(('Hampshire Daily'!W35-'Hampshire Daily'!W34&lt;0),"0",('Hampshire Daily'!W35-'Hampshire Daily'!W34))</f>
        <v>0</v>
      </c>
      <c r="U32" s="4">
        <f>IF(('Hampshire Daily'!X35-'Hampshire Daily'!X34&lt;0),"0",('Hampshire Daily'!X35-'Hampshire Daily'!X34))</f>
        <v>0.1430000000000291</v>
      </c>
      <c r="V32" s="4">
        <f>IF(('Hampshire Daily'!Y35-'Hampshire Daily'!Y34&lt;0),"0",('Hampshire Daily'!Y35-'Hampshire Daily'!Y34))</f>
        <v>0.14499999999998181</v>
      </c>
      <c r="W32" s="4">
        <f>IF(('Hampshire Daily'!Z35-'Hampshire Daily'!Z34&lt;0),"0",('Hampshire Daily'!Z35-'Hampshire Daily'!Z34))</f>
        <v>1.0000000000218279E-2</v>
      </c>
      <c r="X32" s="4">
        <f>IF(('Hampshire Daily'!AA35-'Hampshire Daily'!AA34&lt;0),"0",('Hampshire Daily'!AA35-'Hampshire Daily'!AA34))</f>
        <v>0</v>
      </c>
      <c r="Y32" s="4">
        <f>IF(('Hampshire Daily'!AB35-'Hampshire Daily'!AB34&lt;0),"0",('Hampshire Daily'!AB35-'Hampshire Daily'!AB34))</f>
        <v>3</v>
      </c>
      <c r="Z32" s="4">
        <f>'[1]Hampshire Daily'!C35</f>
        <v>12</v>
      </c>
      <c r="AA32" s="4">
        <f>'[1]Hampshire Daily'!B35</f>
        <v>12</v>
      </c>
    </row>
  </sheetData>
  <pageMargins left="0.7" right="0.7" top="0.75" bottom="0.75" header="0.3" footer="0.3"/>
  <pageSetup paperSize="9" orientation="portrait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D37"/>
  <sheetViews>
    <sheetView tabSelected="1" topLeftCell="A2" zoomScaleNormal="100" workbookViewId="0">
      <pane xSplit="1" topLeftCell="E1" activePane="topRight" state="frozen"/>
      <selection pane="topRight" activeCell="AD16" sqref="AD16"/>
    </sheetView>
  </sheetViews>
  <sheetFormatPr defaultRowHeight="15" x14ac:dyDescent="0.25"/>
  <cols>
    <col min="1" max="1" width="8.7109375" style="16" customWidth="1"/>
    <col min="2" max="3" width="8.7109375" style="23" customWidth="1"/>
    <col min="26" max="26" width="10.42578125" style="19" bestFit="1" customWidth="1"/>
    <col min="29" max="29" width="10.5703125" customWidth="1"/>
    <col min="30" max="30" width="11.42578125" customWidth="1"/>
  </cols>
  <sheetData>
    <row r="1" spans="1:30" ht="15" customHeight="1" x14ac:dyDescent="0.25">
      <c r="A1" s="29"/>
      <c r="B1" s="22"/>
      <c r="C1" s="22"/>
      <c r="D1" s="32" t="s">
        <v>12</v>
      </c>
      <c r="E1" s="32"/>
      <c r="F1" s="32"/>
      <c r="G1" s="32"/>
      <c r="H1" s="32"/>
      <c r="I1" s="32"/>
      <c r="J1" s="32"/>
      <c r="K1" s="32"/>
      <c r="L1" s="32"/>
      <c r="M1" s="32"/>
      <c r="N1" s="38" t="s">
        <v>13</v>
      </c>
      <c r="O1" s="40" t="s">
        <v>14</v>
      </c>
      <c r="P1" s="27"/>
      <c r="Q1" s="27"/>
      <c r="R1" s="27"/>
      <c r="S1" s="40" t="s">
        <v>15</v>
      </c>
      <c r="T1" s="42"/>
      <c r="U1" s="40" t="s">
        <v>16</v>
      </c>
      <c r="V1" s="48" t="s">
        <v>17</v>
      </c>
      <c r="W1" s="27"/>
      <c r="X1" s="40" t="s">
        <v>18</v>
      </c>
      <c r="Y1" s="40" t="s">
        <v>19</v>
      </c>
      <c r="Z1" s="43" t="s">
        <v>20</v>
      </c>
      <c r="AA1" s="40" t="s">
        <v>56</v>
      </c>
      <c r="AB1" s="49" t="s">
        <v>57</v>
      </c>
    </row>
    <row r="2" spans="1:30" ht="15" customHeight="1" x14ac:dyDescent="0.25">
      <c r="A2" s="30"/>
      <c r="B2" s="35" t="s">
        <v>54</v>
      </c>
      <c r="C2" s="35" t="s">
        <v>55</v>
      </c>
      <c r="D2" s="33" t="s">
        <v>21</v>
      </c>
      <c r="E2" s="33" t="s">
        <v>22</v>
      </c>
      <c r="F2" s="33" t="s">
        <v>23</v>
      </c>
      <c r="G2" s="33" t="s">
        <v>24</v>
      </c>
      <c r="H2" s="33" t="s">
        <v>25</v>
      </c>
      <c r="I2" s="33" t="s">
        <v>26</v>
      </c>
      <c r="J2" s="33" t="s">
        <v>27</v>
      </c>
      <c r="K2" s="33" t="s">
        <v>28</v>
      </c>
      <c r="L2" s="33" t="s">
        <v>29</v>
      </c>
      <c r="M2" s="33" t="s">
        <v>30</v>
      </c>
      <c r="N2" s="39"/>
      <c r="O2" s="40"/>
      <c r="P2" s="27" t="s">
        <v>31</v>
      </c>
      <c r="Q2" s="27" t="s">
        <v>31</v>
      </c>
      <c r="R2" s="27" t="s">
        <v>31</v>
      </c>
      <c r="S2" s="40"/>
      <c r="T2" s="42"/>
      <c r="U2" s="40"/>
      <c r="V2" s="48"/>
      <c r="W2" s="40" t="s">
        <v>32</v>
      </c>
      <c r="X2" s="40"/>
      <c r="Y2" s="40"/>
      <c r="Z2" s="43"/>
      <c r="AA2" s="40"/>
      <c r="AB2" s="51"/>
      <c r="AC2" s="55" t="s">
        <v>59</v>
      </c>
      <c r="AD2" s="55" t="s">
        <v>60</v>
      </c>
    </row>
    <row r="3" spans="1:30" ht="27" customHeight="1" thickBot="1" x14ac:dyDescent="0.3">
      <c r="A3" s="31"/>
      <c r="B3" s="36"/>
      <c r="C3" s="36"/>
      <c r="D3" s="37"/>
      <c r="E3" s="37"/>
      <c r="F3" s="37"/>
      <c r="G3" s="37"/>
      <c r="H3" s="33"/>
      <c r="I3" s="33"/>
      <c r="J3" s="33"/>
      <c r="K3" s="33"/>
      <c r="L3" s="33"/>
      <c r="M3" s="34"/>
      <c r="N3" s="39"/>
      <c r="O3" s="41"/>
      <c r="P3" s="28">
        <v>2</v>
      </c>
      <c r="Q3" s="28">
        <v>3</v>
      </c>
      <c r="R3" s="28">
        <v>4</v>
      </c>
      <c r="S3" s="42"/>
      <c r="T3" s="42"/>
      <c r="U3" s="41"/>
      <c r="V3" s="50"/>
      <c r="W3" s="40"/>
      <c r="X3" s="40"/>
      <c r="Y3" s="40"/>
      <c r="Z3" s="43"/>
      <c r="AA3" s="40"/>
      <c r="AB3" s="52"/>
      <c r="AC3" s="55"/>
      <c r="AD3" s="55"/>
    </row>
    <row r="4" spans="1:30" s="18" customFormat="1" ht="19.899999999999999" customHeight="1" x14ac:dyDescent="0.25">
      <c r="A4" s="20">
        <v>44196</v>
      </c>
      <c r="B4" s="25">
        <v>10</v>
      </c>
      <c r="C4" s="25">
        <v>10</v>
      </c>
      <c r="D4" s="44">
        <v>180160</v>
      </c>
      <c r="E4" s="44">
        <v>180435</v>
      </c>
      <c r="F4" s="44">
        <v>222704</v>
      </c>
      <c r="G4" s="44">
        <v>222463</v>
      </c>
      <c r="H4" s="44">
        <v>207198</v>
      </c>
      <c r="I4" s="44">
        <v>6888817</v>
      </c>
      <c r="J4" s="44">
        <v>31845</v>
      </c>
      <c r="K4" s="44">
        <v>4856745</v>
      </c>
      <c r="L4" s="44">
        <v>612994</v>
      </c>
      <c r="M4" s="44">
        <v>2624717</v>
      </c>
      <c r="N4" s="44">
        <v>688564</v>
      </c>
      <c r="O4" s="44">
        <v>349658</v>
      </c>
      <c r="P4" s="44">
        <v>1471368</v>
      </c>
      <c r="Q4" s="44">
        <v>602986</v>
      </c>
      <c r="R4" s="44">
        <v>672</v>
      </c>
      <c r="S4" s="44">
        <v>327908</v>
      </c>
      <c r="T4" s="44">
        <v>28472</v>
      </c>
      <c r="U4" s="44">
        <v>50186</v>
      </c>
      <c r="V4" s="45">
        <v>30394</v>
      </c>
      <c r="W4" s="46"/>
      <c r="X4" s="47">
        <v>476.88799999999998</v>
      </c>
      <c r="Y4" s="44">
        <v>871.83799999999997</v>
      </c>
      <c r="Z4" s="44">
        <v>3883.3939999999998</v>
      </c>
      <c r="AA4" s="44">
        <v>2153</v>
      </c>
      <c r="AB4" s="45">
        <v>922</v>
      </c>
      <c r="AC4" s="53"/>
      <c r="AD4" s="53"/>
    </row>
    <row r="5" spans="1:30" x14ac:dyDescent="0.25">
      <c r="A5" s="21">
        <v>44197</v>
      </c>
      <c r="B5" s="26">
        <v>10</v>
      </c>
      <c r="C5" s="26">
        <v>10</v>
      </c>
      <c r="D5" s="44">
        <v>181970</v>
      </c>
      <c r="E5" s="44">
        <v>181375</v>
      </c>
      <c r="F5" s="44">
        <v>225181</v>
      </c>
      <c r="G5" s="44">
        <v>224938</v>
      </c>
      <c r="H5" s="44">
        <v>207698</v>
      </c>
      <c r="I5" s="44">
        <f>I4+1360</f>
        <v>6890177</v>
      </c>
      <c r="J5" s="44">
        <v>31845</v>
      </c>
      <c r="K5" s="44">
        <f>K4+800</f>
        <v>4857545</v>
      </c>
      <c r="L5" s="44">
        <v>613217</v>
      </c>
      <c r="M5" s="44">
        <v>2624723</v>
      </c>
      <c r="N5" s="44">
        <v>690909</v>
      </c>
      <c r="O5" s="44">
        <v>349728</v>
      </c>
      <c r="P5" s="44">
        <v>1471368</v>
      </c>
      <c r="Q5" s="44">
        <v>603007</v>
      </c>
      <c r="R5" s="44">
        <v>672</v>
      </c>
      <c r="S5" s="44">
        <v>327958</v>
      </c>
      <c r="T5" s="44">
        <v>28531</v>
      </c>
      <c r="U5" s="44">
        <v>50187</v>
      </c>
      <c r="V5" s="45">
        <v>30394</v>
      </c>
      <c r="W5" s="46"/>
      <c r="X5" s="47">
        <v>476.952</v>
      </c>
      <c r="Y5" s="44">
        <v>872.05399999999997</v>
      </c>
      <c r="Z5" s="44">
        <v>3883.5630000000001</v>
      </c>
      <c r="AA5" s="44">
        <v>2153</v>
      </c>
      <c r="AB5" s="45">
        <v>925</v>
      </c>
      <c r="AC5" s="46"/>
      <c r="AD5" s="46"/>
    </row>
    <row r="6" spans="1:30" x14ac:dyDescent="0.25">
      <c r="A6" s="21">
        <v>44198</v>
      </c>
      <c r="B6" s="26">
        <v>10</v>
      </c>
      <c r="C6" s="26">
        <v>10</v>
      </c>
      <c r="D6" s="44">
        <v>182081</v>
      </c>
      <c r="E6" s="44">
        <v>182360</v>
      </c>
      <c r="F6" s="44">
        <v>228480</v>
      </c>
      <c r="G6" s="44">
        <v>228234</v>
      </c>
      <c r="H6" s="44">
        <v>208788</v>
      </c>
      <c r="I6" s="44">
        <f>I5+1360</f>
        <v>6891537</v>
      </c>
      <c r="J6" s="44">
        <v>31845</v>
      </c>
      <c r="K6" s="44">
        <f>K5+800</f>
        <v>4858345</v>
      </c>
      <c r="L6" s="44">
        <f>L5+171</f>
        <v>613388</v>
      </c>
      <c r="M6" s="44">
        <v>2624736</v>
      </c>
      <c r="N6" s="44">
        <v>692992</v>
      </c>
      <c r="O6" s="44">
        <v>349807</v>
      </c>
      <c r="P6" s="44">
        <v>1471368</v>
      </c>
      <c r="Q6" s="44">
        <v>603062</v>
      </c>
      <c r="R6" s="44">
        <v>672</v>
      </c>
      <c r="S6" s="44">
        <v>328014</v>
      </c>
      <c r="T6" s="44">
        <v>28594</v>
      </c>
      <c r="U6" s="44">
        <v>50189</v>
      </c>
      <c r="V6" s="45">
        <v>30394</v>
      </c>
      <c r="W6" s="46"/>
      <c r="X6" s="47">
        <v>477.04399999999998</v>
      </c>
      <c r="Y6" s="44">
        <v>872.4</v>
      </c>
      <c r="Z6" s="44">
        <v>3883.5770000000002</v>
      </c>
      <c r="AA6" s="44">
        <v>2153</v>
      </c>
      <c r="AB6" s="45">
        <v>927</v>
      </c>
      <c r="AC6" s="46"/>
      <c r="AD6" s="46"/>
    </row>
    <row r="7" spans="1:30" x14ac:dyDescent="0.25">
      <c r="A7" s="21">
        <v>44199</v>
      </c>
      <c r="B7" s="26">
        <v>10</v>
      </c>
      <c r="C7" s="26">
        <v>10</v>
      </c>
      <c r="D7" s="44">
        <v>184834</v>
      </c>
      <c r="E7" s="44">
        <v>185117</v>
      </c>
      <c r="F7" s="44">
        <v>231737</v>
      </c>
      <c r="G7" s="44">
        <v>231486</v>
      </c>
      <c r="H7" s="44">
        <v>209110</v>
      </c>
      <c r="I7" s="44">
        <f>I6+1360</f>
        <v>6892897</v>
      </c>
      <c r="J7" s="44">
        <v>31845</v>
      </c>
      <c r="K7" s="44">
        <f>K6+800</f>
        <v>4859145</v>
      </c>
      <c r="L7" s="44">
        <f>L6+171</f>
        <v>613559</v>
      </c>
      <c r="M7" s="44">
        <v>2625168</v>
      </c>
      <c r="N7" s="44">
        <v>695043</v>
      </c>
      <c r="O7" s="44">
        <v>349875</v>
      </c>
      <c r="P7" s="44">
        <v>1471368</v>
      </c>
      <c r="Q7" s="44">
        <v>603131</v>
      </c>
      <c r="R7" s="44">
        <v>672</v>
      </c>
      <c r="S7" s="44">
        <v>328057</v>
      </c>
      <c r="T7" s="44">
        <v>28646</v>
      </c>
      <c r="U7" s="44">
        <v>50190</v>
      </c>
      <c r="V7" s="45">
        <v>30395</v>
      </c>
      <c r="W7" s="46"/>
      <c r="X7" s="47">
        <v>477.13200000000001</v>
      </c>
      <c r="Y7" s="44">
        <v>872.81500000000005</v>
      </c>
      <c r="Z7" s="44">
        <v>3883.5889999999999</v>
      </c>
      <c r="AA7" s="44">
        <v>2153</v>
      </c>
      <c r="AB7" s="45">
        <v>932</v>
      </c>
      <c r="AC7" s="46"/>
      <c r="AD7" s="46"/>
    </row>
    <row r="8" spans="1:30" x14ac:dyDescent="0.25">
      <c r="A8" s="21">
        <v>44200</v>
      </c>
      <c r="B8" s="26">
        <v>10</v>
      </c>
      <c r="C8" s="26">
        <v>10</v>
      </c>
      <c r="D8" s="44">
        <v>185761</v>
      </c>
      <c r="E8" s="44">
        <v>186045</v>
      </c>
      <c r="F8" s="44">
        <v>233486</v>
      </c>
      <c r="G8" s="44">
        <v>233233</v>
      </c>
      <c r="H8" s="44">
        <v>209437</v>
      </c>
      <c r="I8" s="44">
        <f t="shared" ref="I8:I31" si="0">I7+1360</f>
        <v>6894257</v>
      </c>
      <c r="J8" s="44">
        <v>31845</v>
      </c>
      <c r="K8" s="44">
        <f>K7+800</f>
        <v>4859945</v>
      </c>
      <c r="L8" s="44">
        <f>L7+171</f>
        <v>613730</v>
      </c>
      <c r="M8" s="44">
        <v>2625175</v>
      </c>
      <c r="N8" s="44">
        <v>697168</v>
      </c>
      <c r="O8" s="44">
        <v>349962</v>
      </c>
      <c r="P8" s="44">
        <v>1471368</v>
      </c>
      <c r="Q8" s="44">
        <v>603205</v>
      </c>
      <c r="R8" s="44">
        <v>672</v>
      </c>
      <c r="S8" s="44">
        <v>328103</v>
      </c>
      <c r="T8" s="44">
        <v>28698</v>
      </c>
      <c r="U8" s="44">
        <v>50192</v>
      </c>
      <c r="V8" s="45">
        <v>30396</v>
      </c>
      <c r="W8" s="46"/>
      <c r="X8" s="47">
        <v>477.23099999999999</v>
      </c>
      <c r="Y8" s="44">
        <v>873.15200000000004</v>
      </c>
      <c r="Z8" s="44">
        <v>3883.6019999999999</v>
      </c>
      <c r="AA8" s="44">
        <v>2153</v>
      </c>
      <c r="AB8" s="45">
        <v>935</v>
      </c>
      <c r="AC8" s="46"/>
      <c r="AD8" s="46"/>
    </row>
    <row r="9" spans="1:30" x14ac:dyDescent="0.25">
      <c r="A9" s="21">
        <v>44201</v>
      </c>
      <c r="B9" s="26">
        <v>10</v>
      </c>
      <c r="C9" s="26">
        <v>10</v>
      </c>
      <c r="D9" s="44">
        <v>186758</v>
      </c>
      <c r="E9" s="44">
        <v>187044</v>
      </c>
      <c r="F9" s="44">
        <v>235395</v>
      </c>
      <c r="G9" s="44">
        <v>235139</v>
      </c>
      <c r="H9" s="44">
        <v>209779</v>
      </c>
      <c r="I9" s="44">
        <f t="shared" si="0"/>
        <v>6895617</v>
      </c>
      <c r="J9" s="44">
        <v>31845</v>
      </c>
      <c r="K9" s="44">
        <f>K8+800</f>
        <v>4860745</v>
      </c>
      <c r="L9" s="44">
        <f>L8+201</f>
        <v>613931</v>
      </c>
      <c r="M9" s="44">
        <v>2625175</v>
      </c>
      <c r="N9" s="44">
        <v>699465</v>
      </c>
      <c r="O9" s="44">
        <v>350046</v>
      </c>
      <c r="P9" s="44">
        <v>1471368</v>
      </c>
      <c r="Q9" s="44">
        <v>603273</v>
      </c>
      <c r="R9" s="44">
        <v>672</v>
      </c>
      <c r="S9" s="44">
        <v>328164</v>
      </c>
      <c r="T9" s="44">
        <v>28765</v>
      </c>
      <c r="U9" s="44">
        <v>50195</v>
      </c>
      <c r="V9" s="45">
        <v>30396</v>
      </c>
      <c r="W9" s="46"/>
      <c r="X9" s="47">
        <v>477.36700000000002</v>
      </c>
      <c r="Y9" s="44">
        <v>873.49900000000002</v>
      </c>
      <c r="Z9" s="44">
        <v>3883.6179999999999</v>
      </c>
      <c r="AA9" s="44">
        <v>2153</v>
      </c>
      <c r="AB9" s="45">
        <v>936</v>
      </c>
      <c r="AC9" s="46"/>
      <c r="AD9" s="46"/>
    </row>
    <row r="10" spans="1:30" x14ac:dyDescent="0.25">
      <c r="A10" s="21">
        <v>44202</v>
      </c>
      <c r="B10" s="26">
        <v>10</v>
      </c>
      <c r="C10" s="26">
        <v>10</v>
      </c>
      <c r="D10" s="44">
        <v>188205</v>
      </c>
      <c r="E10" s="44">
        <v>188493</v>
      </c>
      <c r="F10" s="44">
        <v>237449</v>
      </c>
      <c r="G10" s="44">
        <v>237191</v>
      </c>
      <c r="H10" s="44">
        <v>210209</v>
      </c>
      <c r="I10" s="44">
        <f t="shared" si="0"/>
        <v>6896977</v>
      </c>
      <c r="J10" s="44">
        <v>31845</v>
      </c>
      <c r="K10" s="44">
        <f>K9+800</f>
        <v>4861545</v>
      </c>
      <c r="L10" s="44">
        <f>L9+400</f>
        <v>614331</v>
      </c>
      <c r="M10" s="44">
        <v>2625272</v>
      </c>
      <c r="N10" s="44">
        <v>701623</v>
      </c>
      <c r="O10" s="44">
        <v>350101</v>
      </c>
      <c r="P10" s="44">
        <v>1471371</v>
      </c>
      <c r="Q10" s="44">
        <v>603379</v>
      </c>
      <c r="R10" s="44">
        <v>672</v>
      </c>
      <c r="S10" s="44">
        <v>328240</v>
      </c>
      <c r="T10" s="44">
        <v>28846</v>
      </c>
      <c r="U10" s="44">
        <v>50196</v>
      </c>
      <c r="V10" s="45">
        <v>30396</v>
      </c>
      <c r="W10" s="46"/>
      <c r="X10" s="47">
        <v>477.49</v>
      </c>
      <c r="Y10" s="44">
        <v>873.91200000000003</v>
      </c>
      <c r="Z10" s="44">
        <v>3883.6260000000002</v>
      </c>
      <c r="AA10" s="44">
        <v>2153</v>
      </c>
      <c r="AB10" s="45">
        <v>938</v>
      </c>
      <c r="AC10" s="54"/>
      <c r="AD10" s="46"/>
    </row>
    <row r="11" spans="1:30" x14ac:dyDescent="0.25">
      <c r="A11" s="21">
        <v>44203</v>
      </c>
      <c r="B11" s="26">
        <v>10</v>
      </c>
      <c r="C11" s="26">
        <v>10</v>
      </c>
      <c r="D11" s="44">
        <v>189249</v>
      </c>
      <c r="E11" s="44">
        <v>189538</v>
      </c>
      <c r="F11" s="44">
        <v>240087</v>
      </c>
      <c r="G11" s="44">
        <v>239526</v>
      </c>
      <c r="H11" s="44">
        <v>210786</v>
      </c>
      <c r="I11" s="44">
        <f t="shared" si="0"/>
        <v>6898337</v>
      </c>
      <c r="J11" s="44">
        <v>31845</v>
      </c>
      <c r="K11" s="44">
        <f>K10+800</f>
        <v>4862345</v>
      </c>
      <c r="L11" s="44">
        <f>L10+200</f>
        <v>614531</v>
      </c>
      <c r="M11" s="44">
        <v>2625272</v>
      </c>
      <c r="N11" s="44">
        <v>703950</v>
      </c>
      <c r="O11" s="44">
        <v>350191</v>
      </c>
      <c r="P11" s="44">
        <v>1471371</v>
      </c>
      <c r="Q11" s="44">
        <v>603478</v>
      </c>
      <c r="R11" s="44">
        <v>672</v>
      </c>
      <c r="S11" s="44">
        <v>328296</v>
      </c>
      <c r="T11" s="44">
        <v>28908</v>
      </c>
      <c r="U11" s="44">
        <v>50198</v>
      </c>
      <c r="V11" s="45">
        <v>30396</v>
      </c>
      <c r="W11" s="46"/>
      <c r="X11" s="47">
        <v>477.62799999999999</v>
      </c>
      <c r="Y11" s="44">
        <v>874.18899999999996</v>
      </c>
      <c r="Z11" s="44">
        <v>3883.6370000000002</v>
      </c>
      <c r="AA11" s="44">
        <v>2153</v>
      </c>
      <c r="AB11" s="45">
        <v>939</v>
      </c>
      <c r="AC11" s="54"/>
      <c r="AD11" s="46"/>
    </row>
    <row r="12" spans="1:30" x14ac:dyDescent="0.25">
      <c r="A12" s="21">
        <v>44204</v>
      </c>
      <c r="B12" s="26">
        <v>10</v>
      </c>
      <c r="C12" s="26">
        <v>10</v>
      </c>
      <c r="D12" s="44">
        <v>190596</v>
      </c>
      <c r="E12" s="44">
        <v>190887</v>
      </c>
      <c r="F12" s="44">
        <v>243108</v>
      </c>
      <c r="G12" s="44">
        <v>242844</v>
      </c>
      <c r="H12" s="44">
        <v>211503</v>
      </c>
      <c r="I12" s="44">
        <f t="shared" si="0"/>
        <v>6899697</v>
      </c>
      <c r="J12" s="44">
        <v>31845</v>
      </c>
      <c r="K12" s="44">
        <f>K11+800</f>
        <v>4863145</v>
      </c>
      <c r="L12" s="44">
        <v>614917</v>
      </c>
      <c r="M12" s="44">
        <v>2625362</v>
      </c>
      <c r="N12" s="44">
        <v>706157</v>
      </c>
      <c r="O12" s="44">
        <v>350290</v>
      </c>
      <c r="P12" s="44">
        <v>1471371</v>
      </c>
      <c r="Q12" s="44">
        <v>603510</v>
      </c>
      <c r="R12" s="44">
        <v>672</v>
      </c>
      <c r="S12" s="44">
        <v>328349</v>
      </c>
      <c r="T12" s="44">
        <v>28975</v>
      </c>
      <c r="U12" s="44">
        <v>50199</v>
      </c>
      <c r="V12" s="45">
        <v>30396</v>
      </c>
      <c r="W12" s="46"/>
      <c r="X12" s="47">
        <v>477.81400000000002</v>
      </c>
      <c r="Y12" s="44">
        <v>874.55700000000002</v>
      </c>
      <c r="Z12" s="44">
        <v>3883.643</v>
      </c>
      <c r="AA12" s="44">
        <v>2153</v>
      </c>
      <c r="AB12" s="45">
        <v>942</v>
      </c>
      <c r="AC12" s="54"/>
      <c r="AD12" s="46"/>
    </row>
    <row r="13" spans="1:30" x14ac:dyDescent="0.25">
      <c r="A13" s="21">
        <v>44205</v>
      </c>
      <c r="B13" s="26">
        <v>10</v>
      </c>
      <c r="C13" s="26">
        <v>10</v>
      </c>
      <c r="D13" s="44">
        <v>191884</v>
      </c>
      <c r="E13" s="44">
        <v>192177</v>
      </c>
      <c r="F13" s="44">
        <v>246615</v>
      </c>
      <c r="G13" s="44">
        <v>246346</v>
      </c>
      <c r="H13" s="44">
        <v>212379</v>
      </c>
      <c r="I13" s="44">
        <f t="shared" si="0"/>
        <v>6901057</v>
      </c>
      <c r="J13" s="44">
        <v>31845</v>
      </c>
      <c r="K13" s="44">
        <f>K12+800</f>
        <v>4863945</v>
      </c>
      <c r="L13" s="44">
        <f>L12+181</f>
        <v>615098</v>
      </c>
      <c r="M13" s="44">
        <v>2625415</v>
      </c>
      <c r="N13" s="44">
        <v>708689</v>
      </c>
      <c r="O13" s="44">
        <v>350350</v>
      </c>
      <c r="P13" s="44">
        <v>1471371</v>
      </c>
      <c r="Q13" s="44">
        <v>603510</v>
      </c>
      <c r="R13" s="44">
        <v>672</v>
      </c>
      <c r="S13" s="44">
        <v>328397</v>
      </c>
      <c r="T13" s="44">
        <v>29043</v>
      </c>
      <c r="U13" s="44">
        <v>50201</v>
      </c>
      <c r="V13" s="45">
        <v>30396</v>
      </c>
      <c r="W13" s="46"/>
      <c r="X13" s="47">
        <v>478.00400000000002</v>
      </c>
      <c r="Y13" s="44">
        <v>875.24599999999998</v>
      </c>
      <c r="Z13" s="44">
        <v>3883.65</v>
      </c>
      <c r="AA13" s="44">
        <v>2153</v>
      </c>
      <c r="AB13" s="45">
        <v>947</v>
      </c>
      <c r="AC13" s="54"/>
      <c r="AD13" s="46"/>
    </row>
    <row r="14" spans="1:30" x14ac:dyDescent="0.25">
      <c r="A14" s="21">
        <v>44206</v>
      </c>
      <c r="B14" s="26">
        <v>10</v>
      </c>
      <c r="C14" s="26">
        <v>10</v>
      </c>
      <c r="D14" s="44">
        <v>192697</v>
      </c>
      <c r="E14" s="44">
        <v>192991</v>
      </c>
      <c r="F14" s="44">
        <v>249454</v>
      </c>
      <c r="G14" s="44">
        <v>249181</v>
      </c>
      <c r="H14" s="44">
        <v>213172</v>
      </c>
      <c r="I14" s="44">
        <f t="shared" si="0"/>
        <v>6902417</v>
      </c>
      <c r="J14" s="44">
        <v>31845</v>
      </c>
      <c r="K14" s="44">
        <f>K13+800</f>
        <v>4864745</v>
      </c>
      <c r="L14" s="44">
        <f>L13+200</f>
        <v>615298</v>
      </c>
      <c r="M14" s="44">
        <v>2625415</v>
      </c>
      <c r="N14" s="44">
        <v>710558</v>
      </c>
      <c r="O14" s="44">
        <v>350460</v>
      </c>
      <c r="P14" s="44">
        <v>1471371</v>
      </c>
      <c r="Q14" s="44">
        <v>603510</v>
      </c>
      <c r="R14" s="44">
        <v>672</v>
      </c>
      <c r="S14" s="44">
        <v>328426</v>
      </c>
      <c r="T14" s="44">
        <v>29092</v>
      </c>
      <c r="U14" s="44">
        <v>50201</v>
      </c>
      <c r="V14" s="45">
        <v>30396</v>
      </c>
      <c r="W14" s="46"/>
      <c r="X14" s="47">
        <v>478.15199999999999</v>
      </c>
      <c r="Y14" s="44">
        <v>875.70699999999999</v>
      </c>
      <c r="Z14" s="44">
        <v>3883.6610000000001</v>
      </c>
      <c r="AA14" s="44">
        <v>2153</v>
      </c>
      <c r="AB14" s="45">
        <v>950</v>
      </c>
      <c r="AC14" s="54"/>
      <c r="AD14" s="46"/>
    </row>
    <row r="15" spans="1:30" x14ac:dyDescent="0.25">
      <c r="A15" s="21">
        <v>44207</v>
      </c>
      <c r="B15" s="26">
        <v>10</v>
      </c>
      <c r="C15" s="26">
        <v>10</v>
      </c>
      <c r="D15" s="44">
        <v>193661</v>
      </c>
      <c r="E15" s="44">
        <v>193957</v>
      </c>
      <c r="F15" s="44">
        <v>252645</v>
      </c>
      <c r="G15" s="44">
        <v>252369</v>
      </c>
      <c r="H15" s="44">
        <v>213786</v>
      </c>
      <c r="I15" s="44">
        <f t="shared" si="0"/>
        <v>6903777</v>
      </c>
      <c r="J15" s="44">
        <v>31845</v>
      </c>
      <c r="K15" s="44">
        <f>K14+800</f>
        <v>4865545</v>
      </c>
      <c r="L15" s="44">
        <f>L14+191</f>
        <v>615489</v>
      </c>
      <c r="M15" s="44">
        <v>2625415</v>
      </c>
      <c r="N15" s="44">
        <v>712622</v>
      </c>
      <c r="O15" s="44">
        <v>350530</v>
      </c>
      <c r="P15" s="44">
        <v>1471374</v>
      </c>
      <c r="Q15" s="44">
        <v>603510</v>
      </c>
      <c r="R15" s="44">
        <v>672</v>
      </c>
      <c r="S15" s="44">
        <v>328475</v>
      </c>
      <c r="T15" s="44">
        <v>29148</v>
      </c>
      <c r="U15" s="44">
        <v>50204</v>
      </c>
      <c r="V15" s="45">
        <v>30412</v>
      </c>
      <c r="W15" s="46"/>
      <c r="X15" s="47">
        <v>478.32799999999997</v>
      </c>
      <c r="Y15" s="44">
        <v>876.06799999999998</v>
      </c>
      <c r="Z15" s="44">
        <v>3883.6689999999999</v>
      </c>
      <c r="AA15" s="44">
        <v>2153</v>
      </c>
      <c r="AB15" s="45">
        <v>954</v>
      </c>
      <c r="AC15" s="54"/>
      <c r="AD15" s="46"/>
    </row>
    <row r="16" spans="1:30" x14ac:dyDescent="0.25">
      <c r="A16" s="21">
        <v>44208</v>
      </c>
      <c r="B16" s="26">
        <v>10</v>
      </c>
      <c r="C16" s="26">
        <v>10</v>
      </c>
      <c r="D16" s="44">
        <v>194665</v>
      </c>
      <c r="E16" s="44">
        <v>194963</v>
      </c>
      <c r="F16" s="44">
        <v>255253</v>
      </c>
      <c r="G16" s="44">
        <v>254974</v>
      </c>
      <c r="H16" s="44">
        <v>214423</v>
      </c>
      <c r="I16" s="44">
        <f t="shared" si="0"/>
        <v>6905137</v>
      </c>
      <c r="J16" s="44">
        <v>31845</v>
      </c>
      <c r="K16" s="44">
        <f>K15+800</f>
        <v>4866345</v>
      </c>
      <c r="L16" s="44">
        <f>L15+171</f>
        <v>615660</v>
      </c>
      <c r="M16" s="44">
        <v>2625417</v>
      </c>
      <c r="N16" s="44">
        <v>714491</v>
      </c>
      <c r="O16" s="44">
        <v>350605</v>
      </c>
      <c r="P16" s="44">
        <v>1471374</v>
      </c>
      <c r="Q16" s="44">
        <v>603510</v>
      </c>
      <c r="R16" s="44">
        <v>673</v>
      </c>
      <c r="S16" s="44">
        <v>328525</v>
      </c>
      <c r="T16" s="44">
        <v>29205</v>
      </c>
      <c r="U16" s="44">
        <v>50206</v>
      </c>
      <c r="V16" s="45">
        <v>30412</v>
      </c>
      <c r="W16" s="46"/>
      <c r="X16" s="47">
        <v>478.48099999999999</v>
      </c>
      <c r="Y16" s="44">
        <v>876.67100000000005</v>
      </c>
      <c r="Z16" s="44">
        <v>3883.694</v>
      </c>
      <c r="AA16" s="44">
        <v>2153</v>
      </c>
      <c r="AB16" s="45">
        <v>957</v>
      </c>
      <c r="AC16" s="54"/>
      <c r="AD16" s="46"/>
    </row>
    <row r="17" spans="1:30" x14ac:dyDescent="0.25">
      <c r="A17" s="21">
        <v>44209</v>
      </c>
      <c r="B17" s="26">
        <v>10</v>
      </c>
      <c r="C17" s="26">
        <v>10</v>
      </c>
      <c r="D17" s="44">
        <v>196098</v>
      </c>
      <c r="E17" s="44">
        <v>196397</v>
      </c>
      <c r="F17" s="44">
        <v>258334</v>
      </c>
      <c r="G17" s="44">
        <v>258052</v>
      </c>
      <c r="H17" s="44">
        <v>215124</v>
      </c>
      <c r="I17" s="44">
        <f t="shared" si="0"/>
        <v>6906497</v>
      </c>
      <c r="J17" s="44">
        <v>31845</v>
      </c>
      <c r="K17" s="44">
        <f>K16+800</f>
        <v>4867145</v>
      </c>
      <c r="L17" s="44">
        <f>L16+161</f>
        <v>615821</v>
      </c>
      <c r="M17" s="44">
        <v>2625520</v>
      </c>
      <c r="N17" s="44">
        <v>716338</v>
      </c>
      <c r="O17" s="44">
        <v>350683</v>
      </c>
      <c r="P17" s="44">
        <v>1471374</v>
      </c>
      <c r="Q17" s="44">
        <v>603510</v>
      </c>
      <c r="R17" s="44">
        <v>673</v>
      </c>
      <c r="S17" s="44">
        <v>328578</v>
      </c>
      <c r="T17" s="44">
        <v>29264</v>
      </c>
      <c r="U17" s="44">
        <v>50208</v>
      </c>
      <c r="V17" s="45">
        <v>30412</v>
      </c>
      <c r="W17" s="46"/>
      <c r="X17" s="47">
        <v>478.62900000000002</v>
      </c>
      <c r="Y17" s="44">
        <v>877.36300000000006</v>
      </c>
      <c r="Z17" s="44">
        <v>3883.7139999999999</v>
      </c>
      <c r="AA17" s="44">
        <v>2153</v>
      </c>
      <c r="AB17" s="45">
        <v>960</v>
      </c>
      <c r="AC17" s="54"/>
      <c r="AD17" s="46"/>
    </row>
    <row r="18" spans="1:30" x14ac:dyDescent="0.25">
      <c r="A18" s="21">
        <v>44210</v>
      </c>
      <c r="B18" s="26">
        <v>10</v>
      </c>
      <c r="C18" s="26">
        <v>10</v>
      </c>
      <c r="D18" s="44">
        <v>197187</v>
      </c>
      <c r="E18" s="44">
        <v>197488</v>
      </c>
      <c r="F18" s="44">
        <v>261164</v>
      </c>
      <c r="G18" s="44">
        <v>260878</v>
      </c>
      <c r="H18" s="44">
        <v>215756</v>
      </c>
      <c r="I18" s="44">
        <f t="shared" si="0"/>
        <v>6907857</v>
      </c>
      <c r="J18" s="44">
        <v>31845</v>
      </c>
      <c r="K18" s="44">
        <f>K17+800</f>
        <v>4867945</v>
      </c>
      <c r="L18" s="44">
        <v>616222</v>
      </c>
      <c r="M18" s="44">
        <v>2625522</v>
      </c>
      <c r="N18" s="44">
        <v>718145</v>
      </c>
      <c r="O18" s="44">
        <v>350749</v>
      </c>
      <c r="P18" s="44">
        <v>1471374</v>
      </c>
      <c r="Q18" s="44">
        <v>603510</v>
      </c>
      <c r="R18" s="44">
        <v>674</v>
      </c>
      <c r="S18" s="44">
        <v>328635</v>
      </c>
      <c r="T18" s="44">
        <v>29328</v>
      </c>
      <c r="U18" s="44">
        <v>50209</v>
      </c>
      <c r="V18" s="45">
        <v>30412</v>
      </c>
      <c r="W18" s="46"/>
      <c r="X18" s="47">
        <v>478.76499999999999</v>
      </c>
      <c r="Y18" s="44">
        <v>878.03700000000003</v>
      </c>
      <c r="Z18" s="44">
        <v>3883.7370000000001</v>
      </c>
      <c r="AA18" s="44">
        <v>2153</v>
      </c>
      <c r="AB18" s="45">
        <v>963</v>
      </c>
      <c r="AC18" s="54"/>
      <c r="AD18" s="46"/>
    </row>
    <row r="19" spans="1:30" x14ac:dyDescent="0.25">
      <c r="A19" s="21">
        <v>44211</v>
      </c>
      <c r="B19" s="26">
        <v>10</v>
      </c>
      <c r="C19" s="26">
        <v>10</v>
      </c>
      <c r="D19" s="44">
        <v>198197</v>
      </c>
      <c r="E19" s="44">
        <v>198499</v>
      </c>
      <c r="F19" s="44">
        <v>264289</v>
      </c>
      <c r="G19" s="44">
        <v>263999</v>
      </c>
      <c r="H19" s="44">
        <v>216479</v>
      </c>
      <c r="I19" s="44">
        <f t="shared" si="0"/>
        <v>6909217</v>
      </c>
      <c r="J19" s="44">
        <v>31845</v>
      </c>
      <c r="K19" s="44">
        <f>K18+800</f>
        <v>4868745</v>
      </c>
      <c r="L19" s="44">
        <f>L18+191</f>
        <v>616413</v>
      </c>
      <c r="M19" s="44">
        <v>2625522</v>
      </c>
      <c r="N19" s="44">
        <v>720061</v>
      </c>
      <c r="O19" s="44">
        <v>350823</v>
      </c>
      <c r="P19" s="44">
        <v>1471374</v>
      </c>
      <c r="Q19" s="44">
        <v>603510</v>
      </c>
      <c r="R19" s="44">
        <v>674</v>
      </c>
      <c r="S19" s="44">
        <v>328690</v>
      </c>
      <c r="T19" s="44">
        <v>29392</v>
      </c>
      <c r="U19" s="44">
        <v>50211</v>
      </c>
      <c r="V19" s="45">
        <v>30412</v>
      </c>
      <c r="W19" s="46"/>
      <c r="X19" s="47">
        <v>478.92500000000001</v>
      </c>
      <c r="Y19" s="44">
        <v>878.75699999999995</v>
      </c>
      <c r="Z19" s="44">
        <v>3883.7530000000002</v>
      </c>
      <c r="AA19" s="44">
        <v>2153</v>
      </c>
      <c r="AB19" s="45">
        <v>967</v>
      </c>
      <c r="AC19" s="54"/>
      <c r="AD19" s="46"/>
    </row>
    <row r="20" spans="1:30" x14ac:dyDescent="0.25">
      <c r="A20" s="21">
        <v>44212</v>
      </c>
      <c r="B20" s="26">
        <v>10</v>
      </c>
      <c r="C20" s="26">
        <v>10</v>
      </c>
      <c r="D20" s="44">
        <v>199322</v>
      </c>
      <c r="E20" s="44">
        <v>199626</v>
      </c>
      <c r="F20" s="44">
        <v>267248</v>
      </c>
      <c r="G20" s="44">
        <v>266955</v>
      </c>
      <c r="H20" s="44">
        <v>217183</v>
      </c>
      <c r="I20" s="44">
        <f t="shared" si="0"/>
        <v>6910577</v>
      </c>
      <c r="J20" s="44">
        <v>31845</v>
      </c>
      <c r="K20" s="44">
        <f>K19+800</f>
        <v>4869545</v>
      </c>
      <c r="L20" s="44">
        <f>L19+200</f>
        <v>616613</v>
      </c>
      <c r="M20" s="44">
        <v>2625523</v>
      </c>
      <c r="N20" s="44">
        <v>722093</v>
      </c>
      <c r="O20" s="44">
        <v>350921</v>
      </c>
      <c r="P20" s="44">
        <v>1471374</v>
      </c>
      <c r="Q20" s="44">
        <v>603510</v>
      </c>
      <c r="R20" s="44">
        <v>674</v>
      </c>
      <c r="S20" s="44">
        <v>328751</v>
      </c>
      <c r="T20" s="44">
        <v>29459</v>
      </c>
      <c r="U20" s="44">
        <v>50212</v>
      </c>
      <c r="V20" s="45">
        <v>30412</v>
      </c>
      <c r="W20" s="46"/>
      <c r="X20" s="47">
        <v>479.08699999999999</v>
      </c>
      <c r="Y20" s="44">
        <v>879.24900000000002</v>
      </c>
      <c r="Z20" s="44">
        <v>3883.7710000000002</v>
      </c>
      <c r="AA20" s="44">
        <v>2153</v>
      </c>
      <c r="AB20" s="45">
        <v>970</v>
      </c>
      <c r="AC20" s="54"/>
      <c r="AD20" s="46"/>
    </row>
    <row r="21" spans="1:30" x14ac:dyDescent="0.25">
      <c r="A21" s="21">
        <v>44213</v>
      </c>
      <c r="B21" s="26">
        <v>10</v>
      </c>
      <c r="C21" s="26">
        <v>10</v>
      </c>
      <c r="D21" s="44">
        <v>200293</v>
      </c>
      <c r="E21" s="44">
        <v>200599</v>
      </c>
      <c r="F21" s="44">
        <v>267900</v>
      </c>
      <c r="G21" s="44">
        <v>267606</v>
      </c>
      <c r="H21" s="44">
        <v>217224</v>
      </c>
      <c r="I21" s="44">
        <f t="shared" si="0"/>
        <v>6911937</v>
      </c>
      <c r="J21" s="44">
        <v>31845</v>
      </c>
      <c r="K21" s="44">
        <f>K20+800</f>
        <v>4870345</v>
      </c>
      <c r="L21" s="44">
        <f>L20+200</f>
        <v>616813</v>
      </c>
      <c r="M21" s="44">
        <v>2625525</v>
      </c>
      <c r="N21" s="44">
        <v>724250</v>
      </c>
      <c r="O21" s="44">
        <v>350998</v>
      </c>
      <c r="P21" s="44">
        <v>1471374</v>
      </c>
      <c r="Q21" s="44">
        <v>603510</v>
      </c>
      <c r="R21" s="44">
        <v>675</v>
      </c>
      <c r="S21" s="44">
        <v>328805</v>
      </c>
      <c r="T21" s="44">
        <v>29519</v>
      </c>
      <c r="U21" s="44">
        <v>50212</v>
      </c>
      <c r="V21" s="45">
        <v>30412</v>
      </c>
      <c r="W21" s="46"/>
      <c r="X21" s="47">
        <v>479.24900000000002</v>
      </c>
      <c r="Y21" s="44">
        <v>879.52099999999996</v>
      </c>
      <c r="Z21" s="44">
        <v>3883.7890000000002</v>
      </c>
      <c r="AA21" s="44">
        <v>2153</v>
      </c>
      <c r="AB21" s="45">
        <v>974</v>
      </c>
      <c r="AC21" s="46"/>
      <c r="AD21" s="46"/>
    </row>
    <row r="22" spans="1:30" x14ac:dyDescent="0.25">
      <c r="A22" s="21">
        <v>44214</v>
      </c>
      <c r="B22" s="26">
        <v>10</v>
      </c>
      <c r="C22" s="26">
        <v>10</v>
      </c>
      <c r="D22" s="44">
        <v>201271</v>
      </c>
      <c r="E22" s="44">
        <v>201579</v>
      </c>
      <c r="F22" s="44">
        <v>270082</v>
      </c>
      <c r="G22" s="44">
        <v>269787</v>
      </c>
      <c r="H22" s="44">
        <v>217635</v>
      </c>
      <c r="I22" s="44">
        <f t="shared" si="0"/>
        <v>6913297</v>
      </c>
      <c r="J22" s="44">
        <v>31845</v>
      </c>
      <c r="K22" s="44">
        <f>K21+800</f>
        <v>4871145</v>
      </c>
      <c r="L22" s="44">
        <v>617095</v>
      </c>
      <c r="M22" s="44">
        <v>2625528</v>
      </c>
      <c r="N22" s="44">
        <v>726318</v>
      </c>
      <c r="O22" s="44">
        <v>351079</v>
      </c>
      <c r="P22" s="44">
        <v>1471374</v>
      </c>
      <c r="Q22" s="44">
        <v>603510</v>
      </c>
      <c r="R22" s="44">
        <v>675</v>
      </c>
      <c r="S22" s="44">
        <v>328860</v>
      </c>
      <c r="T22" s="44">
        <v>29582</v>
      </c>
      <c r="U22" s="44">
        <v>50213</v>
      </c>
      <c r="V22" s="45">
        <v>30423</v>
      </c>
      <c r="W22" s="46"/>
      <c r="X22" s="47">
        <v>479.423</v>
      </c>
      <c r="Y22" s="44">
        <v>879.83699999999999</v>
      </c>
      <c r="Z22" s="44">
        <v>3883.8110000000001</v>
      </c>
      <c r="AA22" s="44">
        <v>2153</v>
      </c>
      <c r="AB22" s="45">
        <v>978</v>
      </c>
      <c r="AC22" s="46"/>
      <c r="AD22" s="46"/>
    </row>
    <row r="23" spans="1:30" x14ac:dyDescent="0.25">
      <c r="A23" s="21">
        <v>44215</v>
      </c>
      <c r="B23" s="26">
        <v>10</v>
      </c>
      <c r="C23" s="26">
        <v>10</v>
      </c>
      <c r="D23" s="44">
        <v>202427</v>
      </c>
      <c r="E23" s="44">
        <v>202736</v>
      </c>
      <c r="F23" s="44">
        <v>271224</v>
      </c>
      <c r="G23" s="44">
        <v>270927</v>
      </c>
      <c r="H23" s="44">
        <v>217799</v>
      </c>
      <c r="I23" s="44">
        <f t="shared" si="0"/>
        <v>6914657</v>
      </c>
      <c r="J23" s="44">
        <v>31845</v>
      </c>
      <c r="K23" s="44">
        <f>K22+800</f>
        <v>4871945</v>
      </c>
      <c r="L23" s="44">
        <f>L22+200</f>
        <v>617295</v>
      </c>
      <c r="M23" s="44">
        <v>2625546</v>
      </c>
      <c r="N23" s="44">
        <v>728464</v>
      </c>
      <c r="O23" s="44">
        <v>351158</v>
      </c>
      <c r="P23" s="44">
        <v>1471374</v>
      </c>
      <c r="Q23" s="44">
        <v>603510</v>
      </c>
      <c r="R23" s="44">
        <v>675</v>
      </c>
      <c r="S23" s="44">
        <v>328916</v>
      </c>
      <c r="T23" s="44">
        <v>29642</v>
      </c>
      <c r="U23" s="44">
        <v>50215</v>
      </c>
      <c r="V23" s="45">
        <v>30423</v>
      </c>
      <c r="W23" s="46"/>
      <c r="X23" s="47">
        <v>479.57900000000001</v>
      </c>
      <c r="Y23" s="44">
        <v>880.05899999999997</v>
      </c>
      <c r="Z23" s="44">
        <v>3883.828</v>
      </c>
      <c r="AA23" s="44">
        <v>2153</v>
      </c>
      <c r="AB23" s="45">
        <v>980</v>
      </c>
      <c r="AC23" s="46"/>
      <c r="AD23" s="46"/>
    </row>
    <row r="24" spans="1:30" x14ac:dyDescent="0.25">
      <c r="A24" s="21">
        <v>44216</v>
      </c>
      <c r="B24" s="26">
        <v>10</v>
      </c>
      <c r="C24" s="26">
        <v>10</v>
      </c>
      <c r="D24" s="44">
        <v>203341</v>
      </c>
      <c r="E24" s="44">
        <v>203651</v>
      </c>
      <c r="F24" s="44">
        <v>271642</v>
      </c>
      <c r="G24" s="44">
        <v>271344</v>
      </c>
      <c r="H24" s="44">
        <v>217818</v>
      </c>
      <c r="I24" s="44">
        <f t="shared" si="0"/>
        <v>6916017</v>
      </c>
      <c r="J24" s="44">
        <v>31845</v>
      </c>
      <c r="K24" s="44">
        <f>K23+800</f>
        <v>4872745</v>
      </c>
      <c r="L24" s="44">
        <v>617474</v>
      </c>
      <c r="M24" s="44">
        <v>2625551</v>
      </c>
      <c r="N24" s="44">
        <v>730293</v>
      </c>
      <c r="O24" s="44">
        <v>351227</v>
      </c>
      <c r="P24" s="44">
        <v>1471374</v>
      </c>
      <c r="Q24" s="44">
        <v>603510</v>
      </c>
      <c r="R24" s="44">
        <v>676</v>
      </c>
      <c r="S24" s="44">
        <v>328979</v>
      </c>
      <c r="T24" s="44">
        <v>29710</v>
      </c>
      <c r="U24" s="44">
        <v>50216</v>
      </c>
      <c r="V24" s="45">
        <v>30423</v>
      </c>
      <c r="W24" s="46"/>
      <c r="X24" s="47">
        <v>479.726</v>
      </c>
      <c r="Y24" s="44">
        <v>880.18200000000002</v>
      </c>
      <c r="Z24" s="44">
        <v>3883.848</v>
      </c>
      <c r="AA24" s="44">
        <v>2153</v>
      </c>
      <c r="AB24" s="45">
        <v>983</v>
      </c>
      <c r="AC24" s="46"/>
      <c r="AD24" s="46"/>
    </row>
    <row r="25" spans="1:30" x14ac:dyDescent="0.25">
      <c r="A25" s="21">
        <v>44217</v>
      </c>
      <c r="B25" s="26">
        <v>10</v>
      </c>
      <c r="C25" s="26">
        <v>10</v>
      </c>
      <c r="D25" s="44">
        <v>204320</v>
      </c>
      <c r="E25" s="44">
        <v>204632</v>
      </c>
      <c r="F25" s="44">
        <v>273968</v>
      </c>
      <c r="G25" s="44">
        <v>273668</v>
      </c>
      <c r="H25" s="44">
        <v>218290</v>
      </c>
      <c r="I25" s="44">
        <f t="shared" si="0"/>
        <v>6917377</v>
      </c>
      <c r="J25" s="44">
        <v>31845</v>
      </c>
      <c r="K25" s="44">
        <f>K24+800</f>
        <v>4873545</v>
      </c>
      <c r="L25" s="44">
        <v>617669</v>
      </c>
      <c r="M25" s="44">
        <v>2625554</v>
      </c>
      <c r="N25" s="44">
        <v>732180</v>
      </c>
      <c r="O25" s="44">
        <v>351310</v>
      </c>
      <c r="P25" s="44">
        <v>1471374</v>
      </c>
      <c r="Q25" s="44">
        <v>603510</v>
      </c>
      <c r="R25" s="44">
        <v>676</v>
      </c>
      <c r="S25" s="44">
        <v>329042</v>
      </c>
      <c r="T25" s="44">
        <v>29782</v>
      </c>
      <c r="U25" s="44">
        <v>50217</v>
      </c>
      <c r="V25" s="45">
        <v>30423</v>
      </c>
      <c r="W25" s="46"/>
      <c r="X25" s="47">
        <v>479.87799999999999</v>
      </c>
      <c r="Y25" s="44">
        <v>880.41899999999998</v>
      </c>
      <c r="Z25" s="44">
        <v>3883.8710000000001</v>
      </c>
      <c r="AA25" s="44">
        <v>2153</v>
      </c>
      <c r="AB25" s="45">
        <v>985</v>
      </c>
      <c r="AC25" s="46"/>
      <c r="AD25" s="46"/>
    </row>
    <row r="26" spans="1:30" x14ac:dyDescent="0.25">
      <c r="A26" s="21">
        <v>44218</v>
      </c>
      <c r="B26" s="26">
        <v>10</v>
      </c>
      <c r="C26" s="26">
        <v>10</v>
      </c>
      <c r="D26" s="44">
        <v>205272</v>
      </c>
      <c r="E26" s="44">
        <v>205586</v>
      </c>
      <c r="F26" s="44">
        <v>274894</v>
      </c>
      <c r="G26" s="44">
        <v>274593</v>
      </c>
      <c r="H26" s="44">
        <v>218409</v>
      </c>
      <c r="I26" s="44">
        <f t="shared" si="0"/>
        <v>6918737</v>
      </c>
      <c r="J26" s="44">
        <v>31845</v>
      </c>
      <c r="K26" s="44">
        <f>K25+800</f>
        <v>4874345</v>
      </c>
      <c r="L26" s="44">
        <f>L25+200</f>
        <v>617869</v>
      </c>
      <c r="M26" s="44">
        <v>2625554</v>
      </c>
      <c r="N26" s="44">
        <v>734322</v>
      </c>
      <c r="O26" s="44">
        <v>351395</v>
      </c>
      <c r="P26" s="44">
        <v>1471374</v>
      </c>
      <c r="Q26" s="44">
        <v>603510</v>
      </c>
      <c r="R26" s="44">
        <v>676</v>
      </c>
      <c r="S26" s="44">
        <v>329111</v>
      </c>
      <c r="T26" s="44">
        <v>29859</v>
      </c>
      <c r="U26" s="44">
        <v>50219</v>
      </c>
      <c r="V26" s="45">
        <v>30423</v>
      </c>
      <c r="W26" s="46"/>
      <c r="X26" s="47">
        <v>480.01400000000001</v>
      </c>
      <c r="Y26" s="44">
        <v>880.65700000000004</v>
      </c>
      <c r="Z26" s="44">
        <v>3883.8870000000002</v>
      </c>
      <c r="AA26" s="44">
        <v>2153</v>
      </c>
      <c r="AB26" s="45">
        <v>986</v>
      </c>
      <c r="AC26" s="46"/>
      <c r="AD26" s="46"/>
    </row>
    <row r="27" spans="1:30" x14ac:dyDescent="0.25">
      <c r="A27" s="21">
        <v>44219</v>
      </c>
      <c r="B27" s="26">
        <v>10</v>
      </c>
      <c r="C27" s="26">
        <v>10</v>
      </c>
      <c r="D27" s="44">
        <v>206213</v>
      </c>
      <c r="E27" s="44">
        <v>206528</v>
      </c>
      <c r="F27" s="44">
        <v>275383</v>
      </c>
      <c r="G27" s="44">
        <v>275081</v>
      </c>
      <c r="H27" s="44">
        <v>218424</v>
      </c>
      <c r="I27" s="44">
        <f t="shared" si="0"/>
        <v>6920097</v>
      </c>
      <c r="J27" s="44">
        <v>31845</v>
      </c>
      <c r="K27" s="44">
        <f>K26+800</f>
        <v>4875145</v>
      </c>
      <c r="L27" s="44">
        <f>L26+200</f>
        <v>618069</v>
      </c>
      <c r="M27" s="44">
        <v>2625556</v>
      </c>
      <c r="N27" s="44">
        <v>736624</v>
      </c>
      <c r="O27" s="44">
        <v>351472</v>
      </c>
      <c r="P27" s="44">
        <v>1471374</v>
      </c>
      <c r="Q27" s="44">
        <v>603510</v>
      </c>
      <c r="R27" s="44">
        <v>676</v>
      </c>
      <c r="S27" s="44">
        <v>329176</v>
      </c>
      <c r="T27" s="44">
        <v>29930</v>
      </c>
      <c r="U27" s="44">
        <v>50222</v>
      </c>
      <c r="V27" s="45">
        <v>30424</v>
      </c>
      <c r="W27" s="46"/>
      <c r="X27" s="47">
        <v>480.15800000000002</v>
      </c>
      <c r="Y27" s="44">
        <v>880.89599999999996</v>
      </c>
      <c r="Z27" s="44">
        <v>3883.8980000000001</v>
      </c>
      <c r="AA27" s="44">
        <v>2153</v>
      </c>
      <c r="AB27" s="45">
        <v>991</v>
      </c>
      <c r="AC27" s="46"/>
      <c r="AD27" s="46"/>
    </row>
    <row r="28" spans="1:30" x14ac:dyDescent="0.25">
      <c r="A28" s="21">
        <v>44220</v>
      </c>
      <c r="B28" s="26">
        <v>10</v>
      </c>
      <c r="C28" s="26">
        <v>10</v>
      </c>
      <c r="D28" s="44">
        <v>207188</v>
      </c>
      <c r="E28" s="44">
        <v>207490</v>
      </c>
      <c r="F28" s="44">
        <v>276225</v>
      </c>
      <c r="G28" s="44">
        <v>275863</v>
      </c>
      <c r="H28" s="44">
        <v>218424</v>
      </c>
      <c r="I28" s="44">
        <f t="shared" si="0"/>
        <v>6921457</v>
      </c>
      <c r="J28" s="44">
        <v>31845</v>
      </c>
      <c r="K28" s="44">
        <f>K27+800</f>
        <v>4875945</v>
      </c>
      <c r="L28" s="44">
        <f>L27+200</f>
        <v>618269</v>
      </c>
      <c r="M28" s="44">
        <v>2625557</v>
      </c>
      <c r="N28" s="44">
        <v>738770</v>
      </c>
      <c r="O28" s="44">
        <v>351562</v>
      </c>
      <c r="P28" s="44">
        <v>1471374</v>
      </c>
      <c r="Q28" s="44">
        <v>603510</v>
      </c>
      <c r="R28" s="44">
        <v>676</v>
      </c>
      <c r="S28" s="44">
        <v>329224</v>
      </c>
      <c r="T28" s="44">
        <v>29986</v>
      </c>
      <c r="U28" s="44">
        <v>50223</v>
      </c>
      <c r="V28" s="45">
        <v>30424</v>
      </c>
      <c r="W28" s="46"/>
      <c r="X28" s="47">
        <v>480.30500000000001</v>
      </c>
      <c r="Y28" s="44">
        <v>881.19299999999998</v>
      </c>
      <c r="Z28" s="44">
        <v>3883.9079999999999</v>
      </c>
      <c r="AA28" s="44">
        <v>2153</v>
      </c>
      <c r="AB28" s="45">
        <v>993</v>
      </c>
      <c r="AC28" s="46"/>
      <c r="AD28" s="46"/>
    </row>
    <row r="29" spans="1:30" x14ac:dyDescent="0.25">
      <c r="A29" s="21">
        <v>44221</v>
      </c>
      <c r="B29" s="26">
        <v>10</v>
      </c>
      <c r="C29" s="26">
        <v>10</v>
      </c>
      <c r="D29" s="44">
        <v>207995</v>
      </c>
      <c r="E29" s="44">
        <v>208312</v>
      </c>
      <c r="F29" s="44">
        <v>276396</v>
      </c>
      <c r="G29" s="44">
        <v>276093</v>
      </c>
      <c r="H29" s="44">
        <v>218451</v>
      </c>
      <c r="I29" s="44">
        <f t="shared" si="0"/>
        <v>6922817</v>
      </c>
      <c r="J29" s="44">
        <v>31845</v>
      </c>
      <c r="K29" s="44">
        <f>K28+800</f>
        <v>4876745</v>
      </c>
      <c r="L29" s="44">
        <v>618511</v>
      </c>
      <c r="M29" s="44">
        <v>2625557</v>
      </c>
      <c r="N29" s="44">
        <v>741677</v>
      </c>
      <c r="O29" s="44">
        <v>351621</v>
      </c>
      <c r="P29" s="44">
        <v>1471374</v>
      </c>
      <c r="Q29" s="44">
        <v>603510</v>
      </c>
      <c r="R29" s="44">
        <v>676</v>
      </c>
      <c r="S29" s="44">
        <v>329273</v>
      </c>
      <c r="T29" s="44">
        <v>30041</v>
      </c>
      <c r="U29" s="44">
        <v>50224</v>
      </c>
      <c r="V29" s="45">
        <v>30427</v>
      </c>
      <c r="W29" s="46"/>
      <c r="X29" s="47">
        <v>480.46300000000002</v>
      </c>
      <c r="Y29" s="44">
        <v>881.495</v>
      </c>
      <c r="Z29" s="44">
        <v>3883.9119999999998</v>
      </c>
      <c r="AA29" s="44">
        <v>2153</v>
      </c>
      <c r="AB29" s="45">
        <v>1000</v>
      </c>
      <c r="AC29" s="46"/>
      <c r="AD29" s="46"/>
    </row>
    <row r="30" spans="1:30" x14ac:dyDescent="0.25">
      <c r="A30" s="21">
        <v>44222</v>
      </c>
      <c r="B30" s="26">
        <v>10</v>
      </c>
      <c r="C30" s="26">
        <v>10</v>
      </c>
      <c r="D30" s="44">
        <v>208945</v>
      </c>
      <c r="E30" s="44">
        <v>209264</v>
      </c>
      <c r="F30" s="44">
        <v>276787</v>
      </c>
      <c r="G30" s="44">
        <v>276483</v>
      </c>
      <c r="H30" s="44">
        <v>218455</v>
      </c>
      <c r="I30" s="44">
        <f t="shared" si="0"/>
        <v>6924177</v>
      </c>
      <c r="J30" s="44">
        <v>31845</v>
      </c>
      <c r="K30" s="44">
        <f>K29+800</f>
        <v>4877545</v>
      </c>
      <c r="L30" s="44">
        <v>618717</v>
      </c>
      <c r="M30" s="44">
        <v>2625558</v>
      </c>
      <c r="N30" s="44">
        <v>744272</v>
      </c>
      <c r="O30" s="44">
        <v>351625</v>
      </c>
      <c r="P30" s="44">
        <v>1471374</v>
      </c>
      <c r="Q30" s="44">
        <v>603510</v>
      </c>
      <c r="R30" s="44">
        <v>677</v>
      </c>
      <c r="S30" s="44">
        <v>329332</v>
      </c>
      <c r="T30" s="44">
        <v>30106</v>
      </c>
      <c r="U30" s="44">
        <v>50225</v>
      </c>
      <c r="V30" s="45">
        <v>30427</v>
      </c>
      <c r="W30" s="46"/>
      <c r="X30" s="47">
        <v>480.69900000000001</v>
      </c>
      <c r="Y30" s="44">
        <v>881.80499999999995</v>
      </c>
      <c r="Z30" s="44">
        <v>3883.9229999999998</v>
      </c>
      <c r="AA30" s="44">
        <v>2153</v>
      </c>
      <c r="AB30" s="45">
        <v>1003</v>
      </c>
      <c r="AC30" s="46"/>
      <c r="AD30" s="46"/>
    </row>
    <row r="31" spans="1:30" x14ac:dyDescent="0.25">
      <c r="A31" s="21">
        <v>44223</v>
      </c>
      <c r="B31" s="26">
        <v>10</v>
      </c>
      <c r="C31" s="26">
        <v>10</v>
      </c>
      <c r="D31" s="44">
        <v>209913</v>
      </c>
      <c r="E31" s="44">
        <v>210233</v>
      </c>
      <c r="F31" s="44">
        <v>277093</v>
      </c>
      <c r="G31" s="44">
        <v>276790</v>
      </c>
      <c r="H31" s="44">
        <v>218463</v>
      </c>
      <c r="I31" s="44">
        <f t="shared" si="0"/>
        <v>6925537</v>
      </c>
      <c r="J31" s="44">
        <v>31845</v>
      </c>
      <c r="K31" s="44">
        <f>K30+800</f>
        <v>4878345</v>
      </c>
      <c r="L31" s="44">
        <v>618892</v>
      </c>
      <c r="M31" s="44">
        <v>2625586</v>
      </c>
      <c r="N31" s="44">
        <v>746360</v>
      </c>
      <c r="O31" s="44">
        <v>351731</v>
      </c>
      <c r="P31" s="44">
        <v>1471374</v>
      </c>
      <c r="Q31" s="44">
        <v>603597</v>
      </c>
      <c r="R31" s="44">
        <v>677</v>
      </c>
      <c r="S31" s="44">
        <v>329338</v>
      </c>
      <c r="T31" s="44">
        <v>30124</v>
      </c>
      <c r="U31" s="44">
        <v>50226</v>
      </c>
      <c r="V31" s="45">
        <v>30427</v>
      </c>
      <c r="W31" s="46"/>
      <c r="X31" s="47">
        <v>480.81200000000001</v>
      </c>
      <c r="Y31" s="44">
        <v>882.02300000000002</v>
      </c>
      <c r="Z31" s="44">
        <v>3883.9380000000001</v>
      </c>
      <c r="AA31" s="44">
        <v>2153</v>
      </c>
      <c r="AB31" s="45">
        <v>1008</v>
      </c>
      <c r="AC31" s="46"/>
      <c r="AD31" s="46"/>
    </row>
    <row r="32" spans="1:30" x14ac:dyDescent="0.25">
      <c r="A32" s="21">
        <v>44224</v>
      </c>
      <c r="B32" s="26">
        <v>10</v>
      </c>
      <c r="C32" s="26">
        <v>10</v>
      </c>
      <c r="D32" s="44">
        <v>211096</v>
      </c>
      <c r="E32" s="44">
        <v>211418</v>
      </c>
      <c r="F32" s="44">
        <v>278976</v>
      </c>
      <c r="G32" s="44">
        <v>278670</v>
      </c>
      <c r="H32" s="44">
        <v>218827</v>
      </c>
      <c r="I32" s="44">
        <v>6927000</v>
      </c>
      <c r="J32" s="44">
        <v>31845</v>
      </c>
      <c r="K32" s="44">
        <v>4879173</v>
      </c>
      <c r="L32" s="44">
        <f>L31+200</f>
        <v>619092</v>
      </c>
      <c r="M32" s="44">
        <v>2625642</v>
      </c>
      <c r="N32" s="44">
        <v>748219</v>
      </c>
      <c r="O32" s="44">
        <v>351759</v>
      </c>
      <c r="P32" s="44">
        <v>1471374</v>
      </c>
      <c r="Q32" s="44">
        <v>603748</v>
      </c>
      <c r="R32" s="44">
        <v>677</v>
      </c>
      <c r="S32" s="44">
        <v>329344</v>
      </c>
      <c r="T32" s="44">
        <v>30140</v>
      </c>
      <c r="U32" s="44">
        <v>50227</v>
      </c>
      <c r="V32" s="45">
        <v>30427</v>
      </c>
      <c r="W32" s="46"/>
      <c r="X32" s="47">
        <v>480.90800000000002</v>
      </c>
      <c r="Y32" s="44">
        <v>882.29100000000005</v>
      </c>
      <c r="Z32" s="44">
        <v>3883.9490000000001</v>
      </c>
      <c r="AA32" s="44">
        <v>2153</v>
      </c>
      <c r="AB32" s="45">
        <v>1011</v>
      </c>
      <c r="AC32" s="46"/>
      <c r="AD32" s="46"/>
    </row>
    <row r="33" spans="1:30" x14ac:dyDescent="0.25">
      <c r="A33" s="21">
        <v>44225</v>
      </c>
      <c r="B33" s="26">
        <v>10</v>
      </c>
      <c r="C33" s="26">
        <v>10</v>
      </c>
      <c r="D33" s="44">
        <v>212247</v>
      </c>
      <c r="E33" s="44">
        <v>212571</v>
      </c>
      <c r="F33" s="44">
        <v>279353</v>
      </c>
      <c r="G33" s="44">
        <v>279048</v>
      </c>
      <c r="H33" s="44">
        <v>218843</v>
      </c>
      <c r="I33" s="44">
        <v>6928474</v>
      </c>
      <c r="J33" s="44">
        <v>31845</v>
      </c>
      <c r="K33" s="44">
        <v>4879859</v>
      </c>
      <c r="L33" s="44">
        <v>619264</v>
      </c>
      <c r="M33" s="44">
        <v>2625671</v>
      </c>
      <c r="N33" s="44">
        <v>750309</v>
      </c>
      <c r="O33" s="44">
        <v>351781</v>
      </c>
      <c r="P33" s="44">
        <v>1471374</v>
      </c>
      <c r="Q33" s="44">
        <v>603919</v>
      </c>
      <c r="R33" s="44">
        <v>677</v>
      </c>
      <c r="S33" s="44">
        <v>329348</v>
      </c>
      <c r="T33" s="44">
        <v>30153</v>
      </c>
      <c r="U33" s="44">
        <v>50229</v>
      </c>
      <c r="V33" s="45">
        <v>30427</v>
      </c>
      <c r="W33" s="46"/>
      <c r="X33" s="47">
        <v>481.01400000000001</v>
      </c>
      <c r="Y33" s="44">
        <v>882.37400000000002</v>
      </c>
      <c r="Z33" s="44">
        <v>3883.96</v>
      </c>
      <c r="AA33" s="44">
        <v>2153</v>
      </c>
      <c r="AB33" s="45">
        <v>1013</v>
      </c>
      <c r="AC33" s="46"/>
      <c r="AD33" s="46"/>
    </row>
    <row r="34" spans="1:30" x14ac:dyDescent="0.25">
      <c r="A34" s="21">
        <v>44226</v>
      </c>
      <c r="B34" s="26">
        <v>10</v>
      </c>
      <c r="C34" s="26">
        <v>10</v>
      </c>
      <c r="D34" s="44">
        <v>213304</v>
      </c>
      <c r="E34" s="44">
        <v>213630</v>
      </c>
      <c r="F34" s="44">
        <v>279745</v>
      </c>
      <c r="G34" s="44">
        <v>279440</v>
      </c>
      <c r="H34" s="44">
        <v>218867</v>
      </c>
      <c r="I34" s="44">
        <f>I33+1360</f>
        <v>6929834</v>
      </c>
      <c r="J34" s="44">
        <v>31845</v>
      </c>
      <c r="K34" s="44">
        <f>K33+650</f>
        <v>4880509</v>
      </c>
      <c r="L34" s="44">
        <f>L33+200</f>
        <v>619464</v>
      </c>
      <c r="M34" s="44">
        <v>2625699</v>
      </c>
      <c r="N34" s="44">
        <v>752364</v>
      </c>
      <c r="O34" s="44">
        <v>351822</v>
      </c>
      <c r="P34" s="44">
        <v>1471374</v>
      </c>
      <c r="Q34" s="44">
        <v>604071</v>
      </c>
      <c r="R34" s="44">
        <v>677</v>
      </c>
      <c r="S34" s="44">
        <v>329371</v>
      </c>
      <c r="T34" s="44">
        <v>30182</v>
      </c>
      <c r="U34" s="44">
        <v>50231</v>
      </c>
      <c r="V34" s="45">
        <v>30427</v>
      </c>
      <c r="W34" s="46"/>
      <c r="X34" s="47">
        <v>481.12099999999998</v>
      </c>
      <c r="Y34" s="44">
        <v>882.44299999999998</v>
      </c>
      <c r="Z34" s="44">
        <v>3883.971</v>
      </c>
      <c r="AA34" s="44">
        <v>2153</v>
      </c>
      <c r="AB34" s="45">
        <v>1016</v>
      </c>
      <c r="AC34" s="46"/>
      <c r="AD34" s="46"/>
    </row>
    <row r="35" spans="1:30" x14ac:dyDescent="0.25">
      <c r="A35" s="21">
        <v>44227</v>
      </c>
      <c r="B35" s="26">
        <v>10</v>
      </c>
      <c r="C35" s="26">
        <v>10</v>
      </c>
      <c r="D35" s="44">
        <v>214212</v>
      </c>
      <c r="E35" s="44">
        <v>214539</v>
      </c>
      <c r="F35" s="44">
        <v>280076</v>
      </c>
      <c r="G35" s="44">
        <v>279770</v>
      </c>
      <c r="H35" s="44">
        <v>218880</v>
      </c>
      <c r="I35" s="44">
        <v>6931107</v>
      </c>
      <c r="J35" s="44">
        <v>31845</v>
      </c>
      <c r="K35" s="44">
        <v>4881159</v>
      </c>
      <c r="L35" s="44">
        <v>619607</v>
      </c>
      <c r="M35" s="44">
        <v>2625716</v>
      </c>
      <c r="N35" s="44">
        <v>754685</v>
      </c>
      <c r="O35" s="44">
        <v>351864</v>
      </c>
      <c r="P35" s="44">
        <v>1471374</v>
      </c>
      <c r="Q35" s="44">
        <v>604172</v>
      </c>
      <c r="R35" s="44">
        <v>677</v>
      </c>
      <c r="S35" s="44">
        <v>329383</v>
      </c>
      <c r="T35" s="44">
        <v>30217</v>
      </c>
      <c r="U35" s="44">
        <v>50231</v>
      </c>
      <c r="V35" s="45">
        <v>30427</v>
      </c>
      <c r="W35" s="46"/>
      <c r="X35" s="47">
        <v>481.26400000000001</v>
      </c>
      <c r="Y35" s="44">
        <v>882.58799999999997</v>
      </c>
      <c r="Z35" s="44">
        <v>3883.9810000000002</v>
      </c>
      <c r="AA35" s="44">
        <v>2153</v>
      </c>
      <c r="AB35" s="45">
        <v>1019</v>
      </c>
      <c r="AC35" s="46"/>
      <c r="AD35" s="46"/>
    </row>
    <row r="36" spans="1:30" x14ac:dyDescent="0.25">
      <c r="B36" s="24"/>
      <c r="C36" s="24"/>
      <c r="F36" t="s">
        <v>42</v>
      </c>
    </row>
    <row r="37" spans="1:30" x14ac:dyDescent="0.25">
      <c r="U37" t="s">
        <v>42</v>
      </c>
    </row>
  </sheetData>
  <mergeCells count="27">
    <mergeCell ref="AB1:AB3"/>
    <mergeCell ref="AC2:AC3"/>
    <mergeCell ref="AD2:AD3"/>
    <mergeCell ref="X1:X3"/>
    <mergeCell ref="W2:W3"/>
    <mergeCell ref="Y1:Y3"/>
    <mergeCell ref="Z1:Z3"/>
    <mergeCell ref="AA1:AA3"/>
    <mergeCell ref="N1:N3"/>
    <mergeCell ref="O1:O3"/>
    <mergeCell ref="S1:T3"/>
    <mergeCell ref="U1:U3"/>
    <mergeCell ref="V1:V3"/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34"/>
  <sheetViews>
    <sheetView workbookViewId="0">
      <selection activeCell="I17" sqref="I17"/>
    </sheetView>
  </sheetViews>
  <sheetFormatPr defaultRowHeight="15" x14ac:dyDescent="0.25"/>
  <sheetData>
    <row r="3" spans="1:7" x14ac:dyDescent="0.25">
      <c r="A3">
        <v>4038</v>
      </c>
      <c r="D3">
        <v>308582</v>
      </c>
    </row>
    <row r="4" spans="1:7" x14ac:dyDescent="0.25">
      <c r="A4">
        <v>4226</v>
      </c>
      <c r="B4">
        <f>A4-A3</f>
        <v>188</v>
      </c>
      <c r="D4">
        <v>308751</v>
      </c>
      <c r="E4">
        <f>D4-D3</f>
        <v>169</v>
      </c>
      <c r="G4">
        <f>B4-E4</f>
        <v>19</v>
      </c>
    </row>
    <row r="5" spans="1:7" x14ac:dyDescent="0.25">
      <c r="A5">
        <v>4334</v>
      </c>
      <c r="B5">
        <f t="shared" ref="B5:B34" si="0">A5-A4</f>
        <v>108</v>
      </c>
      <c r="D5">
        <v>308839</v>
      </c>
      <c r="E5">
        <f t="shared" ref="E5:E34" si="1">D5-D4</f>
        <v>88</v>
      </c>
      <c r="G5">
        <f t="shared" ref="G5:G34" si="2">B5-E5</f>
        <v>20</v>
      </c>
    </row>
    <row r="6" spans="1:7" x14ac:dyDescent="0.25">
      <c r="A6">
        <v>4442</v>
      </c>
      <c r="B6">
        <f t="shared" si="0"/>
        <v>108</v>
      </c>
      <c r="D6">
        <v>308927</v>
      </c>
      <c r="E6">
        <f t="shared" si="1"/>
        <v>88</v>
      </c>
      <c r="G6">
        <f t="shared" si="2"/>
        <v>20</v>
      </c>
    </row>
    <row r="7" spans="1:7" x14ac:dyDescent="0.25">
      <c r="A7">
        <v>4558</v>
      </c>
      <c r="B7">
        <f t="shared" si="0"/>
        <v>116</v>
      </c>
      <c r="D7">
        <v>309026</v>
      </c>
      <c r="E7">
        <f t="shared" si="1"/>
        <v>99</v>
      </c>
      <c r="G7">
        <f t="shared" si="2"/>
        <v>17</v>
      </c>
    </row>
    <row r="8" spans="1:7" x14ac:dyDescent="0.25">
      <c r="A8">
        <v>4673</v>
      </c>
      <c r="B8">
        <f t="shared" si="0"/>
        <v>115</v>
      </c>
      <c r="D8">
        <v>309122</v>
      </c>
      <c r="E8">
        <f t="shared" si="1"/>
        <v>96</v>
      </c>
      <c r="G8">
        <f t="shared" si="2"/>
        <v>19</v>
      </c>
    </row>
    <row r="9" spans="1:7" x14ac:dyDescent="0.25">
      <c r="A9">
        <v>4752</v>
      </c>
      <c r="B9">
        <f t="shared" si="0"/>
        <v>79</v>
      </c>
      <c r="D9">
        <v>309201</v>
      </c>
      <c r="E9">
        <f t="shared" si="1"/>
        <v>79</v>
      </c>
      <c r="G9">
        <f t="shared" si="2"/>
        <v>0</v>
      </c>
    </row>
    <row r="10" spans="1:7" x14ac:dyDescent="0.25">
      <c r="A10">
        <v>4851</v>
      </c>
      <c r="B10">
        <f t="shared" si="0"/>
        <v>99</v>
      </c>
      <c r="D10">
        <v>309283</v>
      </c>
      <c r="E10">
        <f t="shared" si="1"/>
        <v>82</v>
      </c>
      <c r="G10">
        <f t="shared" si="2"/>
        <v>17</v>
      </c>
    </row>
    <row r="11" spans="1:7" x14ac:dyDescent="0.25">
      <c r="A11">
        <v>4930</v>
      </c>
      <c r="B11">
        <f t="shared" si="0"/>
        <v>79</v>
      </c>
      <c r="D11">
        <v>309351</v>
      </c>
      <c r="E11">
        <f t="shared" si="1"/>
        <v>68</v>
      </c>
      <c r="G11">
        <f t="shared" si="2"/>
        <v>11</v>
      </c>
    </row>
    <row r="12" spans="1:7" x14ac:dyDescent="0.25">
      <c r="A12">
        <v>4996</v>
      </c>
      <c r="B12">
        <f t="shared" si="0"/>
        <v>66</v>
      </c>
      <c r="D12">
        <v>309403</v>
      </c>
      <c r="E12">
        <f t="shared" si="1"/>
        <v>52</v>
      </c>
      <c r="G12">
        <f t="shared" si="2"/>
        <v>14</v>
      </c>
    </row>
    <row r="13" spans="1:7" x14ac:dyDescent="0.25">
      <c r="A13">
        <v>5066</v>
      </c>
      <c r="B13">
        <f t="shared" si="0"/>
        <v>70</v>
      </c>
      <c r="D13">
        <v>309454</v>
      </c>
      <c r="E13">
        <f t="shared" si="1"/>
        <v>51</v>
      </c>
      <c r="G13">
        <f t="shared" si="2"/>
        <v>19</v>
      </c>
    </row>
    <row r="14" spans="1:7" x14ac:dyDescent="0.25">
      <c r="A14">
        <v>5143</v>
      </c>
      <c r="B14">
        <f t="shared" si="0"/>
        <v>77</v>
      </c>
      <c r="D14">
        <v>309515</v>
      </c>
      <c r="E14">
        <f t="shared" si="1"/>
        <v>61</v>
      </c>
      <c r="G14">
        <f t="shared" si="2"/>
        <v>16</v>
      </c>
    </row>
    <row r="15" spans="1:7" x14ac:dyDescent="0.25">
      <c r="A15">
        <v>5245</v>
      </c>
      <c r="B15">
        <f t="shared" si="0"/>
        <v>102</v>
      </c>
      <c r="D15">
        <v>309605</v>
      </c>
      <c r="E15">
        <f t="shared" si="1"/>
        <v>90</v>
      </c>
      <c r="G15">
        <f t="shared" si="2"/>
        <v>12</v>
      </c>
    </row>
    <row r="16" spans="1:7" x14ac:dyDescent="0.25">
      <c r="A16">
        <v>5330</v>
      </c>
      <c r="B16">
        <f t="shared" si="0"/>
        <v>85</v>
      </c>
      <c r="D16">
        <v>309666</v>
      </c>
      <c r="E16">
        <f t="shared" si="1"/>
        <v>61</v>
      </c>
      <c r="G16">
        <f t="shared" si="2"/>
        <v>24</v>
      </c>
    </row>
    <row r="17" spans="1:7" x14ac:dyDescent="0.25">
      <c r="A17">
        <v>5407</v>
      </c>
      <c r="B17">
        <f t="shared" si="0"/>
        <v>77</v>
      </c>
      <c r="D17">
        <v>309730</v>
      </c>
      <c r="E17">
        <f t="shared" si="1"/>
        <v>64</v>
      </c>
      <c r="G17">
        <f t="shared" si="2"/>
        <v>13</v>
      </c>
    </row>
    <row r="18" spans="1:7" x14ac:dyDescent="0.25">
      <c r="A18">
        <v>5475</v>
      </c>
      <c r="B18">
        <f t="shared" si="0"/>
        <v>68</v>
      </c>
      <c r="D18">
        <v>309778</v>
      </c>
      <c r="E18">
        <f t="shared" si="1"/>
        <v>48</v>
      </c>
      <c r="G18">
        <f t="shared" si="2"/>
        <v>20</v>
      </c>
    </row>
    <row r="19" spans="1:7" x14ac:dyDescent="0.25">
      <c r="A19">
        <v>5544</v>
      </c>
      <c r="B19">
        <f t="shared" si="0"/>
        <v>69</v>
      </c>
      <c r="D19">
        <v>309835</v>
      </c>
      <c r="E19">
        <f t="shared" si="1"/>
        <v>57</v>
      </c>
      <c r="G19">
        <f t="shared" si="2"/>
        <v>12</v>
      </c>
    </row>
    <row r="20" spans="1:7" x14ac:dyDescent="0.25">
      <c r="A20">
        <v>5616</v>
      </c>
      <c r="B20">
        <f t="shared" si="0"/>
        <v>72</v>
      </c>
      <c r="D20">
        <v>309892</v>
      </c>
      <c r="E20">
        <f t="shared" si="1"/>
        <v>57</v>
      </c>
      <c r="G20">
        <f t="shared" si="2"/>
        <v>15</v>
      </c>
    </row>
    <row r="21" spans="1:7" x14ac:dyDescent="0.25">
      <c r="A21">
        <v>5700</v>
      </c>
      <c r="B21">
        <f t="shared" si="0"/>
        <v>84</v>
      </c>
      <c r="D21">
        <v>309970</v>
      </c>
      <c r="E21">
        <f t="shared" si="1"/>
        <v>78</v>
      </c>
      <c r="G21">
        <f t="shared" si="2"/>
        <v>6</v>
      </c>
    </row>
    <row r="22" spans="1:7" x14ac:dyDescent="0.25">
      <c r="A22">
        <v>5798</v>
      </c>
      <c r="B22">
        <f t="shared" si="0"/>
        <v>98</v>
      </c>
      <c r="D22">
        <v>310062</v>
      </c>
      <c r="E22">
        <f t="shared" si="1"/>
        <v>92</v>
      </c>
      <c r="G22">
        <f t="shared" si="2"/>
        <v>6</v>
      </c>
    </row>
    <row r="23" spans="1:7" x14ac:dyDescent="0.25">
      <c r="A23">
        <v>5886</v>
      </c>
      <c r="B23">
        <f t="shared" si="0"/>
        <v>88</v>
      </c>
      <c r="D23">
        <v>310144</v>
      </c>
      <c r="E23">
        <f t="shared" si="1"/>
        <v>82</v>
      </c>
      <c r="G23">
        <f t="shared" si="2"/>
        <v>6</v>
      </c>
    </row>
    <row r="24" spans="1:7" x14ac:dyDescent="0.25">
      <c r="A24">
        <v>5961</v>
      </c>
      <c r="B24">
        <f t="shared" si="0"/>
        <v>75</v>
      </c>
      <c r="D24">
        <v>310210</v>
      </c>
      <c r="E24">
        <f t="shared" si="1"/>
        <v>66</v>
      </c>
      <c r="G24">
        <f t="shared" si="2"/>
        <v>9</v>
      </c>
    </row>
    <row r="25" spans="1:7" x14ac:dyDescent="0.25">
      <c r="A25">
        <v>6034</v>
      </c>
      <c r="B25">
        <f t="shared" si="0"/>
        <v>73</v>
      </c>
      <c r="D25">
        <v>310261</v>
      </c>
      <c r="E25">
        <f t="shared" si="1"/>
        <v>51</v>
      </c>
      <c r="G25">
        <f t="shared" si="2"/>
        <v>22</v>
      </c>
    </row>
    <row r="26" spans="1:7" x14ac:dyDescent="0.25">
      <c r="A26">
        <v>6110</v>
      </c>
      <c r="B26">
        <f t="shared" si="0"/>
        <v>76</v>
      </c>
      <c r="D26">
        <v>310333</v>
      </c>
      <c r="E26">
        <f t="shared" si="1"/>
        <v>72</v>
      </c>
      <c r="G26">
        <f t="shared" si="2"/>
        <v>4</v>
      </c>
    </row>
    <row r="27" spans="1:7" x14ac:dyDescent="0.25">
      <c r="A27">
        <v>6181</v>
      </c>
      <c r="B27">
        <f t="shared" si="0"/>
        <v>71</v>
      </c>
      <c r="D27">
        <v>310388</v>
      </c>
      <c r="E27">
        <f t="shared" si="1"/>
        <v>55</v>
      </c>
      <c r="G27">
        <f t="shared" si="2"/>
        <v>16</v>
      </c>
    </row>
    <row r="28" spans="1:7" x14ac:dyDescent="0.25">
      <c r="A28">
        <v>6267</v>
      </c>
      <c r="B28">
        <f t="shared" si="0"/>
        <v>86</v>
      </c>
      <c r="D28">
        <v>310458</v>
      </c>
      <c r="E28">
        <f t="shared" si="1"/>
        <v>70</v>
      </c>
      <c r="G28">
        <f t="shared" si="2"/>
        <v>16</v>
      </c>
    </row>
    <row r="29" spans="1:7" x14ac:dyDescent="0.25">
      <c r="A29">
        <v>6375</v>
      </c>
      <c r="B29">
        <f t="shared" si="0"/>
        <v>108</v>
      </c>
      <c r="D29">
        <v>310554</v>
      </c>
      <c r="E29">
        <f t="shared" si="1"/>
        <v>96</v>
      </c>
      <c r="G29">
        <f t="shared" si="2"/>
        <v>12</v>
      </c>
    </row>
    <row r="30" spans="1:7" x14ac:dyDescent="0.25">
      <c r="A30">
        <v>6469</v>
      </c>
      <c r="B30">
        <f t="shared" si="0"/>
        <v>94</v>
      </c>
      <c r="D30">
        <v>310635</v>
      </c>
      <c r="E30">
        <f t="shared" si="1"/>
        <v>81</v>
      </c>
      <c r="G30">
        <f t="shared" si="2"/>
        <v>13</v>
      </c>
    </row>
    <row r="31" spans="1:7" x14ac:dyDescent="0.25">
      <c r="A31">
        <v>6541</v>
      </c>
      <c r="B31">
        <f t="shared" si="0"/>
        <v>72</v>
      </c>
      <c r="D31">
        <v>310693</v>
      </c>
      <c r="E31">
        <f t="shared" si="1"/>
        <v>58</v>
      </c>
      <c r="G31">
        <f t="shared" si="2"/>
        <v>14</v>
      </c>
    </row>
    <row r="32" spans="1:7" x14ac:dyDescent="0.25">
      <c r="A32">
        <v>6610</v>
      </c>
      <c r="B32">
        <f t="shared" si="0"/>
        <v>69</v>
      </c>
      <c r="D32">
        <v>310756</v>
      </c>
      <c r="E32">
        <f t="shared" si="1"/>
        <v>63</v>
      </c>
      <c r="G32">
        <f t="shared" si="2"/>
        <v>6</v>
      </c>
    </row>
    <row r="33" spans="1:7" x14ac:dyDescent="0.25">
      <c r="A33">
        <v>6692</v>
      </c>
      <c r="B33">
        <f t="shared" si="0"/>
        <v>82</v>
      </c>
      <c r="D33">
        <v>310834</v>
      </c>
      <c r="E33">
        <f t="shared" si="1"/>
        <v>78</v>
      </c>
      <c r="G33">
        <f t="shared" si="2"/>
        <v>4</v>
      </c>
    </row>
    <row r="34" spans="1:7" x14ac:dyDescent="0.25">
      <c r="A34">
        <v>6748</v>
      </c>
      <c r="B34">
        <f t="shared" si="0"/>
        <v>56</v>
      </c>
      <c r="D34">
        <v>310877</v>
      </c>
      <c r="E34">
        <f t="shared" si="1"/>
        <v>43</v>
      </c>
      <c r="G34">
        <f t="shared" si="2"/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Hampshire Daily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Darren Moakes</cp:lastModifiedBy>
  <cp:lastPrinted>2019-08-19T07:32:13Z</cp:lastPrinted>
  <dcterms:created xsi:type="dcterms:W3CDTF">2017-05-03T09:23:30Z</dcterms:created>
  <dcterms:modified xsi:type="dcterms:W3CDTF">2021-02-01T12:39:00Z</dcterms:modified>
</cp:coreProperties>
</file>