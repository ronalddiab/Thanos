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29" i="31" l="1"/>
  <c r="I29" i="31"/>
  <c r="G29" i="31"/>
  <c r="L28" i="31" l="1"/>
  <c r="I28" i="31"/>
  <c r="G28" i="31"/>
  <c r="L27" i="31" l="1"/>
  <c r="I27" i="31"/>
  <c r="G27" i="31"/>
  <c r="L26" i="31" l="1"/>
  <c r="I26" i="31"/>
  <c r="G26" i="31"/>
  <c r="L25" i="31" l="1"/>
  <c r="L24" i="31"/>
  <c r="L23" i="31"/>
  <c r="I25" i="31"/>
  <c r="I24" i="31"/>
  <c r="I23" i="31"/>
  <c r="G25" i="31"/>
  <c r="G24" i="31"/>
  <c r="G23" i="31"/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<sst xmlns="http://schemas.openxmlformats.org/spreadsheetml/2006/main" count="62" uniqueCount="29">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</sst>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34818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79000</v>
      </c>
      <c r="J20" s="10">
        <v>3.61E-2</v>
      </c>
      <c r="K20" s="1">
        <f>'Aug 2020 '!I23</f>
        <v>241</v>
      </c>
      <c r="L20" s="10">
        <v>0.75</v>
      </c>
      <c r="M20" s="10">
        <f>'Aug 2020 '!L23</f>
        <v>246</v>
      </c>
      <c r="N20" s="10">
        <v>0.56299999999999994</v>
      </c>
      <c r="O20" s="15">
        <f>'Aug 2020 '!D23</f>
        <v>50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35903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82000</v>
      </c>
      <c r="J21" s="10">
        <v>3.61E-2</v>
      </c>
      <c r="K21" s="1">
        <f>'Aug 2020 '!I24</f>
        <v>253</v>
      </c>
      <c r="L21" s="10">
        <v>0.75</v>
      </c>
      <c r="M21" s="10">
        <f>'Aug 2020 '!L24</f>
        <v>286</v>
      </c>
      <c r="N21" s="10">
        <v>0.56299999999999994</v>
      </c>
      <c r="O21" s="15">
        <f>'Aug 2020 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36880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79000</v>
      </c>
      <c r="J22" s="10">
        <v>3.61E-2</v>
      </c>
      <c r="K22" s="1">
        <f>'Aug 2020 '!I25</f>
        <v>205</v>
      </c>
      <c r="L22" s="10">
        <v>0.75</v>
      </c>
      <c r="M22" s="10">
        <f>'Aug 2020 '!L25</f>
        <v>171</v>
      </c>
      <c r="N22" s="10">
        <v>0.56299999999999994</v>
      </c>
      <c r="O22" s="15">
        <f>'Aug 2020 '!D25</f>
        <v>60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37851</v>
      </c>
      <c r="F23" s="10">
        <v>2.9000000000000001E-2</v>
      </c>
      <c r="G23" s="1">
        <f>'Aug 2020 '!J26</f>
        <v>2970</v>
      </c>
      <c r="H23" s="10">
        <v>0.112</v>
      </c>
      <c r="I23" s="1">
        <f>'Aug 2020 '!G26*1000</f>
        <v>77000</v>
      </c>
      <c r="J23" s="10">
        <v>3.61E-2</v>
      </c>
      <c r="K23" s="1">
        <f>'Aug 2020 '!I26</f>
        <v>392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22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33166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89000</v>
      </c>
      <c r="J24" s="10">
        <v>3.61E-2</v>
      </c>
      <c r="K24" s="1">
        <f>'Aug 2020 '!I27</f>
        <v>190</v>
      </c>
      <c r="L24" s="10">
        <v>0.75</v>
      </c>
      <c r="M24" s="10">
        <f>'Aug 2020 '!L27</f>
        <v>375</v>
      </c>
      <c r="N24" s="10">
        <v>0.56299999999999994</v>
      </c>
      <c r="O24" s="15">
        <f>'Aug 2020 '!D27</f>
        <v>36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35778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94000</v>
      </c>
      <c r="J25" s="10">
        <v>3.61E-2</v>
      </c>
      <c r="K25" s="1">
        <f>'Aug 2020 '!I28</f>
        <v>198</v>
      </c>
      <c r="L25" s="10">
        <v>0.75</v>
      </c>
      <c r="M25" s="10">
        <f>'Aug 2020 '!L28</f>
        <v>246</v>
      </c>
      <c r="N25" s="10">
        <v>0.56299999999999994</v>
      </c>
      <c r="O25" s="15">
        <f>'Aug 2020 '!D28</f>
        <v>64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36754</v>
      </c>
      <c r="F26" s="10">
        <v>2.9000000000000001E-2</v>
      </c>
      <c r="G26" s="1">
        <f>'Aug 2020 '!J29</f>
        <v>2970</v>
      </c>
      <c r="H26" s="10">
        <v>0.112</v>
      </c>
      <c r="I26" s="1">
        <f>'Aug 2020 '!G29*1000</f>
        <v>90000</v>
      </c>
      <c r="J26" s="10">
        <v>3.61E-2</v>
      </c>
      <c r="K26" s="1">
        <f>'Aug 2020 '!I29</f>
        <v>264</v>
      </c>
      <c r="L26" s="10">
        <v>0.75</v>
      </c>
      <c r="M26" s="10">
        <f>'Aug 2020 '!L29</f>
        <v>263</v>
      </c>
      <c r="N26" s="10">
        <v>0.56299999999999994</v>
      </c>
      <c r="O26" s="15">
        <f>'Aug 2020 '!D29</f>
        <v>90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0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0</v>
      </c>
      <c r="J27" s="10">
        <v>3.61E-2</v>
      </c>
      <c r="K27" s="1">
        <f>'Aug 2020 '!I30</f>
        <v>0</v>
      </c>
      <c r="L27" s="10">
        <v>0.75</v>
      </c>
      <c r="M27" s="10">
        <f>'Aug 2020 '!L30</f>
        <v>0</v>
      </c>
      <c r="N27" s="10">
        <v>0.56299999999999994</v>
      </c>
      <c r="O27" s="15">
        <f>'Aug 2020 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0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0</v>
      </c>
      <c r="J28" s="10">
        <v>3.61E-2</v>
      </c>
      <c r="K28" s="1">
        <f>'Aug 2020 '!I31</f>
        <v>0</v>
      </c>
      <c r="L28" s="10">
        <v>0.75</v>
      </c>
      <c r="M28" s="10">
        <f>'Aug 2020 '!L31</f>
        <v>0</v>
      </c>
      <c r="N28" s="10">
        <v>0.56299999999999994</v>
      </c>
      <c r="O28" s="15">
        <f>'Aug 2020 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0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0</v>
      </c>
      <c r="J29" s="10">
        <v>3.61E-2</v>
      </c>
      <c r="K29" s="1">
        <f>'Aug 2020 '!I32</f>
        <v>0</v>
      </c>
      <c r="L29" s="10">
        <v>0.75</v>
      </c>
      <c r="M29" s="10">
        <f>'Aug 2020 '!L32</f>
        <v>0</v>
      </c>
      <c r="N29" s="10">
        <v>0.56299999999999994</v>
      </c>
      <c r="O29" s="15">
        <f>'Aug 2020 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0</v>
      </c>
      <c r="J30" s="10">
        <v>3.61E-2</v>
      </c>
      <c r="K30" s="1">
        <f>'Aug 2020 '!I33</f>
        <v>0</v>
      </c>
      <c r="L30" s="10">
        <v>0.75</v>
      </c>
      <c r="M30" s="10">
        <f>'Aug 2020 '!L33</f>
        <v>0</v>
      </c>
      <c r="N30" s="10">
        <v>0.56299999999999994</v>
      </c>
      <c r="O30" s="15">
        <f>'Aug 2020 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0</v>
      </c>
      <c r="F31" s="10">
        <v>2.9000000000000001E-2</v>
      </c>
      <c r="G31" s="1">
        <f>'Aug 2020 '!J34</f>
        <v>0</v>
      </c>
      <c r="H31" s="10">
        <v>0.112</v>
      </c>
      <c r="I31" s="1">
        <f>'Aug 2020 '!G34*1000</f>
        <v>0</v>
      </c>
      <c r="J31" s="10">
        <v>3.61E-2</v>
      </c>
      <c r="K31" s="1">
        <f>'Aug 2020 '!I34</f>
        <v>0</v>
      </c>
      <c r="L31" s="10">
        <v>0.75</v>
      </c>
      <c r="M31" s="10">
        <f>'Aug 2020 '!L34</f>
        <v>0</v>
      </c>
      <c r="N31" s="10">
        <v>0.56299999999999994</v>
      </c>
      <c r="O31" s="15">
        <f>'Aug 2020 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0</v>
      </c>
      <c r="F32" s="10">
        <v>2.9000000000000001E-2</v>
      </c>
      <c r="G32" s="1">
        <f>'Aug 2020 '!J35</f>
        <v>0</v>
      </c>
      <c r="H32" s="10">
        <v>0.112</v>
      </c>
      <c r="I32" s="1">
        <f>'Aug 2020 '!G35*1000</f>
        <v>0</v>
      </c>
      <c r="J32" s="10">
        <v>3.61E-2</v>
      </c>
      <c r="K32" s="1">
        <f>'Aug 2020 '!I35</f>
        <v>0</v>
      </c>
      <c r="L32" s="10">
        <v>0.75</v>
      </c>
      <c r="M32" s="10">
        <f>'Aug 2020 '!L35</f>
        <v>0</v>
      </c>
      <c r="N32" s="10">
        <v>0.56299999999999994</v>
      </c>
      <c r="O32" s="15">
        <f>'Aug 2020 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K39" sqref="K3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2" si="0">F7-F6</f>
        <v>91</v>
      </c>
      <c r="H6" s="7">
        <v>398412</v>
      </c>
      <c r="I6" s="3">
        <f t="shared" ref="I6:I22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>
        <v>50</v>
      </c>
      <c r="E23" s="13">
        <v>34818</v>
      </c>
      <c r="F23" s="4">
        <v>176013</v>
      </c>
      <c r="G23" s="8">
        <f t="shared" ref="G23:G29" si="3">F24-F23</f>
        <v>79</v>
      </c>
      <c r="H23" s="4">
        <v>402286</v>
      </c>
      <c r="I23" s="3">
        <f t="shared" ref="I23:I29" si="4">H24-H23</f>
        <v>241</v>
      </c>
      <c r="J23" s="3">
        <v>0</v>
      </c>
      <c r="K23" s="4">
        <v>244857</v>
      </c>
      <c r="L23" s="9">
        <f>K24-K23</f>
        <v>246</v>
      </c>
      <c r="N23" s="1"/>
    </row>
    <row r="24" spans="1:14" ht="12" customHeight="1" x14ac:dyDescent="0.2">
      <c r="B24" s="2">
        <v>20</v>
      </c>
      <c r="C24" s="11">
        <v>44063</v>
      </c>
      <c r="D24" s="7">
        <v>69</v>
      </c>
      <c r="E24" s="13">
        <v>35903</v>
      </c>
      <c r="F24" s="4">
        <v>176092</v>
      </c>
      <c r="G24" s="8">
        <f t="shared" si="3"/>
        <v>82</v>
      </c>
      <c r="H24" s="31">
        <v>402527</v>
      </c>
      <c r="I24" s="3">
        <f t="shared" si="4"/>
        <v>253</v>
      </c>
      <c r="J24" s="3">
        <v>0</v>
      </c>
      <c r="K24" s="31">
        <v>245103</v>
      </c>
      <c r="L24" s="9">
        <f>K25-K24</f>
        <v>286</v>
      </c>
      <c r="N24" s="1"/>
    </row>
    <row r="25" spans="1:14" x14ac:dyDescent="0.2">
      <c r="B25" s="2">
        <v>21</v>
      </c>
      <c r="C25" s="11">
        <v>44064</v>
      </c>
      <c r="D25" s="7">
        <v>60</v>
      </c>
      <c r="E25" s="12">
        <v>36880</v>
      </c>
      <c r="F25" s="4">
        <v>176174</v>
      </c>
      <c r="G25" s="8">
        <f t="shared" si="3"/>
        <v>79</v>
      </c>
      <c r="H25" s="4">
        <v>402780</v>
      </c>
      <c r="I25" s="3">
        <f t="shared" si="4"/>
        <v>205</v>
      </c>
      <c r="J25" s="3">
        <v>0</v>
      </c>
      <c r="K25" s="4">
        <v>245389</v>
      </c>
      <c r="L25" s="9">
        <f>K26-K25</f>
        <v>171</v>
      </c>
      <c r="N25" s="1"/>
    </row>
    <row r="26" spans="1:14" x14ac:dyDescent="0.2">
      <c r="B26" s="2">
        <v>22</v>
      </c>
      <c r="C26" s="11">
        <v>44065</v>
      </c>
      <c r="D26" s="7">
        <v>22</v>
      </c>
      <c r="E26" s="12">
        <v>37851</v>
      </c>
      <c r="F26" s="4">
        <v>176253</v>
      </c>
      <c r="G26" s="8">
        <f t="shared" si="3"/>
        <v>77</v>
      </c>
      <c r="H26" s="4">
        <v>402985</v>
      </c>
      <c r="I26" s="3">
        <f t="shared" si="4"/>
        <v>392</v>
      </c>
      <c r="J26" s="3">
        <v>2970</v>
      </c>
      <c r="K26" s="4">
        <v>245560</v>
      </c>
      <c r="L26" s="9">
        <f>K27-K26</f>
        <v>0</v>
      </c>
      <c r="N26" s="1"/>
    </row>
    <row r="27" spans="1:14" x14ac:dyDescent="0.2">
      <c r="B27" s="2">
        <v>23</v>
      </c>
      <c r="C27" s="11">
        <v>44066</v>
      </c>
      <c r="D27" s="7">
        <v>36</v>
      </c>
      <c r="E27" s="12">
        <v>33166</v>
      </c>
      <c r="F27" s="4">
        <v>176330</v>
      </c>
      <c r="G27" s="8">
        <f t="shared" si="3"/>
        <v>89</v>
      </c>
      <c r="H27" s="7">
        <v>403377</v>
      </c>
      <c r="I27" s="3">
        <f t="shared" si="4"/>
        <v>190</v>
      </c>
      <c r="J27" s="3">
        <v>0</v>
      </c>
      <c r="K27" s="4">
        <v>245560</v>
      </c>
      <c r="L27" s="9">
        <f t="shared" ref="L27:L29" si="5">K28-K27</f>
        <v>375</v>
      </c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>
        <v>64</v>
      </c>
      <c r="E28" s="12">
        <v>35778</v>
      </c>
      <c r="F28" s="4">
        <v>176419</v>
      </c>
      <c r="G28" s="8">
        <f t="shared" si="3"/>
        <v>94</v>
      </c>
      <c r="H28" s="7">
        <v>403567</v>
      </c>
      <c r="I28" s="3">
        <f t="shared" si="4"/>
        <v>198</v>
      </c>
      <c r="J28" s="3">
        <v>0</v>
      </c>
      <c r="K28" s="4">
        <v>245935</v>
      </c>
      <c r="L28" s="9">
        <f t="shared" si="5"/>
        <v>246</v>
      </c>
      <c r="N28" s="1"/>
    </row>
    <row r="29" spans="1:14" x14ac:dyDescent="0.2">
      <c r="B29" s="2">
        <v>25</v>
      </c>
      <c r="C29" s="11">
        <v>44068</v>
      </c>
      <c r="D29" s="7">
        <v>90</v>
      </c>
      <c r="E29" s="12">
        <v>36754</v>
      </c>
      <c r="F29" s="4">
        <v>176513</v>
      </c>
      <c r="G29" s="8">
        <f t="shared" si="3"/>
        <v>90</v>
      </c>
      <c r="H29" s="7">
        <v>403765</v>
      </c>
      <c r="I29" s="3">
        <f t="shared" si="4"/>
        <v>264</v>
      </c>
      <c r="J29" s="3">
        <v>2970</v>
      </c>
      <c r="K29" s="4">
        <v>246181</v>
      </c>
      <c r="L29" s="9">
        <f t="shared" si="5"/>
        <v>263</v>
      </c>
      <c r="N29" s="1"/>
    </row>
    <row r="30" spans="1:14" x14ac:dyDescent="0.2">
      <c r="B30" s="2">
        <v>26</v>
      </c>
      <c r="C30" s="11">
        <v>44069</v>
      </c>
      <c r="D30" s="7"/>
      <c r="E30" s="12"/>
      <c r="F30" s="4">
        <v>176603</v>
      </c>
      <c r="G30" s="8"/>
      <c r="H30" s="7">
        <v>404029</v>
      </c>
      <c r="I30" s="3"/>
      <c r="J30" s="3">
        <v>0</v>
      </c>
      <c r="K30" s="32">
        <v>246444</v>
      </c>
      <c r="L30" s="9"/>
      <c r="N30" s="1"/>
    </row>
    <row r="31" spans="1:14" x14ac:dyDescent="0.2">
      <c r="B31" s="2">
        <v>27</v>
      </c>
      <c r="C31" s="11">
        <v>44070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44071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44072</v>
      </c>
      <c r="D33" s="24"/>
      <c r="E33" s="25"/>
      <c r="F33" s="31"/>
      <c r="G33" s="8"/>
      <c r="H33" s="24"/>
      <c r="I33" s="3"/>
      <c r="J33" s="27"/>
      <c r="K33" s="33"/>
      <c r="L33" s="9"/>
      <c r="N33" s="1"/>
    </row>
    <row r="34" spans="2:14" ht="13.5" thickBot="1" x14ac:dyDescent="0.25">
      <c r="B34" s="23">
        <v>30</v>
      </c>
      <c r="C34" s="11">
        <v>44073</v>
      </c>
      <c r="D34" s="22"/>
      <c r="E34" s="3"/>
      <c r="F34" s="22"/>
      <c r="G34" s="8"/>
      <c r="H34" s="22"/>
      <c r="I34" s="3"/>
      <c r="J34" s="29"/>
      <c r="K34" s="33"/>
      <c r="L34" s="9"/>
      <c r="M34" s="16"/>
      <c r="N34" s="1"/>
    </row>
    <row r="35" spans="2:14" ht="13.5" thickBot="1" x14ac:dyDescent="0.25">
      <c r="B35" s="22">
        <v>31</v>
      </c>
      <c r="C35" s="11">
        <v>44074</v>
      </c>
      <c r="D35" s="28"/>
      <c r="E35" s="30"/>
      <c r="F35" s="28"/>
      <c r="G35" s="8"/>
      <c r="H35" s="28"/>
      <c r="I35" s="3"/>
      <c r="J35" s="29"/>
      <c r="K35" s="33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2020-08-26T05:38:40Z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