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84A130E5-0B5C-462D-8692-82D829959E2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Elect!$A$1:$CD$40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32" i="12" l="1"/>
  <c r="AP31" i="12"/>
  <c r="AP30" i="12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2" i="13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J6" i="1"/>
  <c r="AB2" i="12" s="1"/>
  <c r="BJ7" i="1"/>
  <c r="AB3" i="12" s="1"/>
  <c r="BJ8" i="1"/>
  <c r="AB4" i="12" s="1"/>
  <c r="BJ9" i="1"/>
  <c r="AB5" i="12" s="1"/>
  <c r="BJ10" i="1"/>
  <c r="AB6" i="12" s="1"/>
  <c r="BJ11" i="1"/>
  <c r="AB7" i="12" s="1"/>
  <c r="BJ12" i="1"/>
  <c r="AB8" i="12" s="1"/>
  <c r="BJ13" i="1"/>
  <c r="AB9" i="12" s="1"/>
  <c r="BJ14" i="1"/>
  <c r="AB10" i="12" s="1"/>
  <c r="BJ15" i="1"/>
  <c r="AB11" i="12" s="1"/>
  <c r="BJ16" i="1"/>
  <c r="AB12" i="12" s="1"/>
  <c r="BJ17" i="1"/>
  <c r="AB13" i="12" s="1"/>
  <c r="BJ18" i="1"/>
  <c r="AB14" i="12" s="1"/>
  <c r="BJ19" i="1"/>
  <c r="AB15" i="12" s="1"/>
  <c r="BJ20" i="1"/>
  <c r="AB16" i="12" s="1"/>
  <c r="BJ21" i="1"/>
  <c r="AB17" i="12" s="1"/>
  <c r="BJ22" i="1"/>
  <c r="AB18" i="12" s="1"/>
  <c r="BJ23" i="1"/>
  <c r="AB19" i="12" s="1"/>
  <c r="BJ24" i="1"/>
  <c r="AB20" i="12" s="1"/>
  <c r="BJ25" i="1"/>
  <c r="AB21" i="12" s="1"/>
  <c r="BJ26" i="1"/>
  <c r="AB22" i="12" s="1"/>
  <c r="BJ27" i="1"/>
  <c r="AB23" i="12" s="1"/>
  <c r="BJ28" i="1"/>
  <c r="AB24" i="12" s="1"/>
  <c r="BJ29" i="1"/>
  <c r="AB25" i="12" s="1"/>
  <c r="BJ30" i="1"/>
  <c r="AB26" i="12" s="1"/>
  <c r="BJ31" i="1"/>
  <c r="AB27" i="12" s="1"/>
  <c r="BJ32" i="1"/>
  <c r="AB28" i="12" s="1"/>
  <c r="BJ33" i="1"/>
  <c r="AB29" i="12" s="1"/>
  <c r="BJ34" i="1"/>
  <c r="AB30" i="12" s="1"/>
  <c r="BJ35" i="1"/>
  <c r="AB31" i="12" s="1"/>
  <c r="BJ36" i="1"/>
  <c r="AB32" i="12" s="1"/>
  <c r="BH6" i="1"/>
  <c r="AA2" i="12" s="1"/>
  <c r="BH7" i="1"/>
  <c r="AA3" i="12" s="1"/>
  <c r="BH8" i="1"/>
  <c r="AA4" i="12" s="1"/>
  <c r="BH9" i="1"/>
  <c r="AA5" i="12" s="1"/>
  <c r="BH10" i="1"/>
  <c r="AA6" i="12" s="1"/>
  <c r="BH11" i="1"/>
  <c r="AA7" i="12" s="1"/>
  <c r="BH12" i="1"/>
  <c r="AA8" i="12" s="1"/>
  <c r="BH13" i="1"/>
  <c r="AA9" i="12" s="1"/>
  <c r="BH14" i="1"/>
  <c r="AA10" i="12" s="1"/>
  <c r="BH15" i="1"/>
  <c r="AA11" i="12" s="1"/>
  <c r="BH16" i="1"/>
  <c r="AA12" i="12" s="1"/>
  <c r="BH17" i="1"/>
  <c r="AA13" i="12" s="1"/>
  <c r="BH18" i="1"/>
  <c r="AA14" i="12" s="1"/>
  <c r="BH19" i="1"/>
  <c r="AA15" i="12" s="1"/>
  <c r="BH20" i="1"/>
  <c r="AA16" i="12" s="1"/>
  <c r="BH21" i="1"/>
  <c r="AA17" i="12" s="1"/>
  <c r="BH22" i="1"/>
  <c r="AA18" i="12" s="1"/>
  <c r="BH23" i="1"/>
  <c r="AA19" i="12" s="1"/>
  <c r="BH24" i="1"/>
  <c r="AA20" i="12" s="1"/>
  <c r="BH25" i="1"/>
  <c r="AA21" i="12" s="1"/>
  <c r="BH26" i="1"/>
  <c r="AA22" i="12" s="1"/>
  <c r="BH27" i="1"/>
  <c r="AA23" i="12" s="1"/>
  <c r="BH28" i="1"/>
  <c r="AA24" i="12" s="1"/>
  <c r="BH29" i="1"/>
  <c r="AA25" i="12" s="1"/>
  <c r="BH30" i="1"/>
  <c r="AA26" i="12" s="1"/>
  <c r="BH31" i="1"/>
  <c r="AA27" i="12" s="1"/>
  <c r="BH32" i="1"/>
  <c r="AA28" i="12" s="1"/>
  <c r="BH33" i="1"/>
  <c r="AA29" i="12" s="1"/>
  <c r="BH34" i="1"/>
  <c r="AA30" i="12" s="1"/>
  <c r="BH35" i="1"/>
  <c r="AA31" i="12" s="1"/>
  <c r="BH36" i="1"/>
  <c r="AA32" i="12" s="1"/>
  <c r="BJ5" i="1"/>
  <c r="BH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D5" i="1"/>
  <c r="BD6" i="1"/>
  <c r="BD7" i="1"/>
  <c r="BD8" i="1"/>
  <c r="BD9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Q6" i="1"/>
  <c r="S2" i="12" s="1"/>
  <c r="AQ7" i="1"/>
  <c r="S3" i="12" s="1"/>
  <c r="AQ8" i="1"/>
  <c r="S4" i="12" s="1"/>
  <c r="AQ9" i="1"/>
  <c r="S5" i="12" s="1"/>
  <c r="AQ10" i="1"/>
  <c r="S6" i="12" s="1"/>
  <c r="AQ11" i="1"/>
  <c r="S7" i="12" s="1"/>
  <c r="AQ12" i="1"/>
  <c r="S8" i="12" s="1"/>
  <c r="AQ13" i="1"/>
  <c r="S9" i="12" s="1"/>
  <c r="AQ14" i="1"/>
  <c r="S10" i="12" s="1"/>
  <c r="AQ15" i="1"/>
  <c r="S11" i="12" s="1"/>
  <c r="AQ16" i="1"/>
  <c r="S12" i="12" s="1"/>
  <c r="AQ17" i="1"/>
  <c r="S13" i="12" s="1"/>
  <c r="AQ18" i="1"/>
  <c r="S14" i="12" s="1"/>
  <c r="AQ19" i="1"/>
  <c r="S15" i="12" s="1"/>
  <c r="AQ20" i="1"/>
  <c r="S16" i="12" s="1"/>
  <c r="AQ21" i="1"/>
  <c r="S17" i="12" s="1"/>
  <c r="AQ22" i="1"/>
  <c r="S18" i="12" s="1"/>
  <c r="AQ23" i="1"/>
  <c r="S19" i="12" s="1"/>
  <c r="AQ24" i="1"/>
  <c r="S20" i="12" s="1"/>
  <c r="AQ25" i="1"/>
  <c r="S21" i="12" s="1"/>
  <c r="AQ26" i="1"/>
  <c r="S22" i="12" s="1"/>
  <c r="AQ27" i="1"/>
  <c r="S23" i="12" s="1"/>
  <c r="AQ28" i="1"/>
  <c r="S24" i="12" s="1"/>
  <c r="AQ29" i="1"/>
  <c r="S25" i="12" s="1"/>
  <c r="AQ30" i="1"/>
  <c r="S26" i="12" s="1"/>
  <c r="AQ31" i="1"/>
  <c r="S27" i="12" s="1"/>
  <c r="AQ32" i="1"/>
  <c r="S28" i="12" s="1"/>
  <c r="AQ33" i="1"/>
  <c r="S29" i="12" s="1"/>
  <c r="AQ34" i="1"/>
  <c r="S30" i="12" s="1"/>
  <c r="AQ35" i="1"/>
  <c r="S31" i="12" s="1"/>
  <c r="AQ36" i="1"/>
  <c r="S32" i="12" s="1"/>
  <c r="AQ5" i="1"/>
  <c r="AO13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K6" i="1"/>
  <c r="P2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K36" i="1"/>
  <c r="P32" i="12" s="1"/>
  <c r="AI6" i="1"/>
  <c r="O2" i="12" s="1"/>
  <c r="AI7" i="1"/>
  <c r="O3" i="12" s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O14" i="12" s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O20" i="12" s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O28" i="12" s="1"/>
  <c r="AI33" i="1"/>
  <c r="O29" i="12" s="1"/>
  <c r="AI34" i="1"/>
  <c r="O30" i="12" s="1"/>
  <c r="AI35" i="1"/>
  <c r="O31" i="12" s="1"/>
  <c r="AI36" i="1"/>
  <c r="O32" i="12" s="1"/>
  <c r="AK5" i="1"/>
  <c r="AI5" i="1"/>
  <c r="B48" i="2"/>
  <c r="A42" i="6"/>
  <c r="E26" i="2"/>
  <c r="E27" i="2"/>
  <c r="E28" i="2"/>
  <c r="E29" i="2"/>
  <c r="E30" i="2"/>
  <c r="AV24" i="1"/>
  <c r="AV25" i="1"/>
  <c r="AV26" i="1"/>
  <c r="AV27" i="1"/>
  <c r="AV28" i="1"/>
  <c r="AV29" i="1"/>
  <c r="AV30" i="1"/>
  <c r="AV31" i="1"/>
  <c r="AV32" i="1"/>
  <c r="AV33" i="1"/>
  <c r="AV34" i="1"/>
  <c r="AV35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18" i="1"/>
  <c r="AC19" i="1"/>
  <c r="BJ37" i="1" l="1"/>
  <c r="BH37" i="1"/>
  <c r="AQ37" i="1"/>
  <c r="AK37" i="1"/>
  <c r="AI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Z25" i="1"/>
  <c r="W21" i="12" s="1"/>
  <c r="AZ26" i="1"/>
  <c r="AZ27" i="1"/>
  <c r="W23" i="12" s="1"/>
  <c r="AZ28" i="1"/>
  <c r="AZ29" i="1"/>
  <c r="W25" i="12" s="1"/>
  <c r="AZ30" i="1"/>
  <c r="W26" i="12" s="1"/>
  <c r="BP14" i="1"/>
  <c r="AD10" i="12" s="1"/>
  <c r="BP15" i="1"/>
  <c r="AD11" i="12" s="1"/>
  <c r="BP16" i="1"/>
  <c r="AD12" i="12" s="1"/>
  <c r="BP17" i="1"/>
  <c r="AD13" i="12" s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R14" i="12"/>
  <c r="R15" i="12"/>
  <c r="R16" i="12"/>
  <c r="R17" i="12"/>
  <c r="R19" i="12"/>
  <c r="AO12" i="1"/>
  <c r="R8" i="12" s="1"/>
  <c r="R9" i="12"/>
  <c r="R10" i="12"/>
  <c r="R11" i="12"/>
  <c r="R12" i="12"/>
  <c r="R13" i="12"/>
  <c r="AO7" i="1"/>
  <c r="AO8" i="1"/>
  <c r="R4" i="12" s="1"/>
  <c r="AO9" i="1"/>
  <c r="AO10" i="1"/>
  <c r="R6" i="12" s="1"/>
  <c r="AO11" i="1"/>
  <c r="BD22" i="1"/>
  <c r="Y18" i="12" s="1"/>
  <c r="BD23" i="1"/>
  <c r="Y19" i="12" s="1"/>
  <c r="BF22" i="1"/>
  <c r="BF23" i="1"/>
  <c r="BR22" i="1"/>
  <c r="BR23" i="1"/>
  <c r="AE19" i="12" s="1"/>
  <c r="BT22" i="1"/>
  <c r="BT23" i="1"/>
  <c r="BV22" i="1"/>
  <c r="AG18" i="12" s="1"/>
  <c r="BV23" i="1"/>
  <c r="AG19" i="12" s="1"/>
  <c r="BV24" i="1"/>
  <c r="BB22" i="1"/>
  <c r="X18" i="12" s="1"/>
  <c r="BB23" i="1"/>
  <c r="X19" i="12" s="1"/>
  <c r="AZ22" i="1"/>
  <c r="W18" i="12" s="1"/>
  <c r="AZ23" i="1"/>
  <c r="W19" i="12" s="1"/>
  <c r="T18" i="12"/>
  <c r="T19" i="12"/>
  <c r="AV22" i="1"/>
  <c r="U18" i="12" s="1"/>
  <c r="AV23" i="1"/>
  <c r="U19" i="12" s="1"/>
  <c r="V19" i="12"/>
  <c r="Q19" i="12"/>
  <c r="N20" i="12"/>
  <c r="L18" i="12"/>
  <c r="L20" i="12"/>
  <c r="AA22" i="1"/>
  <c r="AR22" i="1" s="1"/>
  <c r="AA23" i="1"/>
  <c r="AA24" i="1"/>
  <c r="AA25" i="1"/>
  <c r="Y22" i="1"/>
  <c r="J18" i="12" s="1"/>
  <c r="Y23" i="1"/>
  <c r="Y24" i="1"/>
  <c r="J20" i="12" s="1"/>
  <c r="W23" i="1"/>
  <c r="I19" i="12" s="1"/>
  <c r="W24" i="1"/>
  <c r="I20" i="12" s="1"/>
  <c r="W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E24" i="9" s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S7" i="1"/>
  <c r="S8" i="1"/>
  <c r="S9" i="1"/>
  <c r="S10" i="1"/>
  <c r="S11" i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30" i="13"/>
  <c r="K31" i="13"/>
  <c r="K32" i="13"/>
  <c r="BR16" i="1"/>
  <c r="BR17" i="1"/>
  <c r="D53" i="11"/>
  <c r="F53" i="11" s="1"/>
  <c r="G53" i="11" s="1"/>
  <c r="D52" i="11"/>
  <c r="Y6" i="1"/>
  <c r="J2" i="12" s="1"/>
  <c r="Y7" i="1"/>
  <c r="W6" i="1"/>
  <c r="I2" i="12" s="1"/>
  <c r="A1" i="2"/>
  <c r="BX37" i="1"/>
  <c r="BX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S17" i="1"/>
  <c r="S31" i="1"/>
  <c r="N21" i="12"/>
  <c r="Y4" i="12"/>
  <c r="Y5" i="12"/>
  <c r="BD10" i="1"/>
  <c r="K38" i="2"/>
  <c r="I38" i="2"/>
  <c r="J36" i="1"/>
  <c r="F32" i="12" s="1"/>
  <c r="AE5" i="1"/>
  <c r="BF27" i="1"/>
  <c r="T26" i="12"/>
  <c r="W30" i="1"/>
  <c r="I26" i="12" s="1"/>
  <c r="BP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V36" i="1"/>
  <c r="AG32" i="12" s="1"/>
  <c r="BT36" i="1"/>
  <c r="BR36" i="1"/>
  <c r="AE32" i="12" s="1"/>
  <c r="BP36" i="1"/>
  <c r="AD32" i="12" s="1"/>
  <c r="BF36" i="1"/>
  <c r="BD36" i="1"/>
  <c r="Y32" i="12" s="1"/>
  <c r="BB36" i="1"/>
  <c r="X32" i="12" s="1"/>
  <c r="AZ36" i="1"/>
  <c r="W32" i="12" s="1"/>
  <c r="V32" i="12"/>
  <c r="AV36" i="1"/>
  <c r="U32" i="12" s="1"/>
  <c r="T32" i="12"/>
  <c r="R32" i="12"/>
  <c r="Q32" i="12"/>
  <c r="M32" i="12"/>
  <c r="L32" i="12"/>
  <c r="AA36" i="1"/>
  <c r="Y36" i="1"/>
  <c r="J32" i="12" s="1"/>
  <c r="W36" i="1"/>
  <c r="I32" i="12" s="1"/>
  <c r="S36" i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12" i="1"/>
  <c r="I8" i="12" s="1"/>
  <c r="W13" i="1"/>
  <c r="I9" i="12" s="1"/>
  <c r="W5" i="1"/>
  <c r="C30" i="6"/>
  <c r="I30" i="6" s="1"/>
  <c r="K24" i="9"/>
  <c r="AJ22" i="12"/>
  <c r="M19" i="12"/>
  <c r="AG11" i="1"/>
  <c r="N7" i="12" s="1"/>
  <c r="AA33" i="1"/>
  <c r="Q24" i="1"/>
  <c r="H20" i="12" s="1"/>
  <c r="Q25" i="1"/>
  <c r="H21" i="12" s="1"/>
  <c r="Q27" i="1"/>
  <c r="H23" i="12" s="1"/>
  <c r="AG12" i="1"/>
  <c r="N8" i="12" s="1"/>
  <c r="AG10" i="1"/>
  <c r="N6" i="12" s="1"/>
  <c r="AV17" i="1"/>
  <c r="U13" i="12" s="1"/>
  <c r="AV18" i="1"/>
  <c r="U14" i="12" s="1"/>
  <c r="AV21" i="1"/>
  <c r="U17" i="12" s="1"/>
  <c r="AV20" i="1"/>
  <c r="U16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V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BD11" i="1"/>
  <c r="BD12" i="1"/>
  <c r="BD13" i="1"/>
  <c r="BD14" i="1"/>
  <c r="BD15" i="1"/>
  <c r="BD16" i="1"/>
  <c r="BD17" i="1"/>
  <c r="BD18" i="1"/>
  <c r="BD19" i="1"/>
  <c r="Y15" i="12" s="1"/>
  <c r="BD20" i="1"/>
  <c r="Y16" i="12" s="1"/>
  <c r="BD21" i="1"/>
  <c r="Y17" i="12" s="1"/>
  <c r="BD24" i="1"/>
  <c r="Y20" i="12" s="1"/>
  <c r="BD25" i="1"/>
  <c r="Y21" i="12" s="1"/>
  <c r="BD26" i="1"/>
  <c r="Y22" i="12" s="1"/>
  <c r="BD27" i="1"/>
  <c r="Y23" i="12" s="1"/>
  <c r="BD28" i="1"/>
  <c r="Y24" i="12" s="1"/>
  <c r="BD29" i="1"/>
  <c r="Y25" i="12" s="1"/>
  <c r="BD30" i="1"/>
  <c r="Y26" i="12" s="1"/>
  <c r="BD31" i="1"/>
  <c r="Y27" i="12" s="1"/>
  <c r="BD32" i="1"/>
  <c r="Y28" i="12" s="1"/>
  <c r="BD33" i="1"/>
  <c r="Y29" i="12" s="1"/>
  <c r="BD34" i="1"/>
  <c r="Y30" i="12" s="1"/>
  <c r="BD35" i="1"/>
  <c r="Y31" i="12" s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6" i="1"/>
  <c r="AA27" i="1"/>
  <c r="AA28" i="1"/>
  <c r="AA29" i="1"/>
  <c r="AA30" i="1"/>
  <c r="AR30" i="1" s="1"/>
  <c r="AA31" i="1"/>
  <c r="AA32" i="1"/>
  <c r="AA34" i="1"/>
  <c r="AA35" i="1"/>
  <c r="BR7" i="1"/>
  <c r="BR8" i="1"/>
  <c r="BR9" i="1"/>
  <c r="BR10" i="1"/>
  <c r="BR11" i="1"/>
  <c r="BR12" i="1"/>
  <c r="BR13" i="1"/>
  <c r="BR14" i="1"/>
  <c r="BR15" i="1"/>
  <c r="BR18" i="1"/>
  <c r="BR19" i="1"/>
  <c r="BR20" i="1"/>
  <c r="BR21" i="1"/>
  <c r="BR24" i="1"/>
  <c r="AE20" i="12" s="1"/>
  <c r="BR25" i="1"/>
  <c r="AE21" i="12" s="1"/>
  <c r="BR26" i="1"/>
  <c r="BR27" i="1"/>
  <c r="AE23" i="12" s="1"/>
  <c r="BR28" i="1"/>
  <c r="AE24" i="12" s="1"/>
  <c r="BR29" i="1"/>
  <c r="AE25" i="12" s="1"/>
  <c r="BR30" i="1"/>
  <c r="BR31" i="1"/>
  <c r="BR32" i="1"/>
  <c r="BR33" i="1"/>
  <c r="AE29" i="12" s="1"/>
  <c r="BR34" i="1"/>
  <c r="AE30" i="12" s="1"/>
  <c r="BR35" i="1"/>
  <c r="AE31" i="12" s="1"/>
  <c r="BP7" i="1"/>
  <c r="AD3" i="12" s="1"/>
  <c r="BP8" i="1"/>
  <c r="AD4" i="12" s="1"/>
  <c r="BP9" i="1"/>
  <c r="AD5" i="12" s="1"/>
  <c r="BP10" i="1"/>
  <c r="AD6" i="12" s="1"/>
  <c r="BP11" i="1"/>
  <c r="AD7" i="12" s="1"/>
  <c r="BP12" i="1"/>
  <c r="AD8" i="12" s="1"/>
  <c r="BP13" i="1"/>
  <c r="AD9" i="12" s="1"/>
  <c r="BP18" i="1"/>
  <c r="AD14" i="12" s="1"/>
  <c r="BP19" i="1"/>
  <c r="AD15" i="12" s="1"/>
  <c r="BP20" i="1"/>
  <c r="AD16" i="12" s="1"/>
  <c r="BP21" i="1"/>
  <c r="BP23" i="1"/>
  <c r="AD19" i="12" s="1"/>
  <c r="BP24" i="1"/>
  <c r="AD20" i="12" s="1"/>
  <c r="BP25" i="1"/>
  <c r="AD21" i="12" s="1"/>
  <c r="BP26" i="1"/>
  <c r="AD22" i="12" s="1"/>
  <c r="BP27" i="1"/>
  <c r="AD23" i="12" s="1"/>
  <c r="BP28" i="1"/>
  <c r="AD24" i="12" s="1"/>
  <c r="BP29" i="1"/>
  <c r="AD25" i="12" s="1"/>
  <c r="BP30" i="1"/>
  <c r="AD26" i="12" s="1"/>
  <c r="BP31" i="1"/>
  <c r="AD27" i="12" s="1"/>
  <c r="BP32" i="1"/>
  <c r="AD28" i="12" s="1"/>
  <c r="BV7" i="1"/>
  <c r="AT6" i="9" s="1"/>
  <c r="BV8" i="1"/>
  <c r="AG4" i="12" s="1"/>
  <c r="BV9" i="1"/>
  <c r="BV10" i="1"/>
  <c r="AG6" i="12" s="1"/>
  <c r="BV11" i="1"/>
  <c r="AT10" i="9" s="1"/>
  <c r="BV12" i="1"/>
  <c r="BV13" i="1"/>
  <c r="AG9" i="12" s="1"/>
  <c r="BV14" i="1"/>
  <c r="BV15" i="1"/>
  <c r="AG11" i="12" s="1"/>
  <c r="BV16" i="1"/>
  <c r="AG12" i="12" s="1"/>
  <c r="BV17" i="1"/>
  <c r="AG13" i="12" s="1"/>
  <c r="BV18" i="1"/>
  <c r="AG14" i="12" s="1"/>
  <c r="BV19" i="1"/>
  <c r="AG15" i="12" s="1"/>
  <c r="BV20" i="1"/>
  <c r="AT19" i="9" s="1"/>
  <c r="BV21" i="1"/>
  <c r="AG17" i="12" s="1"/>
  <c r="BV25" i="1"/>
  <c r="AG21" i="12" s="1"/>
  <c r="BV26" i="1"/>
  <c r="BV27" i="1"/>
  <c r="AG23" i="12" s="1"/>
  <c r="BV28" i="1"/>
  <c r="BV29" i="1"/>
  <c r="AG25" i="12" s="1"/>
  <c r="BV30" i="1"/>
  <c r="AG26" i="12" s="1"/>
  <c r="BV31" i="1"/>
  <c r="AT30" i="9" s="1"/>
  <c r="BV32" i="1"/>
  <c r="AG28" i="12" s="1"/>
  <c r="BV33" i="1"/>
  <c r="BV34" i="1"/>
  <c r="AG30" i="12" s="1"/>
  <c r="BV35" i="1"/>
  <c r="AF3" i="12"/>
  <c r="AF4" i="12"/>
  <c r="AF5" i="12"/>
  <c r="AU9" i="9"/>
  <c r="AF7" i="12"/>
  <c r="AU11" i="9"/>
  <c r="AF9" i="12"/>
  <c r="AU13" i="9"/>
  <c r="AF11" i="12"/>
  <c r="AF12" i="12"/>
  <c r="AF13" i="12"/>
  <c r="BT18" i="1"/>
  <c r="BT19" i="1"/>
  <c r="BT20" i="1"/>
  <c r="BT21" i="1"/>
  <c r="BT24" i="1"/>
  <c r="BT25" i="1"/>
  <c r="BT26" i="1"/>
  <c r="AU25" i="9" s="1"/>
  <c r="BT27" i="1"/>
  <c r="BL27" i="1" s="1"/>
  <c r="BT28" i="1"/>
  <c r="BT29" i="1"/>
  <c r="AU28" i="9" s="1"/>
  <c r="BT30" i="1"/>
  <c r="AU29" i="9" s="1"/>
  <c r="BT31" i="1"/>
  <c r="BT32" i="1"/>
  <c r="BT33" i="1"/>
  <c r="BT34" i="1"/>
  <c r="BT35" i="1"/>
  <c r="BF7" i="1"/>
  <c r="BF8" i="1"/>
  <c r="BF9" i="1"/>
  <c r="BF10" i="1"/>
  <c r="Z6" i="12" s="1"/>
  <c r="BF11" i="1"/>
  <c r="Z7" i="12" s="1"/>
  <c r="BF12" i="1"/>
  <c r="Z8" i="12" s="1"/>
  <c r="BF13" i="1"/>
  <c r="Z9" i="12" s="1"/>
  <c r="BF14" i="1"/>
  <c r="Z10" i="12" s="1"/>
  <c r="BF15" i="1"/>
  <c r="Z11" i="12" s="1"/>
  <c r="BF16" i="1"/>
  <c r="Z12" i="12" s="1"/>
  <c r="BF17" i="1"/>
  <c r="Z13" i="12" s="1"/>
  <c r="BF18" i="1"/>
  <c r="Z14" i="12" s="1"/>
  <c r="BF19" i="1"/>
  <c r="BF20" i="1"/>
  <c r="BF21" i="1"/>
  <c r="BF24" i="1"/>
  <c r="BF25" i="1"/>
  <c r="BF26" i="1"/>
  <c r="BF28" i="1"/>
  <c r="BF29" i="1"/>
  <c r="BF30" i="1"/>
  <c r="BF31" i="1"/>
  <c r="BF32" i="1"/>
  <c r="BF33" i="1"/>
  <c r="BF34" i="1"/>
  <c r="BF35" i="1"/>
  <c r="BB7" i="1"/>
  <c r="X3" i="12" s="1"/>
  <c r="BB8" i="1"/>
  <c r="X4" i="12" s="1"/>
  <c r="BB9" i="1"/>
  <c r="X5" i="12" s="1"/>
  <c r="BB10" i="1"/>
  <c r="X6" i="12" s="1"/>
  <c r="BB11" i="1"/>
  <c r="X7" i="12" s="1"/>
  <c r="BB12" i="1"/>
  <c r="X8" i="12" s="1"/>
  <c r="BB13" i="1"/>
  <c r="X9" i="12" s="1"/>
  <c r="BB14" i="1"/>
  <c r="X10" i="12" s="1"/>
  <c r="BB15" i="1"/>
  <c r="X11" i="12" s="1"/>
  <c r="BB16" i="1"/>
  <c r="X12" i="12" s="1"/>
  <c r="BB17" i="1"/>
  <c r="X13" i="12" s="1"/>
  <c r="BB18" i="1"/>
  <c r="X14" i="12" s="1"/>
  <c r="BB19" i="1"/>
  <c r="X15" i="12" s="1"/>
  <c r="BB20" i="1"/>
  <c r="X16" i="12" s="1"/>
  <c r="BB21" i="1"/>
  <c r="X17" i="12" s="1"/>
  <c r="BB24" i="1"/>
  <c r="X20" i="12" s="1"/>
  <c r="BB25" i="1"/>
  <c r="X21" i="12" s="1"/>
  <c r="BB26" i="1"/>
  <c r="X22" i="12" s="1"/>
  <c r="BB27" i="1"/>
  <c r="X23" i="12" s="1"/>
  <c r="BB28" i="1"/>
  <c r="X24" i="12" s="1"/>
  <c r="BB29" i="1"/>
  <c r="X25" i="12" s="1"/>
  <c r="BB30" i="1"/>
  <c r="X26" i="12" s="1"/>
  <c r="BB31" i="1"/>
  <c r="X27" i="12" s="1"/>
  <c r="BB32" i="1"/>
  <c r="X28" i="12" s="1"/>
  <c r="BB33" i="1"/>
  <c r="X29" i="12" s="1"/>
  <c r="BB34" i="1"/>
  <c r="X30" i="12" s="1"/>
  <c r="BB35" i="1"/>
  <c r="X31" i="12" s="1"/>
  <c r="BB6" i="1"/>
  <c r="X2" i="12" s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7" i="12" s="1"/>
  <c r="AZ24" i="1"/>
  <c r="W20" i="12" s="1"/>
  <c r="W22" i="12"/>
  <c r="W24" i="12"/>
  <c r="AZ31" i="1"/>
  <c r="W27" i="12" s="1"/>
  <c r="AZ32" i="1"/>
  <c r="W28" i="12" s="1"/>
  <c r="AZ33" i="1"/>
  <c r="W29" i="12" s="1"/>
  <c r="AZ34" i="1"/>
  <c r="W30" i="12" s="1"/>
  <c r="AZ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E7" i="1"/>
  <c r="AE8" i="1"/>
  <c r="M4" i="12" s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E6" i="1"/>
  <c r="M2" i="12" s="1"/>
  <c r="AG6" i="1"/>
  <c r="N2" i="12" s="1"/>
  <c r="AG7" i="1"/>
  <c r="N3" i="12" s="1"/>
  <c r="AG8" i="1"/>
  <c r="AG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M2" i="12" s="1"/>
  <c r="S18" i="1"/>
  <c r="S16" i="1"/>
  <c r="S15" i="1"/>
  <c r="S14" i="1"/>
  <c r="S13" i="1"/>
  <c r="S12" i="1"/>
  <c r="BV6" i="1"/>
  <c r="BR6" i="1"/>
  <c r="BP6" i="1"/>
  <c r="AD2" i="12" s="1"/>
  <c r="BF6" i="1"/>
  <c r="Y2" i="12"/>
  <c r="AZ6" i="1"/>
  <c r="W2" i="12" s="1"/>
  <c r="V2" i="12"/>
  <c r="AV6" i="1"/>
  <c r="U2" i="12" s="1"/>
  <c r="T2" i="12"/>
  <c r="AO6" i="1"/>
  <c r="R2" i="12" s="1"/>
  <c r="Q2" i="12"/>
  <c r="Q6" i="1"/>
  <c r="H2" i="12" s="1"/>
  <c r="BV5" i="1"/>
  <c r="AT35" i="9" s="1"/>
  <c r="BT5" i="1"/>
  <c r="BR5" i="1"/>
  <c r="BP5" i="1"/>
  <c r="BF5" i="1"/>
  <c r="BB5" i="1"/>
  <c r="AZ5" i="1"/>
  <c r="AV5" i="1"/>
  <c r="AO5" i="1"/>
  <c r="AM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Z37" i="1"/>
  <c r="BZ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57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P35" i="1"/>
  <c r="AD31" i="12" s="1"/>
  <c r="BP34" i="1"/>
  <c r="BP33" i="1"/>
  <c r="AD29" i="12" s="1"/>
  <c r="D66" i="10"/>
  <c r="G17" i="4"/>
  <c r="K15" i="12"/>
  <c r="K14" i="12"/>
  <c r="K8" i="12"/>
  <c r="AD18" i="12"/>
  <c r="H66" i="10"/>
  <c r="G33" i="4"/>
  <c r="Q1100" i="10"/>
  <c r="H31" i="6"/>
  <c r="H30" i="6"/>
  <c r="Q2088" i="10"/>
  <c r="Q1944" i="10"/>
  <c r="Q222" i="10"/>
  <c r="Q1334" i="10"/>
  <c r="Q1541" i="10"/>
  <c r="Q2024" i="10"/>
  <c r="Q685" i="10"/>
  <c r="Q1973" i="10"/>
  <c r="Q1274" i="10"/>
  <c r="Q214" i="10"/>
  <c r="Q138" i="10"/>
  <c r="Q17" i="10"/>
  <c r="P39" i="10"/>
  <c r="Q854" i="10"/>
  <c r="P2363" i="10"/>
  <c r="Q20" i="10"/>
  <c r="Q1664" i="10"/>
  <c r="Q458" i="10"/>
  <c r="Q1602" i="10"/>
  <c r="Q334" i="10"/>
  <c r="Q859" i="10"/>
  <c r="Q1593" i="10"/>
  <c r="Q1920" i="10"/>
  <c r="Q876" i="10"/>
  <c r="Q1041" i="10"/>
  <c r="Q347" i="10"/>
  <c r="Q1281" i="10"/>
  <c r="Q495" i="10"/>
  <c r="Q916" i="10"/>
  <c r="Q1403" i="10"/>
  <c r="Q2039" i="10"/>
  <c r="Q1182" i="10"/>
  <c r="Q2334" i="10"/>
  <c r="Q991" i="10"/>
  <c r="Q515" i="10"/>
  <c r="Q212" i="10"/>
  <c r="Q1506" i="10"/>
  <c r="Q491" i="10"/>
  <c r="Q950" i="10"/>
  <c r="Q2151" i="10"/>
  <c r="Q1269" i="10"/>
  <c r="Q2081" i="10"/>
  <c r="Q335" i="10"/>
  <c r="Q1408" i="10"/>
  <c r="Q802" i="10"/>
  <c r="Q16" i="10"/>
  <c r="Q2321" i="10"/>
  <c r="Q1745" i="10"/>
  <c r="Q2119" i="10"/>
  <c r="Q1564" i="10"/>
  <c r="Q1405" i="10"/>
  <c r="Q810" i="10"/>
  <c r="Q2079" i="10"/>
  <c r="Q2068" i="10"/>
  <c r="P32" i="10"/>
  <c r="Q482" i="10"/>
  <c r="Q1732" i="10"/>
  <c r="P16" i="10"/>
  <c r="Q351" i="10"/>
  <c r="Q691" i="10"/>
  <c r="Q116" i="10"/>
  <c r="Q2005" i="10"/>
  <c r="Q825" i="10"/>
  <c r="Q132" i="10"/>
  <c r="Q989" i="10"/>
  <c r="Q1558" i="10"/>
  <c r="Q1293" i="10"/>
  <c r="Q2082" i="10"/>
  <c r="Q855" i="10"/>
  <c r="Q566" i="10"/>
  <c r="Q224" i="10"/>
  <c r="Q530" i="10"/>
  <c r="Q1614" i="10"/>
  <c r="Q1796" i="10"/>
  <c r="Q931" i="10"/>
  <c r="Q44" i="10"/>
  <c r="Q1023" i="10"/>
  <c r="Q1409" i="10"/>
  <c r="Q701" i="10"/>
  <c r="Q1876" i="10"/>
  <c r="Q1227" i="10"/>
  <c r="Q397" i="10"/>
  <c r="Q1216" i="10"/>
  <c r="Q2214" i="10"/>
  <c r="Q1563" i="10"/>
  <c r="Q1360" i="10"/>
  <c r="Q2198" i="10"/>
  <c r="Q1968" i="10"/>
  <c r="Q1463" i="10"/>
  <c r="Q228" i="10"/>
  <c r="Q2035" i="10"/>
  <c r="Q756" i="10"/>
  <c r="Q1734" i="10"/>
  <c r="Q2043" i="10"/>
  <c r="Q1124" i="10"/>
  <c r="Q2292" i="10"/>
  <c r="Q845" i="10"/>
  <c r="Q70" i="10"/>
  <c r="Q826" i="10"/>
  <c r="Q256" i="10"/>
  <c r="Q1472" i="10"/>
  <c r="Q1719" i="10"/>
  <c r="Q602" i="10"/>
  <c r="Q462" i="10"/>
  <c r="Q206" i="10"/>
  <c r="Q211" i="10"/>
  <c r="P2353" i="10"/>
  <c r="Q1219" i="10"/>
  <c r="Q707" i="10"/>
  <c r="Q336" i="10"/>
  <c r="Q1743" i="10"/>
  <c r="Q1875" i="10"/>
  <c r="Q2299" i="10"/>
  <c r="Q1042" i="10"/>
  <c r="Q867" i="10"/>
  <c r="Q2150" i="10"/>
  <c r="Q791" i="10"/>
  <c r="Q1186" i="10"/>
  <c r="Q1199" i="10"/>
  <c r="Q955" i="10"/>
  <c r="Q1422" i="10"/>
  <c r="P2344" i="10"/>
  <c r="Q150" i="10"/>
  <c r="Q609" i="10"/>
  <c r="Q1253" i="10"/>
  <c r="Q330" i="10"/>
  <c r="Q544" i="10"/>
  <c r="Q1570" i="10"/>
  <c r="Q1074" i="10"/>
  <c r="Q318" i="10"/>
  <c r="Q523" i="10"/>
  <c r="Q1507" i="10"/>
  <c r="Q902" i="10"/>
  <c r="Q1655" i="10"/>
  <c r="Q1308" i="10"/>
  <c r="Q843" i="10"/>
  <c r="Q1020" i="10"/>
  <c r="Q624" i="10"/>
  <c r="Q1624" i="10"/>
  <c r="Q167" i="10"/>
  <c r="Q1317" i="10"/>
  <c r="Q1355" i="10"/>
  <c r="Q1430" i="10"/>
  <c r="Q440" i="10"/>
  <c r="Q740" i="10"/>
  <c r="P27" i="10"/>
  <c r="Q1789" i="10"/>
  <c r="Q534" i="10"/>
  <c r="Q1429" i="10"/>
  <c r="Q288" i="10"/>
  <c r="Q1209" i="10"/>
  <c r="Q78" i="10"/>
  <c r="Q275" i="10"/>
  <c r="Q136" i="10"/>
  <c r="Q963" i="10"/>
  <c r="Q1871" i="10"/>
  <c r="Q300" i="10"/>
  <c r="Q1102" i="10"/>
  <c r="Q61" i="10"/>
  <c r="Q1398" i="10"/>
  <c r="Q1323" i="10"/>
  <c r="Q1345" i="10"/>
  <c r="Q1908" i="10"/>
  <c r="Q1508" i="10"/>
  <c r="Q1380" i="10"/>
  <c r="Q731" i="10"/>
  <c r="Q269" i="10"/>
  <c r="Q1771" i="10"/>
  <c r="Q1248" i="10"/>
  <c r="Q1071" i="10"/>
  <c r="Q1543" i="10"/>
  <c r="Q2313" i="10"/>
  <c r="Q1865" i="10"/>
  <c r="Q893" i="10"/>
  <c r="Q2108" i="10"/>
  <c r="Q230" i="10"/>
  <c r="P2346" i="10"/>
  <c r="Q1766" i="10"/>
  <c r="Q692" i="10"/>
  <c r="Q1349" i="10"/>
  <c r="Q1488" i="10"/>
  <c r="Q494" i="10"/>
  <c r="Q1829" i="10"/>
  <c r="Q772" i="10"/>
  <c r="Q2335" i="10"/>
  <c r="Q38" i="10"/>
  <c r="Q1105" i="10"/>
  <c r="Q1830" i="10"/>
  <c r="Q564" i="10"/>
  <c r="Q1160" i="10"/>
  <c r="Q1572" i="10"/>
  <c r="Q1095" i="10"/>
  <c r="Q710" i="10"/>
  <c r="Q2312" i="10"/>
  <c r="Q1902" i="10"/>
  <c r="Q1752" i="10"/>
  <c r="Q841" i="10"/>
  <c r="Q231" i="10"/>
  <c r="Q2213" i="10"/>
  <c r="Q1584" i="10"/>
  <c r="Q1445" i="10"/>
  <c r="Q1385" i="10"/>
  <c r="Q248" i="10"/>
  <c r="Q1193" i="10"/>
  <c r="Q536" i="10"/>
  <c r="Q1302" i="10"/>
  <c r="Q608" i="10"/>
  <c r="Q1055" i="10"/>
  <c r="Q2190" i="10"/>
  <c r="Q1499" i="10"/>
  <c r="Q164" i="10"/>
  <c r="P35" i="10"/>
  <c r="Q2225" i="10"/>
  <c r="Q1821" i="10"/>
  <c r="Q1634" i="10"/>
  <c r="Q239" i="10"/>
  <c r="Q502" i="10"/>
  <c r="Q5" i="10"/>
  <c r="C34" i="7" s="1"/>
  <c r="Q1065" i="10"/>
  <c r="Q573" i="10"/>
  <c r="Q1235" i="10"/>
  <c r="Q352" i="10"/>
  <c r="Q1299" i="10"/>
  <c r="Q1106" i="10"/>
  <c r="Q850" i="10"/>
  <c r="Q674" i="10"/>
  <c r="Q546" i="10"/>
  <c r="Q350" i="10"/>
  <c r="Q411" i="10"/>
  <c r="Q283" i="10"/>
  <c r="Q155" i="10"/>
  <c r="Q72" i="10"/>
  <c r="Q117" i="10"/>
  <c r="Q1313" i="10"/>
  <c r="Q1924" i="10"/>
  <c r="Q1384" i="10"/>
  <c r="Q995" i="10"/>
  <c r="Q555" i="10"/>
  <c r="Q79" i="10"/>
  <c r="Q1887" i="10"/>
  <c r="Q1571" i="10"/>
  <c r="Q521" i="10"/>
  <c r="Q1046" i="10"/>
  <c r="Q918" i="10"/>
  <c r="Q790" i="10"/>
  <c r="Q1244" i="10"/>
  <c r="Q234" i="10"/>
  <c r="Q912" i="10"/>
  <c r="Q2358" i="10"/>
  <c r="T43" i="2" s="1"/>
  <c r="T44" i="2" s="1"/>
  <c r="Q2196" i="10"/>
  <c r="Q2218" i="10"/>
  <c r="Q1684" i="10"/>
  <c r="Q1324" i="10"/>
  <c r="Q1131" i="10"/>
  <c r="Q875" i="10"/>
  <c r="Q2239" i="10"/>
  <c r="Q892" i="10"/>
  <c r="Q2102" i="10"/>
  <c r="Q1859" i="10"/>
  <c r="Q1024" i="10"/>
  <c r="Q405" i="10"/>
  <c r="Q2062" i="10"/>
  <c r="Q1025" i="10"/>
  <c r="Q1077" i="10"/>
  <c r="Q1681" i="10"/>
  <c r="P14" i="10"/>
  <c r="Q1525" i="10"/>
  <c r="Q1996" i="10"/>
  <c r="Q1520" i="10"/>
  <c r="Q1015" i="10"/>
  <c r="Q1837" i="10"/>
  <c r="Q980" i="10"/>
  <c r="Q703" i="10"/>
  <c r="Q1682" i="10"/>
  <c r="Q900" i="10"/>
  <c r="Q1215" i="10"/>
  <c r="Q1401" i="10"/>
  <c r="Q1505" i="10"/>
  <c r="Q807" i="10"/>
  <c r="Q2058" i="10"/>
  <c r="Q1733" i="10"/>
  <c r="P13" i="10"/>
  <c r="Q1888" i="10"/>
  <c r="Q2231" i="10"/>
  <c r="Q613" i="10"/>
  <c r="Q1447" i="10"/>
  <c r="Q652" i="10"/>
  <c r="Q1907" i="10"/>
  <c r="Q2222" i="10"/>
  <c r="Q940" i="10"/>
  <c r="Q244" i="10"/>
  <c r="Q282" i="10"/>
  <c r="Q1606" i="10"/>
  <c r="Q1785" i="10"/>
  <c r="Q1188" i="10"/>
  <c r="Q221" i="10"/>
  <c r="Q913" i="10"/>
  <c r="Q2308" i="10"/>
  <c r="Q1503" i="10"/>
  <c r="Q148" i="10"/>
  <c r="Q1922" i="10"/>
  <c r="Q1410" i="10"/>
  <c r="Q463" i="10"/>
  <c r="Q726" i="10"/>
  <c r="Q43" i="10"/>
  <c r="Q924" i="10"/>
  <c r="Q1969" i="10"/>
  <c r="Q1536" i="10"/>
  <c r="P2366" i="10"/>
  <c r="Q1783" i="10"/>
  <c r="Q1250" i="10"/>
  <c r="Q994" i="10"/>
  <c r="Q618" i="10"/>
  <c r="Q490" i="10"/>
  <c r="Q238" i="10"/>
  <c r="Q483" i="10"/>
  <c r="Q355" i="10"/>
  <c r="Q227" i="10"/>
  <c r="Q1950" i="10"/>
  <c r="Q1827" i="10"/>
  <c r="Q2097" i="10"/>
  <c r="P30" i="10"/>
  <c r="Q1272" i="10"/>
  <c r="Q771" i="10"/>
  <c r="Q400" i="10"/>
  <c r="Q7" i="10"/>
  <c r="Q2031" i="10"/>
  <c r="Q1775" i="10"/>
  <c r="Q1246" i="10"/>
  <c r="Q1118" i="10"/>
  <c r="Q990" i="10"/>
  <c r="Q862" i="10"/>
  <c r="Q1910" i="10"/>
  <c r="Q1763" i="10"/>
  <c r="Q309" i="10"/>
  <c r="Q2139" i="10"/>
  <c r="Q1173" i="10"/>
  <c r="P62" i="10"/>
  <c r="Q1524" i="10"/>
  <c r="Q1396" i="10"/>
  <c r="Q1268" i="10"/>
  <c r="Q1019" i="10"/>
  <c r="Q184" i="10"/>
  <c r="Q1339" i="10"/>
  <c r="Q1151" i="10"/>
  <c r="Q584" i="10"/>
  <c r="Q809" i="10"/>
  <c r="Q448" i="10"/>
  <c r="Q2021" i="10"/>
  <c r="Q676" i="10"/>
  <c r="Q1435" i="10"/>
  <c r="Q1140" i="10"/>
  <c r="Q56" i="10"/>
  <c r="Q2367" i="10"/>
  <c r="Q2352" i="10"/>
  <c r="P23" i="10"/>
  <c r="Q2288" i="10"/>
  <c r="Q2201" i="10"/>
  <c r="Q1773" i="10"/>
  <c r="Q1343" i="10"/>
  <c r="Q1945" i="10"/>
  <c r="Q973" i="10"/>
  <c r="Q1842" i="10"/>
  <c r="Q1586" i="10"/>
  <c r="Q1330" i="10"/>
  <c r="Q887" i="10"/>
  <c r="Q40" i="10"/>
  <c r="Q287" i="10"/>
  <c r="Q550" i="10"/>
  <c r="Q858" i="10"/>
  <c r="Q1331" i="10"/>
  <c r="Q384" i="10"/>
  <c r="Q681" i="10"/>
  <c r="Q1176" i="10"/>
  <c r="Q1048" i="10"/>
  <c r="Q920" i="10"/>
  <c r="Q716" i="10"/>
  <c r="Q434" i="10"/>
  <c r="Q197" i="10"/>
  <c r="Q623" i="10"/>
  <c r="Q1454" i="10"/>
  <c r="Q1966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H33" i="6"/>
  <c r="AM22" i="12"/>
  <c r="BO36" i="9"/>
  <c r="H26" i="2"/>
  <c r="I25" i="9"/>
  <c r="H27" i="2"/>
  <c r="K25" i="9"/>
  <c r="AT31" i="9"/>
  <c r="AU18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C25" i="7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C25" i="9"/>
  <c r="AU19" i="9"/>
  <c r="AG16" i="12"/>
  <c r="AO23" i="12"/>
  <c r="J28" i="6"/>
  <c r="AJ26" i="9" s="1"/>
  <c r="AI17" i="12"/>
  <c r="I20" i="9"/>
  <c r="C8" i="9"/>
  <c r="K25" i="1"/>
  <c r="G21" i="12" s="1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AE12" i="12"/>
  <c r="H18" i="4"/>
  <c r="K21" i="9"/>
  <c r="K13" i="9"/>
  <c r="AK13" i="12"/>
  <c r="R20" i="9"/>
  <c r="K26" i="1"/>
  <c r="G22" i="12" s="1"/>
  <c r="E13" i="9"/>
  <c r="K28" i="1"/>
  <c r="G24" i="12" s="1"/>
  <c r="G27" i="9"/>
  <c r="M21" i="12"/>
  <c r="M13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AT18" i="9"/>
  <c r="K6" i="12"/>
  <c r="AM29" i="12"/>
  <c r="K29" i="6"/>
  <c r="I29" i="6"/>
  <c r="AM24" i="12"/>
  <c r="AH27" i="9"/>
  <c r="G21" i="4"/>
  <c r="H16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G29" i="12"/>
  <c r="AT32" i="9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E28" i="12"/>
  <c r="AU17" i="9"/>
  <c r="F3" i="12"/>
  <c r="AD17" i="12"/>
  <c r="J3" i="12"/>
  <c r="G35" i="9"/>
  <c r="J27" i="6"/>
  <c r="AJ25" i="9" s="1"/>
  <c r="AM25" i="12"/>
  <c r="N32" i="12"/>
  <c r="H37" i="2"/>
  <c r="K17" i="6"/>
  <c r="P24" i="9"/>
  <c r="Q37" i="2" l="1"/>
  <c r="W37" i="2"/>
  <c r="U37" i="2"/>
  <c r="X27" i="2"/>
  <c r="BO25" i="9" s="1"/>
  <c r="W27" i="2"/>
  <c r="U27" i="2"/>
  <c r="W26" i="2"/>
  <c r="U26" i="2"/>
  <c r="AR6" i="1"/>
  <c r="BL19" i="1"/>
  <c r="BL35" i="1"/>
  <c r="BL21" i="1"/>
  <c r="BL23" i="1"/>
  <c r="AE2" i="12"/>
  <c r="BL6" i="1"/>
  <c r="BM6" i="1" s="1"/>
  <c r="BN6" i="1" s="1"/>
  <c r="K30" i="12"/>
  <c r="AR34" i="1"/>
  <c r="K13" i="12"/>
  <c r="AR17" i="1"/>
  <c r="BJ38" i="1"/>
  <c r="AQ38" i="1"/>
  <c r="BH38" i="1"/>
  <c r="AK38" i="1"/>
  <c r="AI38" i="1"/>
  <c r="K28" i="12"/>
  <c r="AR32" i="1"/>
  <c r="K12" i="12"/>
  <c r="AR16" i="1"/>
  <c r="K29" i="12"/>
  <c r="AR33" i="1"/>
  <c r="AE11" i="12"/>
  <c r="BL15" i="1"/>
  <c r="BM15" i="1" s="1"/>
  <c r="K27" i="12"/>
  <c r="AR31" i="1"/>
  <c r="AR15" i="1"/>
  <c r="K21" i="12"/>
  <c r="AR25" i="1"/>
  <c r="BM23" i="1"/>
  <c r="AE10" i="12"/>
  <c r="BL14" i="1"/>
  <c r="AC10" i="12" s="1"/>
  <c r="K10" i="12"/>
  <c r="AR14" i="1"/>
  <c r="AE13" i="12"/>
  <c r="BL17" i="1"/>
  <c r="BM17" i="1" s="1"/>
  <c r="BN17" i="1" s="1"/>
  <c r="K20" i="12"/>
  <c r="AR24" i="1"/>
  <c r="AR5" i="1"/>
  <c r="Z19" i="12"/>
  <c r="AE9" i="12"/>
  <c r="BL13" i="1"/>
  <c r="BM13" i="1" s="1"/>
  <c r="K25" i="12"/>
  <c r="AR29" i="1"/>
  <c r="AR13" i="1"/>
  <c r="BL16" i="1"/>
  <c r="K19" i="12"/>
  <c r="AR23" i="1"/>
  <c r="AE8" i="12"/>
  <c r="BL12" i="1"/>
  <c r="AC8" i="12" s="1"/>
  <c r="K24" i="12"/>
  <c r="AR28" i="1"/>
  <c r="AR12" i="1"/>
  <c r="BL25" i="1"/>
  <c r="AC21" i="12" s="1"/>
  <c r="AE7" i="12"/>
  <c r="BL11" i="1"/>
  <c r="BM11" i="1" s="1"/>
  <c r="K23" i="12"/>
  <c r="AR27" i="1"/>
  <c r="K7" i="12"/>
  <c r="AR11" i="1"/>
  <c r="K32" i="12"/>
  <c r="AR36" i="1"/>
  <c r="AE6" i="12"/>
  <c r="BL10" i="1"/>
  <c r="BM10" i="1" s="1"/>
  <c r="K22" i="12"/>
  <c r="AR26" i="1"/>
  <c r="AR10" i="1"/>
  <c r="BL9" i="1"/>
  <c r="BM9" i="1" s="1"/>
  <c r="K17" i="12"/>
  <c r="AR21" i="1"/>
  <c r="K5" i="12"/>
  <c r="AR9" i="1"/>
  <c r="AE4" i="12"/>
  <c r="BL8" i="1"/>
  <c r="BM8" i="1" s="1"/>
  <c r="K16" i="12"/>
  <c r="AR20" i="1"/>
  <c r="K4" i="12"/>
  <c r="AR8" i="1"/>
  <c r="AE3" i="12"/>
  <c r="BL7" i="1"/>
  <c r="BM7" i="1" s="1"/>
  <c r="AR19" i="1"/>
  <c r="K3" i="12"/>
  <c r="AR7" i="1"/>
  <c r="BL18" i="1"/>
  <c r="BM18" i="1" s="1"/>
  <c r="K31" i="12"/>
  <c r="AR35" i="1"/>
  <c r="AR18" i="1"/>
  <c r="Z24" i="12"/>
  <c r="Z22" i="12"/>
  <c r="Z23" i="12"/>
  <c r="BM27" i="1"/>
  <c r="Z21" i="12"/>
  <c r="BM25" i="1"/>
  <c r="BN25" i="1" s="1"/>
  <c r="Y14" i="12"/>
  <c r="Y12" i="12"/>
  <c r="BM16" i="1"/>
  <c r="Z20" i="12"/>
  <c r="Z31" i="12"/>
  <c r="BM35" i="1"/>
  <c r="BM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M19" i="1"/>
  <c r="Z3" i="12"/>
  <c r="Y9" i="12"/>
  <c r="Z28" i="12"/>
  <c r="Y8" i="12"/>
  <c r="BM12" i="1"/>
  <c r="BN12" i="1" s="1"/>
  <c r="Z27" i="12"/>
  <c r="Y7" i="12"/>
  <c r="Z2" i="12"/>
  <c r="Z26" i="12"/>
  <c r="Z25" i="12"/>
  <c r="AF26" i="12"/>
  <c r="BL30" i="1"/>
  <c r="BM30" i="1" s="1"/>
  <c r="BN30" i="1" s="1"/>
  <c r="AF27" i="12"/>
  <c r="BL31" i="1"/>
  <c r="BM31" i="1" s="1"/>
  <c r="AF25" i="12"/>
  <c r="BL29" i="1"/>
  <c r="BM29" i="1" s="1"/>
  <c r="AU35" i="9"/>
  <c r="BL5" i="1"/>
  <c r="BM5" i="1" s="1"/>
  <c r="AU27" i="9"/>
  <c r="BL28" i="1"/>
  <c r="AC24" i="12" s="1"/>
  <c r="AU23" i="9"/>
  <c r="BL24" i="1"/>
  <c r="BM24" i="1" s="1"/>
  <c r="BN24" i="1" s="1"/>
  <c r="AF22" i="12"/>
  <c r="BL26" i="1"/>
  <c r="BM26" i="1" s="1"/>
  <c r="BN26" i="1" s="1"/>
  <c r="AF32" i="12"/>
  <c r="BL36" i="1"/>
  <c r="BM36" i="1" s="1"/>
  <c r="BN36" i="1" s="1"/>
  <c r="AU30" i="9"/>
  <c r="AU33" i="9"/>
  <c r="BL34" i="1"/>
  <c r="AC30" i="12" s="1"/>
  <c r="AF16" i="12"/>
  <c r="BL20" i="1"/>
  <c r="BM20" i="1" s="1"/>
  <c r="BN20" i="1" s="1"/>
  <c r="AF29" i="12"/>
  <c r="BL33" i="1"/>
  <c r="BM33" i="1" s="1"/>
  <c r="AF28" i="12"/>
  <c r="BL32" i="1"/>
  <c r="BM32" i="1" s="1"/>
  <c r="BN32" i="1" s="1"/>
  <c r="AF18" i="12"/>
  <c r="BL22" i="1"/>
  <c r="BM22" i="1" s="1"/>
  <c r="BN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C22" i="12"/>
  <c r="AO26" i="12"/>
  <c r="AH31" i="9"/>
  <c r="AU31" i="9"/>
  <c r="I22" i="9"/>
  <c r="H27" i="6"/>
  <c r="H2370" i="10"/>
  <c r="AT7" i="9"/>
  <c r="K30" i="1"/>
  <c r="G26" i="12" s="1"/>
  <c r="K22" i="9"/>
  <c r="H24" i="2"/>
  <c r="AC19" i="1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I32" i="13"/>
  <c r="K22" i="6"/>
  <c r="F42" i="11"/>
  <c r="G42" i="11" s="1"/>
  <c r="G43" i="11" s="1"/>
  <c r="J36" i="6"/>
  <c r="F31" i="12"/>
  <c r="D5" i="10"/>
  <c r="O5" i="10" s="1"/>
  <c r="AD30" i="12"/>
  <c r="AT37" i="1"/>
  <c r="AT38" i="1" s="1"/>
  <c r="W37" i="1"/>
  <c r="W38" i="1" s="1"/>
  <c r="K37" i="6"/>
  <c r="G32" i="13" s="1"/>
  <c r="I37" i="6"/>
  <c r="H36" i="6"/>
  <c r="K35" i="6"/>
  <c r="G30" i="13" s="1"/>
  <c r="K32" i="9"/>
  <c r="K34" i="6"/>
  <c r="H34" i="6"/>
  <c r="AN29" i="12"/>
  <c r="K32" i="6"/>
  <c r="H32" i="6"/>
  <c r="K33" i="6"/>
  <c r="AM26" i="12"/>
  <c r="K31" i="6"/>
  <c r="BF37" i="1"/>
  <c r="BF38" i="1" s="1"/>
  <c r="C32" i="9"/>
  <c r="Y37" i="1"/>
  <c r="Y38" i="1" s="1"/>
  <c r="K32" i="1"/>
  <c r="G28" i="12" s="1"/>
  <c r="T45" i="2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BW25" i="1"/>
  <c r="CB25" i="1" s="1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V37" i="1"/>
  <c r="BV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S37" i="1"/>
  <c r="S38" i="1" s="1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U37" i="1"/>
  <c r="U38" i="1" s="1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V37" i="1"/>
  <c r="AV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O37" i="1"/>
  <c r="AO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BB37" i="1"/>
  <c r="BB38" i="1" s="1"/>
  <c r="AZ37" i="1"/>
  <c r="AZ38" i="1" s="1"/>
  <c r="AX37" i="1"/>
  <c r="AX38" i="1" s="1"/>
  <c r="AC37" i="1"/>
  <c r="AC38" i="1" s="1"/>
  <c r="C11" i="9"/>
  <c r="BT37" i="1"/>
  <c r="BT38" i="1" s="1"/>
  <c r="BR37" i="1"/>
  <c r="BR38" i="1" s="1"/>
  <c r="BP37" i="1"/>
  <c r="BP38" i="1" s="1"/>
  <c r="BD37" i="1"/>
  <c r="BD38" i="1" s="1"/>
  <c r="AM37" i="1"/>
  <c r="AM38" i="1" s="1"/>
  <c r="AG37" i="1"/>
  <c r="AG38" i="1" s="1"/>
  <c r="AE37" i="1"/>
  <c r="AE38" i="1" s="1"/>
  <c r="AA37" i="1"/>
  <c r="AA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W22" i="2" l="1"/>
  <c r="U22" i="2"/>
  <c r="Q36" i="2"/>
  <c r="W36" i="2"/>
  <c r="U36" i="2"/>
  <c r="W35" i="2"/>
  <c r="U35" i="2"/>
  <c r="W30" i="2"/>
  <c r="U30" i="2"/>
  <c r="W32" i="2"/>
  <c r="U32" i="2"/>
  <c r="W34" i="2"/>
  <c r="U34" i="2"/>
  <c r="W25" i="2"/>
  <c r="U25" i="2"/>
  <c r="P21" i="9"/>
  <c r="W23" i="2"/>
  <c r="U23" i="2"/>
  <c r="W29" i="2"/>
  <c r="U29" i="2"/>
  <c r="W31" i="2"/>
  <c r="U31" i="2"/>
  <c r="P31" i="9"/>
  <c r="W33" i="2"/>
  <c r="U33" i="2"/>
  <c r="W24" i="2"/>
  <c r="U24" i="2"/>
  <c r="W28" i="2"/>
  <c r="U28" i="2"/>
  <c r="BM26" i="9" s="1"/>
  <c r="BN18" i="1"/>
  <c r="BN7" i="1"/>
  <c r="BN15" i="1"/>
  <c r="X7" i="2"/>
  <c r="X8" i="2"/>
  <c r="W8" i="2"/>
  <c r="U8" i="2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U13" i="2"/>
  <c r="BM11" i="9" s="1"/>
  <c r="U20" i="2"/>
  <c r="W20" i="2"/>
  <c r="BN18" i="9" s="1"/>
  <c r="W14" i="2"/>
  <c r="BN12" i="9" s="1"/>
  <c r="U14" i="2"/>
  <c r="BM12" i="9" s="1"/>
  <c r="BN33" i="1"/>
  <c r="BN8" i="1"/>
  <c r="BN9" i="1"/>
  <c r="BN11" i="1"/>
  <c r="BN27" i="1"/>
  <c r="BN13" i="1"/>
  <c r="BN23" i="1"/>
  <c r="BM14" i="1"/>
  <c r="BN14" i="1" s="1"/>
  <c r="BN21" i="1"/>
  <c r="BN10" i="1"/>
  <c r="BN35" i="1"/>
  <c r="AC26" i="12"/>
  <c r="BN5" i="1"/>
  <c r="BN19" i="1"/>
  <c r="BN16" i="1"/>
  <c r="AC28" i="12"/>
  <c r="BN31" i="1"/>
  <c r="BN29" i="1"/>
  <c r="BM34" i="1"/>
  <c r="BN34" i="1" s="1"/>
  <c r="BM28" i="1"/>
  <c r="BN28" i="1" s="1"/>
  <c r="BW9" i="1"/>
  <c r="CB9" i="1" s="1"/>
  <c r="AC23" i="12"/>
  <c r="X28" i="2"/>
  <c r="BN26" i="9"/>
  <c r="P26" i="9"/>
  <c r="W7" i="2"/>
  <c r="BN5" i="9" s="1"/>
  <c r="Z44" i="2"/>
  <c r="BQ39" i="9" s="1"/>
  <c r="BW27" i="1"/>
  <c r="CA27" i="1" s="1"/>
  <c r="BW36" i="1"/>
  <c r="BW26" i="1"/>
  <c r="CB26" i="1" s="1"/>
  <c r="AC4" i="12"/>
  <c r="AC14" i="12"/>
  <c r="BW23" i="1"/>
  <c r="CB23" i="1" s="1"/>
  <c r="BW31" i="1"/>
  <c r="CA31" i="1" s="1"/>
  <c r="BW8" i="1"/>
  <c r="I22" i="4"/>
  <c r="J27" i="4"/>
  <c r="BW18" i="1"/>
  <c r="BN22" i="9"/>
  <c r="X24" i="2"/>
  <c r="J39" i="4"/>
  <c r="Q24" i="2"/>
  <c r="X22" i="9" s="1"/>
  <c r="BM22" i="9"/>
  <c r="O2370" i="10"/>
  <c r="P22" i="9"/>
  <c r="BW30" i="1"/>
  <c r="AC2" i="12"/>
  <c r="I39" i="4"/>
  <c r="X19" i="2"/>
  <c r="Y19" i="2" s="1"/>
  <c r="BP17" i="9" s="1"/>
  <c r="AC11" i="12"/>
  <c r="BW15" i="1"/>
  <c r="CA15" i="1" s="1"/>
  <c r="BW13" i="1"/>
  <c r="CA13" i="1" s="1"/>
  <c r="BW7" i="1"/>
  <c r="BW10" i="1"/>
  <c r="CA10" i="1" s="1"/>
  <c r="U7" i="2"/>
  <c r="BM5" i="9" s="1"/>
  <c r="P5" i="9"/>
  <c r="J19" i="4"/>
  <c r="J22" i="4"/>
  <c r="I40" i="4"/>
  <c r="BW6" i="1"/>
  <c r="BY6" i="1" s="1"/>
  <c r="J21" i="4"/>
  <c r="Z37" i="2"/>
  <c r="BM18" i="9"/>
  <c r="P16" i="9"/>
  <c r="Q15" i="2"/>
  <c r="X13" i="9" s="1"/>
  <c r="X33" i="2"/>
  <c r="Z33" i="2" s="1"/>
  <c r="BQ31" i="9" s="1"/>
  <c r="BW12" i="1"/>
  <c r="CB12" i="1" s="1"/>
  <c r="CC12" i="1" s="1"/>
  <c r="BN31" i="9"/>
  <c r="BM31" i="9"/>
  <c r="Q33" i="2"/>
  <c r="X31" i="9" s="1"/>
  <c r="BW32" i="1"/>
  <c r="CB32" i="1" s="1"/>
  <c r="AC29" i="12"/>
  <c r="BW33" i="1"/>
  <c r="E42" i="4"/>
  <c r="C38" i="7" s="1"/>
  <c r="BW16" i="1"/>
  <c r="CB16" i="1" s="1"/>
  <c r="CD16" i="1" s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CA25" i="1"/>
  <c r="BY25" i="1"/>
  <c r="X23" i="2"/>
  <c r="Y23" i="2" s="1"/>
  <c r="BP21" i="9" s="1"/>
  <c r="BN21" i="9"/>
  <c r="Q23" i="2"/>
  <c r="X21" i="9" s="1"/>
  <c r="BM21" i="9"/>
  <c r="BW24" i="1"/>
  <c r="CA24" i="1" s="1"/>
  <c r="CD25" i="1"/>
  <c r="CC25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W17" i="1"/>
  <c r="BY17" i="1" s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W29" i="1"/>
  <c r="CA29" i="1" s="1"/>
  <c r="AC16" i="12"/>
  <c r="BW20" i="1"/>
  <c r="P14" i="9"/>
  <c r="Q16" i="2"/>
  <c r="X14" i="9" s="1"/>
  <c r="BM14" i="9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W35" i="1"/>
  <c r="I37" i="4"/>
  <c r="I35" i="4"/>
  <c r="I38" i="4"/>
  <c r="BN6" i="9"/>
  <c r="Q8" i="2"/>
  <c r="X6" i="9" s="1"/>
  <c r="BM6" i="9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BN32" i="9"/>
  <c r="J36" i="4"/>
  <c r="J37" i="4"/>
  <c r="J40" i="4"/>
  <c r="AC15" i="12"/>
  <c r="BW19" i="1"/>
  <c r="AC17" i="12"/>
  <c r="BW21" i="1"/>
  <c r="X22" i="2"/>
  <c r="BN20" i="9"/>
  <c r="Q22" i="2"/>
  <c r="X20" i="9" s="1"/>
  <c r="P20" i="9"/>
  <c r="BM20" i="9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BM28" i="9"/>
  <c r="P28" i="9"/>
  <c r="BN28" i="9"/>
  <c r="X30" i="2"/>
  <c r="I19" i="4"/>
  <c r="I28" i="4"/>
  <c r="J29" i="4"/>
  <c r="BW22" i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BN11" i="9"/>
  <c r="X11" i="2"/>
  <c r="P9" i="9"/>
  <c r="Q11" i="2"/>
  <c r="X9" i="9" s="1"/>
  <c r="X14" i="2"/>
  <c r="P12" i="9"/>
  <c r="Q14" i="2"/>
  <c r="X12" i="9" s="1"/>
  <c r="AR37" i="1"/>
  <c r="B13" i="11" s="1"/>
  <c r="C13" i="11" s="1"/>
  <c r="J38" i="1"/>
  <c r="AC7" i="12"/>
  <c r="BW11" i="1"/>
  <c r="BY11" i="1" s="1"/>
  <c r="BL37" i="1"/>
  <c r="BL38" i="1" s="1"/>
  <c r="Y8" i="2"/>
  <c r="BP6" i="9" s="1"/>
  <c r="BO6" i="9"/>
  <c r="Z8" i="2"/>
  <c r="BQ6" i="9" s="1"/>
  <c r="E39" i="6"/>
  <c r="C39" i="6"/>
  <c r="AH34" i="9" s="1"/>
  <c r="AJ37" i="9"/>
  <c r="G39" i="6"/>
  <c r="BO13" i="9" l="1"/>
  <c r="BW28" i="1"/>
  <c r="BY8" i="1"/>
  <c r="CD9" i="1"/>
  <c r="CC9" i="1"/>
  <c r="BY7" i="1"/>
  <c r="BW14" i="1"/>
  <c r="CA14" i="1" s="1"/>
  <c r="BN37" i="1"/>
  <c r="BW34" i="1"/>
  <c r="E30" i="13" s="1"/>
  <c r="CB27" i="1"/>
  <c r="CD27" i="1" s="1"/>
  <c r="CB8" i="1"/>
  <c r="BY27" i="1"/>
  <c r="AJ33" i="9"/>
  <c r="J39" i="6"/>
  <c r="Z28" i="2"/>
  <c r="BQ26" i="9" s="1"/>
  <c r="Y28" i="2"/>
  <c r="BP26" i="9" s="1"/>
  <c r="BO26" i="9"/>
  <c r="Z19" i="2"/>
  <c r="BQ17" i="9" s="1"/>
  <c r="BO31" i="9"/>
  <c r="BY36" i="1"/>
  <c r="E32" i="13"/>
  <c r="CA36" i="1"/>
  <c r="CB31" i="1"/>
  <c r="CD31" i="1" s="1"/>
  <c r="BY31" i="1"/>
  <c r="CB36" i="1"/>
  <c r="CC36" i="1" s="1"/>
  <c r="BY30" i="1"/>
  <c r="CA8" i="1"/>
  <c r="CB30" i="1"/>
  <c r="CC30" i="1" s="1"/>
  <c r="CB6" i="1"/>
  <c r="CC6" i="1" s="1"/>
  <c r="CA6" i="1"/>
  <c r="CB18" i="1"/>
  <c r="CD18" i="1" s="1"/>
  <c r="CA18" i="1"/>
  <c r="CA30" i="1"/>
  <c r="BY18" i="1"/>
  <c r="Z10" i="2"/>
  <c r="BQ8" i="9" s="1"/>
  <c r="CB15" i="1"/>
  <c r="CC15" i="1" s="1"/>
  <c r="Z24" i="2"/>
  <c r="BQ22" i="9" s="1"/>
  <c r="Y24" i="2"/>
  <c r="BP22" i="9" s="1"/>
  <c r="BO22" i="9"/>
  <c r="BO17" i="9"/>
  <c r="Y13" i="2"/>
  <c r="BP11" i="9" s="1"/>
  <c r="Z18" i="2"/>
  <c r="BQ16" i="9" s="1"/>
  <c r="BY15" i="1"/>
  <c r="Y33" i="2"/>
  <c r="BP31" i="9" s="1"/>
  <c r="BO8" i="9"/>
  <c r="CC16" i="1"/>
  <c r="CD12" i="1"/>
  <c r="BY12" i="1"/>
  <c r="CA12" i="1"/>
  <c r="BY9" i="1"/>
  <c r="BY16" i="1"/>
  <c r="CA16" i="1"/>
  <c r="BY33" i="1"/>
  <c r="CB33" i="1"/>
  <c r="CD33" i="1" s="1"/>
  <c r="CA33" i="1"/>
  <c r="CA32" i="1"/>
  <c r="BY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CA9" i="1"/>
  <c r="CB10" i="1"/>
  <c r="CC10" i="1" s="1"/>
  <c r="BY10" i="1"/>
  <c r="BY13" i="1"/>
  <c r="CA28" i="1"/>
  <c r="BY28" i="1"/>
  <c r="CB28" i="1"/>
  <c r="CC28" i="1" s="1"/>
  <c r="BY29" i="1"/>
  <c r="CB24" i="1"/>
  <c r="BY24" i="1"/>
  <c r="CA26" i="1"/>
  <c r="Z23" i="2"/>
  <c r="BQ21" i="9" s="1"/>
  <c r="BO21" i="9"/>
  <c r="CA7" i="1"/>
  <c r="CB7" i="1"/>
  <c r="CA23" i="1"/>
  <c r="BY23" i="1"/>
  <c r="AJ34" i="9"/>
  <c r="Z20" i="2"/>
  <c r="BQ18" i="9" s="1"/>
  <c r="Y20" i="2"/>
  <c r="BP18" i="9" s="1"/>
  <c r="BO18" i="9"/>
  <c r="CD26" i="1"/>
  <c r="CC26" i="1"/>
  <c r="Y12" i="2"/>
  <c r="BP10" i="9" s="1"/>
  <c r="BO10" i="9"/>
  <c r="Z12" i="2"/>
  <c r="BQ10" i="9" s="1"/>
  <c r="CB13" i="1"/>
  <c r="CC13" i="1" s="1"/>
  <c r="BY26" i="1"/>
  <c r="CA17" i="1"/>
  <c r="CB17" i="1"/>
  <c r="CC17" i="1" s="1"/>
  <c r="BY20" i="1"/>
  <c r="CB20" i="1"/>
  <c r="CA20" i="1"/>
  <c r="CB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CB22" i="1"/>
  <c r="BY22" i="1"/>
  <c r="CA22" i="1"/>
  <c r="CB21" i="1"/>
  <c r="BY21" i="1"/>
  <c r="CA21" i="1"/>
  <c r="BY19" i="1"/>
  <c r="CA19" i="1"/>
  <c r="CB19" i="1"/>
  <c r="E31" i="13"/>
  <c r="CB35" i="1"/>
  <c r="BY35" i="1"/>
  <c r="CA35" i="1"/>
  <c r="BW37" i="1"/>
  <c r="CA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CC23" i="1"/>
  <c r="CD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R38" i="1"/>
  <c r="CA11" i="1"/>
  <c r="BM37" i="1"/>
  <c r="F13" i="11" s="1"/>
  <c r="G13" i="11" s="1"/>
  <c r="CB11" i="1"/>
  <c r="CC32" i="1"/>
  <c r="CD32" i="1"/>
  <c r="CB14" i="1" l="1"/>
  <c r="CD14" i="1" s="1"/>
  <c r="CD8" i="1"/>
  <c r="CC8" i="1"/>
  <c r="BY14" i="1"/>
  <c r="CD7" i="1"/>
  <c r="CC7" i="1"/>
  <c r="CC27" i="1"/>
  <c r="BY34" i="1"/>
  <c r="CA34" i="1"/>
  <c r="CB34" i="1"/>
  <c r="CD34" i="1" s="1"/>
  <c r="CC31" i="1"/>
  <c r="CD6" i="1"/>
  <c r="CD30" i="1"/>
  <c r="CD36" i="1"/>
  <c r="CC18" i="1"/>
  <c r="CC14" i="1"/>
  <c r="CD15" i="1"/>
  <c r="CC33" i="1"/>
  <c r="CD13" i="1"/>
  <c r="CD10" i="1"/>
  <c r="CD28" i="1"/>
  <c r="CC24" i="1"/>
  <c r="CD24" i="1"/>
  <c r="CD17" i="1"/>
  <c r="CC29" i="1"/>
  <c r="CD29" i="1"/>
  <c r="CD20" i="1"/>
  <c r="CC20" i="1"/>
  <c r="BY37" i="1"/>
  <c r="BW38" i="1"/>
  <c r="BY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CD35" i="1"/>
  <c r="CC35" i="1"/>
  <c r="CC19" i="1"/>
  <c r="CD19" i="1"/>
  <c r="CD21" i="1"/>
  <c r="CC21" i="1"/>
  <c r="CD22" i="1"/>
  <c r="CC22" i="1"/>
  <c r="P34" i="9"/>
  <c r="L13" i="11"/>
  <c r="J13" i="11"/>
  <c r="CD11" i="1"/>
  <c r="CC11" i="1"/>
  <c r="M13" i="11"/>
  <c r="K13" i="11"/>
  <c r="CB37" i="1" l="1"/>
  <c r="CC37" i="1" s="1"/>
  <c r="CC34" i="1"/>
  <c r="CA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CB38" i="1" l="1"/>
  <c r="CD38" i="1" s="1"/>
  <c r="CD37" i="1"/>
  <c r="CC38" i="1" l="1"/>
</calcChain>
</file>

<file path=xl/sharedStrings.xml><?xml version="1.0" encoding="utf-8"?>
<sst xmlns="http://schemas.openxmlformats.org/spreadsheetml/2006/main" count="890" uniqueCount="417">
  <si>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</si>
  <si>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</si>
  <si>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</si>
  <si>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</si>
  <si>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</si>
  <si>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</si>
  <si>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</si>
  <si>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</si>
  <si>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</si>
  <si>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</si>
  <si>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</si>
  <si>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</si>
  <si>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</si>
  <si>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</si>
  <si>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</si>
  <si>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</si>
  <si>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</si>
  <si>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</si>
  <si>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</si>
  <si>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</si>
  <si>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</si>
  <si>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</si>
  <si>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</si>
  <si>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</si>
  <si>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</si>
  <si>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</si>
  <si>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</si>
  <si>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</si>
  <si>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</si>
  <si>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</si>
  <si>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</si>
  <si>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</si>
  <si>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</si>
  <si>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</si>
  <si>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</si>
  <si>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</si>
  <si>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</si>
  <si>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</si>
  <si>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</si>
  <si>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</si>
  <si>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</si>
  <si>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</si>
  <si>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</si>
  <si>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</si>
  <si>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</si>
  <si>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</si>
  <si>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</si>
  <si>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</si>
  <si>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</si>
  <si>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</si>
  <si>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</si>
  <si>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February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</si>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</sst>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4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3" fontId="51" fillId="2" borderId="0" xfId="0" applyNumberFormat="1" applyFont="1" applyFill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3" xfId="0" applyNumberFormat="1" applyFont="1" applyFill="1" applyBorder="1" applyAlignment="1" applyProtection="1">
      <alignment horizontal="center" vertical="center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workbookViewId="0">
      <selection activeCell="E34" sqref="E34:M35"/>
    </sheetView>
  </sheetViews>
  <sheetFormatPr defaultColWidth="11.5703125" defaultRowHeight="12.75"/>
  <cols>
    <col min="1" max="1" width="24" style="808" bestFit="1" customWidth="1"/>
    <col min="2" max="3" width="11.5703125" style="809"/>
    <col min="4" max="4" width="13.42578125" style="809" customWidth="1"/>
    <col min="5" max="5" width="20.7109375" style="100" customWidth="1"/>
    <col min="6" max="6" width="20.140625" style="809" customWidth="1"/>
    <col min="7" max="7" width="18.28515625" style="100" customWidth="1"/>
    <col min="8" max="8" width="17.42578125" style="809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11" customFormat="1" ht="30">
      <c r="A1" s="829" t="s">
        <v>0</v>
      </c>
      <c r="B1" s="830" t="s">
        <v>1</v>
      </c>
      <c r="C1" s="830" t="s">
        <v>2</v>
      </c>
      <c r="D1" s="830" t="s">
        <v>3</v>
      </c>
      <c r="E1" s="824" t="s">
        <v>4</v>
      </c>
      <c r="F1" s="825" t="s">
        <v>5</v>
      </c>
      <c r="G1" s="824" t="s">
        <v>6</v>
      </c>
      <c r="H1" s="825" t="s">
        <v>7</v>
      </c>
      <c r="I1" s="824" t="s">
        <v>8</v>
      </c>
      <c r="J1" s="824" t="s">
        <v>9</v>
      </c>
      <c r="K1" s="824" t="s">
        <v>10</v>
      </c>
    </row>
    <row r="2" spans="1:12">
      <c r="A2" s="832" t="s">
        <v>11</v>
      </c>
      <c r="B2" s="833">
        <v>1</v>
      </c>
      <c r="C2" s="856">
        <v>2</v>
      </c>
      <c r="D2" s="834">
        <v>2021</v>
      </c>
      <c r="E2" s="890">
        <v>20187.71</v>
      </c>
      <c r="F2" s="826">
        <v>1.53</v>
      </c>
      <c r="G2" s="891">
        <f>1099.84+269.4</f>
        <v>1369.2399999999998</v>
      </c>
      <c r="H2" s="826">
        <v>3.89</v>
      </c>
      <c r="I2" s="891">
        <v>212.28</v>
      </c>
      <c r="J2" s="828">
        <v>10</v>
      </c>
      <c r="K2" s="827">
        <v>55</v>
      </c>
    </row>
    <row r="3" spans="1:12">
      <c r="A3" s="835" t="s">
        <v>11</v>
      </c>
      <c r="B3" s="831">
        <f>B2+1</f>
        <v>2</v>
      </c>
      <c r="C3" s="856">
        <v>2</v>
      </c>
      <c r="D3" s="834">
        <v>2021</v>
      </c>
      <c r="E3" s="890">
        <v>20187.71</v>
      </c>
      <c r="F3" s="826">
        <f>F2</f>
        <v>1.53</v>
      </c>
      <c r="G3" s="891">
        <f t="shared" ref="G3:G29" si="0">1099.84+269.4</f>
        <v>1369.2399999999998</v>
      </c>
      <c r="H3" s="826">
        <v>3.89</v>
      </c>
      <c r="I3" s="891">
        <v>212.28</v>
      </c>
      <c r="J3" s="828">
        <v>10</v>
      </c>
      <c r="K3" s="827">
        <v>55</v>
      </c>
    </row>
    <row r="4" spans="1:12">
      <c r="A4" s="835" t="s">
        <v>11</v>
      </c>
      <c r="B4" s="831">
        <f t="shared" ref="B4:B32" si="1">B3+1</f>
        <v>3</v>
      </c>
      <c r="C4" s="856">
        <v>2</v>
      </c>
      <c r="D4" s="834">
        <v>2021</v>
      </c>
      <c r="E4" s="890">
        <v>20187.71</v>
      </c>
      <c r="F4" s="826">
        <f t="shared" ref="F4:F32" si="2">F3</f>
        <v>1.53</v>
      </c>
      <c r="G4" s="891">
        <f t="shared" si="0"/>
        <v>1369.2399999999998</v>
      </c>
      <c r="H4" s="826">
        <v>3.89</v>
      </c>
      <c r="I4" s="891">
        <v>212.28</v>
      </c>
      <c r="J4" s="828">
        <v>10</v>
      </c>
      <c r="K4" s="827">
        <v>55</v>
      </c>
    </row>
    <row r="5" spans="1:12">
      <c r="A5" s="835" t="s">
        <v>11</v>
      </c>
      <c r="B5" s="831">
        <f t="shared" si="1"/>
        <v>4</v>
      </c>
      <c r="C5" s="856">
        <v>2</v>
      </c>
      <c r="D5" s="834">
        <v>2021</v>
      </c>
      <c r="E5" s="890">
        <v>20187.71</v>
      </c>
      <c r="F5" s="826">
        <f t="shared" si="2"/>
        <v>1.53</v>
      </c>
      <c r="G5" s="891">
        <f t="shared" si="0"/>
        <v>1369.2399999999998</v>
      </c>
      <c r="H5" s="826">
        <v>3.89</v>
      </c>
      <c r="I5" s="891">
        <v>212.28</v>
      </c>
      <c r="J5" s="828">
        <v>10</v>
      </c>
      <c r="K5" s="827">
        <v>55</v>
      </c>
    </row>
    <row r="6" spans="1:12">
      <c r="A6" s="835" t="s">
        <v>11</v>
      </c>
      <c r="B6" s="831">
        <f t="shared" si="1"/>
        <v>5</v>
      </c>
      <c r="C6" s="856">
        <v>2</v>
      </c>
      <c r="D6" s="834">
        <v>2021</v>
      </c>
      <c r="E6" s="890">
        <v>20187.71</v>
      </c>
      <c r="F6" s="826">
        <f t="shared" si="2"/>
        <v>1.53</v>
      </c>
      <c r="G6" s="891">
        <f t="shared" si="0"/>
        <v>1369.2399999999998</v>
      </c>
      <c r="H6" s="826">
        <v>3.89</v>
      </c>
      <c r="I6" s="891">
        <v>212.28</v>
      </c>
      <c r="J6" s="828">
        <v>10</v>
      </c>
      <c r="K6" s="827">
        <v>55</v>
      </c>
    </row>
    <row r="7" spans="1:12">
      <c r="A7" s="835" t="s">
        <v>11</v>
      </c>
      <c r="B7" s="831">
        <f t="shared" si="1"/>
        <v>6</v>
      </c>
      <c r="C7" s="856">
        <v>2</v>
      </c>
      <c r="D7" s="834">
        <v>2021</v>
      </c>
      <c r="E7" s="890">
        <v>20187.71</v>
      </c>
      <c r="F7" s="826">
        <f t="shared" si="2"/>
        <v>1.53</v>
      </c>
      <c r="G7" s="891">
        <f t="shared" si="0"/>
        <v>1369.2399999999998</v>
      </c>
      <c r="H7" s="826">
        <v>3.89</v>
      </c>
      <c r="I7" s="891">
        <v>212.28</v>
      </c>
      <c r="J7" s="828">
        <v>10</v>
      </c>
      <c r="K7" s="827">
        <v>55</v>
      </c>
    </row>
    <row r="8" spans="1:12">
      <c r="A8" s="835" t="s">
        <v>11</v>
      </c>
      <c r="B8" s="831">
        <f t="shared" si="1"/>
        <v>7</v>
      </c>
      <c r="C8" s="856">
        <v>2</v>
      </c>
      <c r="D8" s="834">
        <v>2021</v>
      </c>
      <c r="E8" s="890">
        <v>20187.71</v>
      </c>
      <c r="F8" s="826">
        <f t="shared" si="2"/>
        <v>1.53</v>
      </c>
      <c r="G8" s="891">
        <f t="shared" si="0"/>
        <v>1369.2399999999998</v>
      </c>
      <c r="H8" s="826">
        <v>3.89</v>
      </c>
      <c r="I8" s="891">
        <v>212.28</v>
      </c>
      <c r="J8" s="828">
        <v>10</v>
      </c>
      <c r="K8" s="827">
        <v>55</v>
      </c>
    </row>
    <row r="9" spans="1:12">
      <c r="A9" s="835" t="s">
        <v>11</v>
      </c>
      <c r="B9" s="831">
        <f t="shared" si="1"/>
        <v>8</v>
      </c>
      <c r="C9" s="856">
        <v>2</v>
      </c>
      <c r="D9" s="834">
        <v>2021</v>
      </c>
      <c r="E9" s="890">
        <v>20187.71</v>
      </c>
      <c r="F9" s="826">
        <f t="shared" si="2"/>
        <v>1.53</v>
      </c>
      <c r="G9" s="891">
        <f t="shared" si="0"/>
        <v>1369.2399999999998</v>
      </c>
      <c r="H9" s="826">
        <v>3.89</v>
      </c>
      <c r="I9" s="891">
        <v>212.28</v>
      </c>
      <c r="J9" s="828">
        <v>10</v>
      </c>
      <c r="K9" s="827">
        <v>55</v>
      </c>
    </row>
    <row r="10" spans="1:12">
      <c r="A10" s="835" t="s">
        <v>11</v>
      </c>
      <c r="B10" s="831">
        <f t="shared" si="1"/>
        <v>9</v>
      </c>
      <c r="C10" s="856">
        <v>2</v>
      </c>
      <c r="D10" s="834">
        <v>2021</v>
      </c>
      <c r="E10" s="890">
        <v>20187.71</v>
      </c>
      <c r="F10" s="826">
        <f t="shared" si="2"/>
        <v>1.53</v>
      </c>
      <c r="G10" s="891">
        <f t="shared" si="0"/>
        <v>1369.2399999999998</v>
      </c>
      <c r="H10" s="826">
        <v>3.89</v>
      </c>
      <c r="I10" s="891">
        <v>212.28</v>
      </c>
      <c r="J10" s="828">
        <v>10</v>
      </c>
      <c r="K10" s="827">
        <v>55</v>
      </c>
    </row>
    <row r="11" spans="1:12">
      <c r="A11" s="835" t="s">
        <v>11</v>
      </c>
      <c r="B11" s="831">
        <f t="shared" si="1"/>
        <v>10</v>
      </c>
      <c r="C11" s="856">
        <v>2</v>
      </c>
      <c r="D11" s="834">
        <v>2021</v>
      </c>
      <c r="E11" s="890">
        <v>20187.71</v>
      </c>
      <c r="F11" s="826">
        <f t="shared" si="2"/>
        <v>1.53</v>
      </c>
      <c r="G11" s="891">
        <f t="shared" si="0"/>
        <v>1369.2399999999998</v>
      </c>
      <c r="H11" s="826">
        <v>3.89</v>
      </c>
      <c r="I11" s="891">
        <v>212.28</v>
      </c>
      <c r="J11" s="828">
        <v>10</v>
      </c>
      <c r="K11" s="827">
        <v>55</v>
      </c>
    </row>
    <row r="12" spans="1:12">
      <c r="A12" s="835" t="s">
        <v>11</v>
      </c>
      <c r="B12" s="831">
        <f t="shared" si="1"/>
        <v>11</v>
      </c>
      <c r="C12" s="856">
        <v>2</v>
      </c>
      <c r="D12" s="834">
        <v>2021</v>
      </c>
      <c r="E12" s="890">
        <v>20187.71</v>
      </c>
      <c r="F12" s="826">
        <f t="shared" si="2"/>
        <v>1.53</v>
      </c>
      <c r="G12" s="891">
        <f t="shared" si="0"/>
        <v>1369.2399999999998</v>
      </c>
      <c r="H12" s="826">
        <v>3.89</v>
      </c>
      <c r="I12" s="891">
        <v>212.28</v>
      </c>
      <c r="J12" s="828">
        <v>10</v>
      </c>
      <c r="K12" s="827">
        <v>55</v>
      </c>
      <c r="L12" s="812" t="s">
        <v>12</v>
      </c>
    </row>
    <row r="13" spans="1:12">
      <c r="A13" s="835" t="s">
        <v>11</v>
      </c>
      <c r="B13" s="831">
        <f t="shared" si="1"/>
        <v>12</v>
      </c>
      <c r="C13" s="856">
        <v>2</v>
      </c>
      <c r="D13" s="834">
        <v>2021</v>
      </c>
      <c r="E13" s="890">
        <v>20187.71</v>
      </c>
      <c r="F13" s="826">
        <f t="shared" si="2"/>
        <v>1.53</v>
      </c>
      <c r="G13" s="891">
        <f t="shared" si="0"/>
        <v>1369.2399999999998</v>
      </c>
      <c r="H13" s="826">
        <v>3.89</v>
      </c>
      <c r="I13" s="891">
        <v>212.28</v>
      </c>
      <c r="J13" s="828">
        <v>10</v>
      </c>
      <c r="K13" s="827">
        <v>55</v>
      </c>
      <c r="L13" s="812" t="s">
        <v>13</v>
      </c>
    </row>
    <row r="14" spans="1:12">
      <c r="A14" s="835" t="s">
        <v>11</v>
      </c>
      <c r="B14" s="831">
        <f t="shared" si="1"/>
        <v>13</v>
      </c>
      <c r="C14" s="856">
        <v>2</v>
      </c>
      <c r="D14" s="834">
        <v>2021</v>
      </c>
      <c r="E14" s="890">
        <v>20187.71</v>
      </c>
      <c r="F14" s="826">
        <f t="shared" si="2"/>
        <v>1.53</v>
      </c>
      <c r="G14" s="891">
        <f t="shared" si="0"/>
        <v>1369.2399999999998</v>
      </c>
      <c r="H14" s="826">
        <v>3.89</v>
      </c>
      <c r="I14" s="891">
        <v>212.28</v>
      </c>
      <c r="J14" s="828">
        <v>10</v>
      </c>
      <c r="K14" s="827">
        <v>55</v>
      </c>
    </row>
    <row r="15" spans="1:12">
      <c r="A15" s="835" t="s">
        <v>11</v>
      </c>
      <c r="B15" s="831">
        <f t="shared" si="1"/>
        <v>14</v>
      </c>
      <c r="C15" s="856">
        <v>2</v>
      </c>
      <c r="D15" s="834">
        <v>2021</v>
      </c>
      <c r="E15" s="890">
        <v>20187.71</v>
      </c>
      <c r="F15" s="826">
        <f t="shared" si="2"/>
        <v>1.53</v>
      </c>
      <c r="G15" s="891">
        <f t="shared" si="0"/>
        <v>1369.2399999999998</v>
      </c>
      <c r="H15" s="826">
        <v>3.89</v>
      </c>
      <c r="I15" s="891">
        <v>212.28</v>
      </c>
      <c r="J15" s="828">
        <v>10</v>
      </c>
      <c r="K15" s="827">
        <v>55</v>
      </c>
    </row>
    <row r="16" spans="1:12">
      <c r="A16" s="835" t="s">
        <v>11</v>
      </c>
      <c r="B16" s="831">
        <f t="shared" si="1"/>
        <v>15</v>
      </c>
      <c r="C16" s="856">
        <v>2</v>
      </c>
      <c r="D16" s="834">
        <v>2021</v>
      </c>
      <c r="E16" s="890">
        <v>20187.71</v>
      </c>
      <c r="F16" s="826">
        <f t="shared" si="2"/>
        <v>1.53</v>
      </c>
      <c r="G16" s="891">
        <f t="shared" si="0"/>
        <v>1369.2399999999998</v>
      </c>
      <c r="H16" s="826">
        <v>3.89</v>
      </c>
      <c r="I16" s="891">
        <v>212.28</v>
      </c>
      <c r="J16" s="828">
        <v>10</v>
      </c>
      <c r="K16" s="827">
        <v>55</v>
      </c>
    </row>
    <row r="17" spans="1:11">
      <c r="A17" s="835" t="s">
        <v>11</v>
      </c>
      <c r="B17" s="831">
        <f t="shared" si="1"/>
        <v>16</v>
      </c>
      <c r="C17" s="856">
        <v>2</v>
      </c>
      <c r="D17" s="834">
        <v>2021</v>
      </c>
      <c r="E17" s="890">
        <v>20187.71</v>
      </c>
      <c r="F17" s="826">
        <f t="shared" si="2"/>
        <v>1.53</v>
      </c>
      <c r="G17" s="891">
        <f t="shared" si="0"/>
        <v>1369.2399999999998</v>
      </c>
      <c r="H17" s="826">
        <v>3.89</v>
      </c>
      <c r="I17" s="891">
        <v>212.28</v>
      </c>
      <c r="J17" s="828">
        <v>10</v>
      </c>
      <c r="K17" s="827">
        <v>55</v>
      </c>
    </row>
    <row r="18" spans="1:11">
      <c r="A18" s="835" t="s">
        <v>11</v>
      </c>
      <c r="B18" s="831">
        <f t="shared" si="1"/>
        <v>17</v>
      </c>
      <c r="C18" s="856">
        <v>2</v>
      </c>
      <c r="D18" s="834">
        <v>2021</v>
      </c>
      <c r="E18" s="890">
        <v>20187.71</v>
      </c>
      <c r="F18" s="826">
        <f t="shared" si="2"/>
        <v>1.53</v>
      </c>
      <c r="G18" s="891">
        <f t="shared" si="0"/>
        <v>1369.2399999999998</v>
      </c>
      <c r="H18" s="826">
        <v>3.89</v>
      </c>
      <c r="I18" s="891">
        <v>212.28</v>
      </c>
      <c r="J18" s="828">
        <v>10</v>
      </c>
      <c r="K18" s="827">
        <v>55</v>
      </c>
    </row>
    <row r="19" spans="1:11">
      <c r="A19" s="835" t="s">
        <v>11</v>
      </c>
      <c r="B19" s="831">
        <f t="shared" si="1"/>
        <v>18</v>
      </c>
      <c r="C19" s="856">
        <v>2</v>
      </c>
      <c r="D19" s="834">
        <v>2021</v>
      </c>
      <c r="E19" s="890">
        <v>20187.71</v>
      </c>
      <c r="F19" s="826">
        <f t="shared" si="2"/>
        <v>1.53</v>
      </c>
      <c r="G19" s="891">
        <f t="shared" si="0"/>
        <v>1369.2399999999998</v>
      </c>
      <c r="H19" s="826">
        <v>3.89</v>
      </c>
      <c r="I19" s="891">
        <v>212.28</v>
      </c>
      <c r="J19" s="828">
        <v>10</v>
      </c>
      <c r="K19" s="827">
        <v>55</v>
      </c>
    </row>
    <row r="20" spans="1:11">
      <c r="A20" s="835" t="s">
        <v>11</v>
      </c>
      <c r="B20" s="831">
        <f t="shared" si="1"/>
        <v>19</v>
      </c>
      <c r="C20" s="856">
        <v>2</v>
      </c>
      <c r="D20" s="834">
        <v>2021</v>
      </c>
      <c r="E20" s="890">
        <v>20187.71</v>
      </c>
      <c r="F20" s="826">
        <f t="shared" si="2"/>
        <v>1.53</v>
      </c>
      <c r="G20" s="891">
        <f t="shared" si="0"/>
        <v>1369.2399999999998</v>
      </c>
      <c r="H20" s="826">
        <v>3.89</v>
      </c>
      <c r="I20" s="891">
        <v>212.28</v>
      </c>
      <c r="J20" s="828">
        <v>10</v>
      </c>
      <c r="K20" s="827">
        <v>55</v>
      </c>
    </row>
    <row r="21" spans="1:11">
      <c r="A21" s="835" t="s">
        <v>11</v>
      </c>
      <c r="B21" s="831">
        <f t="shared" si="1"/>
        <v>20</v>
      </c>
      <c r="C21" s="856">
        <v>2</v>
      </c>
      <c r="D21" s="834">
        <v>2021</v>
      </c>
      <c r="E21" s="890">
        <v>20187.71</v>
      </c>
      <c r="F21" s="826">
        <f t="shared" si="2"/>
        <v>1.53</v>
      </c>
      <c r="G21" s="891">
        <f t="shared" si="0"/>
        <v>1369.2399999999998</v>
      </c>
      <c r="H21" s="826">
        <v>3.89</v>
      </c>
      <c r="I21" s="891">
        <v>212.28</v>
      </c>
      <c r="J21" s="828">
        <v>10</v>
      </c>
      <c r="K21" s="827">
        <v>55</v>
      </c>
    </row>
    <row r="22" spans="1:11">
      <c r="A22" s="835" t="s">
        <v>11</v>
      </c>
      <c r="B22" s="831">
        <f t="shared" si="1"/>
        <v>21</v>
      </c>
      <c r="C22" s="856">
        <v>2</v>
      </c>
      <c r="D22" s="834">
        <v>2021</v>
      </c>
      <c r="E22" s="890">
        <v>20187.71</v>
      </c>
      <c r="F22" s="826">
        <f t="shared" si="2"/>
        <v>1.53</v>
      </c>
      <c r="G22" s="891">
        <f t="shared" si="0"/>
        <v>1369.2399999999998</v>
      </c>
      <c r="H22" s="826">
        <v>3.89</v>
      </c>
      <c r="I22" s="891">
        <v>212.28</v>
      </c>
      <c r="J22" s="828">
        <v>10</v>
      </c>
      <c r="K22" s="827">
        <v>55</v>
      </c>
    </row>
    <row r="23" spans="1:11">
      <c r="A23" s="835" t="s">
        <v>11</v>
      </c>
      <c r="B23" s="831">
        <f t="shared" si="1"/>
        <v>22</v>
      </c>
      <c r="C23" s="856">
        <v>2</v>
      </c>
      <c r="D23" s="834">
        <v>2021</v>
      </c>
      <c r="E23" s="890">
        <v>20187.71</v>
      </c>
      <c r="F23" s="826">
        <f t="shared" si="2"/>
        <v>1.53</v>
      </c>
      <c r="G23" s="891">
        <f t="shared" si="0"/>
        <v>1369.2399999999998</v>
      </c>
      <c r="H23" s="826">
        <v>3.89</v>
      </c>
      <c r="I23" s="891">
        <v>212.28</v>
      </c>
      <c r="J23" s="828">
        <v>10</v>
      </c>
      <c r="K23" s="827">
        <v>55</v>
      </c>
    </row>
    <row r="24" spans="1:11">
      <c r="A24" s="835" t="s">
        <v>11</v>
      </c>
      <c r="B24" s="831">
        <f t="shared" si="1"/>
        <v>23</v>
      </c>
      <c r="C24" s="856">
        <v>2</v>
      </c>
      <c r="D24" s="834">
        <v>2021</v>
      </c>
      <c r="E24" s="890">
        <v>20187.71</v>
      </c>
      <c r="F24" s="826">
        <f t="shared" si="2"/>
        <v>1.53</v>
      </c>
      <c r="G24" s="891">
        <f t="shared" si="0"/>
        <v>1369.2399999999998</v>
      </c>
      <c r="H24" s="826">
        <v>3.89</v>
      </c>
      <c r="I24" s="891">
        <v>212.28</v>
      </c>
      <c r="J24" s="828">
        <v>10</v>
      </c>
      <c r="K24" s="827">
        <v>55</v>
      </c>
    </row>
    <row r="25" spans="1:11">
      <c r="A25" s="835" t="s">
        <v>11</v>
      </c>
      <c r="B25" s="831">
        <f t="shared" si="1"/>
        <v>24</v>
      </c>
      <c r="C25" s="856">
        <v>2</v>
      </c>
      <c r="D25" s="834">
        <v>2021</v>
      </c>
      <c r="E25" s="890">
        <v>20187.71</v>
      </c>
      <c r="F25" s="826">
        <f t="shared" si="2"/>
        <v>1.53</v>
      </c>
      <c r="G25" s="891">
        <f t="shared" si="0"/>
        <v>1369.2399999999998</v>
      </c>
      <c r="H25" s="826">
        <v>3.89</v>
      </c>
      <c r="I25" s="891">
        <v>212.28</v>
      </c>
      <c r="J25" s="828">
        <v>10</v>
      </c>
      <c r="K25" s="827">
        <v>55</v>
      </c>
    </row>
    <row r="26" spans="1:11">
      <c r="A26" s="835" t="s">
        <v>11</v>
      </c>
      <c r="B26" s="831">
        <f>B25+1</f>
        <v>25</v>
      </c>
      <c r="C26" s="856">
        <v>2</v>
      </c>
      <c r="D26" s="834">
        <v>2021</v>
      </c>
      <c r="E26" s="890">
        <v>20187.71</v>
      </c>
      <c r="F26" s="826">
        <f t="shared" si="2"/>
        <v>1.53</v>
      </c>
      <c r="G26" s="891">
        <f t="shared" si="0"/>
        <v>1369.2399999999998</v>
      </c>
      <c r="H26" s="826">
        <v>3.89</v>
      </c>
      <c r="I26" s="891">
        <v>212.28</v>
      </c>
      <c r="J26" s="828">
        <v>10</v>
      </c>
      <c r="K26" s="827">
        <v>56</v>
      </c>
    </row>
    <row r="27" spans="1:11">
      <c r="A27" s="835" t="s">
        <v>11</v>
      </c>
      <c r="B27" s="831">
        <f t="shared" si="1"/>
        <v>26</v>
      </c>
      <c r="C27" s="856">
        <v>2</v>
      </c>
      <c r="D27" s="834">
        <v>2021</v>
      </c>
      <c r="E27" s="890">
        <v>20187.71</v>
      </c>
      <c r="F27" s="826">
        <f t="shared" si="2"/>
        <v>1.53</v>
      </c>
      <c r="G27" s="891">
        <f t="shared" si="0"/>
        <v>1369.2399999999998</v>
      </c>
      <c r="H27" s="826">
        <v>3.89</v>
      </c>
      <c r="I27" s="891">
        <v>212.28</v>
      </c>
      <c r="J27" s="828">
        <v>10</v>
      </c>
      <c r="K27" s="827">
        <v>56</v>
      </c>
    </row>
    <row r="28" spans="1:11">
      <c r="A28" s="835" t="s">
        <v>11</v>
      </c>
      <c r="B28" s="831">
        <f t="shared" si="1"/>
        <v>27</v>
      </c>
      <c r="C28" s="856">
        <v>2</v>
      </c>
      <c r="D28" s="834">
        <v>2021</v>
      </c>
      <c r="E28" s="890">
        <v>20187.71</v>
      </c>
      <c r="F28" s="826">
        <f t="shared" si="2"/>
        <v>1.53</v>
      </c>
      <c r="G28" s="891">
        <f t="shared" si="0"/>
        <v>1369.2399999999998</v>
      </c>
      <c r="H28" s="826">
        <v>3.89</v>
      </c>
      <c r="I28" s="891">
        <v>212.28</v>
      </c>
      <c r="J28" s="828">
        <v>10</v>
      </c>
      <c r="K28" s="827">
        <v>56</v>
      </c>
    </row>
    <row r="29" spans="1:11">
      <c r="A29" s="835" t="s">
        <v>11</v>
      </c>
      <c r="B29" s="831">
        <f t="shared" si="1"/>
        <v>28</v>
      </c>
      <c r="C29" s="856">
        <v>2</v>
      </c>
      <c r="D29" s="834">
        <v>2021</v>
      </c>
      <c r="E29" s="890">
        <v>20187.71</v>
      </c>
      <c r="F29" s="826">
        <f t="shared" si="2"/>
        <v>1.53</v>
      </c>
      <c r="G29" s="891">
        <f t="shared" si="0"/>
        <v>1369.2399999999998</v>
      </c>
      <c r="H29" s="826">
        <v>3.89</v>
      </c>
      <c r="I29" s="891">
        <v>212.28</v>
      </c>
      <c r="J29" s="828">
        <v>10</v>
      </c>
      <c r="K29" s="827">
        <v>56</v>
      </c>
    </row>
    <row r="30" spans="1:11">
      <c r="A30" s="835" t="s">
        <v>11</v>
      </c>
      <c r="B30" s="831">
        <f t="shared" si="1"/>
        <v>29</v>
      </c>
      <c r="C30" s="856">
        <v>2</v>
      </c>
      <c r="D30" s="834">
        <v>2021</v>
      </c>
      <c r="E30" s="890">
        <f>Elect!BW34</f>
        <v>0</v>
      </c>
      <c r="F30" s="826">
        <f t="shared" si="2"/>
        <v>1.53</v>
      </c>
      <c r="G30" s="891">
        <f>Gas!K35</f>
        <v>0</v>
      </c>
      <c r="H30" s="826">
        <v>3.89</v>
      </c>
      <c r="I30" s="891">
        <f>Water!H35</f>
        <v>0</v>
      </c>
      <c r="J30" s="828">
        <v>10</v>
      </c>
      <c r="K30" s="827">
        <f>Elect!BX34</f>
        <v>0</v>
      </c>
    </row>
    <row r="31" spans="1:11">
      <c r="A31" s="835" t="s">
        <v>11</v>
      </c>
      <c r="B31" s="831">
        <f t="shared" si="1"/>
        <v>30</v>
      </c>
      <c r="C31" s="856">
        <v>2</v>
      </c>
      <c r="D31" s="834">
        <v>2021</v>
      </c>
      <c r="E31" s="890">
        <f>Elect!BW35</f>
        <v>0</v>
      </c>
      <c r="F31" s="826">
        <f t="shared" si="2"/>
        <v>1.53</v>
      </c>
      <c r="G31" s="891">
        <f>Gas!K36</f>
        <v>0</v>
      </c>
      <c r="H31" s="826">
        <v>3.89</v>
      </c>
      <c r="I31" s="891">
        <f>Water!H36</f>
        <v>0</v>
      </c>
      <c r="J31" s="828">
        <v>10</v>
      </c>
      <c r="K31" s="827">
        <f>Elect!BX35</f>
        <v>0</v>
      </c>
    </row>
    <row r="32" spans="1:11">
      <c r="A32" s="836" t="s">
        <v>11</v>
      </c>
      <c r="B32" s="837">
        <f t="shared" si="1"/>
        <v>31</v>
      </c>
      <c r="C32" s="856">
        <v>2</v>
      </c>
      <c r="D32" s="834">
        <v>2021</v>
      </c>
      <c r="E32" s="890">
        <f>Elect!BW36</f>
        <v>0</v>
      </c>
      <c r="F32" s="826">
        <f t="shared" si="2"/>
        <v>1.53</v>
      </c>
      <c r="G32" s="891">
        <f>Gas!K37</f>
        <v>0</v>
      </c>
      <c r="H32" s="826">
        <v>3.89</v>
      </c>
      <c r="I32" s="891">
        <f>Water!H37</f>
        <v>0</v>
      </c>
      <c r="J32" s="828">
        <v>10</v>
      </c>
      <c r="K32" s="827">
        <f>Elect!BX36</f>
        <v>0</v>
      </c>
    </row>
    <row r="34" spans="5:11">
      <c r="E34" s="892"/>
      <c r="G34" s="892"/>
      <c r="I34" s="892"/>
      <c r="K34" s="892"/>
    </row>
  </sheetData>
  <sheetProtection algorithmName="SHA-512" hashValue="4Vfapjsg5zl42GOW9YmVetk0JWM/zz1Dlm/hkNS//Aj6rBAZTNAXV3fv9QIQoP2GQO/OgkGvCxucWbtdXZXFTg==" saltValue="nYrl5fT8nteZY8wkxa96m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abSelected="1" topLeftCell="AG1" workbookViewId="0">
      <selection activeCell="AP2" sqref="AP2:AP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22" t="s">
        <v>0</v>
      </c>
      <c r="B1" s="823" t="s">
        <v>1</v>
      </c>
      <c r="C1" s="823" t="s">
        <v>2</v>
      </c>
      <c r="D1" s="823" t="s">
        <v>3</v>
      </c>
      <c r="E1" s="893" t="s">
        <v>14</v>
      </c>
      <c r="F1" s="818" t="s">
        <v>15</v>
      </c>
      <c r="G1" s="819" t="s">
        <v>16</v>
      </c>
      <c r="H1" s="818" t="s">
        <v>17</v>
      </c>
      <c r="I1" s="818" t="s">
        <v>18</v>
      </c>
      <c r="J1" s="818" t="s">
        <v>19</v>
      </c>
      <c r="K1" s="810" t="s">
        <v>20</v>
      </c>
      <c r="L1" s="810" t="s">
        <v>21</v>
      </c>
      <c r="M1" s="839" t="s">
        <v>22</v>
      </c>
      <c r="N1" s="839" t="s">
        <v>23</v>
      </c>
      <c r="O1" s="839" t="s">
        <v>24</v>
      </c>
      <c r="P1" s="839" t="s">
        <v>25</v>
      </c>
      <c r="Q1" s="839" t="s">
        <v>26</v>
      </c>
      <c r="R1" s="839" t="s">
        <v>27</v>
      </c>
      <c r="S1" s="872" t="s">
        <v>28</v>
      </c>
      <c r="T1" s="839" t="s">
        <v>29</v>
      </c>
      <c r="U1" s="839" t="s">
        <v>30</v>
      </c>
      <c r="V1" s="839" t="s">
        <v>31</v>
      </c>
      <c r="W1" s="872" t="s">
        <v>32</v>
      </c>
      <c r="X1" s="839" t="s">
        <v>33</v>
      </c>
      <c r="Y1" s="872" t="s">
        <v>34</v>
      </c>
      <c r="Z1" s="839" t="s">
        <v>35</v>
      </c>
      <c r="AA1" s="872" t="s">
        <v>36</v>
      </c>
      <c r="AB1" s="839" t="s">
        <v>37</v>
      </c>
      <c r="AC1" s="839" t="s">
        <v>38</v>
      </c>
      <c r="AD1" s="872" t="s">
        <v>39</v>
      </c>
      <c r="AE1" s="839" t="s">
        <v>40</v>
      </c>
      <c r="AF1" s="839" t="s">
        <v>41</v>
      </c>
      <c r="AG1" s="839" t="s">
        <v>42</v>
      </c>
      <c r="AH1" s="893" t="s">
        <v>43</v>
      </c>
      <c r="AI1" s="839" t="s">
        <v>44</v>
      </c>
      <c r="AJ1" s="839" t="s">
        <v>45</v>
      </c>
      <c r="AK1" s="839" t="s">
        <v>46</v>
      </c>
      <c r="AL1" s="893" t="s">
        <v>47</v>
      </c>
      <c r="AM1" s="839" t="s">
        <v>48</v>
      </c>
      <c r="AN1" s="839" t="s">
        <v>49</v>
      </c>
      <c r="AO1" s="839" t="s">
        <v>50</v>
      </c>
      <c r="AP1" s="824" t="s">
        <v>10</v>
      </c>
    </row>
    <row r="2" spans="1:42" ht="19.5" customHeight="1">
      <c r="A2" s="832" t="s">
        <v>11</v>
      </c>
      <c r="B2" s="833">
        <v>1</v>
      </c>
      <c r="C2" s="856">
        <v>2</v>
      </c>
      <c r="D2" s="834">
        <v>2021</v>
      </c>
      <c r="E2" s="894"/>
      <c r="F2" s="820">
        <f>Elect!J6</f>
        <v>2651</v>
      </c>
      <c r="G2" s="820">
        <f>Elect!K6</f>
        <v>2851</v>
      </c>
      <c r="H2" s="820">
        <f>Elect!Q6</f>
        <v>600</v>
      </c>
      <c r="I2" s="820">
        <f>Elect!W6</f>
        <v>154</v>
      </c>
      <c r="J2" s="820">
        <f>Elect!Y6</f>
        <v>240</v>
      </c>
      <c r="K2" s="820">
        <f>Elect!AA6</f>
        <v>0</v>
      </c>
      <c r="L2" s="820">
        <f>Elect!AC6</f>
        <v>1045.69</v>
      </c>
      <c r="M2" s="838">
        <f>Elect!AE6</f>
        <v>0</v>
      </c>
      <c r="N2" s="838">
        <f>Elect!AG6</f>
        <v>0</v>
      </c>
      <c r="O2" s="838">
        <f>Elect!AI6</f>
        <v>12.215238094906091</v>
      </c>
      <c r="P2" s="838">
        <f>Elect!AK6</f>
        <v>12.164761905093911</v>
      </c>
      <c r="Q2" s="838">
        <f>Elect!AM6</f>
        <v>108.65</v>
      </c>
      <c r="R2" s="838">
        <f>Elect!AO6</f>
        <v>1529.5800000000002</v>
      </c>
      <c r="S2" s="838">
        <f>Elect!AQ6</f>
        <v>172.8178571426368</v>
      </c>
      <c r="T2" s="838">
        <f>Elect!AT6</f>
        <v>85.837500000000006</v>
      </c>
      <c r="U2" s="838">
        <f>Elect!AV6</f>
        <v>220</v>
      </c>
      <c r="V2" s="838">
        <f>Elect!AX6</f>
        <v>127</v>
      </c>
      <c r="W2" s="838">
        <f>Elect!AZ6</f>
        <v>28</v>
      </c>
      <c r="X2" s="838">
        <f>Elect!BB6</f>
        <v>192</v>
      </c>
      <c r="Y2" s="838">
        <f>Elect!BD6</f>
        <v>68</v>
      </c>
      <c r="Z2" s="838">
        <f>Elect!BF6</f>
        <v>2693</v>
      </c>
      <c r="AA2" s="838">
        <f>Elect!BH6</f>
        <v>107.6785714289872</v>
      </c>
      <c r="AB2" s="838">
        <f>Elect!BJ6</f>
        <v>0</v>
      </c>
      <c r="AC2" s="838">
        <f>Elect!BL6</f>
        <v>5078.1999999985101</v>
      </c>
      <c r="AD2" s="838">
        <f>Elect!BP6</f>
        <v>273</v>
      </c>
      <c r="AE2" s="838">
        <f>Elect!BR6</f>
        <v>946</v>
      </c>
      <c r="AF2" s="838">
        <f>Elect!BT6</f>
        <v>110</v>
      </c>
      <c r="AG2" s="838">
        <f>Elect!BV6</f>
        <v>197</v>
      </c>
      <c r="AH2" s="894"/>
      <c r="AI2" s="838">
        <f>Water!C7</f>
        <v>75.399999999999991</v>
      </c>
      <c r="AJ2" s="838">
        <f>Water!E7</f>
        <v>203</v>
      </c>
      <c r="AK2" s="838">
        <f>Water!G7</f>
        <v>0</v>
      </c>
      <c r="AL2" s="894"/>
      <c r="AM2" s="838">
        <f>Gas!C7</f>
        <v>608.44000000000005</v>
      </c>
      <c r="AN2" s="838">
        <f>Gas!E7</f>
        <v>331.79999999999995</v>
      </c>
      <c r="AO2" s="838">
        <f>Gas!G7</f>
        <v>30</v>
      </c>
      <c r="AP2" s="827">
        <v>55</v>
      </c>
    </row>
    <row r="3" spans="1:42" ht="12.75" customHeight="1">
      <c r="A3" s="835" t="s">
        <v>11</v>
      </c>
      <c r="B3" s="831">
        <f>B2+1</f>
        <v>2</v>
      </c>
      <c r="C3" s="856">
        <v>2</v>
      </c>
      <c r="D3" s="834">
        <v>2021</v>
      </c>
      <c r="E3" s="894"/>
      <c r="F3" s="820">
        <f>Elect!J7</f>
        <v>4448</v>
      </c>
      <c r="G3" s="820">
        <f>Elect!K7</f>
        <v>2845</v>
      </c>
      <c r="H3" s="820">
        <f>Elect!Q7</f>
        <v>420</v>
      </c>
      <c r="I3" s="820">
        <f>Elect!W7</f>
        <v>148</v>
      </c>
      <c r="J3" s="820">
        <f>Elect!Y7</f>
        <v>258</v>
      </c>
      <c r="K3" s="820">
        <f>Elect!AA7</f>
        <v>297.33000000000004</v>
      </c>
      <c r="L3" s="820">
        <f>Elect!AC7</f>
        <v>1240.73</v>
      </c>
      <c r="M3" s="838">
        <f>Elect!AE7</f>
        <v>0</v>
      </c>
      <c r="N3" s="838">
        <f>Elect!AG7</f>
        <v>255.46</v>
      </c>
      <c r="O3" s="838">
        <f>Elect!AI7</f>
        <v>12.215238095430541</v>
      </c>
      <c r="P3" s="838">
        <f>Elect!AK7</f>
        <v>12.16476190453861</v>
      </c>
      <c r="Q3" s="838">
        <f>Elect!AM7</f>
        <v>238.5</v>
      </c>
      <c r="R3" s="838">
        <f>Elect!AO7</f>
        <v>404.39000000000004</v>
      </c>
      <c r="S3" s="838">
        <f>Elect!AQ7</f>
        <v>172.81785714316123</v>
      </c>
      <c r="T3" s="838">
        <f>Elect!AT7</f>
        <v>80.212500000000006</v>
      </c>
      <c r="U3" s="838">
        <f>Elect!AV7</f>
        <v>266</v>
      </c>
      <c r="V3" s="838">
        <f>Elect!AX7</f>
        <v>121</v>
      </c>
      <c r="W3" s="838">
        <f>Elect!AZ7</f>
        <v>38</v>
      </c>
      <c r="X3" s="838">
        <f>Elect!BB7</f>
        <v>200</v>
      </c>
      <c r="Y3" s="838">
        <f>Elect!BD7</f>
        <v>65</v>
      </c>
      <c r="Z3" s="838">
        <f>Elect!BF7</f>
        <v>3241</v>
      </c>
      <c r="AA3" s="838">
        <f>Elect!BH7</f>
        <v>107.67857142799767</v>
      </c>
      <c r="AB3" s="838">
        <f>Elect!BJ7</f>
        <v>0</v>
      </c>
      <c r="AC3" s="838">
        <f>Elect!BL7</f>
        <v>4604.0499999999993</v>
      </c>
      <c r="AD3" s="838">
        <f>Elect!BP7</f>
        <v>273</v>
      </c>
      <c r="AE3" s="838">
        <f>Elect!BR7</f>
        <v>773</v>
      </c>
      <c r="AF3" s="838">
        <f>Elect!BT7</f>
        <v>118</v>
      </c>
      <c r="AG3" s="838">
        <f>Elect!BV7</f>
        <v>206</v>
      </c>
      <c r="AH3" s="894"/>
      <c r="AI3" s="838">
        <f>Water!C8</f>
        <v>98.6</v>
      </c>
      <c r="AJ3" s="838">
        <f>Water!E8</f>
        <v>110.19999999999999</v>
      </c>
      <c r="AK3" s="838">
        <f>Water!G8</f>
        <v>0</v>
      </c>
      <c r="AL3" s="894"/>
      <c r="AM3" s="838">
        <f>Gas!C8</f>
        <v>931.74</v>
      </c>
      <c r="AN3" s="838">
        <f>Gas!E8</f>
        <v>248.49999999999997</v>
      </c>
      <c r="AO3" s="838">
        <f>Gas!G8</f>
        <v>56</v>
      </c>
      <c r="AP3" s="827">
        <v>55</v>
      </c>
    </row>
    <row r="4" spans="1:42" ht="12.75" customHeight="1">
      <c r="A4" s="835" t="s">
        <v>11</v>
      </c>
      <c r="B4" s="831">
        <f t="shared" ref="B4:B31" si="0">B3+1</f>
        <v>3</v>
      </c>
      <c r="C4" s="856">
        <v>2</v>
      </c>
      <c r="D4" s="834">
        <v>2021</v>
      </c>
      <c r="E4" s="894"/>
      <c r="F4" s="820">
        <f>Elect!J8</f>
        <v>4078</v>
      </c>
      <c r="G4" s="820">
        <f>Elect!K8</f>
        <v>2734</v>
      </c>
      <c r="H4" s="820">
        <f>Elect!Q8</f>
        <v>390</v>
      </c>
      <c r="I4" s="820">
        <f>Elect!W8</f>
        <v>142</v>
      </c>
      <c r="J4" s="820">
        <f>Elect!Y8</f>
        <v>248</v>
      </c>
      <c r="K4" s="820">
        <f>Elect!AA8</f>
        <v>82.68</v>
      </c>
      <c r="L4" s="820">
        <f>Elect!AC8</f>
        <v>629.11</v>
      </c>
      <c r="M4" s="838">
        <f>Elect!AE8</f>
        <v>36.57</v>
      </c>
      <c r="N4" s="838">
        <f>Elect!AG8</f>
        <v>498.73</v>
      </c>
      <c r="O4" s="838">
        <f>Elect!AI8</f>
        <v>12.215238095430541</v>
      </c>
      <c r="P4" s="838">
        <f>Elect!AK8</f>
        <v>12.16476190460031</v>
      </c>
      <c r="Q4" s="838">
        <f>Elect!AM8</f>
        <v>242.21</v>
      </c>
      <c r="R4" s="838">
        <f>Elect!AO8</f>
        <v>3525.5600000000004</v>
      </c>
      <c r="S4" s="838">
        <f>Elect!AQ8</f>
        <v>172.8178571426368</v>
      </c>
      <c r="T4" s="838">
        <f>Elect!AT8</f>
        <v>85.275000000000006</v>
      </c>
      <c r="U4" s="838">
        <f>Elect!AV8</f>
        <v>266</v>
      </c>
      <c r="V4" s="838">
        <f>Elect!AX8</f>
        <v>109</v>
      </c>
      <c r="W4" s="838">
        <f>Elect!AZ8</f>
        <v>39</v>
      </c>
      <c r="X4" s="838">
        <f>Elect!BB8</f>
        <v>398</v>
      </c>
      <c r="Y4" s="838">
        <f>Elect!BD8</f>
        <v>62</v>
      </c>
      <c r="Z4" s="838">
        <f>Elect!BF8</f>
        <v>3433</v>
      </c>
      <c r="AA4" s="838">
        <f>Elect!BH8</f>
        <v>107.6785714289872</v>
      </c>
      <c r="AB4" s="838">
        <f>Elect!BJ8</f>
        <v>0</v>
      </c>
      <c r="AC4" s="838">
        <f>Elect!BL8</f>
        <v>4510.75</v>
      </c>
      <c r="AD4" s="838">
        <f>Elect!BP8</f>
        <v>273</v>
      </c>
      <c r="AE4" s="838">
        <f>Elect!BR8</f>
        <v>809</v>
      </c>
      <c r="AF4" s="838">
        <f>Elect!BT8</f>
        <v>116</v>
      </c>
      <c r="AG4" s="838">
        <f>Elect!BV8</f>
        <v>197</v>
      </c>
      <c r="AH4" s="894"/>
      <c r="AI4" s="838">
        <f>Water!C9</f>
        <v>110.19999999999999</v>
      </c>
      <c r="AJ4" s="838">
        <f>Water!E9</f>
        <v>75.399999999999991</v>
      </c>
      <c r="AK4" s="838">
        <f>Water!G9</f>
        <v>0</v>
      </c>
      <c r="AL4" s="894"/>
      <c r="AM4" s="838">
        <f>Gas!C9</f>
        <v>851.18000000000006</v>
      </c>
      <c r="AN4" s="838">
        <f>Gas!E9</f>
        <v>267.39999999999998</v>
      </c>
      <c r="AO4" s="838">
        <f>Gas!G9</f>
        <v>65</v>
      </c>
      <c r="AP4" s="827">
        <v>55</v>
      </c>
    </row>
    <row r="5" spans="1:42" ht="12.75" customHeight="1">
      <c r="A5" s="835" t="s">
        <v>11</v>
      </c>
      <c r="B5" s="831">
        <f t="shared" si="0"/>
        <v>4</v>
      </c>
      <c r="C5" s="856">
        <v>2</v>
      </c>
      <c r="D5" s="834">
        <v>2021</v>
      </c>
      <c r="E5" s="894"/>
      <c r="F5" s="820">
        <f>Elect!J9</f>
        <v>4608</v>
      </c>
      <c r="G5" s="820">
        <f>Elect!K9</f>
        <v>2854</v>
      </c>
      <c r="H5" s="820">
        <f>Elect!Q9</f>
        <v>540</v>
      </c>
      <c r="I5" s="820">
        <f>Elect!W9</f>
        <v>144</v>
      </c>
      <c r="J5" s="820">
        <f>Elect!Y9</f>
        <v>246</v>
      </c>
      <c r="K5" s="820">
        <f>Elect!AA9</f>
        <v>277.72000000000003</v>
      </c>
      <c r="L5" s="820">
        <f>Elect!AC9</f>
        <v>0</v>
      </c>
      <c r="M5" s="838">
        <f>Elect!AE9</f>
        <v>2401.4300000000003</v>
      </c>
      <c r="N5" s="838">
        <f>Elect!AG9</f>
        <v>0</v>
      </c>
      <c r="O5" s="838">
        <f>Elect!AI9</f>
        <v>12.215238094936941</v>
      </c>
      <c r="P5" s="838">
        <f>Elect!AK9</f>
        <v>12.164761905093911</v>
      </c>
      <c r="Q5" s="838">
        <f>Elect!AM9</f>
        <v>244.33</v>
      </c>
      <c r="R5" s="838">
        <f>Elect!AO9</f>
        <v>2289.6</v>
      </c>
      <c r="S5" s="838">
        <f>Elect!AQ9</f>
        <v>172.8178571426368</v>
      </c>
      <c r="T5" s="838">
        <f>Elect!AT9</f>
        <v>87.862499999999997</v>
      </c>
      <c r="U5" s="838">
        <f>Elect!AV9</f>
        <v>287</v>
      </c>
      <c r="V5" s="838">
        <f>Elect!AX9</f>
        <v>114</v>
      </c>
      <c r="W5" s="838">
        <f>Elect!AZ9</f>
        <v>41</v>
      </c>
      <c r="X5" s="838">
        <f>Elect!BB9</f>
        <v>383</v>
      </c>
      <c r="Y5" s="838">
        <f>Elect!BD9</f>
        <v>64</v>
      </c>
      <c r="Z5" s="838">
        <f>Elect!BF9</f>
        <v>3474</v>
      </c>
      <c r="AA5" s="838">
        <f>Elect!BH9</f>
        <v>107.6785714289872</v>
      </c>
      <c r="AB5" s="838">
        <f>Elect!BJ9</f>
        <v>0</v>
      </c>
      <c r="AC5" s="838">
        <f>Elect!BL9</f>
        <v>4548</v>
      </c>
      <c r="AD5" s="838">
        <f>Elect!BP9</f>
        <v>273</v>
      </c>
      <c r="AE5" s="838">
        <f>Elect!BR9</f>
        <v>935</v>
      </c>
      <c r="AF5" s="838">
        <f>Elect!BT9</f>
        <v>125</v>
      </c>
      <c r="AG5" s="838">
        <f>Elect!BV9</f>
        <v>198</v>
      </c>
      <c r="AH5" s="894"/>
      <c r="AI5" s="838">
        <f>Water!C10</f>
        <v>174</v>
      </c>
      <c r="AJ5" s="838">
        <f>Water!E10</f>
        <v>179.79999999999998</v>
      </c>
      <c r="AK5" s="838">
        <f>Water!G10</f>
        <v>0</v>
      </c>
      <c r="AL5" s="894"/>
      <c r="AM5" s="838">
        <f>Gas!C10</f>
        <v>891.46</v>
      </c>
      <c r="AN5" s="838">
        <f>Gas!E10</f>
        <v>289.79999999999995</v>
      </c>
      <c r="AO5" s="838">
        <f>Gas!G10</f>
        <v>53</v>
      </c>
      <c r="AP5" s="827">
        <v>55</v>
      </c>
    </row>
    <row r="6" spans="1:42" ht="12.75" customHeight="1">
      <c r="A6" s="835" t="s">
        <v>11</v>
      </c>
      <c r="B6" s="831">
        <f t="shared" si="0"/>
        <v>5</v>
      </c>
      <c r="C6" s="856">
        <v>2</v>
      </c>
      <c r="D6" s="834">
        <v>2021</v>
      </c>
      <c r="E6" s="894"/>
      <c r="F6" s="820">
        <f>Elect!J10</f>
        <v>4629</v>
      </c>
      <c r="G6" s="820">
        <f>Elect!K10</f>
        <v>2786</v>
      </c>
      <c r="H6" s="820">
        <f>Elect!Q10</f>
        <v>510</v>
      </c>
      <c r="I6" s="820">
        <f>Elect!W10</f>
        <v>145</v>
      </c>
      <c r="J6" s="820">
        <f>Elect!Y10</f>
        <v>253</v>
      </c>
      <c r="K6" s="820">
        <f>Elect!AA10</f>
        <v>0</v>
      </c>
      <c r="L6" s="820">
        <f>Elect!AC10</f>
        <v>0</v>
      </c>
      <c r="M6" s="838">
        <f>Elect!AE10</f>
        <v>1743.17</v>
      </c>
      <c r="N6" s="838">
        <f>Elect!AG10</f>
        <v>0</v>
      </c>
      <c r="O6" s="838">
        <f>Elect!AI10</f>
        <v>12.215238095430541</v>
      </c>
      <c r="P6" s="838">
        <f>Elect!AK10</f>
        <v>12.16476190453861</v>
      </c>
      <c r="Q6" s="838">
        <f>Elect!AM10</f>
        <v>149.46</v>
      </c>
      <c r="R6" s="838">
        <f>Elect!AO10</f>
        <v>1706.6000000000001</v>
      </c>
      <c r="S6" s="838">
        <f>Elect!AQ10</f>
        <v>172.81785714316123</v>
      </c>
      <c r="T6" s="838">
        <f>Elect!AT10</f>
        <v>68.737499999999997</v>
      </c>
      <c r="U6" s="838">
        <f>Elect!AV10</f>
        <v>300</v>
      </c>
      <c r="V6" s="838">
        <f>Elect!AX10</f>
        <v>115</v>
      </c>
      <c r="W6" s="838">
        <f>Elect!AZ10</f>
        <v>35</v>
      </c>
      <c r="X6" s="838">
        <f>Elect!BB10</f>
        <v>359</v>
      </c>
      <c r="Y6" s="838">
        <f>Elect!BD10</f>
        <v>55</v>
      </c>
      <c r="Z6" s="838">
        <f>Elect!BF10</f>
        <v>3623</v>
      </c>
      <c r="AA6" s="838">
        <f>Elect!BH10</f>
        <v>107.67857142799767</v>
      </c>
      <c r="AB6" s="838">
        <f>Elect!BJ10</f>
        <v>0</v>
      </c>
      <c r="AC6" s="838">
        <f>Elect!BL10</f>
        <v>5068</v>
      </c>
      <c r="AD6" s="838">
        <f>Elect!BP10</f>
        <v>273</v>
      </c>
      <c r="AE6" s="838">
        <f>Elect!BR10</f>
        <v>300</v>
      </c>
      <c r="AF6" s="838">
        <f>Elect!BT10</f>
        <v>80</v>
      </c>
      <c r="AG6" s="838">
        <f>Elect!BV10</f>
        <v>90</v>
      </c>
      <c r="AH6" s="894"/>
      <c r="AI6" s="838">
        <f>Water!C11</f>
        <v>174</v>
      </c>
      <c r="AJ6" s="838">
        <f>Water!E11</f>
        <v>150.79999999999998</v>
      </c>
      <c r="AK6" s="838">
        <f>Water!G11</f>
        <v>0</v>
      </c>
      <c r="AL6" s="894"/>
      <c r="AM6" s="838">
        <f>Gas!C11</f>
        <v>998.5200000000001</v>
      </c>
      <c r="AN6" s="838">
        <f>Gas!E11</f>
        <v>312.89999999999998</v>
      </c>
      <c r="AO6" s="838">
        <f>Gas!G11</f>
        <v>81</v>
      </c>
      <c r="AP6" s="827">
        <v>55</v>
      </c>
    </row>
    <row r="7" spans="1:42" ht="12.75" customHeight="1">
      <c r="A7" s="835" t="s">
        <v>11</v>
      </c>
      <c r="B7" s="831">
        <f t="shared" si="0"/>
        <v>6</v>
      </c>
      <c r="C7" s="856">
        <v>2</v>
      </c>
      <c r="D7" s="834">
        <v>2021</v>
      </c>
      <c r="E7" s="894"/>
      <c r="F7" s="820">
        <f>Elect!J11</f>
        <v>4466</v>
      </c>
      <c r="G7" s="820">
        <f>Elect!K11</f>
        <v>2826</v>
      </c>
      <c r="H7" s="820">
        <f>Elect!Q11</f>
        <v>600</v>
      </c>
      <c r="I7" s="820">
        <f>Elect!W11</f>
        <v>146</v>
      </c>
      <c r="J7" s="820">
        <f>Elect!Y11</f>
        <v>246</v>
      </c>
      <c r="K7" s="820">
        <f>Elect!AA11</f>
        <v>0</v>
      </c>
      <c r="L7" s="820">
        <f>Elect!AC11</f>
        <v>0</v>
      </c>
      <c r="M7" s="838">
        <f>Elect!AE11</f>
        <v>1742.1100000000001</v>
      </c>
      <c r="N7" s="838">
        <f>Elect!AG11</f>
        <v>0</v>
      </c>
      <c r="O7" s="838">
        <f>Elect!AI11</f>
        <v>12.215238095430541</v>
      </c>
      <c r="P7" s="838">
        <f>Elect!AK11</f>
        <v>12.164761905093911</v>
      </c>
      <c r="Q7" s="838">
        <f>Elect!AM11</f>
        <v>291.5</v>
      </c>
      <c r="R7" s="838">
        <f>Elect!AO11</f>
        <v>1824.7900000000002</v>
      </c>
      <c r="S7" s="838">
        <f>Elect!AQ11</f>
        <v>172.8178571426368</v>
      </c>
      <c r="T7" s="838">
        <f>Elect!AT11</f>
        <v>86.962500000000006</v>
      </c>
      <c r="U7" s="838">
        <f>Elect!AV11</f>
        <v>285</v>
      </c>
      <c r="V7" s="838">
        <f>Elect!AX11</f>
        <v>125</v>
      </c>
      <c r="W7" s="838">
        <f>Elect!AZ11</f>
        <v>29</v>
      </c>
      <c r="X7" s="838">
        <f>Elect!BB11</f>
        <v>378</v>
      </c>
      <c r="Y7" s="838">
        <f>Elect!BD11</f>
        <v>62</v>
      </c>
      <c r="Z7" s="838">
        <f>Elect!BF11</f>
        <v>3448</v>
      </c>
      <c r="AA7" s="838">
        <f>Elect!BH11</f>
        <v>107.6785714289872</v>
      </c>
      <c r="AB7" s="838">
        <f>Elect!BJ11</f>
        <v>0</v>
      </c>
      <c r="AC7" s="838">
        <f>Elect!BL11</f>
        <v>4899.6499999999996</v>
      </c>
      <c r="AD7" s="838">
        <f>Elect!BP11</f>
        <v>273</v>
      </c>
      <c r="AE7" s="838">
        <f>Elect!BR11</f>
        <v>728</v>
      </c>
      <c r="AF7" s="838">
        <f>Elect!BT11</f>
        <v>35</v>
      </c>
      <c r="AG7" s="838">
        <f>Elect!BV11</f>
        <v>112</v>
      </c>
      <c r="AH7" s="894"/>
      <c r="AI7" s="838">
        <f>Water!C12</f>
        <v>115.99999999999999</v>
      </c>
      <c r="AJ7" s="838">
        <f>Water!E12</f>
        <v>57.999999999999993</v>
      </c>
      <c r="AK7" s="838">
        <f>Water!G12</f>
        <v>0</v>
      </c>
      <c r="AL7" s="894"/>
      <c r="AM7" s="838">
        <f>Gas!C12</f>
        <v>945.5200000000001</v>
      </c>
      <c r="AN7" s="838">
        <f>Gas!E12</f>
        <v>262.5</v>
      </c>
      <c r="AO7" s="838">
        <f>Gas!G12</f>
        <v>86</v>
      </c>
      <c r="AP7" s="827">
        <v>55</v>
      </c>
    </row>
    <row r="8" spans="1:42" ht="12.75" customHeight="1">
      <c r="A8" s="835" t="s">
        <v>11</v>
      </c>
      <c r="B8" s="831">
        <f t="shared" si="0"/>
        <v>7</v>
      </c>
      <c r="C8" s="856">
        <v>2</v>
      </c>
      <c r="D8" s="834">
        <v>2021</v>
      </c>
      <c r="E8" s="894"/>
      <c r="F8" s="820">
        <f>Elect!J12</f>
        <v>4626</v>
      </c>
      <c r="G8" s="820">
        <f>Elect!K12</f>
        <v>2998</v>
      </c>
      <c r="H8" s="820">
        <f>Elect!Q12</f>
        <v>600</v>
      </c>
      <c r="I8" s="820">
        <f>Elect!W12</f>
        <v>146</v>
      </c>
      <c r="J8" s="820">
        <f>Elect!Y12</f>
        <v>254</v>
      </c>
      <c r="K8" s="820">
        <f>Elect!AA12</f>
        <v>0</v>
      </c>
      <c r="L8" s="820">
        <f>Elect!AC12</f>
        <v>0</v>
      </c>
      <c r="M8" s="838">
        <f>Elect!AE12</f>
        <v>2625.6200000000003</v>
      </c>
      <c r="N8" s="838">
        <f>Elect!AG12</f>
        <v>0</v>
      </c>
      <c r="O8" s="838">
        <f>Elect!AI12</f>
        <v>12.215238094906091</v>
      </c>
      <c r="P8" s="838">
        <f>Elect!AK12</f>
        <v>12.16476190453861</v>
      </c>
      <c r="Q8" s="838">
        <f>Elect!AM12</f>
        <v>248.57000000000002</v>
      </c>
      <c r="R8" s="838">
        <f>Elect!AO12</f>
        <v>2170.88</v>
      </c>
      <c r="S8" s="838">
        <f>Elect!AQ12</f>
        <v>172.8178571431304</v>
      </c>
      <c r="T8" s="838">
        <f>Elect!AT12</f>
        <v>80.212500000000006</v>
      </c>
      <c r="U8" s="838">
        <f>Elect!AV12</f>
        <v>301</v>
      </c>
      <c r="V8" s="838">
        <f>Elect!AX12</f>
        <v>125</v>
      </c>
      <c r="W8" s="838">
        <f>Elect!AZ12</f>
        <v>44</v>
      </c>
      <c r="X8" s="838">
        <f>Elect!BB12</f>
        <v>396</v>
      </c>
      <c r="Y8" s="838">
        <f>Elect!BD12</f>
        <v>63</v>
      </c>
      <c r="Z8" s="838">
        <f>Elect!BF12</f>
        <v>3649</v>
      </c>
      <c r="AA8" s="838">
        <f>Elect!BH12</f>
        <v>107.67857142805588</v>
      </c>
      <c r="AB8" s="838">
        <f>Elect!BJ12</f>
        <v>0</v>
      </c>
      <c r="AC8" s="838">
        <f>Elect!BL12</f>
        <v>4808.25</v>
      </c>
      <c r="AD8" s="838">
        <f>Elect!BP12</f>
        <v>273</v>
      </c>
      <c r="AE8" s="838">
        <f>Elect!BR12</f>
        <v>964</v>
      </c>
      <c r="AF8" s="838">
        <f>Elect!BT12</f>
        <v>111</v>
      </c>
      <c r="AG8" s="838">
        <f>Elect!BV12</f>
        <v>203</v>
      </c>
      <c r="AH8" s="894"/>
      <c r="AI8" s="838">
        <f>Water!C13</f>
        <v>111.02857142822175</v>
      </c>
      <c r="AJ8" s="838">
        <f>Water!E13</f>
        <v>75.399999999999991</v>
      </c>
      <c r="AK8" s="838">
        <f>Water!G13</f>
        <v>0</v>
      </c>
      <c r="AL8" s="894"/>
      <c r="AM8" s="838">
        <f>Gas!C13</f>
        <v>786.5200000000001</v>
      </c>
      <c r="AN8" s="838">
        <f>Gas!E13</f>
        <v>254.1</v>
      </c>
      <c r="AO8" s="838">
        <f>Gas!G13</f>
        <v>79</v>
      </c>
      <c r="AP8" s="827">
        <v>55</v>
      </c>
    </row>
    <row r="9" spans="1:42" ht="12.75" customHeight="1">
      <c r="A9" s="835" t="s">
        <v>11</v>
      </c>
      <c r="B9" s="831">
        <f t="shared" si="0"/>
        <v>8</v>
      </c>
      <c r="C9" s="856">
        <v>2</v>
      </c>
      <c r="D9" s="834">
        <v>2021</v>
      </c>
      <c r="E9" s="894"/>
      <c r="F9" s="820">
        <f>Elect!J13</f>
        <v>4853</v>
      </c>
      <c r="G9" s="820">
        <f>Elect!K13</f>
        <v>3115</v>
      </c>
      <c r="H9" s="820">
        <f>Elect!Q13</f>
        <v>690</v>
      </c>
      <c r="I9" s="820">
        <f>Elect!W13</f>
        <v>147</v>
      </c>
      <c r="J9" s="820">
        <f>Elect!Y13</f>
        <v>251</v>
      </c>
      <c r="K9" s="820">
        <f>Elect!AA13</f>
        <v>1101.8700000000001</v>
      </c>
      <c r="L9" s="820">
        <f>Elect!AC13</f>
        <v>0</v>
      </c>
      <c r="M9" s="838">
        <f>Elect!AE13</f>
        <v>1019.19</v>
      </c>
      <c r="N9" s="838">
        <f>Elect!AG13</f>
        <v>0</v>
      </c>
      <c r="O9" s="838">
        <f>Elect!AI13</f>
        <v>12.215238095461391</v>
      </c>
      <c r="P9" s="838">
        <f>Elect!AK13</f>
        <v>12.16476190460031</v>
      </c>
      <c r="Q9" s="838">
        <f>Elect!AM13</f>
        <v>365.70000000000005</v>
      </c>
      <c r="R9" s="838">
        <f>Elect!AO13</f>
        <v>2178.83</v>
      </c>
      <c r="S9" s="838">
        <f>Elect!AQ13</f>
        <v>172.8178571426368</v>
      </c>
      <c r="T9" s="838">
        <f>Elect!AT13</f>
        <v>72.45</v>
      </c>
      <c r="U9" s="838">
        <f>Elect!AV13</f>
        <v>257</v>
      </c>
      <c r="V9" s="838">
        <f>Elect!AX13</f>
        <v>126</v>
      </c>
      <c r="W9" s="838">
        <f>Elect!AZ13</f>
        <v>37</v>
      </c>
      <c r="X9" s="838">
        <f>Elect!BB13</f>
        <v>392</v>
      </c>
      <c r="Y9" s="838">
        <f>Elect!BD13</f>
        <v>62</v>
      </c>
      <c r="Z9" s="838">
        <f>Elect!BF13</f>
        <v>3504</v>
      </c>
      <c r="AA9" s="838">
        <f>Elect!BH13</f>
        <v>107.6785714289872</v>
      </c>
      <c r="AB9" s="838">
        <f>Elect!BJ13</f>
        <v>0</v>
      </c>
      <c r="AC9" s="838">
        <f>Elect!BL13</f>
        <v>4719</v>
      </c>
      <c r="AD9" s="838">
        <f>Elect!BP13</f>
        <v>273</v>
      </c>
      <c r="AE9" s="838">
        <f>Elect!BR13</f>
        <v>1055</v>
      </c>
      <c r="AF9" s="838">
        <f>Elect!BT13</f>
        <v>125</v>
      </c>
      <c r="AG9" s="838">
        <f>Elect!BV13</f>
        <v>203</v>
      </c>
      <c r="AH9" s="894"/>
      <c r="AI9" s="838">
        <f>Water!C14</f>
        <v>120.97142857177822</v>
      </c>
      <c r="AJ9" s="838">
        <f>Water!E14</f>
        <v>63.8</v>
      </c>
      <c r="AK9" s="838">
        <f>Water!G14</f>
        <v>0</v>
      </c>
      <c r="AL9" s="894"/>
      <c r="AM9" s="838">
        <f>Gas!C14</f>
        <v>906.30000000000007</v>
      </c>
      <c r="AN9" s="838">
        <f>Gas!E14</f>
        <v>251.29999999999998</v>
      </c>
      <c r="AO9" s="838">
        <f>Gas!G14</f>
        <v>88</v>
      </c>
      <c r="AP9" s="827">
        <v>55</v>
      </c>
    </row>
    <row r="10" spans="1:42" ht="12.75" customHeight="1">
      <c r="A10" s="835" t="s">
        <v>11</v>
      </c>
      <c r="B10" s="831">
        <f t="shared" si="0"/>
        <v>9</v>
      </c>
      <c r="C10" s="856">
        <v>2</v>
      </c>
      <c r="D10" s="834">
        <v>2021</v>
      </c>
      <c r="E10" s="894"/>
      <c r="F10" s="820">
        <f>Elect!J14</f>
        <v>4910</v>
      </c>
      <c r="G10" s="820">
        <f>Elect!K14</f>
        <v>3099</v>
      </c>
      <c r="H10" s="820">
        <f>Elect!Q14</f>
        <v>630</v>
      </c>
      <c r="I10" s="820">
        <f>Elect!W14</f>
        <v>143</v>
      </c>
      <c r="J10" s="820">
        <f>Elect!Y14</f>
        <v>244</v>
      </c>
      <c r="K10" s="820">
        <f>Elect!AA14</f>
        <v>2077.0700000000002</v>
      </c>
      <c r="L10" s="820">
        <f>Elect!AC14</f>
        <v>0</v>
      </c>
      <c r="M10" s="838">
        <f>Elect!AE14</f>
        <v>0</v>
      </c>
      <c r="N10" s="838">
        <f>Elect!AG14</f>
        <v>0</v>
      </c>
      <c r="O10" s="838">
        <f>Elect!AI14</f>
        <v>12.215238094906091</v>
      </c>
      <c r="P10" s="838">
        <f>Elect!AK14</f>
        <v>12.164761905093911</v>
      </c>
      <c r="Q10" s="838">
        <f>Elect!AM14</f>
        <v>488.66</v>
      </c>
      <c r="R10" s="838">
        <f>Elect!AO14</f>
        <v>2249.85</v>
      </c>
      <c r="S10" s="838">
        <f>Elect!AQ14</f>
        <v>172.81785714316123</v>
      </c>
      <c r="T10" s="838">
        <f>Elect!AT14</f>
        <v>71.662500000000009</v>
      </c>
      <c r="U10" s="838">
        <f>Elect!AV14</f>
        <v>284</v>
      </c>
      <c r="V10" s="838">
        <f>Elect!AX14</f>
        <v>126</v>
      </c>
      <c r="W10" s="838">
        <f>Elect!AZ14</f>
        <v>39</v>
      </c>
      <c r="X10" s="838">
        <f>Elect!BB14</f>
        <v>405</v>
      </c>
      <c r="Y10" s="838">
        <f>Elect!BD14</f>
        <v>64</v>
      </c>
      <c r="Z10" s="838">
        <f>Elect!BF14</f>
        <v>3376</v>
      </c>
      <c r="AA10" s="838">
        <f>Elect!BH14</f>
        <v>107.67857142799767</v>
      </c>
      <c r="AB10" s="838">
        <f>Elect!BJ14</f>
        <v>0</v>
      </c>
      <c r="AC10" s="838">
        <f>Elect!BL14</f>
        <v>4720.55</v>
      </c>
      <c r="AD10" s="838">
        <f>Elect!BP14</f>
        <v>273</v>
      </c>
      <c r="AE10" s="838">
        <f>Elect!BR14</f>
        <v>1102</v>
      </c>
      <c r="AF10" s="838">
        <f>Elect!BT14</f>
        <v>119</v>
      </c>
      <c r="AG10" s="838">
        <f>Elect!BV14</f>
        <v>199</v>
      </c>
      <c r="AH10" s="894"/>
      <c r="AI10" s="838">
        <f>Water!C15</f>
        <v>139.19999999999999</v>
      </c>
      <c r="AJ10" s="838">
        <f>Water!E15</f>
        <v>52.199999999999996</v>
      </c>
      <c r="AK10" s="838">
        <f>Water!G15</f>
        <v>0</v>
      </c>
      <c r="AL10" s="894"/>
      <c r="AM10" s="838">
        <f>Gas!C15</f>
        <v>862.84</v>
      </c>
      <c r="AN10" s="838">
        <f>Gas!E15</f>
        <v>263.89999999999998</v>
      </c>
      <c r="AO10" s="838">
        <f>Gas!G15</f>
        <v>79</v>
      </c>
      <c r="AP10" s="827">
        <v>55</v>
      </c>
    </row>
    <row r="11" spans="1:42" ht="12.75" customHeight="1">
      <c r="A11" s="835" t="s">
        <v>11</v>
      </c>
      <c r="B11" s="831">
        <f t="shared" si="0"/>
        <v>10</v>
      </c>
      <c r="C11" s="856">
        <v>2</v>
      </c>
      <c r="D11" s="834">
        <v>2021</v>
      </c>
      <c r="E11" s="894"/>
      <c r="F11" s="820">
        <f>Elect!J15</f>
        <v>4535</v>
      </c>
      <c r="G11" s="820">
        <f>Elect!K15</f>
        <v>3305</v>
      </c>
      <c r="H11" s="820">
        <f>Elect!Q15</f>
        <v>570</v>
      </c>
      <c r="I11" s="820">
        <f>Elect!W15</f>
        <v>151</v>
      </c>
      <c r="J11" s="820">
        <f>Elect!Y15</f>
        <v>219</v>
      </c>
      <c r="K11" s="820">
        <f>Elect!AA15</f>
        <v>2177.2400000000002</v>
      </c>
      <c r="L11" s="820">
        <f>Elect!AC15</f>
        <v>0</v>
      </c>
      <c r="M11" s="838">
        <f>Elect!AE15</f>
        <v>0</v>
      </c>
      <c r="N11" s="838">
        <f>Elect!AG15</f>
        <v>0</v>
      </c>
      <c r="O11" s="838">
        <f>Elect!AI15</f>
        <v>12.215238095430541</v>
      </c>
      <c r="P11" s="838">
        <f>Elect!AK15</f>
        <v>12.16476190453861</v>
      </c>
      <c r="Q11" s="838">
        <f>Elect!AM15</f>
        <v>515.16000000000008</v>
      </c>
      <c r="R11" s="838">
        <f>Elect!AO15</f>
        <v>2374.4</v>
      </c>
      <c r="S11" s="838">
        <f>Elect!AQ15</f>
        <v>172.8178571426368</v>
      </c>
      <c r="T11" s="838">
        <f>Elect!AT15</f>
        <v>76.05</v>
      </c>
      <c r="U11" s="838">
        <f>Elect!AV15</f>
        <v>272</v>
      </c>
      <c r="V11" s="838">
        <f>Elect!AX15</f>
        <v>130</v>
      </c>
      <c r="W11" s="838">
        <f>Elect!AZ15</f>
        <v>43</v>
      </c>
      <c r="X11" s="838">
        <f>Elect!BB15</f>
        <v>412</v>
      </c>
      <c r="Y11" s="838">
        <f>Elect!BD15</f>
        <v>68</v>
      </c>
      <c r="Z11" s="838">
        <f>Elect!BF15</f>
        <v>3545</v>
      </c>
      <c r="AA11" s="838">
        <f>Elect!BH15</f>
        <v>107.6785714289872</v>
      </c>
      <c r="AB11" s="838">
        <f>Elect!BJ15</f>
        <v>0</v>
      </c>
      <c r="AC11" s="838">
        <f>Elect!BL15</f>
        <v>4813.25</v>
      </c>
      <c r="AD11" s="838">
        <f>Elect!BP15</f>
        <v>353</v>
      </c>
      <c r="AE11" s="838">
        <f>Elect!BR15</f>
        <v>1155</v>
      </c>
      <c r="AF11" s="838">
        <f>Elect!BT15</f>
        <v>120</v>
      </c>
      <c r="AG11" s="838">
        <f>Elect!BV15</f>
        <v>208</v>
      </c>
      <c r="AH11" s="894"/>
      <c r="AI11" s="838">
        <f>Water!C16</f>
        <v>127.6</v>
      </c>
      <c r="AJ11" s="838">
        <f>Water!E16</f>
        <v>69.599999999999994</v>
      </c>
      <c r="AK11" s="838">
        <f>Water!G16</f>
        <v>0</v>
      </c>
      <c r="AL11" s="894"/>
      <c r="AM11" s="838">
        <f>Gas!C16</f>
        <v>897.82</v>
      </c>
      <c r="AN11" s="838">
        <f>Gas!E16</f>
        <v>256.89999999999998</v>
      </c>
      <c r="AO11" s="838">
        <f>Gas!G16</f>
        <v>75</v>
      </c>
      <c r="AP11" s="827">
        <v>55</v>
      </c>
    </row>
    <row r="12" spans="1:42" ht="12.75" customHeight="1">
      <c r="A12" s="835" t="s">
        <v>11</v>
      </c>
      <c r="B12" s="831">
        <f t="shared" si="0"/>
        <v>11</v>
      </c>
      <c r="C12" s="856">
        <v>2</v>
      </c>
      <c r="D12" s="834">
        <v>2021</v>
      </c>
      <c r="E12" s="894"/>
      <c r="F12" s="820">
        <f>Elect!J16</f>
        <v>5806</v>
      </c>
      <c r="G12" s="820">
        <f>Elect!K16</f>
        <v>3134</v>
      </c>
      <c r="H12" s="820">
        <f>Elect!Q16</f>
        <v>690</v>
      </c>
      <c r="I12" s="820">
        <f>Elect!W16</f>
        <v>138</v>
      </c>
      <c r="J12" s="820">
        <f>Elect!Y16</f>
        <v>275</v>
      </c>
      <c r="K12" s="820">
        <f>Elect!AA16</f>
        <v>1860.8300000000002</v>
      </c>
      <c r="L12" s="820">
        <f>Elect!AC16</f>
        <v>0</v>
      </c>
      <c r="M12" s="838">
        <f>Elect!AE16</f>
        <v>0</v>
      </c>
      <c r="N12" s="838">
        <f>Elect!AG16</f>
        <v>0</v>
      </c>
      <c r="O12" s="838">
        <f>Elect!AI16</f>
        <v>12.215238095430541</v>
      </c>
      <c r="P12" s="838">
        <f>Elect!AK16</f>
        <v>12.16476190453861</v>
      </c>
      <c r="Q12" s="838">
        <f>Elect!AM16</f>
        <v>467.46000000000004</v>
      </c>
      <c r="R12" s="838">
        <f>Elect!AO16</f>
        <v>2121.06</v>
      </c>
      <c r="S12" s="838">
        <f>Elect!AQ16</f>
        <v>172.8178571426368</v>
      </c>
      <c r="T12" s="838">
        <f>Elect!AT16</f>
        <v>82.237499999999997</v>
      </c>
      <c r="U12" s="838">
        <f>Elect!AV16</f>
        <v>282</v>
      </c>
      <c r="V12" s="838">
        <f>Elect!AX16</f>
        <v>122</v>
      </c>
      <c r="W12" s="838">
        <f>Elect!AZ16</f>
        <v>36</v>
      </c>
      <c r="X12" s="838">
        <f>Elect!BB16</f>
        <v>340</v>
      </c>
      <c r="Y12" s="838">
        <f>Elect!BD16</f>
        <v>62</v>
      </c>
      <c r="Z12" s="838">
        <f>Elect!BF16</f>
        <v>3239</v>
      </c>
      <c r="AA12" s="838">
        <f>Elect!BH16</f>
        <v>107.6785714289872</v>
      </c>
      <c r="AB12" s="838">
        <f>Elect!BJ16</f>
        <v>0</v>
      </c>
      <c r="AC12" s="838">
        <f>Elect!BL16</f>
        <v>4321.3</v>
      </c>
      <c r="AD12" s="838">
        <f>Elect!BP16</f>
        <v>222</v>
      </c>
      <c r="AE12" s="838">
        <f>Elect!BR16</f>
        <v>899</v>
      </c>
      <c r="AF12" s="838">
        <f>Elect!BT16</f>
        <v>107</v>
      </c>
      <c r="AG12" s="838">
        <f>Elect!BV16</f>
        <v>189</v>
      </c>
      <c r="AH12" s="894"/>
      <c r="AI12" s="838">
        <f>Water!C17</f>
        <v>127.6</v>
      </c>
      <c r="AJ12" s="838">
        <f>Water!E17</f>
        <v>52.199999999999996</v>
      </c>
      <c r="AK12" s="838">
        <f>Water!G17</f>
        <v>0</v>
      </c>
      <c r="AL12" s="894"/>
      <c r="AM12" s="838">
        <f>Gas!C17</f>
        <v>874.5</v>
      </c>
      <c r="AN12" s="838">
        <f>Gas!E17</f>
        <v>255.49999999999997</v>
      </c>
      <c r="AO12" s="838">
        <f>Gas!G17</f>
        <v>76</v>
      </c>
      <c r="AP12" s="827">
        <v>55</v>
      </c>
    </row>
    <row r="13" spans="1:42" ht="12.75" customHeight="1">
      <c r="A13" s="835" t="s">
        <v>11</v>
      </c>
      <c r="B13" s="831">
        <f t="shared" si="0"/>
        <v>12</v>
      </c>
      <c r="C13" s="856">
        <v>2</v>
      </c>
      <c r="D13" s="834">
        <v>2021</v>
      </c>
      <c r="E13" s="894"/>
      <c r="F13" s="820">
        <f>Elect!J17</f>
        <v>4685</v>
      </c>
      <c r="G13" s="820">
        <f>Elect!K17</f>
        <v>3241</v>
      </c>
      <c r="H13" s="820">
        <f>Elect!Q17</f>
        <v>570</v>
      </c>
      <c r="I13" s="820">
        <f>Elect!W17</f>
        <v>143</v>
      </c>
      <c r="J13" s="820">
        <f>Elect!Y17</f>
        <v>243</v>
      </c>
      <c r="K13" s="820">
        <f>Elect!AA17</f>
        <v>2070.1800000000003</v>
      </c>
      <c r="L13" s="820">
        <f>Elect!AC17</f>
        <v>0</v>
      </c>
      <c r="M13" s="838">
        <f>Elect!AE17</f>
        <v>0</v>
      </c>
      <c r="N13" s="838">
        <f>Elect!AG17</f>
        <v>0</v>
      </c>
      <c r="O13" s="838">
        <f>Elect!AI17</f>
        <v>12.215238094906091</v>
      </c>
      <c r="P13" s="838">
        <f>Elect!AK17</f>
        <v>12.164761905093911</v>
      </c>
      <c r="Q13" s="838">
        <f>Elect!AM17</f>
        <v>491.31</v>
      </c>
      <c r="R13" s="838">
        <f>Elect!AO17</f>
        <v>2177.2400000000002</v>
      </c>
      <c r="S13" s="838">
        <f>Elect!AQ17</f>
        <v>172.81785714316123</v>
      </c>
      <c r="T13" s="838">
        <f>Elect!AT17</f>
        <v>63.675000000000004</v>
      </c>
      <c r="U13" s="838">
        <f>Elect!AV17</f>
        <v>289</v>
      </c>
      <c r="V13" s="838">
        <f>Elect!AX17</f>
        <v>127</v>
      </c>
      <c r="W13" s="838">
        <f>Elect!AZ17</f>
        <v>21</v>
      </c>
      <c r="X13" s="838">
        <f>Elect!BB17</f>
        <v>379</v>
      </c>
      <c r="Y13" s="838">
        <f>Elect!BD17</f>
        <v>65</v>
      </c>
      <c r="Z13" s="838">
        <f>Elect!BF17</f>
        <v>3327</v>
      </c>
      <c r="AA13" s="838">
        <f>Elect!BH17</f>
        <v>107.67857142799767</v>
      </c>
      <c r="AB13" s="838">
        <f>Elect!BJ17</f>
        <v>0</v>
      </c>
      <c r="AC13" s="838">
        <f>Elect!BL17</f>
        <v>4467.8</v>
      </c>
      <c r="AD13" s="838">
        <f>Elect!BP17</f>
        <v>276</v>
      </c>
      <c r="AE13" s="838">
        <f>Elect!BR17</f>
        <v>936</v>
      </c>
      <c r="AF13" s="838">
        <f>Elect!BT17</f>
        <v>100</v>
      </c>
      <c r="AG13" s="838">
        <f>Elect!BV17</f>
        <v>200</v>
      </c>
      <c r="AH13" s="894"/>
      <c r="AI13" s="838">
        <f>Water!C18</f>
        <v>133.39999999999998</v>
      </c>
      <c r="AJ13" s="838">
        <f>Water!E18</f>
        <v>63.8</v>
      </c>
      <c r="AK13" s="838">
        <f>Water!G18</f>
        <v>0</v>
      </c>
      <c r="AL13" s="894"/>
      <c r="AM13" s="838">
        <f>Gas!C18</f>
        <v>896.76</v>
      </c>
      <c r="AN13" s="838">
        <f>Gas!E18</f>
        <v>261.09999999999997</v>
      </c>
      <c r="AO13" s="838">
        <f>Gas!G18</f>
        <v>72</v>
      </c>
      <c r="AP13" s="827">
        <v>55</v>
      </c>
    </row>
    <row r="14" spans="1:42" ht="12.75" customHeight="1">
      <c r="A14" s="835" t="s">
        <v>11</v>
      </c>
      <c r="B14" s="831">
        <f t="shared" si="0"/>
        <v>13</v>
      </c>
      <c r="C14" s="856">
        <v>2</v>
      </c>
      <c r="D14" s="834">
        <v>2021</v>
      </c>
      <c r="E14" s="894"/>
      <c r="F14" s="820">
        <f>Elect!J18</f>
        <v>5904</v>
      </c>
      <c r="G14" s="820">
        <f>Elect!K18</f>
        <v>3255</v>
      </c>
      <c r="H14" s="820">
        <f>Elect!Q18</f>
        <v>600</v>
      </c>
      <c r="I14" s="820">
        <f>Elect!W18</f>
        <v>148</v>
      </c>
      <c r="J14" s="820">
        <f>Elect!Y18</f>
        <v>249</v>
      </c>
      <c r="K14" s="820">
        <f>Elect!AA18</f>
        <v>2098.27</v>
      </c>
      <c r="L14" s="820">
        <f>Elect!AC18</f>
        <v>0</v>
      </c>
      <c r="M14" s="838">
        <f>Elect!AE18</f>
        <v>0</v>
      </c>
      <c r="N14" s="838">
        <f>Elect!AG18</f>
        <v>0</v>
      </c>
      <c r="O14" s="838">
        <f>Elect!AI18</f>
        <v>12.215238095461391</v>
      </c>
      <c r="P14" s="838">
        <f>Elect!AK18</f>
        <v>12.16476190460031</v>
      </c>
      <c r="Q14" s="838">
        <f>Elect!AM18</f>
        <v>506.68</v>
      </c>
      <c r="R14" s="838">
        <f>Elect!AO18</f>
        <v>2244.5500000000002</v>
      </c>
      <c r="S14" s="838">
        <f>Elect!AQ18</f>
        <v>172.8178571426368</v>
      </c>
      <c r="T14" s="838">
        <f>Elect!AT18</f>
        <v>78.862499999999997</v>
      </c>
      <c r="U14" s="838">
        <f>Elect!AV18</f>
        <v>250</v>
      </c>
      <c r="V14" s="838">
        <f>Elect!AX18</f>
        <v>104</v>
      </c>
      <c r="W14" s="838">
        <f>Elect!AZ18</f>
        <v>21</v>
      </c>
      <c r="X14" s="838">
        <f>Elect!BB18</f>
        <v>388</v>
      </c>
      <c r="Y14" s="838">
        <f>Elect!BD18</f>
        <v>66</v>
      </c>
      <c r="Z14" s="838">
        <f>Elect!BF18</f>
        <v>3465</v>
      </c>
      <c r="AA14" s="838">
        <f>Elect!BH18</f>
        <v>107.6785714289872</v>
      </c>
      <c r="AB14" s="838">
        <f>Elect!BJ18</f>
        <v>0</v>
      </c>
      <c r="AC14" s="838">
        <f>Elect!BL18</f>
        <v>4660</v>
      </c>
      <c r="AD14" s="838">
        <f>Elect!BP18</f>
        <v>277</v>
      </c>
      <c r="AE14" s="838">
        <f>Elect!BR18</f>
        <v>938</v>
      </c>
      <c r="AF14" s="838">
        <f>Elect!BT18</f>
        <v>122</v>
      </c>
      <c r="AG14" s="838">
        <f>Elect!BV18</f>
        <v>204</v>
      </c>
      <c r="AH14" s="894"/>
      <c r="AI14" s="838">
        <f>Water!C19</f>
        <v>133.39999999999998</v>
      </c>
      <c r="AJ14" s="838">
        <f>Water!E19</f>
        <v>57.999999999999993</v>
      </c>
      <c r="AK14" s="838">
        <f>Water!G19</f>
        <v>0</v>
      </c>
      <c r="AL14" s="894"/>
      <c r="AM14" s="838">
        <f>Gas!C19</f>
        <v>870.26</v>
      </c>
      <c r="AN14" s="838">
        <f>Gas!E19</f>
        <v>256.89999999999998</v>
      </c>
      <c r="AO14" s="838">
        <f>Gas!G19</f>
        <v>78</v>
      </c>
      <c r="AP14" s="827">
        <v>55</v>
      </c>
    </row>
    <row r="15" spans="1:42" ht="12.75" customHeight="1">
      <c r="A15" s="835" t="s">
        <v>11</v>
      </c>
      <c r="B15" s="831">
        <f t="shared" si="0"/>
        <v>14</v>
      </c>
      <c r="C15" s="856">
        <v>2</v>
      </c>
      <c r="D15" s="834">
        <v>2021</v>
      </c>
      <c r="E15" s="894"/>
      <c r="F15" s="820">
        <f>Elect!J19</f>
        <v>5129</v>
      </c>
      <c r="G15" s="820">
        <f>Elect!K19</f>
        <v>3144</v>
      </c>
      <c r="H15" s="820">
        <f>Elect!Q19</f>
        <v>540</v>
      </c>
      <c r="I15" s="820">
        <f>Elect!W19</f>
        <v>144</v>
      </c>
      <c r="J15" s="820">
        <f>Elect!Y19</f>
        <v>240</v>
      </c>
      <c r="K15" s="820">
        <f>Elect!AA19</f>
        <v>2052.1600000000003</v>
      </c>
      <c r="L15" s="820">
        <f>Elect!AC19</f>
        <v>0</v>
      </c>
      <c r="M15" s="838">
        <f>Elect!AE19</f>
        <v>0</v>
      </c>
      <c r="N15" s="838">
        <f>Elect!AG19</f>
        <v>0</v>
      </c>
      <c r="O15" s="838">
        <f>Elect!AI19</f>
        <v>12.215238095430541</v>
      </c>
      <c r="P15" s="838">
        <f>Elect!AK19</f>
        <v>12.164761905093911</v>
      </c>
      <c r="Q15" s="838">
        <f>Elect!AM19</f>
        <v>489.72</v>
      </c>
      <c r="R15" s="838">
        <f>Elect!AO19</f>
        <v>2188.37</v>
      </c>
      <c r="S15" s="838">
        <f>Elect!AQ19</f>
        <v>172.8178571431304</v>
      </c>
      <c r="T15" s="838">
        <f>Elect!AT19</f>
        <v>76.05</v>
      </c>
      <c r="U15" s="838">
        <f>Elect!AV19</f>
        <v>259</v>
      </c>
      <c r="V15" s="838">
        <f>Elect!AX19</f>
        <v>72</v>
      </c>
      <c r="W15" s="838">
        <f>Elect!AZ19</f>
        <v>35</v>
      </c>
      <c r="X15" s="838">
        <f>Elect!BB19</f>
        <v>373</v>
      </c>
      <c r="Y15" s="838">
        <f>Elect!BD19</f>
        <v>64</v>
      </c>
      <c r="Z15" s="838">
        <f>Elect!BF19</f>
        <v>3501</v>
      </c>
      <c r="AA15" s="838">
        <f>Elect!BH19</f>
        <v>107.67857142805588</v>
      </c>
      <c r="AB15" s="838">
        <f>Elect!BJ19</f>
        <v>0</v>
      </c>
      <c r="AC15" s="838">
        <f>Elect!BL19</f>
        <v>4674.6500000000005</v>
      </c>
      <c r="AD15" s="838">
        <f>Elect!BP19</f>
        <v>277</v>
      </c>
      <c r="AE15" s="838">
        <f>Elect!BR19</f>
        <v>987</v>
      </c>
      <c r="AF15" s="838">
        <f>Elect!BT19</f>
        <v>116</v>
      </c>
      <c r="AG15" s="838">
        <f>Elect!BV19</f>
        <v>197</v>
      </c>
      <c r="AH15" s="894"/>
      <c r="AI15" s="838">
        <f>Water!C20</f>
        <v>127.6</v>
      </c>
      <c r="AJ15" s="838">
        <f>Water!E20</f>
        <v>52.199999999999996</v>
      </c>
      <c r="AK15" s="838">
        <f>Water!G20</f>
        <v>0</v>
      </c>
      <c r="AL15" s="894"/>
      <c r="AM15" s="838">
        <f>Gas!C20</f>
        <v>884.04000000000008</v>
      </c>
      <c r="AN15" s="838">
        <f>Gas!E20</f>
        <v>250.6</v>
      </c>
      <c r="AO15" s="838">
        <f>Gas!G20</f>
        <v>36</v>
      </c>
      <c r="AP15" s="827">
        <v>55</v>
      </c>
    </row>
    <row r="16" spans="1:42" ht="12.75" customHeight="1">
      <c r="A16" s="835" t="s">
        <v>11</v>
      </c>
      <c r="B16" s="831">
        <f t="shared" si="0"/>
        <v>15</v>
      </c>
      <c r="C16" s="856">
        <v>2</v>
      </c>
      <c r="D16" s="834">
        <v>2021</v>
      </c>
      <c r="E16" s="894"/>
      <c r="F16" s="820">
        <f>Elect!J20</f>
        <v>5113</v>
      </c>
      <c r="G16" s="820">
        <f>Elect!K20</f>
        <v>3160</v>
      </c>
      <c r="H16" s="820">
        <f>Elect!Q20</f>
        <v>510</v>
      </c>
      <c r="I16" s="820">
        <f>Elect!W20</f>
        <v>147</v>
      </c>
      <c r="J16" s="820">
        <f>Elect!Y20</f>
        <v>245</v>
      </c>
      <c r="K16" s="820">
        <f>Elect!AA20</f>
        <v>2145.9700000000003</v>
      </c>
      <c r="L16" s="820">
        <f>Elect!AC20</f>
        <v>0</v>
      </c>
      <c r="M16" s="838">
        <f>Elect!AE20</f>
        <v>0</v>
      </c>
      <c r="N16" s="838">
        <f>Elect!AG20</f>
        <v>0</v>
      </c>
      <c r="O16" s="838">
        <f>Elect!AI20</f>
        <v>12.215238094906091</v>
      </c>
      <c r="P16" s="838">
        <f>Elect!AK20</f>
        <v>12.16476190453861</v>
      </c>
      <c r="Q16" s="838">
        <f>Elect!AM20</f>
        <v>502.97</v>
      </c>
      <c r="R16" s="838">
        <f>Elect!AO20</f>
        <v>2270.52</v>
      </c>
      <c r="S16" s="838">
        <f>Elect!AQ20</f>
        <v>172.8178571426368</v>
      </c>
      <c r="T16" s="838">
        <f>Elect!AT20</f>
        <v>74.362499999999997</v>
      </c>
      <c r="U16" s="838">
        <f>Elect!AV20</f>
        <v>270</v>
      </c>
      <c r="V16" s="838">
        <f>Elect!AX20</f>
        <v>78</v>
      </c>
      <c r="W16" s="838">
        <f>Elect!AZ20</f>
        <v>35</v>
      </c>
      <c r="X16" s="838">
        <f>Elect!BB20</f>
        <v>351</v>
      </c>
      <c r="Y16" s="838">
        <f>Elect!BD20</f>
        <v>64</v>
      </c>
      <c r="Z16" s="838">
        <f>Elect!BF20</f>
        <v>3517</v>
      </c>
      <c r="AA16" s="838">
        <f>Elect!BH20</f>
        <v>107.6785714289872</v>
      </c>
      <c r="AB16" s="838">
        <f>Elect!BJ20</f>
        <v>0</v>
      </c>
      <c r="AC16" s="838">
        <f>Elect!BL20</f>
        <v>4666.3</v>
      </c>
      <c r="AD16" s="838">
        <f>Elect!BP20</f>
        <v>276</v>
      </c>
      <c r="AE16" s="838">
        <f>Elect!BR20</f>
        <v>1025</v>
      </c>
      <c r="AF16" s="838">
        <f>Elect!BT20</f>
        <v>121</v>
      </c>
      <c r="AG16" s="838">
        <f>Elect!BV20</f>
        <v>204</v>
      </c>
      <c r="AH16" s="894"/>
      <c r="AI16" s="838">
        <f>Water!C21</f>
        <v>127.6</v>
      </c>
      <c r="AJ16" s="838">
        <f>Water!E21</f>
        <v>28.999999999999996</v>
      </c>
      <c r="AK16" s="838">
        <f>Water!G21</f>
        <v>0</v>
      </c>
      <c r="AL16" s="894"/>
      <c r="AM16" s="838">
        <f>Gas!C21</f>
        <v>1598.48</v>
      </c>
      <c r="AN16" s="838">
        <f>Gas!E21</f>
        <v>316.39999999999998</v>
      </c>
      <c r="AO16" s="838">
        <f>Gas!G21</f>
        <v>66</v>
      </c>
      <c r="AP16" s="827">
        <v>55</v>
      </c>
    </row>
    <row r="17" spans="1:42" ht="12.75" customHeight="1">
      <c r="A17" s="835" t="s">
        <v>11</v>
      </c>
      <c r="B17" s="831">
        <f t="shared" si="0"/>
        <v>16</v>
      </c>
      <c r="C17" s="856">
        <v>2</v>
      </c>
      <c r="D17" s="834">
        <v>2021</v>
      </c>
      <c r="E17" s="894"/>
      <c r="F17" s="820">
        <f>Elect!J21</f>
        <v>4882</v>
      </c>
      <c r="G17" s="820">
        <f>Elect!K21</f>
        <v>3069</v>
      </c>
      <c r="H17" s="820">
        <f>Elect!Q21</f>
        <v>480</v>
      </c>
      <c r="I17" s="820">
        <f>Elect!W21</f>
        <v>141</v>
      </c>
      <c r="J17" s="820">
        <f>Elect!Y21</f>
        <v>240</v>
      </c>
      <c r="K17" s="820">
        <f>Elect!AA21</f>
        <v>611.09</v>
      </c>
      <c r="L17" s="820">
        <f>Elect!AC21</f>
        <v>511.45000000000005</v>
      </c>
      <c r="M17" s="838">
        <f>Elect!AE21</f>
        <v>0</v>
      </c>
      <c r="N17" s="838">
        <f>Elect!AG21</f>
        <v>0</v>
      </c>
      <c r="O17" s="838">
        <f>Elect!AI21</f>
        <v>12.215238095430541</v>
      </c>
      <c r="P17" s="838">
        <f>Elect!AK21</f>
        <v>12.16476190453861</v>
      </c>
      <c r="Q17" s="838">
        <f>Elect!AM21</f>
        <v>287.79000000000002</v>
      </c>
      <c r="R17" s="838">
        <f>Elect!AO21</f>
        <v>1884.15</v>
      </c>
      <c r="S17" s="838">
        <f>Elect!AQ21</f>
        <v>172.81785714316123</v>
      </c>
      <c r="T17" s="838">
        <f>Elect!AT21</f>
        <v>62.1</v>
      </c>
      <c r="U17" s="838">
        <f>Elect!AV21</f>
        <v>306</v>
      </c>
      <c r="V17" s="838">
        <f>Elect!AX21</f>
        <v>90</v>
      </c>
      <c r="W17" s="838">
        <f>Elect!AZ21</f>
        <v>29</v>
      </c>
      <c r="X17" s="838">
        <f>Elect!BB21</f>
        <v>376</v>
      </c>
      <c r="Y17" s="838">
        <f>Elect!BD21</f>
        <v>63</v>
      </c>
      <c r="Z17" s="838">
        <f>Elect!BF21</f>
        <v>3284</v>
      </c>
      <c r="AA17" s="838">
        <f>Elect!BH21</f>
        <v>107.67857142799767</v>
      </c>
      <c r="AB17" s="838">
        <f>Elect!BJ21</f>
        <v>0</v>
      </c>
      <c r="AC17" s="838">
        <f>Elect!BL21</f>
        <v>4891.05</v>
      </c>
      <c r="AD17" s="838">
        <f>Elect!BP21</f>
        <v>625</v>
      </c>
      <c r="AE17" s="838">
        <f>Elect!BR21</f>
        <v>1000</v>
      </c>
      <c r="AF17" s="838">
        <f>Elect!BT21</f>
        <v>111</v>
      </c>
      <c r="AG17" s="838">
        <f>Elect!BV21</f>
        <v>193</v>
      </c>
      <c r="AH17" s="894"/>
      <c r="AI17" s="838">
        <f>Water!C22</f>
        <v>150.79999999999998</v>
      </c>
      <c r="AJ17" s="838">
        <f>Water!E22</f>
        <v>34.799999999999997</v>
      </c>
      <c r="AK17" s="838">
        <f>Water!G22</f>
        <v>0</v>
      </c>
      <c r="AL17" s="894"/>
      <c r="AM17" s="838">
        <f>Gas!C22</f>
        <v>1431</v>
      </c>
      <c r="AN17" s="838">
        <f>Gas!E22</f>
        <v>297.5</v>
      </c>
      <c r="AO17" s="838">
        <f>Gas!G22</f>
        <v>57</v>
      </c>
      <c r="AP17" s="827">
        <v>55</v>
      </c>
    </row>
    <row r="18" spans="1:42" ht="12.75" customHeight="1">
      <c r="A18" s="835" t="s">
        <v>11</v>
      </c>
      <c r="B18" s="831">
        <f t="shared" si="0"/>
        <v>17</v>
      </c>
      <c r="C18" s="856">
        <v>2</v>
      </c>
      <c r="D18" s="834">
        <v>2021</v>
      </c>
      <c r="E18" s="894"/>
      <c r="F18" s="820">
        <f>Elect!J22</f>
        <v>4723</v>
      </c>
      <c r="G18" s="820">
        <f>Elect!K22</f>
        <v>3084</v>
      </c>
      <c r="H18" s="820">
        <f>Elect!Q22</f>
        <v>420</v>
      </c>
      <c r="I18" s="820">
        <f>Elect!W22</f>
        <v>144</v>
      </c>
      <c r="J18" s="820">
        <f>Elect!Y22</f>
        <v>243</v>
      </c>
      <c r="K18" s="820">
        <f>Elect!AA22</f>
        <v>0</v>
      </c>
      <c r="L18" s="820">
        <f>Elect!AC22</f>
        <v>0</v>
      </c>
      <c r="M18" s="838">
        <f>Elect!AE22</f>
        <v>0</v>
      </c>
      <c r="N18" s="838">
        <f>Elect!AG22</f>
        <v>0</v>
      </c>
      <c r="O18" s="838">
        <f>Elect!AI22</f>
        <v>12.701071428434808</v>
      </c>
      <c r="P18" s="838">
        <f>Elect!AK22</f>
        <v>12.738928571596043</v>
      </c>
      <c r="Q18" s="838">
        <f>Elect!AM22</f>
        <v>31.8</v>
      </c>
      <c r="R18" s="838">
        <f>Elect!AO22</f>
        <v>1426.76</v>
      </c>
      <c r="S18" s="838">
        <f>Elect!AQ22</f>
        <v>172.8178571426368</v>
      </c>
      <c r="T18" s="838">
        <f>Elect!AT22</f>
        <v>4.6124999999999998</v>
      </c>
      <c r="U18" s="838">
        <f>Elect!AV22</f>
        <v>165</v>
      </c>
      <c r="V18" s="838">
        <f>Elect!AX22</f>
        <v>78</v>
      </c>
      <c r="W18" s="838">
        <f>Elect!AZ22</f>
        <v>28</v>
      </c>
      <c r="X18" s="838">
        <f>Elect!BB22</f>
        <v>327</v>
      </c>
      <c r="Y18" s="838">
        <f>Elect!BD22</f>
        <v>61</v>
      </c>
      <c r="Z18" s="838">
        <f>Elect!BF22</f>
        <v>3120</v>
      </c>
      <c r="AA18" s="838">
        <f>Elect!BH22</f>
        <v>120.4285714289872</v>
      </c>
      <c r="AB18" s="838">
        <f>Elect!BJ22</f>
        <v>0</v>
      </c>
      <c r="AC18" s="838">
        <f>Elect!BL22</f>
        <v>5114.7</v>
      </c>
      <c r="AD18" s="838">
        <f>Elect!BP22</f>
        <v>772</v>
      </c>
      <c r="AE18" s="838">
        <f>Elect!BR22</f>
        <v>976</v>
      </c>
      <c r="AF18" s="838">
        <f>Elect!BT22</f>
        <v>118</v>
      </c>
      <c r="AG18" s="838">
        <f>Elect!BV22</f>
        <v>201</v>
      </c>
      <c r="AH18" s="894"/>
      <c r="AI18" s="838">
        <f>Water!C23</f>
        <v>110.19999999999999</v>
      </c>
      <c r="AJ18" s="838">
        <f>Water!E23</f>
        <v>46.4</v>
      </c>
      <c r="AK18" s="838">
        <f>Water!G23</f>
        <v>0</v>
      </c>
      <c r="AL18" s="894"/>
      <c r="AM18" s="838">
        <f>Gas!C23</f>
        <v>793.94</v>
      </c>
      <c r="AN18" s="838">
        <f>Gas!E23</f>
        <v>283.5</v>
      </c>
      <c r="AO18" s="838">
        <f>Gas!G23</f>
        <v>64</v>
      </c>
      <c r="AP18" s="827">
        <v>55</v>
      </c>
    </row>
    <row r="19" spans="1:42" ht="12.75" customHeight="1">
      <c r="A19" s="835" t="s">
        <v>11</v>
      </c>
      <c r="B19" s="831">
        <f t="shared" si="0"/>
        <v>18</v>
      </c>
      <c r="C19" s="856">
        <v>2</v>
      </c>
      <c r="D19" s="834">
        <v>2021</v>
      </c>
      <c r="E19" s="894"/>
      <c r="F19" s="820">
        <f>Elect!J23</f>
        <v>4835</v>
      </c>
      <c r="G19" s="820">
        <f>Elect!K23</f>
        <v>3111</v>
      </c>
      <c r="H19" s="820">
        <f>Elect!Q23</f>
        <v>480</v>
      </c>
      <c r="I19" s="820">
        <f>Elect!W23</f>
        <v>144</v>
      </c>
      <c r="J19" s="820">
        <f>Elect!Y23</f>
        <v>240</v>
      </c>
      <c r="K19" s="820">
        <f>Elect!AA23</f>
        <v>0</v>
      </c>
      <c r="L19" s="820">
        <f>Elect!AC23</f>
        <v>0</v>
      </c>
      <c r="M19" s="838">
        <f>Elect!AE23</f>
        <v>132.5</v>
      </c>
      <c r="N19" s="838">
        <f>Elect!AG23</f>
        <v>445.73</v>
      </c>
      <c r="O19" s="838">
        <f>Elect!AI23</f>
        <v>12.190000000000001</v>
      </c>
      <c r="P19" s="838">
        <f>Elect!AK23</f>
        <v>11.66</v>
      </c>
      <c r="Q19" s="838">
        <f>Elect!AM23</f>
        <v>56.71</v>
      </c>
      <c r="R19" s="838">
        <f>Elect!AO23</f>
        <v>1512.0900000000001</v>
      </c>
      <c r="S19" s="838">
        <f>Elect!AQ23</f>
        <v>204.05</v>
      </c>
      <c r="T19" s="838">
        <f>Elect!AT23</f>
        <v>2.8125</v>
      </c>
      <c r="U19" s="838">
        <f>Elect!AV23</f>
        <v>326</v>
      </c>
      <c r="V19" s="838">
        <f>Elect!AX23</f>
        <v>89</v>
      </c>
      <c r="W19" s="838">
        <f>Elect!AZ23</f>
        <v>29</v>
      </c>
      <c r="X19" s="838">
        <f>Elect!BB23</f>
        <v>340</v>
      </c>
      <c r="Y19" s="838">
        <f>Elect!BD23</f>
        <v>63</v>
      </c>
      <c r="Z19" s="838">
        <f>Elect!BF23</f>
        <v>2954</v>
      </c>
      <c r="AA19" s="838">
        <f>Elect!BH23</f>
        <v>115</v>
      </c>
      <c r="AB19" s="838">
        <f>Elect!BJ23</f>
        <v>0</v>
      </c>
      <c r="AC19" s="838">
        <f>Elect!BL23</f>
        <v>4699.4000000000005</v>
      </c>
      <c r="AD19" s="838">
        <f>Elect!BP23</f>
        <v>481</v>
      </c>
      <c r="AE19" s="838">
        <f>Elect!BR23</f>
        <v>1012</v>
      </c>
      <c r="AF19" s="838">
        <f>Elect!BT23</f>
        <v>116</v>
      </c>
      <c r="AG19" s="838">
        <f>Elect!BV23</f>
        <v>197</v>
      </c>
      <c r="AH19" s="894"/>
      <c r="AI19" s="838">
        <f>Water!C24</f>
        <v>98.6</v>
      </c>
      <c r="AJ19" s="838">
        <f>Water!E24</f>
        <v>17.399999999999999</v>
      </c>
      <c r="AK19" s="838">
        <f>Water!G24</f>
        <v>0</v>
      </c>
      <c r="AL19" s="894"/>
      <c r="AM19" s="838">
        <f>Gas!C24</f>
        <v>1124.6600000000001</v>
      </c>
      <c r="AN19" s="838">
        <f>Gas!E24</f>
        <v>290.5</v>
      </c>
      <c r="AO19" s="838">
        <f>Gas!G24</f>
        <v>61</v>
      </c>
      <c r="AP19" s="827">
        <v>55</v>
      </c>
    </row>
    <row r="20" spans="1:42" ht="12.75" customHeight="1">
      <c r="A20" s="835" t="s">
        <v>11</v>
      </c>
      <c r="B20" s="831">
        <f t="shared" si="0"/>
        <v>19</v>
      </c>
      <c r="C20" s="856">
        <v>2</v>
      </c>
      <c r="D20" s="834">
        <v>2021</v>
      </c>
      <c r="E20" s="894"/>
      <c r="F20" s="820">
        <f>Elect!J24</f>
        <v>4383</v>
      </c>
      <c r="G20" s="820">
        <f>Elect!K24</f>
        <v>2769</v>
      </c>
      <c r="H20" s="820">
        <f>Elect!Q24</f>
        <v>510</v>
      </c>
      <c r="I20" s="820">
        <f>Elect!W24</f>
        <v>146</v>
      </c>
      <c r="J20" s="820">
        <f>Elect!Y24</f>
        <v>197</v>
      </c>
      <c r="K20" s="820">
        <f>Elect!AA24</f>
        <v>0</v>
      </c>
      <c r="L20" s="820">
        <f>Elect!AC24</f>
        <v>483.36</v>
      </c>
      <c r="M20" s="838">
        <f>Elect!AE24</f>
        <v>0</v>
      </c>
      <c r="N20" s="838">
        <f>Elect!AG24</f>
        <v>0</v>
      </c>
      <c r="O20" s="838">
        <f>Elect!AI24</f>
        <v>11.66</v>
      </c>
      <c r="P20" s="838">
        <f>Elect!AK24</f>
        <v>12.190000000000001</v>
      </c>
      <c r="Q20" s="838">
        <f>Elect!AM24</f>
        <v>74.2</v>
      </c>
      <c r="R20" s="838">
        <f>Elect!AO24</f>
        <v>1408.74</v>
      </c>
      <c r="S20" s="838">
        <f>Elect!AQ24</f>
        <v>132.5</v>
      </c>
      <c r="T20" s="838">
        <f>Elect!AT24</f>
        <v>2.4750000000000001</v>
      </c>
      <c r="U20" s="838">
        <f>Elect!AV24</f>
        <v>187</v>
      </c>
      <c r="V20" s="838">
        <f>Elect!AX24</f>
        <v>94</v>
      </c>
      <c r="W20" s="838">
        <f>Elect!AZ24</f>
        <v>19</v>
      </c>
      <c r="X20" s="838">
        <f>Elect!BB24</f>
        <v>337</v>
      </c>
      <c r="Y20" s="838">
        <f>Elect!BD24</f>
        <v>63</v>
      </c>
      <c r="Z20" s="838">
        <f>Elect!BF24</f>
        <v>3032</v>
      </c>
      <c r="AA20" s="838">
        <f>Elect!BH24</f>
        <v>69</v>
      </c>
      <c r="AB20" s="838">
        <f>Elect!BJ24</f>
        <v>15</v>
      </c>
      <c r="AC20" s="838">
        <f>Elect!BL24</f>
        <v>4364.2999999999993</v>
      </c>
      <c r="AD20" s="838">
        <f>Elect!BP24</f>
        <v>284</v>
      </c>
      <c r="AE20" s="838">
        <f>Elect!BR24</f>
        <v>978</v>
      </c>
      <c r="AF20" s="838">
        <f>Elect!BT24</f>
        <v>108</v>
      </c>
      <c r="AG20" s="838">
        <f>Elect!BV24</f>
        <v>195</v>
      </c>
      <c r="AH20" s="894"/>
      <c r="AI20" s="838">
        <f>Water!C25</f>
        <v>63.8</v>
      </c>
      <c r="AJ20" s="838">
        <f>Water!E25</f>
        <v>34.799999999999997</v>
      </c>
      <c r="AK20" s="838">
        <f>Water!G25</f>
        <v>0</v>
      </c>
      <c r="AL20" s="894"/>
      <c r="AM20" s="838">
        <f>Gas!C25</f>
        <v>1367.4</v>
      </c>
      <c r="AN20" s="838">
        <f>Gas!E25</f>
        <v>290.5</v>
      </c>
      <c r="AO20" s="838">
        <f>Gas!G25</f>
        <v>61</v>
      </c>
      <c r="AP20" s="827">
        <v>55</v>
      </c>
    </row>
    <row r="21" spans="1:42" ht="12.75" customHeight="1">
      <c r="A21" s="835" t="s">
        <v>11</v>
      </c>
      <c r="B21" s="831">
        <f t="shared" si="0"/>
        <v>20</v>
      </c>
      <c r="C21" s="856">
        <v>2</v>
      </c>
      <c r="D21" s="834">
        <v>2021</v>
      </c>
      <c r="E21" s="894"/>
      <c r="F21" s="820">
        <f>Elect!J25</f>
        <v>4375</v>
      </c>
      <c r="G21" s="820">
        <f>Elect!K25</f>
        <v>4445</v>
      </c>
      <c r="H21" s="820">
        <f>Elect!Q25</f>
        <v>390</v>
      </c>
      <c r="I21" s="820">
        <f>Elect!W25</f>
        <v>138</v>
      </c>
      <c r="J21" s="820">
        <f>Elect!Y25</f>
        <v>286</v>
      </c>
      <c r="K21" s="820">
        <f>Elect!AA25</f>
        <v>0</v>
      </c>
      <c r="L21" s="820">
        <f>Elect!AC25</f>
        <v>1113.53</v>
      </c>
      <c r="M21" s="838">
        <f>Elect!AE25</f>
        <v>0</v>
      </c>
      <c r="N21" s="838">
        <f>Elect!AG25</f>
        <v>0</v>
      </c>
      <c r="O21" s="838">
        <f>Elect!AI25</f>
        <v>11.13</v>
      </c>
      <c r="P21" s="838">
        <f>Elect!AK25</f>
        <v>11.13</v>
      </c>
      <c r="Q21" s="838">
        <f>Elect!AM25</f>
        <v>143.63</v>
      </c>
      <c r="R21" s="838">
        <f>Elect!AO25</f>
        <v>1778.68</v>
      </c>
      <c r="S21" s="838">
        <f>Elect!AQ25</f>
        <v>162.71</v>
      </c>
      <c r="T21" s="838">
        <f>Elect!AT25</f>
        <v>2.8125</v>
      </c>
      <c r="U21" s="838">
        <f>Elect!AV25</f>
        <v>261</v>
      </c>
      <c r="V21" s="838">
        <f>Elect!AX25</f>
        <v>98</v>
      </c>
      <c r="W21" s="838">
        <f>Elect!AZ25</f>
        <v>20</v>
      </c>
      <c r="X21" s="838">
        <f>Elect!BB25</f>
        <v>328</v>
      </c>
      <c r="Y21" s="838">
        <f>Elect!BD25</f>
        <v>59</v>
      </c>
      <c r="Z21" s="838">
        <f>Elect!BF25</f>
        <v>3078</v>
      </c>
      <c r="AA21" s="838">
        <f>Elect!BH25</f>
        <v>106</v>
      </c>
      <c r="AB21" s="838">
        <f>Elect!BJ25</f>
        <v>0</v>
      </c>
      <c r="AC21" s="838">
        <f>Elect!BL25</f>
        <v>4216.6500000000005</v>
      </c>
      <c r="AD21" s="838">
        <f>Elect!BP25</f>
        <v>264</v>
      </c>
      <c r="AE21" s="838">
        <f>Elect!BR25</f>
        <v>972</v>
      </c>
      <c r="AF21" s="838">
        <f>Elect!BT25</f>
        <v>111</v>
      </c>
      <c r="AG21" s="838">
        <f>Elect!BV25</f>
        <v>190</v>
      </c>
      <c r="AH21" s="894"/>
      <c r="AI21" s="838">
        <f>Water!C26</f>
        <v>98.6</v>
      </c>
      <c r="AJ21" s="838">
        <f>Water!E26</f>
        <v>28.999999999999996</v>
      </c>
      <c r="AK21" s="838">
        <f>Water!G26</f>
        <v>0</v>
      </c>
      <c r="AL21" s="894"/>
      <c r="AM21" s="838">
        <f>Gas!C26</f>
        <v>813.0200000000001</v>
      </c>
      <c r="AN21" s="838">
        <f>Gas!E26</f>
        <v>124.6</v>
      </c>
      <c r="AO21" s="838">
        <f>Gas!G26</f>
        <v>29</v>
      </c>
      <c r="AP21" s="827">
        <v>55</v>
      </c>
    </row>
    <row r="22" spans="1:42" ht="12.75" customHeight="1">
      <c r="A22" s="835" t="s">
        <v>11</v>
      </c>
      <c r="B22" s="831">
        <f t="shared" si="0"/>
        <v>21</v>
      </c>
      <c r="C22" s="856">
        <v>2</v>
      </c>
      <c r="D22" s="834">
        <v>2021</v>
      </c>
      <c r="E22" s="894"/>
      <c r="F22" s="820">
        <f>Elect!J26</f>
        <v>5866</v>
      </c>
      <c r="G22" s="820">
        <f>Elect!K26</f>
        <v>3572</v>
      </c>
      <c r="H22" s="820">
        <f>Elect!Q26</f>
        <v>540</v>
      </c>
      <c r="I22" s="820">
        <f>Elect!W26</f>
        <v>155</v>
      </c>
      <c r="J22" s="820">
        <f>Elect!Y26</f>
        <v>265</v>
      </c>
      <c r="K22" s="820">
        <f>Elect!AA26</f>
        <v>950.82</v>
      </c>
      <c r="L22" s="820">
        <f>Elect!AC26</f>
        <v>0</v>
      </c>
      <c r="M22" s="838">
        <f>Elect!AE26</f>
        <v>0</v>
      </c>
      <c r="N22" s="838">
        <f>Elect!AG26</f>
        <v>0</v>
      </c>
      <c r="O22" s="838">
        <f>Elect!AI26</f>
        <v>12.72</v>
      </c>
      <c r="P22" s="838">
        <f>Elect!AK26</f>
        <v>12.190000000000001</v>
      </c>
      <c r="Q22" s="838">
        <f>Elect!AM26</f>
        <v>195.04000000000002</v>
      </c>
      <c r="R22" s="838">
        <f>Elect!AO26</f>
        <v>2109.4</v>
      </c>
      <c r="S22" s="838">
        <f>Elect!AQ26</f>
        <v>170.66</v>
      </c>
      <c r="T22" s="838">
        <f>Elect!AT26</f>
        <v>4.3875000000000002</v>
      </c>
      <c r="U22" s="838">
        <f>Elect!AV26</f>
        <v>275</v>
      </c>
      <c r="V22" s="838">
        <f>Elect!AX26</f>
        <v>94</v>
      </c>
      <c r="W22" s="838">
        <f>Elect!AZ26</f>
        <v>32</v>
      </c>
      <c r="X22" s="838">
        <f>Elect!BB26</f>
        <v>377</v>
      </c>
      <c r="Y22" s="838">
        <f>Elect!BD26</f>
        <v>66</v>
      </c>
      <c r="Z22" s="838">
        <f>Elect!BF26</f>
        <v>3274</v>
      </c>
      <c r="AA22" s="838">
        <f>Elect!BH26</f>
        <v>113</v>
      </c>
      <c r="AB22" s="838">
        <f>Elect!BJ26</f>
        <v>0</v>
      </c>
      <c r="AC22" s="838">
        <f>Elect!BL26</f>
        <v>4783.7000000000007</v>
      </c>
      <c r="AD22" s="838">
        <f>Elect!BP26</f>
        <v>285</v>
      </c>
      <c r="AE22" s="838">
        <f>Elect!BR26</f>
        <v>962</v>
      </c>
      <c r="AF22" s="838">
        <f>Elect!BT26</f>
        <v>132</v>
      </c>
      <c r="AG22" s="838">
        <f>Elect!BV26</f>
        <v>212</v>
      </c>
      <c r="AH22" s="894"/>
      <c r="AI22" s="838">
        <f>Water!C27</f>
        <v>92.8</v>
      </c>
      <c r="AJ22" s="838">
        <f>Water!E27</f>
        <v>5.8</v>
      </c>
      <c r="AK22" s="838">
        <f>Water!G27</f>
        <v>0</v>
      </c>
      <c r="AL22" s="894"/>
      <c r="AM22" s="838">
        <f>Gas!C27</f>
        <v>1108.76</v>
      </c>
      <c r="AN22" s="838">
        <f>Gas!E27</f>
        <v>338.09999999999997</v>
      </c>
      <c r="AO22" s="838">
        <f>Gas!G27</f>
        <v>134</v>
      </c>
      <c r="AP22" s="827">
        <v>55</v>
      </c>
    </row>
    <row r="23" spans="1:42" ht="12.75" customHeight="1">
      <c r="A23" s="835" t="s">
        <v>11</v>
      </c>
      <c r="B23" s="831">
        <f t="shared" si="0"/>
        <v>22</v>
      </c>
      <c r="C23" s="856">
        <v>2</v>
      </c>
      <c r="D23" s="834">
        <v>2021</v>
      </c>
      <c r="E23" s="894"/>
      <c r="F23" s="820">
        <f>Elect!J27</f>
        <v>6319</v>
      </c>
      <c r="G23" s="820">
        <f>Elect!K27</f>
        <v>3200</v>
      </c>
      <c r="H23" s="820">
        <f>Elect!Q27</f>
        <v>570</v>
      </c>
      <c r="I23" s="820">
        <f>Elect!W27</f>
        <v>159</v>
      </c>
      <c r="J23" s="820">
        <f>Elect!Y27</f>
        <v>276</v>
      </c>
      <c r="K23" s="820">
        <f>Elect!AA27</f>
        <v>1103.46</v>
      </c>
      <c r="L23" s="820">
        <f>Elect!AC27</f>
        <v>0</v>
      </c>
      <c r="M23" s="838">
        <f>Elect!AE27</f>
        <v>0</v>
      </c>
      <c r="N23" s="838">
        <f>Elect!AG27</f>
        <v>135.68</v>
      </c>
      <c r="O23" s="838">
        <f>Elect!AI27</f>
        <v>14.31</v>
      </c>
      <c r="P23" s="838">
        <f>Elect!AK27</f>
        <v>14.84</v>
      </c>
      <c r="Q23" s="838">
        <f>Elect!AM27</f>
        <v>191.86</v>
      </c>
      <c r="R23" s="838">
        <f>Elect!AO27</f>
        <v>2051.1</v>
      </c>
      <c r="S23" s="838">
        <f>Elect!AQ27</f>
        <v>188.68</v>
      </c>
      <c r="T23" s="838">
        <f>Elect!AT27</f>
        <v>4.1625000000000005</v>
      </c>
      <c r="U23" s="838">
        <f>Elect!AV27</f>
        <v>202</v>
      </c>
      <c r="V23" s="838">
        <f>Elect!AX27</f>
        <v>86</v>
      </c>
      <c r="W23" s="838">
        <f>Elect!AZ27</f>
        <v>32</v>
      </c>
      <c r="X23" s="838">
        <f>Elect!BB27</f>
        <v>403</v>
      </c>
      <c r="Y23" s="838">
        <f>Elect!BD27</f>
        <v>68</v>
      </c>
      <c r="Z23" s="838">
        <f>Elect!BF27</f>
        <v>3412</v>
      </c>
      <c r="AA23" s="838">
        <f>Elect!BH27</f>
        <v>126</v>
      </c>
      <c r="AB23" s="838">
        <f>Elect!BJ27</f>
        <v>0</v>
      </c>
      <c r="AC23" s="838">
        <f>Elect!BL27</f>
        <v>5872.2</v>
      </c>
      <c r="AD23" s="838">
        <f>Elect!BP27</f>
        <v>765</v>
      </c>
      <c r="AE23" s="838">
        <f>Elect!BR27</f>
        <v>1048</v>
      </c>
      <c r="AF23" s="838">
        <f>Elect!BT27</f>
        <v>136</v>
      </c>
      <c r="AG23" s="838">
        <f>Elect!BV27</f>
        <v>217</v>
      </c>
      <c r="AH23" s="894"/>
      <c r="AI23" s="838">
        <f>Water!C28</f>
        <v>110.19999999999999</v>
      </c>
      <c r="AJ23" s="838">
        <f>Water!E28</f>
        <v>11.6</v>
      </c>
      <c r="AK23" s="838">
        <f>Water!G28</f>
        <v>0</v>
      </c>
      <c r="AL23" s="894"/>
      <c r="AM23" s="838">
        <f>Gas!C28</f>
        <v>833.16000000000008</v>
      </c>
      <c r="AN23" s="838">
        <f>Gas!E28</f>
        <v>163.79999999999998</v>
      </c>
      <c r="AO23" s="838">
        <f>Gas!G28</f>
        <v>26</v>
      </c>
      <c r="AP23" s="827">
        <v>55</v>
      </c>
    </row>
    <row r="24" spans="1:42" ht="12.75" customHeight="1">
      <c r="A24" s="835" t="s">
        <v>11</v>
      </c>
      <c r="B24" s="831">
        <f t="shared" si="0"/>
        <v>23</v>
      </c>
      <c r="C24" s="856">
        <v>2</v>
      </c>
      <c r="D24" s="834">
        <v>2021</v>
      </c>
      <c r="E24" s="894"/>
      <c r="F24" s="820">
        <f>Elect!J28</f>
        <v>5557</v>
      </c>
      <c r="G24" s="820">
        <f>Elect!K28</f>
        <v>3709</v>
      </c>
      <c r="H24" s="820">
        <f>Elect!Q28</f>
        <v>510</v>
      </c>
      <c r="I24" s="820">
        <f>Elect!W28</f>
        <v>137</v>
      </c>
      <c r="J24" s="820">
        <f>Elect!Y28</f>
        <v>235</v>
      </c>
      <c r="K24" s="820">
        <f>Elect!AA28</f>
        <v>1606.43</v>
      </c>
      <c r="L24" s="820">
        <f>Elect!AC28</f>
        <v>0</v>
      </c>
      <c r="M24" s="838">
        <f>Elect!AE28</f>
        <v>0</v>
      </c>
      <c r="N24" s="838">
        <f>Elect!AG28</f>
        <v>0</v>
      </c>
      <c r="O24" s="838">
        <f>Elect!AI28</f>
        <v>9.01</v>
      </c>
      <c r="P24" s="838">
        <f>Elect!AK28</f>
        <v>8.48</v>
      </c>
      <c r="Q24" s="838">
        <f>Elect!AM28</f>
        <v>377.89000000000004</v>
      </c>
      <c r="R24" s="838">
        <f>Elect!AO28</f>
        <v>2495.77</v>
      </c>
      <c r="S24" s="838">
        <f>Elect!AQ28</f>
        <v>188.15</v>
      </c>
      <c r="T24" s="838">
        <f>Elect!AT28</f>
        <v>3.9375</v>
      </c>
      <c r="U24" s="838">
        <f>Elect!AV28</f>
        <v>271</v>
      </c>
      <c r="V24" s="838">
        <f>Elect!AX28</f>
        <v>76</v>
      </c>
      <c r="W24" s="838">
        <f>Elect!AZ28</f>
        <v>37</v>
      </c>
      <c r="X24" s="838">
        <f>Elect!BB28</f>
        <v>395</v>
      </c>
      <c r="Y24" s="838">
        <f>Elect!BD28</f>
        <v>60</v>
      </c>
      <c r="Z24" s="838">
        <f>Elect!BF28</f>
        <v>3183</v>
      </c>
      <c r="AA24" s="838">
        <f>Elect!BH28</f>
        <v>107</v>
      </c>
      <c r="AB24" s="838">
        <f>Elect!BJ28</f>
        <v>0</v>
      </c>
      <c r="AC24" s="838">
        <f>Elect!BL28</f>
        <v>4693</v>
      </c>
      <c r="AD24" s="838">
        <f>Elect!BP28</f>
        <v>432</v>
      </c>
      <c r="AE24" s="838">
        <f>Elect!BR28</f>
        <v>940</v>
      </c>
      <c r="AF24" s="838">
        <f>Elect!BT28</f>
        <v>120</v>
      </c>
      <c r="AG24" s="838">
        <f>Elect!BV28</f>
        <v>190</v>
      </c>
      <c r="AH24" s="894"/>
      <c r="AI24" s="838">
        <f>Water!C29</f>
        <v>156.6</v>
      </c>
      <c r="AJ24" s="838">
        <f>Water!E29</f>
        <v>5.8</v>
      </c>
      <c r="AK24" s="838">
        <f>Water!G29</f>
        <v>5.8</v>
      </c>
      <c r="AL24" s="894"/>
      <c r="AM24" s="838">
        <f>Gas!C29</f>
        <v>803.48</v>
      </c>
      <c r="AN24" s="838">
        <f>Gas!E29</f>
        <v>360.5</v>
      </c>
      <c r="AO24" s="838">
        <f>Gas!G29</f>
        <v>105</v>
      </c>
      <c r="AP24" s="827">
        <v>55</v>
      </c>
    </row>
    <row r="25" spans="1:42" ht="12.75" customHeight="1">
      <c r="A25" s="835" t="s">
        <v>11</v>
      </c>
      <c r="B25" s="831">
        <f t="shared" si="0"/>
        <v>24</v>
      </c>
      <c r="C25" s="856">
        <v>2</v>
      </c>
      <c r="D25" s="834">
        <v>2021</v>
      </c>
      <c r="E25" s="894"/>
      <c r="F25" s="820">
        <f>Elect!J29</f>
        <v>5440</v>
      </c>
      <c r="G25" s="820">
        <f>Elect!K29</f>
        <v>3410</v>
      </c>
      <c r="H25" s="820">
        <f>Elect!Q29</f>
        <v>570</v>
      </c>
      <c r="I25" s="820">
        <f>Elect!W29</f>
        <v>157</v>
      </c>
      <c r="J25" s="820">
        <f>Elect!Y29</f>
        <v>273</v>
      </c>
      <c r="K25" s="820">
        <f>Elect!AA29</f>
        <v>1244.44</v>
      </c>
      <c r="L25" s="820">
        <f>Elect!AC29</f>
        <v>114.48</v>
      </c>
      <c r="M25" s="838">
        <f>Elect!AE29</f>
        <v>0</v>
      </c>
      <c r="N25" s="838">
        <f>Elect!AG29</f>
        <v>0</v>
      </c>
      <c r="O25" s="838">
        <f>Elect!AI29</f>
        <v>15.370000000000001</v>
      </c>
      <c r="P25" s="838">
        <f>Elect!AK29</f>
        <v>15.370000000000001</v>
      </c>
      <c r="Q25" s="838">
        <f>Elect!AM29</f>
        <v>283.55</v>
      </c>
      <c r="R25" s="838">
        <f>Elect!AO29</f>
        <v>2142.79</v>
      </c>
      <c r="S25" s="838">
        <f>Elect!AQ29</f>
        <v>177.02</v>
      </c>
      <c r="T25" s="838">
        <f>Elect!AT29</f>
        <v>5.625</v>
      </c>
      <c r="U25" s="838">
        <f>Elect!AV29</f>
        <v>315</v>
      </c>
      <c r="V25" s="838">
        <f>Elect!AX29</f>
        <v>82</v>
      </c>
      <c r="W25" s="838">
        <f>Elect!AZ29</f>
        <v>32</v>
      </c>
      <c r="X25" s="838">
        <f>Elect!BB29</f>
        <v>377</v>
      </c>
      <c r="Y25" s="838">
        <f>Elect!BD29</f>
        <v>67</v>
      </c>
      <c r="Z25" s="838">
        <f>Elect!BF29</f>
        <v>3050</v>
      </c>
      <c r="AA25" s="838">
        <f>Elect!BH29</f>
        <v>120</v>
      </c>
      <c r="AB25" s="838">
        <f>Elect!BJ29</f>
        <v>0</v>
      </c>
      <c r="AC25" s="838">
        <f>Elect!BL29</f>
        <v>5219.8500000000004</v>
      </c>
      <c r="AD25" s="838">
        <f>Elect!BP29</f>
        <v>308</v>
      </c>
      <c r="AE25" s="838">
        <f>Elect!BR29</f>
        <v>1061</v>
      </c>
      <c r="AF25" s="838">
        <f>Elect!BT29</f>
        <v>126</v>
      </c>
      <c r="AG25" s="838">
        <f>Elect!BV29</f>
        <v>226</v>
      </c>
      <c r="AH25" s="894"/>
      <c r="AI25" s="838">
        <f>Water!C30</f>
        <v>185.6</v>
      </c>
      <c r="AJ25" s="838">
        <f>Water!E30</f>
        <v>5.8</v>
      </c>
      <c r="AK25" s="838">
        <f>Water!G30</f>
        <v>5.8</v>
      </c>
      <c r="AL25" s="894"/>
      <c r="AM25" s="838">
        <f>Gas!C30</f>
        <v>1222.18</v>
      </c>
      <c r="AN25" s="838">
        <f>Gas!E30</f>
        <v>268.09999999999997</v>
      </c>
      <c r="AO25" s="838">
        <f>Gas!G30</f>
        <v>69</v>
      </c>
      <c r="AP25" s="827">
        <v>55</v>
      </c>
    </row>
    <row r="26" spans="1:42" ht="12.75" customHeight="1">
      <c r="A26" s="835" t="s">
        <v>11</v>
      </c>
      <c r="B26" s="831">
        <f>B25+1</f>
        <v>25</v>
      </c>
      <c r="C26" s="856">
        <v>2</v>
      </c>
      <c r="D26" s="834">
        <v>2021</v>
      </c>
      <c r="E26" s="894"/>
      <c r="F26" s="820">
        <f>Elect!J30</f>
        <v>5058</v>
      </c>
      <c r="G26" s="820">
        <f>Elect!K30</f>
        <v>3157</v>
      </c>
      <c r="H26" s="820">
        <f>Elect!Q30</f>
        <v>480</v>
      </c>
      <c r="I26" s="820">
        <f>Elect!W30</f>
        <v>133</v>
      </c>
      <c r="J26" s="820">
        <f>Elect!Y30</f>
        <v>229</v>
      </c>
      <c r="K26" s="820">
        <f>Elect!AA30</f>
        <v>1849.7</v>
      </c>
      <c r="L26" s="820">
        <f>Elect!AC30</f>
        <v>201.4</v>
      </c>
      <c r="M26" s="838">
        <f>Elect!AE30</f>
        <v>0</v>
      </c>
      <c r="N26" s="838">
        <f>Elect!AG30</f>
        <v>0</v>
      </c>
      <c r="O26" s="838">
        <f>Elect!AI30</f>
        <v>10.600000000000001</v>
      </c>
      <c r="P26" s="838">
        <f>Elect!AK30</f>
        <v>10.07</v>
      </c>
      <c r="Q26" s="838">
        <f>Elect!AM30</f>
        <v>272.42</v>
      </c>
      <c r="R26" s="838">
        <f>Elect!AO30</f>
        <v>2528.1</v>
      </c>
      <c r="S26" s="838">
        <f>Elect!AQ30</f>
        <v>174.9</v>
      </c>
      <c r="T26" s="838">
        <f>Elect!AT30</f>
        <v>25.762499999999999</v>
      </c>
      <c r="U26" s="838">
        <f>Elect!AV30</f>
        <v>300</v>
      </c>
      <c r="V26" s="838">
        <f>Elect!AX30</f>
        <v>85</v>
      </c>
      <c r="W26" s="838">
        <f>Elect!AZ30</f>
        <v>33</v>
      </c>
      <c r="X26" s="838">
        <f>Elect!BB30</f>
        <v>388</v>
      </c>
      <c r="Y26" s="838">
        <f>Elect!BD30</f>
        <v>57</v>
      </c>
      <c r="Z26" s="838">
        <f>Elect!BF30</f>
        <v>3370</v>
      </c>
      <c r="AA26" s="838">
        <f>Elect!BH30</f>
        <v>105</v>
      </c>
      <c r="AB26" s="838">
        <f>Elect!BJ30</f>
        <v>0</v>
      </c>
      <c r="AC26" s="838">
        <f>Elect!BL30</f>
        <v>4181.3</v>
      </c>
      <c r="AD26" s="838">
        <f>Elect!BP30</f>
        <v>203</v>
      </c>
      <c r="AE26" s="838">
        <f>Elect!BR30</f>
        <v>721</v>
      </c>
      <c r="AF26" s="838">
        <f>Elect!BT30</f>
        <v>85</v>
      </c>
      <c r="AG26" s="838">
        <f>Elect!BV30</f>
        <v>176</v>
      </c>
      <c r="AH26" s="894"/>
      <c r="AI26" s="838">
        <f>Water!C31</f>
        <v>127.6</v>
      </c>
      <c r="AJ26" s="838">
        <f>Water!E31</f>
        <v>5.8</v>
      </c>
      <c r="AK26" s="838">
        <f>Water!G31</f>
        <v>5.8</v>
      </c>
      <c r="AL26" s="894"/>
      <c r="AM26" s="838">
        <f>Gas!C31</f>
        <v>1626.0400000000002</v>
      </c>
      <c r="AN26" s="838">
        <f>Gas!E31</f>
        <v>268.79999999999995</v>
      </c>
      <c r="AO26" s="838">
        <f>Gas!G31</f>
        <v>69</v>
      </c>
      <c r="AP26" s="827">
        <v>56</v>
      </c>
    </row>
    <row r="27" spans="1:42" ht="12.75" customHeight="1">
      <c r="A27" s="835" t="s">
        <v>11</v>
      </c>
      <c r="B27" s="831">
        <f t="shared" si="0"/>
        <v>26</v>
      </c>
      <c r="C27" s="856">
        <v>2</v>
      </c>
      <c r="D27" s="834">
        <v>2021</v>
      </c>
      <c r="E27" s="894"/>
      <c r="F27" s="820">
        <f>Elect!J31</f>
        <v>2921</v>
      </c>
      <c r="G27" s="820">
        <f>Elect!K31</f>
        <v>2989</v>
      </c>
      <c r="H27" s="820">
        <f>Elect!Q31</f>
        <v>750</v>
      </c>
      <c r="I27" s="820">
        <f>Elect!W31</f>
        <v>143</v>
      </c>
      <c r="J27" s="820">
        <f>Elect!Y31</f>
        <v>230</v>
      </c>
      <c r="K27" s="820">
        <f>Elect!AA31</f>
        <v>1247.6200000000001</v>
      </c>
      <c r="L27" s="820">
        <f>Elect!AC31</f>
        <v>192.39000000000001</v>
      </c>
      <c r="M27" s="838">
        <f>Elect!AE31</f>
        <v>0</v>
      </c>
      <c r="N27" s="838">
        <f>Elect!AG31</f>
        <v>0</v>
      </c>
      <c r="O27" s="838">
        <f>Elect!AI31</f>
        <v>11.66</v>
      </c>
      <c r="P27" s="838">
        <f>Elect!AK31</f>
        <v>12.72</v>
      </c>
      <c r="Q27" s="838">
        <f>Elect!AM31</f>
        <v>204.05</v>
      </c>
      <c r="R27" s="838">
        <f>Elect!AO31</f>
        <v>1778.68</v>
      </c>
      <c r="S27" s="838">
        <f>Elect!AQ31</f>
        <v>163.77000000000001</v>
      </c>
      <c r="T27" s="838">
        <f>Elect!AT31</f>
        <v>12.262500000000001</v>
      </c>
      <c r="U27" s="838">
        <f>Elect!AV31</f>
        <v>276</v>
      </c>
      <c r="V27" s="838">
        <f>Elect!AX31</f>
        <v>213</v>
      </c>
      <c r="W27" s="838">
        <f>Elect!AZ31</f>
        <v>44</v>
      </c>
      <c r="X27" s="838">
        <f>Elect!BB31</f>
        <v>340</v>
      </c>
      <c r="Y27" s="838">
        <f>Elect!BD31</f>
        <v>65</v>
      </c>
      <c r="Z27" s="838">
        <f>Elect!BF31</f>
        <v>4105</v>
      </c>
      <c r="AA27" s="838">
        <f>Elect!BH31</f>
        <v>100</v>
      </c>
      <c r="AB27" s="838">
        <f>Elect!BJ31</f>
        <v>0</v>
      </c>
      <c r="AC27" s="838">
        <f>Elect!BL31</f>
        <v>4389.1499999999996</v>
      </c>
      <c r="AD27" s="838">
        <f>Elect!BP31</f>
        <v>453</v>
      </c>
      <c r="AE27" s="838">
        <f>Elect!BR31</f>
        <v>869</v>
      </c>
      <c r="AF27" s="838">
        <f>Elect!BT31</f>
        <v>84</v>
      </c>
      <c r="AG27" s="838">
        <f>Elect!BV31</f>
        <v>152</v>
      </c>
      <c r="AH27" s="894"/>
      <c r="AI27" s="838">
        <f>Water!C32</f>
        <v>139.19999999999999</v>
      </c>
      <c r="AJ27" s="838">
        <f>Water!E32</f>
        <v>5.8</v>
      </c>
      <c r="AK27" s="838">
        <f>Water!G32</f>
        <v>5.22</v>
      </c>
      <c r="AL27" s="894"/>
      <c r="AM27" s="838">
        <f>Gas!C32</f>
        <v>1051.52</v>
      </c>
      <c r="AN27" s="838">
        <f>Gas!E32</f>
        <v>262.5</v>
      </c>
      <c r="AO27" s="838">
        <f>Gas!G32</f>
        <v>94</v>
      </c>
      <c r="AP27" s="827">
        <v>56</v>
      </c>
    </row>
    <row r="28" spans="1:42" ht="12.75" customHeight="1">
      <c r="A28" s="835" t="s">
        <v>11</v>
      </c>
      <c r="B28" s="831">
        <f t="shared" si="0"/>
        <v>27</v>
      </c>
      <c r="C28" s="856">
        <v>2</v>
      </c>
      <c r="D28" s="834">
        <v>2021</v>
      </c>
      <c r="E28" s="894"/>
      <c r="F28" s="820">
        <f>Elect!J32</f>
        <v>4950</v>
      </c>
      <c r="G28" s="820">
        <f>Elect!K32</f>
        <v>3335</v>
      </c>
      <c r="H28" s="820">
        <f>Elect!Q32</f>
        <v>540</v>
      </c>
      <c r="I28" s="820">
        <f>Elect!W32</f>
        <v>146</v>
      </c>
      <c r="J28" s="820">
        <f>Elect!Y32</f>
        <v>247</v>
      </c>
      <c r="K28" s="820">
        <f>Elect!AA32</f>
        <v>1445.8400000000001</v>
      </c>
      <c r="L28" s="820">
        <f>Elect!AC32</f>
        <v>208.29000000000002</v>
      </c>
      <c r="M28" s="838">
        <f>Elect!AE32</f>
        <v>0</v>
      </c>
      <c r="N28" s="838">
        <f>Elect!AG32</f>
        <v>0</v>
      </c>
      <c r="O28" s="838">
        <f>Elect!AI32</f>
        <v>12.72</v>
      </c>
      <c r="P28" s="838">
        <f>Elect!AK32</f>
        <v>12.190000000000001</v>
      </c>
      <c r="Q28" s="838">
        <f>Elect!AM32</f>
        <v>293.09000000000003</v>
      </c>
      <c r="R28" s="838">
        <f>Elect!AO32</f>
        <v>2032.0200000000002</v>
      </c>
      <c r="S28" s="838">
        <f>Elect!AQ32</f>
        <v>173.84</v>
      </c>
      <c r="T28" s="838">
        <f>Elect!AT32</f>
        <v>15.75</v>
      </c>
      <c r="U28" s="838">
        <f>Elect!AV32</f>
        <v>267</v>
      </c>
      <c r="V28" s="838">
        <f>Elect!AX32</f>
        <v>104</v>
      </c>
      <c r="W28" s="838">
        <f>Elect!AZ32</f>
        <v>32</v>
      </c>
      <c r="X28" s="838">
        <f>Elect!BB32</f>
        <v>367</v>
      </c>
      <c r="Y28" s="838">
        <f>Elect!BD32</f>
        <v>64</v>
      </c>
      <c r="Z28" s="838">
        <f>Elect!BF32</f>
        <v>3342</v>
      </c>
      <c r="AA28" s="838">
        <f>Elect!BH32</f>
        <v>109</v>
      </c>
      <c r="AB28" s="838">
        <f>Elect!BJ32</f>
        <v>0</v>
      </c>
      <c r="AC28" s="838">
        <f>Elect!BL32</f>
        <v>4724.1000000000004</v>
      </c>
      <c r="AD28" s="838">
        <f>Elect!BP32</f>
        <v>399</v>
      </c>
      <c r="AE28" s="838">
        <f>Elect!BR32</f>
        <v>950</v>
      </c>
      <c r="AF28" s="838">
        <f>Elect!BT32</f>
        <v>112</v>
      </c>
      <c r="AG28" s="838">
        <f>Elect!BV32</f>
        <v>194</v>
      </c>
      <c r="AH28" s="894"/>
      <c r="AI28" s="838">
        <f>Water!C33</f>
        <v>127.6</v>
      </c>
      <c r="AJ28" s="838">
        <f>Water!E33</f>
        <v>5.8</v>
      </c>
      <c r="AK28" s="838">
        <f>Water!G33</f>
        <v>5.8</v>
      </c>
      <c r="AL28" s="894"/>
      <c r="AM28" s="838">
        <f>Gas!C33</f>
        <v>921.1400000000001</v>
      </c>
      <c r="AN28" s="838">
        <f>Gas!E33</f>
        <v>250.6</v>
      </c>
      <c r="AO28" s="838">
        <f>Gas!G33</f>
        <v>41</v>
      </c>
      <c r="AP28" s="827">
        <v>56</v>
      </c>
    </row>
    <row r="29" spans="1:42" ht="12.75" customHeight="1">
      <c r="A29" s="835" t="s">
        <v>11</v>
      </c>
      <c r="B29" s="831">
        <f t="shared" si="0"/>
        <v>28</v>
      </c>
      <c r="C29" s="856">
        <v>2</v>
      </c>
      <c r="D29" s="834">
        <v>2021</v>
      </c>
      <c r="E29" s="894"/>
      <c r="F29" s="820">
        <f>Elect!J33</f>
        <v>4950</v>
      </c>
      <c r="G29" s="820">
        <f>Elect!K33</f>
        <v>3334</v>
      </c>
      <c r="H29" s="820">
        <f>Elect!Q33</f>
        <v>540</v>
      </c>
      <c r="I29" s="820">
        <f>Elect!W33</f>
        <v>145</v>
      </c>
      <c r="J29" s="820">
        <f>Elect!Y33</f>
        <v>247</v>
      </c>
      <c r="K29" s="820">
        <f>Elect!AA33</f>
        <v>1445.8400000000001</v>
      </c>
      <c r="L29" s="820">
        <f>Elect!AC33</f>
        <v>203.52</v>
      </c>
      <c r="M29" s="838">
        <f>Elect!AE33</f>
        <v>0</v>
      </c>
      <c r="N29" s="838">
        <f>Elect!AG33</f>
        <v>0</v>
      </c>
      <c r="O29" s="838">
        <f>Elect!AI33</f>
        <v>12.190000000000001</v>
      </c>
      <c r="P29" s="838">
        <f>Elect!AK33</f>
        <v>12.190000000000001</v>
      </c>
      <c r="Q29" s="838">
        <f>Elect!AM33</f>
        <v>169.60000000000002</v>
      </c>
      <c r="R29" s="838">
        <f>Elect!AO33</f>
        <v>2031.49</v>
      </c>
      <c r="S29" s="838">
        <f>Elect!AQ33</f>
        <v>173.84</v>
      </c>
      <c r="T29" s="838">
        <f>Elect!AT33</f>
        <v>15.862500000000001</v>
      </c>
      <c r="U29" s="838">
        <f>Elect!AV33</f>
        <v>305</v>
      </c>
      <c r="V29" s="838">
        <f>Elect!AX33</f>
        <v>104</v>
      </c>
      <c r="W29" s="838">
        <f>Elect!AZ33</f>
        <v>32</v>
      </c>
      <c r="X29" s="838">
        <f>Elect!BB33</f>
        <v>368</v>
      </c>
      <c r="Y29" s="838">
        <f>Elect!BD33</f>
        <v>63</v>
      </c>
      <c r="Z29" s="838">
        <f>Elect!BF33</f>
        <v>3342</v>
      </c>
      <c r="AA29" s="838">
        <f>Elect!BH33</f>
        <v>116</v>
      </c>
      <c r="AB29" s="838">
        <f>Elect!BJ33</f>
        <v>0</v>
      </c>
      <c r="AC29" s="838">
        <f>Elect!BL33</f>
        <v>4724.1000000000004</v>
      </c>
      <c r="AD29" s="838">
        <f>Elect!BP33</f>
        <v>399</v>
      </c>
      <c r="AE29" s="838">
        <f>Elect!BR33</f>
        <v>950</v>
      </c>
      <c r="AF29" s="838">
        <f>Elect!BT33</f>
        <v>112</v>
      </c>
      <c r="AG29" s="838">
        <f>Elect!BV33</f>
        <v>194</v>
      </c>
      <c r="AH29" s="894"/>
      <c r="AI29" s="838">
        <f>Water!C34</f>
        <v>115.99999999999999</v>
      </c>
      <c r="AJ29" s="838">
        <f>Water!E34</f>
        <v>5.8</v>
      </c>
      <c r="AK29" s="838">
        <f>Water!G34</f>
        <v>5.22</v>
      </c>
      <c r="AL29" s="894"/>
      <c r="AM29" s="838">
        <f>Gas!C34</f>
        <v>1092.8600000000001</v>
      </c>
      <c r="AN29" s="838">
        <f>Gas!E34</f>
        <v>264.59999999999997</v>
      </c>
      <c r="AO29" s="838">
        <f>Gas!G34</f>
        <v>69</v>
      </c>
      <c r="AP29" s="827">
        <v>56</v>
      </c>
    </row>
    <row r="30" spans="1:42" ht="12.75" customHeight="1">
      <c r="A30" s="835" t="s">
        <v>11</v>
      </c>
      <c r="B30" s="831">
        <f t="shared" si="0"/>
        <v>29</v>
      </c>
      <c r="C30" s="856">
        <v>2</v>
      </c>
      <c r="D30" s="834">
        <v>2021</v>
      </c>
      <c r="E30" s="894"/>
      <c r="F30" s="820">
        <f>Elect!J34</f>
        <v>0</v>
      </c>
      <c r="G30" s="820">
        <f>Elect!K34</f>
        <v>0</v>
      </c>
      <c r="H30" s="820">
        <f>Elect!Q34</f>
        <v>0</v>
      </c>
      <c r="I30" s="820">
        <f>Elect!W34</f>
        <v>0</v>
      </c>
      <c r="J30" s="820">
        <f>Elect!Y34</f>
        <v>0</v>
      </c>
      <c r="K30" s="820">
        <f>Elect!AA34</f>
        <v>0</v>
      </c>
      <c r="L30" s="820">
        <f>Elect!AC34</f>
        <v>0</v>
      </c>
      <c r="M30" s="838">
        <f>Elect!AE34</f>
        <v>0</v>
      </c>
      <c r="N30" s="838">
        <f>Elect!AG34</f>
        <v>0</v>
      </c>
      <c r="O30" s="838">
        <f>Elect!AI34</f>
        <v>0</v>
      </c>
      <c r="P30" s="838">
        <f>Elect!AK34</f>
        <v>0</v>
      </c>
      <c r="Q30" s="838">
        <f>Elect!AM34</f>
        <v>0</v>
      </c>
      <c r="R30" s="838">
        <f>Elect!AO34</f>
        <v>0</v>
      </c>
      <c r="S30" s="838">
        <f>Elect!AQ34</f>
        <v>0</v>
      </c>
      <c r="T30" s="838">
        <f>Elect!AT34</f>
        <v>0</v>
      </c>
      <c r="U30" s="838">
        <f>Elect!AV34</f>
        <v>0</v>
      </c>
      <c r="V30" s="838">
        <f>Elect!AX34</f>
        <v>0</v>
      </c>
      <c r="W30" s="838">
        <f>Elect!AZ34</f>
        <v>0</v>
      </c>
      <c r="X30" s="838">
        <f>Elect!BB34</f>
        <v>0</v>
      </c>
      <c r="Y30" s="838">
        <f>Elect!BD34</f>
        <v>0</v>
      </c>
      <c r="Z30" s="838">
        <f>Elect!BF34</f>
        <v>0</v>
      </c>
      <c r="AA30" s="838">
        <f>Elect!BH34</f>
        <v>0</v>
      </c>
      <c r="AB30" s="838">
        <f>Elect!BJ34</f>
        <v>0</v>
      </c>
      <c r="AC30" s="838">
        <f>Elect!BL34</f>
        <v>0</v>
      </c>
      <c r="AD30" s="838">
        <f>Elect!BP34</f>
        <v>0</v>
      </c>
      <c r="AE30" s="838">
        <f>Elect!BR34</f>
        <v>0</v>
      </c>
      <c r="AF30" s="838">
        <f>Elect!BT34</f>
        <v>0</v>
      </c>
      <c r="AG30" s="838">
        <f>Elect!BV34</f>
        <v>0</v>
      </c>
      <c r="AH30" s="894"/>
      <c r="AI30" s="838">
        <f>Water!C35</f>
        <v>0</v>
      </c>
      <c r="AJ30" s="838">
        <f>Water!E35</f>
        <v>0</v>
      </c>
      <c r="AK30" s="838">
        <f>Water!G35</f>
        <v>0</v>
      </c>
      <c r="AL30" s="894"/>
      <c r="AM30" s="838">
        <f>Gas!C35</f>
        <v>0</v>
      </c>
      <c r="AN30" s="838">
        <f>Gas!E35</f>
        <v>0</v>
      </c>
      <c r="AO30" s="838">
        <f>Gas!G35</f>
        <v>0</v>
      </c>
      <c r="AP30" s="827">
        <f>Elect!DC34</f>
        <v>0</v>
      </c>
    </row>
    <row r="31" spans="1:42" ht="12.75" customHeight="1">
      <c r="A31" s="835" t="s">
        <v>11</v>
      </c>
      <c r="B31" s="831">
        <f t="shared" si="0"/>
        <v>30</v>
      </c>
      <c r="C31" s="856">
        <v>2</v>
      </c>
      <c r="D31" s="834">
        <v>2021</v>
      </c>
      <c r="E31" s="894"/>
      <c r="F31" s="820">
        <f>Elect!J35</f>
        <v>0</v>
      </c>
      <c r="G31" s="820">
        <f>Elect!K35</f>
        <v>0</v>
      </c>
      <c r="H31" s="820">
        <f>Elect!Q35</f>
        <v>0</v>
      </c>
      <c r="I31" s="820">
        <f>Elect!W35</f>
        <v>0</v>
      </c>
      <c r="J31" s="820">
        <f>Elect!Y35</f>
        <v>0</v>
      </c>
      <c r="K31" s="820">
        <f>Elect!AA35</f>
        <v>0</v>
      </c>
      <c r="L31" s="820">
        <f>Elect!AC35</f>
        <v>0</v>
      </c>
      <c r="M31" s="838">
        <f>Elect!AE35</f>
        <v>0</v>
      </c>
      <c r="N31" s="838">
        <f>Elect!AG35</f>
        <v>0</v>
      </c>
      <c r="O31" s="838">
        <f>Elect!AI35</f>
        <v>0</v>
      </c>
      <c r="P31" s="838">
        <f>Elect!AK35</f>
        <v>0</v>
      </c>
      <c r="Q31" s="838">
        <f>Elect!AM35</f>
        <v>0</v>
      </c>
      <c r="R31" s="838">
        <f>Elect!AO35</f>
        <v>0</v>
      </c>
      <c r="S31" s="838">
        <f>Elect!AQ35</f>
        <v>0</v>
      </c>
      <c r="T31" s="838">
        <f>Elect!AT35</f>
        <v>0</v>
      </c>
      <c r="U31" s="838">
        <f>Elect!AV35</f>
        <v>0</v>
      </c>
      <c r="V31" s="838">
        <f>Elect!AX35</f>
        <v>0</v>
      </c>
      <c r="W31" s="838">
        <f>Elect!AZ35</f>
        <v>0</v>
      </c>
      <c r="X31" s="838">
        <f>Elect!BB35</f>
        <v>0</v>
      </c>
      <c r="Y31" s="838">
        <f>Elect!BD35</f>
        <v>0</v>
      </c>
      <c r="Z31" s="838">
        <f>Elect!BF35</f>
        <v>0</v>
      </c>
      <c r="AA31" s="838">
        <f>Elect!BH35</f>
        <v>0</v>
      </c>
      <c r="AB31" s="838">
        <f>Elect!BJ35</f>
        <v>0</v>
      </c>
      <c r="AC31" s="838">
        <f>Elect!BL35</f>
        <v>0</v>
      </c>
      <c r="AD31" s="838">
        <f>Elect!BP35</f>
        <v>0</v>
      </c>
      <c r="AE31" s="838">
        <f>Elect!BR35</f>
        <v>0</v>
      </c>
      <c r="AF31" s="838">
        <f>Elect!BT35</f>
        <v>0</v>
      </c>
      <c r="AG31" s="838">
        <f>Elect!BV35</f>
        <v>0</v>
      </c>
      <c r="AH31" s="894"/>
      <c r="AI31" s="838">
        <f>Water!C36</f>
        <v>0</v>
      </c>
      <c r="AJ31" s="838">
        <f>Water!E36</f>
        <v>0</v>
      </c>
      <c r="AK31" s="838">
        <f>Water!G36</f>
        <v>0</v>
      </c>
      <c r="AL31" s="894"/>
      <c r="AM31" s="838">
        <f>Gas!C36</f>
        <v>0</v>
      </c>
      <c r="AN31" s="838">
        <f>Gas!E36</f>
        <v>0</v>
      </c>
      <c r="AO31" s="838">
        <f>Gas!G36</f>
        <v>0</v>
      </c>
      <c r="AP31" s="827">
        <f>Elect!DC35</f>
        <v>0</v>
      </c>
    </row>
    <row r="32" spans="1:42" ht="12.75" customHeight="1">
      <c r="A32" s="836" t="s">
        <v>11</v>
      </c>
      <c r="B32" s="837">
        <f>B31+1</f>
        <v>31</v>
      </c>
      <c r="C32" s="856">
        <v>2</v>
      </c>
      <c r="D32" s="834">
        <v>2021</v>
      </c>
      <c r="E32" s="895"/>
      <c r="F32" s="820">
        <f>Elect!J36</f>
        <v>0</v>
      </c>
      <c r="G32" s="820">
        <f>Elect!K36</f>
        <v>0</v>
      </c>
      <c r="H32" s="820">
        <f>Elect!Q36</f>
        <v>0</v>
      </c>
      <c r="I32" s="820">
        <f>Elect!W36</f>
        <v>0</v>
      </c>
      <c r="J32" s="820">
        <f>Elect!Y36</f>
        <v>0</v>
      </c>
      <c r="K32" s="820">
        <f>Elect!AA36</f>
        <v>0</v>
      </c>
      <c r="L32" s="820">
        <f>Elect!AC36</f>
        <v>0</v>
      </c>
      <c r="M32" s="838">
        <f>Elect!AE36</f>
        <v>0</v>
      </c>
      <c r="N32" s="838">
        <f>Elect!AG36</f>
        <v>0</v>
      </c>
      <c r="O32" s="838">
        <f>Elect!AI36</f>
        <v>0</v>
      </c>
      <c r="P32" s="838">
        <f>Elect!AK36</f>
        <v>0</v>
      </c>
      <c r="Q32" s="838">
        <f>Elect!AM36</f>
        <v>0</v>
      </c>
      <c r="R32" s="838">
        <f>Elect!AO36</f>
        <v>0</v>
      </c>
      <c r="S32" s="838">
        <f>Elect!AQ36</f>
        <v>0</v>
      </c>
      <c r="T32" s="838">
        <f>Elect!AT36</f>
        <v>0</v>
      </c>
      <c r="U32" s="838">
        <f>Elect!AV36</f>
        <v>0</v>
      </c>
      <c r="V32" s="838">
        <f>Elect!AX36</f>
        <v>0</v>
      </c>
      <c r="W32" s="838">
        <f>Elect!AZ36</f>
        <v>0</v>
      </c>
      <c r="X32" s="838">
        <f>Elect!BB36</f>
        <v>0</v>
      </c>
      <c r="Y32" s="838">
        <f>Elect!BD36</f>
        <v>0</v>
      </c>
      <c r="Z32" s="838">
        <f>Elect!BF36</f>
        <v>0</v>
      </c>
      <c r="AA32" s="838">
        <f>Elect!BH36</f>
        <v>0</v>
      </c>
      <c r="AB32" s="838">
        <f>Elect!BJ36</f>
        <v>0</v>
      </c>
      <c r="AC32" s="838">
        <f>Elect!BL36</f>
        <v>0</v>
      </c>
      <c r="AD32" s="838">
        <f>Elect!BP36</f>
        <v>0</v>
      </c>
      <c r="AE32" s="838">
        <f>Elect!BR36</f>
        <v>0</v>
      </c>
      <c r="AF32" s="838">
        <f>Elect!BT36</f>
        <v>0</v>
      </c>
      <c r="AG32" s="838">
        <f>Elect!BV36</f>
        <v>0</v>
      </c>
      <c r="AH32" s="895"/>
      <c r="AI32" s="838">
        <f>Water!C37</f>
        <v>0</v>
      </c>
      <c r="AJ32" s="838">
        <f>Water!E37</f>
        <v>0</v>
      </c>
      <c r="AK32" s="838">
        <f>Water!G37</f>
        <v>0</v>
      </c>
      <c r="AL32" s="895"/>
      <c r="AM32" s="838">
        <f>Gas!C37</f>
        <v>0</v>
      </c>
      <c r="AN32" s="838">
        <f>Gas!E37</f>
        <v>0</v>
      </c>
      <c r="AO32" s="838">
        <f>Gas!G37</f>
        <v>0</v>
      </c>
      <c r="AP32" s="827">
        <f>Elect!DC36</f>
        <v>0</v>
      </c>
    </row>
    <row r="33" spans="39:41">
      <c r="AM33" s="817"/>
      <c r="AN33" s="817"/>
      <c r="AO33" s="817"/>
    </row>
  </sheetData>
  <sheetProtection algorithmName="SHA-512" hashValue="nNXKKLwvHYeXcV03o7BVSJuBxD9ATr3paC5ZVss+a27TWnX0+SI/B2xCrZhiCmfPbVbxpQoMhER0/9z3DzL93A==" saltValue="uHZnhai8ymdJPji0d4SY6g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Z167"/>
  <sheetViews>
    <sheetView zoomScale="60" zoomScaleNormal="60" zoomScaleSheetLayoutView="70" workbookViewId="0">
      <pane xSplit="8" ySplit="4" topLeftCell="I21" activePane="bottomRight" state="frozen"/>
      <selection pane="topRight" activeCell="I1" sqref="I1"/>
      <selection pane="bottomLeft" activeCell="A5" sqref="A5"/>
      <selection pane="bottomRight" activeCell="P22" sqref="P22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5" customWidth="1"/>
    <col min="11" max="11" width="15.85546875" style="585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" style="869" customWidth="1"/>
    <col min="35" max="35" width="13" style="869" customWidth="1"/>
    <col min="36" max="36" width="21" style="869" customWidth="1"/>
    <col min="37" max="37" width="13" style="869" customWidth="1"/>
    <col min="38" max="38" width="21.5703125" style="28" customWidth="1"/>
    <col min="39" max="39" width="13" style="28" customWidth="1"/>
    <col min="40" max="40" width="21" style="28" customWidth="1"/>
    <col min="41" max="41" width="13" style="28" customWidth="1"/>
    <col min="42" max="42" width="21" style="869" customWidth="1"/>
    <col min="43" max="43" width="13" style="869" customWidth="1"/>
    <col min="44" max="44" width="22.140625" style="28" customWidth="1"/>
    <col min="45" max="45" width="21" style="28" customWidth="1"/>
    <col min="46" max="46" width="14.1406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1" style="28" customWidth="1"/>
    <col min="52" max="52" width="12.5703125" style="28" customWidth="1"/>
    <col min="53" max="53" width="21" style="28" customWidth="1"/>
    <col min="54" max="54" width="12.5703125" style="28" customWidth="1"/>
    <col min="55" max="55" width="24.42578125" style="28" customWidth="1"/>
    <col min="56" max="56" width="13" style="28" customWidth="1"/>
    <col min="57" max="57" width="21" style="28" customWidth="1"/>
    <col min="58" max="58" width="13" style="28" customWidth="1"/>
    <col min="59" max="59" width="21" style="869" customWidth="1"/>
    <col min="60" max="60" width="13" style="869" customWidth="1"/>
    <col min="61" max="61" width="21" style="869" customWidth="1"/>
    <col min="62" max="62" width="13" style="869" customWidth="1"/>
    <col min="63" max="63" width="21" style="28" customWidth="1"/>
    <col min="64" max="64" width="16" style="28" customWidth="1"/>
    <col min="65" max="65" width="23.85546875" style="28" customWidth="1"/>
    <col min="66" max="66" width="23.85546875" style="869" customWidth="1"/>
    <col min="67" max="67" width="21" style="28" customWidth="1"/>
    <col min="68" max="68" width="15.28515625" style="28" bestFit="1" customWidth="1"/>
    <col min="69" max="69" width="21" style="28" customWidth="1"/>
    <col min="70" max="70" width="13" style="28" customWidth="1"/>
    <col min="71" max="71" width="25.5703125" style="28" customWidth="1"/>
    <col min="72" max="72" width="13" style="28" customWidth="1"/>
    <col min="73" max="73" width="17.85546875" style="28" bestFit="1" customWidth="1"/>
    <col min="74" max="74" width="13" style="28" customWidth="1"/>
    <col min="75" max="75" width="21.28515625" style="28" bestFit="1" customWidth="1"/>
    <col min="76" max="76" width="12.28515625" style="28" customWidth="1"/>
    <col min="77" max="77" width="12.42578125" style="31" customWidth="1"/>
    <col min="78" max="78" width="11" style="28" customWidth="1"/>
    <col min="79" max="79" width="12.5703125" style="31" customWidth="1"/>
    <col min="80" max="80" width="15.140625" style="578" customWidth="1"/>
    <col min="81" max="81" width="14.42578125" style="28" customWidth="1"/>
    <col min="82" max="82" width="12.7109375" style="28" customWidth="1"/>
    <col min="83" max="83" width="9.28515625" style="28" bestFit="1" customWidth="1"/>
    <col min="84" max="84" width="26.28515625" style="27" customWidth="1"/>
    <col min="85" max="85" width="13" style="27" customWidth="1"/>
    <col min="86" max="97" width="10.7109375" style="27" customWidth="1"/>
    <col min="98" max="128" width="10.7109375" style="28" customWidth="1"/>
    <col min="129" max="129" width="3" style="28" bestFit="1" customWidth="1"/>
    <col min="130" max="16384" width="10.7109375" style="28"/>
  </cols>
  <sheetData>
    <row r="1" spans="1:97" ht="30.75" customHeight="1" thickBot="1">
      <c r="A1" s="907" t="s">
        <v>51</v>
      </c>
      <c r="B1" s="411"/>
      <c r="C1" s="411"/>
      <c r="D1" s="411"/>
      <c r="E1" s="411"/>
      <c r="F1" s="411"/>
      <c r="G1" s="411"/>
      <c r="H1" s="411"/>
      <c r="I1" s="411"/>
      <c r="J1" s="584"/>
      <c r="K1" s="584"/>
      <c r="L1" s="875"/>
      <c r="M1" s="909" t="s">
        <v>14</v>
      </c>
      <c r="N1" s="909"/>
      <c r="O1" s="909"/>
      <c r="P1" s="875"/>
      <c r="Q1" s="909"/>
      <c r="R1" s="909"/>
      <c r="S1" s="909"/>
      <c r="T1" s="875"/>
      <c r="U1" s="576"/>
      <c r="V1" s="576"/>
      <c r="W1" s="576"/>
      <c r="X1" s="576"/>
      <c r="Y1" s="576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  <c r="AO1" s="878"/>
      <c r="AP1" s="878"/>
      <c r="AQ1" s="878"/>
      <c r="AR1" s="878"/>
      <c r="AS1" s="878"/>
      <c r="AT1" s="878"/>
      <c r="AU1" s="878"/>
      <c r="AV1" s="878"/>
      <c r="AW1" s="878"/>
      <c r="AX1" s="878"/>
      <c r="AY1" s="878"/>
      <c r="AZ1" s="878"/>
      <c r="BA1" s="878"/>
      <c r="BB1" s="878"/>
      <c r="BC1" s="878"/>
      <c r="BD1" s="878"/>
      <c r="BE1" s="878"/>
      <c r="BF1" s="878"/>
      <c r="BG1" s="878"/>
      <c r="BH1" s="878"/>
      <c r="BI1" s="878"/>
      <c r="BJ1" s="878"/>
      <c r="BK1" s="878"/>
      <c r="BL1" s="878"/>
      <c r="BM1" s="878"/>
      <c r="BN1" s="889"/>
      <c r="BO1" s="576"/>
      <c r="BP1" s="576"/>
      <c r="BQ1" s="878"/>
      <c r="BR1" s="878"/>
      <c r="BS1" s="570"/>
      <c r="BT1" s="575"/>
      <c r="BU1" s="571"/>
      <c r="BV1" s="572"/>
      <c r="BW1" s="618" t="s">
        <v>52</v>
      </c>
      <c r="BX1" s="619">
        <v>5.9999999999999995E-4</v>
      </c>
      <c r="BY1" s="896" t="s">
        <v>53</v>
      </c>
      <c r="BZ1" s="897"/>
      <c r="CA1" s="621">
        <v>500</v>
      </c>
      <c r="CB1" s="898" t="s">
        <v>54</v>
      </c>
      <c r="CC1" s="899"/>
      <c r="CD1" s="621">
        <v>1.1499999999999999</v>
      </c>
      <c r="CE1" s="875"/>
    </row>
    <row r="2" spans="1:97" ht="28.5" customHeight="1" thickBot="1">
      <c r="A2" s="908"/>
      <c r="B2" s="117"/>
      <c r="C2" s="30"/>
      <c r="D2" s="30"/>
      <c r="E2" s="192"/>
      <c r="F2" s="192"/>
      <c r="G2" s="875"/>
      <c r="H2" s="875"/>
      <c r="I2" s="193"/>
      <c r="L2" s="875"/>
      <c r="M2" s="910"/>
      <c r="N2" s="910"/>
      <c r="O2" s="910"/>
      <c r="P2" s="875"/>
      <c r="Q2" s="910"/>
      <c r="R2" s="910"/>
      <c r="S2" s="910"/>
      <c r="T2" s="875"/>
      <c r="U2" s="577"/>
      <c r="V2" s="577"/>
      <c r="W2" s="577"/>
      <c r="X2" s="577"/>
      <c r="Y2" s="577"/>
      <c r="Z2" s="879"/>
      <c r="AA2" s="879"/>
      <c r="AB2" s="879"/>
      <c r="AC2" s="879"/>
      <c r="AD2" s="879"/>
      <c r="AE2" s="879"/>
      <c r="AF2" s="879"/>
      <c r="AG2" s="879"/>
      <c r="AH2" s="879"/>
      <c r="AI2" s="879"/>
      <c r="AJ2" s="879"/>
      <c r="AK2" s="879"/>
      <c r="AL2" s="879"/>
      <c r="AM2" s="879"/>
      <c r="AN2" s="879"/>
      <c r="AO2" s="879"/>
      <c r="AP2" s="879"/>
      <c r="AQ2" s="879"/>
      <c r="AR2" s="879"/>
      <c r="AS2" s="879"/>
      <c r="AT2" s="879"/>
      <c r="AU2" s="879"/>
      <c r="AV2" s="879"/>
      <c r="AW2" s="879"/>
      <c r="AX2" s="879"/>
      <c r="AY2" s="879"/>
      <c r="AZ2" s="879"/>
      <c r="BA2" s="879"/>
      <c r="BB2" s="879"/>
      <c r="BC2" s="879"/>
      <c r="BD2" s="879"/>
      <c r="BE2" s="879"/>
      <c r="BF2" s="879"/>
      <c r="BG2" s="879"/>
      <c r="BH2" s="879"/>
      <c r="BI2" s="879"/>
      <c r="BJ2" s="879"/>
      <c r="BK2" s="879"/>
      <c r="BL2" s="879"/>
      <c r="BM2" s="879"/>
      <c r="BN2" s="873"/>
      <c r="BO2" s="577"/>
      <c r="BP2" s="577"/>
      <c r="BQ2" s="879"/>
      <c r="BR2" s="879"/>
      <c r="BS2" s="569"/>
      <c r="BT2" s="567"/>
      <c r="BU2" s="573"/>
      <c r="BV2" s="574"/>
      <c r="BW2" s="623" t="s">
        <v>55</v>
      </c>
      <c r="BX2" s="624">
        <v>0.03</v>
      </c>
      <c r="BY2" s="896" t="s">
        <v>56</v>
      </c>
      <c r="BZ2" s="897"/>
      <c r="CA2" s="625"/>
      <c r="CB2" s="898" t="s">
        <v>57</v>
      </c>
      <c r="CC2" s="899"/>
      <c r="CD2" s="621">
        <v>30</v>
      </c>
      <c r="CE2" s="875"/>
    </row>
    <row r="3" spans="1:97" s="585" customFormat="1" ht="37.5" customHeight="1">
      <c r="A3" s="903" t="s">
        <v>58</v>
      </c>
      <c r="B3" s="905" t="s">
        <v>59</v>
      </c>
      <c r="C3" s="906"/>
      <c r="D3" s="900" t="s">
        <v>60</v>
      </c>
      <c r="E3" s="900"/>
      <c r="F3" s="900" t="s">
        <v>61</v>
      </c>
      <c r="G3" s="900"/>
      <c r="H3" s="911" t="s">
        <v>62</v>
      </c>
      <c r="I3" s="626" t="s">
        <v>63</v>
      </c>
      <c r="J3" s="586"/>
      <c r="K3" s="876"/>
      <c r="L3" s="900"/>
      <c r="M3" s="900"/>
      <c r="N3" s="900"/>
      <c r="O3" s="900"/>
      <c r="P3" s="900"/>
      <c r="Q3" s="900"/>
      <c r="R3" s="915" t="s">
        <v>64</v>
      </c>
      <c r="S3" s="916"/>
      <c r="T3" s="916"/>
      <c r="U3" s="916"/>
      <c r="V3" s="916"/>
      <c r="W3" s="916"/>
      <c r="X3" s="916"/>
      <c r="Y3" s="917"/>
      <c r="Z3" s="918" t="s">
        <v>65</v>
      </c>
      <c r="AA3" s="919"/>
      <c r="AB3" s="919"/>
      <c r="AC3" s="919"/>
      <c r="AD3" s="919"/>
      <c r="AE3" s="919"/>
      <c r="AF3" s="919"/>
      <c r="AG3" s="919"/>
      <c r="AH3" s="919"/>
      <c r="AI3" s="919"/>
      <c r="AJ3" s="919"/>
      <c r="AK3" s="919"/>
      <c r="AL3" s="919"/>
      <c r="AM3" s="919"/>
      <c r="AN3" s="919"/>
      <c r="AO3" s="919"/>
      <c r="AP3" s="919"/>
      <c r="AQ3" s="919"/>
      <c r="AR3" s="920"/>
      <c r="AS3" s="915" t="s">
        <v>66</v>
      </c>
      <c r="AT3" s="916"/>
      <c r="AU3" s="916"/>
      <c r="AV3" s="916"/>
      <c r="AW3" s="916"/>
      <c r="AX3" s="916"/>
      <c r="AY3" s="916"/>
      <c r="AZ3" s="916"/>
      <c r="BA3" s="916"/>
      <c r="BB3" s="916"/>
      <c r="BC3" s="916"/>
      <c r="BD3" s="916"/>
      <c r="BE3" s="916"/>
      <c r="BF3" s="916"/>
      <c r="BG3" s="916"/>
      <c r="BH3" s="916"/>
      <c r="BI3" s="916"/>
      <c r="BJ3" s="916"/>
      <c r="BK3" s="916"/>
      <c r="BL3" s="916"/>
      <c r="BM3" s="916"/>
      <c r="BN3" s="917"/>
      <c r="BO3" s="921" t="s">
        <v>67</v>
      </c>
      <c r="BP3" s="922"/>
      <c r="BQ3" s="922"/>
      <c r="BR3" s="922"/>
      <c r="BS3" s="922"/>
      <c r="BT3" s="922"/>
      <c r="BU3" s="922"/>
      <c r="BV3" s="923"/>
      <c r="BW3" s="913" t="s">
        <v>68</v>
      </c>
      <c r="BX3" s="877" t="s">
        <v>69</v>
      </c>
      <c r="BY3" s="877" t="s">
        <v>70</v>
      </c>
      <c r="BZ3" s="877" t="s">
        <v>69</v>
      </c>
      <c r="CA3" s="877" t="s">
        <v>70</v>
      </c>
      <c r="CB3" s="900" t="s">
        <v>71</v>
      </c>
      <c r="CC3" s="627" t="s">
        <v>72</v>
      </c>
      <c r="CD3" s="628" t="s">
        <v>72</v>
      </c>
      <c r="CF3" s="590"/>
      <c r="CG3" s="590"/>
      <c r="CH3" s="590"/>
      <c r="CI3" s="590"/>
      <c r="CJ3" s="590"/>
      <c r="CK3" s="590"/>
      <c r="CL3" s="590"/>
      <c r="CM3" s="590"/>
      <c r="CN3" s="590"/>
      <c r="CO3" s="590"/>
      <c r="CP3" s="590"/>
      <c r="CQ3" s="590"/>
      <c r="CR3" s="590"/>
      <c r="CS3" s="590"/>
    </row>
    <row r="4" spans="1:97" s="585" customFormat="1" ht="55.5" customHeight="1" thickBot="1">
      <c r="A4" s="904"/>
      <c r="B4" s="629" t="s">
        <v>73</v>
      </c>
      <c r="C4" s="630" t="s">
        <v>74</v>
      </c>
      <c r="D4" s="587" t="s">
        <v>73</v>
      </c>
      <c r="E4" s="630" t="s">
        <v>75</v>
      </c>
      <c r="F4" s="587" t="s">
        <v>76</v>
      </c>
      <c r="G4" s="630" t="s">
        <v>77</v>
      </c>
      <c r="H4" s="912"/>
      <c r="I4" s="631" t="s">
        <v>78</v>
      </c>
      <c r="J4" s="587" t="s">
        <v>79</v>
      </c>
      <c r="K4" s="587" t="s">
        <v>80</v>
      </c>
      <c r="L4" s="874" t="s">
        <v>81</v>
      </c>
      <c r="M4" s="587" t="s">
        <v>79</v>
      </c>
      <c r="N4" s="587" t="s">
        <v>82</v>
      </c>
      <c r="O4" s="587" t="s">
        <v>79</v>
      </c>
      <c r="P4" s="632" t="s">
        <v>83</v>
      </c>
      <c r="Q4" s="874" t="s">
        <v>84</v>
      </c>
      <c r="R4" s="587" t="s">
        <v>85</v>
      </c>
      <c r="S4" s="587" t="s">
        <v>79</v>
      </c>
      <c r="T4" s="762" t="s">
        <v>86</v>
      </c>
      <c r="U4" s="587" t="s">
        <v>79</v>
      </c>
      <c r="V4" s="762" t="s">
        <v>87</v>
      </c>
      <c r="W4" s="587" t="s">
        <v>79</v>
      </c>
      <c r="X4" s="762" t="s">
        <v>88</v>
      </c>
      <c r="Y4" s="587" t="s">
        <v>79</v>
      </c>
      <c r="Z4" s="602" t="s">
        <v>89</v>
      </c>
      <c r="AA4" s="874" t="s">
        <v>90</v>
      </c>
      <c r="AB4" s="602" t="s">
        <v>91</v>
      </c>
      <c r="AC4" s="874" t="s">
        <v>90</v>
      </c>
      <c r="AD4" s="793" t="s">
        <v>92</v>
      </c>
      <c r="AE4" s="874" t="s">
        <v>90</v>
      </c>
      <c r="AF4" s="602" t="s">
        <v>93</v>
      </c>
      <c r="AG4" s="874" t="s">
        <v>90</v>
      </c>
      <c r="AH4" s="602" t="s">
        <v>94</v>
      </c>
      <c r="AI4" s="874" t="s">
        <v>90</v>
      </c>
      <c r="AJ4" s="602" t="s">
        <v>95</v>
      </c>
      <c r="AK4" s="874" t="s">
        <v>90</v>
      </c>
      <c r="AL4" s="602" t="s">
        <v>96</v>
      </c>
      <c r="AM4" s="874" t="s">
        <v>90</v>
      </c>
      <c r="AN4" s="602" t="s">
        <v>97</v>
      </c>
      <c r="AO4" s="874" t="s">
        <v>90</v>
      </c>
      <c r="AP4" s="762" t="s">
        <v>98</v>
      </c>
      <c r="AQ4" s="874" t="s">
        <v>90</v>
      </c>
      <c r="AR4" s="632" t="s">
        <v>99</v>
      </c>
      <c r="AS4" s="874" t="s">
        <v>100</v>
      </c>
      <c r="AT4" s="587" t="s">
        <v>79</v>
      </c>
      <c r="AU4" s="874" t="s">
        <v>101</v>
      </c>
      <c r="AV4" s="587" t="s">
        <v>79</v>
      </c>
      <c r="AW4" s="874" t="s">
        <v>102</v>
      </c>
      <c r="AX4" s="587" t="s">
        <v>79</v>
      </c>
      <c r="AY4" s="874" t="s">
        <v>103</v>
      </c>
      <c r="AZ4" s="587" t="s">
        <v>79</v>
      </c>
      <c r="BA4" s="587" t="s">
        <v>104</v>
      </c>
      <c r="BB4" s="587" t="s">
        <v>79</v>
      </c>
      <c r="BC4" s="874" t="s">
        <v>105</v>
      </c>
      <c r="BD4" s="587" t="s">
        <v>79</v>
      </c>
      <c r="BE4" s="587" t="s">
        <v>106</v>
      </c>
      <c r="BF4" s="587" t="s">
        <v>79</v>
      </c>
      <c r="BG4" s="874" t="s">
        <v>107</v>
      </c>
      <c r="BH4" s="587" t="s">
        <v>79</v>
      </c>
      <c r="BI4" s="587" t="s">
        <v>108</v>
      </c>
      <c r="BJ4" s="587" t="s">
        <v>79</v>
      </c>
      <c r="BK4" s="587" t="s">
        <v>109</v>
      </c>
      <c r="BL4" s="587" t="s">
        <v>79</v>
      </c>
      <c r="BM4" s="632" t="s">
        <v>110</v>
      </c>
      <c r="BN4" s="632" t="s">
        <v>111</v>
      </c>
      <c r="BO4" s="874" t="s">
        <v>112</v>
      </c>
      <c r="BP4" s="587" t="s">
        <v>79</v>
      </c>
      <c r="BQ4" s="587" t="s">
        <v>113</v>
      </c>
      <c r="BR4" s="587" t="s">
        <v>79</v>
      </c>
      <c r="BS4" s="587" t="s">
        <v>114</v>
      </c>
      <c r="BT4" s="587" t="s">
        <v>79</v>
      </c>
      <c r="BU4" s="587" t="s">
        <v>115</v>
      </c>
      <c r="BV4" s="587" t="s">
        <v>79</v>
      </c>
      <c r="BW4" s="914"/>
      <c r="BX4" s="587" t="s">
        <v>116</v>
      </c>
      <c r="BY4" s="587" t="s">
        <v>117</v>
      </c>
      <c r="BZ4" s="587" t="s">
        <v>118</v>
      </c>
      <c r="CA4" s="587" t="s">
        <v>118</v>
      </c>
      <c r="CB4" s="901"/>
      <c r="CC4" s="633" t="s">
        <v>119</v>
      </c>
      <c r="CD4" s="634" t="s">
        <v>120</v>
      </c>
      <c r="CE4" s="590"/>
      <c r="CF4" s="590"/>
      <c r="CG4" s="590"/>
      <c r="CH4" s="590"/>
      <c r="CI4" s="590"/>
      <c r="CJ4" s="590"/>
      <c r="CK4" s="590"/>
      <c r="CL4" s="590"/>
      <c r="CM4" s="590"/>
      <c r="CN4" s="590"/>
      <c r="CO4" s="590"/>
      <c r="CP4" s="590"/>
      <c r="CQ4" s="590"/>
      <c r="CR4" s="590"/>
      <c r="CS4" s="590"/>
    </row>
    <row r="5" spans="1:97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54">
        <v>22053832</v>
      </c>
      <c r="J5" s="853">
        <f>IF(I5&gt;=I4,I5-I4,0)</f>
        <v>0</v>
      </c>
      <c r="K5" s="853">
        <f t="shared" ref="K5:K36" si="0">M5+O5</f>
        <v>0</v>
      </c>
      <c r="L5" s="852">
        <v>2554</v>
      </c>
      <c r="M5" s="853">
        <f t="shared" ref="M5:M36" si="1">IF(L5&gt;=L4,L5-L4,0)</f>
        <v>0</v>
      </c>
      <c r="N5" s="852">
        <v>2947</v>
      </c>
      <c r="O5" s="853">
        <f t="shared" ref="O5:O36" si="2">IF(N5&gt;=N4,N5-N4,0)</f>
        <v>0</v>
      </c>
      <c r="P5" s="854">
        <v>214736</v>
      </c>
      <c r="Q5" s="853">
        <f t="shared" ref="Q5:Q18" si="3">IF(P5&gt;=P4,P5-P4,0)*30</f>
        <v>0</v>
      </c>
      <c r="R5" s="852">
        <v>702925</v>
      </c>
      <c r="S5" s="853">
        <f>IF(R5&gt;=R4,R5-R4,0)</f>
        <v>0</v>
      </c>
      <c r="T5" s="852">
        <v>344001</v>
      </c>
      <c r="U5" s="853">
        <f>IF(T5&gt;=T4,T5-T4,0)</f>
        <v>0</v>
      </c>
      <c r="V5" s="852">
        <v>130984</v>
      </c>
      <c r="W5" s="853">
        <f t="shared" ref="U5:W22" si="4">IF(V5&gt;=V4,V5-V4,0)</f>
        <v>0</v>
      </c>
      <c r="X5" s="852">
        <v>238297</v>
      </c>
      <c r="Y5" s="853">
        <f t="shared" ref="Y5:Y28" si="5">IF(X5&gt;=X4,X5-X4,0)</f>
        <v>0</v>
      </c>
      <c r="Z5" s="852">
        <v>315335</v>
      </c>
      <c r="AA5" s="853">
        <f t="shared" ref="AA5:AA36" si="6">IF(Z5&gt;=Z4,Z5-Z4,0)*0.53</f>
        <v>0</v>
      </c>
      <c r="AB5" s="854">
        <v>382273</v>
      </c>
      <c r="AC5" s="853">
        <f t="shared" ref="AC5:AC36" si="7">IF(AB5&gt;=AB4,AB5-AB4,0)*0.53</f>
        <v>0</v>
      </c>
      <c r="AD5" s="852">
        <v>562354</v>
      </c>
      <c r="AE5" s="853">
        <f t="shared" ref="AE5:AE36" si="8">IF(AD5&gt;=AD4,AD5-AD4,0)*0.53</f>
        <v>0</v>
      </c>
      <c r="AF5" s="852">
        <v>307674</v>
      </c>
      <c r="AG5" s="853">
        <f>IF(AF5&gt;=AF4,AF5-AF4,0)*0.53</f>
        <v>0</v>
      </c>
      <c r="AH5" s="852">
        <v>329500.27380952402</v>
      </c>
      <c r="AI5" s="853">
        <f>IF(AH5&gt;=AH4,AH5-AH4,0)*0.53</f>
        <v>0</v>
      </c>
      <c r="AJ5" s="852">
        <v>707620.72619047598</v>
      </c>
      <c r="AK5" s="853">
        <f>IF(AJ5&gt;=AJ4,AJ5-AJ4,0)*0.53</f>
        <v>0</v>
      </c>
      <c r="AL5" s="852">
        <v>533781</v>
      </c>
      <c r="AM5" s="853">
        <f t="shared" ref="AM5:AM36" si="9">IF(AL5&gt;=AL4,AL5-AL4,0)*0.53</f>
        <v>0</v>
      </c>
      <c r="AN5" s="852">
        <v>713719</v>
      </c>
      <c r="AO5" s="853">
        <f t="shared" ref="AO5:AO12" si="10">IF(AN5&gt;=AN4,AN5-AN4,0)*0.53</f>
        <v>0</v>
      </c>
      <c r="AP5" s="852">
        <v>380115.78571428597</v>
      </c>
      <c r="AQ5" s="853">
        <f t="shared" ref="AQ5:AQ36" si="11">IF(AP5&gt;=AP4,AP5-AP4,0)*0.53</f>
        <v>0</v>
      </c>
      <c r="AR5" s="853">
        <f>AA5+AC5+AE5+AG5+AI5+AK5+AM5+AO5+AQ5</f>
        <v>0</v>
      </c>
      <c r="AS5" s="786">
        <v>7214129</v>
      </c>
      <c r="AT5" s="853">
        <f>IF(AS5&gt;=AS4,AS5-AS4,0)*0.1125</f>
        <v>0</v>
      </c>
      <c r="AU5" s="852">
        <v>574281</v>
      </c>
      <c r="AV5" s="853">
        <f t="shared" ref="AV5:AV36" si="12">IF(AU5&gt;=AU4,AU5-AU4,0)</f>
        <v>0</v>
      </c>
      <c r="AW5" s="852">
        <v>913468</v>
      </c>
      <c r="AX5" s="853">
        <f>IF(AW5&gt;=AW4,AW5-AW4,0)</f>
        <v>0</v>
      </c>
      <c r="AY5" s="852">
        <v>794724</v>
      </c>
      <c r="AZ5" s="853">
        <f t="shared" ref="AZ5:AZ36" si="13">IF(AY5&gt;=AY4,AY5-AY4,0)</f>
        <v>0</v>
      </c>
      <c r="BA5" s="852">
        <v>2337484</v>
      </c>
      <c r="BB5" s="853">
        <f t="shared" ref="BB5:BB36" si="14">IF(BA5&gt;=BA4,BA5-BA4,0)</f>
        <v>0</v>
      </c>
      <c r="BC5" s="854">
        <v>209470</v>
      </c>
      <c r="BD5" s="853">
        <f t="shared" ref="BD5:BD18" si="15">IF(BC5&gt;=BC4,BC5-BC4,0)</f>
        <v>0</v>
      </c>
      <c r="BE5" s="852">
        <v>17670739</v>
      </c>
      <c r="BF5" s="853">
        <f t="shared" ref="BF5:BJ36" si="16">IF(BE5&gt;=BE4,BE5-BE4,0)</f>
        <v>0</v>
      </c>
      <c r="BG5" s="852">
        <v>498031.71428571403</v>
      </c>
      <c r="BH5" s="853">
        <f t="shared" si="16"/>
        <v>0</v>
      </c>
      <c r="BI5" s="852">
        <v>8805</v>
      </c>
      <c r="BJ5" s="853">
        <f t="shared" si="16"/>
        <v>0</v>
      </c>
      <c r="BK5" s="852">
        <v>21892384.600000001</v>
      </c>
      <c r="BL5" s="853">
        <f>IF(BK5&gt;=BK4,BK5-BK4,0)-(0.45*BR5)-(0.45*BT5)-BV5</f>
        <v>0</v>
      </c>
      <c r="BM5" s="853">
        <f>AT5+AV5+AX5+AZ5+BB5+BD5+BF5+BH5+BJ5+BL5</f>
        <v>0</v>
      </c>
      <c r="BN5" s="853">
        <f>BM5+AR5</f>
        <v>0</v>
      </c>
      <c r="BO5" s="854">
        <v>1369414</v>
      </c>
      <c r="BP5" s="853">
        <f t="shared" ref="BP5:BP36" si="17">IF(BO5&gt;=BO4,BO5-BO4,0)</f>
        <v>0</v>
      </c>
      <c r="BQ5" s="854">
        <v>3491211</v>
      </c>
      <c r="BR5" s="853">
        <f t="shared" ref="BR5:BR36" si="18">IF(BQ5&gt;=BQ4,BQ5-BQ4,0)</f>
        <v>0</v>
      </c>
      <c r="BS5" s="786">
        <v>372745</v>
      </c>
      <c r="BT5" s="853">
        <f t="shared" ref="BT5:BT36" si="19">IF(BS5&gt;=BS4,BS5-BS4,0)</f>
        <v>0</v>
      </c>
      <c r="BU5" s="852">
        <v>452214</v>
      </c>
      <c r="BV5" s="853">
        <f>IF(BU5&gt;=BU4,BU5-BU4,0)</f>
        <v>0</v>
      </c>
      <c r="BW5" s="852"/>
      <c r="BX5" s="790"/>
      <c r="BY5" s="466"/>
      <c r="BZ5" s="788"/>
      <c r="CA5" s="466"/>
      <c r="CB5" s="464"/>
      <c r="CC5" s="466"/>
      <c r="CD5" s="467"/>
      <c r="CF5" s="468"/>
      <c r="CG5" s="468"/>
      <c r="CH5" s="468"/>
      <c r="CI5" s="468"/>
      <c r="CJ5" s="468"/>
      <c r="CK5" s="468"/>
      <c r="CL5" s="468"/>
      <c r="CM5" s="468"/>
      <c r="CN5" s="468"/>
      <c r="CO5" s="468"/>
      <c r="CP5" s="468"/>
      <c r="CQ5" s="468"/>
      <c r="CR5" s="468"/>
      <c r="CS5" s="468"/>
    </row>
    <row r="6" spans="1:97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54">
        <v>22056483</v>
      </c>
      <c r="J6" s="853">
        <f t="shared" ref="J6:J36" si="20">IF(I6&gt;=I5,I6-I5,0)</f>
        <v>2651</v>
      </c>
      <c r="K6" s="853">
        <f t="shared" si="0"/>
        <v>2851</v>
      </c>
      <c r="L6" s="854">
        <v>3246</v>
      </c>
      <c r="M6" s="853">
        <f t="shared" si="1"/>
        <v>692</v>
      </c>
      <c r="N6" s="854">
        <v>5106</v>
      </c>
      <c r="O6" s="853">
        <f>IF(N6&gt;=N5,N6-N5,0)</f>
        <v>2159</v>
      </c>
      <c r="P6" s="854">
        <v>214756</v>
      </c>
      <c r="Q6" s="853">
        <f t="shared" si="3"/>
        <v>600</v>
      </c>
      <c r="R6" s="852">
        <v>702925</v>
      </c>
      <c r="S6" s="853">
        <f>IF(R6&gt;=R5,R6-R5,0)</f>
        <v>0</v>
      </c>
      <c r="T6" s="852">
        <v>344001</v>
      </c>
      <c r="U6" s="853">
        <f>IF(T6&gt;=T5,T6-T5,0)</f>
        <v>0</v>
      </c>
      <c r="V6" s="852">
        <v>131138</v>
      </c>
      <c r="W6" s="853">
        <f t="shared" si="4"/>
        <v>154</v>
      </c>
      <c r="X6" s="852">
        <v>238537</v>
      </c>
      <c r="Y6" s="853">
        <f t="shared" si="5"/>
        <v>240</v>
      </c>
      <c r="Z6" s="852">
        <v>315335</v>
      </c>
      <c r="AA6" s="853">
        <f t="shared" si="6"/>
        <v>0</v>
      </c>
      <c r="AB6" s="852">
        <v>384246</v>
      </c>
      <c r="AC6" s="853">
        <f t="shared" si="7"/>
        <v>1045.69</v>
      </c>
      <c r="AD6" s="852">
        <v>562354</v>
      </c>
      <c r="AE6" s="853">
        <f t="shared" si="8"/>
        <v>0</v>
      </c>
      <c r="AF6" s="852">
        <v>307674</v>
      </c>
      <c r="AG6" s="853">
        <f>IF(AF6&gt;=AF5,AF6-AF5,0)*0.53</f>
        <v>0</v>
      </c>
      <c r="AH6" s="852">
        <v>329523.32142857101</v>
      </c>
      <c r="AI6" s="853">
        <f t="shared" ref="AI6:AI36" si="21">IF(AH6&gt;=AH5,AH6-AH5,0)*0.53</f>
        <v>12.215238094906091</v>
      </c>
      <c r="AJ6" s="852">
        <v>707643.67857142899</v>
      </c>
      <c r="AK6" s="853">
        <f t="shared" ref="AK6:AK36" si="22">IF(AJ6&gt;=AJ5,AJ6-AJ5,0)*0.53</f>
        <v>12.164761905093911</v>
      </c>
      <c r="AL6" s="852">
        <v>533986</v>
      </c>
      <c r="AM6" s="853">
        <f t="shared" si="9"/>
        <v>108.65</v>
      </c>
      <c r="AN6" s="852">
        <v>716605</v>
      </c>
      <c r="AO6" s="853">
        <f t="shared" si="10"/>
        <v>1529.5800000000002</v>
      </c>
      <c r="AP6" s="852">
        <v>380441.85714285698</v>
      </c>
      <c r="AQ6" s="853">
        <f t="shared" si="11"/>
        <v>172.8178571426368</v>
      </c>
      <c r="AR6" s="853">
        <f t="shared" ref="AR6:AR36" si="23">AA6+AC6+AE6+AG6+AI6+AK6+AM6+AO6+AQ6</f>
        <v>2881.1178571426371</v>
      </c>
      <c r="AS6" s="852">
        <v>7214892</v>
      </c>
      <c r="AT6" s="853">
        <f t="shared" ref="AT6:AT36" si="24">IF(AS6&gt;=AS5,AS6-AS5,0)*0.1125</f>
        <v>85.837500000000006</v>
      </c>
      <c r="AU6" s="854">
        <v>574501</v>
      </c>
      <c r="AV6" s="853">
        <f t="shared" si="12"/>
        <v>220</v>
      </c>
      <c r="AW6" s="854">
        <v>913595</v>
      </c>
      <c r="AX6" s="853">
        <f t="shared" ref="AX6:AX36" si="25">IF(AW6&gt;=AW5,AW6-AW5,0)</f>
        <v>127</v>
      </c>
      <c r="AY6" s="854">
        <v>794752</v>
      </c>
      <c r="AZ6" s="853">
        <f t="shared" si="13"/>
        <v>28</v>
      </c>
      <c r="BA6" s="852">
        <v>2337676</v>
      </c>
      <c r="BB6" s="853">
        <f t="shared" si="14"/>
        <v>192</v>
      </c>
      <c r="BC6" s="854">
        <v>209538</v>
      </c>
      <c r="BD6" s="853">
        <f t="shared" si="15"/>
        <v>68</v>
      </c>
      <c r="BE6" s="854">
        <v>17673432</v>
      </c>
      <c r="BF6" s="853">
        <f t="shared" si="16"/>
        <v>2693</v>
      </c>
      <c r="BG6" s="852">
        <v>498139.39285714302</v>
      </c>
      <c r="BH6" s="853">
        <f t="shared" si="16"/>
        <v>107.6785714289872</v>
      </c>
      <c r="BI6" s="852">
        <v>8805</v>
      </c>
      <c r="BJ6" s="853">
        <f t="shared" si="16"/>
        <v>0</v>
      </c>
      <c r="BK6" s="854">
        <v>21898135</v>
      </c>
      <c r="BL6" s="853">
        <f t="shared" ref="BL6:BL36" si="26">IF(BK6&gt;=BK5,BK6-BK5,0)-(0.45*BR6)-(0.45*BT6)-BV6</f>
        <v>5078.1999999985101</v>
      </c>
      <c r="BM6" s="853">
        <f t="shared" ref="BM6:BM36" si="27">AT6+AV6+AX6+AZ6+BB6+BD6+BF6+BH6+BJ6+BL6</f>
        <v>8599.7160714274978</v>
      </c>
      <c r="BN6" s="853">
        <f t="shared" ref="BN6:BN36" si="28">BM6+AR6</f>
        <v>11480.833928570135</v>
      </c>
      <c r="BO6" s="854">
        <v>1369687</v>
      </c>
      <c r="BP6" s="853">
        <f t="shared" si="17"/>
        <v>273</v>
      </c>
      <c r="BQ6" s="854">
        <v>3492157</v>
      </c>
      <c r="BR6" s="853">
        <f t="shared" si="18"/>
        <v>946</v>
      </c>
      <c r="BS6" s="854">
        <v>372855</v>
      </c>
      <c r="BT6" s="853">
        <f t="shared" si="19"/>
        <v>110</v>
      </c>
      <c r="BU6" s="854">
        <v>452411</v>
      </c>
      <c r="BV6" s="853">
        <f>IF(BU6&gt;=BU5,BU6-BU5,0)</f>
        <v>197</v>
      </c>
      <c r="BW6" s="768">
        <f t="shared" ref="BW6:BW36" si="29">J6+Q6+AR6+BM6</f>
        <v>14731.833928570135</v>
      </c>
      <c r="BX6" s="769">
        <v>32</v>
      </c>
      <c r="BY6" s="768" t="e">
        <f t="shared" ref="BY6:BY12" si="30">IF(BW6&gt;0,BW6/BX5,0)</f>
        <v>#DIV/0!</v>
      </c>
      <c r="BZ6" s="769"/>
      <c r="CA6" s="768" t="e">
        <f t="shared" ref="CA6:CA36" si="31">IF(BW6&gt;0,BW6/BZ6,0)</f>
        <v>#DIV/0!</v>
      </c>
      <c r="CB6" s="768">
        <f>BW6*CD1</f>
        <v>16941.609017855655</v>
      </c>
      <c r="CC6" s="768" t="e">
        <f t="shared" ref="CC6:CC15" si="32">IF(CB6&gt;0,CB6/BX5,0)</f>
        <v>#DIV/0!</v>
      </c>
      <c r="CD6" s="770" t="e">
        <f>IF(CB6&gt;0,CB6/BZ6,0)</f>
        <v>#DIV/0!</v>
      </c>
      <c r="CF6" s="468"/>
      <c r="CG6" s="468"/>
      <c r="CH6" s="468"/>
      <c r="CI6" s="468"/>
      <c r="CJ6" s="468"/>
      <c r="CK6" s="468"/>
      <c r="CL6" s="468"/>
      <c r="CM6" s="468"/>
      <c r="CN6" s="468"/>
      <c r="CO6" s="468"/>
      <c r="CP6" s="468"/>
      <c r="CQ6" s="468"/>
      <c r="CR6" s="468"/>
      <c r="CS6" s="468"/>
    </row>
    <row r="7" spans="1:97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54">
        <v>22060931</v>
      </c>
      <c r="J7" s="853">
        <f t="shared" si="20"/>
        <v>4448</v>
      </c>
      <c r="K7" s="853">
        <f t="shared" si="0"/>
        <v>2845</v>
      </c>
      <c r="L7" s="854">
        <v>4406</v>
      </c>
      <c r="M7" s="853">
        <f>IF(L7&gt;=L6,L7-L6,0)</f>
        <v>1160</v>
      </c>
      <c r="N7" s="854">
        <v>6791</v>
      </c>
      <c r="O7" s="853">
        <f>IF(N7&gt;=N6,N7-N6,0)</f>
        <v>1685</v>
      </c>
      <c r="P7" s="854">
        <v>214770</v>
      </c>
      <c r="Q7" s="853">
        <f t="shared" si="3"/>
        <v>420</v>
      </c>
      <c r="R7" s="852">
        <v>702925</v>
      </c>
      <c r="S7" s="853">
        <f t="shared" ref="S7:S11" si="33">IF(R7&gt;=R6,R7-R6,0)</f>
        <v>0</v>
      </c>
      <c r="T7" s="852">
        <v>344001</v>
      </c>
      <c r="U7" s="853">
        <f t="shared" si="4"/>
        <v>0</v>
      </c>
      <c r="V7" s="852">
        <v>131286</v>
      </c>
      <c r="W7" s="853">
        <f t="shared" si="4"/>
        <v>148</v>
      </c>
      <c r="X7" s="852">
        <v>238795</v>
      </c>
      <c r="Y7" s="853">
        <f t="shared" si="5"/>
        <v>258</v>
      </c>
      <c r="Z7" s="852">
        <v>315896</v>
      </c>
      <c r="AA7" s="853">
        <f t="shared" si="6"/>
        <v>297.33000000000004</v>
      </c>
      <c r="AB7" s="852">
        <v>386587</v>
      </c>
      <c r="AC7" s="853">
        <f t="shared" si="7"/>
        <v>1240.73</v>
      </c>
      <c r="AD7" s="852">
        <v>562354</v>
      </c>
      <c r="AE7" s="853">
        <f t="shared" si="8"/>
        <v>0</v>
      </c>
      <c r="AF7" s="852">
        <v>308156</v>
      </c>
      <c r="AG7" s="853">
        <f t="shared" ref="AG7:AG36" si="34">IF(AF7&gt;=AF6,AF7-AF6,0)*0.53</f>
        <v>255.46</v>
      </c>
      <c r="AH7" s="852">
        <v>329546.36904761899</v>
      </c>
      <c r="AI7" s="853">
        <f t="shared" si="21"/>
        <v>12.215238095430541</v>
      </c>
      <c r="AJ7" s="852">
        <v>707666.63095238095</v>
      </c>
      <c r="AK7" s="853">
        <f t="shared" si="22"/>
        <v>12.16476190453861</v>
      </c>
      <c r="AL7" s="854">
        <v>534436</v>
      </c>
      <c r="AM7" s="853">
        <f t="shared" si="9"/>
        <v>238.5</v>
      </c>
      <c r="AN7" s="854">
        <v>717368</v>
      </c>
      <c r="AO7" s="853">
        <f t="shared" si="10"/>
        <v>404.39000000000004</v>
      </c>
      <c r="AP7" s="852">
        <v>380767.92857142899</v>
      </c>
      <c r="AQ7" s="853">
        <f t="shared" si="11"/>
        <v>172.81785714316123</v>
      </c>
      <c r="AR7" s="853">
        <f t="shared" si="23"/>
        <v>2633.6078571431303</v>
      </c>
      <c r="AS7" s="852">
        <v>7215605</v>
      </c>
      <c r="AT7" s="853">
        <f t="shared" si="24"/>
        <v>80.212500000000006</v>
      </c>
      <c r="AU7" s="852">
        <v>574767</v>
      </c>
      <c r="AV7" s="853">
        <f t="shared" si="12"/>
        <v>266</v>
      </c>
      <c r="AW7" s="852">
        <v>913716</v>
      </c>
      <c r="AX7" s="853">
        <f t="shared" si="25"/>
        <v>121</v>
      </c>
      <c r="AY7" s="789">
        <v>794790</v>
      </c>
      <c r="AZ7" s="853">
        <f t="shared" si="13"/>
        <v>38</v>
      </c>
      <c r="BA7" s="854">
        <v>2337876</v>
      </c>
      <c r="BB7" s="853">
        <f t="shared" si="14"/>
        <v>200</v>
      </c>
      <c r="BC7" s="852">
        <v>209603</v>
      </c>
      <c r="BD7" s="853">
        <f t="shared" si="15"/>
        <v>65</v>
      </c>
      <c r="BE7" s="854">
        <v>17676673</v>
      </c>
      <c r="BF7" s="853">
        <f t="shared" si="16"/>
        <v>3241</v>
      </c>
      <c r="BG7" s="852">
        <v>498247.07142857101</v>
      </c>
      <c r="BH7" s="853">
        <f t="shared" si="16"/>
        <v>107.67857142799767</v>
      </c>
      <c r="BI7" s="852">
        <v>8805</v>
      </c>
      <c r="BJ7" s="853">
        <f t="shared" si="16"/>
        <v>0</v>
      </c>
      <c r="BK7" s="854">
        <v>21903346</v>
      </c>
      <c r="BL7" s="853">
        <f t="shared" si="26"/>
        <v>4604.0499999999993</v>
      </c>
      <c r="BM7" s="853">
        <f t="shared" si="27"/>
        <v>8722.9410714279966</v>
      </c>
      <c r="BN7" s="853">
        <f t="shared" si="28"/>
        <v>11356.548928571126</v>
      </c>
      <c r="BO7" s="854">
        <v>1369960</v>
      </c>
      <c r="BP7" s="853">
        <f t="shared" si="17"/>
        <v>273</v>
      </c>
      <c r="BQ7" s="854">
        <v>3492930</v>
      </c>
      <c r="BR7" s="853">
        <f t="shared" si="18"/>
        <v>773</v>
      </c>
      <c r="BS7" s="854">
        <v>372973</v>
      </c>
      <c r="BT7" s="853">
        <f t="shared" si="19"/>
        <v>118</v>
      </c>
      <c r="BU7" s="852">
        <v>452617</v>
      </c>
      <c r="BV7" s="853">
        <f t="shared" ref="BV7:BV36" si="35">IF(BU7&gt;=BU6,BU7-BU6,0)</f>
        <v>206</v>
      </c>
      <c r="BW7" s="768">
        <f t="shared" si="29"/>
        <v>16224.548928571126</v>
      </c>
      <c r="BX7" s="769">
        <v>36</v>
      </c>
      <c r="BY7" s="768">
        <f t="shared" si="30"/>
        <v>507.0171540178477</v>
      </c>
      <c r="BZ7" s="769"/>
      <c r="CA7" s="768" t="e">
        <f t="shared" si="31"/>
        <v>#DIV/0!</v>
      </c>
      <c r="CB7" s="768">
        <f>BW7*CD1</f>
        <v>18658.231267856794</v>
      </c>
      <c r="CC7" s="768">
        <f t="shared" si="32"/>
        <v>583.06972712052482</v>
      </c>
      <c r="CD7" s="770" t="e">
        <f t="shared" ref="CD7:CD36" si="36">IF(CB7&gt;0,CB7/BZ7,0)</f>
        <v>#DIV/0!</v>
      </c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</row>
    <row r="8" spans="1:97" s="412" customFormat="1" ht="33.75" customHeight="1">
      <c r="A8" s="462">
        <v>3</v>
      </c>
      <c r="B8" s="463"/>
      <c r="C8" s="464">
        <f t="shared" ref="C8:C29" si="37">IF(+B8-B7&gt;0,B8-B7,(B8-B7)&gt;0)*800</f>
        <v>0</v>
      </c>
      <c r="D8" s="464"/>
      <c r="E8" s="464">
        <f t="shared" ref="E8:E29" si="38">IF(+D8-D7&gt;0,D8-D7,(D8-D7)&gt;0)*80</f>
        <v>0</v>
      </c>
      <c r="F8" s="464"/>
      <c r="G8" s="464">
        <f t="shared" ref="G8:G29" si="39">IF(+F8-F7&gt;0,F8-F7,(F8-F7)&gt;0)*10</f>
        <v>0</v>
      </c>
      <c r="H8" s="465">
        <v>57</v>
      </c>
      <c r="I8" s="854">
        <v>22065009</v>
      </c>
      <c r="J8" s="853">
        <f t="shared" si="20"/>
        <v>4078</v>
      </c>
      <c r="K8" s="853">
        <f t="shared" si="0"/>
        <v>2734</v>
      </c>
      <c r="L8" s="854">
        <v>5616</v>
      </c>
      <c r="M8" s="853">
        <f>IF(L8&gt;=L7,L8-L7,0)</f>
        <v>1210</v>
      </c>
      <c r="N8" s="854">
        <v>8315</v>
      </c>
      <c r="O8" s="853">
        <f t="shared" ref="O8:O11" si="40">IF(N8&gt;=N7,N8-N7,0)</f>
        <v>1524</v>
      </c>
      <c r="P8" s="854">
        <v>214783</v>
      </c>
      <c r="Q8" s="853">
        <f t="shared" si="3"/>
        <v>390</v>
      </c>
      <c r="R8" s="852">
        <v>702925</v>
      </c>
      <c r="S8" s="853">
        <f t="shared" si="33"/>
        <v>0</v>
      </c>
      <c r="T8" s="852">
        <v>344001</v>
      </c>
      <c r="U8" s="853">
        <f t="shared" si="4"/>
        <v>0</v>
      </c>
      <c r="V8" s="852">
        <v>131428</v>
      </c>
      <c r="W8" s="853">
        <f t="shared" si="4"/>
        <v>142</v>
      </c>
      <c r="X8" s="852">
        <v>239043</v>
      </c>
      <c r="Y8" s="853">
        <f t="shared" si="5"/>
        <v>248</v>
      </c>
      <c r="Z8" s="852">
        <v>316052</v>
      </c>
      <c r="AA8" s="853">
        <f t="shared" si="6"/>
        <v>82.68</v>
      </c>
      <c r="AB8" s="854">
        <v>387774</v>
      </c>
      <c r="AC8" s="853">
        <f t="shared" si="7"/>
        <v>629.11</v>
      </c>
      <c r="AD8" s="854">
        <v>562423</v>
      </c>
      <c r="AE8" s="853">
        <f t="shared" si="8"/>
        <v>36.57</v>
      </c>
      <c r="AF8" s="852">
        <v>309097</v>
      </c>
      <c r="AG8" s="853">
        <f t="shared" si="34"/>
        <v>498.73</v>
      </c>
      <c r="AH8" s="852">
        <v>329569.41666666698</v>
      </c>
      <c r="AI8" s="853">
        <f t="shared" si="21"/>
        <v>12.215238095430541</v>
      </c>
      <c r="AJ8" s="852">
        <v>707689.58333333302</v>
      </c>
      <c r="AK8" s="853">
        <f t="shared" si="22"/>
        <v>12.16476190460031</v>
      </c>
      <c r="AL8" s="852">
        <v>534893</v>
      </c>
      <c r="AM8" s="853">
        <f t="shared" si="9"/>
        <v>242.21</v>
      </c>
      <c r="AN8" s="852">
        <v>724020</v>
      </c>
      <c r="AO8" s="853">
        <f t="shared" si="10"/>
        <v>3525.5600000000004</v>
      </c>
      <c r="AP8" s="852">
        <v>381094</v>
      </c>
      <c r="AQ8" s="853">
        <f t="shared" si="11"/>
        <v>172.8178571426368</v>
      </c>
      <c r="AR8" s="853">
        <f t="shared" si="23"/>
        <v>5212.0578571426686</v>
      </c>
      <c r="AS8" s="852">
        <v>7216363</v>
      </c>
      <c r="AT8" s="853">
        <f t="shared" si="24"/>
        <v>85.275000000000006</v>
      </c>
      <c r="AU8" s="854">
        <v>575033</v>
      </c>
      <c r="AV8" s="853">
        <f t="shared" si="12"/>
        <v>266</v>
      </c>
      <c r="AW8" s="854">
        <v>913825</v>
      </c>
      <c r="AX8" s="853">
        <f t="shared" si="25"/>
        <v>109</v>
      </c>
      <c r="AY8" s="789">
        <v>794829</v>
      </c>
      <c r="AZ8" s="853">
        <f>IF(AY8&gt;=AY7,AY8-AY7,0)</f>
        <v>39</v>
      </c>
      <c r="BA8" s="854">
        <v>2338274</v>
      </c>
      <c r="BB8" s="853">
        <f t="shared" si="14"/>
        <v>398</v>
      </c>
      <c r="BC8" s="854">
        <v>209665</v>
      </c>
      <c r="BD8" s="853">
        <f t="shared" si="15"/>
        <v>62</v>
      </c>
      <c r="BE8" s="852">
        <v>17680106</v>
      </c>
      <c r="BF8" s="853">
        <f t="shared" si="16"/>
        <v>3433</v>
      </c>
      <c r="BG8" s="852">
        <v>498354.75</v>
      </c>
      <c r="BH8" s="853">
        <f t="shared" si="16"/>
        <v>107.6785714289872</v>
      </c>
      <c r="BI8" s="852">
        <v>8805</v>
      </c>
      <c r="BJ8" s="853">
        <f t="shared" si="16"/>
        <v>0</v>
      </c>
      <c r="BK8" s="854">
        <v>21908470</v>
      </c>
      <c r="BL8" s="853">
        <f t="shared" si="26"/>
        <v>4510.75</v>
      </c>
      <c r="BM8" s="853">
        <f t="shared" si="27"/>
        <v>9010.7035714289868</v>
      </c>
      <c r="BN8" s="853">
        <f t="shared" si="28"/>
        <v>14222.761428571655</v>
      </c>
      <c r="BO8" s="854">
        <v>1370233</v>
      </c>
      <c r="BP8" s="853">
        <f t="shared" si="17"/>
        <v>273</v>
      </c>
      <c r="BQ8" s="852">
        <v>3493739</v>
      </c>
      <c r="BR8" s="853">
        <f t="shared" si="18"/>
        <v>809</v>
      </c>
      <c r="BS8" s="852">
        <v>373089</v>
      </c>
      <c r="BT8" s="853">
        <f t="shared" si="19"/>
        <v>116</v>
      </c>
      <c r="BU8" s="852">
        <v>452814</v>
      </c>
      <c r="BV8" s="853">
        <f t="shared" si="35"/>
        <v>197</v>
      </c>
      <c r="BW8" s="768">
        <f t="shared" si="29"/>
        <v>18690.761428571655</v>
      </c>
      <c r="BX8" s="769">
        <v>43</v>
      </c>
      <c r="BY8" s="768">
        <f t="shared" si="30"/>
        <v>519.1878174603238</v>
      </c>
      <c r="BZ8" s="769"/>
      <c r="CA8" s="768" t="e">
        <f t="shared" si="31"/>
        <v>#DIV/0!</v>
      </c>
      <c r="CB8" s="768">
        <f>BW8*CD1</f>
        <v>21494.375642857402</v>
      </c>
      <c r="CC8" s="768">
        <f t="shared" si="32"/>
        <v>597.06599007937223</v>
      </c>
      <c r="CD8" s="770" t="e">
        <f t="shared" si="36"/>
        <v>#DIV/0!</v>
      </c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</row>
    <row r="9" spans="1:97" s="412" customFormat="1" ht="33.75" customHeight="1">
      <c r="A9" s="462">
        <v>4</v>
      </c>
      <c r="B9" s="463"/>
      <c r="C9" s="464">
        <f t="shared" si="37"/>
        <v>0</v>
      </c>
      <c r="D9" s="464"/>
      <c r="E9" s="464">
        <f t="shared" si="38"/>
        <v>0</v>
      </c>
      <c r="F9" s="464"/>
      <c r="G9" s="464">
        <f t="shared" si="39"/>
        <v>0</v>
      </c>
      <c r="H9" s="465"/>
      <c r="I9" s="854">
        <v>22069617</v>
      </c>
      <c r="J9" s="853">
        <f>IF(I9&gt;=I8,I9-I8,0)</f>
        <v>4608</v>
      </c>
      <c r="K9" s="853">
        <f t="shared" si="0"/>
        <v>2854</v>
      </c>
      <c r="L9" s="854">
        <v>6960</v>
      </c>
      <c r="M9" s="853">
        <f>IF(L9&gt;=L8,L9-L8,0)</f>
        <v>1344</v>
      </c>
      <c r="N9" s="854">
        <v>9825</v>
      </c>
      <c r="O9" s="853">
        <f t="shared" si="40"/>
        <v>1510</v>
      </c>
      <c r="P9" s="854">
        <v>214801</v>
      </c>
      <c r="Q9" s="853">
        <f t="shared" si="3"/>
        <v>540</v>
      </c>
      <c r="R9" s="852">
        <v>702925</v>
      </c>
      <c r="S9" s="853">
        <f t="shared" si="33"/>
        <v>0</v>
      </c>
      <c r="T9" s="852">
        <v>344001</v>
      </c>
      <c r="U9" s="853">
        <f t="shared" si="4"/>
        <v>0</v>
      </c>
      <c r="V9" s="852">
        <v>131572</v>
      </c>
      <c r="W9" s="853">
        <f t="shared" si="4"/>
        <v>144</v>
      </c>
      <c r="X9" s="852">
        <v>239289</v>
      </c>
      <c r="Y9" s="853">
        <f t="shared" si="5"/>
        <v>246</v>
      </c>
      <c r="Z9" s="852">
        <v>316576</v>
      </c>
      <c r="AA9" s="853">
        <f t="shared" si="6"/>
        <v>277.72000000000003</v>
      </c>
      <c r="AB9" s="854">
        <v>387774</v>
      </c>
      <c r="AC9" s="853">
        <f t="shared" si="7"/>
        <v>0</v>
      </c>
      <c r="AD9" s="854">
        <v>566954</v>
      </c>
      <c r="AE9" s="853">
        <f t="shared" si="8"/>
        <v>2401.4300000000003</v>
      </c>
      <c r="AF9" s="852">
        <v>309097</v>
      </c>
      <c r="AG9" s="853">
        <f t="shared" si="34"/>
        <v>0</v>
      </c>
      <c r="AH9" s="852">
        <v>329592.46428571403</v>
      </c>
      <c r="AI9" s="853">
        <f t="shared" si="21"/>
        <v>12.215238094936941</v>
      </c>
      <c r="AJ9" s="852">
        <v>707712.53571428603</v>
      </c>
      <c r="AK9" s="853">
        <f t="shared" si="22"/>
        <v>12.164761905093911</v>
      </c>
      <c r="AL9" s="854">
        <v>535354</v>
      </c>
      <c r="AM9" s="853">
        <f t="shared" si="9"/>
        <v>244.33</v>
      </c>
      <c r="AN9" s="854">
        <v>728340</v>
      </c>
      <c r="AO9" s="853">
        <f t="shared" si="10"/>
        <v>2289.6</v>
      </c>
      <c r="AP9" s="852">
        <v>381420.07142857101</v>
      </c>
      <c r="AQ9" s="853">
        <f t="shared" si="11"/>
        <v>172.8178571426368</v>
      </c>
      <c r="AR9" s="853">
        <f t="shared" si="23"/>
        <v>5410.2778571426688</v>
      </c>
      <c r="AS9" s="852">
        <v>7217144</v>
      </c>
      <c r="AT9" s="853">
        <f t="shared" si="24"/>
        <v>87.862499999999997</v>
      </c>
      <c r="AU9" s="852">
        <v>575320</v>
      </c>
      <c r="AV9" s="853">
        <f t="shared" si="12"/>
        <v>287</v>
      </c>
      <c r="AW9" s="854">
        <v>913939</v>
      </c>
      <c r="AX9" s="853">
        <f t="shared" si="25"/>
        <v>114</v>
      </c>
      <c r="AY9" s="789">
        <v>794870</v>
      </c>
      <c r="AZ9" s="853">
        <f>IF(AY9&gt;=AY8,AY9-AY8,0)</f>
        <v>41</v>
      </c>
      <c r="BA9" s="854">
        <v>2338657</v>
      </c>
      <c r="BB9" s="853">
        <f t="shared" si="14"/>
        <v>383</v>
      </c>
      <c r="BC9" s="852">
        <v>209729</v>
      </c>
      <c r="BD9" s="853">
        <f t="shared" si="15"/>
        <v>64</v>
      </c>
      <c r="BE9" s="854">
        <v>17683580</v>
      </c>
      <c r="BF9" s="853">
        <f t="shared" si="16"/>
        <v>3474</v>
      </c>
      <c r="BG9" s="852">
        <v>498462.42857142899</v>
      </c>
      <c r="BH9" s="853">
        <f t="shared" si="16"/>
        <v>107.6785714289872</v>
      </c>
      <c r="BI9" s="852">
        <v>8805</v>
      </c>
      <c r="BJ9" s="853">
        <f t="shared" si="16"/>
        <v>0</v>
      </c>
      <c r="BK9" s="854">
        <v>21913693</v>
      </c>
      <c r="BL9" s="853">
        <f t="shared" si="26"/>
        <v>4548</v>
      </c>
      <c r="BM9" s="853">
        <f t="shared" si="27"/>
        <v>9106.5410714289865</v>
      </c>
      <c r="BN9" s="853">
        <f t="shared" si="28"/>
        <v>14516.818928571654</v>
      </c>
      <c r="BO9" s="854">
        <v>1370506</v>
      </c>
      <c r="BP9" s="853">
        <f t="shared" si="17"/>
        <v>273</v>
      </c>
      <c r="BQ9" s="854">
        <v>3494674</v>
      </c>
      <c r="BR9" s="853">
        <f t="shared" si="18"/>
        <v>935</v>
      </c>
      <c r="BS9" s="854">
        <v>373214</v>
      </c>
      <c r="BT9" s="853">
        <f t="shared" si="19"/>
        <v>125</v>
      </c>
      <c r="BU9" s="852">
        <v>453012</v>
      </c>
      <c r="BV9" s="853">
        <f t="shared" si="35"/>
        <v>198</v>
      </c>
      <c r="BW9" s="768">
        <f t="shared" si="29"/>
        <v>19664.818928571654</v>
      </c>
      <c r="BX9" s="769">
        <v>66</v>
      </c>
      <c r="BY9" s="768">
        <f t="shared" si="30"/>
        <v>457.32137043189891</v>
      </c>
      <c r="BZ9" s="769"/>
      <c r="CA9" s="768" t="e">
        <f t="shared" si="31"/>
        <v>#DIV/0!</v>
      </c>
      <c r="CB9" s="768">
        <f>BW9*CD1</f>
        <v>22614.541767857401</v>
      </c>
      <c r="CC9" s="768">
        <f t="shared" si="32"/>
        <v>525.91957599668376</v>
      </c>
      <c r="CD9" s="770" t="e">
        <f t="shared" si="36"/>
        <v>#DIV/0!</v>
      </c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</row>
    <row r="10" spans="1:97" s="492" customFormat="1" ht="33.75" customHeight="1">
      <c r="A10" s="462">
        <v>5</v>
      </c>
      <c r="B10" s="490"/>
      <c r="C10" s="852">
        <f t="shared" si="37"/>
        <v>0</v>
      </c>
      <c r="D10" s="852"/>
      <c r="E10" s="852">
        <f t="shared" si="38"/>
        <v>0</v>
      </c>
      <c r="F10" s="852"/>
      <c r="G10" s="852">
        <f t="shared" si="39"/>
        <v>0</v>
      </c>
      <c r="H10" s="491">
        <v>58</v>
      </c>
      <c r="I10" s="854">
        <v>22074246</v>
      </c>
      <c r="J10" s="853">
        <f>IF(I10&gt;=I9,I10-I9,0)</f>
        <v>4629</v>
      </c>
      <c r="K10" s="853">
        <f t="shared" si="0"/>
        <v>2786</v>
      </c>
      <c r="L10" s="854">
        <v>8261</v>
      </c>
      <c r="M10" s="853">
        <f>IF(L10&gt;=L9,L10-L9,0)</f>
        <v>1301</v>
      </c>
      <c r="N10" s="854">
        <v>11310</v>
      </c>
      <c r="O10" s="853">
        <f t="shared" si="40"/>
        <v>1485</v>
      </c>
      <c r="P10" s="854">
        <v>214818</v>
      </c>
      <c r="Q10" s="853">
        <f t="shared" si="3"/>
        <v>510</v>
      </c>
      <c r="R10" s="852">
        <v>702925</v>
      </c>
      <c r="S10" s="853">
        <f t="shared" si="33"/>
        <v>0</v>
      </c>
      <c r="T10" s="852">
        <v>344001</v>
      </c>
      <c r="U10" s="853">
        <f t="shared" si="4"/>
        <v>0</v>
      </c>
      <c r="V10" s="852">
        <v>131717</v>
      </c>
      <c r="W10" s="853">
        <f t="shared" si="4"/>
        <v>145</v>
      </c>
      <c r="X10" s="852">
        <v>239542</v>
      </c>
      <c r="Y10" s="853">
        <f t="shared" si="5"/>
        <v>253</v>
      </c>
      <c r="Z10" s="852">
        <v>316576</v>
      </c>
      <c r="AA10" s="853">
        <f t="shared" si="6"/>
        <v>0</v>
      </c>
      <c r="AB10" s="854">
        <v>387774</v>
      </c>
      <c r="AC10" s="853">
        <f t="shared" si="7"/>
        <v>0</v>
      </c>
      <c r="AD10" s="854">
        <v>570243</v>
      </c>
      <c r="AE10" s="853">
        <f t="shared" si="8"/>
        <v>1743.17</v>
      </c>
      <c r="AF10" s="852">
        <v>309097</v>
      </c>
      <c r="AG10" s="853">
        <f t="shared" si="34"/>
        <v>0</v>
      </c>
      <c r="AH10" s="852">
        <v>329615.51190476201</v>
      </c>
      <c r="AI10" s="853">
        <f t="shared" si="21"/>
        <v>12.215238095430541</v>
      </c>
      <c r="AJ10" s="852">
        <v>707735.48809523799</v>
      </c>
      <c r="AK10" s="853">
        <f t="shared" si="22"/>
        <v>12.16476190453861</v>
      </c>
      <c r="AL10" s="854">
        <v>535636</v>
      </c>
      <c r="AM10" s="853">
        <f t="shared" si="9"/>
        <v>149.46</v>
      </c>
      <c r="AN10" s="854">
        <v>731560</v>
      </c>
      <c r="AO10" s="853">
        <f t="shared" si="10"/>
        <v>1706.6000000000001</v>
      </c>
      <c r="AP10" s="852">
        <v>381746.14285714302</v>
      </c>
      <c r="AQ10" s="853">
        <f t="shared" si="11"/>
        <v>172.81785714316123</v>
      </c>
      <c r="AR10" s="853">
        <f t="shared" si="23"/>
        <v>3796.427857143131</v>
      </c>
      <c r="AS10" s="852">
        <v>7217755</v>
      </c>
      <c r="AT10" s="853">
        <f t="shared" si="24"/>
        <v>68.737499999999997</v>
      </c>
      <c r="AU10" s="852">
        <v>575620</v>
      </c>
      <c r="AV10" s="853">
        <f t="shared" si="12"/>
        <v>300</v>
      </c>
      <c r="AW10" s="852">
        <v>914054</v>
      </c>
      <c r="AX10" s="853">
        <f t="shared" si="25"/>
        <v>115</v>
      </c>
      <c r="AY10" s="789">
        <v>794905</v>
      </c>
      <c r="AZ10" s="853">
        <f>IF(AY10&gt;=AY9,AY10-AY9,0)</f>
        <v>35</v>
      </c>
      <c r="BA10" s="854">
        <v>2339016</v>
      </c>
      <c r="BB10" s="853">
        <f t="shared" si="14"/>
        <v>359</v>
      </c>
      <c r="BC10" s="852">
        <v>209784</v>
      </c>
      <c r="BD10" s="853">
        <f t="shared" si="15"/>
        <v>55</v>
      </c>
      <c r="BE10" s="854">
        <v>17687203</v>
      </c>
      <c r="BF10" s="853">
        <f t="shared" si="16"/>
        <v>3623</v>
      </c>
      <c r="BG10" s="852">
        <v>498570.10714285698</v>
      </c>
      <c r="BH10" s="853">
        <f t="shared" si="16"/>
        <v>107.67857142799767</v>
      </c>
      <c r="BI10" s="852">
        <v>8805</v>
      </c>
      <c r="BJ10" s="853">
        <f t="shared" si="16"/>
        <v>0</v>
      </c>
      <c r="BK10" s="854">
        <v>21919022</v>
      </c>
      <c r="BL10" s="853">
        <f t="shared" si="26"/>
        <v>5068</v>
      </c>
      <c r="BM10" s="853">
        <f t="shared" si="27"/>
        <v>9731.4160714279969</v>
      </c>
      <c r="BN10" s="853">
        <f t="shared" si="28"/>
        <v>13527.843928571128</v>
      </c>
      <c r="BO10" s="854">
        <v>1370779</v>
      </c>
      <c r="BP10" s="853">
        <f t="shared" si="17"/>
        <v>273</v>
      </c>
      <c r="BQ10" s="854">
        <v>3494974</v>
      </c>
      <c r="BR10" s="853">
        <f t="shared" si="18"/>
        <v>300</v>
      </c>
      <c r="BS10" s="854">
        <v>373294</v>
      </c>
      <c r="BT10" s="853">
        <f t="shared" si="19"/>
        <v>80</v>
      </c>
      <c r="BU10" s="852">
        <v>453102</v>
      </c>
      <c r="BV10" s="853">
        <f t="shared" si="35"/>
        <v>90</v>
      </c>
      <c r="BW10" s="768">
        <f t="shared" si="29"/>
        <v>18666.843928571128</v>
      </c>
      <c r="BX10" s="769">
        <v>68</v>
      </c>
      <c r="BY10" s="768">
        <f t="shared" si="30"/>
        <v>282.83096861471404</v>
      </c>
      <c r="BZ10" s="769"/>
      <c r="CA10" s="768" t="e">
        <f t="shared" si="31"/>
        <v>#DIV/0!</v>
      </c>
      <c r="CB10" s="768">
        <f>BW10*CD1</f>
        <v>21466.870517856794</v>
      </c>
      <c r="CC10" s="768">
        <f t="shared" si="32"/>
        <v>325.2556139069211</v>
      </c>
      <c r="CD10" s="770" t="e">
        <f t="shared" si="36"/>
        <v>#DIV/0!</v>
      </c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  <c r="CP10" s="493"/>
      <c r="CQ10" s="493"/>
      <c r="CR10" s="493"/>
      <c r="CS10" s="493"/>
    </row>
    <row r="11" spans="1:97" s="412" customFormat="1" ht="33.75" customHeight="1">
      <c r="A11" s="462">
        <v>6</v>
      </c>
      <c r="B11" s="463"/>
      <c r="C11" s="464">
        <f t="shared" si="37"/>
        <v>0</v>
      </c>
      <c r="D11" s="464"/>
      <c r="E11" s="464">
        <f t="shared" si="38"/>
        <v>0</v>
      </c>
      <c r="F11" s="464"/>
      <c r="G11" s="464">
        <f t="shared" si="39"/>
        <v>0</v>
      </c>
      <c r="H11" s="465"/>
      <c r="I11" s="854">
        <v>22078712</v>
      </c>
      <c r="J11" s="853">
        <f>IF(I11&gt;=I10,I11-I10,0)</f>
        <v>4466</v>
      </c>
      <c r="K11" s="853">
        <f t="shared" si="0"/>
        <v>2826</v>
      </c>
      <c r="L11" s="854">
        <v>9539</v>
      </c>
      <c r="M11" s="853">
        <f>IF(L11&gt;=L10,L11-L10,0)</f>
        <v>1278</v>
      </c>
      <c r="N11" s="854">
        <v>12858</v>
      </c>
      <c r="O11" s="853">
        <f t="shared" si="40"/>
        <v>1548</v>
      </c>
      <c r="P11" s="854">
        <v>214838</v>
      </c>
      <c r="Q11" s="853">
        <f t="shared" si="3"/>
        <v>600</v>
      </c>
      <c r="R11" s="852">
        <v>702925</v>
      </c>
      <c r="S11" s="853">
        <f t="shared" si="33"/>
        <v>0</v>
      </c>
      <c r="T11" s="852">
        <v>344001</v>
      </c>
      <c r="U11" s="853">
        <f t="shared" si="4"/>
        <v>0</v>
      </c>
      <c r="V11" s="852">
        <v>131863</v>
      </c>
      <c r="W11" s="853">
        <f t="shared" si="4"/>
        <v>146</v>
      </c>
      <c r="X11" s="852">
        <v>239788</v>
      </c>
      <c r="Y11" s="853">
        <f t="shared" si="5"/>
        <v>246</v>
      </c>
      <c r="Z11" s="852">
        <v>316576</v>
      </c>
      <c r="AA11" s="853">
        <f t="shared" si="6"/>
        <v>0</v>
      </c>
      <c r="AB11" s="854">
        <v>387774</v>
      </c>
      <c r="AC11" s="853">
        <f t="shared" si="7"/>
        <v>0</v>
      </c>
      <c r="AD11" s="854">
        <v>573530</v>
      </c>
      <c r="AE11" s="853">
        <f t="shared" si="8"/>
        <v>1742.1100000000001</v>
      </c>
      <c r="AF11" s="852">
        <v>309097</v>
      </c>
      <c r="AG11" s="853">
        <f>IF(AF11&gt;=AF10,AF11-AF10,0)*0.53</f>
        <v>0</v>
      </c>
      <c r="AH11" s="852">
        <v>329638.55952380999</v>
      </c>
      <c r="AI11" s="853">
        <f t="shared" si="21"/>
        <v>12.215238095430541</v>
      </c>
      <c r="AJ11" s="852">
        <v>707758.440476191</v>
      </c>
      <c r="AK11" s="853">
        <f t="shared" si="22"/>
        <v>12.164761905093911</v>
      </c>
      <c r="AL11" s="852">
        <v>536186</v>
      </c>
      <c r="AM11" s="853">
        <f t="shared" si="9"/>
        <v>291.5</v>
      </c>
      <c r="AN11" s="854">
        <v>735003</v>
      </c>
      <c r="AO11" s="853">
        <f t="shared" si="10"/>
        <v>1824.7900000000002</v>
      </c>
      <c r="AP11" s="852">
        <v>382072.21428571403</v>
      </c>
      <c r="AQ11" s="853">
        <f t="shared" si="11"/>
        <v>172.8178571426368</v>
      </c>
      <c r="AR11" s="853">
        <f t="shared" si="23"/>
        <v>4055.5978571431615</v>
      </c>
      <c r="AS11" s="852">
        <v>7218528</v>
      </c>
      <c r="AT11" s="853">
        <f t="shared" si="24"/>
        <v>86.962500000000006</v>
      </c>
      <c r="AU11" s="854">
        <v>575905</v>
      </c>
      <c r="AV11" s="853">
        <f t="shared" si="12"/>
        <v>285</v>
      </c>
      <c r="AW11" s="854">
        <v>914179</v>
      </c>
      <c r="AX11" s="853">
        <f t="shared" si="25"/>
        <v>125</v>
      </c>
      <c r="AY11" s="854">
        <v>794934</v>
      </c>
      <c r="AZ11" s="853">
        <f t="shared" si="13"/>
        <v>29</v>
      </c>
      <c r="BA11" s="852">
        <v>2339394</v>
      </c>
      <c r="BB11" s="853">
        <f t="shared" si="14"/>
        <v>378</v>
      </c>
      <c r="BC11" s="854">
        <v>209846</v>
      </c>
      <c r="BD11" s="853">
        <f t="shared" si="15"/>
        <v>62</v>
      </c>
      <c r="BE11" s="854">
        <v>17690651</v>
      </c>
      <c r="BF11" s="853">
        <f t="shared" si="16"/>
        <v>3448</v>
      </c>
      <c r="BG11" s="852">
        <v>498677.78571428597</v>
      </c>
      <c r="BH11" s="853">
        <f t="shared" si="16"/>
        <v>107.6785714289872</v>
      </c>
      <c r="BI11" s="852">
        <v>8805</v>
      </c>
      <c r="BJ11" s="853">
        <f t="shared" si="16"/>
        <v>0</v>
      </c>
      <c r="BK11" s="854">
        <v>21924377</v>
      </c>
      <c r="BL11" s="853">
        <f t="shared" si="26"/>
        <v>4899.6499999999996</v>
      </c>
      <c r="BM11" s="853">
        <f t="shared" si="27"/>
        <v>9421.2910714289865</v>
      </c>
      <c r="BN11" s="853">
        <f t="shared" si="28"/>
        <v>13476.888928572149</v>
      </c>
      <c r="BO11" s="854">
        <v>1371052</v>
      </c>
      <c r="BP11" s="853">
        <f t="shared" si="17"/>
        <v>273</v>
      </c>
      <c r="BQ11" s="854">
        <v>3495702</v>
      </c>
      <c r="BR11" s="853">
        <f t="shared" si="18"/>
        <v>728</v>
      </c>
      <c r="BS11" s="852">
        <v>373329</v>
      </c>
      <c r="BT11" s="853">
        <f t="shared" si="19"/>
        <v>35</v>
      </c>
      <c r="BU11" s="854">
        <v>453214</v>
      </c>
      <c r="BV11" s="853">
        <f t="shared" si="35"/>
        <v>112</v>
      </c>
      <c r="BW11" s="768">
        <f t="shared" si="29"/>
        <v>18542.888928572149</v>
      </c>
      <c r="BX11" s="769">
        <v>75</v>
      </c>
      <c r="BY11" s="768">
        <f t="shared" si="30"/>
        <v>272.68954306723748</v>
      </c>
      <c r="BZ11" s="769"/>
      <c r="CA11" s="768" t="e">
        <f t="shared" si="31"/>
        <v>#DIV/0!</v>
      </c>
      <c r="CB11" s="768">
        <f>BW11*CD1</f>
        <v>21324.32226785797</v>
      </c>
      <c r="CC11" s="768">
        <f t="shared" si="32"/>
        <v>313.59297452732307</v>
      </c>
      <c r="CD11" s="770" t="e">
        <f t="shared" si="36"/>
        <v>#DIV/0!</v>
      </c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  <c r="CP11" s="468"/>
      <c r="CQ11" s="468"/>
      <c r="CR11" s="468"/>
      <c r="CS11" s="468"/>
    </row>
    <row r="12" spans="1:97" s="412" customFormat="1" ht="33.75" customHeight="1">
      <c r="A12" s="462">
        <v>7</v>
      </c>
      <c r="B12" s="463"/>
      <c r="C12" s="464">
        <f t="shared" si="37"/>
        <v>0</v>
      </c>
      <c r="D12" s="464"/>
      <c r="E12" s="464">
        <f t="shared" si="38"/>
        <v>0</v>
      </c>
      <c r="F12" s="464"/>
      <c r="G12" s="464">
        <f t="shared" si="39"/>
        <v>0</v>
      </c>
      <c r="H12" s="465">
        <v>59</v>
      </c>
      <c r="I12" s="854">
        <v>22083338</v>
      </c>
      <c r="J12" s="853">
        <f>IF(I12&gt;=I11,I12-I11,0)</f>
        <v>4626</v>
      </c>
      <c r="K12" s="853">
        <f t="shared" si="0"/>
        <v>2998</v>
      </c>
      <c r="L12" s="854">
        <v>10912</v>
      </c>
      <c r="M12" s="853">
        <f t="shared" si="1"/>
        <v>1373</v>
      </c>
      <c r="N12" s="854">
        <v>14483</v>
      </c>
      <c r="O12" s="853">
        <f>IF(N12&gt;=N11,N12-N11,0)</f>
        <v>1625</v>
      </c>
      <c r="P12" s="854">
        <v>214858</v>
      </c>
      <c r="Q12" s="853">
        <f t="shared" si="3"/>
        <v>600</v>
      </c>
      <c r="R12" s="852">
        <v>702925</v>
      </c>
      <c r="S12" s="853">
        <f t="shared" ref="S12:S18" si="41">IF(R12&gt;=R11,R12-R11,0)</f>
        <v>0</v>
      </c>
      <c r="T12" s="852">
        <v>344001</v>
      </c>
      <c r="U12" s="853">
        <f t="shared" si="4"/>
        <v>0</v>
      </c>
      <c r="V12" s="852">
        <v>132009</v>
      </c>
      <c r="W12" s="853">
        <f t="shared" si="4"/>
        <v>146</v>
      </c>
      <c r="X12" s="852">
        <v>240042</v>
      </c>
      <c r="Y12" s="853">
        <f t="shared" si="5"/>
        <v>254</v>
      </c>
      <c r="Z12" s="852">
        <v>316576</v>
      </c>
      <c r="AA12" s="853">
        <f t="shared" si="6"/>
        <v>0</v>
      </c>
      <c r="AB12" s="854">
        <v>387774</v>
      </c>
      <c r="AC12" s="853">
        <f t="shared" si="7"/>
        <v>0</v>
      </c>
      <c r="AD12" s="854">
        <v>578484</v>
      </c>
      <c r="AE12" s="853">
        <f t="shared" si="8"/>
        <v>2625.6200000000003</v>
      </c>
      <c r="AF12" s="852">
        <v>309097</v>
      </c>
      <c r="AG12" s="853">
        <f t="shared" si="34"/>
        <v>0</v>
      </c>
      <c r="AH12" s="852">
        <v>329661.60714285698</v>
      </c>
      <c r="AI12" s="853">
        <f t="shared" si="21"/>
        <v>12.215238094906091</v>
      </c>
      <c r="AJ12" s="852">
        <v>707781.39285714296</v>
      </c>
      <c r="AK12" s="853">
        <f t="shared" si="22"/>
        <v>12.16476190453861</v>
      </c>
      <c r="AL12" s="854">
        <v>536655</v>
      </c>
      <c r="AM12" s="853">
        <f t="shared" si="9"/>
        <v>248.57000000000002</v>
      </c>
      <c r="AN12" s="852">
        <v>739099</v>
      </c>
      <c r="AO12" s="853">
        <f t="shared" si="10"/>
        <v>2170.88</v>
      </c>
      <c r="AP12" s="852">
        <v>382398.28571428597</v>
      </c>
      <c r="AQ12" s="853">
        <f t="shared" si="11"/>
        <v>172.8178571431304</v>
      </c>
      <c r="AR12" s="853">
        <f t="shared" si="23"/>
        <v>5242.2678571425758</v>
      </c>
      <c r="AS12" s="852">
        <v>7219241</v>
      </c>
      <c r="AT12" s="853">
        <f t="shared" si="24"/>
        <v>80.212500000000006</v>
      </c>
      <c r="AU12" s="852">
        <v>576206</v>
      </c>
      <c r="AV12" s="853">
        <f t="shared" si="12"/>
        <v>301</v>
      </c>
      <c r="AW12" s="852">
        <v>914304</v>
      </c>
      <c r="AX12" s="853">
        <f t="shared" si="25"/>
        <v>125</v>
      </c>
      <c r="AY12" s="789">
        <v>794978</v>
      </c>
      <c r="AZ12" s="853">
        <f t="shared" si="13"/>
        <v>44</v>
      </c>
      <c r="BA12" s="854">
        <v>2339790</v>
      </c>
      <c r="BB12" s="853">
        <f t="shared" si="14"/>
        <v>396</v>
      </c>
      <c r="BC12" s="852">
        <v>209909</v>
      </c>
      <c r="BD12" s="853">
        <f t="shared" si="15"/>
        <v>63</v>
      </c>
      <c r="BE12" s="854">
        <v>17694300</v>
      </c>
      <c r="BF12" s="853">
        <f t="shared" si="16"/>
        <v>3649</v>
      </c>
      <c r="BG12" s="852">
        <v>498785.46428571403</v>
      </c>
      <c r="BH12" s="853">
        <f t="shared" si="16"/>
        <v>107.67857142805588</v>
      </c>
      <c r="BI12" s="852">
        <v>8805</v>
      </c>
      <c r="BJ12" s="853">
        <f t="shared" si="16"/>
        <v>0</v>
      </c>
      <c r="BK12" s="854">
        <v>21929872</v>
      </c>
      <c r="BL12" s="853">
        <f t="shared" si="26"/>
        <v>4808.25</v>
      </c>
      <c r="BM12" s="853">
        <f t="shared" si="27"/>
        <v>9574.1410714280555</v>
      </c>
      <c r="BN12" s="853">
        <f t="shared" si="28"/>
        <v>14816.408928570632</v>
      </c>
      <c r="BO12" s="854">
        <v>1371325</v>
      </c>
      <c r="BP12" s="853">
        <f t="shared" si="17"/>
        <v>273</v>
      </c>
      <c r="BQ12" s="854">
        <v>3496666</v>
      </c>
      <c r="BR12" s="853">
        <f t="shared" si="18"/>
        <v>964</v>
      </c>
      <c r="BS12" s="854">
        <v>373440</v>
      </c>
      <c r="BT12" s="853">
        <f t="shared" si="19"/>
        <v>111</v>
      </c>
      <c r="BU12" s="852">
        <v>453417</v>
      </c>
      <c r="BV12" s="853">
        <f t="shared" si="35"/>
        <v>203</v>
      </c>
      <c r="BW12" s="768">
        <f t="shared" si="29"/>
        <v>20042.408928570629</v>
      </c>
      <c r="BX12" s="769">
        <v>59</v>
      </c>
      <c r="BY12" s="768">
        <f t="shared" si="30"/>
        <v>267.23211904760836</v>
      </c>
      <c r="BZ12" s="769"/>
      <c r="CA12" s="768" t="e">
        <f t="shared" si="31"/>
        <v>#DIV/0!</v>
      </c>
      <c r="CB12" s="768">
        <f>BW12*CD1</f>
        <v>23048.77026785622</v>
      </c>
      <c r="CC12" s="768">
        <f t="shared" si="32"/>
        <v>307.31693690474958</v>
      </c>
      <c r="CD12" s="770" t="e">
        <f t="shared" si="36"/>
        <v>#DIV/0!</v>
      </c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</row>
    <row r="13" spans="1:97" s="412" customFormat="1" ht="33.75" customHeight="1">
      <c r="A13" s="462">
        <v>8</v>
      </c>
      <c r="B13" s="463"/>
      <c r="C13" s="464">
        <f t="shared" si="37"/>
        <v>0</v>
      </c>
      <c r="D13" s="464"/>
      <c r="E13" s="464">
        <f t="shared" si="38"/>
        <v>0</v>
      </c>
      <c r="F13" s="464"/>
      <c r="G13" s="464">
        <f t="shared" si="39"/>
        <v>0</v>
      </c>
      <c r="H13" s="465"/>
      <c r="I13" s="854">
        <v>22088191</v>
      </c>
      <c r="J13" s="853">
        <f t="shared" si="20"/>
        <v>4853</v>
      </c>
      <c r="K13" s="853">
        <f t="shared" si="0"/>
        <v>3115</v>
      </c>
      <c r="L13" s="852">
        <v>12354</v>
      </c>
      <c r="M13" s="853">
        <f t="shared" si="1"/>
        <v>1442</v>
      </c>
      <c r="N13" s="854">
        <v>16156</v>
      </c>
      <c r="O13" s="853">
        <f>IF(N13&gt;=N12,N13-N12,0)</f>
        <v>1673</v>
      </c>
      <c r="P13" s="854">
        <v>214881</v>
      </c>
      <c r="Q13" s="853">
        <f t="shared" si="3"/>
        <v>690</v>
      </c>
      <c r="R13" s="852">
        <v>702925</v>
      </c>
      <c r="S13" s="853">
        <f t="shared" si="41"/>
        <v>0</v>
      </c>
      <c r="T13" s="852">
        <v>344001</v>
      </c>
      <c r="U13" s="853">
        <f t="shared" si="4"/>
        <v>0</v>
      </c>
      <c r="V13" s="852">
        <v>132156</v>
      </c>
      <c r="W13" s="853">
        <f t="shared" si="4"/>
        <v>147</v>
      </c>
      <c r="X13" s="852">
        <v>240293</v>
      </c>
      <c r="Y13" s="853">
        <f t="shared" si="5"/>
        <v>251</v>
      </c>
      <c r="Z13" s="852">
        <v>318655</v>
      </c>
      <c r="AA13" s="853">
        <f t="shared" si="6"/>
        <v>1101.8700000000001</v>
      </c>
      <c r="AB13" s="854">
        <v>387774</v>
      </c>
      <c r="AC13" s="853">
        <f t="shared" si="7"/>
        <v>0</v>
      </c>
      <c r="AD13" s="854">
        <v>580407</v>
      </c>
      <c r="AE13" s="853">
        <f t="shared" si="8"/>
        <v>1019.19</v>
      </c>
      <c r="AF13" s="852">
        <v>309097</v>
      </c>
      <c r="AG13" s="853">
        <f t="shared" si="34"/>
        <v>0</v>
      </c>
      <c r="AH13" s="852">
        <v>329684.65476190503</v>
      </c>
      <c r="AI13" s="853">
        <f t="shared" si="21"/>
        <v>12.215238095461391</v>
      </c>
      <c r="AJ13" s="852">
        <v>707804.34523809503</v>
      </c>
      <c r="AK13" s="853">
        <f t="shared" si="22"/>
        <v>12.16476190460031</v>
      </c>
      <c r="AL13" s="852">
        <v>537345</v>
      </c>
      <c r="AM13" s="853">
        <f t="shared" si="9"/>
        <v>365.70000000000005</v>
      </c>
      <c r="AN13" s="852">
        <v>743210</v>
      </c>
      <c r="AO13" s="853">
        <f t="shared" ref="AO13" si="42">IF(AN13&gt;=AN12,AN13-AN12,0)*0.53</f>
        <v>2178.83</v>
      </c>
      <c r="AP13" s="852">
        <v>382724.35714285698</v>
      </c>
      <c r="AQ13" s="853">
        <f t="shared" si="11"/>
        <v>172.8178571426368</v>
      </c>
      <c r="AR13" s="853">
        <f t="shared" si="23"/>
        <v>4862.7878571426991</v>
      </c>
      <c r="AS13" s="852">
        <v>7219885</v>
      </c>
      <c r="AT13" s="853">
        <f t="shared" si="24"/>
        <v>72.45</v>
      </c>
      <c r="AU13" s="852">
        <v>576463</v>
      </c>
      <c r="AV13" s="853">
        <f t="shared" si="12"/>
        <v>257</v>
      </c>
      <c r="AW13" s="854">
        <v>914430</v>
      </c>
      <c r="AX13" s="853">
        <f t="shared" si="25"/>
        <v>126</v>
      </c>
      <c r="AY13" s="854">
        <v>795015</v>
      </c>
      <c r="AZ13" s="853">
        <f t="shared" si="13"/>
        <v>37</v>
      </c>
      <c r="BA13" s="854">
        <v>2340182</v>
      </c>
      <c r="BB13" s="853">
        <f t="shared" si="14"/>
        <v>392</v>
      </c>
      <c r="BC13" s="854">
        <v>209971</v>
      </c>
      <c r="BD13" s="853">
        <f t="shared" si="15"/>
        <v>62</v>
      </c>
      <c r="BE13" s="854">
        <v>17697804</v>
      </c>
      <c r="BF13" s="853">
        <f t="shared" si="16"/>
        <v>3504</v>
      </c>
      <c r="BG13" s="852">
        <v>498893.14285714302</v>
      </c>
      <c r="BH13" s="853">
        <f t="shared" si="16"/>
        <v>107.6785714289872</v>
      </c>
      <c r="BI13" s="852">
        <v>8805</v>
      </c>
      <c r="BJ13" s="853">
        <f t="shared" si="16"/>
        <v>0</v>
      </c>
      <c r="BK13" s="854">
        <v>21935325</v>
      </c>
      <c r="BL13" s="853">
        <f t="shared" si="26"/>
        <v>4719</v>
      </c>
      <c r="BM13" s="853">
        <f t="shared" si="27"/>
        <v>9277.1285714289879</v>
      </c>
      <c r="BN13" s="853">
        <f t="shared" si="28"/>
        <v>14139.916428571687</v>
      </c>
      <c r="BO13" s="854">
        <v>1371598</v>
      </c>
      <c r="BP13" s="853">
        <f t="shared" si="17"/>
        <v>273</v>
      </c>
      <c r="BQ13" s="854">
        <v>3497721</v>
      </c>
      <c r="BR13" s="853">
        <f t="shared" si="18"/>
        <v>1055</v>
      </c>
      <c r="BS13" s="854">
        <v>373565</v>
      </c>
      <c r="BT13" s="853">
        <f t="shared" si="19"/>
        <v>125</v>
      </c>
      <c r="BU13" s="854">
        <v>453620</v>
      </c>
      <c r="BV13" s="853">
        <f t="shared" si="35"/>
        <v>203</v>
      </c>
      <c r="BW13" s="768">
        <f t="shared" si="29"/>
        <v>19682.916428571687</v>
      </c>
      <c r="BX13" s="769">
        <v>49</v>
      </c>
      <c r="BY13" s="768">
        <f t="shared" ref="BY13:BY19" si="43">IF(BW13&gt;0,BW13/BX12,0)</f>
        <v>333.60875302663874</v>
      </c>
      <c r="BZ13" s="769"/>
      <c r="CA13" s="768" t="e">
        <f t="shared" si="31"/>
        <v>#DIV/0!</v>
      </c>
      <c r="CB13" s="768">
        <f>BW13*CD1</f>
        <v>22635.353892857438</v>
      </c>
      <c r="CC13" s="768">
        <f t="shared" si="32"/>
        <v>383.65006598063457</v>
      </c>
      <c r="CD13" s="770" t="e">
        <f t="shared" si="36"/>
        <v>#DIV/0!</v>
      </c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</row>
    <row r="14" spans="1:97" s="412" customFormat="1" ht="33.75" customHeight="1">
      <c r="A14" s="462">
        <v>9</v>
      </c>
      <c r="B14" s="463"/>
      <c r="C14" s="464">
        <f t="shared" si="37"/>
        <v>0</v>
      </c>
      <c r="D14" s="464"/>
      <c r="E14" s="464">
        <f t="shared" si="38"/>
        <v>0</v>
      </c>
      <c r="F14" s="464"/>
      <c r="G14" s="464">
        <f t="shared" si="39"/>
        <v>0</v>
      </c>
      <c r="H14" s="465">
        <v>60</v>
      </c>
      <c r="I14" s="852">
        <v>22093101</v>
      </c>
      <c r="J14" s="853">
        <f t="shared" si="20"/>
        <v>4910</v>
      </c>
      <c r="K14" s="853">
        <f t="shared" si="0"/>
        <v>3099</v>
      </c>
      <c r="L14" s="854">
        <v>13763</v>
      </c>
      <c r="M14" s="853">
        <f>IF(L14&gt;=L13,L14-L13,0)</f>
        <v>1409</v>
      </c>
      <c r="N14" s="854">
        <v>17846</v>
      </c>
      <c r="O14" s="853">
        <f t="shared" si="2"/>
        <v>1690</v>
      </c>
      <c r="P14" s="854">
        <v>214902</v>
      </c>
      <c r="Q14" s="853">
        <f t="shared" si="3"/>
        <v>630</v>
      </c>
      <c r="R14" s="852">
        <v>702925</v>
      </c>
      <c r="S14" s="853">
        <f t="shared" si="41"/>
        <v>0</v>
      </c>
      <c r="T14" s="852">
        <v>344001</v>
      </c>
      <c r="U14" s="853">
        <f t="shared" si="4"/>
        <v>0</v>
      </c>
      <c r="V14" s="852">
        <v>132299</v>
      </c>
      <c r="W14" s="853">
        <f t="shared" si="4"/>
        <v>143</v>
      </c>
      <c r="X14" s="852">
        <v>240537</v>
      </c>
      <c r="Y14" s="853">
        <f t="shared" si="5"/>
        <v>244</v>
      </c>
      <c r="Z14" s="852">
        <v>322574</v>
      </c>
      <c r="AA14" s="853">
        <f t="shared" si="6"/>
        <v>2077.0700000000002</v>
      </c>
      <c r="AB14" s="854">
        <v>387774</v>
      </c>
      <c r="AC14" s="853">
        <f t="shared" si="7"/>
        <v>0</v>
      </c>
      <c r="AD14" s="854">
        <v>580407</v>
      </c>
      <c r="AE14" s="853">
        <f t="shared" si="8"/>
        <v>0</v>
      </c>
      <c r="AF14" s="852">
        <v>309097</v>
      </c>
      <c r="AG14" s="853">
        <f t="shared" si="34"/>
        <v>0</v>
      </c>
      <c r="AH14" s="852">
        <v>329707.70238095202</v>
      </c>
      <c r="AI14" s="853">
        <f t="shared" si="21"/>
        <v>12.215238094906091</v>
      </c>
      <c r="AJ14" s="852">
        <v>707827.29761904804</v>
      </c>
      <c r="AK14" s="853">
        <f t="shared" si="22"/>
        <v>12.164761905093911</v>
      </c>
      <c r="AL14" s="852">
        <v>538267</v>
      </c>
      <c r="AM14" s="853">
        <f t="shared" si="9"/>
        <v>488.66</v>
      </c>
      <c r="AN14" s="854">
        <v>747455</v>
      </c>
      <c r="AO14" s="853">
        <f t="shared" ref="AO14:AO36" si="44">IF(AN14&gt;=AN13,AN14-AN13,0)*0.53</f>
        <v>2249.85</v>
      </c>
      <c r="AP14" s="852">
        <v>383050.42857142899</v>
      </c>
      <c r="AQ14" s="853">
        <f t="shared" si="11"/>
        <v>172.81785714316123</v>
      </c>
      <c r="AR14" s="853">
        <f t="shared" si="23"/>
        <v>5012.7778571431609</v>
      </c>
      <c r="AS14" s="852">
        <v>7220522</v>
      </c>
      <c r="AT14" s="853">
        <f t="shared" si="24"/>
        <v>71.662500000000009</v>
      </c>
      <c r="AU14" s="854">
        <v>576747</v>
      </c>
      <c r="AV14" s="853">
        <f t="shared" si="12"/>
        <v>284</v>
      </c>
      <c r="AW14" s="854">
        <v>914556</v>
      </c>
      <c r="AX14" s="853">
        <f t="shared" si="25"/>
        <v>126</v>
      </c>
      <c r="AY14" s="854">
        <v>795054</v>
      </c>
      <c r="AZ14" s="853">
        <f t="shared" si="13"/>
        <v>39</v>
      </c>
      <c r="BA14" s="852">
        <v>2340587</v>
      </c>
      <c r="BB14" s="853">
        <f t="shared" si="14"/>
        <v>405</v>
      </c>
      <c r="BC14" s="854">
        <v>210035</v>
      </c>
      <c r="BD14" s="853">
        <f t="shared" si="15"/>
        <v>64</v>
      </c>
      <c r="BE14" s="854">
        <v>17701180</v>
      </c>
      <c r="BF14" s="853">
        <f t="shared" si="16"/>
        <v>3376</v>
      </c>
      <c r="BG14" s="852">
        <v>499000.82142857101</v>
      </c>
      <c r="BH14" s="853">
        <f t="shared" si="16"/>
        <v>107.67857142799767</v>
      </c>
      <c r="BI14" s="852">
        <v>8805</v>
      </c>
      <c r="BJ14" s="853">
        <f t="shared" si="16"/>
        <v>0</v>
      </c>
      <c r="BK14" s="854">
        <v>21940794</v>
      </c>
      <c r="BL14" s="853">
        <f t="shared" si="26"/>
        <v>4720.55</v>
      </c>
      <c r="BM14" s="853">
        <f t="shared" si="27"/>
        <v>9193.8910714279991</v>
      </c>
      <c r="BN14" s="853">
        <f t="shared" si="28"/>
        <v>14206.66892857116</v>
      </c>
      <c r="BO14" s="854">
        <v>1371871</v>
      </c>
      <c r="BP14" s="853">
        <f t="shared" si="17"/>
        <v>273</v>
      </c>
      <c r="BQ14" s="854">
        <v>3498823</v>
      </c>
      <c r="BR14" s="853">
        <f t="shared" si="18"/>
        <v>1102</v>
      </c>
      <c r="BS14" s="854">
        <v>373684</v>
      </c>
      <c r="BT14" s="853">
        <f t="shared" si="19"/>
        <v>119</v>
      </c>
      <c r="BU14" s="854">
        <v>453819</v>
      </c>
      <c r="BV14" s="853">
        <f t="shared" si="35"/>
        <v>199</v>
      </c>
      <c r="BW14" s="768">
        <f t="shared" si="29"/>
        <v>19746.668928571162</v>
      </c>
      <c r="BX14" s="769">
        <v>53</v>
      </c>
      <c r="BY14" s="768">
        <f t="shared" si="43"/>
        <v>402.99324344022779</v>
      </c>
      <c r="BZ14" s="769"/>
      <c r="CA14" s="768" t="e">
        <f t="shared" si="31"/>
        <v>#DIV/0!</v>
      </c>
      <c r="CB14" s="768">
        <f>BW14*CD1</f>
        <v>22708.669267856836</v>
      </c>
      <c r="CC14" s="768">
        <f t="shared" si="32"/>
        <v>463.44222995626194</v>
      </c>
      <c r="CD14" s="770" t="e">
        <f t="shared" si="36"/>
        <v>#DIV/0!</v>
      </c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  <c r="CP14" s="468"/>
      <c r="CQ14" s="468"/>
      <c r="CR14" s="468"/>
      <c r="CS14" s="468"/>
    </row>
    <row r="15" spans="1:97" s="412" customFormat="1" ht="33.75" customHeight="1">
      <c r="A15" s="462">
        <v>10</v>
      </c>
      <c r="B15" s="463"/>
      <c r="C15" s="464">
        <f t="shared" si="37"/>
        <v>0</v>
      </c>
      <c r="D15" s="464"/>
      <c r="E15" s="464">
        <f t="shared" si="38"/>
        <v>0</v>
      </c>
      <c r="F15" s="464"/>
      <c r="G15" s="464">
        <f t="shared" si="39"/>
        <v>0</v>
      </c>
      <c r="H15" s="465"/>
      <c r="I15" s="854">
        <v>22097636</v>
      </c>
      <c r="J15" s="853">
        <f t="shared" si="20"/>
        <v>4535</v>
      </c>
      <c r="K15" s="853">
        <f t="shared" si="0"/>
        <v>3305</v>
      </c>
      <c r="L15" s="854">
        <v>15269</v>
      </c>
      <c r="M15" s="853">
        <f>IF(L15&gt;=L14,L15-L14,0)</f>
        <v>1506</v>
      </c>
      <c r="N15" s="854">
        <v>19645</v>
      </c>
      <c r="O15" s="853">
        <f t="shared" si="2"/>
        <v>1799</v>
      </c>
      <c r="P15" s="854">
        <v>214921</v>
      </c>
      <c r="Q15" s="853">
        <f t="shared" si="3"/>
        <v>570</v>
      </c>
      <c r="R15" s="852">
        <v>702925</v>
      </c>
      <c r="S15" s="853">
        <f t="shared" si="41"/>
        <v>0</v>
      </c>
      <c r="T15" s="852">
        <v>344001</v>
      </c>
      <c r="U15" s="853">
        <f t="shared" si="4"/>
        <v>0</v>
      </c>
      <c r="V15" s="852">
        <v>132450</v>
      </c>
      <c r="W15" s="853">
        <f t="shared" si="4"/>
        <v>151</v>
      </c>
      <c r="X15" s="852">
        <v>240756</v>
      </c>
      <c r="Y15" s="853">
        <f t="shared" si="5"/>
        <v>219</v>
      </c>
      <c r="Z15" s="852">
        <v>326682</v>
      </c>
      <c r="AA15" s="853">
        <f t="shared" si="6"/>
        <v>2177.2400000000002</v>
      </c>
      <c r="AB15" s="854">
        <v>387774</v>
      </c>
      <c r="AC15" s="853">
        <f t="shared" si="7"/>
        <v>0</v>
      </c>
      <c r="AD15" s="854">
        <v>580407</v>
      </c>
      <c r="AE15" s="853">
        <f t="shared" si="8"/>
        <v>0</v>
      </c>
      <c r="AF15" s="852">
        <v>309097</v>
      </c>
      <c r="AG15" s="853">
        <f t="shared" si="34"/>
        <v>0</v>
      </c>
      <c r="AH15" s="852">
        <v>329730.75</v>
      </c>
      <c r="AI15" s="853">
        <f t="shared" si="21"/>
        <v>12.215238095430541</v>
      </c>
      <c r="AJ15" s="852">
        <v>707850.25</v>
      </c>
      <c r="AK15" s="853">
        <f t="shared" si="22"/>
        <v>12.16476190453861</v>
      </c>
      <c r="AL15" s="854">
        <v>539239</v>
      </c>
      <c r="AM15" s="853">
        <f t="shared" si="9"/>
        <v>515.16000000000008</v>
      </c>
      <c r="AN15" s="852">
        <v>751935</v>
      </c>
      <c r="AO15" s="853">
        <f t="shared" si="44"/>
        <v>2374.4</v>
      </c>
      <c r="AP15" s="852">
        <v>383376.5</v>
      </c>
      <c r="AQ15" s="853">
        <f t="shared" si="11"/>
        <v>172.8178571426368</v>
      </c>
      <c r="AR15" s="853">
        <f t="shared" si="23"/>
        <v>5263.9978571426063</v>
      </c>
      <c r="AS15" s="852">
        <v>7221198</v>
      </c>
      <c r="AT15" s="853">
        <f t="shared" si="24"/>
        <v>76.05</v>
      </c>
      <c r="AU15" s="852">
        <v>577019</v>
      </c>
      <c r="AV15" s="853">
        <f t="shared" si="12"/>
        <v>272</v>
      </c>
      <c r="AW15" s="854">
        <v>914686</v>
      </c>
      <c r="AX15" s="853">
        <f t="shared" si="25"/>
        <v>130</v>
      </c>
      <c r="AY15" s="852">
        <v>795097</v>
      </c>
      <c r="AZ15" s="853">
        <f t="shared" si="13"/>
        <v>43</v>
      </c>
      <c r="BA15" s="854">
        <v>2340999</v>
      </c>
      <c r="BB15" s="853">
        <f t="shared" si="14"/>
        <v>412</v>
      </c>
      <c r="BC15" s="854">
        <v>210103</v>
      </c>
      <c r="BD15" s="853">
        <f t="shared" si="15"/>
        <v>68</v>
      </c>
      <c r="BE15" s="854">
        <v>17704725</v>
      </c>
      <c r="BF15" s="853">
        <f t="shared" si="16"/>
        <v>3545</v>
      </c>
      <c r="BG15" s="852">
        <v>499108.5</v>
      </c>
      <c r="BH15" s="853">
        <f t="shared" si="16"/>
        <v>107.6785714289872</v>
      </c>
      <c r="BI15" s="852">
        <v>8805</v>
      </c>
      <c r="BJ15" s="853">
        <f t="shared" si="16"/>
        <v>0</v>
      </c>
      <c r="BK15" s="854">
        <v>21946389</v>
      </c>
      <c r="BL15" s="853">
        <f t="shared" si="26"/>
        <v>4813.25</v>
      </c>
      <c r="BM15" s="853">
        <f t="shared" si="27"/>
        <v>9466.9785714289865</v>
      </c>
      <c r="BN15" s="853">
        <f t="shared" si="28"/>
        <v>14730.976428571594</v>
      </c>
      <c r="BO15" s="854">
        <v>1372224</v>
      </c>
      <c r="BP15" s="853">
        <f t="shared" si="17"/>
        <v>353</v>
      </c>
      <c r="BQ15" s="854">
        <v>3499978</v>
      </c>
      <c r="BR15" s="853">
        <f t="shared" si="18"/>
        <v>1155</v>
      </c>
      <c r="BS15" s="854">
        <v>373804</v>
      </c>
      <c r="BT15" s="853">
        <f t="shared" si="19"/>
        <v>120</v>
      </c>
      <c r="BU15" s="854">
        <v>454027</v>
      </c>
      <c r="BV15" s="853">
        <f t="shared" si="35"/>
        <v>208</v>
      </c>
      <c r="BW15" s="768">
        <f t="shared" si="29"/>
        <v>19835.976428571594</v>
      </c>
      <c r="BX15" s="769">
        <v>52</v>
      </c>
      <c r="BY15" s="768">
        <f t="shared" si="43"/>
        <v>374.26370619946402</v>
      </c>
      <c r="BZ15" s="769"/>
      <c r="CA15" s="768" t="e">
        <f t="shared" si="31"/>
        <v>#DIV/0!</v>
      </c>
      <c r="CB15" s="768">
        <f>BW15*CD1</f>
        <v>22811.372892857333</v>
      </c>
      <c r="CC15" s="768">
        <f t="shared" si="32"/>
        <v>430.40326212938362</v>
      </c>
      <c r="CD15" s="770" t="e">
        <f t="shared" si="36"/>
        <v>#DIV/0!</v>
      </c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</row>
    <row r="16" spans="1:97" s="412" customFormat="1" ht="33.75" customHeight="1">
      <c r="A16" s="462">
        <v>11</v>
      </c>
      <c r="B16" s="463"/>
      <c r="C16" s="464">
        <f t="shared" si="37"/>
        <v>0</v>
      </c>
      <c r="D16" s="464"/>
      <c r="E16" s="464">
        <f t="shared" si="38"/>
        <v>0</v>
      </c>
      <c r="F16" s="464"/>
      <c r="G16" s="464">
        <f t="shared" si="39"/>
        <v>0</v>
      </c>
      <c r="H16" s="465">
        <v>61</v>
      </c>
      <c r="I16" s="854">
        <v>22103442</v>
      </c>
      <c r="J16" s="853">
        <f t="shared" si="20"/>
        <v>5806</v>
      </c>
      <c r="K16" s="853">
        <f t="shared" si="0"/>
        <v>3134</v>
      </c>
      <c r="L16" s="854">
        <v>16806</v>
      </c>
      <c r="M16" s="853">
        <f>IF(L16&gt;=L15,L16-L15,0)</f>
        <v>1537</v>
      </c>
      <c r="N16" s="852">
        <v>21242</v>
      </c>
      <c r="O16" s="853">
        <f t="shared" si="2"/>
        <v>1597</v>
      </c>
      <c r="P16" s="854">
        <v>214944</v>
      </c>
      <c r="Q16" s="853">
        <f t="shared" si="3"/>
        <v>690</v>
      </c>
      <c r="R16" s="852">
        <v>702925</v>
      </c>
      <c r="S16" s="853">
        <f t="shared" si="41"/>
        <v>0</v>
      </c>
      <c r="T16" s="852">
        <v>344001</v>
      </c>
      <c r="U16" s="853">
        <f t="shared" si="4"/>
        <v>0</v>
      </c>
      <c r="V16" s="852">
        <v>132588</v>
      </c>
      <c r="W16" s="853">
        <f t="shared" si="4"/>
        <v>138</v>
      </c>
      <c r="X16" s="852">
        <v>241031</v>
      </c>
      <c r="Y16" s="853">
        <f t="shared" si="5"/>
        <v>275</v>
      </c>
      <c r="Z16" s="852">
        <v>330193</v>
      </c>
      <c r="AA16" s="853">
        <f t="shared" si="6"/>
        <v>1860.8300000000002</v>
      </c>
      <c r="AB16" s="854">
        <v>387774</v>
      </c>
      <c r="AC16" s="853">
        <f t="shared" si="7"/>
        <v>0</v>
      </c>
      <c r="AD16" s="854">
        <v>580407</v>
      </c>
      <c r="AE16" s="853">
        <f t="shared" si="8"/>
        <v>0</v>
      </c>
      <c r="AF16" s="852">
        <v>309097</v>
      </c>
      <c r="AG16" s="853">
        <f t="shared" si="34"/>
        <v>0</v>
      </c>
      <c r="AH16" s="852">
        <v>329753.79761904798</v>
      </c>
      <c r="AI16" s="853">
        <f t="shared" si="21"/>
        <v>12.215238095430541</v>
      </c>
      <c r="AJ16" s="852">
        <v>707873.20238095196</v>
      </c>
      <c r="AK16" s="853">
        <f t="shared" si="22"/>
        <v>12.16476190453861</v>
      </c>
      <c r="AL16" s="852">
        <v>540121</v>
      </c>
      <c r="AM16" s="853">
        <f t="shared" si="9"/>
        <v>467.46000000000004</v>
      </c>
      <c r="AN16" s="854">
        <v>755937</v>
      </c>
      <c r="AO16" s="853">
        <f t="shared" si="44"/>
        <v>2121.06</v>
      </c>
      <c r="AP16" s="852">
        <v>383702.57142857101</v>
      </c>
      <c r="AQ16" s="853">
        <f t="shared" si="11"/>
        <v>172.8178571426368</v>
      </c>
      <c r="AR16" s="853">
        <f t="shared" si="23"/>
        <v>4646.5478571426056</v>
      </c>
      <c r="AS16" s="786">
        <v>7221929</v>
      </c>
      <c r="AT16" s="853">
        <f t="shared" si="24"/>
        <v>82.237499999999997</v>
      </c>
      <c r="AU16" s="852">
        <v>577301</v>
      </c>
      <c r="AV16" s="853">
        <f t="shared" si="12"/>
        <v>282</v>
      </c>
      <c r="AW16" s="852">
        <v>914808</v>
      </c>
      <c r="AX16" s="853">
        <f t="shared" si="25"/>
        <v>122</v>
      </c>
      <c r="AY16" s="852">
        <v>795133</v>
      </c>
      <c r="AZ16" s="853">
        <f t="shared" si="13"/>
        <v>36</v>
      </c>
      <c r="BA16" s="852">
        <v>2341339</v>
      </c>
      <c r="BB16" s="853">
        <f t="shared" si="14"/>
        <v>340</v>
      </c>
      <c r="BC16" s="852">
        <v>210165</v>
      </c>
      <c r="BD16" s="853">
        <f t="shared" si="15"/>
        <v>62</v>
      </c>
      <c r="BE16" s="852">
        <v>17707964</v>
      </c>
      <c r="BF16" s="853">
        <f t="shared" si="16"/>
        <v>3239</v>
      </c>
      <c r="BG16" s="852">
        <v>499216.17857142899</v>
      </c>
      <c r="BH16" s="853">
        <f t="shared" si="16"/>
        <v>107.6785714289872</v>
      </c>
      <c r="BI16" s="852">
        <v>8805</v>
      </c>
      <c r="BJ16" s="853">
        <f t="shared" si="16"/>
        <v>0</v>
      </c>
      <c r="BK16" s="854">
        <v>21951352</v>
      </c>
      <c r="BL16" s="853">
        <f t="shared" si="26"/>
        <v>4321.3</v>
      </c>
      <c r="BM16" s="853">
        <f t="shared" si="27"/>
        <v>8592.2160714289876</v>
      </c>
      <c r="BN16" s="853">
        <f t="shared" si="28"/>
        <v>13238.763928571592</v>
      </c>
      <c r="BO16" s="854">
        <v>1372446</v>
      </c>
      <c r="BP16" s="853">
        <f t="shared" si="17"/>
        <v>222</v>
      </c>
      <c r="BQ16" s="854">
        <v>3500877</v>
      </c>
      <c r="BR16" s="853">
        <f t="shared" si="18"/>
        <v>899</v>
      </c>
      <c r="BS16" s="852">
        <v>373911</v>
      </c>
      <c r="BT16" s="853">
        <f t="shared" si="19"/>
        <v>107</v>
      </c>
      <c r="BU16" s="852">
        <v>454216</v>
      </c>
      <c r="BV16" s="853">
        <f t="shared" si="35"/>
        <v>189</v>
      </c>
      <c r="BW16" s="768">
        <f t="shared" si="29"/>
        <v>19734.763928571592</v>
      </c>
      <c r="BX16" s="769">
        <v>54</v>
      </c>
      <c r="BY16" s="768">
        <f t="shared" si="43"/>
        <v>379.51469093406911</v>
      </c>
      <c r="BZ16" s="769"/>
      <c r="CA16" s="768" t="e">
        <f t="shared" si="31"/>
        <v>#DIV/0!</v>
      </c>
      <c r="CB16" s="768">
        <f>BW16*CD1</f>
        <v>22694.978517857329</v>
      </c>
      <c r="CC16" s="768">
        <f>IF(CB16&gt;0,CB16/BX15,0)</f>
        <v>436.4418945741794</v>
      </c>
      <c r="CD16" s="770" t="e">
        <f t="shared" si="36"/>
        <v>#DIV/0!</v>
      </c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</row>
    <row r="17" spans="1:97" s="412" customFormat="1" ht="33.75" customHeight="1">
      <c r="A17" s="462">
        <v>12</v>
      </c>
      <c r="B17" s="463"/>
      <c r="C17" s="464">
        <f t="shared" si="37"/>
        <v>0</v>
      </c>
      <c r="D17" s="464"/>
      <c r="E17" s="464">
        <f t="shared" si="38"/>
        <v>0</v>
      </c>
      <c r="F17" s="464"/>
      <c r="G17" s="464">
        <f t="shared" si="39"/>
        <v>0</v>
      </c>
      <c r="H17" s="465"/>
      <c r="I17" s="852">
        <v>22108127</v>
      </c>
      <c r="J17" s="853">
        <f t="shared" si="20"/>
        <v>4685</v>
      </c>
      <c r="K17" s="853">
        <f t="shared" si="0"/>
        <v>3241</v>
      </c>
      <c r="L17" s="852">
        <v>18393</v>
      </c>
      <c r="M17" s="853">
        <f>IF(L17&gt;=L16,L17-L16,0)</f>
        <v>1587</v>
      </c>
      <c r="N17" s="852">
        <v>22896</v>
      </c>
      <c r="O17" s="853">
        <f t="shared" si="2"/>
        <v>1654</v>
      </c>
      <c r="P17" s="854">
        <v>214963</v>
      </c>
      <c r="Q17" s="853">
        <f t="shared" si="3"/>
        <v>570</v>
      </c>
      <c r="R17" s="852">
        <v>702925</v>
      </c>
      <c r="S17" s="853">
        <f>IF(R17&gt;=R16,R17-R16,0)</f>
        <v>0</v>
      </c>
      <c r="T17" s="852">
        <v>344001</v>
      </c>
      <c r="U17" s="853">
        <f t="shared" si="4"/>
        <v>0</v>
      </c>
      <c r="V17" s="854">
        <v>132731</v>
      </c>
      <c r="W17" s="853">
        <f t="shared" si="4"/>
        <v>143</v>
      </c>
      <c r="X17" s="854">
        <v>241274</v>
      </c>
      <c r="Y17" s="853">
        <f t="shared" si="5"/>
        <v>243</v>
      </c>
      <c r="Z17" s="852">
        <v>334099</v>
      </c>
      <c r="AA17" s="853">
        <f t="shared" si="6"/>
        <v>2070.1800000000003</v>
      </c>
      <c r="AB17" s="852">
        <v>387774</v>
      </c>
      <c r="AC17" s="853">
        <f t="shared" si="7"/>
        <v>0</v>
      </c>
      <c r="AD17" s="854">
        <v>580407</v>
      </c>
      <c r="AE17" s="853">
        <f t="shared" si="8"/>
        <v>0</v>
      </c>
      <c r="AF17" s="852">
        <v>309097</v>
      </c>
      <c r="AG17" s="853">
        <f t="shared" si="34"/>
        <v>0</v>
      </c>
      <c r="AH17" s="852">
        <v>329776.84523809497</v>
      </c>
      <c r="AI17" s="853">
        <f t="shared" si="21"/>
        <v>12.215238094906091</v>
      </c>
      <c r="AJ17" s="852">
        <v>707896.15476190497</v>
      </c>
      <c r="AK17" s="853">
        <f t="shared" si="22"/>
        <v>12.164761905093911</v>
      </c>
      <c r="AL17" s="852">
        <v>541048</v>
      </c>
      <c r="AM17" s="853">
        <f t="shared" si="9"/>
        <v>491.31</v>
      </c>
      <c r="AN17" s="852">
        <v>760045</v>
      </c>
      <c r="AO17" s="853">
        <f t="shared" si="44"/>
        <v>2177.2400000000002</v>
      </c>
      <c r="AP17" s="852">
        <v>384028.64285714302</v>
      </c>
      <c r="AQ17" s="853">
        <f t="shared" si="11"/>
        <v>172.81785714316123</v>
      </c>
      <c r="AR17" s="853">
        <f t="shared" si="23"/>
        <v>4935.9278571431614</v>
      </c>
      <c r="AS17" s="852">
        <v>7222495</v>
      </c>
      <c r="AT17" s="853">
        <f t="shared" si="24"/>
        <v>63.675000000000004</v>
      </c>
      <c r="AU17" s="852">
        <v>577590</v>
      </c>
      <c r="AV17" s="853">
        <f t="shared" si="12"/>
        <v>289</v>
      </c>
      <c r="AW17" s="852">
        <v>914935</v>
      </c>
      <c r="AX17" s="853">
        <f t="shared" si="25"/>
        <v>127</v>
      </c>
      <c r="AY17" s="852">
        <v>795154</v>
      </c>
      <c r="AZ17" s="853">
        <f t="shared" si="13"/>
        <v>21</v>
      </c>
      <c r="BA17" s="852">
        <v>2341718</v>
      </c>
      <c r="BB17" s="853">
        <f t="shared" si="14"/>
        <v>379</v>
      </c>
      <c r="BC17" s="852">
        <v>210230</v>
      </c>
      <c r="BD17" s="853">
        <f t="shared" si="15"/>
        <v>65</v>
      </c>
      <c r="BE17" s="852">
        <v>17711291</v>
      </c>
      <c r="BF17" s="853">
        <f t="shared" si="16"/>
        <v>3327</v>
      </c>
      <c r="BG17" s="852">
        <v>499323.85714285698</v>
      </c>
      <c r="BH17" s="853">
        <f t="shared" si="16"/>
        <v>107.67857142799767</v>
      </c>
      <c r="BI17" s="852">
        <v>8805</v>
      </c>
      <c r="BJ17" s="853">
        <f t="shared" si="16"/>
        <v>0</v>
      </c>
      <c r="BK17" s="854">
        <v>21956486</v>
      </c>
      <c r="BL17" s="853">
        <f t="shared" si="26"/>
        <v>4467.8</v>
      </c>
      <c r="BM17" s="853">
        <f t="shared" si="27"/>
        <v>8847.153571427998</v>
      </c>
      <c r="BN17" s="853">
        <f t="shared" si="28"/>
        <v>13783.08142857116</v>
      </c>
      <c r="BO17" s="854">
        <v>1372722</v>
      </c>
      <c r="BP17" s="853">
        <f t="shared" si="17"/>
        <v>276</v>
      </c>
      <c r="BQ17" s="852">
        <v>3501813</v>
      </c>
      <c r="BR17" s="853">
        <f t="shared" si="18"/>
        <v>936</v>
      </c>
      <c r="BS17" s="852">
        <v>374011</v>
      </c>
      <c r="BT17" s="853">
        <f t="shared" si="19"/>
        <v>100</v>
      </c>
      <c r="BU17" s="852">
        <v>454416</v>
      </c>
      <c r="BV17" s="853">
        <f t="shared" si="35"/>
        <v>200</v>
      </c>
      <c r="BW17" s="768">
        <f t="shared" si="29"/>
        <v>19038.08142857116</v>
      </c>
      <c r="BX17" s="769">
        <v>69</v>
      </c>
      <c r="BY17" s="768">
        <f t="shared" si="43"/>
        <v>352.55706349205855</v>
      </c>
      <c r="BZ17" s="769"/>
      <c r="CA17" s="768" t="e">
        <f t="shared" si="31"/>
        <v>#DIV/0!</v>
      </c>
      <c r="CB17" s="768">
        <f>BW17*CD1</f>
        <v>21893.793642856832</v>
      </c>
      <c r="CC17" s="768">
        <f>IF(CB17&gt;0,CB17/BX16,0)</f>
        <v>405.44062301586723</v>
      </c>
      <c r="CD17" s="770" t="e">
        <f t="shared" si="36"/>
        <v>#DIV/0!</v>
      </c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</row>
    <row r="18" spans="1:97" s="412" customFormat="1" ht="33.75" customHeight="1">
      <c r="A18" s="462">
        <v>13</v>
      </c>
      <c r="B18" s="463"/>
      <c r="C18" s="464">
        <f t="shared" si="37"/>
        <v>0</v>
      </c>
      <c r="D18" s="464"/>
      <c r="E18" s="464">
        <f t="shared" si="38"/>
        <v>0</v>
      </c>
      <c r="F18" s="464"/>
      <c r="G18" s="464">
        <f t="shared" si="39"/>
        <v>0</v>
      </c>
      <c r="H18" s="465">
        <v>62</v>
      </c>
      <c r="I18" s="854">
        <v>22114031</v>
      </c>
      <c r="J18" s="853">
        <f t="shared" si="20"/>
        <v>5904</v>
      </c>
      <c r="K18" s="853">
        <f t="shared" si="0"/>
        <v>3255</v>
      </c>
      <c r="L18" s="852">
        <v>20020</v>
      </c>
      <c r="M18" s="853">
        <f>IF(L18&gt;=L17,L18-L17,0)</f>
        <v>1627</v>
      </c>
      <c r="N18" s="854">
        <v>24524</v>
      </c>
      <c r="O18" s="853">
        <f t="shared" si="2"/>
        <v>1628</v>
      </c>
      <c r="P18" s="852">
        <v>214983</v>
      </c>
      <c r="Q18" s="853">
        <f t="shared" si="3"/>
        <v>600</v>
      </c>
      <c r="R18" s="852">
        <v>702925</v>
      </c>
      <c r="S18" s="853">
        <f t="shared" si="41"/>
        <v>0</v>
      </c>
      <c r="T18" s="852">
        <v>344001</v>
      </c>
      <c r="U18" s="853">
        <f t="shared" si="4"/>
        <v>0</v>
      </c>
      <c r="V18" s="852">
        <v>132879</v>
      </c>
      <c r="W18" s="853">
        <f t="shared" si="4"/>
        <v>148</v>
      </c>
      <c r="X18" s="852">
        <v>241523</v>
      </c>
      <c r="Y18" s="853">
        <f t="shared" si="5"/>
        <v>249</v>
      </c>
      <c r="Z18" s="852">
        <v>338058</v>
      </c>
      <c r="AA18" s="853">
        <f t="shared" si="6"/>
        <v>2098.27</v>
      </c>
      <c r="AB18" s="854">
        <v>387774</v>
      </c>
      <c r="AC18" s="853">
        <f t="shared" si="7"/>
        <v>0</v>
      </c>
      <c r="AD18" s="854">
        <v>580407</v>
      </c>
      <c r="AE18" s="853">
        <f t="shared" si="8"/>
        <v>0</v>
      </c>
      <c r="AF18" s="852">
        <v>309097</v>
      </c>
      <c r="AG18" s="853">
        <f t="shared" si="34"/>
        <v>0</v>
      </c>
      <c r="AH18" s="852">
        <v>329799.89285714302</v>
      </c>
      <c r="AI18" s="853">
        <f t="shared" si="21"/>
        <v>12.215238095461391</v>
      </c>
      <c r="AJ18" s="852">
        <v>707919.10714285704</v>
      </c>
      <c r="AK18" s="853">
        <f t="shared" si="22"/>
        <v>12.16476190460031</v>
      </c>
      <c r="AL18" s="852">
        <v>542004</v>
      </c>
      <c r="AM18" s="853">
        <f t="shared" si="9"/>
        <v>506.68</v>
      </c>
      <c r="AN18" s="852">
        <v>764280</v>
      </c>
      <c r="AO18" s="853">
        <f t="shared" si="44"/>
        <v>2244.5500000000002</v>
      </c>
      <c r="AP18" s="852">
        <v>384354.71428571403</v>
      </c>
      <c r="AQ18" s="853">
        <f t="shared" si="11"/>
        <v>172.8178571426368</v>
      </c>
      <c r="AR18" s="853">
        <f t="shared" si="23"/>
        <v>5046.697857142698</v>
      </c>
      <c r="AS18" s="852">
        <v>7223196</v>
      </c>
      <c r="AT18" s="853">
        <f t="shared" si="24"/>
        <v>78.862499999999997</v>
      </c>
      <c r="AU18" s="854">
        <v>577840</v>
      </c>
      <c r="AV18" s="853">
        <f t="shared" si="12"/>
        <v>250</v>
      </c>
      <c r="AW18" s="854">
        <v>915039</v>
      </c>
      <c r="AX18" s="853">
        <f t="shared" si="25"/>
        <v>104</v>
      </c>
      <c r="AY18" s="854">
        <v>795175</v>
      </c>
      <c r="AZ18" s="853">
        <f t="shared" si="13"/>
        <v>21</v>
      </c>
      <c r="BA18" s="854">
        <v>2342106</v>
      </c>
      <c r="BB18" s="853">
        <f t="shared" si="14"/>
        <v>388</v>
      </c>
      <c r="BC18" s="852">
        <v>210296</v>
      </c>
      <c r="BD18" s="853">
        <f t="shared" si="15"/>
        <v>66</v>
      </c>
      <c r="BE18" s="852">
        <v>17714756</v>
      </c>
      <c r="BF18" s="853">
        <f t="shared" si="16"/>
        <v>3465</v>
      </c>
      <c r="BG18" s="852">
        <v>499431.53571428597</v>
      </c>
      <c r="BH18" s="853">
        <f t="shared" si="16"/>
        <v>107.6785714289872</v>
      </c>
      <c r="BI18" s="852">
        <v>8805</v>
      </c>
      <c r="BJ18" s="853">
        <f t="shared" si="16"/>
        <v>0</v>
      </c>
      <c r="BK18" s="854">
        <v>21961827</v>
      </c>
      <c r="BL18" s="853">
        <f t="shared" si="26"/>
        <v>4660</v>
      </c>
      <c r="BM18" s="853">
        <f t="shared" si="27"/>
        <v>9140.5410714289865</v>
      </c>
      <c r="BN18" s="853">
        <f t="shared" si="28"/>
        <v>14187.238928571685</v>
      </c>
      <c r="BO18" s="854">
        <v>1372999</v>
      </c>
      <c r="BP18" s="853">
        <f t="shared" si="17"/>
        <v>277</v>
      </c>
      <c r="BQ18" s="852">
        <v>3502751</v>
      </c>
      <c r="BR18" s="853">
        <f t="shared" si="18"/>
        <v>938</v>
      </c>
      <c r="BS18" s="852">
        <v>374133</v>
      </c>
      <c r="BT18" s="853">
        <f t="shared" si="19"/>
        <v>122</v>
      </c>
      <c r="BU18" s="852">
        <v>454620</v>
      </c>
      <c r="BV18" s="853">
        <f t="shared" si="35"/>
        <v>204</v>
      </c>
      <c r="BW18" s="768">
        <f t="shared" si="29"/>
        <v>20691.238928571685</v>
      </c>
      <c r="BX18" s="769">
        <v>54</v>
      </c>
      <c r="BY18" s="768">
        <f t="shared" si="43"/>
        <v>299.87302795031428</v>
      </c>
      <c r="BZ18" s="769"/>
      <c r="CA18" s="768" t="e">
        <f t="shared" si="31"/>
        <v>#DIV/0!</v>
      </c>
      <c r="CB18" s="768">
        <f>BW18*CD1</f>
        <v>23794.924767857436</v>
      </c>
      <c r="CC18" s="768">
        <f>IF(CB18&gt;0,CB18/BX17,0)</f>
        <v>344.85398214286141</v>
      </c>
      <c r="CD18" s="770" t="e">
        <f t="shared" si="36"/>
        <v>#DIV/0!</v>
      </c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</row>
    <row r="19" spans="1:97" s="412" customFormat="1" ht="33.75" customHeight="1">
      <c r="A19" s="462">
        <v>14</v>
      </c>
      <c r="B19" s="463"/>
      <c r="C19" s="464">
        <f t="shared" si="37"/>
        <v>0</v>
      </c>
      <c r="D19" s="464"/>
      <c r="E19" s="464">
        <f t="shared" si="38"/>
        <v>0</v>
      </c>
      <c r="F19" s="464"/>
      <c r="G19" s="464">
        <f t="shared" si="39"/>
        <v>0</v>
      </c>
      <c r="H19" s="465"/>
      <c r="I19" s="854">
        <v>22119160</v>
      </c>
      <c r="J19" s="853">
        <f t="shared" si="20"/>
        <v>5129</v>
      </c>
      <c r="K19" s="853">
        <f t="shared" si="0"/>
        <v>3144</v>
      </c>
      <c r="L19" s="854">
        <v>21586</v>
      </c>
      <c r="M19" s="853">
        <f t="shared" si="1"/>
        <v>1566</v>
      </c>
      <c r="N19" s="854">
        <v>26102</v>
      </c>
      <c r="O19" s="853">
        <f t="shared" si="2"/>
        <v>1578</v>
      </c>
      <c r="P19" s="854">
        <v>215001</v>
      </c>
      <c r="Q19" s="853">
        <f t="shared" ref="Q19:Q36" si="45">IF(P19&gt;=P18,P19-P18,0)*30</f>
        <v>540</v>
      </c>
      <c r="R19" s="852">
        <v>702925</v>
      </c>
      <c r="S19" s="853">
        <f>IF(R19&gt;=R18,R19-R18,0)</f>
        <v>0</v>
      </c>
      <c r="T19" s="852">
        <v>344001</v>
      </c>
      <c r="U19" s="853">
        <f t="shared" si="4"/>
        <v>0</v>
      </c>
      <c r="V19" s="852">
        <v>133023</v>
      </c>
      <c r="W19" s="853">
        <f t="shared" si="4"/>
        <v>144</v>
      </c>
      <c r="X19" s="852">
        <v>241763</v>
      </c>
      <c r="Y19" s="853">
        <f t="shared" si="5"/>
        <v>240</v>
      </c>
      <c r="Z19" s="852">
        <v>341930</v>
      </c>
      <c r="AA19" s="853">
        <f t="shared" si="6"/>
        <v>2052.1600000000003</v>
      </c>
      <c r="AB19" s="852">
        <v>387774</v>
      </c>
      <c r="AC19" s="853">
        <f t="shared" si="7"/>
        <v>0</v>
      </c>
      <c r="AD19" s="786">
        <v>580407</v>
      </c>
      <c r="AE19" s="853">
        <f t="shared" si="8"/>
        <v>0</v>
      </c>
      <c r="AF19" s="852">
        <v>309097</v>
      </c>
      <c r="AG19" s="853">
        <f t="shared" si="34"/>
        <v>0</v>
      </c>
      <c r="AH19" s="852">
        <v>329822.940476191</v>
      </c>
      <c r="AI19" s="853">
        <f t="shared" si="21"/>
        <v>12.215238095430541</v>
      </c>
      <c r="AJ19" s="852">
        <v>707942.05952381005</v>
      </c>
      <c r="AK19" s="853">
        <f t="shared" si="22"/>
        <v>12.164761905093911</v>
      </c>
      <c r="AL19" s="854">
        <v>542928</v>
      </c>
      <c r="AM19" s="853">
        <f t="shared" si="9"/>
        <v>489.72</v>
      </c>
      <c r="AN19" s="852">
        <v>768409</v>
      </c>
      <c r="AO19" s="853">
        <f t="shared" si="44"/>
        <v>2188.37</v>
      </c>
      <c r="AP19" s="852">
        <v>384680.78571428597</v>
      </c>
      <c r="AQ19" s="853">
        <f t="shared" si="11"/>
        <v>172.8178571431304</v>
      </c>
      <c r="AR19" s="853">
        <f t="shared" si="23"/>
        <v>4927.4478571436557</v>
      </c>
      <c r="AS19" s="786">
        <v>7223872</v>
      </c>
      <c r="AT19" s="853">
        <f t="shared" si="24"/>
        <v>76.05</v>
      </c>
      <c r="AU19" s="852">
        <v>578099</v>
      </c>
      <c r="AV19" s="853">
        <f t="shared" si="12"/>
        <v>259</v>
      </c>
      <c r="AW19" s="854">
        <v>915111</v>
      </c>
      <c r="AX19" s="853">
        <f t="shared" si="25"/>
        <v>72</v>
      </c>
      <c r="AY19" s="852">
        <v>795210</v>
      </c>
      <c r="AZ19" s="853">
        <f t="shared" si="13"/>
        <v>35</v>
      </c>
      <c r="BA19" s="854">
        <v>2342479</v>
      </c>
      <c r="BB19" s="853">
        <f t="shared" si="14"/>
        <v>373</v>
      </c>
      <c r="BC19" s="852">
        <v>210360</v>
      </c>
      <c r="BD19" s="853">
        <f t="shared" ref="BD19:BD36" si="46">IF(BC19&gt;=BC18,BC19-BC18,0)</f>
        <v>64</v>
      </c>
      <c r="BE19" s="854">
        <v>17718257</v>
      </c>
      <c r="BF19" s="853">
        <f t="shared" si="16"/>
        <v>3501</v>
      </c>
      <c r="BG19" s="852">
        <v>499539.21428571403</v>
      </c>
      <c r="BH19" s="853">
        <f t="shared" si="16"/>
        <v>107.67857142805588</v>
      </c>
      <c r="BI19" s="852">
        <v>8805</v>
      </c>
      <c r="BJ19" s="853">
        <f t="shared" si="16"/>
        <v>0</v>
      </c>
      <c r="BK19" s="854">
        <v>21967195</v>
      </c>
      <c r="BL19" s="853">
        <f t="shared" si="26"/>
        <v>4674.6500000000005</v>
      </c>
      <c r="BM19" s="853">
        <f t="shared" si="27"/>
        <v>9162.3785714280566</v>
      </c>
      <c r="BN19" s="853">
        <f t="shared" si="28"/>
        <v>14089.826428571712</v>
      </c>
      <c r="BO19" s="854">
        <v>1373276</v>
      </c>
      <c r="BP19" s="853">
        <f t="shared" si="17"/>
        <v>277</v>
      </c>
      <c r="BQ19" s="852">
        <v>3503738</v>
      </c>
      <c r="BR19" s="853">
        <f t="shared" si="18"/>
        <v>987</v>
      </c>
      <c r="BS19" s="786">
        <v>374249</v>
      </c>
      <c r="BT19" s="853">
        <f t="shared" si="19"/>
        <v>116</v>
      </c>
      <c r="BU19" s="854">
        <v>454817</v>
      </c>
      <c r="BV19" s="853">
        <f t="shared" si="35"/>
        <v>197</v>
      </c>
      <c r="BW19" s="768">
        <f t="shared" si="29"/>
        <v>19758.826428571712</v>
      </c>
      <c r="BX19" s="769">
        <v>68</v>
      </c>
      <c r="BY19" s="768">
        <f t="shared" si="43"/>
        <v>365.90419312169837</v>
      </c>
      <c r="BZ19" s="769"/>
      <c r="CA19" s="768" t="e">
        <f t="shared" si="31"/>
        <v>#DIV/0!</v>
      </c>
      <c r="CB19" s="768">
        <f>BW19*CD1</f>
        <v>22722.650392857468</v>
      </c>
      <c r="CC19" s="768">
        <f>IF(CB19&gt;0,CB19/BX18,0)</f>
        <v>420.78982208995308</v>
      </c>
      <c r="CD19" s="770" t="e">
        <f t="shared" si="36"/>
        <v>#DIV/0!</v>
      </c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</row>
    <row r="20" spans="1:97" s="412" customFormat="1" ht="33.75" customHeight="1">
      <c r="A20" s="462">
        <v>15</v>
      </c>
      <c r="B20" s="463"/>
      <c r="C20" s="464">
        <f t="shared" si="37"/>
        <v>0</v>
      </c>
      <c r="D20" s="464"/>
      <c r="E20" s="464">
        <f t="shared" si="38"/>
        <v>0</v>
      </c>
      <c r="F20" s="464"/>
      <c r="G20" s="464">
        <f t="shared" si="39"/>
        <v>0</v>
      </c>
      <c r="H20" s="465">
        <v>63</v>
      </c>
      <c r="I20" s="852">
        <v>22124273</v>
      </c>
      <c r="J20" s="853">
        <f t="shared" si="20"/>
        <v>5113</v>
      </c>
      <c r="K20" s="853">
        <f t="shared" si="0"/>
        <v>3160</v>
      </c>
      <c r="L20" s="854">
        <v>23159</v>
      </c>
      <c r="M20" s="853">
        <f t="shared" si="1"/>
        <v>1573</v>
      </c>
      <c r="N20" s="852">
        <v>27689</v>
      </c>
      <c r="O20" s="853">
        <f t="shared" si="2"/>
        <v>1587</v>
      </c>
      <c r="P20" s="854">
        <v>215018</v>
      </c>
      <c r="Q20" s="853">
        <f t="shared" si="45"/>
        <v>510</v>
      </c>
      <c r="R20" s="852">
        <v>702925</v>
      </c>
      <c r="S20" s="853">
        <f>IF(R20&gt;=R19,R20-R19,0)</f>
        <v>0</v>
      </c>
      <c r="T20" s="852">
        <v>344001</v>
      </c>
      <c r="U20" s="853">
        <f>IF(T20&gt;=T19,T20-T19,0)</f>
        <v>0</v>
      </c>
      <c r="V20" s="852">
        <v>133170</v>
      </c>
      <c r="W20" s="853">
        <f t="shared" si="4"/>
        <v>147</v>
      </c>
      <c r="X20" s="852">
        <v>242008</v>
      </c>
      <c r="Y20" s="853">
        <f t="shared" si="5"/>
        <v>245</v>
      </c>
      <c r="Z20" s="852">
        <v>345979</v>
      </c>
      <c r="AA20" s="853">
        <f t="shared" si="6"/>
        <v>2145.9700000000003</v>
      </c>
      <c r="AB20" s="852">
        <v>387774</v>
      </c>
      <c r="AC20" s="853">
        <f t="shared" si="7"/>
        <v>0</v>
      </c>
      <c r="AD20" s="786">
        <v>580407</v>
      </c>
      <c r="AE20" s="853">
        <f t="shared" si="8"/>
        <v>0</v>
      </c>
      <c r="AF20" s="852">
        <v>309097</v>
      </c>
      <c r="AG20" s="853">
        <f t="shared" si="34"/>
        <v>0</v>
      </c>
      <c r="AH20" s="852">
        <v>329845.98809523799</v>
      </c>
      <c r="AI20" s="853">
        <f t="shared" si="21"/>
        <v>12.215238094906091</v>
      </c>
      <c r="AJ20" s="852">
        <v>707965.01190476201</v>
      </c>
      <c r="AK20" s="853">
        <f t="shared" si="22"/>
        <v>12.16476190453861</v>
      </c>
      <c r="AL20" s="852">
        <v>543877</v>
      </c>
      <c r="AM20" s="853">
        <f t="shared" si="9"/>
        <v>502.97</v>
      </c>
      <c r="AN20" s="852">
        <v>772693</v>
      </c>
      <c r="AO20" s="853">
        <f t="shared" si="44"/>
        <v>2270.52</v>
      </c>
      <c r="AP20" s="852">
        <v>385006.85714285698</v>
      </c>
      <c r="AQ20" s="853">
        <f t="shared" si="11"/>
        <v>172.8178571426368</v>
      </c>
      <c r="AR20" s="853">
        <f t="shared" si="23"/>
        <v>5116.6578571420823</v>
      </c>
      <c r="AS20" s="852">
        <v>7224533</v>
      </c>
      <c r="AT20" s="853">
        <f t="shared" si="24"/>
        <v>74.362499999999997</v>
      </c>
      <c r="AU20" s="852">
        <v>578369</v>
      </c>
      <c r="AV20" s="853">
        <f t="shared" si="12"/>
        <v>270</v>
      </c>
      <c r="AW20" s="852">
        <v>915189</v>
      </c>
      <c r="AX20" s="853">
        <f t="shared" si="25"/>
        <v>78</v>
      </c>
      <c r="AY20" s="852">
        <v>795245</v>
      </c>
      <c r="AZ20" s="853">
        <f t="shared" si="13"/>
        <v>35</v>
      </c>
      <c r="BA20" s="852">
        <v>2342830</v>
      </c>
      <c r="BB20" s="853">
        <f t="shared" si="14"/>
        <v>351</v>
      </c>
      <c r="BC20" s="852">
        <v>210424</v>
      </c>
      <c r="BD20" s="853">
        <f t="shared" si="46"/>
        <v>64</v>
      </c>
      <c r="BE20" s="852">
        <v>17721774</v>
      </c>
      <c r="BF20" s="853">
        <f t="shared" si="16"/>
        <v>3517</v>
      </c>
      <c r="BG20" s="852">
        <v>499646.89285714302</v>
      </c>
      <c r="BH20" s="853">
        <f t="shared" si="16"/>
        <v>107.6785714289872</v>
      </c>
      <c r="BI20" s="852">
        <v>8805</v>
      </c>
      <c r="BJ20" s="853">
        <f t="shared" si="16"/>
        <v>0</v>
      </c>
      <c r="BK20" s="854">
        <v>21972581</v>
      </c>
      <c r="BL20" s="853">
        <f t="shared" si="26"/>
        <v>4666.3</v>
      </c>
      <c r="BM20" s="853">
        <f t="shared" si="27"/>
        <v>9163.3410714289876</v>
      </c>
      <c r="BN20" s="853">
        <f t="shared" si="28"/>
        <v>14279.998928571069</v>
      </c>
      <c r="BO20" s="854">
        <v>1373552</v>
      </c>
      <c r="BP20" s="853">
        <f t="shared" si="17"/>
        <v>276</v>
      </c>
      <c r="BQ20" s="852">
        <v>3504763</v>
      </c>
      <c r="BR20" s="853">
        <f t="shared" si="18"/>
        <v>1025</v>
      </c>
      <c r="BS20" s="852">
        <v>374370</v>
      </c>
      <c r="BT20" s="853">
        <f t="shared" si="19"/>
        <v>121</v>
      </c>
      <c r="BU20" s="852">
        <v>455021</v>
      </c>
      <c r="BV20" s="853">
        <f t="shared" si="35"/>
        <v>204</v>
      </c>
      <c r="BW20" s="768">
        <f t="shared" si="29"/>
        <v>19902.998928571069</v>
      </c>
      <c r="BX20" s="769">
        <v>62</v>
      </c>
      <c r="BY20" s="768">
        <f t="shared" ref="BY20:BY36" si="47">IF(BW20&gt;0,BW20/BX20,0)</f>
        <v>321.0161117511463</v>
      </c>
      <c r="BZ20" s="769"/>
      <c r="CA20" s="768" t="e">
        <f t="shared" si="31"/>
        <v>#DIV/0!</v>
      </c>
      <c r="CB20" s="768">
        <f>BW20*CD1</f>
        <v>22888.448767856727</v>
      </c>
      <c r="CC20" s="768">
        <f t="shared" ref="CC20:CC36" si="48">IF(CB20&gt;0,CB20/BX20,0)</f>
        <v>369.16852851381816</v>
      </c>
      <c r="CD20" s="770" t="e">
        <f t="shared" si="36"/>
        <v>#DIV/0!</v>
      </c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</row>
    <row r="21" spans="1:97" s="412" customFormat="1" ht="33.75" customHeight="1">
      <c r="A21" s="462">
        <v>16</v>
      </c>
      <c r="B21" s="463"/>
      <c r="C21" s="464">
        <f t="shared" si="37"/>
        <v>0</v>
      </c>
      <c r="D21" s="464"/>
      <c r="E21" s="464">
        <f t="shared" si="38"/>
        <v>0</v>
      </c>
      <c r="F21" s="464"/>
      <c r="G21" s="464">
        <f t="shared" si="39"/>
        <v>0</v>
      </c>
      <c r="H21" s="465"/>
      <c r="I21" s="854">
        <v>22129155</v>
      </c>
      <c r="J21" s="853">
        <f t="shared" si="20"/>
        <v>4882</v>
      </c>
      <c r="K21" s="853">
        <f t="shared" si="0"/>
        <v>3069</v>
      </c>
      <c r="L21" s="852">
        <v>24657</v>
      </c>
      <c r="M21" s="853">
        <f t="shared" si="1"/>
        <v>1498</v>
      </c>
      <c r="N21" s="852">
        <v>29260</v>
      </c>
      <c r="O21" s="853">
        <f t="shared" si="2"/>
        <v>1571</v>
      </c>
      <c r="P21" s="854">
        <v>215034</v>
      </c>
      <c r="Q21" s="853">
        <f t="shared" si="45"/>
        <v>480</v>
      </c>
      <c r="R21" s="852">
        <v>702925</v>
      </c>
      <c r="S21" s="853">
        <f>IF(R21&gt;=R20,R21-R20,0)</f>
        <v>0</v>
      </c>
      <c r="T21" s="852">
        <v>344001</v>
      </c>
      <c r="U21" s="853">
        <f>IF(T21&gt;=T20,T21-T20,0)</f>
        <v>0</v>
      </c>
      <c r="V21" s="852">
        <v>133311</v>
      </c>
      <c r="W21" s="853">
        <f t="shared" ref="W21:W36" si="49">IF(V21&gt;=V20,V21-V20,0)</f>
        <v>141</v>
      </c>
      <c r="X21" s="852">
        <v>242248</v>
      </c>
      <c r="Y21" s="853">
        <f t="shared" si="5"/>
        <v>240</v>
      </c>
      <c r="Z21" s="852">
        <v>347132</v>
      </c>
      <c r="AA21" s="853">
        <f t="shared" si="6"/>
        <v>611.09</v>
      </c>
      <c r="AB21" s="852">
        <v>388739</v>
      </c>
      <c r="AC21" s="853">
        <f t="shared" si="7"/>
        <v>511.45000000000005</v>
      </c>
      <c r="AD21" s="786">
        <v>580407</v>
      </c>
      <c r="AE21" s="853">
        <f t="shared" si="8"/>
        <v>0</v>
      </c>
      <c r="AF21" s="852">
        <v>309097</v>
      </c>
      <c r="AG21" s="853">
        <f t="shared" si="34"/>
        <v>0</v>
      </c>
      <c r="AH21" s="852">
        <v>329869.03571428597</v>
      </c>
      <c r="AI21" s="853">
        <f t="shared" si="21"/>
        <v>12.215238095430541</v>
      </c>
      <c r="AJ21" s="852">
        <v>707987.96428571397</v>
      </c>
      <c r="AK21" s="853">
        <f t="shared" si="22"/>
        <v>12.16476190453861</v>
      </c>
      <c r="AL21" s="854">
        <v>544420</v>
      </c>
      <c r="AM21" s="853">
        <f t="shared" si="9"/>
        <v>287.79000000000002</v>
      </c>
      <c r="AN21" s="852">
        <v>776248</v>
      </c>
      <c r="AO21" s="853">
        <f t="shared" si="44"/>
        <v>1884.15</v>
      </c>
      <c r="AP21" s="852">
        <v>385332.92857142899</v>
      </c>
      <c r="AQ21" s="853">
        <f t="shared" si="11"/>
        <v>172.81785714316123</v>
      </c>
      <c r="AR21" s="853">
        <f t="shared" si="23"/>
        <v>3491.6778571431305</v>
      </c>
      <c r="AS21" s="852">
        <v>7225085</v>
      </c>
      <c r="AT21" s="853">
        <f t="shared" si="24"/>
        <v>62.1</v>
      </c>
      <c r="AU21" s="852">
        <v>578675</v>
      </c>
      <c r="AV21" s="853">
        <f t="shared" si="12"/>
        <v>306</v>
      </c>
      <c r="AW21" s="852">
        <v>915279</v>
      </c>
      <c r="AX21" s="853">
        <f t="shared" si="25"/>
        <v>90</v>
      </c>
      <c r="AY21" s="852">
        <v>795274</v>
      </c>
      <c r="AZ21" s="853">
        <f t="shared" si="13"/>
        <v>29</v>
      </c>
      <c r="BA21" s="852">
        <v>2343206</v>
      </c>
      <c r="BB21" s="853">
        <f t="shared" si="14"/>
        <v>376</v>
      </c>
      <c r="BC21" s="854">
        <v>210487</v>
      </c>
      <c r="BD21" s="853">
        <f t="shared" si="46"/>
        <v>63</v>
      </c>
      <c r="BE21" s="852">
        <v>17725058</v>
      </c>
      <c r="BF21" s="853">
        <f t="shared" si="16"/>
        <v>3284</v>
      </c>
      <c r="BG21" s="852">
        <v>499754.57142857101</v>
      </c>
      <c r="BH21" s="853">
        <f t="shared" si="16"/>
        <v>107.67857142799767</v>
      </c>
      <c r="BI21" s="852">
        <v>8805</v>
      </c>
      <c r="BJ21" s="853">
        <f t="shared" si="16"/>
        <v>0</v>
      </c>
      <c r="BK21" s="854">
        <v>21978165</v>
      </c>
      <c r="BL21" s="853">
        <f t="shared" si="26"/>
        <v>4891.05</v>
      </c>
      <c r="BM21" s="853">
        <f t="shared" si="27"/>
        <v>9208.8285714279991</v>
      </c>
      <c r="BN21" s="853">
        <f t="shared" si="28"/>
        <v>12700.506428571131</v>
      </c>
      <c r="BO21" s="854">
        <v>1374177</v>
      </c>
      <c r="BP21" s="853">
        <f t="shared" si="17"/>
        <v>625</v>
      </c>
      <c r="BQ21" s="852">
        <v>3505763</v>
      </c>
      <c r="BR21" s="853">
        <f t="shared" si="18"/>
        <v>1000</v>
      </c>
      <c r="BS21" s="852">
        <v>374481</v>
      </c>
      <c r="BT21" s="853">
        <f t="shared" si="19"/>
        <v>111</v>
      </c>
      <c r="BU21" s="852">
        <v>455214</v>
      </c>
      <c r="BV21" s="853">
        <f t="shared" si="35"/>
        <v>193</v>
      </c>
      <c r="BW21" s="768">
        <f t="shared" si="29"/>
        <v>18062.506428571131</v>
      </c>
      <c r="BX21" s="769">
        <v>69</v>
      </c>
      <c r="BY21" s="768">
        <f t="shared" si="47"/>
        <v>261.77545548653814</v>
      </c>
      <c r="BZ21" s="769"/>
      <c r="CA21" s="768" t="e">
        <f t="shared" si="31"/>
        <v>#DIV/0!</v>
      </c>
      <c r="CB21" s="768">
        <f>BW21*CD1</f>
        <v>20771.882392856798</v>
      </c>
      <c r="CC21" s="768">
        <f t="shared" si="48"/>
        <v>301.04177380951882</v>
      </c>
      <c r="CD21" s="770" t="e">
        <f t="shared" si="36"/>
        <v>#DIV/0!</v>
      </c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</row>
    <row r="22" spans="1:97" s="412" customFormat="1" ht="33.75" customHeight="1">
      <c r="A22" s="462">
        <v>17</v>
      </c>
      <c r="B22" s="463"/>
      <c r="C22" s="464">
        <f t="shared" si="37"/>
        <v>0</v>
      </c>
      <c r="D22" s="464"/>
      <c r="E22" s="464">
        <f t="shared" si="38"/>
        <v>0</v>
      </c>
      <c r="F22" s="464"/>
      <c r="G22" s="464">
        <f t="shared" si="39"/>
        <v>0</v>
      </c>
      <c r="H22" s="465">
        <v>64</v>
      </c>
      <c r="I22" s="854">
        <v>22133878</v>
      </c>
      <c r="J22" s="853">
        <f t="shared" ref="J22:J31" si="50">IF(I22&gt;=I21,I22-I21,0)</f>
        <v>4723</v>
      </c>
      <c r="K22" s="853">
        <f t="shared" si="0"/>
        <v>3084</v>
      </c>
      <c r="L22" s="854">
        <v>26361</v>
      </c>
      <c r="M22" s="853">
        <f t="shared" si="1"/>
        <v>1704</v>
      </c>
      <c r="N22" s="854">
        <v>30640</v>
      </c>
      <c r="O22" s="853">
        <f t="shared" si="2"/>
        <v>1380</v>
      </c>
      <c r="P22" s="854">
        <v>215048</v>
      </c>
      <c r="Q22" s="853">
        <f t="shared" si="45"/>
        <v>420</v>
      </c>
      <c r="R22" s="852">
        <v>702925</v>
      </c>
      <c r="S22" s="853">
        <f t="shared" ref="S22:S36" si="51">IF(R22&gt;=R21,R22-R21,0)</f>
        <v>0</v>
      </c>
      <c r="T22" s="852">
        <v>344001</v>
      </c>
      <c r="U22" s="853">
        <f t="shared" si="4"/>
        <v>0</v>
      </c>
      <c r="V22" s="852">
        <v>133455</v>
      </c>
      <c r="W22" s="853">
        <f t="shared" si="49"/>
        <v>144</v>
      </c>
      <c r="X22" s="852">
        <v>242491</v>
      </c>
      <c r="Y22" s="853">
        <f t="shared" si="5"/>
        <v>243</v>
      </c>
      <c r="Z22" s="852">
        <v>347132</v>
      </c>
      <c r="AA22" s="853">
        <f t="shared" si="6"/>
        <v>0</v>
      </c>
      <c r="AB22" s="852">
        <v>388739</v>
      </c>
      <c r="AC22" s="853">
        <f t="shared" si="7"/>
        <v>0</v>
      </c>
      <c r="AD22" s="786">
        <v>580407</v>
      </c>
      <c r="AE22" s="853">
        <f t="shared" si="8"/>
        <v>0</v>
      </c>
      <c r="AF22" s="852">
        <v>309097</v>
      </c>
      <c r="AG22" s="853">
        <f t="shared" si="34"/>
        <v>0</v>
      </c>
      <c r="AH22" s="852">
        <v>329893</v>
      </c>
      <c r="AI22" s="853">
        <f t="shared" si="21"/>
        <v>12.701071428434808</v>
      </c>
      <c r="AJ22" s="852">
        <v>708012</v>
      </c>
      <c r="AK22" s="853">
        <f t="shared" si="22"/>
        <v>12.738928571596043</v>
      </c>
      <c r="AL22" s="854">
        <v>544480</v>
      </c>
      <c r="AM22" s="853">
        <f t="shared" si="9"/>
        <v>31.8</v>
      </c>
      <c r="AN22" s="852">
        <v>778940</v>
      </c>
      <c r="AO22" s="853">
        <f t="shared" si="44"/>
        <v>1426.76</v>
      </c>
      <c r="AP22" s="852">
        <v>385659</v>
      </c>
      <c r="AQ22" s="853">
        <f t="shared" si="11"/>
        <v>172.8178571426368</v>
      </c>
      <c r="AR22" s="853">
        <f t="shared" si="23"/>
        <v>1656.8178571426677</v>
      </c>
      <c r="AS22" s="852">
        <v>7225126</v>
      </c>
      <c r="AT22" s="853">
        <f t="shared" si="24"/>
        <v>4.6124999999999998</v>
      </c>
      <c r="AU22" s="852">
        <v>578840</v>
      </c>
      <c r="AV22" s="853">
        <f t="shared" si="12"/>
        <v>165</v>
      </c>
      <c r="AW22" s="852">
        <v>915357</v>
      </c>
      <c r="AX22" s="853">
        <f t="shared" si="25"/>
        <v>78</v>
      </c>
      <c r="AY22" s="852">
        <v>795302</v>
      </c>
      <c r="AZ22" s="853">
        <f t="shared" si="13"/>
        <v>28</v>
      </c>
      <c r="BA22" s="854">
        <v>2343533</v>
      </c>
      <c r="BB22" s="853">
        <f t="shared" si="14"/>
        <v>327</v>
      </c>
      <c r="BC22" s="854">
        <v>210548</v>
      </c>
      <c r="BD22" s="853">
        <f t="shared" si="46"/>
        <v>61</v>
      </c>
      <c r="BE22" s="852">
        <v>17728178</v>
      </c>
      <c r="BF22" s="853">
        <f t="shared" si="16"/>
        <v>3120</v>
      </c>
      <c r="BG22" s="852">
        <v>499875</v>
      </c>
      <c r="BH22" s="853">
        <f t="shared" si="16"/>
        <v>120.4285714289872</v>
      </c>
      <c r="BI22" s="852">
        <v>8805</v>
      </c>
      <c r="BJ22" s="853">
        <f t="shared" si="16"/>
        <v>0</v>
      </c>
      <c r="BK22" s="854">
        <v>21983973</v>
      </c>
      <c r="BL22" s="853">
        <f t="shared" si="26"/>
        <v>5114.7</v>
      </c>
      <c r="BM22" s="853">
        <f t="shared" si="27"/>
        <v>9018.7410714289872</v>
      </c>
      <c r="BN22" s="853">
        <f t="shared" si="28"/>
        <v>10675.558928571654</v>
      </c>
      <c r="BO22" s="854">
        <v>1374949</v>
      </c>
      <c r="BP22" s="853">
        <f t="shared" si="17"/>
        <v>772</v>
      </c>
      <c r="BQ22" s="852">
        <v>3506739</v>
      </c>
      <c r="BR22" s="853">
        <f t="shared" si="18"/>
        <v>976</v>
      </c>
      <c r="BS22" s="852">
        <v>374599</v>
      </c>
      <c r="BT22" s="853">
        <f t="shared" si="19"/>
        <v>118</v>
      </c>
      <c r="BU22" s="852">
        <v>455415</v>
      </c>
      <c r="BV22" s="853">
        <f t="shared" si="35"/>
        <v>201</v>
      </c>
      <c r="BW22" s="768">
        <f t="shared" si="29"/>
        <v>15818.558928571656</v>
      </c>
      <c r="BX22" s="769">
        <v>80</v>
      </c>
      <c r="BY22" s="768">
        <f t="shared" si="47"/>
        <v>197.7319866071457</v>
      </c>
      <c r="BZ22" s="769"/>
      <c r="CA22" s="768" t="e">
        <f t="shared" si="31"/>
        <v>#DIV/0!</v>
      </c>
      <c r="CB22" s="768">
        <f>BW22*CD1</f>
        <v>18191.342767857404</v>
      </c>
      <c r="CC22" s="768">
        <f t="shared" si="48"/>
        <v>227.39178459821755</v>
      </c>
      <c r="CD22" s="770" t="e">
        <f t="shared" si="36"/>
        <v>#DIV/0!</v>
      </c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</row>
    <row r="23" spans="1:97" s="412" customFormat="1" ht="33.75" customHeight="1">
      <c r="A23" s="462">
        <v>18</v>
      </c>
      <c r="B23" s="463"/>
      <c r="C23" s="464">
        <f t="shared" si="37"/>
        <v>0</v>
      </c>
      <c r="D23" s="464"/>
      <c r="E23" s="464">
        <f t="shared" si="38"/>
        <v>0</v>
      </c>
      <c r="F23" s="464"/>
      <c r="G23" s="464">
        <f t="shared" si="39"/>
        <v>0</v>
      </c>
      <c r="H23" s="465"/>
      <c r="I23" s="852">
        <v>22138713</v>
      </c>
      <c r="J23" s="853">
        <f t="shared" si="50"/>
        <v>4835</v>
      </c>
      <c r="K23" s="853">
        <f t="shared" si="0"/>
        <v>3111</v>
      </c>
      <c r="L23" s="852">
        <v>28019</v>
      </c>
      <c r="M23" s="853">
        <f t="shared" si="1"/>
        <v>1658</v>
      </c>
      <c r="N23" s="852">
        <v>32093</v>
      </c>
      <c r="O23" s="853">
        <f t="shared" si="2"/>
        <v>1453</v>
      </c>
      <c r="P23" s="854">
        <v>215064</v>
      </c>
      <c r="Q23" s="853">
        <f t="shared" si="45"/>
        <v>480</v>
      </c>
      <c r="R23" s="852">
        <v>702925</v>
      </c>
      <c r="S23" s="853">
        <f t="shared" si="51"/>
        <v>0</v>
      </c>
      <c r="T23" s="852">
        <v>344001</v>
      </c>
      <c r="U23" s="853">
        <f t="shared" ref="U23:U36" si="52">IF(T23&gt;=T22,T23-T22,0)</f>
        <v>0</v>
      </c>
      <c r="V23" s="852">
        <v>133599</v>
      </c>
      <c r="W23" s="853">
        <f t="shared" si="49"/>
        <v>144</v>
      </c>
      <c r="X23" s="852">
        <v>242731</v>
      </c>
      <c r="Y23" s="853">
        <f t="shared" si="5"/>
        <v>240</v>
      </c>
      <c r="Z23" s="852">
        <v>347132</v>
      </c>
      <c r="AA23" s="853">
        <f t="shared" si="6"/>
        <v>0</v>
      </c>
      <c r="AB23" s="852">
        <v>388739</v>
      </c>
      <c r="AC23" s="853">
        <f t="shared" si="7"/>
        <v>0</v>
      </c>
      <c r="AD23" s="786">
        <v>580657</v>
      </c>
      <c r="AE23" s="853">
        <f t="shared" si="8"/>
        <v>132.5</v>
      </c>
      <c r="AF23" s="852">
        <v>309938</v>
      </c>
      <c r="AG23" s="853">
        <f t="shared" si="34"/>
        <v>445.73</v>
      </c>
      <c r="AH23" s="852">
        <v>329916</v>
      </c>
      <c r="AI23" s="853">
        <f t="shared" si="21"/>
        <v>12.190000000000001</v>
      </c>
      <c r="AJ23" s="852">
        <v>708034</v>
      </c>
      <c r="AK23" s="853">
        <f t="shared" si="22"/>
        <v>11.66</v>
      </c>
      <c r="AL23" s="852">
        <v>544587</v>
      </c>
      <c r="AM23" s="853">
        <f t="shared" si="9"/>
        <v>56.71</v>
      </c>
      <c r="AN23" s="852">
        <v>781793</v>
      </c>
      <c r="AO23" s="853">
        <f t="shared" si="44"/>
        <v>1512.0900000000001</v>
      </c>
      <c r="AP23" s="852">
        <v>386044</v>
      </c>
      <c r="AQ23" s="853">
        <f t="shared" si="11"/>
        <v>204.05</v>
      </c>
      <c r="AR23" s="853">
        <f t="shared" si="23"/>
        <v>2374.9300000000003</v>
      </c>
      <c r="AS23" s="852">
        <v>7225151</v>
      </c>
      <c r="AT23" s="853">
        <f t="shared" si="24"/>
        <v>2.8125</v>
      </c>
      <c r="AU23" s="852">
        <v>579166</v>
      </c>
      <c r="AV23" s="853">
        <f t="shared" si="12"/>
        <v>326</v>
      </c>
      <c r="AW23" s="852">
        <v>915446</v>
      </c>
      <c r="AX23" s="853">
        <f t="shared" si="25"/>
        <v>89</v>
      </c>
      <c r="AY23" s="852">
        <v>795331</v>
      </c>
      <c r="AZ23" s="853">
        <f t="shared" si="13"/>
        <v>29</v>
      </c>
      <c r="BA23" s="852">
        <v>2343873</v>
      </c>
      <c r="BB23" s="853">
        <f t="shared" si="14"/>
        <v>340</v>
      </c>
      <c r="BC23" s="854">
        <v>210611</v>
      </c>
      <c r="BD23" s="853">
        <f t="shared" si="46"/>
        <v>63</v>
      </c>
      <c r="BE23" s="854">
        <v>17731132</v>
      </c>
      <c r="BF23" s="853">
        <f t="shared" si="16"/>
        <v>2954</v>
      </c>
      <c r="BG23" s="852">
        <v>499990</v>
      </c>
      <c r="BH23" s="853">
        <f t="shared" si="16"/>
        <v>115</v>
      </c>
      <c r="BI23" s="852">
        <v>8805</v>
      </c>
      <c r="BJ23" s="853">
        <f t="shared" si="16"/>
        <v>0</v>
      </c>
      <c r="BK23" s="854">
        <v>21989377</v>
      </c>
      <c r="BL23" s="853">
        <f t="shared" si="26"/>
        <v>4699.4000000000005</v>
      </c>
      <c r="BM23" s="853">
        <f t="shared" si="27"/>
        <v>8618.2125000000015</v>
      </c>
      <c r="BN23" s="853">
        <f t="shared" si="28"/>
        <v>10993.142500000002</v>
      </c>
      <c r="BO23" s="854">
        <v>1375430</v>
      </c>
      <c r="BP23" s="853">
        <f t="shared" si="17"/>
        <v>481</v>
      </c>
      <c r="BQ23" s="852">
        <v>3507751</v>
      </c>
      <c r="BR23" s="853">
        <f t="shared" si="18"/>
        <v>1012</v>
      </c>
      <c r="BS23" s="852">
        <v>374715</v>
      </c>
      <c r="BT23" s="853">
        <f t="shared" si="19"/>
        <v>116</v>
      </c>
      <c r="BU23" s="854">
        <v>455612</v>
      </c>
      <c r="BV23" s="853">
        <f t="shared" si="35"/>
        <v>197</v>
      </c>
      <c r="BW23" s="768">
        <f t="shared" si="29"/>
        <v>16308.142500000002</v>
      </c>
      <c r="BX23" s="769">
        <v>70</v>
      </c>
      <c r="BY23" s="768">
        <f t="shared" si="47"/>
        <v>232.9734642857143</v>
      </c>
      <c r="BZ23" s="769"/>
      <c r="CA23" s="768" t="e">
        <f t="shared" si="31"/>
        <v>#DIV/0!</v>
      </c>
      <c r="CB23" s="768">
        <f>BW23*CD1</f>
        <v>18754.363874999999</v>
      </c>
      <c r="CC23" s="768">
        <f t="shared" si="48"/>
        <v>267.91948392857142</v>
      </c>
      <c r="CD23" s="770" t="e">
        <f t="shared" si="36"/>
        <v>#DIV/0!</v>
      </c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  <c r="CP23" s="468"/>
      <c r="CQ23" s="468"/>
      <c r="CR23" s="468"/>
      <c r="CS23" s="468"/>
    </row>
    <row r="24" spans="1:97" s="412" customFormat="1" ht="33.75" customHeight="1">
      <c r="A24" s="462">
        <v>19</v>
      </c>
      <c r="B24" s="463"/>
      <c r="C24" s="464">
        <f t="shared" si="37"/>
        <v>0</v>
      </c>
      <c r="D24" s="464"/>
      <c r="E24" s="464">
        <f t="shared" si="38"/>
        <v>0</v>
      </c>
      <c r="F24" s="464"/>
      <c r="G24" s="464">
        <f t="shared" si="39"/>
        <v>0</v>
      </c>
      <c r="H24" s="465">
        <v>65</v>
      </c>
      <c r="I24" s="854">
        <v>22143096</v>
      </c>
      <c r="J24" s="853">
        <f t="shared" si="50"/>
        <v>4383</v>
      </c>
      <c r="K24" s="853">
        <f t="shared" si="0"/>
        <v>2769</v>
      </c>
      <c r="L24" s="852">
        <v>29430</v>
      </c>
      <c r="M24" s="853">
        <f t="shared" si="1"/>
        <v>1411</v>
      </c>
      <c r="N24" s="852">
        <v>33451</v>
      </c>
      <c r="O24" s="853">
        <f t="shared" si="2"/>
        <v>1358</v>
      </c>
      <c r="P24" s="854">
        <v>215081</v>
      </c>
      <c r="Q24" s="853">
        <f>IF(P24&gt;=P23,P24-P23,0)*30</f>
        <v>510</v>
      </c>
      <c r="R24" s="852">
        <v>702925</v>
      </c>
      <c r="S24" s="853">
        <f t="shared" si="51"/>
        <v>0</v>
      </c>
      <c r="T24" s="852">
        <v>344001</v>
      </c>
      <c r="U24" s="853">
        <f t="shared" si="52"/>
        <v>0</v>
      </c>
      <c r="V24" s="854">
        <v>133745</v>
      </c>
      <c r="W24" s="853">
        <f t="shared" si="49"/>
        <v>146</v>
      </c>
      <c r="X24" s="854">
        <v>242928</v>
      </c>
      <c r="Y24" s="853">
        <f t="shared" si="5"/>
        <v>197</v>
      </c>
      <c r="Z24" s="852">
        <v>347132</v>
      </c>
      <c r="AA24" s="853">
        <f t="shared" si="6"/>
        <v>0</v>
      </c>
      <c r="AB24" s="852">
        <v>389651</v>
      </c>
      <c r="AC24" s="853">
        <f t="shared" si="7"/>
        <v>483.36</v>
      </c>
      <c r="AD24" s="854">
        <v>580657</v>
      </c>
      <c r="AE24" s="853">
        <f t="shared" si="8"/>
        <v>0</v>
      </c>
      <c r="AF24" s="852">
        <v>309938</v>
      </c>
      <c r="AG24" s="853">
        <f t="shared" si="34"/>
        <v>0</v>
      </c>
      <c r="AH24" s="852">
        <v>329938</v>
      </c>
      <c r="AI24" s="853">
        <f t="shared" si="21"/>
        <v>11.66</v>
      </c>
      <c r="AJ24" s="852">
        <v>708057</v>
      </c>
      <c r="AK24" s="853">
        <f t="shared" si="22"/>
        <v>12.190000000000001</v>
      </c>
      <c r="AL24" s="852">
        <v>544727</v>
      </c>
      <c r="AM24" s="853">
        <f t="shared" si="9"/>
        <v>74.2</v>
      </c>
      <c r="AN24" s="852">
        <v>784451</v>
      </c>
      <c r="AO24" s="853">
        <f t="shared" si="44"/>
        <v>1408.74</v>
      </c>
      <c r="AP24" s="852">
        <v>386294</v>
      </c>
      <c r="AQ24" s="853">
        <f t="shared" si="11"/>
        <v>132.5</v>
      </c>
      <c r="AR24" s="853">
        <f t="shared" si="23"/>
        <v>2122.65</v>
      </c>
      <c r="AS24" s="786">
        <v>7225173</v>
      </c>
      <c r="AT24" s="853">
        <f t="shared" si="24"/>
        <v>2.4750000000000001</v>
      </c>
      <c r="AU24" s="852">
        <v>579353</v>
      </c>
      <c r="AV24" s="853">
        <f t="shared" si="12"/>
        <v>187</v>
      </c>
      <c r="AW24" s="854">
        <v>915540</v>
      </c>
      <c r="AX24" s="853">
        <f t="shared" si="25"/>
        <v>94</v>
      </c>
      <c r="AY24" s="852">
        <v>795350</v>
      </c>
      <c r="AZ24" s="853">
        <f t="shared" si="13"/>
        <v>19</v>
      </c>
      <c r="BA24" s="852">
        <v>2344210</v>
      </c>
      <c r="BB24" s="853">
        <f t="shared" si="14"/>
        <v>337</v>
      </c>
      <c r="BC24" s="854">
        <v>210674</v>
      </c>
      <c r="BD24" s="853">
        <f t="shared" si="46"/>
        <v>63</v>
      </c>
      <c r="BE24" s="852">
        <v>17734164</v>
      </c>
      <c r="BF24" s="853">
        <f t="shared" si="16"/>
        <v>3032</v>
      </c>
      <c r="BG24" s="852">
        <v>500059</v>
      </c>
      <c r="BH24" s="853">
        <f t="shared" si="16"/>
        <v>69</v>
      </c>
      <c r="BI24" s="852">
        <v>8820</v>
      </c>
      <c r="BJ24" s="853">
        <f t="shared" si="16"/>
        <v>15</v>
      </c>
      <c r="BK24" s="854">
        <v>21994425</v>
      </c>
      <c r="BL24" s="853">
        <f t="shared" si="26"/>
        <v>4364.2999999999993</v>
      </c>
      <c r="BM24" s="853">
        <f t="shared" si="27"/>
        <v>8182.7749999999996</v>
      </c>
      <c r="BN24" s="853">
        <f t="shared" si="28"/>
        <v>10305.424999999999</v>
      </c>
      <c r="BO24" s="854">
        <v>1375714</v>
      </c>
      <c r="BP24" s="853">
        <f t="shared" si="17"/>
        <v>284</v>
      </c>
      <c r="BQ24" s="854">
        <v>3508729</v>
      </c>
      <c r="BR24" s="853">
        <f t="shared" si="18"/>
        <v>978</v>
      </c>
      <c r="BS24" s="852">
        <v>374823</v>
      </c>
      <c r="BT24" s="853">
        <f t="shared" si="19"/>
        <v>108</v>
      </c>
      <c r="BU24" s="854">
        <v>455807</v>
      </c>
      <c r="BV24" s="853">
        <f t="shared" si="35"/>
        <v>195</v>
      </c>
      <c r="BW24" s="768">
        <f t="shared" si="29"/>
        <v>15198.424999999999</v>
      </c>
      <c r="BX24" s="769">
        <v>63</v>
      </c>
      <c r="BY24" s="768">
        <f t="shared" si="47"/>
        <v>241.24484126984126</v>
      </c>
      <c r="BZ24" s="769"/>
      <c r="CA24" s="768" t="e">
        <f t="shared" si="31"/>
        <v>#DIV/0!</v>
      </c>
      <c r="CB24" s="768">
        <f>BW24*CD1</f>
        <v>17478.188749999998</v>
      </c>
      <c r="CC24" s="768">
        <f t="shared" si="48"/>
        <v>277.43156746031741</v>
      </c>
      <c r="CD24" s="770" t="e">
        <f t="shared" si="36"/>
        <v>#DIV/0!</v>
      </c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</row>
    <row r="25" spans="1:97" s="412" customFormat="1" ht="33.75" customHeight="1">
      <c r="A25" s="462">
        <v>20</v>
      </c>
      <c r="B25" s="463"/>
      <c r="C25" s="464">
        <f t="shared" si="37"/>
        <v>0</v>
      </c>
      <c r="D25" s="464"/>
      <c r="E25" s="464">
        <f t="shared" si="38"/>
        <v>0</v>
      </c>
      <c r="F25" s="464"/>
      <c r="G25" s="464">
        <f t="shared" si="39"/>
        <v>0</v>
      </c>
      <c r="H25" s="465"/>
      <c r="I25" s="854">
        <v>22147471</v>
      </c>
      <c r="J25" s="853">
        <f t="shared" si="50"/>
        <v>4375</v>
      </c>
      <c r="K25" s="853">
        <f t="shared" si="0"/>
        <v>4445</v>
      </c>
      <c r="L25" s="854">
        <v>31078</v>
      </c>
      <c r="M25" s="853">
        <f t="shared" si="1"/>
        <v>1648</v>
      </c>
      <c r="N25" s="854">
        <v>36248</v>
      </c>
      <c r="O25" s="853">
        <f t="shared" si="2"/>
        <v>2797</v>
      </c>
      <c r="P25" s="854">
        <v>215094</v>
      </c>
      <c r="Q25" s="853">
        <f t="shared" si="45"/>
        <v>390</v>
      </c>
      <c r="R25" s="852">
        <v>702925</v>
      </c>
      <c r="S25" s="853">
        <f t="shared" si="51"/>
        <v>0</v>
      </c>
      <c r="T25" s="852">
        <v>344001</v>
      </c>
      <c r="U25" s="853">
        <f t="shared" si="52"/>
        <v>0</v>
      </c>
      <c r="V25" s="852">
        <v>133883</v>
      </c>
      <c r="W25" s="853">
        <f t="shared" si="49"/>
        <v>138</v>
      </c>
      <c r="X25" s="854">
        <v>243214</v>
      </c>
      <c r="Y25" s="853">
        <f t="shared" si="5"/>
        <v>286</v>
      </c>
      <c r="Z25" s="852">
        <v>347132</v>
      </c>
      <c r="AA25" s="853">
        <f t="shared" si="6"/>
        <v>0</v>
      </c>
      <c r="AB25" s="852">
        <v>391752</v>
      </c>
      <c r="AC25" s="853">
        <f t="shared" si="7"/>
        <v>1113.53</v>
      </c>
      <c r="AD25" s="786">
        <v>580657</v>
      </c>
      <c r="AE25" s="853">
        <f t="shared" si="8"/>
        <v>0</v>
      </c>
      <c r="AF25" s="852">
        <v>309938</v>
      </c>
      <c r="AG25" s="853">
        <f t="shared" si="34"/>
        <v>0</v>
      </c>
      <c r="AH25" s="852">
        <v>329959</v>
      </c>
      <c r="AI25" s="853">
        <f t="shared" si="21"/>
        <v>11.13</v>
      </c>
      <c r="AJ25" s="852">
        <v>708078</v>
      </c>
      <c r="AK25" s="853">
        <f t="shared" si="22"/>
        <v>11.13</v>
      </c>
      <c r="AL25" s="852">
        <v>544998</v>
      </c>
      <c r="AM25" s="853">
        <f t="shared" si="9"/>
        <v>143.63</v>
      </c>
      <c r="AN25" s="852">
        <v>787807</v>
      </c>
      <c r="AO25" s="853">
        <f t="shared" si="44"/>
        <v>1778.68</v>
      </c>
      <c r="AP25" s="852">
        <v>386601</v>
      </c>
      <c r="AQ25" s="853">
        <f t="shared" si="11"/>
        <v>162.71</v>
      </c>
      <c r="AR25" s="853">
        <f t="shared" si="23"/>
        <v>3220.8100000000004</v>
      </c>
      <c r="AS25" s="852">
        <v>7225198</v>
      </c>
      <c r="AT25" s="853">
        <f t="shared" si="24"/>
        <v>2.8125</v>
      </c>
      <c r="AU25" s="854">
        <v>579614</v>
      </c>
      <c r="AV25" s="853">
        <f>IF(AU25&gt;=AU24,AU25-AU24,0)</f>
        <v>261</v>
      </c>
      <c r="AW25" s="854">
        <v>915638</v>
      </c>
      <c r="AX25" s="853">
        <f t="shared" si="25"/>
        <v>98</v>
      </c>
      <c r="AY25" s="852">
        <v>795370</v>
      </c>
      <c r="AZ25" s="853">
        <f t="shared" si="13"/>
        <v>20</v>
      </c>
      <c r="BA25" s="852">
        <v>2344538</v>
      </c>
      <c r="BB25" s="853">
        <f t="shared" si="14"/>
        <v>328</v>
      </c>
      <c r="BC25" s="854">
        <v>210733</v>
      </c>
      <c r="BD25" s="853">
        <f t="shared" si="46"/>
        <v>59</v>
      </c>
      <c r="BE25" s="852">
        <v>17737242</v>
      </c>
      <c r="BF25" s="853">
        <f t="shared" si="16"/>
        <v>3078</v>
      </c>
      <c r="BG25" s="852">
        <v>500165</v>
      </c>
      <c r="BH25" s="853">
        <f t="shared" si="16"/>
        <v>106</v>
      </c>
      <c r="BI25" s="852">
        <v>8820</v>
      </c>
      <c r="BJ25" s="853">
        <f t="shared" si="16"/>
        <v>0</v>
      </c>
      <c r="BK25" s="854">
        <v>21999319</v>
      </c>
      <c r="BL25" s="853">
        <f t="shared" si="26"/>
        <v>4216.6500000000005</v>
      </c>
      <c r="BM25" s="853">
        <f t="shared" si="27"/>
        <v>8169.4625000000005</v>
      </c>
      <c r="BN25" s="853">
        <f t="shared" si="28"/>
        <v>11390.272500000001</v>
      </c>
      <c r="BO25" s="854">
        <v>1375978</v>
      </c>
      <c r="BP25" s="853">
        <f t="shared" si="17"/>
        <v>264</v>
      </c>
      <c r="BQ25" s="854">
        <v>3509701</v>
      </c>
      <c r="BR25" s="853">
        <f t="shared" si="18"/>
        <v>972</v>
      </c>
      <c r="BS25" s="786">
        <v>374934</v>
      </c>
      <c r="BT25" s="853">
        <f t="shared" si="19"/>
        <v>111</v>
      </c>
      <c r="BU25" s="852">
        <v>455997</v>
      </c>
      <c r="BV25" s="853">
        <f t="shared" si="35"/>
        <v>190</v>
      </c>
      <c r="BW25" s="768">
        <f t="shared" si="29"/>
        <v>16155.272500000001</v>
      </c>
      <c r="BX25" s="769">
        <v>56</v>
      </c>
      <c r="BY25" s="768">
        <f t="shared" si="47"/>
        <v>288.48700892857147</v>
      </c>
      <c r="BZ25" s="769"/>
      <c r="CA25" s="768" t="e">
        <f t="shared" si="31"/>
        <v>#DIV/0!</v>
      </c>
      <c r="CB25" s="768">
        <f>BW25*CD1</f>
        <v>18578.563374999998</v>
      </c>
      <c r="CC25" s="768">
        <f t="shared" si="48"/>
        <v>331.76006026785711</v>
      </c>
      <c r="CD25" s="770" t="e">
        <f t="shared" si="36"/>
        <v>#DIV/0!</v>
      </c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</row>
    <row r="26" spans="1:97" s="412" customFormat="1" ht="33.75" customHeight="1">
      <c r="A26" s="462">
        <v>21</v>
      </c>
      <c r="B26" s="463"/>
      <c r="C26" s="464">
        <f t="shared" si="37"/>
        <v>0</v>
      </c>
      <c r="D26" s="464"/>
      <c r="E26" s="464">
        <f t="shared" si="38"/>
        <v>0</v>
      </c>
      <c r="F26" s="464"/>
      <c r="G26" s="464">
        <f t="shared" si="39"/>
        <v>0</v>
      </c>
      <c r="H26" s="465">
        <v>66</v>
      </c>
      <c r="I26" s="854">
        <v>22153337</v>
      </c>
      <c r="J26" s="853">
        <f t="shared" si="50"/>
        <v>5866</v>
      </c>
      <c r="K26" s="853">
        <f t="shared" si="0"/>
        <v>3572</v>
      </c>
      <c r="L26" s="854">
        <v>32792</v>
      </c>
      <c r="M26" s="853">
        <f t="shared" si="1"/>
        <v>1714</v>
      </c>
      <c r="N26" s="852">
        <v>38106</v>
      </c>
      <c r="O26" s="853">
        <f t="shared" si="2"/>
        <v>1858</v>
      </c>
      <c r="P26" s="854">
        <v>215112</v>
      </c>
      <c r="Q26" s="853">
        <f t="shared" si="45"/>
        <v>540</v>
      </c>
      <c r="R26" s="852">
        <v>702925</v>
      </c>
      <c r="S26" s="853">
        <f t="shared" si="51"/>
        <v>0</v>
      </c>
      <c r="T26" s="852">
        <v>344001</v>
      </c>
      <c r="U26" s="853">
        <f t="shared" si="52"/>
        <v>0</v>
      </c>
      <c r="V26" s="852">
        <v>134038</v>
      </c>
      <c r="W26" s="853">
        <f t="shared" si="49"/>
        <v>155</v>
      </c>
      <c r="X26" s="852">
        <v>243479</v>
      </c>
      <c r="Y26" s="853">
        <f t="shared" si="5"/>
        <v>265</v>
      </c>
      <c r="Z26" s="852">
        <v>348926</v>
      </c>
      <c r="AA26" s="853">
        <f t="shared" si="6"/>
        <v>950.82</v>
      </c>
      <c r="AB26" s="852">
        <v>391752</v>
      </c>
      <c r="AC26" s="853">
        <f t="shared" si="7"/>
        <v>0</v>
      </c>
      <c r="AD26" s="854">
        <v>580657</v>
      </c>
      <c r="AE26" s="853">
        <f t="shared" si="8"/>
        <v>0</v>
      </c>
      <c r="AF26" s="852">
        <v>309938</v>
      </c>
      <c r="AG26" s="853">
        <f t="shared" si="34"/>
        <v>0</v>
      </c>
      <c r="AH26" s="852">
        <v>329983</v>
      </c>
      <c r="AI26" s="853">
        <f t="shared" si="21"/>
        <v>12.72</v>
      </c>
      <c r="AJ26" s="852">
        <v>708101</v>
      </c>
      <c r="AK26" s="853">
        <f t="shared" si="22"/>
        <v>12.190000000000001</v>
      </c>
      <c r="AL26" s="852">
        <v>545366</v>
      </c>
      <c r="AM26" s="853">
        <f t="shared" si="9"/>
        <v>195.04000000000002</v>
      </c>
      <c r="AN26" s="854">
        <v>791787</v>
      </c>
      <c r="AO26" s="853">
        <f t="shared" si="44"/>
        <v>2109.4</v>
      </c>
      <c r="AP26" s="852">
        <v>386923</v>
      </c>
      <c r="AQ26" s="853">
        <f t="shared" si="11"/>
        <v>170.66</v>
      </c>
      <c r="AR26" s="853">
        <f t="shared" si="23"/>
        <v>3450.83</v>
      </c>
      <c r="AS26" s="852">
        <v>7225237</v>
      </c>
      <c r="AT26" s="853">
        <f t="shared" si="24"/>
        <v>4.3875000000000002</v>
      </c>
      <c r="AU26" s="852">
        <v>579889</v>
      </c>
      <c r="AV26" s="853">
        <f>IF(AU26&gt;=AU25,AU26-AU25,0)</f>
        <v>275</v>
      </c>
      <c r="AW26" s="854">
        <v>915732</v>
      </c>
      <c r="AX26" s="853">
        <f t="shared" si="25"/>
        <v>94</v>
      </c>
      <c r="AY26" s="852">
        <v>795402</v>
      </c>
      <c r="AZ26" s="853">
        <f t="shared" si="13"/>
        <v>32</v>
      </c>
      <c r="BA26" s="852">
        <v>2344915</v>
      </c>
      <c r="BB26" s="853">
        <f t="shared" si="14"/>
        <v>377</v>
      </c>
      <c r="BC26" s="854">
        <v>210799</v>
      </c>
      <c r="BD26" s="853">
        <f t="shared" si="46"/>
        <v>66</v>
      </c>
      <c r="BE26" s="852">
        <v>17740516</v>
      </c>
      <c r="BF26" s="853">
        <f t="shared" si="16"/>
        <v>3274</v>
      </c>
      <c r="BG26" s="852">
        <v>500278</v>
      </c>
      <c r="BH26" s="853">
        <f t="shared" si="16"/>
        <v>113</v>
      </c>
      <c r="BI26" s="852">
        <v>8820</v>
      </c>
      <c r="BJ26" s="853">
        <f t="shared" si="16"/>
        <v>0</v>
      </c>
      <c r="BK26" s="854">
        <v>22004807</v>
      </c>
      <c r="BL26" s="853">
        <f t="shared" si="26"/>
        <v>4783.7000000000007</v>
      </c>
      <c r="BM26" s="853">
        <f t="shared" si="27"/>
        <v>9019.0875000000015</v>
      </c>
      <c r="BN26" s="853">
        <f t="shared" si="28"/>
        <v>12469.917500000001</v>
      </c>
      <c r="BO26" s="854">
        <v>1376263</v>
      </c>
      <c r="BP26" s="853">
        <f t="shared" si="17"/>
        <v>285</v>
      </c>
      <c r="BQ26" s="852">
        <v>3510663</v>
      </c>
      <c r="BR26" s="853">
        <f t="shared" si="18"/>
        <v>962</v>
      </c>
      <c r="BS26" s="852">
        <v>375066</v>
      </c>
      <c r="BT26" s="853">
        <f t="shared" si="19"/>
        <v>132</v>
      </c>
      <c r="BU26" s="852">
        <v>456209</v>
      </c>
      <c r="BV26" s="853">
        <f t="shared" si="35"/>
        <v>212</v>
      </c>
      <c r="BW26" s="768">
        <f t="shared" si="29"/>
        <v>18875.917500000003</v>
      </c>
      <c r="BX26" s="769">
        <v>87</v>
      </c>
      <c r="BY26" s="768">
        <f t="shared" si="47"/>
        <v>216.96456896551729</v>
      </c>
      <c r="BZ26" s="769"/>
      <c r="CA26" s="768" t="e">
        <f t="shared" si="31"/>
        <v>#DIV/0!</v>
      </c>
      <c r="CB26" s="768">
        <f>BW26*CD1</f>
        <v>21707.305125000003</v>
      </c>
      <c r="CC26" s="768">
        <f t="shared" si="48"/>
        <v>249.50925431034486</v>
      </c>
      <c r="CD26" s="770" t="e">
        <f t="shared" si="36"/>
        <v>#DIV/0!</v>
      </c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</row>
    <row r="27" spans="1:97" s="412" customFormat="1" ht="33.75" customHeight="1">
      <c r="A27" s="462">
        <v>22</v>
      </c>
      <c r="B27" s="463"/>
      <c r="C27" s="464">
        <f t="shared" si="37"/>
        <v>0</v>
      </c>
      <c r="D27" s="464"/>
      <c r="E27" s="464">
        <f t="shared" si="38"/>
        <v>0</v>
      </c>
      <c r="F27" s="464"/>
      <c r="G27" s="464">
        <f t="shared" si="39"/>
        <v>0</v>
      </c>
      <c r="H27" s="465"/>
      <c r="I27" s="854">
        <v>22159656</v>
      </c>
      <c r="J27" s="853">
        <f t="shared" si="50"/>
        <v>6319</v>
      </c>
      <c r="K27" s="853">
        <f t="shared" si="0"/>
        <v>3200</v>
      </c>
      <c r="L27" s="854">
        <v>34736</v>
      </c>
      <c r="M27" s="853">
        <f t="shared" si="1"/>
        <v>1944</v>
      </c>
      <c r="N27" s="852">
        <v>39362</v>
      </c>
      <c r="O27" s="853">
        <f t="shared" si="2"/>
        <v>1256</v>
      </c>
      <c r="P27" s="854">
        <v>215131</v>
      </c>
      <c r="Q27" s="853">
        <f>IF(P27&gt;=P26,P27-P26,0)*30</f>
        <v>570</v>
      </c>
      <c r="R27" s="852">
        <v>702925</v>
      </c>
      <c r="S27" s="853">
        <f t="shared" si="51"/>
        <v>0</v>
      </c>
      <c r="T27" s="852">
        <v>344001</v>
      </c>
      <c r="U27" s="853">
        <f t="shared" si="52"/>
        <v>0</v>
      </c>
      <c r="V27" s="852">
        <v>134197</v>
      </c>
      <c r="W27" s="853">
        <f t="shared" si="49"/>
        <v>159</v>
      </c>
      <c r="X27" s="854">
        <v>243755</v>
      </c>
      <c r="Y27" s="853">
        <f t="shared" si="5"/>
        <v>276</v>
      </c>
      <c r="Z27" s="852">
        <v>351008</v>
      </c>
      <c r="AA27" s="853">
        <f t="shared" si="6"/>
        <v>1103.46</v>
      </c>
      <c r="AB27" s="852">
        <v>391752</v>
      </c>
      <c r="AC27" s="853">
        <f t="shared" si="7"/>
        <v>0</v>
      </c>
      <c r="AD27" s="852">
        <v>580657</v>
      </c>
      <c r="AE27" s="853">
        <f t="shared" si="8"/>
        <v>0</v>
      </c>
      <c r="AF27" s="852">
        <v>310194</v>
      </c>
      <c r="AG27" s="853">
        <f t="shared" si="34"/>
        <v>135.68</v>
      </c>
      <c r="AH27" s="852">
        <v>330010</v>
      </c>
      <c r="AI27" s="853">
        <f t="shared" si="21"/>
        <v>14.31</v>
      </c>
      <c r="AJ27" s="852">
        <v>708129</v>
      </c>
      <c r="AK27" s="853">
        <f t="shared" si="22"/>
        <v>14.84</v>
      </c>
      <c r="AL27" s="854">
        <v>545728</v>
      </c>
      <c r="AM27" s="853">
        <f t="shared" si="9"/>
        <v>191.86</v>
      </c>
      <c r="AN27" s="852">
        <v>795657</v>
      </c>
      <c r="AO27" s="853">
        <f t="shared" si="44"/>
        <v>2051.1</v>
      </c>
      <c r="AP27" s="852">
        <v>387279</v>
      </c>
      <c r="AQ27" s="853">
        <f t="shared" si="11"/>
        <v>188.68</v>
      </c>
      <c r="AR27" s="853">
        <f t="shared" si="23"/>
        <v>3699.93</v>
      </c>
      <c r="AS27" s="852">
        <v>7225274</v>
      </c>
      <c r="AT27" s="853">
        <f t="shared" si="24"/>
        <v>4.1625000000000005</v>
      </c>
      <c r="AU27" s="852">
        <v>580091</v>
      </c>
      <c r="AV27" s="853">
        <f>IF(AU27&gt;=AU26,AU27-AU26,0)</f>
        <v>202</v>
      </c>
      <c r="AW27" s="852">
        <v>915818</v>
      </c>
      <c r="AX27" s="853">
        <f t="shared" si="25"/>
        <v>86</v>
      </c>
      <c r="AY27" s="852">
        <v>795434</v>
      </c>
      <c r="AZ27" s="853">
        <f t="shared" si="13"/>
        <v>32</v>
      </c>
      <c r="BA27" s="852">
        <v>2345318</v>
      </c>
      <c r="BB27" s="853">
        <f t="shared" si="14"/>
        <v>403</v>
      </c>
      <c r="BC27" s="854">
        <v>210867</v>
      </c>
      <c r="BD27" s="853">
        <f t="shared" si="46"/>
        <v>68</v>
      </c>
      <c r="BE27" s="852">
        <v>17743928</v>
      </c>
      <c r="BF27" s="853">
        <f t="shared" si="16"/>
        <v>3412</v>
      </c>
      <c r="BG27" s="852">
        <v>500404</v>
      </c>
      <c r="BH27" s="853">
        <f t="shared" si="16"/>
        <v>126</v>
      </c>
      <c r="BI27" s="852">
        <v>8820</v>
      </c>
      <c r="BJ27" s="853">
        <f t="shared" si="16"/>
        <v>0</v>
      </c>
      <c r="BK27" s="854">
        <v>22011429</v>
      </c>
      <c r="BL27" s="853">
        <f t="shared" si="26"/>
        <v>5872.2</v>
      </c>
      <c r="BM27" s="853">
        <f t="shared" si="27"/>
        <v>10205.362499999999</v>
      </c>
      <c r="BN27" s="853">
        <f t="shared" si="28"/>
        <v>13905.2925</v>
      </c>
      <c r="BO27" s="854">
        <v>1377028</v>
      </c>
      <c r="BP27" s="853">
        <f t="shared" si="17"/>
        <v>765</v>
      </c>
      <c r="BQ27" s="852">
        <v>3511711</v>
      </c>
      <c r="BR27" s="853">
        <f t="shared" si="18"/>
        <v>1048</v>
      </c>
      <c r="BS27" s="852">
        <v>375202</v>
      </c>
      <c r="BT27" s="853">
        <f t="shared" si="19"/>
        <v>136</v>
      </c>
      <c r="BU27" s="852">
        <v>456426</v>
      </c>
      <c r="BV27" s="853">
        <f t="shared" si="35"/>
        <v>217</v>
      </c>
      <c r="BW27" s="768">
        <f t="shared" si="29"/>
        <v>20794.2925</v>
      </c>
      <c r="BX27" s="769">
        <v>88</v>
      </c>
      <c r="BY27" s="768">
        <f t="shared" si="47"/>
        <v>236.29877840909091</v>
      </c>
      <c r="BZ27" s="769"/>
      <c r="CA27" s="768" t="e">
        <f t="shared" si="31"/>
        <v>#DIV/0!</v>
      </c>
      <c r="CB27" s="768">
        <f>BW27*CD1</f>
        <v>23913.436374999997</v>
      </c>
      <c r="CC27" s="768">
        <f t="shared" si="48"/>
        <v>271.74359517045451</v>
      </c>
      <c r="CD27" s="770" t="e">
        <f t="shared" si="36"/>
        <v>#DIV/0!</v>
      </c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</row>
    <row r="28" spans="1:97" s="412" customFormat="1" ht="33.75" customHeight="1">
      <c r="A28" s="462">
        <v>23</v>
      </c>
      <c r="B28" s="463"/>
      <c r="C28" s="464">
        <f t="shared" si="37"/>
        <v>0</v>
      </c>
      <c r="D28" s="464"/>
      <c r="E28" s="464">
        <f t="shared" si="38"/>
        <v>0</v>
      </c>
      <c r="F28" s="464"/>
      <c r="G28" s="464">
        <f t="shared" si="39"/>
        <v>0</v>
      </c>
      <c r="H28" s="465">
        <v>67</v>
      </c>
      <c r="I28" s="852">
        <v>22165213</v>
      </c>
      <c r="J28" s="853">
        <f t="shared" si="50"/>
        <v>5557</v>
      </c>
      <c r="K28" s="853">
        <f t="shared" si="0"/>
        <v>3709</v>
      </c>
      <c r="L28" s="852">
        <v>36672</v>
      </c>
      <c r="M28" s="853">
        <f t="shared" si="1"/>
        <v>1936</v>
      </c>
      <c r="N28" s="852">
        <v>41135</v>
      </c>
      <c r="O28" s="853">
        <f t="shared" si="2"/>
        <v>1773</v>
      </c>
      <c r="P28" s="854">
        <v>215148</v>
      </c>
      <c r="Q28" s="853">
        <f t="shared" si="45"/>
        <v>510</v>
      </c>
      <c r="R28" s="852">
        <v>702925</v>
      </c>
      <c r="S28" s="853">
        <f t="shared" si="51"/>
        <v>0</v>
      </c>
      <c r="T28" s="852">
        <v>344001</v>
      </c>
      <c r="U28" s="853">
        <f t="shared" si="52"/>
        <v>0</v>
      </c>
      <c r="V28" s="852">
        <v>134334</v>
      </c>
      <c r="W28" s="853">
        <f t="shared" si="49"/>
        <v>137</v>
      </c>
      <c r="X28" s="852">
        <v>243990</v>
      </c>
      <c r="Y28" s="853">
        <f t="shared" si="5"/>
        <v>235</v>
      </c>
      <c r="Z28" s="852">
        <v>354039</v>
      </c>
      <c r="AA28" s="853">
        <f t="shared" si="6"/>
        <v>1606.43</v>
      </c>
      <c r="AB28" s="854">
        <v>391752</v>
      </c>
      <c r="AC28" s="853">
        <f t="shared" si="7"/>
        <v>0</v>
      </c>
      <c r="AD28" s="852">
        <v>580657</v>
      </c>
      <c r="AE28" s="853">
        <f t="shared" si="8"/>
        <v>0</v>
      </c>
      <c r="AF28" s="852">
        <v>310194</v>
      </c>
      <c r="AG28" s="853">
        <f t="shared" si="34"/>
        <v>0</v>
      </c>
      <c r="AH28" s="852">
        <v>330027</v>
      </c>
      <c r="AI28" s="853">
        <f t="shared" si="21"/>
        <v>9.01</v>
      </c>
      <c r="AJ28" s="852">
        <v>708145</v>
      </c>
      <c r="AK28" s="853">
        <f t="shared" si="22"/>
        <v>8.48</v>
      </c>
      <c r="AL28" s="852">
        <v>546441</v>
      </c>
      <c r="AM28" s="853">
        <f t="shared" si="9"/>
        <v>377.89000000000004</v>
      </c>
      <c r="AN28" s="852">
        <v>800366</v>
      </c>
      <c r="AO28" s="853">
        <f t="shared" si="44"/>
        <v>2495.77</v>
      </c>
      <c r="AP28" s="852">
        <v>387634</v>
      </c>
      <c r="AQ28" s="853">
        <f t="shared" si="11"/>
        <v>188.15</v>
      </c>
      <c r="AR28" s="853">
        <f t="shared" si="23"/>
        <v>4685.7299999999996</v>
      </c>
      <c r="AS28" s="852">
        <v>7225309</v>
      </c>
      <c r="AT28" s="853">
        <f t="shared" si="24"/>
        <v>3.9375</v>
      </c>
      <c r="AU28" s="852">
        <v>580362</v>
      </c>
      <c r="AV28" s="853">
        <f>IF(AU28&gt;=AU27,AU28-AU27,0)</f>
        <v>271</v>
      </c>
      <c r="AW28" s="854">
        <v>915894</v>
      </c>
      <c r="AX28" s="853">
        <f t="shared" si="25"/>
        <v>76</v>
      </c>
      <c r="AY28" s="852">
        <v>795471</v>
      </c>
      <c r="AZ28" s="853">
        <f t="shared" si="13"/>
        <v>37</v>
      </c>
      <c r="BA28" s="852">
        <v>2345713</v>
      </c>
      <c r="BB28" s="853">
        <f t="shared" si="14"/>
        <v>395</v>
      </c>
      <c r="BC28" s="852">
        <v>210927</v>
      </c>
      <c r="BD28" s="853">
        <f t="shared" si="46"/>
        <v>60</v>
      </c>
      <c r="BE28" s="852">
        <v>17747111</v>
      </c>
      <c r="BF28" s="853">
        <f t="shared" si="16"/>
        <v>3183</v>
      </c>
      <c r="BG28" s="852">
        <v>500511</v>
      </c>
      <c r="BH28" s="853">
        <f t="shared" si="16"/>
        <v>107</v>
      </c>
      <c r="BI28" s="852">
        <v>8820</v>
      </c>
      <c r="BJ28" s="853">
        <f t="shared" si="16"/>
        <v>0</v>
      </c>
      <c r="BK28" s="852">
        <v>22016789</v>
      </c>
      <c r="BL28" s="853">
        <f t="shared" si="26"/>
        <v>4693</v>
      </c>
      <c r="BM28" s="853">
        <f t="shared" si="27"/>
        <v>8825.9375</v>
      </c>
      <c r="BN28" s="853">
        <f t="shared" si="28"/>
        <v>13511.6675</v>
      </c>
      <c r="BO28" s="854">
        <v>1377460</v>
      </c>
      <c r="BP28" s="853">
        <f t="shared" si="17"/>
        <v>432</v>
      </c>
      <c r="BQ28" s="852">
        <v>3512651</v>
      </c>
      <c r="BR28" s="853">
        <f t="shared" si="18"/>
        <v>940</v>
      </c>
      <c r="BS28" s="852">
        <v>375322</v>
      </c>
      <c r="BT28" s="853">
        <f t="shared" si="19"/>
        <v>120</v>
      </c>
      <c r="BU28" s="852">
        <v>456616</v>
      </c>
      <c r="BV28" s="853">
        <f t="shared" si="35"/>
        <v>190</v>
      </c>
      <c r="BW28" s="768">
        <f t="shared" si="29"/>
        <v>19578.6675</v>
      </c>
      <c r="BX28" s="769">
        <v>83</v>
      </c>
      <c r="BY28" s="768">
        <f t="shared" si="47"/>
        <v>235.88756024096384</v>
      </c>
      <c r="BZ28" s="769"/>
      <c r="CA28" s="768" t="e">
        <f t="shared" si="31"/>
        <v>#DIV/0!</v>
      </c>
      <c r="CB28" s="768">
        <f>BW28*CD1</f>
        <v>22515.467624999997</v>
      </c>
      <c r="CC28" s="768">
        <f t="shared" si="48"/>
        <v>271.27069427710842</v>
      </c>
      <c r="CD28" s="770" t="e">
        <f t="shared" si="36"/>
        <v>#DIV/0!</v>
      </c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</row>
    <row r="29" spans="1:97" s="412" customFormat="1" ht="33.75" customHeight="1">
      <c r="A29" s="462">
        <v>24</v>
      </c>
      <c r="B29" s="463"/>
      <c r="C29" s="464">
        <f t="shared" si="37"/>
        <v>0</v>
      </c>
      <c r="D29" s="464"/>
      <c r="E29" s="464">
        <f t="shared" si="38"/>
        <v>0</v>
      </c>
      <c r="F29" s="464"/>
      <c r="G29" s="464">
        <f t="shared" si="39"/>
        <v>0</v>
      </c>
      <c r="H29" s="465"/>
      <c r="I29" s="854">
        <v>22170653</v>
      </c>
      <c r="J29" s="853">
        <f t="shared" si="50"/>
        <v>5440</v>
      </c>
      <c r="K29" s="853">
        <f t="shared" si="0"/>
        <v>3410</v>
      </c>
      <c r="L29" s="854">
        <v>38316</v>
      </c>
      <c r="M29" s="853">
        <f t="shared" si="1"/>
        <v>1644</v>
      </c>
      <c r="N29" s="852">
        <v>42901</v>
      </c>
      <c r="O29" s="853">
        <f t="shared" si="2"/>
        <v>1766</v>
      </c>
      <c r="P29" s="854">
        <v>215167</v>
      </c>
      <c r="Q29" s="853">
        <f t="shared" si="45"/>
        <v>570</v>
      </c>
      <c r="R29" s="852">
        <v>702925</v>
      </c>
      <c r="S29" s="853">
        <f>IF(R29&gt;=R28,R29-R28,0)</f>
        <v>0</v>
      </c>
      <c r="T29" s="852">
        <v>344001</v>
      </c>
      <c r="U29" s="853">
        <f t="shared" si="52"/>
        <v>0</v>
      </c>
      <c r="V29" s="852">
        <v>134491</v>
      </c>
      <c r="W29" s="853">
        <f>IF(V29&gt;=V28,V29-V28,0)</f>
        <v>157</v>
      </c>
      <c r="X29" s="854">
        <v>244263</v>
      </c>
      <c r="Y29" s="853">
        <f t="shared" ref="Y29:Y36" si="53">IF(X29&gt;=X28,X29-X28,0)</f>
        <v>273</v>
      </c>
      <c r="Z29" s="852">
        <v>356387</v>
      </c>
      <c r="AA29" s="853">
        <f t="shared" si="6"/>
        <v>1244.44</v>
      </c>
      <c r="AB29" s="854">
        <v>391968</v>
      </c>
      <c r="AC29" s="853">
        <f t="shared" si="7"/>
        <v>114.48</v>
      </c>
      <c r="AD29" s="857">
        <v>580657</v>
      </c>
      <c r="AE29" s="853">
        <f t="shared" si="8"/>
        <v>0</v>
      </c>
      <c r="AF29" s="852">
        <v>310194</v>
      </c>
      <c r="AG29" s="853">
        <f t="shared" si="34"/>
        <v>0</v>
      </c>
      <c r="AH29" s="852">
        <v>330056</v>
      </c>
      <c r="AI29" s="853">
        <f t="shared" si="21"/>
        <v>15.370000000000001</v>
      </c>
      <c r="AJ29" s="852">
        <v>708174</v>
      </c>
      <c r="AK29" s="853">
        <f t="shared" si="22"/>
        <v>15.370000000000001</v>
      </c>
      <c r="AL29" s="852">
        <v>546976</v>
      </c>
      <c r="AM29" s="853">
        <f t="shared" si="9"/>
        <v>283.55</v>
      </c>
      <c r="AN29" s="852">
        <v>804409</v>
      </c>
      <c r="AO29" s="853">
        <f t="shared" si="44"/>
        <v>2142.79</v>
      </c>
      <c r="AP29" s="852">
        <v>387968</v>
      </c>
      <c r="AQ29" s="853">
        <f t="shared" si="11"/>
        <v>177.02</v>
      </c>
      <c r="AR29" s="853">
        <f t="shared" si="23"/>
        <v>3993.02</v>
      </c>
      <c r="AS29" s="852">
        <v>7225359</v>
      </c>
      <c r="AT29" s="853">
        <f t="shared" si="24"/>
        <v>5.625</v>
      </c>
      <c r="AU29" s="852">
        <v>580677</v>
      </c>
      <c r="AV29" s="853">
        <f t="shared" si="12"/>
        <v>315</v>
      </c>
      <c r="AW29" s="852">
        <v>915976</v>
      </c>
      <c r="AX29" s="853">
        <f t="shared" si="25"/>
        <v>82</v>
      </c>
      <c r="AY29" s="852">
        <v>795503</v>
      </c>
      <c r="AZ29" s="853">
        <f t="shared" si="13"/>
        <v>32</v>
      </c>
      <c r="BA29" s="852">
        <v>2346090</v>
      </c>
      <c r="BB29" s="853">
        <f t="shared" si="14"/>
        <v>377</v>
      </c>
      <c r="BC29" s="852">
        <v>210994</v>
      </c>
      <c r="BD29" s="853">
        <f t="shared" si="46"/>
        <v>67</v>
      </c>
      <c r="BE29" s="852">
        <v>17750161</v>
      </c>
      <c r="BF29" s="853">
        <f t="shared" si="16"/>
        <v>3050</v>
      </c>
      <c r="BG29" s="852">
        <v>500631</v>
      </c>
      <c r="BH29" s="853">
        <f t="shared" si="16"/>
        <v>120</v>
      </c>
      <c r="BI29" s="852">
        <v>8820</v>
      </c>
      <c r="BJ29" s="853">
        <f t="shared" si="16"/>
        <v>0</v>
      </c>
      <c r="BK29" s="854">
        <v>22022769</v>
      </c>
      <c r="BL29" s="853">
        <f t="shared" si="26"/>
        <v>5219.8500000000004</v>
      </c>
      <c r="BM29" s="853">
        <f t="shared" si="27"/>
        <v>9268.4750000000004</v>
      </c>
      <c r="BN29" s="853">
        <f t="shared" si="28"/>
        <v>13261.495000000001</v>
      </c>
      <c r="BO29" s="854">
        <v>1377768</v>
      </c>
      <c r="BP29" s="853">
        <f t="shared" si="17"/>
        <v>308</v>
      </c>
      <c r="BQ29" s="852">
        <v>3513712</v>
      </c>
      <c r="BR29" s="853">
        <f t="shared" si="18"/>
        <v>1061</v>
      </c>
      <c r="BS29" s="852">
        <v>375448</v>
      </c>
      <c r="BT29" s="853">
        <f t="shared" si="19"/>
        <v>126</v>
      </c>
      <c r="BU29" s="854">
        <v>456842</v>
      </c>
      <c r="BV29" s="853">
        <f t="shared" si="35"/>
        <v>226</v>
      </c>
      <c r="BW29" s="768">
        <f t="shared" si="29"/>
        <v>19271.495000000003</v>
      </c>
      <c r="BX29" s="769">
        <v>88</v>
      </c>
      <c r="BY29" s="768">
        <f t="shared" si="47"/>
        <v>218.99426136363638</v>
      </c>
      <c r="BZ29" s="769"/>
      <c r="CA29" s="768" t="e">
        <f t="shared" si="31"/>
        <v>#DIV/0!</v>
      </c>
      <c r="CB29" s="768">
        <f>BW29*CD1</f>
        <v>22162.219250000002</v>
      </c>
      <c r="CC29" s="768">
        <f t="shared" si="48"/>
        <v>251.84340056818183</v>
      </c>
      <c r="CD29" s="770" t="e">
        <f t="shared" si="36"/>
        <v>#DIV/0!</v>
      </c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</row>
    <row r="30" spans="1:97" s="412" customFormat="1" ht="33.75" customHeight="1">
      <c r="A30" s="462">
        <v>25</v>
      </c>
      <c r="B30" s="463"/>
      <c r="C30" s="464">
        <f t="shared" ref="C30:C35" si="54">IF(+B30-B29&gt;0,B30-B29,(B30-B29)&gt;0)*800</f>
        <v>0</v>
      </c>
      <c r="D30" s="464"/>
      <c r="E30" s="464">
        <f t="shared" ref="E30:E35" si="55">IF(+D30-D29&gt;0,D30-D29,(D30-D29)&gt;0)*80</f>
        <v>0</v>
      </c>
      <c r="F30" s="464"/>
      <c r="G30" s="464">
        <f t="shared" ref="G30:G35" si="56">IF(+F30-F29&gt;0,F30-F29,(F30-F29)&gt;0)*10</f>
        <v>0</v>
      </c>
      <c r="H30" s="465">
        <v>68</v>
      </c>
      <c r="I30" s="854">
        <v>22175711</v>
      </c>
      <c r="J30" s="853">
        <f t="shared" si="50"/>
        <v>5058</v>
      </c>
      <c r="K30" s="853">
        <f t="shared" si="0"/>
        <v>3157</v>
      </c>
      <c r="L30" s="852">
        <v>39946</v>
      </c>
      <c r="M30" s="853">
        <f t="shared" si="1"/>
        <v>1630</v>
      </c>
      <c r="N30" s="852">
        <v>44428</v>
      </c>
      <c r="O30" s="853">
        <f t="shared" si="2"/>
        <v>1527</v>
      </c>
      <c r="P30" s="854">
        <v>215183</v>
      </c>
      <c r="Q30" s="853">
        <f t="shared" si="45"/>
        <v>480</v>
      </c>
      <c r="R30" s="852">
        <v>702925</v>
      </c>
      <c r="S30" s="853">
        <f>IF(R30&gt;=R29,R30-R29,0)</f>
        <v>0</v>
      </c>
      <c r="T30" s="852">
        <v>344001</v>
      </c>
      <c r="U30" s="853">
        <f t="shared" si="52"/>
        <v>0</v>
      </c>
      <c r="V30" s="852">
        <v>134624</v>
      </c>
      <c r="W30" s="853">
        <f>IF(V30&gt;=V29,V30-V29,0)</f>
        <v>133</v>
      </c>
      <c r="X30" s="852">
        <v>244492</v>
      </c>
      <c r="Y30" s="853">
        <f t="shared" si="53"/>
        <v>229</v>
      </c>
      <c r="Z30" s="852">
        <v>359877</v>
      </c>
      <c r="AA30" s="853">
        <f t="shared" si="6"/>
        <v>1849.7</v>
      </c>
      <c r="AB30" s="854">
        <v>392348</v>
      </c>
      <c r="AC30" s="853">
        <f t="shared" si="7"/>
        <v>201.4</v>
      </c>
      <c r="AD30" s="857">
        <v>580657</v>
      </c>
      <c r="AE30" s="853">
        <f t="shared" si="8"/>
        <v>0</v>
      </c>
      <c r="AF30" s="852">
        <v>310194</v>
      </c>
      <c r="AG30" s="853">
        <f t="shared" si="34"/>
        <v>0</v>
      </c>
      <c r="AH30" s="852">
        <v>330076</v>
      </c>
      <c r="AI30" s="853">
        <f t="shared" si="21"/>
        <v>10.600000000000001</v>
      </c>
      <c r="AJ30" s="852">
        <v>708193</v>
      </c>
      <c r="AK30" s="853">
        <f t="shared" si="22"/>
        <v>10.07</v>
      </c>
      <c r="AL30" s="854">
        <v>547490</v>
      </c>
      <c r="AM30" s="853">
        <f t="shared" si="9"/>
        <v>272.42</v>
      </c>
      <c r="AN30" s="852">
        <v>809179</v>
      </c>
      <c r="AO30" s="853">
        <f t="shared" si="44"/>
        <v>2528.1</v>
      </c>
      <c r="AP30" s="852">
        <v>388298</v>
      </c>
      <c r="AQ30" s="853">
        <f t="shared" si="11"/>
        <v>174.9</v>
      </c>
      <c r="AR30" s="853">
        <f t="shared" si="23"/>
        <v>5047.1899999999996</v>
      </c>
      <c r="AS30" s="852">
        <v>7225588</v>
      </c>
      <c r="AT30" s="853">
        <f t="shared" si="24"/>
        <v>25.762499999999999</v>
      </c>
      <c r="AU30" s="852">
        <v>580977</v>
      </c>
      <c r="AV30" s="853">
        <f t="shared" si="12"/>
        <v>300</v>
      </c>
      <c r="AW30" s="852">
        <v>916061</v>
      </c>
      <c r="AX30" s="853">
        <f t="shared" si="25"/>
        <v>85</v>
      </c>
      <c r="AY30" s="852">
        <v>795536</v>
      </c>
      <c r="AZ30" s="853">
        <f t="shared" si="13"/>
        <v>33</v>
      </c>
      <c r="BA30" s="852">
        <v>2346478</v>
      </c>
      <c r="BB30" s="853">
        <f t="shared" si="14"/>
        <v>388</v>
      </c>
      <c r="BC30" s="854">
        <v>211051</v>
      </c>
      <c r="BD30" s="853">
        <f t="shared" si="46"/>
        <v>57</v>
      </c>
      <c r="BE30" s="854">
        <v>17753531</v>
      </c>
      <c r="BF30" s="853">
        <f t="shared" si="16"/>
        <v>3370</v>
      </c>
      <c r="BG30" s="852">
        <v>500736</v>
      </c>
      <c r="BH30" s="853">
        <f t="shared" si="16"/>
        <v>105</v>
      </c>
      <c r="BI30" s="852">
        <v>8820</v>
      </c>
      <c r="BJ30" s="853">
        <f t="shared" si="16"/>
        <v>0</v>
      </c>
      <c r="BK30" s="854">
        <v>22027489</v>
      </c>
      <c r="BL30" s="853">
        <f t="shared" si="26"/>
        <v>4181.3</v>
      </c>
      <c r="BM30" s="853">
        <f t="shared" si="27"/>
        <v>8545.0625</v>
      </c>
      <c r="BN30" s="853">
        <f t="shared" si="28"/>
        <v>13592.252499999999</v>
      </c>
      <c r="BO30" s="854">
        <v>1377971</v>
      </c>
      <c r="BP30" s="853">
        <f t="shared" si="17"/>
        <v>203</v>
      </c>
      <c r="BQ30" s="852">
        <v>3514433</v>
      </c>
      <c r="BR30" s="853">
        <f t="shared" si="18"/>
        <v>721</v>
      </c>
      <c r="BS30" s="852">
        <v>375533</v>
      </c>
      <c r="BT30" s="853">
        <f t="shared" si="19"/>
        <v>85</v>
      </c>
      <c r="BU30" s="854">
        <v>457018</v>
      </c>
      <c r="BV30" s="853">
        <f t="shared" si="35"/>
        <v>176</v>
      </c>
      <c r="BW30" s="768">
        <f t="shared" si="29"/>
        <v>19130.252499999999</v>
      </c>
      <c r="BX30" s="769">
        <v>77</v>
      </c>
      <c r="BY30" s="768">
        <f t="shared" si="47"/>
        <v>248.44483766233765</v>
      </c>
      <c r="BZ30" s="769"/>
      <c r="CA30" s="768" t="e">
        <f t="shared" si="31"/>
        <v>#DIV/0!</v>
      </c>
      <c r="CB30" s="768">
        <f>BW30*CD1</f>
        <v>21999.790374999997</v>
      </c>
      <c r="CC30" s="768">
        <f t="shared" si="48"/>
        <v>285.71156331168828</v>
      </c>
      <c r="CD30" s="770" t="e">
        <f t="shared" si="36"/>
        <v>#DIV/0!</v>
      </c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</row>
    <row r="31" spans="1:97" s="412" customFormat="1" ht="33.75" customHeight="1">
      <c r="A31" s="462">
        <v>26</v>
      </c>
      <c r="B31" s="463"/>
      <c r="C31" s="464">
        <f t="shared" si="54"/>
        <v>0</v>
      </c>
      <c r="D31" s="464"/>
      <c r="E31" s="464">
        <f t="shared" si="55"/>
        <v>0</v>
      </c>
      <c r="F31" s="464"/>
      <c r="G31" s="464">
        <f t="shared" si="56"/>
        <v>0</v>
      </c>
      <c r="H31" s="465"/>
      <c r="I31" s="854">
        <v>22178632</v>
      </c>
      <c r="J31" s="853">
        <f t="shared" si="50"/>
        <v>2921</v>
      </c>
      <c r="K31" s="853">
        <f t="shared" si="0"/>
        <v>2989</v>
      </c>
      <c r="L31" s="854">
        <v>41540</v>
      </c>
      <c r="M31" s="853">
        <f t="shared" si="1"/>
        <v>1594</v>
      </c>
      <c r="N31" s="852">
        <v>45823</v>
      </c>
      <c r="O31" s="853">
        <f t="shared" si="2"/>
        <v>1395</v>
      </c>
      <c r="P31" s="854">
        <v>215208</v>
      </c>
      <c r="Q31" s="853">
        <f t="shared" si="45"/>
        <v>750</v>
      </c>
      <c r="R31" s="852">
        <v>702925</v>
      </c>
      <c r="S31" s="853">
        <f t="shared" si="51"/>
        <v>0</v>
      </c>
      <c r="T31" s="852">
        <v>344001</v>
      </c>
      <c r="U31" s="853">
        <f t="shared" si="52"/>
        <v>0</v>
      </c>
      <c r="V31" s="852">
        <v>134767</v>
      </c>
      <c r="W31" s="853">
        <f t="shared" si="49"/>
        <v>143</v>
      </c>
      <c r="X31" s="852">
        <v>244722</v>
      </c>
      <c r="Y31" s="853">
        <f t="shared" si="53"/>
        <v>230</v>
      </c>
      <c r="Z31" s="852">
        <v>362231</v>
      </c>
      <c r="AA31" s="853">
        <f t="shared" si="6"/>
        <v>1247.6200000000001</v>
      </c>
      <c r="AB31" s="854">
        <v>392711</v>
      </c>
      <c r="AC31" s="853">
        <f t="shared" si="7"/>
        <v>192.39000000000001</v>
      </c>
      <c r="AD31" s="857">
        <v>580657</v>
      </c>
      <c r="AE31" s="853">
        <f t="shared" si="8"/>
        <v>0</v>
      </c>
      <c r="AF31" s="852">
        <v>310194</v>
      </c>
      <c r="AG31" s="853">
        <f t="shared" si="34"/>
        <v>0</v>
      </c>
      <c r="AH31" s="852">
        <v>330098</v>
      </c>
      <c r="AI31" s="853">
        <f t="shared" si="21"/>
        <v>11.66</v>
      </c>
      <c r="AJ31" s="852">
        <v>708217</v>
      </c>
      <c r="AK31" s="853">
        <f t="shared" si="22"/>
        <v>12.72</v>
      </c>
      <c r="AL31" s="852">
        <v>547875</v>
      </c>
      <c r="AM31" s="853">
        <f t="shared" si="9"/>
        <v>204.05</v>
      </c>
      <c r="AN31" s="852">
        <v>812535</v>
      </c>
      <c r="AO31" s="853">
        <f t="shared" si="44"/>
        <v>1778.68</v>
      </c>
      <c r="AP31" s="852">
        <v>388607</v>
      </c>
      <c r="AQ31" s="853">
        <f t="shared" si="11"/>
        <v>163.77000000000001</v>
      </c>
      <c r="AR31" s="853">
        <f t="shared" si="23"/>
        <v>3610.8900000000003</v>
      </c>
      <c r="AS31" s="852">
        <v>7225697</v>
      </c>
      <c r="AT31" s="853">
        <f t="shared" si="24"/>
        <v>12.262500000000001</v>
      </c>
      <c r="AU31" s="852">
        <v>581253</v>
      </c>
      <c r="AV31" s="853">
        <f t="shared" si="12"/>
        <v>276</v>
      </c>
      <c r="AW31" s="852">
        <v>916274</v>
      </c>
      <c r="AX31" s="853">
        <f t="shared" si="25"/>
        <v>213</v>
      </c>
      <c r="AY31" s="852">
        <v>795580</v>
      </c>
      <c r="AZ31" s="853">
        <f t="shared" si="13"/>
        <v>44</v>
      </c>
      <c r="BA31" s="852">
        <v>2346818</v>
      </c>
      <c r="BB31" s="853">
        <f t="shared" si="14"/>
        <v>340</v>
      </c>
      <c r="BC31" s="854">
        <v>211116</v>
      </c>
      <c r="BD31" s="853">
        <f t="shared" si="46"/>
        <v>65</v>
      </c>
      <c r="BE31" s="852">
        <v>17757636</v>
      </c>
      <c r="BF31" s="853">
        <f t="shared" si="16"/>
        <v>4105</v>
      </c>
      <c r="BG31" s="852">
        <v>500836</v>
      </c>
      <c r="BH31" s="853">
        <f t="shared" si="16"/>
        <v>100</v>
      </c>
      <c r="BI31" s="852">
        <v>8820</v>
      </c>
      <c r="BJ31" s="853">
        <f t="shared" si="16"/>
        <v>0</v>
      </c>
      <c r="BK31" s="852">
        <v>22032459</v>
      </c>
      <c r="BL31" s="853">
        <f t="shared" si="26"/>
        <v>4389.1499999999996</v>
      </c>
      <c r="BM31" s="853">
        <f t="shared" si="27"/>
        <v>9544.4124999999985</v>
      </c>
      <c r="BN31" s="853">
        <f t="shared" si="28"/>
        <v>13155.302499999998</v>
      </c>
      <c r="BO31" s="854">
        <v>1378424</v>
      </c>
      <c r="BP31" s="853">
        <f t="shared" si="17"/>
        <v>453</v>
      </c>
      <c r="BQ31" s="854">
        <v>3515302</v>
      </c>
      <c r="BR31" s="853">
        <f t="shared" si="18"/>
        <v>869</v>
      </c>
      <c r="BS31" s="786">
        <v>375617</v>
      </c>
      <c r="BT31" s="853">
        <f t="shared" si="19"/>
        <v>84</v>
      </c>
      <c r="BU31" s="852">
        <v>457170</v>
      </c>
      <c r="BV31" s="853">
        <f t="shared" si="35"/>
        <v>152</v>
      </c>
      <c r="BW31" s="768">
        <f t="shared" si="29"/>
        <v>16826.302499999998</v>
      </c>
      <c r="BX31" s="769">
        <v>58</v>
      </c>
      <c r="BY31" s="768">
        <f t="shared" si="47"/>
        <v>290.1086637931034</v>
      </c>
      <c r="BZ31" s="769"/>
      <c r="CA31" s="768" t="e">
        <f t="shared" si="31"/>
        <v>#DIV/0!</v>
      </c>
      <c r="CB31" s="768">
        <f>BW31*CD1</f>
        <v>19350.247874999997</v>
      </c>
      <c r="CC31" s="768">
        <f t="shared" si="48"/>
        <v>333.62496336206891</v>
      </c>
      <c r="CD31" s="770" t="e">
        <f t="shared" si="36"/>
        <v>#DIV/0!</v>
      </c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</row>
    <row r="32" spans="1:97" ht="33.75" customHeight="1">
      <c r="A32" s="114">
        <v>27</v>
      </c>
      <c r="B32" s="113"/>
      <c r="C32" s="1">
        <f t="shared" si="54"/>
        <v>0</v>
      </c>
      <c r="D32" s="1"/>
      <c r="E32" s="1">
        <f t="shared" si="55"/>
        <v>0</v>
      </c>
      <c r="F32" s="1"/>
      <c r="G32" s="1">
        <f t="shared" si="56"/>
        <v>0</v>
      </c>
      <c r="H32" s="32">
        <v>69</v>
      </c>
      <c r="I32" s="854">
        <v>22183582</v>
      </c>
      <c r="J32" s="853">
        <f t="shared" si="20"/>
        <v>4950</v>
      </c>
      <c r="K32" s="853">
        <f t="shared" si="0"/>
        <v>3335</v>
      </c>
      <c r="L32" s="854">
        <v>43234</v>
      </c>
      <c r="M32" s="853">
        <f t="shared" si="1"/>
        <v>1694</v>
      </c>
      <c r="N32" s="852">
        <v>47464</v>
      </c>
      <c r="O32" s="853">
        <f t="shared" si="2"/>
        <v>1641</v>
      </c>
      <c r="P32" s="854">
        <v>215226</v>
      </c>
      <c r="Q32" s="853">
        <f t="shared" si="45"/>
        <v>540</v>
      </c>
      <c r="R32" s="852">
        <v>702925</v>
      </c>
      <c r="S32" s="853">
        <f t="shared" si="51"/>
        <v>0</v>
      </c>
      <c r="T32" s="852">
        <v>344001</v>
      </c>
      <c r="U32" s="853">
        <f t="shared" si="52"/>
        <v>0</v>
      </c>
      <c r="V32" s="852">
        <v>134913</v>
      </c>
      <c r="W32" s="853">
        <f t="shared" si="49"/>
        <v>146</v>
      </c>
      <c r="X32" s="852">
        <v>244969</v>
      </c>
      <c r="Y32" s="853">
        <f t="shared" si="53"/>
        <v>247</v>
      </c>
      <c r="Z32" s="852">
        <v>364959</v>
      </c>
      <c r="AA32" s="853">
        <f t="shared" si="6"/>
        <v>1445.8400000000001</v>
      </c>
      <c r="AB32" s="854">
        <v>393104</v>
      </c>
      <c r="AC32" s="853">
        <f t="shared" si="7"/>
        <v>208.29000000000002</v>
      </c>
      <c r="AD32" s="857">
        <v>580657</v>
      </c>
      <c r="AE32" s="853">
        <f t="shared" si="8"/>
        <v>0</v>
      </c>
      <c r="AF32" s="852">
        <v>310194</v>
      </c>
      <c r="AG32" s="853">
        <f t="shared" si="34"/>
        <v>0</v>
      </c>
      <c r="AH32" s="852">
        <v>330122</v>
      </c>
      <c r="AI32" s="853">
        <f t="shared" si="21"/>
        <v>12.72</v>
      </c>
      <c r="AJ32" s="852">
        <v>708240</v>
      </c>
      <c r="AK32" s="853">
        <f t="shared" si="22"/>
        <v>12.190000000000001</v>
      </c>
      <c r="AL32" s="852">
        <v>548428</v>
      </c>
      <c r="AM32" s="853">
        <f t="shared" si="9"/>
        <v>293.09000000000003</v>
      </c>
      <c r="AN32" s="852">
        <v>816369</v>
      </c>
      <c r="AO32" s="853">
        <f t="shared" si="44"/>
        <v>2032.0200000000002</v>
      </c>
      <c r="AP32" s="852">
        <v>388935</v>
      </c>
      <c r="AQ32" s="853">
        <f t="shared" si="11"/>
        <v>173.84</v>
      </c>
      <c r="AR32" s="853">
        <f t="shared" si="23"/>
        <v>4177.9900000000007</v>
      </c>
      <c r="AS32" s="852">
        <v>7225837</v>
      </c>
      <c r="AT32" s="853">
        <f t="shared" si="24"/>
        <v>15.75</v>
      </c>
      <c r="AU32" s="852">
        <v>581520</v>
      </c>
      <c r="AV32" s="853">
        <f t="shared" si="12"/>
        <v>267</v>
      </c>
      <c r="AW32" s="852">
        <v>916378</v>
      </c>
      <c r="AX32" s="853">
        <f t="shared" si="25"/>
        <v>104</v>
      </c>
      <c r="AY32" s="852">
        <v>795612</v>
      </c>
      <c r="AZ32" s="853">
        <f t="shared" si="13"/>
        <v>32</v>
      </c>
      <c r="BA32" s="852">
        <v>2347185</v>
      </c>
      <c r="BB32" s="853">
        <f t="shared" si="14"/>
        <v>367</v>
      </c>
      <c r="BC32" s="854">
        <v>211180</v>
      </c>
      <c r="BD32" s="853">
        <f t="shared" si="46"/>
        <v>64</v>
      </c>
      <c r="BE32" s="852">
        <v>17760978</v>
      </c>
      <c r="BF32" s="853">
        <f t="shared" si="16"/>
        <v>3342</v>
      </c>
      <c r="BG32" s="852">
        <v>500945</v>
      </c>
      <c r="BH32" s="853">
        <f t="shared" si="16"/>
        <v>109</v>
      </c>
      <c r="BI32" s="852">
        <v>8820</v>
      </c>
      <c r="BJ32" s="853">
        <f t="shared" si="16"/>
        <v>0</v>
      </c>
      <c r="BK32" s="854">
        <v>22037855</v>
      </c>
      <c r="BL32" s="853">
        <f t="shared" si="26"/>
        <v>4724.1000000000004</v>
      </c>
      <c r="BM32" s="853">
        <f t="shared" si="27"/>
        <v>9024.85</v>
      </c>
      <c r="BN32" s="853">
        <f t="shared" si="28"/>
        <v>13202.84</v>
      </c>
      <c r="BO32" s="854">
        <v>1378823</v>
      </c>
      <c r="BP32" s="853">
        <f t="shared" si="17"/>
        <v>399</v>
      </c>
      <c r="BQ32" s="854">
        <v>3516252</v>
      </c>
      <c r="BR32" s="853">
        <f t="shared" si="18"/>
        <v>950</v>
      </c>
      <c r="BS32" s="786">
        <v>375729</v>
      </c>
      <c r="BT32" s="853">
        <f t="shared" si="19"/>
        <v>112</v>
      </c>
      <c r="BU32" s="852">
        <v>457364</v>
      </c>
      <c r="BV32" s="853">
        <f t="shared" si="35"/>
        <v>194</v>
      </c>
      <c r="BW32" s="768">
        <f t="shared" si="29"/>
        <v>18692.840000000004</v>
      </c>
      <c r="BX32" s="769">
        <v>59</v>
      </c>
      <c r="BY32" s="768">
        <f t="shared" si="47"/>
        <v>316.82779661016957</v>
      </c>
      <c r="BZ32" s="771"/>
      <c r="CA32" s="768" t="e">
        <f t="shared" si="31"/>
        <v>#DIV/0!</v>
      </c>
      <c r="CB32" s="768">
        <f>BW32*CD1</f>
        <v>21496.766000000003</v>
      </c>
      <c r="CC32" s="768">
        <f t="shared" si="48"/>
        <v>364.35196610169498</v>
      </c>
      <c r="CD32" s="770" t="e">
        <f t="shared" si="36"/>
        <v>#DIV/0!</v>
      </c>
      <c r="CE32" s="875"/>
    </row>
    <row r="33" spans="1:104" ht="33.75" customHeight="1">
      <c r="A33" s="114">
        <v>28</v>
      </c>
      <c r="B33" s="113"/>
      <c r="C33" s="1">
        <f t="shared" si="54"/>
        <v>0</v>
      </c>
      <c r="D33" s="1"/>
      <c r="E33" s="1">
        <f t="shared" si="55"/>
        <v>0</v>
      </c>
      <c r="F33" s="1"/>
      <c r="G33" s="1">
        <f t="shared" si="56"/>
        <v>0</v>
      </c>
      <c r="H33" s="32"/>
      <c r="I33" s="854">
        <v>22188532</v>
      </c>
      <c r="J33" s="853">
        <f t="shared" si="20"/>
        <v>4950</v>
      </c>
      <c r="K33" s="853">
        <f t="shared" si="0"/>
        <v>3334</v>
      </c>
      <c r="L33" s="854">
        <v>44927</v>
      </c>
      <c r="M33" s="853">
        <f t="shared" si="1"/>
        <v>1693</v>
      </c>
      <c r="N33" s="852">
        <v>49105</v>
      </c>
      <c r="O33" s="853">
        <f t="shared" si="2"/>
        <v>1641</v>
      </c>
      <c r="P33" s="854">
        <v>215244</v>
      </c>
      <c r="Q33" s="853">
        <f t="shared" si="45"/>
        <v>540</v>
      </c>
      <c r="R33" s="852">
        <v>702925</v>
      </c>
      <c r="S33" s="853">
        <f t="shared" si="51"/>
        <v>0</v>
      </c>
      <c r="T33" s="852">
        <v>344001</v>
      </c>
      <c r="U33" s="853">
        <f t="shared" si="52"/>
        <v>0</v>
      </c>
      <c r="V33" s="852">
        <v>135058</v>
      </c>
      <c r="W33" s="853">
        <f t="shared" si="49"/>
        <v>145</v>
      </c>
      <c r="X33" s="852">
        <v>245216</v>
      </c>
      <c r="Y33" s="853">
        <f t="shared" si="53"/>
        <v>247</v>
      </c>
      <c r="Z33" s="852">
        <v>367687</v>
      </c>
      <c r="AA33" s="853">
        <f t="shared" si="6"/>
        <v>1445.8400000000001</v>
      </c>
      <c r="AB33" s="854">
        <v>393488</v>
      </c>
      <c r="AC33" s="853">
        <f t="shared" si="7"/>
        <v>203.52</v>
      </c>
      <c r="AD33" s="857">
        <v>580657</v>
      </c>
      <c r="AE33" s="853">
        <f t="shared" si="8"/>
        <v>0</v>
      </c>
      <c r="AF33" s="852">
        <v>310194</v>
      </c>
      <c r="AG33" s="853">
        <f t="shared" si="34"/>
        <v>0</v>
      </c>
      <c r="AH33" s="852">
        <v>330145</v>
      </c>
      <c r="AI33" s="853">
        <f t="shared" si="21"/>
        <v>12.190000000000001</v>
      </c>
      <c r="AJ33" s="852">
        <v>708263</v>
      </c>
      <c r="AK33" s="853">
        <f t="shared" si="22"/>
        <v>12.190000000000001</v>
      </c>
      <c r="AL33" s="852">
        <v>548748</v>
      </c>
      <c r="AM33" s="853">
        <f t="shared" si="9"/>
        <v>169.60000000000002</v>
      </c>
      <c r="AN33" s="852">
        <v>820202</v>
      </c>
      <c r="AO33" s="853">
        <f t="shared" si="44"/>
        <v>2031.49</v>
      </c>
      <c r="AP33" s="852">
        <v>389263</v>
      </c>
      <c r="AQ33" s="853">
        <f t="shared" si="11"/>
        <v>173.84</v>
      </c>
      <c r="AR33" s="853">
        <f t="shared" si="23"/>
        <v>4048.67</v>
      </c>
      <c r="AS33" s="852">
        <v>7225978</v>
      </c>
      <c r="AT33" s="853">
        <f t="shared" si="24"/>
        <v>15.862500000000001</v>
      </c>
      <c r="AU33" s="852">
        <v>581825</v>
      </c>
      <c r="AV33" s="853">
        <f t="shared" si="12"/>
        <v>305</v>
      </c>
      <c r="AW33" s="852">
        <v>916482</v>
      </c>
      <c r="AX33" s="853">
        <f t="shared" si="25"/>
        <v>104</v>
      </c>
      <c r="AY33" s="852">
        <v>795644</v>
      </c>
      <c r="AZ33" s="853">
        <f t="shared" si="13"/>
        <v>32</v>
      </c>
      <c r="BA33" s="852">
        <v>2347553</v>
      </c>
      <c r="BB33" s="853">
        <f t="shared" si="14"/>
        <v>368</v>
      </c>
      <c r="BC33" s="854">
        <v>211243</v>
      </c>
      <c r="BD33" s="853">
        <f t="shared" si="46"/>
        <v>63</v>
      </c>
      <c r="BE33" s="852">
        <v>17764320</v>
      </c>
      <c r="BF33" s="853">
        <f t="shared" si="16"/>
        <v>3342</v>
      </c>
      <c r="BG33" s="852">
        <v>501061</v>
      </c>
      <c r="BH33" s="853">
        <f t="shared" si="16"/>
        <v>116</v>
      </c>
      <c r="BI33" s="852">
        <v>8820</v>
      </c>
      <c r="BJ33" s="853">
        <f t="shared" si="16"/>
        <v>0</v>
      </c>
      <c r="BK33" s="854">
        <v>22043251</v>
      </c>
      <c r="BL33" s="853">
        <f t="shared" si="26"/>
        <v>4724.1000000000004</v>
      </c>
      <c r="BM33" s="853">
        <f t="shared" si="27"/>
        <v>9069.9625000000015</v>
      </c>
      <c r="BN33" s="853">
        <f t="shared" si="28"/>
        <v>13118.632500000002</v>
      </c>
      <c r="BO33" s="854">
        <v>1379222</v>
      </c>
      <c r="BP33" s="853">
        <f t="shared" si="17"/>
        <v>399</v>
      </c>
      <c r="BQ33" s="854">
        <v>3517202</v>
      </c>
      <c r="BR33" s="853">
        <f t="shared" si="18"/>
        <v>950</v>
      </c>
      <c r="BS33" s="786">
        <v>375841</v>
      </c>
      <c r="BT33" s="853">
        <f t="shared" si="19"/>
        <v>112</v>
      </c>
      <c r="BU33" s="852">
        <v>457558</v>
      </c>
      <c r="BV33" s="853">
        <f t="shared" si="35"/>
        <v>194</v>
      </c>
      <c r="BW33" s="768">
        <f t="shared" si="29"/>
        <v>18608.6325</v>
      </c>
      <c r="BX33" s="769">
        <v>58</v>
      </c>
      <c r="BY33" s="768">
        <f t="shared" si="47"/>
        <v>320.83849137931031</v>
      </c>
      <c r="BZ33" s="769"/>
      <c r="CA33" s="768" t="e">
        <f t="shared" si="31"/>
        <v>#DIV/0!</v>
      </c>
      <c r="CB33" s="768">
        <f>BW33*CD1</f>
        <v>21399.927374999999</v>
      </c>
      <c r="CC33" s="768">
        <f t="shared" si="48"/>
        <v>368.96426508620686</v>
      </c>
      <c r="CD33" s="770" t="e">
        <f t="shared" si="36"/>
        <v>#DIV/0!</v>
      </c>
      <c r="CE33" s="875"/>
      <c r="CT33" s="875"/>
      <c r="CU33" s="875"/>
      <c r="CV33" s="875"/>
      <c r="CW33" s="875"/>
      <c r="CX33" s="875"/>
      <c r="CY33" s="875"/>
      <c r="CZ33" s="875"/>
    </row>
    <row r="34" spans="1:104" ht="33.75" customHeight="1">
      <c r="A34" s="114">
        <v>29</v>
      </c>
      <c r="B34" s="113"/>
      <c r="C34" s="1">
        <f t="shared" si="54"/>
        <v>0</v>
      </c>
      <c r="D34" s="1"/>
      <c r="E34" s="1">
        <f t="shared" si="55"/>
        <v>0</v>
      </c>
      <c r="F34" s="1"/>
      <c r="G34" s="1">
        <f t="shared" si="56"/>
        <v>0</v>
      </c>
      <c r="H34" s="32"/>
      <c r="I34" s="854">
        <v>22188532</v>
      </c>
      <c r="J34" s="853">
        <f t="shared" si="20"/>
        <v>0</v>
      </c>
      <c r="K34" s="853">
        <f t="shared" si="0"/>
        <v>0</v>
      </c>
      <c r="L34" s="854">
        <v>44927</v>
      </c>
      <c r="M34" s="853">
        <f t="shared" si="1"/>
        <v>0</v>
      </c>
      <c r="N34" s="852">
        <v>49105</v>
      </c>
      <c r="O34" s="853">
        <f t="shared" si="2"/>
        <v>0</v>
      </c>
      <c r="P34" s="854">
        <v>215244</v>
      </c>
      <c r="Q34" s="853">
        <f t="shared" si="45"/>
        <v>0</v>
      </c>
      <c r="R34" s="852">
        <v>702925</v>
      </c>
      <c r="S34" s="853">
        <f t="shared" si="51"/>
        <v>0</v>
      </c>
      <c r="T34" s="852">
        <v>344001</v>
      </c>
      <c r="U34" s="853">
        <f t="shared" si="52"/>
        <v>0</v>
      </c>
      <c r="V34" s="852">
        <v>135058</v>
      </c>
      <c r="W34" s="853">
        <f t="shared" si="49"/>
        <v>0</v>
      </c>
      <c r="X34" s="852">
        <v>245216</v>
      </c>
      <c r="Y34" s="853">
        <f t="shared" si="53"/>
        <v>0</v>
      </c>
      <c r="Z34" s="852">
        <v>367687</v>
      </c>
      <c r="AA34" s="853">
        <f t="shared" si="6"/>
        <v>0</v>
      </c>
      <c r="AB34" s="854">
        <v>393488</v>
      </c>
      <c r="AC34" s="853">
        <f t="shared" si="7"/>
        <v>0</v>
      </c>
      <c r="AD34" s="857">
        <v>580657</v>
      </c>
      <c r="AE34" s="853">
        <f t="shared" si="8"/>
        <v>0</v>
      </c>
      <c r="AF34" s="852">
        <v>310194</v>
      </c>
      <c r="AG34" s="853">
        <f t="shared" si="34"/>
        <v>0</v>
      </c>
      <c r="AH34" s="852">
        <v>330145</v>
      </c>
      <c r="AI34" s="853">
        <f t="shared" si="21"/>
        <v>0</v>
      </c>
      <c r="AJ34" s="852">
        <v>708263</v>
      </c>
      <c r="AK34" s="853">
        <f t="shared" si="22"/>
        <v>0</v>
      </c>
      <c r="AL34" s="852">
        <v>548748</v>
      </c>
      <c r="AM34" s="853">
        <f t="shared" si="9"/>
        <v>0</v>
      </c>
      <c r="AN34" s="852">
        <v>820202</v>
      </c>
      <c r="AO34" s="853">
        <f t="shared" si="44"/>
        <v>0</v>
      </c>
      <c r="AP34" s="852">
        <v>389263</v>
      </c>
      <c r="AQ34" s="853">
        <f t="shared" si="11"/>
        <v>0</v>
      </c>
      <c r="AR34" s="853">
        <f t="shared" si="23"/>
        <v>0</v>
      </c>
      <c r="AS34" s="852">
        <v>7225978</v>
      </c>
      <c r="AT34" s="853">
        <f t="shared" si="24"/>
        <v>0</v>
      </c>
      <c r="AU34" s="852">
        <v>581825</v>
      </c>
      <c r="AV34" s="853">
        <f t="shared" si="12"/>
        <v>0</v>
      </c>
      <c r="AW34" s="852">
        <v>916482</v>
      </c>
      <c r="AX34" s="853">
        <f t="shared" si="25"/>
        <v>0</v>
      </c>
      <c r="AY34" s="852">
        <v>795644</v>
      </c>
      <c r="AZ34" s="853">
        <f t="shared" si="13"/>
        <v>0</v>
      </c>
      <c r="BA34" s="852">
        <v>2347553</v>
      </c>
      <c r="BB34" s="853">
        <f t="shared" si="14"/>
        <v>0</v>
      </c>
      <c r="BC34" s="854">
        <v>211243</v>
      </c>
      <c r="BD34" s="853">
        <f t="shared" si="46"/>
        <v>0</v>
      </c>
      <c r="BE34" s="852">
        <v>17764320</v>
      </c>
      <c r="BF34" s="853">
        <f t="shared" si="16"/>
        <v>0</v>
      </c>
      <c r="BG34" s="852">
        <v>501061</v>
      </c>
      <c r="BH34" s="853">
        <f t="shared" si="16"/>
        <v>0</v>
      </c>
      <c r="BI34" s="852">
        <v>8820</v>
      </c>
      <c r="BJ34" s="853">
        <f t="shared" si="16"/>
        <v>0</v>
      </c>
      <c r="BK34" s="854">
        <v>22043251</v>
      </c>
      <c r="BL34" s="853">
        <f t="shared" si="26"/>
        <v>0</v>
      </c>
      <c r="BM34" s="853">
        <f t="shared" si="27"/>
        <v>0</v>
      </c>
      <c r="BN34" s="853">
        <f t="shared" si="28"/>
        <v>0</v>
      </c>
      <c r="BO34" s="854">
        <v>1379222</v>
      </c>
      <c r="BP34" s="853">
        <f t="shared" si="17"/>
        <v>0</v>
      </c>
      <c r="BQ34" s="854">
        <v>3517202</v>
      </c>
      <c r="BR34" s="853">
        <f t="shared" si="18"/>
        <v>0</v>
      </c>
      <c r="BS34" s="786">
        <v>375841</v>
      </c>
      <c r="BT34" s="853">
        <f t="shared" si="19"/>
        <v>0</v>
      </c>
      <c r="BU34" s="852">
        <v>457558</v>
      </c>
      <c r="BV34" s="853">
        <f t="shared" si="35"/>
        <v>0</v>
      </c>
      <c r="BW34" s="768">
        <f t="shared" si="29"/>
        <v>0</v>
      </c>
      <c r="BX34" s="769"/>
      <c r="BY34" s="768">
        <f t="shared" si="47"/>
        <v>0</v>
      </c>
      <c r="BZ34" s="769"/>
      <c r="CA34" s="768">
        <f t="shared" si="31"/>
        <v>0</v>
      </c>
      <c r="CB34" s="768">
        <f>BW34*CD1</f>
        <v>0</v>
      </c>
      <c r="CC34" s="768">
        <f t="shared" si="48"/>
        <v>0</v>
      </c>
      <c r="CD34" s="770">
        <f t="shared" si="36"/>
        <v>0</v>
      </c>
      <c r="CE34" s="875"/>
      <c r="CT34" s="875"/>
      <c r="CU34" s="875"/>
      <c r="CV34" s="875"/>
      <c r="CW34" s="875"/>
      <c r="CX34" s="875"/>
      <c r="CY34" s="875"/>
      <c r="CZ34" s="875"/>
    </row>
    <row r="35" spans="1:104" ht="33.75" customHeight="1">
      <c r="A35" s="114">
        <v>30</v>
      </c>
      <c r="B35" s="113"/>
      <c r="C35" s="1">
        <f t="shared" si="54"/>
        <v>0</v>
      </c>
      <c r="D35" s="1"/>
      <c r="E35" s="1">
        <f t="shared" si="55"/>
        <v>0</v>
      </c>
      <c r="F35" s="1"/>
      <c r="G35" s="1">
        <f t="shared" si="56"/>
        <v>0</v>
      </c>
      <c r="H35" s="32"/>
      <c r="I35" s="854">
        <v>22188532</v>
      </c>
      <c r="J35" s="853">
        <f t="shared" si="20"/>
        <v>0</v>
      </c>
      <c r="K35" s="853">
        <f t="shared" si="0"/>
        <v>0</v>
      </c>
      <c r="L35" s="854">
        <v>44927</v>
      </c>
      <c r="M35" s="853">
        <f t="shared" si="1"/>
        <v>0</v>
      </c>
      <c r="N35" s="852">
        <v>49105</v>
      </c>
      <c r="O35" s="853">
        <f t="shared" si="2"/>
        <v>0</v>
      </c>
      <c r="P35" s="854">
        <v>215244</v>
      </c>
      <c r="Q35" s="853">
        <f t="shared" si="45"/>
        <v>0</v>
      </c>
      <c r="R35" s="852">
        <v>702925</v>
      </c>
      <c r="S35" s="853">
        <f t="shared" si="51"/>
        <v>0</v>
      </c>
      <c r="T35" s="852">
        <v>344001</v>
      </c>
      <c r="U35" s="853">
        <f t="shared" si="52"/>
        <v>0</v>
      </c>
      <c r="V35" s="852">
        <v>135058</v>
      </c>
      <c r="W35" s="853">
        <f t="shared" si="49"/>
        <v>0</v>
      </c>
      <c r="X35" s="852">
        <v>245216</v>
      </c>
      <c r="Y35" s="853">
        <f t="shared" si="53"/>
        <v>0</v>
      </c>
      <c r="Z35" s="852">
        <v>367687</v>
      </c>
      <c r="AA35" s="853">
        <f t="shared" si="6"/>
        <v>0</v>
      </c>
      <c r="AB35" s="854">
        <v>393488</v>
      </c>
      <c r="AC35" s="853">
        <f t="shared" si="7"/>
        <v>0</v>
      </c>
      <c r="AD35" s="857">
        <v>580657</v>
      </c>
      <c r="AE35" s="853">
        <f t="shared" si="8"/>
        <v>0</v>
      </c>
      <c r="AF35" s="852">
        <v>310194</v>
      </c>
      <c r="AG35" s="853">
        <f t="shared" si="34"/>
        <v>0</v>
      </c>
      <c r="AH35" s="852">
        <v>330145</v>
      </c>
      <c r="AI35" s="853">
        <f t="shared" si="21"/>
        <v>0</v>
      </c>
      <c r="AJ35" s="852">
        <v>708263</v>
      </c>
      <c r="AK35" s="853">
        <f t="shared" si="22"/>
        <v>0</v>
      </c>
      <c r="AL35" s="852">
        <v>548748</v>
      </c>
      <c r="AM35" s="853">
        <f t="shared" si="9"/>
        <v>0</v>
      </c>
      <c r="AN35" s="852">
        <v>820202</v>
      </c>
      <c r="AO35" s="853">
        <f t="shared" si="44"/>
        <v>0</v>
      </c>
      <c r="AP35" s="852">
        <v>389263</v>
      </c>
      <c r="AQ35" s="853">
        <f t="shared" si="11"/>
        <v>0</v>
      </c>
      <c r="AR35" s="853">
        <f t="shared" si="23"/>
        <v>0</v>
      </c>
      <c r="AS35" s="852">
        <v>7225978</v>
      </c>
      <c r="AT35" s="853">
        <f t="shared" si="24"/>
        <v>0</v>
      </c>
      <c r="AU35" s="852">
        <v>581825</v>
      </c>
      <c r="AV35" s="853">
        <f t="shared" si="12"/>
        <v>0</v>
      </c>
      <c r="AW35" s="852">
        <v>916482</v>
      </c>
      <c r="AX35" s="853">
        <f t="shared" si="25"/>
        <v>0</v>
      </c>
      <c r="AY35" s="852">
        <v>795644</v>
      </c>
      <c r="AZ35" s="853">
        <f t="shared" si="13"/>
        <v>0</v>
      </c>
      <c r="BA35" s="852">
        <v>2347553</v>
      </c>
      <c r="BB35" s="853">
        <f t="shared" si="14"/>
        <v>0</v>
      </c>
      <c r="BC35" s="854">
        <v>211243</v>
      </c>
      <c r="BD35" s="853">
        <f t="shared" si="46"/>
        <v>0</v>
      </c>
      <c r="BE35" s="852">
        <v>17764320</v>
      </c>
      <c r="BF35" s="853">
        <f t="shared" si="16"/>
        <v>0</v>
      </c>
      <c r="BG35" s="852">
        <v>501061</v>
      </c>
      <c r="BH35" s="853">
        <f t="shared" si="16"/>
        <v>0</v>
      </c>
      <c r="BI35" s="852">
        <v>8820</v>
      </c>
      <c r="BJ35" s="853">
        <f t="shared" si="16"/>
        <v>0</v>
      </c>
      <c r="BK35" s="854">
        <v>22043251</v>
      </c>
      <c r="BL35" s="853">
        <f t="shared" si="26"/>
        <v>0</v>
      </c>
      <c r="BM35" s="853">
        <f t="shared" si="27"/>
        <v>0</v>
      </c>
      <c r="BN35" s="853">
        <f t="shared" si="28"/>
        <v>0</v>
      </c>
      <c r="BO35" s="854">
        <v>1379222</v>
      </c>
      <c r="BP35" s="853">
        <f t="shared" si="17"/>
        <v>0</v>
      </c>
      <c r="BQ35" s="854">
        <v>3517202</v>
      </c>
      <c r="BR35" s="853">
        <f t="shared" si="18"/>
        <v>0</v>
      </c>
      <c r="BS35" s="786">
        <v>375841</v>
      </c>
      <c r="BT35" s="853">
        <f t="shared" si="19"/>
        <v>0</v>
      </c>
      <c r="BU35" s="852">
        <v>457558</v>
      </c>
      <c r="BV35" s="853">
        <f t="shared" si="35"/>
        <v>0</v>
      </c>
      <c r="BW35" s="768">
        <f t="shared" si="29"/>
        <v>0</v>
      </c>
      <c r="BX35" s="769"/>
      <c r="BY35" s="768">
        <f t="shared" si="47"/>
        <v>0</v>
      </c>
      <c r="BZ35" s="769"/>
      <c r="CA35" s="768">
        <f t="shared" si="31"/>
        <v>0</v>
      </c>
      <c r="CB35" s="768">
        <f>BW35*CD1</f>
        <v>0</v>
      </c>
      <c r="CC35" s="768">
        <f t="shared" si="48"/>
        <v>0</v>
      </c>
      <c r="CD35" s="770">
        <f t="shared" si="36"/>
        <v>0</v>
      </c>
      <c r="CE35" s="875"/>
      <c r="CT35" s="875"/>
      <c r="CU35" s="875"/>
      <c r="CV35" s="875"/>
      <c r="CW35" s="875"/>
      <c r="CX35" s="875"/>
      <c r="CY35" s="875"/>
      <c r="CZ35" s="875"/>
    </row>
    <row r="36" spans="1:104" ht="33.75" customHeight="1">
      <c r="A36" s="114">
        <v>31</v>
      </c>
      <c r="B36" s="797"/>
      <c r="C36" s="798"/>
      <c r="D36" s="798"/>
      <c r="E36" s="798"/>
      <c r="F36" s="798"/>
      <c r="G36" s="798"/>
      <c r="H36" s="799"/>
      <c r="I36" s="854">
        <v>22188532</v>
      </c>
      <c r="J36" s="853">
        <f t="shared" si="20"/>
        <v>0</v>
      </c>
      <c r="K36" s="853">
        <f t="shared" si="0"/>
        <v>0</v>
      </c>
      <c r="L36" s="854">
        <v>44927</v>
      </c>
      <c r="M36" s="853">
        <f t="shared" si="1"/>
        <v>0</v>
      </c>
      <c r="N36" s="852">
        <v>49105</v>
      </c>
      <c r="O36" s="853">
        <f t="shared" si="2"/>
        <v>0</v>
      </c>
      <c r="P36" s="854">
        <v>215244</v>
      </c>
      <c r="Q36" s="853">
        <f t="shared" si="45"/>
        <v>0</v>
      </c>
      <c r="R36" s="852">
        <v>702925</v>
      </c>
      <c r="S36" s="853">
        <f t="shared" si="51"/>
        <v>0</v>
      </c>
      <c r="T36" s="852">
        <v>344001</v>
      </c>
      <c r="U36" s="853">
        <f t="shared" si="52"/>
        <v>0</v>
      </c>
      <c r="V36" s="852">
        <v>135058</v>
      </c>
      <c r="W36" s="853">
        <f t="shared" si="49"/>
        <v>0</v>
      </c>
      <c r="X36" s="852">
        <v>245216</v>
      </c>
      <c r="Y36" s="853">
        <f t="shared" si="53"/>
        <v>0</v>
      </c>
      <c r="Z36" s="852">
        <v>367687</v>
      </c>
      <c r="AA36" s="853">
        <f t="shared" si="6"/>
        <v>0</v>
      </c>
      <c r="AB36" s="854">
        <v>393488</v>
      </c>
      <c r="AC36" s="853">
        <f t="shared" si="7"/>
        <v>0</v>
      </c>
      <c r="AD36" s="857">
        <v>580657</v>
      </c>
      <c r="AE36" s="853">
        <f t="shared" si="8"/>
        <v>0</v>
      </c>
      <c r="AF36" s="852">
        <v>310194</v>
      </c>
      <c r="AG36" s="853">
        <f t="shared" si="34"/>
        <v>0</v>
      </c>
      <c r="AH36" s="852">
        <v>330145</v>
      </c>
      <c r="AI36" s="853">
        <f t="shared" si="21"/>
        <v>0</v>
      </c>
      <c r="AJ36" s="852">
        <v>708263</v>
      </c>
      <c r="AK36" s="853">
        <f t="shared" si="22"/>
        <v>0</v>
      </c>
      <c r="AL36" s="852">
        <v>548748</v>
      </c>
      <c r="AM36" s="853">
        <f t="shared" si="9"/>
        <v>0</v>
      </c>
      <c r="AN36" s="852">
        <v>820202</v>
      </c>
      <c r="AO36" s="853">
        <f t="shared" si="44"/>
        <v>0</v>
      </c>
      <c r="AP36" s="852">
        <v>389263</v>
      </c>
      <c r="AQ36" s="853">
        <f t="shared" si="11"/>
        <v>0</v>
      </c>
      <c r="AR36" s="853">
        <f t="shared" si="23"/>
        <v>0</v>
      </c>
      <c r="AS36" s="852">
        <v>7225978</v>
      </c>
      <c r="AT36" s="853">
        <f t="shared" si="24"/>
        <v>0</v>
      </c>
      <c r="AU36" s="852">
        <v>581825</v>
      </c>
      <c r="AV36" s="853">
        <f t="shared" si="12"/>
        <v>0</v>
      </c>
      <c r="AW36" s="852">
        <v>916482</v>
      </c>
      <c r="AX36" s="853">
        <f t="shared" si="25"/>
        <v>0</v>
      </c>
      <c r="AY36" s="852">
        <v>795644</v>
      </c>
      <c r="AZ36" s="853">
        <f t="shared" si="13"/>
        <v>0</v>
      </c>
      <c r="BA36" s="852">
        <v>2347553</v>
      </c>
      <c r="BB36" s="853">
        <f t="shared" si="14"/>
        <v>0</v>
      </c>
      <c r="BC36" s="854">
        <v>211243</v>
      </c>
      <c r="BD36" s="853">
        <f t="shared" si="46"/>
        <v>0</v>
      </c>
      <c r="BE36" s="852">
        <v>17764320</v>
      </c>
      <c r="BF36" s="853">
        <f t="shared" si="16"/>
        <v>0</v>
      </c>
      <c r="BG36" s="852">
        <v>501061</v>
      </c>
      <c r="BH36" s="853">
        <f t="shared" si="16"/>
        <v>0</v>
      </c>
      <c r="BI36" s="852">
        <v>8820</v>
      </c>
      <c r="BJ36" s="853">
        <f t="shared" si="16"/>
        <v>0</v>
      </c>
      <c r="BK36" s="854">
        <v>22043251</v>
      </c>
      <c r="BL36" s="853">
        <f t="shared" si="26"/>
        <v>0</v>
      </c>
      <c r="BM36" s="853">
        <f t="shared" si="27"/>
        <v>0</v>
      </c>
      <c r="BN36" s="853">
        <f t="shared" si="28"/>
        <v>0</v>
      </c>
      <c r="BO36" s="854">
        <v>1379222</v>
      </c>
      <c r="BP36" s="853">
        <f t="shared" si="17"/>
        <v>0</v>
      </c>
      <c r="BQ36" s="854">
        <v>3517202</v>
      </c>
      <c r="BR36" s="853">
        <f t="shared" si="18"/>
        <v>0</v>
      </c>
      <c r="BS36" s="786">
        <v>375841</v>
      </c>
      <c r="BT36" s="853">
        <f t="shared" si="19"/>
        <v>0</v>
      </c>
      <c r="BU36" s="852">
        <v>457558</v>
      </c>
      <c r="BV36" s="853">
        <f t="shared" si="35"/>
        <v>0</v>
      </c>
      <c r="BW36" s="768">
        <f t="shared" si="29"/>
        <v>0</v>
      </c>
      <c r="BX36" s="769"/>
      <c r="BY36" s="768">
        <f t="shared" si="47"/>
        <v>0</v>
      </c>
      <c r="BZ36" s="800"/>
      <c r="CA36" s="768">
        <f t="shared" si="31"/>
        <v>0</v>
      </c>
      <c r="CB36" s="768">
        <f>BW36*CD1</f>
        <v>0</v>
      </c>
      <c r="CC36" s="768">
        <f t="shared" si="48"/>
        <v>0</v>
      </c>
      <c r="CD36" s="770">
        <f t="shared" si="36"/>
        <v>0</v>
      </c>
      <c r="CE36" s="875"/>
      <c r="CT36" s="875"/>
      <c r="CU36" s="875"/>
      <c r="CV36" s="875"/>
      <c r="CW36" s="875"/>
      <c r="CX36" s="875"/>
      <c r="CY36" s="875"/>
      <c r="CZ36" s="875"/>
    </row>
    <row r="37" spans="1:104" s="597" customFormat="1" ht="36.75" customHeight="1" thickBot="1">
      <c r="A37" s="593" t="s">
        <v>122</v>
      </c>
      <c r="B37" s="588"/>
      <c r="C37" s="594">
        <f>SUM(C9:C35)</f>
        <v>0</v>
      </c>
      <c r="D37" s="588"/>
      <c r="E37" s="594">
        <f>SUM(E9:E35)</f>
        <v>0</v>
      </c>
      <c r="F37" s="594">
        <f>SUM(F9:F35)</f>
        <v>0</v>
      </c>
      <c r="G37" s="594">
        <f>SUM(G9:G35)</f>
        <v>0</v>
      </c>
      <c r="H37" s="588"/>
      <c r="I37" s="772"/>
      <c r="J37" s="791">
        <f>SUM(J6:J36)</f>
        <v>134700</v>
      </c>
      <c r="K37" s="791">
        <f>SUM(K6:K36)</f>
        <v>88531</v>
      </c>
      <c r="L37" s="773"/>
      <c r="M37" s="606">
        <f>SUM(M6:M36)</f>
        <v>42373</v>
      </c>
      <c r="N37" s="773"/>
      <c r="O37" s="606">
        <f>SUM(O6:O36)</f>
        <v>46158</v>
      </c>
      <c r="P37" s="772"/>
      <c r="Q37" s="606">
        <f>SUM(Q6:Q36)</f>
        <v>15240</v>
      </c>
      <c r="R37" s="774"/>
      <c r="S37" s="606">
        <f>SUM(S6:S36)</f>
        <v>0</v>
      </c>
      <c r="T37" s="772"/>
      <c r="U37" s="606">
        <f>SUM(U6:U36)</f>
        <v>0</v>
      </c>
      <c r="V37" s="795"/>
      <c r="W37" s="606">
        <f>SUM(W6:W36)</f>
        <v>4074</v>
      </c>
      <c r="X37" s="795"/>
      <c r="Y37" s="606">
        <f>SUM(Y6:Y36)</f>
        <v>6919</v>
      </c>
      <c r="Z37" s="772"/>
      <c r="AA37" s="606">
        <f>SUM(AA6:AA36)</f>
        <v>27746.559999999998</v>
      </c>
      <c r="AB37" s="852"/>
      <c r="AC37" s="606">
        <f>SUM(AC5:AC36)</f>
        <v>5943.9500000000007</v>
      </c>
      <c r="AD37" s="792"/>
      <c r="AE37" s="791">
        <f>SUM(AE6:AE36)</f>
        <v>9700.590000000002</v>
      </c>
      <c r="AF37" s="772"/>
      <c r="AG37" s="606">
        <f>SUM(AG6:AG36)</f>
        <v>1335.6000000000001</v>
      </c>
      <c r="AH37" s="871"/>
      <c r="AI37" s="791">
        <f>SUM(AI6:AI36)</f>
        <v>341.70488095226932</v>
      </c>
      <c r="AJ37" s="871"/>
      <c r="AK37" s="791">
        <f>SUM(AK6:AK36)</f>
        <v>340.40511904773069</v>
      </c>
      <c r="AL37" s="775"/>
      <c r="AM37" s="606">
        <f>SUM(AM6:AM36)</f>
        <v>7932.5100000000011</v>
      </c>
      <c r="AN37" s="775"/>
      <c r="AO37" s="606">
        <f>SUM(AO6:AO36)</f>
        <v>56435.989999999991</v>
      </c>
      <c r="AP37" s="791"/>
      <c r="AQ37" s="606">
        <f>SUM(AQ6:AQ36)</f>
        <v>4848.0235714284354</v>
      </c>
      <c r="AR37" s="791">
        <f>SUM(AR6:AR36)</f>
        <v>114625.33357142843</v>
      </c>
      <c r="AS37" s="858"/>
      <c r="AT37" s="606">
        <f>SUM(AT6:AT36)</f>
        <v>1333.0124999999996</v>
      </c>
      <c r="AU37" s="775"/>
      <c r="AV37" s="606">
        <f>SUM(AV6:AV36)</f>
        <v>7544</v>
      </c>
      <c r="AW37" s="775"/>
      <c r="AX37" s="606">
        <f>SUM(AX6:AX36)</f>
        <v>3014</v>
      </c>
      <c r="AY37" s="775"/>
      <c r="AZ37" s="606">
        <f>SUM(AZ6:AZ36)</f>
        <v>920</v>
      </c>
      <c r="BA37" s="775"/>
      <c r="BB37" s="606">
        <f>SUM(BB6:BB36)</f>
        <v>10069</v>
      </c>
      <c r="BC37" s="775"/>
      <c r="BD37" s="606">
        <f>SUM(BD6:BD36)</f>
        <v>1773</v>
      </c>
      <c r="BE37" s="775"/>
      <c r="BF37" s="606">
        <f>SUM(BF6:BF36)</f>
        <v>93581</v>
      </c>
      <c r="BG37" s="871"/>
      <c r="BH37" s="606">
        <f>SUM(BH6:BH36)</f>
        <v>3029.2857142859721</v>
      </c>
      <c r="BI37" s="871"/>
      <c r="BJ37" s="606">
        <f>SUM(BJ6:BJ36)</f>
        <v>15</v>
      </c>
      <c r="BK37" s="775"/>
      <c r="BL37" s="791">
        <f>SUM(BL6:BL36)</f>
        <v>132433.24999999852</v>
      </c>
      <c r="BM37" s="791">
        <f>SUM(BM6:BM36)</f>
        <v>253711.54821428447</v>
      </c>
      <c r="BN37" s="791">
        <f>SUM(BN6:BN36)</f>
        <v>368336.8817857129</v>
      </c>
      <c r="BO37" s="773"/>
      <c r="BP37" s="606">
        <f>SUM(BP6:BP36)</f>
        <v>9808</v>
      </c>
      <c r="BQ37" s="775"/>
      <c r="BR37" s="606">
        <f>SUM(BR6:BR36)</f>
        <v>25991</v>
      </c>
      <c r="BS37" s="775"/>
      <c r="BT37" s="606">
        <f>SUM(BT6:BT36)</f>
        <v>3096</v>
      </c>
      <c r="BU37" s="775"/>
      <c r="BV37" s="606">
        <f>SUM(BV6:BV36)</f>
        <v>5344</v>
      </c>
      <c r="BW37" s="606">
        <f>SUM(BW6:BW36)</f>
        <v>518276.8817857129</v>
      </c>
      <c r="BX37" s="776">
        <f>SUM(BX6:BX36)</f>
        <v>1776</v>
      </c>
      <c r="BY37" s="777">
        <f>IF(BW37&gt;0,BW37/BX37,0)</f>
        <v>291.82256857303656</v>
      </c>
      <c r="BZ37" s="776">
        <f>SUM(BZ6:BZ35)</f>
        <v>0</v>
      </c>
      <c r="CA37" s="777" t="e">
        <f>IF(BW37&gt;0,BW37/BZ37,0)</f>
        <v>#DIV/0!</v>
      </c>
      <c r="CB37" s="596">
        <f>SUM(CB6:CB35)</f>
        <v>596018.41405356978</v>
      </c>
      <c r="CC37" s="777">
        <f>IF(CB37&gt;0,CB37/BX37,0)</f>
        <v>335.595953858992</v>
      </c>
      <c r="CD37" s="778" t="e">
        <f>IF(CB37&gt;0,CB37/BZ37,0)</f>
        <v>#DIV/0!</v>
      </c>
    </row>
    <row r="38" spans="1:104" s="597" customFormat="1" ht="36.75" customHeight="1" thickBot="1">
      <c r="A38" s="598" t="s">
        <v>123</v>
      </c>
      <c r="B38" s="599"/>
      <c r="C38" s="600" t="e">
        <f>C37/C40</f>
        <v>#DIV/0!</v>
      </c>
      <c r="D38" s="589"/>
      <c r="E38" s="600" t="e">
        <f>E37/C40</f>
        <v>#DIV/0!</v>
      </c>
      <c r="F38" s="600" t="e">
        <f>F37/C40</f>
        <v>#DIV/0!</v>
      </c>
      <c r="G38" s="600" t="e">
        <f>G37/C40</f>
        <v>#DIV/0!</v>
      </c>
      <c r="H38" s="589"/>
      <c r="I38" s="779"/>
      <c r="J38" s="779">
        <f>J37/J39</f>
        <v>4490</v>
      </c>
      <c r="K38" s="779">
        <f>K37/J39</f>
        <v>2951.0333333333333</v>
      </c>
      <c r="L38" s="780"/>
      <c r="M38" s="779">
        <f>M37/J39</f>
        <v>1412.4333333333334</v>
      </c>
      <c r="N38" s="780"/>
      <c r="O38" s="779">
        <f>O37/J39</f>
        <v>1538.6</v>
      </c>
      <c r="P38" s="781"/>
      <c r="Q38" s="779">
        <f>Q37/J39</f>
        <v>508</v>
      </c>
      <c r="R38" s="601"/>
      <c r="S38" s="779">
        <f>S37/J39</f>
        <v>0</v>
      </c>
      <c r="T38" s="779"/>
      <c r="U38" s="779">
        <f>U37/J39</f>
        <v>0</v>
      </c>
      <c r="V38" s="796"/>
      <c r="W38" s="779">
        <f>W37/J39</f>
        <v>135.80000000000001</v>
      </c>
      <c r="X38" s="796"/>
      <c r="Y38" s="779">
        <f>Y37/J39</f>
        <v>230.63333333333333</v>
      </c>
      <c r="Z38" s="781"/>
      <c r="AA38" s="779">
        <f>AA37/J39</f>
        <v>924.88533333333328</v>
      </c>
      <c r="AB38" s="781"/>
      <c r="AC38" s="779">
        <f>AC37/J39</f>
        <v>198.13166666666669</v>
      </c>
      <c r="AD38" s="782"/>
      <c r="AE38" s="779">
        <f>AE37/J39</f>
        <v>323.35300000000007</v>
      </c>
      <c r="AF38" s="781"/>
      <c r="AG38" s="779">
        <f>AG37/J39</f>
        <v>44.52</v>
      </c>
      <c r="AH38" s="870"/>
      <c r="AI38" s="779">
        <f>AI37/J39</f>
        <v>11.390162698408977</v>
      </c>
      <c r="AJ38" s="870"/>
      <c r="AK38" s="779">
        <f>AK37/J39</f>
        <v>11.346837301591023</v>
      </c>
      <c r="AL38" s="783"/>
      <c r="AM38" s="779">
        <f>AM37/J39</f>
        <v>264.41700000000003</v>
      </c>
      <c r="AN38" s="783"/>
      <c r="AO38" s="779">
        <f>AO37/J39</f>
        <v>1881.1996666666664</v>
      </c>
      <c r="AP38" s="779"/>
      <c r="AQ38" s="779">
        <f>AQ37/J39</f>
        <v>161.60078571428119</v>
      </c>
      <c r="AR38" s="779">
        <f>AR37/J39</f>
        <v>3820.8444523809476</v>
      </c>
      <c r="AS38" s="783"/>
      <c r="AT38" s="779">
        <f>AT37/J39</f>
        <v>44.433749999999989</v>
      </c>
      <c r="AU38" s="783"/>
      <c r="AV38" s="779">
        <f>AV37/J39</f>
        <v>251.46666666666667</v>
      </c>
      <c r="AW38" s="783"/>
      <c r="AX38" s="779">
        <f>AX37/J39</f>
        <v>100.46666666666667</v>
      </c>
      <c r="AY38" s="783"/>
      <c r="AZ38" s="779">
        <f>AZ37/J39</f>
        <v>30.666666666666668</v>
      </c>
      <c r="BA38" s="783"/>
      <c r="BB38" s="779">
        <f>BB37/J39</f>
        <v>335.63333333333333</v>
      </c>
      <c r="BC38" s="783"/>
      <c r="BD38" s="779">
        <f>BD37/J39</f>
        <v>59.1</v>
      </c>
      <c r="BE38" s="783"/>
      <c r="BF38" s="779">
        <f>BF37/J39</f>
        <v>3119.3666666666668</v>
      </c>
      <c r="BG38" s="870"/>
      <c r="BH38" s="779">
        <f>BH37/J39</f>
        <v>100.97619047619906</v>
      </c>
      <c r="BI38" s="870"/>
      <c r="BJ38" s="779">
        <f>BJ37/J39</f>
        <v>0.5</v>
      </c>
      <c r="BK38" s="783"/>
      <c r="BL38" s="779">
        <f>BL37/J39</f>
        <v>4414.4416666666175</v>
      </c>
      <c r="BM38" s="779"/>
      <c r="BN38" s="779"/>
      <c r="BO38" s="780"/>
      <c r="BP38" s="779">
        <f>BP37/J39</f>
        <v>326.93333333333334</v>
      </c>
      <c r="BQ38" s="783"/>
      <c r="BR38" s="779">
        <f>BR37/J39</f>
        <v>866.36666666666667</v>
      </c>
      <c r="BS38" s="783"/>
      <c r="BT38" s="779">
        <f>BT37/J39</f>
        <v>103.2</v>
      </c>
      <c r="BU38" s="783"/>
      <c r="BV38" s="779">
        <f>BV37/J39</f>
        <v>178.13333333333333</v>
      </c>
      <c r="BW38" s="603" t="e">
        <f xml:space="preserve"> BW37/$J$41</f>
        <v>#DIV/0!</v>
      </c>
      <c r="BX38" s="603" t="e">
        <f>BX37/$J$41</f>
        <v>#DIV/0!</v>
      </c>
      <c r="BY38" s="603" t="e">
        <f>BW38/BX38</f>
        <v>#DIV/0!</v>
      </c>
      <c r="BZ38" s="603" t="e">
        <f>BZ37/$J$41</f>
        <v>#DIV/0!</v>
      </c>
      <c r="CA38" s="603" t="e">
        <f>BW38/BZ38</f>
        <v>#DIV/0!</v>
      </c>
      <c r="CB38" s="604" t="e">
        <f>CB37/$J$41</f>
        <v>#DIV/0!</v>
      </c>
      <c r="CC38" s="603" t="e">
        <f>CB38/BX38</f>
        <v>#DIV/0!</v>
      </c>
      <c r="CD38" s="784" t="e">
        <f>CB38/BZ38</f>
        <v>#DIV/0!</v>
      </c>
    </row>
    <row r="39" spans="1:104" s="585" customFormat="1" ht="30.75" customHeight="1" thickBot="1">
      <c r="A39" s="611" t="s">
        <v>124</v>
      </c>
      <c r="B39" s="605"/>
      <c r="C39" s="591"/>
      <c r="D39" s="605"/>
      <c r="E39" s="605"/>
      <c r="F39" s="605"/>
      <c r="G39" s="605"/>
      <c r="H39" s="605"/>
      <c r="I39" s="605"/>
      <c r="J39" s="591">
        <f>COUNTIF(I6:I35,"&gt;0")</f>
        <v>30</v>
      </c>
      <c r="K39" s="592"/>
      <c r="O39" s="612"/>
      <c r="S39" s="612"/>
      <c r="AA39" s="612"/>
      <c r="AC39" s="612"/>
      <c r="AE39" s="612"/>
      <c r="AG39" s="612"/>
      <c r="AH39" s="612"/>
      <c r="AI39" s="612"/>
      <c r="AJ39" s="612"/>
      <c r="AK39" s="612"/>
      <c r="AM39" s="612"/>
      <c r="AO39" s="612"/>
      <c r="AP39" s="612"/>
      <c r="AQ39" s="612"/>
      <c r="AR39" s="612"/>
      <c r="AT39" s="612"/>
      <c r="AV39" s="612"/>
      <c r="AX39" s="612"/>
      <c r="AZ39" s="612"/>
      <c r="BB39" s="612"/>
      <c r="BD39" s="612"/>
      <c r="BF39" s="612"/>
      <c r="BG39" s="612"/>
      <c r="BH39" s="612"/>
      <c r="BI39" s="612"/>
      <c r="BJ39" s="612"/>
      <c r="BL39" s="612"/>
      <c r="BM39" s="612"/>
      <c r="BN39" s="612"/>
      <c r="BP39" s="612"/>
      <c r="BR39" s="612"/>
      <c r="BT39" s="612"/>
      <c r="BV39" s="612"/>
      <c r="BW39" s="613"/>
      <c r="BX39" s="589"/>
      <c r="BY39" s="602"/>
      <c r="BZ39" s="589"/>
      <c r="CA39" s="613"/>
      <c r="CB39" s="614"/>
      <c r="CC39" s="615"/>
      <c r="CD39" s="616"/>
      <c r="CF39" s="590"/>
      <c r="CG39" s="590"/>
      <c r="CH39" s="590"/>
      <c r="CI39" s="590"/>
      <c r="CJ39" s="590"/>
      <c r="CK39" s="590"/>
      <c r="CL39" s="590"/>
      <c r="CM39" s="590"/>
      <c r="CN39" s="590"/>
      <c r="CO39" s="590"/>
      <c r="CP39" s="590"/>
      <c r="CQ39" s="590"/>
      <c r="CR39" s="590"/>
      <c r="CS39" s="590"/>
    </row>
    <row r="40" spans="1:104" s="585" customFormat="1" ht="30.75" customHeight="1">
      <c r="A40" s="611" t="s">
        <v>125</v>
      </c>
      <c r="E40" s="605"/>
      <c r="G40" s="605"/>
      <c r="J40" s="591">
        <f>COUNTIF(A6:A35,"&gt;0")</f>
        <v>30</v>
      </c>
      <c r="K40" s="592"/>
      <c r="BY40" s="605"/>
      <c r="CA40" s="605"/>
      <c r="CB40" s="617"/>
      <c r="CF40" s="590"/>
      <c r="CG40" s="590"/>
      <c r="CH40" s="590"/>
      <c r="CI40" s="590"/>
      <c r="CJ40" s="590"/>
      <c r="CK40" s="590"/>
      <c r="CL40" s="590"/>
      <c r="CM40" s="590"/>
      <c r="CN40" s="590"/>
      <c r="CO40" s="590"/>
      <c r="CP40" s="590"/>
      <c r="CQ40" s="590"/>
      <c r="CR40" s="590"/>
      <c r="CS40" s="590"/>
    </row>
    <row r="45" spans="1:104" ht="30.75" customHeight="1">
      <c r="A45" s="902"/>
      <c r="B45" s="902"/>
      <c r="C45" s="875"/>
      <c r="D45" s="875"/>
      <c r="E45" s="875"/>
      <c r="F45" s="875"/>
      <c r="G45" s="875"/>
      <c r="H45" s="875"/>
      <c r="I45" s="875"/>
      <c r="L45" s="875"/>
      <c r="M45" s="875"/>
      <c r="N45" s="875"/>
      <c r="O45" s="875"/>
      <c r="P45" s="875"/>
      <c r="Q45" s="875"/>
      <c r="R45" s="875"/>
      <c r="S45" s="875"/>
      <c r="T45" s="875"/>
      <c r="U45" s="875"/>
      <c r="V45" s="875"/>
      <c r="W45" s="875"/>
      <c r="X45" s="875"/>
      <c r="Y45" s="875"/>
      <c r="Z45" s="875"/>
      <c r="AA45" s="875"/>
      <c r="AB45" s="875"/>
      <c r="AC45" s="875"/>
      <c r="AD45" s="875"/>
      <c r="AE45" s="875"/>
      <c r="AF45" s="875"/>
      <c r="AG45" s="875"/>
      <c r="AH45" s="875"/>
      <c r="AI45" s="875"/>
      <c r="AJ45" s="875"/>
      <c r="AK45" s="875"/>
      <c r="AL45" s="875"/>
      <c r="AM45" s="875"/>
      <c r="AN45" s="875"/>
      <c r="AO45" s="875"/>
      <c r="AP45" s="875"/>
      <c r="AQ45" s="875"/>
      <c r="AR45" s="875"/>
      <c r="AS45" s="875"/>
      <c r="AT45" s="875"/>
      <c r="AU45" s="875"/>
      <c r="AV45" s="875"/>
      <c r="AW45" s="875"/>
      <c r="AX45" s="875"/>
      <c r="AY45" s="875"/>
      <c r="AZ45" s="875"/>
      <c r="BA45" s="875"/>
      <c r="BB45" s="875"/>
      <c r="BC45" s="875"/>
      <c r="BD45" s="875"/>
      <c r="BE45" s="875"/>
      <c r="BF45" s="875"/>
      <c r="BG45" s="875"/>
      <c r="BH45" s="875"/>
      <c r="BI45" s="875"/>
      <c r="BJ45" s="875"/>
      <c r="BK45" s="875"/>
      <c r="BL45" s="875"/>
      <c r="BM45" s="875"/>
      <c r="BN45" s="875"/>
      <c r="BO45" s="875"/>
      <c r="BP45" s="875"/>
      <c r="BQ45" s="875"/>
      <c r="BR45" s="875"/>
      <c r="BS45" s="875"/>
      <c r="BT45" s="875"/>
      <c r="BU45" s="875"/>
      <c r="BV45" s="875"/>
      <c r="BW45" s="875"/>
      <c r="BX45" s="31"/>
      <c r="BZ45" s="875"/>
      <c r="CC45" s="875"/>
      <c r="CD45" s="875"/>
      <c r="CE45" s="875"/>
      <c r="CT45" s="875"/>
      <c r="CU45" s="875"/>
      <c r="CV45" s="875"/>
      <c r="CW45" s="875"/>
      <c r="CX45" s="875"/>
      <c r="CY45" s="875"/>
      <c r="CZ45" s="875"/>
    </row>
    <row r="47" spans="1:104" ht="30.75" customHeight="1">
      <c r="B47" s="875"/>
      <c r="C47" s="875"/>
      <c r="D47" s="875"/>
      <c r="E47" s="875"/>
      <c r="F47" s="875"/>
      <c r="G47" s="875"/>
      <c r="H47" s="875"/>
      <c r="I47" s="875"/>
      <c r="L47" s="875"/>
      <c r="M47" s="875"/>
      <c r="N47" s="875"/>
      <c r="O47" s="875"/>
      <c r="P47" s="875"/>
      <c r="Q47" s="875"/>
      <c r="R47" s="875"/>
      <c r="S47" s="875"/>
      <c r="T47" s="875"/>
      <c r="U47" s="875"/>
      <c r="V47" s="875"/>
      <c r="W47" s="875"/>
      <c r="X47" s="875"/>
      <c r="Y47" s="875"/>
      <c r="Z47" s="875"/>
      <c r="AA47" s="875"/>
      <c r="AB47" s="875"/>
      <c r="AC47" s="875"/>
      <c r="AD47" s="875"/>
      <c r="AE47" s="875"/>
      <c r="AF47" s="875"/>
      <c r="AG47" s="875"/>
      <c r="AH47" s="875"/>
      <c r="AI47" s="875"/>
      <c r="AJ47" s="875"/>
      <c r="AK47" s="875"/>
      <c r="AL47" s="875"/>
      <c r="AM47" s="875"/>
      <c r="AN47" s="875"/>
      <c r="AO47" s="875"/>
      <c r="AP47" s="875"/>
      <c r="AQ47" s="875"/>
      <c r="AR47" s="875"/>
      <c r="AS47" s="875"/>
      <c r="AT47" s="875"/>
      <c r="AU47" s="875"/>
      <c r="AV47" s="875"/>
      <c r="AW47" s="875"/>
      <c r="AX47" s="875"/>
      <c r="AY47" s="875"/>
      <c r="AZ47" s="875"/>
      <c r="BA47" s="875"/>
      <c r="BB47" s="875"/>
      <c r="BC47" s="875"/>
      <c r="BD47" s="875"/>
      <c r="BE47" s="875"/>
      <c r="BF47" s="875"/>
      <c r="BG47" s="875"/>
      <c r="BH47" s="875"/>
      <c r="BI47" s="875"/>
      <c r="BJ47" s="875"/>
      <c r="BK47" s="875"/>
      <c r="BL47" s="875"/>
      <c r="BM47" s="875"/>
      <c r="BN47" s="875"/>
      <c r="BO47" s="875"/>
      <c r="BP47" s="875"/>
      <c r="BQ47" s="875"/>
      <c r="BR47" s="875"/>
      <c r="BS47" s="875"/>
      <c r="BT47" s="875"/>
      <c r="BU47" s="875"/>
      <c r="BV47" s="875"/>
      <c r="BW47" s="568"/>
      <c r="BX47" s="875"/>
      <c r="BZ47" s="875"/>
      <c r="CC47" s="875"/>
      <c r="CD47" s="875"/>
      <c r="CE47" s="875"/>
      <c r="CT47" s="875"/>
      <c r="CU47" s="875"/>
      <c r="CV47" s="875"/>
      <c r="CW47" s="875"/>
      <c r="CX47" s="875"/>
      <c r="CY47" s="875"/>
      <c r="CZ47" s="875"/>
    </row>
    <row r="49" spans="2:76" ht="30.75" customHeight="1">
      <c r="B49" s="875"/>
      <c r="C49" s="875"/>
      <c r="D49" s="875"/>
      <c r="E49" s="875"/>
      <c r="F49" s="875"/>
      <c r="G49" s="875"/>
      <c r="H49" s="875"/>
      <c r="I49" s="31"/>
      <c r="L49" s="875"/>
      <c r="M49" s="875"/>
      <c r="N49" s="875"/>
      <c r="O49" s="875"/>
      <c r="P49" s="875"/>
      <c r="Q49" s="875"/>
      <c r="R49" s="875"/>
      <c r="S49" s="875"/>
      <c r="T49" s="875"/>
      <c r="U49" s="875"/>
      <c r="V49" s="875"/>
      <c r="W49" s="875"/>
      <c r="X49" s="875"/>
      <c r="Y49" s="875"/>
      <c r="Z49" s="875"/>
      <c r="AA49" s="875"/>
      <c r="AB49" s="875"/>
      <c r="AC49" s="875"/>
      <c r="AD49" s="875"/>
      <c r="AE49" s="875"/>
      <c r="AF49" s="875"/>
      <c r="AG49" s="875"/>
      <c r="AH49" s="875"/>
      <c r="AI49" s="875"/>
      <c r="AJ49" s="875"/>
      <c r="AK49" s="875"/>
      <c r="AL49" s="875"/>
      <c r="AM49" s="875"/>
      <c r="AN49" s="875"/>
      <c r="AO49" s="875"/>
      <c r="AP49" s="875"/>
      <c r="AQ49" s="875"/>
      <c r="AR49" s="875"/>
      <c r="AS49" s="875"/>
      <c r="AT49" s="875"/>
      <c r="AU49" s="875"/>
      <c r="AV49" s="875"/>
      <c r="AW49" s="875"/>
      <c r="AX49" s="875"/>
      <c r="AY49" s="875"/>
      <c r="AZ49" s="875"/>
      <c r="BA49" s="875"/>
      <c r="BB49" s="875"/>
      <c r="BC49" s="875"/>
      <c r="BD49" s="875"/>
      <c r="BE49" s="875"/>
      <c r="BF49" s="875"/>
      <c r="BG49" s="875"/>
      <c r="BH49" s="875"/>
      <c r="BI49" s="875"/>
      <c r="BJ49" s="875"/>
      <c r="BK49" s="875"/>
      <c r="BL49" s="875"/>
      <c r="BM49" s="875"/>
      <c r="BN49" s="875"/>
      <c r="BO49" s="875"/>
      <c r="BP49" s="875"/>
      <c r="BQ49" s="875"/>
      <c r="BR49" s="875"/>
      <c r="BS49" s="875"/>
      <c r="BT49" s="875"/>
      <c r="BU49" s="875"/>
      <c r="BV49" s="875"/>
      <c r="BW49" s="875"/>
      <c r="BX49" s="875"/>
    </row>
    <row r="56" spans="2:76" ht="92.25" customHeight="1">
      <c r="B56" s="875"/>
      <c r="C56" s="875"/>
      <c r="D56" s="875"/>
      <c r="E56" s="875"/>
      <c r="F56" s="875"/>
      <c r="G56" s="875"/>
      <c r="H56" s="875"/>
      <c r="I56" s="875"/>
      <c r="L56" s="875"/>
      <c r="M56" s="875"/>
      <c r="N56" s="875"/>
      <c r="O56" s="875"/>
      <c r="P56" s="875"/>
      <c r="Q56" s="875"/>
      <c r="R56" s="875"/>
      <c r="S56" s="875"/>
      <c r="T56" s="875"/>
      <c r="U56" s="875"/>
      <c r="V56" s="875"/>
      <c r="W56" s="875"/>
      <c r="X56" s="875"/>
      <c r="Y56" s="875"/>
      <c r="Z56" s="875"/>
      <c r="AA56" s="875"/>
      <c r="AB56" s="875"/>
      <c r="AC56" s="875"/>
      <c r="AD56" s="875"/>
      <c r="AE56" s="875"/>
      <c r="AF56" s="875"/>
      <c r="AG56" s="875"/>
      <c r="AH56" s="875"/>
      <c r="AI56" s="875"/>
      <c r="AJ56" s="875"/>
      <c r="AK56" s="875"/>
      <c r="AL56" s="875"/>
      <c r="AM56" s="875"/>
      <c r="AN56" s="875"/>
      <c r="AO56" s="875"/>
      <c r="AP56" s="875"/>
      <c r="AQ56" s="875"/>
      <c r="AR56" s="875"/>
      <c r="AS56" s="875"/>
      <c r="AT56" s="875"/>
      <c r="AU56" s="875"/>
      <c r="AV56" s="875"/>
      <c r="AW56" s="875"/>
      <c r="AX56" s="875"/>
      <c r="AY56" s="875"/>
      <c r="AZ56" s="875"/>
      <c r="BA56" s="875"/>
      <c r="BB56" s="875"/>
      <c r="BC56" s="875"/>
      <c r="BD56" s="875"/>
      <c r="BE56" s="875"/>
      <c r="BF56" s="875"/>
      <c r="BG56" s="875"/>
      <c r="BH56" s="875"/>
      <c r="BI56" s="875"/>
      <c r="BJ56" s="875"/>
      <c r="BK56" s="875"/>
      <c r="BL56" s="875"/>
      <c r="BM56" s="875"/>
      <c r="BN56" s="875"/>
      <c r="BO56" s="875"/>
      <c r="BP56" s="875"/>
      <c r="BQ56" s="875"/>
      <c r="BR56" s="875"/>
      <c r="BS56" s="875"/>
      <c r="BT56" s="875"/>
      <c r="BU56" s="875"/>
      <c r="BV56" s="875"/>
      <c r="BW56" s="875"/>
      <c r="BX56" s="875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73" ht="30.75" customHeight="1">
      <c r="F157" s="27"/>
      <c r="G157" s="27"/>
      <c r="H157" s="27"/>
      <c r="I157" s="27"/>
      <c r="J157" s="590"/>
      <c r="K157" s="590"/>
      <c r="L157" s="27"/>
      <c r="M157" s="27"/>
      <c r="N157" s="27"/>
      <c r="O157" s="875"/>
      <c r="P157" s="27"/>
      <c r="Q157" s="27"/>
      <c r="R157" s="27"/>
      <c r="S157" s="875"/>
      <c r="T157" s="27"/>
      <c r="U157" s="27"/>
      <c r="V157" s="27"/>
      <c r="W157" s="27"/>
      <c r="X157" s="27"/>
      <c r="Y157" s="27"/>
      <c r="Z157" s="27"/>
      <c r="AA157" s="875"/>
      <c r="AB157" s="27"/>
      <c r="AC157" s="875"/>
      <c r="AD157" s="27"/>
      <c r="AE157" s="875"/>
      <c r="AF157" s="27"/>
      <c r="AG157" s="875"/>
      <c r="AH157" s="875"/>
      <c r="AI157" s="875"/>
      <c r="AJ157" s="875"/>
      <c r="AK157" s="875"/>
      <c r="AL157" s="27"/>
      <c r="AM157" s="875"/>
      <c r="AN157" s="27"/>
      <c r="AO157" s="875"/>
      <c r="AP157" s="875"/>
      <c r="AQ157" s="875"/>
      <c r="AR157" s="875"/>
      <c r="AS157" s="27"/>
      <c r="AT157" s="875"/>
      <c r="AU157" s="27"/>
      <c r="AV157" s="875"/>
      <c r="AW157" s="27"/>
      <c r="AX157" s="875"/>
      <c r="AY157" s="27"/>
      <c r="AZ157" s="875"/>
      <c r="BA157" s="27"/>
      <c r="BB157" s="875"/>
      <c r="BC157" s="27"/>
      <c r="BD157" s="875"/>
      <c r="BE157" s="27"/>
      <c r="BF157" s="875"/>
      <c r="BG157" s="875"/>
      <c r="BH157" s="875"/>
      <c r="BI157" s="875"/>
      <c r="BJ157" s="875"/>
      <c r="BK157" s="27"/>
      <c r="BL157" s="875"/>
      <c r="BM157" s="875"/>
      <c r="BN157" s="875"/>
      <c r="BO157" s="27"/>
      <c r="BP157" s="875"/>
      <c r="BQ157" s="27"/>
      <c r="BR157" s="875"/>
      <c r="BS157" s="27"/>
      <c r="BT157" s="875"/>
      <c r="BU157" s="27"/>
    </row>
    <row r="158" spans="6:73" ht="30.75" customHeight="1">
      <c r="F158" s="27"/>
      <c r="G158" s="27"/>
      <c r="H158" s="27"/>
      <c r="I158" s="27"/>
      <c r="J158" s="590"/>
      <c r="K158" s="590"/>
      <c r="L158" s="27"/>
      <c r="M158" s="27"/>
      <c r="N158" s="27"/>
      <c r="O158" s="875"/>
      <c r="P158" s="27"/>
      <c r="Q158" s="27"/>
      <c r="R158" s="27"/>
      <c r="S158" s="875"/>
      <c r="T158" s="27"/>
      <c r="U158" s="27"/>
      <c r="V158" s="27"/>
      <c r="W158" s="27"/>
      <c r="X158" s="27"/>
      <c r="Y158" s="27"/>
      <c r="Z158" s="27"/>
      <c r="AA158" s="875"/>
      <c r="AB158" s="27"/>
      <c r="AC158" s="875"/>
      <c r="AD158" s="27"/>
      <c r="AE158" s="875"/>
      <c r="AF158" s="27"/>
      <c r="AG158" s="875"/>
      <c r="AH158" s="875"/>
      <c r="AI158" s="875"/>
      <c r="AJ158" s="875"/>
      <c r="AK158" s="875"/>
      <c r="AL158" s="27"/>
      <c r="AM158" s="875"/>
      <c r="AN158" s="27"/>
      <c r="AO158" s="875"/>
      <c r="AP158" s="875"/>
      <c r="AQ158" s="875"/>
      <c r="AR158" s="875"/>
      <c r="AS158" s="27"/>
      <c r="AT158" s="875"/>
      <c r="AU158" s="27"/>
      <c r="AV158" s="875"/>
      <c r="AW158" s="27"/>
      <c r="AX158" s="875"/>
      <c r="AY158" s="27"/>
      <c r="AZ158" s="875"/>
      <c r="BA158" s="27"/>
      <c r="BB158" s="875"/>
      <c r="BC158" s="27"/>
      <c r="BD158" s="875"/>
      <c r="BE158" s="27"/>
      <c r="BF158" s="875"/>
      <c r="BG158" s="875"/>
      <c r="BH158" s="875"/>
      <c r="BI158" s="875"/>
      <c r="BJ158" s="875"/>
      <c r="BK158" s="27"/>
      <c r="BL158" s="875"/>
      <c r="BM158" s="875"/>
      <c r="BN158" s="875"/>
      <c r="BO158" s="27"/>
      <c r="BP158" s="875"/>
      <c r="BQ158" s="27"/>
      <c r="BR158" s="875"/>
      <c r="BS158" s="27"/>
      <c r="BT158" s="875"/>
      <c r="BU158" s="27"/>
    </row>
    <row r="159" spans="6:73" ht="30.75" customHeight="1">
      <c r="F159" s="27"/>
      <c r="G159" s="27"/>
      <c r="H159" s="27"/>
      <c r="I159" s="27"/>
      <c r="J159" s="590"/>
      <c r="K159" s="590"/>
      <c r="L159" s="27"/>
      <c r="M159" s="27"/>
      <c r="N159" s="27"/>
      <c r="O159" s="875"/>
      <c r="P159" s="27"/>
      <c r="Q159" s="27"/>
      <c r="R159" s="27"/>
      <c r="S159" s="875"/>
      <c r="T159" s="27"/>
      <c r="U159" s="27"/>
      <c r="V159" s="27"/>
      <c r="W159" s="27"/>
      <c r="X159" s="27"/>
      <c r="Y159" s="27"/>
      <c r="Z159" s="27"/>
      <c r="AA159" s="875"/>
      <c r="AB159" s="27"/>
      <c r="AC159" s="875"/>
      <c r="AD159" s="27"/>
      <c r="AE159" s="875"/>
      <c r="AF159" s="27"/>
      <c r="AG159" s="875"/>
      <c r="AH159" s="875"/>
      <c r="AI159" s="875"/>
      <c r="AJ159" s="875"/>
      <c r="AK159" s="875"/>
      <c r="AL159" s="27"/>
      <c r="AM159" s="875"/>
      <c r="AN159" s="27"/>
      <c r="AO159" s="875"/>
      <c r="AP159" s="875"/>
      <c r="AQ159" s="875"/>
      <c r="AR159" s="875"/>
      <c r="AS159" s="27"/>
      <c r="AT159" s="875"/>
      <c r="AU159" s="27"/>
      <c r="AV159" s="875"/>
      <c r="AW159" s="27"/>
      <c r="AX159" s="875"/>
      <c r="AY159" s="27"/>
      <c r="AZ159" s="875"/>
      <c r="BA159" s="27"/>
      <c r="BB159" s="875"/>
      <c r="BC159" s="27"/>
      <c r="BD159" s="875"/>
      <c r="BE159" s="27"/>
      <c r="BF159" s="875"/>
      <c r="BG159" s="875"/>
      <c r="BH159" s="875"/>
      <c r="BI159" s="875"/>
      <c r="BJ159" s="875"/>
      <c r="BK159" s="27"/>
      <c r="BL159" s="875"/>
      <c r="BM159" s="875"/>
      <c r="BN159" s="875"/>
      <c r="BO159" s="27"/>
      <c r="BP159" s="875"/>
      <c r="BQ159" s="27"/>
      <c r="BR159" s="875"/>
      <c r="BS159" s="27"/>
      <c r="BT159" s="875"/>
      <c r="BU159" s="27"/>
    </row>
    <row r="160" spans="6:73" ht="30.75" customHeight="1">
      <c r="F160" s="27"/>
      <c r="G160" s="27"/>
      <c r="H160" s="27"/>
      <c r="I160" s="27"/>
      <c r="J160" s="590"/>
      <c r="K160" s="590"/>
      <c r="L160" s="27"/>
      <c r="M160" s="27"/>
      <c r="N160" s="27"/>
      <c r="O160" s="875"/>
      <c r="P160" s="27"/>
      <c r="Q160" s="27"/>
      <c r="R160" s="27"/>
      <c r="S160" s="875"/>
      <c r="T160" s="27"/>
      <c r="U160" s="27"/>
      <c r="V160" s="27"/>
      <c r="W160" s="27"/>
      <c r="X160" s="27"/>
      <c r="Y160" s="27"/>
      <c r="Z160" s="27"/>
      <c r="AA160" s="875"/>
      <c r="AB160" s="27"/>
      <c r="AC160" s="875"/>
      <c r="AD160" s="27"/>
      <c r="AE160" s="875"/>
      <c r="AF160" s="27"/>
      <c r="AG160" s="875"/>
      <c r="AH160" s="875"/>
      <c r="AI160" s="875"/>
      <c r="AJ160" s="875"/>
      <c r="AK160" s="875"/>
      <c r="AL160" s="27"/>
      <c r="AM160" s="875"/>
      <c r="AN160" s="27"/>
      <c r="AO160" s="875"/>
      <c r="AP160" s="875"/>
      <c r="AQ160" s="875"/>
      <c r="AR160" s="875"/>
      <c r="AS160" s="27"/>
      <c r="AT160" s="875"/>
      <c r="AU160" s="27"/>
      <c r="AV160" s="875"/>
      <c r="AW160" s="27"/>
      <c r="AX160" s="875"/>
      <c r="AY160" s="27"/>
      <c r="AZ160" s="875"/>
      <c r="BA160" s="27"/>
      <c r="BB160" s="875"/>
      <c r="BC160" s="27"/>
      <c r="BD160" s="875"/>
      <c r="BE160" s="27"/>
      <c r="BF160" s="875"/>
      <c r="BG160" s="875"/>
      <c r="BH160" s="875"/>
      <c r="BI160" s="875"/>
      <c r="BJ160" s="875"/>
      <c r="BK160" s="27"/>
      <c r="BL160" s="875"/>
      <c r="BM160" s="875"/>
      <c r="BN160" s="875"/>
      <c r="BO160" s="27"/>
      <c r="BP160" s="875"/>
      <c r="BQ160" s="27"/>
      <c r="BR160" s="875"/>
      <c r="BS160" s="27"/>
      <c r="BT160" s="875"/>
      <c r="BU160" s="27"/>
    </row>
    <row r="161" spans="6:73" ht="30.75" customHeight="1">
      <c r="F161" s="27"/>
      <c r="G161" s="27"/>
      <c r="H161" s="27"/>
      <c r="I161" s="27"/>
      <c r="J161" s="590"/>
      <c r="K161" s="590"/>
      <c r="L161" s="27"/>
      <c r="M161" s="27"/>
      <c r="N161" s="27"/>
      <c r="O161" s="875"/>
      <c r="P161" s="27"/>
      <c r="Q161" s="27"/>
      <c r="R161" s="27"/>
      <c r="S161" s="875"/>
      <c r="T161" s="27"/>
      <c r="U161" s="27"/>
      <c r="V161" s="27"/>
      <c r="W161" s="27"/>
      <c r="X161" s="27"/>
      <c r="Y161" s="27"/>
      <c r="Z161" s="27"/>
      <c r="AA161" s="875"/>
      <c r="AB161" s="27"/>
      <c r="AC161" s="875"/>
      <c r="AD161" s="27"/>
      <c r="AE161" s="875"/>
      <c r="AF161" s="27"/>
      <c r="AG161" s="875"/>
      <c r="AH161" s="875"/>
      <c r="AI161" s="875"/>
      <c r="AJ161" s="875"/>
      <c r="AK161" s="875"/>
      <c r="AL161" s="27"/>
      <c r="AM161" s="875"/>
      <c r="AN161" s="27"/>
      <c r="AO161" s="875"/>
      <c r="AP161" s="875"/>
      <c r="AQ161" s="875"/>
      <c r="AR161" s="875"/>
      <c r="AS161" s="27"/>
      <c r="AT161" s="875"/>
      <c r="AU161" s="27"/>
      <c r="AV161" s="875"/>
      <c r="AW161" s="27"/>
      <c r="AX161" s="875"/>
      <c r="AY161" s="27"/>
      <c r="AZ161" s="875"/>
      <c r="BA161" s="27"/>
      <c r="BB161" s="875"/>
      <c r="BC161" s="27"/>
      <c r="BD161" s="875"/>
      <c r="BE161" s="27"/>
      <c r="BF161" s="875"/>
      <c r="BG161" s="875"/>
      <c r="BH161" s="875"/>
      <c r="BI161" s="875"/>
      <c r="BJ161" s="875"/>
      <c r="BK161" s="27"/>
      <c r="BL161" s="875"/>
      <c r="BM161" s="875"/>
      <c r="BN161" s="875"/>
      <c r="BO161" s="27"/>
      <c r="BP161" s="875"/>
      <c r="BQ161" s="27"/>
      <c r="BR161" s="875"/>
      <c r="BS161" s="27"/>
      <c r="BT161" s="875"/>
      <c r="BU161" s="27"/>
    </row>
    <row r="162" spans="6:73" ht="30.75" customHeight="1">
      <c r="F162" s="27"/>
      <c r="G162" s="27"/>
      <c r="H162" s="27"/>
      <c r="I162" s="27"/>
      <c r="J162" s="590"/>
      <c r="K162" s="590"/>
      <c r="L162" s="27"/>
      <c r="M162" s="27"/>
      <c r="N162" s="27"/>
      <c r="O162" s="875"/>
      <c r="P162" s="27"/>
      <c r="Q162" s="27"/>
      <c r="R162" s="27"/>
      <c r="S162" s="875"/>
      <c r="T162" s="27"/>
      <c r="U162" s="27"/>
      <c r="V162" s="27"/>
      <c r="W162" s="27"/>
      <c r="X162" s="27"/>
      <c r="Y162" s="27"/>
      <c r="Z162" s="27"/>
      <c r="AA162" s="875"/>
      <c r="AB162" s="27"/>
      <c r="AC162" s="875"/>
      <c r="AD162" s="27"/>
      <c r="AE162" s="875"/>
      <c r="AF162" s="27"/>
      <c r="AG162" s="875"/>
      <c r="AH162" s="875"/>
      <c r="AI162" s="875"/>
      <c r="AJ162" s="875"/>
      <c r="AK162" s="875"/>
      <c r="AL162" s="27"/>
      <c r="AM162" s="875"/>
      <c r="AN162" s="27"/>
      <c r="AO162" s="875"/>
      <c r="AP162" s="875"/>
      <c r="AQ162" s="875"/>
      <c r="AR162" s="875"/>
      <c r="AS162" s="27"/>
      <c r="AT162" s="875"/>
      <c r="AU162" s="27"/>
      <c r="AV162" s="875"/>
      <c r="AW162" s="27"/>
      <c r="AX162" s="875"/>
      <c r="AY162" s="27"/>
      <c r="AZ162" s="875"/>
      <c r="BA162" s="27"/>
      <c r="BB162" s="875"/>
      <c r="BC162" s="27"/>
      <c r="BD162" s="875"/>
      <c r="BE162" s="27"/>
      <c r="BF162" s="875"/>
      <c r="BG162" s="875"/>
      <c r="BH162" s="875"/>
      <c r="BI162" s="875"/>
      <c r="BJ162" s="875"/>
      <c r="BK162" s="27"/>
      <c r="BL162" s="875"/>
      <c r="BM162" s="875"/>
      <c r="BN162" s="875"/>
      <c r="BO162" s="27"/>
      <c r="BP162" s="875"/>
      <c r="BQ162" s="27"/>
      <c r="BR162" s="875"/>
      <c r="BS162" s="27"/>
      <c r="BT162" s="875"/>
      <c r="BU162" s="27"/>
    </row>
    <row r="163" spans="6:73" ht="30.75" customHeight="1">
      <c r="F163" s="27"/>
      <c r="G163" s="27"/>
      <c r="H163" s="27"/>
      <c r="I163" s="27"/>
      <c r="J163" s="590"/>
      <c r="K163" s="590"/>
      <c r="L163" s="27"/>
      <c r="M163" s="27"/>
      <c r="N163" s="27"/>
      <c r="O163" s="875"/>
      <c r="P163" s="27"/>
      <c r="Q163" s="27"/>
      <c r="R163" s="27"/>
      <c r="S163" s="875"/>
      <c r="T163" s="27"/>
      <c r="U163" s="27"/>
      <c r="V163" s="27"/>
      <c r="W163" s="27"/>
      <c r="X163" s="27"/>
      <c r="Y163" s="27"/>
      <c r="Z163" s="27"/>
      <c r="AA163" s="875"/>
      <c r="AB163" s="27"/>
      <c r="AC163" s="875"/>
      <c r="AD163" s="27"/>
      <c r="AE163" s="875"/>
      <c r="AF163" s="27"/>
      <c r="AG163" s="875"/>
      <c r="AH163" s="875"/>
      <c r="AI163" s="875"/>
      <c r="AJ163" s="875"/>
      <c r="AK163" s="875"/>
      <c r="AL163" s="27"/>
      <c r="AM163" s="875"/>
      <c r="AN163" s="27"/>
      <c r="AO163" s="875"/>
      <c r="AP163" s="875"/>
      <c r="AQ163" s="875"/>
      <c r="AR163" s="875"/>
      <c r="AS163" s="27"/>
      <c r="AT163" s="875"/>
      <c r="AU163" s="27"/>
      <c r="AV163" s="875"/>
      <c r="AW163" s="27"/>
      <c r="AX163" s="875"/>
      <c r="AY163" s="27"/>
      <c r="AZ163" s="875"/>
      <c r="BA163" s="27"/>
      <c r="BB163" s="875"/>
      <c r="BC163" s="27"/>
      <c r="BD163" s="875"/>
      <c r="BE163" s="27"/>
      <c r="BF163" s="875"/>
      <c r="BG163" s="875"/>
      <c r="BH163" s="875"/>
      <c r="BI163" s="875"/>
      <c r="BJ163" s="875"/>
      <c r="BK163" s="27"/>
      <c r="BL163" s="875"/>
      <c r="BM163" s="875"/>
      <c r="BN163" s="875"/>
      <c r="BO163" s="27"/>
      <c r="BP163" s="875"/>
      <c r="BQ163" s="27"/>
      <c r="BR163" s="875"/>
      <c r="BS163" s="27"/>
      <c r="BT163" s="875"/>
      <c r="BU163" s="27"/>
    </row>
    <row r="164" spans="6:73" ht="30.75" customHeight="1">
      <c r="F164" s="27"/>
      <c r="G164" s="27"/>
      <c r="H164" s="27"/>
      <c r="I164" s="27"/>
      <c r="J164" s="590"/>
      <c r="K164" s="590"/>
      <c r="L164" s="27"/>
      <c r="M164" s="27"/>
      <c r="N164" s="27"/>
      <c r="O164" s="875"/>
      <c r="P164" s="27"/>
      <c r="Q164" s="27"/>
      <c r="R164" s="27"/>
      <c r="S164" s="875"/>
      <c r="T164" s="27"/>
      <c r="U164" s="27"/>
      <c r="V164" s="27"/>
      <c r="W164" s="27"/>
      <c r="X164" s="27"/>
      <c r="Y164" s="27"/>
      <c r="Z164" s="27"/>
      <c r="AA164" s="875"/>
      <c r="AB164" s="27"/>
      <c r="AC164" s="875"/>
      <c r="AD164" s="27"/>
      <c r="AE164" s="875"/>
      <c r="AF164" s="27"/>
      <c r="AG164" s="875"/>
      <c r="AH164" s="875"/>
      <c r="AI164" s="875"/>
      <c r="AJ164" s="875"/>
      <c r="AK164" s="875"/>
      <c r="AL164" s="27"/>
      <c r="AM164" s="875"/>
      <c r="AN164" s="27"/>
      <c r="AO164" s="875"/>
      <c r="AP164" s="875"/>
      <c r="AQ164" s="875"/>
      <c r="AR164" s="875"/>
      <c r="AS164" s="27"/>
      <c r="AT164" s="875"/>
      <c r="AU164" s="27"/>
      <c r="AV164" s="875"/>
      <c r="AW164" s="27"/>
      <c r="AX164" s="875"/>
      <c r="AY164" s="27"/>
      <c r="AZ164" s="875"/>
      <c r="BA164" s="27"/>
      <c r="BB164" s="875"/>
      <c r="BC164" s="27"/>
      <c r="BD164" s="875"/>
      <c r="BE164" s="27"/>
      <c r="BF164" s="875"/>
      <c r="BG164" s="875"/>
      <c r="BH164" s="875"/>
      <c r="BI164" s="875"/>
      <c r="BJ164" s="875"/>
      <c r="BK164" s="27"/>
      <c r="BL164" s="875"/>
      <c r="BM164" s="875"/>
      <c r="BN164" s="875"/>
      <c r="BO164" s="27"/>
      <c r="BP164" s="875"/>
      <c r="BQ164" s="27"/>
      <c r="BR164" s="875"/>
      <c r="BS164" s="27"/>
      <c r="BT164" s="875"/>
      <c r="BU164" s="27"/>
    </row>
    <row r="165" spans="6:73" ht="30.75" customHeight="1">
      <c r="F165" s="27"/>
      <c r="G165" s="27"/>
      <c r="H165" s="27"/>
      <c r="I165" s="27"/>
      <c r="J165" s="590"/>
      <c r="K165" s="590"/>
      <c r="L165" s="27"/>
      <c r="M165" s="27"/>
      <c r="N165" s="27"/>
      <c r="O165" s="875"/>
      <c r="P165" s="27"/>
      <c r="Q165" s="27"/>
      <c r="R165" s="27"/>
      <c r="S165" s="875"/>
      <c r="T165" s="27"/>
      <c r="U165" s="27"/>
      <c r="V165" s="27"/>
      <c r="W165" s="27"/>
      <c r="X165" s="27"/>
      <c r="Y165" s="27"/>
      <c r="Z165" s="27"/>
      <c r="AA165" s="875"/>
      <c r="AB165" s="27"/>
      <c r="AC165" s="875"/>
      <c r="AD165" s="27"/>
      <c r="AE165" s="875"/>
      <c r="AF165" s="27"/>
      <c r="AG165" s="875"/>
      <c r="AH165" s="875"/>
      <c r="AI165" s="875"/>
      <c r="AJ165" s="875"/>
      <c r="AK165" s="875"/>
      <c r="AL165" s="27"/>
      <c r="AM165" s="875"/>
      <c r="AN165" s="27"/>
      <c r="AO165" s="875"/>
      <c r="AP165" s="875"/>
      <c r="AQ165" s="875"/>
      <c r="AR165" s="875"/>
      <c r="AS165" s="27"/>
      <c r="AT165" s="875"/>
      <c r="AU165" s="27"/>
      <c r="AV165" s="875"/>
      <c r="AW165" s="27"/>
      <c r="AX165" s="875"/>
      <c r="AY165" s="27"/>
      <c r="AZ165" s="875"/>
      <c r="BA165" s="27"/>
      <c r="BB165" s="875"/>
      <c r="BC165" s="27"/>
      <c r="BD165" s="875"/>
      <c r="BE165" s="27"/>
      <c r="BF165" s="875"/>
      <c r="BG165" s="875"/>
      <c r="BH165" s="875"/>
      <c r="BI165" s="875"/>
      <c r="BJ165" s="875"/>
      <c r="BK165" s="27"/>
      <c r="BL165" s="875"/>
      <c r="BM165" s="875"/>
      <c r="BN165" s="875"/>
      <c r="BO165" s="27"/>
      <c r="BP165" s="875"/>
      <c r="BQ165" s="27"/>
      <c r="BR165" s="875"/>
      <c r="BS165" s="27"/>
      <c r="BT165" s="875"/>
      <c r="BU165" s="27"/>
    </row>
    <row r="166" spans="6:73" ht="30.75" customHeight="1">
      <c r="F166" s="27"/>
      <c r="G166" s="27"/>
      <c r="H166" s="27"/>
      <c r="I166" s="27"/>
      <c r="J166" s="590"/>
      <c r="K166" s="590"/>
      <c r="L166" s="27"/>
      <c r="M166" s="27"/>
      <c r="N166" s="27"/>
      <c r="O166" s="875"/>
      <c r="P166" s="27"/>
      <c r="Q166" s="27"/>
      <c r="R166" s="27"/>
      <c r="S166" s="875"/>
      <c r="T166" s="27"/>
      <c r="U166" s="27"/>
      <c r="V166" s="27"/>
      <c r="W166" s="27"/>
      <c r="X166" s="27"/>
      <c r="Y166" s="27"/>
      <c r="Z166" s="27"/>
      <c r="AA166" s="875"/>
      <c r="AB166" s="27"/>
      <c r="AC166" s="875"/>
      <c r="AD166" s="27"/>
      <c r="AE166" s="875"/>
      <c r="AF166" s="27"/>
      <c r="AG166" s="875"/>
      <c r="AH166" s="875"/>
      <c r="AI166" s="875"/>
      <c r="AJ166" s="875"/>
      <c r="AK166" s="875"/>
      <c r="AL166" s="27"/>
      <c r="AM166" s="875"/>
      <c r="AN166" s="27"/>
      <c r="AO166" s="875"/>
      <c r="AP166" s="875"/>
      <c r="AQ166" s="875"/>
      <c r="AR166" s="875"/>
      <c r="AS166" s="27"/>
      <c r="AT166" s="875"/>
      <c r="AU166" s="27"/>
      <c r="AV166" s="875"/>
      <c r="AW166" s="27"/>
      <c r="AX166" s="875"/>
      <c r="AY166" s="27"/>
      <c r="AZ166" s="875"/>
      <c r="BA166" s="27"/>
      <c r="BB166" s="875"/>
      <c r="BC166" s="27"/>
      <c r="BD166" s="875"/>
      <c r="BE166" s="27"/>
      <c r="BF166" s="875"/>
      <c r="BG166" s="875"/>
      <c r="BH166" s="875"/>
      <c r="BI166" s="875"/>
      <c r="BJ166" s="875"/>
      <c r="BK166" s="27"/>
      <c r="BL166" s="875"/>
      <c r="BM166" s="875"/>
      <c r="BN166" s="875"/>
      <c r="BO166" s="27"/>
      <c r="BP166" s="875"/>
      <c r="BQ166" s="27"/>
      <c r="BR166" s="875"/>
      <c r="BS166" s="27"/>
      <c r="BT166" s="875"/>
      <c r="BU166" s="27"/>
    </row>
    <row r="167" spans="6:73" ht="30.75" customHeight="1">
      <c r="F167" s="27"/>
      <c r="G167" s="27"/>
      <c r="H167" s="27"/>
      <c r="I167" s="27"/>
      <c r="J167" s="590"/>
      <c r="K167" s="590"/>
      <c r="L167" s="27"/>
      <c r="M167" s="27"/>
      <c r="N167" s="27"/>
      <c r="O167" s="875"/>
      <c r="P167" s="27"/>
      <c r="Q167" s="27"/>
      <c r="R167" s="27"/>
      <c r="S167" s="875"/>
      <c r="T167" s="27"/>
      <c r="U167" s="27"/>
      <c r="V167" s="27"/>
      <c r="W167" s="27"/>
      <c r="X167" s="27"/>
      <c r="Y167" s="27"/>
      <c r="Z167" s="27"/>
      <c r="AA167" s="875"/>
      <c r="AB167" s="27"/>
      <c r="AC167" s="875"/>
      <c r="AD167" s="27"/>
      <c r="AE167" s="875"/>
      <c r="AF167" s="27"/>
      <c r="AG167" s="875"/>
      <c r="AH167" s="875"/>
      <c r="AI167" s="875"/>
      <c r="AJ167" s="875"/>
      <c r="AK167" s="875"/>
      <c r="AL167" s="27"/>
      <c r="AM167" s="875"/>
      <c r="AN167" s="27"/>
      <c r="AO167" s="875"/>
      <c r="AP167" s="875"/>
      <c r="AQ167" s="875"/>
      <c r="AR167" s="875"/>
      <c r="AS167" s="27"/>
      <c r="AT167" s="875"/>
      <c r="AU167" s="27"/>
      <c r="AV167" s="875"/>
      <c r="AW167" s="27"/>
      <c r="AX167" s="875"/>
      <c r="AY167" s="27"/>
      <c r="AZ167" s="875"/>
      <c r="BA167" s="27"/>
      <c r="BB167" s="875"/>
      <c r="BC167" s="27"/>
      <c r="BD167" s="875"/>
      <c r="BE167" s="27"/>
      <c r="BF167" s="875"/>
      <c r="BG167" s="875"/>
      <c r="BH167" s="875"/>
      <c r="BI167" s="875"/>
      <c r="BJ167" s="875"/>
      <c r="BK167" s="27"/>
      <c r="BL167" s="875"/>
      <c r="BM167" s="875"/>
      <c r="BN167" s="875"/>
      <c r="BO167" s="27"/>
      <c r="BP167" s="875"/>
      <c r="BQ167" s="27"/>
      <c r="BR167" s="875"/>
      <c r="BS167" s="27"/>
      <c r="BT167" s="875"/>
      <c r="BU167" s="27"/>
    </row>
  </sheetData>
  <sheetProtection algorithmName="SHA-512" hashValue="EiWXah3rNqjeWorn0XkQcwczMJ9Ox0oTPKKct6Edb1utqu24kc9ZofhZqCas5Ok6IUvJ7HzIBbmH1SgIKy7HSw==" saltValue="TQK67uLvimfpGjgkc37+Bw==" spinCount="100000" sheet="1" formatCells="0" formatColumns="0" formatRows="0" insertColumns="0" insertRows="0" insertHyperlinks="0" deleteColumns="0" deleteRows="0" sort="0" autoFilter="0" pivotTables="0"/>
  <mergeCells count="22">
    <mergeCell ref="BW3:BW4"/>
    <mergeCell ref="R3:Y3"/>
    <mergeCell ref="Z3:AR3"/>
    <mergeCell ref="BO3:BV3"/>
    <mergeCell ref="AS3:BN3"/>
    <mergeCell ref="A1:A2"/>
    <mergeCell ref="M1:O2"/>
    <mergeCell ref="Q1:S2"/>
    <mergeCell ref="P3:Q3"/>
    <mergeCell ref="L3:M3"/>
    <mergeCell ref="N3:O3"/>
    <mergeCell ref="H3:H4"/>
    <mergeCell ref="A45:B45"/>
    <mergeCell ref="A3:A4"/>
    <mergeCell ref="B3:C3"/>
    <mergeCell ref="D3:E3"/>
    <mergeCell ref="F3:G3"/>
    <mergeCell ref="BY2:BZ2"/>
    <mergeCell ref="BY1:BZ1"/>
    <mergeCell ref="CB2:CC2"/>
    <mergeCell ref="CB1:CC1"/>
    <mergeCell ref="CB3:CB4"/>
  </mergeCells>
  <phoneticPr fontId="0" type="noConversion"/>
  <conditionalFormatting sqref="BV5:BV36 BT5:BT36">
    <cfRule type="cellIs" dxfId="36" priority="157" stopIfTrue="1" operator="greaterThan">
      <formula>400</formula>
    </cfRule>
  </conditionalFormatting>
  <conditionalFormatting sqref="BR5:BR36 AM5:AM36">
    <cfRule type="cellIs" dxfId="35" priority="155" stopIfTrue="1" operator="greaterThan">
      <formula>2000</formula>
    </cfRule>
  </conditionalFormatting>
  <conditionalFormatting sqref="AV5:AV36 BB5:BB36 S5:S36 BP5:BP36 AZ5:AZ36 AX5:AX36">
    <cfRule type="cellIs" dxfId="34" priority="154" stopIfTrue="1" operator="greaterThan">
      <formula>1400</formula>
    </cfRule>
  </conditionalFormatting>
  <conditionalFormatting sqref="BL5:BL36 BF5:BF36 BH5:BH36 BJ5:BJ36">
    <cfRule type="cellIs" dxfId="33" priority="153" stopIfTrue="1" operator="greaterThan">
      <formula>8000</formula>
    </cfRule>
  </conditionalFormatting>
  <conditionalFormatting sqref="BD5:BD36">
    <cfRule type="cellIs" dxfId="32" priority="151" stopIfTrue="1" operator="greaterThan">
      <formula>700</formula>
    </cfRule>
  </conditionalFormatting>
  <conditionalFormatting sqref="AO5:AO12 AO14:AO36">
    <cfRule type="cellIs" dxfId="31" priority="149" stopIfTrue="1" operator="greaterThan">
      <formula>5000</formula>
    </cfRule>
  </conditionalFormatting>
  <conditionalFormatting sqref="AA5:AA36 AC5:AC36 AE5:AE36 AG5:AG36 AI5:AI36 AK5:AK36">
    <cfRule type="cellIs" dxfId="30" priority="147" stopIfTrue="1" operator="greaterThan">
      <formula>4000</formula>
    </cfRule>
  </conditionalFormatting>
  <conditionalFormatting sqref="Y5:Y36 U5:U36 W5:W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T5:AT36">
    <cfRule type="cellIs" dxfId="24" priority="134" stopIfTrue="1" operator="greaterThan">
      <formula>2500</formula>
    </cfRule>
  </conditionalFormatting>
  <conditionalFormatting sqref="BX8:BX36">
    <cfRule type="cellIs" dxfId="23" priority="8" operator="greaterThan">
      <formula>262</formula>
    </cfRule>
  </conditionalFormatting>
  <conditionalFormatting sqref="BX5:BX36">
    <cfRule type="cellIs" dxfId="22" priority="7" operator="greaterThan">
      <formula>262</formula>
    </cfRule>
  </conditionalFormatting>
  <conditionalFormatting sqref="BX26:BX31 BX34:BX36">
    <cfRule type="cellIs" dxfId="21" priority="6" operator="greaterThan">
      <formula>262</formula>
    </cfRule>
  </conditionalFormatting>
  <conditionalFormatting sqref="BX26:BX31 BX34:BX36">
    <cfRule type="cellIs" dxfId="20" priority="5" operator="greaterThan">
      <formula>262</formula>
    </cfRule>
  </conditionalFormatting>
  <conditionalFormatting sqref="AQ5:AQ36">
    <cfRule type="cellIs" dxfId="19" priority="1" stopIfTrue="1" operator="greaterThan">
      <formula>4000</formula>
    </cfRule>
  </conditionalFormatting>
  <conditionalFormatting sqref="AO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82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15" activePane="bottomRight" state="frozen"/>
      <selection pane="topRight" activeCell="D22" sqref="D22"/>
      <selection pane="bottomLeft" activeCell="D22" sqref="D22"/>
      <selection pane="bottomRight" activeCell="F34" sqref="F34:F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24" t="str">
        <f>Elect!A1</f>
        <v>February</v>
      </c>
      <c r="E1" s="909" t="s">
        <v>47</v>
      </c>
      <c r="H1" s="620" t="s">
        <v>126</v>
      </c>
      <c r="I1" s="740"/>
      <c r="J1" s="621">
        <v>3.9</v>
      </c>
      <c r="K1" s="26"/>
      <c r="L1" s="579"/>
      <c r="M1" s="580"/>
    </row>
    <row r="2" spans="1:13" ht="23.25" customHeight="1">
      <c r="A2" s="924"/>
      <c r="C2" s="29"/>
      <c r="E2" s="909"/>
      <c r="G2" s="29"/>
      <c r="H2" s="29"/>
      <c r="I2" s="29"/>
      <c r="K2" s="571"/>
      <c r="L2" s="570"/>
      <c r="M2" s="468"/>
    </row>
    <row r="3" spans="1:13" ht="21" customHeight="1" thickBot="1">
      <c r="A3" s="925"/>
      <c r="B3" s="29"/>
      <c r="C3" s="29"/>
      <c r="D3" s="29"/>
      <c r="E3" s="910"/>
      <c r="F3" s="29"/>
      <c r="G3" s="29"/>
      <c r="H3" s="29"/>
      <c r="I3" s="29"/>
    </row>
    <row r="4" spans="1:13" ht="53.25" customHeight="1">
      <c r="A4" s="731" t="s">
        <v>127</v>
      </c>
      <c r="B4" s="926" t="s">
        <v>128</v>
      </c>
      <c r="C4" s="927"/>
      <c r="D4" s="926" t="s">
        <v>129</v>
      </c>
      <c r="E4" s="927"/>
      <c r="F4" s="926" t="s">
        <v>130</v>
      </c>
      <c r="G4" s="927"/>
      <c r="H4" s="582" t="s">
        <v>131</v>
      </c>
      <c r="I4" s="582" t="s">
        <v>132</v>
      </c>
      <c r="J4" s="581" t="s">
        <v>133</v>
      </c>
      <c r="K4" s="813" t="s">
        <v>134</v>
      </c>
      <c r="L4" s="23"/>
      <c r="M4" s="23"/>
    </row>
    <row r="5" spans="1:13" ht="26.25" customHeight="1" thickBot="1">
      <c r="A5" s="732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33"/>
      <c r="B6" s="847">
        <v>7978015</v>
      </c>
      <c r="C6" s="853">
        <f t="shared" ref="C6:C14" si="0">IF(B6&gt;=B5,B6-B5,0)*1.06</f>
        <v>0</v>
      </c>
      <c r="D6" s="855">
        <v>321271</v>
      </c>
      <c r="E6" s="853">
        <f>IF(D6&gt;=D5,D6-D5,0)*0.7</f>
        <v>0</v>
      </c>
      <c r="F6" s="855">
        <v>570220</v>
      </c>
      <c r="G6" s="853">
        <f t="shared" ref="G6:G17" si="1">IF(F6&gt;=F5,F6-F5,0)</f>
        <v>0</v>
      </c>
      <c r="H6" s="460"/>
      <c r="I6" s="460"/>
      <c r="J6" s="460"/>
      <c r="K6" s="814">
        <f>C6+E6</f>
        <v>0</v>
      </c>
    </row>
    <row r="7" spans="1:13" s="461" customFormat="1" ht="41.25" customHeight="1">
      <c r="A7" s="733">
        <v>1</v>
      </c>
      <c r="B7" s="847">
        <v>7978589</v>
      </c>
      <c r="C7" s="853">
        <f t="shared" si="0"/>
        <v>608.44000000000005</v>
      </c>
      <c r="D7" s="855">
        <v>321745</v>
      </c>
      <c r="E7" s="853">
        <f t="shared" ref="E7:E37" si="2">IF(D7&gt;=D6,D7-D6,0)*0.7</f>
        <v>331.79999999999995</v>
      </c>
      <c r="F7" s="855">
        <v>570250</v>
      </c>
      <c r="G7" s="853">
        <f t="shared" si="1"/>
        <v>30</v>
      </c>
      <c r="H7" s="853">
        <f>(E7*0.55)*1.61</f>
        <v>293.80889999999999</v>
      </c>
      <c r="I7" s="853">
        <f>C7*J1</f>
        <v>2372.9160000000002</v>
      </c>
      <c r="J7" s="853">
        <f>G7*J1</f>
        <v>117</v>
      </c>
      <c r="K7" s="814">
        <f t="shared" ref="K7:K37" si="3">C7+E7</f>
        <v>940.24</v>
      </c>
    </row>
    <row r="8" spans="1:13" s="461" customFormat="1" ht="41.25" customHeight="1">
      <c r="A8" s="733">
        <v>2</v>
      </c>
      <c r="B8" s="847">
        <v>7979468</v>
      </c>
      <c r="C8" s="853">
        <f t="shared" si="0"/>
        <v>931.74</v>
      </c>
      <c r="D8" s="855">
        <v>322100</v>
      </c>
      <c r="E8" s="853">
        <f t="shared" si="2"/>
        <v>248.49999999999997</v>
      </c>
      <c r="F8" s="855">
        <v>570306</v>
      </c>
      <c r="G8" s="853">
        <f t="shared" si="1"/>
        <v>56</v>
      </c>
      <c r="H8" s="853">
        <f t="shared" ref="H8:H37" si="4">(E8*0.55)*1.61</f>
        <v>220.04674999999997</v>
      </c>
      <c r="I8" s="853">
        <f>C8*J1</f>
        <v>3633.7860000000001</v>
      </c>
      <c r="J8" s="853">
        <f>G8*J1</f>
        <v>218.4</v>
      </c>
      <c r="K8" s="814">
        <f t="shared" si="3"/>
        <v>1180.24</v>
      </c>
    </row>
    <row r="9" spans="1:13" s="461" customFormat="1" ht="41.25" customHeight="1">
      <c r="A9" s="733">
        <v>3</v>
      </c>
      <c r="B9" s="847">
        <v>7980271</v>
      </c>
      <c r="C9" s="853">
        <f t="shared" si="0"/>
        <v>851.18000000000006</v>
      </c>
      <c r="D9" s="855">
        <v>322482</v>
      </c>
      <c r="E9" s="853">
        <f t="shared" si="2"/>
        <v>267.39999999999998</v>
      </c>
      <c r="F9" s="855">
        <v>570371</v>
      </c>
      <c r="G9" s="853">
        <f t="shared" si="1"/>
        <v>65</v>
      </c>
      <c r="H9" s="853">
        <f>(E9*0.55)*1.61</f>
        <v>236.78270000000001</v>
      </c>
      <c r="I9" s="853">
        <f>C9*J1</f>
        <v>3319.6020000000003</v>
      </c>
      <c r="J9" s="853">
        <f>G9*J1</f>
        <v>253.5</v>
      </c>
      <c r="K9" s="814">
        <f>C9+E9</f>
        <v>1118.58</v>
      </c>
    </row>
    <row r="10" spans="1:13" s="461" customFormat="1" ht="41.25" customHeight="1">
      <c r="A10" s="733">
        <v>4</v>
      </c>
      <c r="B10" s="851">
        <v>7981112</v>
      </c>
      <c r="C10" s="853">
        <f t="shared" si="0"/>
        <v>891.46</v>
      </c>
      <c r="D10" s="855">
        <v>322896</v>
      </c>
      <c r="E10" s="853">
        <f t="shared" si="2"/>
        <v>289.79999999999995</v>
      </c>
      <c r="F10" s="855">
        <v>570424</v>
      </c>
      <c r="G10" s="853">
        <f t="shared" si="1"/>
        <v>53</v>
      </c>
      <c r="H10" s="853">
        <f>(E10*0.55)*1.61</f>
        <v>256.61790000000002</v>
      </c>
      <c r="I10" s="853">
        <f>C10*J1</f>
        <v>3476.694</v>
      </c>
      <c r="J10" s="853">
        <f>G10*J1</f>
        <v>206.7</v>
      </c>
      <c r="K10" s="814">
        <f t="shared" si="3"/>
        <v>1181.26</v>
      </c>
    </row>
    <row r="11" spans="1:13" s="461" customFormat="1" ht="41.25" customHeight="1">
      <c r="A11" s="733">
        <v>5</v>
      </c>
      <c r="B11" s="847">
        <v>7982054</v>
      </c>
      <c r="C11" s="853">
        <f t="shared" si="0"/>
        <v>998.5200000000001</v>
      </c>
      <c r="D11" s="855">
        <v>323343</v>
      </c>
      <c r="E11" s="853">
        <f t="shared" si="2"/>
        <v>312.89999999999998</v>
      </c>
      <c r="F11" s="855">
        <v>570505</v>
      </c>
      <c r="G11" s="853">
        <f t="shared" si="1"/>
        <v>81</v>
      </c>
      <c r="H11" s="853">
        <f t="shared" si="4"/>
        <v>277.07294999999999</v>
      </c>
      <c r="I11" s="853">
        <f>C11*J1</f>
        <v>3894.2280000000001</v>
      </c>
      <c r="J11" s="853">
        <f>G11*J1</f>
        <v>315.89999999999998</v>
      </c>
      <c r="K11" s="814">
        <f t="shared" si="3"/>
        <v>1311.42</v>
      </c>
    </row>
    <row r="12" spans="1:13" s="461" customFormat="1" ht="41.25" customHeight="1">
      <c r="A12" s="733">
        <v>6</v>
      </c>
      <c r="B12" s="847">
        <v>7982946</v>
      </c>
      <c r="C12" s="853">
        <f t="shared" si="0"/>
        <v>945.5200000000001</v>
      </c>
      <c r="D12" s="855">
        <v>323718</v>
      </c>
      <c r="E12" s="853">
        <f t="shared" si="2"/>
        <v>262.5</v>
      </c>
      <c r="F12" s="855">
        <v>570591</v>
      </c>
      <c r="G12" s="853">
        <f t="shared" si="1"/>
        <v>86</v>
      </c>
      <c r="H12" s="853">
        <f t="shared" si="4"/>
        <v>232.44375000000002</v>
      </c>
      <c r="I12" s="853">
        <f>C12*J1</f>
        <v>3687.5280000000002</v>
      </c>
      <c r="J12" s="853">
        <f>G12*J1</f>
        <v>335.4</v>
      </c>
      <c r="K12" s="814">
        <f t="shared" si="3"/>
        <v>1208.02</v>
      </c>
    </row>
    <row r="13" spans="1:13" s="461" customFormat="1" ht="41.25" customHeight="1">
      <c r="A13" s="733">
        <v>7</v>
      </c>
      <c r="B13" s="847">
        <v>7983688</v>
      </c>
      <c r="C13" s="853">
        <f t="shared" si="0"/>
        <v>786.5200000000001</v>
      </c>
      <c r="D13" s="855">
        <v>324081</v>
      </c>
      <c r="E13" s="853">
        <f t="shared" si="2"/>
        <v>254.1</v>
      </c>
      <c r="F13" s="855">
        <v>570670</v>
      </c>
      <c r="G13" s="853">
        <f t="shared" si="1"/>
        <v>79</v>
      </c>
      <c r="H13" s="853">
        <f t="shared" si="4"/>
        <v>225.00555</v>
      </c>
      <c r="I13" s="853">
        <f>C13*J1</f>
        <v>3067.4280000000003</v>
      </c>
      <c r="J13" s="853">
        <f>G13*J1</f>
        <v>308.09999999999997</v>
      </c>
      <c r="K13" s="814">
        <f t="shared" si="3"/>
        <v>1040.6200000000001</v>
      </c>
    </row>
    <row r="14" spans="1:13" s="461" customFormat="1" ht="41.25" customHeight="1">
      <c r="A14" s="733">
        <v>8</v>
      </c>
      <c r="B14" s="847">
        <v>7984543</v>
      </c>
      <c r="C14" s="853">
        <f t="shared" si="0"/>
        <v>906.30000000000007</v>
      </c>
      <c r="D14" s="855">
        <v>324440</v>
      </c>
      <c r="E14" s="853">
        <f t="shared" si="2"/>
        <v>251.29999999999998</v>
      </c>
      <c r="F14" s="855">
        <v>570758</v>
      </c>
      <c r="G14" s="853">
        <f t="shared" si="1"/>
        <v>88</v>
      </c>
      <c r="H14" s="853">
        <f t="shared" si="4"/>
        <v>222.52615000000003</v>
      </c>
      <c r="I14" s="853">
        <f>C14*J1</f>
        <v>3534.57</v>
      </c>
      <c r="J14" s="853">
        <f>G14*J1</f>
        <v>343.2</v>
      </c>
      <c r="K14" s="814">
        <f t="shared" si="3"/>
        <v>1157.6000000000001</v>
      </c>
    </row>
    <row r="15" spans="1:13" s="461" customFormat="1" ht="41.25" customHeight="1">
      <c r="A15" s="733">
        <v>9</v>
      </c>
      <c r="B15" s="847">
        <v>7985357</v>
      </c>
      <c r="C15" s="853">
        <f t="shared" ref="C15:C32" si="5">IF(B15&gt;=B14,B15-B14,0)*1.06</f>
        <v>862.84</v>
      </c>
      <c r="D15" s="855">
        <v>324817</v>
      </c>
      <c r="E15" s="853">
        <f t="shared" si="2"/>
        <v>263.89999999999998</v>
      </c>
      <c r="F15" s="855">
        <v>570837</v>
      </c>
      <c r="G15" s="853">
        <f t="shared" si="1"/>
        <v>79</v>
      </c>
      <c r="H15" s="853">
        <f t="shared" si="4"/>
        <v>233.68345000000002</v>
      </c>
      <c r="I15" s="853">
        <f>C15*J1</f>
        <v>3365.076</v>
      </c>
      <c r="J15" s="853">
        <f>G15*J1</f>
        <v>308.09999999999997</v>
      </c>
      <c r="K15" s="814">
        <f t="shared" si="3"/>
        <v>1126.74</v>
      </c>
    </row>
    <row r="16" spans="1:13" s="461" customFormat="1" ht="41.25" customHeight="1">
      <c r="A16" s="733">
        <v>10</v>
      </c>
      <c r="B16" s="847">
        <v>7986204</v>
      </c>
      <c r="C16" s="853">
        <f t="shared" si="5"/>
        <v>897.82</v>
      </c>
      <c r="D16" s="855">
        <v>325184</v>
      </c>
      <c r="E16" s="853">
        <f t="shared" si="2"/>
        <v>256.89999999999998</v>
      </c>
      <c r="F16" s="855">
        <v>570912</v>
      </c>
      <c r="G16" s="853">
        <f t="shared" si="1"/>
        <v>75</v>
      </c>
      <c r="H16" s="853">
        <f t="shared" si="4"/>
        <v>227.48495</v>
      </c>
      <c r="I16" s="853">
        <f>C16*J1</f>
        <v>3501.498</v>
      </c>
      <c r="J16" s="853">
        <f>G16*J1</f>
        <v>292.5</v>
      </c>
      <c r="K16" s="814">
        <f t="shared" si="3"/>
        <v>1154.72</v>
      </c>
    </row>
    <row r="17" spans="1:11" s="461" customFormat="1" ht="41.25" customHeight="1">
      <c r="A17" s="733">
        <v>11</v>
      </c>
      <c r="B17" s="851">
        <v>7987029</v>
      </c>
      <c r="C17" s="853">
        <f t="shared" si="5"/>
        <v>874.5</v>
      </c>
      <c r="D17" s="855">
        <v>325549</v>
      </c>
      <c r="E17" s="853">
        <f t="shared" si="2"/>
        <v>255.49999999999997</v>
      </c>
      <c r="F17" s="855">
        <v>570988</v>
      </c>
      <c r="G17" s="853">
        <f t="shared" si="1"/>
        <v>76</v>
      </c>
      <c r="H17" s="853">
        <f t="shared" si="4"/>
        <v>226.24525000000003</v>
      </c>
      <c r="I17" s="853">
        <f>C17*J1</f>
        <v>3410.5499999999997</v>
      </c>
      <c r="J17" s="853">
        <f>G17*J1</f>
        <v>296.39999999999998</v>
      </c>
      <c r="K17" s="814">
        <f t="shared" si="3"/>
        <v>1130</v>
      </c>
    </row>
    <row r="18" spans="1:11" s="461" customFormat="1" ht="41.25" customHeight="1">
      <c r="A18" s="733">
        <v>12</v>
      </c>
      <c r="B18" s="847">
        <v>7987875</v>
      </c>
      <c r="C18" s="853">
        <f t="shared" si="5"/>
        <v>896.76</v>
      </c>
      <c r="D18" s="855">
        <v>325922</v>
      </c>
      <c r="E18" s="853">
        <f t="shared" si="2"/>
        <v>261.09999999999997</v>
      </c>
      <c r="F18" s="855">
        <v>571060</v>
      </c>
      <c r="G18" s="853">
        <f t="shared" ref="G18:G37" si="6">IF(F18&gt;=F17,F18-F17,0)</f>
        <v>72</v>
      </c>
      <c r="H18" s="853">
        <f t="shared" si="4"/>
        <v>231.20405</v>
      </c>
      <c r="I18" s="853">
        <f>C18*J1</f>
        <v>3497.364</v>
      </c>
      <c r="J18" s="853">
        <f>G18*J1</f>
        <v>280.8</v>
      </c>
      <c r="K18" s="814">
        <f t="shared" si="3"/>
        <v>1157.8599999999999</v>
      </c>
    </row>
    <row r="19" spans="1:11" s="461" customFormat="1" ht="41.25" customHeight="1">
      <c r="A19" s="733">
        <v>13</v>
      </c>
      <c r="B19" s="847">
        <v>7988696</v>
      </c>
      <c r="C19" s="853">
        <f>IF(B19&gt;=B18,B19-B18,0)*1.06</f>
        <v>870.26</v>
      </c>
      <c r="D19" s="855">
        <v>326289</v>
      </c>
      <c r="E19" s="853">
        <f>IF(D19&gt;=D18,D19-D18,0)*0.7</f>
        <v>256.89999999999998</v>
      </c>
      <c r="F19" s="855">
        <v>571138</v>
      </c>
      <c r="G19" s="853">
        <f t="shared" si="6"/>
        <v>78</v>
      </c>
      <c r="H19" s="853">
        <f t="shared" si="4"/>
        <v>227.48495</v>
      </c>
      <c r="I19" s="853">
        <f>C19*J1</f>
        <v>3394.0139999999997</v>
      </c>
      <c r="J19" s="853">
        <f>G19*J1</f>
        <v>304.2</v>
      </c>
      <c r="K19" s="814">
        <f t="shared" si="3"/>
        <v>1127.1599999999999</v>
      </c>
    </row>
    <row r="20" spans="1:11" s="461" customFormat="1" ht="41.25" customHeight="1">
      <c r="A20" s="733">
        <v>14</v>
      </c>
      <c r="B20" s="847">
        <v>7989530</v>
      </c>
      <c r="C20" s="853">
        <f>IF(B20&gt;=B19,B20-B19,0)*1.06</f>
        <v>884.04000000000008</v>
      </c>
      <c r="D20" s="855">
        <v>326647</v>
      </c>
      <c r="E20" s="853">
        <f>IF(D20&gt;=D19,D20-D19,0)*0.7</f>
        <v>250.6</v>
      </c>
      <c r="F20" s="855">
        <v>571174</v>
      </c>
      <c r="G20" s="853">
        <f t="shared" si="6"/>
        <v>36</v>
      </c>
      <c r="H20" s="853">
        <f t="shared" si="4"/>
        <v>221.90630000000004</v>
      </c>
      <c r="I20" s="853">
        <f>C20*J1</f>
        <v>3447.7560000000003</v>
      </c>
      <c r="J20" s="853">
        <f>G20*J1</f>
        <v>140.4</v>
      </c>
      <c r="K20" s="814">
        <f t="shared" si="3"/>
        <v>1134.6400000000001</v>
      </c>
    </row>
    <row r="21" spans="1:11" s="461" customFormat="1" ht="41.25" customHeight="1">
      <c r="A21" s="733">
        <v>15</v>
      </c>
      <c r="B21" s="847">
        <v>7991038</v>
      </c>
      <c r="C21" s="853">
        <f>IF(B21&gt;=B20,B21-B20,0)*1.06</f>
        <v>1598.48</v>
      </c>
      <c r="D21" s="855">
        <v>327099</v>
      </c>
      <c r="E21" s="853">
        <f>IF(D21&gt;=D20,D21-D20,0)*0.7</f>
        <v>316.39999999999998</v>
      </c>
      <c r="F21" s="855">
        <v>571240</v>
      </c>
      <c r="G21" s="853">
        <f t="shared" ref="G21:G27" si="7">IF(F21&gt;=F20,F21-F20,0)</f>
        <v>66</v>
      </c>
      <c r="H21" s="853">
        <f t="shared" si="4"/>
        <v>280.17220000000003</v>
      </c>
      <c r="I21" s="853">
        <f>C21*J1</f>
        <v>6234.0720000000001</v>
      </c>
      <c r="J21" s="853">
        <f>G21*J1</f>
        <v>257.39999999999998</v>
      </c>
      <c r="K21" s="814">
        <f t="shared" si="3"/>
        <v>1914.88</v>
      </c>
    </row>
    <row r="22" spans="1:11" s="461" customFormat="1" ht="41.25" customHeight="1">
      <c r="A22" s="733">
        <v>16</v>
      </c>
      <c r="B22" s="847">
        <v>7992388</v>
      </c>
      <c r="C22" s="853">
        <f t="shared" si="5"/>
        <v>1431</v>
      </c>
      <c r="D22" s="855">
        <v>327524</v>
      </c>
      <c r="E22" s="853">
        <f t="shared" si="2"/>
        <v>297.5</v>
      </c>
      <c r="F22" s="855">
        <v>571297</v>
      </c>
      <c r="G22" s="853">
        <f t="shared" si="7"/>
        <v>57</v>
      </c>
      <c r="H22" s="853">
        <f t="shared" si="4"/>
        <v>263.43625000000003</v>
      </c>
      <c r="I22" s="853">
        <f>C22*J1</f>
        <v>5580.9</v>
      </c>
      <c r="J22" s="853">
        <f>G22*J1</f>
        <v>222.29999999999998</v>
      </c>
      <c r="K22" s="814">
        <f t="shared" si="3"/>
        <v>1728.5</v>
      </c>
    </row>
    <row r="23" spans="1:11" s="461" customFormat="1" ht="41.25" customHeight="1">
      <c r="A23" s="733">
        <v>17</v>
      </c>
      <c r="B23" s="851">
        <v>7993137</v>
      </c>
      <c r="C23" s="853">
        <f t="shared" si="5"/>
        <v>793.94</v>
      </c>
      <c r="D23" s="855">
        <v>327929</v>
      </c>
      <c r="E23" s="853">
        <f t="shared" si="2"/>
        <v>283.5</v>
      </c>
      <c r="F23" s="855">
        <v>571361</v>
      </c>
      <c r="G23" s="853">
        <f t="shared" si="7"/>
        <v>64</v>
      </c>
      <c r="H23" s="853">
        <f t="shared" si="4"/>
        <v>251.03925000000004</v>
      </c>
      <c r="I23" s="853">
        <f>C23*J1</f>
        <v>3096.366</v>
      </c>
      <c r="J23" s="853">
        <f>G23*J1</f>
        <v>249.6</v>
      </c>
      <c r="K23" s="814">
        <f t="shared" si="3"/>
        <v>1077.44</v>
      </c>
    </row>
    <row r="24" spans="1:11" s="461" customFormat="1" ht="41.25" customHeight="1">
      <c r="A24" s="733">
        <v>18</v>
      </c>
      <c r="B24" s="851">
        <v>7994198</v>
      </c>
      <c r="C24" s="853">
        <f t="shared" si="5"/>
        <v>1124.6600000000001</v>
      </c>
      <c r="D24" s="855">
        <v>328344</v>
      </c>
      <c r="E24" s="853">
        <f t="shared" si="2"/>
        <v>290.5</v>
      </c>
      <c r="F24" s="855">
        <v>571422</v>
      </c>
      <c r="G24" s="853">
        <f t="shared" si="7"/>
        <v>61</v>
      </c>
      <c r="H24" s="853">
        <f t="shared" si="4"/>
        <v>257.23775000000001</v>
      </c>
      <c r="I24" s="853">
        <f>C24*J1</f>
        <v>4386.174</v>
      </c>
      <c r="J24" s="853">
        <f>G24*J1</f>
        <v>237.9</v>
      </c>
      <c r="K24" s="814">
        <f t="shared" si="3"/>
        <v>1415.16</v>
      </c>
    </row>
    <row r="25" spans="1:11" s="461" customFormat="1" ht="41.25" customHeight="1">
      <c r="A25" s="733">
        <v>19</v>
      </c>
      <c r="B25" s="847">
        <v>7995488</v>
      </c>
      <c r="C25" s="853">
        <f t="shared" si="5"/>
        <v>1367.4</v>
      </c>
      <c r="D25" s="855">
        <v>328759</v>
      </c>
      <c r="E25" s="853">
        <f t="shared" si="2"/>
        <v>290.5</v>
      </c>
      <c r="F25" s="855">
        <v>571483</v>
      </c>
      <c r="G25" s="853">
        <f t="shared" si="7"/>
        <v>61</v>
      </c>
      <c r="H25" s="853">
        <f t="shared" si="4"/>
        <v>257.23775000000001</v>
      </c>
      <c r="I25" s="853">
        <f>C25*J1</f>
        <v>5332.8600000000006</v>
      </c>
      <c r="J25" s="853">
        <f>G25*J1</f>
        <v>237.9</v>
      </c>
      <c r="K25" s="814">
        <f t="shared" si="3"/>
        <v>1657.9</v>
      </c>
    </row>
    <row r="26" spans="1:11" s="461" customFormat="1" ht="41.25" customHeight="1">
      <c r="A26" s="733">
        <v>20</v>
      </c>
      <c r="B26" s="851">
        <v>7996255</v>
      </c>
      <c r="C26" s="853">
        <f t="shared" si="5"/>
        <v>813.0200000000001</v>
      </c>
      <c r="D26" s="855">
        <v>328937</v>
      </c>
      <c r="E26" s="853">
        <f t="shared" si="2"/>
        <v>124.6</v>
      </c>
      <c r="F26" s="855">
        <v>571512</v>
      </c>
      <c r="G26" s="853">
        <f t="shared" si="7"/>
        <v>29</v>
      </c>
      <c r="H26" s="853">
        <f t="shared" si="4"/>
        <v>110.33330000000001</v>
      </c>
      <c r="I26" s="853">
        <f>C26*J1</f>
        <v>3170.7780000000002</v>
      </c>
      <c r="J26" s="853">
        <f>G26*J1</f>
        <v>113.1</v>
      </c>
      <c r="K26" s="814">
        <f t="shared" si="3"/>
        <v>937.62000000000012</v>
      </c>
    </row>
    <row r="27" spans="1:11" s="461" customFormat="1" ht="41.25" customHeight="1">
      <c r="A27" s="733">
        <v>21</v>
      </c>
      <c r="B27" s="847">
        <v>7997301</v>
      </c>
      <c r="C27" s="853">
        <f t="shared" si="5"/>
        <v>1108.76</v>
      </c>
      <c r="D27" s="855">
        <v>329420</v>
      </c>
      <c r="E27" s="853">
        <f t="shared" si="2"/>
        <v>338.09999999999997</v>
      </c>
      <c r="F27" s="855">
        <v>571646</v>
      </c>
      <c r="G27" s="853">
        <f t="shared" si="7"/>
        <v>134</v>
      </c>
      <c r="H27" s="853">
        <f t="shared" si="4"/>
        <v>299.38754999999998</v>
      </c>
      <c r="I27" s="853">
        <f>C27*J1</f>
        <v>4324.1639999999998</v>
      </c>
      <c r="J27" s="853">
        <f>G27*J1</f>
        <v>522.6</v>
      </c>
      <c r="K27" s="814">
        <f t="shared" si="3"/>
        <v>1446.86</v>
      </c>
    </row>
    <row r="28" spans="1:11" s="461" customFormat="1" ht="41.25" customHeight="1">
      <c r="A28" s="733">
        <v>22</v>
      </c>
      <c r="B28" s="847">
        <v>7998087</v>
      </c>
      <c r="C28" s="853">
        <f>IF(B28&gt;=B27,B28-B27,0)*1.06</f>
        <v>833.16000000000008</v>
      </c>
      <c r="D28" s="855">
        <v>329654</v>
      </c>
      <c r="E28" s="853">
        <f t="shared" si="2"/>
        <v>163.79999999999998</v>
      </c>
      <c r="F28" s="855">
        <v>571672</v>
      </c>
      <c r="G28" s="853">
        <f t="shared" si="6"/>
        <v>26</v>
      </c>
      <c r="H28" s="853">
        <f>(E28*0.55)*1.61</f>
        <v>145.04490000000001</v>
      </c>
      <c r="I28" s="853">
        <f>C28*J1</f>
        <v>3249.3240000000001</v>
      </c>
      <c r="J28" s="853">
        <f>G28*J1</f>
        <v>101.39999999999999</v>
      </c>
      <c r="K28" s="814"/>
    </row>
    <row r="29" spans="1:11" s="461" customFormat="1" ht="41.25" customHeight="1">
      <c r="A29" s="733">
        <v>23</v>
      </c>
      <c r="B29" s="847">
        <v>7998845</v>
      </c>
      <c r="C29" s="853">
        <f>IF(B29&gt;=B28,B29-B28,0)*1.06</f>
        <v>803.48</v>
      </c>
      <c r="D29" s="855">
        <v>330169</v>
      </c>
      <c r="E29" s="853">
        <f t="shared" si="2"/>
        <v>360.5</v>
      </c>
      <c r="F29" s="855">
        <v>571777</v>
      </c>
      <c r="G29" s="853">
        <f t="shared" si="6"/>
        <v>105</v>
      </c>
      <c r="H29" s="853">
        <f>(E29*0.55)*1.61</f>
        <v>319.22275000000002</v>
      </c>
      <c r="I29" s="853">
        <f>C29*J1</f>
        <v>3133.5720000000001</v>
      </c>
      <c r="J29" s="853">
        <f>G29*J1</f>
        <v>409.5</v>
      </c>
      <c r="K29" s="814">
        <f t="shared" si="3"/>
        <v>1163.98</v>
      </c>
    </row>
    <row r="30" spans="1:11" s="461" customFormat="1" ht="41.25" customHeight="1">
      <c r="A30" s="733">
        <v>24</v>
      </c>
      <c r="B30" s="847">
        <v>7999998</v>
      </c>
      <c r="C30" s="853">
        <f>IF(B30&gt;=B29,B30-B29,0)*1.06</f>
        <v>1222.18</v>
      </c>
      <c r="D30" s="855">
        <v>330552</v>
      </c>
      <c r="E30" s="853">
        <f t="shared" si="2"/>
        <v>268.09999999999997</v>
      </c>
      <c r="F30" s="855">
        <v>571846</v>
      </c>
      <c r="G30" s="853">
        <f t="shared" si="6"/>
        <v>69</v>
      </c>
      <c r="H30" s="853">
        <f>(E30*0.55)*1.61</f>
        <v>237.40254999999999</v>
      </c>
      <c r="I30" s="853">
        <f>C30*J1</f>
        <v>4766.5020000000004</v>
      </c>
      <c r="J30" s="853">
        <f>G30*J1</f>
        <v>269.09999999999997</v>
      </c>
      <c r="K30" s="814">
        <f t="shared" si="3"/>
        <v>1490.28</v>
      </c>
    </row>
    <row r="31" spans="1:11" s="461" customFormat="1" ht="41.25" customHeight="1">
      <c r="A31" s="733">
        <v>25</v>
      </c>
      <c r="B31" s="847">
        <v>8001532</v>
      </c>
      <c r="C31" s="853">
        <f>IF(B31&gt;=B30,B31-B30,0)*1.06</f>
        <v>1626.0400000000002</v>
      </c>
      <c r="D31" s="855">
        <v>330936</v>
      </c>
      <c r="E31" s="853">
        <f t="shared" si="2"/>
        <v>268.79999999999995</v>
      </c>
      <c r="F31" s="855">
        <v>571915</v>
      </c>
      <c r="G31" s="853">
        <f t="shared" si="6"/>
        <v>69</v>
      </c>
      <c r="H31" s="853">
        <f t="shared" si="4"/>
        <v>238.02239999999998</v>
      </c>
      <c r="I31" s="853">
        <f>C31*J3</f>
        <v>0</v>
      </c>
      <c r="J31" s="853">
        <f>G31*J1</f>
        <v>269.09999999999997</v>
      </c>
      <c r="K31" s="814">
        <f t="shared" si="3"/>
        <v>1894.8400000000001</v>
      </c>
    </row>
    <row r="32" spans="1:11" s="461" customFormat="1" ht="41.25" customHeight="1">
      <c r="A32" s="733">
        <v>26</v>
      </c>
      <c r="B32" s="847">
        <v>8002524</v>
      </c>
      <c r="C32" s="853">
        <f t="shared" si="5"/>
        <v>1051.52</v>
      </c>
      <c r="D32" s="855">
        <v>331311</v>
      </c>
      <c r="E32" s="853">
        <f t="shared" si="2"/>
        <v>262.5</v>
      </c>
      <c r="F32" s="855">
        <v>572009</v>
      </c>
      <c r="G32" s="853">
        <f t="shared" si="6"/>
        <v>94</v>
      </c>
      <c r="H32" s="853">
        <f t="shared" si="4"/>
        <v>232.44375000000002</v>
      </c>
      <c r="I32" s="853">
        <f>C32*J1</f>
        <v>4100.9279999999999</v>
      </c>
      <c r="J32" s="853">
        <f>G32*J1</f>
        <v>366.59999999999997</v>
      </c>
      <c r="K32" s="814">
        <f t="shared" si="3"/>
        <v>1314.02</v>
      </c>
    </row>
    <row r="33" spans="1:13" s="208" customFormat="1" ht="41.25" customHeight="1">
      <c r="A33" s="734">
        <v>27</v>
      </c>
      <c r="B33" s="847">
        <v>8003393</v>
      </c>
      <c r="C33" s="853">
        <f>IF(B33&gt;=B32,B33-B32,0)*1.06</f>
        <v>921.1400000000001</v>
      </c>
      <c r="D33" s="855">
        <v>331669</v>
      </c>
      <c r="E33" s="853">
        <f t="shared" si="2"/>
        <v>250.6</v>
      </c>
      <c r="F33" s="855">
        <v>572050</v>
      </c>
      <c r="G33" s="853">
        <f t="shared" si="6"/>
        <v>41</v>
      </c>
      <c r="H33" s="853">
        <f t="shared" si="4"/>
        <v>221.90630000000004</v>
      </c>
      <c r="I33" s="853">
        <f>C33*J1</f>
        <v>3592.4460000000004</v>
      </c>
      <c r="J33" s="853">
        <f>G33*J1</f>
        <v>159.9</v>
      </c>
      <c r="K33" s="814">
        <f t="shared" si="3"/>
        <v>1171.74</v>
      </c>
    </row>
    <row r="34" spans="1:13" s="208" customFormat="1" ht="41.25" customHeight="1">
      <c r="A34" s="734">
        <v>28</v>
      </c>
      <c r="B34" s="847">
        <v>8004424</v>
      </c>
      <c r="C34" s="853">
        <f>IF(B34&gt;=B33,B34-B33,0)*1.06</f>
        <v>1092.8600000000001</v>
      </c>
      <c r="D34" s="855">
        <v>332047</v>
      </c>
      <c r="E34" s="853">
        <f t="shared" si="2"/>
        <v>264.59999999999997</v>
      </c>
      <c r="F34" s="855">
        <v>572119</v>
      </c>
      <c r="G34" s="853">
        <f t="shared" si="6"/>
        <v>69</v>
      </c>
      <c r="H34" s="853">
        <f t="shared" si="4"/>
        <v>234.30330000000001</v>
      </c>
      <c r="I34" s="853">
        <f>C34*J1</f>
        <v>4262.1540000000005</v>
      </c>
      <c r="J34" s="853">
        <f>G34*J1</f>
        <v>269.09999999999997</v>
      </c>
      <c r="K34" s="814">
        <f t="shared" si="3"/>
        <v>1357.46</v>
      </c>
    </row>
    <row r="35" spans="1:13" s="208" customFormat="1" ht="41.25" customHeight="1">
      <c r="A35" s="733">
        <v>29</v>
      </c>
      <c r="B35" s="847">
        <v>8004424</v>
      </c>
      <c r="C35" s="853">
        <f>IF(B35&gt;=B34,B35-B34,0)*1.06</f>
        <v>0</v>
      </c>
      <c r="D35" s="855">
        <v>332047</v>
      </c>
      <c r="E35" s="853">
        <f t="shared" si="2"/>
        <v>0</v>
      </c>
      <c r="F35" s="855">
        <v>572119</v>
      </c>
      <c r="G35" s="853">
        <f t="shared" si="6"/>
        <v>0</v>
      </c>
      <c r="H35" s="853">
        <f t="shared" si="4"/>
        <v>0</v>
      </c>
      <c r="I35" s="853">
        <f>C35*J1</f>
        <v>0</v>
      </c>
      <c r="J35" s="853">
        <f>G35*J1</f>
        <v>0</v>
      </c>
      <c r="K35" s="814">
        <f t="shared" si="3"/>
        <v>0</v>
      </c>
    </row>
    <row r="36" spans="1:13" s="208" customFormat="1" ht="41.25" customHeight="1">
      <c r="A36" s="734">
        <v>30</v>
      </c>
      <c r="B36" s="847">
        <v>8004424</v>
      </c>
      <c r="C36" s="853">
        <f>IF(B36&gt;=B35,B36-B35,0)*1.06</f>
        <v>0</v>
      </c>
      <c r="D36" s="855">
        <v>332047</v>
      </c>
      <c r="E36" s="853">
        <f t="shared" si="2"/>
        <v>0</v>
      </c>
      <c r="F36" s="855">
        <v>572119</v>
      </c>
      <c r="G36" s="853">
        <f t="shared" si="6"/>
        <v>0</v>
      </c>
      <c r="H36" s="853">
        <f t="shared" si="4"/>
        <v>0</v>
      </c>
      <c r="I36" s="853">
        <f>C36*J1</f>
        <v>0</v>
      </c>
      <c r="J36" s="853">
        <f>G36*J1</f>
        <v>0</v>
      </c>
      <c r="K36" s="814">
        <f t="shared" si="3"/>
        <v>0</v>
      </c>
    </row>
    <row r="37" spans="1:13" s="208" customFormat="1" ht="41.25" customHeight="1" thickBot="1">
      <c r="A37" s="734">
        <v>31</v>
      </c>
      <c r="B37" s="847">
        <v>8004424</v>
      </c>
      <c r="C37" s="853">
        <f>IF(B37&gt;=B36,B37-B36,0)*1.06</f>
        <v>0</v>
      </c>
      <c r="D37" s="855">
        <v>332047</v>
      </c>
      <c r="E37" s="853">
        <f t="shared" si="2"/>
        <v>0</v>
      </c>
      <c r="F37" s="855">
        <v>572119</v>
      </c>
      <c r="G37" s="853">
        <f t="shared" si="6"/>
        <v>0</v>
      </c>
      <c r="H37" s="853">
        <f t="shared" si="4"/>
        <v>0</v>
      </c>
      <c r="I37" s="853">
        <f>C37*J1</f>
        <v>0</v>
      </c>
      <c r="J37" s="853">
        <f>G37*J1</f>
        <v>0</v>
      </c>
      <c r="K37" s="814">
        <f t="shared" si="3"/>
        <v>0</v>
      </c>
    </row>
    <row r="38" spans="1:13" s="585" customFormat="1" ht="41.25" customHeight="1">
      <c r="A38" s="735" t="s">
        <v>122</v>
      </c>
      <c r="B38" s="763"/>
      <c r="C38" s="764">
        <f>SUM(C7:C37)</f>
        <v>27993.540000000005</v>
      </c>
      <c r="D38" s="763"/>
      <c r="E38" s="764">
        <f>SUM(E7:E37)</f>
        <v>7543.2000000000025</v>
      </c>
      <c r="F38" s="763"/>
      <c r="G38" s="764">
        <f>SUM(G7:G37)</f>
        <v>1899</v>
      </c>
      <c r="H38" s="765">
        <f>SUM(H6:H37)</f>
        <v>6679.5036</v>
      </c>
      <c r="I38" s="765">
        <f>SUM(I6:I37)</f>
        <v>102833.25</v>
      </c>
      <c r="J38" s="765">
        <f>SUM(J6:J37)</f>
        <v>7406.1000000000013</v>
      </c>
      <c r="K38" s="815">
        <f>SUM(K6:K37)</f>
        <v>34539.78</v>
      </c>
    </row>
    <row r="39" spans="1:13" s="585" customFormat="1" ht="41.25" customHeight="1" thickBot="1">
      <c r="A39" s="736" t="s">
        <v>138</v>
      </c>
      <c r="B39" s="766"/>
      <c r="C39" s="767">
        <f>C38/A42</f>
        <v>933.11800000000017</v>
      </c>
      <c r="D39" s="766"/>
      <c r="E39" s="767">
        <f>E38/A42</f>
        <v>251.44000000000008</v>
      </c>
      <c r="F39" s="766"/>
      <c r="G39" s="767">
        <f>G38/A42</f>
        <v>63.3</v>
      </c>
      <c r="H39" s="767">
        <f>H38/A42</f>
        <v>222.65011999999999</v>
      </c>
      <c r="I39" s="767">
        <f>I38/A42</f>
        <v>3427.7750000000001</v>
      </c>
      <c r="J39" s="767">
        <f>J38/A42</f>
        <v>246.87000000000003</v>
      </c>
    </row>
    <row r="40" spans="1:13" s="585" customFormat="1" ht="28.5" customHeight="1">
      <c r="A40" s="737"/>
      <c r="B40" s="738"/>
      <c r="C40" s="738"/>
      <c r="D40" s="738"/>
      <c r="E40" s="738"/>
      <c r="F40" s="738"/>
      <c r="G40" s="738"/>
      <c r="H40" s="738"/>
      <c r="I40" s="738"/>
      <c r="J40" s="739"/>
    </row>
    <row r="41" spans="1:13" s="208" customFormat="1" ht="28.5" customHeight="1">
      <c r="A41" s="591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9" activePane="bottomRight" state="frozen"/>
      <selection pane="topRight" activeCell="G39" sqref="G39"/>
      <selection pane="bottomLeft" activeCell="G39" sqref="G39"/>
      <selection pane="bottomRight" activeCell="F35" sqref="F35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41" customFormat="1" ht="25.5" customHeight="1" thickBot="1">
      <c r="A1" s="939" t="str">
        <f>Elect!A1</f>
        <v>February</v>
      </c>
      <c r="B1" s="635"/>
      <c r="C1" s="636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  <c r="O1" s="637"/>
      <c r="P1" s="941"/>
      <c r="Q1" s="941"/>
      <c r="R1" s="941"/>
      <c r="S1" s="609"/>
      <c r="T1" s="638" t="s">
        <v>139</v>
      </c>
      <c r="U1" s="622"/>
      <c r="V1" s="621">
        <v>4</v>
      </c>
      <c r="W1" s="620" t="s">
        <v>140</v>
      </c>
      <c r="X1" s="639"/>
      <c r="Y1" s="640"/>
      <c r="Z1" s="622"/>
    </row>
    <row r="2" spans="1:26" s="609" customFormat="1" ht="39.75" customHeight="1" thickBot="1">
      <c r="A2" s="940"/>
      <c r="B2" s="642"/>
      <c r="C2" s="636"/>
      <c r="O2" s="637"/>
      <c r="P2" s="942"/>
      <c r="Q2" s="942"/>
      <c r="R2" s="942"/>
      <c r="T2" s="643"/>
      <c r="X2" s="644"/>
    </row>
    <row r="3" spans="1:26" s="597" customFormat="1" ht="42" customHeight="1" thickBot="1">
      <c r="A3" s="931" t="s">
        <v>1</v>
      </c>
      <c r="B3" s="645"/>
      <c r="C3" s="646"/>
      <c r="D3" s="646"/>
      <c r="E3" s="647" t="s">
        <v>141</v>
      </c>
      <c r="F3" s="646"/>
      <c r="G3" s="646"/>
      <c r="H3" s="648"/>
      <c r="I3" s="961" t="s">
        <v>142</v>
      </c>
      <c r="J3" s="962"/>
      <c r="K3" s="962"/>
      <c r="L3" s="962"/>
      <c r="M3" s="963"/>
      <c r="N3" s="953" t="s">
        <v>143</v>
      </c>
      <c r="O3" s="954"/>
      <c r="P3" s="934" t="s">
        <v>144</v>
      </c>
      <c r="Q3" s="934"/>
      <c r="R3" s="934" t="s">
        <v>145</v>
      </c>
      <c r="S3" s="934"/>
      <c r="T3" s="949" t="s">
        <v>146</v>
      </c>
      <c r="U3" s="945" t="s">
        <v>147</v>
      </c>
      <c r="V3" s="945" t="s">
        <v>148</v>
      </c>
      <c r="W3" s="945" t="s">
        <v>149</v>
      </c>
      <c r="X3" s="946" t="s">
        <v>150</v>
      </c>
      <c r="Y3" s="649" t="s">
        <v>72</v>
      </c>
      <c r="Z3" s="650" t="s">
        <v>72</v>
      </c>
    </row>
    <row r="4" spans="1:26" s="597" customFormat="1" ht="45" customHeight="1" thickBot="1">
      <c r="A4" s="932"/>
      <c r="B4" s="955" t="s">
        <v>151</v>
      </c>
      <c r="C4" s="956"/>
      <c r="D4" s="957" t="s">
        <v>152</v>
      </c>
      <c r="E4" s="958"/>
      <c r="F4" s="957" t="s">
        <v>153</v>
      </c>
      <c r="G4" s="958"/>
      <c r="H4" s="937" t="s">
        <v>154</v>
      </c>
      <c r="I4" s="959" t="s">
        <v>155</v>
      </c>
      <c r="J4" s="960"/>
      <c r="K4" s="959" t="s">
        <v>156</v>
      </c>
      <c r="L4" s="960"/>
      <c r="M4" s="881"/>
      <c r="N4" s="937" t="s">
        <v>157</v>
      </c>
      <c r="O4" s="937" t="s">
        <v>158</v>
      </c>
      <c r="P4" s="935" t="s">
        <v>159</v>
      </c>
      <c r="Q4" s="935" t="s">
        <v>160</v>
      </c>
      <c r="R4" s="935" t="s">
        <v>159</v>
      </c>
      <c r="S4" s="935" t="s">
        <v>160</v>
      </c>
      <c r="T4" s="950"/>
      <c r="U4" s="935"/>
      <c r="V4" s="935"/>
      <c r="W4" s="935"/>
      <c r="X4" s="947"/>
      <c r="Y4" s="943" t="s">
        <v>119</v>
      </c>
      <c r="Z4" s="928" t="s">
        <v>120</v>
      </c>
    </row>
    <row r="5" spans="1:26" s="597" customFormat="1" ht="48.75" customHeight="1" thickBot="1">
      <c r="A5" s="933"/>
      <c r="B5" s="651" t="s">
        <v>161</v>
      </c>
      <c r="C5" s="880" t="s">
        <v>162</v>
      </c>
      <c r="D5" s="652" t="s">
        <v>161</v>
      </c>
      <c r="E5" s="880" t="s">
        <v>162</v>
      </c>
      <c r="F5" s="652" t="s">
        <v>161</v>
      </c>
      <c r="G5" s="880" t="s">
        <v>162</v>
      </c>
      <c r="H5" s="938"/>
      <c r="I5" s="805" t="s">
        <v>161</v>
      </c>
      <c r="J5" s="806"/>
      <c r="K5" s="805" t="s">
        <v>161</v>
      </c>
      <c r="L5" s="806"/>
      <c r="M5" s="804"/>
      <c r="N5" s="936"/>
      <c r="O5" s="936"/>
      <c r="P5" s="936"/>
      <c r="Q5" s="936"/>
      <c r="R5" s="936"/>
      <c r="S5" s="936"/>
      <c r="T5" s="951"/>
      <c r="U5" s="936"/>
      <c r="V5" s="936"/>
      <c r="W5" s="936"/>
      <c r="X5" s="948"/>
      <c r="Y5" s="944"/>
      <c r="Z5" s="929"/>
    </row>
    <row r="6" spans="1:26" s="473" customFormat="1" ht="36.75" customHeight="1">
      <c r="A6" s="653"/>
      <c r="B6" s="851">
        <v>74321</v>
      </c>
      <c r="C6" s="853">
        <f t="shared" ref="C6:C21" si="0">IF(B6&gt;=B5,B6-B5,0)*10*0.58</f>
        <v>0</v>
      </c>
      <c r="D6" s="855">
        <v>155092</v>
      </c>
      <c r="E6" s="853">
        <f>IF(D6&gt;=D5,D6-D5,0)*10*0.58</f>
        <v>0</v>
      </c>
      <c r="F6" s="850">
        <v>17670</v>
      </c>
      <c r="G6" s="853">
        <f>IF(F6&gt;=F5,F6-F5,0)*0.58</f>
        <v>0</v>
      </c>
      <c r="H6" s="787"/>
      <c r="I6" s="850">
        <v>211</v>
      </c>
      <c r="J6" s="803"/>
      <c r="K6" s="850">
        <v>2887</v>
      </c>
      <c r="L6" s="803"/>
      <c r="M6" s="803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54">
        <v>1</v>
      </c>
      <c r="B7" s="851">
        <v>74334</v>
      </c>
      <c r="C7" s="853">
        <f t="shared" si="0"/>
        <v>75.399999999999991</v>
      </c>
      <c r="D7" s="855">
        <v>155127</v>
      </c>
      <c r="E7" s="853">
        <f t="shared" ref="E7:E15" si="1">IF(D7&gt;=D6,D7-D6,0)*10*0.58</f>
        <v>203</v>
      </c>
      <c r="F7" s="850">
        <v>17670</v>
      </c>
      <c r="G7" s="853">
        <f t="shared" ref="G7:G14" si="2">IF(F7&gt;=F6,F7-F6,0)*0.58</f>
        <v>0</v>
      </c>
      <c r="H7" s="853">
        <f>C7+E7+G7</f>
        <v>278.39999999999998</v>
      </c>
      <c r="I7" s="850"/>
      <c r="J7" s="853"/>
      <c r="K7" s="850"/>
      <c r="L7" s="853"/>
      <c r="M7" s="853"/>
      <c r="N7" s="112"/>
      <c r="O7" s="583">
        <f>IF(N7&gt;=N6,N7-N6,0)</f>
        <v>0</v>
      </c>
      <c r="P7" s="112"/>
      <c r="Q7" s="469">
        <f>(H7-O7)*0.58</f>
        <v>161.47199999999998</v>
      </c>
      <c r="R7" s="112"/>
      <c r="S7" s="469">
        <f>IF(R7-R6&gt;0,R7-R6,0)</f>
        <v>0</v>
      </c>
      <c r="T7" s="785">
        <f>Elect!BX6</f>
        <v>32</v>
      </c>
      <c r="U7" s="664">
        <f>H7/T7</f>
        <v>8.6999999999999993</v>
      </c>
      <c r="V7" s="785">
        <f>Elect!BZ6</f>
        <v>0</v>
      </c>
      <c r="W7" s="664" t="e">
        <f>H7/V7</f>
        <v>#DIV/0!</v>
      </c>
      <c r="X7" s="667">
        <f>H7*V1</f>
        <v>1113.5999999999999</v>
      </c>
      <c r="Y7" s="664">
        <f>IF(X7&gt;0,X7/T7,0)</f>
        <v>34.799999999999997</v>
      </c>
      <c r="Z7" s="668">
        <v>0</v>
      </c>
    </row>
    <row r="8" spans="1:26" s="473" customFormat="1" ht="36.75" customHeight="1">
      <c r="A8" s="653">
        <v>2</v>
      </c>
      <c r="B8" s="851">
        <v>74351</v>
      </c>
      <c r="C8" s="853">
        <f t="shared" si="0"/>
        <v>98.6</v>
      </c>
      <c r="D8" s="855">
        <v>155146</v>
      </c>
      <c r="E8" s="853">
        <f t="shared" si="1"/>
        <v>110.19999999999999</v>
      </c>
      <c r="F8" s="850">
        <v>17670</v>
      </c>
      <c r="G8" s="853">
        <f t="shared" si="2"/>
        <v>0</v>
      </c>
      <c r="H8" s="853">
        <f t="shared" ref="H8:H37" si="3">C8+E8+G8</f>
        <v>208.79999999999998</v>
      </c>
      <c r="I8" s="850"/>
      <c r="J8" s="853"/>
      <c r="K8" s="850"/>
      <c r="L8" s="853"/>
      <c r="M8" s="853"/>
      <c r="N8" s="112"/>
      <c r="O8" s="583">
        <f t="shared" ref="O8:O37" si="4">IF(N8&gt;=N7,N8-N7,0)</f>
        <v>0</v>
      </c>
      <c r="P8" s="112"/>
      <c r="Q8" s="469">
        <f t="shared" ref="Q8:Q37" si="5">(H8-O8)*0.58</f>
        <v>121.10399999999998</v>
      </c>
      <c r="R8" s="112"/>
      <c r="S8" s="469">
        <f t="shared" ref="S8:S37" si="6">IF(R8-R7&gt;0,R8-R7,0)</f>
        <v>0</v>
      </c>
      <c r="T8" s="785">
        <f>Elect!BX7</f>
        <v>36</v>
      </c>
      <c r="U8" s="664">
        <f t="shared" ref="U8:U37" si="7">H8/T8</f>
        <v>5.8</v>
      </c>
      <c r="V8" s="785">
        <f>Elect!BZ7</f>
        <v>0</v>
      </c>
      <c r="W8" s="664" t="e">
        <f t="shared" ref="W8:W37" si="8">H8/V8</f>
        <v>#DIV/0!</v>
      </c>
      <c r="X8" s="667">
        <f>H8*V1</f>
        <v>835.19999999999993</v>
      </c>
      <c r="Y8" s="664">
        <f>IF(X8&gt;0,X8/T8,0)</f>
        <v>23.2</v>
      </c>
      <c r="Z8" s="668" t="e">
        <f>IF(X8&gt;0,X8/V8,0)</f>
        <v>#DIV/0!</v>
      </c>
    </row>
    <row r="9" spans="1:26" s="473" customFormat="1" ht="36.75" customHeight="1">
      <c r="A9" s="654">
        <v>3</v>
      </c>
      <c r="B9" s="851">
        <v>74370</v>
      </c>
      <c r="C9" s="853">
        <f t="shared" si="0"/>
        <v>110.19999999999999</v>
      </c>
      <c r="D9" s="855">
        <v>155159</v>
      </c>
      <c r="E9" s="853">
        <f t="shared" si="1"/>
        <v>75.399999999999991</v>
      </c>
      <c r="F9" s="850">
        <v>17670</v>
      </c>
      <c r="G9" s="853">
        <f t="shared" si="2"/>
        <v>0</v>
      </c>
      <c r="H9" s="853">
        <f t="shared" si="3"/>
        <v>185.59999999999997</v>
      </c>
      <c r="I9" s="850"/>
      <c r="J9" s="853"/>
      <c r="K9" s="850"/>
      <c r="L9" s="853"/>
      <c r="M9" s="853"/>
      <c r="N9" s="112"/>
      <c r="O9" s="583">
        <f t="shared" si="4"/>
        <v>0</v>
      </c>
      <c r="P9" s="112"/>
      <c r="Q9" s="469">
        <f t="shared" si="5"/>
        <v>107.64799999999997</v>
      </c>
      <c r="R9" s="112"/>
      <c r="S9" s="469">
        <f t="shared" si="6"/>
        <v>0</v>
      </c>
      <c r="T9" s="785">
        <f>Elect!BX8</f>
        <v>43</v>
      </c>
      <c r="U9" s="664">
        <f t="shared" si="7"/>
        <v>4.3162790697674414</v>
      </c>
      <c r="V9" s="785">
        <f>Elect!BZ8</f>
        <v>0</v>
      </c>
      <c r="W9" s="664" t="e">
        <f t="shared" si="8"/>
        <v>#DIV/0!</v>
      </c>
      <c r="X9" s="667">
        <f>H9*V1</f>
        <v>742.39999999999986</v>
      </c>
      <c r="Y9" s="664">
        <f t="shared" ref="Y9:Y37" si="9">IF(X9&gt;0,X9/T9,0)</f>
        <v>17.265116279069765</v>
      </c>
      <c r="Z9" s="668" t="e">
        <f t="shared" ref="Z9:Z30" si="10">IF(X9&gt;0,X9/V9,0)</f>
        <v>#DIV/0!</v>
      </c>
    </row>
    <row r="10" spans="1:26" s="473" customFormat="1" ht="36.75" customHeight="1">
      <c r="A10" s="653">
        <v>4</v>
      </c>
      <c r="B10" s="851">
        <v>74400</v>
      </c>
      <c r="C10" s="853">
        <f t="shared" si="0"/>
        <v>174</v>
      </c>
      <c r="D10" s="855">
        <v>155190</v>
      </c>
      <c r="E10" s="853">
        <f t="shared" si="1"/>
        <v>179.79999999999998</v>
      </c>
      <c r="F10" s="850">
        <v>17670</v>
      </c>
      <c r="G10" s="853">
        <f t="shared" si="2"/>
        <v>0</v>
      </c>
      <c r="H10" s="853">
        <f t="shared" si="3"/>
        <v>353.79999999999995</v>
      </c>
      <c r="I10" s="850"/>
      <c r="J10" s="853"/>
      <c r="K10" s="850"/>
      <c r="L10" s="853"/>
      <c r="M10" s="853"/>
      <c r="N10" s="112"/>
      <c r="O10" s="583">
        <f t="shared" si="4"/>
        <v>0</v>
      </c>
      <c r="P10" s="112"/>
      <c r="Q10" s="469">
        <f t="shared" si="5"/>
        <v>205.20399999999995</v>
      </c>
      <c r="R10" s="112"/>
      <c r="S10" s="469">
        <f t="shared" si="6"/>
        <v>0</v>
      </c>
      <c r="T10" s="785">
        <f>Elect!BX9</f>
        <v>66</v>
      </c>
      <c r="U10" s="664">
        <f t="shared" si="7"/>
        <v>5.3606060606060595</v>
      </c>
      <c r="V10" s="785">
        <f>Elect!BZ9</f>
        <v>0</v>
      </c>
      <c r="W10" s="664" t="e">
        <f t="shared" si="8"/>
        <v>#DIV/0!</v>
      </c>
      <c r="X10" s="667">
        <f>H10*V1</f>
        <v>1415.1999999999998</v>
      </c>
      <c r="Y10" s="664">
        <f t="shared" si="9"/>
        <v>21.442424242424238</v>
      </c>
      <c r="Z10" s="668" t="e">
        <f t="shared" si="10"/>
        <v>#DIV/0!</v>
      </c>
    </row>
    <row r="11" spans="1:26" s="473" customFormat="1" ht="36.75" customHeight="1">
      <c r="A11" s="654">
        <v>5</v>
      </c>
      <c r="B11" s="851">
        <v>74430</v>
      </c>
      <c r="C11" s="853">
        <f t="shared" si="0"/>
        <v>174</v>
      </c>
      <c r="D11" s="855">
        <v>155216</v>
      </c>
      <c r="E11" s="853">
        <f t="shared" si="1"/>
        <v>150.79999999999998</v>
      </c>
      <c r="F11" s="850">
        <v>17670</v>
      </c>
      <c r="G11" s="853">
        <f t="shared" si="2"/>
        <v>0</v>
      </c>
      <c r="H11" s="853">
        <f>C11+E11+G11</f>
        <v>324.79999999999995</v>
      </c>
      <c r="I11" s="850"/>
      <c r="J11" s="853"/>
      <c r="K11" s="850"/>
      <c r="L11" s="853"/>
      <c r="M11" s="853"/>
      <c r="N11" s="112"/>
      <c r="O11" s="583">
        <f t="shared" si="4"/>
        <v>0</v>
      </c>
      <c r="P11" s="112"/>
      <c r="Q11" s="469">
        <f t="shared" si="5"/>
        <v>188.38399999999996</v>
      </c>
      <c r="R11" s="112"/>
      <c r="S11" s="469">
        <f t="shared" si="6"/>
        <v>0</v>
      </c>
      <c r="T11" s="785">
        <f>Elect!BX10</f>
        <v>68</v>
      </c>
      <c r="U11" s="664">
        <f t="shared" si="7"/>
        <v>4.7764705882352931</v>
      </c>
      <c r="V11" s="785">
        <f>Elect!BZ10</f>
        <v>0</v>
      </c>
      <c r="W11" s="664" t="e">
        <f t="shared" si="8"/>
        <v>#DIV/0!</v>
      </c>
      <c r="X11" s="667">
        <f>H11*V1</f>
        <v>1299.1999999999998</v>
      </c>
      <c r="Y11" s="664">
        <f t="shared" si="9"/>
        <v>19.105882352941173</v>
      </c>
      <c r="Z11" s="668" t="e">
        <f t="shared" si="10"/>
        <v>#DIV/0!</v>
      </c>
    </row>
    <row r="12" spans="1:26" s="473" customFormat="1" ht="36.75" customHeight="1">
      <c r="A12" s="653">
        <v>6</v>
      </c>
      <c r="B12" s="851">
        <v>74450</v>
      </c>
      <c r="C12" s="853">
        <f t="shared" si="0"/>
        <v>115.99999999999999</v>
      </c>
      <c r="D12" s="855">
        <v>155226</v>
      </c>
      <c r="E12" s="853">
        <f t="shared" si="1"/>
        <v>57.999999999999993</v>
      </c>
      <c r="F12" s="850">
        <v>17670</v>
      </c>
      <c r="G12" s="853">
        <f t="shared" si="2"/>
        <v>0</v>
      </c>
      <c r="H12" s="853">
        <f t="shared" si="3"/>
        <v>173.99999999999997</v>
      </c>
      <c r="I12" s="850"/>
      <c r="J12" s="853"/>
      <c r="K12" s="850"/>
      <c r="L12" s="853"/>
      <c r="M12" s="853"/>
      <c r="N12" s="112"/>
      <c r="O12" s="583">
        <f t="shared" si="4"/>
        <v>0</v>
      </c>
      <c r="P12" s="112"/>
      <c r="Q12" s="469">
        <f t="shared" si="5"/>
        <v>100.91999999999997</v>
      </c>
      <c r="R12" s="112"/>
      <c r="S12" s="469">
        <f t="shared" si="6"/>
        <v>0</v>
      </c>
      <c r="T12" s="785">
        <f>Elect!BX11</f>
        <v>75</v>
      </c>
      <c r="U12" s="664">
        <f t="shared" si="7"/>
        <v>2.3199999999999998</v>
      </c>
      <c r="V12" s="785">
        <f>Elect!BZ11</f>
        <v>0</v>
      </c>
      <c r="W12" s="664" t="e">
        <f t="shared" si="8"/>
        <v>#DIV/0!</v>
      </c>
      <c r="X12" s="667">
        <f>H12*V1</f>
        <v>695.99999999999989</v>
      </c>
      <c r="Y12" s="664">
        <f t="shared" si="9"/>
        <v>9.2799999999999994</v>
      </c>
      <c r="Z12" s="668" t="e">
        <f t="shared" si="10"/>
        <v>#DIV/0!</v>
      </c>
    </row>
    <row r="13" spans="1:26" s="473" customFormat="1" ht="36.75" customHeight="1">
      <c r="A13" s="654">
        <v>7</v>
      </c>
      <c r="B13" s="851">
        <v>74469.142857142797</v>
      </c>
      <c r="C13" s="853">
        <f t="shared" si="0"/>
        <v>111.02857142822175</v>
      </c>
      <c r="D13" s="855">
        <v>155239</v>
      </c>
      <c r="E13" s="853">
        <f t="shared" si="1"/>
        <v>75.399999999999991</v>
      </c>
      <c r="F13" s="850">
        <v>17670</v>
      </c>
      <c r="G13" s="853">
        <f t="shared" si="2"/>
        <v>0</v>
      </c>
      <c r="H13" s="853">
        <f>C13+E13+G13</f>
        <v>186.42857142822174</v>
      </c>
      <c r="I13" s="850"/>
      <c r="J13" s="853"/>
      <c r="K13" s="850"/>
      <c r="L13" s="853"/>
      <c r="M13" s="853"/>
      <c r="N13" s="112"/>
      <c r="O13" s="583">
        <f t="shared" si="4"/>
        <v>0</v>
      </c>
      <c r="P13" s="112"/>
      <c r="Q13" s="469">
        <f t="shared" si="5"/>
        <v>108.1285714283686</v>
      </c>
      <c r="R13" s="112"/>
      <c r="S13" s="469">
        <f t="shared" si="6"/>
        <v>0</v>
      </c>
      <c r="T13" s="785">
        <f>Elect!BX12</f>
        <v>59</v>
      </c>
      <c r="U13" s="664">
        <f t="shared" si="7"/>
        <v>3.1598062953935888</v>
      </c>
      <c r="V13" s="785">
        <f>Elect!BZ12</f>
        <v>0</v>
      </c>
      <c r="W13" s="664" t="e">
        <f t="shared" si="8"/>
        <v>#DIV/0!</v>
      </c>
      <c r="X13" s="667">
        <f>H13*V1</f>
        <v>745.71428571288698</v>
      </c>
      <c r="Y13" s="664">
        <f t="shared" si="9"/>
        <v>12.639225181574355</v>
      </c>
      <c r="Z13" s="668" t="e">
        <f t="shared" si="10"/>
        <v>#DIV/0!</v>
      </c>
    </row>
    <row r="14" spans="1:26" s="473" customFormat="1" ht="36.75" customHeight="1">
      <c r="A14" s="653">
        <v>8</v>
      </c>
      <c r="B14" s="851">
        <v>74490</v>
      </c>
      <c r="C14" s="853">
        <f t="shared" si="0"/>
        <v>120.97142857177822</v>
      </c>
      <c r="D14" s="855">
        <v>155250</v>
      </c>
      <c r="E14" s="853">
        <f t="shared" si="1"/>
        <v>63.8</v>
      </c>
      <c r="F14" s="850">
        <v>17670</v>
      </c>
      <c r="G14" s="853">
        <f t="shared" si="2"/>
        <v>0</v>
      </c>
      <c r="H14" s="853">
        <f t="shared" si="3"/>
        <v>184.77142857177822</v>
      </c>
      <c r="I14" s="850"/>
      <c r="J14" s="853"/>
      <c r="K14" s="850"/>
      <c r="L14" s="853"/>
      <c r="M14" s="853"/>
      <c r="N14" s="112"/>
      <c r="O14" s="583">
        <f t="shared" si="4"/>
        <v>0</v>
      </c>
      <c r="P14" s="112"/>
      <c r="Q14" s="469">
        <f t="shared" si="5"/>
        <v>107.16742857163136</v>
      </c>
      <c r="R14" s="112"/>
      <c r="S14" s="469">
        <f t="shared" si="6"/>
        <v>0</v>
      </c>
      <c r="T14" s="785">
        <f>Elect!BX13</f>
        <v>49</v>
      </c>
      <c r="U14" s="664">
        <f t="shared" si="7"/>
        <v>3.7708454810566985</v>
      </c>
      <c r="V14" s="785">
        <f>Elect!BZ13</f>
        <v>0</v>
      </c>
      <c r="W14" s="664" t="e">
        <f t="shared" si="8"/>
        <v>#DIV/0!</v>
      </c>
      <c r="X14" s="667">
        <f>H14*V1</f>
        <v>739.08571428711286</v>
      </c>
      <c r="Y14" s="664">
        <f t="shared" si="9"/>
        <v>15.083381924226794</v>
      </c>
      <c r="Z14" s="668" t="e">
        <f t="shared" si="10"/>
        <v>#DIV/0!</v>
      </c>
    </row>
    <row r="15" spans="1:26" s="473" customFormat="1" ht="36.75" customHeight="1">
      <c r="A15" s="654">
        <v>9</v>
      </c>
      <c r="B15" s="851">
        <v>74514</v>
      </c>
      <c r="C15" s="853">
        <f t="shared" si="0"/>
        <v>139.19999999999999</v>
      </c>
      <c r="D15" s="855">
        <v>155259</v>
      </c>
      <c r="E15" s="853">
        <f t="shared" si="1"/>
        <v>52.199999999999996</v>
      </c>
      <c r="F15" s="850">
        <v>17670</v>
      </c>
      <c r="G15" s="853">
        <f t="shared" ref="G15:G37" si="11">IF(F15&gt;=F14,F15-F14,0)*0.58</f>
        <v>0</v>
      </c>
      <c r="H15" s="853">
        <f t="shared" si="3"/>
        <v>191.39999999999998</v>
      </c>
      <c r="I15" s="850"/>
      <c r="J15" s="853"/>
      <c r="K15" s="850"/>
      <c r="L15" s="853"/>
      <c r="M15" s="853"/>
      <c r="N15" s="112"/>
      <c r="O15" s="583">
        <f t="shared" si="4"/>
        <v>0</v>
      </c>
      <c r="P15" s="112"/>
      <c r="Q15" s="469">
        <f t="shared" si="5"/>
        <v>111.01199999999999</v>
      </c>
      <c r="R15" s="112"/>
      <c r="S15" s="469">
        <f t="shared" si="6"/>
        <v>0</v>
      </c>
      <c r="T15" s="785">
        <f>Elect!BX14</f>
        <v>53</v>
      </c>
      <c r="U15" s="664">
        <f t="shared" si="7"/>
        <v>3.6113207547169806</v>
      </c>
      <c r="V15" s="785">
        <f>Elect!BZ14</f>
        <v>0</v>
      </c>
      <c r="W15" s="664" t="e">
        <f t="shared" si="8"/>
        <v>#DIV/0!</v>
      </c>
      <c r="X15" s="667">
        <f>H15*V1</f>
        <v>765.59999999999991</v>
      </c>
      <c r="Y15" s="664">
        <f t="shared" si="9"/>
        <v>14.445283018867922</v>
      </c>
      <c r="Z15" s="668" t="e">
        <f t="shared" si="10"/>
        <v>#DIV/0!</v>
      </c>
    </row>
    <row r="16" spans="1:26" s="473" customFormat="1" ht="36.75" customHeight="1">
      <c r="A16" s="653">
        <v>10</v>
      </c>
      <c r="B16" s="851">
        <v>74536</v>
      </c>
      <c r="C16" s="853">
        <f t="shared" si="0"/>
        <v>127.6</v>
      </c>
      <c r="D16" s="855">
        <v>155271</v>
      </c>
      <c r="E16" s="853">
        <f t="shared" ref="E16:E28" si="12">IF(D16&gt;=D15,D16-D15,0)*10*0.58</f>
        <v>69.599999999999994</v>
      </c>
      <c r="F16" s="850">
        <v>17670</v>
      </c>
      <c r="G16" s="853">
        <f t="shared" si="11"/>
        <v>0</v>
      </c>
      <c r="H16" s="853">
        <f t="shared" si="3"/>
        <v>197.2</v>
      </c>
      <c r="I16" s="850"/>
      <c r="J16" s="853"/>
      <c r="K16" s="850"/>
      <c r="L16" s="853"/>
      <c r="M16" s="853"/>
      <c r="N16" s="112"/>
      <c r="O16" s="583">
        <f t="shared" si="4"/>
        <v>0</v>
      </c>
      <c r="P16" s="112"/>
      <c r="Q16" s="469">
        <f t="shared" si="5"/>
        <v>114.37599999999999</v>
      </c>
      <c r="R16" s="112"/>
      <c r="S16" s="469">
        <f t="shared" si="6"/>
        <v>0</v>
      </c>
      <c r="T16" s="785">
        <f>Elect!BX15</f>
        <v>52</v>
      </c>
      <c r="U16" s="664">
        <f t="shared" si="7"/>
        <v>3.7923076923076922</v>
      </c>
      <c r="V16" s="785">
        <f>Elect!BZ15</f>
        <v>0</v>
      </c>
      <c r="W16" s="664" t="e">
        <f t="shared" si="8"/>
        <v>#DIV/0!</v>
      </c>
      <c r="X16" s="667">
        <f>H16*V1</f>
        <v>788.8</v>
      </c>
      <c r="Y16" s="664">
        <f t="shared" si="9"/>
        <v>15.169230769230769</v>
      </c>
      <c r="Z16" s="668" t="e">
        <f t="shared" si="10"/>
        <v>#DIV/0!</v>
      </c>
    </row>
    <row r="17" spans="1:26" s="473" customFormat="1" ht="36.75" customHeight="1">
      <c r="A17" s="654">
        <v>11</v>
      </c>
      <c r="B17" s="851">
        <v>74558</v>
      </c>
      <c r="C17" s="853">
        <f t="shared" si="0"/>
        <v>127.6</v>
      </c>
      <c r="D17" s="855">
        <v>155280</v>
      </c>
      <c r="E17" s="853">
        <f t="shared" si="12"/>
        <v>52.199999999999996</v>
      </c>
      <c r="F17" s="850">
        <v>17670</v>
      </c>
      <c r="G17" s="853">
        <f t="shared" si="11"/>
        <v>0</v>
      </c>
      <c r="H17" s="853">
        <f t="shared" si="3"/>
        <v>179.79999999999998</v>
      </c>
      <c r="I17" s="850"/>
      <c r="J17" s="853"/>
      <c r="K17" s="850"/>
      <c r="L17" s="853"/>
      <c r="M17" s="853"/>
      <c r="N17" s="112"/>
      <c r="O17" s="583">
        <f t="shared" si="4"/>
        <v>0</v>
      </c>
      <c r="P17" s="112"/>
      <c r="Q17" s="469">
        <f t="shared" si="5"/>
        <v>104.28399999999998</v>
      </c>
      <c r="R17" s="112"/>
      <c r="S17" s="469">
        <f t="shared" si="6"/>
        <v>0</v>
      </c>
      <c r="T17" s="785">
        <f>Elect!BX16</f>
        <v>54</v>
      </c>
      <c r="U17" s="664">
        <f t="shared" si="7"/>
        <v>3.3296296296296295</v>
      </c>
      <c r="V17" s="785">
        <f>Elect!BZ16</f>
        <v>0</v>
      </c>
      <c r="W17" s="664" t="e">
        <f t="shared" si="8"/>
        <v>#DIV/0!</v>
      </c>
      <c r="X17" s="667">
        <f>H17*V1</f>
        <v>719.19999999999993</v>
      </c>
      <c r="Y17" s="664">
        <f t="shared" si="9"/>
        <v>13.318518518518518</v>
      </c>
      <c r="Z17" s="668" t="e">
        <f t="shared" si="10"/>
        <v>#DIV/0!</v>
      </c>
    </row>
    <row r="18" spans="1:26" s="473" customFormat="1" ht="36.75" customHeight="1">
      <c r="A18" s="653">
        <v>12</v>
      </c>
      <c r="B18" s="851">
        <v>74581</v>
      </c>
      <c r="C18" s="853">
        <f t="shared" si="0"/>
        <v>133.39999999999998</v>
      </c>
      <c r="D18" s="855">
        <v>155291</v>
      </c>
      <c r="E18" s="853">
        <f t="shared" si="12"/>
        <v>63.8</v>
      </c>
      <c r="F18" s="850">
        <v>17670</v>
      </c>
      <c r="G18" s="853">
        <f t="shared" si="11"/>
        <v>0</v>
      </c>
      <c r="H18" s="853">
        <f t="shared" si="3"/>
        <v>197.2</v>
      </c>
      <c r="I18" s="850"/>
      <c r="J18" s="853"/>
      <c r="K18" s="850"/>
      <c r="L18" s="853"/>
      <c r="M18" s="853"/>
      <c r="N18" s="112"/>
      <c r="O18" s="583">
        <f t="shared" si="4"/>
        <v>0</v>
      </c>
      <c r="P18" s="112"/>
      <c r="Q18" s="469">
        <f t="shared" si="5"/>
        <v>114.37599999999999</v>
      </c>
      <c r="R18" s="112"/>
      <c r="S18" s="469">
        <f t="shared" si="6"/>
        <v>0</v>
      </c>
      <c r="T18" s="785">
        <f>Elect!BX17</f>
        <v>69</v>
      </c>
      <c r="U18" s="664">
        <f t="shared" si="7"/>
        <v>2.8579710144927533</v>
      </c>
      <c r="V18" s="785">
        <f>Elect!BZ17</f>
        <v>0</v>
      </c>
      <c r="W18" s="664" t="e">
        <f t="shared" si="8"/>
        <v>#DIV/0!</v>
      </c>
      <c r="X18" s="667">
        <f>H18*V1</f>
        <v>788.8</v>
      </c>
      <c r="Y18" s="664">
        <f t="shared" si="9"/>
        <v>11.431884057971013</v>
      </c>
      <c r="Z18" s="668" t="e">
        <f t="shared" si="10"/>
        <v>#DIV/0!</v>
      </c>
    </row>
    <row r="19" spans="1:26" s="473" customFormat="1" ht="36.75" customHeight="1">
      <c r="A19" s="654">
        <v>13</v>
      </c>
      <c r="B19" s="851">
        <v>74604</v>
      </c>
      <c r="C19" s="853">
        <f t="shared" si="0"/>
        <v>133.39999999999998</v>
      </c>
      <c r="D19" s="855">
        <v>155301</v>
      </c>
      <c r="E19" s="853">
        <f t="shared" si="12"/>
        <v>57.999999999999993</v>
      </c>
      <c r="F19" s="850">
        <v>17670</v>
      </c>
      <c r="G19" s="853">
        <f t="shared" si="11"/>
        <v>0</v>
      </c>
      <c r="H19" s="853">
        <f t="shared" si="3"/>
        <v>191.39999999999998</v>
      </c>
      <c r="I19" s="850"/>
      <c r="J19" s="853"/>
      <c r="K19" s="850"/>
      <c r="L19" s="853"/>
      <c r="M19" s="853"/>
      <c r="N19" s="112"/>
      <c r="O19" s="583">
        <f t="shared" si="4"/>
        <v>0</v>
      </c>
      <c r="P19" s="112"/>
      <c r="Q19" s="469">
        <f t="shared" si="5"/>
        <v>111.01199999999999</v>
      </c>
      <c r="R19" s="112"/>
      <c r="S19" s="469">
        <f t="shared" si="6"/>
        <v>0</v>
      </c>
      <c r="T19" s="785">
        <f>Elect!BX18</f>
        <v>54</v>
      </c>
      <c r="U19" s="664">
        <f t="shared" si="7"/>
        <v>3.5444444444444438</v>
      </c>
      <c r="V19" s="785">
        <f>Elect!BZ18</f>
        <v>0</v>
      </c>
      <c r="W19" s="664" t="e">
        <f t="shared" si="8"/>
        <v>#DIV/0!</v>
      </c>
      <c r="X19" s="667">
        <f>H19*V1</f>
        <v>765.59999999999991</v>
      </c>
      <c r="Y19" s="664">
        <f t="shared" si="9"/>
        <v>14.177777777777775</v>
      </c>
      <c r="Z19" s="668" t="e">
        <f t="shared" si="10"/>
        <v>#DIV/0!</v>
      </c>
    </row>
    <row r="20" spans="1:26" s="473" customFormat="1" ht="36.75" customHeight="1">
      <c r="A20" s="653">
        <v>14</v>
      </c>
      <c r="B20" s="851">
        <v>74626</v>
      </c>
      <c r="C20" s="853">
        <f t="shared" si="0"/>
        <v>127.6</v>
      </c>
      <c r="D20" s="855">
        <v>155310</v>
      </c>
      <c r="E20" s="853">
        <f t="shared" si="12"/>
        <v>52.199999999999996</v>
      </c>
      <c r="F20" s="850">
        <v>17670</v>
      </c>
      <c r="G20" s="853">
        <f t="shared" si="11"/>
        <v>0</v>
      </c>
      <c r="H20" s="853">
        <f t="shared" si="3"/>
        <v>179.79999999999998</v>
      </c>
      <c r="I20" s="850"/>
      <c r="J20" s="853"/>
      <c r="K20" s="850"/>
      <c r="L20" s="853"/>
      <c r="M20" s="853"/>
      <c r="N20" s="112"/>
      <c r="O20" s="583">
        <f t="shared" si="4"/>
        <v>0</v>
      </c>
      <c r="P20" s="112"/>
      <c r="Q20" s="469">
        <f t="shared" si="5"/>
        <v>104.28399999999998</v>
      </c>
      <c r="R20" s="112"/>
      <c r="S20" s="469">
        <f t="shared" si="6"/>
        <v>0</v>
      </c>
      <c r="T20" s="785">
        <f>Elect!BX19</f>
        <v>68</v>
      </c>
      <c r="U20" s="664">
        <f t="shared" si="7"/>
        <v>2.6441176470588235</v>
      </c>
      <c r="V20" s="785">
        <f>Elect!BZ19</f>
        <v>0</v>
      </c>
      <c r="W20" s="664" t="e">
        <f t="shared" si="8"/>
        <v>#DIV/0!</v>
      </c>
      <c r="X20" s="667">
        <f>H20*V1</f>
        <v>719.19999999999993</v>
      </c>
      <c r="Y20" s="664">
        <f t="shared" si="9"/>
        <v>10.576470588235294</v>
      </c>
      <c r="Z20" s="668" t="e">
        <f t="shared" si="10"/>
        <v>#DIV/0!</v>
      </c>
    </row>
    <row r="21" spans="1:26" s="473" customFormat="1" ht="36.75" customHeight="1">
      <c r="A21" s="654">
        <v>15</v>
      </c>
      <c r="B21" s="851">
        <v>74648</v>
      </c>
      <c r="C21" s="853">
        <f t="shared" si="0"/>
        <v>127.6</v>
      </c>
      <c r="D21" s="855">
        <v>155315</v>
      </c>
      <c r="E21" s="853">
        <f t="shared" si="12"/>
        <v>28.999999999999996</v>
      </c>
      <c r="F21" s="850">
        <v>17670</v>
      </c>
      <c r="G21" s="853">
        <f t="shared" si="11"/>
        <v>0</v>
      </c>
      <c r="H21" s="853">
        <f t="shared" si="3"/>
        <v>156.6</v>
      </c>
      <c r="I21" s="850"/>
      <c r="J21" s="853"/>
      <c r="K21" s="850"/>
      <c r="L21" s="853"/>
      <c r="M21" s="853"/>
      <c r="N21" s="112"/>
      <c r="O21" s="583">
        <f t="shared" si="4"/>
        <v>0</v>
      </c>
      <c r="P21" s="112"/>
      <c r="Q21" s="469">
        <f t="shared" si="5"/>
        <v>90.827999999999989</v>
      </c>
      <c r="R21" s="112"/>
      <c r="S21" s="469">
        <f t="shared" si="6"/>
        <v>0</v>
      </c>
      <c r="T21" s="785">
        <f>Elect!BX20</f>
        <v>62</v>
      </c>
      <c r="U21" s="664">
        <f t="shared" si="7"/>
        <v>2.5258064516129033</v>
      </c>
      <c r="V21" s="785">
        <f>Elect!BZ20</f>
        <v>0</v>
      </c>
      <c r="W21" s="664" t="e">
        <f t="shared" si="8"/>
        <v>#DIV/0!</v>
      </c>
      <c r="X21" s="667">
        <f>H21*V1</f>
        <v>626.4</v>
      </c>
      <c r="Y21" s="664">
        <f t="shared" si="9"/>
        <v>10.103225806451613</v>
      </c>
      <c r="Z21" s="668" t="e">
        <f t="shared" si="10"/>
        <v>#DIV/0!</v>
      </c>
    </row>
    <row r="22" spans="1:26" s="473" customFormat="1" ht="36.75" customHeight="1">
      <c r="A22" s="653">
        <v>16</v>
      </c>
      <c r="B22" s="851">
        <v>74674</v>
      </c>
      <c r="C22" s="853">
        <f t="shared" ref="C22:C35" si="13">IF(B22&gt;=B21,B22-B21,0)*10*0.58</f>
        <v>150.79999999999998</v>
      </c>
      <c r="D22" s="855">
        <v>155321</v>
      </c>
      <c r="E22" s="853">
        <f t="shared" si="12"/>
        <v>34.799999999999997</v>
      </c>
      <c r="F22" s="850">
        <v>17670</v>
      </c>
      <c r="G22" s="853">
        <f t="shared" ref="G22:G35" si="14">IF(F22&gt;=F21,F22-F21,0)*0.58</f>
        <v>0</v>
      </c>
      <c r="H22" s="853">
        <f t="shared" si="3"/>
        <v>185.59999999999997</v>
      </c>
      <c r="I22" s="850"/>
      <c r="J22" s="853"/>
      <c r="K22" s="850"/>
      <c r="L22" s="853"/>
      <c r="M22" s="853"/>
      <c r="N22" s="112"/>
      <c r="O22" s="583">
        <f t="shared" si="4"/>
        <v>0</v>
      </c>
      <c r="P22" s="112"/>
      <c r="Q22" s="469">
        <f t="shared" si="5"/>
        <v>107.64799999999997</v>
      </c>
      <c r="R22" s="112"/>
      <c r="S22" s="469">
        <f t="shared" si="6"/>
        <v>0</v>
      </c>
      <c r="T22" s="785">
        <f>Elect!BX21</f>
        <v>69</v>
      </c>
      <c r="U22" s="664">
        <f t="shared" si="7"/>
        <v>2.6898550724637675</v>
      </c>
      <c r="V22" s="785">
        <f>Elect!BZ21</f>
        <v>0</v>
      </c>
      <c r="W22" s="664" t="e">
        <f t="shared" si="8"/>
        <v>#DIV/0!</v>
      </c>
      <c r="X22" s="667">
        <f>H22*V1</f>
        <v>742.39999999999986</v>
      </c>
      <c r="Y22" s="664">
        <f t="shared" si="9"/>
        <v>10.75942028985507</v>
      </c>
      <c r="Z22" s="668" t="e">
        <f t="shared" si="10"/>
        <v>#DIV/0!</v>
      </c>
    </row>
    <row r="23" spans="1:26" s="473" customFormat="1" ht="36.75" customHeight="1">
      <c r="A23" s="654">
        <v>17</v>
      </c>
      <c r="B23" s="851">
        <v>74693</v>
      </c>
      <c r="C23" s="853">
        <f t="shared" si="13"/>
        <v>110.19999999999999</v>
      </c>
      <c r="D23" s="855">
        <v>155329</v>
      </c>
      <c r="E23" s="853">
        <f t="shared" si="12"/>
        <v>46.4</v>
      </c>
      <c r="F23" s="850">
        <v>17670</v>
      </c>
      <c r="G23" s="853">
        <f t="shared" si="14"/>
        <v>0</v>
      </c>
      <c r="H23" s="853">
        <f t="shared" si="3"/>
        <v>156.6</v>
      </c>
      <c r="I23" s="850"/>
      <c r="J23" s="853"/>
      <c r="K23" s="850"/>
      <c r="L23" s="853"/>
      <c r="M23" s="853"/>
      <c r="N23" s="112"/>
      <c r="O23" s="583">
        <f t="shared" si="4"/>
        <v>0</v>
      </c>
      <c r="P23" s="112"/>
      <c r="Q23" s="469">
        <f t="shared" si="5"/>
        <v>90.827999999999989</v>
      </c>
      <c r="R23" s="112"/>
      <c r="S23" s="469">
        <f t="shared" si="6"/>
        <v>0</v>
      </c>
      <c r="T23" s="785">
        <f>Elect!BX22</f>
        <v>80</v>
      </c>
      <c r="U23" s="664">
        <f t="shared" si="7"/>
        <v>1.9575</v>
      </c>
      <c r="V23" s="785">
        <f>Elect!BZ22</f>
        <v>0</v>
      </c>
      <c r="W23" s="664" t="e">
        <f t="shared" si="8"/>
        <v>#DIV/0!</v>
      </c>
      <c r="X23" s="667">
        <f>H23*V1</f>
        <v>626.4</v>
      </c>
      <c r="Y23" s="664">
        <f t="shared" si="9"/>
        <v>7.83</v>
      </c>
      <c r="Z23" s="668" t="e">
        <f t="shared" si="10"/>
        <v>#DIV/0!</v>
      </c>
    </row>
    <row r="24" spans="1:26" s="473" customFormat="1" ht="36.75" customHeight="1">
      <c r="A24" s="653">
        <v>18</v>
      </c>
      <c r="B24" s="851">
        <v>74710</v>
      </c>
      <c r="C24" s="853">
        <f t="shared" si="13"/>
        <v>98.6</v>
      </c>
      <c r="D24" s="855">
        <v>155332</v>
      </c>
      <c r="E24" s="853">
        <f t="shared" si="12"/>
        <v>17.399999999999999</v>
      </c>
      <c r="F24" s="850">
        <v>17670</v>
      </c>
      <c r="G24" s="853">
        <f t="shared" si="14"/>
        <v>0</v>
      </c>
      <c r="H24" s="853">
        <f t="shared" si="3"/>
        <v>116</v>
      </c>
      <c r="I24" s="850"/>
      <c r="J24" s="853"/>
      <c r="K24" s="850"/>
      <c r="L24" s="853"/>
      <c r="M24" s="853"/>
      <c r="N24" s="112"/>
      <c r="O24" s="583">
        <f t="shared" si="4"/>
        <v>0</v>
      </c>
      <c r="P24" s="112"/>
      <c r="Q24" s="469">
        <f t="shared" si="5"/>
        <v>67.28</v>
      </c>
      <c r="R24" s="112"/>
      <c r="S24" s="469">
        <f t="shared" si="6"/>
        <v>0</v>
      </c>
      <c r="T24" s="785">
        <f>Elect!BX23</f>
        <v>70</v>
      </c>
      <c r="U24" s="664">
        <f t="shared" si="7"/>
        <v>1.6571428571428573</v>
      </c>
      <c r="V24" s="785">
        <f>Elect!BZ23</f>
        <v>0</v>
      </c>
      <c r="W24" s="664" t="e">
        <f t="shared" si="8"/>
        <v>#DIV/0!</v>
      </c>
      <c r="X24" s="667">
        <f>H24*V1</f>
        <v>464</v>
      </c>
      <c r="Y24" s="664">
        <f t="shared" si="9"/>
        <v>6.628571428571429</v>
      </c>
      <c r="Z24" s="668" t="e">
        <f t="shared" si="10"/>
        <v>#DIV/0!</v>
      </c>
    </row>
    <row r="25" spans="1:26" s="473" customFormat="1" ht="36.75" customHeight="1">
      <c r="A25" s="654">
        <v>19</v>
      </c>
      <c r="B25" s="851">
        <v>74721</v>
      </c>
      <c r="C25" s="853">
        <f t="shared" si="13"/>
        <v>63.8</v>
      </c>
      <c r="D25" s="855">
        <v>155338</v>
      </c>
      <c r="E25" s="853">
        <f t="shared" si="12"/>
        <v>34.799999999999997</v>
      </c>
      <c r="F25" s="850">
        <v>17670</v>
      </c>
      <c r="G25" s="853">
        <f t="shared" si="14"/>
        <v>0</v>
      </c>
      <c r="H25" s="853">
        <f t="shared" si="3"/>
        <v>98.6</v>
      </c>
      <c r="I25" s="850"/>
      <c r="J25" s="853"/>
      <c r="K25" s="850"/>
      <c r="L25" s="853"/>
      <c r="M25" s="853"/>
      <c r="N25" s="112"/>
      <c r="O25" s="583">
        <f t="shared" si="4"/>
        <v>0</v>
      </c>
      <c r="P25" s="112"/>
      <c r="Q25" s="469">
        <f t="shared" si="5"/>
        <v>57.187999999999995</v>
      </c>
      <c r="R25" s="112"/>
      <c r="S25" s="469">
        <f t="shared" si="6"/>
        <v>0</v>
      </c>
      <c r="T25" s="785">
        <f>Elect!BX24</f>
        <v>63</v>
      </c>
      <c r="U25" s="664">
        <f t="shared" si="7"/>
        <v>1.5650793650793651</v>
      </c>
      <c r="V25" s="785">
        <f>Elect!BZ24</f>
        <v>0</v>
      </c>
      <c r="W25" s="664" t="e">
        <f t="shared" si="8"/>
        <v>#DIV/0!</v>
      </c>
      <c r="X25" s="667">
        <f>H25*V1</f>
        <v>394.4</v>
      </c>
      <c r="Y25" s="664">
        <f t="shared" si="9"/>
        <v>6.2603174603174603</v>
      </c>
      <c r="Z25" s="668" t="e">
        <f t="shared" si="10"/>
        <v>#DIV/0!</v>
      </c>
    </row>
    <row r="26" spans="1:26" s="473" customFormat="1" ht="36.75" customHeight="1">
      <c r="A26" s="653">
        <v>20</v>
      </c>
      <c r="B26" s="851">
        <v>74738</v>
      </c>
      <c r="C26" s="853">
        <f t="shared" si="13"/>
        <v>98.6</v>
      </c>
      <c r="D26" s="855">
        <v>155343</v>
      </c>
      <c r="E26" s="853">
        <f t="shared" si="12"/>
        <v>28.999999999999996</v>
      </c>
      <c r="F26" s="850">
        <v>17670</v>
      </c>
      <c r="G26" s="853">
        <f t="shared" si="14"/>
        <v>0</v>
      </c>
      <c r="H26" s="853">
        <f t="shared" si="3"/>
        <v>127.6</v>
      </c>
      <c r="I26" s="850"/>
      <c r="J26" s="853"/>
      <c r="K26" s="850"/>
      <c r="L26" s="853"/>
      <c r="M26" s="853"/>
      <c r="N26" s="112"/>
      <c r="O26" s="583">
        <f t="shared" si="4"/>
        <v>0</v>
      </c>
      <c r="P26" s="112"/>
      <c r="Q26" s="469">
        <f t="shared" si="5"/>
        <v>74.007999999999996</v>
      </c>
      <c r="R26" s="112"/>
      <c r="S26" s="469">
        <f t="shared" si="6"/>
        <v>0</v>
      </c>
      <c r="T26" s="785">
        <f>Elect!BX25</f>
        <v>56</v>
      </c>
      <c r="U26" s="664">
        <f t="shared" si="7"/>
        <v>2.2785714285714285</v>
      </c>
      <c r="V26" s="785">
        <f>Elect!BZ25</f>
        <v>0</v>
      </c>
      <c r="W26" s="664" t="e">
        <f t="shared" si="8"/>
        <v>#DIV/0!</v>
      </c>
      <c r="X26" s="667">
        <f>H26*V1</f>
        <v>510.4</v>
      </c>
      <c r="Y26" s="664">
        <f t="shared" si="9"/>
        <v>9.1142857142857139</v>
      </c>
      <c r="Z26" s="668" t="e">
        <f t="shared" si="10"/>
        <v>#DIV/0!</v>
      </c>
    </row>
    <row r="27" spans="1:26" s="473" customFormat="1" ht="36.75" customHeight="1">
      <c r="A27" s="654">
        <v>21</v>
      </c>
      <c r="B27" s="851">
        <v>74754</v>
      </c>
      <c r="C27" s="853">
        <f t="shared" si="13"/>
        <v>92.8</v>
      </c>
      <c r="D27" s="855">
        <v>155344</v>
      </c>
      <c r="E27" s="853">
        <f t="shared" si="12"/>
        <v>5.8</v>
      </c>
      <c r="F27" s="850">
        <v>17670</v>
      </c>
      <c r="G27" s="853">
        <f t="shared" si="14"/>
        <v>0</v>
      </c>
      <c r="H27" s="853">
        <f t="shared" si="3"/>
        <v>98.6</v>
      </c>
      <c r="I27" s="850"/>
      <c r="J27" s="853"/>
      <c r="K27" s="850"/>
      <c r="L27" s="853"/>
      <c r="M27" s="853"/>
      <c r="N27" s="112"/>
      <c r="O27" s="583">
        <f t="shared" si="4"/>
        <v>0</v>
      </c>
      <c r="P27" s="112"/>
      <c r="Q27" s="469">
        <f t="shared" si="5"/>
        <v>57.187999999999995</v>
      </c>
      <c r="R27" s="112"/>
      <c r="S27" s="469">
        <f t="shared" si="6"/>
        <v>0</v>
      </c>
      <c r="T27" s="785">
        <f>Elect!BX26</f>
        <v>87</v>
      </c>
      <c r="U27" s="664">
        <f t="shared" si="7"/>
        <v>1.1333333333333333</v>
      </c>
      <c r="V27" s="785">
        <f>Elect!BZ26</f>
        <v>0</v>
      </c>
      <c r="W27" s="664" t="e">
        <f t="shared" si="8"/>
        <v>#DIV/0!</v>
      </c>
      <c r="X27" s="667">
        <f>H27*V1</f>
        <v>394.4</v>
      </c>
      <c r="Y27" s="664">
        <f t="shared" si="9"/>
        <v>4.5333333333333332</v>
      </c>
      <c r="Z27" s="668" t="e">
        <f t="shared" si="10"/>
        <v>#DIV/0!</v>
      </c>
    </row>
    <row r="28" spans="1:26" s="473" customFormat="1" ht="36.75" customHeight="1">
      <c r="A28" s="653">
        <v>22</v>
      </c>
      <c r="B28" s="851">
        <v>74773</v>
      </c>
      <c r="C28" s="853">
        <f t="shared" si="13"/>
        <v>110.19999999999999</v>
      </c>
      <c r="D28" s="855">
        <v>155346</v>
      </c>
      <c r="E28" s="853">
        <f t="shared" si="12"/>
        <v>11.6</v>
      </c>
      <c r="F28" s="850">
        <v>17670</v>
      </c>
      <c r="G28" s="853">
        <f t="shared" si="14"/>
        <v>0</v>
      </c>
      <c r="H28" s="853">
        <f t="shared" si="3"/>
        <v>121.79999999999998</v>
      </c>
      <c r="I28" s="850"/>
      <c r="J28" s="853"/>
      <c r="K28" s="850"/>
      <c r="L28" s="853"/>
      <c r="M28" s="853"/>
      <c r="N28" s="112"/>
      <c r="O28" s="583">
        <f t="shared" si="4"/>
        <v>0</v>
      </c>
      <c r="P28" s="112"/>
      <c r="Q28" s="469">
        <f t="shared" si="5"/>
        <v>70.643999999999991</v>
      </c>
      <c r="R28" s="112"/>
      <c r="S28" s="469">
        <f t="shared" si="6"/>
        <v>0</v>
      </c>
      <c r="T28" s="785">
        <f>Elect!BX27</f>
        <v>88</v>
      </c>
      <c r="U28" s="664">
        <f t="shared" si="7"/>
        <v>1.3840909090909088</v>
      </c>
      <c r="V28" s="785">
        <f>Elect!BZ27</f>
        <v>0</v>
      </c>
      <c r="W28" s="664" t="e">
        <f t="shared" si="8"/>
        <v>#DIV/0!</v>
      </c>
      <c r="X28" s="667">
        <f>H28*V1</f>
        <v>487.19999999999993</v>
      </c>
      <c r="Y28" s="664">
        <f t="shared" si="9"/>
        <v>5.5363636363636353</v>
      </c>
      <c r="Z28" s="668" t="e">
        <f t="shared" si="10"/>
        <v>#DIV/0!</v>
      </c>
    </row>
    <row r="29" spans="1:26" s="473" customFormat="1" ht="36.75" customHeight="1">
      <c r="A29" s="654">
        <v>23</v>
      </c>
      <c r="B29" s="851">
        <v>74800</v>
      </c>
      <c r="C29" s="853">
        <f t="shared" si="13"/>
        <v>156.6</v>
      </c>
      <c r="D29" s="855">
        <v>155347</v>
      </c>
      <c r="E29" s="853">
        <f t="shared" ref="E29:E30" si="15">IF(D29&gt;=D28,D29-D28,0)*10*0.58</f>
        <v>5.8</v>
      </c>
      <c r="F29" s="850">
        <v>17680</v>
      </c>
      <c r="G29" s="853">
        <f t="shared" si="14"/>
        <v>5.8</v>
      </c>
      <c r="H29" s="853">
        <f t="shared" si="3"/>
        <v>168.20000000000002</v>
      </c>
      <c r="I29" s="850"/>
      <c r="J29" s="853"/>
      <c r="K29" s="850"/>
      <c r="L29" s="853"/>
      <c r="M29" s="853"/>
      <c r="N29" s="112"/>
      <c r="O29" s="583">
        <f t="shared" si="4"/>
        <v>0</v>
      </c>
      <c r="P29" s="112"/>
      <c r="Q29" s="469">
        <f t="shared" si="5"/>
        <v>97.555999999999997</v>
      </c>
      <c r="R29" s="494"/>
      <c r="S29" s="469">
        <f t="shared" si="6"/>
        <v>0</v>
      </c>
      <c r="T29" s="785">
        <f>Elect!BX28</f>
        <v>83</v>
      </c>
      <c r="U29" s="664">
        <f t="shared" si="7"/>
        <v>2.0265060240963857</v>
      </c>
      <c r="V29" s="785">
        <f>Elect!BZ28</f>
        <v>0</v>
      </c>
      <c r="W29" s="664" t="e">
        <f t="shared" si="8"/>
        <v>#DIV/0!</v>
      </c>
      <c r="X29" s="667">
        <f>H29*V1</f>
        <v>672.80000000000007</v>
      </c>
      <c r="Y29" s="664">
        <f t="shared" si="9"/>
        <v>8.1060240963855428</v>
      </c>
      <c r="Z29" s="668" t="e">
        <f t="shared" si="10"/>
        <v>#DIV/0!</v>
      </c>
    </row>
    <row r="30" spans="1:26" s="473" customFormat="1" ht="36.75" customHeight="1">
      <c r="A30" s="653">
        <v>24</v>
      </c>
      <c r="B30" s="851">
        <v>74832</v>
      </c>
      <c r="C30" s="853">
        <f t="shared" si="13"/>
        <v>185.6</v>
      </c>
      <c r="D30" s="855">
        <v>155348</v>
      </c>
      <c r="E30" s="853">
        <f t="shared" si="15"/>
        <v>5.8</v>
      </c>
      <c r="F30" s="850">
        <v>17690</v>
      </c>
      <c r="G30" s="853">
        <f t="shared" si="14"/>
        <v>5.8</v>
      </c>
      <c r="H30" s="853">
        <f t="shared" si="3"/>
        <v>197.20000000000002</v>
      </c>
      <c r="I30" s="850"/>
      <c r="J30" s="853"/>
      <c r="K30" s="850"/>
      <c r="L30" s="853"/>
      <c r="M30" s="853"/>
      <c r="N30" s="112"/>
      <c r="O30" s="583">
        <f t="shared" si="4"/>
        <v>0</v>
      </c>
      <c r="P30" s="112"/>
      <c r="Q30" s="469">
        <f t="shared" si="5"/>
        <v>114.376</v>
      </c>
      <c r="R30" s="494"/>
      <c r="S30" s="469">
        <f t="shared" si="6"/>
        <v>0</v>
      </c>
      <c r="T30" s="785">
        <f>Elect!BX29</f>
        <v>88</v>
      </c>
      <c r="U30" s="664">
        <f t="shared" si="7"/>
        <v>2.2409090909090912</v>
      </c>
      <c r="V30" s="785">
        <f>Elect!BZ29</f>
        <v>0</v>
      </c>
      <c r="W30" s="664" t="e">
        <f t="shared" si="8"/>
        <v>#DIV/0!</v>
      </c>
      <c r="X30" s="667">
        <f>H30*V1</f>
        <v>788.80000000000007</v>
      </c>
      <c r="Y30" s="664">
        <f t="shared" si="9"/>
        <v>8.9636363636363647</v>
      </c>
      <c r="Z30" s="668" t="e">
        <f t="shared" si="10"/>
        <v>#DIV/0!</v>
      </c>
    </row>
    <row r="31" spans="1:26" s="473" customFormat="1" ht="36.75" customHeight="1">
      <c r="A31" s="654">
        <v>25</v>
      </c>
      <c r="B31" s="851">
        <v>74854</v>
      </c>
      <c r="C31" s="853">
        <f t="shared" si="13"/>
        <v>127.6</v>
      </c>
      <c r="D31" s="855">
        <v>155349</v>
      </c>
      <c r="E31" s="853">
        <f t="shared" ref="E31:E37" si="16">IF(D31&gt;=D30,D31-D30,0)*10*0.58</f>
        <v>5.8</v>
      </c>
      <c r="F31" s="850">
        <v>17700</v>
      </c>
      <c r="G31" s="853">
        <f t="shared" si="14"/>
        <v>5.8</v>
      </c>
      <c r="H31" s="853">
        <f t="shared" si="3"/>
        <v>139.20000000000002</v>
      </c>
      <c r="I31" s="850"/>
      <c r="J31" s="853"/>
      <c r="K31" s="850"/>
      <c r="L31" s="853"/>
      <c r="M31" s="853"/>
      <c r="N31" s="112"/>
      <c r="O31" s="583">
        <f t="shared" si="4"/>
        <v>0</v>
      </c>
      <c r="P31" s="112"/>
      <c r="Q31" s="469">
        <f t="shared" si="5"/>
        <v>80.736000000000004</v>
      </c>
      <c r="R31" s="494"/>
      <c r="S31" s="469">
        <f t="shared" si="6"/>
        <v>0</v>
      </c>
      <c r="T31" s="785">
        <f>Elect!BX30</f>
        <v>77</v>
      </c>
      <c r="U31" s="664">
        <f t="shared" si="7"/>
        <v>1.807792207792208</v>
      </c>
      <c r="V31" s="785">
        <f>Elect!BZ30</f>
        <v>0</v>
      </c>
      <c r="W31" s="664" t="e">
        <f t="shared" si="8"/>
        <v>#DIV/0!</v>
      </c>
      <c r="X31" s="667">
        <f>H31*V1</f>
        <v>556.80000000000007</v>
      </c>
      <c r="Y31" s="664">
        <f t="shared" si="9"/>
        <v>7.2311688311688318</v>
      </c>
      <c r="Z31" s="668" t="e">
        <f t="shared" ref="Z31:Z37" si="17">IF(X31&gt;0,X31/V31,0)</f>
        <v>#DIV/0!</v>
      </c>
    </row>
    <row r="32" spans="1:26" s="473" customFormat="1" ht="36.75" customHeight="1">
      <c r="A32" s="653">
        <v>26</v>
      </c>
      <c r="B32" s="851">
        <v>74878</v>
      </c>
      <c r="C32" s="853">
        <f t="shared" si="13"/>
        <v>139.19999999999999</v>
      </c>
      <c r="D32" s="855">
        <v>155350</v>
      </c>
      <c r="E32" s="853">
        <f t="shared" si="16"/>
        <v>5.8</v>
      </c>
      <c r="F32" s="850">
        <v>17709</v>
      </c>
      <c r="G32" s="853">
        <f t="shared" si="14"/>
        <v>5.22</v>
      </c>
      <c r="H32" s="853">
        <f t="shared" si="3"/>
        <v>150.22</v>
      </c>
      <c r="I32" s="850"/>
      <c r="J32" s="853"/>
      <c r="K32" s="850"/>
      <c r="L32" s="853"/>
      <c r="M32" s="853"/>
      <c r="N32" s="112"/>
      <c r="O32" s="583">
        <f t="shared" si="4"/>
        <v>0</v>
      </c>
      <c r="P32" s="112"/>
      <c r="Q32" s="469">
        <f t="shared" si="5"/>
        <v>87.127599999999987</v>
      </c>
      <c r="R32" s="494"/>
      <c r="S32" s="469">
        <f t="shared" si="6"/>
        <v>0</v>
      </c>
      <c r="T32" s="785">
        <f>Elect!BX31</f>
        <v>58</v>
      </c>
      <c r="U32" s="664">
        <f t="shared" si="7"/>
        <v>2.59</v>
      </c>
      <c r="V32" s="785">
        <f>Elect!BZ31</f>
        <v>0</v>
      </c>
      <c r="W32" s="664" t="e">
        <f t="shared" si="8"/>
        <v>#DIV/0!</v>
      </c>
      <c r="X32" s="667">
        <f>H32*V1</f>
        <v>600.88</v>
      </c>
      <c r="Y32" s="664">
        <f t="shared" si="9"/>
        <v>10.36</v>
      </c>
      <c r="Z32" s="668" t="e">
        <f t="shared" si="17"/>
        <v>#DIV/0!</v>
      </c>
    </row>
    <row r="33" spans="1:26" s="3" customFormat="1" ht="36.75" customHeight="1">
      <c r="A33" s="655">
        <v>27</v>
      </c>
      <c r="B33" s="851">
        <v>74900</v>
      </c>
      <c r="C33" s="853">
        <f t="shared" si="13"/>
        <v>127.6</v>
      </c>
      <c r="D33" s="855">
        <v>155351</v>
      </c>
      <c r="E33" s="853">
        <f t="shared" si="16"/>
        <v>5.8</v>
      </c>
      <c r="F33" s="850">
        <v>17719</v>
      </c>
      <c r="G33" s="853">
        <f t="shared" si="14"/>
        <v>5.8</v>
      </c>
      <c r="H33" s="853">
        <f t="shared" si="3"/>
        <v>139.20000000000002</v>
      </c>
      <c r="I33" s="850"/>
      <c r="J33" s="853"/>
      <c r="K33" s="850"/>
      <c r="L33" s="853"/>
      <c r="M33" s="853"/>
      <c r="N33" s="112"/>
      <c r="O33" s="583">
        <f t="shared" si="4"/>
        <v>0</v>
      </c>
      <c r="P33" s="112"/>
      <c r="Q33" s="469">
        <f t="shared" si="5"/>
        <v>80.736000000000004</v>
      </c>
      <c r="R33" s="494"/>
      <c r="S33" s="469">
        <f t="shared" si="6"/>
        <v>0</v>
      </c>
      <c r="T33" s="785">
        <f>Elect!BX32</f>
        <v>59</v>
      </c>
      <c r="U33" s="664">
        <f t="shared" si="7"/>
        <v>2.3593220338983052</v>
      </c>
      <c r="V33" s="785">
        <f>Elect!BZ32</f>
        <v>0</v>
      </c>
      <c r="W33" s="664" t="e">
        <f t="shared" si="8"/>
        <v>#DIV/0!</v>
      </c>
      <c r="X33" s="667">
        <f>H33*V1</f>
        <v>556.80000000000007</v>
      </c>
      <c r="Y33" s="664">
        <f t="shared" si="9"/>
        <v>9.4372881355932208</v>
      </c>
      <c r="Z33" s="668" t="e">
        <f t="shared" si="17"/>
        <v>#DIV/0!</v>
      </c>
    </row>
    <row r="34" spans="1:26" s="3" customFormat="1" ht="36.75" customHeight="1">
      <c r="A34" s="656">
        <v>28</v>
      </c>
      <c r="B34" s="851">
        <v>74920</v>
      </c>
      <c r="C34" s="853">
        <f t="shared" si="13"/>
        <v>115.99999999999999</v>
      </c>
      <c r="D34" s="855">
        <v>155352</v>
      </c>
      <c r="E34" s="853">
        <f t="shared" si="16"/>
        <v>5.8</v>
      </c>
      <c r="F34" s="850">
        <v>17728</v>
      </c>
      <c r="G34" s="853">
        <f t="shared" si="14"/>
        <v>5.22</v>
      </c>
      <c r="H34" s="853">
        <f t="shared" si="3"/>
        <v>127.01999999999998</v>
      </c>
      <c r="I34" s="850"/>
      <c r="J34" s="853"/>
      <c r="K34" s="850"/>
      <c r="L34" s="853"/>
      <c r="M34" s="853"/>
      <c r="N34" s="112"/>
      <c r="O34" s="583">
        <f t="shared" si="4"/>
        <v>0</v>
      </c>
      <c r="P34" s="112"/>
      <c r="Q34" s="469">
        <f t="shared" si="5"/>
        <v>73.671599999999984</v>
      </c>
      <c r="R34" s="494"/>
      <c r="S34" s="469">
        <f t="shared" si="6"/>
        <v>0</v>
      </c>
      <c r="T34" s="785">
        <f>Elect!BX33</f>
        <v>58</v>
      </c>
      <c r="U34" s="664">
        <f t="shared" si="7"/>
        <v>2.1899999999999995</v>
      </c>
      <c r="V34" s="785">
        <f>Elect!BZ33</f>
        <v>0</v>
      </c>
      <c r="W34" s="664" t="e">
        <f t="shared" si="8"/>
        <v>#DIV/0!</v>
      </c>
      <c r="X34" s="667">
        <f>H34*V1</f>
        <v>508.07999999999993</v>
      </c>
      <c r="Y34" s="664">
        <f t="shared" si="9"/>
        <v>8.759999999999998</v>
      </c>
      <c r="Z34" s="668" t="e">
        <f t="shared" si="17"/>
        <v>#DIV/0!</v>
      </c>
    </row>
    <row r="35" spans="1:26" s="3" customFormat="1" ht="36.75" customHeight="1">
      <c r="A35" s="653">
        <v>29</v>
      </c>
      <c r="B35" s="851">
        <v>74920</v>
      </c>
      <c r="C35" s="853">
        <f t="shared" si="13"/>
        <v>0</v>
      </c>
      <c r="D35" s="855">
        <v>155352</v>
      </c>
      <c r="E35" s="853">
        <f t="shared" si="16"/>
        <v>0</v>
      </c>
      <c r="F35" s="850">
        <v>17728</v>
      </c>
      <c r="G35" s="853">
        <f t="shared" si="14"/>
        <v>0</v>
      </c>
      <c r="H35" s="853">
        <f t="shared" si="3"/>
        <v>0</v>
      </c>
      <c r="I35" s="850"/>
      <c r="J35" s="853"/>
      <c r="K35" s="850"/>
      <c r="L35" s="853"/>
      <c r="M35" s="853"/>
      <c r="N35" s="112"/>
      <c r="O35" s="583">
        <f t="shared" si="4"/>
        <v>0</v>
      </c>
      <c r="P35" s="566"/>
      <c r="Q35" s="469">
        <f t="shared" si="5"/>
        <v>0</v>
      </c>
      <c r="R35" s="494"/>
      <c r="S35" s="469">
        <f t="shared" si="6"/>
        <v>0</v>
      </c>
      <c r="T35" s="785">
        <f>Elect!BX34</f>
        <v>0</v>
      </c>
      <c r="U35" s="664" t="e">
        <f t="shared" si="7"/>
        <v>#DIV/0!</v>
      </c>
      <c r="V35" s="785">
        <f>Elect!BZ34</f>
        <v>0</v>
      </c>
      <c r="W35" s="664" t="e">
        <f t="shared" si="8"/>
        <v>#DIV/0!</v>
      </c>
      <c r="X35" s="667">
        <f>H35*V1</f>
        <v>0</v>
      </c>
      <c r="Y35" s="664">
        <f t="shared" si="9"/>
        <v>0</v>
      </c>
      <c r="Z35" s="668">
        <f t="shared" si="17"/>
        <v>0</v>
      </c>
    </row>
    <row r="36" spans="1:26" s="3" customFormat="1" ht="36.75" customHeight="1">
      <c r="A36" s="655">
        <v>30</v>
      </c>
      <c r="B36" s="851">
        <v>74920</v>
      </c>
      <c r="C36" s="853">
        <f t="shared" ref="C36:C37" si="18">IF(B36&gt;=B35,B36-B35,0)*10*0.58</f>
        <v>0</v>
      </c>
      <c r="D36" s="855">
        <v>155352</v>
      </c>
      <c r="E36" s="853">
        <f t="shared" si="16"/>
        <v>0</v>
      </c>
      <c r="F36" s="850">
        <v>17728</v>
      </c>
      <c r="G36" s="853">
        <f t="shared" si="11"/>
        <v>0</v>
      </c>
      <c r="H36" s="853">
        <f t="shared" si="3"/>
        <v>0</v>
      </c>
      <c r="I36" s="850"/>
      <c r="J36" s="853"/>
      <c r="K36" s="850"/>
      <c r="L36" s="853"/>
      <c r="M36" s="853"/>
      <c r="N36" s="112"/>
      <c r="O36" s="583">
        <f t="shared" si="4"/>
        <v>0</v>
      </c>
      <c r="P36" s="566"/>
      <c r="Q36" s="469">
        <f t="shared" si="5"/>
        <v>0</v>
      </c>
      <c r="R36" s="494"/>
      <c r="S36" s="469">
        <f t="shared" si="6"/>
        <v>0</v>
      </c>
      <c r="T36" s="785">
        <f>Elect!BX35</f>
        <v>0</v>
      </c>
      <c r="U36" s="664" t="e">
        <f t="shared" si="7"/>
        <v>#DIV/0!</v>
      </c>
      <c r="V36" s="785">
        <f>Elect!BZ35</f>
        <v>0</v>
      </c>
      <c r="W36" s="664" t="e">
        <f t="shared" si="8"/>
        <v>#DIV/0!</v>
      </c>
      <c r="X36" s="667">
        <f>H36*V1</f>
        <v>0</v>
      </c>
      <c r="Y36" s="664">
        <f t="shared" si="9"/>
        <v>0</v>
      </c>
      <c r="Z36" s="668">
        <f t="shared" si="17"/>
        <v>0</v>
      </c>
    </row>
    <row r="37" spans="1:26" s="3" customFormat="1" ht="36.75" customHeight="1" thickBot="1">
      <c r="A37" s="653">
        <v>31</v>
      </c>
      <c r="B37" s="851">
        <v>74920</v>
      </c>
      <c r="C37" s="853">
        <f t="shared" si="18"/>
        <v>0</v>
      </c>
      <c r="D37" s="855">
        <v>155352</v>
      </c>
      <c r="E37" s="853">
        <f t="shared" si="16"/>
        <v>0</v>
      </c>
      <c r="F37" s="850">
        <v>17728</v>
      </c>
      <c r="G37" s="853">
        <f t="shared" si="11"/>
        <v>0</v>
      </c>
      <c r="H37" s="853">
        <f t="shared" si="3"/>
        <v>0</v>
      </c>
      <c r="I37" s="850">
        <v>212.2</v>
      </c>
      <c r="J37" s="802"/>
      <c r="K37" s="850">
        <v>2958</v>
      </c>
      <c r="L37" s="802"/>
      <c r="M37" s="802"/>
      <c r="N37" s="566"/>
      <c r="O37" s="583">
        <f t="shared" si="4"/>
        <v>0</v>
      </c>
      <c r="P37" s="566"/>
      <c r="Q37" s="469">
        <f t="shared" si="5"/>
        <v>0</v>
      </c>
      <c r="R37" s="801"/>
      <c r="S37" s="469">
        <f t="shared" si="6"/>
        <v>0</v>
      </c>
      <c r="T37" s="785">
        <f>Elect!BX36</f>
        <v>0</v>
      </c>
      <c r="U37" s="664" t="e">
        <f t="shared" si="7"/>
        <v>#DIV/0!</v>
      </c>
      <c r="V37" s="785">
        <f>Elect!BZ36</f>
        <v>0</v>
      </c>
      <c r="W37" s="664" t="e">
        <f t="shared" si="8"/>
        <v>#DIV/0!</v>
      </c>
      <c r="X37" s="667">
        <f>H37*V7</f>
        <v>0</v>
      </c>
      <c r="Y37" s="664">
        <f t="shared" si="9"/>
        <v>0</v>
      </c>
      <c r="Z37" s="668">
        <f t="shared" si="17"/>
        <v>0</v>
      </c>
    </row>
    <row r="38" spans="1:26" s="597" customFormat="1" ht="36.75" customHeight="1" thickBot="1">
      <c r="A38" s="593" t="s">
        <v>122</v>
      </c>
      <c r="B38" s="851"/>
      <c r="C38" s="807">
        <f>SUM(C7:C37)</f>
        <v>3474.1999999999994</v>
      </c>
      <c r="D38" s="588"/>
      <c r="E38" s="807">
        <f>SUM(E7:E37)</f>
        <v>1507.9999999999995</v>
      </c>
      <c r="F38" s="588"/>
      <c r="G38" s="807">
        <f>SUM(G7:G37)</f>
        <v>33.64</v>
      </c>
      <c r="H38" s="807">
        <f>SUM(H7:H37)</f>
        <v>5015.8399999999983</v>
      </c>
      <c r="I38" s="807">
        <f>I37-I6</f>
        <v>1.1999999999999886</v>
      </c>
      <c r="J38" s="594"/>
      <c r="K38" s="807">
        <f>K37-K6</f>
        <v>71</v>
      </c>
      <c r="L38" s="594"/>
      <c r="M38" s="594"/>
      <c r="N38" s="588"/>
      <c r="O38" s="594">
        <f>SUM(O7:O36)</f>
        <v>0</v>
      </c>
      <c r="P38" s="588"/>
      <c r="Q38" s="594">
        <f>SUM(Q7:Q34)</f>
        <v>2909.1871999999994</v>
      </c>
      <c r="R38" s="588"/>
      <c r="S38" s="594">
        <f>SUM(S7:S34)</f>
        <v>0</v>
      </c>
      <c r="T38" s="595">
        <f>SUM(T7:T36)</f>
        <v>1776</v>
      </c>
      <c r="U38" s="665">
        <f>IF(H38&gt;0,H38/T38,0)</f>
        <v>2.8242342342342335</v>
      </c>
      <c r="V38" s="730">
        <f>SUM(V7:V36)</f>
        <v>0</v>
      </c>
      <c r="W38" s="665" t="e">
        <f>IF(H38&gt;0,H38/V38,0)</f>
        <v>#DIV/0!</v>
      </c>
      <c r="X38" s="669">
        <f>SUM(X7:X36)</f>
        <v>20063.359999999993</v>
      </c>
      <c r="Y38" s="665">
        <f t="shared" ref="Y38:Y44" si="19">IF(X38&gt;0,X38/T38,0)</f>
        <v>11.296936936936934</v>
      </c>
      <c r="Z38" s="670" t="e">
        <f t="shared" ref="Z38:Z44" si="20">IF(X38&gt;0,X38/V38,0)</f>
        <v>#DIV/0!</v>
      </c>
    </row>
    <row r="39" spans="1:26" s="597" customFormat="1" ht="36.75" customHeight="1" thickBot="1">
      <c r="A39" s="598" t="s">
        <v>123</v>
      </c>
      <c r="B39" s="851"/>
      <c r="C39" s="600">
        <f>C38/B48</f>
        <v>115.80666666666664</v>
      </c>
      <c r="D39" s="589"/>
      <c r="E39" s="600">
        <f>E38/B48</f>
        <v>50.266666666666652</v>
      </c>
      <c r="F39" s="589"/>
      <c r="G39" s="600">
        <f>G38/B48</f>
        <v>1.1213333333333333</v>
      </c>
      <c r="H39" s="600">
        <f>H38/B48</f>
        <v>167.19466666666662</v>
      </c>
      <c r="I39" s="600"/>
      <c r="J39" s="600"/>
      <c r="K39" s="600"/>
      <c r="L39" s="600"/>
      <c r="M39" s="600"/>
      <c r="N39" s="589"/>
      <c r="O39" s="600">
        <f>O38/B48</f>
        <v>0</v>
      </c>
      <c r="P39" s="589"/>
      <c r="Q39" s="600">
        <f>Q38/B48</f>
        <v>96.972906666666645</v>
      </c>
      <c r="R39" s="589"/>
      <c r="S39" s="600" t="e">
        <f>S38/C48</f>
        <v>#DIV/0!</v>
      </c>
      <c r="T39" s="602">
        <f>T38/B48</f>
        <v>59.2</v>
      </c>
      <c r="U39" s="666">
        <f>IF(H39&gt;0,H39/T39,0)</f>
        <v>2.8242342342342335</v>
      </c>
      <c r="V39" s="682">
        <f>V38/B48</f>
        <v>0</v>
      </c>
      <c r="W39" s="665" t="e">
        <f>IF(H39&gt;0,H39/V39,0)</f>
        <v>#DIV/0!</v>
      </c>
      <c r="X39" s="671">
        <f>X38/B48</f>
        <v>668.77866666666648</v>
      </c>
      <c r="Y39" s="666">
        <f t="shared" si="19"/>
        <v>11.296936936936934</v>
      </c>
      <c r="Z39" s="672" t="e">
        <f t="shared" si="20"/>
        <v>#DIV/0!</v>
      </c>
    </row>
    <row r="40" spans="1:26" s="597" customFormat="1" ht="36.75" customHeight="1">
      <c r="A40" s="657" t="s">
        <v>163</v>
      </c>
      <c r="B40" s="673"/>
      <c r="C40" s="674"/>
      <c r="D40" s="674"/>
      <c r="E40" s="675"/>
      <c r="F40" s="674"/>
      <c r="G40" s="675"/>
      <c r="H40" s="675"/>
      <c r="I40" s="675"/>
      <c r="J40" s="675"/>
      <c r="K40" s="675"/>
      <c r="L40" s="675"/>
      <c r="M40" s="675"/>
      <c r="N40" s="588"/>
      <c r="O40" s="675"/>
      <c r="P40" s="588"/>
      <c r="Q40" s="675"/>
      <c r="R40" s="674"/>
      <c r="S40" s="674"/>
      <c r="T40" s="676">
        <f>YTD!Q2341</f>
        <v>0</v>
      </c>
      <c r="U40" s="677" t="e">
        <f>IF(#REF!&gt;0,#REF!/T40,0)</f>
        <v>#REF!</v>
      </c>
      <c r="V40" s="678">
        <f>YTD!Q2342</f>
        <v>0</v>
      </c>
      <c r="W40" s="665" t="e">
        <f>IF(#REF!&gt;0,#REF!/V40,0)</f>
        <v>#REF!</v>
      </c>
      <c r="X40" s="679">
        <f>YTD!Q2346</f>
        <v>0</v>
      </c>
      <c r="Y40" s="665">
        <f t="shared" si="19"/>
        <v>0</v>
      </c>
      <c r="Z40" s="670">
        <f t="shared" si="20"/>
        <v>0</v>
      </c>
    </row>
    <row r="41" spans="1:26" s="597" customFormat="1" ht="36.75" customHeight="1" thickBot="1">
      <c r="A41" s="658" t="s">
        <v>164</v>
      </c>
      <c r="B41" s="680"/>
      <c r="C41" s="681"/>
      <c r="D41" s="681"/>
      <c r="E41" s="589"/>
      <c r="F41" s="681"/>
      <c r="G41" s="589"/>
      <c r="H41" s="599"/>
      <c r="I41" s="599"/>
      <c r="J41" s="599"/>
      <c r="K41" s="599"/>
      <c r="L41" s="599"/>
      <c r="M41" s="599"/>
      <c r="N41" s="589"/>
      <c r="O41" s="599"/>
      <c r="P41" s="589"/>
      <c r="Q41" s="599"/>
      <c r="R41" s="681"/>
      <c r="S41" s="681"/>
      <c r="T41" s="602" t="e">
        <f>T42*C48</f>
        <v>#VALUE!</v>
      </c>
      <c r="U41" s="666" t="e">
        <f>IF(#REF!&gt;0,#REF!/T41,0)</f>
        <v>#REF!</v>
      </c>
      <c r="V41" s="682" t="e">
        <f>V42*C48</f>
        <v>#VALUE!</v>
      </c>
      <c r="W41" s="666" t="e">
        <f>IF(#REF!&gt;0,#REF!/V41,0)</f>
        <v>#REF!</v>
      </c>
      <c r="X41" s="683" t="e">
        <f>#REF!*5.62</f>
        <v>#REF!</v>
      </c>
      <c r="Y41" s="666" t="e">
        <f t="shared" si="19"/>
        <v>#REF!</v>
      </c>
      <c r="Z41" s="672" t="e">
        <f t="shared" si="20"/>
        <v>#REF!</v>
      </c>
    </row>
    <row r="42" spans="1:26" s="691" customFormat="1" ht="42.75" customHeight="1" thickBot="1">
      <c r="A42" s="659" t="s">
        <v>165</v>
      </c>
      <c r="B42" s="684"/>
      <c r="C42" s="684"/>
      <c r="D42" s="685"/>
      <c r="E42" s="684"/>
      <c r="F42" s="685"/>
      <c r="G42" s="684"/>
      <c r="H42" s="684"/>
      <c r="I42" s="684"/>
      <c r="J42" s="684"/>
      <c r="K42" s="684"/>
      <c r="L42" s="684"/>
      <c r="M42" s="684"/>
      <c r="N42" s="685"/>
      <c r="O42" s="684"/>
      <c r="P42" s="685"/>
      <c r="Q42" s="684"/>
      <c r="R42" s="686"/>
      <c r="S42" s="684"/>
      <c r="T42" s="687" t="e">
        <f>T40/$A$48</f>
        <v>#VALUE!</v>
      </c>
      <c r="U42" s="687"/>
      <c r="V42" s="687" t="e">
        <f>V40/$A$48</f>
        <v>#VALUE!</v>
      </c>
      <c r="W42" s="688"/>
      <c r="X42" s="689"/>
      <c r="Y42" s="684"/>
      <c r="Z42" s="690"/>
    </row>
    <row r="43" spans="1:26" s="609" customFormat="1" ht="36" customHeight="1">
      <c r="A43" s="660" t="s">
        <v>166</v>
      </c>
      <c r="B43" s="692"/>
      <c r="C43" s="692"/>
      <c r="D43" s="692"/>
      <c r="E43" s="692"/>
      <c r="F43" s="692"/>
      <c r="G43" s="692"/>
      <c r="H43" s="692"/>
      <c r="I43" s="692"/>
      <c r="J43" s="692"/>
      <c r="K43" s="692"/>
      <c r="L43" s="692"/>
      <c r="M43" s="692"/>
      <c r="N43" s="692"/>
      <c r="O43" s="692"/>
      <c r="P43" s="692"/>
      <c r="Q43" s="692"/>
      <c r="R43" s="692"/>
      <c r="S43" s="692"/>
      <c r="T43" s="693">
        <f>YTD!Q2358</f>
        <v>0</v>
      </c>
      <c r="U43" s="694"/>
      <c r="V43" s="695">
        <f>YTD!Q2359</f>
        <v>0</v>
      </c>
      <c r="W43" s="694"/>
      <c r="X43" s="696">
        <f>YTD!Q2363</f>
        <v>0</v>
      </c>
      <c r="Y43" s="697">
        <f t="shared" si="19"/>
        <v>0</v>
      </c>
      <c r="Z43" s="697">
        <f t="shared" si="20"/>
        <v>0</v>
      </c>
    </row>
    <row r="44" spans="1:26" s="609" customFormat="1" ht="36" customHeight="1">
      <c r="A44" s="661" t="s">
        <v>167</v>
      </c>
      <c r="B44" s="698"/>
      <c r="C44" s="699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698"/>
      <c r="O44" s="698"/>
      <c r="P44" s="698"/>
      <c r="Q44" s="698"/>
      <c r="R44" s="698"/>
      <c r="S44" s="698"/>
      <c r="T44" s="853" t="e">
        <f>T43/A48*C48</f>
        <v>#VALUE!</v>
      </c>
      <c r="U44" s="700"/>
      <c r="V44" s="700" t="e">
        <f>V43/A48*C48</f>
        <v>#VALUE!</v>
      </c>
      <c r="W44" s="700"/>
      <c r="X44" s="701" t="e">
        <f>X43/A48*C48</f>
        <v>#VALUE!</v>
      </c>
      <c r="Y44" s="608" t="e">
        <f t="shared" si="19"/>
        <v>#VALUE!</v>
      </c>
      <c r="Z44" s="608" t="e">
        <f t="shared" si="20"/>
        <v>#VALUE!</v>
      </c>
    </row>
    <row r="45" spans="1:26" s="609" customFormat="1" ht="36" customHeight="1" thickBot="1">
      <c r="A45" s="662" t="s">
        <v>168</v>
      </c>
      <c r="B45" s="702"/>
      <c r="C45" s="703"/>
      <c r="D45" s="702"/>
      <c r="E45" s="702"/>
      <c r="F45" s="702"/>
      <c r="G45" s="702"/>
      <c r="H45" s="702"/>
      <c r="I45" s="702"/>
      <c r="J45" s="702"/>
      <c r="K45" s="702"/>
      <c r="L45" s="702"/>
      <c r="M45" s="702"/>
      <c r="N45" s="702"/>
      <c r="O45" s="702"/>
      <c r="P45" s="702"/>
      <c r="Q45" s="702"/>
      <c r="R45" s="702"/>
      <c r="S45" s="702"/>
      <c r="T45" s="704" t="e">
        <f>T43/A48</f>
        <v>#VALUE!</v>
      </c>
      <c r="U45" s="705"/>
      <c r="V45" s="705" t="e">
        <f>V44/A48*C48</f>
        <v>#VALUE!</v>
      </c>
      <c r="W45" s="705"/>
      <c r="X45" s="706" t="e">
        <f>X43/A48</f>
        <v>#VALUE!</v>
      </c>
      <c r="Y45" s="707"/>
      <c r="Z45" s="707"/>
    </row>
    <row r="46" spans="1:26" s="609" customFormat="1" ht="23.25" customHeight="1">
      <c r="A46" s="593" t="s">
        <v>169</v>
      </c>
      <c r="B46" s="588"/>
      <c r="C46" s="607"/>
      <c r="D46" s="588"/>
      <c r="E46" s="588"/>
      <c r="F46" s="588"/>
      <c r="G46" s="588"/>
      <c r="H46" s="5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708"/>
      <c r="U46" s="709">
        <f>Consp!BH33</f>
        <v>1.151467863064469</v>
      </c>
      <c r="V46" s="710"/>
      <c r="W46" s="709">
        <f>Consp!BI33</f>
        <v>0.57929342492639846</v>
      </c>
      <c r="X46" s="711">
        <f>Consp!BJ33</f>
        <v>140121.30040437225</v>
      </c>
      <c r="Y46" s="709">
        <f>Consp!BK33</f>
        <v>6.8331854288682461</v>
      </c>
      <c r="Z46" s="712">
        <f>Consp!BL33</f>
        <v>3.4377159078599666</v>
      </c>
    </row>
    <row r="47" spans="1:26" s="609" customFormat="1" ht="23.25" customHeight="1" thickBot="1">
      <c r="A47" s="598" t="s">
        <v>170</v>
      </c>
      <c r="B47" s="589"/>
      <c r="C47" s="610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713"/>
      <c r="U47" s="714">
        <f>Consp!BH34</f>
        <v>1.1761372019916823</v>
      </c>
      <c r="V47" s="715"/>
      <c r="W47" s="714">
        <f>Consp!BI34</f>
        <v>0.60007376616126884</v>
      </c>
      <c r="X47" s="716">
        <f>Consp!BJ34</f>
        <v>5004.3321572990089</v>
      </c>
      <c r="Y47" s="714">
        <f>Consp!BK34</f>
        <v>6.8331854288682452</v>
      </c>
      <c r="Z47" s="717">
        <f>Consp!BL34</f>
        <v>3.4377159078599666</v>
      </c>
    </row>
    <row r="48" spans="1:26" s="609" customFormat="1" ht="23.25" customHeight="1">
      <c r="A48" s="591" t="s">
        <v>124</v>
      </c>
      <c r="B48" s="718">
        <f>COUNTIF(B7:B36,"&gt;0")</f>
        <v>30</v>
      </c>
      <c r="C48" s="718"/>
      <c r="D48" s="719"/>
      <c r="E48" s="719"/>
      <c r="F48" s="719"/>
      <c r="G48" s="719"/>
      <c r="H48" s="597"/>
      <c r="I48" s="597"/>
      <c r="J48" s="597"/>
      <c r="K48" s="597"/>
      <c r="L48" s="597"/>
      <c r="M48" s="597"/>
      <c r="N48" s="597"/>
      <c r="O48" s="597"/>
      <c r="P48" s="597"/>
      <c r="Q48" s="597"/>
      <c r="R48" s="591"/>
      <c r="S48" s="597"/>
      <c r="T48" s="720"/>
      <c r="U48" s="597"/>
      <c r="V48" s="597"/>
      <c r="W48" s="597"/>
      <c r="X48" s="721"/>
    </row>
    <row r="49" spans="1:24" s="726" customFormat="1" ht="23.25" customHeight="1">
      <c r="A49" s="663"/>
      <c r="B49" s="722"/>
      <c r="C49" s="723"/>
      <c r="D49" s="724"/>
      <c r="E49" s="724"/>
      <c r="F49" s="724"/>
      <c r="G49" s="724"/>
      <c r="H49" s="725"/>
      <c r="I49" s="725"/>
      <c r="J49" s="725"/>
      <c r="K49" s="725"/>
      <c r="L49" s="725"/>
      <c r="M49" s="725"/>
      <c r="N49" s="725"/>
      <c r="O49" s="725"/>
      <c r="P49" s="723"/>
      <c r="T49" s="727"/>
      <c r="X49" s="728"/>
    </row>
    <row r="50" spans="1:24" s="609" customFormat="1" ht="23.25" customHeight="1">
      <c r="S50" s="729"/>
      <c r="T50" s="643"/>
      <c r="X50" s="644"/>
    </row>
    <row r="51" spans="1:24" s="609" customFormat="1" ht="60.75" customHeight="1">
      <c r="T51" s="643"/>
      <c r="X51" s="644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52" t="s">
        <v>141</v>
      </c>
      <c r="B136" s="952"/>
      <c r="C136" s="952"/>
      <c r="D136" s="952"/>
      <c r="E136" s="952"/>
      <c r="F136" s="952"/>
      <c r="G136" s="952"/>
      <c r="H136" s="952"/>
      <c r="I136" s="952"/>
      <c r="J136" s="952"/>
      <c r="K136" s="952"/>
      <c r="L136" s="952"/>
      <c r="M136" s="952"/>
      <c r="N136" s="952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92" t="str">
        <f>Elect!A1</f>
        <v>February</v>
      </c>
      <c r="B1" s="171"/>
      <c r="C1" s="171"/>
      <c r="H1" s="142"/>
      <c r="I1" s="143"/>
      <c r="J1" s="144"/>
      <c r="K1" s="144"/>
      <c r="L1" s="994" t="s">
        <v>171</v>
      </c>
      <c r="M1" s="994"/>
      <c r="N1" s="994"/>
      <c r="P1" s="995" t="str">
        <f>Elect!A1</f>
        <v>February</v>
      </c>
      <c r="Q1" s="995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93"/>
      <c r="B2" s="978" t="s">
        <v>172</v>
      </c>
      <c r="C2" s="979"/>
      <c r="D2" s="979"/>
      <c r="E2" s="979"/>
      <c r="F2" s="979"/>
      <c r="G2" s="996"/>
      <c r="H2" s="978" t="s">
        <v>141</v>
      </c>
      <c r="I2" s="979"/>
      <c r="J2" s="979"/>
      <c r="K2" s="979"/>
      <c r="L2" s="979"/>
      <c r="M2" s="979"/>
      <c r="N2" s="979"/>
      <c r="O2" s="979"/>
      <c r="P2" s="996"/>
      <c r="Q2" s="150"/>
      <c r="R2" s="885"/>
      <c r="S2" s="151"/>
      <c r="T2" s="152"/>
      <c r="U2" s="153" t="s">
        <v>173</v>
      </c>
      <c r="V2" s="152"/>
      <c r="W2" s="152"/>
      <c r="X2" s="152"/>
      <c r="Y2" s="152"/>
      <c r="Z2" s="883"/>
      <c r="AA2" s="882"/>
      <c r="AB2" s="154"/>
      <c r="AC2" s="172" t="s">
        <v>174</v>
      </c>
      <c r="AD2" s="886"/>
      <c r="AE2" s="884"/>
      <c r="AF2" s="155"/>
      <c r="AG2" s="966" t="s">
        <v>47</v>
      </c>
      <c r="AH2" s="967"/>
      <c r="AI2" s="967"/>
      <c r="AJ2" s="381" t="s">
        <v>175</v>
      </c>
      <c r="AK2" s="972" t="s">
        <v>176</v>
      </c>
      <c r="AL2" s="974" t="s">
        <v>177</v>
      </c>
      <c r="AM2" s="974" t="s">
        <v>178</v>
      </c>
      <c r="AN2" s="964" t="s">
        <v>179</v>
      </c>
      <c r="AO2" s="982" t="s">
        <v>180</v>
      </c>
      <c r="AP2" s="984" t="s">
        <v>181</v>
      </c>
      <c r="AQ2" s="986" t="s">
        <v>182</v>
      </c>
      <c r="AR2" s="988" t="s">
        <v>183</v>
      </c>
      <c r="AS2" s="990" t="s">
        <v>181</v>
      </c>
      <c r="AT2" s="980" t="s">
        <v>184</v>
      </c>
      <c r="AU2" s="981"/>
      <c r="AV2" s="978" t="s">
        <v>185</v>
      </c>
      <c r="AW2" s="979"/>
      <c r="AX2" s="175"/>
      <c r="AY2" s="176"/>
      <c r="AZ2" s="177" t="s">
        <v>186</v>
      </c>
      <c r="BA2" s="177"/>
      <c r="BB2" s="178"/>
      <c r="BC2" s="158"/>
      <c r="BD2" s="156"/>
      <c r="BE2" s="885" t="s">
        <v>187</v>
      </c>
      <c r="BF2" s="885"/>
      <c r="BG2" s="157"/>
      <c r="BH2" s="177"/>
      <c r="BI2" s="177"/>
      <c r="BJ2" s="177" t="s">
        <v>188</v>
      </c>
      <c r="BK2" s="177"/>
      <c r="BL2" s="178"/>
      <c r="BM2" s="885"/>
      <c r="BN2" s="885"/>
      <c r="BO2" s="885" t="s">
        <v>189</v>
      </c>
      <c r="BP2" s="885"/>
      <c r="BQ2" s="157"/>
    </row>
    <row r="3" spans="1:69" ht="174.75" customHeight="1" thickBot="1">
      <c r="A3" s="159" t="s">
        <v>58</v>
      </c>
      <c r="B3" s="997" t="s">
        <v>190</v>
      </c>
      <c r="C3" s="998"/>
      <c r="D3" s="999" t="s">
        <v>60</v>
      </c>
      <c r="E3" s="1000"/>
      <c r="F3" s="1001" t="s">
        <v>61</v>
      </c>
      <c r="G3" s="1002"/>
      <c r="H3" s="1001" t="s">
        <v>191</v>
      </c>
      <c r="I3" s="1002"/>
      <c r="J3" s="1003" t="s">
        <v>192</v>
      </c>
      <c r="K3" s="1004"/>
      <c r="L3" s="1005" t="s">
        <v>193</v>
      </c>
      <c r="M3" s="1006"/>
      <c r="N3" s="155" t="s">
        <v>194</v>
      </c>
      <c r="O3" s="968" t="s">
        <v>154</v>
      </c>
      <c r="P3" s="969"/>
      <c r="Q3" s="968" t="s">
        <v>195</v>
      </c>
      <c r="R3" s="969"/>
      <c r="S3" s="970" t="s">
        <v>196</v>
      </c>
      <c r="T3" s="971"/>
      <c r="U3" s="970" t="s">
        <v>197</v>
      </c>
      <c r="V3" s="971"/>
      <c r="W3" s="976" t="s">
        <v>198</v>
      </c>
      <c r="X3" s="977"/>
      <c r="Y3" s="970" t="s">
        <v>199</v>
      </c>
      <c r="Z3" s="971"/>
      <c r="AA3" s="976" t="s">
        <v>200</v>
      </c>
      <c r="AB3" s="977"/>
      <c r="AC3" s="970" t="s">
        <v>201</v>
      </c>
      <c r="AD3" s="971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73"/>
      <c r="AL3" s="975"/>
      <c r="AM3" s="975"/>
      <c r="AN3" s="965"/>
      <c r="AO3" s="983"/>
      <c r="AP3" s="985"/>
      <c r="AQ3" s="987"/>
      <c r="AR3" s="989"/>
      <c r="AS3" s="991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2651</v>
      </c>
      <c r="D5" s="497">
        <v>0</v>
      </c>
      <c r="E5" s="496">
        <f>Elect!M6</f>
        <v>692</v>
      </c>
      <c r="F5" s="497">
        <v>20</v>
      </c>
      <c r="G5" s="496">
        <f>Elect!O6</f>
        <v>2159</v>
      </c>
      <c r="H5" s="497">
        <v>800</v>
      </c>
      <c r="I5" s="496">
        <f>Water!C7</f>
        <v>75.399999999999991</v>
      </c>
      <c r="J5" s="497">
        <v>0</v>
      </c>
      <c r="K5" s="496">
        <f>Water!E7</f>
        <v>203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278.39999999999998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161.47199999999998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608.44000000000005</v>
      </c>
      <c r="AI5" s="501" t="e">
        <f>Gas!#REF!</f>
        <v>#REF!</v>
      </c>
      <c r="AJ5" s="502">
        <f>Gas!J7</f>
        <v>117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Elect!BV6</f>
        <v>197</v>
      </c>
      <c r="AU5" s="496">
        <f>Elect!BT6</f>
        <v>110</v>
      </c>
      <c r="AV5" s="496" t="e">
        <f>Elect!#REF!</f>
        <v>#REF!</v>
      </c>
      <c r="AW5" s="496">
        <f>Elect!BV6</f>
        <v>197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8.6999999999999993</v>
      </c>
      <c r="BN5" s="513" t="e">
        <f>Water!W7</f>
        <v>#DIV/0!</v>
      </c>
      <c r="BO5" s="508">
        <f>Water!X7</f>
        <v>1113.5999999999999</v>
      </c>
      <c r="BP5" s="513">
        <f>Water!Y7</f>
        <v>34.799999999999997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4448</v>
      </c>
      <c r="D6" s="497">
        <v>0</v>
      </c>
      <c r="E6" s="496">
        <f>Elect!M7</f>
        <v>1160</v>
      </c>
      <c r="F6" s="497">
        <v>20</v>
      </c>
      <c r="G6" s="496">
        <f>Elect!O7</f>
        <v>1685</v>
      </c>
      <c r="H6" s="497">
        <v>936</v>
      </c>
      <c r="I6" s="496">
        <f>Water!C8</f>
        <v>98.6</v>
      </c>
      <c r="J6" s="497">
        <v>0</v>
      </c>
      <c r="K6" s="496">
        <f>Water!E8</f>
        <v>110.19999999999999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208.79999999999998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121.10399999999998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7978589</v>
      </c>
      <c r="AH6" s="500">
        <f>Gas!C8</f>
        <v>931.74</v>
      </c>
      <c r="AI6" s="501" t="e">
        <f>Gas!#REF!</f>
        <v>#REF!</v>
      </c>
      <c r="AJ6" s="502">
        <f>Gas!J8</f>
        <v>218.4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Elect!BV7</f>
        <v>206</v>
      </c>
      <c r="AU6" s="496">
        <f>Elect!BT7</f>
        <v>118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Elect!BU7</f>
        <v>452617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5.8</v>
      </c>
      <c r="BN6" s="513" t="e">
        <f>Water!W8</f>
        <v>#DIV/0!</v>
      </c>
      <c r="BO6" s="508">
        <f>Water!X8</f>
        <v>835.19999999999993</v>
      </c>
      <c r="BP6" s="513">
        <f>Water!Y8</f>
        <v>23.2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4078</v>
      </c>
      <c r="D7" s="497">
        <v>0</v>
      </c>
      <c r="E7" s="496">
        <f>Elect!M8</f>
        <v>1210</v>
      </c>
      <c r="F7" s="497">
        <v>20</v>
      </c>
      <c r="G7" s="496">
        <f>Elect!O8</f>
        <v>1524</v>
      </c>
      <c r="H7" s="497">
        <v>685</v>
      </c>
      <c r="I7" s="496">
        <f>Water!C9</f>
        <v>110.19999999999999</v>
      </c>
      <c r="J7" s="497">
        <v>0</v>
      </c>
      <c r="K7" s="496">
        <f>Water!E9</f>
        <v>75.399999999999991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185.59999999999997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107.64799999999997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7980271</v>
      </c>
      <c r="AH7" s="500">
        <f>Gas!C9</f>
        <v>851.18000000000006</v>
      </c>
      <c r="AI7" s="501" t="e">
        <f>Gas!#REF!</f>
        <v>#REF!</v>
      </c>
      <c r="AJ7" s="502">
        <f>Gas!J9</f>
        <v>253.5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Elect!BV8</f>
        <v>197</v>
      </c>
      <c r="AU7" s="496">
        <f>Elect!BT8</f>
        <v>116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Elect!BU8</f>
        <v>452814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4.3162790697674414</v>
      </c>
      <c r="BN7" s="513" t="e">
        <f>Water!W9</f>
        <v>#DIV/0!</v>
      </c>
      <c r="BO7" s="508">
        <f>Water!X9</f>
        <v>742.39999999999986</v>
      </c>
      <c r="BP7" s="513">
        <f>Water!Y9</f>
        <v>17.265116279069765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4608</v>
      </c>
      <c r="D8" s="497">
        <v>0</v>
      </c>
      <c r="E8" s="496">
        <f>Elect!M9</f>
        <v>1344</v>
      </c>
      <c r="F8" s="497">
        <v>20</v>
      </c>
      <c r="G8" s="496">
        <f>Elect!O9</f>
        <v>1510</v>
      </c>
      <c r="H8" s="497">
        <v>786</v>
      </c>
      <c r="I8" s="496">
        <f>Water!C10</f>
        <v>174</v>
      </c>
      <c r="J8" s="497">
        <v>0</v>
      </c>
      <c r="K8" s="496">
        <f>Water!E10</f>
        <v>179.79999999999998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353.79999999999995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205.20399999999995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7981112</v>
      </c>
      <c r="AH8" s="500">
        <f>Gas!C10</f>
        <v>891.46</v>
      </c>
      <c r="AI8" s="501" t="e">
        <f>Gas!#REF!</f>
        <v>#REF!</v>
      </c>
      <c r="AJ8" s="502">
        <f>Gas!J10</f>
        <v>206.7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Elect!BV9</f>
        <v>198</v>
      </c>
      <c r="AU8" s="496">
        <f>Elect!BT9</f>
        <v>125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Elect!BU9</f>
        <v>453012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5.3606060606060595</v>
      </c>
      <c r="BN8" s="513" t="e">
        <f>Water!W10</f>
        <v>#DIV/0!</v>
      </c>
      <c r="BO8" s="508">
        <f>Water!X10</f>
        <v>1415.1999999999998</v>
      </c>
      <c r="BP8" s="513">
        <f>Water!Y10</f>
        <v>21.442424242424238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4629</v>
      </c>
      <c r="D9" s="497">
        <v>0</v>
      </c>
      <c r="E9" s="496">
        <f>Elect!M10</f>
        <v>1301</v>
      </c>
      <c r="F9" s="497">
        <v>20</v>
      </c>
      <c r="G9" s="496">
        <f>Elect!O10</f>
        <v>1485</v>
      </c>
      <c r="H9" s="497">
        <v>789</v>
      </c>
      <c r="I9" s="496">
        <f>Water!C11</f>
        <v>174</v>
      </c>
      <c r="J9" s="497">
        <v>0</v>
      </c>
      <c r="K9" s="496">
        <f>Water!E11</f>
        <v>150.79999999999998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324.79999999999995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188.38399999999996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7982054</v>
      </c>
      <c r="AH9" s="500">
        <f>Gas!C11</f>
        <v>998.5200000000001</v>
      </c>
      <c r="AI9" s="501" t="e">
        <f>Gas!#REF!</f>
        <v>#REF!</v>
      </c>
      <c r="AJ9" s="502">
        <f>Gas!J11</f>
        <v>315.89999999999998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Elect!BV10</f>
        <v>90</v>
      </c>
      <c r="AU9" s="496">
        <f>Elect!BT10</f>
        <v>80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Elect!BU10</f>
        <v>453102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4.7764705882352931</v>
      </c>
      <c r="BN9" s="513" t="e">
        <f>Water!W11</f>
        <v>#DIV/0!</v>
      </c>
      <c r="BO9" s="508">
        <f>Water!X11</f>
        <v>1299.1999999999998</v>
      </c>
      <c r="BP9" s="513">
        <f>Water!Y11</f>
        <v>19.105882352941173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4466</v>
      </c>
      <c r="D10" s="497">
        <v>0</v>
      </c>
      <c r="E10" s="496">
        <f>Elect!M11</f>
        <v>1278</v>
      </c>
      <c r="F10" s="497">
        <v>20</v>
      </c>
      <c r="G10" s="496">
        <f>Elect!O11</f>
        <v>1548</v>
      </c>
      <c r="H10" s="497">
        <v>805</v>
      </c>
      <c r="I10" s="496">
        <f>Water!C12</f>
        <v>115.99999999999999</v>
      </c>
      <c r="J10" s="497">
        <v>0</v>
      </c>
      <c r="K10" s="496">
        <f>Water!E12</f>
        <v>57.999999999999993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173.99999999999997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100.91999999999997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7982946</v>
      </c>
      <c r="AH10" s="500">
        <f>Gas!C12</f>
        <v>945.5200000000001</v>
      </c>
      <c r="AI10" s="501" t="e">
        <f>Gas!#REF!</f>
        <v>#REF!</v>
      </c>
      <c r="AJ10" s="502">
        <f>Gas!J12</f>
        <v>335.4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Elect!BV11</f>
        <v>112</v>
      </c>
      <c r="AU10" s="496">
        <f>Elect!BT11</f>
        <v>35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Elect!BU11</f>
        <v>453214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2.3199999999999998</v>
      </c>
      <c r="BN10" s="513" t="e">
        <f>Water!W12</f>
        <v>#DIV/0!</v>
      </c>
      <c r="BO10" s="508">
        <f>Water!X12</f>
        <v>695.99999999999989</v>
      </c>
      <c r="BP10" s="513">
        <f>Water!Y12</f>
        <v>9.2799999999999994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4626</v>
      </c>
      <c r="D11" s="497">
        <v>0</v>
      </c>
      <c r="E11" s="496">
        <f>Elect!M12</f>
        <v>1373</v>
      </c>
      <c r="F11" s="497">
        <v>20</v>
      </c>
      <c r="G11" s="496">
        <f>Elect!O12</f>
        <v>1625</v>
      </c>
      <c r="H11" s="497">
        <v>871</v>
      </c>
      <c r="I11" s="496">
        <f>Water!C13</f>
        <v>111.02857142822175</v>
      </c>
      <c r="J11" s="497">
        <v>0</v>
      </c>
      <c r="K11" s="496">
        <f>Water!E13</f>
        <v>75.399999999999991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186.42857142822174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108.1285714283686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7983688</v>
      </c>
      <c r="AH11" s="500">
        <f>Gas!C13</f>
        <v>786.5200000000001</v>
      </c>
      <c r="AI11" s="501" t="e">
        <f>Gas!#REF!</f>
        <v>#REF!</v>
      </c>
      <c r="AJ11" s="502">
        <f>Gas!J13</f>
        <v>308.09999999999997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Elect!BV12</f>
        <v>203</v>
      </c>
      <c r="AU11" s="496">
        <f>Elect!BT12</f>
        <v>111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Elect!BU12</f>
        <v>453417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3.1598062953935888</v>
      </c>
      <c r="BN11" s="513" t="e">
        <f>Water!W13</f>
        <v>#DIV/0!</v>
      </c>
      <c r="BO11" s="508">
        <f>Water!X13</f>
        <v>745.71428571288698</v>
      </c>
      <c r="BP11" s="513">
        <f>Water!Y13</f>
        <v>12.639225181574355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4853</v>
      </c>
      <c r="D12" s="497">
        <v>0</v>
      </c>
      <c r="E12" s="496">
        <f>Elect!M13</f>
        <v>1442</v>
      </c>
      <c r="F12" s="497">
        <v>20</v>
      </c>
      <c r="G12" s="496">
        <f>Elect!O13</f>
        <v>1673</v>
      </c>
      <c r="H12" s="497">
        <v>963</v>
      </c>
      <c r="I12" s="496">
        <f>Water!C14</f>
        <v>120.97142857177822</v>
      </c>
      <c r="J12" s="497">
        <v>0</v>
      </c>
      <c r="K12" s="496">
        <f>Water!E14</f>
        <v>63.8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184.77142857177822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107.16742857163136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7984543</v>
      </c>
      <c r="AH12" s="500">
        <f>Gas!C14</f>
        <v>906.30000000000007</v>
      </c>
      <c r="AI12" s="501" t="e">
        <f>Gas!#REF!</f>
        <v>#REF!</v>
      </c>
      <c r="AJ12" s="502">
        <f>Gas!J14</f>
        <v>343.2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Elect!BV13</f>
        <v>203</v>
      </c>
      <c r="AU12" s="496">
        <f>Elect!BT13</f>
        <v>125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Elect!BU13</f>
        <v>453620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3.7708454810566985</v>
      </c>
      <c r="BN12" s="513" t="e">
        <f>Water!W14</f>
        <v>#DIV/0!</v>
      </c>
      <c r="BO12" s="508">
        <f>Water!X14</f>
        <v>739.08571428711286</v>
      </c>
      <c r="BP12" s="513">
        <f>Water!Y14</f>
        <v>15.083381924226794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4910</v>
      </c>
      <c r="D13" s="497">
        <v>0</v>
      </c>
      <c r="E13" s="496">
        <f>Elect!M14</f>
        <v>1409</v>
      </c>
      <c r="F13" s="497">
        <v>20</v>
      </c>
      <c r="G13" s="496">
        <f>Elect!O14</f>
        <v>1690</v>
      </c>
      <c r="H13" s="497">
        <v>790</v>
      </c>
      <c r="I13" s="496">
        <f>Water!C15</f>
        <v>139.19999999999999</v>
      </c>
      <c r="J13" s="497">
        <v>0</v>
      </c>
      <c r="K13" s="496">
        <f>Water!E15</f>
        <v>52.199999999999996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191.39999999999998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111.01199999999999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7985357</v>
      </c>
      <c r="AH13" s="500">
        <f>Gas!C15</f>
        <v>862.84</v>
      </c>
      <c r="AI13" s="501" t="e">
        <f>Gas!#REF!</f>
        <v>#REF!</v>
      </c>
      <c r="AJ13" s="502">
        <f>Gas!J15</f>
        <v>308.09999999999997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Elect!BV14</f>
        <v>199</v>
      </c>
      <c r="AU13" s="496">
        <f>Elect!BT14</f>
        <v>119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Elect!BU14</f>
        <v>453819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3.6113207547169806</v>
      </c>
      <c r="BN13" s="513" t="e">
        <f>Water!W15</f>
        <v>#DIV/0!</v>
      </c>
      <c r="BO13" s="508">
        <f>Water!X15</f>
        <v>765.59999999999991</v>
      </c>
      <c r="BP13" s="513">
        <f>Water!Y15</f>
        <v>14.445283018867922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4535</v>
      </c>
      <c r="D14" s="497">
        <v>0</v>
      </c>
      <c r="E14" s="496">
        <f>Elect!M15</f>
        <v>1506</v>
      </c>
      <c r="F14" s="497">
        <v>20</v>
      </c>
      <c r="G14" s="496">
        <f>Elect!O15</f>
        <v>1799</v>
      </c>
      <c r="H14" s="497">
        <v>792</v>
      </c>
      <c r="I14" s="496">
        <f>Water!C16</f>
        <v>127.6</v>
      </c>
      <c r="J14" s="497">
        <v>0</v>
      </c>
      <c r="K14" s="496">
        <f>Water!E16</f>
        <v>69.599999999999994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197.2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114.37599999999999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7986204</v>
      </c>
      <c r="AH14" s="500">
        <f>Gas!C16</f>
        <v>897.82</v>
      </c>
      <c r="AI14" s="501" t="e">
        <f>Gas!#REF!</f>
        <v>#REF!</v>
      </c>
      <c r="AJ14" s="502">
        <f>Gas!J16</f>
        <v>292.5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Elect!BV15</f>
        <v>208</v>
      </c>
      <c r="AU14" s="496">
        <f>Elect!BT15</f>
        <v>120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Elect!BU15</f>
        <v>454027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3.7923076923076922</v>
      </c>
      <c r="BN14" s="513" t="e">
        <f>Water!W16</f>
        <v>#DIV/0!</v>
      </c>
      <c r="BO14" s="508">
        <f>Water!X16</f>
        <v>788.8</v>
      </c>
      <c r="BP14" s="513">
        <f>Water!Y16</f>
        <v>15.169230769230769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5806</v>
      </c>
      <c r="D15" s="497">
        <v>0</v>
      </c>
      <c r="E15" s="496">
        <f>Elect!M16</f>
        <v>1537</v>
      </c>
      <c r="F15" s="497">
        <v>20</v>
      </c>
      <c r="G15" s="496">
        <f>Elect!O16</f>
        <v>1597</v>
      </c>
      <c r="H15" s="497">
        <v>817</v>
      </c>
      <c r="I15" s="496">
        <f>Water!C17</f>
        <v>127.6</v>
      </c>
      <c r="J15" s="497">
        <v>0</v>
      </c>
      <c r="K15" s="496">
        <f>Water!E17</f>
        <v>52.199999999999996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179.79999999999998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104.28399999999998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874.5</v>
      </c>
      <c r="AI15" s="501" t="e">
        <f>Gas!#REF!</f>
        <v>#REF!</v>
      </c>
      <c r="AJ15" s="502">
        <f>Gas!J17</f>
        <v>296.39999999999998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Elect!BV16</f>
        <v>189</v>
      </c>
      <c r="AU15" s="496">
        <f>Elect!BT16</f>
        <v>107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Elect!BU16</f>
        <v>454216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3.3296296296296295</v>
      </c>
      <c r="BN15" s="513" t="e">
        <f>Water!W17</f>
        <v>#DIV/0!</v>
      </c>
      <c r="BO15" s="508">
        <f>Water!X17</f>
        <v>719.19999999999993</v>
      </c>
      <c r="BP15" s="513">
        <f>Water!Y17</f>
        <v>13.318518518518518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4685</v>
      </c>
      <c r="D16" s="497">
        <v>0</v>
      </c>
      <c r="E16" s="496">
        <f>Elect!M17</f>
        <v>1587</v>
      </c>
      <c r="F16" s="497">
        <v>20</v>
      </c>
      <c r="G16" s="496">
        <f>Elect!O17</f>
        <v>1654</v>
      </c>
      <c r="H16" s="497">
        <v>907</v>
      </c>
      <c r="I16" s="496">
        <f>Water!C18</f>
        <v>133.39999999999998</v>
      </c>
      <c r="J16" s="497">
        <v>0</v>
      </c>
      <c r="K16" s="496">
        <f>Water!E18</f>
        <v>63.8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197.2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114.37599999999999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7987875</v>
      </c>
      <c r="AH16" s="500">
        <f>Gas!C18</f>
        <v>896.76</v>
      </c>
      <c r="AI16" s="501" t="e">
        <f>Gas!#REF!</f>
        <v>#REF!</v>
      </c>
      <c r="AJ16" s="502">
        <f>Gas!J18</f>
        <v>280.8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Elect!BV17</f>
        <v>200</v>
      </c>
      <c r="AU16" s="496">
        <f>Elect!BT17</f>
        <v>100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Elect!BU17</f>
        <v>454416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2.8579710144927533</v>
      </c>
      <c r="BN16" s="513" t="e">
        <f>Water!W18</f>
        <v>#DIV/0!</v>
      </c>
      <c r="BO16" s="508">
        <f>Water!X18</f>
        <v>788.8</v>
      </c>
      <c r="BP16" s="513">
        <f>Water!Y18</f>
        <v>11.431884057971013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5904</v>
      </c>
      <c r="D17" s="497">
        <v>0</v>
      </c>
      <c r="E17" s="496">
        <f>Elect!M18</f>
        <v>1627</v>
      </c>
      <c r="F17" s="497">
        <v>20</v>
      </c>
      <c r="G17" s="496">
        <f>Elect!O18</f>
        <v>1628</v>
      </c>
      <c r="H17" s="497">
        <v>812</v>
      </c>
      <c r="I17" s="496">
        <f>Water!C19</f>
        <v>133.39999999999998</v>
      </c>
      <c r="J17" s="497">
        <v>0</v>
      </c>
      <c r="K17" s="496">
        <f>Water!E19</f>
        <v>57.999999999999993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191.39999999999998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111.01199999999999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7988696</v>
      </c>
      <c r="AH17" s="500">
        <f>Gas!C19</f>
        <v>870.26</v>
      </c>
      <c r="AI17" s="501" t="e">
        <f>Gas!#REF!</f>
        <v>#REF!</v>
      </c>
      <c r="AJ17" s="502">
        <f>Gas!J19</f>
        <v>304.2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Elect!BV18</f>
        <v>204</v>
      </c>
      <c r="AU17" s="496">
        <f>Elect!BT18</f>
        <v>122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Elect!BU18</f>
        <v>454620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3.5444444444444438</v>
      </c>
      <c r="BN17" s="513" t="e">
        <f>Water!W19</f>
        <v>#DIV/0!</v>
      </c>
      <c r="BO17" s="508">
        <f>Water!X19</f>
        <v>765.59999999999991</v>
      </c>
      <c r="BP17" s="513">
        <f>Water!Y19</f>
        <v>14.177777777777775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5129</v>
      </c>
      <c r="D18" s="497">
        <v>0</v>
      </c>
      <c r="E18" s="496">
        <f>Elect!M19</f>
        <v>1566</v>
      </c>
      <c r="F18" s="497">
        <v>30</v>
      </c>
      <c r="G18" s="496">
        <f>Elect!O19</f>
        <v>1578</v>
      </c>
      <c r="H18" s="497">
        <v>810</v>
      </c>
      <c r="I18" s="496">
        <f>Water!C20</f>
        <v>127.6</v>
      </c>
      <c r="J18" s="497">
        <v>0</v>
      </c>
      <c r="K18" s="496">
        <f>Water!E20</f>
        <v>52.199999999999996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179.79999999999998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104.28399999999998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7989530</v>
      </c>
      <c r="AH18" s="500">
        <f>Gas!C20</f>
        <v>884.04000000000008</v>
      </c>
      <c r="AI18" s="501" t="e">
        <f>Gas!#REF!</f>
        <v>#REF!</v>
      </c>
      <c r="AJ18" s="502">
        <f>Gas!J20</f>
        <v>140.4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Elect!BV19</f>
        <v>197</v>
      </c>
      <c r="AU18" s="496">
        <f>Elect!BT19</f>
        <v>116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Elect!BU6</f>
        <v>452411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2.6441176470588235</v>
      </c>
      <c r="BN18" s="513" t="e">
        <f>Water!W20</f>
        <v>#DIV/0!</v>
      </c>
      <c r="BO18" s="508">
        <f>Water!X20</f>
        <v>719.19999999999993</v>
      </c>
      <c r="BP18" s="513">
        <f>Water!Y20</f>
        <v>10.576470588235294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5113</v>
      </c>
      <c r="D19" s="497">
        <v>0</v>
      </c>
      <c r="E19" s="496">
        <f>Elect!M20</f>
        <v>1573</v>
      </c>
      <c r="F19" s="497">
        <v>20</v>
      </c>
      <c r="G19" s="496">
        <f>Elect!O20</f>
        <v>1587</v>
      </c>
      <c r="H19" s="497">
        <v>841</v>
      </c>
      <c r="I19" s="496">
        <f>Water!C21</f>
        <v>127.6</v>
      </c>
      <c r="J19" s="497">
        <v>0</v>
      </c>
      <c r="K19" s="496">
        <f>Water!E21</f>
        <v>28.999999999999996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156.6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90.827999999999989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7991038</v>
      </c>
      <c r="AH19" s="500">
        <f>Gas!C21</f>
        <v>1598.48</v>
      </c>
      <c r="AI19" s="501" t="e">
        <f>Gas!#REF!</f>
        <v>#REF!</v>
      </c>
      <c r="AJ19" s="502">
        <f>Gas!J21</f>
        <v>257.39999999999998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Elect!BV20</f>
        <v>204</v>
      </c>
      <c r="AU19" s="496">
        <f>Elect!BT20</f>
        <v>121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Elect!BU20</f>
        <v>455021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2.5258064516129033</v>
      </c>
      <c r="BN19" s="513" t="e">
        <f>Water!W21</f>
        <v>#DIV/0!</v>
      </c>
      <c r="BO19" s="508">
        <f>Water!X21</f>
        <v>626.4</v>
      </c>
      <c r="BP19" s="513">
        <f>Water!Y21</f>
        <v>10.103225806451613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4882</v>
      </c>
      <c r="D20" s="497">
        <v>0</v>
      </c>
      <c r="E20" s="496">
        <f>Elect!M21</f>
        <v>1498</v>
      </c>
      <c r="F20" s="497">
        <v>20</v>
      </c>
      <c r="G20" s="496">
        <f>Elect!O21</f>
        <v>1571</v>
      </c>
      <c r="H20" s="497">
        <v>932</v>
      </c>
      <c r="I20" s="496">
        <f>Water!C22</f>
        <v>150.79999999999998</v>
      </c>
      <c r="J20" s="497">
        <v>0</v>
      </c>
      <c r="K20" s="496">
        <f>Water!E22</f>
        <v>34.799999999999997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185.59999999999997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107.64799999999997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7992388</v>
      </c>
      <c r="AH20" s="500">
        <f>Gas!C22</f>
        <v>1431</v>
      </c>
      <c r="AI20" s="501" t="e">
        <f>Gas!#REF!</f>
        <v>#REF!</v>
      </c>
      <c r="AJ20" s="502">
        <f>Gas!J22</f>
        <v>222.29999999999998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Elect!BV21</f>
        <v>193</v>
      </c>
      <c r="AU20" s="496">
        <f>Elect!BT21</f>
        <v>111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Elect!BU21</f>
        <v>455214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2.6898550724637675</v>
      </c>
      <c r="BN20" s="513" t="e">
        <f>Water!W22</f>
        <v>#DIV/0!</v>
      </c>
      <c r="BO20" s="508">
        <f>Water!X22</f>
        <v>742.39999999999986</v>
      </c>
      <c r="BP20" s="513">
        <f>Water!Y22</f>
        <v>10.75942028985507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4723</v>
      </c>
      <c r="D21" s="497">
        <v>0</v>
      </c>
      <c r="E21" s="496">
        <f>Elect!M22</f>
        <v>1704</v>
      </c>
      <c r="F21" s="497">
        <v>20</v>
      </c>
      <c r="G21" s="496">
        <f>Elect!O22</f>
        <v>1380</v>
      </c>
      <c r="H21" s="497">
        <v>972</v>
      </c>
      <c r="I21" s="496">
        <f>Water!C23</f>
        <v>110.19999999999999</v>
      </c>
      <c r="J21" s="497">
        <v>0</v>
      </c>
      <c r="K21" s="496">
        <f>Water!E23</f>
        <v>46.4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156.6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90.827999999999989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7993137</v>
      </c>
      <c r="AH21" s="500">
        <f>Gas!C23</f>
        <v>793.94</v>
      </c>
      <c r="AI21" s="501" t="e">
        <f>Gas!#REF!</f>
        <v>#REF!</v>
      </c>
      <c r="AJ21" s="502">
        <f>Gas!J23</f>
        <v>249.6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Elect!BV22</f>
        <v>201</v>
      </c>
      <c r="AU21" s="496">
        <f>Elect!BT22</f>
        <v>118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1.9575</v>
      </c>
      <c r="BN21" s="513" t="e">
        <f>Water!W23</f>
        <v>#DIV/0!</v>
      </c>
      <c r="BO21" s="508">
        <f>Water!X23</f>
        <v>626.4</v>
      </c>
      <c r="BP21" s="513">
        <f>Water!Y23</f>
        <v>7.83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4835</v>
      </c>
      <c r="D22" s="497">
        <v>0</v>
      </c>
      <c r="E22" s="496">
        <f>Elect!M23</f>
        <v>1658</v>
      </c>
      <c r="F22" s="497">
        <v>20</v>
      </c>
      <c r="G22" s="496">
        <f>Elect!O23</f>
        <v>1453</v>
      </c>
      <c r="H22" s="497">
        <v>864</v>
      </c>
      <c r="I22" s="496">
        <f>Water!C24</f>
        <v>98.6</v>
      </c>
      <c r="J22" s="497">
        <v>0</v>
      </c>
      <c r="K22" s="496">
        <f>Water!E24</f>
        <v>17.399999999999999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116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67.28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7994198</v>
      </c>
      <c r="AH22" s="500">
        <f>Gas!C24</f>
        <v>1124.6600000000001</v>
      </c>
      <c r="AI22" s="501" t="e">
        <f>Gas!#REF!</f>
        <v>#REF!</v>
      </c>
      <c r="AJ22" s="502">
        <f>Gas!J24</f>
        <v>237.9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Elect!BV23</f>
        <v>197</v>
      </c>
      <c r="AU22" s="496">
        <f>Elect!BT23</f>
        <v>116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Elect!BU23</f>
        <v>455612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1.6571428571428573</v>
      </c>
      <c r="BN22" s="513" t="e">
        <f>Water!W24</f>
        <v>#DIV/0!</v>
      </c>
      <c r="BO22" s="508">
        <f>Water!X24</f>
        <v>464</v>
      </c>
      <c r="BP22" s="513">
        <f>Water!Y24</f>
        <v>6.628571428571429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4383</v>
      </c>
      <c r="D23" s="497">
        <v>0</v>
      </c>
      <c r="E23" s="496">
        <f>Elect!M24</f>
        <v>1411</v>
      </c>
      <c r="F23" s="497">
        <v>30</v>
      </c>
      <c r="G23" s="496">
        <f>Elect!O24</f>
        <v>1358</v>
      </c>
      <c r="H23" s="497">
        <v>894</v>
      </c>
      <c r="I23" s="496">
        <f>Water!C25</f>
        <v>63.8</v>
      </c>
      <c r="J23" s="497">
        <v>0</v>
      </c>
      <c r="K23" s="496">
        <f>Water!E25</f>
        <v>34.799999999999997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98.6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57.187999999999995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7995488</v>
      </c>
      <c r="AH23" s="500">
        <f>Gas!C25</f>
        <v>1367.4</v>
      </c>
      <c r="AI23" s="501" t="e">
        <f>Gas!#REF!</f>
        <v>#REF!</v>
      </c>
      <c r="AJ23" s="502">
        <f>Gas!J25</f>
        <v>237.9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Elect!BV24</f>
        <v>195</v>
      </c>
      <c r="AU23" s="496">
        <f>Elect!BT24</f>
        <v>108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Elect!BU24</f>
        <v>455807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1.5650793650793651</v>
      </c>
      <c r="BN23" s="513" t="e">
        <f>Water!W25</f>
        <v>#DIV/0!</v>
      </c>
      <c r="BO23" s="508">
        <f>Water!X25</f>
        <v>394.4</v>
      </c>
      <c r="BP23" s="513">
        <f>Water!Y25</f>
        <v>6.2603174603174603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4375</v>
      </c>
      <c r="D24" s="497">
        <v>0</v>
      </c>
      <c r="E24" s="496">
        <f>Elect!M25</f>
        <v>1648</v>
      </c>
      <c r="F24" s="497">
        <v>20</v>
      </c>
      <c r="G24" s="496">
        <f>Elect!O25</f>
        <v>2797</v>
      </c>
      <c r="H24" s="497">
        <v>944</v>
      </c>
      <c r="I24" s="496">
        <f>Water!C26</f>
        <v>98.6</v>
      </c>
      <c r="J24" s="497">
        <v>0</v>
      </c>
      <c r="K24" s="496">
        <f>Water!E26</f>
        <v>28.999999999999996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127.6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74.007999999999996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7996255</v>
      </c>
      <c r="AH24" s="500">
        <f>Gas!C26</f>
        <v>813.0200000000001</v>
      </c>
      <c r="AI24" s="501" t="e">
        <f>Gas!#REF!</f>
        <v>#REF!</v>
      </c>
      <c r="AJ24" s="502">
        <f>Gas!J26</f>
        <v>113.1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Elect!BV25</f>
        <v>190</v>
      </c>
      <c r="AU24" s="496">
        <f>Elect!BT25</f>
        <v>111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Elect!BU25</f>
        <v>455997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2.2785714285714285</v>
      </c>
      <c r="BN24" s="513" t="e">
        <f>Water!W26</f>
        <v>#DIV/0!</v>
      </c>
      <c r="BO24" s="508">
        <f>Water!X26</f>
        <v>510.4</v>
      </c>
      <c r="BP24" s="513">
        <f>Water!Y26</f>
        <v>9.1142857142857139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5866</v>
      </c>
      <c r="D25" s="497">
        <v>0</v>
      </c>
      <c r="E25" s="496">
        <f>Elect!M26</f>
        <v>1714</v>
      </c>
      <c r="F25" s="497">
        <v>20</v>
      </c>
      <c r="G25" s="496">
        <f>Elect!O26</f>
        <v>1858</v>
      </c>
      <c r="H25" s="497">
        <v>916</v>
      </c>
      <c r="I25" s="496">
        <f>Water!C27</f>
        <v>92.8</v>
      </c>
      <c r="J25" s="497">
        <v>0</v>
      </c>
      <c r="K25" s="496">
        <f>Water!E27</f>
        <v>5.8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98.6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57.187999999999995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7997301</v>
      </c>
      <c r="AH25" s="500">
        <f>Gas!C27</f>
        <v>1108.76</v>
      </c>
      <c r="AI25" s="501" t="e">
        <f>Gas!#REF!</f>
        <v>#REF!</v>
      </c>
      <c r="AJ25" s="502">
        <f>Gas!J27</f>
        <v>522.6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Elect!BV26</f>
        <v>212</v>
      </c>
      <c r="AU25" s="496">
        <f>Elect!BT26</f>
        <v>132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Elect!BU26</f>
        <v>456209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1.1333333333333333</v>
      </c>
      <c r="BN25" s="513" t="e">
        <f>Water!W27</f>
        <v>#DIV/0!</v>
      </c>
      <c r="BO25" s="508">
        <f>Water!X27</f>
        <v>394.4</v>
      </c>
      <c r="BP25" s="513">
        <f>Water!Y27</f>
        <v>4.5333333333333332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6319</v>
      </c>
      <c r="D26" s="497">
        <v>0</v>
      </c>
      <c r="E26" s="496">
        <f>Elect!M27</f>
        <v>1944</v>
      </c>
      <c r="F26" s="497">
        <v>20</v>
      </c>
      <c r="G26" s="496">
        <f>Elect!O27</f>
        <v>1256</v>
      </c>
      <c r="H26" s="497">
        <v>931</v>
      </c>
      <c r="I26" s="496">
        <f>Water!C28</f>
        <v>110.19999999999999</v>
      </c>
      <c r="J26" s="497">
        <v>0</v>
      </c>
      <c r="K26" s="496">
        <f>Water!E28</f>
        <v>11.6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121.79999999999998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70.643999999999991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7998087</v>
      </c>
      <c r="AH26" s="500">
        <f>Gas!C28</f>
        <v>833.16000000000008</v>
      </c>
      <c r="AI26" s="501" t="e">
        <f>Gas!#REF!</f>
        <v>#REF!</v>
      </c>
      <c r="AJ26" s="502">
        <f>Gas!J28</f>
        <v>101.39999999999999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Elect!BV27</f>
        <v>217</v>
      </c>
      <c r="AU26" s="496">
        <f>Elect!BT27</f>
        <v>136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Elect!BU27</f>
        <v>456426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1.3840909090909088</v>
      </c>
      <c r="BN26" s="513" t="e">
        <f>Water!W28</f>
        <v>#DIV/0!</v>
      </c>
      <c r="BO26" s="508">
        <f>Water!X28</f>
        <v>487.19999999999993</v>
      </c>
      <c r="BP26" s="513">
        <f>Water!Y28</f>
        <v>5.5363636363636353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5557</v>
      </c>
      <c r="D27" s="497">
        <v>0</v>
      </c>
      <c r="E27" s="496">
        <f>Elect!M28</f>
        <v>1936</v>
      </c>
      <c r="F27" s="497">
        <v>30</v>
      </c>
      <c r="G27" s="496">
        <f>Elect!O28</f>
        <v>1773</v>
      </c>
      <c r="H27" s="497">
        <v>1009</v>
      </c>
      <c r="I27" s="496">
        <f>Water!C29</f>
        <v>156.6</v>
      </c>
      <c r="J27" s="497">
        <v>0</v>
      </c>
      <c r="K27" s="496">
        <f>Water!E29</f>
        <v>5.8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168.20000000000002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97.555999999999997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7998845</v>
      </c>
      <c r="AH27" s="500">
        <f>Gas!C29</f>
        <v>803.48</v>
      </c>
      <c r="AI27" s="501" t="e">
        <f>Gas!#REF!</f>
        <v>#REF!</v>
      </c>
      <c r="AJ27" s="502">
        <f>Gas!J29</f>
        <v>409.5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Elect!BV28</f>
        <v>190</v>
      </c>
      <c r="AU27" s="496">
        <f>Elect!BT28</f>
        <v>120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Elect!BU28</f>
        <v>456616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2.0265060240963857</v>
      </c>
      <c r="BN27" s="513" t="e">
        <f>Water!W29</f>
        <v>#DIV/0!</v>
      </c>
      <c r="BO27" s="508">
        <f>Water!X29</f>
        <v>672.80000000000007</v>
      </c>
      <c r="BP27" s="513">
        <f>Water!Y29</f>
        <v>8.1060240963855428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5440</v>
      </c>
      <c r="D28" s="497">
        <v>0</v>
      </c>
      <c r="E28" s="496">
        <f>Elect!M29</f>
        <v>1644</v>
      </c>
      <c r="F28" s="497">
        <v>20</v>
      </c>
      <c r="G28" s="496">
        <f>Elect!O29</f>
        <v>1766</v>
      </c>
      <c r="H28" s="497">
        <v>891</v>
      </c>
      <c r="I28" s="496">
        <f>Water!C30</f>
        <v>185.6</v>
      </c>
      <c r="J28" s="497">
        <v>0</v>
      </c>
      <c r="K28" s="496">
        <f>Water!E30</f>
        <v>5.8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197.20000000000002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114.376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7999998</v>
      </c>
      <c r="AH28" s="500">
        <f>Gas!C30</f>
        <v>1222.18</v>
      </c>
      <c r="AI28" s="501" t="e">
        <f>Gas!#REF!</f>
        <v>#REF!</v>
      </c>
      <c r="AJ28" s="502">
        <f>Gas!J30</f>
        <v>269.09999999999997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Elect!BV29</f>
        <v>226</v>
      </c>
      <c r="AU28" s="496">
        <f>Elect!BT29</f>
        <v>126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Elect!BU29</f>
        <v>456842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2.2409090909090912</v>
      </c>
      <c r="BN28" s="513" t="e">
        <f>Water!W30</f>
        <v>#DIV/0!</v>
      </c>
      <c r="BO28" s="508">
        <f>Water!X30</f>
        <v>788.80000000000007</v>
      </c>
      <c r="BP28" s="513">
        <f>Water!Y30</f>
        <v>8.9636363636363647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5058</v>
      </c>
      <c r="D29" s="497">
        <v>0</v>
      </c>
      <c r="E29" s="496">
        <f>Elect!M30</f>
        <v>1630</v>
      </c>
      <c r="F29" s="497">
        <v>20</v>
      </c>
      <c r="G29" s="496">
        <f>Elect!O30</f>
        <v>1527</v>
      </c>
      <c r="H29" s="497">
        <v>1008</v>
      </c>
      <c r="I29" s="496">
        <f>Water!C31</f>
        <v>127.6</v>
      </c>
      <c r="J29" s="497">
        <v>0</v>
      </c>
      <c r="K29" s="496">
        <f>Water!E31</f>
        <v>5.8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139.20000000000002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80.736000000000004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8001532</v>
      </c>
      <c r="AH29" s="500">
        <f>Gas!C31</f>
        <v>1626.0400000000002</v>
      </c>
      <c r="AI29" s="501" t="e">
        <f>Gas!#REF!</f>
        <v>#REF!</v>
      </c>
      <c r="AJ29" s="502">
        <f>Gas!J31</f>
        <v>269.09999999999997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Elect!BV30</f>
        <v>176</v>
      </c>
      <c r="AU29" s="496">
        <f>Elect!BT30</f>
        <v>85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Elect!BU30</f>
        <v>457018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1.807792207792208</v>
      </c>
      <c r="BN29" s="513" t="e">
        <f>Water!W31</f>
        <v>#DIV/0!</v>
      </c>
      <c r="BO29" s="508">
        <f>Water!X31</f>
        <v>556.80000000000007</v>
      </c>
      <c r="BP29" s="513">
        <f>Water!Y31</f>
        <v>7.2311688311688318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2921</v>
      </c>
      <c r="D30" s="497">
        <v>0</v>
      </c>
      <c r="E30" s="496">
        <f>Elect!M31</f>
        <v>1594</v>
      </c>
      <c r="F30" s="497">
        <v>20</v>
      </c>
      <c r="G30" s="496">
        <f>Elect!O31</f>
        <v>1395</v>
      </c>
      <c r="H30" s="497">
        <v>760</v>
      </c>
      <c r="I30" s="496">
        <f>Water!C32</f>
        <v>139.19999999999999</v>
      </c>
      <c r="J30" s="497">
        <v>0</v>
      </c>
      <c r="K30" s="496">
        <f>Water!E32</f>
        <v>5.8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150.22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87.127599999999987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8002524</v>
      </c>
      <c r="AH30" s="500">
        <f>Gas!C32</f>
        <v>1051.52</v>
      </c>
      <c r="AI30" s="501" t="e">
        <f>Gas!#REF!</f>
        <v>#REF!</v>
      </c>
      <c r="AJ30" s="502">
        <f>Gas!J32</f>
        <v>366.59999999999997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Elect!BV31</f>
        <v>152</v>
      </c>
      <c r="AU30" s="496">
        <f>Elect!BT31</f>
        <v>84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Elect!BU31</f>
        <v>457170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2.59</v>
      </c>
      <c r="BN30" s="513" t="e">
        <f>Water!W32</f>
        <v>#DIV/0!</v>
      </c>
      <c r="BO30" s="508">
        <f>Water!X32</f>
        <v>600.88</v>
      </c>
      <c r="BP30" s="513">
        <f>Water!Y32</f>
        <v>10.36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4950</v>
      </c>
      <c r="D31" s="497">
        <v>0</v>
      </c>
      <c r="E31" s="496">
        <f>Elect!M32</f>
        <v>1694</v>
      </c>
      <c r="F31" s="497">
        <v>30</v>
      </c>
      <c r="G31" s="496">
        <f>Elect!O32</f>
        <v>1641</v>
      </c>
      <c r="H31" s="497">
        <v>1010</v>
      </c>
      <c r="I31" s="496">
        <f>Water!C33</f>
        <v>127.6</v>
      </c>
      <c r="J31" s="497">
        <v>0</v>
      </c>
      <c r="K31" s="496">
        <f>Water!E33</f>
        <v>5.8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139.20000000000002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80.736000000000004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8003393</v>
      </c>
      <c r="AH31" s="500">
        <f>Gas!C33</f>
        <v>921.1400000000001</v>
      </c>
      <c r="AI31" s="501" t="e">
        <f>Gas!#REF!</f>
        <v>#REF!</v>
      </c>
      <c r="AJ31" s="502">
        <f>Gas!J33</f>
        <v>159.9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Elect!BV32</f>
        <v>194</v>
      </c>
      <c r="AU31" s="496">
        <f>Elect!BT32</f>
        <v>112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Elect!BU32</f>
        <v>457364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2.3593220338983052</v>
      </c>
      <c r="BN31" s="513" t="e">
        <f>Water!W33</f>
        <v>#DIV/0!</v>
      </c>
      <c r="BO31" s="508">
        <f>Water!X33</f>
        <v>556.80000000000007</v>
      </c>
      <c r="BP31" s="513">
        <f>Water!Y33</f>
        <v>9.4372881355932208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4950</v>
      </c>
      <c r="D32" s="521">
        <v>0</v>
      </c>
      <c r="E32" s="520">
        <f>Elect!M33</f>
        <v>1693</v>
      </c>
      <c r="F32" s="521">
        <v>20</v>
      </c>
      <c r="G32" s="520">
        <f>Elect!O33</f>
        <v>1641</v>
      </c>
      <c r="H32" s="521">
        <v>1008</v>
      </c>
      <c r="I32" s="520">
        <f>Water!C34</f>
        <v>115.99999999999999</v>
      </c>
      <c r="J32" s="521">
        <v>0</v>
      </c>
      <c r="K32" s="520">
        <f>Water!E34</f>
        <v>5.8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127.01999999999998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73.671599999999984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8004424</v>
      </c>
      <c r="AH32" s="524">
        <f>Gas!C34</f>
        <v>1092.8600000000001</v>
      </c>
      <c r="AI32" s="525" t="e">
        <f>Gas!#REF!</f>
        <v>#REF!</v>
      </c>
      <c r="AJ32" s="526">
        <f>Gas!J34</f>
        <v>269.09999999999997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Elect!BV33</f>
        <v>194</v>
      </c>
      <c r="AU32" s="520">
        <f>Elect!BT33</f>
        <v>112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Elect!BU33</f>
        <v>457558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2.1899999999999995</v>
      </c>
      <c r="BN32" s="537" t="e">
        <f>Water!W34</f>
        <v>#DIV/0!</v>
      </c>
      <c r="BO32" s="532">
        <f>Water!X34</f>
        <v>508.07999999999993</v>
      </c>
      <c r="BP32" s="537">
        <f>Water!Y34</f>
        <v>8.759999999999998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3474.1999999999994</v>
      </c>
      <c r="J33" s="541">
        <v>0</v>
      </c>
      <c r="K33" s="540">
        <f>Water!E39</f>
        <v>50.266666666666652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5015.8399999999983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2909.1871999999994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27993.540000000005</v>
      </c>
      <c r="AI33" s="545" t="e">
        <f>Gas!#REF!</f>
        <v>#REF!</v>
      </c>
      <c r="AJ33" s="546">
        <f>Gas!J38</f>
        <v>7406.1000000000013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Elect!BV34</f>
        <v>0</v>
      </c>
      <c r="AU33" s="545">
        <f>Elect!BT34</f>
        <v>0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Elect!BU34</f>
        <v>457558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2.8242342342342335</v>
      </c>
      <c r="BN33" s="557" t="e">
        <f>Water!W38</f>
        <v>#DIV/0!</v>
      </c>
      <c r="BO33" s="552">
        <f>Water!X38</f>
        <v>20063.359999999993</v>
      </c>
      <c r="BP33" s="557">
        <f>Water!Y38</f>
        <v>11.296936936936934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0</v>
      </c>
      <c r="D34" s="541">
        <v>0</v>
      </c>
      <c r="E34" s="540">
        <f>Elect!M35</f>
        <v>0</v>
      </c>
      <c r="F34" s="541">
        <v>21.428571428571427</v>
      </c>
      <c r="G34" s="540">
        <f>Elect!O35</f>
        <v>0</v>
      </c>
      <c r="H34" s="541">
        <v>876.53571428571433</v>
      </c>
      <c r="I34" s="540">
        <f>Water!C39</f>
        <v>115.80666666666664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167.19466666666662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96.972906666666645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933.11800000000017</v>
      </c>
      <c r="AI34" s="545" t="e">
        <f>Gas!#REF!</f>
        <v>#REF!</v>
      </c>
      <c r="AJ34" s="546">
        <f>Gas!J39</f>
        <v>246.87000000000003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Elect!BV35</f>
        <v>0</v>
      </c>
      <c r="AU34" s="545">
        <f>Elect!BT35</f>
        <v>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Elect!BU35</f>
        <v>457558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2.8242342342342335</v>
      </c>
      <c r="BN34" s="557" t="e">
        <f>Water!W39</f>
        <v>#DIV/0!</v>
      </c>
      <c r="BO34" s="552">
        <f>Water!X39</f>
        <v>668.77866666666648</v>
      </c>
      <c r="BP34" s="557">
        <f>Water!Y39</f>
        <v>11.296936936936934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Elect!BV5</f>
        <v>0</v>
      </c>
      <c r="AU35" s="545">
        <f>Elect!BT5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Elect!BU5</f>
        <v>452214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07" t="s">
        <v>212</v>
      </c>
      <c r="B4" s="1007"/>
      <c r="C4" s="1007"/>
      <c r="D4" s="1007"/>
      <c r="E4" s="1007"/>
      <c r="F4" s="1007"/>
      <c r="G4" s="111" t="str">
        <f>Elect!A1</f>
        <v>February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08"/>
      <c r="B3" s="1010" t="str">
        <f>Elect!A1</f>
        <v>February</v>
      </c>
      <c r="C3" s="1011"/>
      <c r="D3" s="1011"/>
      <c r="E3" s="1012"/>
    </row>
    <row r="4" spans="1:5" ht="14.25" customHeight="1" thickBot="1">
      <c r="A4" s="1009"/>
      <c r="B4" s="1013" t="s">
        <v>12</v>
      </c>
      <c r="C4" s="1014"/>
      <c r="D4" s="1015" t="s">
        <v>225</v>
      </c>
      <c r="E4" s="1016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0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5015.8399999999983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20063.359999999993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February</v>
      </c>
      <c r="C1" s="859"/>
      <c r="D1" s="859"/>
      <c r="E1" s="859"/>
      <c r="F1" s="859"/>
      <c r="G1" s="859"/>
      <c r="H1" s="217" t="s">
        <v>279</v>
      </c>
      <c r="I1" s="859"/>
      <c r="J1" s="859"/>
      <c r="K1" s="859"/>
      <c r="L1" s="859"/>
      <c r="M1" s="859"/>
      <c r="N1" s="859"/>
      <c r="Q1" s="812"/>
      <c r="R1" s="812"/>
      <c r="S1" s="812"/>
      <c r="T1" s="812"/>
      <c r="U1" s="812"/>
      <c r="V1" s="812"/>
      <c r="W1" s="812"/>
      <c r="X1" s="812"/>
      <c r="Y1" s="812"/>
      <c r="Z1" s="812"/>
      <c r="AA1" s="812"/>
      <c r="AB1" s="812"/>
      <c r="AC1" s="812"/>
      <c r="AD1" s="812"/>
      <c r="AE1" s="812"/>
      <c r="AF1" s="812"/>
      <c r="AG1" s="812"/>
      <c r="AH1" s="812"/>
      <c r="AI1" s="812"/>
      <c r="AJ1" s="812"/>
      <c r="AK1" s="812"/>
      <c r="AL1" s="812"/>
      <c r="AM1" s="812"/>
      <c r="AN1" s="812"/>
      <c r="AO1" s="812"/>
      <c r="AP1" s="812"/>
      <c r="AQ1" s="812"/>
      <c r="AR1" s="812"/>
      <c r="AS1" s="812"/>
      <c r="AT1" s="812"/>
      <c r="AU1" s="812"/>
      <c r="AV1" s="812"/>
      <c r="AW1" s="812"/>
      <c r="AX1" s="812"/>
      <c r="AY1" s="812"/>
      <c r="AZ1" s="812"/>
      <c r="BA1" s="812"/>
      <c r="BB1" s="812"/>
      <c r="BC1" s="812"/>
      <c r="BD1" s="812"/>
      <c r="BE1" s="812"/>
      <c r="BF1" s="812"/>
      <c r="BG1" s="812"/>
      <c r="BH1" s="812"/>
      <c r="BI1" s="812"/>
      <c r="BJ1" s="812"/>
      <c r="BK1" s="812"/>
      <c r="BL1" s="812"/>
      <c r="BM1" s="812"/>
      <c r="BN1" s="812"/>
      <c r="BO1" s="812"/>
      <c r="BP1" s="812"/>
      <c r="BQ1" s="812"/>
      <c r="BR1" s="812"/>
      <c r="BS1" s="812"/>
      <c r="BT1" s="812"/>
      <c r="BU1" s="812"/>
      <c r="BV1" s="812"/>
      <c r="BW1" s="812"/>
      <c r="BX1" s="812"/>
      <c r="BY1" s="812"/>
      <c r="BZ1" s="812"/>
      <c r="CA1" s="812"/>
      <c r="CB1" s="812"/>
      <c r="CC1" s="812"/>
      <c r="CD1" s="812"/>
      <c r="CE1" s="812"/>
      <c r="CF1" s="812"/>
      <c r="CG1" s="812"/>
      <c r="CH1" s="812"/>
      <c r="CI1" s="812"/>
      <c r="CJ1" s="812"/>
      <c r="CK1" s="812"/>
      <c r="CL1" s="812"/>
      <c r="CM1" s="812"/>
      <c r="CN1" s="812"/>
      <c r="CO1" s="812"/>
      <c r="CP1" s="812"/>
      <c r="CQ1" s="812"/>
      <c r="CR1" s="812"/>
      <c r="CS1" s="812"/>
      <c r="CT1" s="812"/>
      <c r="CU1" s="812"/>
      <c r="CV1" s="812"/>
      <c r="CW1" s="812"/>
      <c r="CX1" s="812"/>
      <c r="CY1" s="812"/>
      <c r="CZ1" s="812"/>
      <c r="DA1" s="812"/>
      <c r="DB1" s="812"/>
      <c r="DC1" s="812"/>
      <c r="DD1" s="812"/>
      <c r="DE1" s="812"/>
      <c r="DF1" s="812"/>
    </row>
    <row r="2" spans="1:110" ht="6.75" customHeight="1" thickBot="1">
      <c r="C2" s="859"/>
      <c r="D2" s="859"/>
      <c r="E2" s="859"/>
      <c r="F2" s="859"/>
      <c r="G2" s="218"/>
      <c r="H2" s="859"/>
      <c r="I2" s="859"/>
      <c r="J2" s="859"/>
      <c r="K2" s="859"/>
      <c r="L2" s="859"/>
      <c r="M2" s="859"/>
      <c r="N2" s="859"/>
      <c r="Q2" s="812"/>
      <c r="R2" s="812"/>
      <c r="S2" s="812"/>
      <c r="T2" s="812"/>
      <c r="U2" s="812"/>
      <c r="V2" s="812"/>
      <c r="W2" s="812"/>
      <c r="X2" s="812"/>
      <c r="Y2" s="812"/>
      <c r="Z2" s="812"/>
      <c r="AA2" s="812"/>
      <c r="AB2" s="812"/>
      <c r="AC2" s="812"/>
      <c r="AD2" s="812"/>
      <c r="AE2" s="812"/>
      <c r="AF2" s="812"/>
      <c r="AG2" s="812"/>
      <c r="AH2" s="812"/>
      <c r="AI2" s="812"/>
      <c r="AJ2" s="812"/>
      <c r="AK2" s="812"/>
      <c r="AL2" s="812"/>
      <c r="AM2" s="812"/>
      <c r="AN2" s="812"/>
      <c r="AO2" s="812"/>
      <c r="AP2" s="812"/>
      <c r="AQ2" s="812"/>
      <c r="AR2" s="812"/>
      <c r="AS2" s="812"/>
      <c r="AT2" s="812"/>
      <c r="AU2" s="812"/>
      <c r="AV2" s="812"/>
      <c r="AW2" s="812"/>
      <c r="AX2" s="812"/>
      <c r="AY2" s="812"/>
      <c r="AZ2" s="812"/>
      <c r="BA2" s="812"/>
      <c r="BB2" s="812"/>
      <c r="BC2" s="812"/>
      <c r="BD2" s="812"/>
      <c r="BE2" s="812"/>
      <c r="BF2" s="812"/>
      <c r="BG2" s="812"/>
      <c r="BH2" s="812"/>
      <c r="BI2" s="812"/>
      <c r="BJ2" s="812"/>
      <c r="BK2" s="812"/>
      <c r="BL2" s="812"/>
      <c r="BM2" s="812"/>
      <c r="BN2" s="812"/>
      <c r="BO2" s="812"/>
      <c r="BP2" s="812"/>
      <c r="BQ2" s="812"/>
      <c r="BR2" s="812"/>
      <c r="BS2" s="812"/>
      <c r="BT2" s="812"/>
      <c r="BU2" s="812"/>
      <c r="BV2" s="812"/>
      <c r="BW2" s="812"/>
      <c r="BX2" s="812"/>
      <c r="BY2" s="812"/>
      <c r="BZ2" s="812"/>
      <c r="CA2" s="812"/>
      <c r="CB2" s="812"/>
      <c r="CC2" s="812"/>
      <c r="CD2" s="812"/>
      <c r="CE2" s="812"/>
      <c r="CF2" s="812"/>
      <c r="CG2" s="812"/>
      <c r="CH2" s="812"/>
      <c r="CI2" s="812"/>
      <c r="CJ2" s="812"/>
      <c r="CK2" s="812"/>
      <c r="CL2" s="812"/>
      <c r="CM2" s="812"/>
      <c r="CN2" s="812"/>
      <c r="CO2" s="812"/>
      <c r="CP2" s="812"/>
      <c r="CQ2" s="812"/>
      <c r="CR2" s="812"/>
      <c r="CS2" s="812"/>
      <c r="CT2" s="812"/>
      <c r="CU2" s="812"/>
      <c r="CV2" s="812"/>
      <c r="CW2" s="812"/>
      <c r="CX2" s="812"/>
      <c r="CY2" s="812"/>
      <c r="CZ2" s="812"/>
      <c r="DA2" s="812"/>
      <c r="DB2" s="812"/>
      <c r="DC2" s="812"/>
      <c r="DD2" s="812"/>
      <c r="DE2" s="812"/>
      <c r="DF2" s="812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60"/>
      <c r="Z3" s="860"/>
      <c r="AA3" s="860"/>
      <c r="AB3" s="860"/>
      <c r="AC3" s="860"/>
      <c r="AD3" s="860"/>
      <c r="AE3" s="860"/>
      <c r="AF3" s="860"/>
      <c r="AG3" s="860"/>
      <c r="AH3" s="860"/>
      <c r="AI3" s="860"/>
      <c r="AJ3" s="860"/>
      <c r="AK3" s="860"/>
      <c r="AL3" s="860"/>
      <c r="AM3" s="860"/>
      <c r="AN3" s="860"/>
      <c r="AO3" s="860"/>
      <c r="AP3" s="860"/>
      <c r="AQ3" s="860"/>
      <c r="AR3" s="860"/>
      <c r="AS3" s="860"/>
      <c r="AT3" s="860"/>
      <c r="AU3" s="860"/>
      <c r="AV3" s="860"/>
      <c r="AW3" s="860"/>
      <c r="AX3" s="860"/>
      <c r="AY3" s="860"/>
      <c r="AZ3" s="860"/>
      <c r="BA3" s="860"/>
      <c r="BB3" s="860"/>
      <c r="BC3" s="860"/>
      <c r="BD3" s="860"/>
      <c r="BE3" s="860"/>
      <c r="BF3" s="860"/>
      <c r="BG3" s="860"/>
      <c r="BH3" s="860"/>
      <c r="BI3" s="860"/>
      <c r="BJ3" s="860"/>
      <c r="BK3" s="860"/>
      <c r="BL3" s="860"/>
      <c r="BM3" s="860"/>
      <c r="BN3" s="860"/>
      <c r="BO3" s="860"/>
      <c r="BP3" s="860"/>
      <c r="BQ3" s="860"/>
      <c r="BR3" s="860"/>
      <c r="BS3" s="860"/>
      <c r="BT3" s="860"/>
      <c r="BU3" s="860"/>
      <c r="BV3" s="860"/>
      <c r="BW3" s="860"/>
      <c r="BX3" s="860"/>
      <c r="BY3" s="860"/>
      <c r="BZ3" s="860"/>
      <c r="CA3" s="860"/>
      <c r="CB3" s="860"/>
      <c r="CC3" s="860"/>
      <c r="CD3" s="860"/>
      <c r="CE3" s="860"/>
      <c r="CF3" s="860"/>
      <c r="CG3" s="860"/>
      <c r="CH3" s="860"/>
      <c r="CI3" s="860"/>
      <c r="CJ3" s="860"/>
      <c r="CK3" s="860"/>
      <c r="CL3" s="860"/>
      <c r="CM3" s="860"/>
      <c r="CN3" s="860"/>
      <c r="CO3" s="860"/>
      <c r="CP3" s="860"/>
      <c r="CQ3" s="860"/>
      <c r="CR3" s="860"/>
      <c r="CS3" s="860"/>
      <c r="CT3" s="860"/>
      <c r="CU3" s="860"/>
      <c r="CV3" s="860"/>
      <c r="CW3" s="860"/>
      <c r="CX3" s="860"/>
      <c r="CY3" s="860"/>
      <c r="CZ3" s="860"/>
      <c r="DA3" s="860"/>
      <c r="DB3" s="860"/>
      <c r="DC3" s="860"/>
      <c r="DD3" s="860"/>
      <c r="DE3" s="860"/>
      <c r="DF3" s="860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Elect!BT34</f>
        <v>0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25072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Elect!BV34</f>
        <v>0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50662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60"/>
      <c r="Z66" s="860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60"/>
      <c r="Z67" s="860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12"/>
      <c r="Z68" s="812"/>
      <c r="AA68" s="812"/>
      <c r="AB68" s="812"/>
      <c r="AC68" s="812"/>
      <c r="AD68" s="812"/>
      <c r="AE68" s="812"/>
      <c r="AF68" s="812"/>
      <c r="AG68" s="812"/>
      <c r="AH68" s="812"/>
      <c r="AI68" s="812"/>
      <c r="AJ68" s="812"/>
      <c r="AK68" s="812"/>
      <c r="AL68" s="812"/>
      <c r="AM68" s="812"/>
      <c r="AN68" s="812"/>
      <c r="AO68" s="812"/>
      <c r="AP68" s="812"/>
      <c r="AQ68" s="812"/>
      <c r="AR68" s="812"/>
      <c r="AS68" s="812"/>
      <c r="AT68" s="812"/>
      <c r="AU68" s="812"/>
      <c r="AV68" s="812"/>
      <c r="AW68" s="812"/>
      <c r="AX68" s="812"/>
      <c r="AY68" s="812"/>
      <c r="AZ68" s="812"/>
      <c r="BA68" s="812"/>
      <c r="BB68" s="812"/>
      <c r="BC68" s="812"/>
      <c r="BD68" s="812"/>
      <c r="BE68" s="812"/>
      <c r="BF68" s="812"/>
      <c r="BG68" s="812"/>
      <c r="BH68" s="812"/>
      <c r="BI68" s="812"/>
      <c r="BJ68" s="812"/>
      <c r="BK68" s="812"/>
      <c r="BL68" s="812"/>
      <c r="BM68" s="812"/>
      <c r="BN68" s="812"/>
      <c r="BO68" s="812"/>
      <c r="BP68" s="812"/>
      <c r="BQ68" s="812"/>
      <c r="BR68" s="812"/>
      <c r="BS68" s="812"/>
      <c r="BT68" s="812"/>
      <c r="BU68" s="812"/>
      <c r="BV68" s="812"/>
      <c r="BW68" s="812"/>
      <c r="BX68" s="812"/>
      <c r="BY68" s="812"/>
      <c r="BZ68" s="812"/>
      <c r="CA68" s="812"/>
      <c r="CB68" s="812"/>
      <c r="CC68" s="812"/>
      <c r="CD68" s="812"/>
      <c r="CE68" s="812"/>
      <c r="CF68" s="812"/>
      <c r="CG68" s="812"/>
      <c r="CH68" s="812"/>
      <c r="CI68" s="812"/>
      <c r="CJ68" s="812"/>
      <c r="CK68" s="812"/>
      <c r="CL68" s="812"/>
      <c r="CM68" s="812"/>
      <c r="CN68" s="812"/>
      <c r="CO68" s="812"/>
      <c r="CP68" s="812"/>
      <c r="CQ68" s="812"/>
      <c r="CR68" s="812"/>
      <c r="CS68" s="812"/>
      <c r="CT68" s="812"/>
      <c r="CU68" s="812"/>
      <c r="CV68" s="812"/>
      <c r="CW68" s="812"/>
      <c r="CX68" s="812"/>
      <c r="CY68" s="812"/>
      <c r="CZ68" s="812"/>
      <c r="DA68" s="812"/>
      <c r="DB68" s="812"/>
      <c r="DC68" s="812"/>
      <c r="DD68" s="812"/>
      <c r="DE68" s="812"/>
      <c r="DF68" s="812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2"/>
      <c r="AN69" s="812"/>
      <c r="AO69" s="812"/>
      <c r="AP69" s="812"/>
      <c r="AQ69" s="812"/>
      <c r="AR69" s="812"/>
      <c r="AS69" s="812"/>
      <c r="AT69" s="812"/>
      <c r="AU69" s="812"/>
      <c r="AV69" s="812"/>
      <c r="AW69" s="812"/>
      <c r="AX69" s="812"/>
      <c r="AY69" s="812"/>
      <c r="AZ69" s="812"/>
      <c r="BA69" s="812"/>
      <c r="BB69" s="812"/>
      <c r="BC69" s="812"/>
      <c r="BD69" s="812"/>
      <c r="BE69" s="812"/>
      <c r="BF69" s="812"/>
      <c r="BG69" s="812"/>
      <c r="BH69" s="812"/>
      <c r="BI69" s="812"/>
      <c r="BJ69" s="812"/>
      <c r="BK69" s="812"/>
      <c r="BL69" s="812"/>
      <c r="BM69" s="812"/>
      <c r="BN69" s="812"/>
      <c r="BO69" s="812"/>
      <c r="BP69" s="812"/>
      <c r="BQ69" s="812"/>
      <c r="BR69" s="812"/>
      <c r="BS69" s="812"/>
      <c r="BT69" s="812"/>
      <c r="BU69" s="812"/>
      <c r="BV69" s="812"/>
      <c r="BW69" s="812"/>
      <c r="BX69" s="812"/>
      <c r="BY69" s="812"/>
      <c r="BZ69" s="812"/>
      <c r="CA69" s="812"/>
      <c r="CB69" s="812"/>
      <c r="CC69" s="812"/>
      <c r="CD69" s="812"/>
      <c r="CE69" s="812"/>
      <c r="CF69" s="812"/>
      <c r="CG69" s="812"/>
      <c r="CH69" s="812"/>
      <c r="CI69" s="812"/>
      <c r="CJ69" s="812"/>
      <c r="CK69" s="812"/>
      <c r="CL69" s="812"/>
      <c r="CM69" s="812"/>
      <c r="CN69" s="812"/>
      <c r="CO69" s="812"/>
      <c r="CP69" s="812"/>
      <c r="CQ69" s="812"/>
      <c r="CR69" s="812"/>
      <c r="CS69" s="812"/>
      <c r="CT69" s="812"/>
      <c r="CU69" s="812"/>
      <c r="CV69" s="812"/>
      <c r="CW69" s="812"/>
      <c r="CX69" s="812"/>
      <c r="CY69" s="812"/>
      <c r="CZ69" s="812"/>
      <c r="DA69" s="812"/>
      <c r="DB69" s="812"/>
      <c r="DC69" s="812"/>
      <c r="DD69" s="812"/>
      <c r="DE69" s="812"/>
      <c r="DF69" s="812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12"/>
      <c r="Z70" s="812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12"/>
      <c r="Z71" s="812"/>
      <c r="AA71" s="812"/>
      <c r="AB71" s="812"/>
      <c r="AC71" s="812"/>
      <c r="AD71" s="812"/>
      <c r="AE71" s="812"/>
      <c r="AF71" s="812"/>
      <c r="AG71" s="812"/>
      <c r="AH71" s="812"/>
      <c r="AI71" s="812"/>
      <c r="AJ71" s="812"/>
      <c r="AK71" s="812"/>
      <c r="AL71" s="812"/>
      <c r="AM71" s="812"/>
      <c r="AN71" s="812"/>
      <c r="AO71" s="812"/>
      <c r="AP71" s="812"/>
      <c r="AQ71" s="812"/>
      <c r="AR71" s="812"/>
      <c r="AS71" s="812"/>
      <c r="AT71" s="812"/>
      <c r="AU71" s="812"/>
      <c r="AV71" s="812"/>
      <c r="AW71" s="812"/>
      <c r="AX71" s="812"/>
      <c r="AY71" s="812"/>
      <c r="AZ71" s="812"/>
      <c r="BA71" s="812"/>
      <c r="BB71" s="812"/>
      <c r="BC71" s="812"/>
      <c r="BD71" s="812"/>
      <c r="BE71" s="812"/>
      <c r="BF71" s="812"/>
      <c r="BG71" s="812"/>
      <c r="BH71" s="812"/>
      <c r="BI71" s="812"/>
      <c r="BJ71" s="812"/>
      <c r="BK71" s="812"/>
      <c r="BL71" s="812"/>
      <c r="BM71" s="812"/>
      <c r="BN71" s="812"/>
      <c r="BO71" s="812"/>
      <c r="BP71" s="812"/>
      <c r="BQ71" s="812"/>
      <c r="BR71" s="812"/>
      <c r="BS71" s="812"/>
      <c r="BT71" s="812"/>
      <c r="BU71" s="812"/>
      <c r="BV71" s="812"/>
      <c r="BW71" s="812"/>
      <c r="BX71" s="812"/>
      <c r="BY71" s="812"/>
      <c r="BZ71" s="812"/>
      <c r="CA71" s="812"/>
      <c r="CB71" s="812"/>
      <c r="CC71" s="812"/>
      <c r="CD71" s="812"/>
      <c r="CE71" s="812"/>
      <c r="CF71" s="812"/>
      <c r="CG71" s="812"/>
      <c r="CH71" s="812"/>
      <c r="CI71" s="812"/>
      <c r="CJ71" s="812"/>
      <c r="CK71" s="812"/>
      <c r="CL71" s="812"/>
      <c r="CM71" s="812"/>
      <c r="CN71" s="812"/>
      <c r="CO71" s="812"/>
      <c r="CP71" s="812"/>
      <c r="CQ71" s="812"/>
      <c r="CR71" s="812"/>
      <c r="CS71" s="812"/>
      <c r="CT71" s="812"/>
      <c r="CU71" s="812"/>
      <c r="CV71" s="812"/>
      <c r="CW71" s="812"/>
      <c r="CX71" s="812"/>
      <c r="CY71" s="812"/>
      <c r="CZ71" s="812"/>
      <c r="DA71" s="812"/>
      <c r="DB71" s="812"/>
      <c r="DC71" s="812"/>
      <c r="DD71" s="812"/>
      <c r="DE71" s="812"/>
      <c r="DF71" s="812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12"/>
      <c r="Z72" s="812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12"/>
      <c r="Z73" s="812"/>
      <c r="AA73" s="812"/>
      <c r="AB73" s="812"/>
      <c r="AC73" s="812"/>
      <c r="AD73" s="812"/>
      <c r="AE73" s="812"/>
      <c r="AF73" s="812"/>
      <c r="AG73" s="812"/>
      <c r="AH73" s="812"/>
      <c r="AI73" s="812"/>
      <c r="AJ73" s="812"/>
      <c r="AK73" s="812"/>
      <c r="AL73" s="812"/>
      <c r="AM73" s="812"/>
      <c r="AN73" s="812"/>
      <c r="AO73" s="812"/>
      <c r="AP73" s="812"/>
      <c r="AQ73" s="812"/>
      <c r="AR73" s="812"/>
      <c r="AS73" s="812"/>
      <c r="AT73" s="812"/>
      <c r="AU73" s="812"/>
      <c r="AV73" s="812"/>
      <c r="AW73" s="812"/>
      <c r="AX73" s="812"/>
      <c r="AY73" s="812"/>
      <c r="AZ73" s="812"/>
      <c r="BA73" s="812"/>
      <c r="BB73" s="812"/>
      <c r="BC73" s="812"/>
      <c r="BD73" s="812"/>
      <c r="BE73" s="812"/>
      <c r="BF73" s="812"/>
      <c r="BG73" s="812"/>
      <c r="BH73" s="812"/>
      <c r="BI73" s="812"/>
      <c r="BJ73" s="812"/>
      <c r="BK73" s="812"/>
      <c r="BL73" s="812"/>
      <c r="BM73" s="812"/>
      <c r="BN73" s="812"/>
      <c r="BO73" s="812"/>
      <c r="BP73" s="812"/>
      <c r="BQ73" s="812"/>
      <c r="BR73" s="812"/>
      <c r="BS73" s="812"/>
      <c r="BT73" s="812"/>
      <c r="BU73" s="812"/>
      <c r="BV73" s="812"/>
      <c r="BW73" s="812"/>
      <c r="BX73" s="812"/>
      <c r="BY73" s="812"/>
      <c r="BZ73" s="812"/>
      <c r="CA73" s="812"/>
      <c r="CB73" s="812"/>
      <c r="CC73" s="812"/>
      <c r="CD73" s="812"/>
      <c r="CE73" s="812"/>
      <c r="CF73" s="812"/>
      <c r="CG73" s="812"/>
      <c r="CH73" s="812"/>
      <c r="CI73" s="812"/>
      <c r="CJ73" s="812"/>
      <c r="CK73" s="812"/>
      <c r="CL73" s="812"/>
      <c r="CM73" s="812"/>
      <c r="CN73" s="812"/>
      <c r="CO73" s="812"/>
      <c r="CP73" s="812"/>
      <c r="CQ73" s="812"/>
      <c r="CR73" s="812"/>
      <c r="CS73" s="812"/>
      <c r="CT73" s="812"/>
      <c r="CU73" s="812"/>
      <c r="CV73" s="812"/>
      <c r="CW73" s="812"/>
      <c r="CX73" s="812"/>
      <c r="CY73" s="812"/>
      <c r="CZ73" s="812"/>
      <c r="DA73" s="812"/>
      <c r="DB73" s="812"/>
      <c r="DC73" s="812"/>
      <c r="DD73" s="812"/>
      <c r="DE73" s="812"/>
      <c r="DF73" s="812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12"/>
      <c r="Z74" s="812"/>
      <c r="AA74" s="812"/>
      <c r="AB74" s="812"/>
      <c r="AC74" s="812"/>
      <c r="AD74" s="812"/>
      <c r="AE74" s="812"/>
      <c r="AF74" s="812"/>
      <c r="AG74" s="812"/>
      <c r="AH74" s="812"/>
      <c r="AI74" s="812"/>
      <c r="AJ74" s="812"/>
      <c r="AK74" s="812"/>
      <c r="AL74" s="812"/>
      <c r="AM74" s="812"/>
      <c r="AN74" s="812"/>
      <c r="AO74" s="812"/>
      <c r="AP74" s="812"/>
      <c r="AQ74" s="812"/>
      <c r="AR74" s="812"/>
      <c r="AS74" s="812"/>
      <c r="AT74" s="812"/>
      <c r="AU74" s="812"/>
      <c r="AV74" s="812"/>
      <c r="AW74" s="812"/>
      <c r="AX74" s="812"/>
      <c r="AY74" s="812"/>
      <c r="AZ74" s="812"/>
      <c r="BA74" s="812"/>
      <c r="BB74" s="812"/>
      <c r="BC74" s="812"/>
      <c r="BD74" s="812"/>
      <c r="BE74" s="812"/>
      <c r="BF74" s="812"/>
      <c r="BG74" s="812"/>
      <c r="BH74" s="812"/>
      <c r="BI74" s="812"/>
      <c r="BJ74" s="812"/>
      <c r="BK74" s="812"/>
      <c r="BL74" s="812"/>
      <c r="BM74" s="812"/>
      <c r="BN74" s="812"/>
      <c r="BO74" s="812"/>
      <c r="BP74" s="812"/>
      <c r="BQ74" s="812"/>
      <c r="BR74" s="812"/>
      <c r="BS74" s="812"/>
      <c r="BT74" s="812"/>
      <c r="BU74" s="812"/>
      <c r="BV74" s="812"/>
      <c r="BW74" s="812"/>
      <c r="BX74" s="812"/>
      <c r="BY74" s="812"/>
      <c r="BZ74" s="812"/>
      <c r="CA74" s="812"/>
      <c r="CB74" s="812"/>
      <c r="CC74" s="812"/>
      <c r="CD74" s="812"/>
      <c r="CE74" s="812"/>
      <c r="CF74" s="812"/>
      <c r="CG74" s="812"/>
      <c r="CH74" s="812"/>
      <c r="CI74" s="812"/>
      <c r="CJ74" s="812"/>
      <c r="CK74" s="812"/>
      <c r="CL74" s="812"/>
      <c r="CM74" s="812"/>
      <c r="CN74" s="812"/>
      <c r="CO74" s="812"/>
      <c r="CP74" s="812"/>
      <c r="CQ74" s="812"/>
      <c r="CR74" s="812"/>
      <c r="CS74" s="812"/>
      <c r="CT74" s="812"/>
      <c r="CU74" s="812"/>
      <c r="CV74" s="812"/>
      <c r="CW74" s="812"/>
      <c r="CX74" s="812"/>
      <c r="CY74" s="812"/>
      <c r="CZ74" s="812"/>
      <c r="DA74" s="812"/>
      <c r="DB74" s="812"/>
      <c r="DC74" s="812"/>
      <c r="DD74" s="812"/>
      <c r="DE74" s="812"/>
      <c r="DF74" s="812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12"/>
      <c r="Z75" s="812"/>
      <c r="AA75" s="812"/>
      <c r="AB75" s="812"/>
      <c r="AC75" s="812"/>
      <c r="AD75" s="812"/>
      <c r="AE75" s="812"/>
      <c r="AF75" s="812"/>
      <c r="AG75" s="812"/>
      <c r="AH75" s="812"/>
      <c r="AI75" s="812"/>
      <c r="AJ75" s="812"/>
      <c r="AK75" s="812"/>
      <c r="AL75" s="812"/>
      <c r="AM75" s="812"/>
      <c r="AN75" s="812"/>
      <c r="AO75" s="812"/>
      <c r="AP75" s="812"/>
      <c r="AQ75" s="812"/>
      <c r="AR75" s="812"/>
      <c r="AS75" s="812"/>
      <c r="AT75" s="812"/>
      <c r="AU75" s="812"/>
      <c r="AV75" s="812"/>
      <c r="AW75" s="812"/>
      <c r="AX75" s="812"/>
      <c r="AY75" s="812"/>
      <c r="AZ75" s="812"/>
      <c r="BA75" s="812"/>
      <c r="BB75" s="812"/>
      <c r="BC75" s="812"/>
      <c r="BD75" s="812"/>
      <c r="BE75" s="812"/>
      <c r="BF75" s="812"/>
      <c r="BG75" s="812"/>
      <c r="BH75" s="812"/>
      <c r="BI75" s="812"/>
      <c r="BJ75" s="812"/>
      <c r="BK75" s="812"/>
      <c r="BL75" s="812"/>
      <c r="BM75" s="812"/>
      <c r="BN75" s="812"/>
      <c r="BO75" s="812"/>
      <c r="BP75" s="812"/>
      <c r="BQ75" s="812"/>
      <c r="BR75" s="812"/>
      <c r="BS75" s="812"/>
      <c r="BT75" s="812"/>
      <c r="BU75" s="812"/>
      <c r="BV75" s="812"/>
      <c r="BW75" s="812"/>
      <c r="BX75" s="812"/>
      <c r="BY75" s="812"/>
      <c r="BZ75" s="812"/>
      <c r="CA75" s="812"/>
      <c r="CB75" s="812"/>
      <c r="CC75" s="812"/>
      <c r="CD75" s="812"/>
      <c r="CE75" s="812"/>
      <c r="CF75" s="812"/>
      <c r="CG75" s="812"/>
      <c r="CH75" s="812"/>
      <c r="CI75" s="812"/>
      <c r="CJ75" s="812"/>
      <c r="CK75" s="812"/>
      <c r="CL75" s="812"/>
      <c r="CM75" s="812"/>
      <c r="CN75" s="812"/>
      <c r="CO75" s="812"/>
      <c r="CP75" s="812"/>
      <c r="CQ75" s="812"/>
      <c r="CR75" s="812"/>
      <c r="CS75" s="812"/>
      <c r="CT75" s="812"/>
      <c r="CU75" s="812"/>
      <c r="CV75" s="812"/>
      <c r="CW75" s="812"/>
      <c r="CX75" s="812"/>
      <c r="CY75" s="812"/>
      <c r="CZ75" s="812"/>
      <c r="DA75" s="812"/>
      <c r="DB75" s="812"/>
      <c r="DC75" s="812"/>
      <c r="DD75" s="812"/>
      <c r="DE75" s="812"/>
      <c r="DF75" s="812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12"/>
      <c r="Z76" s="812"/>
      <c r="AA76" s="812"/>
      <c r="AB76" s="812"/>
      <c r="AC76" s="812"/>
      <c r="AD76" s="812"/>
      <c r="AE76" s="812"/>
      <c r="AF76" s="812"/>
      <c r="AG76" s="812"/>
      <c r="AH76" s="812"/>
      <c r="AI76" s="812"/>
      <c r="AJ76" s="812"/>
      <c r="AK76" s="812"/>
      <c r="AL76" s="812"/>
      <c r="AM76" s="812"/>
      <c r="AN76" s="812"/>
      <c r="AO76" s="812"/>
      <c r="AP76" s="812"/>
      <c r="AQ76" s="812"/>
      <c r="AR76" s="812"/>
      <c r="AS76" s="812"/>
      <c r="AT76" s="812"/>
      <c r="AU76" s="812"/>
      <c r="AV76" s="812"/>
      <c r="AW76" s="812"/>
      <c r="AX76" s="812"/>
      <c r="AY76" s="812"/>
      <c r="AZ76" s="812"/>
      <c r="BA76" s="812"/>
      <c r="BB76" s="812"/>
      <c r="BC76" s="812"/>
      <c r="BD76" s="812"/>
      <c r="BE76" s="812"/>
      <c r="BF76" s="812"/>
      <c r="BG76" s="812"/>
      <c r="BH76" s="812"/>
      <c r="BI76" s="812"/>
      <c r="BJ76" s="812"/>
      <c r="BK76" s="812"/>
      <c r="BL76" s="812"/>
      <c r="BM76" s="812"/>
      <c r="BN76" s="812"/>
      <c r="BO76" s="812"/>
      <c r="BP76" s="812"/>
      <c r="BQ76" s="812"/>
      <c r="BR76" s="812"/>
      <c r="BS76" s="812"/>
      <c r="BT76" s="812"/>
      <c r="BU76" s="812"/>
      <c r="BV76" s="812"/>
      <c r="BW76" s="812"/>
      <c r="BX76" s="812"/>
      <c r="BY76" s="812"/>
      <c r="BZ76" s="812"/>
      <c r="CA76" s="812"/>
      <c r="CB76" s="812"/>
      <c r="CC76" s="812"/>
      <c r="CD76" s="812"/>
      <c r="CE76" s="812"/>
      <c r="CF76" s="812"/>
      <c r="CG76" s="812"/>
      <c r="CH76" s="812"/>
      <c r="CI76" s="812"/>
      <c r="CJ76" s="812"/>
      <c r="CK76" s="812"/>
      <c r="CL76" s="812"/>
      <c r="CM76" s="812"/>
      <c r="CN76" s="812"/>
      <c r="CO76" s="812"/>
      <c r="CP76" s="812"/>
      <c r="CQ76" s="812"/>
      <c r="CR76" s="812"/>
      <c r="CS76" s="812"/>
      <c r="CT76" s="812"/>
      <c r="CU76" s="812"/>
      <c r="CV76" s="812"/>
      <c r="CW76" s="812"/>
      <c r="CX76" s="812"/>
      <c r="CY76" s="812"/>
      <c r="CZ76" s="812"/>
      <c r="DA76" s="812"/>
      <c r="DB76" s="812"/>
      <c r="DC76" s="812"/>
      <c r="DD76" s="812"/>
      <c r="DE76" s="812"/>
      <c r="DF76" s="812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12"/>
      <c r="Z77" s="812"/>
      <c r="AA77" s="812"/>
      <c r="AB77" s="812"/>
      <c r="AC77" s="812"/>
      <c r="AD77" s="812"/>
      <c r="AE77" s="812"/>
      <c r="AF77" s="812"/>
      <c r="AG77" s="812"/>
      <c r="AH77" s="812"/>
      <c r="AI77" s="812"/>
      <c r="AJ77" s="812"/>
      <c r="AK77" s="812"/>
      <c r="AL77" s="812"/>
      <c r="AM77" s="812"/>
      <c r="AN77" s="812"/>
      <c r="AO77" s="812"/>
      <c r="AP77" s="812"/>
      <c r="AQ77" s="812"/>
      <c r="AR77" s="812"/>
      <c r="AS77" s="812"/>
      <c r="AT77" s="812"/>
      <c r="AU77" s="812"/>
      <c r="AV77" s="812"/>
      <c r="AW77" s="812"/>
      <c r="AX77" s="812"/>
      <c r="AY77" s="812"/>
      <c r="AZ77" s="812"/>
      <c r="BA77" s="812"/>
      <c r="BB77" s="812"/>
      <c r="BC77" s="812"/>
      <c r="BD77" s="812"/>
      <c r="BE77" s="812"/>
      <c r="BF77" s="812"/>
      <c r="BG77" s="812"/>
      <c r="BH77" s="812"/>
      <c r="BI77" s="812"/>
      <c r="BJ77" s="812"/>
      <c r="BK77" s="812"/>
      <c r="BL77" s="812"/>
      <c r="BM77" s="812"/>
      <c r="BN77" s="812"/>
      <c r="BO77" s="812"/>
      <c r="BP77" s="812"/>
      <c r="BQ77" s="812"/>
      <c r="BR77" s="812"/>
      <c r="BS77" s="812"/>
      <c r="BT77" s="812"/>
      <c r="BU77" s="812"/>
      <c r="BV77" s="812"/>
      <c r="BW77" s="812"/>
      <c r="BX77" s="812"/>
      <c r="BY77" s="812"/>
      <c r="BZ77" s="812"/>
      <c r="CA77" s="812"/>
      <c r="CB77" s="812"/>
      <c r="CC77" s="812"/>
      <c r="CD77" s="812"/>
      <c r="CE77" s="812"/>
      <c r="CF77" s="812"/>
      <c r="CG77" s="812"/>
      <c r="CH77" s="812"/>
      <c r="CI77" s="812"/>
      <c r="CJ77" s="812"/>
      <c r="CK77" s="812"/>
      <c r="CL77" s="812"/>
      <c r="CM77" s="812"/>
      <c r="CN77" s="812"/>
      <c r="CO77" s="812"/>
      <c r="CP77" s="812"/>
      <c r="CQ77" s="812"/>
      <c r="CR77" s="812"/>
      <c r="CS77" s="812"/>
      <c r="CT77" s="812"/>
      <c r="CU77" s="812"/>
      <c r="CV77" s="812"/>
      <c r="CW77" s="812"/>
      <c r="CX77" s="812"/>
      <c r="CY77" s="812"/>
      <c r="CZ77" s="812"/>
      <c r="DA77" s="812"/>
      <c r="DB77" s="812"/>
      <c r="DC77" s="812"/>
      <c r="DD77" s="812"/>
      <c r="DE77" s="812"/>
      <c r="DF77" s="812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12"/>
      <c r="Z78" s="812"/>
      <c r="AA78" s="812"/>
      <c r="AB78" s="812"/>
      <c r="AC78" s="812"/>
      <c r="AD78" s="812"/>
      <c r="AE78" s="812"/>
      <c r="AF78" s="812"/>
      <c r="AG78" s="812"/>
      <c r="AH78" s="812"/>
      <c r="AI78" s="812"/>
      <c r="AJ78" s="812"/>
      <c r="AK78" s="812"/>
      <c r="AL78" s="812"/>
      <c r="AM78" s="812"/>
      <c r="AN78" s="812"/>
      <c r="AO78" s="812"/>
      <c r="AP78" s="812"/>
      <c r="AQ78" s="812"/>
      <c r="AR78" s="812"/>
      <c r="AS78" s="812"/>
      <c r="AT78" s="812"/>
      <c r="AU78" s="812"/>
      <c r="AV78" s="812"/>
      <c r="AW78" s="812"/>
      <c r="AX78" s="812"/>
      <c r="AY78" s="812"/>
      <c r="AZ78" s="812"/>
      <c r="BA78" s="812"/>
      <c r="BB78" s="812"/>
      <c r="BC78" s="812"/>
      <c r="BD78" s="812"/>
      <c r="BE78" s="812"/>
      <c r="BF78" s="812"/>
      <c r="BG78" s="812"/>
      <c r="BH78" s="812"/>
      <c r="BI78" s="812"/>
      <c r="BJ78" s="812"/>
      <c r="BK78" s="812"/>
      <c r="BL78" s="812"/>
      <c r="BM78" s="812"/>
      <c r="BN78" s="812"/>
      <c r="BO78" s="812"/>
      <c r="BP78" s="812"/>
      <c r="BQ78" s="812"/>
      <c r="BR78" s="812"/>
      <c r="BS78" s="812"/>
      <c r="BT78" s="812"/>
      <c r="BU78" s="812"/>
      <c r="BV78" s="812"/>
      <c r="BW78" s="812"/>
      <c r="BX78" s="812"/>
      <c r="BY78" s="812"/>
      <c r="BZ78" s="812"/>
      <c r="CA78" s="812"/>
      <c r="CB78" s="812"/>
      <c r="CC78" s="812"/>
      <c r="CD78" s="812"/>
      <c r="CE78" s="812"/>
      <c r="CF78" s="812"/>
      <c r="CG78" s="812"/>
      <c r="CH78" s="812"/>
      <c r="CI78" s="812"/>
      <c r="CJ78" s="812"/>
      <c r="CK78" s="812"/>
      <c r="CL78" s="812"/>
      <c r="CM78" s="812"/>
      <c r="CN78" s="812"/>
      <c r="CO78" s="812"/>
      <c r="CP78" s="812"/>
      <c r="CQ78" s="812"/>
      <c r="CR78" s="812"/>
      <c r="CS78" s="812"/>
      <c r="CT78" s="812"/>
      <c r="CU78" s="812"/>
      <c r="CV78" s="812"/>
      <c r="CW78" s="812"/>
      <c r="CX78" s="812"/>
      <c r="CY78" s="812"/>
      <c r="CZ78" s="812"/>
      <c r="DA78" s="812"/>
      <c r="DB78" s="812"/>
      <c r="DC78" s="812"/>
      <c r="DD78" s="812"/>
      <c r="DE78" s="812"/>
      <c r="DF78" s="812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12"/>
      <c r="Z79" s="812"/>
      <c r="AA79" s="812"/>
      <c r="AB79" s="812"/>
      <c r="AC79" s="812"/>
      <c r="AD79" s="812"/>
      <c r="AE79" s="812"/>
      <c r="AF79" s="812"/>
      <c r="AG79" s="812"/>
      <c r="AH79" s="812"/>
      <c r="AI79" s="812"/>
      <c r="AJ79" s="812"/>
      <c r="AK79" s="812"/>
      <c r="AL79" s="812"/>
      <c r="AM79" s="812"/>
      <c r="AN79" s="812"/>
      <c r="AO79" s="812"/>
      <c r="AP79" s="812"/>
      <c r="AQ79" s="812"/>
      <c r="AR79" s="812"/>
      <c r="AS79" s="812"/>
      <c r="AT79" s="812"/>
      <c r="AU79" s="812"/>
      <c r="AV79" s="812"/>
      <c r="AW79" s="812"/>
      <c r="AX79" s="812"/>
      <c r="AY79" s="812"/>
      <c r="AZ79" s="812"/>
      <c r="BA79" s="812"/>
      <c r="BB79" s="812"/>
      <c r="BC79" s="812"/>
      <c r="BD79" s="812"/>
      <c r="BE79" s="812"/>
      <c r="BF79" s="812"/>
      <c r="BG79" s="812"/>
      <c r="BH79" s="812"/>
      <c r="BI79" s="812"/>
      <c r="BJ79" s="812"/>
      <c r="BK79" s="812"/>
      <c r="BL79" s="812"/>
      <c r="BM79" s="812"/>
      <c r="BN79" s="812"/>
      <c r="BO79" s="812"/>
      <c r="BP79" s="812"/>
      <c r="BQ79" s="812"/>
      <c r="BR79" s="812"/>
      <c r="BS79" s="812"/>
      <c r="BT79" s="812"/>
      <c r="BU79" s="812"/>
      <c r="BV79" s="812"/>
      <c r="BW79" s="812"/>
      <c r="BX79" s="812"/>
      <c r="BY79" s="812"/>
      <c r="BZ79" s="812"/>
      <c r="CA79" s="812"/>
      <c r="CB79" s="812"/>
      <c r="CC79" s="812"/>
      <c r="CD79" s="812"/>
      <c r="CE79" s="812"/>
      <c r="CF79" s="812"/>
      <c r="CG79" s="812"/>
      <c r="CH79" s="812"/>
      <c r="CI79" s="812"/>
      <c r="CJ79" s="812"/>
      <c r="CK79" s="812"/>
      <c r="CL79" s="812"/>
      <c r="CM79" s="812"/>
      <c r="CN79" s="812"/>
      <c r="CO79" s="812"/>
      <c r="CP79" s="812"/>
      <c r="CQ79" s="812"/>
      <c r="CR79" s="812"/>
      <c r="CS79" s="812"/>
      <c r="CT79" s="812"/>
      <c r="CU79" s="812"/>
      <c r="CV79" s="812"/>
      <c r="CW79" s="812"/>
      <c r="CX79" s="812"/>
      <c r="CY79" s="812"/>
      <c r="CZ79" s="812"/>
      <c r="DA79" s="812"/>
      <c r="DB79" s="812"/>
      <c r="DC79" s="812"/>
      <c r="DD79" s="812"/>
      <c r="DE79" s="812"/>
      <c r="DF79" s="812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12"/>
      <c r="Z80" s="812"/>
      <c r="AA80" s="812"/>
      <c r="AB80" s="812"/>
      <c r="AC80" s="812"/>
      <c r="AD80" s="812"/>
      <c r="AE80" s="812"/>
      <c r="AF80" s="812"/>
      <c r="AG80" s="812"/>
      <c r="AH80" s="812"/>
      <c r="AI80" s="812"/>
      <c r="AJ80" s="812"/>
      <c r="AK80" s="812"/>
      <c r="AL80" s="812"/>
      <c r="AM80" s="812"/>
      <c r="AN80" s="812"/>
      <c r="AO80" s="812"/>
      <c r="AP80" s="812"/>
      <c r="AQ80" s="812"/>
      <c r="AR80" s="812"/>
      <c r="AS80" s="812"/>
      <c r="AT80" s="812"/>
      <c r="AU80" s="812"/>
      <c r="AV80" s="812"/>
      <c r="AW80" s="812"/>
      <c r="AX80" s="812"/>
      <c r="AY80" s="812"/>
      <c r="AZ80" s="812"/>
      <c r="BA80" s="812"/>
      <c r="BB80" s="812"/>
      <c r="BC80" s="812"/>
      <c r="BD80" s="812"/>
      <c r="BE80" s="812"/>
      <c r="BF80" s="812"/>
      <c r="BG80" s="812"/>
      <c r="BH80" s="812"/>
      <c r="BI80" s="812"/>
      <c r="BJ80" s="812"/>
      <c r="BK80" s="812"/>
      <c r="BL80" s="812"/>
      <c r="BM80" s="812"/>
      <c r="BN80" s="812"/>
      <c r="BO80" s="812"/>
      <c r="BP80" s="812"/>
      <c r="BQ80" s="812"/>
      <c r="BR80" s="812"/>
      <c r="BS80" s="812"/>
      <c r="BT80" s="812"/>
      <c r="BU80" s="812"/>
      <c r="BV80" s="812"/>
      <c r="BW80" s="812"/>
      <c r="BX80" s="812"/>
      <c r="BY80" s="812"/>
      <c r="BZ80" s="812"/>
      <c r="CA80" s="812"/>
      <c r="CB80" s="812"/>
      <c r="CC80" s="812"/>
      <c r="CD80" s="812"/>
      <c r="CE80" s="812"/>
      <c r="CF80" s="812"/>
      <c r="CG80" s="812"/>
      <c r="CH80" s="812"/>
      <c r="CI80" s="812"/>
      <c r="CJ80" s="812"/>
      <c r="CK80" s="812"/>
      <c r="CL80" s="812"/>
      <c r="CM80" s="812"/>
      <c r="CN80" s="812"/>
      <c r="CO80" s="812"/>
      <c r="CP80" s="812"/>
      <c r="CQ80" s="812"/>
      <c r="CR80" s="812"/>
      <c r="CS80" s="812"/>
      <c r="CT80" s="812"/>
      <c r="CU80" s="812"/>
      <c r="CV80" s="812"/>
      <c r="CW80" s="812"/>
      <c r="CX80" s="812"/>
      <c r="CY80" s="812"/>
      <c r="CZ80" s="812"/>
      <c r="DA80" s="812"/>
      <c r="DB80" s="812"/>
      <c r="DC80" s="812"/>
      <c r="DD80" s="812"/>
      <c r="DE80" s="812"/>
      <c r="DF80" s="812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61"/>
      <c r="D2336" s="861"/>
      <c r="E2336" s="861"/>
      <c r="F2336" s="861"/>
      <c r="G2336" s="861"/>
      <c r="H2336" s="861"/>
      <c r="I2336" s="861"/>
      <c r="J2336" s="861"/>
      <c r="K2336" s="861"/>
      <c r="L2336" s="861"/>
      <c r="M2336" s="861"/>
      <c r="N2336" s="861"/>
      <c r="O2336" s="286"/>
      <c r="P2336" s="286"/>
      <c r="Q2336" s="862"/>
      <c r="R2336" s="812"/>
      <c r="S2336" s="812"/>
      <c r="T2336" s="812"/>
      <c r="U2336" s="812"/>
      <c r="V2336" s="812"/>
      <c r="W2336" s="812"/>
      <c r="X2336" s="812"/>
    </row>
    <row r="2337" spans="1:26">
      <c r="B2337" s="350"/>
      <c r="C2337" s="861">
        <v>39814</v>
      </c>
      <c r="D2337" s="861">
        <v>39845</v>
      </c>
      <c r="E2337" s="861">
        <v>39873</v>
      </c>
      <c r="F2337" s="861">
        <v>39904</v>
      </c>
      <c r="G2337" s="861">
        <v>39934</v>
      </c>
      <c r="H2337" s="861">
        <v>39965</v>
      </c>
      <c r="I2337" s="861">
        <v>39995</v>
      </c>
      <c r="J2337" s="861">
        <v>40026</v>
      </c>
      <c r="K2337" s="861">
        <v>40057</v>
      </c>
      <c r="L2337" s="861">
        <v>40087</v>
      </c>
      <c r="M2337" s="861">
        <v>40118</v>
      </c>
      <c r="N2337" s="861">
        <v>40148</v>
      </c>
      <c r="O2337" s="287"/>
      <c r="P2337" s="287"/>
      <c r="Q2337" s="863"/>
      <c r="R2337" s="812"/>
      <c r="S2337" s="812"/>
      <c r="T2337" s="812"/>
      <c r="U2337" s="812"/>
      <c r="V2337" s="812"/>
      <c r="W2337" s="812"/>
      <c r="X2337" s="812"/>
      <c r="Y2337" s="812"/>
      <c r="Z2337" s="812"/>
    </row>
    <row r="2338" spans="1:26" ht="21.75" customHeight="1">
      <c r="A2338" s="349"/>
      <c r="B2338" s="350"/>
      <c r="C2338" s="859"/>
      <c r="D2338" s="859"/>
      <c r="E2338" s="859"/>
      <c r="F2338" s="859"/>
      <c r="G2338" s="859"/>
      <c r="H2338" s="217" t="s">
        <v>384</v>
      </c>
      <c r="I2338" s="220"/>
      <c r="J2338" s="859"/>
      <c r="K2338" s="859"/>
      <c r="L2338" s="859"/>
      <c r="M2338" s="859"/>
      <c r="N2338" s="859"/>
      <c r="Q2338" s="812"/>
      <c r="R2338" s="812"/>
      <c r="S2338" s="812"/>
      <c r="T2338" s="812"/>
      <c r="U2338" s="812"/>
      <c r="V2338" s="812"/>
      <c r="W2338" s="812"/>
      <c r="X2338" s="812"/>
      <c r="Y2338" s="812"/>
      <c r="Z2338" s="812"/>
    </row>
    <row r="2339" spans="1:26" ht="13.5" thickBot="1">
      <c r="A2339" s="349"/>
      <c r="B2339" s="350"/>
      <c r="C2339" s="859"/>
      <c r="D2339" s="859"/>
      <c r="E2339" s="859"/>
      <c r="F2339" s="859"/>
      <c r="G2339" s="859"/>
      <c r="H2339" s="859"/>
      <c r="I2339" s="859"/>
      <c r="J2339" s="859"/>
      <c r="K2339" s="859"/>
      <c r="L2339" s="859"/>
      <c r="M2339" s="859"/>
      <c r="N2339" s="859"/>
      <c r="Q2339" s="812"/>
      <c r="R2339" s="812"/>
      <c r="S2339" s="812"/>
      <c r="T2339" s="812"/>
      <c r="U2339" s="812"/>
      <c r="V2339" s="812"/>
      <c r="W2339" s="812"/>
      <c r="X2339" s="812"/>
      <c r="Y2339" s="812"/>
      <c r="Z2339" s="812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64"/>
      <c r="S2340" s="864"/>
      <c r="T2340" s="864"/>
      <c r="U2340" s="864"/>
      <c r="V2340" s="864"/>
      <c r="W2340" s="864"/>
      <c r="X2340" s="864"/>
      <c r="Y2340" s="864"/>
      <c r="Z2340" s="864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60"/>
      <c r="Z2343" s="860"/>
    </row>
    <row r="2344" spans="1:26" s="231" customFormat="1" ht="15.75">
      <c r="A2344" s="357" t="s">
        <v>365</v>
      </c>
      <c r="B2344" s="358"/>
      <c r="C2344" s="865"/>
      <c r="D2344" s="865"/>
      <c r="E2344" s="865"/>
      <c r="F2344" s="865"/>
      <c r="G2344" s="865"/>
      <c r="H2344" s="865"/>
      <c r="I2344" s="865"/>
      <c r="J2344" s="865"/>
      <c r="K2344" s="865"/>
      <c r="L2344" s="865"/>
      <c r="M2344" s="865"/>
      <c r="N2344" s="866"/>
      <c r="O2344" s="293"/>
      <c r="P2344" s="294">
        <f t="shared" si="44"/>
        <v>0</v>
      </c>
      <c r="Q2344" s="295">
        <f t="shared" si="45"/>
        <v>0</v>
      </c>
      <c r="R2344" s="864"/>
      <c r="S2344" s="864"/>
      <c r="T2344" s="864"/>
      <c r="U2344" s="864"/>
      <c r="V2344" s="864"/>
      <c r="W2344" s="864"/>
      <c r="X2344" s="864"/>
      <c r="Y2344" s="864"/>
      <c r="Z2344" s="864"/>
    </row>
    <row r="2345" spans="1:26" s="231" customFormat="1" ht="18.75" customHeight="1">
      <c r="A2345" s="867" t="s">
        <v>387</v>
      </c>
      <c r="B2345" s="868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64"/>
      <c r="S2345" s="864"/>
      <c r="T2345" s="864"/>
      <c r="U2345" s="864"/>
      <c r="V2345" s="864"/>
      <c r="W2345" s="864"/>
      <c r="X2345" s="864"/>
      <c r="Y2345" s="864"/>
      <c r="Z2345" s="864"/>
    </row>
    <row r="2346" spans="1:26" s="231" customFormat="1" ht="18.75" customHeight="1">
      <c r="A2346" s="867" t="s">
        <v>389</v>
      </c>
      <c r="B2346" s="868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64"/>
      <c r="S2346" s="864"/>
      <c r="T2346" s="864"/>
      <c r="U2346" s="864"/>
      <c r="V2346" s="864"/>
      <c r="W2346" s="864"/>
      <c r="X2346" s="864"/>
      <c r="Y2346" s="864"/>
      <c r="Z2346" s="864"/>
    </row>
    <row r="2347" spans="1:26" s="231" customFormat="1" ht="18.75" customHeight="1">
      <c r="A2347" s="867" t="s">
        <v>390</v>
      </c>
      <c r="B2347" s="868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64"/>
      <c r="S2347" s="864"/>
      <c r="T2347" s="864"/>
      <c r="U2347" s="864"/>
      <c r="V2347" s="864"/>
      <c r="W2347" s="864"/>
      <c r="X2347" s="864"/>
      <c r="Y2347" s="864"/>
      <c r="Z2347" s="864"/>
    </row>
    <row r="2348" spans="1:26" s="231" customFormat="1" ht="18.75" customHeight="1" thickBot="1">
      <c r="A2348" s="867" t="s">
        <v>391</v>
      </c>
      <c r="B2348" s="868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64"/>
      <c r="S2348" s="864"/>
      <c r="T2348" s="864"/>
      <c r="U2348" s="864"/>
      <c r="V2348" s="864"/>
      <c r="W2348" s="864"/>
      <c r="X2348" s="864"/>
      <c r="Y2348" s="864"/>
      <c r="Z2348" s="864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61"/>
      <c r="D2350" s="861"/>
      <c r="E2350" s="861"/>
      <c r="F2350" s="861"/>
      <c r="G2350" s="861"/>
      <c r="H2350" s="861"/>
      <c r="I2350" s="861"/>
      <c r="J2350" s="861"/>
      <c r="K2350" s="861"/>
      <c r="L2350" s="861"/>
      <c r="M2350" s="861"/>
      <c r="N2350" s="861"/>
      <c r="O2350" s="287"/>
      <c r="P2350" s="294">
        <f t="shared" si="44"/>
        <v>0</v>
      </c>
      <c r="Q2350" s="295">
        <f t="shared" si="45"/>
        <v>0</v>
      </c>
      <c r="R2350" s="812"/>
      <c r="S2350" s="812"/>
      <c r="T2350" s="812"/>
      <c r="U2350" s="812"/>
      <c r="V2350" s="812"/>
      <c r="W2350" s="812"/>
      <c r="X2350" s="812"/>
      <c r="Y2350" s="812"/>
      <c r="Z2350" s="812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60"/>
      <c r="Z2351" s="860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60"/>
      <c r="Z2352" s="860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60"/>
      <c r="Z2353" s="860"/>
    </row>
    <row r="2354" spans="1:26" ht="13.5" thickTop="1">
      <c r="A2354" s="349"/>
      <c r="B2354" s="350"/>
      <c r="C2354" s="859"/>
      <c r="D2354" s="859"/>
      <c r="E2354" s="859"/>
      <c r="F2354" s="859"/>
      <c r="G2354" s="859"/>
      <c r="H2354" s="859"/>
      <c r="I2354" s="859"/>
      <c r="J2354" s="859"/>
      <c r="K2354" s="859"/>
      <c r="L2354" s="859"/>
      <c r="M2354" s="859"/>
      <c r="N2354" s="859"/>
      <c r="O2354" s="859"/>
      <c r="P2354" s="859"/>
      <c r="Q2354" s="859"/>
      <c r="R2354" s="859"/>
      <c r="S2354" s="859"/>
      <c r="T2354" s="10"/>
      <c r="U2354" s="812"/>
      <c r="V2354" s="812"/>
      <c r="W2354" s="812"/>
      <c r="X2354" s="812"/>
      <c r="Y2354" s="812"/>
      <c r="Z2354" s="812"/>
    </row>
    <row r="2355" spans="1:26" ht="21.75" customHeight="1">
      <c r="A2355" s="349"/>
      <c r="B2355" s="350"/>
      <c r="C2355" s="859"/>
      <c r="D2355" s="859"/>
      <c r="E2355" s="859"/>
      <c r="F2355" s="859"/>
      <c r="G2355" s="859"/>
      <c r="H2355" s="217" t="s">
        <v>392</v>
      </c>
      <c r="I2355" s="220"/>
      <c r="J2355" s="859"/>
      <c r="K2355" s="859"/>
      <c r="L2355" s="859"/>
      <c r="M2355" s="859"/>
      <c r="N2355" s="859"/>
      <c r="Q2355" s="812"/>
      <c r="R2355" s="812"/>
      <c r="S2355" s="812"/>
      <c r="T2355" s="812"/>
      <c r="U2355" s="812"/>
      <c r="V2355" s="812"/>
      <c r="W2355" s="812"/>
      <c r="X2355" s="812"/>
      <c r="Y2355" s="812"/>
      <c r="Z2355" s="812"/>
    </row>
    <row r="2356" spans="1:26" ht="13.5" thickBot="1">
      <c r="A2356" s="349"/>
      <c r="B2356" s="350"/>
      <c r="C2356" s="859"/>
      <c r="D2356" s="859"/>
      <c r="E2356" s="859"/>
      <c r="F2356" s="859"/>
      <c r="G2356" s="859"/>
      <c r="H2356" s="859"/>
      <c r="I2356" s="859"/>
      <c r="J2356" s="859"/>
      <c r="K2356" s="859"/>
      <c r="L2356" s="859"/>
      <c r="M2356" s="859"/>
      <c r="N2356" s="859"/>
      <c r="Q2356" s="812"/>
      <c r="R2356" s="812"/>
      <c r="S2356" s="812"/>
      <c r="T2356" s="812"/>
      <c r="U2356" s="812"/>
      <c r="V2356" s="812"/>
      <c r="W2356" s="812"/>
      <c r="X2356" s="812"/>
      <c r="Y2356" s="812"/>
      <c r="Z2356" s="812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64"/>
      <c r="S2357" s="864"/>
      <c r="T2357" s="864"/>
      <c r="U2357" s="864"/>
      <c r="V2357" s="864"/>
      <c r="W2357" s="864"/>
      <c r="X2357" s="864"/>
      <c r="Y2357" s="864"/>
      <c r="Z2357" s="864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60"/>
      <c r="Z2360" s="860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64"/>
      <c r="S2361" s="864"/>
      <c r="T2361" s="864"/>
      <c r="U2361" s="864"/>
      <c r="V2361" s="864"/>
      <c r="W2361" s="864"/>
      <c r="X2361" s="864"/>
      <c r="Y2361" s="864"/>
      <c r="Z2361" s="864"/>
    </row>
    <row r="2362" spans="1:26" s="231" customFormat="1" ht="18.75" customHeight="1">
      <c r="A2362" s="867" t="s">
        <v>387</v>
      </c>
      <c r="B2362" s="868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64"/>
      <c r="S2362" s="864"/>
      <c r="T2362" s="864"/>
      <c r="U2362" s="864"/>
      <c r="V2362" s="864"/>
      <c r="W2362" s="864"/>
      <c r="X2362" s="864"/>
      <c r="Y2362" s="864"/>
      <c r="Z2362" s="864"/>
    </row>
    <row r="2363" spans="1:26" s="231" customFormat="1" ht="18.75" customHeight="1">
      <c r="A2363" s="867" t="s">
        <v>389</v>
      </c>
      <c r="B2363" s="868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64"/>
      <c r="S2363" s="864"/>
      <c r="T2363" s="864"/>
      <c r="U2363" s="864"/>
      <c r="V2363" s="864"/>
      <c r="W2363" s="864"/>
      <c r="X2363" s="864"/>
      <c r="Y2363" s="864"/>
      <c r="Z2363" s="864"/>
    </row>
    <row r="2364" spans="1:26" s="231" customFormat="1" ht="18.75" customHeight="1">
      <c r="A2364" s="867" t="s">
        <v>390</v>
      </c>
      <c r="B2364" s="868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64"/>
      <c r="S2364" s="864"/>
      <c r="T2364" s="864"/>
      <c r="U2364" s="864"/>
      <c r="V2364" s="864"/>
      <c r="W2364" s="864"/>
      <c r="X2364" s="864"/>
      <c r="Y2364" s="864"/>
      <c r="Z2364" s="864"/>
    </row>
    <row r="2365" spans="1:26" s="231" customFormat="1" ht="18.75" customHeight="1" thickBot="1">
      <c r="A2365" s="867" t="s">
        <v>391</v>
      </c>
      <c r="B2365" s="868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64"/>
      <c r="S2365" s="864"/>
      <c r="T2365" s="864"/>
      <c r="U2365" s="864"/>
      <c r="V2365" s="864"/>
      <c r="W2365" s="864"/>
      <c r="X2365" s="864"/>
      <c r="Y2365" s="864"/>
      <c r="Z2365" s="864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61"/>
      <c r="D2367" s="861"/>
      <c r="E2367" s="861"/>
      <c r="F2367" s="861"/>
      <c r="G2367" s="861"/>
      <c r="H2367" s="861"/>
      <c r="I2367" s="861"/>
      <c r="J2367" s="861"/>
      <c r="K2367" s="861"/>
      <c r="L2367" s="861"/>
      <c r="M2367" s="861"/>
      <c r="N2367" s="861"/>
      <c r="O2367" s="287"/>
      <c r="P2367" s="294">
        <f t="shared" si="49"/>
        <v>0</v>
      </c>
      <c r="Q2367" s="295">
        <f t="shared" si="50"/>
        <v>0</v>
      </c>
      <c r="R2367" s="812"/>
      <c r="S2367" s="812"/>
      <c r="T2367" s="812"/>
      <c r="U2367" s="812"/>
      <c r="V2367" s="812"/>
      <c r="W2367" s="812"/>
      <c r="X2367" s="812"/>
      <c r="Y2367" s="812"/>
      <c r="Z2367" s="812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60"/>
      <c r="Z2368" s="860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60"/>
      <c r="Z2369" s="860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60"/>
      <c r="Z2370" s="860"/>
    </row>
    <row r="2371" spans="1:26" ht="13.5" thickTop="1">
      <c r="C2371" s="859"/>
      <c r="D2371" s="859"/>
      <c r="E2371" s="859"/>
      <c r="F2371" s="859"/>
      <c r="G2371" s="859"/>
      <c r="H2371" s="859"/>
      <c r="I2371" s="859"/>
      <c r="J2371" s="859"/>
      <c r="K2371" s="859"/>
      <c r="L2371" s="859"/>
      <c r="M2371" s="859"/>
      <c r="N2371" s="859"/>
      <c r="Q2371" s="812"/>
      <c r="R2371" s="812"/>
      <c r="S2371" s="812"/>
      <c r="T2371" s="812"/>
      <c r="U2371" s="812"/>
      <c r="V2371" s="812"/>
      <c r="W2371" s="812"/>
      <c r="X2371" s="812"/>
      <c r="Y2371" s="812"/>
      <c r="Z2371" s="81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7" zoomScaleSheetLayoutView="100" workbookViewId="0">
      <selection activeCell="E27" sqref="E27:E28"/>
    </sheetView>
  </sheetViews>
  <sheetFormatPr defaultColWidth="9.140625" defaultRowHeight="12.75"/>
  <cols>
    <col min="1" max="1" width="9.140625" style="742"/>
    <col min="2" max="2" width="8.7109375" style="742" customWidth="1"/>
    <col min="3" max="3" width="22" style="742" customWidth="1"/>
    <col min="4" max="4" width="12.42578125" style="742" customWidth="1"/>
    <col min="5" max="5" width="15.42578125" style="742" customWidth="1"/>
    <col min="6" max="6" width="18.7109375" style="742" customWidth="1"/>
    <col min="7" max="7" width="22.5703125" style="742" customWidth="1"/>
    <col min="8" max="9" width="17" style="742" customWidth="1"/>
    <col min="10" max="10" width="16.7109375" style="742" customWidth="1"/>
    <col min="11" max="11" width="16.42578125" style="742" bestFit="1" customWidth="1"/>
    <col min="12" max="12" width="13.85546875" style="742" customWidth="1"/>
    <col min="13" max="13" width="14" style="742" customWidth="1"/>
    <col min="14" max="16384" width="9.140625" style="742"/>
  </cols>
  <sheetData>
    <row r="5" spans="2:13" ht="12.75" customHeight="1">
      <c r="B5" s="741"/>
      <c r="C5" s="741"/>
      <c r="D5" s="741"/>
      <c r="E5" s="741"/>
      <c r="F5" s="741"/>
      <c r="G5" s="741"/>
      <c r="H5" s="741"/>
      <c r="I5" s="741"/>
      <c r="J5" s="741"/>
      <c r="K5" s="741"/>
    </row>
    <row r="6" spans="2:13" ht="27">
      <c r="B6" s="741"/>
      <c r="C6" s="741"/>
      <c r="D6" s="741"/>
      <c r="E6" s="741" t="s">
        <v>393</v>
      </c>
      <c r="F6" s="743"/>
      <c r="G6" s="741"/>
      <c r="H6" s="744" t="str">
        <f>Elect!A1</f>
        <v>February</v>
      </c>
      <c r="I6" s="741"/>
      <c r="J6" s="741"/>
      <c r="K6" s="741"/>
    </row>
    <row r="9" spans="2:13" ht="13.5" customHeight="1">
      <c r="B9" s="1017" t="s">
        <v>394</v>
      </c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</row>
    <row r="10" spans="2:13" ht="13.5" customHeight="1" thickBot="1">
      <c r="B10" s="1019"/>
      <c r="C10" s="1020"/>
      <c r="D10" s="1020"/>
      <c r="E10" s="1020"/>
      <c r="F10" s="1020"/>
      <c r="G10" s="1020"/>
      <c r="H10" s="1020"/>
      <c r="I10" s="1020"/>
      <c r="J10" s="1020"/>
      <c r="K10" s="1020"/>
      <c r="L10" s="1020"/>
      <c r="M10" s="1020"/>
    </row>
    <row r="11" spans="2:13" ht="16.5" thickBot="1">
      <c r="B11" s="1030" t="s">
        <v>395</v>
      </c>
      <c r="C11" s="1030"/>
      <c r="D11" s="1030" t="s">
        <v>396</v>
      </c>
      <c r="E11" s="1030"/>
      <c r="F11" s="1030" t="s">
        <v>397</v>
      </c>
      <c r="G11" s="1030"/>
      <c r="H11" s="1028" t="s">
        <v>398</v>
      </c>
      <c r="I11" s="1029"/>
      <c r="J11" s="1028" t="s">
        <v>399</v>
      </c>
      <c r="K11" s="1029"/>
      <c r="L11" s="1028" t="s">
        <v>400</v>
      </c>
      <c r="M11" s="1029"/>
    </row>
    <row r="12" spans="2:13" ht="16.5" thickBot="1">
      <c r="B12" s="745" t="s">
        <v>401</v>
      </c>
      <c r="C12" s="745" t="s">
        <v>402</v>
      </c>
      <c r="D12" s="745" t="s">
        <v>401</v>
      </c>
      <c r="E12" s="745" t="s">
        <v>402</v>
      </c>
      <c r="F12" s="745" t="s">
        <v>401</v>
      </c>
      <c r="G12" s="745" t="s">
        <v>402</v>
      </c>
      <c r="H12" s="745" t="s">
        <v>401</v>
      </c>
      <c r="I12" s="745" t="s">
        <v>402</v>
      </c>
      <c r="J12" s="745" t="s">
        <v>401</v>
      </c>
      <c r="K12" s="745" t="s">
        <v>402</v>
      </c>
      <c r="L12" s="745" t="s">
        <v>401</v>
      </c>
      <c r="M12" s="745" t="s">
        <v>402</v>
      </c>
    </row>
    <row r="13" spans="2:13" ht="13.5" thickBot="1">
      <c r="B13" s="746">
        <f>Elect!AR37</f>
        <v>114625.33357142843</v>
      </c>
      <c r="C13" s="842">
        <f>(B13*1.15)+(2879*60*0.72)</f>
        <v>256191.93360714268</v>
      </c>
      <c r="D13" s="746">
        <f>Elect!J37</f>
        <v>134700</v>
      </c>
      <c r="E13" s="842">
        <f>(D13*1.15)+(573*60)+10000</f>
        <v>199285</v>
      </c>
      <c r="F13" s="746">
        <f>Elect!BM37</f>
        <v>253711.54821428447</v>
      </c>
      <c r="G13" s="842">
        <f>(F13*1.15)</f>
        <v>291768.28044642712</v>
      </c>
      <c r="H13" s="746">
        <f>Elect!Q37</f>
        <v>15240</v>
      </c>
      <c r="I13" s="842">
        <f>H13*1.6+1500</f>
        <v>25884</v>
      </c>
      <c r="J13" s="887">
        <f>B13+D13+F13+H13</f>
        <v>518276.8817857129</v>
      </c>
      <c r="K13" s="843">
        <f>G13+E13+C13+I13</f>
        <v>773129.21405356983</v>
      </c>
      <c r="L13" s="887">
        <f>B13+F13</f>
        <v>368336.8817857129</v>
      </c>
      <c r="M13" s="844">
        <f>C13+G13</f>
        <v>547960.21405356983</v>
      </c>
    </row>
    <row r="16" spans="2:13" ht="0.75" customHeight="1" thickBot="1">
      <c r="K16" s="742">
        <f>K18</f>
        <v>961880.90005356981</v>
      </c>
    </row>
    <row r="17" spans="4:11" ht="13.5" customHeight="1">
      <c r="E17" s="1021" t="s">
        <v>403</v>
      </c>
      <c r="F17" s="1022"/>
      <c r="J17" s="840" t="s">
        <v>404</v>
      </c>
      <c r="K17" s="841">
        <f>K13/J13</f>
        <v>1.4917300794698158</v>
      </c>
    </row>
    <row r="18" spans="4:11" ht="34.5" customHeight="1" thickBot="1">
      <c r="E18" s="1023"/>
      <c r="F18" s="1024"/>
      <c r="J18" s="840" t="s">
        <v>405</v>
      </c>
      <c r="K18" s="845">
        <f>K13+F20+F27+G35</f>
        <v>961880.90005356981</v>
      </c>
    </row>
    <row r="19" spans="4:11" ht="13.5" thickBot="1">
      <c r="E19" s="748" t="s">
        <v>406</v>
      </c>
      <c r="F19" s="748" t="s">
        <v>402</v>
      </c>
    </row>
    <row r="20" spans="4:11" ht="13.5" thickBot="1">
      <c r="E20" s="1025">
        <f>Water!H38</f>
        <v>5015.8399999999983</v>
      </c>
      <c r="F20" s="1027">
        <f>E20*10</f>
        <v>50158.39999999998</v>
      </c>
    </row>
    <row r="21" spans="4:11" ht="13.5" thickBot="1">
      <c r="E21" s="1026"/>
      <c r="F21" s="1027"/>
    </row>
    <row r="23" spans="4:11" ht="13.5" thickBot="1"/>
    <row r="24" spans="4:11" ht="13.5" thickBot="1">
      <c r="E24" s="1031" t="s">
        <v>407</v>
      </c>
      <c r="F24" s="1031"/>
    </row>
    <row r="25" spans="4:11" ht="11.25" customHeight="1" thickBot="1">
      <c r="E25" s="1031"/>
      <c r="F25" s="1031"/>
      <c r="H25" s="816"/>
    </row>
    <row r="26" spans="4:11" ht="13.5" thickBot="1">
      <c r="E26" s="748" t="s">
        <v>406</v>
      </c>
      <c r="F26" s="748" t="s">
        <v>402</v>
      </c>
    </row>
    <row r="27" spans="4:11" ht="13.5" thickBot="1">
      <c r="E27" s="1026">
        <f>Gas!C38</f>
        <v>27993.540000000005</v>
      </c>
      <c r="F27" s="1027">
        <f>E27*3.9</f>
        <v>109174.80600000001</v>
      </c>
    </row>
    <row r="28" spans="4:11" ht="13.5" thickBot="1">
      <c r="E28" s="1026"/>
      <c r="F28" s="1027"/>
    </row>
    <row r="30" spans="4:11" ht="13.5" thickBot="1"/>
    <row r="31" spans="4:11" ht="20.25">
      <c r="D31" s="1032" t="s">
        <v>408</v>
      </c>
      <c r="E31" s="1033"/>
      <c r="F31" s="1033"/>
      <c r="G31" s="1034"/>
      <c r="H31" s="750"/>
      <c r="I31" s="750"/>
    </row>
    <row r="32" spans="4:11" ht="21" thickBot="1">
      <c r="D32" s="1017"/>
      <c r="E32" s="1018"/>
      <c r="F32" s="1018"/>
      <c r="G32" s="1035"/>
      <c r="H32" s="750"/>
      <c r="I32" s="750"/>
    </row>
    <row r="33" spans="3:9" ht="13.5" thickBot="1">
      <c r="D33" s="751" t="s">
        <v>409</v>
      </c>
      <c r="E33" s="751" t="s">
        <v>410</v>
      </c>
      <c r="F33" s="751" t="s">
        <v>411</v>
      </c>
      <c r="G33" s="751" t="s">
        <v>402</v>
      </c>
      <c r="H33" s="752"/>
      <c r="I33" s="752"/>
    </row>
    <row r="34" spans="3:9" ht="13.5" thickBot="1">
      <c r="C34" s="821"/>
      <c r="D34" s="757">
        <f>Gas!D6</f>
        <v>321271</v>
      </c>
      <c r="E34" s="757">
        <f>Gas!D36</f>
        <v>332047</v>
      </c>
      <c r="F34" s="794">
        <f>Gas!E38</f>
        <v>7543.2000000000025</v>
      </c>
      <c r="G34" s="888">
        <f>F34*3.9</f>
        <v>29418.48000000001</v>
      </c>
      <c r="H34" s="754"/>
      <c r="I34" s="754"/>
    </row>
    <row r="35" spans="3:9" ht="18.75" thickBot="1">
      <c r="D35" s="1039" t="s">
        <v>412</v>
      </c>
      <c r="E35" s="1039"/>
      <c r="F35" s="1039"/>
      <c r="G35" s="888">
        <f>G34</f>
        <v>29418.48000000001</v>
      </c>
      <c r="H35" s="756"/>
      <c r="I35" s="756"/>
    </row>
    <row r="37" spans="3:9" ht="13.5" thickBot="1"/>
    <row r="38" spans="3:9" ht="20.25">
      <c r="D38" s="1032" t="s">
        <v>413</v>
      </c>
      <c r="E38" s="1033"/>
      <c r="F38" s="1033"/>
      <c r="G38" s="1034"/>
      <c r="H38" s="750"/>
      <c r="I38" s="750"/>
    </row>
    <row r="39" spans="3:9" ht="21" thickBot="1">
      <c r="D39" s="1017"/>
      <c r="E39" s="1018"/>
      <c r="F39" s="1018"/>
      <c r="G39" s="1035"/>
      <c r="H39" s="750"/>
      <c r="I39" s="750"/>
    </row>
    <row r="40" spans="3:9" ht="18.75" customHeight="1" thickBot="1">
      <c r="D40" s="751" t="s">
        <v>409</v>
      </c>
      <c r="E40" s="751" t="s">
        <v>410</v>
      </c>
      <c r="F40" s="751" t="s">
        <v>401</v>
      </c>
      <c r="G40" s="751" t="s">
        <v>402</v>
      </c>
      <c r="H40" s="752"/>
      <c r="I40" s="752"/>
    </row>
    <row r="41" spans="3:9" ht="13.5" thickBot="1">
      <c r="C41" s="753" t="s">
        <v>87</v>
      </c>
      <c r="D41" s="758">
        <f>Elect!V5</f>
        <v>130984</v>
      </c>
      <c r="E41" s="846">
        <f>Elect!V36</f>
        <v>135058</v>
      </c>
      <c r="F41" s="759">
        <f>E41-D41</f>
        <v>4074</v>
      </c>
      <c r="G41" s="848">
        <f>F41*1.15</f>
        <v>4685.0999999999995</v>
      </c>
      <c r="H41" s="760"/>
      <c r="I41" s="760"/>
    </row>
    <row r="42" spans="3:9" ht="13.5" thickBot="1">
      <c r="C42" s="753" t="s">
        <v>88</v>
      </c>
      <c r="D42" s="758">
        <f>Elect!X5</f>
        <v>238297</v>
      </c>
      <c r="E42" s="758">
        <f>Elect!X36</f>
        <v>245216</v>
      </c>
      <c r="F42" s="759">
        <f>E42-D42</f>
        <v>6919</v>
      </c>
      <c r="G42" s="848">
        <f>F42*1.15</f>
        <v>7956.8499999999995</v>
      </c>
      <c r="H42" s="760"/>
      <c r="I42" s="760"/>
    </row>
    <row r="43" spans="3:9" ht="18.75" thickBot="1">
      <c r="D43" s="1036" t="s">
        <v>412</v>
      </c>
      <c r="E43" s="1037"/>
      <c r="F43" s="1038"/>
      <c r="G43" s="849">
        <f>G42+G41</f>
        <v>12641.949999999999</v>
      </c>
      <c r="H43" s="756"/>
      <c r="I43" s="756"/>
    </row>
    <row r="44" spans="3:9">
      <c r="F44" s="761"/>
    </row>
    <row r="48" spans="3:9" ht="13.5" thickBot="1"/>
    <row r="49" spans="3:7">
      <c r="D49" s="1032" t="s">
        <v>414</v>
      </c>
      <c r="E49" s="1033"/>
      <c r="F49" s="1033"/>
      <c r="G49" s="1034"/>
    </row>
    <row r="50" spans="3:7" ht="13.5" thickBot="1">
      <c r="D50" s="1017"/>
      <c r="E50" s="1018"/>
      <c r="F50" s="1018"/>
      <c r="G50" s="1035"/>
    </row>
    <row r="51" spans="3:7" ht="13.5" thickBot="1">
      <c r="D51" s="751" t="s">
        <v>409</v>
      </c>
      <c r="E51" s="751" t="s">
        <v>410</v>
      </c>
      <c r="F51" s="751" t="s">
        <v>406</v>
      </c>
      <c r="G51" s="751" t="s">
        <v>402</v>
      </c>
    </row>
    <row r="52" spans="3:7" ht="13.5" thickBot="1">
      <c r="C52" s="753" t="s">
        <v>415</v>
      </c>
      <c r="D52" s="757">
        <f>Water!I6</f>
        <v>211</v>
      </c>
      <c r="E52" s="758">
        <f>Water!I37</f>
        <v>212.2</v>
      </c>
      <c r="F52" s="887">
        <f>E52-D52</f>
        <v>1.1999999999999886</v>
      </c>
      <c r="G52" s="749">
        <f>F52*10</f>
        <v>11.999999999999886</v>
      </c>
    </row>
    <row r="53" spans="3:7" ht="13.5" thickBot="1">
      <c r="C53" s="753" t="s">
        <v>416</v>
      </c>
      <c r="D53" s="758">
        <f>Water!K6</f>
        <v>2887</v>
      </c>
      <c r="E53" s="758">
        <f>Water!K37</f>
        <v>2958</v>
      </c>
      <c r="F53" s="759">
        <f>E53-D53</f>
        <v>71</v>
      </c>
      <c r="G53" s="747">
        <f>F53*10</f>
        <v>710</v>
      </c>
    </row>
    <row r="54" spans="3:7" ht="18.75" thickBot="1">
      <c r="D54" s="1036" t="s">
        <v>412</v>
      </c>
      <c r="E54" s="1037"/>
      <c r="F54" s="1038"/>
      <c r="G54" s="755">
        <f>G52+G53</f>
        <v>721.99999999999989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3386F-E62B-4386-ABFB-81FB24CDF6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2022-08-19T12:28:55Z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