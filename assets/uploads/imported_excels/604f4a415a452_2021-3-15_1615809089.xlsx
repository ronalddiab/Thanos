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seyin.avci\Desktop\"/>
    </mc:Choice>
  </mc:AlternateContent>
  <bookViews>
    <workbookView xWindow="0" yWindow="0" windowWidth="28800" windowHeight="1244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10" l="1"/>
  <c r="I18" i="10" s="1"/>
  <c r="I17" i="10"/>
  <c r="H17" i="10"/>
  <c r="H16" i="10"/>
  <c r="I16" i="10" s="1"/>
  <c r="H15" i="10"/>
  <c r="I15" i="10" s="1"/>
  <c r="H14" i="10"/>
  <c r="I14" i="10" s="1"/>
  <c r="I13" i="10"/>
  <c r="H13" i="10"/>
  <c r="H12" i="10"/>
  <c r="I12" i="10" s="1"/>
  <c r="H11" i="10"/>
  <c r="I11" i="10" s="1"/>
  <c r="H10" i="10"/>
  <c r="I10" i="10" s="1"/>
  <c r="I9" i="10"/>
  <c r="H9" i="10"/>
  <c r="H8" i="10"/>
  <c r="I8" i="10" s="1"/>
  <c r="H7" i="10"/>
  <c r="I7" i="10" s="1"/>
  <c r="H6" i="10"/>
  <c r="I6" i="10" s="1"/>
  <c r="I5" i="10"/>
  <c r="H5" i="10"/>
  <c r="H4" i="10"/>
  <c r="I4" i="10" s="1"/>
  <c r="I18" i="9"/>
  <c r="J18" i="9" s="1"/>
  <c r="G18" i="9"/>
  <c r="G17" i="9"/>
  <c r="I17" i="9" s="1"/>
  <c r="G16" i="9"/>
  <c r="I16" i="9" s="1"/>
  <c r="G15" i="9"/>
  <c r="I15" i="9" s="1"/>
  <c r="G14" i="9"/>
  <c r="I14" i="9" s="1"/>
  <c r="G13" i="9"/>
  <c r="I13" i="9" s="1"/>
  <c r="J13" i="9" s="1"/>
  <c r="I12" i="9"/>
  <c r="G12" i="9"/>
  <c r="G11" i="9"/>
  <c r="I11" i="9" s="1"/>
  <c r="J11" i="9" s="1"/>
  <c r="I10" i="9"/>
  <c r="G10" i="9"/>
  <c r="G9" i="9"/>
  <c r="I9" i="9" s="1"/>
  <c r="G8" i="9"/>
  <c r="I8" i="9" s="1"/>
  <c r="G7" i="9"/>
  <c r="I7" i="9" s="1"/>
  <c r="G6" i="9"/>
  <c r="I6" i="9" s="1"/>
  <c r="G5" i="9"/>
  <c r="I5" i="9" s="1"/>
  <c r="J5" i="9" s="1"/>
  <c r="I4" i="9"/>
  <c r="J4" i="9" s="1"/>
  <c r="G4" i="9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G5" i="8"/>
  <c r="H5" i="8" s="1"/>
  <c r="G4" i="8"/>
  <c r="H4" i="8" s="1"/>
  <c r="J6" i="9" l="1"/>
  <c r="J12" i="9"/>
  <c r="J7" i="9"/>
  <c r="J8" i="9"/>
  <c r="J14" i="9"/>
  <c r="J9" i="9"/>
  <c r="J15" i="9"/>
  <c r="J16" i="9"/>
  <c r="J10" i="9"/>
  <c r="J17" i="9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R35" i="10" s="1"/>
  <c r="AO34" i="10"/>
  <c r="AC34" i="10"/>
  <c r="T34" i="10"/>
  <c r="H34" i="10"/>
  <c r="AX33" i="10"/>
  <c r="AV33" i="10"/>
  <c r="AS33" i="10"/>
  <c r="AQ33" i="10"/>
  <c r="AR34" i="10" s="1"/>
  <c r="AO33" i="10"/>
  <c r="AC33" i="10"/>
  <c r="AD34" i="10" s="1"/>
  <c r="T33" i="10"/>
  <c r="H33" i="10"/>
  <c r="AX32" i="10"/>
  <c r="AV32" i="10"/>
  <c r="AS32" i="10"/>
  <c r="AQ32" i="10"/>
  <c r="AO32" i="10"/>
  <c r="AP32" i="10" s="1"/>
  <c r="AC32" i="10"/>
  <c r="T32" i="10"/>
  <c r="U33" i="10" s="1"/>
  <c r="H32" i="10"/>
  <c r="AX31" i="10"/>
  <c r="AV31" i="10"/>
  <c r="AS31" i="10"/>
  <c r="AT32" i="10" s="1"/>
  <c r="AQ31" i="10"/>
  <c r="AO31" i="10"/>
  <c r="AC31" i="10"/>
  <c r="AD32" i="10" s="1"/>
  <c r="T31" i="10"/>
  <c r="H31" i="10"/>
  <c r="AX30" i="10"/>
  <c r="AV30" i="10"/>
  <c r="AS30" i="10"/>
  <c r="AQ30" i="10"/>
  <c r="AR31" i="10" s="1"/>
  <c r="AO30" i="10"/>
  <c r="AP31" i="10" s="1"/>
  <c r="AC30" i="10"/>
  <c r="T30" i="10"/>
  <c r="H30" i="10"/>
  <c r="AX29" i="10"/>
  <c r="AV29" i="10"/>
  <c r="AS29" i="10"/>
  <c r="AQ29" i="10"/>
  <c r="AR30" i="10" s="1"/>
  <c r="AO29" i="10"/>
  <c r="AP29" i="10" s="1"/>
  <c r="AC29" i="10"/>
  <c r="AD30" i="10" s="1"/>
  <c r="T29" i="10"/>
  <c r="H29" i="10"/>
  <c r="AX28" i="10"/>
  <c r="AV28" i="10"/>
  <c r="AS28" i="10"/>
  <c r="AQ28" i="10"/>
  <c r="AO28" i="10"/>
  <c r="AP28" i="10" s="1"/>
  <c r="AC28" i="10"/>
  <c r="T28" i="10"/>
  <c r="U29" i="10" s="1"/>
  <c r="H28" i="10"/>
  <c r="AX27" i="10"/>
  <c r="AV27" i="10"/>
  <c r="AS27" i="10"/>
  <c r="AT28" i="10" s="1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R26" i="10" s="1"/>
  <c r="AO25" i="10"/>
  <c r="AC25" i="10"/>
  <c r="AD26" i="10" s="1"/>
  <c r="T25" i="10"/>
  <c r="H25" i="10"/>
  <c r="AX24" i="10"/>
  <c r="AV24" i="10"/>
  <c r="AS24" i="10"/>
  <c r="AQ24" i="10"/>
  <c r="AO24" i="10"/>
  <c r="AC24" i="10"/>
  <c r="T24" i="10"/>
  <c r="U25" i="10" s="1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R22" i="10" s="1"/>
  <c r="AO21" i="10"/>
  <c r="AC21" i="10"/>
  <c r="AD22" i="10" s="1"/>
  <c r="T21" i="10"/>
  <c r="H21" i="10"/>
  <c r="AX20" i="10"/>
  <c r="AV20" i="10"/>
  <c r="AS20" i="10"/>
  <c r="AQ20" i="10"/>
  <c r="AO20" i="10"/>
  <c r="AC20" i="10"/>
  <c r="T20" i="10"/>
  <c r="U21" i="10" s="1"/>
  <c r="H20" i="10"/>
  <c r="AX19" i="10"/>
  <c r="AV19" i="10"/>
  <c r="AS19" i="10"/>
  <c r="AT20" i="10" s="1"/>
  <c r="AQ19" i="10"/>
  <c r="AO19" i="10"/>
  <c r="AP19" i="10" s="1"/>
  <c r="AU19" i="10" s="1"/>
  <c r="AC19" i="10"/>
  <c r="AD20" i="10" s="1"/>
  <c r="T19" i="10"/>
  <c r="H19" i="10"/>
  <c r="AX18" i="10"/>
  <c r="AV18" i="10"/>
  <c r="AS18" i="10"/>
  <c r="AQ18" i="10"/>
  <c r="AR19" i="10" s="1"/>
  <c r="AO18" i="10"/>
  <c r="AC18" i="10"/>
  <c r="T18" i="10"/>
  <c r="AX17" i="10"/>
  <c r="AV17" i="10"/>
  <c r="AS17" i="10"/>
  <c r="AQ17" i="10"/>
  <c r="AR18" i="10" s="1"/>
  <c r="AO17" i="10"/>
  <c r="AP17" i="10" s="1"/>
  <c r="AC17" i="10"/>
  <c r="AD18" i="10" s="1"/>
  <c r="T17" i="10"/>
  <c r="AX16" i="10"/>
  <c r="AV16" i="10"/>
  <c r="AS16" i="10"/>
  <c r="AQ16" i="10"/>
  <c r="AO16" i="10"/>
  <c r="AP16" i="10" s="1"/>
  <c r="AC16" i="10"/>
  <c r="T16" i="10"/>
  <c r="E14" i="5"/>
  <c r="AX15" i="10"/>
  <c r="AV15" i="10"/>
  <c r="AS15" i="10"/>
  <c r="AQ15" i="10"/>
  <c r="AO15" i="10"/>
  <c r="AP15" i="10" s="1"/>
  <c r="AC15" i="10"/>
  <c r="T15" i="10"/>
  <c r="U15" i="10" s="1"/>
  <c r="AX14" i="10"/>
  <c r="AV14" i="10"/>
  <c r="AS14" i="10"/>
  <c r="AQ14" i="10"/>
  <c r="AR15" i="10" s="1"/>
  <c r="AO14" i="10"/>
  <c r="AP14" i="10" s="1"/>
  <c r="AC14" i="10"/>
  <c r="AD14" i="10" s="1"/>
  <c r="T14" i="10"/>
  <c r="AX13" i="10"/>
  <c r="AV13" i="10"/>
  <c r="AS13" i="10"/>
  <c r="AT14" i="10" s="1"/>
  <c r="AQ13" i="10"/>
  <c r="AO13" i="10"/>
  <c r="AP13" i="10" s="1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P11" i="10" s="1"/>
  <c r="AC11" i="10"/>
  <c r="AD11" i="10" s="1"/>
  <c r="T11" i="10"/>
  <c r="U11" i="10" s="1"/>
  <c r="E9" i="5"/>
  <c r="AX10" i="10"/>
  <c r="AV10" i="10"/>
  <c r="AS10" i="10"/>
  <c r="AQ10" i="10"/>
  <c r="AR10" i="10"/>
  <c r="AO10" i="10"/>
  <c r="AP10" i="10" s="1"/>
  <c r="AC10" i="10"/>
  <c r="AD10" i="10" s="1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R8" i="10" s="1"/>
  <c r="AO8" i="10"/>
  <c r="AP9" i="10" s="1"/>
  <c r="AC8" i="10"/>
  <c r="T8" i="10"/>
  <c r="U8" i="10" s="1"/>
  <c r="E6" i="5"/>
  <c r="AX7" i="10"/>
  <c r="AV7" i="10"/>
  <c r="AS7" i="10"/>
  <c r="AQ7" i="10"/>
  <c r="AO7" i="10"/>
  <c r="AC7" i="10"/>
  <c r="AD8" i="10" s="1"/>
  <c r="AD7" i="10"/>
  <c r="T7" i="10"/>
  <c r="E5" i="5"/>
  <c r="AX6" i="10"/>
  <c r="AV6" i="10"/>
  <c r="AS6" i="10"/>
  <c r="AQ6" i="10"/>
  <c r="AR6" i="10" s="1"/>
  <c r="AU6" i="10" s="1"/>
  <c r="AO6" i="10"/>
  <c r="AP6" i="10"/>
  <c r="AC6" i="10"/>
  <c r="AD6" i="10" s="1"/>
  <c r="T6" i="10"/>
  <c r="AX5" i="10"/>
  <c r="AV5" i="10"/>
  <c r="AS5" i="10"/>
  <c r="AT6" i="10" s="1"/>
  <c r="AT5" i="10"/>
  <c r="AQ5" i="10"/>
  <c r="AO5" i="10"/>
  <c r="AC5" i="10"/>
  <c r="AD5" i="10"/>
  <c r="T5" i="10"/>
  <c r="E3" i="5"/>
  <c r="AX4" i="10"/>
  <c r="AX36" i="10" s="1"/>
  <c r="AV4" i="10"/>
  <c r="AU4" i="10"/>
  <c r="AS4" i="10"/>
  <c r="AQ4" i="10"/>
  <c r="AR5" i="10" s="1"/>
  <c r="AO4" i="10"/>
  <c r="AP5" i="10" s="1"/>
  <c r="AU5" i="10" s="1"/>
  <c r="AC4" i="10"/>
  <c r="AD4" i="10" s="1"/>
  <c r="T4" i="10"/>
  <c r="U4" i="10" s="1"/>
  <c r="K35" i="9"/>
  <c r="G34" i="9"/>
  <c r="I34" i="9" s="1"/>
  <c r="G33" i="9"/>
  <c r="I33" i="9" s="1"/>
  <c r="G32" i="9"/>
  <c r="I32" i="9" s="1"/>
  <c r="J32" i="9" s="1"/>
  <c r="G31" i="9"/>
  <c r="I31" i="9"/>
  <c r="J31" i="9" s="1"/>
  <c r="G30" i="9"/>
  <c r="I30" i="9" s="1"/>
  <c r="G29" i="9"/>
  <c r="I29" i="9" s="1"/>
  <c r="G28" i="9"/>
  <c r="I28" i="9"/>
  <c r="G27" i="9"/>
  <c r="I27" i="9" s="1"/>
  <c r="J27" i="9" s="1"/>
  <c r="G26" i="9"/>
  <c r="I26" i="9" s="1"/>
  <c r="G25" i="9"/>
  <c r="I25" i="9" s="1"/>
  <c r="J25" i="9" s="1"/>
  <c r="G24" i="9"/>
  <c r="I24" i="9" s="1"/>
  <c r="G23" i="9"/>
  <c r="I23" i="9"/>
  <c r="J23" i="9" s="1"/>
  <c r="G22" i="9"/>
  <c r="I22" i="9" s="1"/>
  <c r="G21" i="9"/>
  <c r="I21" i="9" s="1"/>
  <c r="J21" i="9" s="1"/>
  <c r="G20" i="9"/>
  <c r="I20" i="9"/>
  <c r="J20" i="9" s="1"/>
  <c r="G19" i="9"/>
  <c r="I19" i="9" s="1"/>
  <c r="I35" i="8"/>
  <c r="G34" i="8"/>
  <c r="G33" i="8"/>
  <c r="H33" i="8" s="1"/>
  <c r="G32" i="8"/>
  <c r="G31" i="8"/>
  <c r="G30" i="8"/>
  <c r="H30" i="8" s="1"/>
  <c r="I28" i="5"/>
  <c r="G29" i="8"/>
  <c r="G28" i="8"/>
  <c r="G27" i="8"/>
  <c r="G26" i="8"/>
  <c r="H26" i="8" s="1"/>
  <c r="I24" i="5" s="1"/>
  <c r="G25" i="8"/>
  <c r="G24" i="8"/>
  <c r="G23" i="8"/>
  <c r="G22" i="8"/>
  <c r="G21" i="8"/>
  <c r="H21" i="8" s="1"/>
  <c r="G20" i="8"/>
  <c r="G19" i="8"/>
  <c r="I12" i="5"/>
  <c r="I8" i="5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W8" i="10"/>
  <c r="AR11" i="10"/>
  <c r="AR13" i="10"/>
  <c r="V8" i="10"/>
  <c r="AD17" i="10"/>
  <c r="AD19" i="10"/>
  <c r="AD21" i="10"/>
  <c r="AD23" i="10"/>
  <c r="AD25" i="10"/>
  <c r="AD27" i="10"/>
  <c r="AD29" i="10"/>
  <c r="AD31" i="10"/>
  <c r="AD33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20" i="10"/>
  <c r="AP21" i="10"/>
  <c r="AP24" i="10"/>
  <c r="AP25" i="10"/>
  <c r="AP33" i="10"/>
  <c r="AP35" i="10"/>
  <c r="AW13" i="10"/>
  <c r="V13" i="10"/>
  <c r="J29" i="9" l="1"/>
  <c r="G27" i="5" s="1"/>
  <c r="G10" i="5"/>
  <c r="V9" i="10"/>
  <c r="W9" i="10" s="1"/>
  <c r="H25" i="8"/>
  <c r="J28" i="9"/>
  <c r="J33" i="9"/>
  <c r="U16" i="10"/>
  <c r="I13" i="5"/>
  <c r="I19" i="5"/>
  <c r="H20" i="8"/>
  <c r="I18" i="5" s="1"/>
  <c r="H31" i="8"/>
  <c r="I29" i="5" s="1"/>
  <c r="G15" i="5"/>
  <c r="J22" i="9"/>
  <c r="G20" i="5" s="1"/>
  <c r="J34" i="9"/>
  <c r="G32" i="5" s="1"/>
  <c r="AT13" i="10"/>
  <c r="AR14" i="10"/>
  <c r="AU14" i="10" s="1"/>
  <c r="AD15" i="10"/>
  <c r="AP22" i="10"/>
  <c r="AU22" i="10" s="1"/>
  <c r="AU31" i="10"/>
  <c r="AP34" i="10"/>
  <c r="AU34" i="10" s="1"/>
  <c r="I9" i="5"/>
  <c r="I15" i="5"/>
  <c r="I14" i="5"/>
  <c r="H27" i="8"/>
  <c r="I25" i="5" s="1"/>
  <c r="I31" i="5"/>
  <c r="H32" i="8"/>
  <c r="I30" i="5" s="1"/>
  <c r="U9" i="10"/>
  <c r="AD12" i="10"/>
  <c r="U13" i="10"/>
  <c r="W13" i="10" s="1"/>
  <c r="AR16" i="10"/>
  <c r="AU16" i="10" s="1"/>
  <c r="AR20" i="10"/>
  <c r="AR24" i="10"/>
  <c r="AR28" i="10"/>
  <c r="AR32" i="10"/>
  <c r="AW9" i="10"/>
  <c r="H22" i="8"/>
  <c r="I20" i="5" s="1"/>
  <c r="J19" i="9"/>
  <c r="G17" i="5" s="1"/>
  <c r="J24" i="9"/>
  <c r="J30" i="9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U7" i="10" s="1"/>
  <c r="AE13" i="10"/>
  <c r="AF13" i="10" s="1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35" i="8" s="1"/>
  <c r="I23" i="5"/>
  <c r="H24" i="8"/>
  <c r="I22" i="5" s="1"/>
  <c r="AU13" i="10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I35" i="10"/>
  <c r="AU10" i="10"/>
  <c r="AU35" i="10"/>
  <c r="AU28" i="10"/>
  <c r="AU15" i="10"/>
  <c r="AU9" i="10"/>
  <c r="AU20" i="10"/>
  <c r="AU24" i="10"/>
  <c r="AU32" i="10"/>
  <c r="AT8" i="10"/>
  <c r="AR25" i="10"/>
  <c r="AU25" i="10" s="1"/>
  <c r="AR33" i="10"/>
  <c r="AU33" i="10" s="1"/>
  <c r="AP23" i="10"/>
  <c r="AU23" i="10" s="1"/>
  <c r="AT11" i="10"/>
  <c r="AU11" i="10" s="1"/>
  <c r="AP8" i="10"/>
  <c r="AU8" i="10" s="1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30" i="5"/>
  <c r="G11" i="5"/>
  <c r="G14" i="5"/>
  <c r="G19" i="5"/>
  <c r="G22" i="5"/>
  <c r="G28" i="5"/>
  <c r="G31" i="5"/>
  <c r="G21" i="5"/>
  <c r="G16" i="5"/>
  <c r="G18" i="5"/>
  <c r="G23" i="5"/>
  <c r="G29" i="5"/>
  <c r="L37" i="9"/>
  <c r="M37" i="9" s="1"/>
  <c r="G9" i="5"/>
  <c r="G26" i="5"/>
  <c r="AW21" i="10"/>
  <c r="V21" i="10"/>
  <c r="W21" i="10" s="1"/>
  <c r="AE21" i="10"/>
  <c r="AF21" i="10" s="1"/>
  <c r="AE22" i="10"/>
  <c r="AF22" i="10" s="1"/>
  <c r="V22" i="10"/>
  <c r="W22" i="10" s="1"/>
  <c r="AW30" i="10"/>
  <c r="V30" i="10"/>
  <c r="W30" i="10" s="1"/>
  <c r="V20" i="10"/>
  <c r="W20" i="10" s="1"/>
  <c r="AE20" i="10"/>
  <c r="AF20" i="10" s="1"/>
  <c r="AW20" i="10"/>
  <c r="V11" i="10"/>
  <c r="W11" i="10" s="1"/>
  <c r="AE11" i="10"/>
  <c r="AF11" i="10" s="1"/>
  <c r="AW11" i="10"/>
  <c r="AW29" i="10"/>
  <c r="AE29" i="10"/>
  <c r="AF29" i="10" s="1"/>
  <c r="V29" i="10"/>
  <c r="W29" i="10" s="1"/>
  <c r="V23" i="10"/>
  <c r="W23" i="10" s="1"/>
  <c r="AE6" i="10"/>
  <c r="AF6" i="10" s="1"/>
  <c r="AW24" i="10"/>
  <c r="AE24" i="10"/>
  <c r="AF24" i="10" s="1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AW26" i="10"/>
  <c r="AE26" i="10"/>
  <c r="AF26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W16" i="10"/>
  <c r="AE16" i="10"/>
  <c r="AW27" i="10"/>
  <c r="AE27" i="10"/>
  <c r="AF27" i="10" s="1"/>
  <c r="V27" i="10"/>
  <c r="W27" i="10" s="1"/>
  <c r="AW35" i="10"/>
  <c r="V35" i="10"/>
  <c r="W35" i="10" s="1"/>
  <c r="AE35" i="10"/>
  <c r="AF35" i="10" s="1"/>
  <c r="AW7" i="10"/>
  <c r="AW5" i="10"/>
  <c r="AE7" i="10"/>
  <c r="AF7" i="10" s="1"/>
  <c r="AE8" i="10"/>
  <c r="AF8" i="10" s="1"/>
  <c r="AE9" i="10"/>
  <c r="AF9" i="10" s="1"/>
  <c r="V10" i="10"/>
  <c r="W10" i="10" s="1"/>
  <c r="V19" i="10" l="1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AW36" i="10" s="1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E36" i="10" l="1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<sst xmlns="http://schemas.openxmlformats.org/spreadsheetml/2006/main" count="116" uniqueCount="58">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</sst>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53024"/>
        <c:axId val="914241056"/>
      </c:lineChart>
      <c:dateAx>
        <c:axId val="914253024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1424105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14241056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253024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50304"/>
        <c:axId val="914244320"/>
      </c:lineChart>
      <c:dateAx>
        <c:axId val="91425030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4320"/>
        <c:crosses val="autoZero"/>
        <c:auto val="0"/>
        <c:lblOffset val="100"/>
        <c:baseTimeUnit val="days"/>
      </c:dateAx>
      <c:valAx>
        <c:axId val="91424432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5030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49216"/>
        <c:axId val="914249760"/>
      </c:lineChart>
      <c:dateAx>
        <c:axId val="9142492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9760"/>
        <c:crosses val="autoZero"/>
        <c:auto val="0"/>
        <c:lblOffset val="100"/>
        <c:baseTimeUnit val="days"/>
        <c:majorUnit val="1"/>
        <c:majorTimeUnit val="days"/>
      </c:dateAx>
      <c:valAx>
        <c:axId val="914249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92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 refreshError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G2" sqref="G2"/>
    </sheetView>
  </sheetViews>
  <sheetFormatPr defaultColWidth="11.54296875" defaultRowHeight="14.5" x14ac:dyDescent="0.35"/>
  <cols>
    <col min="1" max="1" width="22.453125" style="2" bestFit="1" customWidth="1"/>
    <col min="2" max="2" width="11.54296875" style="2"/>
    <col min="3" max="3" width="11.54296875" style="11"/>
    <col min="4" max="4" width="13.453125" style="2" customWidth="1"/>
    <col min="5" max="5" width="13" style="9" customWidth="1"/>
    <col min="6" max="6" width="12.54296875" style="11" customWidth="1"/>
    <col min="7" max="7" width="13" style="4" customWidth="1"/>
    <col min="8" max="8" width="11.54296875" style="11"/>
    <col min="9" max="9" width="11.54296875" style="2"/>
    <col min="10" max="10" width="11.54296875" style="11"/>
    <col min="11" max="11" width="11.54296875" style="2"/>
  </cols>
  <sheetData>
    <row r="1" spans="1:11" s="1" customFormat="1" ht="43.5" x14ac:dyDescent="0.3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3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v>0</v>
      </c>
      <c r="H2" s="3">
        <v>1.65</v>
      </c>
      <c r="I2" s="13">
        <v>2</v>
      </c>
      <c r="J2" s="3">
        <v>12.28</v>
      </c>
      <c r="K2" s="12">
        <v>0</v>
      </c>
    </row>
    <row r="3" spans="1:11" s="16" customFormat="1" x14ac:dyDescent="0.3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v>2</v>
      </c>
      <c r="J3" s="3">
        <v>12.28</v>
      </c>
      <c r="K3" s="12">
        <v>0</v>
      </c>
    </row>
    <row r="4" spans="1:11" s="16" customFormat="1" x14ac:dyDescent="0.3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v>4</v>
      </c>
      <c r="J4" s="3">
        <v>12.28</v>
      </c>
      <c r="K4" s="12">
        <v>0</v>
      </c>
    </row>
    <row r="5" spans="1:11" s="16" customFormat="1" x14ac:dyDescent="0.3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12.28</v>
      </c>
      <c r="K5" s="12">
        <v>0</v>
      </c>
    </row>
    <row r="6" spans="1:11" s="16" customFormat="1" x14ac:dyDescent="0.3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12.28</v>
      </c>
      <c r="K6" s="12">
        <v>0</v>
      </c>
    </row>
    <row r="7" spans="1:11" s="16" customFormat="1" x14ac:dyDescent="0.3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12.28</v>
      </c>
      <c r="K7" s="12">
        <v>0</v>
      </c>
    </row>
    <row r="8" spans="1:11" s="16" customFormat="1" x14ac:dyDescent="0.3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12.28</v>
      </c>
      <c r="K8" s="12">
        <v>0</v>
      </c>
    </row>
    <row r="9" spans="1:11" s="16" customFormat="1" x14ac:dyDescent="0.3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12.28</v>
      </c>
      <c r="K9" s="12">
        <v>0</v>
      </c>
    </row>
    <row r="10" spans="1:11" s="16" customFormat="1" x14ac:dyDescent="0.3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0.62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12.28</v>
      </c>
      <c r="K10" s="12">
        <v>0</v>
      </c>
    </row>
    <row r="11" spans="1:11" s="16" customFormat="1" x14ac:dyDescent="0.3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0.62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12.28</v>
      </c>
      <c r="K11" s="12">
        <v>0</v>
      </c>
    </row>
    <row r="12" spans="1:11" s="16" customFormat="1" x14ac:dyDescent="0.3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0.62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12.28</v>
      </c>
      <c r="K12" s="12">
        <v>0</v>
      </c>
    </row>
    <row r="13" spans="1:11" s="16" customFormat="1" x14ac:dyDescent="0.3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0.62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12.28</v>
      </c>
      <c r="K13" s="12">
        <v>0</v>
      </c>
    </row>
    <row r="14" spans="1:11" s="16" customFormat="1" x14ac:dyDescent="0.3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0.62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12.28</v>
      </c>
      <c r="K14" s="12">
        <v>0</v>
      </c>
    </row>
    <row r="15" spans="1:11" s="16" customFormat="1" x14ac:dyDescent="0.3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0.62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12.28</v>
      </c>
      <c r="K15" s="12">
        <v>0</v>
      </c>
    </row>
    <row r="16" spans="1:11" s="16" customFormat="1" x14ac:dyDescent="0.3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0.62</v>
      </c>
      <c r="G16" s="13">
        <f>Gas!J18</f>
        <v>0</v>
      </c>
      <c r="H16" s="3">
        <v>1.65</v>
      </c>
      <c r="I16" s="13">
        <f>Water!H18</f>
        <v>3</v>
      </c>
      <c r="J16" s="3">
        <v>12.28</v>
      </c>
      <c r="K16" s="12">
        <v>0</v>
      </c>
    </row>
    <row r="17" spans="1:11" s="16" customFormat="1" x14ac:dyDescent="0.3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12.28</v>
      </c>
      <c r="K17" s="12">
        <v>0</v>
      </c>
    </row>
    <row r="18" spans="1:11" s="16" customFormat="1" x14ac:dyDescent="0.3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12.28</v>
      </c>
      <c r="K18" s="12">
        <v>0</v>
      </c>
    </row>
    <row r="19" spans="1:11" s="16" customFormat="1" x14ac:dyDescent="0.3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12.28</v>
      </c>
      <c r="K19" s="12">
        <v>0</v>
      </c>
    </row>
    <row r="20" spans="1:11" s="16" customFormat="1" x14ac:dyDescent="0.3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12.28</v>
      </c>
      <c r="K20" s="12">
        <v>0</v>
      </c>
    </row>
    <row r="21" spans="1:11" s="16" customFormat="1" x14ac:dyDescent="0.3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12.28</v>
      </c>
      <c r="K21" s="12">
        <v>0</v>
      </c>
    </row>
    <row r="22" spans="1:11" s="16" customFormat="1" x14ac:dyDescent="0.3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12.28</v>
      </c>
      <c r="K22" s="12">
        <v>0</v>
      </c>
    </row>
    <row r="23" spans="1:11" s="16" customFormat="1" x14ac:dyDescent="0.3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12.28</v>
      </c>
      <c r="K23" s="12">
        <v>0</v>
      </c>
    </row>
    <row r="24" spans="1:11" s="16" customFormat="1" x14ac:dyDescent="0.3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12.28</v>
      </c>
      <c r="K24" s="12">
        <v>0</v>
      </c>
    </row>
    <row r="25" spans="1:11" s="16" customFormat="1" x14ac:dyDescent="0.3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12.28</v>
      </c>
      <c r="K25" s="12">
        <v>0</v>
      </c>
    </row>
    <row r="26" spans="1:11" s="16" customFormat="1" x14ac:dyDescent="0.3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12.28</v>
      </c>
      <c r="K26" s="12">
        <v>0</v>
      </c>
    </row>
    <row r="27" spans="1:11" s="16" customFormat="1" x14ac:dyDescent="0.3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12.28</v>
      </c>
      <c r="K27" s="12">
        <v>0</v>
      </c>
    </row>
    <row r="28" spans="1:11" s="16" customFormat="1" x14ac:dyDescent="0.3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12.28</v>
      </c>
      <c r="K28" s="12">
        <v>0</v>
      </c>
    </row>
    <row r="29" spans="1:11" s="16" customFormat="1" x14ac:dyDescent="0.3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12.28</v>
      </c>
      <c r="K29" s="12">
        <v>0</v>
      </c>
    </row>
    <row r="30" spans="1:11" s="16" customFormat="1" x14ac:dyDescent="0.3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12.28</v>
      </c>
      <c r="K30" s="12">
        <v>0</v>
      </c>
    </row>
    <row r="31" spans="1:11" s="14" customFormat="1" x14ac:dyDescent="0.3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12.28</v>
      </c>
      <c r="K31" s="12">
        <v>0</v>
      </c>
    </row>
    <row r="32" spans="1:11" s="14" customFormat="1" x14ac:dyDescent="0.3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12.28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4" sqref="E4:H18"/>
    </sheetView>
  </sheetViews>
  <sheetFormatPr defaultColWidth="9.1796875" defaultRowHeight="12.5" x14ac:dyDescent="0.35"/>
  <cols>
    <col min="1" max="1" width="1.7265625" style="17" customWidth="1"/>
    <col min="2" max="2" width="5.7265625" style="17" customWidth="1"/>
    <col min="3" max="3" width="7.81640625" style="17" customWidth="1"/>
    <col min="4" max="4" width="12.7265625" style="17" customWidth="1"/>
    <col min="5" max="5" width="10.26953125" style="17" customWidth="1"/>
    <col min="6" max="6" width="10" style="17" customWidth="1"/>
    <col min="7" max="7" width="10.81640625" style="17" customWidth="1"/>
    <col min="8" max="8" width="11.26953125" style="17" customWidth="1"/>
    <col min="9" max="10" width="8.453125" style="17" customWidth="1"/>
    <col min="11" max="11" width="8.7265625" style="17" customWidth="1"/>
    <col min="12" max="16384" width="9.1796875" style="17"/>
  </cols>
  <sheetData>
    <row r="1" spans="2:15" ht="33" customHeight="1" x14ac:dyDescent="0.3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35">
      <c r="L2" s="32"/>
    </row>
    <row r="3" spans="2:15" s="33" customFormat="1" ht="30" x14ac:dyDescent="0.3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0" x14ac:dyDescent="0.3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0" x14ac:dyDescent="0.3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18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0" x14ac:dyDescent="0.3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0" x14ac:dyDescent="0.3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0" x14ac:dyDescent="0.3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0" x14ac:dyDescent="0.3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0" x14ac:dyDescent="0.3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0" x14ac:dyDescent="0.3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0" x14ac:dyDescent="0.3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0" x14ac:dyDescent="0.3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0" x14ac:dyDescent="0.3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0" x14ac:dyDescent="0.35">
      <c r="D15" s="40">
        <v>44267</v>
      </c>
      <c r="E15" s="47">
        <v>8954</v>
      </c>
      <c r="F15" s="47">
        <v>1065</v>
      </c>
      <c r="G15" s="47">
        <f t="shared" ref="G15:G18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0" x14ac:dyDescent="0.3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3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3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35">
      <c r="D19" s="40">
        <v>44271</v>
      </c>
      <c r="E19" s="24"/>
      <c r="F19" s="24">
        <v>1065</v>
      </c>
      <c r="G19" s="24">
        <f t="shared" ref="G15:G34" si="3">E19+F19</f>
        <v>1065</v>
      </c>
      <c r="H19" s="25">
        <f t="shared" ref="H6:H34" si="4">IF((G19-G18)&gt;0,G19-G18,0)</f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35">
      <c r="D20" s="40">
        <v>44272</v>
      </c>
      <c r="E20" s="24"/>
      <c r="F20" s="24">
        <v>1065</v>
      </c>
      <c r="G20" s="24">
        <f t="shared" si="3"/>
        <v>1065</v>
      </c>
      <c r="H20" s="25">
        <f t="shared" si="4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35">
      <c r="D21" s="40">
        <v>44273</v>
      </c>
      <c r="E21" s="24"/>
      <c r="F21" s="24">
        <v>1065</v>
      </c>
      <c r="G21" s="24">
        <f t="shared" si="3"/>
        <v>1065</v>
      </c>
      <c r="H21" s="25">
        <f t="shared" si="4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35">
      <c r="D22" s="40">
        <v>44274</v>
      </c>
      <c r="E22" s="24"/>
      <c r="F22" s="24">
        <v>1065</v>
      </c>
      <c r="G22" s="24">
        <f t="shared" si="3"/>
        <v>1065</v>
      </c>
      <c r="H22" s="25">
        <f t="shared" si="4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35">
      <c r="D23" s="40">
        <v>44275</v>
      </c>
      <c r="E23" s="24"/>
      <c r="F23" s="24">
        <v>1065</v>
      </c>
      <c r="G23" s="24">
        <f t="shared" si="3"/>
        <v>1065</v>
      </c>
      <c r="H23" s="25">
        <f t="shared" si="4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35">
      <c r="D24" s="40">
        <v>44276</v>
      </c>
      <c r="E24" s="24"/>
      <c r="F24" s="24">
        <v>1065</v>
      </c>
      <c r="G24" s="24">
        <f t="shared" si="3"/>
        <v>1065</v>
      </c>
      <c r="H24" s="25">
        <f t="shared" si="4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35">
      <c r="D25" s="40">
        <v>44277</v>
      </c>
      <c r="E25" s="24"/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35">
      <c r="D26" s="40">
        <v>44278</v>
      </c>
      <c r="E26" s="24"/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35">
      <c r="D27" s="40">
        <v>44279</v>
      </c>
      <c r="E27" s="29"/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35">
      <c r="D28" s="40">
        <v>44280</v>
      </c>
      <c r="E28" s="29"/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35">
      <c r="D29" s="40">
        <v>44281</v>
      </c>
      <c r="E29" s="29"/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35">
      <c r="D30" s="40">
        <v>44282</v>
      </c>
      <c r="E30" s="29"/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35">
      <c r="D31" s="40">
        <v>44283</v>
      </c>
      <c r="E31" s="29"/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35">
      <c r="D32" s="40">
        <v>44284</v>
      </c>
      <c r="E32" s="29"/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35">
      <c r="B33" s="34"/>
      <c r="C33" s="34"/>
      <c r="D33" s="40">
        <v>44285</v>
      </c>
      <c r="E33" s="29"/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35">
      <c r="D34" s="40">
        <v>44286</v>
      </c>
      <c r="E34" s="29"/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0.5" x14ac:dyDescent="0.35">
      <c r="D35" s="48" t="s">
        <v>31</v>
      </c>
      <c r="E35" s="49"/>
      <c r="F35" s="49"/>
      <c r="G35" s="29"/>
      <c r="H35" s="50">
        <f>SUM(H4:H34)</f>
        <v>36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35">
      <c r="H36" s="53"/>
      <c r="L36" s="32"/>
    </row>
    <row r="37" spans="2:14" ht="13" x14ac:dyDescent="0.35">
      <c r="D37" s="54" t="s">
        <v>57</v>
      </c>
      <c r="L37" s="32"/>
    </row>
    <row r="38" spans="2:14" x14ac:dyDescent="0.35">
      <c r="L38" s="32"/>
    </row>
    <row r="39" spans="2:14" x14ac:dyDescent="0.35">
      <c r="D39" s="55" t="s">
        <v>32</v>
      </c>
      <c r="L39" s="32"/>
    </row>
    <row r="40" spans="2:14" x14ac:dyDescent="0.35">
      <c r="L40" s="32"/>
    </row>
    <row r="41" spans="2:14" x14ac:dyDescent="0.35">
      <c r="L41" s="32"/>
    </row>
    <row r="42" spans="2:14" x14ac:dyDescent="0.35">
      <c r="L42" s="32"/>
    </row>
    <row r="43" spans="2:14" x14ac:dyDescent="0.35">
      <c r="L43" s="32"/>
    </row>
    <row r="44" spans="2:14" x14ac:dyDescent="0.35">
      <c r="L44" s="32"/>
    </row>
    <row r="45" spans="2:14" x14ac:dyDescent="0.35">
      <c r="L45" s="32"/>
    </row>
    <row r="46" spans="2:14" x14ac:dyDescent="0.35">
      <c r="L46" s="32"/>
    </row>
    <row r="47" spans="2:14" x14ac:dyDescent="0.35">
      <c r="L47" s="32"/>
    </row>
    <row r="48" spans="2:14" x14ac:dyDescent="0.35">
      <c r="L48" s="32"/>
    </row>
    <row r="49" spans="12:12" x14ac:dyDescent="0.35">
      <c r="L49" s="32"/>
    </row>
    <row r="50" spans="12:12" x14ac:dyDescent="0.35">
      <c r="L50" s="32"/>
    </row>
    <row r="51" spans="12:12" x14ac:dyDescent="0.35">
      <c r="L51" s="32"/>
    </row>
    <row r="52" spans="12:12" x14ac:dyDescent="0.35">
      <c r="L52" s="32"/>
    </row>
    <row r="53" spans="12:12" x14ac:dyDescent="0.35">
      <c r="L53" s="32"/>
    </row>
    <row r="54" spans="12:12" x14ac:dyDescent="0.35">
      <c r="L54" s="32"/>
    </row>
    <row r="55" spans="12:12" x14ac:dyDescent="0.35">
      <c r="L55" s="32"/>
    </row>
    <row r="56" spans="12:12" x14ac:dyDescent="0.35">
      <c r="L56" s="32"/>
    </row>
    <row r="57" spans="12:12" x14ac:dyDescent="0.35">
      <c r="L57" s="32"/>
    </row>
    <row r="58" spans="12:12" x14ac:dyDescent="0.35">
      <c r="L58" s="32"/>
    </row>
    <row r="59" spans="12:12" x14ac:dyDescent="0.3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2" sqref="F22"/>
    </sheetView>
  </sheetViews>
  <sheetFormatPr defaultColWidth="9.1796875" defaultRowHeight="12.5" x14ac:dyDescent="0.35"/>
  <cols>
    <col min="1" max="1" width="5.453125" style="17" customWidth="1"/>
    <col min="2" max="2" width="4.453125" style="17" hidden="1" customWidth="1"/>
    <col min="3" max="3" width="5.81640625" style="17" hidden="1" customWidth="1"/>
    <col min="4" max="7" width="9.7265625" style="17" customWidth="1"/>
    <col min="8" max="8" width="7.7265625" style="17" customWidth="1"/>
    <col min="9" max="9" width="11.7265625" style="17" customWidth="1"/>
    <col min="10" max="10" width="10.7265625" style="17" customWidth="1"/>
    <col min="11" max="11" width="9.7265625" style="17" customWidth="1"/>
    <col min="12" max="12" width="9.81640625" style="17" hidden="1" customWidth="1"/>
    <col min="13" max="14" width="0" style="17" hidden="1" customWidth="1"/>
    <col min="15" max="16384" width="9.1796875" style="17"/>
  </cols>
  <sheetData>
    <row r="1" spans="2:18" ht="22.5" customHeight="1" x14ac:dyDescent="0.3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5" customHeight="1" x14ac:dyDescent="0.3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3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3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3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18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3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3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3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3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0" x14ac:dyDescent="0.3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3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18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35">
      <c r="D12" s="40">
        <v>44264</v>
      </c>
      <c r="E12" s="24">
        <v>760723</v>
      </c>
      <c r="F12" s="24">
        <v>172062</v>
      </c>
      <c r="G12" s="24">
        <f t="shared" ref="G12:G18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3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3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3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3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3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3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35">
      <c r="D19" s="40">
        <v>44271</v>
      </c>
      <c r="E19" s="24"/>
      <c r="F19" s="24"/>
      <c r="G19" s="24">
        <f t="shared" ref="G12:G34" si="5">E19+F19</f>
        <v>0</v>
      </c>
      <c r="H19" s="18">
        <v>1.3011159999999999</v>
      </c>
      <c r="I19" s="24">
        <f t="shared" ref="I11:I34" si="6">H19*G19</f>
        <v>0</v>
      </c>
      <c r="J19" s="25">
        <f t="shared" ref="J6:J34" si="7">IF((I19-I18)&gt;0,I19-I18,0)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35">
      <c r="D20" s="40">
        <v>44272</v>
      </c>
      <c r="E20" s="24"/>
      <c r="F20" s="24"/>
      <c r="G20" s="24">
        <f t="shared" si="5"/>
        <v>0</v>
      </c>
      <c r="H20" s="18">
        <v>1.3011159999999999</v>
      </c>
      <c r="I20" s="24">
        <f t="shared" si="6"/>
        <v>0</v>
      </c>
      <c r="J20" s="25">
        <f t="shared" si="7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35">
      <c r="D21" s="40">
        <v>44273</v>
      </c>
      <c r="E21" s="24"/>
      <c r="F21" s="24"/>
      <c r="G21" s="24">
        <f t="shared" si="5"/>
        <v>0</v>
      </c>
      <c r="H21" s="18">
        <v>1.3011159999999999</v>
      </c>
      <c r="I21" s="24">
        <f t="shared" si="6"/>
        <v>0</v>
      </c>
      <c r="J21" s="25">
        <f t="shared" si="7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35">
      <c r="D22" s="40">
        <v>44274</v>
      </c>
      <c r="E22" s="24"/>
      <c r="F22" s="24"/>
      <c r="G22" s="24">
        <f t="shared" si="5"/>
        <v>0</v>
      </c>
      <c r="H22" s="18">
        <v>1.3011159999999999</v>
      </c>
      <c r="I22" s="24">
        <f t="shared" si="6"/>
        <v>0</v>
      </c>
      <c r="J22" s="25">
        <f t="shared" si="7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35">
      <c r="D23" s="40">
        <v>44275</v>
      </c>
      <c r="E23" s="24"/>
      <c r="F23" s="24"/>
      <c r="G23" s="24">
        <f t="shared" si="5"/>
        <v>0</v>
      </c>
      <c r="H23" s="18">
        <v>1.3011159999999999</v>
      </c>
      <c r="I23" s="24">
        <f t="shared" si="6"/>
        <v>0</v>
      </c>
      <c r="J23" s="25">
        <f t="shared" si="7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35">
      <c r="D24" s="40">
        <v>44276</v>
      </c>
      <c r="E24" s="24"/>
      <c r="F24" s="24"/>
      <c r="G24" s="24">
        <f t="shared" si="5"/>
        <v>0</v>
      </c>
      <c r="H24" s="18">
        <v>1.3011159999999999</v>
      </c>
      <c r="I24" s="24">
        <f t="shared" si="6"/>
        <v>0</v>
      </c>
      <c r="J24" s="25">
        <f t="shared" si="7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35">
      <c r="D25" s="40">
        <v>44277</v>
      </c>
      <c r="E25" s="24"/>
      <c r="F25" s="24"/>
      <c r="G25" s="24">
        <f t="shared" si="5"/>
        <v>0</v>
      </c>
      <c r="H25" s="18">
        <v>1.3011159999999999</v>
      </c>
      <c r="I25" s="24">
        <f t="shared" si="6"/>
        <v>0</v>
      </c>
      <c r="J25" s="25">
        <f t="shared" si="7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35">
      <c r="D26" s="40">
        <v>44278</v>
      </c>
      <c r="E26" s="24"/>
      <c r="F26" s="24"/>
      <c r="G26" s="24">
        <f t="shared" si="5"/>
        <v>0</v>
      </c>
      <c r="H26" s="18">
        <v>1.3011159999999999</v>
      </c>
      <c r="I26" s="24">
        <f t="shared" si="6"/>
        <v>0</v>
      </c>
      <c r="J26" s="25">
        <f t="shared" si="7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35">
      <c r="D27" s="40">
        <v>44279</v>
      </c>
      <c r="E27" s="24"/>
      <c r="F27" s="24"/>
      <c r="G27" s="24">
        <f t="shared" si="5"/>
        <v>0</v>
      </c>
      <c r="H27" s="18">
        <v>1.3011159999999999</v>
      </c>
      <c r="I27" s="24">
        <f t="shared" si="6"/>
        <v>0</v>
      </c>
      <c r="J27" s="25">
        <f t="shared" si="7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35">
      <c r="D28" s="40">
        <v>44280</v>
      </c>
      <c r="E28" s="24"/>
      <c r="F28" s="24"/>
      <c r="G28" s="24">
        <f t="shared" si="5"/>
        <v>0</v>
      </c>
      <c r="H28" s="18">
        <v>1.3011159999999999</v>
      </c>
      <c r="I28" s="24">
        <f t="shared" si="6"/>
        <v>0</v>
      </c>
      <c r="J28" s="25">
        <f t="shared" si="7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35">
      <c r="D29" s="40">
        <v>44281</v>
      </c>
      <c r="E29" s="24"/>
      <c r="F29" s="24"/>
      <c r="G29" s="24">
        <f t="shared" si="5"/>
        <v>0</v>
      </c>
      <c r="H29" s="18">
        <v>1.3011159999999999</v>
      </c>
      <c r="I29" s="24">
        <f t="shared" si="6"/>
        <v>0</v>
      </c>
      <c r="J29" s="25">
        <f t="shared" si="7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35">
      <c r="D30" s="40">
        <v>44282</v>
      </c>
      <c r="E30" s="24"/>
      <c r="F30" s="24"/>
      <c r="G30" s="24">
        <f t="shared" si="5"/>
        <v>0</v>
      </c>
      <c r="H30" s="18">
        <v>1.3011159999999999</v>
      </c>
      <c r="I30" s="24">
        <f>H30*G30</f>
        <v>0</v>
      </c>
      <c r="J30" s="25">
        <f t="shared" si="7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35">
      <c r="D31" s="40">
        <v>44283</v>
      </c>
      <c r="E31" s="24"/>
      <c r="F31" s="24"/>
      <c r="G31" s="24">
        <f t="shared" si="5"/>
        <v>0</v>
      </c>
      <c r="H31" s="18">
        <v>1.3011159999999999</v>
      </c>
      <c r="I31" s="24">
        <f t="shared" si="6"/>
        <v>0</v>
      </c>
      <c r="J31" s="25">
        <f t="shared" si="7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35">
      <c r="D32" s="40">
        <v>44284</v>
      </c>
      <c r="E32" s="24"/>
      <c r="F32" s="24"/>
      <c r="G32" s="24">
        <f t="shared" si="5"/>
        <v>0</v>
      </c>
      <c r="H32" s="18">
        <v>1.3011159999999999</v>
      </c>
      <c r="I32" s="24">
        <f t="shared" si="6"/>
        <v>0</v>
      </c>
      <c r="J32" s="25">
        <f t="shared" si="7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35">
      <c r="D33" s="40">
        <v>44285</v>
      </c>
      <c r="E33" s="24"/>
      <c r="F33" s="24"/>
      <c r="G33" s="24">
        <f t="shared" si="5"/>
        <v>0</v>
      </c>
      <c r="H33" s="18">
        <v>1.3011159999999999</v>
      </c>
      <c r="I33" s="24">
        <f t="shared" si="6"/>
        <v>0</v>
      </c>
      <c r="J33" s="25">
        <f t="shared" si="7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35">
      <c r="D34" s="40">
        <v>44286</v>
      </c>
      <c r="E34" s="24"/>
      <c r="F34" s="24"/>
      <c r="G34" s="24">
        <f t="shared" si="5"/>
        <v>0</v>
      </c>
      <c r="H34" s="18">
        <v>1.3011159999999999</v>
      </c>
      <c r="I34" s="24">
        <f t="shared" si="6"/>
        <v>0</v>
      </c>
      <c r="J34" s="25">
        <f t="shared" si="7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35">
      <c r="D35" s="48" t="s">
        <v>31</v>
      </c>
      <c r="E35" s="65"/>
      <c r="F35" s="65"/>
      <c r="G35" s="65"/>
      <c r="H35" s="65"/>
      <c r="I35" s="66"/>
      <c r="J35" s="50">
        <f>SUM(J4:J34)</f>
        <v>196.46851600008085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10" customHeight="1" x14ac:dyDescent="0.35"/>
    <row r="37" spans="4:18" ht="12.75" customHeight="1" x14ac:dyDescent="0.3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35">
      <c r="D38" s="54" t="s">
        <v>54</v>
      </c>
    </row>
    <row r="39" spans="4:18" ht="12.75" customHeight="1" x14ac:dyDescent="0.35">
      <c r="D39" s="55" t="s">
        <v>32</v>
      </c>
    </row>
    <row r="40" spans="4:18" ht="12.75" customHeight="1" x14ac:dyDescent="0.35"/>
    <row r="41" spans="4:18" ht="12.75" customHeight="1" x14ac:dyDescent="0.35"/>
    <row r="42" spans="4:18" ht="12.75" customHeight="1" x14ac:dyDescent="0.35"/>
    <row r="43" spans="4:18" ht="12.75" customHeight="1" x14ac:dyDescent="0.35"/>
    <row r="44" spans="4:18" ht="12.75" customHeight="1" x14ac:dyDescent="0.35"/>
    <row r="45" spans="4:18" ht="12.75" customHeight="1" x14ac:dyDescent="0.35"/>
    <row r="46" spans="4:18" ht="12.75" customHeight="1" x14ac:dyDescent="0.35"/>
    <row r="47" spans="4:18" ht="12.75" customHeight="1" x14ac:dyDescent="0.35"/>
    <row r="48" spans="4:18" ht="12.75" customHeight="1" x14ac:dyDescent="0.35"/>
    <row r="49" ht="12.75" customHeight="1" x14ac:dyDescent="0.35"/>
    <row r="50" ht="12.75" customHeight="1" x14ac:dyDescent="0.35"/>
    <row r="51" ht="12.75" customHeight="1" x14ac:dyDescent="0.35"/>
    <row r="52" ht="12.75" customHeight="1" x14ac:dyDescent="0.35"/>
    <row r="53" ht="12.75" customHeight="1" x14ac:dyDescent="0.35"/>
    <row r="54" ht="12.75" customHeight="1" x14ac:dyDescent="0.35"/>
    <row r="55" ht="8.15" customHeight="1" x14ac:dyDescent="0.35"/>
    <row r="56" ht="12.75" customHeight="1" x14ac:dyDescent="0.3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abSelected="1" workbookViewId="0">
      <selection activeCell="F4" sqref="F4:J18"/>
    </sheetView>
  </sheetViews>
  <sheetFormatPr defaultRowHeight="14.5" x14ac:dyDescent="0.35"/>
  <cols>
    <col min="2" max="2" width="3.1796875" customWidth="1"/>
    <col min="3" max="3" width="9.1796875" style="74" hidden="1" customWidth="1"/>
    <col min="4" max="4" width="7.7265625" style="74" hidden="1" customWidth="1"/>
    <col min="5" max="5" width="9.26953125" customWidth="1"/>
    <col min="6" max="6" width="9.453125" bestFit="1" customWidth="1"/>
    <col min="8" max="8" width="10.453125" customWidth="1"/>
    <col min="9" max="9" width="12.81640625" customWidth="1"/>
    <col min="10" max="12" width="9.7265625" customWidth="1"/>
    <col min="13" max="13" width="9.1796875" customWidth="1"/>
    <col min="14" max="14" width="9.26953125" customWidth="1"/>
    <col min="15" max="16" width="9.1796875" customWidth="1"/>
    <col min="17" max="17" width="10.81640625" customWidth="1"/>
    <col min="18" max="19" width="9.1796875" customWidth="1"/>
    <col min="20" max="20" width="17.54296875" customWidth="1"/>
    <col min="21" max="21" width="12.26953125" customWidth="1"/>
    <col min="22" max="22" width="11.453125" customWidth="1"/>
    <col min="23" max="25" width="9.1796875" customWidth="1"/>
    <col min="26" max="26" width="10.81640625" customWidth="1"/>
    <col min="27" max="27" width="10" customWidth="1"/>
    <col min="28" max="28" width="9.1796875" customWidth="1"/>
    <col min="29" max="29" width="10" customWidth="1"/>
    <col min="30" max="30" width="12.7265625" customWidth="1"/>
    <col min="31" max="31" width="10.54296875" customWidth="1"/>
    <col min="32" max="32" width="11.453125" customWidth="1"/>
    <col min="33" max="34" width="9.1796875" customWidth="1"/>
    <col min="35" max="35" width="10.54296875" customWidth="1"/>
    <col min="36" max="39" width="9.453125" customWidth="1"/>
    <col min="40" max="40" width="9.1796875" customWidth="1"/>
    <col min="41" max="41" width="10.1796875" bestFit="1" customWidth="1"/>
    <col min="42" max="42" width="10.81640625" customWidth="1"/>
    <col min="43" max="43" width="10.1796875" customWidth="1"/>
    <col min="44" max="44" width="10.26953125" customWidth="1"/>
    <col min="45" max="46" width="11" customWidth="1"/>
    <col min="47" max="47" width="11.26953125" customWidth="1"/>
    <col min="48" max="48" width="12.1796875" customWidth="1"/>
    <col min="49" max="49" width="10.54296875" customWidth="1"/>
    <col min="50" max="50" width="9.1796875" customWidth="1"/>
  </cols>
  <sheetData>
    <row r="1" spans="3:50" ht="23.25" customHeight="1" x14ac:dyDescent="0.3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3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3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3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3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18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3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3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8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1562.1599999982864</v>
      </c>
      <c r="AX7" s="25">
        <f t="shared" si="10"/>
        <v>7258.0645000000004</v>
      </c>
    </row>
    <row r="8" spans="3:50" x14ac:dyDescent="0.3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8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1548.359999999404</v>
      </c>
      <c r="AX8" s="25" t="e">
        <f>+(#REF!)</f>
        <v>#REF!</v>
      </c>
    </row>
    <row r="9" spans="3:50" x14ac:dyDescent="0.3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8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1515.2400000002235</v>
      </c>
      <c r="AX9" s="25">
        <f>+(J9)</f>
        <v>7258.0645000000004</v>
      </c>
    </row>
    <row r="10" spans="3:50" x14ac:dyDescent="0.3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8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3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3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3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3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1515.2399999983609</v>
      </c>
      <c r="AX14" s="25">
        <f t="shared" si="10"/>
        <v>7258.0645000000004</v>
      </c>
    </row>
    <row r="15" spans="3:50" x14ac:dyDescent="0.3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18" si="19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1617.3600000012666</v>
      </c>
      <c r="AF15" s="87">
        <f t="shared" ref="AF15:AF35" si="26">AD15/AE15</f>
        <v>0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1617.3600000012666</v>
      </c>
      <c r="AX15" s="25">
        <f t="shared" si="10"/>
        <v>7258.0645000000004</v>
      </c>
    </row>
    <row r="16" spans="3:50" x14ac:dyDescent="0.3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19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1771.9199999999255</v>
      </c>
      <c r="AF16" s="87">
        <f t="shared" si="26"/>
        <v>0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1771.9199999999255</v>
      </c>
      <c r="AX16" s="25">
        <f t="shared" si="10"/>
        <v>7258.0645000000004</v>
      </c>
    </row>
    <row r="17" spans="3:50" x14ac:dyDescent="0.3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19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1741.5600000005215</v>
      </c>
      <c r="AF17" s="87">
        <f t="shared" si="26"/>
        <v>0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1741.5600000005215</v>
      </c>
      <c r="AX17" s="25">
        <f t="shared" si="10"/>
        <v>7258.0645000000004</v>
      </c>
    </row>
    <row r="18" spans="3:50" x14ac:dyDescent="0.3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19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1352.4000000003725</v>
      </c>
      <c r="AF18" s="87">
        <f t="shared" si="26"/>
        <v>0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1352.4000000003725</v>
      </c>
      <c r="AX18" s="25">
        <f t="shared" si="10"/>
        <v>7258.0645000000004</v>
      </c>
    </row>
    <row r="19" spans="3:50" x14ac:dyDescent="0.3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ref="H15:H35" si="28">G19*F19</f>
        <v>0</v>
      </c>
      <c r="I19" s="25">
        <f t="shared" ref="I6:I35" si="29">IF((H19-H18)&gt;0,H19-H18,0)</f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0</v>
      </c>
      <c r="AF19" s="87" t="e">
        <f t="shared" si="26"/>
        <v>#DIV/0!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0</v>
      </c>
      <c r="AX19" s="25">
        <f t="shared" si="10"/>
        <v>7258.0645000000004</v>
      </c>
    </row>
    <row r="20" spans="3:50" x14ac:dyDescent="0.3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8"/>
        <v>0</v>
      </c>
      <c r="I20" s="25">
        <f t="shared" si="29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0</v>
      </c>
      <c r="AF20" s="87" t="e">
        <f t="shared" si="26"/>
        <v>#DIV/0!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0</v>
      </c>
      <c r="AX20" s="25">
        <f t="shared" si="27"/>
        <v>7258.0645000000004</v>
      </c>
    </row>
    <row r="21" spans="3:50" x14ac:dyDescent="0.3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8"/>
        <v>0</v>
      </c>
      <c r="I21" s="25">
        <f t="shared" si="29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0</v>
      </c>
      <c r="AX21" s="25">
        <f t="shared" si="27"/>
        <v>7258.0645000000004</v>
      </c>
    </row>
    <row r="22" spans="3:50" x14ac:dyDescent="0.3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8"/>
        <v>0</v>
      </c>
      <c r="I22" s="25">
        <f t="shared" si="29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0</v>
      </c>
      <c r="AF22" s="87" t="e">
        <f t="shared" si="26"/>
        <v>#DIV/0!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0</v>
      </c>
      <c r="AX22" s="25">
        <f t="shared" si="27"/>
        <v>7258.0645000000004</v>
      </c>
    </row>
    <row r="23" spans="3:50" x14ac:dyDescent="0.3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8"/>
        <v>0</v>
      </c>
      <c r="I23" s="25">
        <f t="shared" si="29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0</v>
      </c>
      <c r="AF23" s="87" t="e">
        <f t="shared" si="26"/>
        <v>#DIV/0!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0</v>
      </c>
      <c r="AX23" s="25">
        <f t="shared" si="27"/>
        <v>7258.0645000000004</v>
      </c>
    </row>
    <row r="24" spans="3:50" x14ac:dyDescent="0.3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8"/>
        <v>0</v>
      </c>
      <c r="I24" s="25">
        <f t="shared" si="29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0</v>
      </c>
      <c r="AF24" s="87" t="e">
        <f t="shared" si="26"/>
        <v>#DIV/0!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0</v>
      </c>
      <c r="AX24" s="25">
        <f t="shared" si="27"/>
        <v>7258.0645000000004</v>
      </c>
    </row>
    <row r="25" spans="3:50" x14ac:dyDescent="0.3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8"/>
        <v>0</v>
      </c>
      <c r="I25" s="25">
        <f t="shared" si="29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30">T25-T24</f>
        <v>0</v>
      </c>
      <c r="V25" s="25">
        <f t="shared" si="22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0</v>
      </c>
      <c r="AF25" s="87" t="e">
        <f t="shared" si="26"/>
        <v>#DIV/0!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0</v>
      </c>
      <c r="AX25" s="25">
        <f t="shared" si="27"/>
        <v>7258.0645000000004</v>
      </c>
    </row>
    <row r="26" spans="3:50" x14ac:dyDescent="0.3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8"/>
        <v>0</v>
      </c>
      <c r="I26" s="25">
        <f t="shared" si="29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30"/>
        <v>0</v>
      </c>
      <c r="V26" s="99">
        <f t="shared" si="22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0</v>
      </c>
      <c r="AF26" s="100" t="e">
        <f>AD26/AE26</f>
        <v>#DIV/0!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7258.0645000000004</v>
      </c>
    </row>
    <row r="27" spans="3:50" x14ac:dyDescent="0.3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8"/>
        <v>0</v>
      </c>
      <c r="I27" s="25">
        <f t="shared" si="29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30"/>
        <v>0</v>
      </c>
      <c r="V27" s="99">
        <f t="shared" si="22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7258.0645000000004</v>
      </c>
    </row>
    <row r="28" spans="3:50" x14ac:dyDescent="0.3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8"/>
        <v>0</v>
      </c>
      <c r="I28" s="25">
        <f t="shared" si="29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30"/>
        <v>0</v>
      </c>
      <c r="V28" s="99">
        <f t="shared" si="22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7258.0645000000004</v>
      </c>
    </row>
    <row r="29" spans="3:50" x14ac:dyDescent="0.3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8"/>
        <v>0</v>
      </c>
      <c r="I29" s="25">
        <f t="shared" si="29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30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3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8"/>
        <v>0</v>
      </c>
      <c r="I30" s="25">
        <f t="shared" si="29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30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3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8"/>
        <v>0</v>
      </c>
      <c r="I31" s="25">
        <f t="shared" si="29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30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3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8"/>
        <v>0</v>
      </c>
      <c r="I32" s="25">
        <f t="shared" si="29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30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3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8"/>
        <v>0</v>
      </c>
      <c r="I33" s="25">
        <f t="shared" si="29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30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35">
      <c r="C34" s="80"/>
      <c r="D34" s="80"/>
      <c r="E34" s="40">
        <v>44286</v>
      </c>
      <c r="F34" s="27"/>
      <c r="G34" s="23">
        <v>2760</v>
      </c>
      <c r="H34" s="24">
        <f t="shared" si="28"/>
        <v>0</v>
      </c>
      <c r="I34" s="25">
        <f t="shared" si="29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35">
      <c r="C35" s="80"/>
      <c r="D35" s="80"/>
      <c r="E35" s="40">
        <v>44287</v>
      </c>
      <c r="F35" s="27"/>
      <c r="G35" s="23">
        <v>2760</v>
      </c>
      <c r="H35" s="24">
        <f t="shared" si="28"/>
        <v>0</v>
      </c>
      <c r="I35" s="25">
        <f t="shared" si="29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35">
      <c r="C36" s="80"/>
      <c r="D36" s="80"/>
      <c r="E36" s="48" t="s">
        <v>31</v>
      </c>
      <c r="F36" s="49"/>
      <c r="G36" s="49"/>
      <c r="H36" s="29"/>
      <c r="I36" s="99">
        <f>SUM(I5:I35)</f>
        <v>21693.599999999627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2"/>
        <v>21693.599999999627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21693.599999999627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22943.88000000082</v>
      </c>
      <c r="AX36" s="99" t="e">
        <f>SUM(AX4:AX34)</f>
        <v>#REF!</v>
      </c>
    </row>
    <row r="37" spans="3:50" x14ac:dyDescent="0.3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3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3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3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3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3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3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3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3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3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3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3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3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3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3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3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3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3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3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3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3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3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3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3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3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3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3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3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3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3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3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3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3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3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3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3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3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3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3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3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3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3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3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3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3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3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3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3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3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Huseyin Avci</cp:lastModifiedBy>
  <dcterms:created xsi:type="dcterms:W3CDTF">2017-05-22T13:08:25Z</dcterms:created>
  <dcterms:modified xsi:type="dcterms:W3CDTF">2021-03-15T11:50:28Z</dcterms:modified>
</cp:coreProperties>
</file>