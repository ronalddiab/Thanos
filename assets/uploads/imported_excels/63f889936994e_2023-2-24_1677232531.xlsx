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Engineering\Utilities Checklist\Hotel Energy Portal (HEP)\HEP Daily Utilities 2022\"/>
    </mc:Choice>
  </mc:AlternateContent>
  <bookViews>
    <workbookView xWindow="0" yWindow="0" windowWidth="28800" windowHeight="12300" activeTab="2"/>
  </bookViews>
  <sheets>
    <sheet name="Total" sheetId="1" r:id="rId1"/>
    <sheet name="Submetering" sheetId="2" r:id="rId2"/>
    <sheet name="Daily Meter Reading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Q33" i="3" l="1"/>
  <c r="L32" i="2" s="1"/>
  <c r="I32" i="1" s="1"/>
  <c r="O33" i="3"/>
  <c r="K32" i="2" s="1"/>
  <c r="M33" i="3"/>
  <c r="J32" i="2" s="1"/>
  <c r="K33" i="3"/>
  <c r="I32" i="2" s="1"/>
  <c r="I33" i="3"/>
  <c r="H32" i="2" s="1"/>
  <c r="G33" i="3"/>
  <c r="G32" i="2" s="1"/>
  <c r="E33" i="3"/>
  <c r="F32" i="2" s="1"/>
  <c r="C33" i="3"/>
  <c r="E32" i="2" s="1"/>
  <c r="Q32" i="3"/>
  <c r="L31" i="2" s="1"/>
  <c r="I31" i="1" s="1"/>
  <c r="O32" i="3"/>
  <c r="K31" i="2" s="1"/>
  <c r="M32" i="3"/>
  <c r="J31" i="2" s="1"/>
  <c r="K32" i="3"/>
  <c r="I31" i="2" s="1"/>
  <c r="I32" i="3"/>
  <c r="H31" i="2" s="1"/>
  <c r="G32" i="3"/>
  <c r="G31" i="2" s="1"/>
  <c r="E32" i="3"/>
  <c r="F31" i="2" s="1"/>
  <c r="C32" i="3"/>
  <c r="E31" i="2" s="1"/>
  <c r="Q31" i="3"/>
  <c r="L30" i="2" s="1"/>
  <c r="I30" i="1" s="1"/>
  <c r="O31" i="3"/>
  <c r="K30" i="2" s="1"/>
  <c r="M31" i="3"/>
  <c r="J30" i="2" s="1"/>
  <c r="K31" i="3"/>
  <c r="I30" i="2" s="1"/>
  <c r="I31" i="3"/>
  <c r="H30" i="2" s="1"/>
  <c r="G31" i="3"/>
  <c r="G30" i="2" s="1"/>
  <c r="E31" i="3"/>
  <c r="F30" i="2" s="1"/>
  <c r="C31" i="3"/>
  <c r="E30" i="2" s="1"/>
  <c r="Q30" i="3"/>
  <c r="L29" i="2" s="1"/>
  <c r="I29" i="1" s="1"/>
  <c r="O30" i="3"/>
  <c r="K29" i="2" s="1"/>
  <c r="M30" i="3"/>
  <c r="J29" i="2" s="1"/>
  <c r="K30" i="3"/>
  <c r="I29" i="2" s="1"/>
  <c r="I30" i="3"/>
  <c r="H29" i="2" s="1"/>
  <c r="G30" i="3"/>
  <c r="G29" i="2" s="1"/>
  <c r="E30" i="3"/>
  <c r="F29" i="2" s="1"/>
  <c r="C30" i="3"/>
  <c r="E29" i="2" s="1"/>
  <c r="Q29" i="3"/>
  <c r="L28" i="2" s="1"/>
  <c r="I28" i="1" s="1"/>
  <c r="O29" i="3"/>
  <c r="K28" i="2" s="1"/>
  <c r="M29" i="3"/>
  <c r="J28" i="2" s="1"/>
  <c r="K29" i="3"/>
  <c r="I28" i="2" s="1"/>
  <c r="I29" i="3"/>
  <c r="H28" i="2" s="1"/>
  <c r="G29" i="3"/>
  <c r="G28" i="2" s="1"/>
  <c r="E29" i="3"/>
  <c r="F28" i="2" s="1"/>
  <c r="C29" i="3"/>
  <c r="E28" i="2" s="1"/>
  <c r="Q28" i="3"/>
  <c r="L27" i="2" s="1"/>
  <c r="I27" i="1" s="1"/>
  <c r="O28" i="3"/>
  <c r="K27" i="2" s="1"/>
  <c r="M28" i="3"/>
  <c r="J27" i="2" s="1"/>
  <c r="K28" i="3"/>
  <c r="I27" i="2" s="1"/>
  <c r="I28" i="3"/>
  <c r="H27" i="2" s="1"/>
  <c r="G28" i="3"/>
  <c r="G27" i="2" s="1"/>
  <c r="E28" i="3"/>
  <c r="F27" i="2" s="1"/>
  <c r="C28" i="3"/>
  <c r="E27" i="2" s="1"/>
  <c r="Q27" i="3"/>
  <c r="L26" i="2" s="1"/>
  <c r="I26" i="1" s="1"/>
  <c r="O27" i="3"/>
  <c r="K26" i="2" s="1"/>
  <c r="M27" i="3"/>
  <c r="J26" i="2" s="1"/>
  <c r="K27" i="3"/>
  <c r="I26" i="2" s="1"/>
  <c r="I27" i="3"/>
  <c r="H26" i="2" s="1"/>
  <c r="G27" i="3"/>
  <c r="G26" i="2" s="1"/>
  <c r="E27" i="3"/>
  <c r="F26" i="2" s="1"/>
  <c r="C27" i="3"/>
  <c r="E26" i="2" s="1"/>
  <c r="Q26" i="3"/>
  <c r="L25" i="2" s="1"/>
  <c r="I25" i="1" s="1"/>
  <c r="O26" i="3"/>
  <c r="K25" i="2" s="1"/>
  <c r="M26" i="3"/>
  <c r="J25" i="2" s="1"/>
  <c r="K26" i="3"/>
  <c r="I25" i="2" s="1"/>
  <c r="I26" i="3"/>
  <c r="H25" i="2" s="1"/>
  <c r="G26" i="3"/>
  <c r="G25" i="2" s="1"/>
  <c r="E26" i="3"/>
  <c r="F25" i="2" s="1"/>
  <c r="C26" i="3"/>
  <c r="E25" i="2" s="1"/>
  <c r="Q25" i="3"/>
  <c r="L24" i="2" s="1"/>
  <c r="I24" i="1" s="1"/>
  <c r="O25" i="3"/>
  <c r="K24" i="2" s="1"/>
  <c r="M25" i="3"/>
  <c r="J24" i="2" s="1"/>
  <c r="K25" i="3"/>
  <c r="I24" i="2" s="1"/>
  <c r="I25" i="3"/>
  <c r="H24" i="2" s="1"/>
  <c r="G25" i="3"/>
  <c r="G24" i="2" s="1"/>
  <c r="E25" i="3"/>
  <c r="F24" i="2" s="1"/>
  <c r="C25" i="3"/>
  <c r="E24" i="2" s="1"/>
  <c r="Q24" i="3"/>
  <c r="L23" i="2" s="1"/>
  <c r="I23" i="1" s="1"/>
  <c r="O24" i="3"/>
  <c r="K23" i="2" s="1"/>
  <c r="M24" i="3"/>
  <c r="J23" i="2" s="1"/>
  <c r="K24" i="3"/>
  <c r="I23" i="2" s="1"/>
  <c r="I24" i="3"/>
  <c r="H23" i="2" s="1"/>
  <c r="G24" i="3"/>
  <c r="G23" i="2" s="1"/>
  <c r="E24" i="3"/>
  <c r="F23" i="2" s="1"/>
  <c r="C24" i="3"/>
  <c r="E23" i="2" s="1"/>
  <c r="Q23" i="3"/>
  <c r="L22" i="2" s="1"/>
  <c r="I22" i="1" s="1"/>
  <c r="O23" i="3"/>
  <c r="K22" i="2" s="1"/>
  <c r="M23" i="3"/>
  <c r="J22" i="2" s="1"/>
  <c r="K23" i="3"/>
  <c r="I22" i="2" s="1"/>
  <c r="I23" i="3"/>
  <c r="H22" i="2" s="1"/>
  <c r="G23" i="3"/>
  <c r="G22" i="2" s="1"/>
  <c r="E23" i="3"/>
  <c r="F22" i="2" s="1"/>
  <c r="C23" i="3"/>
  <c r="E22" i="2" s="1"/>
  <c r="Q22" i="3"/>
  <c r="L21" i="2" s="1"/>
  <c r="I21" i="1" s="1"/>
  <c r="O22" i="3"/>
  <c r="K21" i="2" s="1"/>
  <c r="M22" i="3"/>
  <c r="J21" i="2" s="1"/>
  <c r="K22" i="3"/>
  <c r="I21" i="2" s="1"/>
  <c r="I22" i="3"/>
  <c r="H21" i="2" s="1"/>
  <c r="G22" i="3"/>
  <c r="G21" i="2" s="1"/>
  <c r="E22" i="3"/>
  <c r="F21" i="2" s="1"/>
  <c r="C22" i="3"/>
  <c r="E21" i="2" s="1"/>
  <c r="Q21" i="3"/>
  <c r="L20" i="2" s="1"/>
  <c r="I20" i="1" s="1"/>
  <c r="O21" i="3"/>
  <c r="K20" i="2" s="1"/>
  <c r="M21" i="3"/>
  <c r="J20" i="2" s="1"/>
  <c r="K21" i="3"/>
  <c r="I20" i="2" s="1"/>
  <c r="I21" i="3"/>
  <c r="H20" i="2" s="1"/>
  <c r="G21" i="3"/>
  <c r="G20" i="2" s="1"/>
  <c r="E21" i="3"/>
  <c r="F20" i="2" s="1"/>
  <c r="C21" i="3"/>
  <c r="E20" i="2" s="1"/>
  <c r="Q20" i="3"/>
  <c r="L19" i="2" s="1"/>
  <c r="I19" i="1" s="1"/>
  <c r="O20" i="3"/>
  <c r="K19" i="2" s="1"/>
  <c r="M20" i="3"/>
  <c r="J19" i="2" s="1"/>
  <c r="K20" i="3"/>
  <c r="I19" i="2" s="1"/>
  <c r="I20" i="3"/>
  <c r="H19" i="2" s="1"/>
  <c r="G20" i="3"/>
  <c r="G19" i="2" s="1"/>
  <c r="E20" i="3"/>
  <c r="F19" i="2" s="1"/>
  <c r="C20" i="3"/>
  <c r="E19" i="2" s="1"/>
  <c r="Q19" i="3"/>
  <c r="L18" i="2" s="1"/>
  <c r="I18" i="1" s="1"/>
  <c r="O19" i="3"/>
  <c r="K18" i="2" s="1"/>
  <c r="M19" i="3"/>
  <c r="J18" i="2" s="1"/>
  <c r="K19" i="3"/>
  <c r="I18" i="2" s="1"/>
  <c r="I19" i="3"/>
  <c r="H18" i="2" s="1"/>
  <c r="G19" i="3"/>
  <c r="G18" i="2" s="1"/>
  <c r="E19" i="3"/>
  <c r="F18" i="2" s="1"/>
  <c r="C19" i="3"/>
  <c r="E18" i="2" s="1"/>
  <c r="Q18" i="3"/>
  <c r="L17" i="2" s="1"/>
  <c r="I17" i="1" s="1"/>
  <c r="O18" i="3"/>
  <c r="K17" i="2" s="1"/>
  <c r="M18" i="3"/>
  <c r="J17" i="2" s="1"/>
  <c r="K18" i="3"/>
  <c r="I17" i="2" s="1"/>
  <c r="I18" i="3"/>
  <c r="H17" i="2" s="1"/>
  <c r="G18" i="3"/>
  <c r="G17" i="2" s="1"/>
  <c r="E18" i="3"/>
  <c r="F17" i="2" s="1"/>
  <c r="C18" i="3"/>
  <c r="E17" i="2" s="1"/>
  <c r="Q17" i="3"/>
  <c r="L16" i="2" s="1"/>
  <c r="I16" i="1" s="1"/>
  <c r="O17" i="3"/>
  <c r="K16" i="2" s="1"/>
  <c r="M17" i="3"/>
  <c r="J16" i="2" s="1"/>
  <c r="K17" i="3"/>
  <c r="I16" i="2" s="1"/>
  <c r="I17" i="3"/>
  <c r="H16" i="2" s="1"/>
  <c r="G17" i="3"/>
  <c r="G16" i="2" s="1"/>
  <c r="E17" i="3"/>
  <c r="F16" i="2" s="1"/>
  <c r="C17" i="3"/>
  <c r="E16" i="2" s="1"/>
  <c r="Q16" i="3"/>
  <c r="L15" i="2" s="1"/>
  <c r="I15" i="1" s="1"/>
  <c r="O16" i="3"/>
  <c r="K15" i="2" s="1"/>
  <c r="M16" i="3"/>
  <c r="J15" i="2" s="1"/>
  <c r="K16" i="3"/>
  <c r="I15" i="2" s="1"/>
  <c r="I16" i="3"/>
  <c r="H15" i="2" s="1"/>
  <c r="G16" i="3"/>
  <c r="G15" i="2" s="1"/>
  <c r="E16" i="3"/>
  <c r="F15" i="2" s="1"/>
  <c r="C16" i="3"/>
  <c r="E15" i="2" s="1"/>
  <c r="Q15" i="3"/>
  <c r="L14" i="2" s="1"/>
  <c r="I14" i="1" s="1"/>
  <c r="O15" i="3"/>
  <c r="K14" i="2" s="1"/>
  <c r="M15" i="3"/>
  <c r="J14" i="2" s="1"/>
  <c r="K15" i="3"/>
  <c r="I14" i="2" s="1"/>
  <c r="I15" i="3"/>
  <c r="H14" i="2" s="1"/>
  <c r="G15" i="3"/>
  <c r="G14" i="2" s="1"/>
  <c r="E15" i="3"/>
  <c r="F14" i="2" s="1"/>
  <c r="C15" i="3"/>
  <c r="E14" i="2" s="1"/>
  <c r="Q14" i="3"/>
  <c r="L13" i="2" s="1"/>
  <c r="I13" i="1" s="1"/>
  <c r="O14" i="3"/>
  <c r="K13" i="2" s="1"/>
  <c r="M14" i="3"/>
  <c r="J13" i="2" s="1"/>
  <c r="K14" i="3"/>
  <c r="I13" i="2" s="1"/>
  <c r="I14" i="3"/>
  <c r="H13" i="2" s="1"/>
  <c r="G14" i="3"/>
  <c r="G13" i="2" s="1"/>
  <c r="E14" i="3"/>
  <c r="F13" i="2" s="1"/>
  <c r="C14" i="3"/>
  <c r="E13" i="2" s="1"/>
  <c r="Q13" i="3"/>
  <c r="L12" i="2" s="1"/>
  <c r="I12" i="1" s="1"/>
  <c r="O13" i="3"/>
  <c r="K12" i="2" s="1"/>
  <c r="M13" i="3"/>
  <c r="J12" i="2" s="1"/>
  <c r="K13" i="3"/>
  <c r="I12" i="2" s="1"/>
  <c r="I13" i="3"/>
  <c r="H12" i="2" s="1"/>
  <c r="G13" i="3"/>
  <c r="G12" i="2" s="1"/>
  <c r="E13" i="3"/>
  <c r="F12" i="2" s="1"/>
  <c r="C13" i="3"/>
  <c r="E12" i="2" s="1"/>
  <c r="Q12" i="3"/>
  <c r="L11" i="2" s="1"/>
  <c r="I11" i="1" s="1"/>
  <c r="O12" i="3"/>
  <c r="K11" i="2" s="1"/>
  <c r="M12" i="3"/>
  <c r="J11" i="2" s="1"/>
  <c r="K12" i="3"/>
  <c r="I11" i="2" s="1"/>
  <c r="I12" i="3"/>
  <c r="H11" i="2" s="1"/>
  <c r="G12" i="3"/>
  <c r="G11" i="2" s="1"/>
  <c r="E12" i="3"/>
  <c r="F11" i="2" s="1"/>
  <c r="C12" i="3"/>
  <c r="E11" i="2" s="1"/>
  <c r="Q11" i="3"/>
  <c r="L10" i="2" s="1"/>
  <c r="I10" i="1" s="1"/>
  <c r="O11" i="3"/>
  <c r="K10" i="2" s="1"/>
  <c r="M11" i="3"/>
  <c r="J10" i="2" s="1"/>
  <c r="K11" i="3"/>
  <c r="I10" i="2" s="1"/>
  <c r="I11" i="3"/>
  <c r="H10" i="2" s="1"/>
  <c r="G11" i="3"/>
  <c r="G10" i="2" s="1"/>
  <c r="E11" i="3"/>
  <c r="F10" i="2" s="1"/>
  <c r="C11" i="3"/>
  <c r="E10" i="2" s="1"/>
  <c r="Q10" i="3"/>
  <c r="L9" i="2" s="1"/>
  <c r="I9" i="1" s="1"/>
  <c r="O10" i="3"/>
  <c r="K9" i="2" s="1"/>
  <c r="M10" i="3"/>
  <c r="J9" i="2" s="1"/>
  <c r="K10" i="3"/>
  <c r="I9" i="2" s="1"/>
  <c r="I10" i="3"/>
  <c r="H9" i="2" s="1"/>
  <c r="G10" i="3"/>
  <c r="G9" i="2" s="1"/>
  <c r="E10" i="3"/>
  <c r="F9" i="2" s="1"/>
  <c r="C10" i="3"/>
  <c r="E9" i="2" s="1"/>
  <c r="Q9" i="3"/>
  <c r="L8" i="2" s="1"/>
  <c r="I8" i="1" s="1"/>
  <c r="O9" i="3"/>
  <c r="K8" i="2" s="1"/>
  <c r="M9" i="3"/>
  <c r="J8" i="2" s="1"/>
  <c r="K9" i="3"/>
  <c r="I8" i="2" s="1"/>
  <c r="I9" i="3"/>
  <c r="H8" i="2" s="1"/>
  <c r="G9" i="3"/>
  <c r="G8" i="2" s="1"/>
  <c r="E9" i="3"/>
  <c r="F8" i="2" s="1"/>
  <c r="C9" i="3"/>
  <c r="E8" i="2" s="1"/>
  <c r="Q8" i="3"/>
  <c r="L7" i="2" s="1"/>
  <c r="I7" i="1" s="1"/>
  <c r="O8" i="3"/>
  <c r="K7" i="2" s="1"/>
  <c r="M8" i="3"/>
  <c r="J7" i="2" s="1"/>
  <c r="K8" i="3"/>
  <c r="I7" i="2" s="1"/>
  <c r="I8" i="3"/>
  <c r="H7" i="2" s="1"/>
  <c r="G8" i="3"/>
  <c r="G7" i="2" s="1"/>
  <c r="E8" i="3"/>
  <c r="F7" i="2" s="1"/>
  <c r="C8" i="3"/>
  <c r="E7" i="2" s="1"/>
  <c r="Q7" i="3"/>
  <c r="L6" i="2" s="1"/>
  <c r="I6" i="1" s="1"/>
  <c r="O7" i="3"/>
  <c r="K6" i="2" s="1"/>
  <c r="M7" i="3"/>
  <c r="J6" i="2" s="1"/>
  <c r="K7" i="3"/>
  <c r="I6" i="2" s="1"/>
  <c r="I7" i="3"/>
  <c r="H6" i="2" s="1"/>
  <c r="G7" i="3"/>
  <c r="G6" i="2" s="1"/>
  <c r="E7" i="3"/>
  <c r="F6" i="2" s="1"/>
  <c r="C7" i="3"/>
  <c r="E6" i="2" s="1"/>
  <c r="Q6" i="3"/>
  <c r="L5" i="2" s="1"/>
  <c r="I5" i="1" s="1"/>
  <c r="O6" i="3"/>
  <c r="K5" i="2" s="1"/>
  <c r="M6" i="3"/>
  <c r="J5" i="2" s="1"/>
  <c r="K6" i="3"/>
  <c r="I5" i="2" s="1"/>
  <c r="I6" i="3"/>
  <c r="H5" i="2" s="1"/>
  <c r="G6" i="3"/>
  <c r="G5" i="2" s="1"/>
  <c r="E6" i="3"/>
  <c r="F5" i="2" s="1"/>
  <c r="C6" i="3"/>
  <c r="E5" i="2" s="1"/>
  <c r="Q5" i="3"/>
  <c r="L4" i="2" s="1"/>
  <c r="I4" i="1" s="1"/>
  <c r="O5" i="3"/>
  <c r="K4" i="2" s="1"/>
  <c r="M5" i="3"/>
  <c r="J4" i="2" s="1"/>
  <c r="K5" i="3"/>
  <c r="I4" i="2" s="1"/>
  <c r="I5" i="3"/>
  <c r="H4" i="2" s="1"/>
  <c r="G5" i="3"/>
  <c r="G4" i="2" s="1"/>
  <c r="E5" i="3"/>
  <c r="F4" i="2" s="1"/>
  <c r="C5" i="3"/>
  <c r="E4" i="2" s="1"/>
  <c r="Q4" i="3"/>
  <c r="L3" i="2" s="1"/>
  <c r="I3" i="1" s="1"/>
  <c r="O4" i="3"/>
  <c r="K3" i="2" s="1"/>
  <c r="M4" i="3"/>
  <c r="J3" i="2" s="1"/>
  <c r="K4" i="3"/>
  <c r="I3" i="2" s="1"/>
  <c r="I4" i="3"/>
  <c r="H3" i="2" s="1"/>
  <c r="G4" i="3"/>
  <c r="G3" i="2" s="1"/>
  <c r="E4" i="3"/>
  <c r="F3" i="2" s="1"/>
  <c r="C4" i="3"/>
  <c r="E3" i="2" s="1"/>
  <c r="Q3" i="3"/>
  <c r="L2" i="2" s="1"/>
  <c r="I2" i="1" s="1"/>
  <c r="O3" i="3"/>
  <c r="K2" i="2" s="1"/>
  <c r="M3" i="3"/>
  <c r="J2" i="2" s="1"/>
  <c r="K3" i="3"/>
  <c r="I2" i="2" s="1"/>
  <c r="I3" i="3"/>
  <c r="H2" i="2" s="1"/>
  <c r="G3" i="3"/>
  <c r="G2" i="2" s="1"/>
  <c r="E3" i="3"/>
  <c r="F2" i="2" s="1"/>
  <c r="C3" i="3"/>
  <c r="E2" i="2" s="1"/>
  <c r="G6" i="1" l="1"/>
  <c r="G14" i="1"/>
  <c r="G22" i="1"/>
  <c r="G30" i="1"/>
  <c r="G18" i="1"/>
  <c r="G10" i="1"/>
  <c r="G26" i="1"/>
  <c r="G8" i="1"/>
  <c r="G25" i="1"/>
  <c r="G4" i="1"/>
  <c r="G12" i="1"/>
  <c r="G20" i="1"/>
  <c r="G28" i="1"/>
  <c r="G3" i="1"/>
  <c r="G9" i="1"/>
  <c r="G16" i="1"/>
  <c r="G19" i="1"/>
  <c r="G27" i="1"/>
  <c r="G7" i="1"/>
  <c r="G15" i="1"/>
  <c r="G23" i="1"/>
  <c r="G5" i="1"/>
  <c r="G13" i="1"/>
  <c r="G21" i="1"/>
  <c r="G29" i="1"/>
  <c r="G11" i="1"/>
  <c r="G17" i="1"/>
  <c r="G24" i="1"/>
  <c r="G32" i="1"/>
  <c r="G31" i="1"/>
  <c r="G2" i="1"/>
  <c r="E2" i="1"/>
  <c r="E10" i="1"/>
  <c r="E18" i="1"/>
  <c r="E19" i="1"/>
  <c r="E26" i="1"/>
  <c r="E27" i="1"/>
  <c r="E3" i="1"/>
  <c r="E11" i="1"/>
  <c r="E7" i="1"/>
  <c r="E14" i="1"/>
  <c r="E23" i="1"/>
  <c r="E15" i="1"/>
  <c r="E6" i="1"/>
  <c r="E22" i="1"/>
  <c r="E30" i="1"/>
  <c r="E5" i="1"/>
  <c r="E9" i="1"/>
  <c r="E13" i="1"/>
  <c r="E28" i="1"/>
  <c r="E4" i="1"/>
  <c r="E12" i="1"/>
  <c r="E16" i="1"/>
  <c r="E17" i="1"/>
  <c r="E20" i="1"/>
  <c r="E24" i="1"/>
  <c r="E25" i="1"/>
  <c r="E32" i="1"/>
  <c r="E29" i="1"/>
  <c r="E8" i="1"/>
  <c r="E21" i="1"/>
  <c r="E31" i="1"/>
</calcChain>
</file>

<file path=xl/sharedStrings.xml><?xml version="1.0" encoding="utf-8"?>
<sst xmlns="http://schemas.openxmlformats.org/spreadsheetml/2006/main" count="113" uniqueCount="34">
  <si>
    <t>ELEC TX1 LBS-1 (Guest Rooms) KWH</t>
  </si>
  <si>
    <t>ELEC TX2-2 (Public Area) KWH</t>
  </si>
  <si>
    <t>Chiller TX3 LBS - 3 (Main Chillers) KWH</t>
  </si>
  <si>
    <t>Chiller TX4 LBS - 4 (Main Chillers) KWH</t>
  </si>
  <si>
    <t xml:space="preserve">GAS 6B Floor M3 </t>
  </si>
  <si>
    <t xml:space="preserve">GAS 6A Floor M3 </t>
  </si>
  <si>
    <t xml:space="preserve">GAS 5B Floor M3 </t>
  </si>
  <si>
    <t xml:space="preserve">   Water Supply M3</t>
  </si>
  <si>
    <t>Date</t>
  </si>
  <si>
    <t>Reading KWH</t>
  </si>
  <si>
    <t>Difference KWH</t>
  </si>
  <si>
    <t>Reading M3</t>
  </si>
  <si>
    <t>Difference M3</t>
  </si>
  <si>
    <t>Site Name</t>
  </si>
  <si>
    <t>Month</t>
  </si>
  <si>
    <t>Year</t>
  </si>
  <si>
    <t>ELEC TX1 LBS-1 (Guest Rooms)</t>
  </si>
  <si>
    <t>ELEC TX2-2 (Public Area)</t>
  </si>
  <si>
    <t>Chiller TX3 LBS - 3 (Main Chillers)</t>
  </si>
  <si>
    <t>Chiller TX4 LBS - 4 (Main Chillers)</t>
  </si>
  <si>
    <t>Gas Supply (6B Floor)</t>
  </si>
  <si>
    <t>Gas Supply (6A Floor)</t>
  </si>
  <si>
    <t>Gas Supply (5B Floor)</t>
  </si>
  <si>
    <t>Water Supply</t>
  </si>
  <si>
    <t>Kuala Lumpur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</si>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</sst>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-* #,##0_-;_-* #,##0\-;_-* &quot;-&quot;??_-;_-@_-"/>
    <numFmt numFmtId="166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/>
    </xf>
    <xf numFmtId="165" fontId="4" fillId="3" borderId="12" xfId="1" applyNumberFormat="1" applyFont="1" applyFill="1" applyBorder="1" applyAlignment="1">
      <alignment horizontal="center"/>
    </xf>
    <xf numFmtId="165" fontId="4" fillId="0" borderId="14" xfId="1" applyNumberFormat="1" applyFont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/>
    </xf>
    <xf numFmtId="165" fontId="4" fillId="3" borderId="14" xfId="1" applyNumberFormat="1" applyFont="1" applyFill="1" applyBorder="1" applyAlignment="1">
      <alignment horizontal="center"/>
    </xf>
    <xf numFmtId="165" fontId="4" fillId="4" borderId="14" xfId="1" applyNumberFormat="1" applyFont="1" applyFill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165" fontId="4" fillId="4" borderId="15" xfId="1" applyNumberFormat="1" applyFont="1" applyFill="1" applyBorder="1" applyAlignment="1">
      <alignment horizontal="center" vertical="center"/>
    </xf>
    <xf numFmtId="165" fontId="4" fillId="4" borderId="9" xfId="1" applyNumberFormat="1" applyFont="1" applyFill="1" applyBorder="1" applyAlignment="1">
      <alignment horizontal="center" vertical="center"/>
    </xf>
    <xf numFmtId="164" fontId="4" fillId="0" borderId="14" xfId="1" applyFont="1" applyBorder="1" applyAlignment="1">
      <alignment horizontal="center"/>
    </xf>
    <xf numFmtId="0" fontId="4" fillId="0" borderId="0" xfId="0" applyFont="1"/>
    <xf numFmtId="0" fontId="5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166" fontId="6" fillId="0" borderId="16" xfId="0" applyNumberFormat="1" applyFont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5" fillId="5" borderId="16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 wrapText="1"/>
    </xf>
    <xf numFmtId="166" fontId="5" fillId="5" borderId="16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1" fontId="3" fillId="0" borderId="0" xfId="1" applyNumberFormat="1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>
      <selection activeCell="B2" sqref="B2"/>
    </sheetView>
  </sheetViews>
  <sheetFormatPr defaultRowHeight="15" x14ac:dyDescent="0.25"/>
  <cols>
    <col min="1" max="1" width="12.42578125" bestFit="1" customWidth="1"/>
    <col min="2" max="2" width="12.42578125" customWidth="1"/>
    <col min="5" max="5" width="10.85546875" customWidth="1"/>
    <col min="6" max="6" width="11.42578125" customWidth="1"/>
    <col min="8" max="8" width="10.85546875" customWidth="1"/>
    <col min="257" max="257" width="12.42578125" bestFit="1" customWidth="1"/>
    <col min="258" max="258" width="12.42578125" customWidth="1"/>
    <col min="261" max="261" width="10.85546875" customWidth="1"/>
    <col min="262" max="262" width="11.42578125" customWidth="1"/>
    <col min="264" max="264" width="10.85546875" customWidth="1"/>
    <col min="513" max="513" width="12.42578125" bestFit="1" customWidth="1"/>
    <col min="514" max="514" width="12.42578125" customWidth="1"/>
    <col min="517" max="517" width="10.85546875" customWidth="1"/>
    <col min="518" max="518" width="11.42578125" customWidth="1"/>
    <col min="520" max="520" width="10.85546875" customWidth="1"/>
    <col min="769" max="769" width="12.42578125" bestFit="1" customWidth="1"/>
    <col min="770" max="770" width="12.42578125" customWidth="1"/>
    <col min="773" max="773" width="10.85546875" customWidth="1"/>
    <col min="774" max="774" width="11.42578125" customWidth="1"/>
    <col min="776" max="776" width="10.85546875" customWidth="1"/>
    <col min="1025" max="1025" width="12.42578125" bestFit="1" customWidth="1"/>
    <col min="1026" max="1026" width="12.42578125" customWidth="1"/>
    <col min="1029" max="1029" width="10.85546875" customWidth="1"/>
    <col min="1030" max="1030" width="11.42578125" customWidth="1"/>
    <col min="1032" max="1032" width="10.85546875" customWidth="1"/>
    <col min="1281" max="1281" width="12.42578125" bestFit="1" customWidth="1"/>
    <col min="1282" max="1282" width="12.42578125" customWidth="1"/>
    <col min="1285" max="1285" width="10.85546875" customWidth="1"/>
    <col min="1286" max="1286" width="11.42578125" customWidth="1"/>
    <col min="1288" max="1288" width="10.85546875" customWidth="1"/>
    <col min="1537" max="1537" width="12.42578125" bestFit="1" customWidth="1"/>
    <col min="1538" max="1538" width="12.42578125" customWidth="1"/>
    <col min="1541" max="1541" width="10.85546875" customWidth="1"/>
    <col min="1542" max="1542" width="11.42578125" customWidth="1"/>
    <col min="1544" max="1544" width="10.85546875" customWidth="1"/>
    <col min="1793" max="1793" width="12.42578125" bestFit="1" customWidth="1"/>
    <col min="1794" max="1794" width="12.42578125" customWidth="1"/>
    <col min="1797" max="1797" width="10.85546875" customWidth="1"/>
    <col min="1798" max="1798" width="11.42578125" customWidth="1"/>
    <col min="1800" max="1800" width="10.85546875" customWidth="1"/>
    <col min="2049" max="2049" width="12.42578125" bestFit="1" customWidth="1"/>
    <col min="2050" max="2050" width="12.42578125" customWidth="1"/>
    <col min="2053" max="2053" width="10.85546875" customWidth="1"/>
    <col min="2054" max="2054" width="11.42578125" customWidth="1"/>
    <col min="2056" max="2056" width="10.85546875" customWidth="1"/>
    <col min="2305" max="2305" width="12.42578125" bestFit="1" customWidth="1"/>
    <col min="2306" max="2306" width="12.42578125" customWidth="1"/>
    <col min="2309" max="2309" width="10.85546875" customWidth="1"/>
    <col min="2310" max="2310" width="11.42578125" customWidth="1"/>
    <col min="2312" max="2312" width="10.85546875" customWidth="1"/>
    <col min="2561" max="2561" width="12.42578125" bestFit="1" customWidth="1"/>
    <col min="2562" max="2562" width="12.42578125" customWidth="1"/>
    <col min="2565" max="2565" width="10.85546875" customWidth="1"/>
    <col min="2566" max="2566" width="11.42578125" customWidth="1"/>
    <col min="2568" max="2568" width="10.85546875" customWidth="1"/>
    <col min="2817" max="2817" width="12.42578125" bestFit="1" customWidth="1"/>
    <col min="2818" max="2818" width="12.42578125" customWidth="1"/>
    <col min="2821" max="2821" width="10.85546875" customWidth="1"/>
    <col min="2822" max="2822" width="11.42578125" customWidth="1"/>
    <col min="2824" max="2824" width="10.85546875" customWidth="1"/>
    <col min="3073" max="3073" width="12.42578125" bestFit="1" customWidth="1"/>
    <col min="3074" max="3074" width="12.42578125" customWidth="1"/>
    <col min="3077" max="3077" width="10.85546875" customWidth="1"/>
    <col min="3078" max="3078" width="11.42578125" customWidth="1"/>
    <col min="3080" max="3080" width="10.85546875" customWidth="1"/>
    <col min="3329" max="3329" width="12.42578125" bestFit="1" customWidth="1"/>
    <col min="3330" max="3330" width="12.42578125" customWidth="1"/>
    <col min="3333" max="3333" width="10.85546875" customWidth="1"/>
    <col min="3334" max="3334" width="11.42578125" customWidth="1"/>
    <col min="3336" max="3336" width="10.85546875" customWidth="1"/>
    <col min="3585" max="3585" width="12.42578125" bestFit="1" customWidth="1"/>
    <col min="3586" max="3586" width="12.42578125" customWidth="1"/>
    <col min="3589" max="3589" width="10.85546875" customWidth="1"/>
    <col min="3590" max="3590" width="11.42578125" customWidth="1"/>
    <col min="3592" max="3592" width="10.85546875" customWidth="1"/>
    <col min="3841" max="3841" width="12.42578125" bestFit="1" customWidth="1"/>
    <col min="3842" max="3842" width="12.42578125" customWidth="1"/>
    <col min="3845" max="3845" width="10.85546875" customWidth="1"/>
    <col min="3846" max="3846" width="11.42578125" customWidth="1"/>
    <col min="3848" max="3848" width="10.85546875" customWidth="1"/>
    <col min="4097" max="4097" width="12.42578125" bestFit="1" customWidth="1"/>
    <col min="4098" max="4098" width="12.42578125" customWidth="1"/>
    <col min="4101" max="4101" width="10.85546875" customWidth="1"/>
    <col min="4102" max="4102" width="11.42578125" customWidth="1"/>
    <col min="4104" max="4104" width="10.85546875" customWidth="1"/>
    <col min="4353" max="4353" width="12.42578125" bestFit="1" customWidth="1"/>
    <col min="4354" max="4354" width="12.42578125" customWidth="1"/>
    <col min="4357" max="4357" width="10.85546875" customWidth="1"/>
    <col min="4358" max="4358" width="11.42578125" customWidth="1"/>
    <col min="4360" max="4360" width="10.85546875" customWidth="1"/>
    <col min="4609" max="4609" width="12.42578125" bestFit="1" customWidth="1"/>
    <col min="4610" max="4610" width="12.42578125" customWidth="1"/>
    <col min="4613" max="4613" width="10.85546875" customWidth="1"/>
    <col min="4614" max="4614" width="11.42578125" customWidth="1"/>
    <col min="4616" max="4616" width="10.85546875" customWidth="1"/>
    <col min="4865" max="4865" width="12.42578125" bestFit="1" customWidth="1"/>
    <col min="4866" max="4866" width="12.42578125" customWidth="1"/>
    <col min="4869" max="4869" width="10.85546875" customWidth="1"/>
    <col min="4870" max="4870" width="11.42578125" customWidth="1"/>
    <col min="4872" max="4872" width="10.85546875" customWidth="1"/>
    <col min="5121" max="5121" width="12.42578125" bestFit="1" customWidth="1"/>
    <col min="5122" max="5122" width="12.42578125" customWidth="1"/>
    <col min="5125" max="5125" width="10.85546875" customWidth="1"/>
    <col min="5126" max="5126" width="11.42578125" customWidth="1"/>
    <col min="5128" max="5128" width="10.85546875" customWidth="1"/>
    <col min="5377" max="5377" width="12.42578125" bestFit="1" customWidth="1"/>
    <col min="5378" max="5378" width="12.42578125" customWidth="1"/>
    <col min="5381" max="5381" width="10.85546875" customWidth="1"/>
    <col min="5382" max="5382" width="11.42578125" customWidth="1"/>
    <col min="5384" max="5384" width="10.85546875" customWidth="1"/>
    <col min="5633" max="5633" width="12.42578125" bestFit="1" customWidth="1"/>
    <col min="5634" max="5634" width="12.42578125" customWidth="1"/>
    <col min="5637" max="5637" width="10.85546875" customWidth="1"/>
    <col min="5638" max="5638" width="11.42578125" customWidth="1"/>
    <col min="5640" max="5640" width="10.85546875" customWidth="1"/>
    <col min="5889" max="5889" width="12.42578125" bestFit="1" customWidth="1"/>
    <col min="5890" max="5890" width="12.42578125" customWidth="1"/>
    <col min="5893" max="5893" width="10.85546875" customWidth="1"/>
    <col min="5894" max="5894" width="11.42578125" customWidth="1"/>
    <col min="5896" max="5896" width="10.85546875" customWidth="1"/>
    <col min="6145" max="6145" width="12.42578125" bestFit="1" customWidth="1"/>
    <col min="6146" max="6146" width="12.42578125" customWidth="1"/>
    <col min="6149" max="6149" width="10.85546875" customWidth="1"/>
    <col min="6150" max="6150" width="11.42578125" customWidth="1"/>
    <col min="6152" max="6152" width="10.85546875" customWidth="1"/>
    <col min="6401" max="6401" width="12.42578125" bestFit="1" customWidth="1"/>
    <col min="6402" max="6402" width="12.42578125" customWidth="1"/>
    <col min="6405" max="6405" width="10.85546875" customWidth="1"/>
    <col min="6406" max="6406" width="11.42578125" customWidth="1"/>
    <col min="6408" max="6408" width="10.85546875" customWidth="1"/>
    <col min="6657" max="6657" width="12.42578125" bestFit="1" customWidth="1"/>
    <col min="6658" max="6658" width="12.42578125" customWidth="1"/>
    <col min="6661" max="6661" width="10.85546875" customWidth="1"/>
    <col min="6662" max="6662" width="11.42578125" customWidth="1"/>
    <col min="6664" max="6664" width="10.85546875" customWidth="1"/>
    <col min="6913" max="6913" width="12.42578125" bestFit="1" customWidth="1"/>
    <col min="6914" max="6914" width="12.42578125" customWidth="1"/>
    <col min="6917" max="6917" width="10.85546875" customWidth="1"/>
    <col min="6918" max="6918" width="11.42578125" customWidth="1"/>
    <col min="6920" max="6920" width="10.85546875" customWidth="1"/>
    <col min="7169" max="7169" width="12.42578125" bestFit="1" customWidth="1"/>
    <col min="7170" max="7170" width="12.42578125" customWidth="1"/>
    <col min="7173" max="7173" width="10.85546875" customWidth="1"/>
    <col min="7174" max="7174" width="11.42578125" customWidth="1"/>
    <col min="7176" max="7176" width="10.85546875" customWidth="1"/>
    <col min="7425" max="7425" width="12.42578125" bestFit="1" customWidth="1"/>
    <col min="7426" max="7426" width="12.42578125" customWidth="1"/>
    <col min="7429" max="7429" width="10.85546875" customWidth="1"/>
    <col min="7430" max="7430" width="11.42578125" customWidth="1"/>
    <col min="7432" max="7432" width="10.85546875" customWidth="1"/>
    <col min="7681" max="7681" width="12.42578125" bestFit="1" customWidth="1"/>
    <col min="7682" max="7682" width="12.42578125" customWidth="1"/>
    <col min="7685" max="7685" width="10.85546875" customWidth="1"/>
    <col min="7686" max="7686" width="11.42578125" customWidth="1"/>
    <col min="7688" max="7688" width="10.85546875" customWidth="1"/>
    <col min="7937" max="7937" width="12.42578125" bestFit="1" customWidth="1"/>
    <col min="7938" max="7938" width="12.42578125" customWidth="1"/>
    <col min="7941" max="7941" width="10.85546875" customWidth="1"/>
    <col min="7942" max="7942" width="11.42578125" customWidth="1"/>
    <col min="7944" max="7944" width="10.85546875" customWidth="1"/>
    <col min="8193" max="8193" width="12.42578125" bestFit="1" customWidth="1"/>
    <col min="8194" max="8194" width="12.42578125" customWidth="1"/>
    <col min="8197" max="8197" width="10.85546875" customWidth="1"/>
    <col min="8198" max="8198" width="11.42578125" customWidth="1"/>
    <col min="8200" max="8200" width="10.85546875" customWidth="1"/>
    <col min="8449" max="8449" width="12.42578125" bestFit="1" customWidth="1"/>
    <col min="8450" max="8450" width="12.42578125" customWidth="1"/>
    <col min="8453" max="8453" width="10.85546875" customWidth="1"/>
    <col min="8454" max="8454" width="11.42578125" customWidth="1"/>
    <col min="8456" max="8456" width="10.85546875" customWidth="1"/>
    <col min="8705" max="8705" width="12.42578125" bestFit="1" customWidth="1"/>
    <col min="8706" max="8706" width="12.42578125" customWidth="1"/>
    <col min="8709" max="8709" width="10.85546875" customWidth="1"/>
    <col min="8710" max="8710" width="11.42578125" customWidth="1"/>
    <col min="8712" max="8712" width="10.85546875" customWidth="1"/>
    <col min="8961" max="8961" width="12.42578125" bestFit="1" customWidth="1"/>
    <col min="8962" max="8962" width="12.42578125" customWidth="1"/>
    <col min="8965" max="8965" width="10.85546875" customWidth="1"/>
    <col min="8966" max="8966" width="11.42578125" customWidth="1"/>
    <col min="8968" max="8968" width="10.85546875" customWidth="1"/>
    <col min="9217" max="9217" width="12.42578125" bestFit="1" customWidth="1"/>
    <col min="9218" max="9218" width="12.42578125" customWidth="1"/>
    <col min="9221" max="9221" width="10.85546875" customWidth="1"/>
    <col min="9222" max="9222" width="11.42578125" customWidth="1"/>
    <col min="9224" max="9224" width="10.85546875" customWidth="1"/>
    <col min="9473" max="9473" width="12.42578125" bestFit="1" customWidth="1"/>
    <col min="9474" max="9474" width="12.42578125" customWidth="1"/>
    <col min="9477" max="9477" width="10.85546875" customWidth="1"/>
    <col min="9478" max="9478" width="11.42578125" customWidth="1"/>
    <col min="9480" max="9480" width="10.85546875" customWidth="1"/>
    <col min="9729" max="9729" width="12.42578125" bestFit="1" customWidth="1"/>
    <col min="9730" max="9730" width="12.42578125" customWidth="1"/>
    <col min="9733" max="9733" width="10.85546875" customWidth="1"/>
    <col min="9734" max="9734" width="11.42578125" customWidth="1"/>
    <col min="9736" max="9736" width="10.85546875" customWidth="1"/>
    <col min="9985" max="9985" width="12.42578125" bestFit="1" customWidth="1"/>
    <col min="9986" max="9986" width="12.42578125" customWidth="1"/>
    <col min="9989" max="9989" width="10.85546875" customWidth="1"/>
    <col min="9990" max="9990" width="11.42578125" customWidth="1"/>
    <col min="9992" max="9992" width="10.85546875" customWidth="1"/>
    <col min="10241" max="10241" width="12.42578125" bestFit="1" customWidth="1"/>
    <col min="10242" max="10242" width="12.42578125" customWidth="1"/>
    <col min="10245" max="10245" width="10.85546875" customWidth="1"/>
    <col min="10246" max="10246" width="11.42578125" customWidth="1"/>
    <col min="10248" max="10248" width="10.85546875" customWidth="1"/>
    <col min="10497" max="10497" width="12.42578125" bestFit="1" customWidth="1"/>
    <col min="10498" max="10498" width="12.42578125" customWidth="1"/>
    <col min="10501" max="10501" width="10.85546875" customWidth="1"/>
    <col min="10502" max="10502" width="11.42578125" customWidth="1"/>
    <col min="10504" max="10504" width="10.85546875" customWidth="1"/>
    <col min="10753" max="10753" width="12.42578125" bestFit="1" customWidth="1"/>
    <col min="10754" max="10754" width="12.42578125" customWidth="1"/>
    <col min="10757" max="10757" width="10.85546875" customWidth="1"/>
    <col min="10758" max="10758" width="11.42578125" customWidth="1"/>
    <col min="10760" max="10760" width="10.85546875" customWidth="1"/>
    <col min="11009" max="11009" width="12.42578125" bestFit="1" customWidth="1"/>
    <col min="11010" max="11010" width="12.42578125" customWidth="1"/>
    <col min="11013" max="11013" width="10.85546875" customWidth="1"/>
    <col min="11014" max="11014" width="11.42578125" customWidth="1"/>
    <col min="11016" max="11016" width="10.85546875" customWidth="1"/>
    <col min="11265" max="11265" width="12.42578125" bestFit="1" customWidth="1"/>
    <col min="11266" max="11266" width="12.42578125" customWidth="1"/>
    <col min="11269" max="11269" width="10.85546875" customWidth="1"/>
    <col min="11270" max="11270" width="11.42578125" customWidth="1"/>
    <col min="11272" max="11272" width="10.85546875" customWidth="1"/>
    <col min="11521" max="11521" width="12.42578125" bestFit="1" customWidth="1"/>
    <col min="11522" max="11522" width="12.42578125" customWidth="1"/>
    <col min="11525" max="11525" width="10.85546875" customWidth="1"/>
    <col min="11526" max="11526" width="11.42578125" customWidth="1"/>
    <col min="11528" max="11528" width="10.85546875" customWidth="1"/>
    <col min="11777" max="11777" width="12.42578125" bestFit="1" customWidth="1"/>
    <col min="11778" max="11778" width="12.42578125" customWidth="1"/>
    <col min="11781" max="11781" width="10.85546875" customWidth="1"/>
    <col min="11782" max="11782" width="11.42578125" customWidth="1"/>
    <col min="11784" max="11784" width="10.85546875" customWidth="1"/>
    <col min="12033" max="12033" width="12.42578125" bestFit="1" customWidth="1"/>
    <col min="12034" max="12034" width="12.42578125" customWidth="1"/>
    <col min="12037" max="12037" width="10.85546875" customWidth="1"/>
    <col min="12038" max="12038" width="11.42578125" customWidth="1"/>
    <col min="12040" max="12040" width="10.85546875" customWidth="1"/>
    <col min="12289" max="12289" width="12.42578125" bestFit="1" customWidth="1"/>
    <col min="12290" max="12290" width="12.42578125" customWidth="1"/>
    <col min="12293" max="12293" width="10.85546875" customWidth="1"/>
    <col min="12294" max="12294" width="11.42578125" customWidth="1"/>
    <col min="12296" max="12296" width="10.85546875" customWidth="1"/>
    <col min="12545" max="12545" width="12.42578125" bestFit="1" customWidth="1"/>
    <col min="12546" max="12546" width="12.42578125" customWidth="1"/>
    <col min="12549" max="12549" width="10.85546875" customWidth="1"/>
    <col min="12550" max="12550" width="11.42578125" customWidth="1"/>
    <col min="12552" max="12552" width="10.85546875" customWidth="1"/>
    <col min="12801" max="12801" width="12.42578125" bestFit="1" customWidth="1"/>
    <col min="12802" max="12802" width="12.42578125" customWidth="1"/>
    <col min="12805" max="12805" width="10.85546875" customWidth="1"/>
    <col min="12806" max="12806" width="11.42578125" customWidth="1"/>
    <col min="12808" max="12808" width="10.85546875" customWidth="1"/>
    <col min="13057" max="13057" width="12.42578125" bestFit="1" customWidth="1"/>
    <col min="13058" max="13058" width="12.42578125" customWidth="1"/>
    <col min="13061" max="13061" width="10.85546875" customWidth="1"/>
    <col min="13062" max="13062" width="11.42578125" customWidth="1"/>
    <col min="13064" max="13064" width="10.85546875" customWidth="1"/>
    <col min="13313" max="13313" width="12.42578125" bestFit="1" customWidth="1"/>
    <col min="13314" max="13314" width="12.42578125" customWidth="1"/>
    <col min="13317" max="13317" width="10.85546875" customWidth="1"/>
    <col min="13318" max="13318" width="11.42578125" customWidth="1"/>
    <col min="13320" max="13320" width="10.85546875" customWidth="1"/>
    <col min="13569" max="13569" width="12.42578125" bestFit="1" customWidth="1"/>
    <col min="13570" max="13570" width="12.42578125" customWidth="1"/>
    <col min="13573" max="13573" width="10.85546875" customWidth="1"/>
    <col min="13574" max="13574" width="11.42578125" customWidth="1"/>
    <col min="13576" max="13576" width="10.85546875" customWidth="1"/>
    <col min="13825" max="13825" width="12.42578125" bestFit="1" customWidth="1"/>
    <col min="13826" max="13826" width="12.42578125" customWidth="1"/>
    <col min="13829" max="13829" width="10.85546875" customWidth="1"/>
    <col min="13830" max="13830" width="11.42578125" customWidth="1"/>
    <col min="13832" max="13832" width="10.85546875" customWidth="1"/>
    <col min="14081" max="14081" width="12.42578125" bestFit="1" customWidth="1"/>
    <col min="14082" max="14082" width="12.42578125" customWidth="1"/>
    <col min="14085" max="14085" width="10.85546875" customWidth="1"/>
    <col min="14086" max="14086" width="11.42578125" customWidth="1"/>
    <col min="14088" max="14088" width="10.85546875" customWidth="1"/>
    <col min="14337" max="14337" width="12.42578125" bestFit="1" customWidth="1"/>
    <col min="14338" max="14338" width="12.42578125" customWidth="1"/>
    <col min="14341" max="14341" width="10.85546875" customWidth="1"/>
    <col min="14342" max="14342" width="11.42578125" customWidth="1"/>
    <col min="14344" max="14344" width="10.85546875" customWidth="1"/>
    <col min="14593" max="14593" width="12.42578125" bestFit="1" customWidth="1"/>
    <col min="14594" max="14594" width="12.42578125" customWidth="1"/>
    <col min="14597" max="14597" width="10.85546875" customWidth="1"/>
    <col min="14598" max="14598" width="11.42578125" customWidth="1"/>
    <col min="14600" max="14600" width="10.85546875" customWidth="1"/>
    <col min="14849" max="14849" width="12.42578125" bestFit="1" customWidth="1"/>
    <col min="14850" max="14850" width="12.42578125" customWidth="1"/>
    <col min="14853" max="14853" width="10.85546875" customWidth="1"/>
    <col min="14854" max="14854" width="11.42578125" customWidth="1"/>
    <col min="14856" max="14856" width="10.85546875" customWidth="1"/>
    <col min="15105" max="15105" width="12.42578125" bestFit="1" customWidth="1"/>
    <col min="15106" max="15106" width="12.42578125" customWidth="1"/>
    <col min="15109" max="15109" width="10.85546875" customWidth="1"/>
    <col min="15110" max="15110" width="11.42578125" customWidth="1"/>
    <col min="15112" max="15112" width="10.85546875" customWidth="1"/>
    <col min="15361" max="15361" width="12.42578125" bestFit="1" customWidth="1"/>
    <col min="15362" max="15362" width="12.42578125" customWidth="1"/>
    <col min="15365" max="15365" width="10.85546875" customWidth="1"/>
    <col min="15366" max="15366" width="11.42578125" customWidth="1"/>
    <col min="15368" max="15368" width="10.85546875" customWidth="1"/>
    <col min="15617" max="15617" width="12.42578125" bestFit="1" customWidth="1"/>
    <col min="15618" max="15618" width="12.42578125" customWidth="1"/>
    <col min="15621" max="15621" width="10.85546875" customWidth="1"/>
    <col min="15622" max="15622" width="11.42578125" customWidth="1"/>
    <col min="15624" max="15624" width="10.85546875" customWidth="1"/>
    <col min="15873" max="15873" width="12.42578125" bestFit="1" customWidth="1"/>
    <col min="15874" max="15874" width="12.42578125" customWidth="1"/>
    <col min="15877" max="15877" width="10.85546875" customWidth="1"/>
    <col min="15878" max="15878" width="11.42578125" customWidth="1"/>
    <col min="15880" max="15880" width="10.85546875" customWidth="1"/>
    <col min="16129" max="16129" width="12.42578125" bestFit="1" customWidth="1"/>
    <col min="16130" max="16130" width="12.42578125" customWidth="1"/>
    <col min="16133" max="16133" width="10.85546875" customWidth="1"/>
    <col min="16134" max="16134" width="11.42578125" customWidth="1"/>
    <col min="16136" max="16136" width="10.85546875" customWidth="1"/>
  </cols>
  <sheetData>
    <row r="1" spans="1:12" ht="63.75" x14ac:dyDescent="0.25">
      <c r="A1" s="29" t="s">
        <v>13</v>
      </c>
      <c r="B1" s="29" t="s">
        <v>33</v>
      </c>
      <c r="C1" s="29" t="s">
        <v>14</v>
      </c>
      <c r="D1" s="29" t="s">
        <v>15</v>
      </c>
      <c r="E1" s="30" t="s">
        <v>25</v>
      </c>
      <c r="F1" s="30" t="s">
        <v>26</v>
      </c>
      <c r="G1" s="30" t="s">
        <v>27</v>
      </c>
      <c r="H1" s="31" t="s">
        <v>28</v>
      </c>
      <c r="I1" s="30" t="s">
        <v>29</v>
      </c>
      <c r="J1" s="30" t="s">
        <v>30</v>
      </c>
      <c r="K1" s="30" t="s">
        <v>31</v>
      </c>
      <c r="L1" s="30" t="s">
        <v>32</v>
      </c>
    </row>
    <row r="2" spans="1:12" x14ac:dyDescent="0.25">
      <c r="A2" t="s">
        <v>24</v>
      </c>
      <c r="B2">
        <v>1</v>
      </c>
      <c r="C2" s="24">
        <v>8</v>
      </c>
      <c r="D2" s="24">
        <v>2022</v>
      </c>
      <c r="E2" s="25">
        <f>Submetering!E2+Submetering!F2+Submetering!G2+Submetering!H2</f>
        <v>33365</v>
      </c>
      <c r="F2" s="32">
        <v>0.36499999999999999</v>
      </c>
      <c r="G2" s="25">
        <f>Submetering!I2+Submetering!J2+Submetering!K2</f>
        <v>291</v>
      </c>
      <c r="H2" s="27">
        <f>(1/22.25)*47.67</f>
        <v>2.1424719101123597</v>
      </c>
      <c r="I2" s="26">
        <f>Submetering!L2</f>
        <v>413</v>
      </c>
      <c r="J2" s="26">
        <v>2.2799999999999998</v>
      </c>
      <c r="K2" s="33">
        <v>137</v>
      </c>
      <c r="L2" s="33">
        <v>205</v>
      </c>
    </row>
    <row r="3" spans="1:12" x14ac:dyDescent="0.25">
      <c r="A3" t="s">
        <v>24</v>
      </c>
      <c r="B3">
        <v>2</v>
      </c>
      <c r="C3" s="24">
        <v>8</v>
      </c>
      <c r="D3" s="24">
        <v>2022</v>
      </c>
      <c r="E3" s="25">
        <f>Submetering!E3+Submetering!F3+Submetering!G3+Submetering!H3</f>
        <v>31822</v>
      </c>
      <c r="F3" s="32">
        <v>0.36499999999999999</v>
      </c>
      <c r="G3" s="25">
        <f>Submetering!I3+Submetering!J3+Submetering!K3</f>
        <v>304</v>
      </c>
      <c r="H3" s="27">
        <f t="shared" ref="H3:H32" si="0">(1/22.25)*47.67</f>
        <v>2.1424719101123597</v>
      </c>
      <c r="I3" s="26">
        <f>Submetering!L3</f>
        <v>289</v>
      </c>
      <c r="J3" s="26">
        <v>2.2799999999999998</v>
      </c>
      <c r="K3" s="33">
        <v>156</v>
      </c>
      <c r="L3" s="33">
        <v>259</v>
      </c>
    </row>
    <row r="4" spans="1:12" x14ac:dyDescent="0.25">
      <c r="A4" t="s">
        <v>24</v>
      </c>
      <c r="B4">
        <v>3</v>
      </c>
      <c r="C4" s="24">
        <v>8</v>
      </c>
      <c r="D4" s="24">
        <v>2022</v>
      </c>
      <c r="E4" s="25">
        <f>Submetering!E4+Submetering!F4+Submetering!G4+Submetering!H4</f>
        <v>34700</v>
      </c>
      <c r="F4" s="32">
        <v>0.36499999999999999</v>
      </c>
      <c r="G4" s="25">
        <f>Submetering!I4+Submetering!J4+Submetering!K4</f>
        <v>316</v>
      </c>
      <c r="H4" s="27">
        <f t="shared" si="0"/>
        <v>2.1424719101123597</v>
      </c>
      <c r="I4" s="26">
        <f>Submetering!L4</f>
        <v>361</v>
      </c>
      <c r="J4" s="26">
        <v>2.2799999999999998</v>
      </c>
      <c r="K4" s="33">
        <v>156</v>
      </c>
      <c r="L4" s="33">
        <v>265</v>
      </c>
    </row>
    <row r="5" spans="1:12" x14ac:dyDescent="0.25">
      <c r="A5" t="s">
        <v>24</v>
      </c>
      <c r="B5">
        <v>4</v>
      </c>
      <c r="C5" s="24">
        <v>8</v>
      </c>
      <c r="D5" s="24">
        <v>2022</v>
      </c>
      <c r="E5" s="25">
        <f>Submetering!E5+Submetering!F5+Submetering!G5+Submetering!H5</f>
        <v>31492</v>
      </c>
      <c r="F5" s="32">
        <v>0.36499999999999999</v>
      </c>
      <c r="G5" s="25">
        <f>Submetering!I5+Submetering!J5+Submetering!K5</f>
        <v>301</v>
      </c>
      <c r="H5" s="27">
        <f t="shared" si="0"/>
        <v>2.1424719101123597</v>
      </c>
      <c r="I5" s="26">
        <f>Submetering!L5</f>
        <v>335</v>
      </c>
      <c r="J5" s="26">
        <v>2.2799999999999998</v>
      </c>
      <c r="K5" s="33">
        <v>164</v>
      </c>
      <c r="L5" s="33">
        <v>274</v>
      </c>
    </row>
    <row r="6" spans="1:12" x14ac:dyDescent="0.25">
      <c r="A6" t="s">
        <v>24</v>
      </c>
      <c r="B6">
        <v>5</v>
      </c>
      <c r="C6" s="24">
        <v>8</v>
      </c>
      <c r="D6" s="24">
        <v>2022</v>
      </c>
      <c r="E6" s="25">
        <f>Submetering!E6+Submetering!F6+Submetering!G6+Submetering!H6</f>
        <v>36320</v>
      </c>
      <c r="F6" s="32">
        <v>0.36499999999999999</v>
      </c>
      <c r="G6" s="25">
        <f>Submetering!I6+Submetering!J6+Submetering!K6</f>
        <v>409</v>
      </c>
      <c r="H6" s="27">
        <f t="shared" si="0"/>
        <v>2.1424719101123597</v>
      </c>
      <c r="I6" s="26">
        <f>Submetering!L6</f>
        <v>334</v>
      </c>
      <c r="J6" s="26">
        <v>2.2799999999999998</v>
      </c>
      <c r="K6" s="33">
        <v>155</v>
      </c>
      <c r="L6" s="33">
        <v>275</v>
      </c>
    </row>
    <row r="7" spans="1:12" x14ac:dyDescent="0.25">
      <c r="A7" t="s">
        <v>24</v>
      </c>
      <c r="B7">
        <v>6</v>
      </c>
      <c r="C7" s="24">
        <v>8</v>
      </c>
      <c r="D7" s="24">
        <v>2022</v>
      </c>
      <c r="E7" s="25">
        <f>Submetering!E7+Submetering!F7+Submetering!G7+Submetering!H7</f>
        <v>35415</v>
      </c>
      <c r="F7" s="32">
        <v>0.36499999999999999</v>
      </c>
      <c r="G7" s="25">
        <f>Submetering!I7+Submetering!J7+Submetering!K7</f>
        <v>381</v>
      </c>
      <c r="H7" s="27">
        <f t="shared" si="0"/>
        <v>2.1424719101123597</v>
      </c>
      <c r="I7" s="26">
        <f>Submetering!L7</f>
        <v>398</v>
      </c>
      <c r="J7" s="26">
        <v>2.2799999999999998</v>
      </c>
      <c r="K7" s="33">
        <v>156</v>
      </c>
      <c r="L7" s="33">
        <v>298</v>
      </c>
    </row>
    <row r="8" spans="1:12" x14ac:dyDescent="0.25">
      <c r="A8" t="s">
        <v>24</v>
      </c>
      <c r="B8">
        <v>7</v>
      </c>
      <c r="C8" s="24">
        <v>8</v>
      </c>
      <c r="D8" s="24">
        <v>2022</v>
      </c>
      <c r="E8" s="25">
        <f>Submetering!E8+Submetering!F8+Submetering!G8+Submetering!H8</f>
        <v>34540</v>
      </c>
      <c r="F8" s="32">
        <v>0.36499999999999999</v>
      </c>
      <c r="G8" s="25">
        <f>Submetering!I8+Submetering!J8+Submetering!K8</f>
        <v>306</v>
      </c>
      <c r="H8" s="27">
        <f t="shared" si="0"/>
        <v>2.1424719101123597</v>
      </c>
      <c r="I8" s="26">
        <f>Submetering!L8</f>
        <v>392</v>
      </c>
      <c r="J8" s="26">
        <v>2.2799999999999998</v>
      </c>
      <c r="K8" s="33">
        <v>153</v>
      </c>
      <c r="L8" s="33">
        <v>267</v>
      </c>
    </row>
    <row r="9" spans="1:12" x14ac:dyDescent="0.25">
      <c r="A9" t="s">
        <v>24</v>
      </c>
      <c r="B9">
        <v>8</v>
      </c>
      <c r="C9" s="24">
        <v>8</v>
      </c>
      <c r="D9" s="24">
        <v>2022</v>
      </c>
      <c r="E9" s="25">
        <f>Submetering!E9+Submetering!F9+Submetering!G9+Submetering!H9</f>
        <v>33856</v>
      </c>
      <c r="F9" s="32">
        <v>0.36499999999999999</v>
      </c>
      <c r="G9" s="25">
        <f>Submetering!I9+Submetering!J9+Submetering!K9</f>
        <v>281</v>
      </c>
      <c r="H9" s="27">
        <f t="shared" si="0"/>
        <v>2.1424719101123597</v>
      </c>
      <c r="I9" s="26">
        <f>Submetering!L9</f>
        <v>494</v>
      </c>
      <c r="J9" s="26">
        <v>2.2799999999999998</v>
      </c>
      <c r="K9" s="33">
        <v>147</v>
      </c>
      <c r="L9" s="33">
        <v>224</v>
      </c>
    </row>
    <row r="10" spans="1:12" x14ac:dyDescent="0.25">
      <c r="A10" t="s">
        <v>24</v>
      </c>
      <c r="B10">
        <v>9</v>
      </c>
      <c r="C10" s="24">
        <v>8</v>
      </c>
      <c r="D10" s="24">
        <v>2022</v>
      </c>
      <c r="E10" s="25">
        <f>Submetering!E10+Submetering!F10+Submetering!G10+Submetering!H10</f>
        <v>35379</v>
      </c>
      <c r="F10" s="32">
        <v>0.36499999999999999</v>
      </c>
      <c r="G10" s="25">
        <f>Submetering!I10+Submetering!J10+Submetering!K10</f>
        <v>390</v>
      </c>
      <c r="H10" s="27">
        <f t="shared" si="0"/>
        <v>2.1424719101123597</v>
      </c>
      <c r="I10" s="26">
        <f>Submetering!L10</f>
        <v>493</v>
      </c>
      <c r="J10" s="26">
        <v>2.2799999999999998</v>
      </c>
      <c r="K10" s="33">
        <v>153</v>
      </c>
      <c r="L10" s="33">
        <v>221</v>
      </c>
    </row>
    <row r="11" spans="1:12" x14ac:dyDescent="0.25">
      <c r="A11" t="s">
        <v>24</v>
      </c>
      <c r="B11">
        <v>10</v>
      </c>
      <c r="C11" s="24">
        <v>8</v>
      </c>
      <c r="D11" s="24">
        <v>2022</v>
      </c>
      <c r="E11" s="25">
        <f>Submetering!E11+Submetering!F11+Submetering!G11+Submetering!H11</f>
        <v>34019</v>
      </c>
      <c r="F11" s="32">
        <v>0.36499999999999999</v>
      </c>
      <c r="G11" s="25">
        <f>Submetering!I11+Submetering!J11+Submetering!K11</f>
        <v>324</v>
      </c>
      <c r="H11" s="27">
        <f t="shared" si="0"/>
        <v>2.1424719101123597</v>
      </c>
      <c r="I11" s="26">
        <f>Submetering!L11</f>
        <v>533</v>
      </c>
      <c r="J11" s="26">
        <v>2.2799999999999998</v>
      </c>
      <c r="K11" s="33">
        <v>127</v>
      </c>
      <c r="L11" s="33">
        <v>196</v>
      </c>
    </row>
    <row r="12" spans="1:12" x14ac:dyDescent="0.25">
      <c r="A12" t="s">
        <v>24</v>
      </c>
      <c r="B12">
        <v>11</v>
      </c>
      <c r="C12" s="24">
        <v>8</v>
      </c>
      <c r="D12" s="24">
        <v>2022</v>
      </c>
      <c r="E12" s="25">
        <f>Submetering!E12+Submetering!F12+Submetering!G12+Submetering!H12</f>
        <v>35236</v>
      </c>
      <c r="F12" s="32">
        <v>0.36499999999999999</v>
      </c>
      <c r="G12" s="25">
        <f>Submetering!I12+Submetering!J12+Submetering!K12</f>
        <v>359</v>
      </c>
      <c r="H12" s="27">
        <f t="shared" si="0"/>
        <v>2.1424719101123597</v>
      </c>
      <c r="I12" s="26">
        <f>Submetering!L12</f>
        <v>457</v>
      </c>
      <c r="J12" s="26">
        <v>2.2799999999999998</v>
      </c>
      <c r="K12" s="33">
        <v>161</v>
      </c>
      <c r="L12" s="33">
        <v>241</v>
      </c>
    </row>
    <row r="13" spans="1:12" x14ac:dyDescent="0.25">
      <c r="A13" t="s">
        <v>24</v>
      </c>
      <c r="B13">
        <v>12</v>
      </c>
      <c r="C13" s="24">
        <v>8</v>
      </c>
      <c r="D13" s="24">
        <v>2022</v>
      </c>
      <c r="E13" s="25">
        <f>Submetering!E13+Submetering!F13+Submetering!G13+Submetering!H13</f>
        <v>36231</v>
      </c>
      <c r="F13" s="32">
        <v>0.36499999999999999</v>
      </c>
      <c r="G13" s="25">
        <f>Submetering!I13+Submetering!J13+Submetering!K13</f>
        <v>353</v>
      </c>
      <c r="H13" s="27">
        <f t="shared" si="0"/>
        <v>2.1424719101123597</v>
      </c>
      <c r="I13" s="26">
        <f>Submetering!L13</f>
        <v>570</v>
      </c>
      <c r="J13" s="26">
        <v>2.2799999999999998</v>
      </c>
      <c r="K13" s="33">
        <v>151</v>
      </c>
      <c r="L13" s="33">
        <v>255</v>
      </c>
    </row>
    <row r="14" spans="1:12" x14ac:dyDescent="0.25">
      <c r="A14" t="s">
        <v>24</v>
      </c>
      <c r="B14">
        <v>13</v>
      </c>
      <c r="C14" s="24">
        <v>8</v>
      </c>
      <c r="D14" s="24">
        <v>2022</v>
      </c>
      <c r="E14" s="25">
        <f>Submetering!E14+Submetering!F14+Submetering!G14+Submetering!H14</f>
        <v>35900</v>
      </c>
      <c r="F14" s="32">
        <v>0.36499999999999999</v>
      </c>
      <c r="G14" s="25">
        <f>Submetering!I14+Submetering!J14+Submetering!K14</f>
        <v>363</v>
      </c>
      <c r="H14" s="27">
        <f t="shared" si="0"/>
        <v>2.1424719101123597</v>
      </c>
      <c r="I14" s="26">
        <f>Submetering!L14</f>
        <v>521</v>
      </c>
      <c r="J14" s="26">
        <v>2.2799999999999998</v>
      </c>
      <c r="K14" s="33">
        <v>158</v>
      </c>
      <c r="L14" s="33">
        <v>299</v>
      </c>
    </row>
    <row r="15" spans="1:12" x14ac:dyDescent="0.25">
      <c r="A15" t="s">
        <v>24</v>
      </c>
      <c r="B15">
        <v>14</v>
      </c>
      <c r="C15" s="24">
        <v>8</v>
      </c>
      <c r="D15" s="24">
        <v>2022</v>
      </c>
      <c r="E15" s="25">
        <f>Submetering!E15+Submetering!F15+Submetering!G15+Submetering!H15</f>
        <v>35901</v>
      </c>
      <c r="F15" s="32">
        <v>0.36499999999999999</v>
      </c>
      <c r="G15" s="25">
        <f>Submetering!I15+Submetering!J15+Submetering!K15</f>
        <v>363</v>
      </c>
      <c r="H15" s="27">
        <f t="shared" si="0"/>
        <v>2.1424719101123597</v>
      </c>
      <c r="I15" s="26">
        <f>Submetering!L15</f>
        <v>521</v>
      </c>
      <c r="J15" s="26">
        <v>2.2799999999999998</v>
      </c>
      <c r="K15" s="33">
        <v>138</v>
      </c>
      <c r="L15" s="33">
        <v>217</v>
      </c>
    </row>
    <row r="16" spans="1:12" x14ac:dyDescent="0.25">
      <c r="A16" t="s">
        <v>24</v>
      </c>
      <c r="B16">
        <v>15</v>
      </c>
      <c r="C16" s="24">
        <v>8</v>
      </c>
      <c r="D16" s="24">
        <v>2022</v>
      </c>
      <c r="E16" s="25">
        <f>Submetering!E16+Submetering!F16+Submetering!G16+Submetering!H16</f>
        <v>35901</v>
      </c>
      <c r="F16" s="32">
        <v>0.36499999999999999</v>
      </c>
      <c r="G16" s="25">
        <f>Submetering!I16+Submetering!J16+Submetering!K16</f>
        <v>368</v>
      </c>
      <c r="H16" s="27">
        <f t="shared" si="0"/>
        <v>2.1424719101123597</v>
      </c>
      <c r="I16" s="26">
        <f>Submetering!L16</f>
        <v>523</v>
      </c>
      <c r="J16" s="26">
        <v>2.2799999999999998</v>
      </c>
      <c r="K16" s="33">
        <v>177</v>
      </c>
      <c r="L16" s="33">
        <v>263</v>
      </c>
    </row>
    <row r="17" spans="1:12" x14ac:dyDescent="0.25">
      <c r="A17" t="s">
        <v>24</v>
      </c>
      <c r="B17">
        <v>16</v>
      </c>
      <c r="C17" s="24">
        <v>8</v>
      </c>
      <c r="D17" s="24">
        <v>2022</v>
      </c>
      <c r="E17" s="25">
        <f>Submetering!E17+Submetering!F17+Submetering!G17+Submetering!H17</f>
        <v>36593</v>
      </c>
      <c r="F17" s="32">
        <v>0.36499999999999999</v>
      </c>
      <c r="G17" s="25">
        <f>Submetering!I17+Submetering!J17+Submetering!K17</f>
        <v>354</v>
      </c>
      <c r="H17" s="27">
        <f t="shared" si="0"/>
        <v>2.1424719101123597</v>
      </c>
      <c r="I17" s="26">
        <f>Submetering!L17</f>
        <v>337</v>
      </c>
      <c r="J17" s="26">
        <v>2.2799999999999998</v>
      </c>
      <c r="K17" s="33">
        <v>167</v>
      </c>
      <c r="L17" s="33">
        <v>248</v>
      </c>
    </row>
    <row r="18" spans="1:12" x14ac:dyDescent="0.25">
      <c r="A18" t="s">
        <v>24</v>
      </c>
      <c r="B18">
        <v>17</v>
      </c>
      <c r="C18" s="24">
        <v>8</v>
      </c>
      <c r="D18" s="24">
        <v>2022</v>
      </c>
      <c r="E18" s="25">
        <f>Submetering!E18+Submetering!F18+Submetering!G18+Submetering!H18</f>
        <v>34207</v>
      </c>
      <c r="F18" s="32">
        <v>0.36499999999999999</v>
      </c>
      <c r="G18" s="25">
        <f>Submetering!I18+Submetering!J18+Submetering!K18</f>
        <v>382</v>
      </c>
      <c r="H18" s="27">
        <f t="shared" si="0"/>
        <v>2.1424719101123597</v>
      </c>
      <c r="I18" s="26">
        <f>Submetering!L18</f>
        <v>408</v>
      </c>
      <c r="J18" s="26">
        <v>2.2799999999999998</v>
      </c>
      <c r="K18" s="33">
        <v>179</v>
      </c>
      <c r="L18" s="33">
        <v>274</v>
      </c>
    </row>
    <row r="19" spans="1:12" x14ac:dyDescent="0.25">
      <c r="A19" t="s">
        <v>24</v>
      </c>
      <c r="B19">
        <v>18</v>
      </c>
      <c r="C19" s="24">
        <v>8</v>
      </c>
      <c r="D19" s="24">
        <v>2022</v>
      </c>
      <c r="E19" s="25">
        <f>Submetering!E19+Submetering!F19+Submetering!G19+Submetering!H19</f>
        <v>33983</v>
      </c>
      <c r="F19" s="32">
        <v>0.36499999999999999</v>
      </c>
      <c r="G19" s="25">
        <f>Submetering!I19+Submetering!J19+Submetering!K19</f>
        <v>339</v>
      </c>
      <c r="H19" s="27">
        <f t="shared" si="0"/>
        <v>2.1424719101123597</v>
      </c>
      <c r="I19" s="26">
        <f>Submetering!L19</f>
        <v>350</v>
      </c>
      <c r="J19" s="26">
        <v>2.2799999999999998</v>
      </c>
      <c r="K19" s="33">
        <v>154</v>
      </c>
      <c r="L19" s="33">
        <v>255</v>
      </c>
    </row>
    <row r="20" spans="1:12" x14ac:dyDescent="0.25">
      <c r="A20" t="s">
        <v>24</v>
      </c>
      <c r="B20">
        <v>19</v>
      </c>
      <c r="C20" s="24">
        <v>8</v>
      </c>
      <c r="D20" s="24">
        <v>2022</v>
      </c>
      <c r="E20" s="25">
        <f>Submetering!E20+Submetering!F20+Submetering!G20+Submetering!H20</f>
        <v>34848</v>
      </c>
      <c r="F20" s="32">
        <v>0.36499999999999999</v>
      </c>
      <c r="G20" s="25">
        <f>Submetering!I20+Submetering!J20+Submetering!K20</f>
        <v>332</v>
      </c>
      <c r="H20" s="27">
        <f t="shared" si="0"/>
        <v>2.1424719101123597</v>
      </c>
      <c r="I20" s="26">
        <f>Submetering!L20</f>
        <v>360</v>
      </c>
      <c r="J20" s="26">
        <v>2.2799999999999998</v>
      </c>
      <c r="K20" s="33">
        <v>155</v>
      </c>
      <c r="L20" s="33">
        <v>294</v>
      </c>
    </row>
    <row r="21" spans="1:12" x14ac:dyDescent="0.25">
      <c r="A21" t="s">
        <v>24</v>
      </c>
      <c r="B21">
        <v>20</v>
      </c>
      <c r="C21" s="24">
        <v>8</v>
      </c>
      <c r="D21" s="24">
        <v>2022</v>
      </c>
      <c r="E21" s="25">
        <f>Submetering!E21+Submetering!F21+Submetering!G21+Submetering!H21</f>
        <v>36481</v>
      </c>
      <c r="F21" s="32">
        <v>0.36499999999999999</v>
      </c>
      <c r="G21" s="25">
        <f>Submetering!I21+Submetering!J21+Submetering!K21</f>
        <v>436</v>
      </c>
      <c r="H21" s="27">
        <f t="shared" si="0"/>
        <v>2.1424719101123597</v>
      </c>
      <c r="I21" s="26">
        <f>Submetering!L21</f>
        <v>399</v>
      </c>
      <c r="J21" s="26">
        <v>2.2799999999999998</v>
      </c>
      <c r="K21" s="33">
        <v>158</v>
      </c>
      <c r="L21" s="33">
        <v>300</v>
      </c>
    </row>
    <row r="22" spans="1:12" x14ac:dyDescent="0.25">
      <c r="A22" t="s">
        <v>24</v>
      </c>
      <c r="B22">
        <v>21</v>
      </c>
      <c r="C22" s="24">
        <v>8</v>
      </c>
      <c r="D22" s="24">
        <v>2022</v>
      </c>
      <c r="E22" s="25">
        <f>Submetering!E22+Submetering!F22+Submetering!G22+Submetering!H22</f>
        <v>35633</v>
      </c>
      <c r="F22" s="32">
        <v>0.36499999999999999</v>
      </c>
      <c r="G22" s="25">
        <f>Submetering!I22+Submetering!J22+Submetering!K22</f>
        <v>266</v>
      </c>
      <c r="H22" s="27">
        <f t="shared" si="0"/>
        <v>2.1424719101123597</v>
      </c>
      <c r="I22" s="26">
        <f>Submetering!L22</f>
        <v>274</v>
      </c>
      <c r="J22" s="26">
        <v>2.2799999999999998</v>
      </c>
      <c r="K22" s="33">
        <v>147</v>
      </c>
      <c r="L22" s="33">
        <v>257</v>
      </c>
    </row>
    <row r="23" spans="1:12" x14ac:dyDescent="0.25">
      <c r="A23" t="s">
        <v>24</v>
      </c>
      <c r="B23">
        <v>22</v>
      </c>
      <c r="C23" s="24">
        <v>8</v>
      </c>
      <c r="D23" s="24">
        <v>2022</v>
      </c>
      <c r="E23" s="25">
        <f>Submetering!E23+Submetering!F23+Submetering!G23+Submetering!H23</f>
        <v>34013</v>
      </c>
      <c r="F23" s="32">
        <v>0.36499999999999999</v>
      </c>
      <c r="G23" s="25">
        <f>Submetering!I23+Submetering!J23+Submetering!K23</f>
        <v>378</v>
      </c>
      <c r="H23" s="27">
        <f t="shared" si="0"/>
        <v>2.1424719101123597</v>
      </c>
      <c r="I23" s="26">
        <f>Submetering!L23</f>
        <v>394</v>
      </c>
      <c r="J23" s="26">
        <v>2.2799999999999998</v>
      </c>
      <c r="K23" s="33">
        <v>157</v>
      </c>
      <c r="L23" s="33">
        <v>253</v>
      </c>
    </row>
    <row r="24" spans="1:12" x14ac:dyDescent="0.25">
      <c r="A24" t="s">
        <v>24</v>
      </c>
      <c r="B24">
        <v>23</v>
      </c>
      <c r="C24" s="24">
        <v>8</v>
      </c>
      <c r="D24" s="24">
        <v>2022</v>
      </c>
      <c r="E24" s="25">
        <f>Submetering!E24+Submetering!F24+Submetering!G24+Submetering!H24</f>
        <v>32660</v>
      </c>
      <c r="F24" s="32">
        <v>0.36499999999999999</v>
      </c>
      <c r="G24" s="25">
        <f>Submetering!I24+Submetering!J24+Submetering!K24</f>
        <v>305</v>
      </c>
      <c r="H24" s="27">
        <f t="shared" si="0"/>
        <v>2.1424719101123597</v>
      </c>
      <c r="I24" s="26">
        <f>Submetering!L24</f>
        <v>382</v>
      </c>
      <c r="J24" s="26">
        <v>2.2799999999999998</v>
      </c>
      <c r="K24" s="33">
        <v>166</v>
      </c>
      <c r="L24" s="33">
        <v>282</v>
      </c>
    </row>
    <row r="25" spans="1:12" x14ac:dyDescent="0.25">
      <c r="A25" t="s">
        <v>24</v>
      </c>
      <c r="B25">
        <v>24</v>
      </c>
      <c r="C25" s="24">
        <v>8</v>
      </c>
      <c r="D25" s="24">
        <v>2022</v>
      </c>
      <c r="E25" s="25">
        <f>Submetering!E25+Submetering!F25+Submetering!G25+Submetering!H25</f>
        <v>35769</v>
      </c>
      <c r="F25" s="32">
        <v>0.36499999999999999</v>
      </c>
      <c r="G25" s="25">
        <f>Submetering!I25+Submetering!J25+Submetering!K25</f>
        <v>361</v>
      </c>
      <c r="H25" s="27">
        <f t="shared" si="0"/>
        <v>2.1424719101123597</v>
      </c>
      <c r="I25" s="26">
        <f>Submetering!L25</f>
        <v>520</v>
      </c>
      <c r="J25" s="26">
        <v>2.2799999999999998</v>
      </c>
      <c r="K25" s="33">
        <v>168</v>
      </c>
      <c r="L25" s="33">
        <v>264</v>
      </c>
    </row>
    <row r="26" spans="1:12" x14ac:dyDescent="0.25">
      <c r="A26" t="s">
        <v>24</v>
      </c>
      <c r="B26">
        <v>25</v>
      </c>
      <c r="C26" s="24">
        <v>8</v>
      </c>
      <c r="D26" s="24">
        <v>2022</v>
      </c>
      <c r="E26" s="25">
        <f>Submetering!E26+Submetering!F26+Submetering!G26+Submetering!H26</f>
        <v>31191</v>
      </c>
      <c r="F26" s="32">
        <v>0.36499999999999999</v>
      </c>
      <c r="G26" s="25">
        <f>Submetering!I26+Submetering!J26+Submetering!K26</f>
        <v>337</v>
      </c>
      <c r="H26" s="27">
        <f t="shared" si="0"/>
        <v>2.1424719101123597</v>
      </c>
      <c r="I26" s="26">
        <f>Submetering!L26</f>
        <v>348</v>
      </c>
      <c r="J26" s="26">
        <v>2.2799999999999998</v>
      </c>
      <c r="K26" s="33">
        <v>158</v>
      </c>
      <c r="L26" s="33">
        <v>254</v>
      </c>
    </row>
    <row r="27" spans="1:12" x14ac:dyDescent="0.25">
      <c r="A27" t="s">
        <v>24</v>
      </c>
      <c r="B27">
        <v>26</v>
      </c>
      <c r="C27" s="24">
        <v>8</v>
      </c>
      <c r="D27" s="24">
        <v>2022</v>
      </c>
      <c r="E27" s="25">
        <f>Submetering!E27+Submetering!F27+Submetering!G27+Submetering!H27</f>
        <v>34834</v>
      </c>
      <c r="F27" s="32">
        <v>0.36499999999999999</v>
      </c>
      <c r="G27" s="25">
        <f>Submetering!I27+Submetering!J27+Submetering!K27</f>
        <v>348</v>
      </c>
      <c r="H27" s="27">
        <f t="shared" si="0"/>
        <v>2.1424719101123597</v>
      </c>
      <c r="I27" s="26">
        <f>Submetering!L27</f>
        <v>461</v>
      </c>
      <c r="J27" s="26">
        <v>2.2799999999999998</v>
      </c>
      <c r="K27" s="33">
        <v>134</v>
      </c>
      <c r="L27" s="33">
        <v>248</v>
      </c>
    </row>
    <row r="28" spans="1:12" x14ac:dyDescent="0.25">
      <c r="A28" t="s">
        <v>24</v>
      </c>
      <c r="B28">
        <v>27</v>
      </c>
      <c r="C28" s="24">
        <v>8</v>
      </c>
      <c r="D28" s="24">
        <v>2022</v>
      </c>
      <c r="E28" s="25">
        <f>Submetering!E28+Submetering!F28+Submetering!G28+Submetering!H28</f>
        <v>33217</v>
      </c>
      <c r="F28" s="32">
        <v>0.36499999999999999</v>
      </c>
      <c r="G28" s="25">
        <f>Submetering!I28+Submetering!J28+Submetering!K28</f>
        <v>389</v>
      </c>
      <c r="H28" s="27">
        <f t="shared" si="0"/>
        <v>2.1424719101123597</v>
      </c>
      <c r="I28" s="26">
        <f>Submetering!L28</f>
        <v>345</v>
      </c>
      <c r="J28" s="26">
        <v>2.2799999999999998</v>
      </c>
      <c r="K28" s="33">
        <v>125</v>
      </c>
      <c r="L28" s="33">
        <v>251</v>
      </c>
    </row>
    <row r="29" spans="1:12" x14ac:dyDescent="0.25">
      <c r="A29" t="s">
        <v>24</v>
      </c>
      <c r="B29">
        <v>28</v>
      </c>
      <c r="C29" s="24">
        <v>8</v>
      </c>
      <c r="D29" s="24">
        <v>2022</v>
      </c>
      <c r="E29" s="25">
        <f>Submetering!E29+Submetering!F29+Submetering!G29+Submetering!H29</f>
        <v>35687</v>
      </c>
      <c r="F29" s="32">
        <v>0.36499999999999999</v>
      </c>
      <c r="G29" s="25">
        <f>Submetering!I29+Submetering!J29+Submetering!K29</f>
        <v>366</v>
      </c>
      <c r="H29" s="27">
        <f t="shared" si="0"/>
        <v>2.1424719101123597</v>
      </c>
      <c r="I29" s="26">
        <f>Submetering!L29</f>
        <v>380</v>
      </c>
      <c r="J29" s="26">
        <v>2.2799999999999998</v>
      </c>
      <c r="K29" s="33">
        <v>140</v>
      </c>
      <c r="L29" s="33">
        <v>230</v>
      </c>
    </row>
    <row r="30" spans="1:12" x14ac:dyDescent="0.25">
      <c r="A30" t="s">
        <v>24</v>
      </c>
      <c r="B30">
        <v>29</v>
      </c>
      <c r="C30" s="24">
        <v>8</v>
      </c>
      <c r="D30" s="24">
        <v>2022</v>
      </c>
      <c r="E30" s="25">
        <f>Submetering!E30+Submetering!F30+Submetering!G30+Submetering!H30</f>
        <v>34648</v>
      </c>
      <c r="F30" s="32">
        <v>0.36499999999999999</v>
      </c>
      <c r="G30" s="25">
        <f>Submetering!I30+Submetering!J30+Submetering!K30</f>
        <v>320</v>
      </c>
      <c r="H30" s="27">
        <f t="shared" si="0"/>
        <v>2.1424719101123597</v>
      </c>
      <c r="I30" s="26">
        <f>Submetering!L30</f>
        <v>777</v>
      </c>
      <c r="J30" s="26">
        <v>2.2799999999999998</v>
      </c>
      <c r="K30" s="33">
        <v>156</v>
      </c>
      <c r="L30" s="33">
        <v>242</v>
      </c>
    </row>
    <row r="31" spans="1:12" x14ac:dyDescent="0.25">
      <c r="A31" t="s">
        <v>24</v>
      </c>
      <c r="B31">
        <v>30</v>
      </c>
      <c r="C31" s="24">
        <v>8</v>
      </c>
      <c r="D31" s="24">
        <v>2022</v>
      </c>
      <c r="E31" s="25">
        <f>Submetering!E31+Submetering!F31+Submetering!G31+Submetering!H31</f>
        <v>35089</v>
      </c>
      <c r="F31" s="32">
        <v>0.36499999999999999</v>
      </c>
      <c r="G31" s="25">
        <f>Submetering!I31+Submetering!J31+Submetering!K31</f>
        <v>350</v>
      </c>
      <c r="H31" s="27">
        <f t="shared" si="0"/>
        <v>2.1424719101123597</v>
      </c>
      <c r="I31" s="26">
        <f>Submetering!L31</f>
        <v>390</v>
      </c>
      <c r="J31" s="26">
        <v>2.2799999999999998</v>
      </c>
      <c r="K31" s="33">
        <v>172</v>
      </c>
      <c r="L31" s="33">
        <v>304</v>
      </c>
    </row>
    <row r="32" spans="1:12" x14ac:dyDescent="0.25">
      <c r="A32" t="s">
        <v>24</v>
      </c>
      <c r="B32">
        <v>31</v>
      </c>
      <c r="C32" s="24">
        <v>8</v>
      </c>
      <c r="D32" s="24">
        <v>2022</v>
      </c>
      <c r="E32" s="25">
        <f>Submetering!E32+Submetering!F32+Submetering!G32+Submetering!H32</f>
        <v>30841</v>
      </c>
      <c r="F32" s="32">
        <v>0.36499999999999999</v>
      </c>
      <c r="G32" s="25">
        <f>Submetering!I32+Submetering!J32+Submetering!K32</f>
        <v>354</v>
      </c>
      <c r="H32" s="27">
        <f t="shared" si="0"/>
        <v>2.1424719101123597</v>
      </c>
      <c r="I32" s="26">
        <f>Submetering!L32</f>
        <v>390</v>
      </c>
      <c r="J32" s="26">
        <v>2.2799999999999998</v>
      </c>
      <c r="K32" s="33">
        <v>155</v>
      </c>
      <c r="L32" s="33">
        <v>252</v>
      </c>
    </row>
    <row r="33" spans="3:11" x14ac:dyDescent="0.25">
      <c r="C33" s="24"/>
      <c r="D33" s="24"/>
      <c r="E33" s="25"/>
      <c r="F33" s="27"/>
      <c r="G33" s="25"/>
      <c r="H33" s="27"/>
      <c r="I33" s="25"/>
      <c r="J33" s="25"/>
      <c r="K33" s="26"/>
    </row>
    <row r="34" spans="3:11" x14ac:dyDescent="0.25">
      <c r="C34" s="24"/>
      <c r="D34" s="24"/>
      <c r="E34" s="25"/>
      <c r="F34" s="25"/>
      <c r="G34" s="25"/>
      <c r="H34" s="32"/>
      <c r="I34" s="25"/>
      <c r="J34" s="25"/>
      <c r="K34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activeCell="B2" sqref="B2"/>
    </sheetView>
  </sheetViews>
  <sheetFormatPr defaultRowHeight="15" x14ac:dyDescent="0.25"/>
  <cols>
    <col min="8" max="8" width="9.5703125" bestFit="1" customWidth="1"/>
  </cols>
  <sheetData>
    <row r="1" spans="1:13" ht="51" customHeight="1" x14ac:dyDescent="0.25">
      <c r="A1" s="21" t="s">
        <v>13</v>
      </c>
      <c r="B1" s="21" t="s">
        <v>33</v>
      </c>
      <c r="C1" s="21" t="s">
        <v>14</v>
      </c>
      <c r="D1" s="21" t="s">
        <v>15</v>
      </c>
      <c r="E1" s="22" t="s">
        <v>16</v>
      </c>
      <c r="F1" s="22" t="s">
        <v>17</v>
      </c>
      <c r="G1" s="22" t="s">
        <v>18</v>
      </c>
      <c r="H1" s="23" t="s">
        <v>19</v>
      </c>
      <c r="I1" s="22" t="s">
        <v>20</v>
      </c>
      <c r="J1" s="22" t="s">
        <v>21</v>
      </c>
      <c r="K1" s="22" t="s">
        <v>22</v>
      </c>
      <c r="L1" s="22" t="s">
        <v>23</v>
      </c>
      <c r="M1" s="30" t="s">
        <v>31</v>
      </c>
    </row>
    <row r="2" spans="1:13" ht="13.5" customHeight="1" x14ac:dyDescent="0.25">
      <c r="A2" t="s">
        <v>24</v>
      </c>
      <c r="B2">
        <v>1</v>
      </c>
      <c r="C2" s="24">
        <v>8</v>
      </c>
      <c r="D2" s="24">
        <v>2022</v>
      </c>
      <c r="E2" s="25">
        <f>'Daily Meter Reading'!C3</f>
        <v>12669</v>
      </c>
      <c r="F2" s="26">
        <f>'Daily Meter Reading'!E3</f>
        <v>8418</v>
      </c>
      <c r="G2" s="25">
        <f>'Daily Meter Reading'!G3</f>
        <v>4724</v>
      </c>
      <c r="H2" s="27">
        <f>'Daily Meter Reading'!I3</f>
        <v>7554</v>
      </c>
      <c r="I2" s="26">
        <f>'Daily Meter Reading'!K3</f>
        <v>130</v>
      </c>
      <c r="J2" s="26">
        <f>'Daily Meter Reading'!M3</f>
        <v>1</v>
      </c>
      <c r="K2" s="26">
        <f>'Daily Meter Reading'!O3</f>
        <v>160</v>
      </c>
      <c r="L2" s="26">
        <f>'Daily Meter Reading'!Q3</f>
        <v>413</v>
      </c>
      <c r="M2" s="33">
        <v>137</v>
      </c>
    </row>
    <row r="3" spans="1:13" ht="13.5" customHeight="1" x14ac:dyDescent="0.25">
      <c r="A3" t="s">
        <v>24</v>
      </c>
      <c r="B3">
        <v>2</v>
      </c>
      <c r="C3" s="24">
        <v>8</v>
      </c>
      <c r="D3" s="24">
        <v>2022</v>
      </c>
      <c r="E3" s="25">
        <f>'Daily Meter Reading'!C4</f>
        <v>12470</v>
      </c>
      <c r="F3" s="26">
        <f>'Daily Meter Reading'!E4</f>
        <v>8422</v>
      </c>
      <c r="G3" s="25">
        <f>'Daily Meter Reading'!G4</f>
        <v>3237</v>
      </c>
      <c r="H3" s="27">
        <f>'Daily Meter Reading'!I4</f>
        <v>7693</v>
      </c>
      <c r="I3" s="26">
        <f>'Daily Meter Reading'!K4</f>
        <v>112</v>
      </c>
      <c r="J3" s="26">
        <f>'Daily Meter Reading'!M4</f>
        <v>18</v>
      </c>
      <c r="K3" s="26">
        <f>'Daily Meter Reading'!O4</f>
        <v>174</v>
      </c>
      <c r="L3" s="26">
        <f>'Daily Meter Reading'!Q4</f>
        <v>289</v>
      </c>
      <c r="M3" s="33">
        <v>156</v>
      </c>
    </row>
    <row r="4" spans="1:13" ht="13.5" customHeight="1" x14ac:dyDescent="0.25">
      <c r="A4" t="s">
        <v>24</v>
      </c>
      <c r="B4">
        <v>3</v>
      </c>
      <c r="C4" s="24">
        <v>8</v>
      </c>
      <c r="D4" s="24">
        <v>2022</v>
      </c>
      <c r="E4" s="25">
        <f>'Daily Meter Reading'!C5</f>
        <v>12931</v>
      </c>
      <c r="F4" s="26">
        <f>'Daily Meter Reading'!E5</f>
        <v>8966</v>
      </c>
      <c r="G4" s="25">
        <f>'Daily Meter Reading'!G5</f>
        <v>5369</v>
      </c>
      <c r="H4" s="27">
        <f>'Daily Meter Reading'!I5</f>
        <v>7434</v>
      </c>
      <c r="I4" s="26">
        <f>'Daily Meter Reading'!K5</f>
        <v>113</v>
      </c>
      <c r="J4" s="26">
        <f>'Daily Meter Reading'!M5</f>
        <v>15</v>
      </c>
      <c r="K4" s="26">
        <f>'Daily Meter Reading'!O5</f>
        <v>188</v>
      </c>
      <c r="L4" s="26">
        <f>'Daily Meter Reading'!Q5</f>
        <v>361</v>
      </c>
      <c r="M4" s="33">
        <v>156</v>
      </c>
    </row>
    <row r="5" spans="1:13" ht="12.75" customHeight="1" x14ac:dyDescent="0.25">
      <c r="A5" t="s">
        <v>24</v>
      </c>
      <c r="B5">
        <v>4</v>
      </c>
      <c r="C5" s="24">
        <v>8</v>
      </c>
      <c r="D5" s="24">
        <v>2022</v>
      </c>
      <c r="E5" s="25">
        <f>'Daily Meter Reading'!C6</f>
        <v>12077</v>
      </c>
      <c r="F5" s="26">
        <f>'Daily Meter Reading'!E6</f>
        <v>8704</v>
      </c>
      <c r="G5" s="25">
        <f>'Daily Meter Reading'!G6</f>
        <v>3316</v>
      </c>
      <c r="H5" s="27">
        <f>'Daily Meter Reading'!I6</f>
        <v>7395</v>
      </c>
      <c r="I5" s="26">
        <f>'Daily Meter Reading'!K6</f>
        <v>125</v>
      </c>
      <c r="J5" s="26">
        <f>'Daily Meter Reading'!M6</f>
        <v>10</v>
      </c>
      <c r="K5" s="26">
        <f>'Daily Meter Reading'!O6</f>
        <v>166</v>
      </c>
      <c r="L5" s="26">
        <f>'Daily Meter Reading'!Q6</f>
        <v>335</v>
      </c>
      <c r="M5" s="33">
        <v>164</v>
      </c>
    </row>
    <row r="6" spans="1:13" x14ac:dyDescent="0.25">
      <c r="A6" t="s">
        <v>24</v>
      </c>
      <c r="B6">
        <v>5</v>
      </c>
      <c r="C6" s="24">
        <v>8</v>
      </c>
      <c r="D6" s="24">
        <v>2022</v>
      </c>
      <c r="E6" s="25">
        <f>'Daily Meter Reading'!C7</f>
        <v>12876</v>
      </c>
      <c r="F6" s="26">
        <f>'Daily Meter Reading'!E7</f>
        <v>9989</v>
      </c>
      <c r="G6" s="25">
        <f>'Daily Meter Reading'!G7</f>
        <v>5862</v>
      </c>
      <c r="H6" s="27">
        <f>'Daily Meter Reading'!I7</f>
        <v>7593</v>
      </c>
      <c r="I6" s="26">
        <f>'Daily Meter Reading'!K7</f>
        <v>151</v>
      </c>
      <c r="J6" s="26">
        <f>'Daily Meter Reading'!M7</f>
        <v>69</v>
      </c>
      <c r="K6" s="26">
        <f>'Daily Meter Reading'!O7</f>
        <v>189</v>
      </c>
      <c r="L6" s="26">
        <f>'Daily Meter Reading'!Q7</f>
        <v>334</v>
      </c>
      <c r="M6" s="33">
        <v>155</v>
      </c>
    </row>
    <row r="7" spans="1:13" x14ac:dyDescent="0.25">
      <c r="A7" t="s">
        <v>24</v>
      </c>
      <c r="B7">
        <v>6</v>
      </c>
      <c r="C7" s="24">
        <v>8</v>
      </c>
      <c r="D7" s="24">
        <v>2022</v>
      </c>
      <c r="E7" s="25">
        <f>'Daily Meter Reading'!C8</f>
        <v>12843</v>
      </c>
      <c r="F7" s="26">
        <f>'Daily Meter Reading'!E8</f>
        <v>9668</v>
      </c>
      <c r="G7" s="25">
        <f>'Daily Meter Reading'!G8</f>
        <v>5640</v>
      </c>
      <c r="H7" s="27">
        <f>'Daily Meter Reading'!I8</f>
        <v>7264</v>
      </c>
      <c r="I7" s="26">
        <f>'Daily Meter Reading'!K8</f>
        <v>160</v>
      </c>
      <c r="J7" s="26">
        <f>'Daily Meter Reading'!M8</f>
        <v>29</v>
      </c>
      <c r="K7" s="26">
        <f>'Daily Meter Reading'!O8</f>
        <v>192</v>
      </c>
      <c r="L7" s="26">
        <f>'Daily Meter Reading'!Q8</f>
        <v>398</v>
      </c>
      <c r="M7" s="33">
        <v>156</v>
      </c>
    </row>
    <row r="8" spans="1:13" x14ac:dyDescent="0.25">
      <c r="A8" t="s">
        <v>24</v>
      </c>
      <c r="B8">
        <v>7</v>
      </c>
      <c r="C8" s="24">
        <v>8</v>
      </c>
      <c r="D8" s="24">
        <v>2022</v>
      </c>
      <c r="E8" s="25">
        <f>'Daily Meter Reading'!C9</f>
        <v>12660</v>
      </c>
      <c r="F8" s="26">
        <f>'Daily Meter Reading'!E9</f>
        <v>9554</v>
      </c>
      <c r="G8" s="25">
        <f>'Daily Meter Reading'!G9</f>
        <v>4546</v>
      </c>
      <c r="H8" s="27">
        <f>'Daily Meter Reading'!I9</f>
        <v>7780</v>
      </c>
      <c r="I8" s="26">
        <f>'Daily Meter Reading'!K9</f>
        <v>120</v>
      </c>
      <c r="J8" s="26">
        <f>'Daily Meter Reading'!M9</f>
        <v>54</v>
      </c>
      <c r="K8" s="26">
        <f>'Daily Meter Reading'!O9</f>
        <v>132</v>
      </c>
      <c r="L8" s="26">
        <f>'Daily Meter Reading'!Q9</f>
        <v>392</v>
      </c>
      <c r="M8" s="33">
        <v>153</v>
      </c>
    </row>
    <row r="9" spans="1:13" x14ac:dyDescent="0.25">
      <c r="A9" t="s">
        <v>24</v>
      </c>
      <c r="B9">
        <v>8</v>
      </c>
      <c r="C9" s="24">
        <v>8</v>
      </c>
      <c r="D9" s="24">
        <v>2022</v>
      </c>
      <c r="E9" s="25">
        <f>'Daily Meter Reading'!C10</f>
        <v>12704</v>
      </c>
      <c r="F9" s="26">
        <f>'Daily Meter Reading'!E10</f>
        <v>9087</v>
      </c>
      <c r="G9" s="25">
        <f>'Daily Meter Reading'!G10</f>
        <v>3662</v>
      </c>
      <c r="H9" s="27">
        <f>'Daily Meter Reading'!I10</f>
        <v>8403</v>
      </c>
      <c r="I9" s="26">
        <f>'Daily Meter Reading'!K10</f>
        <v>132</v>
      </c>
      <c r="J9" s="26">
        <f>'Daily Meter Reading'!M10</f>
        <v>33</v>
      </c>
      <c r="K9" s="26">
        <f>'Daily Meter Reading'!O10</f>
        <v>116</v>
      </c>
      <c r="L9" s="26">
        <f>'Daily Meter Reading'!Q10</f>
        <v>494</v>
      </c>
      <c r="M9" s="33">
        <v>147</v>
      </c>
    </row>
    <row r="10" spans="1:13" x14ac:dyDescent="0.25">
      <c r="A10" t="s">
        <v>24</v>
      </c>
      <c r="B10">
        <v>9</v>
      </c>
      <c r="C10" s="24">
        <v>8</v>
      </c>
      <c r="D10" s="24">
        <v>2022</v>
      </c>
      <c r="E10" s="25">
        <f>'Daily Meter Reading'!C11</f>
        <v>12995</v>
      </c>
      <c r="F10" s="26">
        <f>'Daily Meter Reading'!E11</f>
        <v>9160</v>
      </c>
      <c r="G10" s="25">
        <f>'Daily Meter Reading'!G11</f>
        <v>4326</v>
      </c>
      <c r="H10" s="27">
        <f>'Daily Meter Reading'!I11</f>
        <v>8898</v>
      </c>
      <c r="I10" s="26">
        <f>'Daily Meter Reading'!K11</f>
        <v>139</v>
      </c>
      <c r="J10" s="26">
        <f>'Daily Meter Reading'!M11</f>
        <v>13</v>
      </c>
      <c r="K10" s="26">
        <f>'Daily Meter Reading'!O11</f>
        <v>238</v>
      </c>
      <c r="L10" s="26">
        <f>'Daily Meter Reading'!Q11</f>
        <v>493</v>
      </c>
      <c r="M10" s="33">
        <v>153</v>
      </c>
    </row>
    <row r="11" spans="1:13" x14ac:dyDescent="0.25">
      <c r="A11" t="s">
        <v>24</v>
      </c>
      <c r="B11">
        <v>10</v>
      </c>
      <c r="C11" s="24">
        <v>8</v>
      </c>
      <c r="D11" s="24">
        <v>2022</v>
      </c>
      <c r="E11" s="25">
        <f>'Daily Meter Reading'!C12</f>
        <v>12668</v>
      </c>
      <c r="F11" s="26">
        <f>'Daily Meter Reading'!E12</f>
        <v>8645</v>
      </c>
      <c r="G11" s="25">
        <f>'Daily Meter Reading'!G12</f>
        <v>4201</v>
      </c>
      <c r="H11" s="27">
        <f>'Daily Meter Reading'!I12</f>
        <v>8505</v>
      </c>
      <c r="I11" s="26">
        <f>'Daily Meter Reading'!K12</f>
        <v>132</v>
      </c>
      <c r="J11" s="26">
        <f>'Daily Meter Reading'!M12</f>
        <v>32</v>
      </c>
      <c r="K11" s="26">
        <f>'Daily Meter Reading'!O12</f>
        <v>160</v>
      </c>
      <c r="L11" s="26">
        <f>'Daily Meter Reading'!Q12</f>
        <v>533</v>
      </c>
      <c r="M11" s="33">
        <v>127</v>
      </c>
    </row>
    <row r="12" spans="1:13" x14ac:dyDescent="0.25">
      <c r="A12" t="s">
        <v>24</v>
      </c>
      <c r="B12">
        <v>11</v>
      </c>
      <c r="C12" s="24">
        <v>8</v>
      </c>
      <c r="D12" s="24">
        <v>2022</v>
      </c>
      <c r="E12" s="25">
        <f>'Daily Meter Reading'!C13</f>
        <v>12994</v>
      </c>
      <c r="F12" s="26">
        <f>'Daily Meter Reading'!E13</f>
        <v>9057</v>
      </c>
      <c r="G12" s="25">
        <f>'Daily Meter Reading'!G13</f>
        <v>4698</v>
      </c>
      <c r="H12" s="27">
        <f>'Daily Meter Reading'!I13</f>
        <v>8487</v>
      </c>
      <c r="I12" s="26">
        <f>'Daily Meter Reading'!K13</f>
        <v>126</v>
      </c>
      <c r="J12" s="26">
        <f>'Daily Meter Reading'!M13</f>
        <v>41</v>
      </c>
      <c r="K12" s="26">
        <f>'Daily Meter Reading'!O13</f>
        <v>192</v>
      </c>
      <c r="L12" s="26">
        <f>'Daily Meter Reading'!Q13</f>
        <v>457</v>
      </c>
      <c r="M12" s="33">
        <v>161</v>
      </c>
    </row>
    <row r="13" spans="1:13" x14ac:dyDescent="0.25">
      <c r="A13" t="s">
        <v>24</v>
      </c>
      <c r="B13">
        <v>12</v>
      </c>
      <c r="C13" s="24">
        <v>8</v>
      </c>
      <c r="D13" s="24">
        <v>2022</v>
      </c>
      <c r="E13" s="25">
        <f>'Daily Meter Reading'!C14</f>
        <v>13405</v>
      </c>
      <c r="F13" s="26">
        <f>'Daily Meter Reading'!E14</f>
        <v>9251</v>
      </c>
      <c r="G13" s="25">
        <f>'Daily Meter Reading'!G14</f>
        <v>4562</v>
      </c>
      <c r="H13" s="27">
        <f>'Daily Meter Reading'!I14</f>
        <v>9013</v>
      </c>
      <c r="I13" s="26">
        <f>'Daily Meter Reading'!K14</f>
        <v>120</v>
      </c>
      <c r="J13" s="26">
        <f>'Daily Meter Reading'!M14</f>
        <v>42</v>
      </c>
      <c r="K13" s="26">
        <f>'Daily Meter Reading'!O14</f>
        <v>191</v>
      </c>
      <c r="L13" s="26">
        <f>'Daily Meter Reading'!Q14</f>
        <v>570</v>
      </c>
      <c r="M13" s="33">
        <v>151</v>
      </c>
    </row>
    <row r="14" spans="1:13" x14ac:dyDescent="0.25">
      <c r="A14" t="s">
        <v>24</v>
      </c>
      <c r="B14">
        <v>13</v>
      </c>
      <c r="C14" s="24">
        <v>8</v>
      </c>
      <c r="D14" s="24">
        <v>2022</v>
      </c>
      <c r="E14" s="25">
        <f>'Daily Meter Reading'!C15</f>
        <v>12967</v>
      </c>
      <c r="F14" s="26">
        <f>'Daily Meter Reading'!E15</f>
        <v>9311</v>
      </c>
      <c r="G14" s="25">
        <f>'Daily Meter Reading'!G15</f>
        <v>5325</v>
      </c>
      <c r="H14" s="27">
        <f>'Daily Meter Reading'!I15</f>
        <v>8297</v>
      </c>
      <c r="I14" s="26">
        <f>'Daily Meter Reading'!K15</f>
        <v>146</v>
      </c>
      <c r="J14" s="26">
        <f>'Daily Meter Reading'!M15</f>
        <v>45</v>
      </c>
      <c r="K14" s="26">
        <f>'Daily Meter Reading'!O15</f>
        <v>172</v>
      </c>
      <c r="L14" s="26">
        <f>'Daily Meter Reading'!Q15</f>
        <v>521</v>
      </c>
      <c r="M14" s="33">
        <v>158</v>
      </c>
    </row>
    <row r="15" spans="1:13" x14ac:dyDescent="0.25">
      <c r="A15" t="s">
        <v>24</v>
      </c>
      <c r="B15">
        <v>14</v>
      </c>
      <c r="C15" s="24">
        <v>8</v>
      </c>
      <c r="D15" s="24">
        <v>2022</v>
      </c>
      <c r="E15" s="25">
        <f>'Daily Meter Reading'!C16</f>
        <v>12967</v>
      </c>
      <c r="F15" s="26">
        <f>'Daily Meter Reading'!E16</f>
        <v>9311</v>
      </c>
      <c r="G15" s="25">
        <f>'Daily Meter Reading'!G16</f>
        <v>5325</v>
      </c>
      <c r="H15" s="27">
        <f>'Daily Meter Reading'!I16</f>
        <v>8298</v>
      </c>
      <c r="I15" s="26">
        <f>'Daily Meter Reading'!K16</f>
        <v>146</v>
      </c>
      <c r="J15" s="26">
        <f>'Daily Meter Reading'!M16</f>
        <v>45</v>
      </c>
      <c r="K15" s="26">
        <f>'Daily Meter Reading'!O16</f>
        <v>172</v>
      </c>
      <c r="L15" s="26">
        <f>'Daily Meter Reading'!Q16</f>
        <v>521</v>
      </c>
      <c r="M15" s="33">
        <v>138</v>
      </c>
    </row>
    <row r="16" spans="1:13" x14ac:dyDescent="0.25">
      <c r="A16" t="s">
        <v>24</v>
      </c>
      <c r="B16">
        <v>15</v>
      </c>
      <c r="C16" s="24">
        <v>8</v>
      </c>
      <c r="D16" s="24">
        <v>2022</v>
      </c>
      <c r="E16" s="25">
        <f>'Daily Meter Reading'!C17</f>
        <v>12967</v>
      </c>
      <c r="F16" s="26">
        <f>'Daily Meter Reading'!E17</f>
        <v>9311</v>
      </c>
      <c r="G16" s="25">
        <f>'Daily Meter Reading'!G17</f>
        <v>5325</v>
      </c>
      <c r="H16" s="27">
        <f>'Daily Meter Reading'!I17</f>
        <v>8298</v>
      </c>
      <c r="I16" s="26">
        <f>'Daily Meter Reading'!K17</f>
        <v>148</v>
      </c>
      <c r="J16" s="26">
        <f>'Daily Meter Reading'!M17</f>
        <v>47</v>
      </c>
      <c r="K16" s="26">
        <f>'Daily Meter Reading'!O17</f>
        <v>173</v>
      </c>
      <c r="L16" s="26">
        <f>'Daily Meter Reading'!Q17</f>
        <v>523</v>
      </c>
      <c r="M16" s="33">
        <v>177</v>
      </c>
    </row>
    <row r="17" spans="1:13" x14ac:dyDescent="0.25">
      <c r="A17" t="s">
        <v>24</v>
      </c>
      <c r="B17">
        <v>16</v>
      </c>
      <c r="C17" s="24">
        <v>8</v>
      </c>
      <c r="D17" s="24">
        <v>2022</v>
      </c>
      <c r="E17" s="25">
        <f>'Daily Meter Reading'!C18</f>
        <v>13000</v>
      </c>
      <c r="F17" s="26">
        <f>'Daily Meter Reading'!E18</f>
        <v>9675</v>
      </c>
      <c r="G17" s="25">
        <f>'Daily Meter Reading'!G18</f>
        <v>6029</v>
      </c>
      <c r="H17" s="27">
        <f>'Daily Meter Reading'!I18</f>
        <v>7889</v>
      </c>
      <c r="I17" s="26">
        <f>'Daily Meter Reading'!K18</f>
        <v>138</v>
      </c>
      <c r="J17" s="26">
        <f>'Daily Meter Reading'!M18</f>
        <v>40</v>
      </c>
      <c r="K17" s="26">
        <f>'Daily Meter Reading'!O18</f>
        <v>176</v>
      </c>
      <c r="L17" s="26">
        <f>'Daily Meter Reading'!Q18</f>
        <v>337</v>
      </c>
      <c r="M17" s="33">
        <v>167</v>
      </c>
    </row>
    <row r="18" spans="1:13" x14ac:dyDescent="0.25">
      <c r="A18" t="s">
        <v>24</v>
      </c>
      <c r="B18">
        <v>17</v>
      </c>
      <c r="C18" s="24">
        <v>8</v>
      </c>
      <c r="D18" s="24">
        <v>2022</v>
      </c>
      <c r="E18" s="25">
        <f>'Daily Meter Reading'!C19</f>
        <v>13009</v>
      </c>
      <c r="F18" s="26">
        <f>'Daily Meter Reading'!E19</f>
        <v>8335</v>
      </c>
      <c r="G18" s="25">
        <f>'Daily Meter Reading'!G19</f>
        <v>5700</v>
      </c>
      <c r="H18" s="27">
        <f>'Daily Meter Reading'!I19</f>
        <v>7163</v>
      </c>
      <c r="I18" s="26">
        <f>'Daily Meter Reading'!K19</f>
        <v>147</v>
      </c>
      <c r="J18" s="26">
        <f>'Daily Meter Reading'!M19</f>
        <v>37</v>
      </c>
      <c r="K18" s="26">
        <f>'Daily Meter Reading'!O19</f>
        <v>198</v>
      </c>
      <c r="L18" s="26">
        <f>'Daily Meter Reading'!Q19</f>
        <v>408</v>
      </c>
      <c r="M18" s="33">
        <v>179</v>
      </c>
    </row>
    <row r="19" spans="1:13" x14ac:dyDescent="0.25">
      <c r="A19" t="s">
        <v>24</v>
      </c>
      <c r="B19">
        <v>18</v>
      </c>
      <c r="C19" s="24">
        <v>8</v>
      </c>
      <c r="D19" s="24">
        <v>2022</v>
      </c>
      <c r="E19" s="25">
        <f>'Daily Meter Reading'!C20</f>
        <v>13295</v>
      </c>
      <c r="F19" s="26">
        <f>'Daily Meter Reading'!E20</f>
        <v>8509</v>
      </c>
      <c r="G19" s="25">
        <f>'Daily Meter Reading'!G20</f>
        <v>4637</v>
      </c>
      <c r="H19" s="27">
        <f>'Daily Meter Reading'!I20</f>
        <v>7542</v>
      </c>
      <c r="I19" s="26">
        <f>'Daily Meter Reading'!K20</f>
        <v>124</v>
      </c>
      <c r="J19" s="26">
        <f>'Daily Meter Reading'!M20</f>
        <v>24</v>
      </c>
      <c r="K19" s="26">
        <f>'Daily Meter Reading'!O20</f>
        <v>191</v>
      </c>
      <c r="L19" s="26">
        <f>'Daily Meter Reading'!Q20</f>
        <v>350</v>
      </c>
      <c r="M19" s="33">
        <v>154</v>
      </c>
    </row>
    <row r="20" spans="1:13" x14ac:dyDescent="0.25">
      <c r="A20" t="s">
        <v>24</v>
      </c>
      <c r="B20">
        <v>19</v>
      </c>
      <c r="C20" s="24">
        <v>8</v>
      </c>
      <c r="D20" s="24">
        <v>2022</v>
      </c>
      <c r="E20" s="25">
        <f>'Daily Meter Reading'!C21</f>
        <v>13334</v>
      </c>
      <c r="F20" s="26">
        <f>'Daily Meter Reading'!E21</f>
        <v>8757</v>
      </c>
      <c r="G20" s="25">
        <f>'Daily Meter Reading'!G21</f>
        <v>5155</v>
      </c>
      <c r="H20" s="27">
        <f>'Daily Meter Reading'!I21</f>
        <v>7602</v>
      </c>
      <c r="I20" s="26">
        <f>'Daily Meter Reading'!K21</f>
        <v>130</v>
      </c>
      <c r="J20" s="26">
        <f>'Daily Meter Reading'!M21</f>
        <v>9</v>
      </c>
      <c r="K20" s="26">
        <f>'Daily Meter Reading'!O21</f>
        <v>193</v>
      </c>
      <c r="L20" s="26">
        <f>'Daily Meter Reading'!Q21</f>
        <v>360</v>
      </c>
      <c r="M20" s="33">
        <v>155</v>
      </c>
    </row>
    <row r="21" spans="1:13" x14ac:dyDescent="0.25">
      <c r="A21" t="s">
        <v>24</v>
      </c>
      <c r="B21">
        <v>20</v>
      </c>
      <c r="C21" s="24">
        <v>8</v>
      </c>
      <c r="D21" s="24">
        <v>2022</v>
      </c>
      <c r="E21" s="25">
        <f>'Daily Meter Reading'!C22</f>
        <v>13230</v>
      </c>
      <c r="F21" s="26">
        <f>'Daily Meter Reading'!E22</f>
        <v>9860</v>
      </c>
      <c r="G21" s="25">
        <f>'Daily Meter Reading'!G22</f>
        <v>5728</v>
      </c>
      <c r="H21" s="27">
        <f>'Daily Meter Reading'!I22</f>
        <v>7663</v>
      </c>
      <c r="I21" s="26">
        <f>'Daily Meter Reading'!K22</f>
        <v>144</v>
      </c>
      <c r="J21" s="26">
        <f>'Daily Meter Reading'!M22</f>
        <v>73</v>
      </c>
      <c r="K21" s="26">
        <f>'Daily Meter Reading'!O22</f>
        <v>219</v>
      </c>
      <c r="L21" s="26">
        <f>'Daily Meter Reading'!Q22</f>
        <v>399</v>
      </c>
      <c r="M21" s="33">
        <v>158</v>
      </c>
    </row>
    <row r="22" spans="1:13" x14ac:dyDescent="0.25">
      <c r="A22" t="s">
        <v>24</v>
      </c>
      <c r="B22">
        <v>21</v>
      </c>
      <c r="C22" s="24">
        <v>8</v>
      </c>
      <c r="D22" s="24">
        <v>2022</v>
      </c>
      <c r="E22" s="25">
        <f>'Daily Meter Reading'!C23</f>
        <v>13542</v>
      </c>
      <c r="F22" s="26">
        <f>'Daily Meter Reading'!E23</f>
        <v>8864</v>
      </c>
      <c r="G22" s="25">
        <f>'Daily Meter Reading'!G23</f>
        <v>5552</v>
      </c>
      <c r="H22" s="27">
        <f>'Daily Meter Reading'!I23</f>
        <v>7675</v>
      </c>
      <c r="I22" s="26">
        <f>'Daily Meter Reading'!K23</f>
        <v>130</v>
      </c>
      <c r="J22" s="26">
        <f>'Daily Meter Reading'!M23</f>
        <v>11</v>
      </c>
      <c r="K22" s="26">
        <f>'Daily Meter Reading'!O23</f>
        <v>125</v>
      </c>
      <c r="L22" s="26">
        <f>'Daily Meter Reading'!Q23</f>
        <v>274</v>
      </c>
      <c r="M22" s="33">
        <v>147</v>
      </c>
    </row>
    <row r="23" spans="1:13" x14ac:dyDescent="0.25">
      <c r="A23" t="s">
        <v>24</v>
      </c>
      <c r="B23">
        <v>22</v>
      </c>
      <c r="C23" s="24">
        <v>8</v>
      </c>
      <c r="D23" s="24">
        <v>2022</v>
      </c>
      <c r="E23" s="25">
        <f>'Daily Meter Reading'!C24</f>
        <v>12991</v>
      </c>
      <c r="F23" s="26">
        <f>'Daily Meter Reading'!E24</f>
        <v>8451</v>
      </c>
      <c r="G23" s="25">
        <f>'Daily Meter Reading'!G24</f>
        <v>3559</v>
      </c>
      <c r="H23" s="27">
        <f>'Daily Meter Reading'!I24</f>
        <v>9012</v>
      </c>
      <c r="I23" s="26">
        <f>'Daily Meter Reading'!K24</f>
        <v>134</v>
      </c>
      <c r="J23" s="26">
        <f>'Daily Meter Reading'!M24</f>
        <v>34</v>
      </c>
      <c r="K23" s="26">
        <f>'Daily Meter Reading'!O24</f>
        <v>210</v>
      </c>
      <c r="L23" s="26">
        <f>'Daily Meter Reading'!Q24</f>
        <v>394</v>
      </c>
      <c r="M23" s="33">
        <v>157</v>
      </c>
    </row>
    <row r="24" spans="1:13" x14ac:dyDescent="0.25">
      <c r="A24" t="s">
        <v>24</v>
      </c>
      <c r="B24">
        <v>23</v>
      </c>
      <c r="C24" s="24">
        <v>8</v>
      </c>
      <c r="D24" s="24">
        <v>2022</v>
      </c>
      <c r="E24" s="25">
        <f>'Daily Meter Reading'!C25</f>
        <v>12776</v>
      </c>
      <c r="F24" s="26">
        <f>'Daily Meter Reading'!E25</f>
        <v>8594</v>
      </c>
      <c r="G24" s="25">
        <f>'Daily Meter Reading'!G25</f>
        <v>2327</v>
      </c>
      <c r="H24" s="27">
        <f>'Daily Meter Reading'!I25</f>
        <v>8963</v>
      </c>
      <c r="I24" s="26">
        <f>'Daily Meter Reading'!K25</f>
        <v>105</v>
      </c>
      <c r="J24" s="26">
        <f>'Daily Meter Reading'!M25</f>
        <v>2</v>
      </c>
      <c r="K24" s="26">
        <f>'Daily Meter Reading'!O25</f>
        <v>198</v>
      </c>
      <c r="L24" s="26">
        <f>'Daily Meter Reading'!Q25</f>
        <v>382</v>
      </c>
      <c r="M24" s="33">
        <v>166</v>
      </c>
    </row>
    <row r="25" spans="1:13" x14ac:dyDescent="0.25">
      <c r="A25" t="s">
        <v>24</v>
      </c>
      <c r="B25">
        <v>24</v>
      </c>
      <c r="C25" s="24">
        <v>8</v>
      </c>
      <c r="D25" s="24">
        <v>2022</v>
      </c>
      <c r="E25" s="25">
        <f>'Daily Meter Reading'!C26</f>
        <v>13367</v>
      </c>
      <c r="F25" s="26">
        <f>'Daily Meter Reading'!E26</f>
        <v>8930</v>
      </c>
      <c r="G25" s="25">
        <f>'Daily Meter Reading'!G26</f>
        <v>4326</v>
      </c>
      <c r="H25" s="27">
        <f>'Daily Meter Reading'!I26</f>
        <v>9146</v>
      </c>
      <c r="I25" s="26">
        <f>'Daily Meter Reading'!K26</f>
        <v>147</v>
      </c>
      <c r="J25" s="26">
        <f>'Daily Meter Reading'!M26</f>
        <v>20</v>
      </c>
      <c r="K25" s="26">
        <f>'Daily Meter Reading'!O26</f>
        <v>194</v>
      </c>
      <c r="L25" s="26">
        <f>'Daily Meter Reading'!Q26</f>
        <v>520</v>
      </c>
      <c r="M25" s="33">
        <v>168</v>
      </c>
    </row>
    <row r="26" spans="1:13" x14ac:dyDescent="0.25">
      <c r="A26" t="s">
        <v>24</v>
      </c>
      <c r="B26">
        <v>25</v>
      </c>
      <c r="C26" s="24">
        <v>8</v>
      </c>
      <c r="D26" s="24">
        <v>2022</v>
      </c>
      <c r="E26" s="25">
        <f>'Daily Meter Reading'!C27</f>
        <v>11867</v>
      </c>
      <c r="F26" s="26">
        <f>'Daily Meter Reading'!E27</f>
        <v>8354</v>
      </c>
      <c r="G26" s="25">
        <f>'Daily Meter Reading'!G27</f>
        <v>3379</v>
      </c>
      <c r="H26" s="27">
        <f>'Daily Meter Reading'!I27</f>
        <v>7591</v>
      </c>
      <c r="I26" s="26">
        <f>'Daily Meter Reading'!K27</f>
        <v>163</v>
      </c>
      <c r="J26" s="26">
        <f>'Daily Meter Reading'!M27</f>
        <v>22</v>
      </c>
      <c r="K26" s="26">
        <f>'Daily Meter Reading'!O27</f>
        <v>152</v>
      </c>
      <c r="L26" s="26">
        <f>'Daily Meter Reading'!Q27</f>
        <v>348</v>
      </c>
      <c r="M26" s="33">
        <v>158</v>
      </c>
    </row>
    <row r="27" spans="1:13" x14ac:dyDescent="0.25">
      <c r="A27" t="s">
        <v>24</v>
      </c>
      <c r="B27">
        <v>26</v>
      </c>
      <c r="C27" s="24">
        <v>8</v>
      </c>
      <c r="D27" s="24">
        <v>2022</v>
      </c>
      <c r="E27" s="25">
        <f>'Daily Meter Reading'!C28</f>
        <v>13110</v>
      </c>
      <c r="F27" s="26">
        <f>'Daily Meter Reading'!E28</f>
        <v>8945</v>
      </c>
      <c r="G27" s="25">
        <f>'Daily Meter Reading'!G28</f>
        <v>3818</v>
      </c>
      <c r="H27" s="27">
        <f>'Daily Meter Reading'!I28</f>
        <v>8961</v>
      </c>
      <c r="I27" s="26">
        <f>'Daily Meter Reading'!K28</f>
        <v>151</v>
      </c>
      <c r="J27" s="26">
        <f>'Daily Meter Reading'!M28</f>
        <v>12</v>
      </c>
      <c r="K27" s="26">
        <f>'Daily Meter Reading'!O28</f>
        <v>185</v>
      </c>
      <c r="L27" s="26">
        <f>'Daily Meter Reading'!Q28</f>
        <v>461</v>
      </c>
      <c r="M27" s="33">
        <v>134</v>
      </c>
    </row>
    <row r="28" spans="1:13" x14ac:dyDescent="0.25">
      <c r="A28" t="s">
        <v>24</v>
      </c>
      <c r="B28">
        <v>27</v>
      </c>
      <c r="C28" s="24">
        <v>8</v>
      </c>
      <c r="D28" s="24">
        <v>2022</v>
      </c>
      <c r="E28" s="25">
        <f>'Daily Meter Reading'!C29</f>
        <v>12493</v>
      </c>
      <c r="F28" s="26">
        <f>'Daily Meter Reading'!E29</f>
        <v>8817</v>
      </c>
      <c r="G28" s="25">
        <f>'Daily Meter Reading'!G29</f>
        <v>3014</v>
      </c>
      <c r="H28" s="27">
        <f>'Daily Meter Reading'!I29</f>
        <v>8893</v>
      </c>
      <c r="I28" s="26">
        <f>'Daily Meter Reading'!K29</f>
        <v>166</v>
      </c>
      <c r="J28" s="26">
        <f>'Daily Meter Reading'!M29</f>
        <v>14</v>
      </c>
      <c r="K28" s="26">
        <f>'Daily Meter Reading'!O29</f>
        <v>209</v>
      </c>
      <c r="L28" s="26">
        <f>'Daily Meter Reading'!Q29</f>
        <v>345</v>
      </c>
      <c r="M28" s="33">
        <v>125</v>
      </c>
    </row>
    <row r="29" spans="1:13" x14ac:dyDescent="0.25">
      <c r="A29" t="s">
        <v>24</v>
      </c>
      <c r="B29">
        <v>28</v>
      </c>
      <c r="C29" s="24">
        <v>8</v>
      </c>
      <c r="D29" s="24">
        <v>2022</v>
      </c>
      <c r="E29" s="25">
        <f>'Daily Meter Reading'!C30</f>
        <v>12798</v>
      </c>
      <c r="F29" s="26">
        <f>'Daily Meter Reading'!E30</f>
        <v>9520</v>
      </c>
      <c r="G29" s="25">
        <f>'Daily Meter Reading'!G30</f>
        <v>3988</v>
      </c>
      <c r="H29" s="27">
        <f>'Daily Meter Reading'!I30</f>
        <v>9381</v>
      </c>
      <c r="I29" s="26">
        <f>'Daily Meter Reading'!K30</f>
        <v>154</v>
      </c>
      <c r="J29" s="26">
        <f>'Daily Meter Reading'!M30</f>
        <v>71</v>
      </c>
      <c r="K29" s="26">
        <f>'Daily Meter Reading'!O30</f>
        <v>141</v>
      </c>
      <c r="L29" s="26">
        <f>'Daily Meter Reading'!Q30</f>
        <v>380</v>
      </c>
      <c r="M29" s="33">
        <v>140</v>
      </c>
    </row>
    <row r="30" spans="1:13" x14ac:dyDescent="0.25">
      <c r="A30" t="s">
        <v>24</v>
      </c>
      <c r="B30">
        <v>29</v>
      </c>
      <c r="C30" s="24">
        <v>8</v>
      </c>
      <c r="D30" s="24">
        <v>2022</v>
      </c>
      <c r="E30" s="25">
        <f>'Daily Meter Reading'!C31</f>
        <v>13152</v>
      </c>
      <c r="F30" s="26">
        <f>'Daily Meter Reading'!E31</f>
        <v>9092</v>
      </c>
      <c r="G30" s="25">
        <f>'Daily Meter Reading'!G31</f>
        <v>4675</v>
      </c>
      <c r="H30" s="27">
        <f>'Daily Meter Reading'!I31</f>
        <v>7729</v>
      </c>
      <c r="I30" s="26">
        <f>'Daily Meter Reading'!K31</f>
        <v>173</v>
      </c>
      <c r="J30" s="26">
        <f>'Daily Meter Reading'!M31</f>
        <v>3</v>
      </c>
      <c r="K30" s="26">
        <f>'Daily Meter Reading'!O31</f>
        <v>144</v>
      </c>
      <c r="L30" s="26">
        <f>'Daily Meter Reading'!Q31</f>
        <v>777</v>
      </c>
      <c r="M30" s="33">
        <v>156</v>
      </c>
    </row>
    <row r="31" spans="1:13" x14ac:dyDescent="0.25">
      <c r="A31" t="s">
        <v>24</v>
      </c>
      <c r="B31">
        <v>30</v>
      </c>
      <c r="C31" s="24">
        <v>8</v>
      </c>
      <c r="D31" s="24">
        <v>2022</v>
      </c>
      <c r="E31" s="25">
        <f>'Daily Meter Reading'!C32</f>
        <v>12608</v>
      </c>
      <c r="F31" s="26">
        <f>'Daily Meter Reading'!E32</f>
        <v>9092</v>
      </c>
      <c r="G31" s="25">
        <f>'Daily Meter Reading'!G32</f>
        <v>5609</v>
      </c>
      <c r="H31" s="27">
        <f>'Daily Meter Reading'!I32</f>
        <v>7780</v>
      </c>
      <c r="I31" s="26">
        <f>'Daily Meter Reading'!K32</f>
        <v>173</v>
      </c>
      <c r="J31" s="26">
        <f>'Daily Meter Reading'!M32</f>
        <v>3</v>
      </c>
      <c r="K31" s="26">
        <f>'Daily Meter Reading'!O32</f>
        <v>174</v>
      </c>
      <c r="L31" s="26">
        <f>'Daily Meter Reading'!Q32</f>
        <v>390</v>
      </c>
      <c r="M31" s="33">
        <v>172</v>
      </c>
    </row>
    <row r="32" spans="1:13" x14ac:dyDescent="0.25">
      <c r="A32" t="s">
        <v>24</v>
      </c>
      <c r="B32">
        <v>31</v>
      </c>
      <c r="C32" s="24">
        <v>8</v>
      </c>
      <c r="D32" s="24">
        <v>2022</v>
      </c>
      <c r="E32" s="25">
        <f>'Daily Meter Reading'!C33</f>
        <v>11545</v>
      </c>
      <c r="F32" s="26">
        <f>'Daily Meter Reading'!E33</f>
        <v>8172</v>
      </c>
      <c r="G32" s="25">
        <f>'Daily Meter Reading'!G33</f>
        <v>3687</v>
      </c>
      <c r="H32" s="27">
        <f>'Daily Meter Reading'!I33</f>
        <v>7437</v>
      </c>
      <c r="I32" s="26">
        <f>'Daily Meter Reading'!K33</f>
        <v>166</v>
      </c>
      <c r="J32" s="26">
        <f>'Daily Meter Reading'!M33</f>
        <v>0</v>
      </c>
      <c r="K32" s="26">
        <f>'Daily Meter Reading'!O33</f>
        <v>188</v>
      </c>
      <c r="L32" s="26">
        <f>'Daily Meter Reading'!Q33</f>
        <v>390</v>
      </c>
      <c r="M32" s="33">
        <v>155</v>
      </c>
    </row>
    <row r="33" spans="5:13" x14ac:dyDescent="0.25">
      <c r="E33" s="24"/>
      <c r="G33" s="25"/>
      <c r="H33" s="28"/>
      <c r="M33" s="26"/>
    </row>
    <row r="34" spans="5:13" x14ac:dyDescent="0.25">
      <c r="M34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70" zoomScaleNormal="70" workbookViewId="0">
      <selection activeCell="A2" sqref="A2"/>
    </sheetView>
  </sheetViews>
  <sheetFormatPr defaultRowHeight="15" x14ac:dyDescent="0.25"/>
  <cols>
    <col min="1" max="1" width="9.5703125" bestFit="1" customWidth="1"/>
    <col min="2" max="2" width="17.28515625" bestFit="1" customWidth="1"/>
    <col min="3" max="3" width="22" bestFit="1" customWidth="1"/>
    <col min="4" max="4" width="17.28515625" bestFit="1" customWidth="1"/>
    <col min="5" max="5" width="22" bestFit="1" customWidth="1"/>
    <col min="6" max="6" width="17.28515625" bestFit="1" customWidth="1"/>
    <col min="7" max="7" width="22" bestFit="1" customWidth="1"/>
    <col min="8" max="8" width="17.28515625" bestFit="1" customWidth="1"/>
    <col min="9" max="9" width="22" bestFit="1" customWidth="1"/>
    <col min="10" max="10" width="17.28515625" customWidth="1"/>
    <col min="11" max="11" width="15.5703125" customWidth="1"/>
    <col min="12" max="12" width="15.7109375" bestFit="1" customWidth="1"/>
    <col min="13" max="13" width="15.42578125" customWidth="1"/>
    <col min="14" max="14" width="17.140625" bestFit="1" customWidth="1"/>
    <col min="15" max="15" width="16.28515625" customWidth="1"/>
    <col min="16" max="16" width="17.140625" bestFit="1" customWidth="1"/>
    <col min="17" max="17" width="15.140625" customWidth="1"/>
  </cols>
  <sheetData>
    <row r="1" spans="1:17" ht="44.25" customHeight="1" x14ac:dyDescent="0.25">
      <c r="A1" s="1" t="s">
        <v>33</v>
      </c>
      <c r="B1" s="36" t="s">
        <v>0</v>
      </c>
      <c r="C1" s="37"/>
      <c r="D1" s="38" t="s">
        <v>1</v>
      </c>
      <c r="E1" s="39"/>
      <c r="F1" s="38" t="s">
        <v>2</v>
      </c>
      <c r="G1" s="39"/>
      <c r="H1" s="36" t="s">
        <v>3</v>
      </c>
      <c r="I1" s="37"/>
      <c r="J1" s="34" t="s">
        <v>4</v>
      </c>
      <c r="K1" s="35"/>
      <c r="L1" s="34" t="s">
        <v>5</v>
      </c>
      <c r="M1" s="35"/>
      <c r="N1" s="34" t="s">
        <v>6</v>
      </c>
      <c r="O1" s="35"/>
      <c r="P1" s="36" t="s">
        <v>7</v>
      </c>
      <c r="Q1" s="37"/>
    </row>
    <row r="2" spans="1:17" ht="44.25" customHeight="1" x14ac:dyDescent="0.25">
      <c r="A2" s="1" t="s">
        <v>8</v>
      </c>
      <c r="B2" s="2" t="s">
        <v>9</v>
      </c>
      <c r="C2" s="3" t="s">
        <v>10</v>
      </c>
      <c r="D2" s="4" t="s">
        <v>9</v>
      </c>
      <c r="E2" s="5" t="s">
        <v>10</v>
      </c>
      <c r="F2" s="4" t="s">
        <v>9</v>
      </c>
      <c r="G2" s="5" t="s">
        <v>10</v>
      </c>
      <c r="H2" s="2" t="s">
        <v>9</v>
      </c>
      <c r="I2" s="3" t="s">
        <v>10</v>
      </c>
      <c r="J2" s="6" t="s">
        <v>11</v>
      </c>
      <c r="K2" s="7" t="s">
        <v>12</v>
      </c>
      <c r="L2" s="8" t="s">
        <v>11</v>
      </c>
      <c r="M2" s="7" t="s">
        <v>12</v>
      </c>
      <c r="N2" s="8" t="s">
        <v>11</v>
      </c>
      <c r="O2" s="7" t="s">
        <v>12</v>
      </c>
      <c r="P2" s="2" t="s">
        <v>11</v>
      </c>
      <c r="Q2" s="3" t="s">
        <v>12</v>
      </c>
    </row>
    <row r="3" spans="1:17" ht="18" x14ac:dyDescent="0.25">
      <c r="A3" s="9">
        <v>1</v>
      </c>
      <c r="B3" s="10">
        <v>3009588</v>
      </c>
      <c r="C3" s="11">
        <f t="shared" ref="C3:C33" si="0">B4-B3</f>
        <v>12669</v>
      </c>
      <c r="D3" s="10">
        <v>6337513</v>
      </c>
      <c r="E3" s="11">
        <f t="shared" ref="E3:E33" si="1">D4-D3</f>
        <v>8418</v>
      </c>
      <c r="F3" s="10">
        <v>3198896</v>
      </c>
      <c r="G3" s="11">
        <f t="shared" ref="G3:G33" si="2">F4-F3</f>
        <v>4724</v>
      </c>
      <c r="H3" s="10">
        <v>6685508</v>
      </c>
      <c r="I3" s="11">
        <f t="shared" ref="I3:I33" si="3">H4-H3</f>
        <v>7554</v>
      </c>
      <c r="J3" s="10">
        <v>141644</v>
      </c>
      <c r="K3" s="12">
        <f>J4-J3</f>
        <v>130</v>
      </c>
      <c r="L3" s="13">
        <v>20381</v>
      </c>
      <c r="M3" s="12">
        <f>L4-L3</f>
        <v>1</v>
      </c>
      <c r="N3" s="13">
        <v>188010</v>
      </c>
      <c r="O3" s="12">
        <f>N4-N3</f>
        <v>160</v>
      </c>
      <c r="P3" s="10">
        <v>447161</v>
      </c>
      <c r="Q3" s="14">
        <f>P4-P3</f>
        <v>413</v>
      </c>
    </row>
    <row r="4" spans="1:17" ht="18" x14ac:dyDescent="0.25">
      <c r="A4" s="9">
        <v>2</v>
      </c>
      <c r="B4" s="10">
        <v>3022257</v>
      </c>
      <c r="C4" s="11">
        <f t="shared" si="0"/>
        <v>12470</v>
      </c>
      <c r="D4" s="10">
        <v>6345931</v>
      </c>
      <c r="E4" s="11">
        <f t="shared" si="1"/>
        <v>8422</v>
      </c>
      <c r="F4" s="10">
        <v>3203620</v>
      </c>
      <c r="G4" s="11">
        <f t="shared" si="2"/>
        <v>3237</v>
      </c>
      <c r="H4" s="10">
        <v>6693062</v>
      </c>
      <c r="I4" s="11">
        <f t="shared" si="3"/>
        <v>7693</v>
      </c>
      <c r="J4" s="10">
        <v>141774</v>
      </c>
      <c r="K4" s="12">
        <f>J5-J4</f>
        <v>112</v>
      </c>
      <c r="L4" s="13">
        <v>20382</v>
      </c>
      <c r="M4" s="12">
        <f t="shared" ref="M4:M31" si="4">L5-L4</f>
        <v>18</v>
      </c>
      <c r="N4" s="13">
        <v>188170</v>
      </c>
      <c r="O4" s="12">
        <f t="shared" ref="O4:O31" si="5">N5-N4</f>
        <v>174</v>
      </c>
      <c r="P4" s="10">
        <v>447574</v>
      </c>
      <c r="Q4" s="14">
        <f t="shared" ref="Q4:Q31" si="6">P5-P4</f>
        <v>289</v>
      </c>
    </row>
    <row r="5" spans="1:17" ht="18" x14ac:dyDescent="0.25">
      <c r="A5" s="9">
        <v>3</v>
      </c>
      <c r="B5" s="10">
        <v>3034727</v>
      </c>
      <c r="C5" s="11">
        <f t="shared" si="0"/>
        <v>12931</v>
      </c>
      <c r="D5" s="10">
        <v>6354353</v>
      </c>
      <c r="E5" s="11">
        <f t="shared" si="1"/>
        <v>8966</v>
      </c>
      <c r="F5" s="10">
        <v>3206857</v>
      </c>
      <c r="G5" s="11">
        <f t="shared" si="2"/>
        <v>5369</v>
      </c>
      <c r="H5" s="10">
        <v>6700755</v>
      </c>
      <c r="I5" s="11">
        <f t="shared" si="3"/>
        <v>7434</v>
      </c>
      <c r="J5" s="10">
        <v>141886</v>
      </c>
      <c r="K5" s="12">
        <f>J6-J5</f>
        <v>113</v>
      </c>
      <c r="L5" s="13">
        <v>20400</v>
      </c>
      <c r="M5" s="12">
        <f t="shared" si="4"/>
        <v>15</v>
      </c>
      <c r="N5" s="13">
        <v>188344</v>
      </c>
      <c r="O5" s="12">
        <f t="shared" si="5"/>
        <v>188</v>
      </c>
      <c r="P5" s="10">
        <v>447863</v>
      </c>
      <c r="Q5" s="14">
        <f t="shared" si="6"/>
        <v>361</v>
      </c>
    </row>
    <row r="6" spans="1:17" ht="18" x14ac:dyDescent="0.25">
      <c r="A6" s="9">
        <v>4</v>
      </c>
      <c r="B6" s="10">
        <v>3047658</v>
      </c>
      <c r="C6" s="11">
        <f t="shared" si="0"/>
        <v>12077</v>
      </c>
      <c r="D6" s="10">
        <v>6363319</v>
      </c>
      <c r="E6" s="11">
        <f t="shared" si="1"/>
        <v>8704</v>
      </c>
      <c r="F6" s="10">
        <v>3212226</v>
      </c>
      <c r="G6" s="11">
        <f t="shared" si="2"/>
        <v>3316</v>
      </c>
      <c r="H6" s="10">
        <v>6708189</v>
      </c>
      <c r="I6" s="11">
        <f t="shared" si="3"/>
        <v>7395</v>
      </c>
      <c r="J6" s="10">
        <v>141999</v>
      </c>
      <c r="K6" s="12">
        <f>J7-J6</f>
        <v>125</v>
      </c>
      <c r="L6" s="13">
        <v>20415</v>
      </c>
      <c r="M6" s="12">
        <f t="shared" si="4"/>
        <v>10</v>
      </c>
      <c r="N6" s="13">
        <v>188532</v>
      </c>
      <c r="O6" s="12">
        <f t="shared" si="5"/>
        <v>166</v>
      </c>
      <c r="P6" s="10">
        <v>448224</v>
      </c>
      <c r="Q6" s="14">
        <f t="shared" si="6"/>
        <v>335</v>
      </c>
    </row>
    <row r="7" spans="1:17" ht="18" x14ac:dyDescent="0.25">
      <c r="A7" s="15">
        <v>5</v>
      </c>
      <c r="B7" s="10">
        <v>3059735</v>
      </c>
      <c r="C7" s="11">
        <f t="shared" si="0"/>
        <v>12876</v>
      </c>
      <c r="D7" s="10">
        <v>6372023</v>
      </c>
      <c r="E7" s="11">
        <f t="shared" si="1"/>
        <v>9989</v>
      </c>
      <c r="F7" s="10">
        <v>3215542</v>
      </c>
      <c r="G7" s="11">
        <f t="shared" si="2"/>
        <v>5862</v>
      </c>
      <c r="H7" s="10">
        <v>6715584</v>
      </c>
      <c r="I7" s="11">
        <f t="shared" si="3"/>
        <v>7593</v>
      </c>
      <c r="J7" s="10">
        <v>142124</v>
      </c>
      <c r="K7" s="12">
        <f t="shared" ref="K7:K20" si="7">SUM(J8-J7)</f>
        <v>151</v>
      </c>
      <c r="L7" s="13">
        <v>20425</v>
      </c>
      <c r="M7" s="12">
        <f t="shared" si="4"/>
        <v>69</v>
      </c>
      <c r="N7" s="13">
        <v>188698</v>
      </c>
      <c r="O7" s="12">
        <f t="shared" si="5"/>
        <v>189</v>
      </c>
      <c r="P7" s="10">
        <v>448559</v>
      </c>
      <c r="Q7" s="14">
        <f t="shared" si="6"/>
        <v>334</v>
      </c>
    </row>
    <row r="8" spans="1:17" ht="18" x14ac:dyDescent="0.25">
      <c r="A8" s="15">
        <v>6</v>
      </c>
      <c r="B8" s="10">
        <v>3072611</v>
      </c>
      <c r="C8" s="11">
        <f t="shared" si="0"/>
        <v>12843</v>
      </c>
      <c r="D8" s="10">
        <v>6382012</v>
      </c>
      <c r="E8" s="11">
        <f t="shared" si="1"/>
        <v>9668</v>
      </c>
      <c r="F8" s="10">
        <v>3221404</v>
      </c>
      <c r="G8" s="11">
        <f t="shared" si="2"/>
        <v>5640</v>
      </c>
      <c r="H8" s="10">
        <v>6723177</v>
      </c>
      <c r="I8" s="11">
        <f t="shared" si="3"/>
        <v>7264</v>
      </c>
      <c r="J8" s="10">
        <v>142275</v>
      </c>
      <c r="K8" s="12">
        <f t="shared" si="7"/>
        <v>160</v>
      </c>
      <c r="L8" s="13">
        <v>20494</v>
      </c>
      <c r="M8" s="12">
        <f t="shared" si="4"/>
        <v>29</v>
      </c>
      <c r="N8" s="13">
        <v>188887</v>
      </c>
      <c r="O8" s="12">
        <f t="shared" si="5"/>
        <v>192</v>
      </c>
      <c r="P8" s="10">
        <v>448893</v>
      </c>
      <c r="Q8" s="14">
        <f t="shared" si="6"/>
        <v>398</v>
      </c>
    </row>
    <row r="9" spans="1:17" ht="18" x14ac:dyDescent="0.25">
      <c r="A9" s="15">
        <v>7</v>
      </c>
      <c r="B9" s="10">
        <v>3085454</v>
      </c>
      <c r="C9" s="11">
        <f t="shared" si="0"/>
        <v>12660</v>
      </c>
      <c r="D9" s="10">
        <v>6391680</v>
      </c>
      <c r="E9" s="11">
        <f t="shared" si="1"/>
        <v>9554</v>
      </c>
      <c r="F9" s="10">
        <v>3227044</v>
      </c>
      <c r="G9" s="11">
        <f t="shared" si="2"/>
        <v>4546</v>
      </c>
      <c r="H9" s="10">
        <v>6730441</v>
      </c>
      <c r="I9" s="11">
        <f t="shared" si="3"/>
        <v>7780</v>
      </c>
      <c r="J9" s="10">
        <v>142435</v>
      </c>
      <c r="K9" s="12">
        <f t="shared" si="7"/>
        <v>120</v>
      </c>
      <c r="L9" s="13">
        <v>20523</v>
      </c>
      <c r="M9" s="12">
        <f t="shared" si="4"/>
        <v>54</v>
      </c>
      <c r="N9" s="13">
        <v>189079</v>
      </c>
      <c r="O9" s="12">
        <f t="shared" si="5"/>
        <v>132</v>
      </c>
      <c r="P9" s="10">
        <v>449291</v>
      </c>
      <c r="Q9" s="14">
        <f t="shared" si="6"/>
        <v>392</v>
      </c>
    </row>
    <row r="10" spans="1:17" ht="18" x14ac:dyDescent="0.25">
      <c r="A10" s="15">
        <v>8</v>
      </c>
      <c r="B10" s="10">
        <v>3098114</v>
      </c>
      <c r="C10" s="11">
        <f t="shared" si="0"/>
        <v>12704</v>
      </c>
      <c r="D10" s="10">
        <v>6401234</v>
      </c>
      <c r="E10" s="11">
        <f t="shared" si="1"/>
        <v>9087</v>
      </c>
      <c r="F10" s="10">
        <v>3231590</v>
      </c>
      <c r="G10" s="11">
        <f t="shared" si="2"/>
        <v>3662</v>
      </c>
      <c r="H10" s="10">
        <v>6738221</v>
      </c>
      <c r="I10" s="11">
        <f t="shared" si="3"/>
        <v>8403</v>
      </c>
      <c r="J10" s="10">
        <v>142555</v>
      </c>
      <c r="K10" s="12">
        <f t="shared" si="7"/>
        <v>132</v>
      </c>
      <c r="L10" s="13">
        <v>20577</v>
      </c>
      <c r="M10" s="12">
        <f t="shared" si="4"/>
        <v>33</v>
      </c>
      <c r="N10" s="13">
        <v>189211</v>
      </c>
      <c r="O10" s="12">
        <f t="shared" si="5"/>
        <v>116</v>
      </c>
      <c r="P10" s="10">
        <v>449683</v>
      </c>
      <c r="Q10" s="14">
        <f t="shared" si="6"/>
        <v>494</v>
      </c>
    </row>
    <row r="11" spans="1:17" ht="18" x14ac:dyDescent="0.25">
      <c r="A11" s="15">
        <v>9</v>
      </c>
      <c r="B11" s="10">
        <v>3110818</v>
      </c>
      <c r="C11" s="11">
        <f t="shared" si="0"/>
        <v>12995</v>
      </c>
      <c r="D11" s="10">
        <v>6410321</v>
      </c>
      <c r="E11" s="11">
        <f t="shared" si="1"/>
        <v>9160</v>
      </c>
      <c r="F11" s="10">
        <v>3235252</v>
      </c>
      <c r="G11" s="11">
        <f t="shared" si="2"/>
        <v>4326</v>
      </c>
      <c r="H11" s="10">
        <v>6746624</v>
      </c>
      <c r="I11" s="11">
        <f t="shared" si="3"/>
        <v>8898</v>
      </c>
      <c r="J11" s="10">
        <v>142687</v>
      </c>
      <c r="K11" s="12">
        <f t="shared" si="7"/>
        <v>139</v>
      </c>
      <c r="L11" s="13">
        <v>20610</v>
      </c>
      <c r="M11" s="12">
        <f t="shared" si="4"/>
        <v>13</v>
      </c>
      <c r="N11" s="13">
        <v>189327</v>
      </c>
      <c r="O11" s="12">
        <f t="shared" si="5"/>
        <v>238</v>
      </c>
      <c r="P11" s="10">
        <v>450177</v>
      </c>
      <c r="Q11" s="14">
        <f t="shared" si="6"/>
        <v>493</v>
      </c>
    </row>
    <row r="12" spans="1:17" ht="18" x14ac:dyDescent="0.25">
      <c r="A12" s="16">
        <v>10</v>
      </c>
      <c r="B12" s="10">
        <v>3123813</v>
      </c>
      <c r="C12" s="11">
        <f t="shared" si="0"/>
        <v>12668</v>
      </c>
      <c r="D12" s="10">
        <v>6419481</v>
      </c>
      <c r="E12" s="11">
        <f t="shared" si="1"/>
        <v>8645</v>
      </c>
      <c r="F12" s="10">
        <v>3239578</v>
      </c>
      <c r="G12" s="11">
        <f t="shared" si="2"/>
        <v>4201</v>
      </c>
      <c r="H12" s="10">
        <v>6755522</v>
      </c>
      <c r="I12" s="11">
        <f t="shared" si="3"/>
        <v>8505</v>
      </c>
      <c r="J12" s="10">
        <v>142826</v>
      </c>
      <c r="K12" s="12">
        <f t="shared" si="7"/>
        <v>132</v>
      </c>
      <c r="L12" s="13">
        <v>20623</v>
      </c>
      <c r="M12" s="12">
        <f t="shared" si="4"/>
        <v>32</v>
      </c>
      <c r="N12" s="13">
        <v>189565</v>
      </c>
      <c r="O12" s="12">
        <f t="shared" si="5"/>
        <v>160</v>
      </c>
      <c r="P12" s="10">
        <v>450670</v>
      </c>
      <c r="Q12" s="14">
        <f t="shared" si="6"/>
        <v>533</v>
      </c>
    </row>
    <row r="13" spans="1:17" ht="18" x14ac:dyDescent="0.25">
      <c r="A13" s="16">
        <v>11</v>
      </c>
      <c r="B13" s="10">
        <v>3136481</v>
      </c>
      <c r="C13" s="11">
        <f t="shared" si="0"/>
        <v>12994</v>
      </c>
      <c r="D13" s="10">
        <v>6428126</v>
      </c>
      <c r="E13" s="11">
        <f t="shared" si="1"/>
        <v>9057</v>
      </c>
      <c r="F13" s="10">
        <v>3243779</v>
      </c>
      <c r="G13" s="11">
        <f t="shared" si="2"/>
        <v>4698</v>
      </c>
      <c r="H13" s="10">
        <v>6764027</v>
      </c>
      <c r="I13" s="11">
        <f t="shared" si="3"/>
        <v>8487</v>
      </c>
      <c r="J13" s="10">
        <v>142958</v>
      </c>
      <c r="K13" s="12">
        <f t="shared" si="7"/>
        <v>126</v>
      </c>
      <c r="L13" s="13">
        <v>20655</v>
      </c>
      <c r="M13" s="12">
        <f t="shared" si="4"/>
        <v>41</v>
      </c>
      <c r="N13" s="13">
        <v>189725</v>
      </c>
      <c r="O13" s="12">
        <f t="shared" si="5"/>
        <v>192</v>
      </c>
      <c r="P13" s="10">
        <v>451203</v>
      </c>
      <c r="Q13" s="14">
        <f t="shared" si="6"/>
        <v>457</v>
      </c>
    </row>
    <row r="14" spans="1:17" ht="18" x14ac:dyDescent="0.25">
      <c r="A14" s="16">
        <v>12</v>
      </c>
      <c r="B14" s="10">
        <v>3149475</v>
      </c>
      <c r="C14" s="11">
        <f t="shared" si="0"/>
        <v>13405</v>
      </c>
      <c r="D14" s="10">
        <v>6437183</v>
      </c>
      <c r="E14" s="11">
        <f t="shared" si="1"/>
        <v>9251</v>
      </c>
      <c r="F14" s="10">
        <v>3248477</v>
      </c>
      <c r="G14" s="11">
        <f t="shared" si="2"/>
        <v>4562</v>
      </c>
      <c r="H14" s="10">
        <v>6772514</v>
      </c>
      <c r="I14" s="11">
        <f t="shared" si="3"/>
        <v>9013</v>
      </c>
      <c r="J14" s="10">
        <v>143084</v>
      </c>
      <c r="K14" s="12">
        <f t="shared" si="7"/>
        <v>120</v>
      </c>
      <c r="L14" s="13">
        <v>20696</v>
      </c>
      <c r="M14" s="12">
        <f t="shared" si="4"/>
        <v>42</v>
      </c>
      <c r="N14" s="13">
        <v>189917</v>
      </c>
      <c r="O14" s="12">
        <f t="shared" si="5"/>
        <v>191</v>
      </c>
      <c r="P14" s="10">
        <v>451660</v>
      </c>
      <c r="Q14" s="14">
        <f t="shared" si="6"/>
        <v>570</v>
      </c>
    </row>
    <row r="15" spans="1:17" ht="18" x14ac:dyDescent="0.25">
      <c r="A15" s="9">
        <v>13</v>
      </c>
      <c r="B15" s="10">
        <v>3162880</v>
      </c>
      <c r="C15" s="11">
        <f t="shared" si="0"/>
        <v>12967</v>
      </c>
      <c r="D15" s="10">
        <v>6446434</v>
      </c>
      <c r="E15" s="11">
        <f t="shared" si="1"/>
        <v>9311</v>
      </c>
      <c r="F15" s="10">
        <v>3253039</v>
      </c>
      <c r="G15" s="11">
        <f t="shared" si="2"/>
        <v>5325</v>
      </c>
      <c r="H15" s="10">
        <v>6781527</v>
      </c>
      <c r="I15" s="11">
        <f t="shared" si="3"/>
        <v>8297</v>
      </c>
      <c r="J15" s="10">
        <v>143204</v>
      </c>
      <c r="K15" s="12">
        <f t="shared" si="7"/>
        <v>146</v>
      </c>
      <c r="L15" s="13">
        <v>20738</v>
      </c>
      <c r="M15" s="12">
        <f t="shared" si="4"/>
        <v>45</v>
      </c>
      <c r="N15" s="13">
        <v>190108</v>
      </c>
      <c r="O15" s="12">
        <f t="shared" si="5"/>
        <v>172</v>
      </c>
      <c r="P15" s="10">
        <v>452230</v>
      </c>
      <c r="Q15" s="14">
        <f t="shared" si="6"/>
        <v>521</v>
      </c>
    </row>
    <row r="16" spans="1:17" ht="18" x14ac:dyDescent="0.25">
      <c r="A16" s="9">
        <v>14</v>
      </c>
      <c r="B16" s="10">
        <v>3175847</v>
      </c>
      <c r="C16" s="11">
        <f t="shared" si="0"/>
        <v>12967</v>
      </c>
      <c r="D16" s="10">
        <v>6455745</v>
      </c>
      <c r="E16" s="11">
        <f t="shared" si="1"/>
        <v>9311</v>
      </c>
      <c r="F16" s="10">
        <v>3258364</v>
      </c>
      <c r="G16" s="11">
        <f t="shared" si="2"/>
        <v>5325</v>
      </c>
      <c r="H16" s="10">
        <v>6789824</v>
      </c>
      <c r="I16" s="11">
        <f t="shared" si="3"/>
        <v>8298</v>
      </c>
      <c r="J16" s="10">
        <v>143350</v>
      </c>
      <c r="K16" s="12">
        <f t="shared" si="7"/>
        <v>146</v>
      </c>
      <c r="L16" s="13">
        <v>20783</v>
      </c>
      <c r="M16" s="12">
        <f t="shared" si="4"/>
        <v>45</v>
      </c>
      <c r="N16" s="13">
        <v>190280</v>
      </c>
      <c r="O16" s="12">
        <f t="shared" si="5"/>
        <v>172</v>
      </c>
      <c r="P16" s="10">
        <v>452751</v>
      </c>
      <c r="Q16" s="14">
        <f t="shared" si="6"/>
        <v>521</v>
      </c>
    </row>
    <row r="17" spans="1:17" ht="18" x14ac:dyDescent="0.25">
      <c r="A17" s="9">
        <v>15</v>
      </c>
      <c r="B17" s="10">
        <v>3188814</v>
      </c>
      <c r="C17" s="11">
        <f t="shared" si="0"/>
        <v>12967</v>
      </c>
      <c r="D17" s="10">
        <v>6465056</v>
      </c>
      <c r="E17" s="11">
        <f t="shared" si="1"/>
        <v>9311</v>
      </c>
      <c r="F17" s="10">
        <v>3263689</v>
      </c>
      <c r="G17" s="11">
        <f t="shared" si="2"/>
        <v>5325</v>
      </c>
      <c r="H17" s="10">
        <v>6798122</v>
      </c>
      <c r="I17" s="11">
        <f t="shared" si="3"/>
        <v>8298</v>
      </c>
      <c r="J17" s="10">
        <v>143496</v>
      </c>
      <c r="K17" s="12">
        <f t="shared" si="7"/>
        <v>148</v>
      </c>
      <c r="L17" s="13">
        <v>20828</v>
      </c>
      <c r="M17" s="12">
        <f t="shared" si="4"/>
        <v>47</v>
      </c>
      <c r="N17" s="13">
        <v>190452</v>
      </c>
      <c r="O17" s="12">
        <f t="shared" si="5"/>
        <v>173</v>
      </c>
      <c r="P17" s="10">
        <v>453272</v>
      </c>
      <c r="Q17" s="14">
        <f t="shared" si="6"/>
        <v>523</v>
      </c>
    </row>
    <row r="18" spans="1:17" ht="18" x14ac:dyDescent="0.25">
      <c r="A18" s="9">
        <v>16</v>
      </c>
      <c r="B18" s="10">
        <v>3201781</v>
      </c>
      <c r="C18" s="11">
        <f t="shared" si="0"/>
        <v>13000</v>
      </c>
      <c r="D18" s="10">
        <v>6474367</v>
      </c>
      <c r="E18" s="11">
        <f t="shared" si="1"/>
        <v>9675</v>
      </c>
      <c r="F18" s="10">
        <v>3269014</v>
      </c>
      <c r="G18" s="11">
        <f t="shared" si="2"/>
        <v>6029</v>
      </c>
      <c r="H18" s="10">
        <v>6806420</v>
      </c>
      <c r="I18" s="11">
        <f t="shared" si="3"/>
        <v>7889</v>
      </c>
      <c r="J18" s="10">
        <v>143644</v>
      </c>
      <c r="K18" s="12">
        <f t="shared" si="7"/>
        <v>138</v>
      </c>
      <c r="L18" s="13">
        <v>20875</v>
      </c>
      <c r="M18" s="12">
        <f t="shared" si="4"/>
        <v>40</v>
      </c>
      <c r="N18" s="13">
        <v>190625</v>
      </c>
      <c r="O18" s="12">
        <f t="shared" si="5"/>
        <v>176</v>
      </c>
      <c r="P18" s="10">
        <v>453795</v>
      </c>
      <c r="Q18" s="14">
        <f t="shared" si="6"/>
        <v>337</v>
      </c>
    </row>
    <row r="19" spans="1:17" ht="18" x14ac:dyDescent="0.25">
      <c r="A19" s="9">
        <v>17</v>
      </c>
      <c r="B19" s="10">
        <v>3214781</v>
      </c>
      <c r="C19" s="11">
        <f t="shared" si="0"/>
        <v>13009</v>
      </c>
      <c r="D19" s="10">
        <v>6484042</v>
      </c>
      <c r="E19" s="11">
        <f t="shared" si="1"/>
        <v>8335</v>
      </c>
      <c r="F19" s="10">
        <v>3275043</v>
      </c>
      <c r="G19" s="11">
        <f t="shared" si="2"/>
        <v>5700</v>
      </c>
      <c r="H19" s="10">
        <v>6814309</v>
      </c>
      <c r="I19" s="11">
        <f t="shared" si="3"/>
        <v>7163</v>
      </c>
      <c r="J19" s="10">
        <v>143782</v>
      </c>
      <c r="K19" s="12">
        <f t="shared" si="7"/>
        <v>147</v>
      </c>
      <c r="L19" s="13">
        <v>20915</v>
      </c>
      <c r="M19" s="12">
        <f t="shared" si="4"/>
        <v>37</v>
      </c>
      <c r="N19" s="13">
        <v>190801</v>
      </c>
      <c r="O19" s="12">
        <f t="shared" si="5"/>
        <v>198</v>
      </c>
      <c r="P19" s="10">
        <v>454132</v>
      </c>
      <c r="Q19" s="14">
        <f t="shared" si="6"/>
        <v>408</v>
      </c>
    </row>
    <row r="20" spans="1:17" ht="18" x14ac:dyDescent="0.25">
      <c r="A20" s="9">
        <v>18</v>
      </c>
      <c r="B20" s="10">
        <v>3227790</v>
      </c>
      <c r="C20" s="11">
        <f t="shared" si="0"/>
        <v>13295</v>
      </c>
      <c r="D20" s="10">
        <v>6492377</v>
      </c>
      <c r="E20" s="11">
        <f t="shared" si="1"/>
        <v>8509</v>
      </c>
      <c r="F20" s="10">
        <v>3280743</v>
      </c>
      <c r="G20" s="11">
        <f t="shared" si="2"/>
        <v>4637</v>
      </c>
      <c r="H20" s="10">
        <v>6821472</v>
      </c>
      <c r="I20" s="11">
        <f t="shared" si="3"/>
        <v>7542</v>
      </c>
      <c r="J20" s="10">
        <v>143929</v>
      </c>
      <c r="K20" s="12">
        <f t="shared" si="7"/>
        <v>124</v>
      </c>
      <c r="L20" s="13">
        <v>20952</v>
      </c>
      <c r="M20" s="12">
        <f t="shared" si="4"/>
        <v>24</v>
      </c>
      <c r="N20" s="13">
        <v>190999</v>
      </c>
      <c r="O20" s="12">
        <f t="shared" si="5"/>
        <v>191</v>
      </c>
      <c r="P20" s="10">
        <v>454540</v>
      </c>
      <c r="Q20" s="14">
        <f t="shared" si="6"/>
        <v>350</v>
      </c>
    </row>
    <row r="21" spans="1:17" ht="18" x14ac:dyDescent="0.25">
      <c r="A21" s="9">
        <v>19</v>
      </c>
      <c r="B21" s="10">
        <v>3241085</v>
      </c>
      <c r="C21" s="11">
        <f t="shared" si="0"/>
        <v>13334</v>
      </c>
      <c r="D21" s="10">
        <v>6500886</v>
      </c>
      <c r="E21" s="11">
        <f t="shared" si="1"/>
        <v>8757</v>
      </c>
      <c r="F21" s="10">
        <v>3285380</v>
      </c>
      <c r="G21" s="11">
        <f t="shared" si="2"/>
        <v>5155</v>
      </c>
      <c r="H21" s="10">
        <v>6829014</v>
      </c>
      <c r="I21" s="11">
        <f t="shared" si="3"/>
        <v>7602</v>
      </c>
      <c r="J21" s="10">
        <v>144053</v>
      </c>
      <c r="K21" s="12">
        <f t="shared" ref="K21:K31" si="8">SUM(J22-J21)</f>
        <v>130</v>
      </c>
      <c r="L21" s="13">
        <v>20976</v>
      </c>
      <c r="M21" s="12">
        <f t="shared" si="4"/>
        <v>9</v>
      </c>
      <c r="N21" s="13">
        <v>191190</v>
      </c>
      <c r="O21" s="12">
        <f t="shared" si="5"/>
        <v>193</v>
      </c>
      <c r="P21" s="10">
        <v>454890</v>
      </c>
      <c r="Q21" s="14">
        <f t="shared" si="6"/>
        <v>360</v>
      </c>
    </row>
    <row r="22" spans="1:17" ht="18" x14ac:dyDescent="0.25">
      <c r="A22" s="9">
        <v>20</v>
      </c>
      <c r="B22" s="10">
        <v>3254419</v>
      </c>
      <c r="C22" s="11">
        <f t="shared" si="0"/>
        <v>13230</v>
      </c>
      <c r="D22" s="10">
        <v>6509643</v>
      </c>
      <c r="E22" s="11">
        <f t="shared" si="1"/>
        <v>9860</v>
      </c>
      <c r="F22" s="10">
        <v>3290535</v>
      </c>
      <c r="G22" s="11">
        <f t="shared" si="2"/>
        <v>5728</v>
      </c>
      <c r="H22" s="10">
        <v>6836616</v>
      </c>
      <c r="I22" s="11">
        <f t="shared" si="3"/>
        <v>7663</v>
      </c>
      <c r="J22" s="10">
        <v>144183</v>
      </c>
      <c r="K22" s="12">
        <f t="shared" si="8"/>
        <v>144</v>
      </c>
      <c r="L22" s="13">
        <v>20985</v>
      </c>
      <c r="M22" s="12">
        <f t="shared" si="4"/>
        <v>73</v>
      </c>
      <c r="N22" s="13">
        <v>191383</v>
      </c>
      <c r="O22" s="12">
        <f t="shared" si="5"/>
        <v>219</v>
      </c>
      <c r="P22" s="10">
        <v>455250</v>
      </c>
      <c r="Q22" s="17">
        <f t="shared" si="6"/>
        <v>399</v>
      </c>
    </row>
    <row r="23" spans="1:17" ht="18" x14ac:dyDescent="0.25">
      <c r="A23" s="9">
        <v>21</v>
      </c>
      <c r="B23" s="10">
        <v>3267649</v>
      </c>
      <c r="C23" s="11">
        <f t="shared" si="0"/>
        <v>13542</v>
      </c>
      <c r="D23" s="10">
        <v>6519503</v>
      </c>
      <c r="E23" s="11">
        <f t="shared" si="1"/>
        <v>8864</v>
      </c>
      <c r="F23" s="10">
        <v>3296263</v>
      </c>
      <c r="G23" s="11">
        <f t="shared" si="2"/>
        <v>5552</v>
      </c>
      <c r="H23" s="10">
        <v>6844279</v>
      </c>
      <c r="I23" s="11">
        <f t="shared" si="3"/>
        <v>7675</v>
      </c>
      <c r="J23" s="10">
        <v>144327</v>
      </c>
      <c r="K23" s="12">
        <f t="shared" si="8"/>
        <v>130</v>
      </c>
      <c r="L23" s="13">
        <v>21058</v>
      </c>
      <c r="M23" s="12">
        <f t="shared" si="4"/>
        <v>11</v>
      </c>
      <c r="N23" s="13">
        <v>191602</v>
      </c>
      <c r="O23" s="12">
        <f t="shared" si="5"/>
        <v>125</v>
      </c>
      <c r="P23" s="10">
        <v>455649</v>
      </c>
      <c r="Q23" s="14">
        <f t="shared" si="6"/>
        <v>274</v>
      </c>
    </row>
    <row r="24" spans="1:17" ht="18" x14ac:dyDescent="0.25">
      <c r="A24" s="9">
        <v>22</v>
      </c>
      <c r="B24" s="10">
        <v>3281191</v>
      </c>
      <c r="C24" s="11">
        <f t="shared" si="0"/>
        <v>12991</v>
      </c>
      <c r="D24" s="10">
        <v>6528367</v>
      </c>
      <c r="E24" s="11">
        <f t="shared" si="1"/>
        <v>8451</v>
      </c>
      <c r="F24" s="10">
        <v>3301815</v>
      </c>
      <c r="G24" s="11">
        <f t="shared" si="2"/>
        <v>3559</v>
      </c>
      <c r="H24" s="10">
        <v>6851954</v>
      </c>
      <c r="I24" s="11">
        <f t="shared" si="3"/>
        <v>9012</v>
      </c>
      <c r="J24" s="10">
        <v>144457</v>
      </c>
      <c r="K24" s="12">
        <f t="shared" si="8"/>
        <v>134</v>
      </c>
      <c r="L24" s="13">
        <v>21069</v>
      </c>
      <c r="M24" s="12">
        <f t="shared" si="4"/>
        <v>34</v>
      </c>
      <c r="N24" s="13">
        <v>191727</v>
      </c>
      <c r="O24" s="12">
        <f>N25-N24</f>
        <v>210</v>
      </c>
      <c r="P24" s="10">
        <v>455923</v>
      </c>
      <c r="Q24" s="18">
        <f t="shared" si="6"/>
        <v>394</v>
      </c>
    </row>
    <row r="25" spans="1:17" ht="18" x14ac:dyDescent="0.25">
      <c r="A25" s="9">
        <v>23</v>
      </c>
      <c r="B25" s="10">
        <v>3294182</v>
      </c>
      <c r="C25" s="11">
        <f t="shared" si="0"/>
        <v>12776</v>
      </c>
      <c r="D25" s="10">
        <v>6536818</v>
      </c>
      <c r="E25" s="11">
        <f t="shared" si="1"/>
        <v>8594</v>
      </c>
      <c r="F25" s="10">
        <v>3305374</v>
      </c>
      <c r="G25" s="11">
        <f t="shared" si="2"/>
        <v>2327</v>
      </c>
      <c r="H25" s="10">
        <v>6860966</v>
      </c>
      <c r="I25" s="11">
        <f t="shared" si="3"/>
        <v>8963</v>
      </c>
      <c r="J25" s="10">
        <v>144591</v>
      </c>
      <c r="K25" s="12">
        <f t="shared" si="8"/>
        <v>105</v>
      </c>
      <c r="L25" s="13">
        <v>21103</v>
      </c>
      <c r="M25" s="12">
        <f t="shared" si="4"/>
        <v>2</v>
      </c>
      <c r="N25" s="13">
        <v>191937</v>
      </c>
      <c r="O25" s="12">
        <f t="shared" si="5"/>
        <v>198</v>
      </c>
      <c r="P25" s="10">
        <v>456317</v>
      </c>
      <c r="Q25" s="14">
        <f t="shared" si="6"/>
        <v>382</v>
      </c>
    </row>
    <row r="26" spans="1:17" ht="18" x14ac:dyDescent="0.25">
      <c r="A26" s="9">
        <v>24</v>
      </c>
      <c r="B26" s="10">
        <v>3306958</v>
      </c>
      <c r="C26" s="11">
        <f t="shared" si="0"/>
        <v>13367</v>
      </c>
      <c r="D26" s="10">
        <v>6545412</v>
      </c>
      <c r="E26" s="11">
        <f t="shared" si="1"/>
        <v>8930</v>
      </c>
      <c r="F26" s="10">
        <v>3307701</v>
      </c>
      <c r="G26" s="11">
        <f t="shared" si="2"/>
        <v>4326</v>
      </c>
      <c r="H26" s="10">
        <v>6869929</v>
      </c>
      <c r="I26" s="11">
        <f t="shared" si="3"/>
        <v>9146</v>
      </c>
      <c r="J26" s="10">
        <v>144696</v>
      </c>
      <c r="K26" s="12">
        <f t="shared" si="8"/>
        <v>147</v>
      </c>
      <c r="L26" s="13">
        <v>21105</v>
      </c>
      <c r="M26" s="12">
        <f t="shared" si="4"/>
        <v>20</v>
      </c>
      <c r="N26" s="13">
        <v>192135</v>
      </c>
      <c r="O26" s="12">
        <f t="shared" si="5"/>
        <v>194</v>
      </c>
      <c r="P26" s="10">
        <v>456699</v>
      </c>
      <c r="Q26" s="14">
        <f t="shared" si="6"/>
        <v>520</v>
      </c>
    </row>
    <row r="27" spans="1:17" ht="18" x14ac:dyDescent="0.25">
      <c r="A27" s="9">
        <v>25</v>
      </c>
      <c r="B27" s="10">
        <v>3320325</v>
      </c>
      <c r="C27" s="11">
        <f t="shared" si="0"/>
        <v>11867</v>
      </c>
      <c r="D27" s="10">
        <v>6554342</v>
      </c>
      <c r="E27" s="11">
        <f t="shared" si="1"/>
        <v>8354</v>
      </c>
      <c r="F27" s="10">
        <v>3312027</v>
      </c>
      <c r="G27" s="11">
        <f t="shared" si="2"/>
        <v>3379</v>
      </c>
      <c r="H27" s="10">
        <v>6879075</v>
      </c>
      <c r="I27" s="11">
        <f t="shared" si="3"/>
        <v>7591</v>
      </c>
      <c r="J27" s="10">
        <v>144843</v>
      </c>
      <c r="K27" s="12">
        <f t="shared" si="8"/>
        <v>163</v>
      </c>
      <c r="L27" s="13">
        <v>21125</v>
      </c>
      <c r="M27" s="12">
        <f t="shared" si="4"/>
        <v>22</v>
      </c>
      <c r="N27" s="13">
        <v>192329</v>
      </c>
      <c r="O27" s="12">
        <f t="shared" si="5"/>
        <v>152</v>
      </c>
      <c r="P27" s="10">
        <v>457219</v>
      </c>
      <c r="Q27" s="14">
        <f t="shared" si="6"/>
        <v>348</v>
      </c>
    </row>
    <row r="28" spans="1:17" ht="18" x14ac:dyDescent="0.25">
      <c r="A28" s="9">
        <v>26</v>
      </c>
      <c r="B28" s="10">
        <v>3332192</v>
      </c>
      <c r="C28" s="11">
        <f t="shared" si="0"/>
        <v>13110</v>
      </c>
      <c r="D28" s="10">
        <v>6562696</v>
      </c>
      <c r="E28" s="11">
        <f t="shared" si="1"/>
        <v>8945</v>
      </c>
      <c r="F28" s="10">
        <v>3315406</v>
      </c>
      <c r="G28" s="11">
        <f t="shared" si="2"/>
        <v>3818</v>
      </c>
      <c r="H28" s="10">
        <v>6886666</v>
      </c>
      <c r="I28" s="11">
        <f t="shared" si="3"/>
        <v>8961</v>
      </c>
      <c r="J28" s="10">
        <v>145006</v>
      </c>
      <c r="K28" s="12">
        <f t="shared" si="8"/>
        <v>151</v>
      </c>
      <c r="L28" s="13">
        <v>21147</v>
      </c>
      <c r="M28" s="12">
        <f t="shared" si="4"/>
        <v>12</v>
      </c>
      <c r="N28" s="13">
        <v>192481</v>
      </c>
      <c r="O28" s="12">
        <f t="shared" si="5"/>
        <v>185</v>
      </c>
      <c r="P28" s="10">
        <v>457567</v>
      </c>
      <c r="Q28" s="14">
        <f t="shared" si="6"/>
        <v>461</v>
      </c>
    </row>
    <row r="29" spans="1:17" ht="18" x14ac:dyDescent="0.25">
      <c r="A29" s="9">
        <v>27</v>
      </c>
      <c r="B29" s="10">
        <v>3345302</v>
      </c>
      <c r="C29" s="11">
        <f t="shared" si="0"/>
        <v>12493</v>
      </c>
      <c r="D29" s="10">
        <v>6571641</v>
      </c>
      <c r="E29" s="11">
        <f t="shared" si="1"/>
        <v>8817</v>
      </c>
      <c r="F29" s="10">
        <v>3319224</v>
      </c>
      <c r="G29" s="11">
        <f t="shared" si="2"/>
        <v>3014</v>
      </c>
      <c r="H29" s="10">
        <v>6895627</v>
      </c>
      <c r="I29" s="11">
        <f t="shared" si="3"/>
        <v>8893</v>
      </c>
      <c r="J29" s="10">
        <v>145157</v>
      </c>
      <c r="K29" s="12">
        <f t="shared" si="8"/>
        <v>166</v>
      </c>
      <c r="L29" s="13">
        <v>21159</v>
      </c>
      <c r="M29" s="12">
        <f t="shared" si="4"/>
        <v>14</v>
      </c>
      <c r="N29" s="13">
        <v>192666</v>
      </c>
      <c r="O29" s="12">
        <f t="shared" si="5"/>
        <v>209</v>
      </c>
      <c r="P29" s="10">
        <v>458028</v>
      </c>
      <c r="Q29" s="14">
        <f t="shared" si="6"/>
        <v>345</v>
      </c>
    </row>
    <row r="30" spans="1:17" ht="18" x14ac:dyDescent="0.25">
      <c r="A30" s="9">
        <v>28</v>
      </c>
      <c r="B30" s="10">
        <v>3357795</v>
      </c>
      <c r="C30" s="11">
        <f t="shared" si="0"/>
        <v>12798</v>
      </c>
      <c r="D30" s="10">
        <v>6580458</v>
      </c>
      <c r="E30" s="11">
        <f t="shared" si="1"/>
        <v>9520</v>
      </c>
      <c r="F30" s="10">
        <v>3322238</v>
      </c>
      <c r="G30" s="11">
        <f t="shared" si="2"/>
        <v>3988</v>
      </c>
      <c r="H30" s="10">
        <v>6904520</v>
      </c>
      <c r="I30" s="11">
        <f t="shared" si="3"/>
        <v>9381</v>
      </c>
      <c r="J30" s="10">
        <v>145323</v>
      </c>
      <c r="K30" s="12">
        <f t="shared" si="8"/>
        <v>154</v>
      </c>
      <c r="L30" s="13">
        <v>21173</v>
      </c>
      <c r="M30" s="12">
        <f t="shared" si="4"/>
        <v>71</v>
      </c>
      <c r="N30" s="13">
        <v>192875</v>
      </c>
      <c r="O30" s="12">
        <f t="shared" si="5"/>
        <v>141</v>
      </c>
      <c r="P30" s="10">
        <v>458373</v>
      </c>
      <c r="Q30" s="14">
        <f t="shared" si="6"/>
        <v>380</v>
      </c>
    </row>
    <row r="31" spans="1:17" ht="18" x14ac:dyDescent="0.25">
      <c r="A31" s="9">
        <v>29</v>
      </c>
      <c r="B31" s="10">
        <v>3370593</v>
      </c>
      <c r="C31" s="11">
        <f t="shared" si="0"/>
        <v>13152</v>
      </c>
      <c r="D31" s="10">
        <v>6589978</v>
      </c>
      <c r="E31" s="11">
        <f t="shared" si="1"/>
        <v>9092</v>
      </c>
      <c r="F31" s="10">
        <v>3326226</v>
      </c>
      <c r="G31" s="11">
        <f t="shared" si="2"/>
        <v>4675</v>
      </c>
      <c r="H31" s="10">
        <v>6913901</v>
      </c>
      <c r="I31" s="11">
        <f t="shared" si="3"/>
        <v>7729</v>
      </c>
      <c r="J31" s="10">
        <v>145477</v>
      </c>
      <c r="K31" s="12">
        <f t="shared" si="8"/>
        <v>173</v>
      </c>
      <c r="L31" s="13">
        <v>21244</v>
      </c>
      <c r="M31" s="12">
        <f t="shared" si="4"/>
        <v>3</v>
      </c>
      <c r="N31" s="13">
        <v>193016</v>
      </c>
      <c r="O31" s="12">
        <f t="shared" si="5"/>
        <v>144</v>
      </c>
      <c r="P31" s="10">
        <v>458753</v>
      </c>
      <c r="Q31" s="14">
        <f t="shared" si="6"/>
        <v>777</v>
      </c>
    </row>
    <row r="32" spans="1:17" ht="18" x14ac:dyDescent="0.25">
      <c r="A32" s="16">
        <v>30</v>
      </c>
      <c r="B32" s="10">
        <v>3383745</v>
      </c>
      <c r="C32" s="11">
        <f t="shared" si="0"/>
        <v>12608</v>
      </c>
      <c r="D32" s="10">
        <v>6599070</v>
      </c>
      <c r="E32" s="11">
        <f t="shared" si="1"/>
        <v>9092</v>
      </c>
      <c r="F32" s="10">
        <v>3330901</v>
      </c>
      <c r="G32" s="11">
        <f t="shared" si="2"/>
        <v>5609</v>
      </c>
      <c r="H32" s="10">
        <v>6921630</v>
      </c>
      <c r="I32" s="11">
        <f t="shared" si="3"/>
        <v>7780</v>
      </c>
      <c r="J32" s="10">
        <v>145650</v>
      </c>
      <c r="K32" s="12">
        <f>SUM(J33-J32)</f>
        <v>173</v>
      </c>
      <c r="L32" s="13">
        <v>21247</v>
      </c>
      <c r="M32" s="12">
        <f>L33-L32</f>
        <v>3</v>
      </c>
      <c r="N32" s="13">
        <v>193160</v>
      </c>
      <c r="O32" s="12">
        <f>N33-N32</f>
        <v>174</v>
      </c>
      <c r="P32" s="10">
        <v>459530</v>
      </c>
      <c r="Q32" s="14">
        <f>P33-P32</f>
        <v>390</v>
      </c>
    </row>
    <row r="33" spans="1:17" ht="18" x14ac:dyDescent="0.25">
      <c r="A33" s="16">
        <v>31</v>
      </c>
      <c r="B33" s="10">
        <v>3396353</v>
      </c>
      <c r="C33" s="11">
        <f t="shared" si="0"/>
        <v>11545</v>
      </c>
      <c r="D33" s="10">
        <v>6608162</v>
      </c>
      <c r="E33" s="11">
        <f t="shared" si="1"/>
        <v>8172</v>
      </c>
      <c r="F33" s="10">
        <v>3336510</v>
      </c>
      <c r="G33" s="11">
        <f t="shared" si="2"/>
        <v>3687</v>
      </c>
      <c r="H33" s="10">
        <v>6929410</v>
      </c>
      <c r="I33" s="11">
        <f t="shared" si="3"/>
        <v>7437</v>
      </c>
      <c r="J33" s="10">
        <v>145823</v>
      </c>
      <c r="K33" s="12">
        <f>SUM(J34-J33)</f>
        <v>166</v>
      </c>
      <c r="L33" s="13">
        <v>21250</v>
      </c>
      <c r="M33" s="12">
        <f>L34-L33</f>
        <v>0</v>
      </c>
      <c r="N33" s="13">
        <v>193334</v>
      </c>
      <c r="O33" s="12">
        <f>N34-N33</f>
        <v>188</v>
      </c>
      <c r="P33" s="10">
        <v>459920</v>
      </c>
      <c r="Q33" s="14">
        <f>P34-P33</f>
        <v>390</v>
      </c>
    </row>
    <row r="34" spans="1:17" ht="18" x14ac:dyDescent="0.25">
      <c r="A34" s="16">
        <v>1</v>
      </c>
      <c r="B34" s="10">
        <v>3407898</v>
      </c>
      <c r="C34" s="12"/>
      <c r="D34" s="10">
        <v>6616334</v>
      </c>
      <c r="E34" s="12"/>
      <c r="F34" s="10">
        <v>3340197</v>
      </c>
      <c r="G34" s="12"/>
      <c r="H34" s="10">
        <v>6936847</v>
      </c>
      <c r="I34" s="12"/>
      <c r="J34" s="10">
        <v>145989</v>
      </c>
      <c r="K34" s="11"/>
      <c r="L34" s="13">
        <v>21250</v>
      </c>
      <c r="M34" s="19"/>
      <c r="N34" s="13">
        <v>193522</v>
      </c>
      <c r="O34" s="11"/>
      <c r="P34" s="10">
        <v>460310</v>
      </c>
      <c r="Q34" s="14"/>
    </row>
    <row r="35" spans="1:17" ht="18" x14ac:dyDescent="0.2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Daily Meter 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Azizah Zakaria</cp:lastModifiedBy>
  <dcterms:created xsi:type="dcterms:W3CDTF">2023-02-18T09:21:19Z</dcterms:created>
  <dcterms:modified xsi:type="dcterms:W3CDTF">2023-02-24T08:42:42Z</dcterms:modified>
</cp:coreProperties>
</file>