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998F64CF-5AD3-4615-88AF-70E83C09134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L28" i="31" l="1"/>
  <c r="I28" i="31"/>
  <c r="G28" i="31"/>
  <c r="L27" i="31" l="1"/>
  <c r="I27" i="31"/>
  <c r="G27" i="31"/>
  <c r="G26" i="31" l="1"/>
  <c r="I26" i="31"/>
  <c r="L26" i="31"/>
  <c r="I25" i="31" l="1"/>
  <c r="L25" i="31"/>
  <c r="G25" i="31"/>
  <c r="I22" i="31" l="1"/>
  <c r="I23" i="31"/>
  <c r="I24" i="31"/>
  <c r="L24" i="31"/>
  <c r="L23" i="31"/>
  <c r="L22" i="31" l="1"/>
  <c r="G22" i="31"/>
  <c r="G23" i="31"/>
  <c r="G24" i="31"/>
  <c r="L21" i="31" l="1"/>
  <c r="I21" i="31"/>
  <c r="G21" i="31"/>
  <c r="L20" i="31" l="1"/>
  <c r="G20" i="31"/>
  <c r="I20" i="31"/>
  <c r="L19" i="31" l="1"/>
  <c r="G19" i="31"/>
  <c r="I19" i="31"/>
  <c r="L18" i="31" l="1"/>
  <c r="G18" i="31"/>
  <c r="I18" i="31"/>
  <c r="L17" i="31"/>
  <c r="L15" i="31" l="1"/>
  <c r="L16" i="31"/>
  <c r="I6" i="31"/>
  <c r="I7" i="31"/>
  <c r="I8" i="31"/>
  <c r="I9" i="31"/>
  <c r="I10" i="31"/>
  <c r="I11" i="31"/>
  <c r="I12" i="31"/>
  <c r="I13" i="31"/>
  <c r="I14" i="31"/>
  <c r="I15" i="31"/>
  <c r="I16" i="31"/>
  <c r="I17" i="31"/>
  <c r="G14" i="31"/>
  <c r="G15" i="31"/>
  <c r="G16" i="31"/>
  <c r="G17" i="31"/>
  <c r="L14" i="31"/>
  <c r="G13" i="31" l="1"/>
  <c r="L13" i="31"/>
  <c r="L12" i="31" l="1"/>
  <c r="G12" i="31"/>
  <c r="L11" i="31" l="1"/>
  <c r="G11" i="31"/>
  <c r="L6" i="31" l="1"/>
  <c r="L7" i="31"/>
  <c r="L8" i="31"/>
  <c r="L9" i="31"/>
  <c r="L10" i="31"/>
  <c r="L5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<sst xmlns="http://schemas.openxmlformats.org/spreadsheetml/2006/main" count="64" uniqueCount="31">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</sst>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26605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24000</v>
      </c>
      <c r="J8" s="10">
        <v>3.61E-2</v>
      </c>
      <c r="K8" s="1">
        <f>'Feb 2021'!I11</f>
        <v>249</v>
      </c>
      <c r="L8" s="10">
        <v>0.75</v>
      </c>
      <c r="M8" s="10">
        <f>'Feb 2021'!L11</f>
        <v>45</v>
      </c>
      <c r="N8" s="10">
        <v>0.56299999999999994</v>
      </c>
      <c r="O8" s="14">
        <f>'Feb 2021'!D11</f>
        <v>20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23644</v>
      </c>
      <c r="F9" s="10">
        <v>2.9000000000000001E-2</v>
      </c>
      <c r="G9" s="1">
        <f>'Feb 2021'!J12</f>
        <v>2970</v>
      </c>
      <c r="H9" s="10">
        <v>0.112</v>
      </c>
      <c r="I9" s="1">
        <f>'Feb 2021'!G12*1000</f>
        <v>20000</v>
      </c>
      <c r="J9" s="10">
        <v>3.61E-2</v>
      </c>
      <c r="K9" s="1">
        <f>'Feb 2021'!I12</f>
        <v>229</v>
      </c>
      <c r="L9" s="10">
        <v>0.75</v>
      </c>
      <c r="M9" s="10">
        <f>'Feb 2021'!L12</f>
        <v>91</v>
      </c>
      <c r="N9" s="10">
        <v>0.56299999999999994</v>
      </c>
      <c r="O9" s="14">
        <f>'Feb 2021'!D12</f>
        <v>25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22369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22000</v>
      </c>
      <c r="J10" s="10">
        <v>3.61E-2</v>
      </c>
      <c r="K10" s="1">
        <f>'Feb 2021'!I13</f>
        <v>244</v>
      </c>
      <c r="L10" s="10">
        <v>0.75</v>
      </c>
      <c r="M10" s="10">
        <f>'Feb 2021'!L13</f>
        <v>72</v>
      </c>
      <c r="N10" s="10">
        <v>0.56299999999999994</v>
      </c>
      <c r="O10" s="14">
        <f>'Feb 2021'!D13</f>
        <v>25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23129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25000</v>
      </c>
      <c r="J11" s="10">
        <v>3.61E-2</v>
      </c>
      <c r="K11" s="1">
        <f>'Feb 2021'!I14</f>
        <v>178</v>
      </c>
      <c r="L11" s="10">
        <v>0.75</v>
      </c>
      <c r="M11" s="10">
        <f>'Feb 2021'!L14</f>
        <v>84</v>
      </c>
      <c r="N11" s="10">
        <v>0.56299999999999994</v>
      </c>
      <c r="O11" s="14">
        <f>'Feb 2021'!D14</f>
        <v>70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23426</v>
      </c>
      <c r="F12" s="10">
        <v>2.9000000000000001E-2</v>
      </c>
      <c r="G12" s="1">
        <f>'Feb 2021'!J15</f>
        <v>2970</v>
      </c>
      <c r="H12" s="10">
        <v>0.112</v>
      </c>
      <c r="I12" s="1">
        <f>'Feb 2021'!G15*1000</f>
        <v>19000</v>
      </c>
      <c r="J12" s="10">
        <v>3.61E-2</v>
      </c>
      <c r="K12" s="1">
        <f>'Feb 2021'!I15</f>
        <v>206</v>
      </c>
      <c r="L12" s="10">
        <v>0.75</v>
      </c>
      <c r="M12" s="10">
        <f>'Feb 2021'!L15</f>
        <v>106</v>
      </c>
      <c r="N12" s="10">
        <v>0.56299999999999994</v>
      </c>
      <c r="O12" s="14">
        <f>'Feb 2021'!D15</f>
        <v>34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22199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23000</v>
      </c>
      <c r="J13" s="10">
        <v>3.61E-2</v>
      </c>
      <c r="K13" s="1">
        <f>'Feb 2021'!I16</f>
        <v>188</v>
      </c>
      <c r="L13" s="10">
        <v>0.75</v>
      </c>
      <c r="M13" s="10">
        <f>'Feb 2021'!L16</f>
        <v>154</v>
      </c>
      <c r="N13" s="10">
        <v>0.56299999999999994</v>
      </c>
      <c r="O13" s="14">
        <f>'Feb 2021'!D16</f>
        <v>42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24321</v>
      </c>
      <c r="F14" s="10">
        <v>2.9000000000000001E-2</v>
      </c>
      <c r="G14" s="1">
        <f>'Feb 2021'!J17</f>
        <v>2970</v>
      </c>
      <c r="H14" s="10">
        <v>0.112</v>
      </c>
      <c r="I14" s="1">
        <f>'Feb 2021'!G17*1000</f>
        <v>22000</v>
      </c>
      <c r="J14" s="10">
        <v>3.61E-2</v>
      </c>
      <c r="K14" s="1">
        <f>'Feb 2021'!I17</f>
        <v>412</v>
      </c>
      <c r="L14" s="10">
        <v>0.75</v>
      </c>
      <c r="M14" s="10">
        <f>'Feb 2021'!L17</f>
        <v>54</v>
      </c>
      <c r="N14" s="10">
        <v>0.56299999999999994</v>
      </c>
      <c r="O14" s="14">
        <f>'Feb 2021'!D17</f>
        <v>70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26182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23000</v>
      </c>
      <c r="J15" s="10">
        <v>3.61E-2</v>
      </c>
      <c r="K15" s="1">
        <f>'Feb 2021'!I18</f>
        <v>391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68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23497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21000</v>
      </c>
      <c r="J16" s="10">
        <v>3.61E-2</v>
      </c>
      <c r="K16" s="1">
        <f>'Feb 2021'!I19</f>
        <v>342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65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23915</v>
      </c>
      <c r="F17" s="10">
        <v>2.9000000000000001E-2</v>
      </c>
      <c r="G17" s="1">
        <f>'Feb 2021'!J20</f>
        <v>2970</v>
      </c>
      <c r="H17" s="10">
        <v>0.112</v>
      </c>
      <c r="I17" s="1">
        <f>'Feb 2021'!G20*1000</f>
        <v>22000</v>
      </c>
      <c r="J17" s="10">
        <v>3.61E-2</v>
      </c>
      <c r="K17" s="1">
        <f>'Feb 2021'!I20</f>
        <v>243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34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23197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22000</v>
      </c>
      <c r="J18" s="10">
        <v>3.61E-2</v>
      </c>
      <c r="K18" s="1">
        <f>'Feb 2021'!I21</f>
        <v>199</v>
      </c>
      <c r="L18" s="10">
        <v>0.75</v>
      </c>
      <c r="M18" s="10">
        <f>'Feb 2021'!L21</f>
        <v>123</v>
      </c>
      <c r="N18" s="10">
        <v>0.56299999999999994</v>
      </c>
      <c r="O18" s="14">
        <f>'Feb 2021'!D21</f>
        <v>30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22981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23000</v>
      </c>
      <c r="J19" s="10">
        <v>3.61E-2</v>
      </c>
      <c r="K19" s="1">
        <f>'Feb 2021'!I22</f>
        <v>219</v>
      </c>
      <c r="L19" s="10">
        <v>0.75</v>
      </c>
      <c r="M19" s="10">
        <f>'Feb 2021'!L22</f>
        <v>128</v>
      </c>
      <c r="N19" s="10">
        <v>0.56299999999999994</v>
      </c>
      <c r="O19" s="14">
        <f>'Feb 2021'!D22</f>
        <v>29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22475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14000</v>
      </c>
      <c r="J20" s="10">
        <v>3.61E-2</v>
      </c>
      <c r="K20" s="1">
        <f>'Feb 2021'!I23</f>
        <v>247</v>
      </c>
      <c r="L20" s="10">
        <v>0.75</v>
      </c>
      <c r="M20" s="10">
        <f>'Feb 2021'!L23</f>
        <v>128</v>
      </c>
      <c r="N20" s="10">
        <v>0.56299999999999994</v>
      </c>
      <c r="O20" s="14">
        <f>'Feb 2021'!D23</f>
        <v>29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22723</v>
      </c>
      <c r="F21" s="10">
        <v>2.9000000000000001E-2</v>
      </c>
      <c r="G21" s="1">
        <f>'Feb 2021'!J24</f>
        <v>2970</v>
      </c>
      <c r="H21" s="10">
        <v>0.112</v>
      </c>
      <c r="I21" s="1">
        <f>'Feb 2021'!G24*1000</f>
        <v>20000</v>
      </c>
      <c r="J21" s="10">
        <v>3.61E-2</v>
      </c>
      <c r="K21" s="1">
        <f>'Feb 2021'!I24</f>
        <v>195</v>
      </c>
      <c r="L21" s="10">
        <v>0.75</v>
      </c>
      <c r="M21" s="10">
        <f>'Feb 2021'!L24</f>
        <v>128</v>
      </c>
      <c r="N21" s="10">
        <v>0.56299999999999994</v>
      </c>
      <c r="O21" s="14">
        <f>'Feb 2021'!D24</f>
        <v>23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22759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17000</v>
      </c>
      <c r="J22" s="10">
        <v>3.61E-2</v>
      </c>
      <c r="K22" s="1">
        <f>'Feb 2021'!I25</f>
        <v>254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26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23180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19000</v>
      </c>
      <c r="J23" s="10">
        <v>3.61E-2</v>
      </c>
      <c r="K23" s="1">
        <f>'Feb 2021'!I26</f>
        <v>235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31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23118</v>
      </c>
      <c r="F24" s="10">
        <v>2.9000000000000001E-2</v>
      </c>
      <c r="G24" s="1">
        <f>'Feb 2021'!J27</f>
        <v>2970</v>
      </c>
      <c r="H24" s="10">
        <v>0.112</v>
      </c>
      <c r="I24" s="1">
        <f>'Feb 2021'!G27*1000</f>
        <v>19000</v>
      </c>
      <c r="J24" s="10">
        <v>3.61E-2</v>
      </c>
      <c r="K24" s="1">
        <f>'Feb 2021'!I27</f>
        <v>193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27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22388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17000</v>
      </c>
      <c r="J25" s="10">
        <v>3.61E-2</v>
      </c>
      <c r="K25" s="1">
        <f>'Feb 2021'!I28</f>
        <v>174</v>
      </c>
      <c r="L25" s="10">
        <v>0.75</v>
      </c>
      <c r="M25" s="10">
        <f>'Feb 2021'!L28</f>
        <v>6</v>
      </c>
      <c r="N25" s="10">
        <v>0.56299999999999994</v>
      </c>
      <c r="O25" s="14">
        <f>'Feb 2021'!D28</f>
        <v>32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B29" sqref="A29:XFD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28" si="0">F7-F6</f>
        <v>19</v>
      </c>
      <c r="H6" s="7">
        <v>446304</v>
      </c>
      <c r="I6" s="3">
        <f t="shared" ref="I6:I28" si="1">H7-H6</f>
        <v>354</v>
      </c>
      <c r="J6" s="3">
        <v>0</v>
      </c>
      <c r="K6" s="4">
        <v>271399</v>
      </c>
      <c r="L6" s="9">
        <f t="shared" ref="L6:L13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>
        <v>20</v>
      </c>
      <c r="E11" s="12">
        <v>26605</v>
      </c>
      <c r="F11" s="4">
        <v>184581</v>
      </c>
      <c r="G11" s="8">
        <f t="shared" si="0"/>
        <v>24</v>
      </c>
      <c r="H11" s="7">
        <v>447751</v>
      </c>
      <c r="I11" s="3">
        <f t="shared" si="1"/>
        <v>249</v>
      </c>
      <c r="J11" s="3">
        <v>0</v>
      </c>
      <c r="K11" s="4">
        <v>271713</v>
      </c>
      <c r="L11" s="9">
        <f t="shared" si="2"/>
        <v>45</v>
      </c>
      <c r="N11" s="1"/>
    </row>
    <row r="12" spans="1:14" x14ac:dyDescent="0.2">
      <c r="B12" s="2">
        <v>8</v>
      </c>
      <c r="C12" s="11">
        <v>44235</v>
      </c>
      <c r="D12" s="7">
        <v>25</v>
      </c>
      <c r="E12" s="12">
        <v>23644</v>
      </c>
      <c r="F12" s="4">
        <v>184605</v>
      </c>
      <c r="G12" s="8">
        <f t="shared" si="0"/>
        <v>20</v>
      </c>
      <c r="H12" s="7">
        <v>448000</v>
      </c>
      <c r="I12" s="3">
        <f t="shared" si="1"/>
        <v>229</v>
      </c>
      <c r="J12" s="3">
        <v>2970</v>
      </c>
      <c r="K12" s="4">
        <v>271758</v>
      </c>
      <c r="L12" s="9">
        <f t="shared" si="2"/>
        <v>91</v>
      </c>
      <c r="N12" s="1"/>
    </row>
    <row r="13" spans="1:14" x14ac:dyDescent="0.2">
      <c r="A13" t="s">
        <v>28</v>
      </c>
      <c r="B13" s="2">
        <v>9</v>
      </c>
      <c r="C13" s="11">
        <v>44236</v>
      </c>
      <c r="D13" s="7">
        <v>25</v>
      </c>
      <c r="E13" s="12">
        <v>22369</v>
      </c>
      <c r="F13" s="30">
        <v>184625</v>
      </c>
      <c r="G13" s="8">
        <f t="shared" si="0"/>
        <v>22</v>
      </c>
      <c r="H13" s="16">
        <v>448229</v>
      </c>
      <c r="I13" s="3">
        <f t="shared" si="1"/>
        <v>244</v>
      </c>
      <c r="J13" s="3">
        <v>0</v>
      </c>
      <c r="K13" s="30">
        <v>271849</v>
      </c>
      <c r="L13" s="9">
        <f t="shared" si="2"/>
        <v>72</v>
      </c>
      <c r="N13" s="1"/>
    </row>
    <row r="14" spans="1:14" x14ac:dyDescent="0.2">
      <c r="B14" s="2">
        <v>10</v>
      </c>
      <c r="C14" s="11">
        <v>44237</v>
      </c>
      <c r="D14" s="7">
        <v>70</v>
      </c>
      <c r="E14" s="12">
        <v>23129</v>
      </c>
      <c r="F14" s="30">
        <v>184647</v>
      </c>
      <c r="G14" s="8">
        <f t="shared" si="0"/>
        <v>25</v>
      </c>
      <c r="H14" s="16">
        <v>448473</v>
      </c>
      <c r="I14" s="3">
        <f t="shared" si="1"/>
        <v>178</v>
      </c>
      <c r="J14" s="3">
        <v>0</v>
      </c>
      <c r="K14" s="30">
        <v>271921</v>
      </c>
      <c r="L14" s="9">
        <f>K16-K14</f>
        <v>84</v>
      </c>
      <c r="N14" s="1"/>
    </row>
    <row r="15" spans="1:14" x14ac:dyDescent="0.2">
      <c r="B15" s="2">
        <v>11</v>
      </c>
      <c r="C15" s="11">
        <v>44238</v>
      </c>
      <c r="D15" s="7">
        <v>34</v>
      </c>
      <c r="E15" s="12">
        <v>23426</v>
      </c>
      <c r="F15" s="30">
        <v>184672</v>
      </c>
      <c r="G15" s="8">
        <f t="shared" si="0"/>
        <v>19</v>
      </c>
      <c r="H15" s="16">
        <v>448651</v>
      </c>
      <c r="I15" s="3">
        <f t="shared" si="1"/>
        <v>206</v>
      </c>
      <c r="J15" s="3">
        <v>2970</v>
      </c>
      <c r="K15" s="30">
        <v>271999</v>
      </c>
      <c r="L15" s="9">
        <f t="shared" ref="L15:L16" si="3">K17-K15</f>
        <v>106</v>
      </c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>
        <v>42</v>
      </c>
      <c r="E16" s="12">
        <v>22199</v>
      </c>
      <c r="F16" s="4">
        <v>184691</v>
      </c>
      <c r="G16" s="8">
        <f t="shared" si="0"/>
        <v>23</v>
      </c>
      <c r="H16" s="7">
        <v>448857</v>
      </c>
      <c r="I16" s="3">
        <f t="shared" si="1"/>
        <v>188</v>
      </c>
      <c r="J16" s="3">
        <v>0</v>
      </c>
      <c r="K16" s="4">
        <v>272005</v>
      </c>
      <c r="L16" s="9">
        <f t="shared" si="3"/>
        <v>154</v>
      </c>
      <c r="N16" s="1"/>
    </row>
    <row r="17" spans="1:14" x14ac:dyDescent="0.2">
      <c r="B17" s="2">
        <v>13</v>
      </c>
      <c r="C17" s="11">
        <v>44240</v>
      </c>
      <c r="D17" s="7">
        <v>70</v>
      </c>
      <c r="E17" s="12">
        <v>24321</v>
      </c>
      <c r="F17" s="4">
        <v>184714</v>
      </c>
      <c r="G17" s="8">
        <f t="shared" si="0"/>
        <v>22</v>
      </c>
      <c r="H17" s="7">
        <v>449045</v>
      </c>
      <c r="I17" s="3">
        <f t="shared" si="1"/>
        <v>412</v>
      </c>
      <c r="J17" s="3">
        <v>2970</v>
      </c>
      <c r="K17" s="4">
        <v>272105</v>
      </c>
      <c r="L17" s="9">
        <f>K18-K17</f>
        <v>54</v>
      </c>
      <c r="N17" s="1"/>
    </row>
    <row r="18" spans="1:14" ht="13.5" customHeight="1" x14ac:dyDescent="0.2">
      <c r="B18" s="2">
        <v>14</v>
      </c>
      <c r="C18" s="11">
        <v>44241</v>
      </c>
      <c r="D18" s="7">
        <v>68</v>
      </c>
      <c r="E18" s="33">
        <v>26182</v>
      </c>
      <c r="F18" s="4">
        <v>184736</v>
      </c>
      <c r="G18" s="8">
        <f t="shared" si="0"/>
        <v>23</v>
      </c>
      <c r="H18" s="7">
        <v>449457</v>
      </c>
      <c r="I18" s="3">
        <f t="shared" si="1"/>
        <v>391</v>
      </c>
      <c r="J18" s="3">
        <v>0</v>
      </c>
      <c r="K18" s="4">
        <v>272159</v>
      </c>
      <c r="L18" s="9">
        <f>K19-K18</f>
        <v>0</v>
      </c>
      <c r="N18" s="1"/>
    </row>
    <row r="19" spans="1:14" x14ac:dyDescent="0.2">
      <c r="B19" s="2">
        <v>15</v>
      </c>
      <c r="C19" s="11">
        <v>44242</v>
      </c>
      <c r="D19" s="7">
        <v>65</v>
      </c>
      <c r="E19" s="33">
        <v>23497</v>
      </c>
      <c r="F19" s="30">
        <v>184759</v>
      </c>
      <c r="G19" s="8">
        <f t="shared" si="0"/>
        <v>21</v>
      </c>
      <c r="H19" s="16">
        <v>449848</v>
      </c>
      <c r="I19" s="3">
        <f t="shared" si="1"/>
        <v>342</v>
      </c>
      <c r="J19" s="3">
        <v>0</v>
      </c>
      <c r="K19" s="4">
        <v>272159</v>
      </c>
      <c r="L19" s="9">
        <f>K20-K19</f>
        <v>0</v>
      </c>
      <c r="N19" s="1"/>
    </row>
    <row r="20" spans="1:14" x14ac:dyDescent="0.2">
      <c r="A20" t="s">
        <v>28</v>
      </c>
      <c r="B20" s="2">
        <v>16</v>
      </c>
      <c r="C20" s="11">
        <v>44243</v>
      </c>
      <c r="D20" s="7">
        <v>34</v>
      </c>
      <c r="E20" s="33">
        <v>23915</v>
      </c>
      <c r="F20" s="30">
        <v>184780</v>
      </c>
      <c r="G20" s="8">
        <f t="shared" si="0"/>
        <v>22</v>
      </c>
      <c r="H20" s="16">
        <v>450190</v>
      </c>
      <c r="I20" s="3">
        <f t="shared" si="1"/>
        <v>243</v>
      </c>
      <c r="J20" s="3">
        <v>2970</v>
      </c>
      <c r="K20" s="4">
        <v>272159</v>
      </c>
      <c r="L20" s="9">
        <f>K21-K20</f>
        <v>0</v>
      </c>
      <c r="N20" s="1"/>
    </row>
    <row r="21" spans="1:14" x14ac:dyDescent="0.2">
      <c r="B21" s="2">
        <v>17</v>
      </c>
      <c r="C21" s="11">
        <v>44244</v>
      </c>
      <c r="D21" s="7">
        <v>30</v>
      </c>
      <c r="E21" s="7">
        <v>23197</v>
      </c>
      <c r="F21" s="4">
        <v>184802</v>
      </c>
      <c r="G21" s="8">
        <f t="shared" si="0"/>
        <v>22</v>
      </c>
      <c r="H21" s="4">
        <v>450433</v>
      </c>
      <c r="I21" s="3">
        <f t="shared" si="1"/>
        <v>199</v>
      </c>
      <c r="J21" s="3">
        <v>0</v>
      </c>
      <c r="K21" s="30">
        <v>272159</v>
      </c>
      <c r="L21" s="9">
        <f>K24-K21</f>
        <v>123</v>
      </c>
      <c r="N21" s="1"/>
    </row>
    <row r="22" spans="1:14" x14ac:dyDescent="0.2">
      <c r="B22" s="2">
        <v>18</v>
      </c>
      <c r="C22" s="11">
        <v>44245</v>
      </c>
      <c r="D22" s="7">
        <v>29</v>
      </c>
      <c r="E22" s="7">
        <v>22981</v>
      </c>
      <c r="F22" s="4">
        <v>184824</v>
      </c>
      <c r="G22" s="8">
        <f t="shared" si="0"/>
        <v>23</v>
      </c>
      <c r="H22" s="4">
        <v>450632</v>
      </c>
      <c r="I22" s="3">
        <f t="shared" si="1"/>
        <v>219</v>
      </c>
      <c r="J22" s="3">
        <v>0</v>
      </c>
      <c r="K22" s="30">
        <v>272159</v>
      </c>
      <c r="L22" s="9">
        <f>K25-K24</f>
        <v>128</v>
      </c>
      <c r="N22" s="1"/>
    </row>
    <row r="23" spans="1:14" x14ac:dyDescent="0.2">
      <c r="B23" s="2">
        <v>19</v>
      </c>
      <c r="C23" s="11">
        <v>44246</v>
      </c>
      <c r="D23" s="7">
        <v>29</v>
      </c>
      <c r="E23" s="33">
        <v>22475</v>
      </c>
      <c r="F23" s="4">
        <v>184847</v>
      </c>
      <c r="G23" s="8">
        <f t="shared" si="0"/>
        <v>14</v>
      </c>
      <c r="H23" s="30">
        <v>450851</v>
      </c>
      <c r="I23" s="3">
        <f t="shared" si="1"/>
        <v>247</v>
      </c>
      <c r="J23" s="3">
        <v>0</v>
      </c>
      <c r="K23" s="30">
        <v>272159</v>
      </c>
      <c r="L23" s="9">
        <f>K25-K24</f>
        <v>128</v>
      </c>
      <c r="N23" s="1"/>
    </row>
    <row r="24" spans="1:14" ht="12" customHeight="1" x14ac:dyDescent="0.2">
      <c r="B24" s="2">
        <v>20</v>
      </c>
      <c r="C24" s="11">
        <v>44247</v>
      </c>
      <c r="D24" s="7">
        <v>23</v>
      </c>
      <c r="E24" s="33">
        <v>22723</v>
      </c>
      <c r="F24" s="30">
        <v>184861</v>
      </c>
      <c r="G24" s="8">
        <f t="shared" si="0"/>
        <v>20</v>
      </c>
      <c r="H24" s="30">
        <v>451098</v>
      </c>
      <c r="I24" s="3">
        <f t="shared" si="1"/>
        <v>195</v>
      </c>
      <c r="J24" s="3">
        <v>2970</v>
      </c>
      <c r="K24" s="4">
        <v>272282</v>
      </c>
      <c r="L24" s="9">
        <f>K25-K24</f>
        <v>128</v>
      </c>
      <c r="N24" s="1"/>
    </row>
    <row r="25" spans="1:14" x14ac:dyDescent="0.2">
      <c r="B25" s="2">
        <v>21</v>
      </c>
      <c r="C25" s="11">
        <v>44248</v>
      </c>
      <c r="D25" s="7">
        <v>26</v>
      </c>
      <c r="E25" s="7">
        <v>22759</v>
      </c>
      <c r="F25" s="30">
        <v>184881</v>
      </c>
      <c r="G25" s="8">
        <f t="shared" si="0"/>
        <v>17</v>
      </c>
      <c r="H25" s="30">
        <v>451293</v>
      </c>
      <c r="I25" s="3">
        <f t="shared" si="1"/>
        <v>254</v>
      </c>
      <c r="J25" s="3">
        <v>0</v>
      </c>
      <c r="K25" s="4">
        <v>272410</v>
      </c>
      <c r="L25" s="9">
        <f>K26-K25</f>
        <v>0</v>
      </c>
      <c r="N25" s="1"/>
    </row>
    <row r="26" spans="1:14" x14ac:dyDescent="0.2">
      <c r="B26" s="2">
        <v>22</v>
      </c>
      <c r="C26" s="11">
        <v>44249</v>
      </c>
      <c r="D26" s="7">
        <v>31</v>
      </c>
      <c r="E26" s="7">
        <v>23180</v>
      </c>
      <c r="F26" s="4">
        <v>184898</v>
      </c>
      <c r="G26" s="8">
        <f t="shared" si="0"/>
        <v>19</v>
      </c>
      <c r="H26" s="4">
        <v>451547</v>
      </c>
      <c r="I26" s="3">
        <f t="shared" si="1"/>
        <v>235</v>
      </c>
      <c r="J26" s="3">
        <v>0</v>
      </c>
      <c r="K26" s="4">
        <v>272410</v>
      </c>
      <c r="L26" s="9">
        <f>K27-K26</f>
        <v>0</v>
      </c>
      <c r="N26" s="1"/>
    </row>
    <row r="27" spans="1:14" x14ac:dyDescent="0.2">
      <c r="B27" s="2">
        <v>23</v>
      </c>
      <c r="C27" s="11">
        <v>44250</v>
      </c>
      <c r="D27" s="7">
        <v>27</v>
      </c>
      <c r="E27" s="7">
        <v>23118</v>
      </c>
      <c r="F27" s="4">
        <v>184917</v>
      </c>
      <c r="G27" s="8">
        <f t="shared" si="0"/>
        <v>19</v>
      </c>
      <c r="H27" s="7">
        <v>451782</v>
      </c>
      <c r="I27" s="3">
        <f t="shared" si="1"/>
        <v>193</v>
      </c>
      <c r="J27" s="3">
        <v>2970</v>
      </c>
      <c r="K27" s="4">
        <v>272410</v>
      </c>
      <c r="L27" s="9">
        <f>K28-K27</f>
        <v>0</v>
      </c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>
        <v>32</v>
      </c>
      <c r="E28" s="7">
        <v>22388</v>
      </c>
      <c r="F28" s="4">
        <v>184936</v>
      </c>
      <c r="G28" s="8">
        <f t="shared" si="0"/>
        <v>17</v>
      </c>
      <c r="H28" s="7">
        <v>451975</v>
      </c>
      <c r="I28" s="3">
        <f t="shared" si="1"/>
        <v>174</v>
      </c>
      <c r="J28" s="3">
        <v>0</v>
      </c>
      <c r="K28" s="4">
        <v>272410</v>
      </c>
      <c r="L28" s="9">
        <f>K29-K28</f>
        <v>6</v>
      </c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>
        <v>184953</v>
      </c>
      <c r="G29" s="8"/>
      <c r="H29" s="7">
        <v>452149</v>
      </c>
      <c r="I29" s="3"/>
      <c r="J29" s="3"/>
      <c r="K29" s="4">
        <v>272416</v>
      </c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2021-02-25T05:44:14Z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