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EE34" i="3" l="1"/>
  <c r="EC34" i="3"/>
  <c r="EA34" i="3"/>
  <c r="DY34" i="3"/>
  <c r="DV34" i="3"/>
  <c r="DW34" i="3" s="1"/>
  <c r="DS34" i="3"/>
  <c r="DT34" i="3" s="1"/>
  <c r="DP34" i="3"/>
  <c r="DQ34" i="3" s="1"/>
  <c r="DM34" i="3"/>
  <c r="DN34" i="3" s="1"/>
  <c r="DJ34" i="3"/>
  <c r="DK34" i="3" s="1"/>
  <c r="DG34" i="3"/>
  <c r="DH34" i="3" s="1"/>
  <c r="DD34" i="3"/>
  <c r="DE34" i="3" s="1"/>
  <c r="DA34" i="3"/>
  <c r="DB34" i="3" s="1"/>
  <c r="CX34" i="3"/>
  <c r="CY34" i="3" s="1"/>
  <c r="CU34" i="3"/>
  <c r="CV34" i="3" s="1"/>
  <c r="CR34" i="3"/>
  <c r="CS34" i="3" s="1"/>
  <c r="CO34" i="3"/>
  <c r="CP34" i="3" s="1"/>
  <c r="CJ34" i="3"/>
  <c r="CH34" i="3"/>
  <c r="CK34" i="3" s="1"/>
  <c r="CF34" i="3"/>
  <c r="CC34" i="3"/>
  <c r="CD34" i="3" s="1"/>
  <c r="BY34" i="3"/>
  <c r="BV34" i="3"/>
  <c r="BU34" i="3"/>
  <c r="BT34" i="3"/>
  <c r="BR34" i="3"/>
  <c r="BP34" i="3"/>
  <c r="BN34" i="3"/>
  <c r="BJ34" i="3"/>
  <c r="BH34" i="3"/>
  <c r="BF34" i="3"/>
  <c r="BD34" i="3"/>
  <c r="BB34" i="3"/>
  <c r="AZ34" i="3"/>
  <c r="AX34" i="3"/>
  <c r="BK34" i="3" s="1"/>
  <c r="BL34" i="3" s="1"/>
  <c r="AV34" i="3"/>
  <c r="AT34" i="3"/>
  <c r="AR34" i="3"/>
  <c r="BW34" i="3" s="1"/>
  <c r="AP34" i="3"/>
  <c r="AN34" i="3"/>
  <c r="AJ34" i="3"/>
  <c r="AF34" i="3"/>
  <c r="AD34" i="3"/>
  <c r="AB34" i="3"/>
  <c r="Z34" i="3"/>
  <c r="V34" i="3"/>
  <c r="T34" i="3"/>
  <c r="R34" i="3"/>
  <c r="P34" i="3"/>
  <c r="N34" i="3"/>
  <c r="L34" i="3"/>
  <c r="J34" i="3"/>
  <c r="E34" i="3"/>
  <c r="F34" i="3" s="1"/>
  <c r="C34" i="3"/>
  <c r="EE33" i="3"/>
  <c r="EC33" i="3"/>
  <c r="EA33" i="3"/>
  <c r="DY33" i="3"/>
  <c r="DW33" i="3"/>
  <c r="DV33" i="3"/>
  <c r="DT33" i="3"/>
  <c r="DS33" i="3"/>
  <c r="DP33" i="3"/>
  <c r="DQ33" i="3" s="1"/>
  <c r="DM33" i="3"/>
  <c r="DN33" i="3" s="1"/>
  <c r="DK33" i="3"/>
  <c r="DJ33" i="3"/>
  <c r="DH33" i="3"/>
  <c r="DG33" i="3"/>
  <c r="DD33" i="3"/>
  <c r="DE33" i="3" s="1"/>
  <c r="DA33" i="3"/>
  <c r="DB33" i="3" s="1"/>
  <c r="CY33" i="3"/>
  <c r="CX33" i="3"/>
  <c r="CV33" i="3"/>
  <c r="CU33" i="3"/>
  <c r="CR33" i="3"/>
  <c r="CS33" i="3" s="1"/>
  <c r="CO33" i="3"/>
  <c r="CP33" i="3" s="1"/>
  <c r="CJ33" i="3"/>
  <c r="CK33" i="3" s="1"/>
  <c r="CL34" i="3" s="1"/>
  <c r="CH33" i="3"/>
  <c r="CF33" i="3"/>
  <c r="CC33" i="3"/>
  <c r="CD33" i="3" s="1"/>
  <c r="BY33" i="3"/>
  <c r="CA34" i="3" s="1"/>
  <c r="BV33" i="3"/>
  <c r="BU33" i="3"/>
  <c r="BT33" i="3"/>
  <c r="BR33" i="3"/>
  <c r="BP33" i="3"/>
  <c r="BN33" i="3"/>
  <c r="BJ33" i="3"/>
  <c r="BH33" i="3"/>
  <c r="BF33" i="3"/>
  <c r="BD33" i="3"/>
  <c r="BB33" i="3"/>
  <c r="AZ33" i="3"/>
  <c r="BK33" i="3" s="1"/>
  <c r="BL33" i="3" s="1"/>
  <c r="AX33" i="3"/>
  <c r="AV33" i="3"/>
  <c r="AT33" i="3"/>
  <c r="AR33" i="3"/>
  <c r="AP33" i="3"/>
  <c r="AN33" i="3"/>
  <c r="AJ33" i="3"/>
  <c r="AF33" i="3"/>
  <c r="AD33" i="3"/>
  <c r="AB33" i="3"/>
  <c r="Z33" i="3"/>
  <c r="V33" i="3"/>
  <c r="T33" i="3"/>
  <c r="R33" i="3"/>
  <c r="P33" i="3"/>
  <c r="N33" i="3"/>
  <c r="L33" i="3"/>
  <c r="J33" i="3"/>
  <c r="F33" i="3"/>
  <c r="E33" i="3"/>
  <c r="C33" i="3"/>
  <c r="EE32" i="3"/>
  <c r="EC32" i="3"/>
  <c r="EA32" i="3"/>
  <c r="DY32" i="3"/>
  <c r="DV32" i="3"/>
  <c r="DW32" i="3" s="1"/>
  <c r="DT32" i="3"/>
  <c r="DS32" i="3"/>
  <c r="DQ32" i="3"/>
  <c r="DP32" i="3"/>
  <c r="DN32" i="3"/>
  <c r="DM32" i="3"/>
  <c r="DJ32" i="3"/>
  <c r="DK32" i="3" s="1"/>
  <c r="DH32" i="3"/>
  <c r="DG32" i="3"/>
  <c r="DE32" i="3"/>
  <c r="DD32" i="3"/>
  <c r="DB32" i="3"/>
  <c r="DA32" i="3"/>
  <c r="CX32" i="3"/>
  <c r="CY32" i="3" s="1"/>
  <c r="CV32" i="3"/>
  <c r="CU32" i="3"/>
  <c r="CS32" i="3"/>
  <c r="CR32" i="3"/>
  <c r="CP32" i="3"/>
  <c r="CO32" i="3"/>
  <c r="CK32" i="3"/>
  <c r="CJ32" i="3"/>
  <c r="CH32" i="3"/>
  <c r="CF32" i="3"/>
  <c r="CC32" i="3"/>
  <c r="CD32" i="3" s="1"/>
  <c r="BY32" i="3"/>
  <c r="CA33" i="3" s="1"/>
  <c r="BT32" i="3"/>
  <c r="BR32" i="3"/>
  <c r="BU32" i="3" s="1"/>
  <c r="BP32" i="3"/>
  <c r="BN32" i="3"/>
  <c r="BV32" i="3" s="1"/>
  <c r="BK32" i="3"/>
  <c r="BJ32" i="3"/>
  <c r="BH32" i="3"/>
  <c r="BF32" i="3"/>
  <c r="BD32" i="3"/>
  <c r="BB32" i="3"/>
  <c r="AZ32" i="3"/>
  <c r="AX32" i="3"/>
  <c r="AV32" i="3"/>
  <c r="BW32" i="3" s="1"/>
  <c r="AT32" i="3"/>
  <c r="AR32" i="3"/>
  <c r="AP32" i="3"/>
  <c r="AN32" i="3"/>
  <c r="AJ32" i="3"/>
  <c r="AF32" i="3"/>
  <c r="AD32" i="3"/>
  <c r="AB32" i="3"/>
  <c r="Z32" i="3"/>
  <c r="V32" i="3"/>
  <c r="T32" i="3"/>
  <c r="R32" i="3"/>
  <c r="P32" i="3"/>
  <c r="N32" i="3"/>
  <c r="L32" i="3"/>
  <c r="J32" i="3"/>
  <c r="E32" i="3"/>
  <c r="F32" i="3" s="1"/>
  <c r="C32" i="3"/>
  <c r="EE31" i="3"/>
  <c r="EC31" i="3"/>
  <c r="EA31" i="3"/>
  <c r="DY31" i="3"/>
  <c r="DW31" i="3"/>
  <c r="DV31" i="3"/>
  <c r="DS31" i="3"/>
  <c r="DT31" i="3" s="1"/>
  <c r="DP31" i="3"/>
  <c r="DQ31" i="3" s="1"/>
  <c r="DM31" i="3"/>
  <c r="DN31" i="3" s="1"/>
  <c r="DK31" i="3"/>
  <c r="DJ31" i="3"/>
  <c r="DG31" i="3"/>
  <c r="DH31" i="3" s="1"/>
  <c r="DD31" i="3"/>
  <c r="DE31" i="3" s="1"/>
  <c r="DA31" i="3"/>
  <c r="DB31" i="3" s="1"/>
  <c r="CY31" i="3"/>
  <c r="CX31" i="3"/>
  <c r="CU31" i="3"/>
  <c r="CV31" i="3" s="1"/>
  <c r="CR31" i="3"/>
  <c r="CS31" i="3" s="1"/>
  <c r="CO31" i="3"/>
  <c r="CP31" i="3" s="1"/>
  <c r="CL31" i="3"/>
  <c r="CJ31" i="3"/>
  <c r="CH31" i="3"/>
  <c r="CK31" i="3" s="1"/>
  <c r="CL32" i="3" s="1"/>
  <c r="CF31" i="3"/>
  <c r="CD31" i="3"/>
  <c r="CC31" i="3"/>
  <c r="BY31" i="3"/>
  <c r="BT31" i="3"/>
  <c r="BR31" i="3"/>
  <c r="BU31" i="3" s="1"/>
  <c r="BP31" i="3"/>
  <c r="BN31" i="3"/>
  <c r="BV31" i="3" s="1"/>
  <c r="BJ31" i="3"/>
  <c r="BH31" i="3"/>
  <c r="BF31" i="3"/>
  <c r="BD31" i="3"/>
  <c r="BB31" i="3"/>
  <c r="AZ31" i="3"/>
  <c r="AX31" i="3"/>
  <c r="AV31" i="3"/>
  <c r="AT31" i="3"/>
  <c r="AR31" i="3"/>
  <c r="AP31" i="3"/>
  <c r="AN31" i="3"/>
  <c r="AJ31" i="3"/>
  <c r="AF31" i="3"/>
  <c r="AD31" i="3"/>
  <c r="AB31" i="3"/>
  <c r="Z31" i="3"/>
  <c r="V31" i="3"/>
  <c r="T31" i="3"/>
  <c r="R31" i="3"/>
  <c r="P31" i="3"/>
  <c r="N31" i="3"/>
  <c r="L31" i="3"/>
  <c r="J31" i="3"/>
  <c r="E31" i="3"/>
  <c r="F31" i="3" s="1"/>
  <c r="C31" i="3"/>
  <c r="EE30" i="3"/>
  <c r="EC30" i="3"/>
  <c r="EA30" i="3"/>
  <c r="DY30" i="3"/>
  <c r="DV30" i="3"/>
  <c r="DW30" i="3" s="1"/>
  <c r="DT30" i="3"/>
  <c r="DS30" i="3"/>
  <c r="DQ30" i="3"/>
  <c r="DP30" i="3"/>
  <c r="DM30" i="3"/>
  <c r="DN30" i="3" s="1"/>
  <c r="DJ30" i="3"/>
  <c r="DK30" i="3" s="1"/>
  <c r="DH30" i="3"/>
  <c r="DG30" i="3"/>
  <c r="DE30" i="3"/>
  <c r="DD30" i="3"/>
  <c r="DA30" i="3"/>
  <c r="DB30" i="3" s="1"/>
  <c r="CX30" i="3"/>
  <c r="CY30" i="3" s="1"/>
  <c r="CV30" i="3"/>
  <c r="CU30" i="3"/>
  <c r="CS30" i="3"/>
  <c r="CR30" i="3"/>
  <c r="CO30" i="3"/>
  <c r="CP30" i="3" s="1"/>
  <c r="CJ30" i="3"/>
  <c r="CH30" i="3"/>
  <c r="CF30" i="3"/>
  <c r="CK30" i="3" s="1"/>
  <c r="CC30" i="3"/>
  <c r="CD30" i="3" s="1"/>
  <c r="CA30" i="3"/>
  <c r="BY30" i="3"/>
  <c r="BT30" i="3"/>
  <c r="BR30" i="3"/>
  <c r="BU30" i="3" s="1"/>
  <c r="BP30" i="3"/>
  <c r="BN30" i="3"/>
  <c r="BV30" i="3" s="1"/>
  <c r="BJ30" i="3"/>
  <c r="BH30" i="3"/>
  <c r="BF30" i="3"/>
  <c r="BD30" i="3"/>
  <c r="BB30" i="3"/>
  <c r="AZ30" i="3"/>
  <c r="BK30" i="3" s="1"/>
  <c r="AX30" i="3"/>
  <c r="AV30" i="3"/>
  <c r="AT30" i="3"/>
  <c r="AR30" i="3"/>
  <c r="AP30" i="3"/>
  <c r="AN30" i="3"/>
  <c r="AJ30" i="3"/>
  <c r="BL30" i="3" s="1"/>
  <c r="AF30" i="3"/>
  <c r="AD30" i="3"/>
  <c r="AB30" i="3"/>
  <c r="Z30" i="3"/>
  <c r="V30" i="3"/>
  <c r="T30" i="3"/>
  <c r="R30" i="3"/>
  <c r="P30" i="3"/>
  <c r="N30" i="3"/>
  <c r="L30" i="3"/>
  <c r="J30" i="3"/>
  <c r="E30" i="3"/>
  <c r="C30" i="3"/>
  <c r="F30" i="3" s="1"/>
  <c r="EE29" i="3"/>
  <c r="EC29" i="3"/>
  <c r="EA29" i="3"/>
  <c r="DY29" i="3"/>
  <c r="DV29" i="3"/>
  <c r="DW29" i="3" s="1"/>
  <c r="DS29" i="3"/>
  <c r="DT29" i="3" s="1"/>
  <c r="DP29" i="3"/>
  <c r="DQ29" i="3" s="1"/>
  <c r="DN29" i="3"/>
  <c r="DM29" i="3"/>
  <c r="DJ29" i="3"/>
  <c r="DK29" i="3" s="1"/>
  <c r="DG29" i="3"/>
  <c r="DH29" i="3" s="1"/>
  <c r="DD29" i="3"/>
  <c r="DE29" i="3" s="1"/>
  <c r="DB29" i="3"/>
  <c r="DA29" i="3"/>
  <c r="CX29" i="3"/>
  <c r="CY29" i="3" s="1"/>
  <c r="CU29" i="3"/>
  <c r="CV29" i="3" s="1"/>
  <c r="CR29" i="3"/>
  <c r="CS29" i="3" s="1"/>
  <c r="CP29" i="3"/>
  <c r="CO29" i="3"/>
  <c r="CJ29" i="3"/>
  <c r="CH29" i="3"/>
  <c r="CK29" i="3" s="1"/>
  <c r="CL30" i="3" s="1"/>
  <c r="CF29" i="3"/>
  <c r="CC29" i="3"/>
  <c r="CD29" i="3" s="1"/>
  <c r="BY29" i="3"/>
  <c r="BT29" i="3"/>
  <c r="BR29" i="3"/>
  <c r="BP29" i="3"/>
  <c r="BN29" i="3"/>
  <c r="BV29" i="3" s="1"/>
  <c r="BJ29" i="3"/>
  <c r="BH29" i="3"/>
  <c r="BF29" i="3"/>
  <c r="BD29" i="3"/>
  <c r="BB29" i="3"/>
  <c r="AZ29" i="3"/>
  <c r="AX29" i="3"/>
  <c r="BK29" i="3" s="1"/>
  <c r="AV29" i="3"/>
  <c r="AT29" i="3"/>
  <c r="AR29" i="3"/>
  <c r="AP29" i="3"/>
  <c r="AN29" i="3"/>
  <c r="AJ29" i="3"/>
  <c r="AF29" i="3"/>
  <c r="AD29" i="3"/>
  <c r="AB29" i="3"/>
  <c r="Z29" i="3"/>
  <c r="V29" i="3"/>
  <c r="T29" i="3"/>
  <c r="R29" i="3"/>
  <c r="P29" i="3"/>
  <c r="N29" i="3"/>
  <c r="L29" i="3"/>
  <c r="J29" i="3"/>
  <c r="E29" i="3"/>
  <c r="F29" i="3" s="1"/>
  <c r="C29" i="3"/>
  <c r="EE28" i="3"/>
  <c r="EC28" i="3"/>
  <c r="EA28" i="3"/>
  <c r="DY28" i="3"/>
  <c r="DW28" i="3"/>
  <c r="DV28" i="3"/>
  <c r="DT28" i="3"/>
  <c r="DS28" i="3"/>
  <c r="DP28" i="3"/>
  <c r="DQ28" i="3" s="1"/>
  <c r="DM28" i="3"/>
  <c r="DN28" i="3" s="1"/>
  <c r="DK28" i="3"/>
  <c r="DJ28" i="3"/>
  <c r="DH28" i="3"/>
  <c r="DG28" i="3"/>
  <c r="DD28" i="3"/>
  <c r="DE28" i="3" s="1"/>
  <c r="DA28" i="3"/>
  <c r="DB28" i="3" s="1"/>
  <c r="CY28" i="3"/>
  <c r="CX28" i="3"/>
  <c r="CV28" i="3"/>
  <c r="CU28" i="3"/>
  <c r="CR28" i="3"/>
  <c r="CS28" i="3" s="1"/>
  <c r="CO28" i="3"/>
  <c r="CP28" i="3" s="1"/>
  <c r="CJ28" i="3"/>
  <c r="CH28" i="3"/>
  <c r="CF28" i="3"/>
  <c r="CK28" i="3" s="1"/>
  <c r="CD28" i="3"/>
  <c r="CC28" i="3"/>
  <c r="CA28" i="3"/>
  <c r="BY28" i="3"/>
  <c r="CA29" i="3" s="1"/>
  <c r="BT28" i="3"/>
  <c r="BR28" i="3"/>
  <c r="BU28" i="3" s="1"/>
  <c r="BP28" i="3"/>
  <c r="BN28" i="3"/>
  <c r="BJ28" i="3"/>
  <c r="BH28" i="3"/>
  <c r="BF28" i="3"/>
  <c r="BD28" i="3"/>
  <c r="BB28" i="3"/>
  <c r="AZ28" i="3"/>
  <c r="BK28" i="3" s="1"/>
  <c r="BL28" i="3" s="1"/>
  <c r="AX28" i="3"/>
  <c r="AV28" i="3"/>
  <c r="AT28" i="3"/>
  <c r="AR28" i="3"/>
  <c r="AP28" i="3"/>
  <c r="AN28" i="3"/>
  <c r="BW28" i="3" s="1"/>
  <c r="AJ28" i="3"/>
  <c r="AF28" i="3"/>
  <c r="AD28" i="3"/>
  <c r="AB28" i="3"/>
  <c r="Z28" i="3"/>
  <c r="V28" i="3"/>
  <c r="T28" i="3"/>
  <c r="R28" i="3"/>
  <c r="P28" i="3"/>
  <c r="N28" i="3"/>
  <c r="L28" i="3"/>
  <c r="J28" i="3"/>
  <c r="F28" i="3"/>
  <c r="E28" i="3"/>
  <c r="C28" i="3"/>
  <c r="EE27" i="3"/>
  <c r="EC27" i="3"/>
  <c r="EA27" i="3"/>
  <c r="DY27" i="3"/>
  <c r="DV27" i="3"/>
  <c r="DW27" i="3" s="1"/>
  <c r="DS27" i="3"/>
  <c r="DT27" i="3" s="1"/>
  <c r="DQ27" i="3"/>
  <c r="DP27" i="3"/>
  <c r="DN27" i="3"/>
  <c r="DM27" i="3"/>
  <c r="DJ27" i="3"/>
  <c r="DK27" i="3" s="1"/>
  <c r="DG27" i="3"/>
  <c r="DH27" i="3" s="1"/>
  <c r="DE27" i="3"/>
  <c r="DD27" i="3"/>
  <c r="DB27" i="3"/>
  <c r="DA27" i="3"/>
  <c r="CX27" i="3"/>
  <c r="CY27" i="3" s="1"/>
  <c r="CU27" i="3"/>
  <c r="CV27" i="3" s="1"/>
  <c r="CS27" i="3"/>
  <c r="CR27" i="3"/>
  <c r="CP27" i="3"/>
  <c r="CO27" i="3"/>
  <c r="CJ27" i="3"/>
  <c r="CH27" i="3"/>
  <c r="CF27" i="3"/>
  <c r="CK27" i="3" s="1"/>
  <c r="CL28" i="3" s="1"/>
  <c r="CD27" i="3"/>
  <c r="CC27" i="3"/>
  <c r="BY27" i="3"/>
  <c r="BT27" i="3"/>
  <c r="BR27" i="3"/>
  <c r="BU27" i="3" s="1"/>
  <c r="BP27" i="3"/>
  <c r="BN27" i="3"/>
  <c r="BV27" i="3" s="1"/>
  <c r="BK27" i="3"/>
  <c r="BJ27" i="3"/>
  <c r="BH27" i="3"/>
  <c r="BF27" i="3"/>
  <c r="BD27" i="3"/>
  <c r="BB27" i="3"/>
  <c r="AZ27" i="3"/>
  <c r="AX27" i="3"/>
  <c r="AV27" i="3"/>
  <c r="AT27" i="3"/>
  <c r="AR27" i="3"/>
  <c r="AP27" i="3"/>
  <c r="AN27" i="3"/>
  <c r="BW27" i="3" s="1"/>
  <c r="AJ27" i="3"/>
  <c r="BL27" i="3" s="1"/>
  <c r="AF27" i="3"/>
  <c r="AD27" i="3"/>
  <c r="AB27" i="3"/>
  <c r="Z27" i="3"/>
  <c r="V27" i="3"/>
  <c r="T27" i="3"/>
  <c r="R27" i="3"/>
  <c r="P27" i="3"/>
  <c r="N27" i="3"/>
  <c r="L27" i="3"/>
  <c r="J27" i="3"/>
  <c r="E27" i="3"/>
  <c r="C27" i="3"/>
  <c r="EE26" i="3"/>
  <c r="EC26" i="3"/>
  <c r="EA26" i="3"/>
  <c r="DY26" i="3"/>
  <c r="DW26" i="3"/>
  <c r="DV26" i="3"/>
  <c r="DS26" i="3"/>
  <c r="DT26" i="3" s="1"/>
  <c r="DQ26" i="3"/>
  <c r="DP26" i="3"/>
  <c r="DN26" i="3"/>
  <c r="DM26" i="3"/>
  <c r="DK26" i="3"/>
  <c r="DJ26" i="3"/>
  <c r="DG26" i="3"/>
  <c r="DH26" i="3" s="1"/>
  <c r="DE26" i="3"/>
  <c r="DD26" i="3"/>
  <c r="DB26" i="3"/>
  <c r="DA26" i="3"/>
  <c r="CY26" i="3"/>
  <c r="CX26" i="3"/>
  <c r="CU26" i="3"/>
  <c r="CV26" i="3" s="1"/>
  <c r="CS26" i="3"/>
  <c r="CR26" i="3"/>
  <c r="CP26" i="3"/>
  <c r="CO26" i="3"/>
  <c r="CJ26" i="3"/>
  <c r="CH26" i="3"/>
  <c r="CF26" i="3"/>
  <c r="CK26" i="3" s="1"/>
  <c r="CD26" i="3"/>
  <c r="CC26" i="3"/>
  <c r="BY26" i="3"/>
  <c r="CA27" i="3" s="1"/>
  <c r="BU26" i="3"/>
  <c r="BT26" i="3"/>
  <c r="BR26" i="3"/>
  <c r="BV26" i="3" s="1"/>
  <c r="BP26" i="3"/>
  <c r="BN26" i="3"/>
  <c r="BJ26" i="3"/>
  <c r="BH26" i="3"/>
  <c r="BF26" i="3"/>
  <c r="BD26" i="3"/>
  <c r="BB26" i="3"/>
  <c r="AZ26" i="3"/>
  <c r="AX26" i="3"/>
  <c r="BK26" i="3" s="1"/>
  <c r="BL26" i="3" s="1"/>
  <c r="AV26" i="3"/>
  <c r="AT26" i="3"/>
  <c r="AR26" i="3"/>
  <c r="AP26" i="3"/>
  <c r="AN26" i="3"/>
  <c r="BW26" i="3" s="1"/>
  <c r="AJ26" i="3"/>
  <c r="AF26" i="3"/>
  <c r="AD26" i="3"/>
  <c r="AB26" i="3"/>
  <c r="Z26" i="3"/>
  <c r="V26" i="3"/>
  <c r="T26" i="3"/>
  <c r="R26" i="3"/>
  <c r="P26" i="3"/>
  <c r="N26" i="3"/>
  <c r="L26" i="3"/>
  <c r="J26" i="3"/>
  <c r="E26" i="3"/>
  <c r="F26" i="3" s="1"/>
  <c r="C26" i="3"/>
  <c r="EE25" i="3"/>
  <c r="EC25" i="3"/>
  <c r="EA25" i="3"/>
  <c r="DY25" i="3"/>
  <c r="DV25" i="3"/>
  <c r="DW25" i="3" s="1"/>
  <c r="DT25" i="3"/>
  <c r="DS25" i="3"/>
  <c r="DQ25" i="3"/>
  <c r="DP25" i="3"/>
  <c r="DM25" i="3"/>
  <c r="DN25" i="3" s="1"/>
  <c r="DJ25" i="3"/>
  <c r="DK25" i="3" s="1"/>
  <c r="DH25" i="3"/>
  <c r="DG25" i="3"/>
  <c r="DE25" i="3"/>
  <c r="DD25" i="3"/>
  <c r="DA25" i="3"/>
  <c r="DB25" i="3" s="1"/>
  <c r="CX25" i="3"/>
  <c r="CY25" i="3" s="1"/>
  <c r="CV25" i="3"/>
  <c r="CU25" i="3"/>
  <c r="CS25" i="3"/>
  <c r="CR25" i="3"/>
  <c r="CO25" i="3"/>
  <c r="CP25" i="3" s="1"/>
  <c r="CJ25" i="3"/>
  <c r="CH25" i="3"/>
  <c r="CF25" i="3"/>
  <c r="CK25" i="3" s="1"/>
  <c r="CL26" i="3" s="1"/>
  <c r="CD25" i="3"/>
  <c r="CC25" i="3"/>
  <c r="BY25" i="3"/>
  <c r="CA26" i="3" s="1"/>
  <c r="BV25" i="3"/>
  <c r="BU25" i="3"/>
  <c r="BT25" i="3"/>
  <c r="BR25" i="3"/>
  <c r="BP25" i="3"/>
  <c r="BN25" i="3"/>
  <c r="BJ25" i="3"/>
  <c r="BH25" i="3"/>
  <c r="BF25" i="3"/>
  <c r="BD25" i="3"/>
  <c r="BB25" i="3"/>
  <c r="AZ25" i="3"/>
  <c r="BK25" i="3" s="1"/>
  <c r="BL25" i="3" s="1"/>
  <c r="AX25" i="3"/>
  <c r="AV25" i="3"/>
  <c r="AT25" i="3"/>
  <c r="AR25" i="3"/>
  <c r="AP25" i="3"/>
  <c r="AN25" i="3"/>
  <c r="BW25" i="3" s="1"/>
  <c r="AJ25" i="3"/>
  <c r="AF25" i="3"/>
  <c r="AD25" i="3"/>
  <c r="AB25" i="3"/>
  <c r="Z25" i="3"/>
  <c r="V25" i="3"/>
  <c r="T25" i="3"/>
  <c r="R25" i="3"/>
  <c r="P25" i="3"/>
  <c r="N25" i="3"/>
  <c r="L25" i="3"/>
  <c r="J25" i="3"/>
  <c r="F25" i="3"/>
  <c r="E25" i="3"/>
  <c r="C25" i="3"/>
  <c r="EE24" i="3"/>
  <c r="EC24" i="3"/>
  <c r="EA24" i="3"/>
  <c r="DY24" i="3"/>
  <c r="DV24" i="3"/>
  <c r="DW24" i="3" s="1"/>
  <c r="DT24" i="3"/>
  <c r="DS24" i="3"/>
  <c r="DQ24" i="3"/>
  <c r="DP24" i="3"/>
  <c r="DN24" i="3"/>
  <c r="DM24" i="3"/>
  <c r="DJ24" i="3"/>
  <c r="DK24" i="3" s="1"/>
  <c r="DH24" i="3"/>
  <c r="DG24" i="3"/>
  <c r="DE24" i="3"/>
  <c r="DD24" i="3"/>
  <c r="DB24" i="3"/>
  <c r="DA24" i="3"/>
  <c r="CX24" i="3"/>
  <c r="CY24" i="3" s="1"/>
  <c r="CV24" i="3"/>
  <c r="CU24" i="3"/>
  <c r="CS24" i="3"/>
  <c r="CR24" i="3"/>
  <c r="CP24" i="3"/>
  <c r="CO24" i="3"/>
  <c r="CK24" i="3"/>
  <c r="CJ24" i="3"/>
  <c r="CH24" i="3"/>
  <c r="CF24" i="3"/>
  <c r="CC24" i="3"/>
  <c r="CD24" i="3" s="1"/>
  <c r="BY24" i="3"/>
  <c r="CA25" i="3" s="1"/>
  <c r="BW24" i="3"/>
  <c r="BV24" i="3"/>
  <c r="BT24" i="3"/>
  <c r="BR24" i="3"/>
  <c r="BP24" i="3"/>
  <c r="BN24" i="3"/>
  <c r="BK24" i="3"/>
  <c r="BJ24" i="3"/>
  <c r="BH24" i="3"/>
  <c r="BF24" i="3"/>
  <c r="BD24" i="3"/>
  <c r="BB24" i="3"/>
  <c r="AZ24" i="3"/>
  <c r="AX24" i="3"/>
  <c r="AV24" i="3"/>
  <c r="AT24" i="3"/>
  <c r="AR24" i="3"/>
  <c r="AP24" i="3"/>
  <c r="AN24" i="3"/>
  <c r="AJ24" i="3"/>
  <c r="BU24" i="3" s="1"/>
  <c r="AF24" i="3"/>
  <c r="AD24" i="3"/>
  <c r="AB24" i="3"/>
  <c r="Z24" i="3"/>
  <c r="V24" i="3"/>
  <c r="T24" i="3"/>
  <c r="R24" i="3"/>
  <c r="P24" i="3"/>
  <c r="N24" i="3"/>
  <c r="L24" i="3"/>
  <c r="J24" i="3"/>
  <c r="F24" i="3"/>
  <c r="E24" i="3"/>
  <c r="C24" i="3"/>
  <c r="EE23" i="3"/>
  <c r="EC23" i="3"/>
  <c r="EA23" i="3"/>
  <c r="DY23" i="3"/>
  <c r="DW23" i="3"/>
  <c r="DV23" i="3"/>
  <c r="DT23" i="3"/>
  <c r="DS23" i="3"/>
  <c r="DP23" i="3"/>
  <c r="DQ23" i="3" s="1"/>
  <c r="DM23" i="3"/>
  <c r="DN23" i="3" s="1"/>
  <c r="DK23" i="3"/>
  <c r="DJ23" i="3"/>
  <c r="DH23" i="3"/>
  <c r="DG23" i="3"/>
  <c r="DD23" i="3"/>
  <c r="DE23" i="3" s="1"/>
  <c r="DA23" i="3"/>
  <c r="DB23" i="3" s="1"/>
  <c r="CY23" i="3"/>
  <c r="CX23" i="3"/>
  <c r="CV23" i="3"/>
  <c r="CU23" i="3"/>
  <c r="CR23" i="3"/>
  <c r="CS23" i="3" s="1"/>
  <c r="CO23" i="3"/>
  <c r="CP23" i="3" s="1"/>
  <c r="CL23" i="3"/>
  <c r="CK23" i="3"/>
  <c r="CL24" i="3" s="1"/>
  <c r="CJ23" i="3"/>
  <c r="CH23" i="3"/>
  <c r="CF23" i="3"/>
  <c r="CD23" i="3"/>
  <c r="CC23" i="3"/>
  <c r="BY23" i="3"/>
  <c r="CA24" i="3" s="1"/>
  <c r="BT23" i="3"/>
  <c r="BR23" i="3"/>
  <c r="BV23" i="3" s="1"/>
  <c r="BP23" i="3"/>
  <c r="BN23" i="3"/>
  <c r="BJ23" i="3"/>
  <c r="BH23" i="3"/>
  <c r="BF23" i="3"/>
  <c r="BD23" i="3"/>
  <c r="BB23" i="3"/>
  <c r="AZ23" i="3"/>
  <c r="AX23" i="3"/>
  <c r="BK23" i="3" s="1"/>
  <c r="BL23" i="3" s="1"/>
  <c r="AV23" i="3"/>
  <c r="AT23" i="3"/>
  <c r="AR23" i="3"/>
  <c r="AP23" i="3"/>
  <c r="AN23" i="3"/>
  <c r="AJ23" i="3"/>
  <c r="AF23" i="3"/>
  <c r="AD23" i="3"/>
  <c r="AB23" i="3"/>
  <c r="Z23" i="3"/>
  <c r="V23" i="3"/>
  <c r="T23" i="3"/>
  <c r="R23" i="3"/>
  <c r="P23" i="3"/>
  <c r="N23" i="3"/>
  <c r="L23" i="3"/>
  <c r="J23" i="3"/>
  <c r="F23" i="3"/>
  <c r="E23" i="3"/>
  <c r="C23" i="3"/>
  <c r="EE22" i="3"/>
  <c r="EC22" i="3"/>
  <c r="EA22" i="3"/>
  <c r="DY22" i="3"/>
  <c r="DW22" i="3"/>
  <c r="DV22" i="3"/>
  <c r="DT22" i="3"/>
  <c r="DS22" i="3"/>
  <c r="DQ22" i="3"/>
  <c r="DP22" i="3"/>
  <c r="DM22" i="3"/>
  <c r="DN22" i="3" s="1"/>
  <c r="DK22" i="3"/>
  <c r="DJ22" i="3"/>
  <c r="DH22" i="3"/>
  <c r="DG22" i="3"/>
  <c r="DE22" i="3"/>
  <c r="DD22" i="3"/>
  <c r="DA22" i="3"/>
  <c r="DB22" i="3" s="1"/>
  <c r="CY22" i="3"/>
  <c r="CX22" i="3"/>
  <c r="CV22" i="3"/>
  <c r="CU22" i="3"/>
  <c r="CS22" i="3"/>
  <c r="CR22" i="3"/>
  <c r="CO22" i="3"/>
  <c r="CP22" i="3" s="1"/>
  <c r="CK22" i="3"/>
  <c r="CJ22" i="3"/>
  <c r="CH22" i="3"/>
  <c r="CF22" i="3"/>
  <c r="CD22" i="3"/>
  <c r="CC22" i="3"/>
  <c r="CA22" i="3"/>
  <c r="BY22" i="3"/>
  <c r="CA23" i="3" s="1"/>
  <c r="BT22" i="3"/>
  <c r="BR22" i="3"/>
  <c r="BU22" i="3" s="1"/>
  <c r="BP22" i="3"/>
  <c r="BN22" i="3"/>
  <c r="BV22" i="3" s="1"/>
  <c r="BJ22" i="3"/>
  <c r="BH22" i="3"/>
  <c r="BF22" i="3"/>
  <c r="BD22" i="3"/>
  <c r="BB22" i="3"/>
  <c r="AZ22" i="3"/>
  <c r="BK22" i="3" s="1"/>
  <c r="BL22" i="3" s="1"/>
  <c r="AX22" i="3"/>
  <c r="AV22" i="3"/>
  <c r="BW22" i="3" s="1"/>
  <c r="AT22" i="3"/>
  <c r="AR22" i="3"/>
  <c r="AP22" i="3"/>
  <c r="AN22" i="3"/>
  <c r="AJ22" i="3"/>
  <c r="AF22" i="3"/>
  <c r="AD22" i="3"/>
  <c r="AB22" i="3"/>
  <c r="Z22" i="3"/>
  <c r="V22" i="3"/>
  <c r="T22" i="3"/>
  <c r="R22" i="3"/>
  <c r="P22" i="3"/>
  <c r="N22" i="3"/>
  <c r="L22" i="3"/>
  <c r="J22" i="3"/>
  <c r="E22" i="3"/>
  <c r="C22" i="3"/>
  <c r="F22" i="3" s="1"/>
  <c r="EE21" i="3"/>
  <c r="EC21" i="3"/>
  <c r="EA21" i="3"/>
  <c r="DY21" i="3"/>
  <c r="DW21" i="3"/>
  <c r="DV21" i="3"/>
  <c r="DS21" i="3"/>
  <c r="DT21" i="3" s="1"/>
  <c r="DQ21" i="3"/>
  <c r="DP21" i="3"/>
  <c r="DN21" i="3"/>
  <c r="DM21" i="3"/>
  <c r="DK21" i="3"/>
  <c r="DJ21" i="3"/>
  <c r="DG21" i="3"/>
  <c r="DH21" i="3" s="1"/>
  <c r="DE21" i="3"/>
  <c r="DD21" i="3"/>
  <c r="DB21" i="3"/>
  <c r="DA21" i="3"/>
  <c r="CY21" i="3"/>
  <c r="CX21" i="3"/>
  <c r="CU21" i="3"/>
  <c r="CV21" i="3" s="1"/>
  <c r="CS21" i="3"/>
  <c r="CR21" i="3"/>
  <c r="CP21" i="3"/>
  <c r="CO21" i="3"/>
  <c r="CJ21" i="3"/>
  <c r="CH21" i="3"/>
  <c r="CF21" i="3"/>
  <c r="CK21" i="3" s="1"/>
  <c r="CL22" i="3" s="1"/>
  <c r="CC21" i="3"/>
  <c r="CD21" i="3" s="1"/>
  <c r="CA21" i="3"/>
  <c r="BY21" i="3"/>
  <c r="BT21" i="3"/>
  <c r="BR21" i="3"/>
  <c r="BP21" i="3"/>
  <c r="BN21" i="3"/>
  <c r="BV21" i="3" s="1"/>
  <c r="BJ21" i="3"/>
  <c r="BH21" i="3"/>
  <c r="BF21" i="3"/>
  <c r="BD21" i="3"/>
  <c r="BB21" i="3"/>
  <c r="AZ21" i="3"/>
  <c r="BK21" i="3" s="1"/>
  <c r="AX21" i="3"/>
  <c r="AV21" i="3"/>
  <c r="AT21" i="3"/>
  <c r="AR21" i="3"/>
  <c r="AP21" i="3"/>
  <c r="AN21" i="3"/>
  <c r="BW21" i="3" s="1"/>
  <c r="AJ21" i="3"/>
  <c r="AF21" i="3"/>
  <c r="AD21" i="3"/>
  <c r="AB21" i="3"/>
  <c r="Z21" i="3"/>
  <c r="V21" i="3"/>
  <c r="T21" i="3"/>
  <c r="R21" i="3"/>
  <c r="P21" i="3"/>
  <c r="N21" i="3"/>
  <c r="L21" i="3"/>
  <c r="J21" i="3"/>
  <c r="E21" i="3"/>
  <c r="F21" i="3" s="1"/>
  <c r="C21" i="3"/>
  <c r="EE20" i="3"/>
  <c r="EC20" i="3"/>
  <c r="EA20" i="3"/>
  <c r="DY20" i="3"/>
  <c r="DW20" i="3"/>
  <c r="DV20" i="3"/>
  <c r="DT20" i="3"/>
  <c r="DS20" i="3"/>
  <c r="DP20" i="3"/>
  <c r="DQ20" i="3" s="1"/>
  <c r="DN20" i="3"/>
  <c r="DM20" i="3"/>
  <c r="DK20" i="3"/>
  <c r="DJ20" i="3"/>
  <c r="DH20" i="3"/>
  <c r="DG20" i="3"/>
  <c r="DD20" i="3"/>
  <c r="DE20" i="3" s="1"/>
  <c r="DB20" i="3"/>
  <c r="DA20" i="3"/>
  <c r="CY20" i="3"/>
  <c r="CX20" i="3"/>
  <c r="CV20" i="3"/>
  <c r="CU20" i="3"/>
  <c r="CR20" i="3"/>
  <c r="CS20" i="3" s="1"/>
  <c r="CP20" i="3"/>
  <c r="CO20" i="3"/>
  <c r="CJ20" i="3"/>
  <c r="CH20" i="3"/>
  <c r="CF20" i="3"/>
  <c r="CK20" i="3" s="1"/>
  <c r="CD20" i="3"/>
  <c r="CC20" i="3"/>
  <c r="CA20" i="3"/>
  <c r="BY20" i="3"/>
  <c r="BT20" i="3"/>
  <c r="BR20" i="3"/>
  <c r="BU20" i="3" s="1"/>
  <c r="BP20" i="3"/>
  <c r="BN20" i="3"/>
  <c r="BJ20" i="3"/>
  <c r="BH20" i="3"/>
  <c r="BF20" i="3"/>
  <c r="BD20" i="3"/>
  <c r="BB20" i="3"/>
  <c r="AZ20" i="3"/>
  <c r="BK20" i="3" s="1"/>
  <c r="AX20" i="3"/>
  <c r="AV20" i="3"/>
  <c r="AT20" i="3"/>
  <c r="AR20" i="3"/>
  <c r="AP20" i="3"/>
  <c r="AN20" i="3"/>
  <c r="BW20" i="3" s="1"/>
  <c r="AJ20" i="3"/>
  <c r="AF20" i="3"/>
  <c r="AD20" i="3"/>
  <c r="AB20" i="3"/>
  <c r="Z20" i="3"/>
  <c r="V20" i="3"/>
  <c r="T20" i="3"/>
  <c r="R20" i="3"/>
  <c r="P20" i="3"/>
  <c r="N20" i="3"/>
  <c r="L20" i="3"/>
  <c r="J20" i="3"/>
  <c r="E20" i="3"/>
  <c r="C20" i="3"/>
  <c r="F20" i="3" s="1"/>
  <c r="EE19" i="3"/>
  <c r="EC19" i="3"/>
  <c r="DY19" i="3"/>
  <c r="DW19" i="3"/>
  <c r="DV19" i="3"/>
  <c r="DT19" i="3"/>
  <c r="DS19" i="3"/>
  <c r="DP19" i="3"/>
  <c r="DQ19" i="3" s="1"/>
  <c r="DN19" i="3"/>
  <c r="DM19" i="3"/>
  <c r="DK19" i="3"/>
  <c r="DJ19" i="3"/>
  <c r="DH19" i="3"/>
  <c r="DG19" i="3"/>
  <c r="DD19" i="3"/>
  <c r="DE19" i="3" s="1"/>
  <c r="DB19" i="3"/>
  <c r="DA19" i="3"/>
  <c r="CX19" i="3"/>
  <c r="CY19" i="3" s="1"/>
  <c r="CV19" i="3"/>
  <c r="CU19" i="3"/>
  <c r="CR19" i="3"/>
  <c r="CS19" i="3" s="1"/>
  <c r="CP19" i="3"/>
  <c r="CO19" i="3"/>
  <c r="CJ19" i="3"/>
  <c r="CH19" i="3"/>
  <c r="CF19" i="3"/>
  <c r="CK19" i="3" s="1"/>
  <c r="CL20" i="3" s="1"/>
  <c r="CD19" i="3"/>
  <c r="CC19" i="3"/>
  <c r="CA19" i="3"/>
  <c r="BY19" i="3"/>
  <c r="BT19" i="3"/>
  <c r="BR19" i="3"/>
  <c r="BU19" i="3" s="1"/>
  <c r="BP19" i="3"/>
  <c r="BN19" i="3"/>
  <c r="BV19" i="3" s="1"/>
  <c r="BJ19" i="3"/>
  <c r="BH19" i="3"/>
  <c r="BF19" i="3"/>
  <c r="BD19" i="3"/>
  <c r="BB19" i="3"/>
  <c r="AZ19" i="3"/>
  <c r="BK19" i="3" s="1"/>
  <c r="AX19" i="3"/>
  <c r="AV19" i="3"/>
  <c r="AT19" i="3"/>
  <c r="AR19" i="3"/>
  <c r="AP19" i="3"/>
  <c r="AN19" i="3"/>
  <c r="BW19" i="3" s="1"/>
  <c r="AJ19" i="3"/>
  <c r="AF19" i="3"/>
  <c r="AD19" i="3"/>
  <c r="AB19" i="3"/>
  <c r="Z19" i="3"/>
  <c r="V19" i="3"/>
  <c r="T19" i="3"/>
  <c r="R19" i="3"/>
  <c r="P19" i="3"/>
  <c r="N19" i="3"/>
  <c r="L19" i="3"/>
  <c r="J19" i="3"/>
  <c r="F19" i="3"/>
  <c r="E19" i="3"/>
  <c r="C19" i="3"/>
  <c r="EE18" i="3"/>
  <c r="EC18" i="3"/>
  <c r="DY18" i="3"/>
  <c r="DV18" i="3"/>
  <c r="DW18" i="3" s="1"/>
  <c r="DT18" i="3"/>
  <c r="DS18" i="3"/>
  <c r="DP18" i="3"/>
  <c r="DQ18" i="3" s="1"/>
  <c r="DN18" i="3"/>
  <c r="DM18" i="3"/>
  <c r="DJ18" i="3"/>
  <c r="DK18" i="3" s="1"/>
  <c r="DH18" i="3"/>
  <c r="DG18" i="3"/>
  <c r="DD18" i="3"/>
  <c r="DE18" i="3" s="1"/>
  <c r="DB18" i="3"/>
  <c r="DA18" i="3"/>
  <c r="CX18" i="3"/>
  <c r="CY18" i="3" s="1"/>
  <c r="CV18" i="3"/>
  <c r="CU18" i="3"/>
  <c r="CR18" i="3"/>
  <c r="CS18" i="3" s="1"/>
  <c r="CP18" i="3"/>
  <c r="CO18" i="3"/>
  <c r="CJ18" i="3"/>
  <c r="CH18" i="3"/>
  <c r="CF18" i="3"/>
  <c r="CK18" i="3" s="1"/>
  <c r="CD18" i="3"/>
  <c r="CC18" i="3"/>
  <c r="CA18" i="3"/>
  <c r="BY18" i="3"/>
  <c r="BT18" i="3"/>
  <c r="BR18" i="3"/>
  <c r="BU18" i="3" s="1"/>
  <c r="BP18" i="3"/>
  <c r="BN18" i="3"/>
  <c r="BJ18" i="3"/>
  <c r="BH18" i="3"/>
  <c r="BF18" i="3"/>
  <c r="BD18" i="3"/>
  <c r="BB18" i="3"/>
  <c r="AZ18" i="3"/>
  <c r="BK18" i="3" s="1"/>
  <c r="AX18" i="3"/>
  <c r="AV18" i="3"/>
  <c r="AT18" i="3"/>
  <c r="AR18" i="3"/>
  <c r="AP18" i="3"/>
  <c r="AN18" i="3"/>
  <c r="BW18" i="3" s="1"/>
  <c r="AJ18" i="3"/>
  <c r="BL18" i="3" s="1"/>
  <c r="AF18" i="3"/>
  <c r="AD18" i="3"/>
  <c r="AB18" i="3"/>
  <c r="Z18" i="3"/>
  <c r="V18" i="3"/>
  <c r="T18" i="3"/>
  <c r="R18" i="3"/>
  <c r="P18" i="3"/>
  <c r="N18" i="3"/>
  <c r="L18" i="3"/>
  <c r="J18" i="3"/>
  <c r="F18" i="3"/>
  <c r="E18" i="3"/>
  <c r="C18" i="3"/>
  <c r="EE17" i="3"/>
  <c r="EC17" i="3"/>
  <c r="DY17" i="3"/>
  <c r="DV17" i="3"/>
  <c r="DW17" i="3" s="1"/>
  <c r="DT17" i="3"/>
  <c r="DS17" i="3"/>
  <c r="DP17" i="3"/>
  <c r="DQ17" i="3" s="1"/>
  <c r="DN17" i="3"/>
  <c r="DM17" i="3"/>
  <c r="DJ17" i="3"/>
  <c r="DK17" i="3" s="1"/>
  <c r="DH17" i="3"/>
  <c r="DG17" i="3"/>
  <c r="DD17" i="3"/>
  <c r="DE17" i="3" s="1"/>
  <c r="DB17" i="3"/>
  <c r="DA17" i="3"/>
  <c r="CX17" i="3"/>
  <c r="CY17" i="3" s="1"/>
  <c r="CV17" i="3"/>
  <c r="CU17" i="3"/>
  <c r="CR17" i="3"/>
  <c r="CS17" i="3" s="1"/>
  <c r="CP17" i="3"/>
  <c r="CO17" i="3"/>
  <c r="CJ17" i="3"/>
  <c r="CH17" i="3"/>
  <c r="CF17" i="3"/>
  <c r="CK17" i="3" s="1"/>
  <c r="CL18" i="3" s="1"/>
  <c r="CD17" i="3"/>
  <c r="CC17" i="3"/>
  <c r="CA17" i="3"/>
  <c r="BY17" i="3"/>
  <c r="BT17" i="3"/>
  <c r="BR17" i="3"/>
  <c r="BU17" i="3" s="1"/>
  <c r="BP17" i="3"/>
  <c r="BN17" i="3"/>
  <c r="BV17" i="3" s="1"/>
  <c r="BJ17" i="3"/>
  <c r="BH17" i="3"/>
  <c r="BF17" i="3"/>
  <c r="BD17" i="3"/>
  <c r="BB17" i="3"/>
  <c r="AZ17" i="3"/>
  <c r="BK17" i="3" s="1"/>
  <c r="AX17" i="3"/>
  <c r="AV17" i="3"/>
  <c r="AT17" i="3"/>
  <c r="AR17" i="3"/>
  <c r="AP17" i="3"/>
  <c r="AN17" i="3"/>
  <c r="BW17" i="3" s="1"/>
  <c r="AJ17" i="3"/>
  <c r="AF17" i="3"/>
  <c r="AD17" i="3"/>
  <c r="AB17" i="3"/>
  <c r="Z17" i="3"/>
  <c r="V17" i="3"/>
  <c r="T17" i="3"/>
  <c r="R17" i="3"/>
  <c r="P17" i="3"/>
  <c r="N17" i="3"/>
  <c r="L17" i="3"/>
  <c r="J17" i="3"/>
  <c r="F17" i="3"/>
  <c r="E17" i="3"/>
  <c r="C17" i="3"/>
  <c r="EE16" i="3"/>
  <c r="EC16" i="3"/>
  <c r="DY16" i="3"/>
  <c r="DV16" i="3"/>
  <c r="DW16" i="3" s="1"/>
  <c r="DT16" i="3"/>
  <c r="DS16" i="3"/>
  <c r="DP16" i="3"/>
  <c r="DQ16" i="3" s="1"/>
  <c r="DN16" i="3"/>
  <c r="DM16" i="3"/>
  <c r="DJ16" i="3"/>
  <c r="DK16" i="3" s="1"/>
  <c r="DH16" i="3"/>
  <c r="DG16" i="3"/>
  <c r="DD16" i="3"/>
  <c r="DE16" i="3" s="1"/>
  <c r="DB16" i="3"/>
  <c r="DA16" i="3"/>
  <c r="CX16" i="3"/>
  <c r="CY16" i="3" s="1"/>
  <c r="CV16" i="3"/>
  <c r="CU16" i="3"/>
  <c r="CR16" i="3"/>
  <c r="CS16" i="3" s="1"/>
  <c r="CP16" i="3"/>
  <c r="CO16" i="3"/>
  <c r="CJ16" i="3"/>
  <c r="CH16" i="3"/>
  <c r="CF16" i="3"/>
  <c r="CK16" i="3" s="1"/>
  <c r="CL17" i="3" s="1"/>
  <c r="CD16" i="3"/>
  <c r="CC16" i="3"/>
  <c r="CA16" i="3"/>
  <c r="BY16" i="3"/>
  <c r="BT16" i="3"/>
  <c r="BR16" i="3"/>
  <c r="BU16" i="3" s="1"/>
  <c r="BP16" i="3"/>
  <c r="BN16" i="3"/>
  <c r="BV16" i="3" s="1"/>
  <c r="BJ16" i="3"/>
  <c r="BH16" i="3"/>
  <c r="BF16" i="3"/>
  <c r="BD16" i="3"/>
  <c r="BB16" i="3"/>
  <c r="AZ16" i="3"/>
  <c r="BK16" i="3" s="1"/>
  <c r="AX16" i="3"/>
  <c r="AV16" i="3"/>
  <c r="AT16" i="3"/>
  <c r="AR16" i="3"/>
  <c r="AP16" i="3"/>
  <c r="AN16" i="3"/>
  <c r="BW16" i="3" s="1"/>
  <c r="AJ16" i="3"/>
  <c r="AF16" i="3"/>
  <c r="AD16" i="3"/>
  <c r="AB16" i="3"/>
  <c r="Z16" i="3"/>
  <c r="V16" i="3"/>
  <c r="T16" i="3"/>
  <c r="R16" i="3"/>
  <c r="P16" i="3"/>
  <c r="N16" i="3"/>
  <c r="L16" i="3"/>
  <c r="J16" i="3"/>
  <c r="F16" i="3"/>
  <c r="E16" i="3"/>
  <c r="C16" i="3"/>
  <c r="EE15" i="3"/>
  <c r="EC15" i="3"/>
  <c r="DY15" i="3"/>
  <c r="DW15" i="3"/>
  <c r="DV15" i="3"/>
  <c r="DT15" i="3"/>
  <c r="DS15" i="3"/>
  <c r="DP15" i="3"/>
  <c r="DQ15" i="3" s="1"/>
  <c r="DN15" i="3"/>
  <c r="DM15" i="3"/>
  <c r="DK15" i="3"/>
  <c r="DJ15" i="3"/>
  <c r="DH15" i="3"/>
  <c r="DG15" i="3"/>
  <c r="DD15" i="3"/>
  <c r="DE15" i="3" s="1"/>
  <c r="DB15" i="3"/>
  <c r="DA15" i="3"/>
  <c r="CX15" i="3"/>
  <c r="CY15" i="3" s="1"/>
  <c r="CV15" i="3"/>
  <c r="CU15" i="3"/>
  <c r="CR15" i="3"/>
  <c r="CS15" i="3" s="1"/>
  <c r="CP15" i="3"/>
  <c r="CO15" i="3"/>
  <c r="CJ15" i="3"/>
  <c r="CH15" i="3"/>
  <c r="CF15" i="3"/>
  <c r="CK15" i="3" s="1"/>
  <c r="CL16" i="3" s="1"/>
  <c r="CC15" i="3"/>
  <c r="CD15" i="3" s="1"/>
  <c r="CA15" i="3"/>
  <c r="BY15" i="3"/>
  <c r="BT15" i="3"/>
  <c r="BR15" i="3"/>
  <c r="BU15" i="3" s="1"/>
  <c r="BP15" i="3"/>
  <c r="BN15" i="3"/>
  <c r="BV15" i="3" s="1"/>
  <c r="BJ15" i="3"/>
  <c r="BH15" i="3"/>
  <c r="BF15" i="3"/>
  <c r="BD15" i="3"/>
  <c r="BB15" i="3"/>
  <c r="AZ15" i="3"/>
  <c r="BK15" i="3" s="1"/>
  <c r="AX15" i="3"/>
  <c r="AV15" i="3"/>
  <c r="AT15" i="3"/>
  <c r="AR15" i="3"/>
  <c r="AP15" i="3"/>
  <c r="AN15" i="3"/>
  <c r="BW15" i="3" s="1"/>
  <c r="AJ15" i="3"/>
  <c r="AF15" i="3"/>
  <c r="AD15" i="3"/>
  <c r="AB15" i="3"/>
  <c r="Z15" i="3"/>
  <c r="V15" i="3"/>
  <c r="T15" i="3"/>
  <c r="R15" i="3"/>
  <c r="P15" i="3"/>
  <c r="N15" i="3"/>
  <c r="L15" i="3"/>
  <c r="J15" i="3"/>
  <c r="F15" i="3"/>
  <c r="E15" i="3"/>
  <c r="C15" i="3"/>
  <c r="EE14" i="3"/>
  <c r="EC14" i="3"/>
  <c r="DY14" i="3"/>
  <c r="DW14" i="3"/>
  <c r="DV14" i="3"/>
  <c r="DT14" i="3"/>
  <c r="DS14" i="3"/>
  <c r="DP14" i="3"/>
  <c r="DQ14" i="3" s="1"/>
  <c r="DN14" i="3"/>
  <c r="DM14" i="3"/>
  <c r="DK14" i="3"/>
  <c r="DJ14" i="3"/>
  <c r="DH14" i="3"/>
  <c r="DG14" i="3"/>
  <c r="DD14" i="3"/>
  <c r="DE14" i="3" s="1"/>
  <c r="DB14" i="3"/>
  <c r="DA14" i="3"/>
  <c r="CY14" i="3"/>
  <c r="CX14" i="3"/>
  <c r="CV14" i="3"/>
  <c r="CU14" i="3"/>
  <c r="CR14" i="3"/>
  <c r="CS14" i="3" s="1"/>
  <c r="CP14" i="3"/>
  <c r="CO14" i="3"/>
  <c r="CJ14" i="3"/>
  <c r="CH14" i="3"/>
  <c r="CF14" i="3"/>
  <c r="CK14" i="3" s="1"/>
  <c r="CC14" i="3"/>
  <c r="CD14" i="3" s="1"/>
  <c r="CA14" i="3"/>
  <c r="BY14" i="3"/>
  <c r="BT14" i="3"/>
  <c r="BR14" i="3"/>
  <c r="BU14" i="3" s="1"/>
  <c r="BP14" i="3"/>
  <c r="BN14" i="3"/>
  <c r="BJ14" i="3"/>
  <c r="BH14" i="3"/>
  <c r="BF14" i="3"/>
  <c r="BD14" i="3"/>
  <c r="BB14" i="3"/>
  <c r="AZ14" i="3"/>
  <c r="BK14" i="3" s="1"/>
  <c r="AX14" i="3"/>
  <c r="AV14" i="3"/>
  <c r="AT14" i="3"/>
  <c r="AR14" i="3"/>
  <c r="AP14" i="3"/>
  <c r="AN14" i="3"/>
  <c r="BW14" i="3" s="1"/>
  <c r="AJ14" i="3"/>
  <c r="AF14" i="3"/>
  <c r="AD14" i="3"/>
  <c r="AB14" i="3"/>
  <c r="Z14" i="3"/>
  <c r="V14" i="3"/>
  <c r="T14" i="3"/>
  <c r="R14" i="3"/>
  <c r="P14" i="3"/>
  <c r="N14" i="3"/>
  <c r="L14" i="3"/>
  <c r="J14" i="3"/>
  <c r="F14" i="3"/>
  <c r="E14" i="3"/>
  <c r="C14" i="3"/>
  <c r="EE13" i="3"/>
  <c r="EC13" i="3"/>
  <c r="DY13" i="3"/>
  <c r="DW13" i="3"/>
  <c r="DV13" i="3"/>
  <c r="DS13" i="3"/>
  <c r="DT13" i="3" s="1"/>
  <c r="DP13" i="3"/>
  <c r="DQ13" i="3" s="1"/>
  <c r="DN13" i="3"/>
  <c r="DM13" i="3"/>
  <c r="DJ13" i="3"/>
  <c r="DK13" i="3" s="1"/>
  <c r="DG13" i="3"/>
  <c r="DH13" i="3" s="1"/>
  <c r="DD13" i="3"/>
  <c r="DE13" i="3" s="1"/>
  <c r="DB13" i="3"/>
  <c r="DA13" i="3"/>
  <c r="CX13" i="3"/>
  <c r="CY13" i="3" s="1"/>
  <c r="CU13" i="3"/>
  <c r="CV13" i="3" s="1"/>
  <c r="CR13" i="3"/>
  <c r="CS13" i="3" s="1"/>
  <c r="CP13" i="3"/>
  <c r="CO13" i="3"/>
  <c r="CK13" i="3"/>
  <c r="CJ13" i="3"/>
  <c r="CH13" i="3"/>
  <c r="CF13" i="3"/>
  <c r="CC13" i="3"/>
  <c r="CD13" i="3" s="1"/>
  <c r="BY13" i="3"/>
  <c r="BT13" i="3"/>
  <c r="BR13" i="3"/>
  <c r="BP13" i="3"/>
  <c r="BN13" i="3"/>
  <c r="BV13" i="3" s="1"/>
  <c r="BJ13" i="3"/>
  <c r="BH13" i="3"/>
  <c r="BF13" i="3"/>
  <c r="BD13" i="3"/>
  <c r="BB13" i="3"/>
  <c r="AZ13" i="3"/>
  <c r="BK13" i="3" s="1"/>
  <c r="AX13" i="3"/>
  <c r="AV13" i="3"/>
  <c r="AT13" i="3"/>
  <c r="AR13" i="3"/>
  <c r="AP13" i="3"/>
  <c r="AN13" i="3"/>
  <c r="AJ13" i="3"/>
  <c r="BL13" i="3" s="1"/>
  <c r="AF13" i="3"/>
  <c r="AD13" i="3"/>
  <c r="AB13" i="3"/>
  <c r="Z13" i="3"/>
  <c r="V13" i="3"/>
  <c r="T13" i="3"/>
  <c r="R13" i="3"/>
  <c r="P13" i="3"/>
  <c r="N13" i="3"/>
  <c r="L13" i="3"/>
  <c r="J13" i="3"/>
  <c r="E13" i="3"/>
  <c r="F13" i="3" s="1"/>
  <c r="C13" i="3"/>
  <c r="EE12" i="3"/>
  <c r="EC12" i="3"/>
  <c r="DY12" i="3"/>
  <c r="DV12" i="3"/>
  <c r="DW12" i="3" s="1"/>
  <c r="DS12" i="3"/>
  <c r="DT12" i="3" s="1"/>
  <c r="DP12" i="3"/>
  <c r="DQ12" i="3" s="1"/>
  <c r="DN12" i="3"/>
  <c r="DM12" i="3"/>
  <c r="DJ12" i="3"/>
  <c r="DK12" i="3" s="1"/>
  <c r="DG12" i="3"/>
  <c r="DH12" i="3" s="1"/>
  <c r="DD12" i="3"/>
  <c r="DE12" i="3" s="1"/>
  <c r="DB12" i="3"/>
  <c r="DA12" i="3"/>
  <c r="CX12" i="3"/>
  <c r="CU12" i="3"/>
  <c r="CV12" i="3" s="1"/>
  <c r="CR12" i="3"/>
  <c r="CS12" i="3" s="1"/>
  <c r="CP12" i="3"/>
  <c r="CO12" i="3"/>
  <c r="CJ12" i="3"/>
  <c r="CH12" i="3"/>
  <c r="CK12" i="3" s="1"/>
  <c r="CL13" i="3" s="1"/>
  <c r="CF12" i="3"/>
  <c r="CC12" i="3"/>
  <c r="CD12" i="3" s="1"/>
  <c r="CA12" i="3"/>
  <c r="BY12" i="3"/>
  <c r="CA13" i="3" s="1"/>
  <c r="BR12" i="3"/>
  <c r="BU12" i="3" s="1"/>
  <c r="BP12" i="3"/>
  <c r="BN12" i="3"/>
  <c r="BV12" i="3" s="1"/>
  <c r="BJ12" i="3"/>
  <c r="BH12" i="3"/>
  <c r="BF12" i="3"/>
  <c r="BD12" i="3"/>
  <c r="BB12" i="3"/>
  <c r="AZ12" i="3"/>
  <c r="AX12" i="3"/>
  <c r="AV12" i="3"/>
  <c r="AT12" i="3"/>
  <c r="AR12" i="3"/>
  <c r="AP12" i="3"/>
  <c r="AN12" i="3"/>
  <c r="AJ12" i="3"/>
  <c r="AF12" i="3"/>
  <c r="AD12" i="3"/>
  <c r="AB12" i="3"/>
  <c r="Z12" i="3"/>
  <c r="V12" i="3"/>
  <c r="T12" i="3"/>
  <c r="R12" i="3"/>
  <c r="P12" i="3"/>
  <c r="N12" i="3"/>
  <c r="L12" i="3"/>
  <c r="J12" i="3"/>
  <c r="F12" i="3"/>
  <c r="E12" i="3"/>
  <c r="C12" i="3"/>
  <c r="EE11" i="3"/>
  <c r="EC11" i="3"/>
  <c r="DY11" i="3"/>
  <c r="DW11" i="3"/>
  <c r="DV11" i="3"/>
  <c r="DS11" i="3"/>
  <c r="DT11" i="3" s="1"/>
  <c r="DP11" i="3"/>
  <c r="DQ11" i="3" s="1"/>
  <c r="DM11" i="3"/>
  <c r="DN11" i="3" s="1"/>
  <c r="DK11" i="3"/>
  <c r="DJ11" i="3"/>
  <c r="DG11" i="3"/>
  <c r="DH11" i="3" s="1"/>
  <c r="DD11" i="3"/>
  <c r="DE11" i="3" s="1"/>
  <c r="DA11" i="3"/>
  <c r="DB11" i="3" s="1"/>
  <c r="CY11" i="3"/>
  <c r="CX11" i="3"/>
  <c r="CU11" i="3"/>
  <c r="CV11" i="3" s="1"/>
  <c r="CR11" i="3"/>
  <c r="CS11" i="3" s="1"/>
  <c r="CO11" i="3"/>
  <c r="CP11" i="3" s="1"/>
  <c r="CL11" i="3"/>
  <c r="CJ11" i="3"/>
  <c r="CH11" i="3"/>
  <c r="CF11" i="3"/>
  <c r="CK11" i="3" s="1"/>
  <c r="CL12" i="3" s="1"/>
  <c r="CC11" i="3"/>
  <c r="CD11" i="3" s="1"/>
  <c r="CA11" i="3"/>
  <c r="BY11" i="3"/>
  <c r="BT11" i="3"/>
  <c r="BR11" i="3"/>
  <c r="BU11" i="3" s="1"/>
  <c r="BP11" i="3"/>
  <c r="BN11" i="3"/>
  <c r="BV11" i="3" s="1"/>
  <c r="BJ11" i="3"/>
  <c r="BH11" i="3"/>
  <c r="BF11" i="3"/>
  <c r="BD11" i="3"/>
  <c r="BB11" i="3"/>
  <c r="AZ11" i="3"/>
  <c r="BK11" i="3" s="1"/>
  <c r="BL11" i="3" s="1"/>
  <c r="AX11" i="3"/>
  <c r="AV11" i="3"/>
  <c r="AT11" i="3"/>
  <c r="AR11" i="3"/>
  <c r="AP11" i="3"/>
  <c r="AN11" i="3"/>
  <c r="AJ11" i="3"/>
  <c r="AF11" i="3"/>
  <c r="AD11" i="3"/>
  <c r="AB11" i="3"/>
  <c r="Z11" i="3"/>
  <c r="V11" i="3"/>
  <c r="T11" i="3"/>
  <c r="R11" i="3"/>
  <c r="P11" i="3"/>
  <c r="N11" i="3"/>
  <c r="L11" i="3"/>
  <c r="J11" i="3"/>
  <c r="E11" i="3"/>
  <c r="F11" i="3" s="1"/>
  <c r="C11" i="3"/>
  <c r="EE10" i="3"/>
  <c r="EC10" i="3"/>
  <c r="DY10" i="3"/>
  <c r="DW10" i="3"/>
  <c r="DV10" i="3"/>
  <c r="DS10" i="3"/>
  <c r="DT10" i="3" s="1"/>
  <c r="DP10" i="3"/>
  <c r="DQ10" i="3" s="1"/>
  <c r="DM10" i="3"/>
  <c r="DN10" i="3" s="1"/>
  <c r="DK10" i="3"/>
  <c r="DJ10" i="3"/>
  <c r="DG10" i="3"/>
  <c r="DH10" i="3" s="1"/>
  <c r="DD10" i="3"/>
  <c r="DE10" i="3" s="1"/>
  <c r="DA10" i="3"/>
  <c r="DB10" i="3" s="1"/>
  <c r="CY10" i="3"/>
  <c r="CX10" i="3"/>
  <c r="CU10" i="3"/>
  <c r="CV10" i="3" s="1"/>
  <c r="CR10" i="3"/>
  <c r="CS10" i="3" s="1"/>
  <c r="CO10" i="3"/>
  <c r="CP10" i="3" s="1"/>
  <c r="CJ10" i="3"/>
  <c r="CH10" i="3"/>
  <c r="CF10" i="3"/>
  <c r="CK10" i="3" s="1"/>
  <c r="CC10" i="3"/>
  <c r="CD10" i="3" s="1"/>
  <c r="CA10" i="3"/>
  <c r="BY10" i="3"/>
  <c r="BT10" i="3"/>
  <c r="BR10" i="3"/>
  <c r="BU10" i="3" s="1"/>
  <c r="BP10" i="3"/>
  <c r="BN10" i="3"/>
  <c r="BV10" i="3" s="1"/>
  <c r="BJ10" i="3"/>
  <c r="BH10" i="3"/>
  <c r="BF10" i="3"/>
  <c r="BD10" i="3"/>
  <c r="BB10" i="3"/>
  <c r="AZ10" i="3"/>
  <c r="BK10" i="3" s="1"/>
  <c r="BL10" i="3" s="1"/>
  <c r="AX10" i="3"/>
  <c r="AV10" i="3"/>
  <c r="AT10" i="3"/>
  <c r="AR10" i="3"/>
  <c r="AP10" i="3"/>
  <c r="AN10" i="3"/>
  <c r="AJ10" i="3"/>
  <c r="AF10" i="3"/>
  <c r="AD10" i="3"/>
  <c r="AB10" i="3"/>
  <c r="Z10" i="3"/>
  <c r="T10" i="3"/>
  <c r="R10" i="3"/>
  <c r="P10" i="3"/>
  <c r="N10" i="3"/>
  <c r="L10" i="3"/>
  <c r="J10" i="3"/>
  <c r="E10" i="3"/>
  <c r="F10" i="3" s="1"/>
  <c r="C10" i="3"/>
  <c r="EE9" i="3"/>
  <c r="EC9" i="3"/>
  <c r="DY9" i="3"/>
  <c r="DV9" i="3"/>
  <c r="DW9" i="3" s="1"/>
  <c r="DS9" i="3"/>
  <c r="DT9" i="3" s="1"/>
  <c r="DP9" i="3"/>
  <c r="DQ9" i="3" s="1"/>
  <c r="DM9" i="3"/>
  <c r="DN9" i="3" s="1"/>
  <c r="DK9" i="3"/>
  <c r="DH9" i="3"/>
  <c r="DG9" i="3"/>
  <c r="DD9" i="3"/>
  <c r="DE9" i="3" s="1"/>
  <c r="DA9" i="3"/>
  <c r="DB9" i="3" s="1"/>
  <c r="CX9" i="3"/>
  <c r="CY9" i="3" s="1"/>
  <c r="CV9" i="3"/>
  <c r="CU9" i="3"/>
  <c r="CR9" i="3"/>
  <c r="CS9" i="3" s="1"/>
  <c r="CO9" i="3"/>
  <c r="CP9" i="3" s="1"/>
  <c r="CK9" i="3"/>
  <c r="CL10" i="3" s="1"/>
  <c r="CJ9" i="3"/>
  <c r="CH9" i="3"/>
  <c r="CF9" i="3"/>
  <c r="CC9" i="3"/>
  <c r="CD9" i="3" s="1"/>
  <c r="BY9" i="3"/>
  <c r="BW9" i="3"/>
  <c r="BV9" i="3"/>
  <c r="BT9" i="3"/>
  <c r="BR9" i="3"/>
  <c r="BU9" i="3" s="1"/>
  <c r="BP9" i="3"/>
  <c r="BN9" i="3"/>
  <c r="BK9" i="3"/>
  <c r="BJ9" i="3"/>
  <c r="BH9" i="3"/>
  <c r="BF9" i="3"/>
  <c r="BD9" i="3"/>
  <c r="BB9" i="3"/>
  <c r="AZ9" i="3"/>
  <c r="AX9" i="3"/>
  <c r="AV9" i="3"/>
  <c r="AT9" i="3"/>
  <c r="AR9" i="3"/>
  <c r="AP9" i="3"/>
  <c r="AN9" i="3"/>
  <c r="AJ9" i="3"/>
  <c r="BL9" i="3" s="1"/>
  <c r="AF9" i="3"/>
  <c r="AD9" i="3"/>
  <c r="AB9" i="3"/>
  <c r="Z9" i="3"/>
  <c r="V9" i="3"/>
  <c r="T9" i="3"/>
  <c r="R9" i="3"/>
  <c r="P9" i="3"/>
  <c r="N9" i="3"/>
  <c r="L9" i="3"/>
  <c r="J9" i="3"/>
  <c r="F9" i="3"/>
  <c r="E9" i="3"/>
  <c r="C9" i="3"/>
  <c r="EE8" i="3"/>
  <c r="EC8" i="3"/>
  <c r="DY8" i="3"/>
  <c r="DV8" i="3"/>
  <c r="DW8" i="3" s="1"/>
  <c r="DT8" i="3"/>
  <c r="DS8" i="3"/>
  <c r="DQ8" i="3"/>
  <c r="DP8" i="3"/>
  <c r="DM8" i="3"/>
  <c r="DN8" i="3" s="1"/>
  <c r="DJ8" i="3"/>
  <c r="DK8" i="3" s="1"/>
  <c r="DH8" i="3"/>
  <c r="DG8" i="3"/>
  <c r="DE8" i="3"/>
  <c r="DD8" i="3"/>
  <c r="DA8" i="3"/>
  <c r="DB8" i="3" s="1"/>
  <c r="CX8" i="3"/>
  <c r="CY8" i="3" s="1"/>
  <c r="CV8" i="3"/>
  <c r="CU8" i="3"/>
  <c r="CS8" i="3"/>
  <c r="CR8" i="3"/>
  <c r="CO8" i="3"/>
  <c r="CP8" i="3" s="1"/>
  <c r="CJ8" i="3"/>
  <c r="CK8" i="3" s="1"/>
  <c r="CL9" i="3" s="1"/>
  <c r="CH8" i="3"/>
  <c r="CF8" i="3"/>
  <c r="CC8" i="3"/>
  <c r="CD8" i="3" s="1"/>
  <c r="BY8" i="3"/>
  <c r="CA9" i="3" s="1"/>
  <c r="BV8" i="3"/>
  <c r="BT8" i="3"/>
  <c r="BR8" i="3"/>
  <c r="BU8" i="3" s="1"/>
  <c r="BP8" i="3"/>
  <c r="BN8" i="3"/>
  <c r="BJ8" i="3"/>
  <c r="BH8" i="3"/>
  <c r="BF8" i="3"/>
  <c r="BD8" i="3"/>
  <c r="BB8" i="3"/>
  <c r="AZ8" i="3"/>
  <c r="AX8" i="3"/>
  <c r="AV8" i="3"/>
  <c r="AT8" i="3"/>
  <c r="BW8" i="3" s="1"/>
  <c r="AR8" i="3"/>
  <c r="AP8" i="3"/>
  <c r="AN8" i="3"/>
  <c r="AJ8" i="3"/>
  <c r="AF8" i="3"/>
  <c r="AD8" i="3"/>
  <c r="AB8" i="3"/>
  <c r="Z8" i="3"/>
  <c r="V8" i="3"/>
  <c r="T8" i="3"/>
  <c r="R8" i="3"/>
  <c r="P8" i="3"/>
  <c r="N8" i="3"/>
  <c r="L8" i="3"/>
  <c r="J8" i="3"/>
  <c r="F8" i="3"/>
  <c r="E8" i="3"/>
  <c r="C8" i="3"/>
  <c r="EE7" i="3"/>
  <c r="EC7" i="3"/>
  <c r="DY7" i="3"/>
  <c r="DV7" i="3"/>
  <c r="DW7" i="3" s="1"/>
  <c r="DT7" i="3"/>
  <c r="DS7" i="3"/>
  <c r="DP7" i="3"/>
  <c r="DQ7" i="3" s="1"/>
  <c r="DM7" i="3"/>
  <c r="DN7" i="3" s="1"/>
  <c r="DJ7" i="3"/>
  <c r="DK7" i="3" s="1"/>
  <c r="DH7" i="3"/>
  <c r="DG7" i="3"/>
  <c r="DD7" i="3"/>
  <c r="DE7" i="3" s="1"/>
  <c r="DA7" i="3"/>
  <c r="DB7" i="3" s="1"/>
  <c r="CX7" i="3"/>
  <c r="CY7" i="3" s="1"/>
  <c r="CV7" i="3"/>
  <c r="CU7" i="3"/>
  <c r="CR7" i="3"/>
  <c r="CS7" i="3" s="1"/>
  <c r="CO7" i="3"/>
  <c r="CP7" i="3" s="1"/>
  <c r="CJ7" i="3"/>
  <c r="CK7" i="3" s="1"/>
  <c r="CH7" i="3"/>
  <c r="CF7" i="3"/>
  <c r="CC7" i="3"/>
  <c r="CD7" i="3" s="1"/>
  <c r="BY7" i="3"/>
  <c r="CA8" i="3" s="1"/>
  <c r="BV7" i="3"/>
  <c r="BT7" i="3"/>
  <c r="BR7" i="3"/>
  <c r="BU7" i="3" s="1"/>
  <c r="BP7" i="3"/>
  <c r="BN7" i="3"/>
  <c r="BJ7" i="3"/>
  <c r="BH7" i="3"/>
  <c r="BF7" i="3"/>
  <c r="BD7" i="3"/>
  <c r="BB7" i="3"/>
  <c r="AZ7" i="3"/>
  <c r="AX7" i="3"/>
  <c r="BK7" i="3" s="1"/>
  <c r="AV7" i="3"/>
  <c r="AT7" i="3"/>
  <c r="AR7" i="3"/>
  <c r="AP7" i="3"/>
  <c r="AN7" i="3"/>
  <c r="BW7" i="3" s="1"/>
  <c r="AJ7" i="3"/>
  <c r="AF7" i="3"/>
  <c r="AD7" i="3"/>
  <c r="AB7" i="3"/>
  <c r="Z7" i="3"/>
  <c r="V7" i="3"/>
  <c r="T7" i="3"/>
  <c r="R7" i="3"/>
  <c r="E7" i="3"/>
  <c r="C7" i="3"/>
  <c r="F7" i="3" s="1"/>
  <c r="EE6" i="3"/>
  <c r="EC6" i="3"/>
  <c r="DY6" i="3"/>
  <c r="DW6" i="3"/>
  <c r="DV6" i="3"/>
  <c r="DT6" i="3"/>
  <c r="DS6" i="3"/>
  <c r="DQ6" i="3"/>
  <c r="DP6" i="3"/>
  <c r="DN6" i="3"/>
  <c r="DM6" i="3"/>
  <c r="DK6" i="3"/>
  <c r="DJ6" i="3"/>
  <c r="DH6" i="3"/>
  <c r="DG6" i="3"/>
  <c r="DE6" i="3"/>
  <c r="DD6" i="3"/>
  <c r="DB6" i="3"/>
  <c r="DA6" i="3"/>
  <c r="CY6" i="3"/>
  <c r="CX6" i="3"/>
  <c r="CV6" i="3"/>
  <c r="CU6" i="3"/>
  <c r="CS6" i="3"/>
  <c r="CR6" i="3"/>
  <c r="CP6" i="3"/>
  <c r="CO6" i="3"/>
  <c r="CJ6" i="3"/>
  <c r="CH6" i="3"/>
  <c r="CF6" i="3"/>
  <c r="CK6" i="3" s="1"/>
  <c r="CL7" i="3" s="1"/>
  <c r="CD6" i="3"/>
  <c r="CC6" i="3"/>
  <c r="BY6" i="3"/>
  <c r="CA7" i="3" s="1"/>
  <c r="BV6" i="3"/>
  <c r="BU6" i="3"/>
  <c r="BT6" i="3"/>
  <c r="BR6" i="3"/>
  <c r="BP6" i="3"/>
  <c r="BN6" i="3"/>
  <c r="BJ6" i="3"/>
  <c r="BH6" i="3"/>
  <c r="BF6" i="3"/>
  <c r="BD6" i="3"/>
  <c r="BB6" i="3"/>
  <c r="AZ6" i="3"/>
  <c r="AX6" i="3"/>
  <c r="BK6" i="3" s="1"/>
  <c r="BL6" i="3" s="1"/>
  <c r="AV6" i="3"/>
  <c r="AT6" i="3"/>
  <c r="AR6" i="3"/>
  <c r="AP6" i="3"/>
  <c r="BW6" i="3" s="1"/>
  <c r="AN6" i="3"/>
  <c r="AJ6" i="3"/>
  <c r="AF6" i="3"/>
  <c r="AD6" i="3"/>
  <c r="AB6" i="3"/>
  <c r="Z6" i="3"/>
  <c r="V6" i="3"/>
  <c r="T6" i="3"/>
  <c r="R6" i="3"/>
  <c r="E6" i="3"/>
  <c r="F6" i="3" s="1"/>
  <c r="C6" i="3"/>
  <c r="EE5" i="3"/>
  <c r="EC5" i="3"/>
  <c r="DV5" i="3"/>
  <c r="DW5" i="3" s="1"/>
  <c r="DT5" i="3"/>
  <c r="DS5" i="3"/>
  <c r="DP5" i="3"/>
  <c r="DQ5" i="3" s="1"/>
  <c r="DM5" i="3"/>
  <c r="DN5" i="3" s="1"/>
  <c r="DJ5" i="3"/>
  <c r="DK5" i="3" s="1"/>
  <c r="DH5" i="3"/>
  <c r="DG5" i="3"/>
  <c r="DD5" i="3"/>
  <c r="DE5" i="3" s="1"/>
  <c r="DA5" i="3"/>
  <c r="DB5" i="3" s="1"/>
  <c r="CX5" i="3"/>
  <c r="CY5" i="3" s="1"/>
  <c r="CV5" i="3"/>
  <c r="CU5" i="3"/>
  <c r="CR5" i="3"/>
  <c r="CS5" i="3" s="1"/>
  <c r="CO5" i="3"/>
  <c r="CP5" i="3" s="1"/>
  <c r="CK5" i="3"/>
  <c r="CJ5" i="3"/>
  <c r="CH5" i="3"/>
  <c r="CF5" i="3"/>
  <c r="CD5" i="3"/>
  <c r="CC5" i="3"/>
  <c r="CA5" i="3"/>
  <c r="BY5" i="3"/>
  <c r="CA6" i="3" s="1"/>
  <c r="BT5" i="3"/>
  <c r="BR5" i="3"/>
  <c r="BU5" i="3" s="1"/>
  <c r="BP5" i="3"/>
  <c r="BN5" i="3"/>
  <c r="BV5" i="3" s="1"/>
  <c r="BK5" i="3"/>
  <c r="BL5" i="3" s="1"/>
  <c r="BJ5" i="3"/>
  <c r="BH5" i="3"/>
  <c r="BF5" i="3"/>
  <c r="BD5" i="3"/>
  <c r="BB5" i="3"/>
  <c r="AZ5" i="3"/>
  <c r="AX5" i="3"/>
  <c r="AV5" i="3"/>
  <c r="BW5" i="3" s="1"/>
  <c r="AT5" i="3"/>
  <c r="AR5" i="3"/>
  <c r="AP5" i="3"/>
  <c r="AN5" i="3"/>
  <c r="AJ5" i="3"/>
  <c r="AF5" i="3"/>
  <c r="AD5" i="3"/>
  <c r="AB5" i="3"/>
  <c r="Z5" i="3"/>
  <c r="V5" i="3"/>
  <c r="T5" i="3"/>
  <c r="R5" i="3"/>
  <c r="E5" i="3"/>
  <c r="F5" i="3" s="1"/>
  <c r="C5" i="3"/>
  <c r="EE4" i="3"/>
  <c r="DW4" i="3"/>
  <c r="DV4" i="3"/>
  <c r="DS4" i="3"/>
  <c r="DT4" i="3" s="1"/>
  <c r="DP4" i="3"/>
  <c r="DQ4" i="3" s="1"/>
  <c r="DM4" i="3"/>
  <c r="DN4" i="3" s="1"/>
  <c r="DK4" i="3"/>
  <c r="DJ4" i="3"/>
  <c r="DG4" i="3"/>
  <c r="DH4" i="3" s="1"/>
  <c r="DD4" i="3"/>
  <c r="DE4" i="3" s="1"/>
  <c r="DA4" i="3"/>
  <c r="DB4" i="3" s="1"/>
  <c r="CY4" i="3"/>
  <c r="CX4" i="3"/>
  <c r="CU4" i="3"/>
  <c r="CV4" i="3" s="1"/>
  <c r="CR4" i="3"/>
  <c r="CS4" i="3" s="1"/>
  <c r="CO4" i="3"/>
  <c r="CP4" i="3" s="1"/>
  <c r="CJ4" i="3"/>
  <c r="CH4" i="3"/>
  <c r="CF4" i="3"/>
  <c r="CK4" i="3" s="1"/>
  <c r="CD4" i="3"/>
  <c r="CC4" i="3"/>
  <c r="CA4" i="3"/>
  <c r="BY4" i="3"/>
  <c r="BT4" i="3"/>
  <c r="BR4" i="3"/>
  <c r="BU4" i="3" s="1"/>
  <c r="BP4" i="3"/>
  <c r="BN4" i="3"/>
  <c r="BV4" i="3" s="1"/>
  <c r="BJ4" i="3"/>
  <c r="BH4" i="3"/>
  <c r="BF4" i="3"/>
  <c r="BD4" i="3"/>
  <c r="BB4" i="3"/>
  <c r="AZ4" i="3"/>
  <c r="BK4" i="3" s="1"/>
  <c r="AX4" i="3"/>
  <c r="AV4" i="3"/>
  <c r="AT4" i="3"/>
  <c r="AR4" i="3"/>
  <c r="AP4" i="3"/>
  <c r="AN4" i="3"/>
  <c r="BW4" i="3" s="1"/>
  <c r="AJ4" i="3"/>
  <c r="AF4" i="3"/>
  <c r="AD4" i="3"/>
  <c r="AB4" i="3"/>
  <c r="Z4" i="3"/>
  <c r="V4" i="3"/>
  <c r="T4" i="3"/>
  <c r="R4" i="3"/>
  <c r="E4" i="3"/>
  <c r="F4" i="3" s="1"/>
  <c r="C4" i="3"/>
  <c r="BL4" i="3" l="1"/>
  <c r="CL8" i="3"/>
  <c r="CL6" i="3"/>
  <c r="CL4" i="3"/>
  <c r="CL5" i="3"/>
  <c r="BK8" i="3"/>
  <c r="BK12" i="3"/>
  <c r="BL12" i="3" s="1"/>
  <c r="BW13" i="3"/>
  <c r="BL14" i="3"/>
  <c r="BL20" i="3"/>
  <c r="BW23" i="3"/>
  <c r="F27" i="3"/>
  <c r="BL7" i="3"/>
  <c r="BW11" i="3"/>
  <c r="BW10" i="3"/>
  <c r="BW12" i="3"/>
  <c r="CL25" i="3"/>
  <c r="BW30" i="3"/>
  <c r="BK31" i="3"/>
  <c r="BL31" i="3" s="1"/>
  <c r="BL8" i="3"/>
  <c r="BL16" i="3"/>
  <c r="CL27" i="3"/>
  <c r="BL29" i="3"/>
  <c r="BU29" i="3"/>
  <c r="BL19" i="3"/>
  <c r="BW29" i="3"/>
  <c r="BW31" i="3"/>
  <c r="BL32" i="3"/>
  <c r="CL33" i="3"/>
  <c r="BV14" i="3"/>
  <c r="CL15" i="3"/>
  <c r="BV20" i="3"/>
  <c r="CL21" i="3"/>
  <c r="BV28" i="3"/>
  <c r="CL29" i="3"/>
  <c r="CA32" i="3"/>
  <c r="CA31" i="3"/>
  <c r="BW33" i="3"/>
  <c r="BU13" i="3"/>
  <c r="CL14" i="3"/>
  <c r="BL15" i="3"/>
  <c r="BL17" i="3"/>
  <c r="BV18" i="3"/>
  <c r="CL19" i="3"/>
  <c r="BL21" i="3"/>
  <c r="BU21" i="3"/>
  <c r="BL24" i="3"/>
  <c r="BU23" i="3"/>
  <c r="BV35" i="3" l="1"/>
  <c r="R32" i="1" l="1"/>
  <c r="N32" i="1"/>
  <c r="K32" i="1"/>
  <c r="I32" i="1"/>
  <c r="E32" i="1"/>
  <c r="B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EJ35" i="3"/>
  <c r="EI35" i="3"/>
  <c r="N35" i="3" l="1"/>
  <c r="BW35" i="3"/>
  <c r="BT35" i="3"/>
  <c r="BP35" i="3"/>
  <c r="AL35" i="3"/>
  <c r="J35" i="3"/>
  <c r="AK32" i="4" l="1"/>
  <c r="B32" i="4"/>
  <c r="B31" i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C23" i="5" s="1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W35" i="3"/>
  <c r="X35" i="3"/>
  <c r="BJ35" i="3"/>
  <c r="CM35" i="3"/>
  <c r="EF35" i="3"/>
  <c r="EG35" i="3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N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P4" i="1" s="1"/>
  <c r="K5" i="1"/>
  <c r="AK5" i="4" s="1"/>
  <c r="N5" i="1"/>
  <c r="K6" i="1"/>
  <c r="AK6" i="4" s="1"/>
  <c r="N6" i="1"/>
  <c r="K7" i="1"/>
  <c r="AK7" i="4" s="1"/>
  <c r="N7" i="1"/>
  <c r="K8" i="1"/>
  <c r="AK8" i="4" s="1"/>
  <c r="N8" i="1"/>
  <c r="K9" i="1"/>
  <c r="AK9" i="4" s="1"/>
  <c r="N9" i="1"/>
  <c r="K10" i="1"/>
  <c r="AK10" i="4" s="1"/>
  <c r="N10" i="1"/>
  <c r="I11" i="1"/>
  <c r="K11" i="1"/>
  <c r="AK11" i="4" s="1"/>
  <c r="N11" i="1"/>
  <c r="K12" i="1"/>
  <c r="AK12" i="4" s="1"/>
  <c r="N12" i="1"/>
  <c r="K13" i="1"/>
  <c r="AK13" i="4" s="1"/>
  <c r="N13" i="1"/>
  <c r="K14" i="1"/>
  <c r="AK14" i="4" s="1"/>
  <c r="N14" i="1"/>
  <c r="K15" i="1"/>
  <c r="AK15" i="4" s="1"/>
  <c r="N15" i="1"/>
  <c r="K16" i="1"/>
  <c r="AK16" i="4" s="1"/>
  <c r="N16" i="1"/>
  <c r="E17" i="1"/>
  <c r="E17" i="4" s="1"/>
  <c r="K17" i="1"/>
  <c r="AK17" i="4" s="1"/>
  <c r="N17" i="1"/>
  <c r="K18" i="1"/>
  <c r="AK18" i="4" s="1"/>
  <c r="N18" i="1"/>
  <c r="K19" i="1"/>
  <c r="AK19" i="4" s="1"/>
  <c r="N19" i="1"/>
  <c r="E20" i="1"/>
  <c r="E20" i="4" s="1"/>
  <c r="K20" i="1"/>
  <c r="AK20" i="4" s="1"/>
  <c r="N20" i="1"/>
  <c r="K21" i="1"/>
  <c r="AK21" i="4" s="1"/>
  <c r="N21" i="1"/>
  <c r="K22" i="1"/>
  <c r="AK22" i="4" s="1"/>
  <c r="N22" i="1"/>
  <c r="K23" i="1"/>
  <c r="AK23" i="4" s="1"/>
  <c r="N23" i="1"/>
  <c r="K24" i="1"/>
  <c r="AK24" i="4" s="1"/>
  <c r="N24" i="1"/>
  <c r="K25" i="1"/>
  <c r="AK25" i="4" s="1"/>
  <c r="N25" i="1"/>
  <c r="K26" i="1"/>
  <c r="AK26" i="4" s="1"/>
  <c r="N26" i="1"/>
  <c r="K27" i="1"/>
  <c r="AK27" i="4" s="1"/>
  <c r="N27" i="1"/>
  <c r="K28" i="1"/>
  <c r="AK28" i="4" s="1"/>
  <c r="N28" i="1"/>
  <c r="K29" i="1"/>
  <c r="AK29" i="4" s="1"/>
  <c r="N29" i="1"/>
  <c r="K30" i="1"/>
  <c r="AK30" i="4" s="1"/>
  <c r="N30" i="1"/>
  <c r="K31" i="1"/>
  <c r="AK31" i="4" s="1"/>
  <c r="N31" i="1"/>
  <c r="Y20" i="4"/>
  <c r="X11" i="4"/>
  <c r="Z2" i="4"/>
  <c r="U24" i="4"/>
  <c r="P15" i="1" l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CD35" i="3"/>
  <c r="CC35" i="3"/>
  <c r="AB35" i="3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V35" i="3"/>
  <c r="I2" i="1"/>
  <c r="P2" i="1" s="1"/>
  <c r="E7" i="1"/>
  <c r="E7" i="4" s="1"/>
  <c r="E6" i="1"/>
  <c r="E6" i="4" s="1"/>
  <c r="E8" i="1"/>
  <c r="E8" i="4" s="1"/>
  <c r="BN35" i="3"/>
  <c r="R17" i="4"/>
  <c r="I17" i="1"/>
  <c r="P17" i="1" s="1"/>
  <c r="E35" i="3"/>
  <c r="E9" i="1"/>
  <c r="E9" i="4" s="1"/>
  <c r="BD35" i="3"/>
  <c r="DH35" i="3"/>
  <c r="L11" i="4"/>
  <c r="I30" i="1"/>
  <c r="P30" i="1" s="1"/>
  <c r="I25" i="1"/>
  <c r="P25" i="1" s="1"/>
  <c r="I14" i="1"/>
  <c r="P14" i="1" s="1"/>
  <c r="X30" i="4"/>
  <c r="BR35" i="3"/>
  <c r="X29" i="4"/>
  <c r="L29" i="4" s="1"/>
  <c r="X23" i="4"/>
  <c r="BH35" i="3"/>
  <c r="BF35" i="3"/>
  <c r="AZ35" i="3"/>
  <c r="AN35" i="3"/>
  <c r="AJ35" i="3"/>
  <c r="N30" i="4"/>
  <c r="AD35" i="3"/>
  <c r="I24" i="1"/>
  <c r="P24" i="1" s="1"/>
  <c r="T35" i="3"/>
  <c r="R35" i="3"/>
  <c r="P35" i="3"/>
  <c r="L35" i="3"/>
  <c r="C35" i="3"/>
  <c r="DW35" i="3"/>
  <c r="AJ14" i="4"/>
  <c r="AI14" i="4"/>
  <c r="DT35" i="3"/>
  <c r="DQ35" i="3"/>
  <c r="AH14" i="4"/>
  <c r="DN35" i="3"/>
  <c r="AG14" i="4"/>
  <c r="AF14" i="4"/>
  <c r="DK35" i="3"/>
  <c r="AE14" i="4"/>
  <c r="AD14" i="4"/>
  <c r="DE35" i="3"/>
  <c r="DB35" i="3"/>
  <c r="AC14" i="4"/>
  <c r="CY35" i="3"/>
  <c r="AB14" i="4"/>
  <c r="AA14" i="4"/>
  <c r="CV35" i="3"/>
  <c r="Y14" i="4"/>
  <c r="Z10" i="4"/>
  <c r="CS35" i="3"/>
  <c r="X21" i="4"/>
  <c r="L21" i="4" s="1"/>
  <c r="BB35" i="3"/>
  <c r="U22" i="4"/>
  <c r="AX35" i="3"/>
  <c r="AV35" i="3"/>
  <c r="AT35" i="3"/>
  <c r="R14" i="4"/>
  <c r="AR35" i="3"/>
  <c r="AP35" i="3"/>
  <c r="O15" i="4"/>
  <c r="N23" i="4"/>
  <c r="N14" i="4"/>
  <c r="N20" i="4"/>
  <c r="X20" i="4"/>
  <c r="I22" i="1"/>
  <c r="P22" i="1" s="1"/>
  <c r="Z35" i="3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CP35" i="3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BU35" i="3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  <c r="CL35" i="3"/>
</calcChain>
</file>

<file path=xl/sharedStrings.xml><?xml version="1.0" encoding="utf-8"?>
<sst xmlns="http://schemas.openxmlformats.org/spreadsheetml/2006/main" count="265" uniqueCount="129">
  <si>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</si>
  <si>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</si>
  <si>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</si>
  <si>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</si>
  <si>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</si>
  <si>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</si>
  <si>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</si>
  <si>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</si>
  <si>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</si>
  <si>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</si>
  <si>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</si>
  <si>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</si>
  <si>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</si>
  <si>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</si>
  <si>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</si>
  <si>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</si>
  <si>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</si>
  <si>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</si>
  <si>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</si>
  <si>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</si>
  <si>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</si>
  <si>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</si>
  <si>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</si>
  <si>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</si>
  <si>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</si>
  <si>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</si>
  <si>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</si>
  <si>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</si>
  <si>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</si>
  <si>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</si>
  <si>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</si>
  <si>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</si>
  <si>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</si>
  <si>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</si>
  <si>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</si>
  <si>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</si>
  <si>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</si>
  <si>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</si>
  <si>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</si>
  <si>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</si>
  <si>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</si>
  <si>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</si>
  <si>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</si>
  <si>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</si>
  <si>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</si>
  <si>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</si>
  <si>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</si>
  <si>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</si>
  <si>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</si>
  <si>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</si>
  <si>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</si>
  <si>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</si>
  <si>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</si>
  <si>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</si>
  <si>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</si>
  <si>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</si>
  <si>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</si>
  <si>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</si>
  <si>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</si>
  <si>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</si>
  <si>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</si>
  <si>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</si>
  <si>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</si>
  <si>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</si>
  <si>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</si>
  <si>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</si>
  <si>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</si>
  <si>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</si>
  <si>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</si>
  <si>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</si>
  <si>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</si>
  <si>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</si>
  <si>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</si>
  <si>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</si>
  <si>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</si>
  <si>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</si>
  <si>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</si>
  <si>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</si>
  <si>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</si>
  <si>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</si>
  <si>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</si>
  <si>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</si>
  <si>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</si>
  <si>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</si>
  <si>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</si>
  <si>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</si>
  <si>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</si>
  <si>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</si>
  <si>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</si>
  <si>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</si>
  <si>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</si>
  <si>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</si>
  <si>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</si>
  <si>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</si>
  <si>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</si>
  <si>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</si>
  <si>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</si>
  <si>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</si>
  <si>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</si>
  <si>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</si>
  <si>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</si>
  <si>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</si>
  <si>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</si>
  <si>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</si>
  <si>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</si>
  <si>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</si>
  <si>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</si>
  <si>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</si>
  <si>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</si>
  <si>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</si>
  <si>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</si>
  <si>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</si>
  <si>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</si>
  <si>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</si>
  <si>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</si>
  <si>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</si>
  <si>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</si>
  <si>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Island Sub</t>
  </si>
  <si>
    <t>Water Softener</t>
  </si>
  <si>
    <t>North Sub</t>
  </si>
  <si>
    <t>South Sub</t>
  </si>
  <si>
    <t>Pool Temperature</t>
  </si>
  <si>
    <t>KVA max</t>
  </si>
  <si>
    <t>Total water consump</t>
  </si>
  <si>
    <t>Total HW consump</t>
  </si>
  <si>
    <t xml:space="preserve">UV reading 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</si>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</sst>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0" xfId="2" applyAlignment="1">
      <alignment horizontal="center"/>
    </xf>
    <xf numFmtId="2" fontId="5" fillId="0" borderId="0" xfId="2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2" fontId="5" fillId="0" borderId="0" xfId="2" applyNumberFormat="1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5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6" fillId="0" borderId="0" xfId="0" applyFont="1" applyFill="1" applyBorder="1" applyProtection="1"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7" fillId="0" borderId="3" xfId="2" applyFont="1" applyFill="1" applyBorder="1" applyAlignment="1" applyProtection="1">
      <alignment horizontal="center"/>
      <protection locked="0"/>
    </xf>
    <xf numFmtId="0" fontId="7" fillId="0" borderId="8" xfId="2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2" xfId="2" applyFont="1" applyFill="1" applyBorder="1" applyProtection="1">
      <protection locked="0"/>
    </xf>
    <xf numFmtId="0" fontId="6" fillId="0" borderId="0" xfId="2" applyFont="1" applyFill="1" applyBorder="1" applyProtection="1">
      <protection locked="0"/>
    </xf>
    <xf numFmtId="0" fontId="7" fillId="0" borderId="3" xfId="0" applyFont="1" applyFill="1" applyBorder="1" applyAlignment="1" applyProtection="1">
      <protection locked="0"/>
    </xf>
    <xf numFmtId="0" fontId="7" fillId="0" borderId="8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7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5" fillId="0" borderId="2" xfId="2" applyFill="1" applyBorder="1" applyAlignment="1" applyProtection="1">
      <alignment horizontal="center" vertical="center"/>
      <protection locked="0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/>
      <protection locked="0"/>
    </xf>
    <xf numFmtId="1" fontId="0" fillId="0" borderId="22" xfId="0" applyNumberFormat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15" xfId="0" applyFill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5" fillId="0" borderId="2" xfId="2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15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1" fontId="0" fillId="7" borderId="2" xfId="0" applyNumberFormat="1" applyFill="1" applyBorder="1" applyAlignment="1">
      <alignment horizontal="center"/>
    </xf>
    <xf numFmtId="1" fontId="0" fillId="0" borderId="2" xfId="0" applyNumberForma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center"/>
      <protection locked="0"/>
    </xf>
    <xf numFmtId="0" fontId="7" fillId="5" borderId="5" xfId="0" applyFont="1" applyFill="1" applyBorder="1" applyAlignment="1" applyProtection="1">
      <alignment horizontal="center"/>
      <protection locked="0"/>
    </xf>
    <xf numFmtId="0" fontId="7" fillId="5" borderId="8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7" fillId="0" borderId="3" xfId="0" applyFont="1" applyFill="1" applyBorder="1" applyAlignment="1" applyProtection="1">
      <alignment horizontal="center"/>
      <protection locked="0"/>
    </xf>
    <xf numFmtId="0" fontId="7" fillId="0" borderId="5" xfId="0" applyFont="1" applyFill="1" applyBorder="1" applyAlignment="1" applyProtection="1">
      <alignment horizontal="center"/>
      <protection locked="0"/>
    </xf>
    <xf numFmtId="0" fontId="7" fillId="0" borderId="15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  <xf numFmtId="165" fontId="0" fillId="0" borderId="2" xfId="0" applyNumberFormat="1" applyFill="1" applyBorder="1" applyAlignment="1" applyProtection="1">
      <alignment horizontal="center" vertical="center" wrapText="1"/>
      <protection locked="0"/>
    </xf>
    <xf numFmtId="0" fontId="5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</cellXfs>
  <cellStyles count="3">
    <cellStyle name="Normal" xfId="0" builtinId="0"/>
    <cellStyle name="Normal 11" xfId="1"/>
    <cellStyle name="Normal 2" xfId="2"/>
  </cellStyles>
  <dxfs count="10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L14" activePane="bottomRight" state="frozen"/>
      <selection pane="topRight" activeCell="E1" sqref="E1"/>
      <selection pane="bottomLeft" activeCell="A14" sqref="A14"/>
      <selection pane="bottomRight" activeCell="C2" sqref="C2:C3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6</v>
      </c>
      <c r="C1" s="11" t="s">
        <v>1</v>
      </c>
      <c r="D1" s="11" t="s">
        <v>2</v>
      </c>
      <c r="E1" s="21" t="s">
        <v>7</v>
      </c>
      <c r="F1" s="21" t="s">
        <v>8</v>
      </c>
      <c r="G1" s="21" t="s">
        <v>9</v>
      </c>
      <c r="H1" s="21" t="s">
        <v>10</v>
      </c>
      <c r="I1" s="21" t="s">
        <v>3</v>
      </c>
      <c r="J1" s="21" t="s">
        <v>4</v>
      </c>
      <c r="K1" s="21" t="s">
        <v>5</v>
      </c>
      <c r="L1" s="23"/>
      <c r="M1" s="21"/>
      <c r="N1" s="21" t="s">
        <v>86</v>
      </c>
      <c r="O1" s="21" t="s">
        <v>87</v>
      </c>
      <c r="P1" s="21" t="s">
        <v>88</v>
      </c>
      <c r="Q1" s="21" t="s">
        <v>89</v>
      </c>
      <c r="R1" s="21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7</v>
      </c>
      <c r="D2" s="7">
        <v>2020</v>
      </c>
      <c r="E2" s="8">
        <f>HOTEL!E4</f>
        <v>3297</v>
      </c>
      <c r="F2" s="22">
        <v>6.21</v>
      </c>
      <c r="G2" s="8">
        <f>HOTEL!CL4</f>
        <v>107.75</v>
      </c>
      <c r="H2" s="22">
        <v>57.45</v>
      </c>
      <c r="I2" s="8">
        <f>HOTEL!V4+HOTEL!Z4</f>
        <v>59</v>
      </c>
      <c r="J2" s="22">
        <f>P2</f>
        <v>34</v>
      </c>
      <c r="K2" s="7">
        <f>HOTEL!EF4</f>
        <v>3</v>
      </c>
      <c r="L2" s="24"/>
      <c r="N2" s="7">
        <f>HOTEL!X4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22">
        <f>H2</f>
        <v>57.45</v>
      </c>
      <c r="S2" s="7">
        <v>33.880000000000003</v>
      </c>
      <c r="T2" s="8">
        <f>G2*H2</f>
        <v>6190.2375000000002</v>
      </c>
      <c r="U2" s="8">
        <f>I2*P2</f>
        <v>2006</v>
      </c>
    </row>
    <row r="3" spans="1:21" x14ac:dyDescent="0.2">
      <c r="A3" s="2" t="s">
        <v>77</v>
      </c>
      <c r="B3" s="7">
        <f>B2+1</f>
        <v>2</v>
      </c>
      <c r="C3" s="7">
        <v>7</v>
      </c>
      <c r="D3" s="7">
        <v>2020</v>
      </c>
      <c r="E3" s="8">
        <f>HOTEL!E5</f>
        <v>3279</v>
      </c>
      <c r="F3" s="22">
        <v>6.21</v>
      </c>
      <c r="G3" s="8">
        <f>HOTEL!CL5</f>
        <v>0</v>
      </c>
      <c r="H3" s="22">
        <v>57.45</v>
      </c>
      <c r="I3" s="8">
        <f>HOTEL!V5+HOTEL!Z5</f>
        <v>75</v>
      </c>
      <c r="J3" s="22">
        <f t="shared" ref="J3:J31" si="1">P3</f>
        <v>34</v>
      </c>
      <c r="K3" s="7">
        <f>HOTEL!EF5</f>
        <v>3</v>
      </c>
      <c r="L3" s="24"/>
      <c r="N3" s="7">
        <f>HOTEL!X5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22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2550</v>
      </c>
    </row>
    <row r="4" spans="1:21" x14ac:dyDescent="0.2">
      <c r="A4" s="2" t="s">
        <v>77</v>
      </c>
      <c r="B4" s="7">
        <f t="shared" ref="B4:B30" si="5">B3+1</f>
        <v>3</v>
      </c>
      <c r="C4" s="7">
        <v>7</v>
      </c>
      <c r="D4" s="7">
        <v>2020</v>
      </c>
      <c r="E4" s="8">
        <f>HOTEL!E6</f>
        <v>3144</v>
      </c>
      <c r="F4" s="22">
        <v>6.21</v>
      </c>
      <c r="G4" s="8">
        <f>HOTEL!CL6</f>
        <v>107.75</v>
      </c>
      <c r="H4" s="22">
        <v>57.45</v>
      </c>
      <c r="I4" s="8">
        <f>HOTEL!V6+HOTEL!Z6</f>
        <v>59</v>
      </c>
      <c r="J4" s="22">
        <f t="shared" si="1"/>
        <v>34</v>
      </c>
      <c r="K4" s="7">
        <f>HOTEL!EF6</f>
        <v>3</v>
      </c>
      <c r="L4" s="24"/>
      <c r="N4" s="7">
        <f>HOTEL!X6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22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2006</v>
      </c>
    </row>
    <row r="5" spans="1:21" x14ac:dyDescent="0.2">
      <c r="A5" s="2" t="s">
        <v>77</v>
      </c>
      <c r="B5" s="7">
        <f t="shared" si="5"/>
        <v>4</v>
      </c>
      <c r="C5" s="7">
        <v>7</v>
      </c>
      <c r="D5" s="7">
        <v>2020</v>
      </c>
      <c r="E5" s="8">
        <f>HOTEL!E7</f>
        <v>3415</v>
      </c>
      <c r="F5" s="22">
        <v>6.21</v>
      </c>
      <c r="G5" s="8">
        <f>HOTEL!CL7</f>
        <v>0</v>
      </c>
      <c r="H5" s="22">
        <v>57.45</v>
      </c>
      <c r="I5" s="8">
        <f>HOTEL!V7+HOTEL!Z7</f>
        <v>68</v>
      </c>
      <c r="J5" s="22">
        <f t="shared" si="1"/>
        <v>34</v>
      </c>
      <c r="K5" s="7">
        <f>HOTEL!EF7</f>
        <v>3</v>
      </c>
      <c r="L5" s="24"/>
      <c r="N5" s="7">
        <f>HOTEL!X7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22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2312</v>
      </c>
    </row>
    <row r="6" spans="1:21" x14ac:dyDescent="0.2">
      <c r="A6" s="2" t="s">
        <v>77</v>
      </c>
      <c r="B6" s="7">
        <f t="shared" si="5"/>
        <v>5</v>
      </c>
      <c r="C6" s="7">
        <v>7</v>
      </c>
      <c r="D6" s="7">
        <v>2020</v>
      </c>
      <c r="E6" s="8">
        <f>HOTEL!E8</f>
        <v>3148</v>
      </c>
      <c r="F6" s="22">
        <v>6.21</v>
      </c>
      <c r="G6" s="8">
        <f>HOTEL!CL8</f>
        <v>107.75</v>
      </c>
      <c r="H6" s="22">
        <v>57.45</v>
      </c>
      <c r="I6" s="8">
        <f>HOTEL!V8+HOTEL!Z8</f>
        <v>67</v>
      </c>
      <c r="J6" s="22">
        <f t="shared" si="1"/>
        <v>34</v>
      </c>
      <c r="K6" s="7">
        <f>HOTEL!EF8</f>
        <v>2</v>
      </c>
      <c r="L6" s="24"/>
      <c r="N6" s="7">
        <f>HOTEL!X8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22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2278</v>
      </c>
    </row>
    <row r="7" spans="1:21" x14ac:dyDescent="0.2">
      <c r="A7" s="2" t="s">
        <v>77</v>
      </c>
      <c r="B7" s="7">
        <f t="shared" si="5"/>
        <v>6</v>
      </c>
      <c r="C7" s="7">
        <v>7</v>
      </c>
      <c r="D7" s="7">
        <v>2020</v>
      </c>
      <c r="E7" s="8">
        <f>HOTEL!E9</f>
        <v>3464</v>
      </c>
      <c r="F7" s="22">
        <v>6.21</v>
      </c>
      <c r="G7" s="8">
        <f>HOTEL!CL9</f>
        <v>0</v>
      </c>
      <c r="H7" s="22">
        <v>57.45</v>
      </c>
      <c r="I7" s="8">
        <f>HOTEL!V9+HOTEL!Z9</f>
        <v>68</v>
      </c>
      <c r="J7" s="22">
        <f t="shared" si="1"/>
        <v>34</v>
      </c>
      <c r="K7" s="7">
        <f>HOTEL!EF9</f>
        <v>2</v>
      </c>
      <c r="L7" s="24"/>
      <c r="N7" s="7">
        <f>HOTEL!X9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22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2312</v>
      </c>
    </row>
    <row r="8" spans="1:21" x14ac:dyDescent="0.2">
      <c r="A8" s="2" t="s">
        <v>77</v>
      </c>
      <c r="B8" s="7">
        <f t="shared" si="5"/>
        <v>7</v>
      </c>
      <c r="C8" s="7">
        <v>7</v>
      </c>
      <c r="D8" s="7">
        <v>2020</v>
      </c>
      <c r="E8" s="8">
        <f>HOTEL!E10</f>
        <v>3430</v>
      </c>
      <c r="F8" s="22">
        <v>6.21</v>
      </c>
      <c r="G8" s="8">
        <f>HOTEL!CL10</f>
        <v>107.75</v>
      </c>
      <c r="H8" s="22">
        <v>57.45</v>
      </c>
      <c r="I8" s="8">
        <f>HOTEL!V10+HOTEL!Z10</f>
        <v>89</v>
      </c>
      <c r="J8" s="22">
        <f t="shared" si="1"/>
        <v>34</v>
      </c>
      <c r="K8" s="7">
        <f>HOTEL!EF10</f>
        <v>2</v>
      </c>
      <c r="L8" s="24"/>
      <c r="N8" s="7">
        <f>HOTEL!X10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22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3026</v>
      </c>
    </row>
    <row r="9" spans="1:21" x14ac:dyDescent="0.2">
      <c r="A9" s="2" t="s">
        <v>77</v>
      </c>
      <c r="B9" s="7">
        <f t="shared" si="5"/>
        <v>8</v>
      </c>
      <c r="C9" s="7">
        <v>7</v>
      </c>
      <c r="D9" s="7">
        <v>2020</v>
      </c>
      <c r="E9" s="8">
        <f>HOTEL!E11</f>
        <v>3379</v>
      </c>
      <c r="F9" s="22">
        <v>6.21</v>
      </c>
      <c r="G9" s="8">
        <f>HOTEL!CL11</f>
        <v>0</v>
      </c>
      <c r="H9" s="22">
        <v>57.45</v>
      </c>
      <c r="I9" s="8">
        <f>HOTEL!V11+HOTEL!Z11</f>
        <v>73</v>
      </c>
      <c r="J9" s="22">
        <f t="shared" si="1"/>
        <v>34</v>
      </c>
      <c r="K9" s="7">
        <f>HOTEL!EF11</f>
        <v>2</v>
      </c>
      <c r="L9" s="24"/>
      <c r="N9" s="7">
        <f>HOTEL!X11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22">
        <f t="shared" si="2"/>
        <v>57.45</v>
      </c>
      <c r="S9" s="7">
        <v>33.880000000000003</v>
      </c>
      <c r="T9" s="8">
        <f>G9*H9</f>
        <v>0</v>
      </c>
      <c r="U9" s="8">
        <f t="shared" si="4"/>
        <v>2482</v>
      </c>
    </row>
    <row r="10" spans="1:21" x14ac:dyDescent="0.2">
      <c r="A10" s="2" t="s">
        <v>77</v>
      </c>
      <c r="B10" s="7">
        <f t="shared" si="5"/>
        <v>9</v>
      </c>
      <c r="C10" s="7">
        <v>7</v>
      </c>
      <c r="D10" s="7">
        <v>2020</v>
      </c>
      <c r="E10" s="8">
        <f>HOTEL!E12</f>
        <v>3546</v>
      </c>
      <c r="F10" s="22">
        <v>6.21</v>
      </c>
      <c r="G10" s="8">
        <f>HOTEL!CL12</f>
        <v>215.5</v>
      </c>
      <c r="H10" s="22">
        <v>57.45</v>
      </c>
      <c r="I10" s="8">
        <f>HOTEL!V12+HOTEL!Z12</f>
        <v>63</v>
      </c>
      <c r="J10" s="22">
        <f t="shared" si="1"/>
        <v>34</v>
      </c>
      <c r="K10" s="7">
        <f>HOTEL!EF12</f>
        <v>2</v>
      </c>
      <c r="L10" s="24"/>
      <c r="N10" s="7">
        <f>HOTEL!X12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22">
        <f t="shared" si="2"/>
        <v>57.45</v>
      </c>
      <c r="S10" s="7">
        <v>33.93</v>
      </c>
      <c r="T10" s="8">
        <f t="shared" si="3"/>
        <v>12380.475</v>
      </c>
      <c r="U10" s="8">
        <f t="shared" si="4"/>
        <v>2142</v>
      </c>
    </row>
    <row r="11" spans="1:21" x14ac:dyDescent="0.2">
      <c r="A11" s="2" t="s">
        <v>77</v>
      </c>
      <c r="B11" s="7">
        <f t="shared" si="5"/>
        <v>10</v>
      </c>
      <c r="C11" s="7">
        <v>7</v>
      </c>
      <c r="D11" s="7">
        <v>2020</v>
      </c>
      <c r="E11" s="8">
        <f>HOTEL!E13</f>
        <v>3325</v>
      </c>
      <c r="F11" s="22">
        <v>6.21</v>
      </c>
      <c r="G11" s="8">
        <f>HOTEL!CL13</f>
        <v>0</v>
      </c>
      <c r="H11" s="22">
        <v>57.45</v>
      </c>
      <c r="I11" s="8">
        <f>HOTEL!V13+HOTEL!Z13</f>
        <v>69</v>
      </c>
      <c r="J11" s="22">
        <f t="shared" si="1"/>
        <v>34</v>
      </c>
      <c r="K11" s="7">
        <f>HOTEL!EF13</f>
        <v>2</v>
      </c>
      <c r="L11" s="24"/>
      <c r="N11" s="7">
        <f>HOTEL!X13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22">
        <f t="shared" si="2"/>
        <v>57.45</v>
      </c>
      <c r="S11" s="7">
        <v>33.93</v>
      </c>
      <c r="T11" s="8">
        <f>G11*H11</f>
        <v>0</v>
      </c>
      <c r="U11" s="8">
        <f t="shared" si="4"/>
        <v>2346</v>
      </c>
    </row>
    <row r="12" spans="1:21" x14ac:dyDescent="0.2">
      <c r="A12" s="2" t="s">
        <v>77</v>
      </c>
      <c r="B12" s="7">
        <f t="shared" si="5"/>
        <v>11</v>
      </c>
      <c r="C12" s="7">
        <v>7</v>
      </c>
      <c r="D12" s="7">
        <v>2020</v>
      </c>
      <c r="E12" s="8">
        <f>HOTEL!E14</f>
        <v>3640</v>
      </c>
      <c r="F12" s="22">
        <v>6.21</v>
      </c>
      <c r="G12" s="8">
        <f>HOTEL!CL14</f>
        <v>0</v>
      </c>
      <c r="H12" s="22">
        <v>57.45</v>
      </c>
      <c r="I12" s="8">
        <f>HOTEL!V14+HOTEL!Z14</f>
        <v>68</v>
      </c>
      <c r="J12" s="22">
        <f t="shared" si="1"/>
        <v>34</v>
      </c>
      <c r="K12" s="7">
        <f>HOTEL!EF14</f>
        <v>2</v>
      </c>
      <c r="L12" s="24"/>
      <c r="N12" s="7">
        <f>HOTEL!X14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22">
        <f t="shared" si="2"/>
        <v>57.45</v>
      </c>
      <c r="S12" s="7">
        <v>33.93</v>
      </c>
      <c r="T12" s="8">
        <f>G12*H12</f>
        <v>0</v>
      </c>
      <c r="U12" s="8">
        <f t="shared" si="4"/>
        <v>2312</v>
      </c>
    </row>
    <row r="13" spans="1:21" x14ac:dyDescent="0.2">
      <c r="A13" s="2" t="s">
        <v>77</v>
      </c>
      <c r="B13" s="7">
        <f t="shared" si="5"/>
        <v>12</v>
      </c>
      <c r="C13" s="7">
        <v>7</v>
      </c>
      <c r="D13" s="7">
        <v>2020</v>
      </c>
      <c r="E13" s="8">
        <f>HOTEL!E15</f>
        <v>3338</v>
      </c>
      <c r="F13" s="22">
        <v>6.21</v>
      </c>
      <c r="G13" s="8">
        <f>HOTEL!CL15</f>
        <v>107.75</v>
      </c>
      <c r="H13" s="22">
        <v>57.45</v>
      </c>
      <c r="I13" s="8">
        <f>HOTEL!V15+HOTEL!Z15</f>
        <v>66</v>
      </c>
      <c r="J13" s="22">
        <f t="shared" si="1"/>
        <v>34</v>
      </c>
      <c r="K13" s="7">
        <f>HOTEL!EF15</f>
        <v>2</v>
      </c>
      <c r="L13" s="24"/>
      <c r="N13" s="7">
        <f>HOTEL!X15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22">
        <f t="shared" si="2"/>
        <v>57.45</v>
      </c>
      <c r="S13" s="7">
        <v>33.93</v>
      </c>
      <c r="T13" s="8">
        <f t="shared" si="3"/>
        <v>6190.2375000000002</v>
      </c>
      <c r="U13" s="8">
        <f t="shared" si="4"/>
        <v>2244</v>
      </c>
    </row>
    <row r="14" spans="1:21" x14ac:dyDescent="0.2">
      <c r="A14" s="2" t="s">
        <v>77</v>
      </c>
      <c r="B14" s="7">
        <f t="shared" si="5"/>
        <v>13</v>
      </c>
      <c r="C14" s="7">
        <v>7</v>
      </c>
      <c r="D14" s="7">
        <v>2020</v>
      </c>
      <c r="E14" s="8">
        <f>HOTEL!E16</f>
        <v>3953</v>
      </c>
      <c r="F14" s="22">
        <v>6.21</v>
      </c>
      <c r="G14" s="8">
        <f>HOTEL!CL16</f>
        <v>215.5</v>
      </c>
      <c r="H14" s="22">
        <v>57.45</v>
      </c>
      <c r="I14" s="8">
        <f>HOTEL!V16+HOTEL!Z16</f>
        <v>85</v>
      </c>
      <c r="J14" s="22">
        <f t="shared" si="1"/>
        <v>34</v>
      </c>
      <c r="K14" s="7">
        <f>HOTEL!EF16</f>
        <v>2</v>
      </c>
      <c r="L14" s="24"/>
      <c r="N14" s="7">
        <f>HOTEL!X16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22">
        <f t="shared" si="2"/>
        <v>57.45</v>
      </c>
      <c r="S14" s="7">
        <v>33.93</v>
      </c>
      <c r="T14" s="8">
        <f t="shared" si="3"/>
        <v>12380.475</v>
      </c>
      <c r="U14" s="8">
        <f t="shared" si="4"/>
        <v>2890</v>
      </c>
    </row>
    <row r="15" spans="1:21" x14ac:dyDescent="0.2">
      <c r="A15" s="2" t="s">
        <v>77</v>
      </c>
      <c r="B15" s="7">
        <f t="shared" si="5"/>
        <v>14</v>
      </c>
      <c r="C15" s="7">
        <v>7</v>
      </c>
      <c r="D15" s="7">
        <v>2020</v>
      </c>
      <c r="E15" s="8">
        <f>HOTEL!E17</f>
        <v>3907</v>
      </c>
      <c r="F15" s="22">
        <v>6.21</v>
      </c>
      <c r="G15" s="8">
        <f>HOTEL!CL17</f>
        <v>215.5</v>
      </c>
      <c r="H15" s="22">
        <v>57.45</v>
      </c>
      <c r="I15" s="8">
        <f>HOTEL!V17+HOTEL!Z17</f>
        <v>96</v>
      </c>
      <c r="J15" s="22">
        <f t="shared" si="1"/>
        <v>34</v>
      </c>
      <c r="K15" s="7">
        <f>HOTEL!EF17</f>
        <v>2</v>
      </c>
      <c r="L15" s="24"/>
      <c r="N15" s="7">
        <f>HOTEL!X17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22">
        <f t="shared" si="2"/>
        <v>57.45</v>
      </c>
      <c r="S15" s="7">
        <v>33.93</v>
      </c>
      <c r="T15" s="8">
        <f t="shared" si="3"/>
        <v>12380.475</v>
      </c>
      <c r="U15" s="8">
        <f t="shared" si="4"/>
        <v>3264</v>
      </c>
    </row>
    <row r="16" spans="1:21" x14ac:dyDescent="0.2">
      <c r="A16" s="2" t="s">
        <v>77</v>
      </c>
      <c r="B16" s="7">
        <f t="shared" si="5"/>
        <v>15</v>
      </c>
      <c r="C16" s="7">
        <v>7</v>
      </c>
      <c r="D16" s="7">
        <v>2020</v>
      </c>
      <c r="E16" s="8">
        <f>HOTEL!E18</f>
        <v>3834</v>
      </c>
      <c r="F16" s="22">
        <v>6.21</v>
      </c>
      <c r="G16" s="8">
        <f>HOTEL!CL18</f>
        <v>107.75</v>
      </c>
      <c r="H16" s="22">
        <v>57.45</v>
      </c>
      <c r="I16" s="8">
        <f>HOTEL!V18+HOTEL!Z18</f>
        <v>86</v>
      </c>
      <c r="J16" s="22">
        <f t="shared" si="1"/>
        <v>34</v>
      </c>
      <c r="K16" s="7">
        <f>HOTEL!EF18</f>
        <v>2</v>
      </c>
      <c r="L16" s="24"/>
      <c r="N16" s="7">
        <f>HOTEL!X18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22">
        <f t="shared" si="2"/>
        <v>57.45</v>
      </c>
      <c r="S16" s="7">
        <v>33.93</v>
      </c>
      <c r="T16" s="8">
        <f t="shared" si="3"/>
        <v>6190.2375000000002</v>
      </c>
      <c r="U16" s="8">
        <f t="shared" si="4"/>
        <v>2924</v>
      </c>
    </row>
    <row r="17" spans="1:21" x14ac:dyDescent="0.2">
      <c r="A17" s="2" t="s">
        <v>77</v>
      </c>
      <c r="B17" s="7">
        <f t="shared" si="5"/>
        <v>16</v>
      </c>
      <c r="C17" s="7">
        <v>7</v>
      </c>
      <c r="D17" s="7">
        <v>2020</v>
      </c>
      <c r="E17" s="8">
        <f>HOTEL!E19</f>
        <v>3646</v>
      </c>
      <c r="F17" s="22">
        <v>6.21</v>
      </c>
      <c r="G17" s="8">
        <f>HOTEL!CL19</f>
        <v>107.75</v>
      </c>
      <c r="H17" s="22">
        <v>57.45</v>
      </c>
      <c r="I17" s="8">
        <f>HOTEL!V19+HOTEL!Z19</f>
        <v>71</v>
      </c>
      <c r="J17" s="22">
        <f t="shared" si="1"/>
        <v>34</v>
      </c>
      <c r="K17" s="7">
        <f>HOTEL!EF19</f>
        <v>2</v>
      </c>
      <c r="L17" s="24"/>
      <c r="N17" s="7">
        <f>HOTEL!X19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22">
        <f t="shared" si="2"/>
        <v>57.45</v>
      </c>
      <c r="S17" s="7">
        <v>33.93</v>
      </c>
      <c r="T17" s="8">
        <f t="shared" si="3"/>
        <v>6190.2375000000002</v>
      </c>
      <c r="U17" s="8">
        <f t="shared" si="4"/>
        <v>2414</v>
      </c>
    </row>
    <row r="18" spans="1:21" x14ac:dyDescent="0.2">
      <c r="A18" s="2" t="s">
        <v>77</v>
      </c>
      <c r="B18" s="7">
        <f t="shared" si="5"/>
        <v>17</v>
      </c>
      <c r="C18" s="7">
        <v>7</v>
      </c>
      <c r="D18" s="7">
        <v>2020</v>
      </c>
      <c r="E18" s="8">
        <f>HOTEL!E20</f>
        <v>3668</v>
      </c>
      <c r="F18" s="22">
        <v>6.21</v>
      </c>
      <c r="G18" s="8">
        <f>HOTEL!CL20</f>
        <v>107.75</v>
      </c>
      <c r="H18" s="22">
        <v>57.45</v>
      </c>
      <c r="I18" s="8">
        <f>HOTEL!V20+HOTEL!Z20</f>
        <v>89</v>
      </c>
      <c r="J18" s="22">
        <f t="shared" si="1"/>
        <v>34</v>
      </c>
      <c r="K18" s="7">
        <f>HOTEL!EF20</f>
        <v>1</v>
      </c>
      <c r="L18" s="24"/>
      <c r="N18" s="7">
        <f>HOTEL!X20</f>
        <v>0</v>
      </c>
      <c r="O18" s="7">
        <f t="shared" si="0"/>
        <v>0</v>
      </c>
      <c r="P18" s="8">
        <f>IFERROR(((((HOTEL!V20*34))+(N18*2500))/(I18+N18*25)),0)</f>
        <v>34</v>
      </c>
      <c r="Q18" s="7">
        <v>6.21</v>
      </c>
      <c r="R18" s="22">
        <f t="shared" si="2"/>
        <v>57.45</v>
      </c>
      <c r="S18" s="7">
        <v>33.93</v>
      </c>
      <c r="T18" s="8">
        <f t="shared" si="3"/>
        <v>6190.2375000000002</v>
      </c>
      <c r="U18" s="8">
        <f t="shared" si="4"/>
        <v>3026</v>
      </c>
    </row>
    <row r="19" spans="1:21" x14ac:dyDescent="0.2">
      <c r="A19" s="2" t="s">
        <v>77</v>
      </c>
      <c r="B19" s="7">
        <f t="shared" si="5"/>
        <v>18</v>
      </c>
      <c r="C19" s="7">
        <v>7</v>
      </c>
      <c r="D19" s="7">
        <v>2020</v>
      </c>
      <c r="E19" s="8">
        <f>HOTEL!E21</f>
        <v>3433</v>
      </c>
      <c r="F19" s="22">
        <v>6.21</v>
      </c>
      <c r="G19" s="8">
        <f>HOTEL!CL21</f>
        <v>107.75</v>
      </c>
      <c r="H19" s="22">
        <v>57.45</v>
      </c>
      <c r="I19" s="8">
        <f>HOTEL!V21+HOTEL!Z21</f>
        <v>48</v>
      </c>
      <c r="J19" s="22">
        <f t="shared" si="1"/>
        <v>34</v>
      </c>
      <c r="K19" s="7">
        <f>HOTEL!EF21</f>
        <v>1</v>
      </c>
      <c r="L19" s="24"/>
      <c r="N19" s="7">
        <f>HOTEL!X21</f>
        <v>0</v>
      </c>
      <c r="O19" s="7">
        <f t="shared" si="0"/>
        <v>0</v>
      </c>
      <c r="P19" s="8">
        <f>IFERROR(((((HOTEL!V21*34))+(N19*2500))/(I19+N19*25)),0)</f>
        <v>34</v>
      </c>
      <c r="Q19" s="7">
        <v>6.21</v>
      </c>
      <c r="R19" s="22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1632</v>
      </c>
    </row>
    <row r="20" spans="1:21" x14ac:dyDescent="0.2">
      <c r="A20" s="2" t="s">
        <v>77</v>
      </c>
      <c r="B20" s="7">
        <f t="shared" si="5"/>
        <v>19</v>
      </c>
      <c r="C20" s="7">
        <v>7</v>
      </c>
      <c r="D20" s="7">
        <v>2020</v>
      </c>
      <c r="E20" s="8">
        <f>HOTEL!E22</f>
        <v>3376</v>
      </c>
      <c r="F20" s="22">
        <v>6.21</v>
      </c>
      <c r="G20" s="8">
        <f>HOTEL!CL22</f>
        <v>107.75</v>
      </c>
      <c r="H20" s="22">
        <v>57.45</v>
      </c>
      <c r="I20" s="8">
        <f>HOTEL!V22+HOTEL!Z22</f>
        <v>75</v>
      </c>
      <c r="J20" s="22">
        <f t="shared" si="1"/>
        <v>34</v>
      </c>
      <c r="K20" s="7">
        <f>HOTEL!EF22</f>
        <v>1</v>
      </c>
      <c r="L20" s="24"/>
      <c r="N20" s="7">
        <f>HOTEL!X22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22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2550</v>
      </c>
    </row>
    <row r="21" spans="1:21" x14ac:dyDescent="0.2">
      <c r="A21" s="2" t="s">
        <v>77</v>
      </c>
      <c r="B21" s="7">
        <f t="shared" si="5"/>
        <v>20</v>
      </c>
      <c r="C21" s="7">
        <v>7</v>
      </c>
      <c r="D21" s="7">
        <v>2020</v>
      </c>
      <c r="E21" s="8">
        <f>HOTEL!E23</f>
        <v>3512</v>
      </c>
      <c r="F21" s="22">
        <v>6.21</v>
      </c>
      <c r="G21" s="8">
        <f>HOTEL!CL23</f>
        <v>107.75</v>
      </c>
      <c r="H21" s="22">
        <v>57.45</v>
      </c>
      <c r="I21" s="8">
        <f>HOTEL!V23+HOTEL!Z23</f>
        <v>73</v>
      </c>
      <c r="J21" s="22">
        <f t="shared" si="1"/>
        <v>34</v>
      </c>
      <c r="K21" s="7">
        <f>HOTEL!EF23</f>
        <v>1</v>
      </c>
      <c r="L21" s="24"/>
      <c r="N21" s="7">
        <f>HOTEL!X23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22">
        <f t="shared" si="2"/>
        <v>57.45</v>
      </c>
      <c r="S21" s="7">
        <v>33.93</v>
      </c>
      <c r="T21" s="8">
        <f>G21*H21</f>
        <v>6190.2375000000002</v>
      </c>
      <c r="U21" s="8">
        <f t="shared" si="4"/>
        <v>2482</v>
      </c>
    </row>
    <row r="22" spans="1:21" x14ac:dyDescent="0.2">
      <c r="A22" s="2" t="s">
        <v>77</v>
      </c>
      <c r="B22" s="7">
        <f t="shared" si="5"/>
        <v>21</v>
      </c>
      <c r="C22" s="7">
        <v>7</v>
      </c>
      <c r="D22" s="7">
        <v>2020</v>
      </c>
      <c r="E22" s="8">
        <f>HOTEL!E24</f>
        <v>3645</v>
      </c>
      <c r="F22" s="22">
        <v>6.21</v>
      </c>
      <c r="G22" s="8">
        <f>HOTEL!CL24</f>
        <v>0</v>
      </c>
      <c r="H22" s="22">
        <v>57.45</v>
      </c>
      <c r="I22" s="8">
        <f>HOTEL!V24+HOTEL!Z24</f>
        <v>85</v>
      </c>
      <c r="J22" s="22">
        <f t="shared" si="1"/>
        <v>34</v>
      </c>
      <c r="K22" s="7">
        <f>HOTEL!EF24</f>
        <v>1</v>
      </c>
      <c r="L22" s="24"/>
      <c r="N22" s="7">
        <f>HOTEL!X24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22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2890</v>
      </c>
    </row>
    <row r="23" spans="1:21" x14ac:dyDescent="0.2">
      <c r="A23" s="2" t="s">
        <v>77</v>
      </c>
      <c r="B23" s="7">
        <f t="shared" si="5"/>
        <v>22</v>
      </c>
      <c r="C23" s="7">
        <v>7</v>
      </c>
      <c r="D23" s="7">
        <v>2020</v>
      </c>
      <c r="E23" s="8">
        <f>HOTEL!E25</f>
        <v>3421</v>
      </c>
      <c r="F23" s="22">
        <v>6.21</v>
      </c>
      <c r="G23" s="8">
        <f>HOTEL!CL25</f>
        <v>0</v>
      </c>
      <c r="H23" s="22">
        <v>57.45</v>
      </c>
      <c r="I23" s="8">
        <f>HOTEL!V25+HOTEL!Z25</f>
        <v>74</v>
      </c>
      <c r="J23" s="22">
        <f t="shared" si="1"/>
        <v>34</v>
      </c>
      <c r="K23" s="7">
        <f>HOTEL!EF25</f>
        <v>1</v>
      </c>
      <c r="L23" s="24"/>
      <c r="N23" s="7">
        <f>HOTEL!X25</f>
        <v>0</v>
      </c>
      <c r="O23" s="7">
        <f t="shared" si="6"/>
        <v>0</v>
      </c>
      <c r="P23" s="8">
        <f>IFERROR(((((HOTEL!V25*34))+(N23*2500))/(I23+N23*25)),0)</f>
        <v>34</v>
      </c>
      <c r="Q23" s="7">
        <v>6.21</v>
      </c>
      <c r="R23" s="22">
        <f t="shared" si="2"/>
        <v>57.45</v>
      </c>
      <c r="S23" s="7">
        <v>33.93</v>
      </c>
      <c r="T23" s="8">
        <f t="shared" si="7"/>
        <v>0</v>
      </c>
      <c r="U23" s="8">
        <f t="shared" si="4"/>
        <v>2516</v>
      </c>
    </row>
    <row r="24" spans="1:21" x14ac:dyDescent="0.2">
      <c r="A24" s="2" t="s">
        <v>77</v>
      </c>
      <c r="B24" s="7">
        <f t="shared" si="5"/>
        <v>23</v>
      </c>
      <c r="C24" s="7">
        <v>7</v>
      </c>
      <c r="D24" s="7">
        <v>2020</v>
      </c>
      <c r="E24" s="8">
        <f>HOTEL!E26</f>
        <v>3504</v>
      </c>
      <c r="F24" s="22">
        <v>6.21</v>
      </c>
      <c r="G24" s="8">
        <f>HOTEL!CL26</f>
        <v>107.75</v>
      </c>
      <c r="H24" s="22">
        <v>57.45</v>
      </c>
      <c r="I24" s="8">
        <f>HOTEL!V26+HOTEL!Z26</f>
        <v>64</v>
      </c>
      <c r="J24" s="22">
        <f t="shared" si="1"/>
        <v>34</v>
      </c>
      <c r="K24" s="7">
        <f>HOTEL!EF26</f>
        <v>1</v>
      </c>
      <c r="L24" s="24"/>
      <c r="N24" s="7">
        <f>HOTEL!X26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22">
        <f t="shared" si="2"/>
        <v>57.45</v>
      </c>
      <c r="S24" s="7">
        <v>33.93</v>
      </c>
      <c r="T24" s="8">
        <f t="shared" si="7"/>
        <v>6190.2375000000002</v>
      </c>
      <c r="U24" s="8">
        <f t="shared" si="4"/>
        <v>2176</v>
      </c>
    </row>
    <row r="25" spans="1:21" x14ac:dyDescent="0.2">
      <c r="A25" s="2" t="s">
        <v>77</v>
      </c>
      <c r="B25" s="7">
        <f t="shared" si="5"/>
        <v>24</v>
      </c>
      <c r="C25" s="7">
        <v>7</v>
      </c>
      <c r="D25" s="7">
        <v>2020</v>
      </c>
      <c r="E25" s="8">
        <f>HOTEL!E27</f>
        <v>3433</v>
      </c>
      <c r="F25" s="22">
        <v>6.21</v>
      </c>
      <c r="G25" s="8">
        <f>HOTEL!CL27</f>
        <v>107.75</v>
      </c>
      <c r="H25" s="22">
        <v>57.45</v>
      </c>
      <c r="I25" s="8">
        <f>HOTEL!V27+HOTEL!Z27</f>
        <v>122</v>
      </c>
      <c r="J25" s="22">
        <f t="shared" si="1"/>
        <v>34</v>
      </c>
      <c r="K25" s="7">
        <f>HOTEL!EF27</f>
        <v>1</v>
      </c>
      <c r="L25" s="24"/>
      <c r="N25" s="7">
        <f>HOTEL!X27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22">
        <f t="shared" si="2"/>
        <v>57.45</v>
      </c>
      <c r="S25" s="7">
        <v>33.93</v>
      </c>
      <c r="T25" s="8">
        <f t="shared" si="7"/>
        <v>6190.2375000000002</v>
      </c>
      <c r="U25" s="8">
        <f t="shared" si="4"/>
        <v>4148</v>
      </c>
    </row>
    <row r="26" spans="1:21" x14ac:dyDescent="0.2">
      <c r="A26" s="2" t="s">
        <v>77</v>
      </c>
      <c r="B26" s="7">
        <f>B25+1</f>
        <v>25</v>
      </c>
      <c r="C26" s="7">
        <v>7</v>
      </c>
      <c r="D26" s="7">
        <v>2020</v>
      </c>
      <c r="E26" s="8">
        <f>HOTEL!E28</f>
        <v>3210</v>
      </c>
      <c r="F26" s="22">
        <v>6.21</v>
      </c>
      <c r="G26" s="8">
        <f>HOTEL!CL28</f>
        <v>107.75</v>
      </c>
      <c r="H26" s="22">
        <v>57.45</v>
      </c>
      <c r="I26" s="8">
        <f>HOTEL!V28+HOTEL!Z28</f>
        <v>33</v>
      </c>
      <c r="J26" s="22">
        <f t="shared" si="1"/>
        <v>34</v>
      </c>
      <c r="K26" s="7">
        <f>HOTEL!EF28</f>
        <v>1</v>
      </c>
      <c r="L26" s="24"/>
      <c r="N26" s="7">
        <f>HOTEL!X28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22">
        <f t="shared" si="2"/>
        <v>57.45</v>
      </c>
      <c r="S26" s="7">
        <v>33.93</v>
      </c>
      <c r="T26" s="8">
        <f t="shared" si="7"/>
        <v>6190.2375000000002</v>
      </c>
      <c r="U26" s="8">
        <f t="shared" si="4"/>
        <v>1122</v>
      </c>
    </row>
    <row r="27" spans="1:21" x14ac:dyDescent="0.2">
      <c r="A27" s="2" t="s">
        <v>77</v>
      </c>
      <c r="B27" s="7">
        <f t="shared" si="5"/>
        <v>26</v>
      </c>
      <c r="C27" s="7">
        <v>7</v>
      </c>
      <c r="D27" s="7">
        <v>2020</v>
      </c>
      <c r="E27" s="8">
        <f>HOTEL!E29</f>
        <v>3547</v>
      </c>
      <c r="F27" s="22">
        <v>6.21</v>
      </c>
      <c r="G27" s="8">
        <f>HOTEL!CL29</f>
        <v>107.75</v>
      </c>
      <c r="H27" s="22">
        <v>57.45</v>
      </c>
      <c r="I27" s="8">
        <f>HOTEL!V29+HOTEL!Z29</f>
        <v>74</v>
      </c>
      <c r="J27" s="22">
        <f t="shared" si="1"/>
        <v>34</v>
      </c>
      <c r="K27" s="7">
        <f>HOTEL!EF29</f>
        <v>1</v>
      </c>
      <c r="L27" s="24"/>
      <c r="N27" s="7">
        <f>HOTEL!X29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22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2516</v>
      </c>
    </row>
    <row r="28" spans="1:21" x14ac:dyDescent="0.2">
      <c r="A28" s="2" t="s">
        <v>77</v>
      </c>
      <c r="B28" s="7">
        <f t="shared" si="5"/>
        <v>27</v>
      </c>
      <c r="C28" s="7">
        <v>7</v>
      </c>
      <c r="D28" s="7">
        <v>2020</v>
      </c>
      <c r="E28" s="8">
        <f>HOTEL!E30</f>
        <v>3504</v>
      </c>
      <c r="F28" s="22">
        <v>6.21</v>
      </c>
      <c r="G28" s="8">
        <f>HOTEL!CL30</f>
        <v>107.75</v>
      </c>
      <c r="H28" s="22">
        <v>57.45</v>
      </c>
      <c r="I28" s="8">
        <f>HOTEL!V30+HOTEL!Z30</f>
        <v>78</v>
      </c>
      <c r="J28" s="22">
        <f t="shared" si="1"/>
        <v>34</v>
      </c>
      <c r="K28" s="7">
        <f>HOTEL!EF30</f>
        <v>1</v>
      </c>
      <c r="L28" s="24"/>
      <c r="N28" s="7">
        <f>HOTEL!X30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22">
        <f t="shared" si="2"/>
        <v>57.45</v>
      </c>
      <c r="S28" s="7">
        <v>33.93</v>
      </c>
      <c r="T28" s="8">
        <f t="shared" si="7"/>
        <v>6190.2375000000002</v>
      </c>
      <c r="U28" s="8">
        <f t="shared" si="4"/>
        <v>2652</v>
      </c>
    </row>
    <row r="29" spans="1:21" x14ac:dyDescent="0.2">
      <c r="A29" s="2" t="s">
        <v>77</v>
      </c>
      <c r="B29" s="7">
        <f t="shared" si="5"/>
        <v>28</v>
      </c>
      <c r="C29" s="7">
        <v>7</v>
      </c>
      <c r="D29" s="7">
        <v>2020</v>
      </c>
      <c r="E29" s="8">
        <f>HOTEL!E31</f>
        <v>3618</v>
      </c>
      <c r="F29" s="22">
        <v>6.21</v>
      </c>
      <c r="G29" s="8">
        <f>HOTEL!CL31</f>
        <v>0</v>
      </c>
      <c r="H29" s="22">
        <v>57.45</v>
      </c>
      <c r="I29" s="8">
        <f>HOTEL!V31+HOTEL!Z31</f>
        <v>70</v>
      </c>
      <c r="J29" s="22">
        <f t="shared" si="1"/>
        <v>34</v>
      </c>
      <c r="K29" s="7">
        <f>HOTEL!EF31</f>
        <v>1</v>
      </c>
      <c r="L29" s="24"/>
      <c r="N29" s="7">
        <f>HOTEL!X31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22">
        <f t="shared" si="2"/>
        <v>57.45</v>
      </c>
      <c r="S29" s="7">
        <v>33.93</v>
      </c>
      <c r="T29" s="8">
        <f t="shared" si="7"/>
        <v>0</v>
      </c>
      <c r="U29" s="8">
        <f t="shared" si="4"/>
        <v>2380</v>
      </c>
    </row>
    <row r="30" spans="1:21" x14ac:dyDescent="0.2">
      <c r="A30" s="2" t="s">
        <v>77</v>
      </c>
      <c r="B30" s="7">
        <f t="shared" si="5"/>
        <v>29</v>
      </c>
      <c r="C30" s="7">
        <v>7</v>
      </c>
      <c r="D30" s="7">
        <v>2020</v>
      </c>
      <c r="E30" s="8">
        <f>HOTEL!E32</f>
        <v>3438</v>
      </c>
      <c r="F30" s="22">
        <v>6.21</v>
      </c>
      <c r="G30" s="8">
        <f>HOTEL!CL32</f>
        <v>107.75</v>
      </c>
      <c r="H30" s="22">
        <v>57.45</v>
      </c>
      <c r="I30" s="8">
        <f>HOTEL!V32+HOTEL!Z32</f>
        <v>68</v>
      </c>
      <c r="J30" s="22">
        <f t="shared" si="1"/>
        <v>34</v>
      </c>
      <c r="K30" s="7">
        <f>HOTEL!EF32</f>
        <v>1</v>
      </c>
      <c r="L30" s="24"/>
      <c r="N30" s="7">
        <f>HOTEL!X32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22">
        <f t="shared" si="2"/>
        <v>57.45</v>
      </c>
      <c r="T30" s="8">
        <f t="shared" si="7"/>
        <v>6190.2375000000002</v>
      </c>
      <c r="U30" s="8">
        <f t="shared" si="4"/>
        <v>2312</v>
      </c>
    </row>
    <row r="31" spans="1:21" x14ac:dyDescent="0.2">
      <c r="A31" s="2" t="s">
        <v>77</v>
      </c>
      <c r="B31" s="7">
        <f>B30+1</f>
        <v>30</v>
      </c>
      <c r="C31" s="7">
        <v>7</v>
      </c>
      <c r="D31" s="7">
        <v>2020</v>
      </c>
      <c r="E31" s="8">
        <f>HOTEL!E33</f>
        <v>3627</v>
      </c>
      <c r="F31" s="22">
        <v>6.21</v>
      </c>
      <c r="G31" s="8">
        <f>HOTEL!CL33</f>
        <v>0</v>
      </c>
      <c r="H31" s="22">
        <v>57.45</v>
      </c>
      <c r="I31" s="8">
        <f>HOTEL!V33+HOTEL!Z33</f>
        <v>71</v>
      </c>
      <c r="J31" s="22">
        <f t="shared" si="1"/>
        <v>34</v>
      </c>
      <c r="K31" s="7">
        <f>HOTEL!EF33</f>
        <v>1</v>
      </c>
      <c r="L31" s="24"/>
      <c r="N31" s="7">
        <f>HOTEL!X33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22">
        <f t="shared" si="2"/>
        <v>57.45</v>
      </c>
      <c r="T31" s="8">
        <f t="shared" si="7"/>
        <v>0</v>
      </c>
      <c r="U31" s="8">
        <f t="shared" si="4"/>
        <v>2414</v>
      </c>
    </row>
    <row r="32" spans="1:21" x14ac:dyDescent="0.2">
      <c r="A32" s="2" t="s">
        <v>77</v>
      </c>
      <c r="B32" s="7">
        <f>B31+1</f>
        <v>31</v>
      </c>
      <c r="C32" s="7">
        <v>7</v>
      </c>
      <c r="D32" s="7">
        <v>2020</v>
      </c>
      <c r="E32" s="8">
        <f>HOTEL!E34</f>
        <v>3386</v>
      </c>
      <c r="F32" s="22">
        <v>6.21</v>
      </c>
      <c r="G32" s="8">
        <f>HOTEL!CL34</f>
        <v>107.75</v>
      </c>
      <c r="H32" s="22">
        <v>57.45</v>
      </c>
      <c r="I32" s="8">
        <f>HOTEL!V34+HOTEL!Z34</f>
        <v>63</v>
      </c>
      <c r="J32" s="22">
        <f t="shared" ref="J32" si="8">P32</f>
        <v>34</v>
      </c>
      <c r="K32" s="7">
        <f>HOTEL!EF34</f>
        <v>1</v>
      </c>
      <c r="L32" s="24"/>
      <c r="N32" s="7">
        <f>HOTEL!X34</f>
        <v>0</v>
      </c>
      <c r="O32" s="7">
        <f t="shared" ref="O32" si="9">N32*2500</f>
        <v>0</v>
      </c>
      <c r="P32" s="8">
        <f>IFERROR(((((HOTEL!V34*34))+(N32*2500))/(I32+N32*25)),0)</f>
        <v>34</v>
      </c>
      <c r="Q32" s="7">
        <v>6.21</v>
      </c>
      <c r="R32" s="22">
        <f t="shared" ref="R32" si="10">H32</f>
        <v>57.45</v>
      </c>
      <c r="T32" s="8">
        <f t="shared" ref="T32" si="11">G32*H32</f>
        <v>6190.2375000000002</v>
      </c>
      <c r="U32" s="8">
        <f t="shared" ref="U32" si="12">I32*P32</f>
        <v>2142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E2" sqref="E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11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6</v>
      </c>
      <c r="D2" s="7">
        <v>2020</v>
      </c>
      <c r="E2" s="7">
        <f>TOTAL!E2</f>
        <v>3297</v>
      </c>
      <c r="F2" s="7">
        <f>HOTEL!R4</f>
        <v>0</v>
      </c>
      <c r="G2" s="7">
        <f>HOTEL!T4</f>
        <v>7</v>
      </c>
      <c r="H2" s="8">
        <f>HOTEL!DY4</f>
        <v>0</v>
      </c>
      <c r="I2" s="8">
        <f>HOTEL!EA4</f>
        <v>0</v>
      </c>
      <c r="J2" s="8">
        <f>HOTEL!EC4</f>
        <v>0</v>
      </c>
      <c r="K2" s="8">
        <f>HOTEL!EE4</f>
        <v>0</v>
      </c>
      <c r="L2" s="7">
        <f t="shared" ref="L2:L7" si="0">N2+W2+X2</f>
        <v>50</v>
      </c>
      <c r="M2" s="7">
        <f>HOTEL!AF4</f>
        <v>0</v>
      </c>
      <c r="N2" s="7">
        <f>HOTEL!AJ4</f>
        <v>20</v>
      </c>
      <c r="O2" s="7">
        <f>HOTEL!AN4</f>
        <v>1</v>
      </c>
      <c r="P2" s="7">
        <f>HOTEL!AP4</f>
        <v>0</v>
      </c>
      <c r="Q2" s="7">
        <f>HOTEL!AR4</f>
        <v>0</v>
      </c>
      <c r="R2" s="7">
        <f>HOTEL!AT4</f>
        <v>0</v>
      </c>
      <c r="S2" s="7">
        <f>HOTEL!AV4</f>
        <v>0</v>
      </c>
      <c r="T2" s="7">
        <f>HOTEL!AX4</f>
        <v>0</v>
      </c>
      <c r="U2" s="7">
        <f>HOTEL!AZ4</f>
        <v>0</v>
      </c>
      <c r="V2" s="7">
        <f>HOTEL!BB4</f>
        <v>0</v>
      </c>
      <c r="W2" s="7">
        <f>HOTEL!BN4</f>
        <v>20</v>
      </c>
      <c r="X2" s="7">
        <f>HOTEL!BU4</f>
        <v>10</v>
      </c>
      <c r="Y2" s="7">
        <f>HOTEL!CP4</f>
        <v>4.1480000000106516</v>
      </c>
      <c r="Z2" s="7">
        <f>HOTEL!CS3</f>
        <v>0</v>
      </c>
      <c r="AA2" s="7">
        <f>HOTEL!CV4</f>
        <v>0</v>
      </c>
      <c r="AB2" s="8">
        <f>HOTEL!CY4</f>
        <v>0</v>
      </c>
      <c r="AC2" s="7">
        <f>HOTEL!DB4</f>
        <v>0</v>
      </c>
      <c r="AD2" s="8">
        <f>HOTEL!DE4</f>
        <v>0</v>
      </c>
      <c r="AE2" s="7">
        <f>HOTEL!DH4</f>
        <v>3.8240000000008698</v>
      </c>
      <c r="AF2" s="7">
        <f>HOTEL!DK4</f>
        <v>4.779999999995653E-2</v>
      </c>
      <c r="AG2" s="7">
        <f>HOTEL!DN4</f>
        <v>0</v>
      </c>
      <c r="AH2" s="7">
        <f>HOTEL!DQ4</f>
        <v>0</v>
      </c>
      <c r="AI2" s="7">
        <f>HOTEL!DT4</f>
        <v>0</v>
      </c>
      <c r="AJ2" s="7">
        <f>HOTEL!DW4</f>
        <v>0</v>
      </c>
      <c r="AK2" s="7">
        <f>TOTAL!K2</f>
        <v>3</v>
      </c>
    </row>
    <row r="3" spans="1:38" x14ac:dyDescent="0.2">
      <c r="A3" s="2" t="s">
        <v>77</v>
      </c>
      <c r="B3" s="7">
        <f>B2+1</f>
        <v>2</v>
      </c>
      <c r="C3" s="7">
        <v>6</v>
      </c>
      <c r="D3" s="7">
        <v>2020</v>
      </c>
      <c r="E3" s="7">
        <f>TOTAL!E3</f>
        <v>3279</v>
      </c>
      <c r="F3" s="7">
        <f>HOTEL!R5</f>
        <v>87</v>
      </c>
      <c r="G3" s="7">
        <f>HOTEL!T5</f>
        <v>4</v>
      </c>
      <c r="H3" s="8">
        <f>HOTEL!DY5</f>
        <v>0</v>
      </c>
      <c r="I3" s="8">
        <f>HOTEL!EA5</f>
        <v>0</v>
      </c>
      <c r="J3" s="8">
        <f>HOTEL!EC5</f>
        <v>0</v>
      </c>
      <c r="K3" s="8">
        <f>HOTEL!EE5</f>
        <v>0</v>
      </c>
      <c r="L3" s="7">
        <f t="shared" si="0"/>
        <v>70</v>
      </c>
      <c r="M3" s="7">
        <f>HOTEL!AF5</f>
        <v>0</v>
      </c>
      <c r="N3" s="7">
        <f>HOTEL!AJ5</f>
        <v>60</v>
      </c>
      <c r="O3" s="7">
        <f>HOTEL!AN5</f>
        <v>1</v>
      </c>
      <c r="P3" s="7">
        <f>HOTEL!AP5</f>
        <v>2</v>
      </c>
      <c r="Q3" s="7">
        <f>HOTEL!AR5</f>
        <v>0</v>
      </c>
      <c r="R3" s="7">
        <f>HOTEL!AT5</f>
        <v>0</v>
      </c>
      <c r="S3" s="7">
        <f>HOTEL!AV5</f>
        <v>0</v>
      </c>
      <c r="T3" s="7">
        <f>HOTEL!AX5</f>
        <v>0</v>
      </c>
      <c r="U3" s="7">
        <f>HOTEL!AZ5</f>
        <v>0</v>
      </c>
      <c r="V3" s="7">
        <f>HOTEL!BB5</f>
        <v>0</v>
      </c>
      <c r="W3" s="7">
        <f>HOTEL!BN5</f>
        <v>10</v>
      </c>
      <c r="X3" s="7">
        <f>HOTEL!BU5</f>
        <v>0</v>
      </c>
      <c r="Y3" s="7">
        <f>HOTEL!CP5</f>
        <v>3.1719999999893478</v>
      </c>
      <c r="Z3" s="7">
        <f>HOTEL!CS4</f>
        <v>0</v>
      </c>
      <c r="AA3" s="7">
        <f>HOTEL!CV5</f>
        <v>0</v>
      </c>
      <c r="AB3" s="8">
        <f>HOTEL!CY5</f>
        <v>0</v>
      </c>
      <c r="AC3" s="7">
        <f>HOTEL!DB5</f>
        <v>0</v>
      </c>
      <c r="AD3" s="8">
        <f>HOTEL!DE5</f>
        <v>0</v>
      </c>
      <c r="AE3" s="7">
        <f>HOTEL!DH5</f>
        <v>13.861999999999348</v>
      </c>
      <c r="AF3" s="7">
        <f>HOTEL!DK5</f>
        <v>0</v>
      </c>
      <c r="AG3" s="7">
        <f>HOTEL!DN5</f>
        <v>0</v>
      </c>
      <c r="AH3" s="7">
        <f>HOTEL!DQ5</f>
        <v>0</v>
      </c>
      <c r="AI3" s="7">
        <f>HOTEL!DT5</f>
        <v>0</v>
      </c>
      <c r="AJ3" s="7">
        <f>HOTEL!DW5</f>
        <v>0</v>
      </c>
      <c r="AK3" s="7">
        <f>TOTAL!K3</f>
        <v>3</v>
      </c>
    </row>
    <row r="4" spans="1:38" x14ac:dyDescent="0.2">
      <c r="A4" s="2" t="s">
        <v>77</v>
      </c>
      <c r="B4" s="7">
        <f t="shared" ref="B4:B32" si="1">B3+1</f>
        <v>3</v>
      </c>
      <c r="C4" s="7">
        <v>6</v>
      </c>
      <c r="D4" s="7">
        <v>2020</v>
      </c>
      <c r="E4" s="7">
        <f>TOTAL!E4</f>
        <v>3144</v>
      </c>
      <c r="F4" s="7">
        <f>HOTEL!R6</f>
        <v>34</v>
      </c>
      <c r="G4" s="7">
        <f>HOTEL!T6</f>
        <v>1</v>
      </c>
      <c r="H4" s="8">
        <f>HOTEL!DY6</f>
        <v>0</v>
      </c>
      <c r="I4" s="8">
        <f>HOTEL!EA6</f>
        <v>0</v>
      </c>
      <c r="J4" s="8">
        <f>HOTEL!EC6</f>
        <v>0</v>
      </c>
      <c r="K4" s="8">
        <f>HOTEL!EE6</f>
        <v>0</v>
      </c>
      <c r="L4" s="7">
        <f t="shared" si="0"/>
        <v>50</v>
      </c>
      <c r="M4" s="7">
        <f>HOTEL!AF6</f>
        <v>0</v>
      </c>
      <c r="N4" s="7">
        <f>HOTEL!AJ6</f>
        <v>30</v>
      </c>
      <c r="O4" s="7">
        <f>HOTEL!AN6</f>
        <v>0</v>
      </c>
      <c r="P4" s="7">
        <f>HOTEL!AP6</f>
        <v>0</v>
      </c>
      <c r="Q4" s="7">
        <f>HOTEL!AR6</f>
        <v>1</v>
      </c>
      <c r="R4" s="7">
        <f>HOTEL!AT6</f>
        <v>0</v>
      </c>
      <c r="S4" s="7">
        <f>HOTEL!AV6</f>
        <v>0</v>
      </c>
      <c r="T4" s="7">
        <f>HOTEL!AX6</f>
        <v>0</v>
      </c>
      <c r="U4" s="7">
        <f>HOTEL!AZ6</f>
        <v>0</v>
      </c>
      <c r="V4" s="7">
        <f>HOTEL!BB6</f>
        <v>1</v>
      </c>
      <c r="W4" s="7">
        <f>HOTEL!BN6</f>
        <v>20</v>
      </c>
      <c r="X4" s="7">
        <f>HOTEL!BU6</f>
        <v>0</v>
      </c>
      <c r="Y4" s="7">
        <f>HOTEL!CP6</f>
        <v>1.7080000000106519</v>
      </c>
      <c r="Z4" s="7">
        <f>HOTEL!CS5</f>
        <v>0</v>
      </c>
      <c r="AA4" s="7">
        <f>HOTEL!CV6</f>
        <v>0</v>
      </c>
      <c r="AB4" s="8">
        <f>HOTEL!CY6</f>
        <v>0</v>
      </c>
      <c r="AC4" s="7">
        <f>HOTEL!DB6</f>
        <v>0</v>
      </c>
      <c r="AD4" s="8">
        <f>HOTEL!DE6</f>
        <v>0</v>
      </c>
      <c r="AE4" s="7">
        <f>HOTEL!DH6</f>
        <v>4.78</v>
      </c>
      <c r="AF4" s="7">
        <f>HOTEL!DK6</f>
        <v>0</v>
      </c>
      <c r="AG4" s="7">
        <f>HOTEL!DN6</f>
        <v>0</v>
      </c>
      <c r="AH4" s="7">
        <f>HOTEL!DQ6</f>
        <v>0</v>
      </c>
      <c r="AI4" s="7">
        <f>HOTEL!DT6</f>
        <v>0</v>
      </c>
      <c r="AJ4" s="7">
        <f>HOTEL!DW6</f>
        <v>0</v>
      </c>
      <c r="AK4" s="7">
        <f>TOTAL!K4</f>
        <v>3</v>
      </c>
    </row>
    <row r="5" spans="1:38" x14ac:dyDescent="0.2">
      <c r="A5" s="2" t="s">
        <v>77</v>
      </c>
      <c r="B5" s="7">
        <f t="shared" si="1"/>
        <v>4</v>
      </c>
      <c r="C5" s="7">
        <v>6</v>
      </c>
      <c r="D5" s="7">
        <v>2020</v>
      </c>
      <c r="E5" s="7">
        <f>TOTAL!E5</f>
        <v>3415</v>
      </c>
      <c r="F5" s="7">
        <f>HOTEL!R7</f>
        <v>47</v>
      </c>
      <c r="G5" s="7">
        <f>HOTEL!T7</f>
        <v>1</v>
      </c>
      <c r="H5" s="8">
        <f>HOTEL!DY7</f>
        <v>0</v>
      </c>
      <c r="I5" s="8">
        <f>HOTEL!EA7</f>
        <v>0</v>
      </c>
      <c r="J5" s="8">
        <f>HOTEL!EC7</f>
        <v>0</v>
      </c>
      <c r="K5" s="8">
        <f>HOTEL!EE7</f>
        <v>0</v>
      </c>
      <c r="L5" s="7">
        <f t="shared" si="0"/>
        <v>80</v>
      </c>
      <c r="M5" s="7">
        <f>HOTEL!AF7</f>
        <v>0</v>
      </c>
      <c r="N5" s="7">
        <f>HOTEL!AJ7</f>
        <v>40</v>
      </c>
      <c r="O5" s="7">
        <f>HOTEL!AN7</f>
        <v>1</v>
      </c>
      <c r="P5" s="7">
        <f>HOTEL!AP7</f>
        <v>0</v>
      </c>
      <c r="Q5" s="7">
        <f>HOTEL!AR7</f>
        <v>0</v>
      </c>
      <c r="R5" s="7">
        <f>HOTEL!AT7</f>
        <v>0</v>
      </c>
      <c r="S5" s="7">
        <f>HOTEL!AV7</f>
        <v>0</v>
      </c>
      <c r="T5" s="7">
        <f>HOTEL!AX7</f>
        <v>0</v>
      </c>
      <c r="U5" s="7">
        <f>HOTEL!AZ7</f>
        <v>0</v>
      </c>
      <c r="V5" s="7">
        <f>HOTEL!BB7</f>
        <v>0</v>
      </c>
      <c r="W5" s="7">
        <f>HOTEL!BN7</f>
        <v>40</v>
      </c>
      <c r="X5" s="7">
        <f>HOTEL!BU7</f>
        <v>0</v>
      </c>
      <c r="Y5" s="7">
        <f>HOTEL!CP7</f>
        <v>2.44</v>
      </c>
      <c r="Z5" s="7">
        <f>HOTEL!CS6</f>
        <v>0</v>
      </c>
      <c r="AA5" s="7">
        <f>HOTEL!CV7</f>
        <v>0</v>
      </c>
      <c r="AB5" s="8">
        <f>HOTEL!CY7</f>
        <v>0</v>
      </c>
      <c r="AC5" s="7">
        <f>HOTEL!DB7</f>
        <v>0</v>
      </c>
      <c r="AD5" s="8">
        <f>HOTEL!DE7</f>
        <v>0</v>
      </c>
      <c r="AE5" s="7">
        <f>HOTEL!DH7</f>
        <v>7.6480000000006525</v>
      </c>
      <c r="AF5" s="7">
        <f>HOTEL!DK7</f>
        <v>0</v>
      </c>
      <c r="AG5" s="7">
        <f>HOTEL!DN7</f>
        <v>0</v>
      </c>
      <c r="AH5" s="7">
        <f>HOTEL!DQ7</f>
        <v>0</v>
      </c>
      <c r="AI5" s="7">
        <f>HOTEL!DT7</f>
        <v>0</v>
      </c>
      <c r="AJ5" s="7">
        <f>HOTEL!DW7</f>
        <v>0</v>
      </c>
      <c r="AK5" s="7">
        <f>TOTAL!K5</f>
        <v>3</v>
      </c>
    </row>
    <row r="6" spans="1:38" x14ac:dyDescent="0.2">
      <c r="A6" s="2" t="s">
        <v>77</v>
      </c>
      <c r="B6" s="7">
        <f t="shared" si="1"/>
        <v>5</v>
      </c>
      <c r="C6" s="7">
        <v>6</v>
      </c>
      <c r="D6" s="7">
        <v>2020</v>
      </c>
      <c r="E6" s="7">
        <f>TOTAL!E6</f>
        <v>3148</v>
      </c>
      <c r="F6" s="7">
        <f>HOTEL!R8</f>
        <v>82</v>
      </c>
      <c r="G6" s="7">
        <f>HOTEL!T8</f>
        <v>0</v>
      </c>
      <c r="H6" s="8">
        <f>HOTEL!DY8</f>
        <v>0</v>
      </c>
      <c r="I6" s="8">
        <f>HOTEL!EA8</f>
        <v>0</v>
      </c>
      <c r="J6" s="8">
        <f>HOTEL!EC8</f>
        <v>0</v>
      </c>
      <c r="K6" s="8">
        <f>HOTEL!EE8</f>
        <v>0</v>
      </c>
      <c r="L6" s="7">
        <f t="shared" si="0"/>
        <v>100</v>
      </c>
      <c r="M6" s="7">
        <f>HOTEL!AF8</f>
        <v>0</v>
      </c>
      <c r="N6" s="7">
        <f>HOTEL!AJ8</f>
        <v>70</v>
      </c>
      <c r="O6" s="7">
        <f>HOTEL!AN8</f>
        <v>0</v>
      </c>
      <c r="P6" s="7">
        <f>HOTEL!AP8</f>
        <v>0</v>
      </c>
      <c r="Q6" s="7">
        <f>HOTEL!AR8</f>
        <v>0</v>
      </c>
      <c r="R6" s="7">
        <f>HOTEL!AT8</f>
        <v>0</v>
      </c>
      <c r="S6" s="7">
        <f>HOTEL!AV8</f>
        <v>0</v>
      </c>
      <c r="T6" s="7">
        <f>HOTEL!AX8</f>
        <v>0</v>
      </c>
      <c r="U6" s="7">
        <f>HOTEL!AZ8</f>
        <v>0</v>
      </c>
      <c r="V6" s="7">
        <f>HOTEL!BB8</f>
        <v>0</v>
      </c>
      <c r="W6" s="7">
        <f>HOTEL!BN8</f>
        <v>30</v>
      </c>
      <c r="X6" s="7">
        <f>HOTEL!BU8</f>
        <v>0</v>
      </c>
      <c r="Y6" s="7">
        <f>HOTEL!CP8</f>
        <v>1.22</v>
      </c>
      <c r="Z6" s="7">
        <f>HOTEL!CS7</f>
        <v>0</v>
      </c>
      <c r="AA6" s="7">
        <f>HOTEL!CV8</f>
        <v>0</v>
      </c>
      <c r="AB6" s="8">
        <f>HOTEL!CY8</f>
        <v>0</v>
      </c>
      <c r="AC6" s="7">
        <f>HOTEL!DB8</f>
        <v>5.9750000000000005</v>
      </c>
      <c r="AD6" s="8">
        <f>HOTEL!DE8</f>
        <v>0</v>
      </c>
      <c r="AE6" s="7">
        <f>HOTEL!DH8</f>
        <v>13.861999999999348</v>
      </c>
      <c r="AF6" s="7">
        <f>HOTEL!DK8</f>
        <v>0</v>
      </c>
      <c r="AG6" s="7">
        <f>HOTEL!DN8</f>
        <v>0</v>
      </c>
      <c r="AH6" s="7">
        <f>HOTEL!DQ8</f>
        <v>0</v>
      </c>
      <c r="AI6" s="7">
        <f>HOTEL!DT8</f>
        <v>0</v>
      </c>
      <c r="AJ6" s="7">
        <f>HOTEL!DW8</f>
        <v>0</v>
      </c>
      <c r="AK6" s="7">
        <f>TOTAL!K6</f>
        <v>2</v>
      </c>
    </row>
    <row r="7" spans="1:38" x14ac:dyDescent="0.2">
      <c r="A7" s="2" t="s">
        <v>77</v>
      </c>
      <c r="B7" s="7">
        <f t="shared" si="1"/>
        <v>6</v>
      </c>
      <c r="C7" s="7">
        <v>6</v>
      </c>
      <c r="D7" s="7">
        <v>2020</v>
      </c>
      <c r="E7" s="7">
        <f>TOTAL!E7</f>
        <v>3464</v>
      </c>
      <c r="F7" s="7">
        <f>HOTEL!R9</f>
        <v>40</v>
      </c>
      <c r="G7" s="7">
        <f>HOTEL!T9</f>
        <v>4</v>
      </c>
      <c r="H7" s="8">
        <f>HOTEL!DY9</f>
        <v>0</v>
      </c>
      <c r="I7" s="8">
        <f>HOTEL!EA9</f>
        <v>0</v>
      </c>
      <c r="J7" s="8">
        <f>HOTEL!EC9</f>
        <v>0</v>
      </c>
      <c r="K7" s="8">
        <f>HOTEL!EE9</f>
        <v>0</v>
      </c>
      <c r="L7" s="7">
        <f t="shared" si="0"/>
        <v>40</v>
      </c>
      <c r="M7" s="7">
        <f>HOTEL!AF9</f>
        <v>0</v>
      </c>
      <c r="N7" s="7">
        <f>HOTEL!AJ9</f>
        <v>20</v>
      </c>
      <c r="O7" s="7">
        <f>HOTEL!AN9</f>
        <v>1</v>
      </c>
      <c r="P7" s="7" t="str">
        <f>HOTEL!AP9</f>
        <v>0</v>
      </c>
      <c r="Q7" s="7">
        <f>HOTEL!AR9</f>
        <v>0</v>
      </c>
      <c r="R7" s="7">
        <f>HOTEL!AT9</f>
        <v>0</v>
      </c>
      <c r="S7" s="7">
        <f>HOTEL!AV9</f>
        <v>0</v>
      </c>
      <c r="T7" s="7">
        <f>HOTEL!AX9</f>
        <v>0</v>
      </c>
      <c r="U7" s="7">
        <f>HOTEL!AZ9</f>
        <v>0</v>
      </c>
      <c r="V7" s="7">
        <f>HOTEL!BB9</f>
        <v>0</v>
      </c>
      <c r="W7" s="7">
        <f>HOTEL!BN9</f>
        <v>20</v>
      </c>
      <c r="X7" s="7">
        <f>HOTEL!BU9</f>
        <v>0</v>
      </c>
      <c r="Y7" s="7">
        <f>HOTEL!CP9</f>
        <v>2.44</v>
      </c>
      <c r="Z7" s="7">
        <f>HOTEL!CS8</f>
        <v>0</v>
      </c>
      <c r="AA7" s="7">
        <f>HOTEL!CV9</f>
        <v>0</v>
      </c>
      <c r="AB7" s="8">
        <f>HOTEL!CY9</f>
        <v>0</v>
      </c>
      <c r="AC7" s="7">
        <f>HOTEL!DB9</f>
        <v>1.9119999999982611</v>
      </c>
      <c r="AD7" s="8">
        <f>HOTEL!DE9</f>
        <v>0</v>
      </c>
      <c r="AE7" s="7">
        <f>HOTEL!DH9</f>
        <v>3.8239999999997827</v>
      </c>
      <c r="AF7" s="7">
        <f>HOTEL!DK9</f>
        <v>0</v>
      </c>
      <c r="AG7" s="7">
        <f>HOTEL!DN9</f>
        <v>0</v>
      </c>
      <c r="AH7" s="7">
        <f>HOTEL!DQ9</f>
        <v>0</v>
      </c>
      <c r="AI7" s="7">
        <f>HOTEL!DT9</f>
        <v>0</v>
      </c>
      <c r="AJ7" s="7">
        <f>HOTEL!DW9</f>
        <v>0</v>
      </c>
      <c r="AK7" s="7">
        <f>TOTAL!K7</f>
        <v>2</v>
      </c>
    </row>
    <row r="8" spans="1:38" x14ac:dyDescent="0.2">
      <c r="A8" s="2" t="s">
        <v>77</v>
      </c>
      <c r="B8" s="7">
        <f t="shared" si="1"/>
        <v>7</v>
      </c>
      <c r="C8" s="7">
        <v>6</v>
      </c>
      <c r="D8" s="7">
        <v>2020</v>
      </c>
      <c r="E8" s="7">
        <f>TOTAL!E8</f>
        <v>3430</v>
      </c>
      <c r="F8" s="7">
        <f>HOTEL!R10</f>
        <v>67</v>
      </c>
      <c r="G8" s="7">
        <f>HOTEL!T10</f>
        <v>3</v>
      </c>
      <c r="H8" s="8">
        <f>HOTEL!DY10</f>
        <v>0</v>
      </c>
      <c r="I8" s="8">
        <f>HOTEL!EA10</f>
        <v>0</v>
      </c>
      <c r="J8" s="8">
        <f>HOTEL!EC10</f>
        <v>0</v>
      </c>
      <c r="K8" s="8">
        <f>HOTEL!EE10</f>
        <v>0</v>
      </c>
      <c r="L8" s="7">
        <f>N8+W8+X8</f>
        <v>90</v>
      </c>
      <c r="M8" s="7">
        <f>HOTEL!AF10</f>
        <v>0</v>
      </c>
      <c r="N8" s="7">
        <f>HOTEL!AJ10</f>
        <v>70</v>
      </c>
      <c r="O8" s="7">
        <f>HOTEL!AN10</f>
        <v>1</v>
      </c>
      <c r="P8" s="7">
        <f>HOTEL!AP10</f>
        <v>0</v>
      </c>
      <c r="Q8" s="7">
        <f>HOTEL!AR10</f>
        <v>0</v>
      </c>
      <c r="R8" s="7">
        <f>HOTEL!AT10</f>
        <v>0</v>
      </c>
      <c r="S8" s="7">
        <f>HOTEL!AV10</f>
        <v>0</v>
      </c>
      <c r="T8" s="7">
        <f>HOTEL!AX10</f>
        <v>0</v>
      </c>
      <c r="U8" s="7">
        <f>HOTEL!AZ10</f>
        <v>0</v>
      </c>
      <c r="V8" s="7">
        <f>HOTEL!BB10</f>
        <v>0</v>
      </c>
      <c r="W8" s="7">
        <f>HOTEL!BN10</f>
        <v>20</v>
      </c>
      <c r="X8" s="7">
        <f>HOTEL!BU10</f>
        <v>0</v>
      </c>
      <c r="Y8" s="7">
        <f>HOTEL!CP10</f>
        <v>3.9039999999964494</v>
      </c>
      <c r="Z8" s="7">
        <f>HOTEL!CS9</f>
        <v>0</v>
      </c>
      <c r="AA8" s="7">
        <f>HOTEL!CV10</f>
        <v>0</v>
      </c>
      <c r="AB8" s="8">
        <f>HOTEL!CY10</f>
        <v>0</v>
      </c>
      <c r="AC8" s="7">
        <f>HOTEL!DB10</f>
        <v>2.39</v>
      </c>
      <c r="AD8" s="8">
        <f>HOTEL!DE10</f>
        <v>0</v>
      </c>
      <c r="AE8" s="7">
        <f>HOTEL!DH10</f>
        <v>8.3650000000000002</v>
      </c>
      <c r="AF8" s="7">
        <f>HOTEL!DK10</f>
        <v>0</v>
      </c>
      <c r="AG8" s="7">
        <f>HOTEL!DN10</f>
        <v>0</v>
      </c>
      <c r="AH8" s="7">
        <f>HOTEL!DQ10</f>
        <v>0</v>
      </c>
      <c r="AI8" s="7">
        <f>HOTEL!DT10</f>
        <v>0</v>
      </c>
      <c r="AJ8" s="7">
        <f>HOTEL!DW10</f>
        <v>0</v>
      </c>
      <c r="AK8" s="7">
        <f>TOTAL!K8</f>
        <v>2</v>
      </c>
    </row>
    <row r="9" spans="1:38" x14ac:dyDescent="0.2">
      <c r="A9" s="2" t="s">
        <v>77</v>
      </c>
      <c r="B9" s="7">
        <f t="shared" si="1"/>
        <v>8</v>
      </c>
      <c r="C9" s="7">
        <v>6</v>
      </c>
      <c r="D9" s="7">
        <v>2020</v>
      </c>
      <c r="E9" s="7">
        <f>TOTAL!E9</f>
        <v>3379</v>
      </c>
      <c r="F9" s="7">
        <f>HOTEL!R11</f>
        <v>87</v>
      </c>
      <c r="G9" s="7">
        <f>HOTEL!T11</f>
        <v>3</v>
      </c>
      <c r="H9" s="8">
        <f>HOTEL!DY11</f>
        <v>0</v>
      </c>
      <c r="I9" s="8">
        <f>HOTEL!EA11</f>
        <v>0</v>
      </c>
      <c r="J9" s="8">
        <f>HOTEL!EC11</f>
        <v>0</v>
      </c>
      <c r="K9" s="8">
        <f>HOTEL!EE11</f>
        <v>0</v>
      </c>
      <c r="L9" s="7">
        <f>N9+W9+X9</f>
        <v>40</v>
      </c>
      <c r="M9" s="7">
        <f>HOTEL!AF11</f>
        <v>0</v>
      </c>
      <c r="N9" s="7">
        <f>HOTEL!AJ11</f>
        <v>20</v>
      </c>
      <c r="O9" s="7">
        <f>HOTEL!AN11</f>
        <v>0</v>
      </c>
      <c r="P9" s="7">
        <f>HOTEL!AP11</f>
        <v>0</v>
      </c>
      <c r="Q9" s="7">
        <f>HOTEL!AR11</f>
        <v>0</v>
      </c>
      <c r="R9" s="7">
        <f>HOTEL!AT11</f>
        <v>0</v>
      </c>
      <c r="S9" s="7">
        <f>HOTEL!AV11</f>
        <v>0</v>
      </c>
      <c r="T9" s="7">
        <f>HOTEL!AX11</f>
        <v>0</v>
      </c>
      <c r="U9" s="7">
        <f>HOTEL!AZ11</f>
        <v>0</v>
      </c>
      <c r="V9" s="7">
        <f>HOTEL!BB11</f>
        <v>0</v>
      </c>
      <c r="W9" s="7">
        <f>HOTEL!BN11</f>
        <v>20</v>
      </c>
      <c r="X9" s="7">
        <f>HOTEL!BU11</f>
        <v>0</v>
      </c>
      <c r="Y9" s="7">
        <f>HOTEL!CP11</f>
        <v>1.7079999999928985</v>
      </c>
      <c r="Z9" s="7">
        <f>HOTEL!CS10</f>
        <v>0</v>
      </c>
      <c r="AA9" s="7">
        <f>HOTEL!CV11</f>
        <v>0</v>
      </c>
      <c r="AB9" s="8">
        <f>HOTEL!CY11</f>
        <v>0</v>
      </c>
      <c r="AC9" s="7">
        <f>HOTEL!DB11</f>
        <v>0.47800000000173898</v>
      </c>
      <c r="AD9" s="8">
        <f>HOTEL!DE11</f>
        <v>0</v>
      </c>
      <c r="AE9" s="7">
        <f>HOTEL!DH11</f>
        <v>9.3210000000002182</v>
      </c>
      <c r="AF9" s="7">
        <f>HOTEL!DK11</f>
        <v>0</v>
      </c>
      <c r="AG9" s="7">
        <f>HOTEL!DN11</f>
        <v>0</v>
      </c>
      <c r="AH9" s="7">
        <f>HOTEL!DQ11</f>
        <v>0</v>
      </c>
      <c r="AI9" s="7">
        <f>HOTEL!DT11</f>
        <v>0</v>
      </c>
      <c r="AJ9" s="7">
        <f>HOTEL!DW11</f>
        <v>0</v>
      </c>
      <c r="AK9" s="7">
        <f>TOTAL!K9</f>
        <v>2</v>
      </c>
    </row>
    <row r="10" spans="1:38" x14ac:dyDescent="0.2">
      <c r="A10" s="2" t="s">
        <v>77</v>
      </c>
      <c r="B10" s="7">
        <f t="shared" si="1"/>
        <v>9</v>
      </c>
      <c r="C10" s="7">
        <v>6</v>
      </c>
      <c r="D10" s="7">
        <v>2020</v>
      </c>
      <c r="E10" s="7">
        <f>TOTAL!E10</f>
        <v>3546</v>
      </c>
      <c r="F10" s="7">
        <f>HOTEL!R12</f>
        <v>95</v>
      </c>
      <c r="G10" s="7">
        <f>HOTEL!T12</f>
        <v>0</v>
      </c>
      <c r="H10" s="8">
        <f>HOTEL!DY12</f>
        <v>0</v>
      </c>
      <c r="I10" s="8">
        <f>HOTEL!EA12</f>
        <v>0</v>
      </c>
      <c r="J10" s="8">
        <f>HOTEL!EC12</f>
        <v>0</v>
      </c>
      <c r="K10" s="8">
        <f>HOTEL!EE12</f>
        <v>0</v>
      </c>
      <c r="L10" s="7">
        <f>N10+W10+X10</f>
        <v>90</v>
      </c>
      <c r="M10" s="7">
        <f>HOTEL!AF12</f>
        <v>0</v>
      </c>
      <c r="N10" s="7">
        <f>HOTEL!AJ12</f>
        <v>70</v>
      </c>
      <c r="O10" s="7">
        <f>HOTEL!AN12</f>
        <v>0</v>
      </c>
      <c r="P10" s="7">
        <f>HOTEL!AP12</f>
        <v>3</v>
      </c>
      <c r="Q10" s="7">
        <f>HOTEL!AR12</f>
        <v>1</v>
      </c>
      <c r="R10" s="7">
        <f>HOTEL!AT12</f>
        <v>0</v>
      </c>
      <c r="S10" s="7">
        <f>HOTEL!AV12</f>
        <v>0</v>
      </c>
      <c r="T10" s="7">
        <f>HOTEL!AX12</f>
        <v>0</v>
      </c>
      <c r="U10" s="7">
        <f>HOTEL!AZ12</f>
        <v>0</v>
      </c>
      <c r="V10" s="7">
        <f>HOTEL!BB12</f>
        <v>0</v>
      </c>
      <c r="W10" s="7">
        <f>HOTEL!BN12</f>
        <v>20</v>
      </c>
      <c r="X10" s="7">
        <f>HOTEL!BU12</f>
        <v>0</v>
      </c>
      <c r="Y10" s="7">
        <f>HOTEL!CP12</f>
        <v>1.4396000000092317</v>
      </c>
      <c r="Z10" s="7">
        <f>HOTEL!CS11</f>
        <v>0</v>
      </c>
      <c r="AA10" s="7">
        <f>HOTEL!CV12</f>
        <v>0</v>
      </c>
      <c r="AB10" s="8">
        <f>HOTEL!CY12</f>
        <v>0</v>
      </c>
      <c r="AC10" s="7">
        <f>HOTEL!DB12</f>
        <v>1.4339999999986959</v>
      </c>
      <c r="AD10" s="8">
        <f>HOTEL!DE12</f>
        <v>0</v>
      </c>
      <c r="AE10" s="7">
        <f>HOTEL!DH12</f>
        <v>13.383999999999784</v>
      </c>
      <c r="AF10" s="7">
        <f>HOTEL!DK12</f>
        <v>0</v>
      </c>
      <c r="AG10" s="7">
        <f>HOTEL!DN12</f>
        <v>0</v>
      </c>
      <c r="AH10" s="7">
        <f>HOTEL!DQ12</f>
        <v>0</v>
      </c>
      <c r="AI10" s="7">
        <f>HOTEL!DT12</f>
        <v>0</v>
      </c>
      <c r="AJ10" s="7">
        <f>HOTEL!DW12</f>
        <v>0</v>
      </c>
      <c r="AK10" s="7">
        <f>TOTAL!K10</f>
        <v>2</v>
      </c>
    </row>
    <row r="11" spans="1:38" x14ac:dyDescent="0.2">
      <c r="A11" s="2" t="s">
        <v>77</v>
      </c>
      <c r="B11" s="7">
        <f t="shared" si="1"/>
        <v>10</v>
      </c>
      <c r="C11" s="7">
        <v>6</v>
      </c>
      <c r="D11" s="7">
        <v>2020</v>
      </c>
      <c r="E11" s="7">
        <f>TOTAL!E11</f>
        <v>3325</v>
      </c>
      <c r="F11" s="7">
        <f>HOTEL!R13</f>
        <v>23</v>
      </c>
      <c r="G11" s="7">
        <f>HOTEL!T13</f>
        <v>44</v>
      </c>
      <c r="H11" s="8">
        <f>HOTEL!DY13</f>
        <v>0</v>
      </c>
      <c r="I11" s="8">
        <f>HOTEL!EA13</f>
        <v>0</v>
      </c>
      <c r="J11" s="8">
        <f>HOTEL!EC13</f>
        <v>0</v>
      </c>
      <c r="K11" s="8">
        <f>HOTEL!EE13</f>
        <v>0</v>
      </c>
      <c r="L11" s="7">
        <f t="shared" ref="L11:L31" si="2">N11+W11+X11</f>
        <v>40</v>
      </c>
      <c r="M11" s="7">
        <f>HOTEL!AF13</f>
        <v>0</v>
      </c>
      <c r="N11" s="7">
        <f>HOTEL!AJ13</f>
        <v>10</v>
      </c>
      <c r="O11" s="7">
        <f>HOTEL!AN13</f>
        <v>1</v>
      </c>
      <c r="P11" s="7">
        <f>HOTEL!AP13</f>
        <v>0</v>
      </c>
      <c r="Q11" s="7">
        <f>HOTEL!AR13</f>
        <v>0</v>
      </c>
      <c r="R11" s="7">
        <f>HOTEL!AT13</f>
        <v>0</v>
      </c>
      <c r="S11" s="7">
        <f>HOTEL!AV13</f>
        <v>0</v>
      </c>
      <c r="T11" s="7">
        <f>HOTEL!AX13</f>
        <v>0</v>
      </c>
      <c r="U11" s="7">
        <f>HOTEL!AZ13</f>
        <v>0</v>
      </c>
      <c r="V11" s="7">
        <f>HOTEL!BB13</f>
        <v>0</v>
      </c>
      <c r="W11" s="7">
        <f>HOTEL!BN13</f>
        <v>30</v>
      </c>
      <c r="X11" s="7">
        <f>HOTEL!BU13</f>
        <v>0</v>
      </c>
      <c r="Y11" s="7">
        <f>HOTEL!CP13</f>
        <v>0</v>
      </c>
      <c r="Z11" s="7">
        <f>HOTEL!CS12</f>
        <v>0</v>
      </c>
      <c r="AA11" s="7">
        <f>HOTEL!CV13</f>
        <v>0</v>
      </c>
      <c r="AB11" s="8">
        <f>HOTEL!CY13</f>
        <v>0</v>
      </c>
      <c r="AC11" s="7">
        <f>HOTEL!DB13</f>
        <v>0</v>
      </c>
      <c r="AD11" s="8">
        <f>HOTEL!DE13</f>
        <v>0</v>
      </c>
      <c r="AE11" s="7">
        <f>HOTEL!DH13</f>
        <v>3.107000000000435</v>
      </c>
      <c r="AF11" s="7">
        <f>HOTEL!DK13</f>
        <v>0</v>
      </c>
      <c r="AG11" s="7">
        <f>HOTEL!DN13</f>
        <v>0</v>
      </c>
      <c r="AH11" s="7">
        <f>HOTEL!DQ13</f>
        <v>0</v>
      </c>
      <c r="AI11" s="7">
        <f>HOTEL!DT13</f>
        <v>0</v>
      </c>
      <c r="AJ11" s="7">
        <f>HOTEL!DW13</f>
        <v>0</v>
      </c>
      <c r="AK11" s="7">
        <f>TOTAL!K11</f>
        <v>2</v>
      </c>
    </row>
    <row r="12" spans="1:38" x14ac:dyDescent="0.2">
      <c r="A12" s="2" t="s">
        <v>77</v>
      </c>
      <c r="B12" s="7">
        <f t="shared" si="1"/>
        <v>11</v>
      </c>
      <c r="C12" s="7">
        <v>6</v>
      </c>
      <c r="D12" s="7">
        <v>2020</v>
      </c>
      <c r="E12" s="7">
        <f>TOTAL!E12</f>
        <v>3640</v>
      </c>
      <c r="F12" s="7">
        <f>HOTEL!R14</f>
        <v>48</v>
      </c>
      <c r="G12" s="7">
        <f>HOTEL!T14</f>
        <v>23</v>
      </c>
      <c r="H12" s="8">
        <f>HOTEL!DY14</f>
        <v>0</v>
      </c>
      <c r="I12" s="8">
        <f>HOTEL!EA14</f>
        <v>0</v>
      </c>
      <c r="J12" s="8">
        <f>HOTEL!EC14</f>
        <v>0</v>
      </c>
      <c r="K12" s="8">
        <f>HOTEL!EE14</f>
        <v>0</v>
      </c>
      <c r="L12" s="7">
        <f t="shared" si="2"/>
        <v>100</v>
      </c>
      <c r="M12" s="7">
        <f>HOTEL!AF14</f>
        <v>0</v>
      </c>
      <c r="N12" s="7">
        <f>HOTEL!AJ14</f>
        <v>70</v>
      </c>
      <c r="O12" s="7">
        <f>HOTEL!AN14</f>
        <v>1</v>
      </c>
      <c r="P12" s="7">
        <f>HOTEL!AP14</f>
        <v>0</v>
      </c>
      <c r="Q12" s="7">
        <f>HOTEL!AR14</f>
        <v>0</v>
      </c>
      <c r="R12" s="7">
        <f>HOTEL!AT14</f>
        <v>0</v>
      </c>
      <c r="S12" s="7">
        <f>HOTEL!AV14</f>
        <v>1</v>
      </c>
      <c r="T12" s="7">
        <f>HOTEL!AX14</f>
        <v>0</v>
      </c>
      <c r="U12" s="7">
        <f>HOTEL!AZ14</f>
        <v>0</v>
      </c>
      <c r="V12" s="7">
        <f>HOTEL!BB14</f>
        <v>0</v>
      </c>
      <c r="W12" s="7">
        <f>HOTEL!BN14</f>
        <v>30</v>
      </c>
      <c r="X12" s="7" t="str">
        <f>HOTEL!BU14</f>
        <v>0</v>
      </c>
      <c r="Y12" s="7">
        <f>HOTEL!CP14</f>
        <v>2.9523999999978696</v>
      </c>
      <c r="Z12" s="7">
        <f>HOTEL!CS13</f>
        <v>0</v>
      </c>
      <c r="AA12" s="7">
        <f>HOTEL!CV14</f>
        <v>0</v>
      </c>
      <c r="AB12" s="8">
        <f>HOTEL!CY14</f>
        <v>0</v>
      </c>
      <c r="AC12" s="7">
        <f>HOTEL!DB14</f>
        <v>2.6290000000008695</v>
      </c>
      <c r="AD12" s="8">
        <f>HOTEL!DE14</f>
        <v>0</v>
      </c>
      <c r="AE12" s="7">
        <f>HOTEL!DH14</f>
        <v>10.037999999999565</v>
      </c>
      <c r="AF12" s="7">
        <f>HOTEL!DK14</f>
        <v>0</v>
      </c>
      <c r="AG12" s="7">
        <f>HOTEL!DN14</f>
        <v>0</v>
      </c>
      <c r="AH12" s="7">
        <f>HOTEL!DQ14</f>
        <v>0</v>
      </c>
      <c r="AI12" s="7">
        <f>HOTEL!DT14</f>
        <v>0</v>
      </c>
      <c r="AJ12" s="7">
        <f>HOTEL!DW14</f>
        <v>0</v>
      </c>
      <c r="AK12" s="7">
        <f>TOTAL!K12</f>
        <v>2</v>
      </c>
    </row>
    <row r="13" spans="1:38" x14ac:dyDescent="0.2">
      <c r="A13" s="2" t="s">
        <v>77</v>
      </c>
      <c r="B13" s="7">
        <f t="shared" si="1"/>
        <v>12</v>
      </c>
      <c r="C13" s="7">
        <v>6</v>
      </c>
      <c r="D13" s="7">
        <v>2020</v>
      </c>
      <c r="E13" s="7">
        <f>TOTAL!E13</f>
        <v>3338</v>
      </c>
      <c r="F13" s="7">
        <f>HOTEL!R15</f>
        <v>51</v>
      </c>
      <c r="G13" s="7">
        <f>HOTEL!T15</f>
        <v>0</v>
      </c>
      <c r="H13" s="8">
        <f>HOTEL!DY15</f>
        <v>0</v>
      </c>
      <c r="I13" s="8">
        <f>HOTEL!EA15</f>
        <v>0</v>
      </c>
      <c r="J13" s="8">
        <f>HOTEL!EC15</f>
        <v>0</v>
      </c>
      <c r="K13" s="8">
        <f>HOTEL!EE15</f>
        <v>0</v>
      </c>
      <c r="L13" s="7">
        <f t="shared" si="2"/>
        <v>60</v>
      </c>
      <c r="M13" s="7">
        <f>HOTEL!AF15</f>
        <v>11</v>
      </c>
      <c r="N13" s="7">
        <f>HOTEL!AJ15</f>
        <v>20</v>
      </c>
      <c r="O13" s="7">
        <f>HOTEL!AN15</f>
        <v>0</v>
      </c>
      <c r="P13" s="7">
        <f>HOTEL!AP15</f>
        <v>0</v>
      </c>
      <c r="Q13" s="7">
        <f>HOTEL!AR15</f>
        <v>0</v>
      </c>
      <c r="R13" s="7">
        <f>HOTEL!AT15</f>
        <v>0</v>
      </c>
      <c r="S13" s="7">
        <f>HOTEL!AV15</f>
        <v>0</v>
      </c>
      <c r="T13" s="7">
        <f>HOTEL!AX15</f>
        <v>0</v>
      </c>
      <c r="U13" s="7">
        <f>HOTEL!AZ15</f>
        <v>0</v>
      </c>
      <c r="V13" s="7">
        <f>HOTEL!BB15</f>
        <v>0</v>
      </c>
      <c r="W13" s="7">
        <f>HOTEL!BN15</f>
        <v>20</v>
      </c>
      <c r="X13" s="7">
        <f>HOTEL!BU15</f>
        <v>20</v>
      </c>
      <c r="Y13" s="7">
        <f>HOTEL!CP15</f>
        <v>1.4639999999964493</v>
      </c>
      <c r="Z13" s="7">
        <f>HOTEL!CS14</f>
        <v>0</v>
      </c>
      <c r="AA13" s="7">
        <f>HOTEL!CV15</f>
        <v>0</v>
      </c>
      <c r="AB13" s="8">
        <f>HOTEL!CY15</f>
        <v>0</v>
      </c>
      <c r="AC13" s="7">
        <f>HOTEL!DB15</f>
        <v>0.95599999999913055</v>
      </c>
      <c r="AD13" s="8">
        <f>HOTEL!DE15</f>
        <v>0</v>
      </c>
      <c r="AE13" s="7">
        <f>HOTEL!DH15</f>
        <v>11.950000000000001</v>
      </c>
      <c r="AF13" s="7">
        <f>HOTEL!DK15</f>
        <v>0</v>
      </c>
      <c r="AG13" s="7">
        <f>HOTEL!DN15</f>
        <v>0</v>
      </c>
      <c r="AH13" s="7">
        <f>HOTEL!DQ15</f>
        <v>0</v>
      </c>
      <c r="AI13" s="7">
        <f>HOTEL!DT15</f>
        <v>0</v>
      </c>
      <c r="AJ13" s="7">
        <f>HOTEL!DW15</f>
        <v>0</v>
      </c>
      <c r="AK13" s="7">
        <f>TOTAL!K13</f>
        <v>2</v>
      </c>
    </row>
    <row r="14" spans="1:38" x14ac:dyDescent="0.2">
      <c r="A14" s="2" t="s">
        <v>77</v>
      </c>
      <c r="B14" s="7">
        <f t="shared" si="1"/>
        <v>13</v>
      </c>
      <c r="C14" s="7">
        <v>6</v>
      </c>
      <c r="D14" s="7">
        <v>2020</v>
      </c>
      <c r="E14" s="7">
        <f>TOTAL!E14</f>
        <v>3953</v>
      </c>
      <c r="F14" s="7">
        <f>HOTEL!R16</f>
        <v>86</v>
      </c>
      <c r="G14" s="7">
        <f>HOTEL!T16</f>
        <v>143</v>
      </c>
      <c r="H14" s="8">
        <f>HOTEL!DY16</f>
        <v>0</v>
      </c>
      <c r="I14" s="8">
        <f>HOTEL!EA16</f>
        <v>0</v>
      </c>
      <c r="J14" s="8">
        <f>HOTEL!EC16</f>
        <v>0</v>
      </c>
      <c r="K14" s="8">
        <f>HOTEL!EE16</f>
        <v>0</v>
      </c>
      <c r="L14" s="7">
        <f t="shared" si="2"/>
        <v>130</v>
      </c>
      <c r="M14" s="7">
        <f>HOTEL!AF16</f>
        <v>0</v>
      </c>
      <c r="N14" s="7">
        <f>HOTEL!AJ16</f>
        <v>80</v>
      </c>
      <c r="O14" s="7">
        <f>HOTEL!AN16</f>
        <v>2</v>
      </c>
      <c r="P14" s="7">
        <f>HOTEL!AP16</f>
        <v>0</v>
      </c>
      <c r="Q14" s="7">
        <f>HOTEL!AR16</f>
        <v>0</v>
      </c>
      <c r="R14" s="7">
        <f>HOTEL!AT16</f>
        <v>0</v>
      </c>
      <c r="S14" s="7">
        <f>HOTEL!AV16</f>
        <v>0</v>
      </c>
      <c r="T14" s="7">
        <f>HOTEL!AX16</f>
        <v>0</v>
      </c>
      <c r="U14" s="7">
        <f>HOTEL!AZ16</f>
        <v>0</v>
      </c>
      <c r="V14" s="7">
        <f>HOTEL!BB16</f>
        <v>0</v>
      </c>
      <c r="W14" s="7">
        <f>HOTEL!BN16</f>
        <v>50</v>
      </c>
      <c r="X14" s="7" t="str">
        <f>HOTEL!BU16</f>
        <v>0</v>
      </c>
      <c r="Y14" s="7">
        <f>HOTEL!CP16</f>
        <v>1.22</v>
      </c>
      <c r="Z14" s="7">
        <f>HOTEL!CS15</f>
        <v>0</v>
      </c>
      <c r="AA14" s="7">
        <f>HOTEL!CV16</f>
        <v>0</v>
      </c>
      <c r="AB14" s="8">
        <f>HOTEL!CY16</f>
        <v>179.8</v>
      </c>
      <c r="AC14" s="7">
        <f>HOTEL!DB16</f>
        <v>2.39</v>
      </c>
      <c r="AD14" s="8">
        <f>HOTEL!DE16</f>
        <v>0</v>
      </c>
      <c r="AE14" s="7">
        <f>HOTEL!DH16</f>
        <v>5.7360000000002174</v>
      </c>
      <c r="AF14" s="7">
        <f>HOTEL!DK16</f>
        <v>0</v>
      </c>
      <c r="AG14" s="7">
        <f>HOTEL!DN16</f>
        <v>0</v>
      </c>
      <c r="AH14" s="7">
        <f>HOTEL!DQ16</f>
        <v>0</v>
      </c>
      <c r="AI14" s="7">
        <f>HOTEL!DT16</f>
        <v>0</v>
      </c>
      <c r="AJ14" s="7">
        <f>HOTEL!DW16</f>
        <v>0</v>
      </c>
      <c r="AK14" s="7">
        <f>TOTAL!K14</f>
        <v>2</v>
      </c>
    </row>
    <row r="15" spans="1:38" x14ac:dyDescent="0.2">
      <c r="A15" s="2" t="s">
        <v>77</v>
      </c>
      <c r="B15" s="7">
        <f t="shared" si="1"/>
        <v>14</v>
      </c>
      <c r="C15" s="7">
        <v>6</v>
      </c>
      <c r="D15" s="7">
        <v>2020</v>
      </c>
      <c r="E15" s="8">
        <f>TOTAL!E15</f>
        <v>3907</v>
      </c>
      <c r="F15" s="7">
        <f>HOTEL!R17</f>
        <v>145</v>
      </c>
      <c r="G15" s="7">
        <f>HOTEL!T17</f>
        <v>309</v>
      </c>
      <c r="H15" s="8">
        <f>HOTEL!DY17</f>
        <v>0</v>
      </c>
      <c r="I15" s="8">
        <f>HOTEL!EA17</f>
        <v>0</v>
      </c>
      <c r="J15" s="8">
        <f>HOTEL!EC17</f>
        <v>0</v>
      </c>
      <c r="K15" s="8">
        <f>HOTEL!EE17</f>
        <v>0</v>
      </c>
      <c r="L15" s="7">
        <f t="shared" si="2"/>
        <v>90</v>
      </c>
      <c r="M15" s="7">
        <f>HOTEL!AF17</f>
        <v>0</v>
      </c>
      <c r="N15" s="7">
        <f>HOTEL!AJ17</f>
        <v>20</v>
      </c>
      <c r="O15" s="7">
        <f>HOTEL!AN17</f>
        <v>2</v>
      </c>
      <c r="P15" s="7">
        <f>HOTEL!AP17</f>
        <v>0</v>
      </c>
      <c r="Q15" s="7">
        <f>HOTEL!AR17</f>
        <v>0</v>
      </c>
      <c r="R15" s="7">
        <f>HOTEL!AT17</f>
        <v>0</v>
      </c>
      <c r="S15" s="7">
        <f>HOTEL!AV17</f>
        <v>0</v>
      </c>
      <c r="T15" s="7">
        <f>HOTEL!AX17</f>
        <v>0</v>
      </c>
      <c r="U15" s="7">
        <f>HOTEL!AZ17</f>
        <v>0</v>
      </c>
      <c r="V15" s="7">
        <f>HOTEL!BB17</f>
        <v>0</v>
      </c>
      <c r="W15" s="7">
        <f>HOTEL!BN17</f>
        <v>50</v>
      </c>
      <c r="X15" s="7">
        <f>HOTEL!BU17</f>
        <v>20</v>
      </c>
      <c r="Y15" s="7">
        <f>HOTEL!CP17</f>
        <v>0.97600000000355069</v>
      </c>
      <c r="Z15" s="7">
        <f>HOTEL!CS16</f>
        <v>0</v>
      </c>
      <c r="AA15" s="7">
        <f>HOTEL!CV17</f>
        <v>0</v>
      </c>
      <c r="AB15" s="8">
        <f>HOTEL!CY17</f>
        <v>0</v>
      </c>
      <c r="AC15" s="7">
        <f>HOTEL!DB17</f>
        <v>2.8679999999995656</v>
      </c>
      <c r="AD15" s="8">
        <f>HOTEL!DE17</f>
        <v>0</v>
      </c>
      <c r="AE15" s="7">
        <f>HOTEL!DH17</f>
        <v>9.56</v>
      </c>
      <c r="AF15" s="7">
        <f>HOTEL!DK17</f>
        <v>0</v>
      </c>
      <c r="AG15" s="7">
        <f>HOTEL!DN17</f>
        <v>0</v>
      </c>
      <c r="AH15" s="7">
        <f>HOTEL!DQ17</f>
        <v>0</v>
      </c>
      <c r="AI15" s="7">
        <f>HOTEL!DT17</f>
        <v>0</v>
      </c>
      <c r="AJ15" s="7">
        <f>HOTEL!DW17</f>
        <v>0</v>
      </c>
      <c r="AK15" s="7">
        <f>TOTAL!K15</f>
        <v>2</v>
      </c>
    </row>
    <row r="16" spans="1:38" x14ac:dyDescent="0.2">
      <c r="A16" s="2" t="s">
        <v>77</v>
      </c>
      <c r="B16" s="7">
        <f t="shared" si="1"/>
        <v>15</v>
      </c>
      <c r="C16" s="7">
        <v>6</v>
      </c>
      <c r="D16" s="7">
        <v>2020</v>
      </c>
      <c r="E16" s="7">
        <f>TOTAL!E16</f>
        <v>3834</v>
      </c>
      <c r="F16" s="7">
        <f>HOTEL!R18</f>
        <v>191</v>
      </c>
      <c r="G16" s="7">
        <f>HOTEL!T18</f>
        <v>132</v>
      </c>
      <c r="H16" s="8">
        <f>HOTEL!DY18</f>
        <v>0</v>
      </c>
      <c r="I16" s="8">
        <f>HOTEL!EA18</f>
        <v>0</v>
      </c>
      <c r="J16" s="8">
        <f>HOTEL!EC18</f>
        <v>0</v>
      </c>
      <c r="K16" s="8">
        <f>HOTEL!EE18</f>
        <v>0</v>
      </c>
      <c r="L16" s="7">
        <f t="shared" si="2"/>
        <v>100</v>
      </c>
      <c r="M16" s="7">
        <f>HOTEL!AF18</f>
        <v>0</v>
      </c>
      <c r="N16" s="7">
        <f>HOTEL!AJ18</f>
        <v>70</v>
      </c>
      <c r="O16" s="7">
        <f>HOTEL!AN18</f>
        <v>2</v>
      </c>
      <c r="P16" s="7">
        <f>HOTEL!AP18</f>
        <v>0</v>
      </c>
      <c r="Q16" s="7">
        <f>HOTEL!AR18</f>
        <v>0</v>
      </c>
      <c r="R16" s="7">
        <f>HOTEL!AT18</f>
        <v>0</v>
      </c>
      <c r="S16" s="7">
        <f>HOTEL!AV18</f>
        <v>0</v>
      </c>
      <c r="T16" s="7">
        <f>HOTEL!AX18</f>
        <v>0</v>
      </c>
      <c r="U16" s="7">
        <f>HOTEL!AZ18</f>
        <v>0</v>
      </c>
      <c r="V16" s="7">
        <f>HOTEL!BB18</f>
        <v>0</v>
      </c>
      <c r="W16" s="7">
        <f>HOTEL!BN18</f>
        <v>30</v>
      </c>
      <c r="X16" s="7" t="str">
        <f>HOTEL!BU18</f>
        <v>0</v>
      </c>
      <c r="Y16" s="7">
        <f>HOTEL!CP18</f>
        <v>6.44159999999858</v>
      </c>
      <c r="Z16" s="7">
        <f>HOTEL!CS17</f>
        <v>0</v>
      </c>
      <c r="AA16" s="7">
        <f>HOTEL!CV18</f>
        <v>0</v>
      </c>
      <c r="AB16" s="8">
        <f>HOTEL!CY18</f>
        <v>0</v>
      </c>
      <c r="AC16" s="7">
        <f>HOTEL!DB18</f>
        <v>2.8680000000017389</v>
      </c>
      <c r="AD16" s="8">
        <f>HOTEL!DE18</f>
        <v>0</v>
      </c>
      <c r="AE16" s="7">
        <f>HOTEL!DH18</f>
        <v>13.383999999999784</v>
      </c>
      <c r="AF16" s="7">
        <f>HOTEL!DK18</f>
        <v>0</v>
      </c>
      <c r="AG16" s="7">
        <f>HOTEL!DN18</f>
        <v>0</v>
      </c>
      <c r="AH16" s="7">
        <f>HOTEL!DQ18</f>
        <v>0</v>
      </c>
      <c r="AI16" s="7">
        <f>HOTEL!DT18</f>
        <v>0</v>
      </c>
      <c r="AJ16" s="7">
        <f>HOTEL!DW18</f>
        <v>0</v>
      </c>
      <c r="AK16" s="7">
        <f>TOTAL!K16</f>
        <v>2</v>
      </c>
    </row>
    <row r="17" spans="1:37" x14ac:dyDescent="0.2">
      <c r="A17" s="2" t="s">
        <v>77</v>
      </c>
      <c r="B17" s="7">
        <f t="shared" si="1"/>
        <v>16</v>
      </c>
      <c r="C17" s="7">
        <v>6</v>
      </c>
      <c r="D17" s="7">
        <v>2020</v>
      </c>
      <c r="E17" s="7">
        <f>TOTAL!E17</f>
        <v>3646</v>
      </c>
      <c r="F17" s="7">
        <f>HOTEL!R19</f>
        <v>95</v>
      </c>
      <c r="G17" s="7">
        <f>HOTEL!T19</f>
        <v>72</v>
      </c>
      <c r="H17" s="8">
        <f>HOTEL!DY19</f>
        <v>0</v>
      </c>
      <c r="I17" s="8">
        <f>HOTEL!EA19</f>
        <v>0</v>
      </c>
      <c r="J17" s="8">
        <f>HOTEL!EC19</f>
        <v>0</v>
      </c>
      <c r="K17" s="8">
        <f>HOTEL!EE19</f>
        <v>0</v>
      </c>
      <c r="L17" s="7">
        <f t="shared" si="2"/>
        <v>70</v>
      </c>
      <c r="M17" s="7">
        <f>HOTEL!AF19</f>
        <v>0</v>
      </c>
      <c r="N17" s="7">
        <f>HOTEL!AJ19</f>
        <v>20</v>
      </c>
      <c r="O17" s="7">
        <f>HOTEL!AN19</f>
        <v>1</v>
      </c>
      <c r="P17" s="7">
        <f>HOTEL!AP19</f>
        <v>0</v>
      </c>
      <c r="Q17" s="7">
        <f>HOTEL!AR19</f>
        <v>1</v>
      </c>
      <c r="R17" s="7">
        <f>HOTEL!AT19</f>
        <v>0</v>
      </c>
      <c r="S17" s="7">
        <f>HOTEL!AV19</f>
        <v>0</v>
      </c>
      <c r="T17" s="7">
        <f>HOTEL!AX19</f>
        <v>0</v>
      </c>
      <c r="U17" s="7">
        <f>HOTEL!AZ19</f>
        <v>0</v>
      </c>
      <c r="V17" s="7">
        <f>HOTEL!BB19</f>
        <v>0</v>
      </c>
      <c r="W17" s="7">
        <f>HOTEL!BN19</f>
        <v>20</v>
      </c>
      <c r="X17" s="7">
        <f>HOTEL!BU19</f>
        <v>30</v>
      </c>
      <c r="Y17" s="7">
        <f>HOTEL!CP19</f>
        <v>4.2455999999950293</v>
      </c>
      <c r="Z17" s="7">
        <f>HOTEL!CS18</f>
        <v>0</v>
      </c>
      <c r="AA17" s="7">
        <f>HOTEL!CV19</f>
        <v>0</v>
      </c>
      <c r="AB17" s="8">
        <f>HOTEL!CY19</f>
        <v>0</v>
      </c>
      <c r="AC17" s="7">
        <f>HOTEL!DB19</f>
        <v>1.9119999999982611</v>
      </c>
      <c r="AD17" s="8">
        <f>HOTEL!DE19</f>
        <v>0</v>
      </c>
      <c r="AE17" s="7">
        <f>HOTEL!DH19</f>
        <v>3.8240000000008698</v>
      </c>
      <c r="AF17" s="7">
        <f>HOTEL!DK19</f>
        <v>0</v>
      </c>
      <c r="AG17" s="7">
        <f>HOTEL!DN19</f>
        <v>0</v>
      </c>
      <c r="AH17" s="7">
        <f>HOTEL!DQ19</f>
        <v>0</v>
      </c>
      <c r="AI17" s="7">
        <f>HOTEL!DT19</f>
        <v>0</v>
      </c>
      <c r="AJ17" s="7">
        <f>HOTEL!DW19</f>
        <v>0</v>
      </c>
      <c r="AK17" s="7">
        <f>TOTAL!K17</f>
        <v>2</v>
      </c>
    </row>
    <row r="18" spans="1:37" x14ac:dyDescent="0.2">
      <c r="A18" s="2" t="s">
        <v>77</v>
      </c>
      <c r="B18" s="7">
        <f t="shared" si="1"/>
        <v>17</v>
      </c>
      <c r="C18" s="7">
        <v>6</v>
      </c>
      <c r="D18" s="7">
        <v>2020</v>
      </c>
      <c r="E18" s="7">
        <f>TOTAL!E18</f>
        <v>3668</v>
      </c>
      <c r="F18" s="7">
        <f>HOTEL!R20</f>
        <v>103</v>
      </c>
      <c r="G18" s="7">
        <f>HOTEL!T20</f>
        <v>88</v>
      </c>
      <c r="H18" s="8">
        <f>HOTEL!DY20</f>
        <v>0</v>
      </c>
      <c r="I18" s="8">
        <f>HOTEL!EA20</f>
        <v>0</v>
      </c>
      <c r="J18" s="8">
        <f>HOTEL!EC20</f>
        <v>0</v>
      </c>
      <c r="K18" s="8">
        <f>HOTEL!EE20</f>
        <v>0</v>
      </c>
      <c r="L18" s="7">
        <f t="shared" si="2"/>
        <v>60</v>
      </c>
      <c r="M18" s="7">
        <f>HOTEL!AF20</f>
        <v>0</v>
      </c>
      <c r="N18" s="7">
        <f>HOTEL!AJ20</f>
        <v>20</v>
      </c>
      <c r="O18" s="7">
        <f>HOTEL!AN20</f>
        <v>1</v>
      </c>
      <c r="P18" s="7">
        <f>HOTEL!AP20</f>
        <v>0</v>
      </c>
      <c r="Q18" s="7">
        <f>HOTEL!AR20</f>
        <v>0</v>
      </c>
      <c r="R18" s="7">
        <f>HOTEL!AT20</f>
        <v>0</v>
      </c>
      <c r="S18" s="7">
        <f>HOTEL!AV20</f>
        <v>0</v>
      </c>
      <c r="T18" s="7">
        <f>HOTEL!AX20</f>
        <v>0</v>
      </c>
      <c r="U18" s="7">
        <f>HOTEL!AZ20</f>
        <v>0</v>
      </c>
      <c r="V18" s="7">
        <f>HOTEL!BB20</f>
        <v>0</v>
      </c>
      <c r="W18" s="7">
        <f>HOTEL!BN20</f>
        <v>40</v>
      </c>
      <c r="X18" s="7">
        <f>HOTEL!BU20</f>
        <v>0</v>
      </c>
      <c r="Y18" s="7">
        <f>HOTEL!CP20</f>
        <v>4.0748000000134921</v>
      </c>
      <c r="Z18" s="7">
        <f>HOTEL!CS19</f>
        <v>0</v>
      </c>
      <c r="AA18" s="7">
        <f>HOTEL!CV20</f>
        <v>0</v>
      </c>
      <c r="AB18" s="8">
        <f>HOTEL!CY20</f>
        <v>0</v>
      </c>
      <c r="AC18" s="7">
        <f>HOTEL!DB20</f>
        <v>2.39</v>
      </c>
      <c r="AD18" s="8">
        <f>HOTEL!DE20</f>
        <v>0</v>
      </c>
      <c r="AE18" s="7">
        <f>HOTEL!DH20</f>
        <v>9.3209999999991311</v>
      </c>
      <c r="AF18" s="7">
        <f>HOTEL!DK20</f>
        <v>0</v>
      </c>
      <c r="AG18" s="7">
        <f>HOTEL!DN20</f>
        <v>0</v>
      </c>
      <c r="AH18" s="7">
        <f>HOTEL!DQ20</f>
        <v>0</v>
      </c>
      <c r="AI18" s="7">
        <f>HOTEL!DT20</f>
        <v>0</v>
      </c>
      <c r="AJ18" s="7">
        <f>HOTEL!DW20</f>
        <v>0</v>
      </c>
      <c r="AK18" s="7">
        <f>TOTAL!K18</f>
        <v>1</v>
      </c>
    </row>
    <row r="19" spans="1:37" x14ac:dyDescent="0.2">
      <c r="A19" s="2" t="s">
        <v>77</v>
      </c>
      <c r="B19" s="7">
        <f t="shared" si="1"/>
        <v>18</v>
      </c>
      <c r="C19" s="7">
        <v>6</v>
      </c>
      <c r="D19" s="7">
        <v>2020</v>
      </c>
      <c r="E19" s="7">
        <f>TOTAL!E19</f>
        <v>3433</v>
      </c>
      <c r="F19" s="7">
        <f>HOTEL!R21</f>
        <v>32</v>
      </c>
      <c r="G19" s="7">
        <f>HOTEL!T21</f>
        <v>21</v>
      </c>
      <c r="H19" s="8">
        <f>HOTEL!DY21</f>
        <v>0</v>
      </c>
      <c r="I19" s="8">
        <f>HOTEL!EA21</f>
        <v>0</v>
      </c>
      <c r="J19" s="8">
        <f>HOTEL!EC21</f>
        <v>0</v>
      </c>
      <c r="K19" s="8">
        <f>HOTEL!EE21</f>
        <v>0</v>
      </c>
      <c r="L19" s="7">
        <f t="shared" si="2"/>
        <v>90</v>
      </c>
      <c r="M19" s="7">
        <f>HOTEL!AF21</f>
        <v>0</v>
      </c>
      <c r="N19" s="7">
        <f>HOTEL!AJ21</f>
        <v>70</v>
      </c>
      <c r="O19" s="7">
        <f>HOTEL!AN21</f>
        <v>1</v>
      </c>
      <c r="P19" s="7">
        <f>HOTEL!AP21</f>
        <v>0</v>
      </c>
      <c r="Q19" s="7">
        <f>HOTEL!AR21</f>
        <v>0</v>
      </c>
      <c r="R19" s="7">
        <f>HOTEL!AT21</f>
        <v>0</v>
      </c>
      <c r="S19" s="7">
        <f>HOTEL!AV21</f>
        <v>0</v>
      </c>
      <c r="T19" s="7">
        <f>HOTEL!AX21</f>
        <v>0</v>
      </c>
      <c r="U19" s="7">
        <f>HOTEL!AZ21</f>
        <v>0</v>
      </c>
      <c r="V19" s="7">
        <f>HOTEL!BB21</f>
        <v>0</v>
      </c>
      <c r="W19" s="7">
        <f>HOTEL!BN21</f>
        <v>10</v>
      </c>
      <c r="X19" s="7">
        <f>HOTEL!BU21</f>
        <v>10</v>
      </c>
      <c r="Y19" s="7">
        <f>HOTEL!CP21</f>
        <v>1.5859999999857972</v>
      </c>
      <c r="Z19" s="7">
        <f>HOTEL!CS20</f>
        <v>0</v>
      </c>
      <c r="AA19" s="7">
        <f>HOTEL!CV21</f>
        <v>0</v>
      </c>
      <c r="AB19" s="8">
        <f>HOTEL!CY21</f>
        <v>124</v>
      </c>
      <c r="AC19" s="7">
        <f>HOTEL!DB21</f>
        <v>1.4340000000008695</v>
      </c>
      <c r="AD19" s="8">
        <f>HOTEL!DE21</f>
        <v>0</v>
      </c>
      <c r="AE19" s="7">
        <f>HOTEL!DH21</f>
        <v>0</v>
      </c>
      <c r="AF19" s="7">
        <f>HOTEL!DK21</f>
        <v>0</v>
      </c>
      <c r="AG19" s="7">
        <f>HOTEL!DN21</f>
        <v>0</v>
      </c>
      <c r="AH19" s="7">
        <f>HOTEL!DQ21</f>
        <v>0</v>
      </c>
      <c r="AI19" s="7">
        <f>HOTEL!DT21</f>
        <v>0</v>
      </c>
      <c r="AJ19" s="7">
        <f>HOTEL!DW21</f>
        <v>0</v>
      </c>
      <c r="AK19" s="7">
        <f>TOTAL!K19</f>
        <v>1</v>
      </c>
    </row>
    <row r="20" spans="1:37" x14ac:dyDescent="0.2">
      <c r="A20" s="2" t="s">
        <v>77</v>
      </c>
      <c r="B20" s="7">
        <f t="shared" si="1"/>
        <v>19</v>
      </c>
      <c r="C20" s="7">
        <v>6</v>
      </c>
      <c r="D20" s="7">
        <v>2020</v>
      </c>
      <c r="E20" s="7">
        <f>TOTAL!E20</f>
        <v>3376</v>
      </c>
      <c r="F20" s="7">
        <f>HOTEL!R22</f>
        <v>66</v>
      </c>
      <c r="G20" s="7">
        <f>HOTEL!T22</f>
        <v>59</v>
      </c>
      <c r="H20" s="8">
        <f>HOTEL!DY22</f>
        <v>0</v>
      </c>
      <c r="I20" s="8">
        <f>HOTEL!EA22</f>
        <v>0</v>
      </c>
      <c r="J20" s="8">
        <f>HOTEL!EC22</f>
        <v>0</v>
      </c>
      <c r="K20" s="8">
        <f>HOTEL!EE22</f>
        <v>0</v>
      </c>
      <c r="L20" s="7">
        <f t="shared" si="2"/>
        <v>90</v>
      </c>
      <c r="M20" s="7">
        <f>HOTEL!AF22</f>
        <v>13</v>
      </c>
      <c r="N20" s="7">
        <f>HOTEL!AJ22</f>
        <v>60</v>
      </c>
      <c r="O20" s="7">
        <f>HOTEL!AN22</f>
        <v>1</v>
      </c>
      <c r="P20" s="7">
        <f>HOTEL!AP22</f>
        <v>1</v>
      </c>
      <c r="Q20" s="7">
        <f>HOTEL!AR22</f>
        <v>0</v>
      </c>
      <c r="R20" s="7">
        <f>HOTEL!AT22</f>
        <v>0</v>
      </c>
      <c r="S20" s="7">
        <f>HOTEL!AV22</f>
        <v>0</v>
      </c>
      <c r="T20" s="7">
        <f>HOTEL!AX22</f>
        <v>0</v>
      </c>
      <c r="U20" s="7">
        <f>HOTEL!AZ22</f>
        <v>0</v>
      </c>
      <c r="V20" s="7">
        <f>HOTEL!BB22</f>
        <v>0</v>
      </c>
      <c r="W20" s="7">
        <f>HOTEL!BN22</f>
        <v>30</v>
      </c>
      <c r="X20" s="7">
        <f>HOTEL!BU22</f>
        <v>0</v>
      </c>
      <c r="Y20" s="7">
        <f>HOTEL!CP22</f>
        <v>0.48800000001065197</v>
      </c>
      <c r="Z20" s="7">
        <f>HOTEL!CS21</f>
        <v>0</v>
      </c>
      <c r="AA20" s="7">
        <f>HOTEL!CV22</f>
        <v>0</v>
      </c>
      <c r="AB20" s="8">
        <f>HOTEL!CY22</f>
        <v>0</v>
      </c>
      <c r="AC20" s="7">
        <f>HOTEL!DB22</f>
        <v>0.47799999999956527</v>
      </c>
      <c r="AD20" s="8">
        <f>HOTEL!DE22</f>
        <v>0</v>
      </c>
      <c r="AE20" s="7">
        <f>HOTEL!DH22</f>
        <v>0</v>
      </c>
      <c r="AF20" s="7">
        <f>HOTEL!DK22</f>
        <v>0</v>
      </c>
      <c r="AG20" s="7">
        <f>HOTEL!DN22</f>
        <v>0</v>
      </c>
      <c r="AH20" s="7">
        <f>HOTEL!DQ22</f>
        <v>0</v>
      </c>
      <c r="AI20" s="7">
        <f>HOTEL!DT22</f>
        <v>0</v>
      </c>
      <c r="AJ20" s="7">
        <f>HOTEL!DW22</f>
        <v>0</v>
      </c>
      <c r="AK20" s="7">
        <f>TOTAL!K20</f>
        <v>1</v>
      </c>
    </row>
    <row r="21" spans="1:37" x14ac:dyDescent="0.2">
      <c r="A21" s="2" t="s">
        <v>77</v>
      </c>
      <c r="B21" s="7">
        <f t="shared" si="1"/>
        <v>20</v>
      </c>
      <c r="C21" s="7">
        <v>6</v>
      </c>
      <c r="D21" s="7">
        <v>2020</v>
      </c>
      <c r="E21" s="7">
        <f>TOTAL!E21</f>
        <v>3512</v>
      </c>
      <c r="F21" s="7">
        <f>HOTEL!R23</f>
        <v>142</v>
      </c>
      <c r="G21" s="7">
        <f>HOTEL!T23</f>
        <v>62</v>
      </c>
      <c r="H21" s="8">
        <f>HOTEL!DY23</f>
        <v>0</v>
      </c>
      <c r="I21" s="8">
        <f>HOTEL!EA23</f>
        <v>0</v>
      </c>
      <c r="J21" s="8">
        <f>HOTEL!EC23</f>
        <v>0</v>
      </c>
      <c r="K21" s="8">
        <f>HOTEL!EE23</f>
        <v>0</v>
      </c>
      <c r="L21" s="7">
        <f t="shared" si="2"/>
        <v>80</v>
      </c>
      <c r="M21" s="7">
        <f>HOTEL!AF23</f>
        <v>0</v>
      </c>
      <c r="N21" s="7">
        <f>HOTEL!AJ23</f>
        <v>60</v>
      </c>
      <c r="O21" s="7">
        <f>HOTEL!AN23</f>
        <v>0</v>
      </c>
      <c r="P21" s="7" t="str">
        <f>HOTEL!AP23</f>
        <v>0</v>
      </c>
      <c r="Q21" s="7">
        <f>HOTEL!AR23</f>
        <v>0</v>
      </c>
      <c r="R21" s="7">
        <f>HOTEL!AT23</f>
        <v>0</v>
      </c>
      <c r="S21" s="7">
        <f>HOTEL!AV23</f>
        <v>1</v>
      </c>
      <c r="T21" s="7">
        <f>HOTEL!AX23</f>
        <v>0</v>
      </c>
      <c r="U21" s="7">
        <f>HOTEL!AZ23</f>
        <v>0</v>
      </c>
      <c r="V21" s="7">
        <f>HOTEL!BB23</f>
        <v>0</v>
      </c>
      <c r="W21" s="7">
        <f>HOTEL!BN23</f>
        <v>20</v>
      </c>
      <c r="X21" s="7">
        <f>HOTEL!BU23</f>
        <v>0</v>
      </c>
      <c r="Y21" s="7">
        <f>HOTEL!CP23</f>
        <v>1.22</v>
      </c>
      <c r="Z21" s="7">
        <f>HOTEL!CS22</f>
        <v>0</v>
      </c>
      <c r="AA21" s="7">
        <f>HOTEL!CV23</f>
        <v>0</v>
      </c>
      <c r="AB21" s="8">
        <f>HOTEL!CY23</f>
        <v>0</v>
      </c>
      <c r="AC21" s="7">
        <f>HOTEL!DB23</f>
        <v>2.1510000000013045</v>
      </c>
      <c r="AD21" s="8">
        <f>HOTEL!DE23</f>
        <v>0</v>
      </c>
      <c r="AE21" s="7">
        <f>HOTEL!DH23</f>
        <v>0</v>
      </c>
      <c r="AF21" s="7">
        <f>HOTEL!DK23</f>
        <v>0</v>
      </c>
      <c r="AG21" s="7">
        <f>HOTEL!DN23</f>
        <v>0</v>
      </c>
      <c r="AH21" s="7">
        <f>HOTEL!DQ23</f>
        <v>0</v>
      </c>
      <c r="AI21" s="7">
        <f>HOTEL!DT23</f>
        <v>0</v>
      </c>
      <c r="AJ21" s="7">
        <f>HOTEL!DW23</f>
        <v>0</v>
      </c>
      <c r="AK21" s="7">
        <f>TOTAL!K21</f>
        <v>1</v>
      </c>
    </row>
    <row r="22" spans="1:37" x14ac:dyDescent="0.2">
      <c r="A22" s="2" t="s">
        <v>77</v>
      </c>
      <c r="B22" s="7">
        <f t="shared" si="1"/>
        <v>21</v>
      </c>
      <c r="C22" s="7">
        <v>6</v>
      </c>
      <c r="D22" s="7">
        <v>2020</v>
      </c>
      <c r="E22" s="7">
        <f>TOTAL!E22</f>
        <v>3645</v>
      </c>
      <c r="F22" s="7">
        <f>HOTEL!R24</f>
        <v>31</v>
      </c>
      <c r="G22" s="7">
        <f>HOTEL!T24</f>
        <v>79</v>
      </c>
      <c r="H22" s="8">
        <f>HOTEL!DY24</f>
        <v>0</v>
      </c>
      <c r="I22" s="8">
        <f>HOTEL!EA24</f>
        <v>0</v>
      </c>
      <c r="J22" s="8">
        <f>HOTEL!EC24</f>
        <v>0</v>
      </c>
      <c r="K22" s="8">
        <f>HOTEL!EE24</f>
        <v>0</v>
      </c>
      <c r="L22" s="7">
        <f t="shared" si="2"/>
        <v>60</v>
      </c>
      <c r="M22" s="7">
        <f>HOTEL!AF24</f>
        <v>0</v>
      </c>
      <c r="N22" s="7">
        <f>HOTEL!AJ24</f>
        <v>20</v>
      </c>
      <c r="O22" s="7">
        <f>HOTEL!AN24</f>
        <v>2</v>
      </c>
      <c r="P22" s="7">
        <f>HOTEL!AP24</f>
        <v>1</v>
      </c>
      <c r="Q22" s="7">
        <f>HOTEL!AR24</f>
        <v>0</v>
      </c>
      <c r="R22" s="7">
        <f>HOTEL!AT24</f>
        <v>0</v>
      </c>
      <c r="S22" s="7">
        <f>HOTEL!AV24</f>
        <v>0</v>
      </c>
      <c r="T22" s="7">
        <f>HOTEL!AX24</f>
        <v>0</v>
      </c>
      <c r="U22" s="7">
        <f>HOTEL!AZ24</f>
        <v>0</v>
      </c>
      <c r="V22" s="7">
        <f>HOTEL!BB24</f>
        <v>0</v>
      </c>
      <c r="W22" s="7">
        <f>HOTEL!BN24</f>
        <v>40</v>
      </c>
      <c r="X22" s="7">
        <f>HOTEL!BU24</f>
        <v>0</v>
      </c>
      <c r="Y22" s="7">
        <f>HOTEL!CP24</f>
        <v>2.1960000000035507</v>
      </c>
      <c r="Z22" s="7">
        <f>HOTEL!CS23</f>
        <v>0</v>
      </c>
      <c r="AA22" s="7">
        <f>HOTEL!CV24</f>
        <v>0</v>
      </c>
      <c r="AB22" s="8">
        <f>HOTEL!CY24</f>
        <v>0</v>
      </c>
      <c r="AC22" s="7">
        <f>HOTEL!DB24</f>
        <v>1.6729999999995653</v>
      </c>
      <c r="AD22" s="8">
        <f>HOTEL!DE24</f>
        <v>0</v>
      </c>
      <c r="AE22" s="7">
        <f>HOTEL!DH24</f>
        <v>0</v>
      </c>
      <c r="AF22" s="7">
        <f>HOTEL!DK24</f>
        <v>0</v>
      </c>
      <c r="AG22" s="7">
        <f>HOTEL!DN24</f>
        <v>0</v>
      </c>
      <c r="AH22" s="7">
        <f>HOTEL!DQ24</f>
        <v>0</v>
      </c>
      <c r="AI22" s="7">
        <f>HOTEL!DT24</f>
        <v>0</v>
      </c>
      <c r="AJ22" s="7">
        <f>HOTEL!DW24</f>
        <v>0</v>
      </c>
      <c r="AK22" s="7">
        <f>TOTAL!K22</f>
        <v>1</v>
      </c>
    </row>
    <row r="23" spans="1:37" x14ac:dyDescent="0.2">
      <c r="A23" s="2" t="s">
        <v>77</v>
      </c>
      <c r="B23" s="7">
        <f t="shared" si="1"/>
        <v>22</v>
      </c>
      <c r="C23" s="7">
        <v>6</v>
      </c>
      <c r="D23" s="7">
        <v>2020</v>
      </c>
      <c r="E23" s="7">
        <f>TOTAL!E23</f>
        <v>3421</v>
      </c>
      <c r="F23" s="7">
        <f>HOTEL!R25</f>
        <v>89</v>
      </c>
      <c r="G23" s="7">
        <f>HOTEL!T25</f>
        <v>89</v>
      </c>
      <c r="H23" s="8">
        <f>HOTEL!DY25</f>
        <v>0</v>
      </c>
      <c r="I23" s="8">
        <f>HOTEL!EA25</f>
        <v>0</v>
      </c>
      <c r="J23" s="8">
        <f>HOTEL!EC25</f>
        <v>0</v>
      </c>
      <c r="K23" s="8">
        <f>HOTEL!EE25</f>
        <v>0</v>
      </c>
      <c r="L23" s="7">
        <f t="shared" si="2"/>
        <v>110</v>
      </c>
      <c r="M23" s="7">
        <f>HOTEL!AF25</f>
        <v>0</v>
      </c>
      <c r="N23" s="7">
        <f>HOTEL!AJ25</f>
        <v>70</v>
      </c>
      <c r="O23" s="7">
        <f>HOTEL!AN25</f>
        <v>1</v>
      </c>
      <c r="P23" s="7">
        <f>HOTEL!AP25</f>
        <v>0</v>
      </c>
      <c r="Q23" s="7">
        <f>HOTEL!AR25</f>
        <v>0</v>
      </c>
      <c r="R23" s="7">
        <f>HOTEL!AT25</f>
        <v>0</v>
      </c>
      <c r="S23" s="7">
        <f>HOTEL!AV25</f>
        <v>2</v>
      </c>
      <c r="T23" s="7">
        <f>HOTEL!AX25</f>
        <v>0</v>
      </c>
      <c r="U23" s="7">
        <f>HOTEL!AZ25</f>
        <v>0</v>
      </c>
      <c r="V23" s="7">
        <f>HOTEL!BB25</f>
        <v>0</v>
      </c>
      <c r="W23" s="7">
        <f>HOTEL!BN25</f>
        <v>40</v>
      </c>
      <c r="X23" s="7">
        <f>HOTEL!BU25</f>
        <v>0</v>
      </c>
      <c r="Y23" s="7">
        <f>HOTEL!CP25</f>
        <v>0</v>
      </c>
      <c r="Z23" s="7">
        <f>HOTEL!CS24</f>
        <v>0</v>
      </c>
      <c r="AA23" s="7">
        <f>HOTEL!CV25</f>
        <v>0</v>
      </c>
      <c r="AB23" s="8">
        <f>HOTEL!CY25</f>
        <v>0</v>
      </c>
      <c r="AC23" s="7">
        <f>HOTEL!DB25</f>
        <v>2.1509999999991307</v>
      </c>
      <c r="AD23" s="8">
        <f>HOTEL!DE25</f>
        <v>0</v>
      </c>
      <c r="AE23" s="7">
        <f>HOTEL!DH25</f>
        <v>0</v>
      </c>
      <c r="AF23" s="7">
        <f>HOTEL!DK25</f>
        <v>0</v>
      </c>
      <c r="AG23" s="7">
        <f>HOTEL!DN25</f>
        <v>0</v>
      </c>
      <c r="AH23" s="7">
        <f>HOTEL!DQ25</f>
        <v>0</v>
      </c>
      <c r="AI23" s="7">
        <f>HOTEL!DT25</f>
        <v>0</v>
      </c>
      <c r="AJ23" s="7">
        <f>HOTEL!DW25</f>
        <v>0</v>
      </c>
      <c r="AK23" s="7">
        <f>TOTAL!K23</f>
        <v>1</v>
      </c>
    </row>
    <row r="24" spans="1:37" x14ac:dyDescent="0.2">
      <c r="A24" s="2" t="s">
        <v>77</v>
      </c>
      <c r="B24" s="7">
        <f t="shared" si="1"/>
        <v>23</v>
      </c>
      <c r="C24" s="7">
        <v>6</v>
      </c>
      <c r="D24" s="7">
        <v>2020</v>
      </c>
      <c r="E24" s="7">
        <f>TOTAL!E24</f>
        <v>3504</v>
      </c>
      <c r="F24" s="7">
        <f>HOTEL!R26</f>
        <v>29</v>
      </c>
      <c r="G24" s="7">
        <f>HOTEL!T26</f>
        <v>38</v>
      </c>
      <c r="H24" s="8">
        <f>HOTEL!DY26</f>
        <v>0</v>
      </c>
      <c r="I24" s="8">
        <f>HOTEL!EA26</f>
        <v>0</v>
      </c>
      <c r="J24" s="8">
        <f>HOTEL!EC26</f>
        <v>0</v>
      </c>
      <c r="K24" s="8">
        <f>HOTEL!EE26</f>
        <v>0</v>
      </c>
      <c r="L24" s="7">
        <f t="shared" si="2"/>
        <v>50</v>
      </c>
      <c r="M24" s="7">
        <f>HOTEL!AF26</f>
        <v>0</v>
      </c>
      <c r="N24" s="7">
        <f>HOTEL!AJ26</f>
        <v>20</v>
      </c>
      <c r="O24" s="7">
        <f>HOTEL!AN26</f>
        <v>1</v>
      </c>
      <c r="P24" s="7">
        <f>HOTEL!AP26</f>
        <v>0</v>
      </c>
      <c r="Q24" s="7">
        <f>HOTEL!AR26</f>
        <v>0</v>
      </c>
      <c r="R24" s="7">
        <f>HOTEL!AT26</f>
        <v>1</v>
      </c>
      <c r="S24" s="7">
        <f>HOTEL!AV26</f>
        <v>0</v>
      </c>
      <c r="T24" s="7">
        <f>HOTEL!AX26</f>
        <v>0</v>
      </c>
      <c r="U24" s="7">
        <f>HOTEL!AZ26</f>
        <v>0</v>
      </c>
      <c r="V24" s="7">
        <f>HOTEL!BB26</f>
        <v>0</v>
      </c>
      <c r="W24" s="7">
        <f>HOTEL!BN26</f>
        <v>20</v>
      </c>
      <c r="X24" s="7">
        <f>HOTEL!BU26</f>
        <v>10</v>
      </c>
      <c r="Y24" s="7">
        <f>HOTEL!CP26</f>
        <v>7.32</v>
      </c>
      <c r="Z24" s="7">
        <f>HOTEL!CS25</f>
        <v>0</v>
      </c>
      <c r="AA24" s="7">
        <f>HOTEL!CV26</f>
        <v>0</v>
      </c>
      <c r="AB24" s="8">
        <f>HOTEL!CY26</f>
        <v>0</v>
      </c>
      <c r="AC24" s="7">
        <f>HOTEL!DB26</f>
        <v>2.39</v>
      </c>
      <c r="AD24" s="8">
        <f>HOTEL!DE26</f>
        <v>0</v>
      </c>
      <c r="AE24" s="7">
        <f>HOTEL!DH26</f>
        <v>0</v>
      </c>
      <c r="AF24" s="7">
        <f>HOTEL!DK26</f>
        <v>0</v>
      </c>
      <c r="AG24" s="7">
        <f>HOTEL!DN26</f>
        <v>0</v>
      </c>
      <c r="AH24" s="7">
        <f>HOTEL!DQ26</f>
        <v>0</v>
      </c>
      <c r="AI24" s="7">
        <f>HOTEL!DT26</f>
        <v>0</v>
      </c>
      <c r="AJ24" s="7">
        <f>HOTEL!DW26</f>
        <v>0</v>
      </c>
      <c r="AK24" s="7">
        <f>TOTAL!K24</f>
        <v>1</v>
      </c>
    </row>
    <row r="25" spans="1:37" x14ac:dyDescent="0.2">
      <c r="A25" s="2" t="s">
        <v>77</v>
      </c>
      <c r="B25" s="7">
        <f t="shared" si="1"/>
        <v>24</v>
      </c>
      <c r="C25" s="7">
        <v>6</v>
      </c>
      <c r="D25" s="7">
        <v>2020</v>
      </c>
      <c r="E25" s="7">
        <f>TOTAL!E25</f>
        <v>3433</v>
      </c>
      <c r="F25" s="7">
        <f>HOTEL!R27</f>
        <v>90</v>
      </c>
      <c r="G25" s="7">
        <f>HOTEL!T27</f>
        <v>75</v>
      </c>
      <c r="H25" s="8">
        <f>HOTEL!DY27</f>
        <v>0</v>
      </c>
      <c r="I25" s="8">
        <f>HOTEL!EA27</f>
        <v>0</v>
      </c>
      <c r="J25" s="8">
        <f>HOTEL!EC27</f>
        <v>0</v>
      </c>
      <c r="K25" s="8">
        <f>HOTEL!EE27</f>
        <v>0</v>
      </c>
      <c r="L25" s="7">
        <f t="shared" si="2"/>
        <v>60</v>
      </c>
      <c r="M25" s="7">
        <f>HOTEL!AF27</f>
        <v>13</v>
      </c>
      <c r="N25" s="7">
        <f>HOTEL!AJ27</f>
        <v>40</v>
      </c>
      <c r="O25" s="7">
        <f>HOTEL!AN27</f>
        <v>1</v>
      </c>
      <c r="P25" s="7">
        <f>HOTEL!AP27</f>
        <v>0</v>
      </c>
      <c r="Q25" s="7">
        <f>HOTEL!AR27</f>
        <v>0</v>
      </c>
      <c r="R25" s="7">
        <f>HOTEL!AT27</f>
        <v>0</v>
      </c>
      <c r="S25" s="7">
        <f>HOTEL!AV27</f>
        <v>0</v>
      </c>
      <c r="T25" s="7">
        <f>HOTEL!AX27</f>
        <v>0</v>
      </c>
      <c r="U25" s="7">
        <f>HOTEL!AZ27</f>
        <v>0</v>
      </c>
      <c r="V25" s="7">
        <f>HOTEL!BB27</f>
        <v>0</v>
      </c>
      <c r="W25" s="7">
        <f>HOTEL!BN27</f>
        <v>20</v>
      </c>
      <c r="X25" s="7">
        <f>HOTEL!BU27</f>
        <v>0</v>
      </c>
      <c r="Y25" s="7">
        <f>HOTEL!CP27</f>
        <v>1.4639999999964493</v>
      </c>
      <c r="Z25" s="7">
        <f>HOTEL!CS26</f>
        <v>0</v>
      </c>
      <c r="AA25" s="7">
        <f>HOTEL!CV27</f>
        <v>0</v>
      </c>
      <c r="AB25" s="8">
        <f>HOTEL!CY27</f>
        <v>0</v>
      </c>
      <c r="AC25" s="7">
        <f>HOTEL!DB27</f>
        <v>1.6729999999995653</v>
      </c>
      <c r="AD25" s="8">
        <f>HOTEL!DE27</f>
        <v>0</v>
      </c>
      <c r="AE25" s="7">
        <f>HOTEL!DH27</f>
        <v>0</v>
      </c>
      <c r="AF25" s="7">
        <f>HOTEL!DK27</f>
        <v>0</v>
      </c>
      <c r="AG25" s="7">
        <f>HOTEL!DN27</f>
        <v>0</v>
      </c>
      <c r="AH25" s="7">
        <f>HOTEL!DQ27</f>
        <v>0</v>
      </c>
      <c r="AI25" s="7">
        <f>HOTEL!DT27</f>
        <v>0</v>
      </c>
      <c r="AJ25" s="7">
        <f>HOTEL!DW27</f>
        <v>0</v>
      </c>
      <c r="AK25" s="7">
        <f>TOTAL!K25</f>
        <v>1</v>
      </c>
    </row>
    <row r="26" spans="1:37" x14ac:dyDescent="0.2">
      <c r="A26" s="2" t="s">
        <v>77</v>
      </c>
      <c r="B26" s="7">
        <f>B25+1</f>
        <v>25</v>
      </c>
      <c r="C26" s="7">
        <v>6</v>
      </c>
      <c r="D26" s="7">
        <v>2020</v>
      </c>
      <c r="E26" s="7">
        <f>TOTAL!E26</f>
        <v>3210</v>
      </c>
      <c r="F26" s="7">
        <f>HOTEL!R28</f>
        <v>25</v>
      </c>
      <c r="G26" s="7">
        <f>HOTEL!T28</f>
        <v>23</v>
      </c>
      <c r="H26" s="8">
        <f>HOTEL!DY28</f>
        <v>0</v>
      </c>
      <c r="I26" s="8">
        <f>HOTEL!EA28</f>
        <v>0</v>
      </c>
      <c r="J26" s="8">
        <f>HOTEL!EC28</f>
        <v>0</v>
      </c>
      <c r="K26" s="8">
        <f>HOTEL!EE28</f>
        <v>0</v>
      </c>
      <c r="L26" s="7">
        <f t="shared" si="2"/>
        <v>70</v>
      </c>
      <c r="M26" s="7">
        <f>HOTEL!AF28</f>
        <v>0</v>
      </c>
      <c r="N26" s="7">
        <f>HOTEL!AJ28</f>
        <v>60</v>
      </c>
      <c r="O26" s="7">
        <f>HOTEL!AN28</f>
        <v>0</v>
      </c>
      <c r="P26" s="7">
        <f>HOTEL!AP28</f>
        <v>0</v>
      </c>
      <c r="Q26" s="7">
        <f>HOTEL!AR28</f>
        <v>0</v>
      </c>
      <c r="R26" s="7">
        <f>HOTEL!AT28</f>
        <v>0</v>
      </c>
      <c r="S26" s="7">
        <f>HOTEL!AV28</f>
        <v>0</v>
      </c>
      <c r="T26" s="7">
        <f>HOTEL!AX28</f>
        <v>0</v>
      </c>
      <c r="U26" s="7">
        <f>HOTEL!AZ28</f>
        <v>0</v>
      </c>
      <c r="V26" s="7">
        <f>HOTEL!BB28</f>
        <v>0</v>
      </c>
      <c r="W26" s="7">
        <f>HOTEL!BN28</f>
        <v>10</v>
      </c>
      <c r="X26" s="7">
        <f>HOTEL!BU28</f>
        <v>0</v>
      </c>
      <c r="Y26" s="7">
        <f>HOTEL!CP28</f>
        <v>1.4639999999964493</v>
      </c>
      <c r="Z26" s="7">
        <f>HOTEL!CS27</f>
        <v>0</v>
      </c>
      <c r="AA26" s="7">
        <f>HOTEL!CV28</f>
        <v>0</v>
      </c>
      <c r="AB26" s="8">
        <f>HOTEL!CY28</f>
        <v>0</v>
      </c>
      <c r="AC26" s="7">
        <f>HOTEL!DB28</f>
        <v>0.95600000000130425</v>
      </c>
      <c r="AD26" s="8">
        <f>HOTEL!DE28</f>
        <v>0</v>
      </c>
      <c r="AE26" s="7">
        <f>HOTEL!DH28</f>
        <v>0</v>
      </c>
      <c r="AF26" s="7">
        <f>HOTEL!DK28</f>
        <v>0</v>
      </c>
      <c r="AG26" s="7">
        <f>HOTEL!DN28</f>
        <v>0</v>
      </c>
      <c r="AH26" s="7">
        <f>HOTEL!DQ28</f>
        <v>0</v>
      </c>
      <c r="AI26" s="7">
        <f>HOTEL!DT28</f>
        <v>0</v>
      </c>
      <c r="AJ26" s="7">
        <f>HOTEL!DW28</f>
        <v>0</v>
      </c>
      <c r="AK26" s="7">
        <f>TOTAL!K26</f>
        <v>1</v>
      </c>
    </row>
    <row r="27" spans="1:37" x14ac:dyDescent="0.2">
      <c r="A27" s="2" t="s">
        <v>77</v>
      </c>
      <c r="B27" s="7">
        <f t="shared" si="1"/>
        <v>26</v>
      </c>
      <c r="C27" s="7">
        <v>6</v>
      </c>
      <c r="D27" s="7">
        <v>2020</v>
      </c>
      <c r="E27" s="7">
        <f>TOTAL!E27</f>
        <v>3547</v>
      </c>
      <c r="F27" s="7">
        <f>HOTEL!R29</f>
        <v>53</v>
      </c>
      <c r="G27" s="7">
        <f>HOTEL!T29</f>
        <v>67</v>
      </c>
      <c r="H27" s="8">
        <f>HOTEL!DY29</f>
        <v>0</v>
      </c>
      <c r="I27" s="8">
        <f>HOTEL!EA29</f>
        <v>0</v>
      </c>
      <c r="J27" s="8">
        <f>HOTEL!EC29</f>
        <v>0</v>
      </c>
      <c r="K27" s="8">
        <f>HOTEL!EE29</f>
        <v>0</v>
      </c>
      <c r="L27" s="7">
        <f t="shared" si="2"/>
        <v>60</v>
      </c>
      <c r="M27" s="7">
        <f>HOTEL!AF29</f>
        <v>0</v>
      </c>
      <c r="N27" s="7">
        <f>HOTEL!AJ29</f>
        <v>40</v>
      </c>
      <c r="O27" s="7">
        <f>HOTEL!AN29</f>
        <v>1</v>
      </c>
      <c r="P27" s="7">
        <f>HOTEL!AP29</f>
        <v>0</v>
      </c>
      <c r="Q27" s="7">
        <f>HOTEL!AR29</f>
        <v>0</v>
      </c>
      <c r="R27" s="7">
        <f>HOTEL!AT29</f>
        <v>0</v>
      </c>
      <c r="S27" s="7">
        <f>HOTEL!AV29</f>
        <v>0</v>
      </c>
      <c r="T27" s="7">
        <f>HOTEL!AX29</f>
        <v>0</v>
      </c>
      <c r="U27" s="7">
        <f>HOTEL!AZ29</f>
        <v>0</v>
      </c>
      <c r="V27" s="7">
        <f>HOTEL!BB29</f>
        <v>0</v>
      </c>
      <c r="W27" s="7">
        <f>HOTEL!BN29</f>
        <v>10</v>
      </c>
      <c r="X27" s="7">
        <f>HOTEL!BU29</f>
        <v>10</v>
      </c>
      <c r="Y27" s="7">
        <f>HOTEL!CP29</f>
        <v>0.48799999999289867</v>
      </c>
      <c r="Z27" s="7">
        <f>HOTEL!CS28</f>
        <v>0</v>
      </c>
      <c r="AA27" s="7">
        <f>HOTEL!CV29</f>
        <v>0</v>
      </c>
      <c r="AB27" s="8">
        <f>HOTEL!CY29</f>
        <v>0</v>
      </c>
      <c r="AC27" s="7">
        <f>HOTEL!DB29</f>
        <v>0</v>
      </c>
      <c r="AD27" s="8">
        <f>HOTEL!DE29</f>
        <v>0</v>
      </c>
      <c r="AE27" s="7">
        <f>HOTEL!DH29</f>
        <v>0</v>
      </c>
      <c r="AF27" s="7">
        <f>HOTEL!DK29</f>
        <v>0</v>
      </c>
      <c r="AG27" s="7">
        <f>HOTEL!DN29</f>
        <v>0</v>
      </c>
      <c r="AH27" s="7">
        <f>HOTEL!DQ29</f>
        <v>0</v>
      </c>
      <c r="AI27" s="7">
        <f>HOTEL!DT29</f>
        <v>0</v>
      </c>
      <c r="AJ27" s="7">
        <f>HOTEL!DW29</f>
        <v>0</v>
      </c>
      <c r="AK27" s="7">
        <f>TOTAL!K27</f>
        <v>1</v>
      </c>
    </row>
    <row r="28" spans="1:37" x14ac:dyDescent="0.2">
      <c r="A28" s="2" t="s">
        <v>77</v>
      </c>
      <c r="B28" s="7">
        <f t="shared" si="1"/>
        <v>27</v>
      </c>
      <c r="C28" s="7">
        <v>6</v>
      </c>
      <c r="D28" s="7">
        <v>2020</v>
      </c>
      <c r="E28" s="7">
        <f>TOTAL!E28</f>
        <v>3504</v>
      </c>
      <c r="F28" s="7">
        <f>HOTEL!R30</f>
        <v>95</v>
      </c>
      <c r="G28" s="7">
        <f>HOTEL!T30</f>
        <v>68</v>
      </c>
      <c r="H28" s="8">
        <f>HOTEL!DY30</f>
        <v>0</v>
      </c>
      <c r="I28" s="8">
        <f>HOTEL!EA30</f>
        <v>0</v>
      </c>
      <c r="J28" s="8">
        <f>HOTEL!EC30</f>
        <v>0</v>
      </c>
      <c r="K28" s="8">
        <f>HOTEL!EE30</f>
        <v>0</v>
      </c>
      <c r="L28" s="7">
        <f t="shared" si="2"/>
        <v>80</v>
      </c>
      <c r="M28" s="7">
        <f>HOTEL!AF30</f>
        <v>0</v>
      </c>
      <c r="N28" s="7">
        <f>HOTEL!AJ30</f>
        <v>70</v>
      </c>
      <c r="O28" s="7">
        <f>HOTEL!AN30</f>
        <v>1</v>
      </c>
      <c r="P28" s="7">
        <f>HOTEL!AP30</f>
        <v>0</v>
      </c>
      <c r="Q28" s="7">
        <f>HOTEL!AR30</f>
        <v>0</v>
      </c>
      <c r="R28" s="7">
        <f>HOTEL!AT30</f>
        <v>0</v>
      </c>
      <c r="S28" s="7">
        <f>HOTEL!AV30</f>
        <v>0</v>
      </c>
      <c r="T28" s="7">
        <f>HOTEL!AX30</f>
        <v>0</v>
      </c>
      <c r="U28" s="7">
        <f>HOTEL!AZ30</f>
        <v>0</v>
      </c>
      <c r="V28" s="7">
        <f>HOTEL!BB30</f>
        <v>0</v>
      </c>
      <c r="W28" s="7">
        <f>HOTEL!BN30</f>
        <v>10</v>
      </c>
      <c r="X28" s="7">
        <f>HOTEL!BU30</f>
        <v>0</v>
      </c>
      <c r="Y28" s="7">
        <f>HOTEL!CP30</f>
        <v>3.4160000000035504</v>
      </c>
      <c r="Z28" s="7">
        <f>HOTEL!CS29</f>
        <v>0</v>
      </c>
      <c r="AA28" s="7">
        <f>HOTEL!CV30</f>
        <v>0</v>
      </c>
      <c r="AB28" s="8">
        <f>HOTEL!CY30</f>
        <v>0</v>
      </c>
      <c r="AC28" s="7">
        <f>HOTEL!DB30</f>
        <v>2.1509999999991307</v>
      </c>
      <c r="AD28" s="8">
        <f>HOTEL!DE30</f>
        <v>0</v>
      </c>
      <c r="AE28" s="7">
        <f>HOTEL!DH30</f>
        <v>0</v>
      </c>
      <c r="AF28" s="7">
        <f>HOTEL!DK30</f>
        <v>0</v>
      </c>
      <c r="AG28" s="7">
        <f>HOTEL!DN30</f>
        <v>0</v>
      </c>
      <c r="AH28" s="7">
        <f>HOTEL!DQ30</f>
        <v>0</v>
      </c>
      <c r="AI28" s="7">
        <f>HOTEL!DT30</f>
        <v>0</v>
      </c>
      <c r="AJ28" s="7">
        <f>HOTEL!DW30</f>
        <v>0</v>
      </c>
      <c r="AK28" s="7">
        <f>TOTAL!K28</f>
        <v>1</v>
      </c>
    </row>
    <row r="29" spans="1:37" x14ac:dyDescent="0.2">
      <c r="A29" s="2" t="s">
        <v>77</v>
      </c>
      <c r="B29" s="7">
        <f t="shared" si="1"/>
        <v>28</v>
      </c>
      <c r="C29" s="7">
        <v>6</v>
      </c>
      <c r="D29" s="7">
        <v>2020</v>
      </c>
      <c r="E29" s="7">
        <f>TOTAL!E29</f>
        <v>3618</v>
      </c>
      <c r="F29" s="7">
        <f>HOTEL!R31</f>
        <v>181</v>
      </c>
      <c r="G29" s="7">
        <f>HOTEL!T31</f>
        <v>62</v>
      </c>
      <c r="H29" s="8">
        <f>HOTEL!DY31</f>
        <v>0</v>
      </c>
      <c r="I29" s="8">
        <f>HOTEL!EA31</f>
        <v>0</v>
      </c>
      <c r="J29" s="8">
        <f>HOTEL!EC31</f>
        <v>0</v>
      </c>
      <c r="K29" s="8">
        <f>HOTEL!EE31</f>
        <v>0</v>
      </c>
      <c r="L29" s="7">
        <f t="shared" si="2"/>
        <v>50</v>
      </c>
      <c r="M29" s="7">
        <f>HOTEL!AF31</f>
        <v>9</v>
      </c>
      <c r="N29" s="7">
        <f>HOTEL!AJ31</f>
        <v>30</v>
      </c>
      <c r="O29" s="7">
        <f>HOTEL!AN31</f>
        <v>0</v>
      </c>
      <c r="P29" s="7">
        <f>HOTEL!AP31</f>
        <v>0</v>
      </c>
      <c r="Q29" s="7">
        <f>HOTEL!AR31</f>
        <v>0</v>
      </c>
      <c r="R29" s="7">
        <f>HOTEL!AT31</f>
        <v>0</v>
      </c>
      <c r="S29" s="7">
        <f>HOTEL!AV31</f>
        <v>0</v>
      </c>
      <c r="T29" s="7">
        <f>HOTEL!AX31</f>
        <v>0</v>
      </c>
      <c r="U29" s="7">
        <f>HOTEL!AZ31</f>
        <v>0</v>
      </c>
      <c r="V29" s="7">
        <f>HOTEL!BB31</f>
        <v>0</v>
      </c>
      <c r="W29" s="7">
        <f>HOTEL!BN31</f>
        <v>20</v>
      </c>
      <c r="X29" s="7">
        <f>HOTEL!BU31</f>
        <v>0</v>
      </c>
      <c r="Y29" s="7">
        <f>HOTEL!CP31</f>
        <v>0.24399999999644933</v>
      </c>
      <c r="Z29" s="7">
        <f>HOTEL!CS30</f>
        <v>0</v>
      </c>
      <c r="AA29" s="7">
        <f>HOTEL!CV31</f>
        <v>0</v>
      </c>
      <c r="AB29" s="8">
        <f>HOTEL!CY31</f>
        <v>0</v>
      </c>
      <c r="AC29" s="7">
        <f>HOTEL!DB31</f>
        <v>1.4340000000008695</v>
      </c>
      <c r="AD29" s="8">
        <f>HOTEL!DE31</f>
        <v>0</v>
      </c>
      <c r="AE29" s="7">
        <f>HOTEL!DH31</f>
        <v>0</v>
      </c>
      <c r="AF29" s="7">
        <f>HOTEL!DK31</f>
        <v>0</v>
      </c>
      <c r="AG29" s="7">
        <f>HOTEL!DN31</f>
        <v>0</v>
      </c>
      <c r="AH29" s="7">
        <f>HOTEL!DQ31</f>
        <v>0</v>
      </c>
      <c r="AI29" s="7">
        <f>HOTEL!DT31</f>
        <v>0</v>
      </c>
      <c r="AJ29" s="7">
        <f>HOTEL!DW31</f>
        <v>0</v>
      </c>
      <c r="AK29" s="7">
        <f>TOTAL!K29</f>
        <v>1</v>
      </c>
    </row>
    <row r="30" spans="1:37" x14ac:dyDescent="0.2">
      <c r="A30" s="2" t="s">
        <v>77</v>
      </c>
      <c r="B30" s="7">
        <f t="shared" si="1"/>
        <v>29</v>
      </c>
      <c r="C30" s="7">
        <v>6</v>
      </c>
      <c r="D30" s="7">
        <v>2020</v>
      </c>
      <c r="E30" s="7">
        <f>TOTAL!E30</f>
        <v>3438</v>
      </c>
      <c r="F30" s="7">
        <f>HOTEL!R32</f>
        <v>199</v>
      </c>
      <c r="G30" s="7">
        <f>HOTEL!T32</f>
        <v>58</v>
      </c>
      <c r="H30" s="8">
        <f>HOTEL!DY32</f>
        <v>0</v>
      </c>
      <c r="I30" s="8">
        <f>HOTEL!EA32</f>
        <v>0</v>
      </c>
      <c r="J30" s="8">
        <f>HOTEL!EC32</f>
        <v>0</v>
      </c>
      <c r="K30" s="8">
        <f>HOTEL!EE32</f>
        <v>0</v>
      </c>
      <c r="L30" s="7">
        <f t="shared" si="2"/>
        <v>70</v>
      </c>
      <c r="M30" s="7">
        <f>HOTEL!AF32</f>
        <v>0</v>
      </c>
      <c r="N30" s="7">
        <f>HOTEL!AJ32</f>
        <v>50</v>
      </c>
      <c r="O30" s="7">
        <f>HOTEL!AN32</f>
        <v>1</v>
      </c>
      <c r="P30" s="7">
        <f>HOTEL!AP32</f>
        <v>0</v>
      </c>
      <c r="Q30" s="7">
        <f>HOTEL!AR32</f>
        <v>0</v>
      </c>
      <c r="R30" s="7">
        <f>HOTEL!AT32</f>
        <v>0</v>
      </c>
      <c r="S30" s="7">
        <f>HOTEL!AV32</f>
        <v>0</v>
      </c>
      <c r="T30" s="7">
        <f>HOTEL!AX32</f>
        <v>0</v>
      </c>
      <c r="U30" s="7">
        <f>HOTEL!AZ32</f>
        <v>0</v>
      </c>
      <c r="V30" s="7">
        <f>HOTEL!BB32</f>
        <v>0</v>
      </c>
      <c r="W30" s="7">
        <f>HOTEL!BN32</f>
        <v>20</v>
      </c>
      <c r="X30" s="7">
        <f>HOTEL!BU32</f>
        <v>0</v>
      </c>
      <c r="Y30" s="7">
        <f>HOTEL!CP32</f>
        <v>2.6840000000142026</v>
      </c>
      <c r="Z30" s="7">
        <f>HOTEL!CS31</f>
        <v>0</v>
      </c>
      <c r="AA30" s="7">
        <f>HOTEL!CV32</f>
        <v>7.5000000000045475</v>
      </c>
      <c r="AB30" s="8">
        <f>HOTEL!CY32</f>
        <v>0</v>
      </c>
      <c r="AC30" s="7">
        <f>HOTEL!DB32</f>
        <v>1.9120000000004349</v>
      </c>
      <c r="AD30" s="8">
        <f>HOTEL!DE32</f>
        <v>0</v>
      </c>
      <c r="AE30" s="7">
        <f>HOTEL!DH32</f>
        <v>0</v>
      </c>
      <c r="AF30" s="7">
        <f>HOTEL!DK32</f>
        <v>0</v>
      </c>
      <c r="AG30" s="7">
        <f>HOTEL!DN32</f>
        <v>0</v>
      </c>
      <c r="AH30" s="7">
        <f>HOTEL!DQ32</f>
        <v>0</v>
      </c>
      <c r="AI30" s="7">
        <f>HOTEL!DT32</f>
        <v>0</v>
      </c>
      <c r="AJ30" s="7">
        <f>HOTEL!DW32</f>
        <v>0</v>
      </c>
      <c r="AK30" s="7">
        <f>TOTAL!K30</f>
        <v>1</v>
      </c>
    </row>
    <row r="31" spans="1:37" x14ac:dyDescent="0.2">
      <c r="A31" s="2" t="s">
        <v>77</v>
      </c>
      <c r="B31" s="7">
        <f t="shared" si="1"/>
        <v>30</v>
      </c>
      <c r="C31" s="7">
        <v>6</v>
      </c>
      <c r="D31" s="7">
        <v>2020</v>
      </c>
      <c r="E31" s="7">
        <f>TOTAL!E31</f>
        <v>3627</v>
      </c>
      <c r="F31" s="7">
        <f>HOTEL!R33</f>
        <v>182</v>
      </c>
      <c r="G31" s="7">
        <f>HOTEL!T33</f>
        <v>76</v>
      </c>
      <c r="H31" s="8">
        <f>HOTEL!DY33</f>
        <v>0</v>
      </c>
      <c r="I31" s="8">
        <f>HOTEL!EA33</f>
        <v>0</v>
      </c>
      <c r="J31" s="8">
        <f>HOTEL!EC33</f>
        <v>0</v>
      </c>
      <c r="K31" s="8">
        <f>HOTEL!EE33</f>
        <v>0</v>
      </c>
      <c r="L31" s="7">
        <f t="shared" si="2"/>
        <v>70</v>
      </c>
      <c r="M31" s="7">
        <f>HOTEL!AF33</f>
        <v>0</v>
      </c>
      <c r="N31" s="7">
        <f>HOTEL!AJ33</f>
        <v>50</v>
      </c>
      <c r="O31" s="7">
        <f>HOTEL!AN33</f>
        <v>1</v>
      </c>
      <c r="P31" s="7">
        <f>HOTEL!AP33</f>
        <v>0</v>
      </c>
      <c r="Q31" s="7">
        <f>HOTEL!AR33</f>
        <v>0</v>
      </c>
      <c r="R31" s="7">
        <f>HOTEL!AT33</f>
        <v>0</v>
      </c>
      <c r="S31" s="7">
        <f>HOTEL!AV33</f>
        <v>2</v>
      </c>
      <c r="T31" s="7">
        <f>HOTEL!AX33</f>
        <v>1</v>
      </c>
      <c r="U31" s="7">
        <f>HOTEL!AZ33</f>
        <v>0</v>
      </c>
      <c r="V31" s="7">
        <f>HOTEL!BB33</f>
        <v>1</v>
      </c>
      <c r="W31" s="7">
        <f>HOTEL!BN33</f>
        <v>20</v>
      </c>
      <c r="X31" s="7">
        <f>HOTEL!BU33</f>
        <v>0</v>
      </c>
      <c r="Y31" s="7">
        <f>HOTEL!CP33</f>
        <v>1.4639999999964493</v>
      </c>
      <c r="Z31" s="7">
        <f>HOTEL!CS32</f>
        <v>0</v>
      </c>
      <c r="AA31" s="7">
        <f>HOTEL!CV33</f>
        <v>0</v>
      </c>
      <c r="AB31" s="8">
        <f>HOTEL!CY33</f>
        <v>0</v>
      </c>
      <c r="AC31" s="7">
        <f>HOTEL!DB33</f>
        <v>1.6729999999995653</v>
      </c>
      <c r="AD31" s="8">
        <f>HOTEL!DE33</f>
        <v>0</v>
      </c>
      <c r="AE31" s="7">
        <f>HOTEL!DH33</f>
        <v>0</v>
      </c>
      <c r="AF31" s="7">
        <f>HOTEL!DK33</f>
        <v>0</v>
      </c>
      <c r="AG31" s="7">
        <f>HOTEL!DN33</f>
        <v>0</v>
      </c>
      <c r="AH31" s="7">
        <f>HOTEL!DQ33</f>
        <v>0</v>
      </c>
      <c r="AI31" s="7">
        <f>HOTEL!DT33</f>
        <v>0</v>
      </c>
      <c r="AJ31" s="7">
        <f>HOTEL!DW33</f>
        <v>0</v>
      </c>
      <c r="AK31" s="7">
        <f>TOTAL!K31</f>
        <v>1</v>
      </c>
    </row>
    <row r="32" spans="1:37" x14ac:dyDescent="0.2">
      <c r="A32" s="2" t="s">
        <v>77</v>
      </c>
      <c r="B32" s="7">
        <f t="shared" si="1"/>
        <v>31</v>
      </c>
      <c r="C32" s="7">
        <v>6</v>
      </c>
      <c r="D32" s="7">
        <v>2020</v>
      </c>
      <c r="E32" s="7">
        <f>TOTAL!E32</f>
        <v>3386</v>
      </c>
      <c r="F32" s="7">
        <f>HOTEL!R34</f>
        <v>297</v>
      </c>
      <c r="G32" s="7">
        <f>HOTEL!T34</f>
        <v>74</v>
      </c>
      <c r="H32" s="8">
        <f>HOTEL!DY34</f>
        <v>0</v>
      </c>
      <c r="I32" s="8">
        <f>HOTEL!EA34</f>
        <v>0</v>
      </c>
      <c r="J32" s="8">
        <f>HOTEL!EC34</f>
        <v>0</v>
      </c>
      <c r="K32" s="8">
        <f>HOTEL!EE34</f>
        <v>0</v>
      </c>
      <c r="L32" s="7">
        <f t="shared" ref="L32" si="3">N32+W32+X32</f>
        <v>60</v>
      </c>
      <c r="M32" s="7">
        <f>HOTEL!AF34</f>
        <v>0</v>
      </c>
      <c r="N32" s="7">
        <f>HOTEL!AJ34</f>
        <v>40</v>
      </c>
      <c r="O32" s="7">
        <f>HOTEL!AN34</f>
        <v>2</v>
      </c>
      <c r="P32" s="7">
        <f>HOTEL!AP34</f>
        <v>0</v>
      </c>
      <c r="Q32" s="7">
        <f>HOTEL!AR34</f>
        <v>0</v>
      </c>
      <c r="R32" s="7">
        <f>HOTEL!AT34</f>
        <v>0</v>
      </c>
      <c r="S32" s="7">
        <f>HOTEL!AV34</f>
        <v>0</v>
      </c>
      <c r="T32" s="7">
        <f>HOTEL!AX34</f>
        <v>0</v>
      </c>
      <c r="U32" s="7">
        <f>HOTEL!AZ34</f>
        <v>0</v>
      </c>
      <c r="V32" s="7">
        <f>HOTEL!BB34</f>
        <v>0</v>
      </c>
      <c r="W32" s="7">
        <f>HOTEL!BN34</f>
        <v>20</v>
      </c>
      <c r="X32" s="7">
        <f>HOTEL!BU34</f>
        <v>0</v>
      </c>
      <c r="Y32" s="7">
        <f>HOTEL!CP34</f>
        <v>4.88</v>
      </c>
      <c r="Z32" s="7">
        <f>HOTEL!CS33</f>
        <v>0</v>
      </c>
      <c r="AA32" s="7">
        <f>HOTEL!CV34</f>
        <v>0</v>
      </c>
      <c r="AB32" s="8">
        <f>HOTEL!CY34</f>
        <v>0</v>
      </c>
      <c r="AC32" s="7">
        <f>HOTEL!DB34</f>
        <v>2.6289999999986957</v>
      </c>
      <c r="AD32" s="8">
        <f>HOTEL!DE34</f>
        <v>0</v>
      </c>
      <c r="AE32" s="7">
        <f>HOTEL!DH34</f>
        <v>0</v>
      </c>
      <c r="AF32" s="7">
        <f>HOTEL!DK34</f>
        <v>0</v>
      </c>
      <c r="AG32" s="7">
        <f>HOTEL!DN34</f>
        <v>0</v>
      </c>
      <c r="AH32" s="7">
        <f>HOTEL!DQ34</f>
        <v>0</v>
      </c>
      <c r="AI32" s="7">
        <f>HOTEL!DT34</f>
        <v>0</v>
      </c>
      <c r="AJ32" s="7">
        <f>HOTEL!DW34</f>
        <v>0</v>
      </c>
      <c r="AK32" s="7">
        <f>TOTAL!K32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K60"/>
  <sheetViews>
    <sheetView zoomScale="85" zoomScaleNormal="85" workbookViewId="0">
      <pane xSplit="1" ySplit="2" topLeftCell="O3" activePane="bottomRight" state="frozen"/>
      <selection pane="topRight" activeCell="B1" sqref="B1"/>
      <selection pane="bottomLeft" activeCell="A3" sqref="A3"/>
      <selection pane="bottomRight" activeCell="A3" sqref="A3:XFD34"/>
    </sheetView>
  </sheetViews>
  <sheetFormatPr defaultRowHeight="12.75" x14ac:dyDescent="0.2"/>
  <cols>
    <col min="1" max="1" width="8.85546875" style="7" customWidth="1"/>
    <col min="2" max="2" width="10.85546875" style="26" bestFit="1" customWidth="1"/>
    <col min="3" max="3" width="10.5703125" style="14" bestFit="1" customWidth="1"/>
    <col min="4" max="4" width="11.140625" style="7" bestFit="1" customWidth="1"/>
    <col min="5" max="5" width="11" style="14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6" customWidth="1"/>
    <col min="11" max="11" width="8.85546875" style="7" customWidth="1"/>
    <col min="12" max="12" width="8.85546875" style="16" customWidth="1"/>
    <col min="13" max="13" width="8.85546875" style="7" customWidth="1"/>
    <col min="14" max="14" width="8.85546875" style="16" customWidth="1"/>
    <col min="15" max="15" width="8.85546875" style="7" customWidth="1"/>
    <col min="16" max="16" width="8.85546875" style="16" customWidth="1"/>
    <col min="17" max="17" width="11.7109375" style="7" customWidth="1"/>
    <col min="18" max="18" width="9.85546875" style="16" bestFit="1" customWidth="1"/>
    <col min="19" max="19" width="15" style="7" customWidth="1"/>
    <col min="20" max="20" width="13.28515625" style="16" customWidth="1"/>
    <col min="21" max="21" width="8.85546875" style="37" customWidth="1"/>
    <col min="22" max="22" width="8.85546875" style="16" customWidth="1"/>
    <col min="23" max="23" width="8.85546875" style="7" customWidth="1"/>
    <col min="24" max="24" width="8.85546875" style="37" customWidth="1"/>
    <col min="25" max="25" width="12" style="7" bestFit="1" customWidth="1"/>
    <col min="26" max="26" width="8.85546875" style="16" customWidth="1"/>
    <col min="27" max="27" width="8.85546875" style="7" customWidth="1"/>
    <col min="28" max="28" width="8.85546875" style="16" bestFit="1" customWidth="1"/>
    <col min="29" max="29" width="8.85546875" style="7" customWidth="1"/>
    <col min="30" max="30" width="8.85546875" style="16" bestFit="1" customWidth="1"/>
    <col min="31" max="31" width="13.7109375" style="7" bestFit="1" customWidth="1"/>
    <col min="32" max="32" width="8.85546875" style="16" customWidth="1"/>
    <col min="33" max="34" width="0" style="7" hidden="1" customWidth="1"/>
    <col min="35" max="35" width="8.85546875" style="7" customWidth="1"/>
    <col min="36" max="36" width="9.7109375" style="16" bestFit="1" customWidth="1"/>
    <col min="37" max="37" width="8.85546875" style="7" customWidth="1"/>
    <col min="38" max="38" width="9.7109375" style="16" bestFit="1" customWidth="1"/>
    <col min="39" max="39" width="8.85546875" style="7" customWidth="1"/>
    <col min="40" max="40" width="8.85546875" style="16" customWidth="1"/>
    <col min="41" max="41" width="8.85546875" style="7" customWidth="1"/>
    <col min="42" max="42" width="8.85546875" style="16" customWidth="1"/>
    <col min="43" max="43" width="8.85546875" style="7" customWidth="1"/>
    <col min="44" max="44" width="8.85546875" style="16" customWidth="1"/>
    <col min="45" max="45" width="8.85546875" style="7" customWidth="1"/>
    <col min="46" max="46" width="8.85546875" style="16" customWidth="1"/>
    <col min="47" max="47" width="8.85546875" style="7" customWidth="1"/>
    <col min="48" max="48" width="8.85546875" style="16" customWidth="1"/>
    <col min="49" max="49" width="8.85546875" style="7" customWidth="1"/>
    <col min="50" max="50" width="8.85546875" style="16" customWidth="1"/>
    <col min="51" max="51" width="8.85546875" style="7" customWidth="1"/>
    <col min="52" max="52" width="8.85546875" style="16" customWidth="1"/>
    <col min="53" max="53" width="8.85546875" style="7" customWidth="1"/>
    <col min="54" max="54" width="8.85546875" style="16" customWidth="1"/>
    <col min="55" max="55" width="12.85546875" style="7" bestFit="1" customWidth="1"/>
    <col min="56" max="56" width="8.5703125" style="16" bestFit="1" customWidth="1"/>
    <col min="57" max="57" width="13.140625" style="7" bestFit="1" customWidth="1"/>
    <col min="58" max="58" width="7.42578125" style="16" customWidth="1"/>
    <col min="59" max="59" width="15.42578125" style="7" customWidth="1"/>
    <col min="60" max="60" width="8.85546875" style="16" customWidth="1"/>
    <col min="61" max="61" width="17.28515625" style="7" bestFit="1" customWidth="1"/>
    <col min="62" max="62" width="8.85546875" style="16" customWidth="1"/>
    <col min="63" max="63" width="14.85546875" style="7" bestFit="1" customWidth="1"/>
    <col min="64" max="64" width="10.7109375" style="7" bestFit="1" customWidth="1"/>
    <col min="65" max="65" width="9.28515625" style="7" bestFit="1" customWidth="1"/>
    <col min="66" max="66" width="9.7109375" style="7" bestFit="1" customWidth="1"/>
    <col min="67" max="67" width="9.28515625" style="7" bestFit="1" customWidth="1"/>
    <col min="68" max="68" width="9.7109375" style="7" bestFit="1" customWidth="1"/>
    <col min="69" max="69" width="8.85546875" style="7" customWidth="1"/>
    <col min="70" max="70" width="9.7109375" style="7" bestFit="1" customWidth="1"/>
    <col min="71" max="71" width="8.85546875" style="7" customWidth="1"/>
    <col min="72" max="73" width="9.7109375" style="7" bestFit="1" customWidth="1"/>
    <col min="74" max="74" width="8.85546875" style="7" customWidth="1"/>
    <col min="75" max="75" width="9.7109375" style="7" bestFit="1" customWidth="1"/>
    <col min="76" max="76" width="10.28515625" style="7" customWidth="1"/>
    <col min="77" max="77" width="10.5703125" style="7" bestFit="1" customWidth="1"/>
    <col min="78" max="78" width="6" style="7" customWidth="1"/>
    <col min="79" max="79" width="9.42578125" style="7" customWidth="1"/>
    <col min="80" max="80" width="10" style="7" bestFit="1" customWidth="1"/>
    <col min="81" max="81" width="9.28515625" style="7" bestFit="1" customWidth="1"/>
    <col min="82" max="82" width="10.5703125" style="7" bestFit="1" customWidth="1"/>
    <col min="83" max="88" width="8.85546875" style="7" customWidth="1"/>
    <col min="89" max="89" width="10.5703125" style="7" bestFit="1" customWidth="1"/>
    <col min="90" max="90" width="10.140625" style="7" bestFit="1" customWidth="1"/>
    <col min="91" max="91" width="10.5703125" style="37" bestFit="1" customWidth="1"/>
    <col min="92" max="92" width="12.140625" style="7" bestFit="1" customWidth="1"/>
    <col min="93" max="94" width="8.85546875" style="7" customWidth="1"/>
    <col min="95" max="95" width="11.5703125" style="7" bestFit="1" customWidth="1"/>
    <col min="96" max="96" width="8.7109375" style="7" customWidth="1"/>
    <col min="97" max="97" width="14.5703125" style="7" bestFit="1" customWidth="1"/>
    <col min="98" max="98" width="8.7109375" style="7" bestFit="1" customWidth="1"/>
    <col min="99" max="102" width="8.85546875" style="7" customWidth="1"/>
    <col min="103" max="103" width="9.7109375" style="7" bestFit="1" customWidth="1"/>
    <col min="104" max="127" width="8.85546875" style="7" customWidth="1"/>
    <col min="128" max="131" width="8.7109375" style="7" customWidth="1"/>
    <col min="132" max="135" width="8.85546875" style="7" customWidth="1"/>
    <col min="136" max="136" width="12" style="7" customWidth="1"/>
    <col min="137" max="138" width="9.140625" style="7"/>
    <col min="139" max="139" width="12" style="7" customWidth="1"/>
    <col min="140" max="16384" width="9.140625" style="7"/>
  </cols>
  <sheetData>
    <row r="1" spans="1:141" s="53" customFormat="1" ht="39.75" customHeight="1" thickBot="1" x14ac:dyDescent="0.3">
      <c r="B1" s="127" t="s">
        <v>78</v>
      </c>
      <c r="C1" s="128"/>
      <c r="D1" s="128"/>
      <c r="E1" s="128"/>
      <c r="F1" s="128"/>
      <c r="G1" s="128"/>
      <c r="H1" s="128"/>
      <c r="I1" s="129" t="s">
        <v>79</v>
      </c>
      <c r="J1" s="129"/>
      <c r="K1" s="129"/>
      <c r="L1" s="129"/>
      <c r="M1" s="129" t="s">
        <v>80</v>
      </c>
      <c r="N1" s="129"/>
      <c r="O1" s="129"/>
      <c r="P1" s="129"/>
      <c r="Q1" s="54" t="s">
        <v>12</v>
      </c>
      <c r="R1" s="55" t="s">
        <v>13</v>
      </c>
      <c r="S1" s="56" t="s">
        <v>82</v>
      </c>
      <c r="T1" s="57" t="s">
        <v>13</v>
      </c>
      <c r="U1" s="127" t="s">
        <v>11</v>
      </c>
      <c r="V1" s="130"/>
      <c r="W1" s="58" t="s">
        <v>14</v>
      </c>
      <c r="X1" s="59" t="s">
        <v>15</v>
      </c>
      <c r="Y1" s="58"/>
      <c r="Z1" s="58"/>
      <c r="AA1" s="60"/>
      <c r="AB1" s="60"/>
      <c r="AC1" s="131" t="s">
        <v>118</v>
      </c>
      <c r="AD1" s="131"/>
      <c r="AE1" s="61" t="s">
        <v>16</v>
      </c>
      <c r="AF1" s="61"/>
      <c r="AG1" s="58" t="s">
        <v>81</v>
      </c>
      <c r="AH1" s="61" t="s">
        <v>13</v>
      </c>
      <c r="AI1" s="132" t="s">
        <v>17</v>
      </c>
      <c r="AJ1" s="133"/>
      <c r="AK1" s="132" t="s">
        <v>117</v>
      </c>
      <c r="AL1" s="133"/>
      <c r="AM1" s="127" t="s">
        <v>18</v>
      </c>
      <c r="AN1" s="130"/>
      <c r="AO1" s="127" t="s">
        <v>19</v>
      </c>
      <c r="AP1" s="130"/>
      <c r="AQ1" s="127" t="s">
        <v>20</v>
      </c>
      <c r="AR1" s="130"/>
      <c r="AS1" s="127" t="s">
        <v>21</v>
      </c>
      <c r="AT1" s="130"/>
      <c r="AU1" s="127" t="s">
        <v>22</v>
      </c>
      <c r="AV1" s="130"/>
      <c r="AW1" s="127" t="s">
        <v>23</v>
      </c>
      <c r="AX1" s="130"/>
      <c r="AY1" s="127" t="s">
        <v>24</v>
      </c>
      <c r="AZ1" s="130"/>
      <c r="BA1" s="127" t="s">
        <v>25</v>
      </c>
      <c r="BB1" s="130"/>
      <c r="BC1" s="62"/>
      <c r="BD1" s="62"/>
      <c r="BE1" s="62"/>
      <c r="BF1" s="62"/>
      <c r="BG1" s="62"/>
      <c r="BH1" s="62"/>
      <c r="BI1" s="61"/>
      <c r="BJ1" s="61"/>
      <c r="BK1" s="61"/>
      <c r="BL1" s="61"/>
      <c r="BM1" s="132" t="s">
        <v>26</v>
      </c>
      <c r="BN1" s="133"/>
      <c r="BO1" s="132" t="s">
        <v>119</v>
      </c>
      <c r="BP1" s="133"/>
      <c r="BQ1" s="127" t="s">
        <v>27</v>
      </c>
      <c r="BR1" s="130"/>
      <c r="BS1" s="132" t="s">
        <v>120</v>
      </c>
      <c r="BT1" s="133"/>
      <c r="BU1" s="60"/>
      <c r="BV1" s="60"/>
      <c r="BW1" s="60"/>
      <c r="BX1" s="63" t="s">
        <v>28</v>
      </c>
      <c r="BY1" s="64"/>
      <c r="BZ1" s="64"/>
      <c r="CA1" s="64"/>
      <c r="CB1" s="65" t="s">
        <v>29</v>
      </c>
      <c r="CC1" s="66"/>
      <c r="CD1" s="67"/>
      <c r="CW1" s="123" t="s">
        <v>103</v>
      </c>
      <c r="CX1" s="124"/>
      <c r="CY1" s="125"/>
      <c r="CZ1" s="127" t="s">
        <v>18</v>
      </c>
      <c r="DA1" s="128"/>
      <c r="DB1" s="130"/>
      <c r="DC1" s="123" t="s">
        <v>19</v>
      </c>
      <c r="DD1" s="124"/>
      <c r="DE1" s="125"/>
      <c r="DF1" s="123" t="s">
        <v>20</v>
      </c>
      <c r="DG1" s="124"/>
      <c r="DH1" s="125"/>
      <c r="DI1" s="123" t="s">
        <v>21</v>
      </c>
      <c r="DJ1" s="124"/>
      <c r="DK1" s="125"/>
      <c r="DL1" s="123" t="s">
        <v>22</v>
      </c>
      <c r="DM1" s="124"/>
      <c r="DN1" s="125"/>
      <c r="DO1" s="123" t="s">
        <v>23</v>
      </c>
      <c r="DP1" s="124"/>
      <c r="DQ1" s="125"/>
      <c r="DR1" s="123" t="s">
        <v>24</v>
      </c>
      <c r="DS1" s="124"/>
      <c r="DT1" s="125"/>
      <c r="DU1" s="123" t="s">
        <v>25</v>
      </c>
      <c r="DV1" s="124"/>
      <c r="DW1" s="125"/>
      <c r="DX1" s="68"/>
      <c r="DY1" s="68"/>
      <c r="DZ1" s="68"/>
      <c r="EA1" s="68"/>
      <c r="EI1" s="126" t="s">
        <v>121</v>
      </c>
      <c r="EJ1" s="126"/>
      <c r="EK1" s="126"/>
    </row>
    <row r="2" spans="1:141" customFormat="1" ht="39" thickBot="1" x14ac:dyDescent="0.25">
      <c r="A2" s="69" t="s">
        <v>30</v>
      </c>
      <c r="B2" s="70" t="s">
        <v>31</v>
      </c>
      <c r="C2" s="71" t="s">
        <v>13</v>
      </c>
      <c r="D2" s="72" t="s">
        <v>32</v>
      </c>
      <c r="E2" s="73" t="s">
        <v>13</v>
      </c>
      <c r="F2" s="72" t="s">
        <v>33</v>
      </c>
      <c r="G2" s="74" t="s">
        <v>34</v>
      </c>
      <c r="H2" s="75" t="s">
        <v>122</v>
      </c>
      <c r="I2" s="76"/>
      <c r="J2" s="76"/>
      <c r="K2" s="77"/>
      <c r="L2" s="72"/>
      <c r="M2" s="78"/>
      <c r="N2" s="72"/>
      <c r="O2" s="72"/>
      <c r="P2" s="72"/>
      <c r="Q2" s="72"/>
      <c r="R2" s="72"/>
      <c r="S2" s="79"/>
      <c r="T2" s="80"/>
      <c r="U2" s="72" t="s">
        <v>35</v>
      </c>
      <c r="V2" s="81" t="s">
        <v>13</v>
      </c>
      <c r="W2" s="82"/>
      <c r="X2" s="82"/>
      <c r="Y2" s="82" t="s">
        <v>95</v>
      </c>
      <c r="Z2" s="82" t="s">
        <v>39</v>
      </c>
      <c r="AA2" s="83" t="s">
        <v>125</v>
      </c>
      <c r="AB2" s="83"/>
      <c r="AC2" s="82" t="s">
        <v>96</v>
      </c>
      <c r="AD2" s="82" t="s">
        <v>13</v>
      </c>
      <c r="AE2" s="82"/>
      <c r="AF2" s="82" t="s">
        <v>13</v>
      </c>
      <c r="AG2" s="82"/>
      <c r="AH2" s="82"/>
      <c r="AI2" s="72" t="s">
        <v>36</v>
      </c>
      <c r="AJ2" s="72" t="s">
        <v>37</v>
      </c>
      <c r="AK2" s="72"/>
      <c r="AL2" s="72"/>
      <c r="AM2" s="72" t="s">
        <v>38</v>
      </c>
      <c r="AN2" s="72" t="s">
        <v>39</v>
      </c>
      <c r="AO2" s="72" t="s">
        <v>19</v>
      </c>
      <c r="AP2" s="72" t="s">
        <v>39</v>
      </c>
      <c r="AQ2" s="72" t="s">
        <v>20</v>
      </c>
      <c r="AR2" s="72" t="s">
        <v>39</v>
      </c>
      <c r="AS2" s="72" t="s">
        <v>21</v>
      </c>
      <c r="AT2" s="72" t="s">
        <v>37</v>
      </c>
      <c r="AU2" s="72" t="s">
        <v>22</v>
      </c>
      <c r="AV2" s="72" t="s">
        <v>37</v>
      </c>
      <c r="AW2" s="72" t="s">
        <v>23</v>
      </c>
      <c r="AX2" s="72" t="s">
        <v>37</v>
      </c>
      <c r="AY2" s="72" t="s">
        <v>24</v>
      </c>
      <c r="AZ2" s="72" t="s">
        <v>39</v>
      </c>
      <c r="BA2" s="72" t="s">
        <v>25</v>
      </c>
      <c r="BB2" s="72" t="s">
        <v>39</v>
      </c>
      <c r="BC2" s="72" t="s">
        <v>97</v>
      </c>
      <c r="BD2" s="72" t="s">
        <v>39</v>
      </c>
      <c r="BE2" s="72" t="s">
        <v>40</v>
      </c>
      <c r="BF2" s="72" t="s">
        <v>39</v>
      </c>
      <c r="BG2" s="72" t="s">
        <v>41</v>
      </c>
      <c r="BH2" s="72" t="s">
        <v>39</v>
      </c>
      <c r="BI2" s="82" t="s">
        <v>42</v>
      </c>
      <c r="BJ2" s="82" t="s">
        <v>37</v>
      </c>
      <c r="BK2" s="82" t="s">
        <v>43</v>
      </c>
      <c r="BL2" s="82" t="s">
        <v>44</v>
      </c>
      <c r="BM2" s="72" t="s">
        <v>45</v>
      </c>
      <c r="BN2" s="72" t="s">
        <v>37</v>
      </c>
      <c r="BO2" s="72"/>
      <c r="BP2" s="72"/>
      <c r="BQ2" s="72" t="s">
        <v>46</v>
      </c>
      <c r="BR2" s="72" t="s">
        <v>37</v>
      </c>
      <c r="BS2" s="72"/>
      <c r="BT2" s="72"/>
      <c r="BU2" s="82" t="s">
        <v>46</v>
      </c>
      <c r="BV2" s="83" t="s">
        <v>123</v>
      </c>
      <c r="BW2" s="83" t="s">
        <v>124</v>
      </c>
      <c r="BX2" s="84" t="s">
        <v>47</v>
      </c>
      <c r="BY2" s="85" t="s">
        <v>48</v>
      </c>
      <c r="BZ2" s="85" t="s">
        <v>49</v>
      </c>
      <c r="CA2" s="85" t="s">
        <v>13</v>
      </c>
      <c r="CB2" s="72" t="s">
        <v>50</v>
      </c>
      <c r="CC2" s="72" t="s">
        <v>37</v>
      </c>
      <c r="CD2" s="82" t="s">
        <v>51</v>
      </c>
      <c r="CE2" s="82" t="s">
        <v>52</v>
      </c>
      <c r="CF2" s="82" t="s">
        <v>48</v>
      </c>
      <c r="CG2" s="82" t="s">
        <v>53</v>
      </c>
      <c r="CH2" s="86" t="s">
        <v>48</v>
      </c>
      <c r="CI2" s="82" t="s">
        <v>98</v>
      </c>
      <c r="CJ2" s="82" t="s">
        <v>48</v>
      </c>
      <c r="CK2" s="82" t="s">
        <v>54</v>
      </c>
      <c r="CL2" s="87" t="s">
        <v>37</v>
      </c>
      <c r="CM2" s="87" t="s">
        <v>55</v>
      </c>
      <c r="CN2" s="87" t="s">
        <v>56</v>
      </c>
      <c r="CO2" s="87" t="s">
        <v>57</v>
      </c>
      <c r="CP2" s="87" t="s">
        <v>58</v>
      </c>
      <c r="CQ2" s="87" t="s">
        <v>59</v>
      </c>
      <c r="CR2" s="87" t="s">
        <v>57</v>
      </c>
      <c r="CS2" s="87" t="s">
        <v>58</v>
      </c>
      <c r="CT2" s="87" t="s">
        <v>60</v>
      </c>
      <c r="CU2" s="87" t="s">
        <v>57</v>
      </c>
      <c r="CV2" s="87" t="s">
        <v>58</v>
      </c>
      <c r="CW2" s="72"/>
      <c r="CX2" s="87" t="s">
        <v>57</v>
      </c>
      <c r="CY2" s="87" t="s">
        <v>58</v>
      </c>
      <c r="CZ2" s="72"/>
      <c r="DA2" s="87" t="s">
        <v>57</v>
      </c>
      <c r="DB2" s="87" t="s">
        <v>58</v>
      </c>
      <c r="DC2" s="72"/>
      <c r="DD2" s="87" t="s">
        <v>57</v>
      </c>
      <c r="DE2" s="87" t="s">
        <v>58</v>
      </c>
      <c r="DF2" s="72"/>
      <c r="DG2" s="87" t="s">
        <v>57</v>
      </c>
      <c r="DH2" s="87" t="s">
        <v>58</v>
      </c>
      <c r="DI2" s="72"/>
      <c r="DJ2" s="87" t="s">
        <v>57</v>
      </c>
      <c r="DK2" s="87" t="s">
        <v>58</v>
      </c>
      <c r="DL2" s="72"/>
      <c r="DM2" s="87" t="s">
        <v>57</v>
      </c>
      <c r="DN2" s="87" t="s">
        <v>58</v>
      </c>
      <c r="DO2" s="72"/>
      <c r="DP2" s="87" t="s">
        <v>57</v>
      </c>
      <c r="DQ2" s="87" t="s">
        <v>58</v>
      </c>
      <c r="DR2" s="72"/>
      <c r="DS2" s="87" t="s">
        <v>57</v>
      </c>
      <c r="DT2" s="87" t="s">
        <v>58</v>
      </c>
      <c r="DU2" s="72"/>
      <c r="DV2" s="87" t="s">
        <v>57</v>
      </c>
      <c r="DW2" s="87" t="s">
        <v>58</v>
      </c>
      <c r="DX2" s="88">
        <v>145</v>
      </c>
      <c r="DY2" s="89" t="s">
        <v>13</v>
      </c>
      <c r="DZ2" s="88">
        <v>146</v>
      </c>
      <c r="EA2" s="90" t="s">
        <v>13</v>
      </c>
      <c r="EB2" s="90" t="s">
        <v>101</v>
      </c>
      <c r="EC2" s="90" t="s">
        <v>13</v>
      </c>
      <c r="ED2" s="90" t="s">
        <v>102</v>
      </c>
      <c r="EE2" s="90" t="s">
        <v>13</v>
      </c>
      <c r="EF2" s="9" t="s">
        <v>94</v>
      </c>
      <c r="EG2" s="10" t="s">
        <v>99</v>
      </c>
      <c r="EH2" s="91" t="s">
        <v>100</v>
      </c>
      <c r="EI2" s="90" t="s">
        <v>126</v>
      </c>
      <c r="EJ2" s="90" t="s">
        <v>127</v>
      </c>
      <c r="EK2" s="89" t="s">
        <v>128</v>
      </c>
    </row>
    <row r="3" spans="1:141" s="26" customFormat="1" ht="15.75" thickBot="1" x14ac:dyDescent="0.25">
      <c r="A3" s="27">
        <v>44012</v>
      </c>
      <c r="B3" s="42">
        <v>5212270</v>
      </c>
      <c r="C3" s="92">
        <v>3502</v>
      </c>
      <c r="D3" s="42">
        <v>4563827</v>
      </c>
      <c r="E3" s="92">
        <v>3154</v>
      </c>
      <c r="F3" s="36">
        <v>0.90062821245002855</v>
      </c>
      <c r="G3" s="41">
        <v>286</v>
      </c>
      <c r="H3" s="41">
        <v>430</v>
      </c>
      <c r="I3" s="52">
        <v>285707</v>
      </c>
      <c r="J3" s="92">
        <v>0</v>
      </c>
      <c r="K3" s="43">
        <v>750</v>
      </c>
      <c r="L3" s="93">
        <v>0</v>
      </c>
      <c r="M3" s="42">
        <v>629908</v>
      </c>
      <c r="N3" s="92">
        <v>0</v>
      </c>
      <c r="O3" s="42">
        <v>967</v>
      </c>
      <c r="P3" s="94">
        <v>0</v>
      </c>
      <c r="Q3" s="42">
        <v>2530500</v>
      </c>
      <c r="R3" s="94">
        <v>0</v>
      </c>
      <c r="S3" s="42">
        <v>2187519</v>
      </c>
      <c r="T3" s="94">
        <v>0</v>
      </c>
      <c r="U3" s="42">
        <v>92200</v>
      </c>
      <c r="V3" s="94">
        <v>63</v>
      </c>
      <c r="W3" s="42">
        <v>100</v>
      </c>
      <c r="X3" s="42">
        <v>0</v>
      </c>
      <c r="Y3" s="42">
        <v>152258</v>
      </c>
      <c r="Z3" s="94">
        <v>0</v>
      </c>
      <c r="AA3" s="42">
        <v>37827</v>
      </c>
      <c r="AB3" s="95">
        <v>5</v>
      </c>
      <c r="AC3" s="42">
        <v>1058</v>
      </c>
      <c r="AD3" s="94">
        <v>0</v>
      </c>
      <c r="AE3" s="45">
        <v>3689</v>
      </c>
      <c r="AF3" s="94">
        <v>0</v>
      </c>
      <c r="AG3" s="28"/>
      <c r="AH3" s="28"/>
      <c r="AI3" s="45">
        <v>570640</v>
      </c>
      <c r="AJ3" s="94">
        <v>70</v>
      </c>
      <c r="AK3" s="96"/>
      <c r="AL3" s="94"/>
      <c r="AM3" s="45">
        <v>52016</v>
      </c>
      <c r="AN3" s="94">
        <v>0</v>
      </c>
      <c r="AO3" s="45">
        <v>8864</v>
      </c>
      <c r="AP3" s="94">
        <v>0</v>
      </c>
      <c r="AQ3" s="45">
        <v>10548</v>
      </c>
      <c r="AR3" s="94">
        <v>0</v>
      </c>
      <c r="AS3" s="45">
        <v>14481</v>
      </c>
      <c r="AT3" s="94">
        <v>0</v>
      </c>
      <c r="AU3" s="45">
        <v>19349</v>
      </c>
      <c r="AV3" s="94">
        <v>0</v>
      </c>
      <c r="AW3" s="45">
        <v>20660</v>
      </c>
      <c r="AX3" s="95">
        <v>0</v>
      </c>
      <c r="AY3" s="42">
        <v>13831</v>
      </c>
      <c r="AZ3" s="95">
        <v>0</v>
      </c>
      <c r="BA3" s="42">
        <v>6152</v>
      </c>
      <c r="BB3" s="95">
        <v>0</v>
      </c>
      <c r="BC3" s="42">
        <v>26342</v>
      </c>
      <c r="BD3" s="95">
        <v>0</v>
      </c>
      <c r="BE3" s="42">
        <v>1112</v>
      </c>
      <c r="BF3" s="95">
        <v>0</v>
      </c>
      <c r="BG3" s="45">
        <v>4303</v>
      </c>
      <c r="BH3" s="95">
        <v>0</v>
      </c>
      <c r="BI3" s="42">
        <v>3636</v>
      </c>
      <c r="BJ3" s="95">
        <v>0</v>
      </c>
      <c r="BK3" s="95">
        <v>0</v>
      </c>
      <c r="BL3" s="95">
        <v>70</v>
      </c>
      <c r="BM3" s="42">
        <v>594960</v>
      </c>
      <c r="BN3" s="95">
        <v>10</v>
      </c>
      <c r="BO3" s="97">
        <v>581</v>
      </c>
      <c r="BP3" s="98">
        <v>0</v>
      </c>
      <c r="BQ3" s="45">
        <v>767670</v>
      </c>
      <c r="BR3" s="95">
        <v>70</v>
      </c>
      <c r="BS3" s="97">
        <v>5866</v>
      </c>
      <c r="BT3" s="95">
        <v>0</v>
      </c>
      <c r="BU3" s="98">
        <v>0</v>
      </c>
      <c r="BV3" s="95">
        <v>80</v>
      </c>
      <c r="BW3" s="99">
        <v>0</v>
      </c>
      <c r="BX3" s="42">
        <v>142.30000000000001</v>
      </c>
      <c r="BY3" s="100">
        <v>18260.185579676552</v>
      </c>
      <c r="BZ3" s="101"/>
      <c r="CA3" s="98">
        <v>45.592306713933795</v>
      </c>
      <c r="CB3" s="46">
        <v>205885.9</v>
      </c>
      <c r="CC3" s="95">
        <v>1.3999999999941792</v>
      </c>
      <c r="CD3" s="95">
        <v>7.9939999999667632</v>
      </c>
      <c r="CE3" s="46">
        <v>40</v>
      </c>
      <c r="CF3" s="102">
        <v>4310</v>
      </c>
      <c r="CG3" s="46">
        <v>41</v>
      </c>
      <c r="CH3" s="102">
        <v>4417.75</v>
      </c>
      <c r="CI3" s="46">
        <v>44</v>
      </c>
      <c r="CJ3" s="102">
        <v>4741</v>
      </c>
      <c r="CK3" s="103">
        <v>13468.75</v>
      </c>
      <c r="CL3" s="102">
        <v>107.75</v>
      </c>
      <c r="CM3" s="45"/>
      <c r="CN3" s="42">
        <v>34091.199999999997</v>
      </c>
      <c r="CO3" s="95">
        <v>1.7999999999956344</v>
      </c>
      <c r="CP3" s="95">
        <v>4.3919999999893475</v>
      </c>
      <c r="CQ3" s="42">
        <v>34300</v>
      </c>
      <c r="CR3" s="95">
        <v>0</v>
      </c>
      <c r="CS3" s="95">
        <v>0</v>
      </c>
      <c r="CT3" s="42">
        <v>10234</v>
      </c>
      <c r="CU3" s="95">
        <v>0</v>
      </c>
      <c r="CV3" s="95">
        <v>0</v>
      </c>
      <c r="CW3" s="45">
        <v>831923</v>
      </c>
      <c r="CX3" s="95">
        <v>0</v>
      </c>
      <c r="CY3" s="98">
        <v>0</v>
      </c>
      <c r="CZ3" s="42">
        <v>5719.1</v>
      </c>
      <c r="DA3" s="95">
        <v>0.6000000000003638</v>
      </c>
      <c r="DB3" s="95">
        <v>1.4340000000008695</v>
      </c>
      <c r="DC3" s="42">
        <v>7415</v>
      </c>
      <c r="DD3" s="95">
        <v>0</v>
      </c>
      <c r="DE3" s="95">
        <v>0</v>
      </c>
      <c r="DF3" s="42">
        <v>3777.7</v>
      </c>
      <c r="DG3" s="95">
        <v>4</v>
      </c>
      <c r="DH3" s="95">
        <v>9.56</v>
      </c>
      <c r="DI3" s="42">
        <v>1855.78</v>
      </c>
      <c r="DJ3" s="95">
        <v>0</v>
      </c>
      <c r="DK3" s="95">
        <v>0</v>
      </c>
      <c r="DL3" s="42">
        <v>5078.3999999999996</v>
      </c>
      <c r="DM3" s="95">
        <v>0</v>
      </c>
      <c r="DN3" s="95">
        <v>0</v>
      </c>
      <c r="DO3" s="42">
        <v>4451.7</v>
      </c>
      <c r="DP3" s="95">
        <v>0</v>
      </c>
      <c r="DQ3" s="95">
        <v>0</v>
      </c>
      <c r="DR3" s="42">
        <v>5086.1000000000004</v>
      </c>
      <c r="DS3" s="95">
        <v>0</v>
      </c>
      <c r="DT3" s="95">
        <v>0</v>
      </c>
      <c r="DU3" s="42">
        <v>4320.7</v>
      </c>
      <c r="DV3" s="95">
        <v>0</v>
      </c>
      <c r="DW3" s="95">
        <v>0</v>
      </c>
      <c r="DX3" s="47">
        <v>12732</v>
      </c>
      <c r="DY3" s="98">
        <v>0</v>
      </c>
      <c r="DZ3" s="47">
        <v>61889</v>
      </c>
      <c r="EA3" s="104">
        <v>0</v>
      </c>
      <c r="EB3" s="48">
        <v>15599</v>
      </c>
      <c r="EC3" s="104">
        <v>0</v>
      </c>
      <c r="ED3" s="48">
        <v>24594</v>
      </c>
      <c r="EE3" s="104">
        <v>0</v>
      </c>
      <c r="EF3" s="48">
        <v>3</v>
      </c>
      <c r="EG3" s="49">
        <v>11</v>
      </c>
      <c r="EH3" s="134">
        <v>1.4999999999999999E-2</v>
      </c>
      <c r="EI3" s="105"/>
      <c r="EJ3" s="48"/>
      <c r="EK3" s="48"/>
    </row>
    <row r="4" spans="1:141" ht="15.75" thickBot="1" x14ac:dyDescent="0.25">
      <c r="A4" s="27">
        <v>44013</v>
      </c>
      <c r="B4" s="106">
        <v>5216107</v>
      </c>
      <c r="C4" s="92">
        <f t="shared" ref="C4:C34" si="0">IF((B4-B3)&lt;0,"0",(B4-B3))</f>
        <v>3837</v>
      </c>
      <c r="D4" s="42">
        <v>4567124</v>
      </c>
      <c r="E4" s="92">
        <f t="shared" ref="E4:E34" si="1">IF((D4-D3)&lt;0,"0",(D4-D3))</f>
        <v>3297</v>
      </c>
      <c r="F4" s="36">
        <f>E4/C4</f>
        <v>0.85926505082095384</v>
      </c>
      <c r="G4" s="107">
        <v>286</v>
      </c>
      <c r="H4" s="106">
        <v>430</v>
      </c>
      <c r="I4" s="52">
        <v>285707</v>
      </c>
      <c r="J4" s="92">
        <v>0</v>
      </c>
      <c r="K4" s="43">
        <v>750</v>
      </c>
      <c r="L4" s="94">
        <v>0</v>
      </c>
      <c r="M4" s="42">
        <v>629908</v>
      </c>
      <c r="N4" s="92">
        <v>0</v>
      </c>
      <c r="O4" s="42">
        <v>967</v>
      </c>
      <c r="P4" s="94">
        <v>0</v>
      </c>
      <c r="Q4" s="42">
        <v>2530500</v>
      </c>
      <c r="R4" s="92">
        <f t="shared" ref="R4:R34" si="2">IF((Q4-Q3)&lt;0,"0",(Q4-Q3))</f>
        <v>0</v>
      </c>
      <c r="S4" s="42">
        <v>2187526</v>
      </c>
      <c r="T4" s="92">
        <f t="shared" ref="T4:T32" si="3">IF((S4-S3)&lt;0,"0",(S4-S3))</f>
        <v>7</v>
      </c>
      <c r="U4" s="41">
        <v>92259</v>
      </c>
      <c r="V4" s="92">
        <f t="shared" ref="V4:V34" si="4">IF((U4-U3)&lt;0,"0",(U4-U3))</f>
        <v>59</v>
      </c>
      <c r="W4" s="42">
        <v>100</v>
      </c>
      <c r="X4" s="42">
        <v>0</v>
      </c>
      <c r="Y4" s="42">
        <v>152258</v>
      </c>
      <c r="Z4" s="92">
        <f t="shared" ref="Z4:Z34" si="5">IF((Y4-Y3)&lt;0,"0",(Y4-Y3))</f>
        <v>0</v>
      </c>
      <c r="AA4" s="42">
        <v>37834</v>
      </c>
      <c r="AB4" s="95">
        <f t="shared" ref="AB4:AB12" si="6">IF((AA4-AA3)&lt;0,"0",(AA4-AA3))</f>
        <v>7</v>
      </c>
      <c r="AC4" s="41">
        <v>1058</v>
      </c>
      <c r="AD4" s="92">
        <f t="shared" ref="AD4:AF34" si="7">IF((AC4-AC3)&lt;0,"0",(AC4-AC3))</f>
        <v>0</v>
      </c>
      <c r="AE4" s="41">
        <v>3689</v>
      </c>
      <c r="AF4" s="92">
        <f t="shared" si="7"/>
        <v>0</v>
      </c>
      <c r="AG4" s="36"/>
      <c r="AH4" s="36"/>
      <c r="AI4" s="41">
        <v>570660</v>
      </c>
      <c r="AJ4" s="92">
        <f t="shared" ref="AJ4:AJ34" si="8">IF((AI4-AI3)&lt;0,"0",(AI4-AI3))</f>
        <v>20</v>
      </c>
      <c r="AK4" s="108"/>
      <c r="AL4" s="92"/>
      <c r="AM4" s="45">
        <v>52017</v>
      </c>
      <c r="AN4" s="92">
        <f t="shared" ref="AN4:AN34" si="9">IF((AM4-AM3)&lt;0,"0",(AM4-AM3))</f>
        <v>1</v>
      </c>
      <c r="AO4" s="41">
        <v>8864</v>
      </c>
      <c r="AP4" s="92">
        <f t="shared" ref="AP4:AP34" si="10">IF((AO4-AO3)&lt;0,"0",(AO4-AO3))</f>
        <v>0</v>
      </c>
      <c r="AQ4" s="41">
        <v>10548</v>
      </c>
      <c r="AR4" s="92">
        <f t="shared" ref="AR4:AR34" si="11">IF((AQ4-AQ3)&lt;0,"0",(AQ4-AQ3))</f>
        <v>0</v>
      </c>
      <c r="AS4" s="41">
        <v>14481</v>
      </c>
      <c r="AT4" s="92">
        <f t="shared" ref="AT4:AT34" si="12">IF((AS4-AS3)&lt;0,"0",(AS4-AS3))</f>
        <v>0</v>
      </c>
      <c r="AU4" s="45">
        <v>19349</v>
      </c>
      <c r="AV4" s="92">
        <f t="shared" ref="AV4:AV34" si="13">IF((AU4-AU3)&lt;0,"0",(AU4-AU3))</f>
        <v>0</v>
      </c>
      <c r="AW4" s="45">
        <v>20660</v>
      </c>
      <c r="AX4" s="98">
        <f t="shared" ref="AX4:AX34" si="14">IF((AW4-AW3)&lt;0,"0",(AW4-AW3))</f>
        <v>0</v>
      </c>
      <c r="AY4" s="42">
        <v>13831</v>
      </c>
      <c r="AZ4" s="98">
        <f t="shared" ref="AZ4:AZ34" si="15">IF((AY4-AY3)&lt;0,"0",(AY4-AY3))</f>
        <v>0</v>
      </c>
      <c r="BA4" s="42">
        <v>6152</v>
      </c>
      <c r="BB4" s="98">
        <f t="shared" ref="BB4:BB34" si="16">IF((BA4-BA3)&lt;0,"0",(BA4-BA3))</f>
        <v>0</v>
      </c>
      <c r="BC4" s="42">
        <v>26342</v>
      </c>
      <c r="BD4" s="98">
        <f t="shared" ref="BD4:BD34" si="17">IF((BC4-BC3)&lt;0,"0",(BC4-BC3))</f>
        <v>0</v>
      </c>
      <c r="BE4" s="42">
        <v>1112</v>
      </c>
      <c r="BF4" s="98">
        <f t="shared" ref="BF4:BF34" si="18">IF((BE4-BE3)&lt;0,"0",(BE4-BE3))</f>
        <v>0</v>
      </c>
      <c r="BG4" s="45">
        <v>4303</v>
      </c>
      <c r="BH4" s="98">
        <f t="shared" ref="BH4:BH34" si="19">IF((BG4-BG3)&lt;0,"0",(BG4-BG3))</f>
        <v>0</v>
      </c>
      <c r="BI4" s="42">
        <v>3636</v>
      </c>
      <c r="BJ4" s="98">
        <f t="shared" ref="BJ4:BJ34" si="20">IF((BI4-BI3)&lt;0,"0",(BI4-BI3))</f>
        <v>0</v>
      </c>
      <c r="BK4" s="98">
        <f t="shared" ref="BK4:BK34" si="21">AZ4+AX4+AT4</f>
        <v>0</v>
      </c>
      <c r="BL4" s="98">
        <f t="shared" ref="BL4:BL34" si="22">AJ4-BK4</f>
        <v>20</v>
      </c>
      <c r="BM4" s="42">
        <v>594980</v>
      </c>
      <c r="BN4" s="98">
        <f t="shared" ref="BN4:BP34" si="23">IF((BM4-BM3)&lt;0,"0",(BM4-BM3))</f>
        <v>20</v>
      </c>
      <c r="BO4" s="108">
        <v>581</v>
      </c>
      <c r="BP4" s="98">
        <f t="shared" ref="BP4:BP15" si="24">IF((BO4-BO3)&lt;0,"0",(BO4-BO3))</f>
        <v>0</v>
      </c>
      <c r="BQ4" s="45">
        <v>767700</v>
      </c>
      <c r="BR4" s="98">
        <f t="shared" ref="BR4:BT34" si="25">IF((BQ4-BQ3)&lt;0,"0",(BQ4-BQ3))</f>
        <v>30</v>
      </c>
      <c r="BS4" s="97">
        <v>5866</v>
      </c>
      <c r="BT4" s="95">
        <f t="shared" si="25"/>
        <v>0</v>
      </c>
      <c r="BU4" s="98">
        <f>(BR4-AJ4)</f>
        <v>10</v>
      </c>
      <c r="BV4" s="95">
        <f t="shared" ref="BV4:BV34" si="26">SUM(BN4, BR4)</f>
        <v>50</v>
      </c>
      <c r="BW4" s="99">
        <f t="shared" ref="BW4:BW34" si="27" xml:space="preserve"> SUM(AN4,AP4,AR4,AT4,AV4,AX4,AZ4,BB4,BF4)</f>
        <v>1</v>
      </c>
      <c r="BX4" s="42">
        <v>142.30000000000001</v>
      </c>
      <c r="BY4" s="50">
        <f t="shared" ref="BY4:BY34" si="28">(IF(BX4&lt;=116.4,((116.4*116.4*ACOS((116.4-BX4)/116.4))-((116.4-BX4)*SQRT(2*116.4*BX4-BX4*BX4)))*669.8,((3.1416*116.4*116.4)-((116.4*116.4*ACOS((116.4-(2*116.4-BX4))/116.4))-((116.4-(2*116.4-BX4))*SQRT(2*116.4*(2*116.4-BX4)-((2*116.4-BX4)*(2*116.4-BX4))))))*669.8))/1000</f>
        <v>18260.185579676552</v>
      </c>
      <c r="BZ4" s="101"/>
      <c r="CA4" s="98">
        <f>IF((BY3-BY4)&lt;0,"0",(BY3-BY4))</f>
        <v>0</v>
      </c>
      <c r="CB4" s="41">
        <v>205886</v>
      </c>
      <c r="CC4" s="98">
        <f t="shared" ref="CC4:CC34" si="29">IF((CB4-CB3)&lt;0,"0",(CB4-CB3))</f>
        <v>0.10000000000582077</v>
      </c>
      <c r="CD4" s="98">
        <f>CC4*5.71</f>
        <v>0.57100000003323659</v>
      </c>
      <c r="CE4" s="41">
        <v>40</v>
      </c>
      <c r="CF4" s="98">
        <f t="shared" ref="CF4:CF34" si="30">(CE4*10775)/100</f>
        <v>4310</v>
      </c>
      <c r="CG4" s="41">
        <v>40</v>
      </c>
      <c r="CH4" s="103">
        <f t="shared" ref="CH4:CH34" si="31">(CG4*10775)/100</f>
        <v>4310</v>
      </c>
      <c r="CI4" s="41">
        <v>44</v>
      </c>
      <c r="CJ4" s="103">
        <f t="shared" ref="CJ4:CJ34" si="32">(CI4*10775)/100</f>
        <v>4741</v>
      </c>
      <c r="CK4" s="103">
        <f t="shared" ref="CK4:CK34" si="33">CF4+CH4+CJ4</f>
        <v>13361</v>
      </c>
      <c r="CL4" s="103">
        <f t="shared" ref="CL4:CL34" si="34">IF((CK3-CK4+CM3)=CK3,"0",(CK3-CK4+CM3))</f>
        <v>107.75</v>
      </c>
      <c r="CM4" s="45"/>
      <c r="CN4" s="42">
        <v>34092.9</v>
      </c>
      <c r="CO4" s="98">
        <f t="shared" ref="CO4:CO34" si="35">IF((CN4-CN3)&lt;0,"0",(CN4-CN3))</f>
        <v>1.7000000000043656</v>
      </c>
      <c r="CP4" s="98">
        <f>CO4*2.44</f>
        <v>4.1480000000106516</v>
      </c>
      <c r="CQ4" s="42">
        <v>34300</v>
      </c>
      <c r="CR4" s="98">
        <f t="shared" ref="CR4:CR34" si="36">IF((CQ4-CQ3)&lt;0,"0",(CQ4-CQ3))</f>
        <v>0</v>
      </c>
      <c r="CS4" s="98">
        <f>CR4*2.44</f>
        <v>0</v>
      </c>
      <c r="CT4" s="42">
        <v>10234</v>
      </c>
      <c r="CU4" s="98">
        <f t="shared" ref="CU4:CU34" si="37">IF((CT4-CT3)&lt;0,"0",(CT4-CT3))</f>
        <v>0</v>
      </c>
      <c r="CV4" s="98">
        <f t="shared" ref="CV4:CV34" si="38">CU4*6.25</f>
        <v>0</v>
      </c>
      <c r="CW4" s="45">
        <v>831923</v>
      </c>
      <c r="CX4" s="95">
        <f t="shared" ref="CX4:CX34" si="39">IF((CW4-CW3)&lt;0,"0",(CW4-CW3))</f>
        <v>0</v>
      </c>
      <c r="CY4" s="98">
        <f>CX4*3.1</f>
        <v>0</v>
      </c>
      <c r="CZ4" s="42">
        <v>5719.1</v>
      </c>
      <c r="DA4" s="98">
        <f t="shared" ref="DA4:DA34" si="40">IF((CZ4-CZ3)&lt;0,"0",(CZ4-CZ3))</f>
        <v>0</v>
      </c>
      <c r="DB4" s="98">
        <f>DA4*2.39</f>
        <v>0</v>
      </c>
      <c r="DC4" s="41">
        <v>7415</v>
      </c>
      <c r="DD4" s="98">
        <f t="shared" ref="DD4:DD34" si="41">IF((DC4-DC3)&lt;0,"0",(DC4-DC3))</f>
        <v>0</v>
      </c>
      <c r="DE4" s="98">
        <f>DD4*2.39</f>
        <v>0</v>
      </c>
      <c r="DF4" s="41">
        <v>3779.3</v>
      </c>
      <c r="DG4" s="98">
        <f t="shared" ref="DG4:DG34" si="42">IF((DF4-DF3)&lt;0,"0",(DF4-DF3))</f>
        <v>1.6000000000003638</v>
      </c>
      <c r="DH4" s="98">
        <f>DG4*2.39</f>
        <v>3.8240000000008698</v>
      </c>
      <c r="DI4" s="42">
        <v>1855.8</v>
      </c>
      <c r="DJ4" s="98">
        <f t="shared" ref="DJ4:DJ34" si="43">IF((DI4-DI3)&lt;0,"0",(DI4-DI3))</f>
        <v>1.999999999998181E-2</v>
      </c>
      <c r="DK4" s="98">
        <f>DJ4*2.39</f>
        <v>4.779999999995653E-2</v>
      </c>
      <c r="DL4" s="42">
        <v>5078.3999999999996</v>
      </c>
      <c r="DM4" s="98">
        <f t="shared" ref="DM4:DM34" si="44">IF((DL4-DL3)&lt;0,"0",(DL4-DL3))</f>
        <v>0</v>
      </c>
      <c r="DN4" s="98">
        <f>DM4*2.39</f>
        <v>0</v>
      </c>
      <c r="DO4" s="42">
        <v>4451.7</v>
      </c>
      <c r="DP4" s="98">
        <f t="shared" ref="DP4:DP34" si="45">IF((DO4-DO3)&lt;0,"0",(DO4-DO3))</f>
        <v>0</v>
      </c>
      <c r="DQ4" s="98">
        <f>DP4*2.39</f>
        <v>0</v>
      </c>
      <c r="DR4" s="42">
        <v>5086.1000000000004</v>
      </c>
      <c r="DS4" s="98">
        <f t="shared" ref="DS4:DS34" si="46">IF((DR4-DR3)&lt;0,"0",(DR4-DR3))</f>
        <v>0</v>
      </c>
      <c r="DT4" s="98">
        <f>DS4*2.39</f>
        <v>0</v>
      </c>
      <c r="DU4" s="42">
        <v>4320.7</v>
      </c>
      <c r="DV4" s="98">
        <f t="shared" ref="DV4:DV34" si="47">IF((DU4-DU3)&lt;0,"0",(DU4-DU3))</f>
        <v>0</v>
      </c>
      <c r="DW4" s="98">
        <f>DV4*2.39</f>
        <v>0</v>
      </c>
      <c r="DX4" s="47">
        <v>12732</v>
      </c>
      <c r="DY4" s="95">
        <v>0</v>
      </c>
      <c r="DZ4" s="47">
        <v>61889</v>
      </c>
      <c r="EA4" s="104">
        <v>0</v>
      </c>
      <c r="EB4" s="48">
        <v>15599</v>
      </c>
      <c r="EC4" s="104">
        <v>0</v>
      </c>
      <c r="ED4" s="48">
        <v>24594</v>
      </c>
      <c r="EE4" s="109">
        <f t="shared" ref="EE4:EE34" si="48">IF((ED4-ED3)&lt;0,"0",(ED4-ED3))</f>
        <v>0</v>
      </c>
      <c r="EF4" s="48">
        <v>3</v>
      </c>
      <c r="EG4" s="49">
        <v>11</v>
      </c>
      <c r="EH4" s="134">
        <v>1.4999999999999999E-2</v>
      </c>
      <c r="EI4" s="110"/>
      <c r="EJ4" s="111"/>
      <c r="EK4" s="111"/>
    </row>
    <row r="5" spans="1:141" ht="15.75" thickBot="1" x14ac:dyDescent="0.25">
      <c r="A5" s="27">
        <v>44014</v>
      </c>
      <c r="B5" s="41">
        <v>5219716</v>
      </c>
      <c r="C5" s="92">
        <f t="shared" si="0"/>
        <v>3609</v>
      </c>
      <c r="D5" s="41">
        <v>4570403</v>
      </c>
      <c r="E5" s="92">
        <f t="shared" si="1"/>
        <v>3279</v>
      </c>
      <c r="F5" s="36">
        <f t="shared" ref="F5:F34" si="49">E5/C5</f>
        <v>0.9085619285120532</v>
      </c>
      <c r="G5" s="107">
        <v>286</v>
      </c>
      <c r="H5" s="106">
        <v>430</v>
      </c>
      <c r="I5" s="52">
        <v>285707</v>
      </c>
      <c r="J5" s="92">
        <v>0</v>
      </c>
      <c r="K5" s="43">
        <v>750</v>
      </c>
      <c r="L5" s="94">
        <v>0</v>
      </c>
      <c r="M5" s="42">
        <v>629908</v>
      </c>
      <c r="N5" s="92">
        <v>0</v>
      </c>
      <c r="O5" s="42">
        <v>967</v>
      </c>
      <c r="P5" s="94">
        <v>0</v>
      </c>
      <c r="Q5" s="42">
        <v>2530587</v>
      </c>
      <c r="R5" s="92">
        <f t="shared" si="2"/>
        <v>87</v>
      </c>
      <c r="S5" s="42">
        <v>2187530</v>
      </c>
      <c r="T5" s="92">
        <f t="shared" si="3"/>
        <v>4</v>
      </c>
      <c r="U5" s="42">
        <v>92334</v>
      </c>
      <c r="V5" s="92">
        <f t="shared" si="4"/>
        <v>75</v>
      </c>
      <c r="W5" s="42">
        <v>100</v>
      </c>
      <c r="X5" s="42">
        <v>0</v>
      </c>
      <c r="Y5" s="42">
        <v>152258</v>
      </c>
      <c r="Z5" s="92">
        <f t="shared" si="5"/>
        <v>0</v>
      </c>
      <c r="AA5" s="112">
        <v>37839</v>
      </c>
      <c r="AB5" s="95">
        <f t="shared" si="6"/>
        <v>5</v>
      </c>
      <c r="AC5" s="42">
        <v>1058</v>
      </c>
      <c r="AD5" s="92">
        <f t="shared" si="7"/>
        <v>0</v>
      </c>
      <c r="AE5" s="41">
        <v>3689</v>
      </c>
      <c r="AF5" s="92">
        <f t="shared" si="7"/>
        <v>0</v>
      </c>
      <c r="AG5" s="36"/>
      <c r="AH5" s="36"/>
      <c r="AI5" s="41">
        <v>570720</v>
      </c>
      <c r="AJ5" s="92">
        <f t="shared" si="8"/>
        <v>60</v>
      </c>
      <c r="AK5" s="108"/>
      <c r="AL5" s="92"/>
      <c r="AM5" s="41">
        <v>52018</v>
      </c>
      <c r="AN5" s="92">
        <f t="shared" si="9"/>
        <v>1</v>
      </c>
      <c r="AO5" s="41">
        <v>8866</v>
      </c>
      <c r="AP5" s="92">
        <f t="shared" si="10"/>
        <v>2</v>
      </c>
      <c r="AQ5" s="41">
        <v>10548</v>
      </c>
      <c r="AR5" s="92">
        <f t="shared" si="11"/>
        <v>0</v>
      </c>
      <c r="AS5" s="41">
        <v>14481</v>
      </c>
      <c r="AT5" s="92">
        <f t="shared" si="12"/>
        <v>0</v>
      </c>
      <c r="AU5" s="45">
        <v>19349</v>
      </c>
      <c r="AV5" s="92">
        <f t="shared" si="13"/>
        <v>0</v>
      </c>
      <c r="AW5" s="45">
        <v>20660</v>
      </c>
      <c r="AX5" s="98">
        <f t="shared" si="14"/>
        <v>0</v>
      </c>
      <c r="AY5" s="42">
        <v>13831</v>
      </c>
      <c r="AZ5" s="98">
        <f t="shared" si="15"/>
        <v>0</v>
      </c>
      <c r="BA5" s="42">
        <v>6152</v>
      </c>
      <c r="BB5" s="98">
        <f t="shared" si="16"/>
        <v>0</v>
      </c>
      <c r="BC5" s="41">
        <v>26342</v>
      </c>
      <c r="BD5" s="98">
        <f t="shared" si="17"/>
        <v>0</v>
      </c>
      <c r="BE5" s="41">
        <v>1112</v>
      </c>
      <c r="BF5" s="98">
        <f t="shared" si="18"/>
        <v>0</v>
      </c>
      <c r="BG5" s="41">
        <v>4303</v>
      </c>
      <c r="BH5" s="98">
        <f t="shared" si="19"/>
        <v>0</v>
      </c>
      <c r="BI5" s="42">
        <v>3636</v>
      </c>
      <c r="BJ5" s="98">
        <f t="shared" si="20"/>
        <v>0</v>
      </c>
      <c r="BK5" s="98">
        <f t="shared" si="21"/>
        <v>0</v>
      </c>
      <c r="BL5" s="98">
        <f t="shared" si="22"/>
        <v>60</v>
      </c>
      <c r="BM5" s="41">
        <v>594990</v>
      </c>
      <c r="BN5" s="98">
        <f t="shared" si="23"/>
        <v>10</v>
      </c>
      <c r="BO5" s="108">
        <v>581</v>
      </c>
      <c r="BP5" s="98">
        <f t="shared" si="24"/>
        <v>0</v>
      </c>
      <c r="BQ5" s="45">
        <v>767760</v>
      </c>
      <c r="BR5" s="98">
        <f t="shared" si="25"/>
        <v>60</v>
      </c>
      <c r="BS5" s="108">
        <v>5866</v>
      </c>
      <c r="BT5" s="95">
        <f t="shared" si="25"/>
        <v>0</v>
      </c>
      <c r="BU5" s="98">
        <f t="shared" ref="BU5:BU12" si="50">(BR5-AJ5)</f>
        <v>0</v>
      </c>
      <c r="BV5" s="95">
        <f t="shared" si="26"/>
        <v>70</v>
      </c>
      <c r="BW5" s="99">
        <f t="shared" si="27"/>
        <v>3</v>
      </c>
      <c r="BX5" s="42">
        <v>142.30000000000001</v>
      </c>
      <c r="BY5" s="50">
        <f t="shared" si="28"/>
        <v>18260.185579676552</v>
      </c>
      <c r="BZ5" s="101"/>
      <c r="CA5" s="98">
        <f>IF((BY4-BY5)&lt;0,"0",(BY4-BY5))</f>
        <v>0</v>
      </c>
      <c r="CB5" s="41">
        <v>205886</v>
      </c>
      <c r="CC5" s="98">
        <f t="shared" si="29"/>
        <v>0</v>
      </c>
      <c r="CD5" s="98">
        <f t="shared" ref="CD5:CD34" si="51">CC5*5.71</f>
        <v>0</v>
      </c>
      <c r="CE5" s="41">
        <v>40</v>
      </c>
      <c r="CF5" s="103">
        <f t="shared" si="30"/>
        <v>4310</v>
      </c>
      <c r="CG5" s="41">
        <v>40</v>
      </c>
      <c r="CH5" s="103">
        <f>(CG5*10775)/100</f>
        <v>4310</v>
      </c>
      <c r="CI5" s="41">
        <v>44</v>
      </c>
      <c r="CJ5" s="103">
        <f t="shared" si="32"/>
        <v>4741</v>
      </c>
      <c r="CK5" s="103">
        <f t="shared" si="33"/>
        <v>13361</v>
      </c>
      <c r="CL5" s="103">
        <f t="shared" si="34"/>
        <v>0</v>
      </c>
      <c r="CM5" s="45"/>
      <c r="CN5" s="41">
        <v>34094.199999999997</v>
      </c>
      <c r="CO5" s="98">
        <f t="shared" si="35"/>
        <v>1.2999999999956344</v>
      </c>
      <c r="CP5" s="98">
        <f t="shared" ref="CP5:CP34" si="52">CO5*2.44</f>
        <v>3.1719999999893478</v>
      </c>
      <c r="CQ5" s="42">
        <v>34300</v>
      </c>
      <c r="CR5" s="98">
        <f t="shared" si="36"/>
        <v>0</v>
      </c>
      <c r="CS5" s="98">
        <f t="shared" ref="CS5:CS34" si="53">CR5*2.44</f>
        <v>0</v>
      </c>
      <c r="CT5" s="41">
        <v>10234</v>
      </c>
      <c r="CU5" s="98">
        <f t="shared" si="37"/>
        <v>0</v>
      </c>
      <c r="CV5" s="98">
        <f t="shared" si="38"/>
        <v>0</v>
      </c>
      <c r="CW5" s="45">
        <v>831923</v>
      </c>
      <c r="CX5" s="95">
        <f t="shared" si="39"/>
        <v>0</v>
      </c>
      <c r="CY5" s="98">
        <f t="shared" ref="CY5:CY34" si="54">CX5*3.1</f>
        <v>0</v>
      </c>
      <c r="CZ5" s="42">
        <v>5719.1</v>
      </c>
      <c r="DA5" s="98">
        <f t="shared" si="40"/>
        <v>0</v>
      </c>
      <c r="DB5" s="98">
        <f t="shared" ref="DB5:DB34" si="55">DA5*2.39</f>
        <v>0</v>
      </c>
      <c r="DC5" s="41">
        <v>7415</v>
      </c>
      <c r="DD5" s="98">
        <f t="shared" si="41"/>
        <v>0</v>
      </c>
      <c r="DE5" s="98">
        <f t="shared" ref="DE5:DE34" si="56">DD5*2.39</f>
        <v>0</v>
      </c>
      <c r="DF5" s="41">
        <v>3785.1</v>
      </c>
      <c r="DG5" s="98">
        <f t="shared" si="42"/>
        <v>5.7999999999997272</v>
      </c>
      <c r="DH5" s="98">
        <f t="shared" ref="DH5:DH34" si="57">DG5*2.39</f>
        <v>13.861999999999348</v>
      </c>
      <c r="DI5" s="42">
        <v>1855.8</v>
      </c>
      <c r="DJ5" s="98">
        <f t="shared" si="43"/>
        <v>0</v>
      </c>
      <c r="DK5" s="98">
        <f t="shared" ref="DK5:DK34" si="58">DJ5*2.39</f>
        <v>0</v>
      </c>
      <c r="DL5" s="42">
        <v>5078.3999999999996</v>
      </c>
      <c r="DM5" s="98">
        <f t="shared" si="44"/>
        <v>0</v>
      </c>
      <c r="DN5" s="98">
        <f t="shared" ref="DN5:DN34" si="59">DM5*2.39</f>
        <v>0</v>
      </c>
      <c r="DO5" s="42">
        <v>4451.7</v>
      </c>
      <c r="DP5" s="98">
        <f t="shared" si="45"/>
        <v>0</v>
      </c>
      <c r="DQ5" s="98">
        <f t="shared" ref="DQ5:DQ34" si="60">DP5*2.39</f>
        <v>0</v>
      </c>
      <c r="DR5" s="42">
        <v>5086.1000000000004</v>
      </c>
      <c r="DS5" s="98">
        <f t="shared" si="46"/>
        <v>0</v>
      </c>
      <c r="DT5" s="98">
        <f t="shared" ref="DT5:DT34" si="61">DS5*2.39</f>
        <v>0</v>
      </c>
      <c r="DU5" s="42">
        <v>4320.7</v>
      </c>
      <c r="DV5" s="98">
        <f>IF((DU5-DU4)&lt;0,"0",(DU5-DU4))</f>
        <v>0</v>
      </c>
      <c r="DW5" s="98">
        <f t="shared" ref="DW5:DW34" si="62">DV5*2.39</f>
        <v>0</v>
      </c>
      <c r="DX5" s="47">
        <v>12732</v>
      </c>
      <c r="DY5" s="95">
        <v>0</v>
      </c>
      <c r="DZ5" s="47">
        <v>61889</v>
      </c>
      <c r="EA5" s="104">
        <v>0</v>
      </c>
      <c r="EB5" s="48">
        <v>15599</v>
      </c>
      <c r="EC5" s="109">
        <f t="shared" ref="EC5:EC34" si="63">IF((EB5-EB4)&lt;0,"0",(EB5-EB4))</f>
        <v>0</v>
      </c>
      <c r="ED5" s="48">
        <v>24594</v>
      </c>
      <c r="EE5" s="109">
        <f t="shared" si="48"/>
        <v>0</v>
      </c>
      <c r="EF5" s="48">
        <v>3</v>
      </c>
      <c r="EG5" s="49">
        <v>11</v>
      </c>
      <c r="EH5" s="134">
        <v>1.4999999999999999E-2</v>
      </c>
      <c r="EI5" s="110"/>
      <c r="EJ5" s="111"/>
      <c r="EK5" s="111"/>
    </row>
    <row r="6" spans="1:141" s="26" customFormat="1" ht="15.75" thickBot="1" x14ac:dyDescent="0.25">
      <c r="A6" s="27">
        <v>44015</v>
      </c>
      <c r="B6" s="41">
        <v>5223209</v>
      </c>
      <c r="C6" s="92">
        <f t="shared" si="0"/>
        <v>3493</v>
      </c>
      <c r="D6" s="41">
        <v>4573547</v>
      </c>
      <c r="E6" s="92">
        <f t="shared" si="1"/>
        <v>3144</v>
      </c>
      <c r="F6" s="36">
        <f t="shared" si="49"/>
        <v>0.90008588605782991</v>
      </c>
      <c r="G6" s="41">
        <v>286</v>
      </c>
      <c r="H6" s="41">
        <v>430</v>
      </c>
      <c r="I6" s="52">
        <v>285707</v>
      </c>
      <c r="J6" s="92">
        <v>0</v>
      </c>
      <c r="K6" s="43">
        <v>750</v>
      </c>
      <c r="L6" s="94">
        <v>0</v>
      </c>
      <c r="M6" s="42">
        <v>629908</v>
      </c>
      <c r="N6" s="92">
        <v>0</v>
      </c>
      <c r="O6" s="42">
        <v>967</v>
      </c>
      <c r="P6" s="94">
        <v>0</v>
      </c>
      <c r="Q6" s="42">
        <v>2530621</v>
      </c>
      <c r="R6" s="92">
        <f t="shared" si="2"/>
        <v>34</v>
      </c>
      <c r="S6" s="42">
        <v>2187531</v>
      </c>
      <c r="T6" s="92">
        <f>IF((S6-S5)&lt;0,"0",(S6-S5))</f>
        <v>1</v>
      </c>
      <c r="U6" s="42">
        <v>92393</v>
      </c>
      <c r="V6" s="92">
        <f t="shared" si="4"/>
        <v>59</v>
      </c>
      <c r="W6" s="41">
        <v>100</v>
      </c>
      <c r="X6" s="45">
        <v>0</v>
      </c>
      <c r="Y6" s="42">
        <v>152258</v>
      </c>
      <c r="Z6" s="92">
        <f t="shared" si="5"/>
        <v>0</v>
      </c>
      <c r="AA6" s="112">
        <v>37848</v>
      </c>
      <c r="AB6" s="95">
        <f t="shared" si="6"/>
        <v>9</v>
      </c>
      <c r="AC6" s="42">
        <v>1058</v>
      </c>
      <c r="AD6" s="92">
        <f t="shared" si="7"/>
        <v>0</v>
      </c>
      <c r="AE6" s="41">
        <v>3689</v>
      </c>
      <c r="AF6" s="92">
        <f t="shared" si="7"/>
        <v>0</v>
      </c>
      <c r="AG6" s="36"/>
      <c r="AH6" s="36"/>
      <c r="AI6" s="41">
        <v>570750</v>
      </c>
      <c r="AJ6" s="92">
        <f>IF((AI6-AI5)&lt;0,"0",(AI6-AI5))</f>
        <v>30</v>
      </c>
      <c r="AK6" s="108"/>
      <c r="AL6" s="92"/>
      <c r="AM6" s="41">
        <v>52018</v>
      </c>
      <c r="AN6" s="92">
        <f t="shared" si="9"/>
        <v>0</v>
      </c>
      <c r="AO6" s="41">
        <v>8866</v>
      </c>
      <c r="AP6" s="92">
        <f t="shared" si="10"/>
        <v>0</v>
      </c>
      <c r="AQ6" s="41">
        <v>10549</v>
      </c>
      <c r="AR6" s="92">
        <f t="shared" si="11"/>
        <v>1</v>
      </c>
      <c r="AS6" s="41">
        <v>14481</v>
      </c>
      <c r="AT6" s="92">
        <f t="shared" si="12"/>
        <v>0</v>
      </c>
      <c r="AU6" s="45">
        <v>19349</v>
      </c>
      <c r="AV6" s="92">
        <f t="shared" si="13"/>
        <v>0</v>
      </c>
      <c r="AW6" s="45">
        <v>20660</v>
      </c>
      <c r="AX6" s="98">
        <f t="shared" si="14"/>
        <v>0</v>
      </c>
      <c r="AY6" s="42">
        <v>13831</v>
      </c>
      <c r="AZ6" s="98">
        <f t="shared" si="15"/>
        <v>0</v>
      </c>
      <c r="BA6" s="42">
        <v>6153</v>
      </c>
      <c r="BB6" s="98">
        <f t="shared" si="16"/>
        <v>1</v>
      </c>
      <c r="BC6" s="41">
        <v>26342</v>
      </c>
      <c r="BD6" s="98">
        <f t="shared" si="17"/>
        <v>0</v>
      </c>
      <c r="BE6" s="41">
        <v>1112</v>
      </c>
      <c r="BF6" s="98">
        <f t="shared" si="18"/>
        <v>0</v>
      </c>
      <c r="BG6" s="41">
        <v>4303</v>
      </c>
      <c r="BH6" s="98">
        <f>IF((BG6-BG5)&lt;0,"0",(BG6-BG5))</f>
        <v>0</v>
      </c>
      <c r="BI6" s="42">
        <v>3636</v>
      </c>
      <c r="BJ6" s="98">
        <f t="shared" si="20"/>
        <v>0</v>
      </c>
      <c r="BK6" s="98">
        <f t="shared" si="21"/>
        <v>0</v>
      </c>
      <c r="BL6" s="98">
        <f t="shared" si="22"/>
        <v>30</v>
      </c>
      <c r="BM6" s="41">
        <v>595010</v>
      </c>
      <c r="BN6" s="98">
        <f t="shared" si="23"/>
        <v>20</v>
      </c>
      <c r="BO6" s="108">
        <v>581</v>
      </c>
      <c r="BP6" s="98">
        <f t="shared" si="24"/>
        <v>0</v>
      </c>
      <c r="BQ6" s="45">
        <v>767790</v>
      </c>
      <c r="BR6" s="98">
        <f t="shared" si="25"/>
        <v>30</v>
      </c>
      <c r="BS6" s="108">
        <v>5866</v>
      </c>
      <c r="BT6" s="95">
        <f t="shared" si="25"/>
        <v>0</v>
      </c>
      <c r="BU6" s="98">
        <f t="shared" si="50"/>
        <v>0</v>
      </c>
      <c r="BV6" s="95">
        <f t="shared" si="26"/>
        <v>50</v>
      </c>
      <c r="BW6" s="99">
        <f t="shared" si="27"/>
        <v>2</v>
      </c>
      <c r="BX6" s="42">
        <v>142.30000000000001</v>
      </c>
      <c r="BY6" s="50">
        <f t="shared" si="28"/>
        <v>18260.185579676552</v>
      </c>
      <c r="BZ6" s="101"/>
      <c r="CA6" s="98">
        <f>IF((BY5-BY6)&lt;0,"0",(BY5-BY6))</f>
        <v>0</v>
      </c>
      <c r="CB6" s="41">
        <v>205886</v>
      </c>
      <c r="CC6" s="98">
        <f t="shared" si="29"/>
        <v>0</v>
      </c>
      <c r="CD6" s="98">
        <f t="shared" si="51"/>
        <v>0</v>
      </c>
      <c r="CE6" s="41">
        <v>40</v>
      </c>
      <c r="CF6" s="103">
        <f t="shared" si="30"/>
        <v>4310</v>
      </c>
      <c r="CG6" s="41">
        <v>40</v>
      </c>
      <c r="CH6" s="103">
        <f t="shared" si="31"/>
        <v>4310</v>
      </c>
      <c r="CI6" s="41">
        <v>43</v>
      </c>
      <c r="CJ6" s="103">
        <f>(CI6*10775)/100</f>
        <v>4633.25</v>
      </c>
      <c r="CK6" s="103">
        <f>CF6+CH6+CJ6</f>
        <v>13253.25</v>
      </c>
      <c r="CL6" s="103">
        <f>IF((CK5-CK6+CM5)=CK5,"0",(CK5-CK6+CM5))</f>
        <v>107.75</v>
      </c>
      <c r="CM6" s="45"/>
      <c r="CN6" s="41">
        <v>34094.9</v>
      </c>
      <c r="CO6" s="98">
        <f t="shared" si="35"/>
        <v>0.70000000000436557</v>
      </c>
      <c r="CP6" s="98">
        <f t="shared" si="52"/>
        <v>1.7080000000106519</v>
      </c>
      <c r="CQ6" s="42">
        <v>34300</v>
      </c>
      <c r="CR6" s="98">
        <f t="shared" si="36"/>
        <v>0</v>
      </c>
      <c r="CS6" s="98">
        <f t="shared" si="53"/>
        <v>0</v>
      </c>
      <c r="CT6" s="41">
        <v>10234</v>
      </c>
      <c r="CU6" s="98">
        <f t="shared" si="37"/>
        <v>0</v>
      </c>
      <c r="CV6" s="98">
        <f t="shared" si="38"/>
        <v>0</v>
      </c>
      <c r="CW6" s="45">
        <v>831923</v>
      </c>
      <c r="CX6" s="95">
        <f t="shared" si="39"/>
        <v>0</v>
      </c>
      <c r="CY6" s="98">
        <f t="shared" si="54"/>
        <v>0</v>
      </c>
      <c r="CZ6" s="42">
        <v>5719.1</v>
      </c>
      <c r="DA6" s="98">
        <f t="shared" si="40"/>
        <v>0</v>
      </c>
      <c r="DB6" s="98">
        <f t="shared" si="55"/>
        <v>0</v>
      </c>
      <c r="DC6" s="41">
        <v>7415</v>
      </c>
      <c r="DD6" s="98">
        <f t="shared" si="41"/>
        <v>0</v>
      </c>
      <c r="DE6" s="98">
        <f t="shared" si="56"/>
        <v>0</v>
      </c>
      <c r="DF6" s="41">
        <v>3787.1</v>
      </c>
      <c r="DG6" s="98">
        <f t="shared" si="42"/>
        <v>2</v>
      </c>
      <c r="DH6" s="98">
        <f t="shared" si="57"/>
        <v>4.78</v>
      </c>
      <c r="DI6" s="42">
        <v>1855.8</v>
      </c>
      <c r="DJ6" s="98">
        <f t="shared" si="43"/>
        <v>0</v>
      </c>
      <c r="DK6" s="98">
        <f t="shared" si="58"/>
        <v>0</v>
      </c>
      <c r="DL6" s="42">
        <v>5078.3999999999996</v>
      </c>
      <c r="DM6" s="98">
        <f t="shared" si="44"/>
        <v>0</v>
      </c>
      <c r="DN6" s="98">
        <f t="shared" si="59"/>
        <v>0</v>
      </c>
      <c r="DO6" s="42">
        <v>4451.7</v>
      </c>
      <c r="DP6" s="98">
        <f t="shared" si="45"/>
        <v>0</v>
      </c>
      <c r="DQ6" s="98">
        <f t="shared" si="60"/>
        <v>0</v>
      </c>
      <c r="DR6" s="42">
        <v>5086.1000000000004</v>
      </c>
      <c r="DS6" s="98">
        <f t="shared" si="46"/>
        <v>0</v>
      </c>
      <c r="DT6" s="98">
        <f t="shared" si="61"/>
        <v>0</v>
      </c>
      <c r="DU6" s="42">
        <v>4320.7</v>
      </c>
      <c r="DV6" s="98">
        <f>IF((DU6-DU5)&lt;0,"0",(DU6-DU5))</f>
        <v>0</v>
      </c>
      <c r="DW6" s="98">
        <f t="shared" si="62"/>
        <v>0</v>
      </c>
      <c r="DX6" s="47">
        <v>12732</v>
      </c>
      <c r="DY6" s="98">
        <f t="shared" ref="DY6:DY34" si="64">IF((DX6-DX5)&lt;0,"0",(DX6-DX5))</f>
        <v>0</v>
      </c>
      <c r="DZ6" s="47">
        <v>61889</v>
      </c>
      <c r="EA6" s="104">
        <v>0</v>
      </c>
      <c r="EB6" s="48">
        <v>15599</v>
      </c>
      <c r="EC6" s="109">
        <f t="shared" si="63"/>
        <v>0</v>
      </c>
      <c r="ED6" s="48">
        <v>24594</v>
      </c>
      <c r="EE6" s="109">
        <f t="shared" si="48"/>
        <v>0</v>
      </c>
      <c r="EF6" s="48">
        <v>3</v>
      </c>
      <c r="EG6" s="49">
        <v>11</v>
      </c>
      <c r="EH6" s="134">
        <v>1.4999999999999999E-2</v>
      </c>
      <c r="EI6" s="105"/>
      <c r="EJ6" s="48"/>
      <c r="EK6" s="48"/>
    </row>
    <row r="7" spans="1:141" s="26" customFormat="1" ht="15.75" thickBot="1" x14ac:dyDescent="0.25">
      <c r="A7" s="27">
        <v>44016</v>
      </c>
      <c r="B7" s="42">
        <v>5226972</v>
      </c>
      <c r="C7" s="92">
        <f t="shared" si="0"/>
        <v>3763</v>
      </c>
      <c r="D7" s="42">
        <v>4576962</v>
      </c>
      <c r="E7" s="92">
        <f t="shared" si="1"/>
        <v>3415</v>
      </c>
      <c r="F7" s="36">
        <f t="shared" si="49"/>
        <v>0.90752059526973161</v>
      </c>
      <c r="G7" s="41">
        <v>286</v>
      </c>
      <c r="H7" s="41">
        <v>430</v>
      </c>
      <c r="I7" s="52">
        <v>285707</v>
      </c>
      <c r="J7" s="92">
        <v>0</v>
      </c>
      <c r="K7" s="43">
        <v>750</v>
      </c>
      <c r="L7" s="94">
        <v>0</v>
      </c>
      <c r="M7" s="42">
        <v>629908</v>
      </c>
      <c r="N7" s="92">
        <v>0</v>
      </c>
      <c r="O7" s="42">
        <v>967</v>
      </c>
      <c r="P7" s="94">
        <v>0</v>
      </c>
      <c r="Q7" s="42">
        <v>2530668</v>
      </c>
      <c r="R7" s="92">
        <f t="shared" si="2"/>
        <v>47</v>
      </c>
      <c r="S7" s="42">
        <v>2187532</v>
      </c>
      <c r="T7" s="92">
        <f t="shared" si="3"/>
        <v>1</v>
      </c>
      <c r="U7" s="42">
        <v>92461</v>
      </c>
      <c r="V7" s="92">
        <f t="shared" si="4"/>
        <v>68</v>
      </c>
      <c r="W7" s="41">
        <v>100</v>
      </c>
      <c r="X7" s="45">
        <v>0</v>
      </c>
      <c r="Y7" s="42">
        <v>152258</v>
      </c>
      <c r="Z7" s="92">
        <f t="shared" si="5"/>
        <v>0</v>
      </c>
      <c r="AA7" s="112">
        <v>37855</v>
      </c>
      <c r="AB7" s="95">
        <f t="shared" si="6"/>
        <v>7</v>
      </c>
      <c r="AC7" s="42">
        <v>1058</v>
      </c>
      <c r="AD7" s="92">
        <f t="shared" si="7"/>
        <v>0</v>
      </c>
      <c r="AE7" s="41">
        <v>3689</v>
      </c>
      <c r="AF7" s="92">
        <f t="shared" si="7"/>
        <v>0</v>
      </c>
      <c r="AG7" s="25"/>
      <c r="AH7" s="25"/>
      <c r="AI7" s="41">
        <v>570790</v>
      </c>
      <c r="AJ7" s="92">
        <f t="shared" si="8"/>
        <v>40</v>
      </c>
      <c r="AK7" s="108"/>
      <c r="AL7" s="92"/>
      <c r="AM7" s="41">
        <v>52019</v>
      </c>
      <c r="AN7" s="92">
        <f t="shared" si="9"/>
        <v>1</v>
      </c>
      <c r="AO7" s="42">
        <v>8866</v>
      </c>
      <c r="AP7" s="92">
        <f t="shared" si="10"/>
        <v>0</v>
      </c>
      <c r="AQ7" s="42">
        <v>10549</v>
      </c>
      <c r="AR7" s="92">
        <f t="shared" si="11"/>
        <v>0</v>
      </c>
      <c r="AS7" s="41">
        <v>14481</v>
      </c>
      <c r="AT7" s="92">
        <f t="shared" si="12"/>
        <v>0</v>
      </c>
      <c r="AU7" s="45">
        <v>19349</v>
      </c>
      <c r="AV7" s="92">
        <f t="shared" si="13"/>
        <v>0</v>
      </c>
      <c r="AW7" s="45">
        <v>20660</v>
      </c>
      <c r="AX7" s="98">
        <f t="shared" si="14"/>
        <v>0</v>
      </c>
      <c r="AY7" s="42">
        <v>13831</v>
      </c>
      <c r="AZ7" s="98">
        <f t="shared" si="15"/>
        <v>0</v>
      </c>
      <c r="BA7" s="42">
        <v>6153</v>
      </c>
      <c r="BB7" s="98">
        <f>IF((BA7-BA6)&lt;0,"0",(BA7-BA6))</f>
        <v>0</v>
      </c>
      <c r="BC7" s="41">
        <v>26343</v>
      </c>
      <c r="BD7" s="98">
        <f t="shared" si="17"/>
        <v>1</v>
      </c>
      <c r="BE7" s="41">
        <v>1112</v>
      </c>
      <c r="BF7" s="95">
        <f t="shared" si="18"/>
        <v>0</v>
      </c>
      <c r="BG7" s="41">
        <v>4303</v>
      </c>
      <c r="BH7" s="98">
        <f>IF((BG7-BG6)&lt;0,"0",(BG7-BG6))</f>
        <v>0</v>
      </c>
      <c r="BI7" s="42">
        <v>3636</v>
      </c>
      <c r="BJ7" s="95">
        <f t="shared" si="20"/>
        <v>0</v>
      </c>
      <c r="BK7" s="95">
        <f t="shared" si="21"/>
        <v>0</v>
      </c>
      <c r="BL7" s="95">
        <f t="shared" si="22"/>
        <v>40</v>
      </c>
      <c r="BM7" s="41">
        <v>595050</v>
      </c>
      <c r="BN7" s="98">
        <f t="shared" si="23"/>
        <v>40</v>
      </c>
      <c r="BO7" s="108">
        <v>581</v>
      </c>
      <c r="BP7" s="98">
        <f t="shared" si="24"/>
        <v>0</v>
      </c>
      <c r="BQ7" s="45">
        <v>767830</v>
      </c>
      <c r="BR7" s="98">
        <f>IF((BQ7-BQ6)&lt;0,"0",(BQ7-BQ6))</f>
        <v>40</v>
      </c>
      <c r="BS7" s="108">
        <v>5866</v>
      </c>
      <c r="BT7" s="95">
        <f t="shared" si="25"/>
        <v>0</v>
      </c>
      <c r="BU7" s="98">
        <f t="shared" si="50"/>
        <v>0</v>
      </c>
      <c r="BV7" s="95">
        <f t="shared" si="26"/>
        <v>80</v>
      </c>
      <c r="BW7" s="99">
        <f t="shared" si="27"/>
        <v>1</v>
      </c>
      <c r="BX7" s="42">
        <v>142.30000000000001</v>
      </c>
      <c r="BY7" s="50">
        <f t="shared" si="28"/>
        <v>18260.185579676552</v>
      </c>
      <c r="BZ7" s="42"/>
      <c r="CA7" s="98">
        <f>IF((BY6-BY7)&lt;0,"0",(BY6-BY7))</f>
        <v>0</v>
      </c>
      <c r="CB7" s="41">
        <v>205886</v>
      </c>
      <c r="CC7" s="98">
        <f t="shared" si="29"/>
        <v>0</v>
      </c>
      <c r="CD7" s="98">
        <f t="shared" si="51"/>
        <v>0</v>
      </c>
      <c r="CE7" s="41">
        <v>40</v>
      </c>
      <c r="CF7" s="103">
        <f t="shared" si="30"/>
        <v>4310</v>
      </c>
      <c r="CG7" s="41">
        <v>40</v>
      </c>
      <c r="CH7" s="103">
        <f t="shared" si="31"/>
        <v>4310</v>
      </c>
      <c r="CI7" s="42">
        <v>43</v>
      </c>
      <c r="CJ7" s="103">
        <f t="shared" si="32"/>
        <v>4633.25</v>
      </c>
      <c r="CK7" s="103">
        <f t="shared" si="33"/>
        <v>13253.25</v>
      </c>
      <c r="CL7" s="103">
        <f t="shared" si="34"/>
        <v>0</v>
      </c>
      <c r="CM7" s="45"/>
      <c r="CN7" s="42">
        <v>34095.9</v>
      </c>
      <c r="CO7" s="98">
        <f t="shared" si="35"/>
        <v>1</v>
      </c>
      <c r="CP7" s="98">
        <f t="shared" si="52"/>
        <v>2.44</v>
      </c>
      <c r="CQ7" s="42">
        <v>34300</v>
      </c>
      <c r="CR7" s="95">
        <f t="shared" si="36"/>
        <v>0</v>
      </c>
      <c r="CS7" s="98">
        <f t="shared" si="53"/>
        <v>0</v>
      </c>
      <c r="CT7" s="41">
        <v>10234</v>
      </c>
      <c r="CU7" s="95">
        <f t="shared" si="37"/>
        <v>0</v>
      </c>
      <c r="CV7" s="95">
        <f t="shared" si="38"/>
        <v>0</v>
      </c>
      <c r="CW7" s="45">
        <v>831923</v>
      </c>
      <c r="CX7" s="95">
        <f t="shared" si="39"/>
        <v>0</v>
      </c>
      <c r="CY7" s="98">
        <f t="shared" si="54"/>
        <v>0</v>
      </c>
      <c r="CZ7" s="42">
        <v>5719.1</v>
      </c>
      <c r="DA7" s="95">
        <f t="shared" si="40"/>
        <v>0</v>
      </c>
      <c r="DB7" s="98">
        <f t="shared" si="55"/>
        <v>0</v>
      </c>
      <c r="DC7" s="42">
        <v>7415</v>
      </c>
      <c r="DD7" s="95">
        <f t="shared" si="41"/>
        <v>0</v>
      </c>
      <c r="DE7" s="98">
        <f t="shared" si="56"/>
        <v>0</v>
      </c>
      <c r="DF7" s="42">
        <v>3790.3</v>
      </c>
      <c r="DG7" s="95">
        <f t="shared" si="42"/>
        <v>3.2000000000002728</v>
      </c>
      <c r="DH7" s="98">
        <f t="shared" si="57"/>
        <v>7.6480000000006525</v>
      </c>
      <c r="DI7" s="42">
        <v>1855.8</v>
      </c>
      <c r="DJ7" s="98">
        <f t="shared" si="43"/>
        <v>0</v>
      </c>
      <c r="DK7" s="98">
        <f t="shared" si="58"/>
        <v>0</v>
      </c>
      <c r="DL7" s="42">
        <v>5078.3999999999996</v>
      </c>
      <c r="DM7" s="98">
        <f t="shared" si="44"/>
        <v>0</v>
      </c>
      <c r="DN7" s="98">
        <f t="shared" si="59"/>
        <v>0</v>
      </c>
      <c r="DO7" s="42">
        <v>4451.7</v>
      </c>
      <c r="DP7" s="98">
        <f t="shared" si="45"/>
        <v>0</v>
      </c>
      <c r="DQ7" s="98">
        <f t="shared" si="60"/>
        <v>0</v>
      </c>
      <c r="DR7" s="42">
        <v>5086.1000000000004</v>
      </c>
      <c r="DS7" s="98">
        <f t="shared" si="46"/>
        <v>0</v>
      </c>
      <c r="DT7" s="98">
        <f t="shared" si="61"/>
        <v>0</v>
      </c>
      <c r="DU7" s="42">
        <v>4320.7</v>
      </c>
      <c r="DV7" s="98">
        <f>IF((DU7-DU6)&lt;0,"0",(DU7-DU6))</f>
        <v>0</v>
      </c>
      <c r="DW7" s="98">
        <f t="shared" si="62"/>
        <v>0</v>
      </c>
      <c r="DX7" s="47">
        <v>12732</v>
      </c>
      <c r="DY7" s="98">
        <f t="shared" si="64"/>
        <v>0</v>
      </c>
      <c r="DZ7" s="47">
        <v>61889</v>
      </c>
      <c r="EA7" s="104">
        <v>0</v>
      </c>
      <c r="EB7" s="48">
        <v>15599</v>
      </c>
      <c r="EC7" s="109">
        <f t="shared" si="63"/>
        <v>0</v>
      </c>
      <c r="ED7" s="48">
        <v>24594</v>
      </c>
      <c r="EE7" s="109">
        <f t="shared" si="48"/>
        <v>0</v>
      </c>
      <c r="EF7" s="48">
        <v>3</v>
      </c>
      <c r="EG7" s="49">
        <v>11</v>
      </c>
      <c r="EH7" s="134">
        <v>1.4999999999999999E-2</v>
      </c>
      <c r="EI7" s="105"/>
      <c r="EJ7" s="48"/>
      <c r="EK7" s="48"/>
    </row>
    <row r="8" spans="1:141" s="26" customFormat="1" ht="15.75" thickBot="1" x14ac:dyDescent="0.25">
      <c r="A8" s="27">
        <v>44017</v>
      </c>
      <c r="B8" s="42">
        <v>5230446</v>
      </c>
      <c r="C8" s="92">
        <f t="shared" si="0"/>
        <v>3474</v>
      </c>
      <c r="D8" s="42">
        <v>4580110</v>
      </c>
      <c r="E8" s="92">
        <f t="shared" si="1"/>
        <v>3148</v>
      </c>
      <c r="F8" s="36">
        <f t="shared" si="49"/>
        <v>0.90616004605641909</v>
      </c>
      <c r="G8" s="41">
        <v>196</v>
      </c>
      <c r="H8" s="41">
        <v>286</v>
      </c>
      <c r="I8" s="52">
        <v>285707</v>
      </c>
      <c r="J8" s="92">
        <f t="shared" ref="J8:J34" si="65">IF((I8-I7)&lt;0,"0",(I8-I7))</f>
        <v>0</v>
      </c>
      <c r="K8" s="43">
        <v>750</v>
      </c>
      <c r="L8" s="92">
        <f t="shared" ref="L8:L34" si="66">IF((K8-K7)&lt;0,"0",(K8-K7))</f>
        <v>0</v>
      </c>
      <c r="M8" s="42">
        <v>629908</v>
      </c>
      <c r="N8" s="92">
        <f t="shared" ref="N8:N34" si="67">IF((M8-M7)&lt;0,"0",(M8-M7))</f>
        <v>0</v>
      </c>
      <c r="O8" s="42">
        <v>967</v>
      </c>
      <c r="P8" s="92">
        <f t="shared" ref="P8:P34" si="68">IF((O8-O7)&lt;0,"0",(O8-O7))</f>
        <v>0</v>
      </c>
      <c r="Q8" s="42">
        <v>2530750</v>
      </c>
      <c r="R8" s="92">
        <f t="shared" si="2"/>
        <v>82</v>
      </c>
      <c r="S8" s="42">
        <v>2187532</v>
      </c>
      <c r="T8" s="92">
        <f t="shared" si="3"/>
        <v>0</v>
      </c>
      <c r="U8" s="42">
        <v>92528</v>
      </c>
      <c r="V8" s="92">
        <f t="shared" si="4"/>
        <v>67</v>
      </c>
      <c r="W8" s="41">
        <v>100</v>
      </c>
      <c r="X8" s="45">
        <v>0</v>
      </c>
      <c r="Y8" s="42">
        <v>152258</v>
      </c>
      <c r="Z8" s="92">
        <f t="shared" si="5"/>
        <v>0</v>
      </c>
      <c r="AA8" s="112">
        <v>37865</v>
      </c>
      <c r="AB8" s="95">
        <f t="shared" si="6"/>
        <v>10</v>
      </c>
      <c r="AC8" s="42">
        <v>1058</v>
      </c>
      <c r="AD8" s="92">
        <f t="shared" si="7"/>
        <v>0</v>
      </c>
      <c r="AE8" s="41">
        <v>3689</v>
      </c>
      <c r="AF8" s="92">
        <f t="shared" si="7"/>
        <v>0</v>
      </c>
      <c r="AG8" s="25"/>
      <c r="AH8" s="25"/>
      <c r="AI8" s="41">
        <v>570860</v>
      </c>
      <c r="AJ8" s="92">
        <f t="shared" si="8"/>
        <v>70</v>
      </c>
      <c r="AK8" s="108"/>
      <c r="AL8" s="92"/>
      <c r="AM8" s="42">
        <v>52019</v>
      </c>
      <c r="AN8" s="92">
        <f t="shared" si="9"/>
        <v>0</v>
      </c>
      <c r="AO8" s="42">
        <v>8866</v>
      </c>
      <c r="AP8" s="92">
        <f t="shared" si="10"/>
        <v>0</v>
      </c>
      <c r="AQ8" s="42">
        <v>10549</v>
      </c>
      <c r="AR8" s="92">
        <f t="shared" si="11"/>
        <v>0</v>
      </c>
      <c r="AS8" s="41">
        <v>14481</v>
      </c>
      <c r="AT8" s="92">
        <f t="shared" si="12"/>
        <v>0</v>
      </c>
      <c r="AU8" s="45">
        <v>19349</v>
      </c>
      <c r="AV8" s="92">
        <f t="shared" si="13"/>
        <v>0</v>
      </c>
      <c r="AW8" s="45">
        <v>20660</v>
      </c>
      <c r="AX8" s="98">
        <f t="shared" si="14"/>
        <v>0</v>
      </c>
      <c r="AY8" s="42">
        <v>13831</v>
      </c>
      <c r="AZ8" s="98">
        <f t="shared" si="15"/>
        <v>0</v>
      </c>
      <c r="BA8" s="42">
        <v>6153</v>
      </c>
      <c r="BB8" s="98">
        <f>IF((BA8-BA7)&lt;0,"0",(BA8-BA7))</f>
        <v>0</v>
      </c>
      <c r="BC8" s="42">
        <v>26343</v>
      </c>
      <c r="BD8" s="98">
        <f t="shared" si="17"/>
        <v>0</v>
      </c>
      <c r="BE8" s="41">
        <v>1112</v>
      </c>
      <c r="BF8" s="95">
        <f t="shared" si="18"/>
        <v>0</v>
      </c>
      <c r="BG8" s="41">
        <v>4303</v>
      </c>
      <c r="BH8" s="98">
        <f>IF((BG8-BG7)&lt;0,"0",(BG8-BG7))</f>
        <v>0</v>
      </c>
      <c r="BI8" s="42">
        <v>3636</v>
      </c>
      <c r="BJ8" s="95">
        <f t="shared" si="20"/>
        <v>0</v>
      </c>
      <c r="BK8" s="95">
        <f t="shared" si="21"/>
        <v>0</v>
      </c>
      <c r="BL8" s="95">
        <f t="shared" si="22"/>
        <v>70</v>
      </c>
      <c r="BM8" s="41">
        <v>595080</v>
      </c>
      <c r="BN8" s="98">
        <f t="shared" si="23"/>
        <v>30</v>
      </c>
      <c r="BO8" s="108">
        <v>581</v>
      </c>
      <c r="BP8" s="98">
        <f t="shared" si="24"/>
        <v>0</v>
      </c>
      <c r="BQ8" s="45">
        <v>767900</v>
      </c>
      <c r="BR8" s="95">
        <f t="shared" si="25"/>
        <v>70</v>
      </c>
      <c r="BS8" s="108">
        <v>5866</v>
      </c>
      <c r="BT8" s="95">
        <f t="shared" si="25"/>
        <v>0</v>
      </c>
      <c r="BU8" s="98">
        <f t="shared" si="50"/>
        <v>0</v>
      </c>
      <c r="BV8" s="95">
        <f t="shared" si="26"/>
        <v>100</v>
      </c>
      <c r="BW8" s="99">
        <f t="shared" si="27"/>
        <v>0</v>
      </c>
      <c r="BX8" s="42">
        <v>142.30000000000001</v>
      </c>
      <c r="BY8" s="50">
        <f t="shared" si="28"/>
        <v>18260.185579676552</v>
      </c>
      <c r="BZ8" s="42"/>
      <c r="CA8" s="98">
        <f>IF((BY7-BY8)&lt;0,"0",(BY7-BY8))</f>
        <v>0</v>
      </c>
      <c r="CB8" s="42">
        <v>205886</v>
      </c>
      <c r="CC8" s="98">
        <f t="shared" si="29"/>
        <v>0</v>
      </c>
      <c r="CD8" s="98">
        <f t="shared" si="51"/>
        <v>0</v>
      </c>
      <c r="CE8" s="41">
        <v>40</v>
      </c>
      <c r="CF8" s="103">
        <f t="shared" si="30"/>
        <v>4310</v>
      </c>
      <c r="CG8" s="42">
        <v>40</v>
      </c>
      <c r="CH8" s="103">
        <f t="shared" si="31"/>
        <v>4310</v>
      </c>
      <c r="CI8" s="42">
        <v>42</v>
      </c>
      <c r="CJ8" s="103">
        <f t="shared" si="32"/>
        <v>4525.5</v>
      </c>
      <c r="CK8" s="103">
        <f t="shared" si="33"/>
        <v>13145.5</v>
      </c>
      <c r="CL8" s="103">
        <f t="shared" si="34"/>
        <v>107.75</v>
      </c>
      <c r="CM8" s="45"/>
      <c r="CN8" s="42">
        <v>34096.400000000001</v>
      </c>
      <c r="CO8" s="98">
        <f t="shared" si="35"/>
        <v>0.5</v>
      </c>
      <c r="CP8" s="98">
        <f t="shared" si="52"/>
        <v>1.22</v>
      </c>
      <c r="CQ8" s="42">
        <v>34300</v>
      </c>
      <c r="CR8" s="95">
        <f t="shared" si="36"/>
        <v>0</v>
      </c>
      <c r="CS8" s="98">
        <f t="shared" si="53"/>
        <v>0</v>
      </c>
      <c r="CT8" s="41">
        <v>10234</v>
      </c>
      <c r="CU8" s="95">
        <f t="shared" si="37"/>
        <v>0</v>
      </c>
      <c r="CV8" s="95">
        <f t="shared" si="38"/>
        <v>0</v>
      </c>
      <c r="CW8" s="45">
        <v>831923</v>
      </c>
      <c r="CX8" s="95">
        <f t="shared" si="39"/>
        <v>0</v>
      </c>
      <c r="CY8" s="98">
        <f t="shared" si="54"/>
        <v>0</v>
      </c>
      <c r="CZ8" s="42">
        <v>5721.6</v>
      </c>
      <c r="DA8" s="95">
        <f t="shared" si="40"/>
        <v>2.5</v>
      </c>
      <c r="DB8" s="98">
        <f t="shared" si="55"/>
        <v>5.9750000000000005</v>
      </c>
      <c r="DC8" s="42">
        <v>7415</v>
      </c>
      <c r="DD8" s="95">
        <f t="shared" si="41"/>
        <v>0</v>
      </c>
      <c r="DE8" s="98">
        <f t="shared" si="56"/>
        <v>0</v>
      </c>
      <c r="DF8" s="42">
        <v>3796.1</v>
      </c>
      <c r="DG8" s="95">
        <f t="shared" si="42"/>
        <v>5.7999999999997272</v>
      </c>
      <c r="DH8" s="98">
        <f t="shared" si="57"/>
        <v>13.861999999999348</v>
      </c>
      <c r="DI8" s="42">
        <v>1855.8</v>
      </c>
      <c r="DJ8" s="98">
        <f t="shared" si="43"/>
        <v>0</v>
      </c>
      <c r="DK8" s="98">
        <f t="shared" si="58"/>
        <v>0</v>
      </c>
      <c r="DL8" s="42">
        <v>5078.3999999999996</v>
      </c>
      <c r="DM8" s="98">
        <f t="shared" si="44"/>
        <v>0</v>
      </c>
      <c r="DN8" s="98">
        <f t="shared" si="59"/>
        <v>0</v>
      </c>
      <c r="DO8" s="42">
        <v>4451.7</v>
      </c>
      <c r="DP8" s="98">
        <f t="shared" si="45"/>
        <v>0</v>
      </c>
      <c r="DQ8" s="98">
        <f t="shared" si="60"/>
        <v>0</v>
      </c>
      <c r="DR8" s="42">
        <v>5086.1000000000004</v>
      </c>
      <c r="DS8" s="98">
        <f t="shared" si="46"/>
        <v>0</v>
      </c>
      <c r="DT8" s="98">
        <f t="shared" si="61"/>
        <v>0</v>
      </c>
      <c r="DU8" s="42">
        <v>4320.7</v>
      </c>
      <c r="DV8" s="95">
        <f t="shared" si="47"/>
        <v>0</v>
      </c>
      <c r="DW8" s="98">
        <f t="shared" si="62"/>
        <v>0</v>
      </c>
      <c r="DX8" s="47">
        <v>12732</v>
      </c>
      <c r="DY8" s="98">
        <f t="shared" si="64"/>
        <v>0</v>
      </c>
      <c r="DZ8" s="47">
        <v>61889</v>
      </c>
      <c r="EA8" s="104">
        <v>0</v>
      </c>
      <c r="EB8" s="48">
        <v>15599</v>
      </c>
      <c r="EC8" s="109">
        <f t="shared" si="63"/>
        <v>0</v>
      </c>
      <c r="ED8" s="48">
        <v>24594</v>
      </c>
      <c r="EE8" s="109">
        <f>IF((ED8-ED7)&lt;0,"0",(ED8-ED7))</f>
        <v>0</v>
      </c>
      <c r="EF8" s="48">
        <v>2</v>
      </c>
      <c r="EG8" s="49">
        <v>11</v>
      </c>
      <c r="EH8" s="134">
        <v>1.4999999999999999E-2</v>
      </c>
      <c r="EI8" s="105"/>
      <c r="EJ8" s="48"/>
      <c r="EK8" s="48"/>
    </row>
    <row r="9" spans="1:141" s="26" customFormat="1" ht="15.75" thickBot="1" x14ac:dyDescent="0.25">
      <c r="A9" s="27">
        <v>44018</v>
      </c>
      <c r="B9" s="42">
        <v>5234249</v>
      </c>
      <c r="C9" s="92">
        <f t="shared" si="0"/>
        <v>3803</v>
      </c>
      <c r="D9" s="42">
        <v>4583574</v>
      </c>
      <c r="E9" s="92">
        <f t="shared" si="1"/>
        <v>3464</v>
      </c>
      <c r="F9" s="36">
        <f t="shared" si="49"/>
        <v>0.91085984748882465</v>
      </c>
      <c r="G9" s="41">
        <v>196</v>
      </c>
      <c r="H9" s="41">
        <v>286</v>
      </c>
      <c r="I9" s="52">
        <v>285707</v>
      </c>
      <c r="J9" s="92">
        <f t="shared" si="65"/>
        <v>0</v>
      </c>
      <c r="K9" s="43">
        <v>750</v>
      </c>
      <c r="L9" s="92">
        <f t="shared" si="66"/>
        <v>0</v>
      </c>
      <c r="M9" s="42">
        <v>629908</v>
      </c>
      <c r="N9" s="92">
        <f t="shared" si="67"/>
        <v>0</v>
      </c>
      <c r="O9" s="42">
        <v>967</v>
      </c>
      <c r="P9" s="92">
        <f t="shared" si="68"/>
        <v>0</v>
      </c>
      <c r="Q9" s="42">
        <v>2530790</v>
      </c>
      <c r="R9" s="92">
        <f t="shared" si="2"/>
        <v>40</v>
      </c>
      <c r="S9" s="42">
        <v>2187536</v>
      </c>
      <c r="T9" s="92">
        <f>IF((S9-S8)&lt;0,"0",(S9-S8))</f>
        <v>4</v>
      </c>
      <c r="U9" s="42">
        <v>92596</v>
      </c>
      <c r="V9" s="92">
        <f t="shared" si="4"/>
        <v>68</v>
      </c>
      <c r="W9" s="41">
        <v>100</v>
      </c>
      <c r="X9" s="45">
        <v>0</v>
      </c>
      <c r="Y9" s="42">
        <v>152258</v>
      </c>
      <c r="Z9" s="92">
        <f t="shared" si="5"/>
        <v>0</v>
      </c>
      <c r="AA9" s="112">
        <v>37869</v>
      </c>
      <c r="AB9" s="95">
        <f t="shared" si="6"/>
        <v>4</v>
      </c>
      <c r="AC9" s="42">
        <v>1058</v>
      </c>
      <c r="AD9" s="92">
        <f t="shared" si="7"/>
        <v>0</v>
      </c>
      <c r="AE9" s="41">
        <v>3689</v>
      </c>
      <c r="AF9" s="92">
        <f t="shared" si="7"/>
        <v>0</v>
      </c>
      <c r="AG9" s="25"/>
      <c r="AH9" s="25"/>
      <c r="AI9" s="41">
        <v>570880</v>
      </c>
      <c r="AJ9" s="92">
        <f t="shared" si="8"/>
        <v>20</v>
      </c>
      <c r="AK9" s="108"/>
      <c r="AL9" s="92"/>
      <c r="AM9" s="41">
        <v>52020</v>
      </c>
      <c r="AN9" s="92">
        <f t="shared" si="9"/>
        <v>1</v>
      </c>
      <c r="AO9" s="42">
        <v>8863</v>
      </c>
      <c r="AP9" s="92" t="str">
        <f t="shared" si="10"/>
        <v>0</v>
      </c>
      <c r="AQ9" s="42">
        <v>10549</v>
      </c>
      <c r="AR9" s="92">
        <f t="shared" si="11"/>
        <v>0</v>
      </c>
      <c r="AS9" s="41">
        <v>14481</v>
      </c>
      <c r="AT9" s="92">
        <f t="shared" si="12"/>
        <v>0</v>
      </c>
      <c r="AU9" s="45">
        <v>19349</v>
      </c>
      <c r="AV9" s="92">
        <f t="shared" si="13"/>
        <v>0</v>
      </c>
      <c r="AW9" s="45">
        <v>20660</v>
      </c>
      <c r="AX9" s="98">
        <f t="shared" si="14"/>
        <v>0</v>
      </c>
      <c r="AY9" s="42">
        <v>13831</v>
      </c>
      <c r="AZ9" s="98">
        <f t="shared" si="15"/>
        <v>0</v>
      </c>
      <c r="BA9" s="42">
        <v>6153</v>
      </c>
      <c r="BB9" s="98">
        <f>IF((BA9-BA8)&lt;0,"0",(BA9-BA8))</f>
        <v>0</v>
      </c>
      <c r="BC9" s="41">
        <v>26343</v>
      </c>
      <c r="BD9" s="98">
        <f t="shared" si="17"/>
        <v>0</v>
      </c>
      <c r="BE9" s="41">
        <v>1112</v>
      </c>
      <c r="BF9" s="95">
        <f t="shared" si="18"/>
        <v>0</v>
      </c>
      <c r="BG9" s="41">
        <v>4303</v>
      </c>
      <c r="BH9" s="95">
        <f t="shared" si="19"/>
        <v>0</v>
      </c>
      <c r="BI9" s="42">
        <v>3636</v>
      </c>
      <c r="BJ9" s="95">
        <f t="shared" si="20"/>
        <v>0</v>
      </c>
      <c r="BK9" s="95">
        <f t="shared" si="21"/>
        <v>0</v>
      </c>
      <c r="BL9" s="95">
        <f t="shared" si="22"/>
        <v>20</v>
      </c>
      <c r="BM9" s="41">
        <v>595100</v>
      </c>
      <c r="BN9" s="98">
        <f t="shared" si="23"/>
        <v>20</v>
      </c>
      <c r="BO9" s="108">
        <v>581</v>
      </c>
      <c r="BP9" s="98">
        <f t="shared" si="24"/>
        <v>0</v>
      </c>
      <c r="BQ9" s="45">
        <v>767920</v>
      </c>
      <c r="BR9" s="95">
        <f t="shared" si="25"/>
        <v>20</v>
      </c>
      <c r="BS9" s="108">
        <v>5866</v>
      </c>
      <c r="BT9" s="95">
        <f t="shared" si="25"/>
        <v>0</v>
      </c>
      <c r="BU9" s="98">
        <f t="shared" si="50"/>
        <v>0</v>
      </c>
      <c r="BV9" s="95">
        <f t="shared" si="26"/>
        <v>40</v>
      </c>
      <c r="BW9" s="99">
        <f t="shared" si="27"/>
        <v>1</v>
      </c>
      <c r="BX9" s="42">
        <v>142.30000000000001</v>
      </c>
      <c r="BY9" s="50">
        <f t="shared" si="28"/>
        <v>18260.185579676552</v>
      </c>
      <c r="BZ9" s="42"/>
      <c r="CA9" s="98">
        <f t="shared" ref="CA9:CA34" si="69">IF((BY8-BY9)&lt;0,"0",(BY8-BY9))</f>
        <v>0</v>
      </c>
      <c r="CB9" s="42">
        <v>205886</v>
      </c>
      <c r="CC9" s="98">
        <f t="shared" si="29"/>
        <v>0</v>
      </c>
      <c r="CD9" s="98">
        <f t="shared" si="51"/>
        <v>0</v>
      </c>
      <c r="CE9" s="42">
        <v>40</v>
      </c>
      <c r="CF9" s="103">
        <f t="shared" si="30"/>
        <v>4310</v>
      </c>
      <c r="CG9" s="42">
        <v>40</v>
      </c>
      <c r="CH9" s="103">
        <f t="shared" si="31"/>
        <v>4310</v>
      </c>
      <c r="CI9" s="42">
        <v>42</v>
      </c>
      <c r="CJ9" s="103">
        <f t="shared" si="32"/>
        <v>4525.5</v>
      </c>
      <c r="CK9" s="103">
        <f t="shared" si="33"/>
        <v>13145.5</v>
      </c>
      <c r="CL9" s="103">
        <f t="shared" si="34"/>
        <v>0</v>
      </c>
      <c r="CM9" s="45"/>
      <c r="CN9" s="42">
        <v>34097.4</v>
      </c>
      <c r="CO9" s="98">
        <f t="shared" si="35"/>
        <v>1</v>
      </c>
      <c r="CP9" s="98">
        <f t="shared" si="52"/>
        <v>2.44</v>
      </c>
      <c r="CQ9" s="42">
        <v>34300</v>
      </c>
      <c r="CR9" s="95">
        <f t="shared" si="36"/>
        <v>0</v>
      </c>
      <c r="CS9" s="98">
        <f t="shared" si="53"/>
        <v>0</v>
      </c>
      <c r="CT9" s="41">
        <v>10234</v>
      </c>
      <c r="CU9" s="95">
        <f t="shared" si="37"/>
        <v>0</v>
      </c>
      <c r="CV9" s="95">
        <f t="shared" si="38"/>
        <v>0</v>
      </c>
      <c r="CW9" s="45">
        <v>831923</v>
      </c>
      <c r="CX9" s="95">
        <f t="shared" si="39"/>
        <v>0</v>
      </c>
      <c r="CY9" s="98">
        <f t="shared" si="54"/>
        <v>0</v>
      </c>
      <c r="CZ9" s="42">
        <v>5722.4</v>
      </c>
      <c r="DA9" s="95">
        <f t="shared" si="40"/>
        <v>0.7999999999992724</v>
      </c>
      <c r="DB9" s="98">
        <f t="shared" si="55"/>
        <v>1.9119999999982611</v>
      </c>
      <c r="DC9" s="42">
        <v>7415</v>
      </c>
      <c r="DD9" s="95">
        <f t="shared" si="41"/>
        <v>0</v>
      </c>
      <c r="DE9" s="98">
        <f t="shared" si="56"/>
        <v>0</v>
      </c>
      <c r="DF9" s="42">
        <v>3797.7</v>
      </c>
      <c r="DG9" s="95">
        <f t="shared" si="42"/>
        <v>1.5999999999999091</v>
      </c>
      <c r="DH9" s="98">
        <f t="shared" si="57"/>
        <v>3.8239999999997827</v>
      </c>
      <c r="DI9" s="42">
        <v>1855.8</v>
      </c>
      <c r="DJ9" s="98"/>
      <c r="DK9" s="98">
        <f t="shared" si="58"/>
        <v>0</v>
      </c>
      <c r="DL9" s="42">
        <v>5078.3999999999996</v>
      </c>
      <c r="DM9" s="98">
        <f t="shared" si="44"/>
        <v>0</v>
      </c>
      <c r="DN9" s="98">
        <f t="shared" si="59"/>
        <v>0</v>
      </c>
      <c r="DO9" s="42">
        <v>4451.7</v>
      </c>
      <c r="DP9" s="98">
        <f t="shared" si="45"/>
        <v>0</v>
      </c>
      <c r="DQ9" s="98">
        <f t="shared" si="60"/>
        <v>0</v>
      </c>
      <c r="DR9" s="42">
        <v>5086.1000000000004</v>
      </c>
      <c r="DS9" s="98">
        <f t="shared" si="46"/>
        <v>0</v>
      </c>
      <c r="DT9" s="98">
        <f t="shared" si="61"/>
        <v>0</v>
      </c>
      <c r="DU9" s="42">
        <v>4320.7</v>
      </c>
      <c r="DV9" s="95">
        <f t="shared" si="47"/>
        <v>0</v>
      </c>
      <c r="DW9" s="98">
        <f t="shared" si="62"/>
        <v>0</v>
      </c>
      <c r="DX9" s="47">
        <v>12732</v>
      </c>
      <c r="DY9" s="98">
        <f t="shared" si="64"/>
        <v>0</v>
      </c>
      <c r="DZ9" s="47">
        <v>61889</v>
      </c>
      <c r="EA9" s="104">
        <v>0</v>
      </c>
      <c r="EB9" s="48">
        <v>15599</v>
      </c>
      <c r="EC9" s="109">
        <f t="shared" si="63"/>
        <v>0</v>
      </c>
      <c r="ED9" s="48">
        <v>24594</v>
      </c>
      <c r="EE9" s="109">
        <f>IF((ED9-ED8)&lt;0,"0",(ED9-ED8))</f>
        <v>0</v>
      </c>
      <c r="EF9" s="48">
        <v>2</v>
      </c>
      <c r="EG9" s="49">
        <v>11</v>
      </c>
      <c r="EH9" s="134">
        <v>1.4999999999999999E-2</v>
      </c>
      <c r="EI9" s="105"/>
      <c r="EJ9" s="48"/>
      <c r="EK9" s="48"/>
    </row>
    <row r="10" spans="1:141" s="26" customFormat="1" ht="15.75" thickBot="1" x14ac:dyDescent="0.25">
      <c r="A10" s="27">
        <v>44019</v>
      </c>
      <c r="B10" s="42">
        <v>5238027</v>
      </c>
      <c r="C10" s="92">
        <f t="shared" si="0"/>
        <v>3778</v>
      </c>
      <c r="D10" s="42">
        <v>4587004</v>
      </c>
      <c r="E10" s="92">
        <f t="shared" si="1"/>
        <v>3430</v>
      </c>
      <c r="F10" s="36">
        <f t="shared" si="49"/>
        <v>0.90788777130757015</v>
      </c>
      <c r="G10" s="41">
        <v>196</v>
      </c>
      <c r="H10" s="41">
        <v>286</v>
      </c>
      <c r="I10" s="52">
        <v>285707</v>
      </c>
      <c r="J10" s="92">
        <f t="shared" si="65"/>
        <v>0</v>
      </c>
      <c r="K10" s="43">
        <v>750</v>
      </c>
      <c r="L10" s="92">
        <f t="shared" si="66"/>
        <v>0</v>
      </c>
      <c r="M10" s="42">
        <v>629908</v>
      </c>
      <c r="N10" s="92">
        <f t="shared" si="67"/>
        <v>0</v>
      </c>
      <c r="O10" s="42">
        <v>967</v>
      </c>
      <c r="P10" s="92">
        <f t="shared" si="68"/>
        <v>0</v>
      </c>
      <c r="Q10" s="42">
        <v>2530857</v>
      </c>
      <c r="R10" s="92">
        <f t="shared" si="2"/>
        <v>67</v>
      </c>
      <c r="S10" s="42">
        <v>2187539</v>
      </c>
      <c r="T10" s="92">
        <f t="shared" si="3"/>
        <v>3</v>
      </c>
      <c r="U10" s="42">
        <v>92664</v>
      </c>
      <c r="V10" s="92">
        <v>89</v>
      </c>
      <c r="W10" s="41">
        <v>100</v>
      </c>
      <c r="X10" s="45">
        <v>0</v>
      </c>
      <c r="Y10" s="42">
        <v>152258</v>
      </c>
      <c r="Z10" s="92">
        <f t="shared" si="5"/>
        <v>0</v>
      </c>
      <c r="AA10" s="112">
        <v>37877</v>
      </c>
      <c r="AB10" s="95">
        <f t="shared" si="6"/>
        <v>8</v>
      </c>
      <c r="AC10" s="42">
        <v>1060</v>
      </c>
      <c r="AD10" s="92">
        <f t="shared" si="7"/>
        <v>2</v>
      </c>
      <c r="AE10" s="41">
        <v>3689</v>
      </c>
      <c r="AF10" s="92">
        <f t="shared" si="7"/>
        <v>0</v>
      </c>
      <c r="AG10" s="25"/>
      <c r="AH10" s="25"/>
      <c r="AI10" s="41">
        <v>570950</v>
      </c>
      <c r="AJ10" s="92">
        <f t="shared" si="8"/>
        <v>70</v>
      </c>
      <c r="AK10" s="108"/>
      <c r="AL10" s="92"/>
      <c r="AM10" s="41">
        <v>52021</v>
      </c>
      <c r="AN10" s="92">
        <f t="shared" si="9"/>
        <v>1</v>
      </c>
      <c r="AO10" s="42">
        <v>8863</v>
      </c>
      <c r="AP10" s="92">
        <f t="shared" si="10"/>
        <v>0</v>
      </c>
      <c r="AQ10" s="42">
        <v>10549</v>
      </c>
      <c r="AR10" s="92">
        <f t="shared" si="11"/>
        <v>0</v>
      </c>
      <c r="AS10" s="41">
        <v>14481</v>
      </c>
      <c r="AT10" s="92">
        <f t="shared" si="12"/>
        <v>0</v>
      </c>
      <c r="AU10" s="45">
        <v>19349</v>
      </c>
      <c r="AV10" s="92">
        <f t="shared" si="13"/>
        <v>0</v>
      </c>
      <c r="AW10" s="45">
        <v>20660</v>
      </c>
      <c r="AX10" s="98">
        <f t="shared" si="14"/>
        <v>0</v>
      </c>
      <c r="AY10" s="42">
        <v>13831</v>
      </c>
      <c r="AZ10" s="98">
        <f t="shared" si="15"/>
        <v>0</v>
      </c>
      <c r="BA10" s="42">
        <v>6153</v>
      </c>
      <c r="BB10" s="98">
        <f>IF((BA10-BA9)&lt;0,"0",(BA10-BA9))</f>
        <v>0</v>
      </c>
      <c r="BC10" s="41">
        <v>26343</v>
      </c>
      <c r="BD10" s="98">
        <f t="shared" si="17"/>
        <v>0</v>
      </c>
      <c r="BE10" s="41">
        <v>1112</v>
      </c>
      <c r="BF10" s="95">
        <f t="shared" si="18"/>
        <v>0</v>
      </c>
      <c r="BG10" s="41">
        <v>4303</v>
      </c>
      <c r="BH10" s="95">
        <f t="shared" si="19"/>
        <v>0</v>
      </c>
      <c r="BI10" s="42">
        <v>3636</v>
      </c>
      <c r="BJ10" s="95">
        <f t="shared" si="20"/>
        <v>0</v>
      </c>
      <c r="BK10" s="95">
        <f t="shared" si="21"/>
        <v>0</v>
      </c>
      <c r="BL10" s="95">
        <f t="shared" si="22"/>
        <v>70</v>
      </c>
      <c r="BM10" s="41">
        <v>595120</v>
      </c>
      <c r="BN10" s="98">
        <f t="shared" si="23"/>
        <v>20</v>
      </c>
      <c r="BO10" s="108">
        <v>581</v>
      </c>
      <c r="BP10" s="98">
        <f t="shared" si="24"/>
        <v>0</v>
      </c>
      <c r="BQ10" s="41">
        <v>767990</v>
      </c>
      <c r="BR10" s="95">
        <f t="shared" si="25"/>
        <v>70</v>
      </c>
      <c r="BS10" s="108">
        <v>5866</v>
      </c>
      <c r="BT10" s="95">
        <f t="shared" si="25"/>
        <v>0</v>
      </c>
      <c r="BU10" s="98">
        <f t="shared" si="50"/>
        <v>0</v>
      </c>
      <c r="BV10" s="95">
        <f t="shared" si="26"/>
        <v>90</v>
      </c>
      <c r="BW10" s="99">
        <f t="shared" si="27"/>
        <v>1</v>
      </c>
      <c r="BX10" s="42">
        <v>142.30000000000001</v>
      </c>
      <c r="BY10" s="50">
        <f t="shared" si="28"/>
        <v>18260.185579676552</v>
      </c>
      <c r="BZ10" s="42"/>
      <c r="CA10" s="98">
        <f t="shared" si="69"/>
        <v>0</v>
      </c>
      <c r="CB10" s="42">
        <v>205886</v>
      </c>
      <c r="CC10" s="98">
        <f t="shared" si="29"/>
        <v>0</v>
      </c>
      <c r="CD10" s="98">
        <f t="shared" si="51"/>
        <v>0</v>
      </c>
      <c r="CE10" s="42">
        <v>40</v>
      </c>
      <c r="CF10" s="103">
        <f t="shared" si="30"/>
        <v>4310</v>
      </c>
      <c r="CG10" s="42">
        <v>39</v>
      </c>
      <c r="CH10" s="103">
        <f t="shared" si="31"/>
        <v>4202.25</v>
      </c>
      <c r="CI10" s="42">
        <v>42</v>
      </c>
      <c r="CJ10" s="103">
        <f t="shared" si="32"/>
        <v>4525.5</v>
      </c>
      <c r="CK10" s="103">
        <f t="shared" si="33"/>
        <v>13037.75</v>
      </c>
      <c r="CL10" s="103">
        <f t="shared" si="34"/>
        <v>107.75</v>
      </c>
      <c r="CM10" s="45"/>
      <c r="CN10" s="42">
        <v>34099</v>
      </c>
      <c r="CO10" s="98">
        <f>IF((CN10-CN9)&lt;0,"0",(CN10-CN9))</f>
        <v>1.5999999999985448</v>
      </c>
      <c r="CP10" s="98">
        <f t="shared" si="52"/>
        <v>3.9039999999964494</v>
      </c>
      <c r="CQ10" s="42">
        <v>34300</v>
      </c>
      <c r="CR10" s="95">
        <f t="shared" si="36"/>
        <v>0</v>
      </c>
      <c r="CS10" s="98">
        <f t="shared" si="53"/>
        <v>0</v>
      </c>
      <c r="CT10" s="42">
        <v>10234</v>
      </c>
      <c r="CU10" s="95">
        <f t="shared" si="37"/>
        <v>0</v>
      </c>
      <c r="CV10" s="95">
        <f t="shared" si="38"/>
        <v>0</v>
      </c>
      <c r="CW10" s="45">
        <v>831923</v>
      </c>
      <c r="CX10" s="95">
        <f t="shared" si="39"/>
        <v>0</v>
      </c>
      <c r="CY10" s="98">
        <f t="shared" si="54"/>
        <v>0</v>
      </c>
      <c r="CZ10" s="42">
        <v>5723.4</v>
      </c>
      <c r="DA10" s="95">
        <f t="shared" si="40"/>
        <v>1</v>
      </c>
      <c r="DB10" s="98">
        <f t="shared" si="55"/>
        <v>2.39</v>
      </c>
      <c r="DC10" s="42">
        <v>7415</v>
      </c>
      <c r="DD10" s="95">
        <f t="shared" si="41"/>
        <v>0</v>
      </c>
      <c r="DE10" s="98">
        <f t="shared" si="56"/>
        <v>0</v>
      </c>
      <c r="DF10" s="42">
        <v>3801.2</v>
      </c>
      <c r="DG10" s="95">
        <f t="shared" si="42"/>
        <v>3.5</v>
      </c>
      <c r="DH10" s="98">
        <f t="shared" si="57"/>
        <v>8.3650000000000002</v>
      </c>
      <c r="DI10" s="42">
        <v>1855.8</v>
      </c>
      <c r="DJ10" s="98">
        <f t="shared" si="43"/>
        <v>0</v>
      </c>
      <c r="DK10" s="98">
        <f t="shared" si="58"/>
        <v>0</v>
      </c>
      <c r="DL10" s="42">
        <v>5078.3999999999996</v>
      </c>
      <c r="DM10" s="98">
        <f t="shared" si="44"/>
        <v>0</v>
      </c>
      <c r="DN10" s="98">
        <f t="shared" si="59"/>
        <v>0</v>
      </c>
      <c r="DO10" s="42">
        <v>4451.7</v>
      </c>
      <c r="DP10" s="98">
        <f t="shared" si="45"/>
        <v>0</v>
      </c>
      <c r="DQ10" s="98">
        <f t="shared" si="60"/>
        <v>0</v>
      </c>
      <c r="DR10" s="42">
        <v>5086.1000000000004</v>
      </c>
      <c r="DS10" s="98">
        <f t="shared" si="46"/>
        <v>0</v>
      </c>
      <c r="DT10" s="98">
        <f t="shared" si="61"/>
        <v>0</v>
      </c>
      <c r="DU10" s="42">
        <v>4320.7</v>
      </c>
      <c r="DV10" s="95">
        <f t="shared" si="47"/>
        <v>0</v>
      </c>
      <c r="DW10" s="98">
        <f t="shared" si="62"/>
        <v>0</v>
      </c>
      <c r="DX10" s="47">
        <v>12732</v>
      </c>
      <c r="DY10" s="98">
        <f t="shared" si="64"/>
        <v>0</v>
      </c>
      <c r="DZ10" s="47">
        <v>61889</v>
      </c>
      <c r="EA10" s="104">
        <v>0</v>
      </c>
      <c r="EB10" s="48">
        <v>15599</v>
      </c>
      <c r="EC10" s="109">
        <f t="shared" si="63"/>
        <v>0</v>
      </c>
      <c r="ED10" s="48">
        <v>24594</v>
      </c>
      <c r="EE10" s="109">
        <f>IF((ED10-ED9)&lt;0,"0",(ED10-ED9))</f>
        <v>0</v>
      </c>
      <c r="EF10" s="48">
        <v>2</v>
      </c>
      <c r="EG10" s="49">
        <v>11</v>
      </c>
      <c r="EH10" s="134">
        <v>1.4999999999999999E-2</v>
      </c>
      <c r="EI10" s="105"/>
      <c r="EJ10" s="48"/>
      <c r="EK10" s="48"/>
    </row>
    <row r="11" spans="1:141" s="26" customFormat="1" ht="15.75" thickBot="1" x14ac:dyDescent="0.25">
      <c r="A11" s="27">
        <v>44020</v>
      </c>
      <c r="B11" s="42">
        <v>5241665</v>
      </c>
      <c r="C11" s="92">
        <f t="shared" si="0"/>
        <v>3638</v>
      </c>
      <c r="D11" s="42">
        <v>4590383</v>
      </c>
      <c r="E11" s="92">
        <f t="shared" si="1"/>
        <v>3379</v>
      </c>
      <c r="F11" s="36">
        <f t="shared" si="49"/>
        <v>0.92880703683342491</v>
      </c>
      <c r="G11" s="41">
        <v>196</v>
      </c>
      <c r="H11" s="41">
        <v>286</v>
      </c>
      <c r="I11" s="52">
        <v>285707</v>
      </c>
      <c r="J11" s="92">
        <f t="shared" si="65"/>
        <v>0</v>
      </c>
      <c r="K11" s="43">
        <v>750</v>
      </c>
      <c r="L11" s="92">
        <f t="shared" si="66"/>
        <v>0</v>
      </c>
      <c r="M11" s="42">
        <v>629908</v>
      </c>
      <c r="N11" s="92">
        <f t="shared" si="67"/>
        <v>0</v>
      </c>
      <c r="O11" s="42">
        <v>967</v>
      </c>
      <c r="P11" s="92">
        <f t="shared" si="68"/>
        <v>0</v>
      </c>
      <c r="Q11" s="42">
        <v>2530944</v>
      </c>
      <c r="R11" s="92">
        <f t="shared" si="2"/>
        <v>87</v>
      </c>
      <c r="S11" s="42">
        <v>2187542</v>
      </c>
      <c r="T11" s="92">
        <f t="shared" si="3"/>
        <v>3</v>
      </c>
      <c r="U11" s="42">
        <v>92737</v>
      </c>
      <c r="V11" s="92">
        <f t="shared" si="4"/>
        <v>73</v>
      </c>
      <c r="W11" s="41">
        <v>100</v>
      </c>
      <c r="X11" s="45">
        <v>0</v>
      </c>
      <c r="Y11" s="42">
        <v>152258</v>
      </c>
      <c r="Z11" s="92">
        <f t="shared" si="5"/>
        <v>0</v>
      </c>
      <c r="AA11" s="112">
        <v>37883</v>
      </c>
      <c r="AB11" s="95">
        <f t="shared" si="6"/>
        <v>6</v>
      </c>
      <c r="AC11" s="42">
        <v>1060</v>
      </c>
      <c r="AD11" s="92">
        <f>IF((AC11-AC10)&lt;0,"0",(AC11-AC10))</f>
        <v>0</v>
      </c>
      <c r="AE11" s="41">
        <v>3689</v>
      </c>
      <c r="AF11" s="92">
        <f t="shared" si="7"/>
        <v>0</v>
      </c>
      <c r="AG11" s="25"/>
      <c r="AH11" s="25"/>
      <c r="AI11" s="41">
        <v>570970</v>
      </c>
      <c r="AJ11" s="92">
        <f>IF((AI11-AI10)&lt;0,"0",(AI11-AI10))</f>
        <v>20</v>
      </c>
      <c r="AK11" s="108"/>
      <c r="AL11" s="92"/>
      <c r="AM11" s="41">
        <v>52021</v>
      </c>
      <c r="AN11" s="92">
        <f t="shared" si="9"/>
        <v>0</v>
      </c>
      <c r="AO11" s="42">
        <v>8863</v>
      </c>
      <c r="AP11" s="92">
        <f t="shared" si="10"/>
        <v>0</v>
      </c>
      <c r="AQ11" s="42">
        <v>10549</v>
      </c>
      <c r="AR11" s="92">
        <f t="shared" si="11"/>
        <v>0</v>
      </c>
      <c r="AS11" s="41">
        <v>14481</v>
      </c>
      <c r="AT11" s="92">
        <f t="shared" si="12"/>
        <v>0</v>
      </c>
      <c r="AU11" s="45">
        <v>19349</v>
      </c>
      <c r="AV11" s="92">
        <f t="shared" si="13"/>
        <v>0</v>
      </c>
      <c r="AW11" s="45">
        <v>20660</v>
      </c>
      <c r="AX11" s="98">
        <f t="shared" si="14"/>
        <v>0</v>
      </c>
      <c r="AY11" s="42">
        <v>13831</v>
      </c>
      <c r="AZ11" s="98">
        <f t="shared" si="15"/>
        <v>0</v>
      </c>
      <c r="BA11" s="42">
        <v>6153</v>
      </c>
      <c r="BB11" s="98">
        <f>IF((BA11-BA10)&lt;0,"0",(BA11-BA10))</f>
        <v>0</v>
      </c>
      <c r="BC11" s="41">
        <v>26343</v>
      </c>
      <c r="BD11" s="98">
        <f t="shared" si="17"/>
        <v>0</v>
      </c>
      <c r="BE11" s="41">
        <v>1112</v>
      </c>
      <c r="BF11" s="95">
        <f>IF((BE11-BE10)&lt;0,"0",(BE11-BE10))</f>
        <v>0</v>
      </c>
      <c r="BG11" s="41">
        <v>4303</v>
      </c>
      <c r="BH11" s="95">
        <f>IF((BG11-BG10)&lt;0,"0",(BG11-BG10))</f>
        <v>0</v>
      </c>
      <c r="BI11" s="42">
        <v>3636</v>
      </c>
      <c r="BJ11" s="95">
        <f t="shared" si="20"/>
        <v>0</v>
      </c>
      <c r="BK11" s="95">
        <f t="shared" si="21"/>
        <v>0</v>
      </c>
      <c r="BL11" s="95">
        <f t="shared" si="22"/>
        <v>20</v>
      </c>
      <c r="BM11" s="41">
        <v>595140</v>
      </c>
      <c r="BN11" s="98">
        <f t="shared" si="23"/>
        <v>20</v>
      </c>
      <c r="BO11" s="108">
        <v>581</v>
      </c>
      <c r="BP11" s="98">
        <f t="shared" si="24"/>
        <v>0</v>
      </c>
      <c r="BQ11" s="41">
        <v>768010</v>
      </c>
      <c r="BR11" s="95">
        <f t="shared" si="25"/>
        <v>20</v>
      </c>
      <c r="BS11" s="108">
        <v>5866</v>
      </c>
      <c r="BT11" s="95">
        <f t="shared" si="25"/>
        <v>0</v>
      </c>
      <c r="BU11" s="98">
        <f t="shared" si="50"/>
        <v>0</v>
      </c>
      <c r="BV11" s="95">
        <f>SUM(BN11, BR11)</f>
        <v>40</v>
      </c>
      <c r="BW11" s="99">
        <f t="shared" si="27"/>
        <v>0</v>
      </c>
      <c r="BX11" s="42">
        <v>142.30000000000001</v>
      </c>
      <c r="BY11" s="50">
        <f t="shared" si="28"/>
        <v>18260.185579676552</v>
      </c>
      <c r="BZ11" s="42"/>
      <c r="CA11" s="98">
        <f t="shared" si="69"/>
        <v>0</v>
      </c>
      <c r="CB11" s="42">
        <v>205886</v>
      </c>
      <c r="CC11" s="98">
        <f t="shared" si="29"/>
        <v>0</v>
      </c>
      <c r="CD11" s="98">
        <f t="shared" si="51"/>
        <v>0</v>
      </c>
      <c r="CE11" s="42">
        <v>40</v>
      </c>
      <c r="CF11" s="103">
        <f t="shared" si="30"/>
        <v>4310</v>
      </c>
      <c r="CG11" s="42">
        <v>39</v>
      </c>
      <c r="CH11" s="103">
        <f t="shared" si="31"/>
        <v>4202.25</v>
      </c>
      <c r="CI11" s="42">
        <v>42</v>
      </c>
      <c r="CJ11" s="103">
        <f t="shared" si="32"/>
        <v>4525.5</v>
      </c>
      <c r="CK11" s="103">
        <f t="shared" si="33"/>
        <v>13037.75</v>
      </c>
      <c r="CL11" s="103">
        <f t="shared" si="34"/>
        <v>0</v>
      </c>
      <c r="CM11" s="45"/>
      <c r="CN11" s="42">
        <v>34099.699999999997</v>
      </c>
      <c r="CO11" s="98">
        <f>IF((CN11-CN10)&lt;0,"0",(CN11-CN10))</f>
        <v>0.69999999999708962</v>
      </c>
      <c r="CP11" s="98">
        <f t="shared" si="52"/>
        <v>1.7079999999928985</v>
      </c>
      <c r="CQ11" s="42">
        <v>34300</v>
      </c>
      <c r="CR11" s="95">
        <f t="shared" si="36"/>
        <v>0</v>
      </c>
      <c r="CS11" s="98">
        <f t="shared" si="53"/>
        <v>0</v>
      </c>
      <c r="CT11" s="42">
        <v>10234</v>
      </c>
      <c r="CU11" s="95">
        <f t="shared" si="37"/>
        <v>0</v>
      </c>
      <c r="CV11" s="95">
        <f t="shared" si="38"/>
        <v>0</v>
      </c>
      <c r="CW11" s="45">
        <v>831923</v>
      </c>
      <c r="CX11" s="95">
        <f t="shared" si="39"/>
        <v>0</v>
      </c>
      <c r="CY11" s="98">
        <f t="shared" si="54"/>
        <v>0</v>
      </c>
      <c r="CZ11" s="42">
        <v>5723.6</v>
      </c>
      <c r="DA11" s="95">
        <f t="shared" si="40"/>
        <v>0.2000000000007276</v>
      </c>
      <c r="DB11" s="98">
        <f t="shared" si="55"/>
        <v>0.47800000000173898</v>
      </c>
      <c r="DC11" s="42">
        <v>7415</v>
      </c>
      <c r="DD11" s="95">
        <f t="shared" si="41"/>
        <v>0</v>
      </c>
      <c r="DE11" s="98">
        <f t="shared" si="56"/>
        <v>0</v>
      </c>
      <c r="DF11" s="42">
        <v>3805.1</v>
      </c>
      <c r="DG11" s="95">
        <f t="shared" si="42"/>
        <v>3.9000000000000909</v>
      </c>
      <c r="DH11" s="98">
        <f t="shared" si="57"/>
        <v>9.3210000000002182</v>
      </c>
      <c r="DI11" s="42">
        <v>1855.8</v>
      </c>
      <c r="DJ11" s="98">
        <f t="shared" si="43"/>
        <v>0</v>
      </c>
      <c r="DK11" s="98">
        <f t="shared" si="58"/>
        <v>0</v>
      </c>
      <c r="DL11" s="42">
        <v>5078.3999999999996</v>
      </c>
      <c r="DM11" s="98">
        <f t="shared" si="44"/>
        <v>0</v>
      </c>
      <c r="DN11" s="98">
        <f t="shared" si="59"/>
        <v>0</v>
      </c>
      <c r="DO11" s="42">
        <v>4451.7</v>
      </c>
      <c r="DP11" s="98">
        <f t="shared" si="45"/>
        <v>0</v>
      </c>
      <c r="DQ11" s="98">
        <f t="shared" si="60"/>
        <v>0</v>
      </c>
      <c r="DR11" s="42">
        <v>5086.1000000000004</v>
      </c>
      <c r="DS11" s="98">
        <f t="shared" si="46"/>
        <v>0</v>
      </c>
      <c r="DT11" s="98">
        <f t="shared" si="61"/>
        <v>0</v>
      </c>
      <c r="DU11" s="42">
        <v>4320.7</v>
      </c>
      <c r="DV11" s="95">
        <f t="shared" si="47"/>
        <v>0</v>
      </c>
      <c r="DW11" s="98">
        <f t="shared" si="62"/>
        <v>0</v>
      </c>
      <c r="DX11" s="47">
        <v>12732</v>
      </c>
      <c r="DY11" s="98">
        <f t="shared" si="64"/>
        <v>0</v>
      </c>
      <c r="DZ11" s="47">
        <v>61889</v>
      </c>
      <c r="EA11" s="104">
        <v>0</v>
      </c>
      <c r="EB11" s="48">
        <v>15599</v>
      </c>
      <c r="EC11" s="109">
        <f t="shared" si="63"/>
        <v>0</v>
      </c>
      <c r="ED11" s="48">
        <v>24594</v>
      </c>
      <c r="EE11" s="109">
        <f t="shared" si="48"/>
        <v>0</v>
      </c>
      <c r="EF11" s="48">
        <v>2</v>
      </c>
      <c r="EG11" s="49">
        <v>11</v>
      </c>
      <c r="EH11" s="134">
        <v>1.4999999999999999E-2</v>
      </c>
      <c r="EI11" s="105"/>
      <c r="EJ11" s="48"/>
      <c r="EK11" s="48"/>
    </row>
    <row r="12" spans="1:141" s="26" customFormat="1" ht="15.75" thickBot="1" x14ac:dyDescent="0.25">
      <c r="A12" s="27">
        <v>44021</v>
      </c>
      <c r="B12" s="42">
        <v>5245556</v>
      </c>
      <c r="C12" s="92">
        <f t="shared" si="0"/>
        <v>3891</v>
      </c>
      <c r="D12" s="42">
        <v>4593929</v>
      </c>
      <c r="E12" s="92">
        <f t="shared" si="1"/>
        <v>3546</v>
      </c>
      <c r="F12" s="36">
        <f t="shared" si="49"/>
        <v>0.91133384734001543</v>
      </c>
      <c r="G12" s="41">
        <v>200</v>
      </c>
      <c r="H12" s="41">
        <v>286</v>
      </c>
      <c r="I12" s="52">
        <v>285707</v>
      </c>
      <c r="J12" s="92">
        <f t="shared" si="65"/>
        <v>0</v>
      </c>
      <c r="K12" s="43">
        <v>750</v>
      </c>
      <c r="L12" s="92">
        <f t="shared" si="66"/>
        <v>0</v>
      </c>
      <c r="M12" s="42">
        <v>629908</v>
      </c>
      <c r="N12" s="92">
        <f t="shared" si="67"/>
        <v>0</v>
      </c>
      <c r="O12" s="42">
        <v>967</v>
      </c>
      <c r="P12" s="92">
        <f t="shared" si="68"/>
        <v>0</v>
      </c>
      <c r="Q12" s="42">
        <v>2531039</v>
      </c>
      <c r="R12" s="92">
        <f t="shared" si="2"/>
        <v>95</v>
      </c>
      <c r="S12" s="42">
        <v>2187542</v>
      </c>
      <c r="T12" s="92">
        <f>IF((S12-S11)&lt;0,"0",(S12-S11))</f>
        <v>0</v>
      </c>
      <c r="U12" s="42">
        <v>92800</v>
      </c>
      <c r="V12" s="92">
        <f t="shared" si="4"/>
        <v>63</v>
      </c>
      <c r="W12" s="41">
        <v>100</v>
      </c>
      <c r="X12" s="45">
        <v>0</v>
      </c>
      <c r="Y12" s="42">
        <v>152258</v>
      </c>
      <c r="Z12" s="92">
        <f t="shared" si="5"/>
        <v>0</v>
      </c>
      <c r="AA12" s="112">
        <v>37893</v>
      </c>
      <c r="AB12" s="95">
        <f t="shared" si="6"/>
        <v>10</v>
      </c>
      <c r="AC12" s="42">
        <v>1060</v>
      </c>
      <c r="AD12" s="92">
        <f t="shared" si="7"/>
        <v>0</v>
      </c>
      <c r="AE12" s="41">
        <v>3689</v>
      </c>
      <c r="AF12" s="92">
        <f t="shared" si="7"/>
        <v>0</v>
      </c>
      <c r="AG12" s="25"/>
      <c r="AH12" s="25"/>
      <c r="AI12" s="41">
        <v>571040</v>
      </c>
      <c r="AJ12" s="92">
        <f t="shared" si="8"/>
        <v>70</v>
      </c>
      <c r="AK12" s="108"/>
      <c r="AL12" s="92"/>
      <c r="AM12" s="41">
        <v>52021</v>
      </c>
      <c r="AN12" s="92">
        <f t="shared" si="9"/>
        <v>0</v>
      </c>
      <c r="AO12" s="42">
        <v>8866</v>
      </c>
      <c r="AP12" s="92">
        <f t="shared" si="10"/>
        <v>3</v>
      </c>
      <c r="AQ12" s="42">
        <v>10550</v>
      </c>
      <c r="AR12" s="92">
        <f t="shared" si="11"/>
        <v>1</v>
      </c>
      <c r="AS12" s="41">
        <v>14481</v>
      </c>
      <c r="AT12" s="92">
        <f t="shared" si="12"/>
        <v>0</v>
      </c>
      <c r="AU12" s="45">
        <v>19349</v>
      </c>
      <c r="AV12" s="92">
        <f t="shared" si="13"/>
        <v>0</v>
      </c>
      <c r="AW12" s="45">
        <v>20660</v>
      </c>
      <c r="AX12" s="98">
        <f t="shared" si="14"/>
        <v>0</v>
      </c>
      <c r="AY12" s="42">
        <v>13831</v>
      </c>
      <c r="AZ12" s="98">
        <f t="shared" si="15"/>
        <v>0</v>
      </c>
      <c r="BA12" s="42">
        <v>6153</v>
      </c>
      <c r="BB12" s="98">
        <f t="shared" si="16"/>
        <v>0</v>
      </c>
      <c r="BC12" s="41">
        <v>26343</v>
      </c>
      <c r="BD12" s="98">
        <f t="shared" si="17"/>
        <v>0</v>
      </c>
      <c r="BE12" s="41">
        <v>1112</v>
      </c>
      <c r="BF12" s="95">
        <f>IF((BE12-BE11)&lt;0,"0",(BE12-BE11))</f>
        <v>0</v>
      </c>
      <c r="BG12" s="41">
        <v>4303</v>
      </c>
      <c r="BH12" s="95">
        <f t="shared" si="19"/>
        <v>0</v>
      </c>
      <c r="BI12" s="42">
        <v>3636</v>
      </c>
      <c r="BJ12" s="95">
        <f t="shared" si="20"/>
        <v>0</v>
      </c>
      <c r="BK12" s="95">
        <f t="shared" si="21"/>
        <v>0</v>
      </c>
      <c r="BL12" s="95">
        <f t="shared" si="22"/>
        <v>70</v>
      </c>
      <c r="BM12" s="42">
        <v>595160</v>
      </c>
      <c r="BN12" s="98">
        <f t="shared" si="23"/>
        <v>20</v>
      </c>
      <c r="BO12" s="108">
        <v>581</v>
      </c>
      <c r="BP12" s="98">
        <f t="shared" si="24"/>
        <v>0</v>
      </c>
      <c r="BQ12" s="41">
        <v>768080</v>
      </c>
      <c r="BR12" s="95">
        <f t="shared" si="25"/>
        <v>70</v>
      </c>
      <c r="BS12" s="108">
        <v>5866</v>
      </c>
      <c r="BT12" s="95">
        <v>0</v>
      </c>
      <c r="BU12" s="98">
        <f t="shared" si="50"/>
        <v>0</v>
      </c>
      <c r="BV12" s="95">
        <f t="shared" si="26"/>
        <v>90</v>
      </c>
      <c r="BW12" s="99">
        <f t="shared" si="27"/>
        <v>4</v>
      </c>
      <c r="BX12" s="42">
        <v>142.30000000000001</v>
      </c>
      <c r="BY12" s="50">
        <f t="shared" si="28"/>
        <v>18260.185579676552</v>
      </c>
      <c r="BZ12" s="42"/>
      <c r="CA12" s="98">
        <f t="shared" si="69"/>
        <v>0</v>
      </c>
      <c r="CB12" s="42">
        <v>205898</v>
      </c>
      <c r="CC12" s="98">
        <f t="shared" si="29"/>
        <v>12</v>
      </c>
      <c r="CD12" s="98">
        <f t="shared" si="51"/>
        <v>68.52</v>
      </c>
      <c r="CE12" s="42">
        <v>40</v>
      </c>
      <c r="CF12" s="103">
        <f t="shared" si="30"/>
        <v>4310</v>
      </c>
      <c r="CG12" s="42">
        <v>39</v>
      </c>
      <c r="CH12" s="103">
        <f t="shared" si="31"/>
        <v>4202.25</v>
      </c>
      <c r="CI12" s="42">
        <v>40</v>
      </c>
      <c r="CJ12" s="103">
        <f t="shared" si="32"/>
        <v>4310</v>
      </c>
      <c r="CK12" s="103">
        <f t="shared" si="33"/>
        <v>12822.25</v>
      </c>
      <c r="CL12" s="103">
        <f t="shared" si="34"/>
        <v>215.5</v>
      </c>
      <c r="CM12" s="45"/>
      <c r="CN12" s="42">
        <v>34100.29</v>
      </c>
      <c r="CO12" s="98">
        <f>IF((CN12-CN11)&lt;0,"0",(CN12-CN11))</f>
        <v>0.5900000000037835</v>
      </c>
      <c r="CP12" s="98">
        <f t="shared" si="52"/>
        <v>1.4396000000092317</v>
      </c>
      <c r="CQ12" s="42">
        <v>34300</v>
      </c>
      <c r="CR12" s="95">
        <f t="shared" si="36"/>
        <v>0</v>
      </c>
      <c r="CS12" s="98">
        <f t="shared" si="53"/>
        <v>0</v>
      </c>
      <c r="CT12" s="42">
        <v>10234</v>
      </c>
      <c r="CU12" s="95">
        <f t="shared" si="37"/>
        <v>0</v>
      </c>
      <c r="CV12" s="95">
        <f t="shared" si="38"/>
        <v>0</v>
      </c>
      <c r="CW12" s="45">
        <v>831935</v>
      </c>
      <c r="CX12" s="95">
        <f t="shared" si="39"/>
        <v>12</v>
      </c>
      <c r="CY12" s="98"/>
      <c r="CZ12" s="42">
        <v>5724.2</v>
      </c>
      <c r="DA12" s="95">
        <f t="shared" si="40"/>
        <v>0.5999999999994543</v>
      </c>
      <c r="DB12" s="98">
        <f t="shared" si="55"/>
        <v>1.4339999999986959</v>
      </c>
      <c r="DC12" s="42">
        <v>7415</v>
      </c>
      <c r="DD12" s="95">
        <f t="shared" si="41"/>
        <v>0</v>
      </c>
      <c r="DE12" s="98">
        <f t="shared" si="56"/>
        <v>0</v>
      </c>
      <c r="DF12" s="42">
        <v>3810.7</v>
      </c>
      <c r="DG12" s="95">
        <f t="shared" si="42"/>
        <v>5.5999999999999091</v>
      </c>
      <c r="DH12" s="98">
        <f t="shared" si="57"/>
        <v>13.383999999999784</v>
      </c>
      <c r="DI12" s="42">
        <v>1855.7</v>
      </c>
      <c r="DJ12" s="98" t="str">
        <f t="shared" si="43"/>
        <v>0</v>
      </c>
      <c r="DK12" s="98">
        <f t="shared" si="58"/>
        <v>0</v>
      </c>
      <c r="DL12" s="42">
        <v>5078.3999999999996</v>
      </c>
      <c r="DM12" s="98">
        <f t="shared" si="44"/>
        <v>0</v>
      </c>
      <c r="DN12" s="98">
        <f t="shared" si="59"/>
        <v>0</v>
      </c>
      <c r="DO12" s="42">
        <v>4451.7</v>
      </c>
      <c r="DP12" s="98">
        <f t="shared" si="45"/>
        <v>0</v>
      </c>
      <c r="DQ12" s="98">
        <f t="shared" si="60"/>
        <v>0</v>
      </c>
      <c r="DR12" s="42">
        <v>5086.1000000000004</v>
      </c>
      <c r="DS12" s="98">
        <f t="shared" si="46"/>
        <v>0</v>
      </c>
      <c r="DT12" s="98">
        <f t="shared" si="61"/>
        <v>0</v>
      </c>
      <c r="DU12" s="42">
        <v>4320.7</v>
      </c>
      <c r="DV12" s="95">
        <f t="shared" si="47"/>
        <v>0</v>
      </c>
      <c r="DW12" s="98">
        <f t="shared" si="62"/>
        <v>0</v>
      </c>
      <c r="DX12" s="47">
        <v>12732</v>
      </c>
      <c r="DY12" s="98">
        <f t="shared" si="64"/>
        <v>0</v>
      </c>
      <c r="DZ12" s="47">
        <v>61889</v>
      </c>
      <c r="EA12" s="104">
        <v>0</v>
      </c>
      <c r="EB12" s="48">
        <v>15599</v>
      </c>
      <c r="EC12" s="109">
        <f t="shared" si="63"/>
        <v>0</v>
      </c>
      <c r="ED12" s="48">
        <v>24594</v>
      </c>
      <c r="EE12" s="109">
        <f>IF((ED12-ED11)&lt;0,"0",(ED12-ED11))</f>
        <v>0</v>
      </c>
      <c r="EF12" s="48">
        <v>2</v>
      </c>
      <c r="EG12" s="49">
        <v>11</v>
      </c>
      <c r="EH12" s="134">
        <v>1.4999999999999999E-2</v>
      </c>
      <c r="EI12" s="105"/>
      <c r="EJ12" s="48"/>
      <c r="EK12" s="48"/>
    </row>
    <row r="13" spans="1:141" s="26" customFormat="1" ht="15.75" thickBot="1" x14ac:dyDescent="0.25">
      <c r="A13" s="27">
        <v>44022</v>
      </c>
      <c r="B13" s="42">
        <v>5249209</v>
      </c>
      <c r="C13" s="92">
        <f t="shared" si="0"/>
        <v>3653</v>
      </c>
      <c r="D13" s="42">
        <v>4597254</v>
      </c>
      <c r="E13" s="92">
        <f t="shared" si="1"/>
        <v>3325</v>
      </c>
      <c r="F13" s="36">
        <f t="shared" si="49"/>
        <v>0.91021078565562552</v>
      </c>
      <c r="G13" s="41">
        <v>200</v>
      </c>
      <c r="H13" s="41">
        <v>286</v>
      </c>
      <c r="I13" s="52">
        <v>285707</v>
      </c>
      <c r="J13" s="92">
        <f t="shared" si="65"/>
        <v>0</v>
      </c>
      <c r="K13" s="43">
        <v>750</v>
      </c>
      <c r="L13" s="92">
        <f t="shared" si="66"/>
        <v>0</v>
      </c>
      <c r="M13" s="42">
        <v>629908</v>
      </c>
      <c r="N13" s="92">
        <f t="shared" si="67"/>
        <v>0</v>
      </c>
      <c r="O13" s="42">
        <v>967</v>
      </c>
      <c r="P13" s="92">
        <f t="shared" si="68"/>
        <v>0</v>
      </c>
      <c r="Q13" s="42">
        <v>2531062</v>
      </c>
      <c r="R13" s="92">
        <f t="shared" si="2"/>
        <v>23</v>
      </c>
      <c r="S13" s="42">
        <v>2187586</v>
      </c>
      <c r="T13" s="92">
        <f t="shared" si="3"/>
        <v>44</v>
      </c>
      <c r="U13" s="42">
        <v>92869</v>
      </c>
      <c r="V13" s="92">
        <f t="shared" si="4"/>
        <v>69</v>
      </c>
      <c r="W13" s="41">
        <v>100</v>
      </c>
      <c r="X13" s="45">
        <v>0</v>
      </c>
      <c r="Y13" s="42">
        <v>152258</v>
      </c>
      <c r="Z13" s="92">
        <f t="shared" si="5"/>
        <v>0</v>
      </c>
      <c r="AA13" s="41">
        <v>37897</v>
      </c>
      <c r="AB13" s="95">
        <f>IF((AA13-AA12)&lt;0,"0",(AA13-AA12))</f>
        <v>4</v>
      </c>
      <c r="AC13" s="42">
        <v>1060</v>
      </c>
      <c r="AD13" s="92">
        <f t="shared" si="7"/>
        <v>0</v>
      </c>
      <c r="AE13" s="41">
        <v>3689</v>
      </c>
      <c r="AF13" s="92">
        <f t="shared" si="7"/>
        <v>0</v>
      </c>
      <c r="AG13" s="25"/>
      <c r="AH13" s="25"/>
      <c r="AI13" s="41">
        <v>571050</v>
      </c>
      <c r="AJ13" s="92">
        <f t="shared" si="8"/>
        <v>10</v>
      </c>
      <c r="AK13" s="108"/>
      <c r="AL13" s="92"/>
      <c r="AM13" s="41">
        <v>52022</v>
      </c>
      <c r="AN13" s="92">
        <f t="shared" si="9"/>
        <v>1</v>
      </c>
      <c r="AO13" s="42">
        <v>8866</v>
      </c>
      <c r="AP13" s="92">
        <f t="shared" si="10"/>
        <v>0</v>
      </c>
      <c r="AQ13" s="42">
        <v>10550</v>
      </c>
      <c r="AR13" s="92">
        <f t="shared" si="11"/>
        <v>0</v>
      </c>
      <c r="AS13" s="41">
        <v>14481</v>
      </c>
      <c r="AT13" s="92">
        <f>IF((AS13-AS12)&lt;0,"0",(AS13-AS12))</f>
        <v>0</v>
      </c>
      <c r="AU13" s="45">
        <v>19349</v>
      </c>
      <c r="AV13" s="92">
        <f t="shared" si="13"/>
        <v>0</v>
      </c>
      <c r="AW13" s="45">
        <v>20660</v>
      </c>
      <c r="AX13" s="98">
        <f t="shared" si="14"/>
        <v>0</v>
      </c>
      <c r="AY13" s="42">
        <v>13831</v>
      </c>
      <c r="AZ13" s="98">
        <f t="shared" si="15"/>
        <v>0</v>
      </c>
      <c r="BA13" s="42">
        <v>6153</v>
      </c>
      <c r="BB13" s="98">
        <f t="shared" si="16"/>
        <v>0</v>
      </c>
      <c r="BC13" s="42">
        <v>26343</v>
      </c>
      <c r="BD13" s="98">
        <f t="shared" si="17"/>
        <v>0</v>
      </c>
      <c r="BE13" s="41">
        <v>1112</v>
      </c>
      <c r="BF13" s="95">
        <f t="shared" si="18"/>
        <v>0</v>
      </c>
      <c r="BG13" s="41">
        <v>4303</v>
      </c>
      <c r="BH13" s="95">
        <f>IF((BG13-BG12)&lt;0,"0",(BG13-BG12))</f>
        <v>0</v>
      </c>
      <c r="BI13" s="42">
        <v>3636</v>
      </c>
      <c r="BJ13" s="95">
        <f t="shared" si="20"/>
        <v>0</v>
      </c>
      <c r="BK13" s="95">
        <f t="shared" si="21"/>
        <v>0</v>
      </c>
      <c r="BL13" s="95">
        <f t="shared" si="22"/>
        <v>10</v>
      </c>
      <c r="BM13" s="42">
        <v>595190</v>
      </c>
      <c r="BN13" s="98">
        <f t="shared" si="23"/>
        <v>30</v>
      </c>
      <c r="BO13" s="108">
        <v>581</v>
      </c>
      <c r="BP13" s="98">
        <f t="shared" si="24"/>
        <v>0</v>
      </c>
      <c r="BQ13" s="41">
        <v>768090</v>
      </c>
      <c r="BR13" s="95">
        <f t="shared" si="25"/>
        <v>10</v>
      </c>
      <c r="BS13" s="108">
        <v>5866</v>
      </c>
      <c r="BT13" s="95">
        <f t="shared" si="25"/>
        <v>0</v>
      </c>
      <c r="BU13" s="98">
        <f t="shared" ref="BU13:BU19" si="70">IF((BR13-AJ13)&lt;0,"0",(BR13-AJ13))</f>
        <v>0</v>
      </c>
      <c r="BV13" s="95">
        <f t="shared" si="26"/>
        <v>40</v>
      </c>
      <c r="BW13" s="99">
        <f t="shared" si="27"/>
        <v>1</v>
      </c>
      <c r="BX13" s="42">
        <v>142.30000000000001</v>
      </c>
      <c r="BY13" s="50">
        <f t="shared" si="28"/>
        <v>18260.185579676552</v>
      </c>
      <c r="BZ13" s="113"/>
      <c r="CA13" s="98">
        <f t="shared" si="69"/>
        <v>0</v>
      </c>
      <c r="CB13" s="42">
        <v>205898</v>
      </c>
      <c r="CC13" s="98">
        <f t="shared" si="29"/>
        <v>0</v>
      </c>
      <c r="CD13" s="98">
        <f t="shared" si="51"/>
        <v>0</v>
      </c>
      <c r="CE13" s="42">
        <v>40</v>
      </c>
      <c r="CF13" s="103">
        <f t="shared" si="30"/>
        <v>4310</v>
      </c>
      <c r="CG13" s="42">
        <v>39</v>
      </c>
      <c r="CH13" s="103">
        <f t="shared" si="31"/>
        <v>4202.25</v>
      </c>
      <c r="CI13" s="42">
        <v>40</v>
      </c>
      <c r="CJ13" s="103">
        <f t="shared" si="32"/>
        <v>4310</v>
      </c>
      <c r="CK13" s="103">
        <f t="shared" si="33"/>
        <v>12822.25</v>
      </c>
      <c r="CL13" s="103">
        <f t="shared" si="34"/>
        <v>0</v>
      </c>
      <c r="CM13" s="45"/>
      <c r="CN13" s="42">
        <v>34100.29</v>
      </c>
      <c r="CO13" s="98">
        <f t="shared" si="35"/>
        <v>0</v>
      </c>
      <c r="CP13" s="98">
        <f t="shared" si="52"/>
        <v>0</v>
      </c>
      <c r="CQ13" s="42">
        <v>34300</v>
      </c>
      <c r="CR13" s="95">
        <f t="shared" si="36"/>
        <v>0</v>
      </c>
      <c r="CS13" s="98">
        <f t="shared" si="53"/>
        <v>0</v>
      </c>
      <c r="CT13" s="42">
        <v>10234</v>
      </c>
      <c r="CU13" s="95">
        <f t="shared" si="37"/>
        <v>0</v>
      </c>
      <c r="CV13" s="95">
        <f t="shared" si="38"/>
        <v>0</v>
      </c>
      <c r="CW13" s="45">
        <v>831923</v>
      </c>
      <c r="CX13" s="95" t="str">
        <f t="shared" si="39"/>
        <v>0</v>
      </c>
      <c r="CY13" s="98">
        <f t="shared" si="54"/>
        <v>0</v>
      </c>
      <c r="CZ13" s="42">
        <v>5724.2</v>
      </c>
      <c r="DA13" s="95">
        <f t="shared" si="40"/>
        <v>0</v>
      </c>
      <c r="DB13" s="98">
        <f t="shared" si="55"/>
        <v>0</v>
      </c>
      <c r="DC13" s="42">
        <v>7415</v>
      </c>
      <c r="DD13" s="95">
        <f t="shared" si="41"/>
        <v>0</v>
      </c>
      <c r="DE13" s="98">
        <f t="shared" si="56"/>
        <v>0</v>
      </c>
      <c r="DF13" s="42">
        <v>3812</v>
      </c>
      <c r="DG13" s="95">
        <f t="shared" si="42"/>
        <v>1.3000000000001819</v>
      </c>
      <c r="DH13" s="98">
        <f t="shared" si="57"/>
        <v>3.107000000000435</v>
      </c>
      <c r="DI13" s="42">
        <v>1855.7</v>
      </c>
      <c r="DJ13" s="98">
        <f t="shared" si="43"/>
        <v>0</v>
      </c>
      <c r="DK13" s="98">
        <f t="shared" si="58"/>
        <v>0</v>
      </c>
      <c r="DL13" s="42">
        <v>5078.3999999999996</v>
      </c>
      <c r="DM13" s="98">
        <f t="shared" si="44"/>
        <v>0</v>
      </c>
      <c r="DN13" s="98">
        <f t="shared" si="59"/>
        <v>0</v>
      </c>
      <c r="DO13" s="42">
        <v>4451.7</v>
      </c>
      <c r="DP13" s="98">
        <f t="shared" si="45"/>
        <v>0</v>
      </c>
      <c r="DQ13" s="98">
        <f t="shared" si="60"/>
        <v>0</v>
      </c>
      <c r="DR13" s="42">
        <v>5086.1000000000004</v>
      </c>
      <c r="DS13" s="98">
        <f t="shared" si="46"/>
        <v>0</v>
      </c>
      <c r="DT13" s="98">
        <f t="shared" si="61"/>
        <v>0</v>
      </c>
      <c r="DU13" s="42">
        <v>4320.7</v>
      </c>
      <c r="DV13" s="95">
        <f t="shared" si="47"/>
        <v>0</v>
      </c>
      <c r="DW13" s="98">
        <f t="shared" si="62"/>
        <v>0</v>
      </c>
      <c r="DX13" s="47">
        <v>12732</v>
      </c>
      <c r="DY13" s="98">
        <f t="shared" si="64"/>
        <v>0</v>
      </c>
      <c r="DZ13" s="47">
        <v>61889</v>
      </c>
      <c r="EA13" s="104">
        <v>0</v>
      </c>
      <c r="EB13" s="48">
        <v>15599</v>
      </c>
      <c r="EC13" s="109">
        <f t="shared" si="63"/>
        <v>0</v>
      </c>
      <c r="ED13" s="48">
        <v>24594</v>
      </c>
      <c r="EE13" s="109">
        <f t="shared" si="48"/>
        <v>0</v>
      </c>
      <c r="EF13" s="48">
        <v>2</v>
      </c>
      <c r="EG13" s="49">
        <v>11</v>
      </c>
      <c r="EH13" s="134">
        <v>1.4999999999999999E-2</v>
      </c>
      <c r="EI13" s="105"/>
      <c r="EJ13" s="48"/>
      <c r="EK13" s="48"/>
    </row>
    <row r="14" spans="1:141" s="26" customFormat="1" ht="15.75" thickBot="1" x14ac:dyDescent="0.25">
      <c r="A14" s="27">
        <v>44023</v>
      </c>
      <c r="B14" s="42">
        <v>5253185</v>
      </c>
      <c r="C14" s="92">
        <f t="shared" si="0"/>
        <v>3976</v>
      </c>
      <c r="D14" s="42">
        <v>4600894</v>
      </c>
      <c r="E14" s="92">
        <f t="shared" si="1"/>
        <v>3640</v>
      </c>
      <c r="F14" s="36">
        <f t="shared" si="49"/>
        <v>0.91549295774647887</v>
      </c>
      <c r="G14" s="41">
        <v>200</v>
      </c>
      <c r="H14" s="41">
        <v>286</v>
      </c>
      <c r="I14" s="52">
        <v>285707</v>
      </c>
      <c r="J14" s="92">
        <f t="shared" si="65"/>
        <v>0</v>
      </c>
      <c r="K14" s="43">
        <v>750</v>
      </c>
      <c r="L14" s="92">
        <f t="shared" si="66"/>
        <v>0</v>
      </c>
      <c r="M14" s="42">
        <v>629908</v>
      </c>
      <c r="N14" s="92">
        <f t="shared" si="67"/>
        <v>0</v>
      </c>
      <c r="O14" s="42">
        <v>967</v>
      </c>
      <c r="P14" s="92">
        <f t="shared" si="68"/>
        <v>0</v>
      </c>
      <c r="Q14" s="42">
        <v>2531110</v>
      </c>
      <c r="R14" s="92">
        <f t="shared" si="2"/>
        <v>48</v>
      </c>
      <c r="S14" s="42">
        <v>2187609</v>
      </c>
      <c r="T14" s="92">
        <f>IF((S14-S13)&lt;0,"0",(S14-S13))</f>
        <v>23</v>
      </c>
      <c r="U14" s="45">
        <v>92937</v>
      </c>
      <c r="V14" s="92">
        <f t="shared" si="4"/>
        <v>68</v>
      </c>
      <c r="W14" s="41">
        <v>100</v>
      </c>
      <c r="X14" s="45">
        <v>0</v>
      </c>
      <c r="Y14" s="42">
        <v>152258</v>
      </c>
      <c r="Z14" s="92">
        <f t="shared" si="5"/>
        <v>0</v>
      </c>
      <c r="AA14" s="41">
        <v>37903</v>
      </c>
      <c r="AB14" s="95">
        <f>IF((AA14-AA13)&lt;0,"0",(AA14-AA13))</f>
        <v>6</v>
      </c>
      <c r="AC14" s="42">
        <v>1060</v>
      </c>
      <c r="AD14" s="92">
        <f>IF((AC14-AC13)&lt;0,"0",(AC14-AC13))</f>
        <v>0</v>
      </c>
      <c r="AE14" s="41">
        <v>3689</v>
      </c>
      <c r="AF14" s="92">
        <f t="shared" si="7"/>
        <v>0</v>
      </c>
      <c r="AG14" s="25"/>
      <c r="AH14" s="25"/>
      <c r="AI14" s="41">
        <v>571120</v>
      </c>
      <c r="AJ14" s="92">
        <f>IF((AI14-AI13)&lt;0,"0",(AI14-AI13))</f>
        <v>70</v>
      </c>
      <c r="AK14" s="108"/>
      <c r="AL14" s="92"/>
      <c r="AM14" s="41">
        <v>52023</v>
      </c>
      <c r="AN14" s="92">
        <f t="shared" si="9"/>
        <v>1</v>
      </c>
      <c r="AO14" s="42">
        <v>8866</v>
      </c>
      <c r="AP14" s="92">
        <f t="shared" si="10"/>
        <v>0</v>
      </c>
      <c r="AQ14" s="42">
        <v>10550</v>
      </c>
      <c r="AR14" s="92">
        <f t="shared" si="11"/>
        <v>0</v>
      </c>
      <c r="AS14" s="41">
        <v>14481</v>
      </c>
      <c r="AT14" s="92">
        <f>IF((AS14-AS13)&lt;0,"0",(AS14-AS13))</f>
        <v>0</v>
      </c>
      <c r="AU14" s="45">
        <v>19350</v>
      </c>
      <c r="AV14" s="92">
        <f t="shared" si="13"/>
        <v>1</v>
      </c>
      <c r="AW14" s="45">
        <v>20660</v>
      </c>
      <c r="AX14" s="98">
        <f t="shared" si="14"/>
        <v>0</v>
      </c>
      <c r="AY14" s="42">
        <v>13831</v>
      </c>
      <c r="AZ14" s="98">
        <f t="shared" si="15"/>
        <v>0</v>
      </c>
      <c r="BA14" s="42">
        <v>6153</v>
      </c>
      <c r="BB14" s="98">
        <f>IF((BA14-BA13)&lt;0,"0",(BA14-BA13))</f>
        <v>0</v>
      </c>
      <c r="BC14" s="42">
        <v>26343</v>
      </c>
      <c r="BD14" s="98">
        <f>IF((BC14-BC13)&lt;0,"0",(BC14-BC13))</f>
        <v>0</v>
      </c>
      <c r="BE14" s="41">
        <v>1112</v>
      </c>
      <c r="BF14" s="95">
        <f t="shared" si="18"/>
        <v>0</v>
      </c>
      <c r="BG14" s="41">
        <v>4303</v>
      </c>
      <c r="BH14" s="95">
        <f>IF((BG14-BG13)&lt;0,"0",(BG14-BG13))</f>
        <v>0</v>
      </c>
      <c r="BI14" s="42">
        <v>3636</v>
      </c>
      <c r="BJ14" s="95">
        <f t="shared" si="20"/>
        <v>0</v>
      </c>
      <c r="BK14" s="95">
        <f t="shared" si="21"/>
        <v>0</v>
      </c>
      <c r="BL14" s="95">
        <f t="shared" si="22"/>
        <v>70</v>
      </c>
      <c r="BM14" s="42">
        <v>595220</v>
      </c>
      <c r="BN14" s="98">
        <f t="shared" si="23"/>
        <v>30</v>
      </c>
      <c r="BO14" s="108">
        <v>581</v>
      </c>
      <c r="BP14" s="98">
        <f t="shared" si="24"/>
        <v>0</v>
      </c>
      <c r="BQ14" s="41">
        <v>768140</v>
      </c>
      <c r="BR14" s="95">
        <f>IF((BQ14-BQ13)&lt;0,"0",(BQ14-BQ13))</f>
        <v>50</v>
      </c>
      <c r="BS14" s="108">
        <v>5866</v>
      </c>
      <c r="BT14" s="95">
        <f t="shared" si="25"/>
        <v>0</v>
      </c>
      <c r="BU14" s="98" t="str">
        <f t="shared" si="70"/>
        <v>0</v>
      </c>
      <c r="BV14" s="95">
        <f t="shared" si="26"/>
        <v>80</v>
      </c>
      <c r="BW14" s="99">
        <f t="shared" si="27"/>
        <v>2</v>
      </c>
      <c r="BX14" s="42">
        <v>142.30000000000001</v>
      </c>
      <c r="BY14" s="50">
        <f t="shared" si="28"/>
        <v>18260.185579676552</v>
      </c>
      <c r="BZ14" s="42"/>
      <c r="CA14" s="98">
        <f>IF((BY13-BY14)&lt;0,"0",(BY13-BY14))</f>
        <v>0</v>
      </c>
      <c r="CB14" s="42">
        <v>205907.3</v>
      </c>
      <c r="CC14" s="98">
        <f t="shared" si="29"/>
        <v>9.2999999999883585</v>
      </c>
      <c r="CD14" s="98">
        <f t="shared" si="51"/>
        <v>53.102999999933523</v>
      </c>
      <c r="CE14" s="42">
        <v>40</v>
      </c>
      <c r="CF14" s="103">
        <f t="shared" si="30"/>
        <v>4310</v>
      </c>
      <c r="CG14" s="42">
        <v>39</v>
      </c>
      <c r="CH14" s="103">
        <f t="shared" si="31"/>
        <v>4202.25</v>
      </c>
      <c r="CI14" s="42">
        <v>40</v>
      </c>
      <c r="CJ14" s="103">
        <f t="shared" si="32"/>
        <v>4310</v>
      </c>
      <c r="CK14" s="103">
        <f t="shared" si="33"/>
        <v>12822.25</v>
      </c>
      <c r="CL14" s="103">
        <f t="shared" si="34"/>
        <v>0</v>
      </c>
      <c r="CM14" s="45"/>
      <c r="CN14" s="42">
        <v>34101.5</v>
      </c>
      <c r="CO14" s="98">
        <f t="shared" si="35"/>
        <v>1.2099999999991269</v>
      </c>
      <c r="CP14" s="98">
        <f t="shared" si="52"/>
        <v>2.9523999999978696</v>
      </c>
      <c r="CQ14" s="42">
        <v>34300</v>
      </c>
      <c r="CR14" s="95">
        <f t="shared" si="36"/>
        <v>0</v>
      </c>
      <c r="CS14" s="98">
        <f t="shared" si="53"/>
        <v>0</v>
      </c>
      <c r="CT14" s="42">
        <v>10234</v>
      </c>
      <c r="CU14" s="95">
        <f t="shared" si="37"/>
        <v>0</v>
      </c>
      <c r="CV14" s="95">
        <f t="shared" si="38"/>
        <v>0</v>
      </c>
      <c r="CW14" s="42">
        <v>831923</v>
      </c>
      <c r="CX14" s="95">
        <f t="shared" si="39"/>
        <v>0</v>
      </c>
      <c r="CY14" s="98">
        <f t="shared" si="54"/>
        <v>0</v>
      </c>
      <c r="CZ14" s="42">
        <v>5725.3</v>
      </c>
      <c r="DA14" s="95">
        <f t="shared" si="40"/>
        <v>1.1000000000003638</v>
      </c>
      <c r="DB14" s="98">
        <f t="shared" si="55"/>
        <v>2.6290000000008695</v>
      </c>
      <c r="DC14" s="42">
        <v>7415</v>
      </c>
      <c r="DD14" s="95">
        <f t="shared" si="41"/>
        <v>0</v>
      </c>
      <c r="DE14" s="98">
        <f t="shared" si="56"/>
        <v>0</v>
      </c>
      <c r="DF14" s="42">
        <v>3816.2</v>
      </c>
      <c r="DG14" s="95">
        <f t="shared" si="42"/>
        <v>4.1999999999998181</v>
      </c>
      <c r="DH14" s="98">
        <f t="shared" si="57"/>
        <v>10.037999999999565</v>
      </c>
      <c r="DI14" s="42">
        <v>1855.7</v>
      </c>
      <c r="DJ14" s="98">
        <f t="shared" si="43"/>
        <v>0</v>
      </c>
      <c r="DK14" s="98">
        <f t="shared" si="58"/>
        <v>0</v>
      </c>
      <c r="DL14" s="42">
        <v>5078.3999999999996</v>
      </c>
      <c r="DM14" s="98">
        <f t="shared" si="44"/>
        <v>0</v>
      </c>
      <c r="DN14" s="98">
        <f t="shared" si="59"/>
        <v>0</v>
      </c>
      <c r="DO14" s="42">
        <v>4451.7</v>
      </c>
      <c r="DP14" s="98">
        <f t="shared" si="45"/>
        <v>0</v>
      </c>
      <c r="DQ14" s="98">
        <f t="shared" si="60"/>
        <v>0</v>
      </c>
      <c r="DR14" s="42">
        <v>5086.1000000000004</v>
      </c>
      <c r="DS14" s="98">
        <f t="shared" si="46"/>
        <v>0</v>
      </c>
      <c r="DT14" s="98">
        <f t="shared" si="61"/>
        <v>0</v>
      </c>
      <c r="DU14" s="42">
        <v>4320.7</v>
      </c>
      <c r="DV14" s="95">
        <f t="shared" si="47"/>
        <v>0</v>
      </c>
      <c r="DW14" s="98">
        <f t="shared" si="62"/>
        <v>0</v>
      </c>
      <c r="DX14" s="47">
        <v>12732</v>
      </c>
      <c r="DY14" s="98">
        <f t="shared" si="64"/>
        <v>0</v>
      </c>
      <c r="DZ14" s="47">
        <v>61889</v>
      </c>
      <c r="EA14" s="104">
        <v>0</v>
      </c>
      <c r="EB14" s="48">
        <v>15599</v>
      </c>
      <c r="EC14" s="109">
        <f t="shared" si="63"/>
        <v>0</v>
      </c>
      <c r="ED14" s="48">
        <v>24594</v>
      </c>
      <c r="EE14" s="109">
        <f t="shared" si="48"/>
        <v>0</v>
      </c>
      <c r="EF14" s="48">
        <v>2</v>
      </c>
      <c r="EG14" s="49">
        <v>11</v>
      </c>
      <c r="EH14" s="134">
        <v>1.4999999999999999E-2</v>
      </c>
      <c r="EI14" s="105"/>
      <c r="EJ14" s="48"/>
      <c r="EK14" s="48"/>
    </row>
    <row r="15" spans="1:141" s="26" customFormat="1" ht="15.75" thickBot="1" x14ac:dyDescent="0.25">
      <c r="A15" s="27">
        <v>44024</v>
      </c>
      <c r="B15" s="42">
        <v>5256846</v>
      </c>
      <c r="C15" s="92">
        <f t="shared" si="0"/>
        <v>3661</v>
      </c>
      <c r="D15" s="42">
        <v>4604232</v>
      </c>
      <c r="E15" s="92">
        <f t="shared" si="1"/>
        <v>3338</v>
      </c>
      <c r="F15" s="36">
        <f t="shared" si="49"/>
        <v>0.91177273968860972</v>
      </c>
      <c r="G15" s="41">
        <v>200</v>
      </c>
      <c r="H15" s="41">
        <v>286</v>
      </c>
      <c r="I15" s="52">
        <v>285707</v>
      </c>
      <c r="J15" s="92">
        <f t="shared" si="65"/>
        <v>0</v>
      </c>
      <c r="K15" s="43">
        <v>750</v>
      </c>
      <c r="L15" s="92">
        <f t="shared" si="66"/>
        <v>0</v>
      </c>
      <c r="M15" s="42">
        <v>629908</v>
      </c>
      <c r="N15" s="92">
        <f t="shared" si="67"/>
        <v>0</v>
      </c>
      <c r="O15" s="42">
        <v>967</v>
      </c>
      <c r="P15" s="92">
        <f t="shared" si="68"/>
        <v>0</v>
      </c>
      <c r="Q15" s="42">
        <v>2531161</v>
      </c>
      <c r="R15" s="92">
        <f t="shared" si="2"/>
        <v>51</v>
      </c>
      <c r="S15" s="42">
        <v>2187609</v>
      </c>
      <c r="T15" s="93">
        <f t="shared" si="3"/>
        <v>0</v>
      </c>
      <c r="U15" s="45">
        <v>93003</v>
      </c>
      <c r="V15" s="93">
        <f t="shared" si="4"/>
        <v>66</v>
      </c>
      <c r="W15" s="41">
        <v>100</v>
      </c>
      <c r="X15" s="45">
        <v>0</v>
      </c>
      <c r="Y15" s="42">
        <v>152258</v>
      </c>
      <c r="Z15" s="92">
        <f>IF((Y15-Y14)&lt;0,"0",(Y15-Y14))</f>
        <v>0</v>
      </c>
      <c r="AA15" s="41">
        <v>37914</v>
      </c>
      <c r="AB15" s="95">
        <f t="shared" ref="AB15:AB34" si="71">IF((AA15-AA14)&lt;0,"0",(AA15-AA14))</f>
        <v>11</v>
      </c>
      <c r="AC15" s="42">
        <v>1060</v>
      </c>
      <c r="AD15" s="92">
        <f>IF((AC15-AC14)&lt;0,"0",(AC15-AC14))</f>
        <v>0</v>
      </c>
      <c r="AE15" s="42">
        <v>3700</v>
      </c>
      <c r="AF15" s="92">
        <f t="shared" si="7"/>
        <v>11</v>
      </c>
      <c r="AG15" s="25"/>
      <c r="AH15" s="25"/>
      <c r="AI15" s="42">
        <v>571140</v>
      </c>
      <c r="AJ15" s="92">
        <f>IF((AI15-AI14)&lt;0,"0",(AI15-AI14))</f>
        <v>20</v>
      </c>
      <c r="AK15" s="108"/>
      <c r="AL15" s="92"/>
      <c r="AM15" s="41">
        <v>52023</v>
      </c>
      <c r="AN15" s="93">
        <f t="shared" si="9"/>
        <v>0</v>
      </c>
      <c r="AO15" s="42">
        <v>8866</v>
      </c>
      <c r="AP15" s="93">
        <f t="shared" si="10"/>
        <v>0</v>
      </c>
      <c r="AQ15" s="42">
        <v>10550</v>
      </c>
      <c r="AR15" s="93">
        <f t="shared" si="11"/>
        <v>0</v>
      </c>
      <c r="AS15" s="41">
        <v>14481</v>
      </c>
      <c r="AT15" s="93">
        <f t="shared" si="12"/>
        <v>0</v>
      </c>
      <c r="AU15" s="45">
        <v>19350</v>
      </c>
      <c r="AV15" s="92">
        <f t="shared" si="13"/>
        <v>0</v>
      </c>
      <c r="AW15" s="45">
        <v>20660</v>
      </c>
      <c r="AX15" s="98">
        <f t="shared" si="14"/>
        <v>0</v>
      </c>
      <c r="AY15" s="42">
        <v>13831</v>
      </c>
      <c r="AZ15" s="98">
        <f t="shared" si="15"/>
        <v>0</v>
      </c>
      <c r="BA15" s="42">
        <v>6153</v>
      </c>
      <c r="BB15" s="98">
        <f>IF((BA15-BA14)&lt;0,"0",(BA15-BA14))</f>
        <v>0</v>
      </c>
      <c r="BC15" s="42">
        <v>26344</v>
      </c>
      <c r="BD15" s="98">
        <f t="shared" si="17"/>
        <v>1</v>
      </c>
      <c r="BE15" s="41">
        <v>1112</v>
      </c>
      <c r="BF15" s="95">
        <f>IF((BE15-BE14)&lt;0,"0",(BE15-BE14))</f>
        <v>0</v>
      </c>
      <c r="BG15" s="41">
        <v>4303</v>
      </c>
      <c r="BH15" s="95">
        <f>IF((BG15-BG14)&lt;0,"0",(BG15-BG14))</f>
        <v>0</v>
      </c>
      <c r="BI15" s="42">
        <v>3636</v>
      </c>
      <c r="BJ15" s="95">
        <f t="shared" si="20"/>
        <v>0</v>
      </c>
      <c r="BK15" s="95">
        <f t="shared" si="21"/>
        <v>0</v>
      </c>
      <c r="BL15" s="95">
        <f t="shared" si="22"/>
        <v>20</v>
      </c>
      <c r="BM15" s="42">
        <v>595240</v>
      </c>
      <c r="BN15" s="98">
        <f t="shared" si="23"/>
        <v>20</v>
      </c>
      <c r="BO15" s="108">
        <v>581</v>
      </c>
      <c r="BP15" s="98">
        <f t="shared" si="24"/>
        <v>0</v>
      </c>
      <c r="BQ15" s="41">
        <v>768180</v>
      </c>
      <c r="BR15" s="95">
        <f t="shared" si="25"/>
        <v>40</v>
      </c>
      <c r="BS15" s="108">
        <v>5866</v>
      </c>
      <c r="BT15" s="95">
        <f t="shared" si="25"/>
        <v>0</v>
      </c>
      <c r="BU15" s="98">
        <f t="shared" si="70"/>
        <v>20</v>
      </c>
      <c r="BV15" s="95">
        <f t="shared" si="26"/>
        <v>60</v>
      </c>
      <c r="BW15" s="99">
        <f t="shared" si="27"/>
        <v>0</v>
      </c>
      <c r="BX15" s="42">
        <v>142.30000000000001</v>
      </c>
      <c r="BY15" s="50">
        <f t="shared" si="28"/>
        <v>18260.185579676552</v>
      </c>
      <c r="BZ15" s="42"/>
      <c r="CA15" s="98">
        <f t="shared" si="69"/>
        <v>0</v>
      </c>
      <c r="CB15" s="42">
        <v>205907.3</v>
      </c>
      <c r="CC15" s="98">
        <f t="shared" si="29"/>
        <v>0</v>
      </c>
      <c r="CD15" s="98">
        <f t="shared" si="51"/>
        <v>0</v>
      </c>
      <c r="CE15" s="42">
        <v>40</v>
      </c>
      <c r="CF15" s="103">
        <f t="shared" si="30"/>
        <v>4310</v>
      </c>
      <c r="CG15" s="42">
        <v>39</v>
      </c>
      <c r="CH15" s="103">
        <f t="shared" si="31"/>
        <v>4202.25</v>
      </c>
      <c r="CI15" s="42">
        <v>39</v>
      </c>
      <c r="CJ15" s="103">
        <f t="shared" si="32"/>
        <v>4202.25</v>
      </c>
      <c r="CK15" s="103">
        <f t="shared" si="33"/>
        <v>12714.5</v>
      </c>
      <c r="CL15" s="103">
        <f t="shared" si="34"/>
        <v>107.75</v>
      </c>
      <c r="CM15" s="114"/>
      <c r="CN15" s="42">
        <v>34102.1</v>
      </c>
      <c r="CO15" s="98">
        <f t="shared" si="35"/>
        <v>0.59999999999854481</v>
      </c>
      <c r="CP15" s="98">
        <f t="shared" si="52"/>
        <v>1.4639999999964493</v>
      </c>
      <c r="CQ15" s="42">
        <v>34300</v>
      </c>
      <c r="CR15" s="95">
        <f>IF((CQ15-CQ14)&lt;0,"0",(CQ15-CQ14))</f>
        <v>0</v>
      </c>
      <c r="CS15" s="98">
        <f t="shared" si="53"/>
        <v>0</v>
      </c>
      <c r="CT15" s="42">
        <v>10234</v>
      </c>
      <c r="CU15" s="95">
        <f>IF((CT15-CT14)&lt;0,"0",(CT15-CT14))</f>
        <v>0</v>
      </c>
      <c r="CV15" s="95">
        <f>CU15*6.25</f>
        <v>0</v>
      </c>
      <c r="CW15" s="42">
        <v>831923</v>
      </c>
      <c r="CX15" s="95">
        <f>IF((CW15-CW14)&lt;0,"0",(CW15-CW14))</f>
        <v>0</v>
      </c>
      <c r="CY15" s="98">
        <f t="shared" si="54"/>
        <v>0</v>
      </c>
      <c r="CZ15" s="42">
        <v>5725.7</v>
      </c>
      <c r="DA15" s="95">
        <f t="shared" si="40"/>
        <v>0.3999999999996362</v>
      </c>
      <c r="DB15" s="98">
        <f t="shared" si="55"/>
        <v>0.95599999999913055</v>
      </c>
      <c r="DC15" s="42">
        <v>7415</v>
      </c>
      <c r="DD15" s="95">
        <f t="shared" si="41"/>
        <v>0</v>
      </c>
      <c r="DE15" s="98">
        <f t="shared" si="56"/>
        <v>0</v>
      </c>
      <c r="DF15" s="42">
        <v>3821.2</v>
      </c>
      <c r="DG15" s="95">
        <f t="shared" si="42"/>
        <v>5</v>
      </c>
      <c r="DH15" s="98">
        <f t="shared" si="57"/>
        <v>11.950000000000001</v>
      </c>
      <c r="DI15" s="42">
        <v>1855.7</v>
      </c>
      <c r="DJ15" s="95">
        <f t="shared" si="43"/>
        <v>0</v>
      </c>
      <c r="DK15" s="98">
        <f t="shared" si="58"/>
        <v>0</v>
      </c>
      <c r="DL15" s="42">
        <v>5078.3999999999996</v>
      </c>
      <c r="DM15" s="98">
        <f t="shared" si="44"/>
        <v>0</v>
      </c>
      <c r="DN15" s="98">
        <f t="shared" si="59"/>
        <v>0</v>
      </c>
      <c r="DO15" s="42">
        <v>4451.7</v>
      </c>
      <c r="DP15" s="98">
        <f t="shared" si="45"/>
        <v>0</v>
      </c>
      <c r="DQ15" s="98">
        <f t="shared" si="60"/>
        <v>0</v>
      </c>
      <c r="DR15" s="42">
        <v>5086.1000000000004</v>
      </c>
      <c r="DS15" s="98">
        <f t="shared" si="46"/>
        <v>0</v>
      </c>
      <c r="DT15" s="98">
        <f t="shared" si="61"/>
        <v>0</v>
      </c>
      <c r="DU15" s="42">
        <v>4320.7</v>
      </c>
      <c r="DV15" s="95">
        <f t="shared" si="47"/>
        <v>0</v>
      </c>
      <c r="DW15" s="98">
        <f t="shared" si="62"/>
        <v>0</v>
      </c>
      <c r="DX15" s="47">
        <v>12732</v>
      </c>
      <c r="DY15" s="98">
        <f t="shared" si="64"/>
        <v>0</v>
      </c>
      <c r="DZ15" s="47">
        <v>61889</v>
      </c>
      <c r="EA15" s="104">
        <v>0</v>
      </c>
      <c r="EB15" s="48">
        <v>15599</v>
      </c>
      <c r="EC15" s="109">
        <f t="shared" si="63"/>
        <v>0</v>
      </c>
      <c r="ED15" s="48">
        <v>24594</v>
      </c>
      <c r="EE15" s="109">
        <f t="shared" si="48"/>
        <v>0</v>
      </c>
      <c r="EF15" s="48">
        <v>2</v>
      </c>
      <c r="EG15" s="49">
        <v>11</v>
      </c>
      <c r="EH15" s="134">
        <v>1.4999999999999999E-2</v>
      </c>
      <c r="EI15" s="105"/>
      <c r="EJ15" s="48"/>
      <c r="EK15" s="48"/>
    </row>
    <row r="16" spans="1:141" s="26" customFormat="1" ht="15.75" thickBot="1" x14ac:dyDescent="0.25">
      <c r="A16" s="27">
        <v>44025</v>
      </c>
      <c r="B16" s="42">
        <v>5261107</v>
      </c>
      <c r="C16" s="92">
        <f t="shared" si="0"/>
        <v>4261</v>
      </c>
      <c r="D16" s="42">
        <v>4608185</v>
      </c>
      <c r="E16" s="92">
        <f t="shared" si="1"/>
        <v>3953</v>
      </c>
      <c r="F16" s="36">
        <f t="shared" si="49"/>
        <v>0.92771649847453652</v>
      </c>
      <c r="G16" s="41">
        <v>228</v>
      </c>
      <c r="H16" s="41">
        <v>286</v>
      </c>
      <c r="I16" s="52">
        <v>285707</v>
      </c>
      <c r="J16" s="92">
        <f t="shared" si="65"/>
        <v>0</v>
      </c>
      <c r="K16" s="43">
        <v>750</v>
      </c>
      <c r="L16" s="92">
        <f t="shared" si="66"/>
        <v>0</v>
      </c>
      <c r="M16" s="42">
        <v>629908</v>
      </c>
      <c r="N16" s="92">
        <f t="shared" si="67"/>
        <v>0</v>
      </c>
      <c r="O16" s="42">
        <v>967</v>
      </c>
      <c r="P16" s="92">
        <f t="shared" si="68"/>
        <v>0</v>
      </c>
      <c r="Q16" s="42">
        <v>2531247</v>
      </c>
      <c r="R16" s="92">
        <f t="shared" si="2"/>
        <v>86</v>
      </c>
      <c r="S16" s="42">
        <v>2187752</v>
      </c>
      <c r="T16" s="93">
        <f t="shared" si="3"/>
        <v>143</v>
      </c>
      <c r="U16" s="45">
        <v>93088</v>
      </c>
      <c r="V16" s="93">
        <f t="shared" si="4"/>
        <v>85</v>
      </c>
      <c r="W16" s="41">
        <v>100</v>
      </c>
      <c r="X16" s="45">
        <v>0</v>
      </c>
      <c r="Y16" s="42">
        <v>152258</v>
      </c>
      <c r="Z16" s="93">
        <f t="shared" si="5"/>
        <v>0</v>
      </c>
      <c r="AA16" s="41">
        <v>37920</v>
      </c>
      <c r="AB16" s="95">
        <f t="shared" si="71"/>
        <v>6</v>
      </c>
      <c r="AC16" s="42">
        <v>1061</v>
      </c>
      <c r="AD16" s="93">
        <f t="shared" si="7"/>
        <v>1</v>
      </c>
      <c r="AE16" s="42">
        <v>3700</v>
      </c>
      <c r="AF16" s="92">
        <f t="shared" si="7"/>
        <v>0</v>
      </c>
      <c r="AG16" s="25"/>
      <c r="AH16" s="25"/>
      <c r="AI16" s="42">
        <v>571220</v>
      </c>
      <c r="AJ16" s="93">
        <f t="shared" si="8"/>
        <v>80</v>
      </c>
      <c r="AK16" s="115"/>
      <c r="AL16" s="93"/>
      <c r="AM16" s="41">
        <v>52025</v>
      </c>
      <c r="AN16" s="93">
        <f t="shared" si="9"/>
        <v>2</v>
      </c>
      <c r="AO16" s="42">
        <v>8866</v>
      </c>
      <c r="AP16" s="93">
        <f t="shared" si="10"/>
        <v>0</v>
      </c>
      <c r="AQ16" s="42">
        <v>10550</v>
      </c>
      <c r="AR16" s="93">
        <f t="shared" si="11"/>
        <v>0</v>
      </c>
      <c r="AS16" s="41">
        <v>14481</v>
      </c>
      <c r="AT16" s="93">
        <f>IF((AS16-AS15)&lt;0,"0",(AS16-AS15))</f>
        <v>0</v>
      </c>
      <c r="AU16" s="45">
        <v>19350</v>
      </c>
      <c r="AV16" s="92">
        <f t="shared" si="13"/>
        <v>0</v>
      </c>
      <c r="AW16" s="45">
        <v>20660</v>
      </c>
      <c r="AX16" s="98">
        <f t="shared" si="14"/>
        <v>0</v>
      </c>
      <c r="AY16" s="42">
        <v>13831</v>
      </c>
      <c r="AZ16" s="98">
        <f t="shared" si="15"/>
        <v>0</v>
      </c>
      <c r="BA16" s="42">
        <v>6153</v>
      </c>
      <c r="BB16" s="98">
        <f t="shared" si="16"/>
        <v>0</v>
      </c>
      <c r="BC16" s="42">
        <v>26344</v>
      </c>
      <c r="BD16" s="98">
        <f t="shared" si="17"/>
        <v>0</v>
      </c>
      <c r="BE16" s="41">
        <v>1112</v>
      </c>
      <c r="BF16" s="95">
        <f t="shared" si="18"/>
        <v>0</v>
      </c>
      <c r="BG16" s="41">
        <v>4303</v>
      </c>
      <c r="BH16" s="95">
        <f t="shared" si="19"/>
        <v>0</v>
      </c>
      <c r="BI16" s="42">
        <v>3636</v>
      </c>
      <c r="BJ16" s="95">
        <f t="shared" si="20"/>
        <v>0</v>
      </c>
      <c r="BK16" s="95">
        <f t="shared" si="21"/>
        <v>0</v>
      </c>
      <c r="BL16" s="95">
        <f t="shared" si="22"/>
        <v>80</v>
      </c>
      <c r="BM16" s="42">
        <v>595290</v>
      </c>
      <c r="BN16" s="98">
        <f t="shared" si="23"/>
        <v>50</v>
      </c>
      <c r="BO16" s="108">
        <v>581</v>
      </c>
      <c r="BP16" s="98">
        <f>IF((BO16-BO15)&lt;0,"0",(BO16-BO15))</f>
        <v>0</v>
      </c>
      <c r="BQ16" s="42">
        <v>768240</v>
      </c>
      <c r="BR16" s="95">
        <f t="shared" si="25"/>
        <v>60</v>
      </c>
      <c r="BS16" s="108">
        <v>5866</v>
      </c>
      <c r="BT16" s="95">
        <f t="shared" si="25"/>
        <v>0</v>
      </c>
      <c r="BU16" s="98" t="str">
        <f t="shared" si="70"/>
        <v>0</v>
      </c>
      <c r="BV16" s="95">
        <f t="shared" si="26"/>
        <v>110</v>
      </c>
      <c r="BW16" s="99">
        <f t="shared" si="27"/>
        <v>2</v>
      </c>
      <c r="BX16" s="42">
        <v>142.30000000000001</v>
      </c>
      <c r="BY16" s="50">
        <f t="shared" si="28"/>
        <v>18260.185579676552</v>
      </c>
      <c r="BZ16" s="42"/>
      <c r="CA16" s="98">
        <f t="shared" si="69"/>
        <v>0</v>
      </c>
      <c r="CB16" s="42">
        <v>205946.5</v>
      </c>
      <c r="CC16" s="98">
        <f t="shared" si="29"/>
        <v>39.200000000011642</v>
      </c>
      <c r="CD16" s="98">
        <f t="shared" si="51"/>
        <v>223.83200000006647</v>
      </c>
      <c r="CE16" s="42">
        <v>38</v>
      </c>
      <c r="CF16" s="103">
        <f t="shared" si="30"/>
        <v>4094.5</v>
      </c>
      <c r="CG16" s="42">
        <v>39</v>
      </c>
      <c r="CH16" s="103">
        <f t="shared" si="31"/>
        <v>4202.25</v>
      </c>
      <c r="CI16" s="42">
        <v>39</v>
      </c>
      <c r="CJ16" s="103">
        <f>(CI16*10775)/100</f>
        <v>4202.25</v>
      </c>
      <c r="CK16" s="103">
        <f t="shared" si="33"/>
        <v>12499</v>
      </c>
      <c r="CL16" s="103">
        <f t="shared" si="34"/>
        <v>215.5</v>
      </c>
      <c r="CM16" s="45"/>
      <c r="CN16" s="42">
        <v>34102.6</v>
      </c>
      <c r="CO16" s="98">
        <f t="shared" si="35"/>
        <v>0.5</v>
      </c>
      <c r="CP16" s="98">
        <f t="shared" si="52"/>
        <v>1.22</v>
      </c>
      <c r="CQ16" s="42">
        <v>34300</v>
      </c>
      <c r="CR16" s="95">
        <f t="shared" si="36"/>
        <v>0</v>
      </c>
      <c r="CS16" s="98">
        <f t="shared" si="53"/>
        <v>0</v>
      </c>
      <c r="CT16" s="42">
        <v>10234</v>
      </c>
      <c r="CU16" s="95">
        <f t="shared" si="37"/>
        <v>0</v>
      </c>
      <c r="CV16" s="95">
        <f t="shared" si="38"/>
        <v>0</v>
      </c>
      <c r="CW16" s="42">
        <v>831981</v>
      </c>
      <c r="CX16" s="95">
        <f t="shared" si="39"/>
        <v>58</v>
      </c>
      <c r="CY16" s="98">
        <f t="shared" si="54"/>
        <v>179.8</v>
      </c>
      <c r="CZ16" s="42">
        <v>5726.7</v>
      </c>
      <c r="DA16" s="95">
        <f t="shared" si="40"/>
        <v>1</v>
      </c>
      <c r="DB16" s="98">
        <f t="shared" si="55"/>
        <v>2.39</v>
      </c>
      <c r="DC16" s="42">
        <v>7415</v>
      </c>
      <c r="DD16" s="95">
        <f t="shared" si="41"/>
        <v>0</v>
      </c>
      <c r="DE16" s="98">
        <f t="shared" si="56"/>
        <v>0</v>
      </c>
      <c r="DF16" s="42">
        <v>3823.6</v>
      </c>
      <c r="DG16" s="95">
        <f t="shared" si="42"/>
        <v>2.4000000000000909</v>
      </c>
      <c r="DH16" s="98">
        <f t="shared" si="57"/>
        <v>5.7360000000002174</v>
      </c>
      <c r="DI16" s="42">
        <v>1855.7</v>
      </c>
      <c r="DJ16" s="95">
        <f t="shared" si="43"/>
        <v>0</v>
      </c>
      <c r="DK16" s="98">
        <f t="shared" si="58"/>
        <v>0</v>
      </c>
      <c r="DL16" s="42">
        <v>5078.3999999999996</v>
      </c>
      <c r="DM16" s="95">
        <f t="shared" si="44"/>
        <v>0</v>
      </c>
      <c r="DN16" s="98">
        <f t="shared" si="59"/>
        <v>0</v>
      </c>
      <c r="DO16" s="42">
        <v>4451.7</v>
      </c>
      <c r="DP16" s="95">
        <f t="shared" si="45"/>
        <v>0</v>
      </c>
      <c r="DQ16" s="98">
        <f t="shared" si="60"/>
        <v>0</v>
      </c>
      <c r="DR16" s="42">
        <v>5086.1000000000004</v>
      </c>
      <c r="DS16" s="95">
        <f t="shared" si="46"/>
        <v>0</v>
      </c>
      <c r="DT16" s="98">
        <f t="shared" si="61"/>
        <v>0</v>
      </c>
      <c r="DU16" s="42">
        <v>4320.7</v>
      </c>
      <c r="DV16" s="95">
        <f t="shared" si="47"/>
        <v>0</v>
      </c>
      <c r="DW16" s="98">
        <f t="shared" si="62"/>
        <v>0</v>
      </c>
      <c r="DX16" s="47">
        <v>12732</v>
      </c>
      <c r="DY16" s="98">
        <f t="shared" si="64"/>
        <v>0</v>
      </c>
      <c r="DZ16" s="47">
        <v>61889</v>
      </c>
      <c r="EA16" s="104">
        <v>0</v>
      </c>
      <c r="EB16" s="48">
        <v>15599</v>
      </c>
      <c r="EC16" s="109">
        <f t="shared" si="63"/>
        <v>0</v>
      </c>
      <c r="ED16" s="48">
        <v>24594</v>
      </c>
      <c r="EE16" s="109">
        <f>IF((ED16-ED15)&lt;0,"0",(ED16-ED15))</f>
        <v>0</v>
      </c>
      <c r="EF16" s="48">
        <v>2</v>
      </c>
      <c r="EG16" s="49">
        <v>11</v>
      </c>
      <c r="EH16" s="134">
        <v>1.4999999999999999E-2</v>
      </c>
      <c r="EI16" s="105"/>
      <c r="EJ16" s="48"/>
      <c r="EK16" s="48"/>
    </row>
    <row r="17" spans="1:141" s="40" customFormat="1" ht="15.75" thickBot="1" x14ac:dyDescent="0.25">
      <c r="A17" s="27">
        <v>44026</v>
      </c>
      <c r="B17" s="42">
        <v>5265304</v>
      </c>
      <c r="C17" s="92">
        <f t="shared" si="0"/>
        <v>4197</v>
      </c>
      <c r="D17" s="42">
        <v>4612092</v>
      </c>
      <c r="E17" s="92">
        <f t="shared" si="1"/>
        <v>3907</v>
      </c>
      <c r="F17" s="36">
        <f t="shared" si="49"/>
        <v>0.93090302597093166</v>
      </c>
      <c r="G17" s="41">
        <v>238</v>
      </c>
      <c r="H17" s="41">
        <v>286</v>
      </c>
      <c r="I17" s="52">
        <v>285707</v>
      </c>
      <c r="J17" s="92">
        <f t="shared" si="65"/>
        <v>0</v>
      </c>
      <c r="K17" s="43">
        <v>750</v>
      </c>
      <c r="L17" s="92">
        <f t="shared" si="66"/>
        <v>0</v>
      </c>
      <c r="M17" s="42">
        <v>629908</v>
      </c>
      <c r="N17" s="92">
        <f t="shared" si="67"/>
        <v>0</v>
      </c>
      <c r="O17" s="42">
        <v>967</v>
      </c>
      <c r="P17" s="92">
        <f t="shared" si="68"/>
        <v>0</v>
      </c>
      <c r="Q17" s="42">
        <v>2531392</v>
      </c>
      <c r="R17" s="92">
        <f t="shared" si="2"/>
        <v>145</v>
      </c>
      <c r="S17" s="42">
        <v>2188061</v>
      </c>
      <c r="T17" s="93">
        <f>IF((S17-S16)&lt;0,"0",(S17-S16))</f>
        <v>309</v>
      </c>
      <c r="U17" s="45">
        <v>93184</v>
      </c>
      <c r="V17" s="93">
        <f>IF((U17-U16)&lt;0,"0",(U17-U16))</f>
        <v>96</v>
      </c>
      <c r="W17" s="41">
        <v>100</v>
      </c>
      <c r="X17" s="45">
        <v>0</v>
      </c>
      <c r="Y17" s="42">
        <v>152258</v>
      </c>
      <c r="Z17" s="93">
        <f t="shared" si="5"/>
        <v>0</v>
      </c>
      <c r="AA17" s="41">
        <v>37931</v>
      </c>
      <c r="AB17" s="95">
        <f t="shared" si="71"/>
        <v>11</v>
      </c>
      <c r="AC17" s="42">
        <v>1061</v>
      </c>
      <c r="AD17" s="93">
        <f t="shared" si="7"/>
        <v>0</v>
      </c>
      <c r="AE17" s="42">
        <v>3700</v>
      </c>
      <c r="AF17" s="92">
        <f t="shared" si="7"/>
        <v>0</v>
      </c>
      <c r="AG17" s="25"/>
      <c r="AH17" s="25"/>
      <c r="AI17" s="42">
        <v>571240</v>
      </c>
      <c r="AJ17" s="93">
        <f t="shared" si="8"/>
        <v>20</v>
      </c>
      <c r="AK17" s="115"/>
      <c r="AL17" s="93"/>
      <c r="AM17" s="41">
        <v>52027</v>
      </c>
      <c r="AN17" s="93">
        <f t="shared" si="9"/>
        <v>2</v>
      </c>
      <c r="AO17" s="42">
        <v>8866</v>
      </c>
      <c r="AP17" s="93">
        <f t="shared" si="10"/>
        <v>0</v>
      </c>
      <c r="AQ17" s="42">
        <v>10550</v>
      </c>
      <c r="AR17" s="93">
        <f t="shared" si="11"/>
        <v>0</v>
      </c>
      <c r="AS17" s="41">
        <v>14481</v>
      </c>
      <c r="AT17" s="93">
        <f>IF((AS17-AS16)&lt;0,"0",(AS17-AS16))</f>
        <v>0</v>
      </c>
      <c r="AU17" s="45">
        <v>19350</v>
      </c>
      <c r="AV17" s="92">
        <f t="shared" si="13"/>
        <v>0</v>
      </c>
      <c r="AW17" s="45">
        <v>20660</v>
      </c>
      <c r="AX17" s="98">
        <f t="shared" si="14"/>
        <v>0</v>
      </c>
      <c r="AY17" s="42">
        <v>13831</v>
      </c>
      <c r="AZ17" s="98">
        <f t="shared" si="15"/>
        <v>0</v>
      </c>
      <c r="BA17" s="42">
        <v>6153</v>
      </c>
      <c r="BB17" s="98">
        <f>IF((BA17-BA16)&lt;0,"0",(BA17-BA16))</f>
        <v>0</v>
      </c>
      <c r="BC17" s="42">
        <v>26344</v>
      </c>
      <c r="BD17" s="98">
        <f t="shared" si="17"/>
        <v>0</v>
      </c>
      <c r="BE17" s="41">
        <v>1112</v>
      </c>
      <c r="BF17" s="95">
        <f t="shared" si="18"/>
        <v>0</v>
      </c>
      <c r="BG17" s="41">
        <v>4303</v>
      </c>
      <c r="BH17" s="95">
        <f>IF((BG17-BG16)&lt;0,"0",(BG17-BG16))</f>
        <v>0</v>
      </c>
      <c r="BI17" s="42">
        <v>3636</v>
      </c>
      <c r="BJ17" s="95">
        <f t="shared" si="20"/>
        <v>0</v>
      </c>
      <c r="BK17" s="95">
        <f t="shared" si="21"/>
        <v>0</v>
      </c>
      <c r="BL17" s="95">
        <f t="shared" si="22"/>
        <v>20</v>
      </c>
      <c r="BM17" s="42">
        <v>595340</v>
      </c>
      <c r="BN17" s="98">
        <f t="shared" si="23"/>
        <v>50</v>
      </c>
      <c r="BO17" s="108">
        <v>581</v>
      </c>
      <c r="BP17" s="98">
        <f t="shared" si="23"/>
        <v>0</v>
      </c>
      <c r="BQ17" s="42">
        <v>768280</v>
      </c>
      <c r="BR17" s="95">
        <f t="shared" si="25"/>
        <v>40</v>
      </c>
      <c r="BS17" s="108">
        <v>5866</v>
      </c>
      <c r="BT17" s="95">
        <f t="shared" si="25"/>
        <v>0</v>
      </c>
      <c r="BU17" s="98">
        <f t="shared" si="70"/>
        <v>20</v>
      </c>
      <c r="BV17" s="95">
        <f t="shared" si="26"/>
        <v>90</v>
      </c>
      <c r="BW17" s="99">
        <f t="shared" si="27"/>
        <v>2</v>
      </c>
      <c r="BX17" s="42">
        <v>142.30000000000001</v>
      </c>
      <c r="BY17" s="50">
        <f t="shared" si="28"/>
        <v>18260.185579676552</v>
      </c>
      <c r="BZ17" s="42"/>
      <c r="CA17" s="98">
        <f t="shared" si="69"/>
        <v>0</v>
      </c>
      <c r="CB17" s="42">
        <v>205988</v>
      </c>
      <c r="CC17" s="98">
        <f t="shared" si="29"/>
        <v>41.5</v>
      </c>
      <c r="CD17" s="98">
        <f t="shared" si="51"/>
        <v>236.965</v>
      </c>
      <c r="CE17" s="42">
        <v>36</v>
      </c>
      <c r="CF17" s="103">
        <f t="shared" si="30"/>
        <v>3879</v>
      </c>
      <c r="CG17" s="42">
        <v>39</v>
      </c>
      <c r="CH17" s="103">
        <f t="shared" si="31"/>
        <v>4202.25</v>
      </c>
      <c r="CI17" s="42">
        <v>39</v>
      </c>
      <c r="CJ17" s="103">
        <f t="shared" si="32"/>
        <v>4202.25</v>
      </c>
      <c r="CK17" s="103">
        <f t="shared" si="33"/>
        <v>12283.5</v>
      </c>
      <c r="CL17" s="103">
        <f t="shared" si="34"/>
        <v>215.5</v>
      </c>
      <c r="CM17" s="45"/>
      <c r="CN17" s="42">
        <v>34103</v>
      </c>
      <c r="CO17" s="98">
        <f t="shared" si="35"/>
        <v>0.40000000000145519</v>
      </c>
      <c r="CP17" s="98">
        <f t="shared" si="52"/>
        <v>0.97600000000355069</v>
      </c>
      <c r="CQ17" s="42">
        <v>34300</v>
      </c>
      <c r="CR17" s="95">
        <f t="shared" si="36"/>
        <v>0</v>
      </c>
      <c r="CS17" s="98">
        <f t="shared" si="53"/>
        <v>0</v>
      </c>
      <c r="CT17" s="42">
        <v>10234</v>
      </c>
      <c r="CU17" s="95">
        <f t="shared" si="37"/>
        <v>0</v>
      </c>
      <c r="CV17" s="95">
        <f t="shared" si="38"/>
        <v>0</v>
      </c>
      <c r="CW17" s="42">
        <v>831981</v>
      </c>
      <c r="CX17" s="95">
        <f t="shared" si="39"/>
        <v>0</v>
      </c>
      <c r="CY17" s="98">
        <f t="shared" si="54"/>
        <v>0</v>
      </c>
      <c r="CZ17" s="42">
        <v>5727.9</v>
      </c>
      <c r="DA17" s="95">
        <f t="shared" si="40"/>
        <v>1.1999999999998181</v>
      </c>
      <c r="DB17" s="98">
        <f t="shared" si="55"/>
        <v>2.8679999999995656</v>
      </c>
      <c r="DC17" s="42">
        <v>7415</v>
      </c>
      <c r="DD17" s="95">
        <f t="shared" si="41"/>
        <v>0</v>
      </c>
      <c r="DE17" s="98">
        <f t="shared" si="56"/>
        <v>0</v>
      </c>
      <c r="DF17" s="42">
        <v>3827.6</v>
      </c>
      <c r="DG17" s="95">
        <f t="shared" si="42"/>
        <v>4</v>
      </c>
      <c r="DH17" s="98">
        <f t="shared" si="57"/>
        <v>9.56</v>
      </c>
      <c r="DI17" s="42">
        <v>1855.7</v>
      </c>
      <c r="DJ17" s="95">
        <f>IF((DI17-DI16)&lt;0,"0",(DI17-DI16))</f>
        <v>0</v>
      </c>
      <c r="DK17" s="98">
        <f t="shared" si="58"/>
        <v>0</v>
      </c>
      <c r="DL17" s="42">
        <v>5078.3999999999996</v>
      </c>
      <c r="DM17" s="95">
        <f>IF((DL17-DL16)&lt;0,"0",(DL17-DL16))</f>
        <v>0</v>
      </c>
      <c r="DN17" s="98">
        <f t="shared" si="59"/>
        <v>0</v>
      </c>
      <c r="DO17" s="42">
        <v>4451.7</v>
      </c>
      <c r="DP17" s="95">
        <f>IF((DO17-DO16)&lt;0,"0",(DO17-DO16))</f>
        <v>0</v>
      </c>
      <c r="DQ17" s="98">
        <f t="shared" si="60"/>
        <v>0</v>
      </c>
      <c r="DR17" s="42">
        <v>5086.1000000000004</v>
      </c>
      <c r="DS17" s="95">
        <f>IF((DR17-DR16)&lt;0,"0",(DR17-DR16))</f>
        <v>0</v>
      </c>
      <c r="DT17" s="98">
        <f t="shared" si="61"/>
        <v>0</v>
      </c>
      <c r="DU17" s="42">
        <v>4320.7</v>
      </c>
      <c r="DV17" s="95">
        <f>IF((DU17-DU16)&lt;0,"0",(DU17-DU16))</f>
        <v>0</v>
      </c>
      <c r="DW17" s="98">
        <f t="shared" si="62"/>
        <v>0</v>
      </c>
      <c r="DX17" s="47">
        <v>12732</v>
      </c>
      <c r="DY17" s="98">
        <f t="shared" si="64"/>
        <v>0</v>
      </c>
      <c r="DZ17" s="47">
        <v>61889</v>
      </c>
      <c r="EA17" s="104">
        <v>0</v>
      </c>
      <c r="EB17" s="48">
        <v>15599</v>
      </c>
      <c r="EC17" s="109">
        <f t="shared" si="63"/>
        <v>0</v>
      </c>
      <c r="ED17" s="48">
        <v>24594</v>
      </c>
      <c r="EE17" s="109">
        <f t="shared" si="48"/>
        <v>0</v>
      </c>
      <c r="EF17" s="48">
        <v>2</v>
      </c>
      <c r="EG17" s="49">
        <v>11</v>
      </c>
      <c r="EH17" s="134">
        <v>1.4999999999999999E-2</v>
      </c>
      <c r="EI17" s="116"/>
      <c r="EJ17" s="117"/>
      <c r="EK17" s="117"/>
    </row>
    <row r="18" spans="1:141" s="26" customFormat="1" ht="15.75" thickBot="1" x14ac:dyDescent="0.25">
      <c r="A18" s="27">
        <v>44027</v>
      </c>
      <c r="B18" s="42">
        <v>5269470</v>
      </c>
      <c r="C18" s="92">
        <f t="shared" si="0"/>
        <v>4166</v>
      </c>
      <c r="D18" s="42">
        <v>4615926</v>
      </c>
      <c r="E18" s="92">
        <f t="shared" si="1"/>
        <v>3834</v>
      </c>
      <c r="F18" s="36">
        <f t="shared" si="49"/>
        <v>0.92030724915986561</v>
      </c>
      <c r="G18" s="41">
        <v>238</v>
      </c>
      <c r="H18" s="41">
        <v>286</v>
      </c>
      <c r="I18" s="52">
        <v>285707</v>
      </c>
      <c r="J18" s="92">
        <f t="shared" si="65"/>
        <v>0</v>
      </c>
      <c r="K18" s="43">
        <v>750</v>
      </c>
      <c r="L18" s="92">
        <f t="shared" si="66"/>
        <v>0</v>
      </c>
      <c r="M18" s="42">
        <v>629908</v>
      </c>
      <c r="N18" s="92">
        <f t="shared" si="67"/>
        <v>0</v>
      </c>
      <c r="O18" s="42">
        <v>967</v>
      </c>
      <c r="P18" s="92">
        <f t="shared" si="68"/>
        <v>0</v>
      </c>
      <c r="Q18" s="42">
        <v>2531583</v>
      </c>
      <c r="R18" s="92">
        <f t="shared" si="2"/>
        <v>191</v>
      </c>
      <c r="S18" s="42">
        <v>2188193</v>
      </c>
      <c r="T18" s="93">
        <f t="shared" si="3"/>
        <v>132</v>
      </c>
      <c r="U18" s="45">
        <v>93270</v>
      </c>
      <c r="V18" s="93">
        <f t="shared" si="4"/>
        <v>86</v>
      </c>
      <c r="W18" s="41">
        <v>100</v>
      </c>
      <c r="X18" s="45">
        <v>0</v>
      </c>
      <c r="Y18" s="42">
        <v>152258</v>
      </c>
      <c r="Z18" s="93">
        <f>IF((Y18-Y17)&lt;0,"0",(Y18-Y17))</f>
        <v>0</v>
      </c>
      <c r="AA18" s="41">
        <v>37941</v>
      </c>
      <c r="AB18" s="95">
        <f t="shared" si="71"/>
        <v>10</v>
      </c>
      <c r="AC18" s="42">
        <v>1061</v>
      </c>
      <c r="AD18" s="93">
        <f t="shared" si="7"/>
        <v>0</v>
      </c>
      <c r="AE18" s="42">
        <v>3700</v>
      </c>
      <c r="AF18" s="92">
        <f t="shared" si="7"/>
        <v>0</v>
      </c>
      <c r="AG18" s="25"/>
      <c r="AH18" s="25"/>
      <c r="AI18" s="42">
        <v>571310</v>
      </c>
      <c r="AJ18" s="93">
        <f t="shared" si="8"/>
        <v>70</v>
      </c>
      <c r="AK18" s="115"/>
      <c r="AL18" s="93"/>
      <c r="AM18" s="41">
        <v>52029</v>
      </c>
      <c r="AN18" s="93">
        <f>IF((AM18-AM17)&lt;0,"0",(AM18-AM17))</f>
        <v>2</v>
      </c>
      <c r="AO18" s="42">
        <v>8866</v>
      </c>
      <c r="AP18" s="93">
        <f t="shared" si="10"/>
        <v>0</v>
      </c>
      <c r="AQ18" s="42">
        <v>10550</v>
      </c>
      <c r="AR18" s="93">
        <f t="shared" si="11"/>
        <v>0</v>
      </c>
      <c r="AS18" s="41">
        <v>14481</v>
      </c>
      <c r="AT18" s="93">
        <f>IF((AS18-AS17)&lt;0,"0",(AS18-AS17))</f>
        <v>0</v>
      </c>
      <c r="AU18" s="45">
        <v>19350</v>
      </c>
      <c r="AV18" s="92">
        <f t="shared" si="13"/>
        <v>0</v>
      </c>
      <c r="AW18" s="45">
        <v>20660</v>
      </c>
      <c r="AX18" s="98">
        <f t="shared" si="14"/>
        <v>0</v>
      </c>
      <c r="AY18" s="42">
        <v>13831</v>
      </c>
      <c r="AZ18" s="98">
        <f t="shared" si="15"/>
        <v>0</v>
      </c>
      <c r="BA18" s="42">
        <v>6153</v>
      </c>
      <c r="BB18" s="98">
        <f>IF((BA18-BA17)&lt;0,"0",(BA18-BA17))</f>
        <v>0</v>
      </c>
      <c r="BC18" s="42">
        <v>26345</v>
      </c>
      <c r="BD18" s="98">
        <f t="shared" si="17"/>
        <v>1</v>
      </c>
      <c r="BE18" s="41">
        <v>1112</v>
      </c>
      <c r="BF18" s="95">
        <f t="shared" si="18"/>
        <v>0</v>
      </c>
      <c r="BG18" s="41">
        <v>4303</v>
      </c>
      <c r="BH18" s="95">
        <f t="shared" si="19"/>
        <v>0</v>
      </c>
      <c r="BI18" s="42">
        <v>3636</v>
      </c>
      <c r="BJ18" s="95">
        <f t="shared" si="20"/>
        <v>0</v>
      </c>
      <c r="BK18" s="95">
        <f t="shared" si="21"/>
        <v>0</v>
      </c>
      <c r="BL18" s="95">
        <f t="shared" si="22"/>
        <v>70</v>
      </c>
      <c r="BM18" s="42">
        <v>595370</v>
      </c>
      <c r="BN18" s="98">
        <f t="shared" si="23"/>
        <v>30</v>
      </c>
      <c r="BO18" s="108">
        <v>581</v>
      </c>
      <c r="BP18" s="98">
        <f t="shared" si="23"/>
        <v>0</v>
      </c>
      <c r="BQ18" s="42">
        <v>768330</v>
      </c>
      <c r="BR18" s="95">
        <f t="shared" si="25"/>
        <v>50</v>
      </c>
      <c r="BS18" s="108">
        <v>5866</v>
      </c>
      <c r="BT18" s="95">
        <f t="shared" si="25"/>
        <v>0</v>
      </c>
      <c r="BU18" s="98" t="str">
        <f t="shared" si="70"/>
        <v>0</v>
      </c>
      <c r="BV18" s="95">
        <f t="shared" si="26"/>
        <v>80</v>
      </c>
      <c r="BW18" s="99">
        <f t="shared" si="27"/>
        <v>2</v>
      </c>
      <c r="BX18" s="42">
        <v>142.30000000000001</v>
      </c>
      <c r="BY18" s="50">
        <f t="shared" si="28"/>
        <v>18260.185579676552</v>
      </c>
      <c r="BZ18" s="42"/>
      <c r="CA18" s="98">
        <f t="shared" si="69"/>
        <v>0</v>
      </c>
      <c r="CB18" s="42">
        <v>205993</v>
      </c>
      <c r="CC18" s="98">
        <f t="shared" si="29"/>
        <v>5</v>
      </c>
      <c r="CD18" s="98">
        <f t="shared" si="51"/>
        <v>28.55</v>
      </c>
      <c r="CE18" s="42">
        <v>35</v>
      </c>
      <c r="CF18" s="103">
        <f t="shared" si="30"/>
        <v>3771.25</v>
      </c>
      <c r="CG18" s="42">
        <v>39</v>
      </c>
      <c r="CH18" s="103">
        <f t="shared" si="31"/>
        <v>4202.25</v>
      </c>
      <c r="CI18" s="42">
        <v>39</v>
      </c>
      <c r="CJ18" s="103">
        <f t="shared" si="32"/>
        <v>4202.25</v>
      </c>
      <c r="CK18" s="103">
        <f t="shared" si="33"/>
        <v>12175.75</v>
      </c>
      <c r="CL18" s="103">
        <f t="shared" si="34"/>
        <v>107.75</v>
      </c>
      <c r="CM18" s="45"/>
      <c r="CN18" s="42">
        <v>34105.64</v>
      </c>
      <c r="CO18" s="98">
        <f t="shared" si="35"/>
        <v>2.6399999999994179</v>
      </c>
      <c r="CP18" s="98">
        <f t="shared" si="52"/>
        <v>6.44159999999858</v>
      </c>
      <c r="CQ18" s="42">
        <v>34300</v>
      </c>
      <c r="CR18" s="95">
        <f t="shared" si="36"/>
        <v>0</v>
      </c>
      <c r="CS18" s="98">
        <f t="shared" si="53"/>
        <v>0</v>
      </c>
      <c r="CT18" s="42">
        <v>10234</v>
      </c>
      <c r="CU18" s="95">
        <f t="shared" si="37"/>
        <v>0</v>
      </c>
      <c r="CV18" s="95">
        <f t="shared" si="38"/>
        <v>0</v>
      </c>
      <c r="CW18" s="42">
        <v>831981</v>
      </c>
      <c r="CX18" s="95">
        <f t="shared" si="39"/>
        <v>0</v>
      </c>
      <c r="CY18" s="98">
        <f t="shared" si="54"/>
        <v>0</v>
      </c>
      <c r="CZ18" s="42">
        <v>5729.1</v>
      </c>
      <c r="DA18" s="95">
        <f t="shared" si="40"/>
        <v>1.2000000000007276</v>
      </c>
      <c r="DB18" s="98">
        <f t="shared" si="55"/>
        <v>2.8680000000017389</v>
      </c>
      <c r="DC18" s="42">
        <v>7415</v>
      </c>
      <c r="DD18" s="95">
        <f t="shared" si="41"/>
        <v>0</v>
      </c>
      <c r="DE18" s="98">
        <f t="shared" si="56"/>
        <v>0</v>
      </c>
      <c r="DF18" s="42">
        <v>3833.2</v>
      </c>
      <c r="DG18" s="95">
        <f t="shared" si="42"/>
        <v>5.5999999999999091</v>
      </c>
      <c r="DH18" s="98">
        <f t="shared" si="57"/>
        <v>13.383999999999784</v>
      </c>
      <c r="DI18" s="42">
        <v>1855.7</v>
      </c>
      <c r="DJ18" s="95">
        <f>IF((DI18-DI17)&lt;0,"0",(DI18-DI17))</f>
        <v>0</v>
      </c>
      <c r="DK18" s="98">
        <f t="shared" si="58"/>
        <v>0</v>
      </c>
      <c r="DL18" s="42">
        <v>5078.3999999999996</v>
      </c>
      <c r="DM18" s="95">
        <f>IF((DL18-DL17)&lt;0,"0",(DL18-DL17))</f>
        <v>0</v>
      </c>
      <c r="DN18" s="98">
        <f t="shared" si="59"/>
        <v>0</v>
      </c>
      <c r="DO18" s="42">
        <v>4451.7</v>
      </c>
      <c r="DP18" s="95">
        <f>IF((DO18-DO17)&lt;0,"0",(DO18-DO17))</f>
        <v>0</v>
      </c>
      <c r="DQ18" s="98">
        <f t="shared" si="60"/>
        <v>0</v>
      </c>
      <c r="DR18" s="42">
        <v>5086.1000000000004</v>
      </c>
      <c r="DS18" s="95">
        <f>IF((DR18-DR17)&lt;0,"0",(DR18-DR17))</f>
        <v>0</v>
      </c>
      <c r="DT18" s="98">
        <f t="shared" si="61"/>
        <v>0</v>
      </c>
      <c r="DU18" s="42">
        <v>4320.7</v>
      </c>
      <c r="DV18" s="95">
        <f>IF((DU18-DU17)&lt;0,"0",(DU18-DU17))</f>
        <v>0</v>
      </c>
      <c r="DW18" s="98">
        <f t="shared" si="62"/>
        <v>0</v>
      </c>
      <c r="DX18" s="47">
        <v>12732</v>
      </c>
      <c r="DY18" s="98">
        <f t="shared" si="64"/>
        <v>0</v>
      </c>
      <c r="DZ18" s="47">
        <v>61889</v>
      </c>
      <c r="EA18" s="104">
        <v>0</v>
      </c>
      <c r="EB18" s="48">
        <v>15599</v>
      </c>
      <c r="EC18" s="109">
        <f t="shared" si="63"/>
        <v>0</v>
      </c>
      <c r="ED18" s="48">
        <v>24594</v>
      </c>
      <c r="EE18" s="109">
        <f t="shared" si="48"/>
        <v>0</v>
      </c>
      <c r="EF18" s="48">
        <v>2</v>
      </c>
      <c r="EG18" s="49">
        <v>11</v>
      </c>
      <c r="EH18" s="134">
        <v>1.4999999999999999E-2</v>
      </c>
      <c r="EI18" s="105"/>
      <c r="EJ18" s="48"/>
      <c r="EK18" s="48"/>
    </row>
    <row r="19" spans="1:141" s="26" customFormat="1" ht="15.75" thickBot="1" x14ac:dyDescent="0.25">
      <c r="A19" s="27">
        <v>44028</v>
      </c>
      <c r="B19" s="42">
        <v>5273470</v>
      </c>
      <c r="C19" s="92">
        <f t="shared" si="0"/>
        <v>4000</v>
      </c>
      <c r="D19" s="42">
        <v>4619572</v>
      </c>
      <c r="E19" s="92">
        <f t="shared" si="1"/>
        <v>3646</v>
      </c>
      <c r="F19" s="36">
        <f t="shared" si="49"/>
        <v>0.91149999999999998</v>
      </c>
      <c r="G19" s="41">
        <v>238</v>
      </c>
      <c r="H19" s="41">
        <v>286</v>
      </c>
      <c r="I19" s="52">
        <v>285707</v>
      </c>
      <c r="J19" s="92">
        <f t="shared" si="65"/>
        <v>0</v>
      </c>
      <c r="K19" s="43">
        <v>750</v>
      </c>
      <c r="L19" s="92">
        <f t="shared" si="66"/>
        <v>0</v>
      </c>
      <c r="M19" s="42">
        <v>629908</v>
      </c>
      <c r="N19" s="92">
        <f t="shared" si="67"/>
        <v>0</v>
      </c>
      <c r="O19" s="42">
        <v>967</v>
      </c>
      <c r="P19" s="92">
        <f t="shared" si="68"/>
        <v>0</v>
      </c>
      <c r="Q19" s="42">
        <v>2531678</v>
      </c>
      <c r="R19" s="92">
        <f t="shared" si="2"/>
        <v>95</v>
      </c>
      <c r="S19" s="42">
        <v>2188265</v>
      </c>
      <c r="T19" s="93">
        <f t="shared" si="3"/>
        <v>72</v>
      </c>
      <c r="U19" s="45">
        <v>93341</v>
      </c>
      <c r="V19" s="94">
        <f t="shared" si="4"/>
        <v>71</v>
      </c>
      <c r="W19" s="42">
        <v>100</v>
      </c>
      <c r="X19" s="45">
        <v>0</v>
      </c>
      <c r="Y19" s="42">
        <v>152258</v>
      </c>
      <c r="Z19" s="94">
        <f t="shared" si="5"/>
        <v>0</v>
      </c>
      <c r="AA19" s="41">
        <v>37943</v>
      </c>
      <c r="AB19" s="95">
        <f t="shared" si="71"/>
        <v>2</v>
      </c>
      <c r="AC19" s="42">
        <v>1061</v>
      </c>
      <c r="AD19" s="93">
        <f t="shared" si="7"/>
        <v>0</v>
      </c>
      <c r="AE19" s="42">
        <v>3700</v>
      </c>
      <c r="AF19" s="92">
        <f t="shared" si="7"/>
        <v>0</v>
      </c>
      <c r="AG19" s="25"/>
      <c r="AH19" s="25"/>
      <c r="AI19" s="42">
        <v>571330</v>
      </c>
      <c r="AJ19" s="94">
        <f t="shared" si="8"/>
        <v>20</v>
      </c>
      <c r="AK19" s="96"/>
      <c r="AL19" s="94"/>
      <c r="AM19" s="42">
        <v>52030</v>
      </c>
      <c r="AN19" s="94">
        <f t="shared" si="9"/>
        <v>1</v>
      </c>
      <c r="AO19" s="42">
        <v>8866</v>
      </c>
      <c r="AP19" s="94">
        <f t="shared" si="10"/>
        <v>0</v>
      </c>
      <c r="AQ19" s="42">
        <v>10551</v>
      </c>
      <c r="AR19" s="94">
        <f t="shared" si="11"/>
        <v>1</v>
      </c>
      <c r="AS19" s="41">
        <v>14481</v>
      </c>
      <c r="AT19" s="93">
        <f>IF((AS19-AS18)&lt;0,"0",(AS19-AS18))</f>
        <v>0</v>
      </c>
      <c r="AU19" s="45">
        <v>19350</v>
      </c>
      <c r="AV19" s="92">
        <f t="shared" si="13"/>
        <v>0</v>
      </c>
      <c r="AW19" s="45">
        <v>20660</v>
      </c>
      <c r="AX19" s="98">
        <f t="shared" si="14"/>
        <v>0</v>
      </c>
      <c r="AY19" s="42">
        <v>13831</v>
      </c>
      <c r="AZ19" s="98">
        <f t="shared" si="15"/>
        <v>0</v>
      </c>
      <c r="BA19" s="42">
        <v>6153</v>
      </c>
      <c r="BB19" s="98">
        <f>IF((BA19-BA18)&lt;0,"0",(BA19-BA18))</f>
        <v>0</v>
      </c>
      <c r="BC19" s="42">
        <v>26345</v>
      </c>
      <c r="BD19" s="98">
        <f t="shared" si="17"/>
        <v>0</v>
      </c>
      <c r="BE19" s="42">
        <v>1112</v>
      </c>
      <c r="BF19" s="95">
        <f t="shared" si="18"/>
        <v>0</v>
      </c>
      <c r="BG19" s="42">
        <v>4304</v>
      </c>
      <c r="BH19" s="95">
        <f t="shared" si="19"/>
        <v>1</v>
      </c>
      <c r="BI19" s="42">
        <v>3636</v>
      </c>
      <c r="BJ19" s="95">
        <f t="shared" si="20"/>
        <v>0</v>
      </c>
      <c r="BK19" s="95">
        <f t="shared" si="21"/>
        <v>0</v>
      </c>
      <c r="BL19" s="95">
        <f t="shared" si="22"/>
        <v>20</v>
      </c>
      <c r="BM19" s="42">
        <v>595390</v>
      </c>
      <c r="BN19" s="98">
        <f t="shared" si="23"/>
        <v>20</v>
      </c>
      <c r="BO19" s="108">
        <v>581</v>
      </c>
      <c r="BP19" s="98">
        <f t="shared" si="23"/>
        <v>0</v>
      </c>
      <c r="BQ19" s="42">
        <v>768380</v>
      </c>
      <c r="BR19" s="95">
        <f t="shared" si="25"/>
        <v>50</v>
      </c>
      <c r="BS19" s="108">
        <v>5866</v>
      </c>
      <c r="BT19" s="95">
        <f t="shared" si="25"/>
        <v>0</v>
      </c>
      <c r="BU19" s="98">
        <f t="shared" si="70"/>
        <v>30</v>
      </c>
      <c r="BV19" s="95">
        <f t="shared" si="26"/>
        <v>70</v>
      </c>
      <c r="BW19" s="99">
        <f t="shared" si="27"/>
        <v>2</v>
      </c>
      <c r="BX19" s="42">
        <v>142.30000000000001</v>
      </c>
      <c r="BY19" s="50">
        <f t="shared" si="28"/>
        <v>18260.185579676552</v>
      </c>
      <c r="BZ19" s="42"/>
      <c r="CA19" s="98">
        <f t="shared" si="69"/>
        <v>0</v>
      </c>
      <c r="CB19" s="42">
        <v>205996</v>
      </c>
      <c r="CC19" s="98">
        <f t="shared" si="29"/>
        <v>3</v>
      </c>
      <c r="CD19" s="98">
        <f t="shared" si="51"/>
        <v>17.13</v>
      </c>
      <c r="CE19" s="42">
        <v>35</v>
      </c>
      <c r="CF19" s="103">
        <f t="shared" si="30"/>
        <v>3771.25</v>
      </c>
      <c r="CG19" s="42">
        <v>38</v>
      </c>
      <c r="CH19" s="103">
        <f t="shared" si="31"/>
        <v>4094.5</v>
      </c>
      <c r="CI19" s="42">
        <v>39</v>
      </c>
      <c r="CJ19" s="103">
        <f t="shared" si="32"/>
        <v>4202.25</v>
      </c>
      <c r="CK19" s="103">
        <f t="shared" si="33"/>
        <v>12068</v>
      </c>
      <c r="CL19" s="103">
        <f t="shared" si="34"/>
        <v>107.75</v>
      </c>
      <c r="CM19" s="45"/>
      <c r="CN19" s="42">
        <v>34107.379999999997</v>
      </c>
      <c r="CO19" s="98">
        <f t="shared" si="35"/>
        <v>1.7399999999979627</v>
      </c>
      <c r="CP19" s="98">
        <f t="shared" si="52"/>
        <v>4.2455999999950293</v>
      </c>
      <c r="CQ19" s="42">
        <v>34300</v>
      </c>
      <c r="CR19" s="95">
        <f t="shared" si="36"/>
        <v>0</v>
      </c>
      <c r="CS19" s="98">
        <f t="shared" si="53"/>
        <v>0</v>
      </c>
      <c r="CT19" s="42">
        <v>10234</v>
      </c>
      <c r="CU19" s="95">
        <f t="shared" si="37"/>
        <v>0</v>
      </c>
      <c r="CV19" s="95">
        <f t="shared" si="38"/>
        <v>0</v>
      </c>
      <c r="CW19" s="42">
        <v>831981</v>
      </c>
      <c r="CX19" s="95">
        <f t="shared" si="39"/>
        <v>0</v>
      </c>
      <c r="CY19" s="98">
        <f t="shared" si="54"/>
        <v>0</v>
      </c>
      <c r="CZ19" s="42">
        <v>5729.9</v>
      </c>
      <c r="DA19" s="95">
        <f t="shared" si="40"/>
        <v>0.7999999999992724</v>
      </c>
      <c r="DB19" s="98">
        <f t="shared" si="55"/>
        <v>1.9119999999982611</v>
      </c>
      <c r="DC19" s="42">
        <v>7415</v>
      </c>
      <c r="DD19" s="95">
        <f t="shared" si="41"/>
        <v>0</v>
      </c>
      <c r="DE19" s="98">
        <f t="shared" si="56"/>
        <v>0</v>
      </c>
      <c r="DF19" s="42">
        <v>3834.8</v>
      </c>
      <c r="DG19" s="95">
        <f t="shared" si="42"/>
        <v>1.6000000000003638</v>
      </c>
      <c r="DH19" s="98">
        <f t="shared" si="57"/>
        <v>3.8240000000008698</v>
      </c>
      <c r="DI19" s="42">
        <v>1855.7</v>
      </c>
      <c r="DJ19" s="95">
        <f>IF((DI19-DI18)&lt;0,"0",(DI19-DI18))</f>
        <v>0</v>
      </c>
      <c r="DK19" s="98">
        <f t="shared" si="58"/>
        <v>0</v>
      </c>
      <c r="DL19" s="42">
        <v>5078.3999999999996</v>
      </c>
      <c r="DM19" s="95">
        <f>IF((DL19-DL18)&lt;0,"0",(DL19-DL18))</f>
        <v>0</v>
      </c>
      <c r="DN19" s="98">
        <f t="shared" si="59"/>
        <v>0</v>
      </c>
      <c r="DO19" s="42">
        <v>4451.7</v>
      </c>
      <c r="DP19" s="95">
        <f>IF((DO19-DO18)&lt;0,"0",(DO19-DO18))</f>
        <v>0</v>
      </c>
      <c r="DQ19" s="98">
        <f t="shared" si="60"/>
        <v>0</v>
      </c>
      <c r="DR19" s="42">
        <v>5086.1000000000004</v>
      </c>
      <c r="DS19" s="95">
        <f>IF((DR19-DR18)&lt;0,"0",(DR19-DR18))</f>
        <v>0</v>
      </c>
      <c r="DT19" s="98">
        <f t="shared" si="61"/>
        <v>0</v>
      </c>
      <c r="DU19" s="42">
        <v>4320.7</v>
      </c>
      <c r="DV19" s="95">
        <f>IF((DU19-DU18)&lt;0,"0",(DU19-DU18))</f>
        <v>0</v>
      </c>
      <c r="DW19" s="98">
        <f t="shared" si="62"/>
        <v>0</v>
      </c>
      <c r="DX19" s="47">
        <v>12732</v>
      </c>
      <c r="DY19" s="98">
        <f t="shared" si="64"/>
        <v>0</v>
      </c>
      <c r="DZ19" s="47">
        <v>61889</v>
      </c>
      <c r="EA19" s="104">
        <v>0</v>
      </c>
      <c r="EB19" s="48">
        <v>15599</v>
      </c>
      <c r="EC19" s="109">
        <f t="shared" si="63"/>
        <v>0</v>
      </c>
      <c r="ED19" s="48">
        <v>24594</v>
      </c>
      <c r="EE19" s="109">
        <f t="shared" si="48"/>
        <v>0</v>
      </c>
      <c r="EF19" s="48">
        <v>2</v>
      </c>
      <c r="EG19" s="49">
        <v>11</v>
      </c>
      <c r="EH19" s="134">
        <v>1.4999999999999999E-2</v>
      </c>
      <c r="EI19" s="105"/>
      <c r="EJ19" s="48"/>
      <c r="EK19" s="48"/>
    </row>
    <row r="20" spans="1:141" s="26" customFormat="1" ht="15.75" thickBot="1" x14ac:dyDescent="0.25">
      <c r="A20" s="27">
        <v>44029</v>
      </c>
      <c r="B20" s="42">
        <v>5277462</v>
      </c>
      <c r="C20" s="92">
        <f t="shared" si="0"/>
        <v>3992</v>
      </c>
      <c r="D20" s="42">
        <v>4623240</v>
      </c>
      <c r="E20" s="92">
        <f t="shared" si="1"/>
        <v>3668</v>
      </c>
      <c r="F20" s="36">
        <f t="shared" si="49"/>
        <v>0.91883767535070138</v>
      </c>
      <c r="G20" s="41">
        <v>238</v>
      </c>
      <c r="H20" s="41">
        <v>286</v>
      </c>
      <c r="I20" s="52">
        <v>285707</v>
      </c>
      <c r="J20" s="92">
        <f t="shared" si="65"/>
        <v>0</v>
      </c>
      <c r="K20" s="43">
        <v>750</v>
      </c>
      <c r="L20" s="93">
        <f t="shared" si="66"/>
        <v>0</v>
      </c>
      <c r="M20" s="42">
        <v>629908</v>
      </c>
      <c r="N20" s="92">
        <f t="shared" si="67"/>
        <v>0</v>
      </c>
      <c r="O20" s="42">
        <v>967</v>
      </c>
      <c r="P20" s="92">
        <f t="shared" si="68"/>
        <v>0</v>
      </c>
      <c r="Q20" s="42">
        <v>2531781</v>
      </c>
      <c r="R20" s="94">
        <f t="shared" si="2"/>
        <v>103</v>
      </c>
      <c r="S20" s="42">
        <v>2188353</v>
      </c>
      <c r="T20" s="94">
        <f t="shared" si="3"/>
        <v>88</v>
      </c>
      <c r="U20" s="45">
        <v>93430</v>
      </c>
      <c r="V20" s="94">
        <f t="shared" si="4"/>
        <v>89</v>
      </c>
      <c r="W20" s="42">
        <v>100</v>
      </c>
      <c r="X20" s="42">
        <v>0</v>
      </c>
      <c r="Y20" s="42">
        <v>152258</v>
      </c>
      <c r="Z20" s="94">
        <f t="shared" si="5"/>
        <v>0</v>
      </c>
      <c r="AA20" s="41">
        <v>37956</v>
      </c>
      <c r="AB20" s="95">
        <f t="shared" si="71"/>
        <v>13</v>
      </c>
      <c r="AC20" s="42">
        <v>1061</v>
      </c>
      <c r="AD20" s="94">
        <f t="shared" si="7"/>
        <v>0</v>
      </c>
      <c r="AE20" s="42">
        <v>3700</v>
      </c>
      <c r="AF20" s="92">
        <f t="shared" si="7"/>
        <v>0</v>
      </c>
      <c r="AG20" s="25"/>
      <c r="AH20" s="25"/>
      <c r="AI20" s="42">
        <v>571350</v>
      </c>
      <c r="AJ20" s="94">
        <f t="shared" si="8"/>
        <v>20</v>
      </c>
      <c r="AK20" s="96"/>
      <c r="AL20" s="94"/>
      <c r="AM20" s="42">
        <v>52031</v>
      </c>
      <c r="AN20" s="94">
        <f t="shared" si="9"/>
        <v>1</v>
      </c>
      <c r="AO20" s="42">
        <v>8866</v>
      </c>
      <c r="AP20" s="94">
        <f t="shared" si="10"/>
        <v>0</v>
      </c>
      <c r="AQ20" s="42">
        <v>10551</v>
      </c>
      <c r="AR20" s="94">
        <f t="shared" si="11"/>
        <v>0</v>
      </c>
      <c r="AS20" s="42">
        <v>14481</v>
      </c>
      <c r="AT20" s="94">
        <f t="shared" si="12"/>
        <v>0</v>
      </c>
      <c r="AU20" s="45">
        <v>19350</v>
      </c>
      <c r="AV20" s="94">
        <f t="shared" si="13"/>
        <v>0</v>
      </c>
      <c r="AW20" s="42">
        <v>20660</v>
      </c>
      <c r="AX20" s="98">
        <f t="shared" si="14"/>
        <v>0</v>
      </c>
      <c r="AY20" s="42">
        <v>13831</v>
      </c>
      <c r="AZ20" s="98">
        <f t="shared" si="15"/>
        <v>0</v>
      </c>
      <c r="BA20" s="42">
        <v>6153</v>
      </c>
      <c r="BB20" s="98">
        <f t="shared" si="16"/>
        <v>0</v>
      </c>
      <c r="BC20" s="42">
        <v>26345</v>
      </c>
      <c r="BD20" s="98">
        <f t="shared" si="17"/>
        <v>0</v>
      </c>
      <c r="BE20" s="42">
        <v>1112</v>
      </c>
      <c r="BF20" s="95">
        <f t="shared" si="18"/>
        <v>0</v>
      </c>
      <c r="BG20" s="42">
        <v>4304</v>
      </c>
      <c r="BH20" s="95">
        <f t="shared" si="19"/>
        <v>0</v>
      </c>
      <c r="BI20" s="42">
        <v>3636</v>
      </c>
      <c r="BJ20" s="95">
        <f t="shared" si="20"/>
        <v>0</v>
      </c>
      <c r="BK20" s="95">
        <f t="shared" si="21"/>
        <v>0</v>
      </c>
      <c r="BL20" s="95">
        <f t="shared" si="22"/>
        <v>20</v>
      </c>
      <c r="BM20" s="42">
        <v>595430</v>
      </c>
      <c r="BN20" s="98">
        <f t="shared" si="23"/>
        <v>40</v>
      </c>
      <c r="BO20" s="108">
        <v>581</v>
      </c>
      <c r="BP20" s="98">
        <f t="shared" si="23"/>
        <v>0</v>
      </c>
      <c r="BQ20" s="42">
        <v>768400</v>
      </c>
      <c r="BR20" s="95">
        <f t="shared" si="25"/>
        <v>20</v>
      </c>
      <c r="BS20" s="97">
        <v>5866</v>
      </c>
      <c r="BT20" s="95">
        <f t="shared" si="25"/>
        <v>0</v>
      </c>
      <c r="BU20" s="98">
        <f t="shared" ref="BU20:BU34" si="72">BR20-AJ20</f>
        <v>0</v>
      </c>
      <c r="BV20" s="95">
        <f t="shared" si="26"/>
        <v>60</v>
      </c>
      <c r="BW20" s="99">
        <f t="shared" si="27"/>
        <v>1</v>
      </c>
      <c r="BX20" s="45">
        <v>142.30000000000001</v>
      </c>
      <c r="BY20" s="50">
        <f t="shared" si="28"/>
        <v>18260.185579676552</v>
      </c>
      <c r="BZ20" s="113"/>
      <c r="CA20" s="98">
        <f t="shared" si="69"/>
        <v>0</v>
      </c>
      <c r="CB20" s="42">
        <v>206002</v>
      </c>
      <c r="CC20" s="98">
        <f t="shared" si="29"/>
        <v>6</v>
      </c>
      <c r="CD20" s="98">
        <f t="shared" si="51"/>
        <v>34.26</v>
      </c>
      <c r="CE20" s="42">
        <v>35</v>
      </c>
      <c r="CF20" s="103">
        <f t="shared" si="30"/>
        <v>3771.25</v>
      </c>
      <c r="CG20" s="42">
        <v>37</v>
      </c>
      <c r="CH20" s="103">
        <f t="shared" si="31"/>
        <v>3986.75</v>
      </c>
      <c r="CI20" s="42">
        <v>39</v>
      </c>
      <c r="CJ20" s="103">
        <f t="shared" si="32"/>
        <v>4202.25</v>
      </c>
      <c r="CK20" s="103">
        <f t="shared" si="33"/>
        <v>11960.25</v>
      </c>
      <c r="CL20" s="103">
        <f t="shared" si="34"/>
        <v>107.75</v>
      </c>
      <c r="CM20" s="45"/>
      <c r="CN20" s="42">
        <v>34109.050000000003</v>
      </c>
      <c r="CO20" s="98">
        <f t="shared" si="35"/>
        <v>1.6700000000055297</v>
      </c>
      <c r="CP20" s="98">
        <f t="shared" si="52"/>
        <v>4.0748000000134921</v>
      </c>
      <c r="CQ20" s="42">
        <v>34300</v>
      </c>
      <c r="CR20" s="95">
        <f t="shared" si="36"/>
        <v>0</v>
      </c>
      <c r="CS20" s="98">
        <f t="shared" si="53"/>
        <v>0</v>
      </c>
      <c r="CT20" s="42">
        <v>10234</v>
      </c>
      <c r="CU20" s="95">
        <f t="shared" si="37"/>
        <v>0</v>
      </c>
      <c r="CV20" s="95">
        <f t="shared" si="38"/>
        <v>0</v>
      </c>
      <c r="CW20" s="42">
        <v>831981</v>
      </c>
      <c r="CX20" s="95">
        <f t="shared" si="39"/>
        <v>0</v>
      </c>
      <c r="CY20" s="98">
        <f t="shared" si="54"/>
        <v>0</v>
      </c>
      <c r="CZ20" s="42">
        <v>5730.9</v>
      </c>
      <c r="DA20" s="95">
        <f t="shared" si="40"/>
        <v>1</v>
      </c>
      <c r="DB20" s="98">
        <f t="shared" si="55"/>
        <v>2.39</v>
      </c>
      <c r="DC20" s="42">
        <v>7415</v>
      </c>
      <c r="DD20" s="95">
        <f t="shared" si="41"/>
        <v>0</v>
      </c>
      <c r="DE20" s="98">
        <f t="shared" si="56"/>
        <v>0</v>
      </c>
      <c r="DF20" s="42">
        <v>3838.7</v>
      </c>
      <c r="DG20" s="95">
        <f t="shared" si="42"/>
        <v>3.8999999999996362</v>
      </c>
      <c r="DH20" s="98">
        <f t="shared" si="57"/>
        <v>9.3209999999991311</v>
      </c>
      <c r="DI20" s="42">
        <v>1855.7</v>
      </c>
      <c r="DJ20" s="95">
        <f t="shared" si="43"/>
        <v>0</v>
      </c>
      <c r="DK20" s="98">
        <f t="shared" si="58"/>
        <v>0</v>
      </c>
      <c r="DL20" s="42">
        <v>5078.3999999999996</v>
      </c>
      <c r="DM20" s="95">
        <f t="shared" si="44"/>
        <v>0</v>
      </c>
      <c r="DN20" s="98">
        <f t="shared" si="59"/>
        <v>0</v>
      </c>
      <c r="DO20" s="42">
        <v>4451.7</v>
      </c>
      <c r="DP20" s="95">
        <f t="shared" si="45"/>
        <v>0</v>
      </c>
      <c r="DQ20" s="98">
        <f t="shared" si="60"/>
        <v>0</v>
      </c>
      <c r="DR20" s="42">
        <v>5086.1000000000004</v>
      </c>
      <c r="DS20" s="95">
        <f t="shared" si="46"/>
        <v>0</v>
      </c>
      <c r="DT20" s="98">
        <f t="shared" si="61"/>
        <v>0</v>
      </c>
      <c r="DU20" s="42">
        <v>4320.7</v>
      </c>
      <c r="DV20" s="95">
        <f t="shared" si="47"/>
        <v>0</v>
      </c>
      <c r="DW20" s="98">
        <f t="shared" si="62"/>
        <v>0</v>
      </c>
      <c r="DX20" s="47">
        <v>12732</v>
      </c>
      <c r="DY20" s="98">
        <f t="shared" si="64"/>
        <v>0</v>
      </c>
      <c r="DZ20" s="47">
        <v>61889</v>
      </c>
      <c r="EA20" s="109">
        <f t="shared" ref="EA20:EA34" si="73">IF((DZ20-DZ19)&lt;0,"0",(DZ20-DZ19))</f>
        <v>0</v>
      </c>
      <c r="EB20" s="48">
        <v>15599</v>
      </c>
      <c r="EC20" s="109">
        <f t="shared" si="63"/>
        <v>0</v>
      </c>
      <c r="ED20" s="48">
        <v>24594</v>
      </c>
      <c r="EE20" s="109">
        <f t="shared" si="48"/>
        <v>0</v>
      </c>
      <c r="EF20" s="48">
        <v>1</v>
      </c>
      <c r="EG20" s="49">
        <v>9</v>
      </c>
      <c r="EH20" s="134">
        <v>7.4999999999999997E-3</v>
      </c>
      <c r="EI20" s="105"/>
      <c r="EJ20" s="48"/>
      <c r="EK20" s="48"/>
    </row>
    <row r="21" spans="1:141" s="26" customFormat="1" ht="15.75" thickBot="1" x14ac:dyDescent="0.25">
      <c r="A21" s="27">
        <v>44030</v>
      </c>
      <c r="B21" s="42">
        <v>5281252</v>
      </c>
      <c r="C21" s="92">
        <f>IF((B21-B20)&lt;0,"0",(B21-B20))</f>
        <v>3790</v>
      </c>
      <c r="D21" s="42">
        <v>4626673</v>
      </c>
      <c r="E21" s="92">
        <f>IF((D21-D20)&lt;0,"0",(D21-D20))</f>
        <v>3433</v>
      </c>
      <c r="F21" s="36">
        <f t="shared" si="49"/>
        <v>0.90580474934036936</v>
      </c>
      <c r="G21" s="41">
        <v>238</v>
      </c>
      <c r="H21" s="41">
        <v>286</v>
      </c>
      <c r="I21" s="52">
        <v>285707</v>
      </c>
      <c r="J21" s="92">
        <f t="shared" si="65"/>
        <v>0</v>
      </c>
      <c r="K21" s="43">
        <v>750</v>
      </c>
      <c r="L21" s="93">
        <f t="shared" si="66"/>
        <v>0</v>
      </c>
      <c r="M21" s="42">
        <v>629908</v>
      </c>
      <c r="N21" s="92">
        <f t="shared" si="67"/>
        <v>0</v>
      </c>
      <c r="O21" s="42">
        <v>967</v>
      </c>
      <c r="P21" s="92">
        <f t="shared" si="68"/>
        <v>0</v>
      </c>
      <c r="Q21" s="42">
        <v>2531813</v>
      </c>
      <c r="R21" s="94">
        <f t="shared" si="2"/>
        <v>32</v>
      </c>
      <c r="S21" s="42">
        <v>2188374</v>
      </c>
      <c r="T21" s="94">
        <f t="shared" si="3"/>
        <v>21</v>
      </c>
      <c r="U21" s="45">
        <v>93478</v>
      </c>
      <c r="V21" s="94">
        <f t="shared" si="4"/>
        <v>48</v>
      </c>
      <c r="W21" s="42">
        <v>100</v>
      </c>
      <c r="X21" s="42">
        <v>0</v>
      </c>
      <c r="Y21" s="42">
        <v>152258</v>
      </c>
      <c r="Z21" s="94">
        <f t="shared" si="5"/>
        <v>0</v>
      </c>
      <c r="AA21" s="41">
        <v>37960</v>
      </c>
      <c r="AB21" s="95">
        <f t="shared" si="71"/>
        <v>4</v>
      </c>
      <c r="AC21" s="42">
        <v>1061</v>
      </c>
      <c r="AD21" s="94">
        <f t="shared" si="7"/>
        <v>0</v>
      </c>
      <c r="AE21" s="42">
        <v>3700</v>
      </c>
      <c r="AF21" s="92">
        <f t="shared" si="7"/>
        <v>0</v>
      </c>
      <c r="AG21" s="25"/>
      <c r="AH21" s="25"/>
      <c r="AI21" s="42">
        <v>571420</v>
      </c>
      <c r="AJ21" s="94">
        <f>IF((AI21-AI20)&lt;0,"0",(AI21-AI20))</f>
        <v>70</v>
      </c>
      <c r="AK21" s="96"/>
      <c r="AL21" s="94"/>
      <c r="AM21" s="42">
        <v>52032</v>
      </c>
      <c r="AN21" s="94">
        <f t="shared" si="9"/>
        <v>1</v>
      </c>
      <c r="AO21" s="42">
        <v>8866</v>
      </c>
      <c r="AP21" s="94">
        <f t="shared" si="10"/>
        <v>0</v>
      </c>
      <c r="AQ21" s="42">
        <v>10551</v>
      </c>
      <c r="AR21" s="94">
        <f t="shared" si="11"/>
        <v>0</v>
      </c>
      <c r="AS21" s="42">
        <v>14481</v>
      </c>
      <c r="AT21" s="94">
        <f>IF((AS21-AS20)&lt;0,"0",(AS21-AS20))</f>
        <v>0</v>
      </c>
      <c r="AU21" s="45">
        <v>19350</v>
      </c>
      <c r="AV21" s="94">
        <f>IF((AU21-AU20)&lt;0,"0",(AU21-AU20))</f>
        <v>0</v>
      </c>
      <c r="AW21" s="42">
        <v>20660</v>
      </c>
      <c r="AX21" s="98">
        <f>IF((AW21-AW20)&lt;0,"0",(AW21-AW20))</f>
        <v>0</v>
      </c>
      <c r="AY21" s="42">
        <v>13831</v>
      </c>
      <c r="AZ21" s="98">
        <f>IF((AY21-AY20)&lt;0,"0",(AY21-AY20))</f>
        <v>0</v>
      </c>
      <c r="BA21" s="42">
        <v>6153</v>
      </c>
      <c r="BB21" s="98">
        <f>IF((BA21-BA20)&lt;0,"0",(BA21-BA20))</f>
        <v>0</v>
      </c>
      <c r="BC21" s="42">
        <v>26346</v>
      </c>
      <c r="BD21" s="98">
        <f t="shared" si="17"/>
        <v>1</v>
      </c>
      <c r="BE21" s="42">
        <v>1112</v>
      </c>
      <c r="BF21" s="95">
        <f t="shared" si="18"/>
        <v>0</v>
      </c>
      <c r="BG21" s="42">
        <v>4304</v>
      </c>
      <c r="BH21" s="95">
        <f t="shared" si="19"/>
        <v>0</v>
      </c>
      <c r="BI21" s="42">
        <v>3636</v>
      </c>
      <c r="BJ21" s="95">
        <f t="shared" si="20"/>
        <v>0</v>
      </c>
      <c r="BK21" s="95">
        <f t="shared" si="21"/>
        <v>0</v>
      </c>
      <c r="BL21" s="95">
        <f t="shared" si="22"/>
        <v>70</v>
      </c>
      <c r="BM21" s="42">
        <v>595440</v>
      </c>
      <c r="BN21" s="98">
        <f t="shared" si="23"/>
        <v>10</v>
      </c>
      <c r="BO21" s="108">
        <v>581</v>
      </c>
      <c r="BP21" s="98">
        <f t="shared" si="23"/>
        <v>0</v>
      </c>
      <c r="BQ21" s="42">
        <v>768480</v>
      </c>
      <c r="BR21" s="95">
        <f t="shared" si="25"/>
        <v>80</v>
      </c>
      <c r="BS21" s="97">
        <v>5867</v>
      </c>
      <c r="BT21" s="95">
        <f t="shared" si="25"/>
        <v>1</v>
      </c>
      <c r="BU21" s="98">
        <f t="shared" si="72"/>
        <v>10</v>
      </c>
      <c r="BV21" s="95">
        <f t="shared" si="26"/>
        <v>90</v>
      </c>
      <c r="BW21" s="99">
        <f t="shared" si="27"/>
        <v>1</v>
      </c>
      <c r="BX21" s="42">
        <v>142.30000000000001</v>
      </c>
      <c r="BY21" s="50">
        <f t="shared" si="28"/>
        <v>18260.185579676552</v>
      </c>
      <c r="BZ21" s="113"/>
      <c r="CA21" s="98">
        <f t="shared" si="69"/>
        <v>0</v>
      </c>
      <c r="CB21" s="42">
        <v>206003.20000000001</v>
      </c>
      <c r="CC21" s="98">
        <f t="shared" si="29"/>
        <v>1.2000000000116415</v>
      </c>
      <c r="CD21" s="98">
        <f t="shared" si="51"/>
        <v>6.8520000000664734</v>
      </c>
      <c r="CE21" s="42">
        <v>35</v>
      </c>
      <c r="CF21" s="103">
        <f t="shared" si="30"/>
        <v>3771.25</v>
      </c>
      <c r="CG21" s="42">
        <v>36</v>
      </c>
      <c r="CH21" s="103">
        <f t="shared" si="31"/>
        <v>3879</v>
      </c>
      <c r="CI21" s="42">
        <v>39</v>
      </c>
      <c r="CJ21" s="103">
        <f t="shared" si="32"/>
        <v>4202.25</v>
      </c>
      <c r="CK21" s="103">
        <f t="shared" si="33"/>
        <v>11852.5</v>
      </c>
      <c r="CL21" s="103">
        <f t="shared" si="34"/>
        <v>107.75</v>
      </c>
      <c r="CM21" s="45"/>
      <c r="CN21" s="42">
        <v>34109.699999999997</v>
      </c>
      <c r="CO21" s="98">
        <f t="shared" si="35"/>
        <v>0.64999999999417923</v>
      </c>
      <c r="CP21" s="98">
        <f t="shared" si="52"/>
        <v>1.5859999999857972</v>
      </c>
      <c r="CQ21" s="42">
        <v>34300</v>
      </c>
      <c r="CR21" s="95">
        <f t="shared" si="36"/>
        <v>0</v>
      </c>
      <c r="CS21" s="98">
        <f t="shared" si="53"/>
        <v>0</v>
      </c>
      <c r="CT21" s="42">
        <v>10234</v>
      </c>
      <c r="CU21" s="95">
        <f t="shared" si="37"/>
        <v>0</v>
      </c>
      <c r="CV21" s="95">
        <f t="shared" si="38"/>
        <v>0</v>
      </c>
      <c r="CW21" s="42">
        <v>832021</v>
      </c>
      <c r="CX21" s="95">
        <f t="shared" si="39"/>
        <v>40</v>
      </c>
      <c r="CY21" s="98">
        <f t="shared" si="54"/>
        <v>124</v>
      </c>
      <c r="CZ21" s="45">
        <v>5731.5</v>
      </c>
      <c r="DA21" s="95">
        <f t="shared" si="40"/>
        <v>0.6000000000003638</v>
      </c>
      <c r="DB21" s="98">
        <f t="shared" si="55"/>
        <v>1.4340000000008695</v>
      </c>
      <c r="DC21" s="42">
        <v>7415</v>
      </c>
      <c r="DD21" s="95">
        <f t="shared" si="41"/>
        <v>0</v>
      </c>
      <c r="DE21" s="98">
        <f t="shared" si="56"/>
        <v>0</v>
      </c>
      <c r="DF21" s="42">
        <v>3838.7</v>
      </c>
      <c r="DG21" s="95">
        <f t="shared" si="42"/>
        <v>0</v>
      </c>
      <c r="DH21" s="98">
        <f t="shared" si="57"/>
        <v>0</v>
      </c>
      <c r="DI21" s="42">
        <v>1855.7</v>
      </c>
      <c r="DJ21" s="95">
        <f t="shared" si="43"/>
        <v>0</v>
      </c>
      <c r="DK21" s="98">
        <f t="shared" si="58"/>
        <v>0</v>
      </c>
      <c r="DL21" s="42">
        <v>5078.3999999999996</v>
      </c>
      <c r="DM21" s="95">
        <f t="shared" si="44"/>
        <v>0</v>
      </c>
      <c r="DN21" s="98">
        <f t="shared" si="59"/>
        <v>0</v>
      </c>
      <c r="DO21" s="42">
        <v>4451.7</v>
      </c>
      <c r="DP21" s="95">
        <f t="shared" si="45"/>
        <v>0</v>
      </c>
      <c r="DQ21" s="98">
        <f t="shared" si="60"/>
        <v>0</v>
      </c>
      <c r="DR21" s="42">
        <v>5086.1000000000004</v>
      </c>
      <c r="DS21" s="95">
        <f t="shared" si="46"/>
        <v>0</v>
      </c>
      <c r="DT21" s="98">
        <f t="shared" si="61"/>
        <v>0</v>
      </c>
      <c r="DU21" s="42">
        <v>4320.7</v>
      </c>
      <c r="DV21" s="95">
        <f t="shared" si="47"/>
        <v>0</v>
      </c>
      <c r="DW21" s="98">
        <f t="shared" si="62"/>
        <v>0</v>
      </c>
      <c r="DX21" s="47">
        <v>12732</v>
      </c>
      <c r="DY21" s="98">
        <f t="shared" si="64"/>
        <v>0</v>
      </c>
      <c r="DZ21" s="47">
        <v>61889</v>
      </c>
      <c r="EA21" s="109">
        <f t="shared" si="73"/>
        <v>0</v>
      </c>
      <c r="EB21" s="48">
        <v>15599</v>
      </c>
      <c r="EC21" s="109">
        <f t="shared" si="63"/>
        <v>0</v>
      </c>
      <c r="ED21" s="48">
        <v>24594</v>
      </c>
      <c r="EE21" s="109">
        <f t="shared" si="48"/>
        <v>0</v>
      </c>
      <c r="EF21" s="48">
        <v>1</v>
      </c>
      <c r="EG21" s="49">
        <v>9</v>
      </c>
      <c r="EH21" s="134">
        <v>7.4999999999999997E-3</v>
      </c>
      <c r="EI21" s="105"/>
      <c r="EJ21" s="48"/>
      <c r="EK21" s="48"/>
    </row>
    <row r="22" spans="1:141" s="29" customFormat="1" ht="15.75" thickBot="1" x14ac:dyDescent="0.25">
      <c r="A22" s="27">
        <v>44031</v>
      </c>
      <c r="B22" s="42">
        <v>5284942</v>
      </c>
      <c r="C22" s="92">
        <f t="shared" si="0"/>
        <v>3690</v>
      </c>
      <c r="D22" s="42">
        <v>4630049</v>
      </c>
      <c r="E22" s="92">
        <f t="shared" si="1"/>
        <v>3376</v>
      </c>
      <c r="F22" s="36">
        <f t="shared" si="49"/>
        <v>0.91490514905149056</v>
      </c>
      <c r="G22" s="41">
        <v>238</v>
      </c>
      <c r="H22" s="41">
        <v>286</v>
      </c>
      <c r="I22" s="52">
        <v>285707</v>
      </c>
      <c r="J22" s="92">
        <f t="shared" si="65"/>
        <v>0</v>
      </c>
      <c r="K22" s="43">
        <v>750</v>
      </c>
      <c r="L22" s="93">
        <f t="shared" si="66"/>
        <v>0</v>
      </c>
      <c r="M22" s="42">
        <v>629908</v>
      </c>
      <c r="N22" s="92">
        <f t="shared" si="67"/>
        <v>0</v>
      </c>
      <c r="O22" s="42">
        <v>967</v>
      </c>
      <c r="P22" s="92">
        <f t="shared" si="68"/>
        <v>0</v>
      </c>
      <c r="Q22" s="42">
        <v>2531879</v>
      </c>
      <c r="R22" s="94">
        <f t="shared" si="2"/>
        <v>66</v>
      </c>
      <c r="S22" s="42">
        <v>2188433</v>
      </c>
      <c r="T22" s="94">
        <f t="shared" si="3"/>
        <v>59</v>
      </c>
      <c r="U22" s="45">
        <v>93553</v>
      </c>
      <c r="V22" s="94">
        <f t="shared" si="4"/>
        <v>75</v>
      </c>
      <c r="W22" s="42">
        <v>100</v>
      </c>
      <c r="X22" s="42">
        <v>0</v>
      </c>
      <c r="Y22" s="42">
        <v>152258</v>
      </c>
      <c r="Z22" s="94">
        <f t="shared" si="5"/>
        <v>0</v>
      </c>
      <c r="AA22" s="41">
        <v>37969</v>
      </c>
      <c r="AB22" s="95">
        <f t="shared" si="71"/>
        <v>9</v>
      </c>
      <c r="AC22" s="42">
        <v>1061</v>
      </c>
      <c r="AD22" s="94">
        <f t="shared" si="7"/>
        <v>0</v>
      </c>
      <c r="AE22" s="42">
        <v>3713</v>
      </c>
      <c r="AF22" s="92">
        <f t="shared" si="7"/>
        <v>13</v>
      </c>
      <c r="AG22" s="25"/>
      <c r="AH22" s="25"/>
      <c r="AI22" s="42">
        <v>571480</v>
      </c>
      <c r="AJ22" s="94">
        <f t="shared" si="8"/>
        <v>60</v>
      </c>
      <c r="AK22" s="96"/>
      <c r="AL22" s="94"/>
      <c r="AM22" s="42">
        <v>52033</v>
      </c>
      <c r="AN22" s="94">
        <f t="shared" si="9"/>
        <v>1</v>
      </c>
      <c r="AO22" s="42">
        <v>8867</v>
      </c>
      <c r="AP22" s="94">
        <f>IF((AO22-AO21)&lt;0,"0",(AO22-AO21))</f>
        <v>1</v>
      </c>
      <c r="AQ22" s="42">
        <v>10551</v>
      </c>
      <c r="AR22" s="94">
        <f>IF((AQ22-AQ21)&lt;0,"0",(AQ22-AQ21))</f>
        <v>0</v>
      </c>
      <c r="AS22" s="42">
        <v>14481</v>
      </c>
      <c r="AT22" s="94">
        <f>IF((AS22-AS21)&lt;0,"0",(AS22-AS21))</f>
        <v>0</v>
      </c>
      <c r="AU22" s="45">
        <v>19350</v>
      </c>
      <c r="AV22" s="94">
        <f>IF((AU22-AU21)&lt;0,"0",(AU22-AU21))</f>
        <v>0</v>
      </c>
      <c r="AW22" s="42">
        <v>20660</v>
      </c>
      <c r="AX22" s="98">
        <f>IF((AW22-AW21)&lt;0,"0",(AW22-AW21))</f>
        <v>0</v>
      </c>
      <c r="AY22" s="42">
        <v>13831</v>
      </c>
      <c r="AZ22" s="98">
        <f>IF((AY22-AY21)&lt;0,"0",(AY22-AY21))</f>
        <v>0</v>
      </c>
      <c r="BA22" s="42">
        <v>6153</v>
      </c>
      <c r="BB22" s="98">
        <f>IF((BA22-BA21)&lt;0,"0",(BA22-BA21))</f>
        <v>0</v>
      </c>
      <c r="BC22" s="42">
        <v>26346</v>
      </c>
      <c r="BD22" s="98">
        <f t="shared" si="17"/>
        <v>0</v>
      </c>
      <c r="BE22" s="42">
        <v>1112</v>
      </c>
      <c r="BF22" s="95">
        <f>IF((BE22-BE21)&lt;0,"0",(BE22-BE21))</f>
        <v>0</v>
      </c>
      <c r="BG22" s="42">
        <v>4304</v>
      </c>
      <c r="BH22" s="95">
        <f>IF((BG22-BG21)&lt;0,"0",(BG22-BG21))</f>
        <v>0</v>
      </c>
      <c r="BI22" s="42">
        <v>3636</v>
      </c>
      <c r="BJ22" s="95">
        <f t="shared" si="20"/>
        <v>0</v>
      </c>
      <c r="BK22" s="95">
        <f t="shared" si="21"/>
        <v>0</v>
      </c>
      <c r="BL22" s="95">
        <f t="shared" si="22"/>
        <v>60</v>
      </c>
      <c r="BM22" s="42">
        <v>595470</v>
      </c>
      <c r="BN22" s="98">
        <f t="shared" si="23"/>
        <v>30</v>
      </c>
      <c r="BO22" s="108">
        <v>581</v>
      </c>
      <c r="BP22" s="98">
        <f t="shared" si="23"/>
        <v>0</v>
      </c>
      <c r="BQ22" s="42">
        <v>768540</v>
      </c>
      <c r="BR22" s="95">
        <f t="shared" si="25"/>
        <v>60</v>
      </c>
      <c r="BS22" s="97">
        <v>5867</v>
      </c>
      <c r="BT22" s="95">
        <f t="shared" si="25"/>
        <v>0</v>
      </c>
      <c r="BU22" s="98">
        <f t="shared" si="72"/>
        <v>0</v>
      </c>
      <c r="BV22" s="95">
        <f t="shared" si="26"/>
        <v>90</v>
      </c>
      <c r="BW22" s="99">
        <f t="shared" si="27"/>
        <v>2</v>
      </c>
      <c r="BX22" s="42">
        <v>142.30000000000001</v>
      </c>
      <c r="BY22" s="50">
        <f t="shared" si="28"/>
        <v>18260.185579676552</v>
      </c>
      <c r="BZ22" s="113"/>
      <c r="CA22" s="98">
        <f t="shared" si="69"/>
        <v>0</v>
      </c>
      <c r="CB22" s="42">
        <v>206003.5</v>
      </c>
      <c r="CC22" s="98">
        <f t="shared" si="29"/>
        <v>0.29999999998835847</v>
      </c>
      <c r="CD22" s="98">
        <f>CC22*5.71</f>
        <v>1.7129999999335268</v>
      </c>
      <c r="CE22" s="42">
        <v>35</v>
      </c>
      <c r="CF22" s="103">
        <f t="shared" si="30"/>
        <v>3771.25</v>
      </c>
      <c r="CG22" s="42">
        <v>35</v>
      </c>
      <c r="CH22" s="103">
        <f t="shared" si="31"/>
        <v>3771.25</v>
      </c>
      <c r="CI22" s="42">
        <v>39</v>
      </c>
      <c r="CJ22" s="103">
        <f t="shared" si="32"/>
        <v>4202.25</v>
      </c>
      <c r="CK22" s="103">
        <f t="shared" si="33"/>
        <v>11744.75</v>
      </c>
      <c r="CL22" s="103">
        <f t="shared" si="34"/>
        <v>107.75</v>
      </c>
      <c r="CM22" s="45"/>
      <c r="CN22" s="42">
        <v>34109.9</v>
      </c>
      <c r="CO22" s="98">
        <f t="shared" si="35"/>
        <v>0.20000000000436557</v>
      </c>
      <c r="CP22" s="98">
        <f t="shared" si="52"/>
        <v>0.48800000001065197</v>
      </c>
      <c r="CQ22" s="42">
        <v>34300</v>
      </c>
      <c r="CR22" s="95">
        <f t="shared" si="36"/>
        <v>0</v>
      </c>
      <c r="CS22" s="98">
        <f t="shared" si="53"/>
        <v>0</v>
      </c>
      <c r="CT22" s="42">
        <v>10234</v>
      </c>
      <c r="CU22" s="95">
        <f t="shared" si="37"/>
        <v>0</v>
      </c>
      <c r="CV22" s="95">
        <f t="shared" si="38"/>
        <v>0</v>
      </c>
      <c r="CW22" s="45">
        <v>832021</v>
      </c>
      <c r="CX22" s="95">
        <f t="shared" si="39"/>
        <v>0</v>
      </c>
      <c r="CY22" s="98">
        <f t="shared" si="54"/>
        <v>0</v>
      </c>
      <c r="CZ22" s="45">
        <v>5731.7</v>
      </c>
      <c r="DA22" s="95">
        <f t="shared" si="40"/>
        <v>0.1999999999998181</v>
      </c>
      <c r="DB22" s="98">
        <f t="shared" si="55"/>
        <v>0.47799999999956527</v>
      </c>
      <c r="DC22" s="42">
        <v>7415</v>
      </c>
      <c r="DD22" s="95">
        <f t="shared" si="41"/>
        <v>0</v>
      </c>
      <c r="DE22" s="98">
        <f t="shared" si="56"/>
        <v>0</v>
      </c>
      <c r="DF22" s="42">
        <v>3838.7</v>
      </c>
      <c r="DG22" s="95">
        <f t="shared" si="42"/>
        <v>0</v>
      </c>
      <c r="DH22" s="98">
        <f t="shared" si="57"/>
        <v>0</v>
      </c>
      <c r="DI22" s="42">
        <v>1855.7</v>
      </c>
      <c r="DJ22" s="95">
        <f t="shared" si="43"/>
        <v>0</v>
      </c>
      <c r="DK22" s="98">
        <f t="shared" si="58"/>
        <v>0</v>
      </c>
      <c r="DL22" s="42">
        <v>5078.3999999999996</v>
      </c>
      <c r="DM22" s="95">
        <f t="shared" si="44"/>
        <v>0</v>
      </c>
      <c r="DN22" s="98">
        <f t="shared" si="59"/>
        <v>0</v>
      </c>
      <c r="DO22" s="42">
        <v>4451.7</v>
      </c>
      <c r="DP22" s="95">
        <f t="shared" si="45"/>
        <v>0</v>
      </c>
      <c r="DQ22" s="98">
        <f t="shared" si="60"/>
        <v>0</v>
      </c>
      <c r="DR22" s="42">
        <v>5086.1000000000004</v>
      </c>
      <c r="DS22" s="95">
        <f t="shared" si="46"/>
        <v>0</v>
      </c>
      <c r="DT22" s="98">
        <f t="shared" si="61"/>
        <v>0</v>
      </c>
      <c r="DU22" s="42">
        <v>4320.7</v>
      </c>
      <c r="DV22" s="95">
        <f t="shared" si="47"/>
        <v>0</v>
      </c>
      <c r="DW22" s="98">
        <f t="shared" si="62"/>
        <v>0</v>
      </c>
      <c r="DX22" s="47">
        <v>12732</v>
      </c>
      <c r="DY22" s="98">
        <f t="shared" si="64"/>
        <v>0</v>
      </c>
      <c r="DZ22" s="47">
        <v>61889</v>
      </c>
      <c r="EA22" s="109">
        <f t="shared" si="73"/>
        <v>0</v>
      </c>
      <c r="EB22" s="48">
        <v>15599</v>
      </c>
      <c r="EC22" s="109">
        <f t="shared" si="63"/>
        <v>0</v>
      </c>
      <c r="ED22" s="48">
        <v>24594</v>
      </c>
      <c r="EE22" s="109">
        <f t="shared" si="48"/>
        <v>0</v>
      </c>
      <c r="EF22" s="48">
        <v>1</v>
      </c>
      <c r="EG22" s="49">
        <v>9</v>
      </c>
      <c r="EH22" s="134">
        <v>7.4999999999999997E-3</v>
      </c>
      <c r="EI22" s="118"/>
      <c r="EJ22" s="119"/>
      <c r="EK22" s="119"/>
    </row>
    <row r="23" spans="1:141" s="26" customFormat="1" ht="15.75" thickBot="1" x14ac:dyDescent="0.25">
      <c r="A23" s="27">
        <v>44032</v>
      </c>
      <c r="B23" s="42">
        <v>5288752</v>
      </c>
      <c r="C23" s="92">
        <f t="shared" si="0"/>
        <v>3810</v>
      </c>
      <c r="D23" s="42">
        <v>4633561</v>
      </c>
      <c r="E23" s="92">
        <f t="shared" si="1"/>
        <v>3512</v>
      </c>
      <c r="F23" s="36">
        <f t="shared" si="49"/>
        <v>0.92178477690288718</v>
      </c>
      <c r="G23" s="41">
        <v>238</v>
      </c>
      <c r="H23" s="41">
        <v>286</v>
      </c>
      <c r="I23" s="52">
        <v>285707</v>
      </c>
      <c r="J23" s="92">
        <f t="shared" si="65"/>
        <v>0</v>
      </c>
      <c r="K23" s="43">
        <v>750</v>
      </c>
      <c r="L23" s="93">
        <f t="shared" si="66"/>
        <v>0</v>
      </c>
      <c r="M23" s="42">
        <v>629908</v>
      </c>
      <c r="N23" s="92">
        <f t="shared" si="67"/>
        <v>0</v>
      </c>
      <c r="O23" s="42">
        <v>967</v>
      </c>
      <c r="P23" s="92">
        <f t="shared" si="68"/>
        <v>0</v>
      </c>
      <c r="Q23" s="42">
        <v>2532021</v>
      </c>
      <c r="R23" s="94">
        <f t="shared" si="2"/>
        <v>142</v>
      </c>
      <c r="S23" s="42">
        <v>2188495</v>
      </c>
      <c r="T23" s="94">
        <f t="shared" si="3"/>
        <v>62</v>
      </c>
      <c r="U23" s="42">
        <v>93626</v>
      </c>
      <c r="V23" s="94">
        <f t="shared" si="4"/>
        <v>73</v>
      </c>
      <c r="W23" s="42">
        <v>100</v>
      </c>
      <c r="X23" s="42">
        <v>0</v>
      </c>
      <c r="Y23" s="42">
        <v>152258</v>
      </c>
      <c r="Z23" s="94">
        <f t="shared" si="5"/>
        <v>0</v>
      </c>
      <c r="AA23" s="41">
        <v>37979</v>
      </c>
      <c r="AB23" s="95">
        <f t="shared" si="71"/>
        <v>10</v>
      </c>
      <c r="AC23" s="42">
        <v>1061</v>
      </c>
      <c r="AD23" s="94">
        <f t="shared" si="7"/>
        <v>0</v>
      </c>
      <c r="AE23" s="42">
        <v>3713</v>
      </c>
      <c r="AF23" s="92">
        <f t="shared" si="7"/>
        <v>0</v>
      </c>
      <c r="AG23" s="25"/>
      <c r="AH23" s="25"/>
      <c r="AI23" s="42">
        <v>571540</v>
      </c>
      <c r="AJ23" s="94">
        <f t="shared" si="8"/>
        <v>60</v>
      </c>
      <c r="AK23" s="96"/>
      <c r="AL23" s="94"/>
      <c r="AM23" s="42">
        <v>52033</v>
      </c>
      <c r="AN23" s="94">
        <f t="shared" si="9"/>
        <v>0</v>
      </c>
      <c r="AO23" s="42">
        <v>8866</v>
      </c>
      <c r="AP23" s="94" t="str">
        <f t="shared" si="10"/>
        <v>0</v>
      </c>
      <c r="AQ23" s="42">
        <v>10551</v>
      </c>
      <c r="AR23" s="94">
        <f t="shared" si="11"/>
        <v>0</v>
      </c>
      <c r="AS23" s="42">
        <v>14481</v>
      </c>
      <c r="AT23" s="94">
        <f t="shared" si="12"/>
        <v>0</v>
      </c>
      <c r="AU23" s="42">
        <v>19351</v>
      </c>
      <c r="AV23" s="94">
        <f t="shared" si="13"/>
        <v>1</v>
      </c>
      <c r="AW23" s="42">
        <v>20660</v>
      </c>
      <c r="AX23" s="98">
        <f t="shared" si="14"/>
        <v>0</v>
      </c>
      <c r="AY23" s="42">
        <v>13831</v>
      </c>
      <c r="AZ23" s="98">
        <f t="shared" si="15"/>
        <v>0</v>
      </c>
      <c r="BA23" s="42">
        <v>6153</v>
      </c>
      <c r="BB23" s="98">
        <f t="shared" si="16"/>
        <v>0</v>
      </c>
      <c r="BC23" s="42">
        <v>26346</v>
      </c>
      <c r="BD23" s="98">
        <f t="shared" si="17"/>
        <v>0</v>
      </c>
      <c r="BE23" s="42">
        <v>1112</v>
      </c>
      <c r="BF23" s="95">
        <f t="shared" si="18"/>
        <v>0</v>
      </c>
      <c r="BG23" s="42">
        <v>4304</v>
      </c>
      <c r="BH23" s="95">
        <f>IF((BG23-BG22)&lt;0,"0",(BG23-BG22))</f>
        <v>0</v>
      </c>
      <c r="BI23" s="42">
        <v>3636</v>
      </c>
      <c r="BJ23" s="95">
        <f>IF((BI23-BI22)&lt;0,"0",(BI23-BI22))</f>
        <v>0</v>
      </c>
      <c r="BK23" s="95">
        <f>AZ23+AX23+AT23</f>
        <v>0</v>
      </c>
      <c r="BL23" s="95">
        <f>AJ23-BK23</f>
        <v>60</v>
      </c>
      <c r="BM23" s="42">
        <v>595490</v>
      </c>
      <c r="BN23" s="98">
        <f t="shared" si="23"/>
        <v>20</v>
      </c>
      <c r="BO23" s="108">
        <v>581</v>
      </c>
      <c r="BP23" s="98">
        <f t="shared" si="23"/>
        <v>0</v>
      </c>
      <c r="BQ23" s="42">
        <v>768600</v>
      </c>
      <c r="BR23" s="95">
        <f t="shared" si="25"/>
        <v>60</v>
      </c>
      <c r="BS23" s="97">
        <v>5868</v>
      </c>
      <c r="BT23" s="95">
        <f t="shared" si="25"/>
        <v>1</v>
      </c>
      <c r="BU23" s="98">
        <f t="shared" si="72"/>
        <v>0</v>
      </c>
      <c r="BV23" s="95">
        <f t="shared" si="26"/>
        <v>80</v>
      </c>
      <c r="BW23" s="99">
        <f t="shared" si="27"/>
        <v>1</v>
      </c>
      <c r="BX23" s="42">
        <v>142.30000000000001</v>
      </c>
      <c r="BY23" s="50">
        <f t="shared" si="28"/>
        <v>18260.185579676552</v>
      </c>
      <c r="BZ23" s="101"/>
      <c r="CA23" s="98">
        <f t="shared" si="69"/>
        <v>0</v>
      </c>
      <c r="CB23" s="42">
        <v>206004.5</v>
      </c>
      <c r="CC23" s="98">
        <f t="shared" si="29"/>
        <v>1</v>
      </c>
      <c r="CD23" s="98">
        <f t="shared" si="51"/>
        <v>5.71</v>
      </c>
      <c r="CE23" s="42">
        <v>35</v>
      </c>
      <c r="CF23" s="103">
        <f t="shared" si="30"/>
        <v>3771.25</v>
      </c>
      <c r="CG23" s="42">
        <v>35</v>
      </c>
      <c r="CH23" s="103">
        <f t="shared" si="31"/>
        <v>3771.25</v>
      </c>
      <c r="CI23" s="42">
        <v>38</v>
      </c>
      <c r="CJ23" s="103">
        <f t="shared" si="32"/>
        <v>4094.5</v>
      </c>
      <c r="CK23" s="103">
        <f t="shared" si="33"/>
        <v>11637</v>
      </c>
      <c r="CL23" s="103">
        <f t="shared" si="34"/>
        <v>107.75</v>
      </c>
      <c r="CM23" s="45"/>
      <c r="CN23" s="42">
        <v>34110.400000000001</v>
      </c>
      <c r="CO23" s="98">
        <f t="shared" si="35"/>
        <v>0.5</v>
      </c>
      <c r="CP23" s="98">
        <f t="shared" si="52"/>
        <v>1.22</v>
      </c>
      <c r="CQ23" s="42">
        <v>34300</v>
      </c>
      <c r="CR23" s="95">
        <f t="shared" si="36"/>
        <v>0</v>
      </c>
      <c r="CS23" s="98">
        <f t="shared" si="53"/>
        <v>0</v>
      </c>
      <c r="CT23" s="42">
        <v>10234</v>
      </c>
      <c r="CU23" s="95">
        <f t="shared" si="37"/>
        <v>0</v>
      </c>
      <c r="CV23" s="95">
        <f t="shared" si="38"/>
        <v>0</v>
      </c>
      <c r="CW23" s="45">
        <v>832021</v>
      </c>
      <c r="CX23" s="95">
        <f t="shared" si="39"/>
        <v>0</v>
      </c>
      <c r="CY23" s="98">
        <f t="shared" si="54"/>
        <v>0</v>
      </c>
      <c r="CZ23" s="45">
        <v>5732.6</v>
      </c>
      <c r="DA23" s="95">
        <f t="shared" si="40"/>
        <v>0.9000000000005457</v>
      </c>
      <c r="DB23" s="98">
        <f t="shared" si="55"/>
        <v>2.1510000000013045</v>
      </c>
      <c r="DC23" s="42">
        <v>7415</v>
      </c>
      <c r="DD23" s="95">
        <f t="shared" si="41"/>
        <v>0</v>
      </c>
      <c r="DE23" s="98">
        <f t="shared" si="56"/>
        <v>0</v>
      </c>
      <c r="DF23" s="42">
        <v>3838.7</v>
      </c>
      <c r="DG23" s="95">
        <f t="shared" si="42"/>
        <v>0</v>
      </c>
      <c r="DH23" s="98">
        <f t="shared" si="57"/>
        <v>0</v>
      </c>
      <c r="DI23" s="42">
        <v>1855.7</v>
      </c>
      <c r="DJ23" s="95">
        <f t="shared" si="43"/>
        <v>0</v>
      </c>
      <c r="DK23" s="98">
        <f t="shared" si="58"/>
        <v>0</v>
      </c>
      <c r="DL23" s="42">
        <v>5078.3999999999996</v>
      </c>
      <c r="DM23" s="95">
        <f t="shared" si="44"/>
        <v>0</v>
      </c>
      <c r="DN23" s="98">
        <f t="shared" si="59"/>
        <v>0</v>
      </c>
      <c r="DO23" s="42">
        <v>4451.7</v>
      </c>
      <c r="DP23" s="95">
        <f t="shared" si="45"/>
        <v>0</v>
      </c>
      <c r="DQ23" s="98">
        <f t="shared" si="60"/>
        <v>0</v>
      </c>
      <c r="DR23" s="42">
        <v>5086.1000000000004</v>
      </c>
      <c r="DS23" s="95">
        <f t="shared" si="46"/>
        <v>0</v>
      </c>
      <c r="DT23" s="98">
        <f t="shared" si="61"/>
        <v>0</v>
      </c>
      <c r="DU23" s="42">
        <v>4320.7</v>
      </c>
      <c r="DV23" s="95">
        <f t="shared" si="47"/>
        <v>0</v>
      </c>
      <c r="DW23" s="98">
        <f t="shared" si="62"/>
        <v>0</v>
      </c>
      <c r="DX23" s="47">
        <v>12732</v>
      </c>
      <c r="DY23" s="98">
        <f t="shared" si="64"/>
        <v>0</v>
      </c>
      <c r="DZ23" s="47">
        <v>61889</v>
      </c>
      <c r="EA23" s="109">
        <f t="shared" si="73"/>
        <v>0</v>
      </c>
      <c r="EB23" s="48">
        <v>15599</v>
      </c>
      <c r="EC23" s="109">
        <f t="shared" si="63"/>
        <v>0</v>
      </c>
      <c r="ED23" s="48">
        <v>24594</v>
      </c>
      <c r="EE23" s="109">
        <f t="shared" si="48"/>
        <v>0</v>
      </c>
      <c r="EF23" s="48">
        <v>1</v>
      </c>
      <c r="EG23" s="49">
        <v>9</v>
      </c>
      <c r="EH23" s="134">
        <v>7.4999999999999997E-3</v>
      </c>
      <c r="EI23" s="105"/>
      <c r="EJ23" s="48"/>
      <c r="EK23" s="48"/>
    </row>
    <row r="24" spans="1:141" s="26" customFormat="1" ht="15.75" thickBot="1" x14ac:dyDescent="0.25">
      <c r="A24" s="27">
        <v>44033</v>
      </c>
      <c r="B24" s="120">
        <v>5292809</v>
      </c>
      <c r="C24" s="121">
        <f t="shared" si="0"/>
        <v>4057</v>
      </c>
      <c r="D24" s="42">
        <v>4637206</v>
      </c>
      <c r="E24" s="92">
        <f t="shared" si="1"/>
        <v>3645</v>
      </c>
      <c r="F24" s="36">
        <f t="shared" si="49"/>
        <v>0.89844712842001484</v>
      </c>
      <c r="G24" s="41">
        <v>238</v>
      </c>
      <c r="H24" s="41">
        <v>286</v>
      </c>
      <c r="I24" s="52">
        <v>285707</v>
      </c>
      <c r="J24" s="92">
        <f t="shared" si="65"/>
        <v>0</v>
      </c>
      <c r="K24" s="43">
        <v>750</v>
      </c>
      <c r="L24" s="93">
        <f>IF((K25-K23)&lt;0,"0",(K25-K23))</f>
        <v>0</v>
      </c>
      <c r="M24" s="42">
        <v>629908</v>
      </c>
      <c r="N24" s="92">
        <f t="shared" si="67"/>
        <v>0</v>
      </c>
      <c r="O24" s="42">
        <v>967</v>
      </c>
      <c r="P24" s="92">
        <f t="shared" si="68"/>
        <v>0</v>
      </c>
      <c r="Q24" s="42">
        <v>2532052</v>
      </c>
      <c r="R24" s="94">
        <f t="shared" si="2"/>
        <v>31</v>
      </c>
      <c r="S24" s="42">
        <v>2188574</v>
      </c>
      <c r="T24" s="94">
        <f>IF((S24-S23)&lt;0,"0",(S24-S23))</f>
        <v>79</v>
      </c>
      <c r="U24" s="45">
        <v>93711</v>
      </c>
      <c r="V24" s="94">
        <f t="shared" si="4"/>
        <v>85</v>
      </c>
      <c r="W24" s="42">
        <v>100</v>
      </c>
      <c r="X24" s="135">
        <v>0</v>
      </c>
      <c r="Y24" s="42">
        <v>152258</v>
      </c>
      <c r="Z24" s="94">
        <f t="shared" si="5"/>
        <v>0</v>
      </c>
      <c r="AA24" s="41">
        <v>37985</v>
      </c>
      <c r="AB24" s="95">
        <f t="shared" si="71"/>
        <v>6</v>
      </c>
      <c r="AC24" s="42">
        <v>1061</v>
      </c>
      <c r="AD24" s="94">
        <f t="shared" si="7"/>
        <v>0</v>
      </c>
      <c r="AE24" s="42">
        <v>3713</v>
      </c>
      <c r="AF24" s="92">
        <f t="shared" si="7"/>
        <v>0</v>
      </c>
      <c r="AG24" s="28"/>
      <c r="AH24" s="28"/>
      <c r="AI24" s="45">
        <v>571560</v>
      </c>
      <c r="AJ24" s="94">
        <f t="shared" si="8"/>
        <v>20</v>
      </c>
      <c r="AK24" s="96"/>
      <c r="AL24" s="94"/>
      <c r="AM24" s="45">
        <v>52035</v>
      </c>
      <c r="AN24" s="94">
        <f t="shared" si="9"/>
        <v>2</v>
      </c>
      <c r="AO24" s="45">
        <v>8867</v>
      </c>
      <c r="AP24" s="94">
        <f t="shared" si="10"/>
        <v>1</v>
      </c>
      <c r="AQ24" s="45">
        <v>10551</v>
      </c>
      <c r="AR24" s="94">
        <f t="shared" si="11"/>
        <v>0</v>
      </c>
      <c r="AS24" s="45">
        <v>14481</v>
      </c>
      <c r="AT24" s="94">
        <f t="shared" si="12"/>
        <v>0</v>
      </c>
      <c r="AU24" s="45">
        <v>19351</v>
      </c>
      <c r="AV24" s="94">
        <f t="shared" si="13"/>
        <v>0</v>
      </c>
      <c r="AW24" s="42">
        <v>20660</v>
      </c>
      <c r="AX24" s="98">
        <f t="shared" si="14"/>
        <v>0</v>
      </c>
      <c r="AY24" s="42">
        <v>13831</v>
      </c>
      <c r="AZ24" s="98">
        <f t="shared" si="15"/>
        <v>0</v>
      </c>
      <c r="BA24" s="42">
        <v>6153</v>
      </c>
      <c r="BB24" s="98">
        <f t="shared" si="16"/>
        <v>0</v>
      </c>
      <c r="BC24" s="42">
        <v>26346</v>
      </c>
      <c r="BD24" s="98">
        <f t="shared" si="17"/>
        <v>0</v>
      </c>
      <c r="BE24" s="42">
        <v>1112</v>
      </c>
      <c r="BF24" s="95">
        <f t="shared" si="18"/>
        <v>0</v>
      </c>
      <c r="BG24" s="45">
        <v>4304</v>
      </c>
      <c r="BH24" s="95">
        <f t="shared" si="19"/>
        <v>0</v>
      </c>
      <c r="BI24" s="42">
        <v>3636</v>
      </c>
      <c r="BJ24" s="95">
        <f t="shared" si="20"/>
        <v>0</v>
      </c>
      <c r="BK24" s="95">
        <f t="shared" si="21"/>
        <v>0</v>
      </c>
      <c r="BL24" s="95">
        <f t="shared" si="22"/>
        <v>20</v>
      </c>
      <c r="BM24" s="42">
        <v>595530</v>
      </c>
      <c r="BN24" s="98">
        <f t="shared" si="23"/>
        <v>40</v>
      </c>
      <c r="BO24" s="108">
        <v>581</v>
      </c>
      <c r="BP24" s="98">
        <f t="shared" si="23"/>
        <v>0</v>
      </c>
      <c r="BQ24" s="42">
        <v>768620</v>
      </c>
      <c r="BR24" s="95">
        <f t="shared" si="25"/>
        <v>20</v>
      </c>
      <c r="BS24" s="97">
        <v>5868</v>
      </c>
      <c r="BT24" s="95">
        <f t="shared" si="25"/>
        <v>0</v>
      </c>
      <c r="BU24" s="98">
        <f t="shared" si="72"/>
        <v>0</v>
      </c>
      <c r="BV24" s="95">
        <f t="shared" si="26"/>
        <v>60</v>
      </c>
      <c r="BW24" s="99">
        <f t="shared" si="27"/>
        <v>3</v>
      </c>
      <c r="BX24" s="42">
        <v>142.30000000000001</v>
      </c>
      <c r="BY24" s="50">
        <f t="shared" si="28"/>
        <v>18260.185579676552</v>
      </c>
      <c r="BZ24" s="113"/>
      <c r="CA24" s="98">
        <f t="shared" si="69"/>
        <v>0</v>
      </c>
      <c r="CB24" s="42">
        <v>206005.5</v>
      </c>
      <c r="CC24" s="98">
        <f t="shared" si="29"/>
        <v>1</v>
      </c>
      <c r="CD24" s="98">
        <f t="shared" si="51"/>
        <v>5.71</v>
      </c>
      <c r="CE24" s="42">
        <v>35</v>
      </c>
      <c r="CF24" s="103">
        <f t="shared" si="30"/>
        <v>3771.25</v>
      </c>
      <c r="CG24" s="42">
        <v>35</v>
      </c>
      <c r="CH24" s="103">
        <f t="shared" si="31"/>
        <v>3771.25</v>
      </c>
      <c r="CI24" s="42">
        <v>38</v>
      </c>
      <c r="CJ24" s="103">
        <f t="shared" si="32"/>
        <v>4094.5</v>
      </c>
      <c r="CK24" s="103">
        <f t="shared" si="33"/>
        <v>11637</v>
      </c>
      <c r="CL24" s="103">
        <f t="shared" si="34"/>
        <v>0</v>
      </c>
      <c r="CM24" s="45"/>
      <c r="CN24" s="42">
        <v>34111.300000000003</v>
      </c>
      <c r="CO24" s="98">
        <f t="shared" si="35"/>
        <v>0.90000000000145519</v>
      </c>
      <c r="CP24" s="98">
        <f t="shared" si="52"/>
        <v>2.1960000000035507</v>
      </c>
      <c r="CQ24" s="42">
        <v>34300</v>
      </c>
      <c r="CR24" s="95">
        <f t="shared" si="36"/>
        <v>0</v>
      </c>
      <c r="CS24" s="98">
        <f t="shared" si="53"/>
        <v>0</v>
      </c>
      <c r="CT24" s="42">
        <v>10234</v>
      </c>
      <c r="CU24" s="95">
        <f t="shared" si="37"/>
        <v>0</v>
      </c>
      <c r="CV24" s="95">
        <f t="shared" si="38"/>
        <v>0</v>
      </c>
      <c r="CW24" s="45">
        <v>832021</v>
      </c>
      <c r="CX24" s="95">
        <f t="shared" si="39"/>
        <v>0</v>
      </c>
      <c r="CY24" s="98">
        <f t="shared" si="54"/>
        <v>0</v>
      </c>
      <c r="CZ24" s="45">
        <v>5733.3</v>
      </c>
      <c r="DA24" s="95">
        <f t="shared" si="40"/>
        <v>0.6999999999998181</v>
      </c>
      <c r="DB24" s="98">
        <f t="shared" si="55"/>
        <v>1.6729999999995653</v>
      </c>
      <c r="DC24" s="42">
        <v>7415</v>
      </c>
      <c r="DD24" s="95">
        <f t="shared" si="41"/>
        <v>0</v>
      </c>
      <c r="DE24" s="98">
        <f t="shared" si="56"/>
        <v>0</v>
      </c>
      <c r="DF24" s="42">
        <v>3838.7</v>
      </c>
      <c r="DG24" s="95">
        <f t="shared" si="42"/>
        <v>0</v>
      </c>
      <c r="DH24" s="98">
        <f t="shared" si="57"/>
        <v>0</v>
      </c>
      <c r="DI24" s="42">
        <v>1855.7</v>
      </c>
      <c r="DJ24" s="95">
        <f t="shared" si="43"/>
        <v>0</v>
      </c>
      <c r="DK24" s="98">
        <f t="shared" si="58"/>
        <v>0</v>
      </c>
      <c r="DL24" s="42">
        <v>5078.3999999999996</v>
      </c>
      <c r="DM24" s="95">
        <f t="shared" si="44"/>
        <v>0</v>
      </c>
      <c r="DN24" s="98">
        <f t="shared" si="59"/>
        <v>0</v>
      </c>
      <c r="DO24" s="42">
        <v>4451.7</v>
      </c>
      <c r="DP24" s="95">
        <f t="shared" si="45"/>
        <v>0</v>
      </c>
      <c r="DQ24" s="98">
        <f t="shared" si="60"/>
        <v>0</v>
      </c>
      <c r="DR24" s="42">
        <v>5086.1000000000004</v>
      </c>
      <c r="DS24" s="95">
        <f t="shared" si="46"/>
        <v>0</v>
      </c>
      <c r="DT24" s="98">
        <f t="shared" si="61"/>
        <v>0</v>
      </c>
      <c r="DU24" s="42">
        <v>4320.7</v>
      </c>
      <c r="DV24" s="95">
        <f t="shared" si="47"/>
        <v>0</v>
      </c>
      <c r="DW24" s="98">
        <f t="shared" si="62"/>
        <v>0</v>
      </c>
      <c r="DX24" s="47">
        <v>12732</v>
      </c>
      <c r="DY24" s="98">
        <f t="shared" si="64"/>
        <v>0</v>
      </c>
      <c r="DZ24" s="47">
        <v>61889</v>
      </c>
      <c r="EA24" s="109">
        <f t="shared" si="73"/>
        <v>0</v>
      </c>
      <c r="EB24" s="48">
        <v>15599</v>
      </c>
      <c r="EC24" s="109">
        <f t="shared" si="63"/>
        <v>0</v>
      </c>
      <c r="ED24" s="48">
        <v>24594</v>
      </c>
      <c r="EE24" s="109">
        <f t="shared" si="48"/>
        <v>0</v>
      </c>
      <c r="EF24" s="48">
        <v>1</v>
      </c>
      <c r="EG24" s="49">
        <v>9</v>
      </c>
      <c r="EH24" s="134">
        <v>7.4999999999999997E-3</v>
      </c>
      <c r="EI24" s="105"/>
      <c r="EJ24" s="48"/>
      <c r="EK24" s="48"/>
    </row>
    <row r="25" spans="1:141" s="26" customFormat="1" ht="15.75" thickBot="1" x14ac:dyDescent="0.25">
      <c r="A25" s="27">
        <v>44034</v>
      </c>
      <c r="B25" s="42">
        <v>5296540</v>
      </c>
      <c r="C25" s="121">
        <f t="shared" si="0"/>
        <v>3731</v>
      </c>
      <c r="D25" s="42">
        <v>4640627</v>
      </c>
      <c r="E25" s="92">
        <f t="shared" si="1"/>
        <v>3421</v>
      </c>
      <c r="F25" s="36">
        <f t="shared" si="49"/>
        <v>0.91691235593674614</v>
      </c>
      <c r="G25" s="41">
        <v>238</v>
      </c>
      <c r="H25" s="41">
        <v>286</v>
      </c>
      <c r="I25" s="52">
        <v>285707</v>
      </c>
      <c r="J25" s="92">
        <f t="shared" si="65"/>
        <v>0</v>
      </c>
      <c r="K25" s="43">
        <v>750</v>
      </c>
      <c r="L25" s="93">
        <f t="shared" ref="L25:L31" si="74">IF((K26-K24)&lt;0,"0",(K26-K24))</f>
        <v>0</v>
      </c>
      <c r="M25" s="42">
        <v>629908</v>
      </c>
      <c r="N25" s="92">
        <f t="shared" si="67"/>
        <v>0</v>
      </c>
      <c r="O25" s="42">
        <v>967</v>
      </c>
      <c r="P25" s="92">
        <f t="shared" si="68"/>
        <v>0</v>
      </c>
      <c r="Q25" s="42">
        <v>2532141</v>
      </c>
      <c r="R25" s="94">
        <f t="shared" si="2"/>
        <v>89</v>
      </c>
      <c r="S25" s="42">
        <v>2188663</v>
      </c>
      <c r="T25" s="94">
        <f t="shared" si="3"/>
        <v>89</v>
      </c>
      <c r="U25" s="42">
        <v>93785</v>
      </c>
      <c r="V25" s="94">
        <f t="shared" si="4"/>
        <v>74</v>
      </c>
      <c r="W25" s="42">
        <v>100</v>
      </c>
      <c r="X25" s="135">
        <v>0</v>
      </c>
      <c r="Y25" s="42">
        <v>152258</v>
      </c>
      <c r="Z25" s="94">
        <f t="shared" si="5"/>
        <v>0</v>
      </c>
      <c r="AA25" s="41">
        <v>37996</v>
      </c>
      <c r="AB25" s="95">
        <f t="shared" si="71"/>
        <v>11</v>
      </c>
      <c r="AC25" s="42">
        <v>1061</v>
      </c>
      <c r="AD25" s="94">
        <f t="shared" si="7"/>
        <v>0</v>
      </c>
      <c r="AE25" s="42">
        <v>3713</v>
      </c>
      <c r="AF25" s="92">
        <f t="shared" si="7"/>
        <v>0</v>
      </c>
      <c r="AG25" s="28"/>
      <c r="AH25" s="28"/>
      <c r="AI25" s="45">
        <v>571630</v>
      </c>
      <c r="AJ25" s="94">
        <f t="shared" si="8"/>
        <v>70</v>
      </c>
      <c r="AK25" s="96"/>
      <c r="AL25" s="94"/>
      <c r="AM25" s="45">
        <v>52036</v>
      </c>
      <c r="AN25" s="94">
        <f t="shared" si="9"/>
        <v>1</v>
      </c>
      <c r="AO25" s="45">
        <v>8867</v>
      </c>
      <c r="AP25" s="94">
        <f t="shared" si="10"/>
        <v>0</v>
      </c>
      <c r="AQ25" s="45">
        <v>10551</v>
      </c>
      <c r="AR25" s="94">
        <f t="shared" si="11"/>
        <v>0</v>
      </c>
      <c r="AS25" s="45">
        <v>14481</v>
      </c>
      <c r="AT25" s="94">
        <f t="shared" si="12"/>
        <v>0</v>
      </c>
      <c r="AU25" s="45">
        <v>19353</v>
      </c>
      <c r="AV25" s="94">
        <f t="shared" si="13"/>
        <v>2</v>
      </c>
      <c r="AW25" s="45">
        <v>20660</v>
      </c>
      <c r="AX25" s="98">
        <f t="shared" si="14"/>
        <v>0</v>
      </c>
      <c r="AY25" s="42">
        <v>13831</v>
      </c>
      <c r="AZ25" s="98">
        <f t="shared" si="15"/>
        <v>0</v>
      </c>
      <c r="BA25" s="42">
        <v>6153</v>
      </c>
      <c r="BB25" s="98">
        <f t="shared" si="16"/>
        <v>0</v>
      </c>
      <c r="BC25" s="42">
        <v>26347</v>
      </c>
      <c r="BD25" s="98">
        <f t="shared" si="17"/>
        <v>1</v>
      </c>
      <c r="BE25" s="42">
        <v>1112</v>
      </c>
      <c r="BF25" s="95">
        <f t="shared" si="18"/>
        <v>0</v>
      </c>
      <c r="BG25" s="45">
        <v>4305</v>
      </c>
      <c r="BH25" s="95">
        <f t="shared" si="19"/>
        <v>1</v>
      </c>
      <c r="BI25" s="42">
        <v>3636</v>
      </c>
      <c r="BJ25" s="95">
        <f t="shared" si="20"/>
        <v>0</v>
      </c>
      <c r="BK25" s="95">
        <f t="shared" si="21"/>
        <v>0</v>
      </c>
      <c r="BL25" s="95">
        <f t="shared" si="22"/>
        <v>70</v>
      </c>
      <c r="BM25" s="42">
        <v>595570</v>
      </c>
      <c r="BN25" s="98">
        <f t="shared" si="23"/>
        <v>40</v>
      </c>
      <c r="BO25" s="108">
        <v>581</v>
      </c>
      <c r="BP25" s="98">
        <f t="shared" si="23"/>
        <v>0</v>
      </c>
      <c r="BQ25" s="42">
        <v>768690</v>
      </c>
      <c r="BR25" s="95">
        <f t="shared" si="25"/>
        <v>70</v>
      </c>
      <c r="BS25" s="97">
        <v>5868</v>
      </c>
      <c r="BT25" s="95">
        <f t="shared" si="25"/>
        <v>0</v>
      </c>
      <c r="BU25" s="98">
        <f t="shared" si="72"/>
        <v>0</v>
      </c>
      <c r="BV25" s="95">
        <f t="shared" si="26"/>
        <v>110</v>
      </c>
      <c r="BW25" s="99">
        <f t="shared" si="27"/>
        <v>3</v>
      </c>
      <c r="BX25" s="42">
        <v>142.30000000000001</v>
      </c>
      <c r="BY25" s="50">
        <f t="shared" si="28"/>
        <v>18260.185579676552</v>
      </c>
      <c r="BZ25" s="113"/>
      <c r="CA25" s="98">
        <f t="shared" si="69"/>
        <v>0</v>
      </c>
      <c r="CB25" s="42">
        <v>206006.5</v>
      </c>
      <c r="CC25" s="98">
        <f t="shared" si="29"/>
        <v>1</v>
      </c>
      <c r="CD25" s="98">
        <f t="shared" si="51"/>
        <v>5.71</v>
      </c>
      <c r="CE25" s="42">
        <v>35</v>
      </c>
      <c r="CF25" s="103">
        <f t="shared" si="30"/>
        <v>3771.25</v>
      </c>
      <c r="CG25" s="42">
        <v>35</v>
      </c>
      <c r="CH25" s="103">
        <f t="shared" si="31"/>
        <v>3771.25</v>
      </c>
      <c r="CI25" s="42">
        <v>38</v>
      </c>
      <c r="CJ25" s="103">
        <f t="shared" si="32"/>
        <v>4094.5</v>
      </c>
      <c r="CK25" s="103">
        <f t="shared" si="33"/>
        <v>11637</v>
      </c>
      <c r="CL25" s="103">
        <f t="shared" si="34"/>
        <v>0</v>
      </c>
      <c r="CM25" s="45"/>
      <c r="CN25" s="42">
        <v>34111.300000000003</v>
      </c>
      <c r="CO25" s="98">
        <f t="shared" si="35"/>
        <v>0</v>
      </c>
      <c r="CP25" s="98">
        <f t="shared" si="52"/>
        <v>0</v>
      </c>
      <c r="CQ25" s="42">
        <v>34300</v>
      </c>
      <c r="CR25" s="95">
        <f t="shared" si="36"/>
        <v>0</v>
      </c>
      <c r="CS25" s="98">
        <f t="shared" si="53"/>
        <v>0</v>
      </c>
      <c r="CT25" s="42">
        <v>10234</v>
      </c>
      <c r="CU25" s="95">
        <f t="shared" si="37"/>
        <v>0</v>
      </c>
      <c r="CV25" s="95">
        <f t="shared" si="38"/>
        <v>0</v>
      </c>
      <c r="CW25" s="45">
        <v>832021</v>
      </c>
      <c r="CX25" s="95">
        <f t="shared" si="39"/>
        <v>0</v>
      </c>
      <c r="CY25" s="98">
        <f t="shared" si="54"/>
        <v>0</v>
      </c>
      <c r="CZ25" s="45">
        <v>5734.2</v>
      </c>
      <c r="DA25" s="95">
        <f t="shared" si="40"/>
        <v>0.8999999999996362</v>
      </c>
      <c r="DB25" s="98">
        <f t="shared" si="55"/>
        <v>2.1509999999991307</v>
      </c>
      <c r="DC25" s="42">
        <v>7415</v>
      </c>
      <c r="DD25" s="95">
        <f t="shared" si="41"/>
        <v>0</v>
      </c>
      <c r="DE25" s="98">
        <f t="shared" si="56"/>
        <v>0</v>
      </c>
      <c r="DF25" s="42">
        <v>3838.7</v>
      </c>
      <c r="DG25" s="95">
        <f t="shared" si="42"/>
        <v>0</v>
      </c>
      <c r="DH25" s="98">
        <f t="shared" si="57"/>
        <v>0</v>
      </c>
      <c r="DI25" s="42">
        <v>1855.7</v>
      </c>
      <c r="DJ25" s="95">
        <f t="shared" si="43"/>
        <v>0</v>
      </c>
      <c r="DK25" s="98">
        <f t="shared" si="58"/>
        <v>0</v>
      </c>
      <c r="DL25" s="42">
        <v>5078.3999999999996</v>
      </c>
      <c r="DM25" s="95">
        <f t="shared" si="44"/>
        <v>0</v>
      </c>
      <c r="DN25" s="98">
        <f t="shared" si="59"/>
        <v>0</v>
      </c>
      <c r="DO25" s="42">
        <v>4451.7</v>
      </c>
      <c r="DP25" s="95">
        <f t="shared" si="45"/>
        <v>0</v>
      </c>
      <c r="DQ25" s="98">
        <f t="shared" si="60"/>
        <v>0</v>
      </c>
      <c r="DR25" s="42">
        <v>5086.1000000000004</v>
      </c>
      <c r="DS25" s="95">
        <f t="shared" si="46"/>
        <v>0</v>
      </c>
      <c r="DT25" s="98">
        <f t="shared" si="61"/>
        <v>0</v>
      </c>
      <c r="DU25" s="42">
        <v>4320.7</v>
      </c>
      <c r="DV25" s="95">
        <f t="shared" si="47"/>
        <v>0</v>
      </c>
      <c r="DW25" s="98">
        <f t="shared" si="62"/>
        <v>0</v>
      </c>
      <c r="DX25" s="47">
        <v>12732</v>
      </c>
      <c r="DY25" s="98">
        <f t="shared" si="64"/>
        <v>0</v>
      </c>
      <c r="DZ25" s="47">
        <v>61889</v>
      </c>
      <c r="EA25" s="109">
        <f t="shared" si="73"/>
        <v>0</v>
      </c>
      <c r="EB25" s="48">
        <v>15599</v>
      </c>
      <c r="EC25" s="109">
        <f t="shared" si="63"/>
        <v>0</v>
      </c>
      <c r="ED25" s="48">
        <v>24594</v>
      </c>
      <c r="EE25" s="109">
        <f t="shared" si="48"/>
        <v>0</v>
      </c>
      <c r="EF25" s="48">
        <v>1</v>
      </c>
      <c r="EG25" s="49">
        <v>9</v>
      </c>
      <c r="EH25" s="134">
        <v>7.4999999999999997E-3</v>
      </c>
      <c r="EI25" s="105"/>
      <c r="EJ25" s="48"/>
      <c r="EK25" s="48"/>
    </row>
    <row r="26" spans="1:141" s="26" customFormat="1" ht="15.75" thickBot="1" x14ac:dyDescent="0.25">
      <c r="A26" s="27">
        <v>44035</v>
      </c>
      <c r="B26" s="42">
        <v>5300352</v>
      </c>
      <c r="C26" s="92">
        <f t="shared" si="0"/>
        <v>3812</v>
      </c>
      <c r="D26" s="42">
        <v>4644131</v>
      </c>
      <c r="E26" s="92">
        <f t="shared" si="1"/>
        <v>3504</v>
      </c>
      <c r="F26" s="36">
        <f t="shared" si="49"/>
        <v>0.91920251836306399</v>
      </c>
      <c r="G26" s="41">
        <v>238</v>
      </c>
      <c r="H26" s="41">
        <v>286</v>
      </c>
      <c r="I26" s="52">
        <v>285707</v>
      </c>
      <c r="J26" s="92">
        <f t="shared" si="65"/>
        <v>0</v>
      </c>
      <c r="K26" s="43">
        <v>750</v>
      </c>
      <c r="L26" s="93">
        <f t="shared" si="74"/>
        <v>0</v>
      </c>
      <c r="M26" s="42">
        <v>629908</v>
      </c>
      <c r="N26" s="92">
        <f t="shared" si="67"/>
        <v>0</v>
      </c>
      <c r="O26" s="42">
        <v>967</v>
      </c>
      <c r="P26" s="92">
        <f t="shared" si="68"/>
        <v>0</v>
      </c>
      <c r="Q26" s="42">
        <v>2532170</v>
      </c>
      <c r="R26" s="94">
        <f t="shared" si="2"/>
        <v>29</v>
      </c>
      <c r="S26" s="42">
        <v>2188701</v>
      </c>
      <c r="T26" s="94">
        <f t="shared" si="3"/>
        <v>38</v>
      </c>
      <c r="U26" s="42">
        <v>93849</v>
      </c>
      <c r="V26" s="94">
        <f t="shared" si="4"/>
        <v>64</v>
      </c>
      <c r="W26" s="42">
        <v>100</v>
      </c>
      <c r="X26" s="136">
        <v>0</v>
      </c>
      <c r="Y26" s="42">
        <v>152258</v>
      </c>
      <c r="Z26" s="94">
        <f t="shared" si="5"/>
        <v>0</v>
      </c>
      <c r="AA26" s="41">
        <v>38001</v>
      </c>
      <c r="AB26" s="95">
        <f t="shared" si="71"/>
        <v>5</v>
      </c>
      <c r="AC26" s="42">
        <v>1063</v>
      </c>
      <c r="AD26" s="94">
        <f t="shared" si="7"/>
        <v>2</v>
      </c>
      <c r="AE26" s="45">
        <v>3713</v>
      </c>
      <c r="AF26" s="92">
        <f t="shared" si="7"/>
        <v>0</v>
      </c>
      <c r="AG26" s="28"/>
      <c r="AH26" s="28"/>
      <c r="AI26" s="45">
        <v>571650</v>
      </c>
      <c r="AJ26" s="94">
        <f t="shared" si="8"/>
        <v>20</v>
      </c>
      <c r="AK26" s="96"/>
      <c r="AL26" s="94"/>
      <c r="AM26" s="45">
        <v>52037</v>
      </c>
      <c r="AN26" s="94">
        <f t="shared" si="9"/>
        <v>1</v>
      </c>
      <c r="AO26" s="45">
        <v>8867</v>
      </c>
      <c r="AP26" s="94">
        <f t="shared" si="10"/>
        <v>0</v>
      </c>
      <c r="AQ26" s="45">
        <v>10551</v>
      </c>
      <c r="AR26" s="94">
        <f t="shared" si="11"/>
        <v>0</v>
      </c>
      <c r="AS26" s="45">
        <v>14482</v>
      </c>
      <c r="AT26" s="94">
        <f t="shared" si="12"/>
        <v>1</v>
      </c>
      <c r="AU26" s="45">
        <v>19353</v>
      </c>
      <c r="AV26" s="94">
        <f t="shared" si="13"/>
        <v>0</v>
      </c>
      <c r="AW26" s="45">
        <v>20660</v>
      </c>
      <c r="AX26" s="98">
        <f t="shared" si="14"/>
        <v>0</v>
      </c>
      <c r="AY26" s="42">
        <v>13831</v>
      </c>
      <c r="AZ26" s="98">
        <f t="shared" si="15"/>
        <v>0</v>
      </c>
      <c r="BA26" s="42">
        <v>6153</v>
      </c>
      <c r="BB26" s="98">
        <f t="shared" si="16"/>
        <v>0</v>
      </c>
      <c r="BC26" s="42">
        <v>26347</v>
      </c>
      <c r="BD26" s="98">
        <f t="shared" si="17"/>
        <v>0</v>
      </c>
      <c r="BE26" s="42">
        <v>1112</v>
      </c>
      <c r="BF26" s="95">
        <f t="shared" si="18"/>
        <v>0</v>
      </c>
      <c r="BG26" s="45">
        <v>4305</v>
      </c>
      <c r="BH26" s="95">
        <f t="shared" si="19"/>
        <v>0</v>
      </c>
      <c r="BI26" s="42">
        <v>3636</v>
      </c>
      <c r="BJ26" s="95">
        <f t="shared" si="20"/>
        <v>0</v>
      </c>
      <c r="BK26" s="95">
        <f t="shared" si="21"/>
        <v>1</v>
      </c>
      <c r="BL26" s="95">
        <f t="shared" si="22"/>
        <v>19</v>
      </c>
      <c r="BM26" s="42">
        <v>595590</v>
      </c>
      <c r="BN26" s="98">
        <f t="shared" si="23"/>
        <v>20</v>
      </c>
      <c r="BO26" s="108">
        <v>581</v>
      </c>
      <c r="BP26" s="98">
        <f t="shared" si="23"/>
        <v>0</v>
      </c>
      <c r="BQ26" s="45">
        <v>768720</v>
      </c>
      <c r="BR26" s="95">
        <f t="shared" si="25"/>
        <v>30</v>
      </c>
      <c r="BS26" s="97">
        <v>5868</v>
      </c>
      <c r="BT26" s="95">
        <f t="shared" si="25"/>
        <v>0</v>
      </c>
      <c r="BU26" s="98">
        <f>BR26-AJ26</f>
        <v>10</v>
      </c>
      <c r="BV26" s="95">
        <f t="shared" si="26"/>
        <v>50</v>
      </c>
      <c r="BW26" s="99">
        <f t="shared" si="27"/>
        <v>2</v>
      </c>
      <c r="BX26" s="42">
        <v>142.30000000000001</v>
      </c>
      <c r="BY26" s="50">
        <f t="shared" si="28"/>
        <v>18260.185579676552</v>
      </c>
      <c r="BZ26" s="101"/>
      <c r="CA26" s="98">
        <f t="shared" si="69"/>
        <v>0</v>
      </c>
      <c r="CB26" s="45">
        <v>206007.8</v>
      </c>
      <c r="CC26" s="98">
        <f t="shared" si="29"/>
        <v>1.2999999999883585</v>
      </c>
      <c r="CD26" s="98">
        <f t="shared" si="51"/>
        <v>7.422999999933527</v>
      </c>
      <c r="CE26" s="45">
        <v>35</v>
      </c>
      <c r="CF26" s="103">
        <f t="shared" si="30"/>
        <v>3771.25</v>
      </c>
      <c r="CG26" s="45">
        <v>35</v>
      </c>
      <c r="CH26" s="103">
        <f t="shared" si="31"/>
        <v>3771.25</v>
      </c>
      <c r="CI26" s="45">
        <v>37</v>
      </c>
      <c r="CJ26" s="103">
        <f t="shared" si="32"/>
        <v>3986.75</v>
      </c>
      <c r="CK26" s="103">
        <f t="shared" si="33"/>
        <v>11529.25</v>
      </c>
      <c r="CL26" s="103">
        <f t="shared" si="34"/>
        <v>107.75</v>
      </c>
      <c r="CM26" s="45"/>
      <c r="CN26" s="42">
        <v>34114.300000000003</v>
      </c>
      <c r="CO26" s="98">
        <f t="shared" si="35"/>
        <v>3</v>
      </c>
      <c r="CP26" s="98">
        <f t="shared" si="52"/>
        <v>7.32</v>
      </c>
      <c r="CQ26" s="42">
        <v>34300</v>
      </c>
      <c r="CR26" s="95">
        <f t="shared" si="36"/>
        <v>0</v>
      </c>
      <c r="CS26" s="98">
        <f t="shared" si="53"/>
        <v>0</v>
      </c>
      <c r="CT26" s="42">
        <v>10234</v>
      </c>
      <c r="CU26" s="95">
        <f t="shared" si="37"/>
        <v>0</v>
      </c>
      <c r="CV26" s="95">
        <f t="shared" si="38"/>
        <v>0</v>
      </c>
      <c r="CW26" s="45">
        <v>832021</v>
      </c>
      <c r="CX26" s="95">
        <f t="shared" si="39"/>
        <v>0</v>
      </c>
      <c r="CY26" s="98">
        <f t="shared" si="54"/>
        <v>0</v>
      </c>
      <c r="CZ26" s="45">
        <v>5735.2</v>
      </c>
      <c r="DA26" s="95">
        <f t="shared" si="40"/>
        <v>1</v>
      </c>
      <c r="DB26" s="98">
        <f t="shared" si="55"/>
        <v>2.39</v>
      </c>
      <c r="DC26" s="42">
        <v>7415</v>
      </c>
      <c r="DD26" s="95">
        <f t="shared" si="41"/>
        <v>0</v>
      </c>
      <c r="DE26" s="98">
        <f t="shared" si="56"/>
        <v>0</v>
      </c>
      <c r="DF26" s="42">
        <v>3838.7</v>
      </c>
      <c r="DG26" s="95">
        <f t="shared" si="42"/>
        <v>0</v>
      </c>
      <c r="DH26" s="98">
        <f t="shared" si="57"/>
        <v>0</v>
      </c>
      <c r="DI26" s="42">
        <v>1855.7</v>
      </c>
      <c r="DJ26" s="95">
        <f t="shared" si="43"/>
        <v>0</v>
      </c>
      <c r="DK26" s="98">
        <f t="shared" si="58"/>
        <v>0</v>
      </c>
      <c r="DL26" s="42">
        <v>5078.3999999999996</v>
      </c>
      <c r="DM26" s="95">
        <f t="shared" si="44"/>
        <v>0</v>
      </c>
      <c r="DN26" s="98">
        <f t="shared" si="59"/>
        <v>0</v>
      </c>
      <c r="DO26" s="42">
        <v>4451.7</v>
      </c>
      <c r="DP26" s="95">
        <f t="shared" si="45"/>
        <v>0</v>
      </c>
      <c r="DQ26" s="98">
        <f t="shared" si="60"/>
        <v>0</v>
      </c>
      <c r="DR26" s="42">
        <v>5086.1000000000004</v>
      </c>
      <c r="DS26" s="95">
        <f t="shared" si="46"/>
        <v>0</v>
      </c>
      <c r="DT26" s="98">
        <f t="shared" si="61"/>
        <v>0</v>
      </c>
      <c r="DU26" s="42">
        <v>4320.7</v>
      </c>
      <c r="DV26" s="95">
        <f t="shared" si="47"/>
        <v>0</v>
      </c>
      <c r="DW26" s="98">
        <f t="shared" si="62"/>
        <v>0</v>
      </c>
      <c r="DX26" s="47">
        <v>12732</v>
      </c>
      <c r="DY26" s="98">
        <f t="shared" si="64"/>
        <v>0</v>
      </c>
      <c r="DZ26" s="47">
        <v>61889</v>
      </c>
      <c r="EA26" s="109">
        <f t="shared" si="73"/>
        <v>0</v>
      </c>
      <c r="EB26" s="48">
        <v>15599</v>
      </c>
      <c r="EC26" s="109">
        <f t="shared" si="63"/>
        <v>0</v>
      </c>
      <c r="ED26" s="48">
        <v>24594</v>
      </c>
      <c r="EE26" s="109">
        <f t="shared" si="48"/>
        <v>0</v>
      </c>
      <c r="EF26" s="48">
        <v>1</v>
      </c>
      <c r="EG26" s="49">
        <v>9</v>
      </c>
      <c r="EH26" s="134">
        <v>7.4999999999999997E-3</v>
      </c>
      <c r="EI26" s="105"/>
      <c r="EJ26" s="48"/>
      <c r="EK26" s="48"/>
    </row>
    <row r="27" spans="1:141" s="26" customFormat="1" ht="15.75" thickBot="1" x14ac:dyDescent="0.25">
      <c r="A27" s="27">
        <v>44036</v>
      </c>
      <c r="B27" s="42">
        <v>5304108</v>
      </c>
      <c r="C27" s="92">
        <f t="shared" si="0"/>
        <v>3756</v>
      </c>
      <c r="D27" s="42">
        <v>4647564</v>
      </c>
      <c r="E27" s="92">
        <f t="shared" si="1"/>
        <v>3433</v>
      </c>
      <c r="F27" s="36">
        <f t="shared" si="49"/>
        <v>0.91400425985090517</v>
      </c>
      <c r="G27" s="41">
        <v>238</v>
      </c>
      <c r="H27" s="41">
        <v>286</v>
      </c>
      <c r="I27" s="52">
        <v>285707</v>
      </c>
      <c r="J27" s="92">
        <f t="shared" si="65"/>
        <v>0</v>
      </c>
      <c r="K27" s="43">
        <v>750</v>
      </c>
      <c r="L27" s="93">
        <f t="shared" si="74"/>
        <v>0</v>
      </c>
      <c r="M27" s="42">
        <v>629908</v>
      </c>
      <c r="N27" s="92">
        <f t="shared" si="67"/>
        <v>0</v>
      </c>
      <c r="O27" s="42">
        <v>967</v>
      </c>
      <c r="P27" s="94">
        <f t="shared" si="68"/>
        <v>0</v>
      </c>
      <c r="Q27" s="42">
        <v>2532260</v>
      </c>
      <c r="R27" s="94">
        <f t="shared" si="2"/>
        <v>90</v>
      </c>
      <c r="S27" s="42">
        <v>2188776</v>
      </c>
      <c r="T27" s="94">
        <f t="shared" si="3"/>
        <v>75</v>
      </c>
      <c r="U27" s="42">
        <v>93971</v>
      </c>
      <c r="V27" s="94">
        <f t="shared" si="4"/>
        <v>122</v>
      </c>
      <c r="W27" s="42">
        <v>100</v>
      </c>
      <c r="X27" s="135">
        <v>0</v>
      </c>
      <c r="Y27" s="42">
        <v>152258</v>
      </c>
      <c r="Z27" s="94">
        <f t="shared" si="5"/>
        <v>0</v>
      </c>
      <c r="AA27" s="41">
        <v>38012</v>
      </c>
      <c r="AB27" s="95">
        <f t="shared" si="71"/>
        <v>11</v>
      </c>
      <c r="AC27" s="42">
        <v>1063</v>
      </c>
      <c r="AD27" s="94">
        <f t="shared" si="7"/>
        <v>0</v>
      </c>
      <c r="AE27" s="45">
        <v>3726</v>
      </c>
      <c r="AF27" s="92">
        <f t="shared" si="7"/>
        <v>13</v>
      </c>
      <c r="AG27" s="28"/>
      <c r="AH27" s="28"/>
      <c r="AI27" s="45">
        <v>571690</v>
      </c>
      <c r="AJ27" s="94">
        <f t="shared" si="8"/>
        <v>40</v>
      </c>
      <c r="AK27" s="96"/>
      <c r="AL27" s="94"/>
      <c r="AM27" s="45">
        <v>52038</v>
      </c>
      <c r="AN27" s="94">
        <f t="shared" si="9"/>
        <v>1</v>
      </c>
      <c r="AO27" s="45">
        <v>8867</v>
      </c>
      <c r="AP27" s="94">
        <f t="shared" si="10"/>
        <v>0</v>
      </c>
      <c r="AQ27" s="45">
        <v>10551</v>
      </c>
      <c r="AR27" s="94">
        <f t="shared" si="11"/>
        <v>0</v>
      </c>
      <c r="AS27" s="45">
        <v>14482</v>
      </c>
      <c r="AT27" s="94">
        <f t="shared" si="12"/>
        <v>0</v>
      </c>
      <c r="AU27" s="45">
        <v>19353</v>
      </c>
      <c r="AV27" s="94">
        <f t="shared" si="13"/>
        <v>0</v>
      </c>
      <c r="AW27" s="45">
        <v>20660</v>
      </c>
      <c r="AX27" s="98">
        <f t="shared" si="14"/>
        <v>0</v>
      </c>
      <c r="AY27" s="42">
        <v>13831</v>
      </c>
      <c r="AZ27" s="98">
        <f t="shared" si="15"/>
        <v>0</v>
      </c>
      <c r="BA27" s="42">
        <v>6153</v>
      </c>
      <c r="BB27" s="98">
        <f t="shared" si="16"/>
        <v>0</v>
      </c>
      <c r="BC27" s="42">
        <v>26347</v>
      </c>
      <c r="BD27" s="98">
        <f t="shared" si="17"/>
        <v>0</v>
      </c>
      <c r="BE27" s="42">
        <v>1112</v>
      </c>
      <c r="BF27" s="95">
        <f t="shared" si="18"/>
        <v>0</v>
      </c>
      <c r="BG27" s="45">
        <v>4305</v>
      </c>
      <c r="BH27" s="95">
        <f t="shared" si="19"/>
        <v>0</v>
      </c>
      <c r="BI27" s="42">
        <v>3636</v>
      </c>
      <c r="BJ27" s="95">
        <f t="shared" si="20"/>
        <v>0</v>
      </c>
      <c r="BK27" s="95">
        <f t="shared" si="21"/>
        <v>0</v>
      </c>
      <c r="BL27" s="95">
        <f t="shared" si="22"/>
        <v>40</v>
      </c>
      <c r="BM27" s="42">
        <v>595610</v>
      </c>
      <c r="BN27" s="98">
        <f t="shared" si="23"/>
        <v>20</v>
      </c>
      <c r="BO27" s="108">
        <v>581</v>
      </c>
      <c r="BP27" s="98">
        <f t="shared" si="23"/>
        <v>0</v>
      </c>
      <c r="BQ27" s="45">
        <v>768760</v>
      </c>
      <c r="BR27" s="95">
        <f t="shared" si="25"/>
        <v>40</v>
      </c>
      <c r="BS27" s="97">
        <v>5868</v>
      </c>
      <c r="BT27" s="95">
        <f t="shared" si="25"/>
        <v>0</v>
      </c>
      <c r="BU27" s="98">
        <f t="shared" si="72"/>
        <v>0</v>
      </c>
      <c r="BV27" s="95">
        <f t="shared" si="26"/>
        <v>60</v>
      </c>
      <c r="BW27" s="99">
        <f t="shared" si="27"/>
        <v>1</v>
      </c>
      <c r="BX27" s="42">
        <v>142.30000000000001</v>
      </c>
      <c r="BY27" s="50">
        <f t="shared" si="28"/>
        <v>18260.185579676552</v>
      </c>
      <c r="BZ27" s="101"/>
      <c r="CA27" s="98">
        <f t="shared" si="69"/>
        <v>0</v>
      </c>
      <c r="CB27" s="45">
        <v>206008.7</v>
      </c>
      <c r="CC27" s="98">
        <f t="shared" si="29"/>
        <v>0.90000000002328306</v>
      </c>
      <c r="CD27" s="98">
        <f t="shared" si="51"/>
        <v>5.1390000001329463</v>
      </c>
      <c r="CE27" s="45">
        <v>35</v>
      </c>
      <c r="CF27" s="103">
        <f t="shared" si="30"/>
        <v>3771.25</v>
      </c>
      <c r="CG27" s="45">
        <v>35</v>
      </c>
      <c r="CH27" s="103">
        <f t="shared" si="31"/>
        <v>3771.25</v>
      </c>
      <c r="CI27" s="45">
        <v>36</v>
      </c>
      <c r="CJ27" s="103">
        <f t="shared" si="32"/>
        <v>3879</v>
      </c>
      <c r="CK27" s="103">
        <f t="shared" si="33"/>
        <v>11421.5</v>
      </c>
      <c r="CL27" s="103">
        <f t="shared" si="34"/>
        <v>107.75</v>
      </c>
      <c r="CM27" s="45"/>
      <c r="CN27" s="42">
        <v>34114.9</v>
      </c>
      <c r="CO27" s="98">
        <f t="shared" si="35"/>
        <v>0.59999999999854481</v>
      </c>
      <c r="CP27" s="98">
        <f t="shared" si="52"/>
        <v>1.4639999999964493</v>
      </c>
      <c r="CQ27" s="42">
        <v>34300</v>
      </c>
      <c r="CR27" s="95">
        <f t="shared" si="36"/>
        <v>0</v>
      </c>
      <c r="CS27" s="98">
        <f t="shared" si="53"/>
        <v>0</v>
      </c>
      <c r="CT27" s="42">
        <v>10234</v>
      </c>
      <c r="CU27" s="95">
        <f t="shared" si="37"/>
        <v>0</v>
      </c>
      <c r="CV27" s="95">
        <f t="shared" si="38"/>
        <v>0</v>
      </c>
      <c r="CW27" s="45">
        <v>832021</v>
      </c>
      <c r="CX27" s="95">
        <f t="shared" si="39"/>
        <v>0</v>
      </c>
      <c r="CY27" s="98">
        <f t="shared" si="54"/>
        <v>0</v>
      </c>
      <c r="CZ27" s="45">
        <v>5735.9</v>
      </c>
      <c r="DA27" s="95">
        <f t="shared" si="40"/>
        <v>0.6999999999998181</v>
      </c>
      <c r="DB27" s="98">
        <f t="shared" si="55"/>
        <v>1.6729999999995653</v>
      </c>
      <c r="DC27" s="42">
        <v>7415</v>
      </c>
      <c r="DD27" s="95">
        <f t="shared" si="41"/>
        <v>0</v>
      </c>
      <c r="DE27" s="98">
        <f t="shared" si="56"/>
        <v>0</v>
      </c>
      <c r="DF27" s="42">
        <v>3838.7</v>
      </c>
      <c r="DG27" s="95">
        <f t="shared" si="42"/>
        <v>0</v>
      </c>
      <c r="DH27" s="98">
        <f t="shared" si="57"/>
        <v>0</v>
      </c>
      <c r="DI27" s="42">
        <v>1855.7</v>
      </c>
      <c r="DJ27" s="95">
        <f t="shared" si="43"/>
        <v>0</v>
      </c>
      <c r="DK27" s="98">
        <f t="shared" si="58"/>
        <v>0</v>
      </c>
      <c r="DL27" s="42">
        <v>5078.3999999999996</v>
      </c>
      <c r="DM27" s="95">
        <f t="shared" si="44"/>
        <v>0</v>
      </c>
      <c r="DN27" s="98">
        <f t="shared" si="59"/>
        <v>0</v>
      </c>
      <c r="DO27" s="42">
        <v>4451.7</v>
      </c>
      <c r="DP27" s="95">
        <f t="shared" si="45"/>
        <v>0</v>
      </c>
      <c r="DQ27" s="98">
        <f t="shared" si="60"/>
        <v>0</v>
      </c>
      <c r="DR27" s="42">
        <v>5086.1000000000004</v>
      </c>
      <c r="DS27" s="95">
        <f t="shared" si="46"/>
        <v>0</v>
      </c>
      <c r="DT27" s="98">
        <f t="shared" si="61"/>
        <v>0</v>
      </c>
      <c r="DU27" s="42">
        <v>4320.7</v>
      </c>
      <c r="DV27" s="95">
        <f t="shared" si="47"/>
        <v>0</v>
      </c>
      <c r="DW27" s="98">
        <f t="shared" si="62"/>
        <v>0</v>
      </c>
      <c r="DX27" s="47">
        <v>12732</v>
      </c>
      <c r="DY27" s="98">
        <f t="shared" si="64"/>
        <v>0</v>
      </c>
      <c r="DZ27" s="47">
        <v>61889</v>
      </c>
      <c r="EA27" s="109">
        <f t="shared" si="73"/>
        <v>0</v>
      </c>
      <c r="EB27" s="48">
        <v>15599</v>
      </c>
      <c r="EC27" s="109">
        <f t="shared" si="63"/>
        <v>0</v>
      </c>
      <c r="ED27" s="48">
        <v>24594</v>
      </c>
      <c r="EE27" s="104">
        <f t="shared" si="48"/>
        <v>0</v>
      </c>
      <c r="EF27" s="48">
        <v>1</v>
      </c>
      <c r="EG27" s="49">
        <v>9</v>
      </c>
      <c r="EH27" s="134">
        <v>7.4999999999999997E-3</v>
      </c>
      <c r="EI27" s="105"/>
      <c r="EJ27" s="48"/>
      <c r="EK27" s="48"/>
    </row>
    <row r="28" spans="1:141" s="26" customFormat="1" ht="15.75" thickBot="1" x14ac:dyDescent="0.25">
      <c r="A28" s="27">
        <v>44037</v>
      </c>
      <c r="B28" s="42">
        <v>5307777</v>
      </c>
      <c r="C28" s="92">
        <f t="shared" si="0"/>
        <v>3669</v>
      </c>
      <c r="D28" s="42">
        <v>4650774</v>
      </c>
      <c r="E28" s="92">
        <f t="shared" si="1"/>
        <v>3210</v>
      </c>
      <c r="F28" s="36">
        <f t="shared" si="49"/>
        <v>0.87489779231398201</v>
      </c>
      <c r="G28" s="41">
        <v>238</v>
      </c>
      <c r="H28" s="41">
        <v>286</v>
      </c>
      <c r="I28" s="52">
        <v>285707</v>
      </c>
      <c r="J28" s="92">
        <f t="shared" si="65"/>
        <v>0</v>
      </c>
      <c r="K28" s="43">
        <v>750</v>
      </c>
      <c r="L28" s="93">
        <f t="shared" si="74"/>
        <v>0</v>
      </c>
      <c r="M28" s="42">
        <v>629908</v>
      </c>
      <c r="N28" s="92">
        <f t="shared" si="67"/>
        <v>0</v>
      </c>
      <c r="O28" s="42">
        <v>967</v>
      </c>
      <c r="P28" s="94">
        <f t="shared" si="68"/>
        <v>0</v>
      </c>
      <c r="Q28" s="42">
        <v>2532285</v>
      </c>
      <c r="R28" s="94">
        <f t="shared" si="2"/>
        <v>25</v>
      </c>
      <c r="S28" s="42">
        <v>2188799</v>
      </c>
      <c r="T28" s="94">
        <f t="shared" si="3"/>
        <v>23</v>
      </c>
      <c r="U28" s="42">
        <v>94004</v>
      </c>
      <c r="V28" s="94">
        <f t="shared" si="4"/>
        <v>33</v>
      </c>
      <c r="W28" s="42">
        <v>95</v>
      </c>
      <c r="X28" s="42">
        <v>0</v>
      </c>
      <c r="Y28" s="42">
        <v>152258</v>
      </c>
      <c r="Z28" s="94">
        <f t="shared" si="5"/>
        <v>0</v>
      </c>
      <c r="AA28" s="41">
        <v>38016</v>
      </c>
      <c r="AB28" s="95">
        <f t="shared" si="71"/>
        <v>4</v>
      </c>
      <c r="AC28" s="42">
        <v>1063</v>
      </c>
      <c r="AD28" s="94">
        <f t="shared" si="7"/>
        <v>0</v>
      </c>
      <c r="AE28" s="45">
        <v>3726</v>
      </c>
      <c r="AF28" s="92">
        <f t="shared" si="7"/>
        <v>0</v>
      </c>
      <c r="AG28" s="28"/>
      <c r="AH28" s="28"/>
      <c r="AI28" s="45">
        <v>571750</v>
      </c>
      <c r="AJ28" s="94">
        <f t="shared" si="8"/>
        <v>60</v>
      </c>
      <c r="AK28" s="96"/>
      <c r="AL28" s="94"/>
      <c r="AM28" s="45">
        <v>52038</v>
      </c>
      <c r="AN28" s="94">
        <f t="shared" si="9"/>
        <v>0</v>
      </c>
      <c r="AO28" s="45">
        <v>8867</v>
      </c>
      <c r="AP28" s="94">
        <f t="shared" si="10"/>
        <v>0</v>
      </c>
      <c r="AQ28" s="45">
        <v>10551</v>
      </c>
      <c r="AR28" s="94">
        <f t="shared" si="11"/>
        <v>0</v>
      </c>
      <c r="AS28" s="45">
        <v>14482</v>
      </c>
      <c r="AT28" s="94">
        <f t="shared" si="12"/>
        <v>0</v>
      </c>
      <c r="AU28" s="45">
        <v>19353</v>
      </c>
      <c r="AV28" s="94">
        <f t="shared" si="13"/>
        <v>0</v>
      </c>
      <c r="AW28" s="45">
        <v>20660</v>
      </c>
      <c r="AX28" s="98">
        <f t="shared" si="14"/>
        <v>0</v>
      </c>
      <c r="AY28" s="42">
        <v>13831</v>
      </c>
      <c r="AZ28" s="95">
        <f t="shared" si="15"/>
        <v>0</v>
      </c>
      <c r="BA28" s="42">
        <v>6153</v>
      </c>
      <c r="BB28" s="98">
        <f t="shared" si="16"/>
        <v>0</v>
      </c>
      <c r="BC28" s="42">
        <v>26347</v>
      </c>
      <c r="BD28" s="98">
        <f t="shared" si="17"/>
        <v>0</v>
      </c>
      <c r="BE28" s="42">
        <v>1112</v>
      </c>
      <c r="BF28" s="95">
        <f t="shared" si="18"/>
        <v>0</v>
      </c>
      <c r="BG28" s="45">
        <v>4306</v>
      </c>
      <c r="BH28" s="95">
        <f t="shared" si="19"/>
        <v>1</v>
      </c>
      <c r="BI28" s="42">
        <v>3636</v>
      </c>
      <c r="BJ28" s="95">
        <f t="shared" si="20"/>
        <v>0</v>
      </c>
      <c r="BK28" s="95">
        <f t="shared" si="21"/>
        <v>0</v>
      </c>
      <c r="BL28" s="95">
        <f t="shared" si="22"/>
        <v>60</v>
      </c>
      <c r="BM28" s="42">
        <v>595620</v>
      </c>
      <c r="BN28" s="95">
        <f t="shared" si="23"/>
        <v>10</v>
      </c>
      <c r="BO28" s="97">
        <v>581</v>
      </c>
      <c r="BP28" s="98">
        <f t="shared" si="23"/>
        <v>0</v>
      </c>
      <c r="BQ28" s="45">
        <v>768820</v>
      </c>
      <c r="BR28" s="95">
        <f t="shared" si="25"/>
        <v>60</v>
      </c>
      <c r="BS28" s="97">
        <v>5868</v>
      </c>
      <c r="BT28" s="95">
        <f t="shared" si="25"/>
        <v>0</v>
      </c>
      <c r="BU28" s="98">
        <f>BR28-AJ28</f>
        <v>0</v>
      </c>
      <c r="BV28" s="95">
        <f t="shared" si="26"/>
        <v>70</v>
      </c>
      <c r="BW28" s="99">
        <f t="shared" si="27"/>
        <v>0</v>
      </c>
      <c r="BX28" s="42">
        <v>142.30000000000001</v>
      </c>
      <c r="BY28" s="50">
        <f t="shared" si="28"/>
        <v>18260.185579676552</v>
      </c>
      <c r="BZ28" s="101"/>
      <c r="CA28" s="98">
        <f t="shared" si="69"/>
        <v>0</v>
      </c>
      <c r="CB28" s="45">
        <v>206009.2</v>
      </c>
      <c r="CC28" s="98">
        <f t="shared" si="29"/>
        <v>0.5</v>
      </c>
      <c r="CD28" s="98">
        <f t="shared" si="51"/>
        <v>2.855</v>
      </c>
      <c r="CE28" s="45">
        <v>34</v>
      </c>
      <c r="CF28" s="103">
        <f t="shared" si="30"/>
        <v>3663.5</v>
      </c>
      <c r="CG28" s="45">
        <v>35</v>
      </c>
      <c r="CH28" s="103">
        <f t="shared" si="31"/>
        <v>3771.25</v>
      </c>
      <c r="CI28" s="45">
        <v>36</v>
      </c>
      <c r="CJ28" s="103">
        <f t="shared" si="32"/>
        <v>3879</v>
      </c>
      <c r="CK28" s="103">
        <f t="shared" si="33"/>
        <v>11313.75</v>
      </c>
      <c r="CL28" s="103">
        <f t="shared" si="34"/>
        <v>107.75</v>
      </c>
      <c r="CM28" s="45"/>
      <c r="CN28" s="42">
        <v>34115.5</v>
      </c>
      <c r="CO28" s="98">
        <f t="shared" si="35"/>
        <v>0.59999999999854481</v>
      </c>
      <c r="CP28" s="98">
        <f t="shared" si="52"/>
        <v>1.4639999999964493</v>
      </c>
      <c r="CQ28" s="42">
        <v>34300</v>
      </c>
      <c r="CR28" s="95">
        <f t="shared" si="36"/>
        <v>0</v>
      </c>
      <c r="CS28" s="98">
        <f t="shared" si="53"/>
        <v>0</v>
      </c>
      <c r="CT28" s="42">
        <v>10234</v>
      </c>
      <c r="CU28" s="95">
        <f t="shared" si="37"/>
        <v>0</v>
      </c>
      <c r="CV28" s="95">
        <f t="shared" si="38"/>
        <v>0</v>
      </c>
      <c r="CW28" s="45">
        <v>832021</v>
      </c>
      <c r="CX28" s="95">
        <f t="shared" si="39"/>
        <v>0</v>
      </c>
      <c r="CY28" s="98">
        <f t="shared" si="54"/>
        <v>0</v>
      </c>
      <c r="CZ28" s="45">
        <v>5736.3</v>
      </c>
      <c r="DA28" s="95">
        <f t="shared" si="40"/>
        <v>0.4000000000005457</v>
      </c>
      <c r="DB28" s="98">
        <f t="shared" si="55"/>
        <v>0.95600000000130425</v>
      </c>
      <c r="DC28" s="42">
        <v>7415</v>
      </c>
      <c r="DD28" s="95">
        <f t="shared" si="41"/>
        <v>0</v>
      </c>
      <c r="DE28" s="98">
        <f t="shared" si="56"/>
        <v>0</v>
      </c>
      <c r="DF28" s="42">
        <v>3838.7</v>
      </c>
      <c r="DG28" s="95">
        <f t="shared" si="42"/>
        <v>0</v>
      </c>
      <c r="DH28" s="98">
        <f t="shared" si="57"/>
        <v>0</v>
      </c>
      <c r="DI28" s="42">
        <v>1855.7</v>
      </c>
      <c r="DJ28" s="95">
        <f t="shared" si="43"/>
        <v>0</v>
      </c>
      <c r="DK28" s="98">
        <f t="shared" si="58"/>
        <v>0</v>
      </c>
      <c r="DL28" s="42">
        <v>5078.3999999999996</v>
      </c>
      <c r="DM28" s="95">
        <f t="shared" si="44"/>
        <v>0</v>
      </c>
      <c r="DN28" s="98">
        <f t="shared" si="59"/>
        <v>0</v>
      </c>
      <c r="DO28" s="42">
        <v>4451.7</v>
      </c>
      <c r="DP28" s="95">
        <f t="shared" si="45"/>
        <v>0</v>
      </c>
      <c r="DQ28" s="98">
        <f t="shared" si="60"/>
        <v>0</v>
      </c>
      <c r="DR28" s="42">
        <v>5086.1000000000004</v>
      </c>
      <c r="DS28" s="95">
        <f t="shared" si="46"/>
        <v>0</v>
      </c>
      <c r="DT28" s="98">
        <f t="shared" si="61"/>
        <v>0</v>
      </c>
      <c r="DU28" s="42">
        <v>4320.7</v>
      </c>
      <c r="DV28" s="95">
        <f t="shared" si="47"/>
        <v>0</v>
      </c>
      <c r="DW28" s="98">
        <f t="shared" si="62"/>
        <v>0</v>
      </c>
      <c r="DX28" s="47">
        <v>12732</v>
      </c>
      <c r="DY28" s="98">
        <f t="shared" si="64"/>
        <v>0</v>
      </c>
      <c r="DZ28" s="47">
        <v>61889</v>
      </c>
      <c r="EA28" s="109">
        <f t="shared" si="73"/>
        <v>0</v>
      </c>
      <c r="EB28" s="48">
        <v>15599</v>
      </c>
      <c r="EC28" s="109">
        <f t="shared" si="63"/>
        <v>0</v>
      </c>
      <c r="ED28" s="48">
        <v>24594</v>
      </c>
      <c r="EE28" s="104">
        <f t="shared" si="48"/>
        <v>0</v>
      </c>
      <c r="EF28" s="48">
        <v>1</v>
      </c>
      <c r="EG28" s="49">
        <v>9</v>
      </c>
      <c r="EH28" s="134">
        <v>7.4999999999999997E-3</v>
      </c>
      <c r="EI28" s="105"/>
      <c r="EJ28" s="48"/>
      <c r="EK28" s="48"/>
    </row>
    <row r="29" spans="1:141" s="26" customFormat="1" ht="15.75" thickBot="1" x14ac:dyDescent="0.25">
      <c r="A29" s="27">
        <v>44038</v>
      </c>
      <c r="B29" s="42">
        <v>5311630</v>
      </c>
      <c r="C29" s="92">
        <f t="shared" si="0"/>
        <v>3853</v>
      </c>
      <c r="D29" s="42">
        <v>4654321</v>
      </c>
      <c r="E29" s="92">
        <f t="shared" si="1"/>
        <v>3547</v>
      </c>
      <c r="F29" s="36">
        <f t="shared" si="49"/>
        <v>0.92058136516999745</v>
      </c>
      <c r="G29" s="41">
        <v>238</v>
      </c>
      <c r="H29" s="41">
        <v>286</v>
      </c>
      <c r="I29" s="52">
        <v>285707</v>
      </c>
      <c r="J29" s="92">
        <f t="shared" si="65"/>
        <v>0</v>
      </c>
      <c r="K29" s="43">
        <v>750</v>
      </c>
      <c r="L29" s="93">
        <f t="shared" si="74"/>
        <v>0</v>
      </c>
      <c r="M29" s="42">
        <v>629908</v>
      </c>
      <c r="N29" s="92">
        <f t="shared" si="67"/>
        <v>0</v>
      </c>
      <c r="O29" s="42">
        <v>967</v>
      </c>
      <c r="P29" s="94">
        <f t="shared" si="68"/>
        <v>0</v>
      </c>
      <c r="Q29" s="42">
        <v>2532338</v>
      </c>
      <c r="R29" s="94">
        <f t="shared" si="2"/>
        <v>53</v>
      </c>
      <c r="S29" s="42">
        <v>2188866</v>
      </c>
      <c r="T29" s="94">
        <f t="shared" si="3"/>
        <v>67</v>
      </c>
      <c r="U29" s="42">
        <v>94078</v>
      </c>
      <c r="V29" s="94">
        <f t="shared" si="4"/>
        <v>74</v>
      </c>
      <c r="W29" s="42">
        <v>100</v>
      </c>
      <c r="X29" s="42">
        <v>0</v>
      </c>
      <c r="Y29" s="42">
        <v>152258</v>
      </c>
      <c r="Z29" s="94">
        <f t="shared" si="5"/>
        <v>0</v>
      </c>
      <c r="AA29" s="41">
        <v>38024</v>
      </c>
      <c r="AB29" s="95">
        <f t="shared" si="71"/>
        <v>8</v>
      </c>
      <c r="AC29" s="42">
        <v>1063</v>
      </c>
      <c r="AD29" s="94">
        <f t="shared" si="7"/>
        <v>0</v>
      </c>
      <c r="AE29" s="45">
        <v>3726</v>
      </c>
      <c r="AF29" s="92">
        <f t="shared" si="7"/>
        <v>0</v>
      </c>
      <c r="AG29" s="28"/>
      <c r="AH29" s="28"/>
      <c r="AI29" s="45">
        <v>571790</v>
      </c>
      <c r="AJ29" s="94">
        <f t="shared" si="8"/>
        <v>40</v>
      </c>
      <c r="AK29" s="96"/>
      <c r="AL29" s="94"/>
      <c r="AM29" s="45">
        <v>52039</v>
      </c>
      <c r="AN29" s="94">
        <f t="shared" si="9"/>
        <v>1</v>
      </c>
      <c r="AO29" s="45">
        <v>8867</v>
      </c>
      <c r="AP29" s="94">
        <f t="shared" si="10"/>
        <v>0</v>
      </c>
      <c r="AQ29" s="45">
        <v>10551</v>
      </c>
      <c r="AR29" s="94">
        <f t="shared" si="11"/>
        <v>0</v>
      </c>
      <c r="AS29" s="45">
        <v>14482</v>
      </c>
      <c r="AT29" s="94">
        <f t="shared" si="12"/>
        <v>0</v>
      </c>
      <c r="AU29" s="45">
        <v>19353</v>
      </c>
      <c r="AV29" s="94">
        <f t="shared" si="13"/>
        <v>0</v>
      </c>
      <c r="AW29" s="45">
        <v>20660</v>
      </c>
      <c r="AX29" s="98">
        <f t="shared" si="14"/>
        <v>0</v>
      </c>
      <c r="AY29" s="42">
        <v>13831</v>
      </c>
      <c r="AZ29" s="95">
        <f t="shared" si="15"/>
        <v>0</v>
      </c>
      <c r="BA29" s="42">
        <v>6153</v>
      </c>
      <c r="BB29" s="98">
        <f t="shared" si="16"/>
        <v>0</v>
      </c>
      <c r="BC29" s="42">
        <v>26348</v>
      </c>
      <c r="BD29" s="98">
        <f t="shared" si="17"/>
        <v>1</v>
      </c>
      <c r="BE29" s="42">
        <v>1112</v>
      </c>
      <c r="BF29" s="95">
        <f t="shared" si="18"/>
        <v>0</v>
      </c>
      <c r="BG29" s="45">
        <v>4306</v>
      </c>
      <c r="BH29" s="95">
        <f t="shared" si="19"/>
        <v>0</v>
      </c>
      <c r="BI29" s="42">
        <v>3636</v>
      </c>
      <c r="BJ29" s="95">
        <f t="shared" si="20"/>
        <v>0</v>
      </c>
      <c r="BK29" s="95">
        <f t="shared" si="21"/>
        <v>0</v>
      </c>
      <c r="BL29" s="95">
        <f t="shared" si="22"/>
        <v>40</v>
      </c>
      <c r="BM29" s="42">
        <v>595630</v>
      </c>
      <c r="BN29" s="95">
        <f t="shared" si="23"/>
        <v>10</v>
      </c>
      <c r="BO29" s="97">
        <v>581</v>
      </c>
      <c r="BP29" s="98">
        <f t="shared" si="23"/>
        <v>0</v>
      </c>
      <c r="BQ29" s="45">
        <v>768870</v>
      </c>
      <c r="BR29" s="95">
        <f t="shared" si="25"/>
        <v>50</v>
      </c>
      <c r="BS29" s="97">
        <v>5868</v>
      </c>
      <c r="BT29" s="95">
        <f t="shared" si="25"/>
        <v>0</v>
      </c>
      <c r="BU29" s="98">
        <f t="shared" si="72"/>
        <v>10</v>
      </c>
      <c r="BV29" s="95">
        <f t="shared" si="26"/>
        <v>60</v>
      </c>
      <c r="BW29" s="99">
        <f t="shared" si="27"/>
        <v>1</v>
      </c>
      <c r="BX29" s="42">
        <v>142.30000000000001</v>
      </c>
      <c r="BY29" s="50">
        <f t="shared" si="28"/>
        <v>18260.185579676552</v>
      </c>
      <c r="BZ29" s="101"/>
      <c r="CA29" s="98">
        <f t="shared" si="69"/>
        <v>0</v>
      </c>
      <c r="CB29" s="45">
        <v>206009.2</v>
      </c>
      <c r="CC29" s="98">
        <f t="shared" si="29"/>
        <v>0</v>
      </c>
      <c r="CD29" s="98">
        <f t="shared" si="51"/>
        <v>0</v>
      </c>
      <c r="CE29" s="45">
        <v>34</v>
      </c>
      <c r="CF29" s="103">
        <f t="shared" si="30"/>
        <v>3663.5</v>
      </c>
      <c r="CG29" s="45">
        <v>34</v>
      </c>
      <c r="CH29" s="102">
        <f t="shared" si="31"/>
        <v>3663.5</v>
      </c>
      <c r="CI29" s="45">
        <v>36</v>
      </c>
      <c r="CJ29" s="102">
        <f t="shared" si="32"/>
        <v>3879</v>
      </c>
      <c r="CK29" s="103">
        <f t="shared" si="33"/>
        <v>11206</v>
      </c>
      <c r="CL29" s="103">
        <f t="shared" si="34"/>
        <v>107.75</v>
      </c>
      <c r="CM29" s="45"/>
      <c r="CN29" s="42">
        <v>34115.699999999997</v>
      </c>
      <c r="CO29" s="95">
        <f t="shared" si="35"/>
        <v>0.19999999999708962</v>
      </c>
      <c r="CP29" s="98">
        <f t="shared" si="52"/>
        <v>0.48799999999289867</v>
      </c>
      <c r="CQ29" s="42">
        <v>34300</v>
      </c>
      <c r="CR29" s="95">
        <f t="shared" si="36"/>
        <v>0</v>
      </c>
      <c r="CS29" s="98">
        <f t="shared" si="53"/>
        <v>0</v>
      </c>
      <c r="CT29" s="42">
        <v>10234</v>
      </c>
      <c r="CU29" s="95">
        <f t="shared" si="37"/>
        <v>0</v>
      </c>
      <c r="CV29" s="95">
        <f t="shared" si="38"/>
        <v>0</v>
      </c>
      <c r="CW29" s="45">
        <v>832021</v>
      </c>
      <c r="CX29" s="95">
        <f t="shared" si="39"/>
        <v>0</v>
      </c>
      <c r="CY29" s="98">
        <f t="shared" si="54"/>
        <v>0</v>
      </c>
      <c r="CZ29" s="45">
        <v>5736.3</v>
      </c>
      <c r="DA29" s="95">
        <f t="shared" si="40"/>
        <v>0</v>
      </c>
      <c r="DB29" s="98">
        <f t="shared" si="55"/>
        <v>0</v>
      </c>
      <c r="DC29" s="42">
        <v>7415</v>
      </c>
      <c r="DD29" s="95">
        <f t="shared" si="41"/>
        <v>0</v>
      </c>
      <c r="DE29" s="98">
        <f t="shared" si="56"/>
        <v>0</v>
      </c>
      <c r="DF29" s="42">
        <v>3838.7</v>
      </c>
      <c r="DG29" s="95">
        <f t="shared" si="42"/>
        <v>0</v>
      </c>
      <c r="DH29" s="98">
        <f t="shared" si="57"/>
        <v>0</v>
      </c>
      <c r="DI29" s="42">
        <v>1855.7</v>
      </c>
      <c r="DJ29" s="95">
        <f t="shared" si="43"/>
        <v>0</v>
      </c>
      <c r="DK29" s="98">
        <f t="shared" si="58"/>
        <v>0</v>
      </c>
      <c r="DL29" s="42">
        <v>5078.3999999999996</v>
      </c>
      <c r="DM29" s="95">
        <f t="shared" si="44"/>
        <v>0</v>
      </c>
      <c r="DN29" s="98">
        <f t="shared" si="59"/>
        <v>0</v>
      </c>
      <c r="DO29" s="42">
        <v>4451.7</v>
      </c>
      <c r="DP29" s="95">
        <f t="shared" si="45"/>
        <v>0</v>
      </c>
      <c r="DQ29" s="98">
        <f t="shared" si="60"/>
        <v>0</v>
      </c>
      <c r="DR29" s="42">
        <v>5086.1000000000004</v>
      </c>
      <c r="DS29" s="95">
        <f t="shared" si="46"/>
        <v>0</v>
      </c>
      <c r="DT29" s="98">
        <f t="shared" si="61"/>
        <v>0</v>
      </c>
      <c r="DU29" s="42">
        <v>4320.7</v>
      </c>
      <c r="DV29" s="95">
        <f t="shared" si="47"/>
        <v>0</v>
      </c>
      <c r="DW29" s="98">
        <f t="shared" si="62"/>
        <v>0</v>
      </c>
      <c r="DX29" s="47">
        <v>12732</v>
      </c>
      <c r="DY29" s="98">
        <f t="shared" si="64"/>
        <v>0</v>
      </c>
      <c r="DZ29" s="47">
        <v>61889</v>
      </c>
      <c r="EA29" s="109">
        <f t="shared" si="73"/>
        <v>0</v>
      </c>
      <c r="EB29" s="48">
        <v>15599</v>
      </c>
      <c r="EC29" s="109">
        <f t="shared" si="63"/>
        <v>0</v>
      </c>
      <c r="ED29" s="48">
        <v>24594</v>
      </c>
      <c r="EE29" s="104">
        <f t="shared" si="48"/>
        <v>0</v>
      </c>
      <c r="EF29" s="48">
        <v>1</v>
      </c>
      <c r="EG29" s="49">
        <v>9</v>
      </c>
      <c r="EH29" s="134">
        <v>7.4999999999999997E-3</v>
      </c>
      <c r="EI29" s="105"/>
      <c r="EJ29" s="48"/>
      <c r="EK29" s="48"/>
    </row>
    <row r="30" spans="1:141" s="26" customFormat="1" ht="15.75" thickBot="1" x14ac:dyDescent="0.25">
      <c r="A30" s="27">
        <v>44039</v>
      </c>
      <c r="B30" s="42">
        <v>5315454</v>
      </c>
      <c r="C30" s="92">
        <f t="shared" si="0"/>
        <v>3824</v>
      </c>
      <c r="D30" s="42">
        <v>4657825</v>
      </c>
      <c r="E30" s="92">
        <f t="shared" si="1"/>
        <v>3504</v>
      </c>
      <c r="F30" s="36">
        <f t="shared" si="49"/>
        <v>0.91631799163179917</v>
      </c>
      <c r="G30" s="41">
        <v>238</v>
      </c>
      <c r="H30" s="41">
        <v>286</v>
      </c>
      <c r="I30" s="52">
        <v>285707</v>
      </c>
      <c r="J30" s="92">
        <f t="shared" si="65"/>
        <v>0</v>
      </c>
      <c r="K30" s="43">
        <v>750</v>
      </c>
      <c r="L30" s="93">
        <f t="shared" si="74"/>
        <v>0</v>
      </c>
      <c r="M30" s="42">
        <v>629912</v>
      </c>
      <c r="N30" s="92">
        <f t="shared" si="67"/>
        <v>4</v>
      </c>
      <c r="O30" s="42">
        <v>968</v>
      </c>
      <c r="P30" s="94">
        <f t="shared" si="68"/>
        <v>1</v>
      </c>
      <c r="Q30" s="42">
        <v>2532433</v>
      </c>
      <c r="R30" s="94">
        <f t="shared" si="2"/>
        <v>95</v>
      </c>
      <c r="S30" s="42">
        <v>2188934</v>
      </c>
      <c r="T30" s="94">
        <f>IF((S30-S29)&lt;0,"0",(S30-S29))</f>
        <v>68</v>
      </c>
      <c r="U30" s="42">
        <v>94156</v>
      </c>
      <c r="V30" s="94">
        <f t="shared" si="4"/>
        <v>78</v>
      </c>
      <c r="W30" s="42">
        <v>100</v>
      </c>
      <c r="X30" s="42">
        <v>0</v>
      </c>
      <c r="Y30" s="42">
        <v>152258</v>
      </c>
      <c r="Z30" s="94">
        <f t="shared" si="5"/>
        <v>0</v>
      </c>
      <c r="AA30" s="42">
        <v>38033</v>
      </c>
      <c r="AB30" s="95">
        <f t="shared" si="71"/>
        <v>9</v>
      </c>
      <c r="AC30" s="42">
        <v>1063</v>
      </c>
      <c r="AD30" s="94">
        <f t="shared" si="7"/>
        <v>0</v>
      </c>
      <c r="AE30" s="45">
        <v>3726</v>
      </c>
      <c r="AF30" s="92">
        <f t="shared" si="7"/>
        <v>0</v>
      </c>
      <c r="AG30" s="28"/>
      <c r="AH30" s="28"/>
      <c r="AI30" s="45">
        <v>571860</v>
      </c>
      <c r="AJ30" s="94">
        <f t="shared" si="8"/>
        <v>70</v>
      </c>
      <c r="AK30" s="96"/>
      <c r="AL30" s="94"/>
      <c r="AM30" s="45">
        <v>52040</v>
      </c>
      <c r="AN30" s="94">
        <f t="shared" si="9"/>
        <v>1</v>
      </c>
      <c r="AO30" s="45">
        <v>8867</v>
      </c>
      <c r="AP30" s="94">
        <f t="shared" si="10"/>
        <v>0</v>
      </c>
      <c r="AQ30" s="45">
        <v>10551</v>
      </c>
      <c r="AR30" s="94">
        <f t="shared" si="11"/>
        <v>0</v>
      </c>
      <c r="AS30" s="45">
        <v>14482</v>
      </c>
      <c r="AT30" s="94">
        <f t="shared" si="12"/>
        <v>0</v>
      </c>
      <c r="AU30" s="45">
        <v>19353</v>
      </c>
      <c r="AV30" s="94">
        <f t="shared" si="13"/>
        <v>0</v>
      </c>
      <c r="AW30" s="45">
        <v>20660</v>
      </c>
      <c r="AX30" s="95">
        <f t="shared" si="14"/>
        <v>0</v>
      </c>
      <c r="AY30" s="42">
        <v>13831</v>
      </c>
      <c r="AZ30" s="95">
        <f t="shared" si="15"/>
        <v>0</v>
      </c>
      <c r="BA30" s="42">
        <v>6153</v>
      </c>
      <c r="BB30" s="95">
        <f t="shared" si="16"/>
        <v>0</v>
      </c>
      <c r="BC30" s="42">
        <v>26348</v>
      </c>
      <c r="BD30" s="95">
        <f t="shared" si="17"/>
        <v>0</v>
      </c>
      <c r="BE30" s="42">
        <v>1112</v>
      </c>
      <c r="BF30" s="95">
        <f t="shared" si="18"/>
        <v>0</v>
      </c>
      <c r="BG30" s="45">
        <v>4306</v>
      </c>
      <c r="BH30" s="95">
        <f t="shared" si="19"/>
        <v>0</v>
      </c>
      <c r="BI30" s="42">
        <v>3636</v>
      </c>
      <c r="BJ30" s="95">
        <f t="shared" si="20"/>
        <v>0</v>
      </c>
      <c r="BK30" s="95">
        <f t="shared" si="21"/>
        <v>0</v>
      </c>
      <c r="BL30" s="95">
        <f t="shared" si="22"/>
        <v>70</v>
      </c>
      <c r="BM30" s="42">
        <v>595640</v>
      </c>
      <c r="BN30" s="95">
        <f t="shared" si="23"/>
        <v>10</v>
      </c>
      <c r="BO30" s="97">
        <v>581</v>
      </c>
      <c r="BP30" s="98">
        <f t="shared" si="23"/>
        <v>0</v>
      </c>
      <c r="BQ30" s="45">
        <v>768940</v>
      </c>
      <c r="BR30" s="95">
        <f t="shared" si="25"/>
        <v>70</v>
      </c>
      <c r="BS30" s="97">
        <v>5868</v>
      </c>
      <c r="BT30" s="95">
        <f t="shared" si="25"/>
        <v>0</v>
      </c>
      <c r="BU30" s="98">
        <f t="shared" si="72"/>
        <v>0</v>
      </c>
      <c r="BV30" s="95">
        <f t="shared" si="26"/>
        <v>80</v>
      </c>
      <c r="BW30" s="99">
        <f t="shared" si="27"/>
        <v>1</v>
      </c>
      <c r="BX30" s="42">
        <v>142.30000000000001</v>
      </c>
      <c r="BY30" s="50">
        <f t="shared" si="28"/>
        <v>18260.185579676552</v>
      </c>
      <c r="BZ30" s="101"/>
      <c r="CA30" s="98">
        <f t="shared" si="69"/>
        <v>0</v>
      </c>
      <c r="CB30" s="122">
        <v>206011</v>
      </c>
      <c r="CC30" s="95">
        <f t="shared" si="29"/>
        <v>1.7999999999883585</v>
      </c>
      <c r="CD30" s="98">
        <f t="shared" si="51"/>
        <v>10.277999999933527</v>
      </c>
      <c r="CE30" s="46">
        <v>34</v>
      </c>
      <c r="CF30" s="102">
        <f t="shared" si="30"/>
        <v>3663.5</v>
      </c>
      <c r="CG30" s="46">
        <v>33</v>
      </c>
      <c r="CH30" s="102">
        <f t="shared" si="31"/>
        <v>3555.75</v>
      </c>
      <c r="CI30" s="46">
        <v>36</v>
      </c>
      <c r="CJ30" s="102">
        <f t="shared" si="32"/>
        <v>3879</v>
      </c>
      <c r="CK30" s="103">
        <f t="shared" si="33"/>
        <v>11098.25</v>
      </c>
      <c r="CL30" s="103">
        <f t="shared" si="34"/>
        <v>107.75</v>
      </c>
      <c r="CM30" s="45"/>
      <c r="CN30" s="42">
        <v>34117.1</v>
      </c>
      <c r="CO30" s="95">
        <f t="shared" si="35"/>
        <v>1.4000000000014552</v>
      </c>
      <c r="CP30" s="98">
        <f t="shared" si="52"/>
        <v>3.4160000000035504</v>
      </c>
      <c r="CQ30" s="42">
        <v>34300</v>
      </c>
      <c r="CR30" s="95">
        <f t="shared" si="36"/>
        <v>0</v>
      </c>
      <c r="CS30" s="98">
        <f t="shared" si="53"/>
        <v>0</v>
      </c>
      <c r="CT30" s="42">
        <v>10234</v>
      </c>
      <c r="CU30" s="95">
        <f t="shared" si="37"/>
        <v>0</v>
      </c>
      <c r="CV30" s="95">
        <f t="shared" si="38"/>
        <v>0</v>
      </c>
      <c r="CW30" s="45">
        <v>832021</v>
      </c>
      <c r="CX30" s="95">
        <f t="shared" si="39"/>
        <v>0</v>
      </c>
      <c r="CY30" s="98">
        <f t="shared" si="54"/>
        <v>0</v>
      </c>
      <c r="CZ30" s="42">
        <v>5737.2</v>
      </c>
      <c r="DA30" s="95">
        <f t="shared" si="40"/>
        <v>0.8999999999996362</v>
      </c>
      <c r="DB30" s="98">
        <f t="shared" si="55"/>
        <v>2.1509999999991307</v>
      </c>
      <c r="DC30" s="42">
        <v>7415</v>
      </c>
      <c r="DD30" s="95">
        <f t="shared" si="41"/>
        <v>0</v>
      </c>
      <c r="DE30" s="98">
        <f t="shared" si="56"/>
        <v>0</v>
      </c>
      <c r="DF30" s="42">
        <v>3838.7</v>
      </c>
      <c r="DG30" s="95">
        <f t="shared" si="42"/>
        <v>0</v>
      </c>
      <c r="DH30" s="98">
        <f t="shared" si="57"/>
        <v>0</v>
      </c>
      <c r="DI30" s="42">
        <v>1855.7</v>
      </c>
      <c r="DJ30" s="95">
        <f t="shared" si="43"/>
        <v>0</v>
      </c>
      <c r="DK30" s="98">
        <f t="shared" si="58"/>
        <v>0</v>
      </c>
      <c r="DL30" s="42">
        <v>5078.3999999999996</v>
      </c>
      <c r="DM30" s="95">
        <f t="shared" si="44"/>
        <v>0</v>
      </c>
      <c r="DN30" s="98">
        <f t="shared" si="59"/>
        <v>0</v>
      </c>
      <c r="DO30" s="42">
        <v>4451.7</v>
      </c>
      <c r="DP30" s="95">
        <f t="shared" si="45"/>
        <v>0</v>
      </c>
      <c r="DQ30" s="98">
        <f t="shared" si="60"/>
        <v>0</v>
      </c>
      <c r="DR30" s="42">
        <v>5086.1000000000004</v>
      </c>
      <c r="DS30" s="95">
        <f t="shared" si="46"/>
        <v>0</v>
      </c>
      <c r="DT30" s="98">
        <f t="shared" si="61"/>
        <v>0</v>
      </c>
      <c r="DU30" s="42">
        <v>4320.7</v>
      </c>
      <c r="DV30" s="95">
        <f t="shared" si="47"/>
        <v>0</v>
      </c>
      <c r="DW30" s="98">
        <f t="shared" si="62"/>
        <v>0</v>
      </c>
      <c r="DX30" s="47">
        <v>12732</v>
      </c>
      <c r="DY30" s="98">
        <f t="shared" si="64"/>
        <v>0</v>
      </c>
      <c r="DZ30" s="47">
        <v>61889</v>
      </c>
      <c r="EA30" s="104">
        <f t="shared" si="73"/>
        <v>0</v>
      </c>
      <c r="EB30" s="48">
        <v>15599</v>
      </c>
      <c r="EC30" s="104">
        <f t="shared" si="63"/>
        <v>0</v>
      </c>
      <c r="ED30" s="48">
        <v>24594</v>
      </c>
      <c r="EE30" s="104">
        <f t="shared" si="48"/>
        <v>0</v>
      </c>
      <c r="EF30" s="48">
        <v>1</v>
      </c>
      <c r="EG30" s="49">
        <v>9</v>
      </c>
      <c r="EH30" s="134">
        <v>7.4999999999999997E-3</v>
      </c>
      <c r="EI30" s="105"/>
      <c r="EJ30" s="48"/>
      <c r="EK30" s="48"/>
    </row>
    <row r="31" spans="1:141" s="26" customFormat="1" ht="15.75" thickBot="1" x14ac:dyDescent="0.25">
      <c r="A31" s="27">
        <v>44040</v>
      </c>
      <c r="B31" s="42">
        <v>5319393</v>
      </c>
      <c r="C31" s="92">
        <f t="shared" si="0"/>
        <v>3939</v>
      </c>
      <c r="D31" s="42">
        <v>4661443</v>
      </c>
      <c r="E31" s="92">
        <f t="shared" si="1"/>
        <v>3618</v>
      </c>
      <c r="F31" s="36">
        <f t="shared" si="49"/>
        <v>0.91850723533891854</v>
      </c>
      <c r="G31" s="41">
        <v>238</v>
      </c>
      <c r="H31" s="41">
        <v>286</v>
      </c>
      <c r="I31" s="52">
        <v>285707</v>
      </c>
      <c r="J31" s="92">
        <f t="shared" si="65"/>
        <v>0</v>
      </c>
      <c r="K31" s="43">
        <v>750</v>
      </c>
      <c r="L31" s="93">
        <f t="shared" si="74"/>
        <v>0</v>
      </c>
      <c r="M31" s="42">
        <v>629912</v>
      </c>
      <c r="N31" s="92">
        <f t="shared" si="67"/>
        <v>0</v>
      </c>
      <c r="O31" s="42">
        <v>968</v>
      </c>
      <c r="P31" s="94">
        <f t="shared" si="68"/>
        <v>0</v>
      </c>
      <c r="Q31" s="42">
        <v>2532614</v>
      </c>
      <c r="R31" s="94">
        <f t="shared" si="2"/>
        <v>181</v>
      </c>
      <c r="S31" s="42">
        <v>2188996</v>
      </c>
      <c r="T31" s="94">
        <f t="shared" si="3"/>
        <v>62</v>
      </c>
      <c r="U31" s="42">
        <v>94226</v>
      </c>
      <c r="V31" s="94">
        <f t="shared" si="4"/>
        <v>70</v>
      </c>
      <c r="W31" s="42">
        <v>100</v>
      </c>
      <c r="X31" s="42">
        <v>0</v>
      </c>
      <c r="Y31" s="42">
        <v>152258</v>
      </c>
      <c r="Z31" s="94">
        <f t="shared" si="5"/>
        <v>0</v>
      </c>
      <c r="AA31" s="42">
        <v>38040</v>
      </c>
      <c r="AB31" s="95">
        <f t="shared" si="71"/>
        <v>7</v>
      </c>
      <c r="AC31" s="42">
        <v>1065</v>
      </c>
      <c r="AD31" s="94">
        <f t="shared" si="7"/>
        <v>2</v>
      </c>
      <c r="AE31" s="45">
        <v>3735</v>
      </c>
      <c r="AF31" s="92">
        <f t="shared" si="7"/>
        <v>9</v>
      </c>
      <c r="AG31" s="28"/>
      <c r="AH31" s="28"/>
      <c r="AI31" s="45">
        <v>571890</v>
      </c>
      <c r="AJ31" s="94">
        <f t="shared" si="8"/>
        <v>30</v>
      </c>
      <c r="AK31" s="96"/>
      <c r="AL31" s="94"/>
      <c r="AM31" s="45">
        <v>52040</v>
      </c>
      <c r="AN31" s="94">
        <f t="shared" si="9"/>
        <v>0</v>
      </c>
      <c r="AO31" s="45">
        <v>8867</v>
      </c>
      <c r="AP31" s="94">
        <f t="shared" si="10"/>
        <v>0</v>
      </c>
      <c r="AQ31" s="45">
        <v>10551</v>
      </c>
      <c r="AR31" s="94">
        <f t="shared" si="11"/>
        <v>0</v>
      </c>
      <c r="AS31" s="45">
        <v>14482</v>
      </c>
      <c r="AT31" s="94">
        <f t="shared" si="12"/>
        <v>0</v>
      </c>
      <c r="AU31" s="45">
        <v>19353</v>
      </c>
      <c r="AV31" s="94">
        <f t="shared" si="13"/>
        <v>0</v>
      </c>
      <c r="AW31" s="45">
        <v>20660</v>
      </c>
      <c r="AX31" s="95">
        <f t="shared" si="14"/>
        <v>0</v>
      </c>
      <c r="AY31" s="42">
        <v>13831</v>
      </c>
      <c r="AZ31" s="95">
        <f t="shared" si="15"/>
        <v>0</v>
      </c>
      <c r="BA31" s="42">
        <v>6153</v>
      </c>
      <c r="BB31" s="95">
        <f t="shared" si="16"/>
        <v>0</v>
      </c>
      <c r="BC31" s="42">
        <v>26348</v>
      </c>
      <c r="BD31" s="95">
        <f t="shared" si="17"/>
        <v>0</v>
      </c>
      <c r="BE31" s="42">
        <v>1112</v>
      </c>
      <c r="BF31" s="95">
        <f t="shared" si="18"/>
        <v>0</v>
      </c>
      <c r="BG31" s="45">
        <v>4307</v>
      </c>
      <c r="BH31" s="95">
        <f t="shared" si="19"/>
        <v>1</v>
      </c>
      <c r="BI31" s="42">
        <v>3636</v>
      </c>
      <c r="BJ31" s="95">
        <f t="shared" si="20"/>
        <v>0</v>
      </c>
      <c r="BK31" s="95">
        <f t="shared" si="21"/>
        <v>0</v>
      </c>
      <c r="BL31" s="95">
        <f t="shared" si="22"/>
        <v>30</v>
      </c>
      <c r="BM31" s="42">
        <v>595660</v>
      </c>
      <c r="BN31" s="95">
        <f t="shared" si="23"/>
        <v>20</v>
      </c>
      <c r="BO31" s="97">
        <v>581</v>
      </c>
      <c r="BP31" s="98">
        <f t="shared" si="23"/>
        <v>0</v>
      </c>
      <c r="BQ31" s="45">
        <v>768970</v>
      </c>
      <c r="BR31" s="95">
        <f t="shared" si="25"/>
        <v>30</v>
      </c>
      <c r="BS31" s="97">
        <v>5868</v>
      </c>
      <c r="BT31" s="95">
        <f t="shared" si="25"/>
        <v>0</v>
      </c>
      <c r="BU31" s="98">
        <f t="shared" si="72"/>
        <v>0</v>
      </c>
      <c r="BV31" s="95">
        <f t="shared" si="26"/>
        <v>50</v>
      </c>
      <c r="BW31" s="99">
        <f t="shared" si="27"/>
        <v>0</v>
      </c>
      <c r="BX31" s="42">
        <v>142.30000000000001</v>
      </c>
      <c r="BY31" s="50">
        <f t="shared" si="28"/>
        <v>18260.185579676552</v>
      </c>
      <c r="BZ31" s="101"/>
      <c r="CA31" s="98">
        <f t="shared" si="69"/>
        <v>0</v>
      </c>
      <c r="CB31" s="45">
        <v>206011.3</v>
      </c>
      <c r="CC31" s="95">
        <f t="shared" si="29"/>
        <v>0.29999999998835847</v>
      </c>
      <c r="CD31" s="98">
        <f t="shared" si="51"/>
        <v>1.7129999999335268</v>
      </c>
      <c r="CE31" s="46">
        <v>34</v>
      </c>
      <c r="CF31" s="102">
        <f t="shared" si="30"/>
        <v>3663.5</v>
      </c>
      <c r="CG31" s="46">
        <v>33</v>
      </c>
      <c r="CH31" s="102">
        <f t="shared" si="31"/>
        <v>3555.75</v>
      </c>
      <c r="CI31" s="46">
        <v>36</v>
      </c>
      <c r="CJ31" s="102">
        <f t="shared" si="32"/>
        <v>3879</v>
      </c>
      <c r="CK31" s="103">
        <f t="shared" si="33"/>
        <v>11098.25</v>
      </c>
      <c r="CL31" s="102">
        <f t="shared" si="34"/>
        <v>0</v>
      </c>
      <c r="CM31" s="45"/>
      <c r="CN31" s="42">
        <v>34117.199999999997</v>
      </c>
      <c r="CO31" s="95">
        <f t="shared" si="35"/>
        <v>9.9999999998544808E-2</v>
      </c>
      <c r="CP31" s="98">
        <f t="shared" si="52"/>
        <v>0.24399999999644933</v>
      </c>
      <c r="CQ31" s="42">
        <v>34300</v>
      </c>
      <c r="CR31" s="95">
        <f t="shared" si="36"/>
        <v>0</v>
      </c>
      <c r="CS31" s="98">
        <f t="shared" si="53"/>
        <v>0</v>
      </c>
      <c r="CT31" s="42">
        <v>10234</v>
      </c>
      <c r="CU31" s="95">
        <f t="shared" si="37"/>
        <v>0</v>
      </c>
      <c r="CV31" s="95">
        <f t="shared" si="38"/>
        <v>0</v>
      </c>
      <c r="CW31" s="45">
        <v>832021</v>
      </c>
      <c r="CX31" s="95">
        <f t="shared" si="39"/>
        <v>0</v>
      </c>
      <c r="CY31" s="98">
        <f t="shared" si="54"/>
        <v>0</v>
      </c>
      <c r="CZ31" s="42">
        <v>5737.8</v>
      </c>
      <c r="DA31" s="95">
        <f t="shared" si="40"/>
        <v>0.6000000000003638</v>
      </c>
      <c r="DB31" s="98">
        <f t="shared" si="55"/>
        <v>1.4340000000008695</v>
      </c>
      <c r="DC31" s="42">
        <v>7415</v>
      </c>
      <c r="DD31" s="95">
        <f t="shared" si="41"/>
        <v>0</v>
      </c>
      <c r="DE31" s="98">
        <f t="shared" si="56"/>
        <v>0</v>
      </c>
      <c r="DF31" s="42">
        <v>3838.7</v>
      </c>
      <c r="DG31" s="95">
        <f t="shared" si="42"/>
        <v>0</v>
      </c>
      <c r="DH31" s="98">
        <f t="shared" si="57"/>
        <v>0</v>
      </c>
      <c r="DI31" s="42">
        <v>1855.7</v>
      </c>
      <c r="DJ31" s="95">
        <f t="shared" si="43"/>
        <v>0</v>
      </c>
      <c r="DK31" s="98">
        <f t="shared" si="58"/>
        <v>0</v>
      </c>
      <c r="DL31" s="42">
        <v>5078.3999999999996</v>
      </c>
      <c r="DM31" s="95">
        <f t="shared" si="44"/>
        <v>0</v>
      </c>
      <c r="DN31" s="98">
        <f t="shared" si="59"/>
        <v>0</v>
      </c>
      <c r="DO31" s="42">
        <v>4451.7</v>
      </c>
      <c r="DP31" s="95">
        <f t="shared" si="45"/>
        <v>0</v>
      </c>
      <c r="DQ31" s="98">
        <f t="shared" si="60"/>
        <v>0</v>
      </c>
      <c r="DR31" s="42">
        <v>5086.1000000000004</v>
      </c>
      <c r="DS31" s="95">
        <f t="shared" si="46"/>
        <v>0</v>
      </c>
      <c r="DT31" s="98">
        <f t="shared" si="61"/>
        <v>0</v>
      </c>
      <c r="DU31" s="42">
        <v>4320.7</v>
      </c>
      <c r="DV31" s="95">
        <f t="shared" si="47"/>
        <v>0</v>
      </c>
      <c r="DW31" s="98">
        <f t="shared" si="62"/>
        <v>0</v>
      </c>
      <c r="DX31" s="47">
        <v>12732</v>
      </c>
      <c r="DY31" s="98">
        <f t="shared" si="64"/>
        <v>0</v>
      </c>
      <c r="DZ31" s="47">
        <v>61889</v>
      </c>
      <c r="EA31" s="104">
        <f t="shared" si="73"/>
        <v>0</v>
      </c>
      <c r="EB31" s="48">
        <v>15599</v>
      </c>
      <c r="EC31" s="104">
        <f t="shared" si="63"/>
        <v>0</v>
      </c>
      <c r="ED31" s="48">
        <v>24594</v>
      </c>
      <c r="EE31" s="104">
        <f t="shared" si="48"/>
        <v>0</v>
      </c>
      <c r="EF31" s="48">
        <v>1</v>
      </c>
      <c r="EG31" s="49">
        <v>9</v>
      </c>
      <c r="EH31" s="134">
        <v>7.4999999999999997E-3</v>
      </c>
      <c r="EI31" s="105"/>
      <c r="EJ31" s="48"/>
      <c r="EK31" s="48"/>
    </row>
    <row r="32" spans="1:141" s="26" customFormat="1" ht="15.75" thickBot="1" x14ac:dyDescent="0.25">
      <c r="A32" s="27">
        <v>44041</v>
      </c>
      <c r="B32" s="42">
        <v>5323172</v>
      </c>
      <c r="C32" s="92">
        <f t="shared" si="0"/>
        <v>3779</v>
      </c>
      <c r="D32" s="42">
        <v>4664881</v>
      </c>
      <c r="E32" s="92">
        <f t="shared" si="1"/>
        <v>3438</v>
      </c>
      <c r="F32" s="36">
        <f t="shared" si="49"/>
        <v>0.90976448795977771</v>
      </c>
      <c r="G32" s="41">
        <v>238</v>
      </c>
      <c r="H32" s="41">
        <v>286</v>
      </c>
      <c r="I32" s="52">
        <v>285707</v>
      </c>
      <c r="J32" s="92">
        <f t="shared" si="65"/>
        <v>0</v>
      </c>
      <c r="K32" s="43">
        <v>750</v>
      </c>
      <c r="L32" s="93">
        <f t="shared" si="66"/>
        <v>0</v>
      </c>
      <c r="M32" s="42">
        <v>629912</v>
      </c>
      <c r="N32" s="92">
        <f t="shared" si="67"/>
        <v>0</v>
      </c>
      <c r="O32" s="42">
        <v>968</v>
      </c>
      <c r="P32" s="94">
        <f t="shared" si="68"/>
        <v>0</v>
      </c>
      <c r="Q32" s="42">
        <v>2532813</v>
      </c>
      <c r="R32" s="94">
        <f t="shared" si="2"/>
        <v>199</v>
      </c>
      <c r="S32" s="42">
        <v>2189054</v>
      </c>
      <c r="T32" s="94">
        <f t="shared" si="3"/>
        <v>58</v>
      </c>
      <c r="U32" s="42">
        <v>94294</v>
      </c>
      <c r="V32" s="94">
        <f t="shared" si="4"/>
        <v>68</v>
      </c>
      <c r="W32" s="42">
        <v>100</v>
      </c>
      <c r="X32" s="42">
        <v>0</v>
      </c>
      <c r="Y32" s="42">
        <v>152258</v>
      </c>
      <c r="Z32" s="94">
        <f t="shared" si="5"/>
        <v>0</v>
      </c>
      <c r="AA32" s="42">
        <v>38047</v>
      </c>
      <c r="AB32" s="95">
        <f t="shared" si="71"/>
        <v>7</v>
      </c>
      <c r="AC32" s="42">
        <v>1065</v>
      </c>
      <c r="AD32" s="94">
        <f t="shared" si="7"/>
        <v>0</v>
      </c>
      <c r="AE32" s="45">
        <v>3735</v>
      </c>
      <c r="AF32" s="92">
        <f t="shared" si="7"/>
        <v>0</v>
      </c>
      <c r="AG32" s="28"/>
      <c r="AH32" s="28"/>
      <c r="AI32" s="45">
        <v>571940</v>
      </c>
      <c r="AJ32" s="94">
        <f t="shared" si="8"/>
        <v>50</v>
      </c>
      <c r="AK32" s="96"/>
      <c r="AL32" s="94"/>
      <c r="AM32" s="45">
        <v>52041</v>
      </c>
      <c r="AN32" s="94">
        <f t="shared" si="9"/>
        <v>1</v>
      </c>
      <c r="AO32" s="45">
        <v>8867</v>
      </c>
      <c r="AP32" s="94">
        <f t="shared" si="10"/>
        <v>0</v>
      </c>
      <c r="AQ32" s="45">
        <v>10551</v>
      </c>
      <c r="AR32" s="94">
        <f t="shared" si="11"/>
        <v>0</v>
      </c>
      <c r="AS32" s="45">
        <v>14482</v>
      </c>
      <c r="AT32" s="94">
        <f>IF((AS32-AS31)&lt;0,"0",(AS32-AS31))</f>
        <v>0</v>
      </c>
      <c r="AU32" s="45">
        <v>19353</v>
      </c>
      <c r="AV32" s="94">
        <f>IF((AU32-AU31)&lt;0,"0",(AU32-AU31))</f>
        <v>0</v>
      </c>
      <c r="AW32" s="45">
        <v>20660</v>
      </c>
      <c r="AX32" s="95">
        <f t="shared" si="14"/>
        <v>0</v>
      </c>
      <c r="AY32" s="42">
        <v>13831</v>
      </c>
      <c r="AZ32" s="95">
        <f>IF((AY32-AY31)&lt;0,"0",(AY32-AY31))</f>
        <v>0</v>
      </c>
      <c r="BA32" s="42">
        <v>6153</v>
      </c>
      <c r="BB32" s="95">
        <f t="shared" si="16"/>
        <v>0</v>
      </c>
      <c r="BC32" s="42">
        <v>26349</v>
      </c>
      <c r="BD32" s="95">
        <f t="shared" si="17"/>
        <v>1</v>
      </c>
      <c r="BE32" s="42">
        <v>1112</v>
      </c>
      <c r="BF32" s="95">
        <f t="shared" si="18"/>
        <v>0</v>
      </c>
      <c r="BG32" s="45">
        <v>4307</v>
      </c>
      <c r="BH32" s="95">
        <f>IF((BG32-BG31)&lt;0,"0",(BG32-BG31))</f>
        <v>0</v>
      </c>
      <c r="BI32" s="42">
        <v>3636</v>
      </c>
      <c r="BJ32" s="95">
        <f t="shared" si="20"/>
        <v>0</v>
      </c>
      <c r="BK32" s="95">
        <f t="shared" si="21"/>
        <v>0</v>
      </c>
      <c r="BL32" s="95">
        <f t="shared" si="22"/>
        <v>50</v>
      </c>
      <c r="BM32" s="42">
        <v>595680</v>
      </c>
      <c r="BN32" s="95">
        <f t="shared" si="23"/>
        <v>20</v>
      </c>
      <c r="BO32" s="97">
        <v>581</v>
      </c>
      <c r="BP32" s="98">
        <f t="shared" si="23"/>
        <v>0</v>
      </c>
      <c r="BQ32" s="45">
        <v>769020</v>
      </c>
      <c r="BR32" s="95">
        <f t="shared" si="25"/>
        <v>50</v>
      </c>
      <c r="BS32" s="97">
        <v>5871</v>
      </c>
      <c r="BT32" s="95">
        <f t="shared" si="25"/>
        <v>3</v>
      </c>
      <c r="BU32" s="98">
        <f t="shared" si="72"/>
        <v>0</v>
      </c>
      <c r="BV32" s="95">
        <f t="shared" si="26"/>
        <v>70</v>
      </c>
      <c r="BW32" s="99">
        <f t="shared" si="27"/>
        <v>1</v>
      </c>
      <c r="BX32" s="42">
        <v>142.30000000000001</v>
      </c>
      <c r="BY32" s="100">
        <f t="shared" si="28"/>
        <v>18260.185579676552</v>
      </c>
      <c r="BZ32" s="101"/>
      <c r="CA32" s="98">
        <f t="shared" si="69"/>
        <v>0</v>
      </c>
      <c r="CB32" s="46">
        <v>206012.1</v>
      </c>
      <c r="CC32" s="95">
        <f t="shared" si="29"/>
        <v>0.8000000000174623</v>
      </c>
      <c r="CD32" s="98">
        <f t="shared" si="51"/>
        <v>4.5680000000997101</v>
      </c>
      <c r="CE32" s="46">
        <v>34</v>
      </c>
      <c r="CF32" s="102">
        <f t="shared" si="30"/>
        <v>3663.5</v>
      </c>
      <c r="CG32" s="46">
        <v>33</v>
      </c>
      <c r="CH32" s="102">
        <f t="shared" si="31"/>
        <v>3555.75</v>
      </c>
      <c r="CI32" s="46">
        <v>35</v>
      </c>
      <c r="CJ32" s="102">
        <f t="shared" si="32"/>
        <v>3771.25</v>
      </c>
      <c r="CK32" s="103">
        <f t="shared" si="33"/>
        <v>10990.5</v>
      </c>
      <c r="CL32" s="102">
        <f t="shared" si="34"/>
        <v>107.75</v>
      </c>
      <c r="CM32" s="45"/>
      <c r="CN32" s="42">
        <v>34118.300000000003</v>
      </c>
      <c r="CO32" s="95">
        <f t="shared" si="35"/>
        <v>1.1000000000058208</v>
      </c>
      <c r="CP32" s="98">
        <f t="shared" si="52"/>
        <v>2.6840000000142026</v>
      </c>
      <c r="CQ32" s="42">
        <v>34300</v>
      </c>
      <c r="CR32" s="95">
        <f t="shared" si="36"/>
        <v>0</v>
      </c>
      <c r="CS32" s="98">
        <f t="shared" si="53"/>
        <v>0</v>
      </c>
      <c r="CT32" s="42">
        <v>10235.200000000001</v>
      </c>
      <c r="CU32" s="95">
        <f t="shared" si="37"/>
        <v>1.2000000000007276</v>
      </c>
      <c r="CV32" s="95">
        <f t="shared" si="38"/>
        <v>7.5000000000045475</v>
      </c>
      <c r="CW32" s="45">
        <v>832021</v>
      </c>
      <c r="CX32" s="95">
        <f t="shared" si="39"/>
        <v>0</v>
      </c>
      <c r="CY32" s="98">
        <f t="shared" si="54"/>
        <v>0</v>
      </c>
      <c r="CZ32" s="42">
        <v>5738.6</v>
      </c>
      <c r="DA32" s="95">
        <f t="shared" si="40"/>
        <v>0.8000000000001819</v>
      </c>
      <c r="DB32" s="98">
        <f t="shared" si="55"/>
        <v>1.9120000000004349</v>
      </c>
      <c r="DC32" s="42">
        <v>7415</v>
      </c>
      <c r="DD32" s="95">
        <f t="shared" si="41"/>
        <v>0</v>
      </c>
      <c r="DE32" s="98">
        <f t="shared" si="56"/>
        <v>0</v>
      </c>
      <c r="DF32" s="42">
        <v>3838.7</v>
      </c>
      <c r="DG32" s="95">
        <f t="shared" si="42"/>
        <v>0</v>
      </c>
      <c r="DH32" s="98">
        <f t="shared" si="57"/>
        <v>0</v>
      </c>
      <c r="DI32" s="42">
        <v>1855.7</v>
      </c>
      <c r="DJ32" s="95">
        <f t="shared" si="43"/>
        <v>0</v>
      </c>
      <c r="DK32" s="98">
        <f t="shared" si="58"/>
        <v>0</v>
      </c>
      <c r="DL32" s="42">
        <v>5078.3999999999996</v>
      </c>
      <c r="DM32" s="95">
        <f t="shared" si="44"/>
        <v>0</v>
      </c>
      <c r="DN32" s="98">
        <f t="shared" si="59"/>
        <v>0</v>
      </c>
      <c r="DO32" s="42">
        <v>4451.7</v>
      </c>
      <c r="DP32" s="95">
        <f t="shared" si="45"/>
        <v>0</v>
      </c>
      <c r="DQ32" s="98">
        <f t="shared" si="60"/>
        <v>0</v>
      </c>
      <c r="DR32" s="42">
        <v>5086.1000000000004</v>
      </c>
      <c r="DS32" s="95">
        <f t="shared" si="46"/>
        <v>0</v>
      </c>
      <c r="DT32" s="98">
        <f t="shared" si="61"/>
        <v>0</v>
      </c>
      <c r="DU32" s="42">
        <v>4320.7</v>
      </c>
      <c r="DV32" s="95">
        <f t="shared" si="47"/>
        <v>0</v>
      </c>
      <c r="DW32" s="98">
        <f t="shared" si="62"/>
        <v>0</v>
      </c>
      <c r="DX32" s="47">
        <v>12732</v>
      </c>
      <c r="DY32" s="98">
        <f t="shared" si="64"/>
        <v>0</v>
      </c>
      <c r="DZ32" s="47">
        <v>61889</v>
      </c>
      <c r="EA32" s="104">
        <f t="shared" si="73"/>
        <v>0</v>
      </c>
      <c r="EB32" s="48">
        <v>15599</v>
      </c>
      <c r="EC32" s="104">
        <f t="shared" si="63"/>
        <v>0</v>
      </c>
      <c r="ED32" s="48">
        <v>24594</v>
      </c>
      <c r="EE32" s="104">
        <f t="shared" si="48"/>
        <v>0</v>
      </c>
      <c r="EF32" s="48">
        <v>1</v>
      </c>
      <c r="EG32" s="49">
        <v>9</v>
      </c>
      <c r="EH32" s="134">
        <v>7.4999999999999997E-3</v>
      </c>
      <c r="EI32" s="105"/>
      <c r="EJ32" s="48"/>
      <c r="EK32" s="48"/>
    </row>
    <row r="33" spans="1:141" s="26" customFormat="1" ht="15.75" thickBot="1" x14ac:dyDescent="0.25">
      <c r="A33" s="27">
        <v>44042</v>
      </c>
      <c r="B33" s="42">
        <v>5327107</v>
      </c>
      <c r="C33" s="92">
        <f t="shared" si="0"/>
        <v>3935</v>
      </c>
      <c r="D33" s="42">
        <v>4668508</v>
      </c>
      <c r="E33" s="92">
        <f t="shared" si="1"/>
        <v>3627</v>
      </c>
      <c r="F33" s="36">
        <f t="shared" si="49"/>
        <v>0.92172808132147399</v>
      </c>
      <c r="G33" s="41">
        <v>238</v>
      </c>
      <c r="H33" s="41">
        <v>286</v>
      </c>
      <c r="I33" s="52">
        <v>285707</v>
      </c>
      <c r="J33" s="92">
        <f t="shared" si="65"/>
        <v>0</v>
      </c>
      <c r="K33" s="43">
        <v>750</v>
      </c>
      <c r="L33" s="93">
        <f t="shared" si="66"/>
        <v>0</v>
      </c>
      <c r="M33" s="42">
        <v>629912</v>
      </c>
      <c r="N33" s="92">
        <f t="shared" si="67"/>
        <v>0</v>
      </c>
      <c r="O33" s="42">
        <v>968</v>
      </c>
      <c r="P33" s="94">
        <f t="shared" si="68"/>
        <v>0</v>
      </c>
      <c r="Q33" s="42">
        <v>2532995</v>
      </c>
      <c r="R33" s="94">
        <f t="shared" si="2"/>
        <v>182</v>
      </c>
      <c r="S33" s="42">
        <v>2189130</v>
      </c>
      <c r="T33" s="94">
        <f>IF((S33-S32)&lt;0,"0",(S33-S32))</f>
        <v>76</v>
      </c>
      <c r="U33" s="42">
        <v>94365</v>
      </c>
      <c r="V33" s="94">
        <f t="shared" si="4"/>
        <v>71</v>
      </c>
      <c r="W33" s="42">
        <v>100</v>
      </c>
      <c r="X33" s="42">
        <v>0</v>
      </c>
      <c r="Y33" s="42">
        <v>152258</v>
      </c>
      <c r="Z33" s="94">
        <f t="shared" si="5"/>
        <v>0</v>
      </c>
      <c r="AA33" s="42">
        <v>38054</v>
      </c>
      <c r="AB33" s="95">
        <f t="shared" si="71"/>
        <v>7</v>
      </c>
      <c r="AC33" s="42">
        <v>1065</v>
      </c>
      <c r="AD33" s="94">
        <f t="shared" si="7"/>
        <v>0</v>
      </c>
      <c r="AE33" s="45">
        <v>3735</v>
      </c>
      <c r="AF33" s="92">
        <f t="shared" si="7"/>
        <v>0</v>
      </c>
      <c r="AG33" s="28"/>
      <c r="AH33" s="28"/>
      <c r="AI33" s="45">
        <v>571990</v>
      </c>
      <c r="AJ33" s="94">
        <f t="shared" si="8"/>
        <v>50</v>
      </c>
      <c r="AK33" s="96"/>
      <c r="AL33" s="94"/>
      <c r="AM33" s="45">
        <v>52042</v>
      </c>
      <c r="AN33" s="94">
        <f t="shared" si="9"/>
        <v>1</v>
      </c>
      <c r="AO33" s="45">
        <v>8867</v>
      </c>
      <c r="AP33" s="94">
        <f t="shared" si="10"/>
        <v>0</v>
      </c>
      <c r="AQ33" s="45">
        <v>10551</v>
      </c>
      <c r="AR33" s="94">
        <f t="shared" si="11"/>
        <v>0</v>
      </c>
      <c r="AS33" s="45">
        <v>14482</v>
      </c>
      <c r="AT33" s="94">
        <f t="shared" si="12"/>
        <v>0</v>
      </c>
      <c r="AU33" s="45">
        <v>19355</v>
      </c>
      <c r="AV33" s="94">
        <f t="shared" si="13"/>
        <v>2</v>
      </c>
      <c r="AW33" s="45">
        <v>20661</v>
      </c>
      <c r="AX33" s="95">
        <f t="shared" si="14"/>
        <v>1</v>
      </c>
      <c r="AY33" s="42">
        <v>13831</v>
      </c>
      <c r="AZ33" s="95">
        <f t="shared" si="15"/>
        <v>0</v>
      </c>
      <c r="BA33" s="42">
        <v>6154</v>
      </c>
      <c r="BB33" s="95">
        <f t="shared" si="16"/>
        <v>1</v>
      </c>
      <c r="BC33" s="42">
        <v>26349</v>
      </c>
      <c r="BD33" s="95">
        <f t="shared" si="17"/>
        <v>0</v>
      </c>
      <c r="BE33" s="42">
        <v>1112</v>
      </c>
      <c r="BF33" s="95">
        <f t="shared" si="18"/>
        <v>0</v>
      </c>
      <c r="BG33" s="45">
        <v>4307</v>
      </c>
      <c r="BH33" s="95">
        <f t="shared" si="19"/>
        <v>0</v>
      </c>
      <c r="BI33" s="42">
        <v>3636</v>
      </c>
      <c r="BJ33" s="95">
        <f t="shared" si="20"/>
        <v>0</v>
      </c>
      <c r="BK33" s="95">
        <f t="shared" si="21"/>
        <v>1</v>
      </c>
      <c r="BL33" s="95">
        <f t="shared" si="22"/>
        <v>49</v>
      </c>
      <c r="BM33" s="42">
        <v>595700</v>
      </c>
      <c r="BN33" s="95">
        <f t="shared" si="23"/>
        <v>20</v>
      </c>
      <c r="BO33" s="97">
        <v>581</v>
      </c>
      <c r="BP33" s="98">
        <f t="shared" si="23"/>
        <v>0</v>
      </c>
      <c r="BQ33" s="45">
        <v>769070</v>
      </c>
      <c r="BR33" s="95">
        <f t="shared" si="25"/>
        <v>50</v>
      </c>
      <c r="BS33" s="97">
        <v>5872</v>
      </c>
      <c r="BT33" s="95">
        <f t="shared" si="25"/>
        <v>1</v>
      </c>
      <c r="BU33" s="98">
        <f t="shared" si="72"/>
        <v>0</v>
      </c>
      <c r="BV33" s="95">
        <f t="shared" si="26"/>
        <v>70</v>
      </c>
      <c r="BW33" s="99">
        <f t="shared" si="27"/>
        <v>5</v>
      </c>
      <c r="BX33" s="42">
        <v>141</v>
      </c>
      <c r="BY33" s="100">
        <f t="shared" si="28"/>
        <v>18062.305247129461</v>
      </c>
      <c r="BZ33" s="101"/>
      <c r="CA33" s="98">
        <f t="shared" si="69"/>
        <v>197.8803325470908</v>
      </c>
      <c r="CB33" s="46">
        <v>206012.79999999999</v>
      </c>
      <c r="CC33" s="95">
        <f t="shared" si="29"/>
        <v>0.6999999999825377</v>
      </c>
      <c r="CD33" s="98">
        <f t="shared" si="51"/>
        <v>3.9969999999002903</v>
      </c>
      <c r="CE33" s="46">
        <v>34</v>
      </c>
      <c r="CF33" s="102">
        <f t="shared" si="30"/>
        <v>3663.5</v>
      </c>
      <c r="CG33" s="46">
        <v>33</v>
      </c>
      <c r="CH33" s="102">
        <f t="shared" si="31"/>
        <v>3555.75</v>
      </c>
      <c r="CI33" s="46">
        <v>35</v>
      </c>
      <c r="CJ33" s="102">
        <f t="shared" si="32"/>
        <v>3771.25</v>
      </c>
      <c r="CK33" s="103">
        <f t="shared" si="33"/>
        <v>10990.5</v>
      </c>
      <c r="CL33" s="102">
        <f t="shared" si="34"/>
        <v>0</v>
      </c>
      <c r="CM33" s="45"/>
      <c r="CN33" s="42">
        <v>34118.9</v>
      </c>
      <c r="CO33" s="95">
        <f t="shared" si="35"/>
        <v>0.59999999999854481</v>
      </c>
      <c r="CP33" s="98">
        <f t="shared" si="52"/>
        <v>1.4639999999964493</v>
      </c>
      <c r="CQ33" s="42">
        <v>34300</v>
      </c>
      <c r="CR33" s="95">
        <f t="shared" si="36"/>
        <v>0</v>
      </c>
      <c r="CS33" s="98">
        <f t="shared" si="53"/>
        <v>0</v>
      </c>
      <c r="CT33" s="42">
        <v>10235.1</v>
      </c>
      <c r="CU33" s="95" t="str">
        <f t="shared" si="37"/>
        <v>0</v>
      </c>
      <c r="CV33" s="95">
        <f t="shared" si="38"/>
        <v>0</v>
      </c>
      <c r="CW33" s="45">
        <v>832021</v>
      </c>
      <c r="CX33" s="95">
        <f t="shared" si="39"/>
        <v>0</v>
      </c>
      <c r="CY33" s="98">
        <f t="shared" si="54"/>
        <v>0</v>
      </c>
      <c r="CZ33" s="42">
        <v>5739.3</v>
      </c>
      <c r="DA33" s="95">
        <f t="shared" si="40"/>
        <v>0.6999999999998181</v>
      </c>
      <c r="DB33" s="98">
        <f t="shared" si="55"/>
        <v>1.6729999999995653</v>
      </c>
      <c r="DC33" s="42">
        <v>7415</v>
      </c>
      <c r="DD33" s="95">
        <f t="shared" si="41"/>
        <v>0</v>
      </c>
      <c r="DE33" s="98">
        <f t="shared" si="56"/>
        <v>0</v>
      </c>
      <c r="DF33" s="42">
        <v>3838.7</v>
      </c>
      <c r="DG33" s="95">
        <f t="shared" si="42"/>
        <v>0</v>
      </c>
      <c r="DH33" s="98">
        <f t="shared" si="57"/>
        <v>0</v>
      </c>
      <c r="DI33" s="42">
        <v>1855.7</v>
      </c>
      <c r="DJ33" s="95">
        <f t="shared" si="43"/>
        <v>0</v>
      </c>
      <c r="DK33" s="98">
        <f t="shared" si="58"/>
        <v>0</v>
      </c>
      <c r="DL33" s="42">
        <v>5078.3999999999996</v>
      </c>
      <c r="DM33" s="95">
        <f t="shared" si="44"/>
        <v>0</v>
      </c>
      <c r="DN33" s="98">
        <f t="shared" si="59"/>
        <v>0</v>
      </c>
      <c r="DO33" s="42">
        <v>4451.7</v>
      </c>
      <c r="DP33" s="95">
        <f t="shared" si="45"/>
        <v>0</v>
      </c>
      <c r="DQ33" s="98">
        <f t="shared" si="60"/>
        <v>0</v>
      </c>
      <c r="DR33" s="42">
        <v>5086.1000000000004</v>
      </c>
      <c r="DS33" s="95">
        <f t="shared" si="46"/>
        <v>0</v>
      </c>
      <c r="DT33" s="98">
        <f t="shared" si="61"/>
        <v>0</v>
      </c>
      <c r="DU33" s="42">
        <v>4320.7</v>
      </c>
      <c r="DV33" s="95">
        <f t="shared" si="47"/>
        <v>0</v>
      </c>
      <c r="DW33" s="98">
        <f t="shared" si="62"/>
        <v>0</v>
      </c>
      <c r="DX33" s="47">
        <v>12732</v>
      </c>
      <c r="DY33" s="98">
        <f t="shared" si="64"/>
        <v>0</v>
      </c>
      <c r="DZ33" s="47">
        <v>61889</v>
      </c>
      <c r="EA33" s="104">
        <f t="shared" si="73"/>
        <v>0</v>
      </c>
      <c r="EB33" s="48">
        <v>15599</v>
      </c>
      <c r="EC33" s="104">
        <f t="shared" si="63"/>
        <v>0</v>
      </c>
      <c r="ED33" s="48">
        <v>24594</v>
      </c>
      <c r="EE33" s="104">
        <f t="shared" si="48"/>
        <v>0</v>
      </c>
      <c r="EF33" s="48">
        <v>1</v>
      </c>
      <c r="EG33" s="49">
        <v>9</v>
      </c>
      <c r="EH33" s="134">
        <v>7.4999999999999997E-3</v>
      </c>
      <c r="EI33" s="105"/>
      <c r="EJ33" s="48"/>
      <c r="EK33" s="48"/>
    </row>
    <row r="34" spans="1:141" customFormat="1" ht="15.75" thickBot="1" x14ac:dyDescent="0.25">
      <c r="A34" s="27">
        <v>44043</v>
      </c>
      <c r="B34" s="42">
        <v>5330790</v>
      </c>
      <c r="C34" s="92">
        <f t="shared" si="0"/>
        <v>3683</v>
      </c>
      <c r="D34" s="42">
        <v>4671894</v>
      </c>
      <c r="E34" s="92">
        <f t="shared" si="1"/>
        <v>3386</v>
      </c>
      <c r="F34" s="36">
        <f t="shared" si="49"/>
        <v>0.91935921802878084</v>
      </c>
      <c r="G34" s="41">
        <v>238</v>
      </c>
      <c r="H34" s="41">
        <v>296</v>
      </c>
      <c r="I34" s="52">
        <v>285708</v>
      </c>
      <c r="J34" s="92">
        <f t="shared" si="65"/>
        <v>1</v>
      </c>
      <c r="K34" s="43">
        <v>750</v>
      </c>
      <c r="L34" s="93">
        <f t="shared" si="66"/>
        <v>0</v>
      </c>
      <c r="M34" s="42">
        <v>629915</v>
      </c>
      <c r="N34" s="92">
        <f t="shared" si="67"/>
        <v>3</v>
      </c>
      <c r="O34" s="42">
        <v>968</v>
      </c>
      <c r="P34" s="94">
        <f t="shared" si="68"/>
        <v>0</v>
      </c>
      <c r="Q34" s="42">
        <v>2533292</v>
      </c>
      <c r="R34" s="94">
        <f t="shared" si="2"/>
        <v>297</v>
      </c>
      <c r="S34" s="44">
        <v>2189204</v>
      </c>
      <c r="T34" s="94">
        <f>IF((S34-S33)&lt;0,"0",(S34-S33))</f>
        <v>74</v>
      </c>
      <c r="U34" s="42">
        <v>94428</v>
      </c>
      <c r="V34" s="94">
        <f t="shared" si="4"/>
        <v>63</v>
      </c>
      <c r="W34" s="42">
        <v>100</v>
      </c>
      <c r="X34" s="42">
        <v>0</v>
      </c>
      <c r="Y34" s="42">
        <v>152258</v>
      </c>
      <c r="Z34" s="94">
        <f t="shared" si="5"/>
        <v>0</v>
      </c>
      <c r="AA34" s="42">
        <v>38063</v>
      </c>
      <c r="AB34" s="95">
        <f t="shared" si="71"/>
        <v>9</v>
      </c>
      <c r="AC34" s="42">
        <v>1065</v>
      </c>
      <c r="AD34" s="94">
        <f t="shared" si="7"/>
        <v>0</v>
      </c>
      <c r="AE34" s="45">
        <v>3735</v>
      </c>
      <c r="AF34" s="92">
        <f t="shared" si="7"/>
        <v>0</v>
      </c>
      <c r="AG34" s="28"/>
      <c r="AH34" s="28"/>
      <c r="AI34" s="45">
        <v>572030</v>
      </c>
      <c r="AJ34" s="94">
        <f t="shared" si="8"/>
        <v>40</v>
      </c>
      <c r="AK34" s="96"/>
      <c r="AL34" s="94"/>
      <c r="AM34" s="45">
        <v>52044</v>
      </c>
      <c r="AN34" s="94">
        <f t="shared" si="9"/>
        <v>2</v>
      </c>
      <c r="AO34" s="45">
        <v>8867</v>
      </c>
      <c r="AP34" s="94">
        <f t="shared" si="10"/>
        <v>0</v>
      </c>
      <c r="AQ34" s="45">
        <v>10551</v>
      </c>
      <c r="AR34" s="94">
        <f t="shared" si="11"/>
        <v>0</v>
      </c>
      <c r="AS34" s="45">
        <v>14482</v>
      </c>
      <c r="AT34" s="94">
        <f t="shared" si="12"/>
        <v>0</v>
      </c>
      <c r="AU34" s="45">
        <v>19355</v>
      </c>
      <c r="AV34" s="94">
        <f t="shared" si="13"/>
        <v>0</v>
      </c>
      <c r="AW34" s="45">
        <v>20661</v>
      </c>
      <c r="AX34" s="95">
        <f t="shared" si="14"/>
        <v>0</v>
      </c>
      <c r="AY34" s="42">
        <v>13831</v>
      </c>
      <c r="AZ34" s="95">
        <f t="shared" si="15"/>
        <v>0</v>
      </c>
      <c r="BA34" s="42">
        <v>6154</v>
      </c>
      <c r="BB34" s="95">
        <f t="shared" si="16"/>
        <v>0</v>
      </c>
      <c r="BC34" s="42">
        <v>26349</v>
      </c>
      <c r="BD34" s="95">
        <f t="shared" si="17"/>
        <v>0</v>
      </c>
      <c r="BE34" s="42">
        <v>1112</v>
      </c>
      <c r="BF34" s="95">
        <f t="shared" si="18"/>
        <v>0</v>
      </c>
      <c r="BG34" s="42">
        <v>4307</v>
      </c>
      <c r="BH34" s="95">
        <f t="shared" si="19"/>
        <v>0</v>
      </c>
      <c r="BI34" s="42">
        <v>3636</v>
      </c>
      <c r="BJ34" s="95">
        <f t="shared" si="20"/>
        <v>0</v>
      </c>
      <c r="BK34" s="95">
        <f t="shared" si="21"/>
        <v>0</v>
      </c>
      <c r="BL34" s="95">
        <f t="shared" si="22"/>
        <v>40</v>
      </c>
      <c r="BM34" s="42">
        <v>595720</v>
      </c>
      <c r="BN34" s="95">
        <f t="shared" si="23"/>
        <v>20</v>
      </c>
      <c r="BO34" s="97">
        <v>581</v>
      </c>
      <c r="BP34" s="98">
        <f t="shared" si="23"/>
        <v>0</v>
      </c>
      <c r="BQ34" s="45">
        <v>769110</v>
      </c>
      <c r="BR34" s="95">
        <f t="shared" si="25"/>
        <v>40</v>
      </c>
      <c r="BS34" s="97">
        <v>5872</v>
      </c>
      <c r="BT34" s="95">
        <f t="shared" si="25"/>
        <v>0</v>
      </c>
      <c r="BU34" s="98">
        <f t="shared" si="72"/>
        <v>0</v>
      </c>
      <c r="BV34" s="95">
        <f t="shared" si="26"/>
        <v>60</v>
      </c>
      <c r="BW34" s="99">
        <f t="shared" si="27"/>
        <v>2</v>
      </c>
      <c r="BX34" s="45">
        <v>141</v>
      </c>
      <c r="BY34" s="100">
        <f t="shared" si="28"/>
        <v>18062.305247129461</v>
      </c>
      <c r="BZ34" s="101"/>
      <c r="CA34" s="98">
        <f t="shared" si="69"/>
        <v>0</v>
      </c>
      <c r="CB34" s="46">
        <v>206014.4</v>
      </c>
      <c r="CC34" s="95">
        <f t="shared" si="29"/>
        <v>1.6000000000058208</v>
      </c>
      <c r="CD34" s="98">
        <f t="shared" si="51"/>
        <v>9.1360000000332366</v>
      </c>
      <c r="CE34" s="46">
        <v>33</v>
      </c>
      <c r="CF34" s="102">
        <f t="shared" si="30"/>
        <v>3555.75</v>
      </c>
      <c r="CG34" s="46">
        <v>33</v>
      </c>
      <c r="CH34" s="102">
        <f t="shared" si="31"/>
        <v>3555.75</v>
      </c>
      <c r="CI34" s="46">
        <v>35</v>
      </c>
      <c r="CJ34" s="102">
        <f t="shared" si="32"/>
        <v>3771.25</v>
      </c>
      <c r="CK34" s="103">
        <f t="shared" si="33"/>
        <v>10882.75</v>
      </c>
      <c r="CL34" s="102">
        <f t="shared" si="34"/>
        <v>107.75</v>
      </c>
      <c r="CM34" s="45"/>
      <c r="CN34" s="42">
        <v>34120.9</v>
      </c>
      <c r="CO34" s="95">
        <f t="shared" si="35"/>
        <v>2</v>
      </c>
      <c r="CP34" s="98">
        <f t="shared" si="52"/>
        <v>4.88</v>
      </c>
      <c r="CQ34" s="42">
        <v>34300</v>
      </c>
      <c r="CR34" s="95">
        <f t="shared" si="36"/>
        <v>0</v>
      </c>
      <c r="CS34" s="98">
        <f t="shared" si="53"/>
        <v>0</v>
      </c>
      <c r="CT34" s="42">
        <v>10235.1</v>
      </c>
      <c r="CU34" s="95">
        <f t="shared" si="37"/>
        <v>0</v>
      </c>
      <c r="CV34" s="95">
        <f t="shared" si="38"/>
        <v>0</v>
      </c>
      <c r="CW34" s="45">
        <v>832021</v>
      </c>
      <c r="CX34" s="95">
        <f t="shared" si="39"/>
        <v>0</v>
      </c>
      <c r="CY34" s="98">
        <f t="shared" si="54"/>
        <v>0</v>
      </c>
      <c r="CZ34" s="42">
        <v>5740.4</v>
      </c>
      <c r="DA34" s="95">
        <f t="shared" si="40"/>
        <v>1.0999999999994543</v>
      </c>
      <c r="DB34" s="98">
        <f t="shared" si="55"/>
        <v>2.6289999999986957</v>
      </c>
      <c r="DC34" s="42">
        <v>7415</v>
      </c>
      <c r="DD34" s="95">
        <f t="shared" si="41"/>
        <v>0</v>
      </c>
      <c r="DE34" s="98">
        <f t="shared" si="56"/>
        <v>0</v>
      </c>
      <c r="DF34" s="42">
        <v>3838.7</v>
      </c>
      <c r="DG34" s="95">
        <f t="shared" si="42"/>
        <v>0</v>
      </c>
      <c r="DH34" s="98">
        <f t="shared" si="57"/>
        <v>0</v>
      </c>
      <c r="DI34" s="42">
        <v>1855.7</v>
      </c>
      <c r="DJ34" s="95">
        <f t="shared" si="43"/>
        <v>0</v>
      </c>
      <c r="DK34" s="98">
        <f t="shared" si="58"/>
        <v>0</v>
      </c>
      <c r="DL34" s="42">
        <v>5078.3999999999996</v>
      </c>
      <c r="DM34" s="95">
        <f t="shared" si="44"/>
        <v>0</v>
      </c>
      <c r="DN34" s="98">
        <f t="shared" si="59"/>
        <v>0</v>
      </c>
      <c r="DO34" s="42">
        <v>4451.7</v>
      </c>
      <c r="DP34" s="95">
        <f t="shared" si="45"/>
        <v>0</v>
      </c>
      <c r="DQ34" s="98">
        <f t="shared" si="60"/>
        <v>0</v>
      </c>
      <c r="DR34" s="42">
        <v>5086.1000000000004</v>
      </c>
      <c r="DS34" s="95">
        <f t="shared" si="46"/>
        <v>0</v>
      </c>
      <c r="DT34" s="98">
        <f t="shared" si="61"/>
        <v>0</v>
      </c>
      <c r="DU34" s="42">
        <v>4320.7</v>
      </c>
      <c r="DV34" s="95">
        <f t="shared" si="47"/>
        <v>0</v>
      </c>
      <c r="DW34" s="98">
        <f t="shared" si="62"/>
        <v>0</v>
      </c>
      <c r="DX34" s="47">
        <v>12732</v>
      </c>
      <c r="DY34" s="98">
        <f t="shared" si="64"/>
        <v>0</v>
      </c>
      <c r="DZ34" s="47">
        <v>61889</v>
      </c>
      <c r="EA34" s="104">
        <f t="shared" si="73"/>
        <v>0</v>
      </c>
      <c r="EB34" s="48">
        <v>15599</v>
      </c>
      <c r="EC34" s="104">
        <f t="shared" si="63"/>
        <v>0</v>
      </c>
      <c r="ED34" s="48">
        <v>24594</v>
      </c>
      <c r="EE34" s="104">
        <f t="shared" si="48"/>
        <v>0</v>
      </c>
      <c r="EF34" s="48">
        <v>1</v>
      </c>
      <c r="EG34" s="49">
        <v>9</v>
      </c>
      <c r="EH34" s="134">
        <v>7.4999999999999997E-3</v>
      </c>
      <c r="EI34" s="105"/>
      <c r="EJ34" s="48"/>
      <c r="EK34" s="48"/>
    </row>
    <row r="35" spans="1:141" ht="15.75" thickBot="1" x14ac:dyDescent="0.3">
      <c r="C35" s="13">
        <f>SUM(C4:C34)</f>
        <v>118520</v>
      </c>
      <c r="E35" s="13">
        <f>SUM(E4:E34)</f>
        <v>108067</v>
      </c>
      <c r="J35" s="15">
        <f>SUM(J4:J34)</f>
        <v>1</v>
      </c>
      <c r="L35" s="15">
        <f>SUM(L4:L34)</f>
        <v>0</v>
      </c>
      <c r="N35" s="15">
        <f>SUM(N4:N34)</f>
        <v>7</v>
      </c>
      <c r="P35" s="15">
        <f>SUM(P4:P34)</f>
        <v>1</v>
      </c>
      <c r="R35" s="13">
        <f>SUM(R4:R34)</f>
        <v>2792</v>
      </c>
      <c r="S35" s="19"/>
      <c r="T35" s="15">
        <f>SUM(T4:T34)</f>
        <v>1685</v>
      </c>
      <c r="V35" s="15">
        <f>SUM(V4:V34)</f>
        <v>2249</v>
      </c>
      <c r="W35" s="15">
        <f>SUM(W4:W34)</f>
        <v>3095</v>
      </c>
      <c r="X35" s="15">
        <f>SUM(X4:X34)</f>
        <v>0</v>
      </c>
      <c r="Z35" s="15">
        <f>SUM(Z4:Z34)</f>
        <v>0</v>
      </c>
      <c r="AB35" s="13">
        <f>SUM(AB4:AB34)</f>
        <v>236</v>
      </c>
      <c r="AD35" s="15">
        <f>SUM(AD4:AD34)</f>
        <v>7</v>
      </c>
      <c r="AJ35" s="15">
        <f>SUM(AJ4:AJ34)</f>
        <v>1390</v>
      </c>
      <c r="AL35" s="15">
        <f>SUM(AL4:AL34)</f>
        <v>0</v>
      </c>
      <c r="AN35" s="15">
        <f>SUM(AN4:AN34)</f>
        <v>28</v>
      </c>
      <c r="AP35" s="15">
        <f>SUM(AP4:AP34)</f>
        <v>7</v>
      </c>
      <c r="AR35" s="15">
        <f>SUM(AR4:AR34)</f>
        <v>3</v>
      </c>
      <c r="AT35" s="15">
        <f>SUM(AT4:AT34)</f>
        <v>1</v>
      </c>
      <c r="AV35" s="15">
        <f>SUM(AV4:AV34)</f>
        <v>6</v>
      </c>
      <c r="AX35" s="15">
        <f>SUM(AX4:AX34)</f>
        <v>1</v>
      </c>
      <c r="AZ35" s="15">
        <f>SUM(AZ4:AZ34)</f>
        <v>0</v>
      </c>
      <c r="BB35" s="15">
        <f>SUM(BB4:BB34)</f>
        <v>2</v>
      </c>
      <c r="BD35" s="15">
        <f>SUM(BD4:BD34)</f>
        <v>7</v>
      </c>
      <c r="BF35" s="15">
        <f>SUM(BF4:BF34)</f>
        <v>0</v>
      </c>
      <c r="BH35" s="15">
        <f>SUM(BH4:BH34)</f>
        <v>4</v>
      </c>
      <c r="BJ35" s="12" t="str">
        <f t="shared" ref="BJ35" si="75">IF((BI35-BI34)&lt;0,"0",(BI35-BI34))</f>
        <v>0</v>
      </c>
      <c r="BN35" s="18">
        <f>SUM(BN4:BN34)</f>
        <v>760</v>
      </c>
      <c r="BP35" s="18">
        <f>SUM(BP4:BP34)</f>
        <v>0</v>
      </c>
      <c r="BR35" s="18">
        <f>SUM(BR4:BR34)</f>
        <v>1440</v>
      </c>
      <c r="BT35" s="18">
        <f>SUM(BT4:BT34)</f>
        <v>6</v>
      </c>
      <c r="BU35" s="18">
        <f>SUM(BU4:BU34)</f>
        <v>110</v>
      </c>
      <c r="BV35" s="18">
        <f>SUM(BV4:BV34)</f>
        <v>2200</v>
      </c>
      <c r="BW35" s="18">
        <f>SUM(BW4:BW34)</f>
        <v>48</v>
      </c>
      <c r="BX35" s="19"/>
      <c r="BY35" s="19"/>
      <c r="BZ35" s="19"/>
      <c r="CA35" s="19"/>
      <c r="CC35" s="20">
        <f>SUM(CC4:CC34)</f>
        <v>128.5</v>
      </c>
      <c r="CD35" s="20">
        <f>SUM(CD4:CD34)</f>
        <v>733.73500000000013</v>
      </c>
      <c r="CL35" s="20">
        <f>SUM(CL4:CL34)</f>
        <v>2586</v>
      </c>
      <c r="CM35" s="38">
        <f>SUM(CM3:CM34)</f>
        <v>0</v>
      </c>
      <c r="CP35" s="20">
        <f>SUM(CP4:CP34)</f>
        <v>72.468000000010633</v>
      </c>
      <c r="CS35" s="20">
        <f>SUM(CS3:CS34)</f>
        <v>0</v>
      </c>
      <c r="CV35" s="20">
        <f>SUM(CV3:CV34)</f>
        <v>7.5000000000045475</v>
      </c>
      <c r="CY35" s="18">
        <f>SUM(CY4:CY34)</f>
        <v>303.8</v>
      </c>
      <c r="DB35" s="18">
        <f>SUM(DB4:DB34)</f>
        <v>50.90699999999827</v>
      </c>
      <c r="DD35" s="12" t="s">
        <v>104</v>
      </c>
      <c r="DE35" s="18">
        <f>SUM(DE4:DE34)</f>
        <v>0</v>
      </c>
      <c r="DH35" s="18">
        <f>SUM(DH4:DH34)</f>
        <v>145.79000000000002</v>
      </c>
      <c r="DK35" s="18">
        <f>SUM(DK4:DK34)</f>
        <v>4.779999999995653E-2</v>
      </c>
      <c r="DN35" s="18">
        <f>SUM(DN4:DN34)</f>
        <v>0</v>
      </c>
      <c r="DQ35" s="18">
        <f>SUM(DQ4:DQ34)</f>
        <v>0</v>
      </c>
      <c r="DT35" s="18">
        <f>SUM(DT4:DT34)</f>
        <v>0</v>
      </c>
      <c r="DW35" s="18">
        <f>SUM(DW4:DW34)</f>
        <v>0</v>
      </c>
      <c r="DX35" s="19"/>
      <c r="DY35" s="19"/>
      <c r="DZ35" s="19"/>
      <c r="EA35" s="19"/>
      <c r="EF35" s="7">
        <f>SUM(EF4:EF34)</f>
        <v>51</v>
      </c>
      <c r="EG35" s="7">
        <f>SUM(EG4:EG34)</f>
        <v>311</v>
      </c>
      <c r="EI35" s="7">
        <f>SUM(EI4:EI34)</f>
        <v>0</v>
      </c>
      <c r="EJ35" s="7">
        <f>SUM(EJ4:EJ34)</f>
        <v>0</v>
      </c>
    </row>
    <row r="36" spans="1:141" ht="15" x14ac:dyDescent="0.25">
      <c r="S36" s="19"/>
      <c r="T36" s="17"/>
      <c r="BX36" s="19"/>
      <c r="BY36" s="19"/>
      <c r="BZ36" s="19"/>
      <c r="CA36" s="19"/>
      <c r="DX36" s="19"/>
      <c r="DY36" s="19"/>
      <c r="DZ36" s="19"/>
      <c r="EA36" s="19"/>
    </row>
    <row r="37" spans="1:141" x14ac:dyDescent="0.2">
      <c r="A37" s="33"/>
      <c r="B37" s="31"/>
      <c r="C37" s="34"/>
      <c r="D37" s="35"/>
      <c r="E37" s="34"/>
      <c r="F37" s="30"/>
      <c r="G37" s="30"/>
      <c r="H37" s="51"/>
      <c r="I37" s="51"/>
      <c r="J37" s="32"/>
      <c r="K37" s="30"/>
      <c r="L37" s="32"/>
    </row>
    <row r="38" spans="1:141" x14ac:dyDescent="0.2">
      <c r="A38" s="33"/>
      <c r="B38" s="31"/>
      <c r="C38" s="34"/>
      <c r="D38" s="35"/>
      <c r="E38" s="34"/>
      <c r="F38" s="30"/>
      <c r="G38" s="30"/>
      <c r="H38" s="51"/>
      <c r="I38" s="51"/>
      <c r="J38" s="32"/>
      <c r="K38" s="30"/>
      <c r="L38" s="32"/>
    </row>
    <row r="39" spans="1:141" x14ac:dyDescent="0.2">
      <c r="A39" s="33"/>
      <c r="B39" s="31"/>
      <c r="C39" s="34"/>
      <c r="D39" s="35"/>
      <c r="E39" s="34"/>
      <c r="F39" s="30"/>
      <c r="G39" s="30"/>
      <c r="H39" s="51"/>
      <c r="I39" s="51"/>
      <c r="J39" s="32"/>
      <c r="K39" s="30"/>
      <c r="L39" s="32"/>
    </row>
    <row r="40" spans="1:141" x14ac:dyDescent="0.2">
      <c r="A40" s="33"/>
      <c r="B40" s="31"/>
      <c r="C40" s="34"/>
      <c r="D40" s="35"/>
      <c r="E40" s="34"/>
      <c r="F40" s="30"/>
      <c r="G40" s="30"/>
      <c r="H40" s="51"/>
      <c r="I40" s="51"/>
      <c r="J40" s="32"/>
      <c r="K40" s="30"/>
      <c r="L40" s="32"/>
    </row>
    <row r="41" spans="1:141" x14ac:dyDescent="0.2">
      <c r="A41" s="33"/>
      <c r="B41" s="31"/>
      <c r="C41" s="34"/>
      <c r="D41" s="35"/>
      <c r="E41" s="34"/>
      <c r="F41" s="30"/>
      <c r="G41" s="30"/>
      <c r="H41" s="51"/>
      <c r="I41" s="51"/>
      <c r="J41" s="32"/>
      <c r="K41" s="30"/>
      <c r="L41" s="32"/>
    </row>
    <row r="42" spans="1:141" x14ac:dyDescent="0.2">
      <c r="A42" s="33"/>
      <c r="B42" s="31"/>
      <c r="C42" s="34"/>
      <c r="D42" s="35"/>
      <c r="E42" s="34"/>
      <c r="F42" s="30"/>
      <c r="G42" s="30"/>
      <c r="H42" s="51"/>
      <c r="I42" s="51"/>
      <c r="J42" s="32"/>
      <c r="K42" s="30"/>
      <c r="L42" s="32"/>
    </row>
    <row r="43" spans="1:141" x14ac:dyDescent="0.2">
      <c r="A43" s="33"/>
      <c r="B43" s="31"/>
      <c r="C43" s="34"/>
      <c r="D43" s="35"/>
      <c r="E43" s="34"/>
      <c r="F43" s="30"/>
      <c r="G43" s="30"/>
      <c r="H43" s="51"/>
      <c r="I43" s="51"/>
      <c r="J43" s="32"/>
      <c r="K43" s="30"/>
      <c r="L43" s="32"/>
    </row>
    <row r="44" spans="1:141" x14ac:dyDescent="0.2">
      <c r="A44" s="33"/>
      <c r="B44" s="31"/>
      <c r="C44" s="34"/>
      <c r="D44" s="35"/>
      <c r="E44" s="34"/>
      <c r="F44" s="30"/>
      <c r="G44" s="30"/>
      <c r="H44" s="51"/>
      <c r="I44" s="51"/>
      <c r="J44" s="32"/>
      <c r="K44" s="30"/>
      <c r="L44" s="32"/>
    </row>
    <row r="45" spans="1:141" ht="39.75" customHeight="1" x14ac:dyDescent="0.2">
      <c r="A45" s="33"/>
      <c r="B45" s="31"/>
      <c r="C45" s="34"/>
      <c r="D45" s="35"/>
      <c r="E45" s="34"/>
      <c r="F45" s="30"/>
      <c r="G45" s="30"/>
      <c r="H45" s="51"/>
      <c r="I45" s="51"/>
      <c r="J45" s="32"/>
      <c r="K45" s="30"/>
      <c r="L45" s="32"/>
    </row>
    <row r="46" spans="1:141" x14ac:dyDescent="0.2">
      <c r="A46" s="33"/>
      <c r="B46" s="31"/>
      <c r="C46" s="34"/>
      <c r="D46" s="35"/>
      <c r="E46" s="34"/>
      <c r="F46" s="30"/>
      <c r="G46" s="30"/>
      <c r="H46" s="51"/>
      <c r="I46" s="51"/>
      <c r="J46" s="32"/>
      <c r="K46" s="30"/>
      <c r="L46" s="32"/>
    </row>
    <row r="47" spans="1:141" x14ac:dyDescent="0.2">
      <c r="A47" s="33"/>
      <c r="B47" s="31"/>
      <c r="C47" s="34"/>
      <c r="D47" s="35"/>
      <c r="E47" s="34"/>
      <c r="F47" s="30"/>
      <c r="G47" s="30"/>
      <c r="H47" s="51"/>
      <c r="I47" s="51"/>
      <c r="J47" s="32"/>
      <c r="K47" s="30"/>
      <c r="L47" s="32"/>
    </row>
    <row r="48" spans="1:141" x14ac:dyDescent="0.2">
      <c r="A48" s="33"/>
      <c r="B48" s="31"/>
      <c r="C48" s="34"/>
      <c r="D48" s="35"/>
      <c r="E48" s="34"/>
      <c r="F48" s="30"/>
      <c r="G48" s="30"/>
      <c r="H48" s="51"/>
      <c r="I48" s="51"/>
      <c r="J48" s="32"/>
      <c r="K48" s="30"/>
      <c r="L48" s="32"/>
    </row>
    <row r="49" spans="1:12" x14ac:dyDescent="0.2">
      <c r="A49" s="33"/>
      <c r="B49" s="31"/>
      <c r="C49" s="34"/>
      <c r="D49" s="35"/>
      <c r="E49" s="34"/>
      <c r="F49" s="30"/>
      <c r="G49" s="30"/>
      <c r="H49" s="51"/>
      <c r="I49" s="51"/>
      <c r="J49" s="32"/>
      <c r="K49" s="30"/>
      <c r="L49" s="32"/>
    </row>
    <row r="50" spans="1:12" x14ac:dyDescent="0.2">
      <c r="A50" s="33"/>
      <c r="B50" s="31"/>
      <c r="C50" s="34"/>
      <c r="D50" s="35"/>
      <c r="E50" s="34"/>
      <c r="F50" s="30"/>
      <c r="G50" s="30"/>
      <c r="H50" s="51"/>
      <c r="I50" s="51"/>
      <c r="J50" s="32"/>
      <c r="K50" s="30"/>
      <c r="L50" s="32"/>
    </row>
    <row r="51" spans="1:12" x14ac:dyDescent="0.2">
      <c r="A51" s="33"/>
      <c r="B51" s="31"/>
      <c r="C51" s="34"/>
      <c r="D51" s="35"/>
      <c r="E51" s="34"/>
      <c r="F51" s="30"/>
      <c r="G51" s="30"/>
      <c r="H51" s="51"/>
      <c r="I51" s="51"/>
      <c r="J51" s="32"/>
      <c r="K51" s="30"/>
      <c r="L51" s="32"/>
    </row>
    <row r="52" spans="1:12" x14ac:dyDescent="0.2">
      <c r="A52" s="33"/>
      <c r="B52" s="31"/>
      <c r="C52" s="34"/>
      <c r="D52" s="30"/>
      <c r="E52" s="34"/>
      <c r="F52" s="30"/>
      <c r="G52" s="30"/>
      <c r="H52" s="51"/>
      <c r="I52" s="51"/>
      <c r="J52" s="32"/>
      <c r="K52" s="30"/>
      <c r="L52" s="32"/>
    </row>
    <row r="53" spans="1:12" x14ac:dyDescent="0.2">
      <c r="A53" s="33"/>
      <c r="B53" s="31"/>
      <c r="C53" s="34"/>
      <c r="D53" s="30"/>
      <c r="E53" s="34"/>
      <c r="F53" s="30"/>
      <c r="G53" s="30"/>
      <c r="H53" s="51"/>
      <c r="I53" s="51"/>
      <c r="J53" s="32"/>
      <c r="K53" s="30"/>
      <c r="L53" s="32"/>
    </row>
    <row r="54" spans="1:12" x14ac:dyDescent="0.2">
      <c r="A54" s="33"/>
      <c r="B54" s="31"/>
      <c r="C54" s="34"/>
      <c r="D54" s="30"/>
      <c r="E54" s="34"/>
      <c r="F54" s="30"/>
      <c r="G54" s="30"/>
      <c r="H54" s="51"/>
      <c r="I54" s="51"/>
      <c r="J54" s="32"/>
      <c r="K54" s="30"/>
      <c r="L54" s="32"/>
    </row>
    <row r="55" spans="1:12" x14ac:dyDescent="0.2">
      <c r="A55" s="33"/>
      <c r="B55" s="31"/>
      <c r="C55" s="34"/>
      <c r="D55" s="30"/>
      <c r="E55" s="34"/>
      <c r="F55" s="30"/>
      <c r="G55" s="30"/>
      <c r="H55" s="51"/>
      <c r="I55" s="51"/>
      <c r="J55" s="32"/>
      <c r="K55" s="30"/>
      <c r="L55" s="32"/>
    </row>
    <row r="56" spans="1:12" x14ac:dyDescent="0.2">
      <c r="A56" s="30"/>
      <c r="B56" s="31"/>
      <c r="C56" s="34"/>
      <c r="D56" s="30"/>
      <c r="E56" s="34"/>
      <c r="F56" s="30"/>
      <c r="G56" s="30"/>
      <c r="H56" s="51"/>
      <c r="I56" s="51"/>
      <c r="J56" s="32"/>
      <c r="K56" s="30"/>
      <c r="L56" s="32"/>
    </row>
    <row r="57" spans="1:12" x14ac:dyDescent="0.2">
      <c r="A57" s="30"/>
      <c r="B57" s="31"/>
      <c r="C57" s="34"/>
      <c r="D57" s="30"/>
      <c r="E57" s="34"/>
      <c r="F57" s="30"/>
      <c r="G57" s="30"/>
      <c r="H57" s="51"/>
      <c r="I57" s="51"/>
      <c r="J57" s="32"/>
      <c r="K57" s="30"/>
      <c r="L57" s="32"/>
    </row>
    <row r="58" spans="1:12" x14ac:dyDescent="0.2">
      <c r="A58" s="30"/>
      <c r="B58" s="31"/>
      <c r="C58" s="34"/>
      <c r="D58" s="30"/>
      <c r="E58" s="34"/>
      <c r="F58" s="30"/>
      <c r="G58" s="30"/>
      <c r="H58" s="51"/>
      <c r="I58" s="51"/>
      <c r="J58" s="32"/>
      <c r="K58" s="30"/>
      <c r="L58" s="32"/>
    </row>
    <row r="59" spans="1:12" x14ac:dyDescent="0.2">
      <c r="A59" s="30"/>
      <c r="B59" s="31"/>
      <c r="C59" s="34"/>
      <c r="D59" s="30"/>
      <c r="E59" s="34"/>
      <c r="F59" s="30"/>
      <c r="G59" s="30"/>
      <c r="H59" s="51"/>
      <c r="I59" s="51"/>
      <c r="J59" s="32"/>
      <c r="K59" s="30"/>
      <c r="L59" s="32"/>
    </row>
    <row r="60" spans="1:12" x14ac:dyDescent="0.2">
      <c r="A60" s="30"/>
      <c r="B60" s="31"/>
      <c r="C60" s="34"/>
      <c r="D60" s="30"/>
      <c r="E60" s="34"/>
      <c r="F60" s="30"/>
      <c r="G60" s="30"/>
      <c r="H60" s="51"/>
      <c r="I60" s="51"/>
      <c r="J60" s="32"/>
      <c r="K60" s="30"/>
      <c r="L60" s="32"/>
    </row>
  </sheetData>
  <sheetProtection selectLockedCells="1" selectUnlockedCells="1"/>
  <mergeCells count="29">
    <mergeCell ref="DC1:DE1"/>
    <mergeCell ref="BM1:BN1"/>
    <mergeCell ref="BQ1:BR1"/>
    <mergeCell ref="AO1:AP1"/>
    <mergeCell ref="AQ1:AR1"/>
    <mergeCell ref="AS1:AT1"/>
    <mergeCell ref="AU1:AV1"/>
    <mergeCell ref="BA1:BB1"/>
    <mergeCell ref="AW1:AX1"/>
    <mergeCell ref="AY1:AZ1"/>
    <mergeCell ref="BO1:BP1"/>
    <mergeCell ref="BS1:BT1"/>
    <mergeCell ref="B1:H1"/>
    <mergeCell ref="I1:L1"/>
    <mergeCell ref="M1:P1"/>
    <mergeCell ref="CW1:CY1"/>
    <mergeCell ref="CZ1:DB1"/>
    <mergeCell ref="U1:V1"/>
    <mergeCell ref="AC1:AD1"/>
    <mergeCell ref="AI1:AJ1"/>
    <mergeCell ref="AM1:AN1"/>
    <mergeCell ref="AK1:AL1"/>
    <mergeCell ref="DU1:DW1"/>
    <mergeCell ref="EI1:EK1"/>
    <mergeCell ref="DF1:DH1"/>
    <mergeCell ref="DI1:DK1"/>
    <mergeCell ref="DL1:DN1"/>
    <mergeCell ref="DO1:DQ1"/>
    <mergeCell ref="DR1:DT1"/>
  </mergeCells>
  <conditionalFormatting sqref="A35:H36 BQ35:BR36 K35:L36 O35:AJ36 AM35:BN36 BU35:BU36 BX35:EH36 EL35:JL36 A37:JL65515 BV35">
    <cfRule type="cellIs" dxfId="1009" priority="5222" operator="lessThan">
      <formula>0</formula>
    </cfRule>
  </conditionalFormatting>
  <conditionalFormatting sqref="I35:J36">
    <cfRule type="cellIs" dxfId="1008" priority="1455" operator="lessThan">
      <formula>0</formula>
    </cfRule>
  </conditionalFormatting>
  <conditionalFormatting sqref="M35:N36">
    <cfRule type="cellIs" dxfId="1007" priority="1448" operator="lessThan">
      <formula>0</formula>
    </cfRule>
  </conditionalFormatting>
  <conditionalFormatting sqref="AK35:AL36">
    <cfRule type="cellIs" dxfId="1006" priority="1441" operator="lessThan">
      <formula>0</formula>
    </cfRule>
  </conditionalFormatting>
  <conditionalFormatting sqref="BO35:BP36">
    <cfRule type="cellIs" dxfId="1005" priority="1431" operator="lessThan">
      <formula>0</formula>
    </cfRule>
  </conditionalFormatting>
  <conditionalFormatting sqref="BS35:BT36">
    <cfRule type="cellIs" dxfId="1004" priority="1422" operator="lessThan">
      <formula>0</formula>
    </cfRule>
  </conditionalFormatting>
  <conditionalFormatting sqref="BV36:BW36 BW35">
    <cfRule type="cellIs" dxfId="1003" priority="1411" operator="lessThan">
      <formula>0</formula>
    </cfRule>
  </conditionalFormatting>
  <conditionalFormatting sqref="EI35:EK36">
    <cfRule type="cellIs" dxfId="1002" priority="1400" operator="lessThan">
      <formula>0</formula>
    </cfRule>
  </conditionalFormatting>
  <conditionalFormatting sqref="A1:H1 L1 P1:Z1 AM1:BO1 BQ1:BR1 AC1:AK1 BU1:XFD1">
    <cfRule type="cellIs" dxfId="1001" priority="1340" operator="lessThan">
      <formula>0</formula>
    </cfRule>
  </conditionalFormatting>
  <conditionalFormatting sqref="BS1">
    <cfRule type="cellIs" dxfId="1000" priority="1339" operator="lessThan">
      <formula>0</formula>
    </cfRule>
  </conditionalFormatting>
  <conditionalFormatting sqref="AA1:AB1">
    <cfRule type="cellIs" dxfId="999" priority="1338" operator="lessThan">
      <formula>0</formula>
    </cfRule>
  </conditionalFormatting>
  <conditionalFormatting sqref="A2:Z2 AC2:XFD2">
    <cfRule type="cellIs" dxfId="998" priority="1334" operator="lessThan">
      <formula>0</formula>
    </cfRule>
  </conditionalFormatting>
  <conditionalFormatting sqref="AA2:AB2">
    <cfRule type="cellIs" dxfId="997" priority="1277" operator="lessThan">
      <formula>0</formula>
    </cfRule>
  </conditionalFormatting>
  <conditionalFormatting sqref="C17:C18 E17:E18 T18 V18 CC17:CC18 CF17:CF18 CH17:CH18 DA17:DA18 DD17:DD18 B4:C4 E4 J8 N32 P32 S34 B5:E16 CX16:CX18 CR16 BD17:BD19 R20:X20 AG17:AH20 BB20:BD20 DP20 DS20 DV20 EC20 BF17:BF21 BD21:BD22 BJ22:BO22 U24:X24 P27:P28 R29:X29 U30:X30 S30 S31:X32 EE17:EE33 Z19:Z33 G34:H34 G29:H29 G27:H27 AN4:AT4 BB4 BD4 BF4 BH4 BJ4:BL4 BN4:BO4 BR4 BY4:CM4 CO4:CP4 CR4:CS4 CU4:CV4 T4:V5 CX4:CY4 EC4:EC9 R4:R9 BR5:BS9 DV4:DV15 DS4:DS15 Z4:Z17 T6:X16 EI4:XFD34 U17 AM17:AN17 BY17:CB17 CG17 CZ17 W17:X18 AI17:AL18 AM18 AP17:AT18 BE17:BE18 BG17:BO18 BY18:CA18 CJ17:CO18 CT15:CT18 CW15:CW18 DG17:DG18 T19:X19 AC19:AD20 AX4:AX20 BB17:BB19 BH19:BO21 BU4:BW19 BY19:CC19 R27:R28 T25:X28 EB34 DZ34 AC4:AL4 AC21:AE33 AG21:AR21 AG23:AX23 AG22:AN22 AF5:AF33 DA4:DA6 DF19:DG33 DE5:DE33 DC19:DD33 DC4:DG4 DR16:DS19 DU19 DU16:DV18 CX5:CX13 CZ7:DA16 CE19:CO32 CQ15:CQ16 CP5:CP33 DP4:DP7 DM4:DM7 DJ4:DJ7 G4:H22 L8:L12 N8:N12 P8:P12 AC5:AE18 AG5:AT16 AZ4:AZ20 BB5:BO16 BY5:CC16 CQ5:CR14 DC5:DD16 EC11:EC12 CE5:CO16 DF5:DG16 DO8:DP19 DY4:DY20 EA4:EA20 ED13:EE15 CT5:CV13 CT14:CX14 CU16:CV18 CS5:CS34 Q21:X22 AG24:BO33 EE4:EE12 ED16 AV4:AV20 AJ19:AT20 AI20 DY22:DY23 DX24:DY24 EA24:EC24 EA22:EA23 EC22:EC23 AZ23:BF23 BN23:BO23 R23:X23 DX25:EC30 B19:E34 J32:J34 U33:X34 Y34:Z34 AC34:BO34 BQ10:BS34 BU20:CC34 CH34:CP34 CH33:CO33 CE33:CG34 CQ17:CR34 CT19:CX34 CZ19:DA34 DC34:DG34 DI8:DJ34 DL8:DM34 DO21:DP34 DR21:DS34 DX34 DU21:DV34 ED34:EE34">
    <cfRule type="cellIs" dxfId="561" priority="281" operator="lessThan">
      <formula>0</formula>
    </cfRule>
  </conditionalFormatting>
  <conditionalFormatting sqref="EB24:EB30">
    <cfRule type="cellIs" dxfId="559" priority="280" operator="lessThan">
      <formula>0</formula>
    </cfRule>
  </conditionalFormatting>
  <conditionalFormatting sqref="B17:B18">
    <cfRule type="cellIs" dxfId="557" priority="279" operator="lessThan">
      <formula>0</formula>
    </cfRule>
  </conditionalFormatting>
  <conditionalFormatting sqref="D17:D18">
    <cfRule type="cellIs" dxfId="555" priority="278" operator="lessThan">
      <formula>0</formula>
    </cfRule>
  </conditionalFormatting>
  <conditionalFormatting sqref="U18">
    <cfRule type="cellIs" dxfId="553" priority="277" operator="lessThan">
      <formula>0</formula>
    </cfRule>
  </conditionalFormatting>
  <conditionalFormatting sqref="AO17:AO18">
    <cfRule type="cellIs" dxfId="551" priority="276" operator="lessThan">
      <formula>0</formula>
    </cfRule>
  </conditionalFormatting>
  <conditionalFormatting sqref="CB18">
    <cfRule type="cellIs" dxfId="549" priority="275" operator="lessThan">
      <formula>0</formula>
    </cfRule>
  </conditionalFormatting>
  <conditionalFormatting sqref="CE17:CE18">
    <cfRule type="cellIs" dxfId="547" priority="274" operator="lessThan">
      <formula>0</formula>
    </cfRule>
  </conditionalFormatting>
  <conditionalFormatting sqref="CG18">
    <cfRule type="cellIs" dxfId="545" priority="273" operator="lessThan">
      <formula>0</formula>
    </cfRule>
  </conditionalFormatting>
  <conditionalFormatting sqref="CI17:CI18">
    <cfRule type="cellIs" dxfId="543" priority="272" operator="lessThan">
      <formula>0</formula>
    </cfRule>
  </conditionalFormatting>
  <conditionalFormatting sqref="CZ18">
    <cfRule type="cellIs" dxfId="541" priority="271" operator="lessThan">
      <formula>0</formula>
    </cfRule>
  </conditionalFormatting>
  <conditionalFormatting sqref="DC17:DC18">
    <cfRule type="cellIs" dxfId="539" priority="270" operator="lessThan">
      <formula>0</formula>
    </cfRule>
  </conditionalFormatting>
  <conditionalFormatting sqref="DF17:DF18">
    <cfRule type="cellIs" dxfId="537" priority="269" operator="lessThan">
      <formula>0</formula>
    </cfRule>
  </conditionalFormatting>
  <conditionalFormatting sqref="ED25:ED28">
    <cfRule type="cellIs" dxfId="535" priority="268" operator="lessThan">
      <formula>0</formula>
    </cfRule>
  </conditionalFormatting>
  <conditionalFormatting sqref="ED25:ED28">
    <cfRule type="cellIs" dxfId="533" priority="267" operator="lessThan">
      <formula>0</formula>
    </cfRule>
  </conditionalFormatting>
  <conditionalFormatting sqref="J28">
    <cfRule type="cellIs" dxfId="531" priority="266" operator="lessThan">
      <formula>0</formula>
    </cfRule>
  </conditionalFormatting>
  <conditionalFormatting sqref="D4">
    <cfRule type="cellIs" dxfId="529" priority="265" operator="lessThan">
      <formula>0</formula>
    </cfRule>
  </conditionalFormatting>
  <conditionalFormatting sqref="ED5">
    <cfRule type="cellIs" dxfId="527" priority="264" operator="lessThan">
      <formula>0</formula>
    </cfRule>
  </conditionalFormatting>
  <conditionalFormatting sqref="ED13:ED16">
    <cfRule type="cellIs" dxfId="525" priority="263" operator="lessThan">
      <formula>0</formula>
    </cfRule>
  </conditionalFormatting>
  <conditionalFormatting sqref="ED15:ED16">
    <cfRule type="cellIs" dxfId="523" priority="262" operator="lessThan">
      <formula>0</formula>
    </cfRule>
  </conditionalFormatting>
  <conditionalFormatting sqref="BP4:BP34">
    <cfRule type="cellIs" dxfId="521" priority="261" operator="lessThan">
      <formula>0</formula>
    </cfRule>
  </conditionalFormatting>
  <conditionalFormatting sqref="BT4:BT34">
    <cfRule type="cellIs" dxfId="519" priority="260" operator="lessThan">
      <formula>0</formula>
    </cfRule>
  </conditionalFormatting>
  <conditionalFormatting sqref="AI19">
    <cfRule type="cellIs" dxfId="517" priority="259" operator="lessThan">
      <formula>0</formula>
    </cfRule>
  </conditionalFormatting>
  <conditionalFormatting sqref="ED29:ED30">
    <cfRule type="cellIs" dxfId="515" priority="257" operator="lessThan">
      <formula>0</formula>
    </cfRule>
  </conditionalFormatting>
  <conditionalFormatting sqref="ED29:ED30">
    <cfRule type="cellIs" dxfId="513" priority="258" operator="lessThan">
      <formula>0</formula>
    </cfRule>
  </conditionalFormatting>
  <conditionalFormatting sqref="EF4:EF14 EH3:EH34 EF15:EG34">
    <cfRule type="cellIs" dxfId="511" priority="256" operator="lessThan">
      <formula>0</formula>
    </cfRule>
  </conditionalFormatting>
  <conditionalFormatting sqref="ED7">
    <cfRule type="cellIs" dxfId="509" priority="255" operator="lessThan">
      <formula>0</formula>
    </cfRule>
  </conditionalFormatting>
  <conditionalFormatting sqref="ED10:ED12">
    <cfRule type="cellIs" dxfId="507" priority="254" operator="lessThan">
      <formula>0</formula>
    </cfRule>
  </conditionalFormatting>
  <conditionalFormatting sqref="AB17:AB18 AB4 AA5:AB16 AA17 AA19:AB34">
    <cfRule type="cellIs" dxfId="505" priority="253" operator="lessThan">
      <formula>0</formula>
    </cfRule>
  </conditionalFormatting>
  <conditionalFormatting sqref="AA18">
    <cfRule type="cellIs" dxfId="503" priority="252" operator="lessThan">
      <formula>0</formula>
    </cfRule>
  </conditionalFormatting>
  <conditionalFormatting sqref="I11:I19">
    <cfRule type="cellIs" dxfId="501" priority="250" operator="lessThan">
      <formula>0</formula>
    </cfRule>
  </conditionalFormatting>
  <conditionalFormatting sqref="J4:J7 L4:L7 N4:N7 P4:P7">
    <cfRule type="cellIs" dxfId="499" priority="251" operator="lessThan">
      <formula>0</formula>
    </cfRule>
  </conditionalFormatting>
  <conditionalFormatting sqref="AA4">
    <cfRule type="cellIs" dxfId="497" priority="249" operator="lessThan">
      <formula>0</formula>
    </cfRule>
  </conditionalFormatting>
  <conditionalFormatting sqref="J9">
    <cfRule type="cellIs" dxfId="495" priority="248" operator="lessThan">
      <formula>0</formula>
    </cfRule>
  </conditionalFormatting>
  <conditionalFormatting sqref="R10:R16">
    <cfRule type="cellIs" dxfId="493" priority="247" operator="lessThan">
      <formula>0</formula>
    </cfRule>
  </conditionalFormatting>
  <conditionalFormatting sqref="J10:J12">
    <cfRule type="cellIs" dxfId="491" priority="246" operator="lessThan">
      <formula>0</formula>
    </cfRule>
  </conditionalFormatting>
  <conditionalFormatting sqref="EC10">
    <cfRule type="cellIs" dxfId="489" priority="245" operator="lessThan">
      <formula>0</formula>
    </cfRule>
  </conditionalFormatting>
  <conditionalFormatting sqref="L13:L14 J13:J14 N13:N14 P13:P14">
    <cfRule type="cellIs" dxfId="487" priority="244" operator="lessThan">
      <formula>0</formula>
    </cfRule>
  </conditionalFormatting>
  <conditionalFormatting sqref="EC13:EC14">
    <cfRule type="cellIs" dxfId="485" priority="243" operator="lessThan">
      <formula>0</formula>
    </cfRule>
  </conditionalFormatting>
  <conditionalFormatting sqref="J15:J19 N15:N19 P15:P19 L15:L19">
    <cfRule type="cellIs" dxfId="483" priority="242" operator="lessThan">
      <formula>0</formula>
    </cfRule>
  </conditionalFormatting>
  <conditionalFormatting sqref="S15:S19">
    <cfRule type="cellIs" dxfId="481" priority="241" operator="lessThan">
      <formula>0</formula>
    </cfRule>
  </conditionalFormatting>
  <conditionalFormatting sqref="CR15 CX15 CU15:CV15">
    <cfRule type="cellIs" dxfId="479" priority="240" operator="lessThan">
      <formula>0</formula>
    </cfRule>
  </conditionalFormatting>
  <conditionalFormatting sqref="EC15:EC19">
    <cfRule type="cellIs" dxfId="477" priority="239" operator="lessThan">
      <formula>0</formula>
    </cfRule>
  </conditionalFormatting>
  <conditionalFormatting sqref="EE16">
    <cfRule type="cellIs" dxfId="475" priority="238" operator="lessThan">
      <formula>0</formula>
    </cfRule>
  </conditionalFormatting>
  <conditionalFormatting sqref="T17 V17">
    <cfRule type="cellIs" dxfId="473" priority="237" operator="lessThan">
      <formula>0</formula>
    </cfRule>
  </conditionalFormatting>
  <conditionalFormatting sqref="R17:R19">
    <cfRule type="cellIs" dxfId="471" priority="236" operator="lessThan">
      <formula>0</formula>
    </cfRule>
  </conditionalFormatting>
  <conditionalFormatting sqref="BC17:BC18">
    <cfRule type="cellIs" dxfId="469" priority="235" operator="lessThan">
      <formula>0</formula>
    </cfRule>
  </conditionalFormatting>
  <conditionalFormatting sqref="Z18">
    <cfRule type="cellIs" dxfId="467" priority="234" operator="lessThan">
      <formula>0</formula>
    </cfRule>
  </conditionalFormatting>
  <conditionalFormatting sqref="AN18">
    <cfRule type="cellIs" dxfId="465" priority="233" operator="lessThan">
      <formula>0</formula>
    </cfRule>
  </conditionalFormatting>
  <conditionalFormatting sqref="AE19">
    <cfRule type="cellIs" dxfId="463" priority="232" operator="lessThan">
      <formula>0</formula>
    </cfRule>
  </conditionalFormatting>
  <conditionalFormatting sqref="AW20">
    <cfRule type="cellIs" dxfId="461" priority="231" operator="lessThan">
      <formula>0</formula>
    </cfRule>
  </conditionalFormatting>
  <conditionalFormatting sqref="BC19">
    <cfRule type="cellIs" dxfId="459" priority="230" operator="lessThan">
      <formula>0</formula>
    </cfRule>
  </conditionalFormatting>
  <conditionalFormatting sqref="BE19">
    <cfRule type="cellIs" dxfId="457" priority="229" operator="lessThan">
      <formula>0</formula>
    </cfRule>
  </conditionalFormatting>
  <conditionalFormatting sqref="BG19">
    <cfRule type="cellIs" dxfId="455" priority="228" operator="lessThan">
      <formula>0</formula>
    </cfRule>
  </conditionalFormatting>
  <conditionalFormatting sqref="DV19 DO20 DR20 DU20">
    <cfRule type="cellIs" dxfId="453" priority="227" operator="lessThan">
      <formula>0</formula>
    </cfRule>
  </conditionalFormatting>
  <conditionalFormatting sqref="J20 L20">
    <cfRule type="cellIs" dxfId="451" priority="226" operator="lessThan">
      <formula>0</formula>
    </cfRule>
  </conditionalFormatting>
  <conditionalFormatting sqref="N20 P20">
    <cfRule type="cellIs" dxfId="449" priority="225" operator="lessThan">
      <formula>0</formula>
    </cfRule>
  </conditionalFormatting>
  <conditionalFormatting sqref="Y20">
    <cfRule type="cellIs" dxfId="447" priority="224" operator="lessThan">
      <formula>0</formula>
    </cfRule>
  </conditionalFormatting>
  <conditionalFormatting sqref="AE20">
    <cfRule type="cellIs" dxfId="445" priority="223" operator="lessThan">
      <formula>0</formula>
    </cfRule>
  </conditionalFormatting>
  <conditionalFormatting sqref="AY20">
    <cfRule type="cellIs" dxfId="443" priority="222" operator="lessThan">
      <formula>0</formula>
    </cfRule>
  </conditionalFormatting>
  <conditionalFormatting sqref="BA20">
    <cfRule type="cellIs" dxfId="441" priority="221" operator="lessThan">
      <formula>0</formula>
    </cfRule>
  </conditionalFormatting>
  <conditionalFormatting sqref="BE20">
    <cfRule type="cellIs" dxfId="439" priority="220" operator="lessThan">
      <formula>0</formula>
    </cfRule>
  </conditionalFormatting>
  <conditionalFormatting sqref="BG20">
    <cfRule type="cellIs" dxfId="437" priority="219" operator="lessThan">
      <formula>0</formula>
    </cfRule>
  </conditionalFormatting>
  <conditionalFormatting sqref="J21 L21">
    <cfRule type="cellIs" dxfId="435" priority="218" operator="lessThan">
      <formula>0</formula>
    </cfRule>
  </conditionalFormatting>
  <conditionalFormatting sqref="N21 P21">
    <cfRule type="cellIs" dxfId="433" priority="217" operator="lessThan">
      <formula>0</formula>
    </cfRule>
  </conditionalFormatting>
  <conditionalFormatting sqref="Y21">
    <cfRule type="cellIs" dxfId="431" priority="216" operator="lessThan">
      <formula>0</formula>
    </cfRule>
  </conditionalFormatting>
  <conditionalFormatting sqref="AS21:AT21 AZ21 AX21 BB21:BC21 AV21">
    <cfRule type="cellIs" dxfId="429" priority="215" operator="lessThan">
      <formula>0</formula>
    </cfRule>
  </conditionalFormatting>
  <conditionalFormatting sqref="AW21">
    <cfRule type="cellIs" dxfId="427" priority="214" operator="lessThan">
      <formula>0</formula>
    </cfRule>
  </conditionalFormatting>
  <conditionalFormatting sqref="AY21">
    <cfRule type="cellIs" dxfId="425" priority="213" operator="lessThan">
      <formula>0</formula>
    </cfRule>
  </conditionalFormatting>
  <conditionalFormatting sqref="BA21">
    <cfRule type="cellIs" dxfId="423" priority="212" operator="lessThan">
      <formula>0</formula>
    </cfRule>
  </conditionalFormatting>
  <conditionalFormatting sqref="BE21">
    <cfRule type="cellIs" dxfId="421" priority="211" operator="lessThan">
      <formula>0</formula>
    </cfRule>
  </conditionalFormatting>
  <conditionalFormatting sqref="BG21">
    <cfRule type="cellIs" dxfId="419" priority="210" operator="lessThan">
      <formula>0</formula>
    </cfRule>
  </conditionalFormatting>
  <conditionalFormatting sqref="DY21 EA21 EC21">
    <cfRule type="cellIs" dxfId="417" priority="209" operator="lessThan">
      <formula>0</formula>
    </cfRule>
  </conditionalFormatting>
  <conditionalFormatting sqref="J22 L22">
    <cfRule type="cellIs" dxfId="415" priority="208" operator="lessThan">
      <formula>0</formula>
    </cfRule>
  </conditionalFormatting>
  <conditionalFormatting sqref="N22 P22">
    <cfRule type="cellIs" dxfId="413" priority="207" operator="lessThan">
      <formula>0</formula>
    </cfRule>
  </conditionalFormatting>
  <conditionalFormatting sqref="AO22:AR22">
    <cfRule type="cellIs" dxfId="411" priority="206" operator="lessThan">
      <formula>0</formula>
    </cfRule>
  </conditionalFormatting>
  <conditionalFormatting sqref="AS22:AT22 AZ22 AX22 BB22 AV22">
    <cfRule type="cellIs" dxfId="409" priority="205" operator="lessThan">
      <formula>0</formula>
    </cfRule>
  </conditionalFormatting>
  <conditionalFormatting sqref="AW22">
    <cfRule type="cellIs" dxfId="407" priority="204" operator="lessThan">
      <formula>0</formula>
    </cfRule>
  </conditionalFormatting>
  <conditionalFormatting sqref="AY22:AY23">
    <cfRule type="cellIs" dxfId="405" priority="203" operator="lessThan">
      <formula>0</formula>
    </cfRule>
  </conditionalFormatting>
  <conditionalFormatting sqref="BA22">
    <cfRule type="cellIs" dxfId="403" priority="202" operator="lessThan">
      <formula>0</formula>
    </cfRule>
  </conditionalFormatting>
  <conditionalFormatting sqref="BC22">
    <cfRule type="cellIs" dxfId="401" priority="201" operator="lessThan">
      <formula>0</formula>
    </cfRule>
  </conditionalFormatting>
  <conditionalFormatting sqref="BF22 BH22:BI22">
    <cfRule type="cellIs" dxfId="399" priority="200" operator="lessThan">
      <formula>0</formula>
    </cfRule>
  </conditionalFormatting>
  <conditionalFormatting sqref="BE22">
    <cfRule type="cellIs" dxfId="397" priority="199" operator="lessThan">
      <formula>0</formula>
    </cfRule>
  </conditionalFormatting>
  <conditionalFormatting sqref="BG22">
    <cfRule type="cellIs" dxfId="395" priority="198" operator="lessThan">
      <formula>0</formula>
    </cfRule>
  </conditionalFormatting>
  <conditionalFormatting sqref="G23:H23 Q23">
    <cfRule type="cellIs" dxfId="393" priority="197" operator="lessThan">
      <formula>0</formula>
    </cfRule>
  </conditionalFormatting>
  <conditionalFormatting sqref="J23 L23">
    <cfRule type="cellIs" dxfId="391" priority="196" operator="lessThan">
      <formula>0</formula>
    </cfRule>
  </conditionalFormatting>
  <conditionalFormatting sqref="I23">
    <cfRule type="cellIs" dxfId="389" priority="195" operator="lessThan">
      <formula>0</formula>
    </cfRule>
  </conditionalFormatting>
  <conditionalFormatting sqref="K23:K24">
    <cfRule type="cellIs" dxfId="387" priority="194" operator="lessThan">
      <formula>0</formula>
    </cfRule>
  </conditionalFormatting>
  <conditionalFormatting sqref="N23 P23">
    <cfRule type="cellIs" dxfId="385" priority="193" operator="lessThan">
      <formula>0</formula>
    </cfRule>
  </conditionalFormatting>
  <conditionalFormatting sqref="O23">
    <cfRule type="cellIs" dxfId="383" priority="192" operator="lessThan">
      <formula>0</formula>
    </cfRule>
  </conditionalFormatting>
  <conditionalFormatting sqref="BJ23:BM23">
    <cfRule type="cellIs" dxfId="381" priority="191" operator="lessThan">
      <formula>0</formula>
    </cfRule>
  </conditionalFormatting>
  <conditionalFormatting sqref="BH23:BI23">
    <cfRule type="cellIs" dxfId="379" priority="190" operator="lessThan">
      <formula>0</formula>
    </cfRule>
  </conditionalFormatting>
  <conditionalFormatting sqref="BG23">
    <cfRule type="cellIs" dxfId="377" priority="189" operator="lessThan">
      <formula>0</formula>
    </cfRule>
  </conditionalFormatting>
  <conditionalFormatting sqref="R24:T24">
    <cfRule type="cellIs" dxfId="375" priority="188" operator="lessThan">
      <formula>0</formula>
    </cfRule>
  </conditionalFormatting>
  <conditionalFormatting sqref="G24:H24 Q24">
    <cfRule type="cellIs" dxfId="373" priority="187" operator="lessThan">
      <formula>0</formula>
    </cfRule>
  </conditionalFormatting>
  <conditionalFormatting sqref="J24 L24:L31">
    <cfRule type="cellIs" dxfId="371" priority="186" operator="lessThan">
      <formula>0</formula>
    </cfRule>
  </conditionalFormatting>
  <conditionalFormatting sqref="N24 P24">
    <cfRule type="cellIs" dxfId="369" priority="185" operator="lessThan">
      <formula>0</formula>
    </cfRule>
  </conditionalFormatting>
  <conditionalFormatting sqref="Y24:Y25">
    <cfRule type="cellIs" dxfId="367" priority="184" operator="lessThan">
      <formula>0</formula>
    </cfRule>
  </conditionalFormatting>
  <conditionalFormatting sqref="R25:S25">
    <cfRule type="cellIs" dxfId="365" priority="183" operator="lessThan">
      <formula>0</formula>
    </cfRule>
  </conditionalFormatting>
  <conditionalFormatting sqref="G25:H25 Q25">
    <cfRule type="cellIs" dxfId="363" priority="182" operator="lessThan">
      <formula>0</formula>
    </cfRule>
  </conditionalFormatting>
  <conditionalFormatting sqref="J25">
    <cfRule type="cellIs" dxfId="361" priority="181" operator="lessThan">
      <formula>0</formula>
    </cfRule>
  </conditionalFormatting>
  <conditionalFormatting sqref="N25 P25">
    <cfRule type="cellIs" dxfId="359" priority="180" operator="lessThan">
      <formula>0</formula>
    </cfRule>
  </conditionalFormatting>
  <conditionalFormatting sqref="R26:S26 S27">
    <cfRule type="cellIs" dxfId="357" priority="179" operator="lessThan">
      <formula>0</formula>
    </cfRule>
  </conditionalFormatting>
  <conditionalFormatting sqref="G26:H26 Q26:Q28">
    <cfRule type="cellIs" dxfId="355" priority="178" operator="lessThan">
      <formula>0</formula>
    </cfRule>
  </conditionalFormatting>
  <conditionalFormatting sqref="J26">
    <cfRule type="cellIs" dxfId="353" priority="177" operator="lessThan">
      <formula>0</formula>
    </cfRule>
  </conditionalFormatting>
  <conditionalFormatting sqref="N26 P26">
    <cfRule type="cellIs" dxfId="351" priority="176" operator="lessThan">
      <formula>0</formula>
    </cfRule>
  </conditionalFormatting>
  <conditionalFormatting sqref="Y26">
    <cfRule type="cellIs" dxfId="349" priority="175" operator="lessThan">
      <formula>0</formula>
    </cfRule>
  </conditionalFormatting>
  <conditionalFormatting sqref="J27">
    <cfRule type="cellIs" dxfId="347" priority="174" operator="lessThan">
      <formula>0</formula>
    </cfRule>
  </conditionalFormatting>
  <conditionalFormatting sqref="N27">
    <cfRule type="cellIs" dxfId="345" priority="173" operator="lessThan">
      <formula>0</formula>
    </cfRule>
  </conditionalFormatting>
  <conditionalFormatting sqref="Y27">
    <cfRule type="cellIs" dxfId="343" priority="172" operator="lessThan">
      <formula>0</formula>
    </cfRule>
  </conditionalFormatting>
  <conditionalFormatting sqref="G28:H28">
    <cfRule type="cellIs" dxfId="341" priority="171" operator="lessThan">
      <formula>0</formula>
    </cfRule>
  </conditionalFormatting>
  <conditionalFormatting sqref="N28">
    <cfRule type="cellIs" dxfId="339" priority="170" operator="lessThan">
      <formula>0</formula>
    </cfRule>
  </conditionalFormatting>
  <conditionalFormatting sqref="Y28">
    <cfRule type="cellIs" dxfId="337" priority="169" operator="lessThan">
      <formula>0</formula>
    </cfRule>
  </conditionalFormatting>
  <conditionalFormatting sqref="P29">
    <cfRule type="cellIs" dxfId="335" priority="168" operator="lessThan">
      <formula>0</formula>
    </cfRule>
  </conditionalFormatting>
  <conditionalFormatting sqref="J29">
    <cfRule type="cellIs" dxfId="333" priority="167" operator="lessThan">
      <formula>0</formula>
    </cfRule>
  </conditionalFormatting>
  <conditionalFormatting sqref="N29">
    <cfRule type="cellIs" dxfId="331" priority="166" operator="lessThan">
      <formula>0</formula>
    </cfRule>
  </conditionalFormatting>
  <conditionalFormatting sqref="Q29">
    <cfRule type="cellIs" dxfId="329" priority="165" operator="lessThan">
      <formula>0</formula>
    </cfRule>
  </conditionalFormatting>
  <conditionalFormatting sqref="Y29">
    <cfRule type="cellIs" dxfId="327" priority="164" operator="lessThan">
      <formula>0</formula>
    </cfRule>
  </conditionalFormatting>
  <conditionalFormatting sqref="G30:H30">
    <cfRule type="cellIs" dxfId="325" priority="163" operator="lessThan">
      <formula>0</formula>
    </cfRule>
  </conditionalFormatting>
  <conditionalFormatting sqref="P30">
    <cfRule type="cellIs" dxfId="323" priority="162" operator="lessThan">
      <formula>0</formula>
    </cfRule>
  </conditionalFormatting>
  <conditionalFormatting sqref="J30">
    <cfRule type="cellIs" dxfId="321" priority="161" operator="lessThan">
      <formula>0</formula>
    </cfRule>
  </conditionalFormatting>
  <conditionalFormatting sqref="N30">
    <cfRule type="cellIs" dxfId="319" priority="160" operator="lessThan">
      <formula>0</formula>
    </cfRule>
  </conditionalFormatting>
  <conditionalFormatting sqref="R30 T30">
    <cfRule type="cellIs" dxfId="317" priority="159" operator="lessThan">
      <formula>0</formula>
    </cfRule>
  </conditionalFormatting>
  <conditionalFormatting sqref="G31:H32">
    <cfRule type="cellIs" dxfId="315" priority="158" operator="lessThan">
      <formula>0</formula>
    </cfRule>
  </conditionalFormatting>
  <conditionalFormatting sqref="P31">
    <cfRule type="cellIs" dxfId="313" priority="157" operator="lessThan">
      <formula>0</formula>
    </cfRule>
  </conditionalFormatting>
  <conditionalFormatting sqref="J31">
    <cfRule type="cellIs" dxfId="311" priority="156" operator="lessThan">
      <formula>0</formula>
    </cfRule>
  </conditionalFormatting>
  <conditionalFormatting sqref="L32">
    <cfRule type="cellIs" dxfId="309" priority="155" operator="lessThan">
      <formula>0</formula>
    </cfRule>
  </conditionalFormatting>
  <conditionalFormatting sqref="N31">
    <cfRule type="cellIs" dxfId="307" priority="154" operator="lessThan">
      <formula>0</formula>
    </cfRule>
  </conditionalFormatting>
  <conditionalFormatting sqref="R31:R32">
    <cfRule type="cellIs" dxfId="305" priority="153" operator="lessThan">
      <formula>0</formula>
    </cfRule>
  </conditionalFormatting>
  <conditionalFormatting sqref="Q31:Q32">
    <cfRule type="cellIs" dxfId="303" priority="152" operator="lessThan">
      <formula>0</formula>
    </cfRule>
  </conditionalFormatting>
  <conditionalFormatting sqref="Y31:Y32">
    <cfRule type="cellIs" dxfId="301" priority="151" operator="lessThan">
      <formula>0</formula>
    </cfRule>
  </conditionalFormatting>
  <conditionalFormatting sqref="DY31:DY32 EA31:EA32 EC31:EC32">
    <cfRule type="cellIs" dxfId="299" priority="150" operator="lessThan">
      <formula>0</formula>
    </cfRule>
  </conditionalFormatting>
  <conditionalFormatting sqref="G33:H33">
    <cfRule type="cellIs" dxfId="297" priority="149" operator="lessThan">
      <formula>0</formula>
    </cfRule>
  </conditionalFormatting>
  <conditionalFormatting sqref="N33:N34 P33:P34 T33:T34">
    <cfRule type="cellIs" dxfId="295" priority="148" operator="lessThan">
      <formula>0</formula>
    </cfRule>
  </conditionalFormatting>
  <conditionalFormatting sqref="L33:L34">
    <cfRule type="cellIs" dxfId="293" priority="147" operator="lessThan">
      <formula>0</formula>
    </cfRule>
  </conditionalFormatting>
  <conditionalFormatting sqref="R33:R34">
    <cfRule type="cellIs" dxfId="291" priority="146" operator="lessThan">
      <formula>0</formula>
    </cfRule>
  </conditionalFormatting>
  <conditionalFormatting sqref="Y33">
    <cfRule type="cellIs" dxfId="289" priority="145" operator="lessThan">
      <formula>0</formula>
    </cfRule>
  </conditionalFormatting>
  <conditionalFormatting sqref="DY33:DY34 EA33:EA34 EC33:EC34">
    <cfRule type="cellIs" dxfId="287" priority="144" operator="lessThan">
      <formula>0</formula>
    </cfRule>
  </conditionalFormatting>
  <conditionalFormatting sqref="J3 BQ3:BS3 EE3 B3:F3 U3:X3 Z3 AC3:BO3 BU3:DH3 EI3:XFD3 AM4 BC4 BE4 BG4 BI4 BM4 BS4 CN4 CQ4 CT4 W4:X5 CZ4:CZ6 DP3:DQ3 DM3:DN3 DJ3:DK3 DS3:DT3 DV3:DW3 BQ4:BQ9 AU4:AU18 AW4:AW19 AY4:AY19 BA4:BA19 BX4:BX19 DR8:DR15 DU8:DU15 CW4:CW13 F4:F34">
    <cfRule type="cellIs" dxfId="285" priority="143" operator="lessThan">
      <formula>0</formula>
    </cfRule>
  </conditionalFormatting>
  <conditionalFormatting sqref="ED3">
    <cfRule type="cellIs" dxfId="283" priority="142" operator="lessThan">
      <formula>0</formula>
    </cfRule>
  </conditionalFormatting>
  <conditionalFormatting sqref="ED3">
    <cfRule type="cellIs" dxfId="281" priority="141" operator="lessThan">
      <formula>0</formula>
    </cfRule>
  </conditionalFormatting>
  <conditionalFormatting sqref="BP3">
    <cfRule type="cellIs" dxfId="279" priority="140" operator="lessThan">
      <formula>0</formula>
    </cfRule>
  </conditionalFormatting>
  <conditionalFormatting sqref="BT3">
    <cfRule type="cellIs" dxfId="277" priority="139" operator="lessThan">
      <formula>0</formula>
    </cfRule>
  </conditionalFormatting>
  <conditionalFormatting sqref="A3:A34">
    <cfRule type="cellIs" dxfId="275" priority="138" operator="lessThan">
      <formula>0</formula>
    </cfRule>
  </conditionalFormatting>
  <conditionalFormatting sqref="AA3:AB3">
    <cfRule type="cellIs" dxfId="273" priority="137" operator="lessThan">
      <formula>0</formula>
    </cfRule>
  </conditionalFormatting>
  <conditionalFormatting sqref="G3:H3">
    <cfRule type="cellIs" dxfId="271" priority="136" operator="lessThan">
      <formula>0</formula>
    </cfRule>
  </conditionalFormatting>
  <conditionalFormatting sqref="I3">
    <cfRule type="cellIs" dxfId="269" priority="135" operator="lessThan">
      <formula>0</formula>
    </cfRule>
  </conditionalFormatting>
  <conditionalFormatting sqref="N3 P3 S3:T3 S4:S14">
    <cfRule type="cellIs" dxfId="267" priority="134" operator="lessThan">
      <formula>0</formula>
    </cfRule>
  </conditionalFormatting>
  <conditionalFormatting sqref="L3">
    <cfRule type="cellIs" dxfId="265" priority="133" operator="lessThan">
      <formula>0</formula>
    </cfRule>
  </conditionalFormatting>
  <conditionalFormatting sqref="K3:K19">
    <cfRule type="cellIs" dxfId="263" priority="132" operator="lessThan">
      <formula>0</formula>
    </cfRule>
  </conditionalFormatting>
  <conditionalFormatting sqref="M3:M12">
    <cfRule type="cellIs" dxfId="261" priority="131" operator="lessThan">
      <formula>0</formula>
    </cfRule>
  </conditionalFormatting>
  <conditionalFormatting sqref="O3:O19">
    <cfRule type="cellIs" dxfId="259" priority="130" operator="lessThan">
      <formula>0</formula>
    </cfRule>
  </conditionalFormatting>
  <conditionalFormatting sqref="R3">
    <cfRule type="cellIs" dxfId="257" priority="129" operator="lessThan">
      <formula>0</formula>
    </cfRule>
  </conditionalFormatting>
  <conditionalFormatting sqref="Q3:Q19">
    <cfRule type="cellIs" dxfId="255" priority="128" operator="lessThan">
      <formula>0</formula>
    </cfRule>
  </conditionalFormatting>
  <conditionalFormatting sqref="Y3:Y19">
    <cfRule type="cellIs" dxfId="253" priority="127" operator="lessThan">
      <formula>0</formula>
    </cfRule>
  </conditionalFormatting>
  <conditionalFormatting sqref="DX3:EC3 DX4:DX20 DZ4:DZ20 EB4:EB20">
    <cfRule type="cellIs" dxfId="251" priority="126" operator="lessThan">
      <formula>0</formula>
    </cfRule>
  </conditionalFormatting>
  <conditionalFormatting sqref="EB3:EB20">
    <cfRule type="cellIs" dxfId="249" priority="125" operator="lessThan">
      <formula>0</formula>
    </cfRule>
  </conditionalFormatting>
  <conditionalFormatting sqref="EF3:EH3 EG4:EG14">
    <cfRule type="cellIs" dxfId="247" priority="124" operator="lessThan">
      <formula>0</formula>
    </cfRule>
  </conditionalFormatting>
  <conditionalFormatting sqref="I24:I25">
    <cfRule type="cellIs" dxfId="245" priority="123" operator="lessThan">
      <formula>0</formula>
    </cfRule>
  </conditionalFormatting>
  <conditionalFormatting sqref="K25">
    <cfRule type="cellIs" dxfId="243" priority="122" operator="lessThan">
      <formula>0</formula>
    </cfRule>
  </conditionalFormatting>
  <conditionalFormatting sqref="O24:O25">
    <cfRule type="cellIs" dxfId="241" priority="121" operator="lessThan">
      <formula>0</formula>
    </cfRule>
  </conditionalFormatting>
  <conditionalFormatting sqref="S28">
    <cfRule type="cellIs" dxfId="239" priority="120" operator="lessThan">
      <formula>0</formula>
    </cfRule>
  </conditionalFormatting>
  <conditionalFormatting sqref="Q33">
    <cfRule type="cellIs" dxfId="237" priority="119" operator="lessThan">
      <formula>0</formula>
    </cfRule>
  </conditionalFormatting>
  <conditionalFormatting sqref="S33">
    <cfRule type="cellIs" dxfId="235" priority="118" operator="lessThan">
      <formula>0</formula>
    </cfRule>
  </conditionalFormatting>
  <conditionalFormatting sqref="I34">
    <cfRule type="cellIs" dxfId="233" priority="117" operator="lessThan">
      <formula>0</formula>
    </cfRule>
  </conditionalFormatting>
  <conditionalFormatting sqref="K34">
    <cfRule type="cellIs" dxfId="231" priority="116" operator="lessThan">
      <formula>0</formula>
    </cfRule>
  </conditionalFormatting>
  <conditionalFormatting sqref="M34">
    <cfRule type="cellIs" dxfId="229" priority="115" operator="lessThan">
      <formula>0</formula>
    </cfRule>
  </conditionalFormatting>
  <conditionalFormatting sqref="O34">
    <cfRule type="cellIs" dxfId="227" priority="114" operator="lessThan">
      <formula>0</formula>
    </cfRule>
  </conditionalFormatting>
  <conditionalFormatting sqref="Q34">
    <cfRule type="cellIs" dxfId="225" priority="113" operator="lessThan">
      <formula>0</formula>
    </cfRule>
  </conditionalFormatting>
  <conditionalFormatting sqref="ED4">
    <cfRule type="cellIs" dxfId="223" priority="112" operator="lessThan">
      <formula>0</formula>
    </cfRule>
  </conditionalFormatting>
  <conditionalFormatting sqref="ED4">
    <cfRule type="cellIs" dxfId="221" priority="111" operator="lessThan">
      <formula>0</formula>
    </cfRule>
  </conditionalFormatting>
  <conditionalFormatting sqref="I5">
    <cfRule type="cellIs" dxfId="219" priority="110" operator="lessThan">
      <formula>0</formula>
    </cfRule>
  </conditionalFormatting>
  <conditionalFormatting sqref="I6">
    <cfRule type="cellIs" dxfId="217" priority="109" operator="lessThan">
      <formula>0</formula>
    </cfRule>
  </conditionalFormatting>
  <conditionalFormatting sqref="ED6">
    <cfRule type="cellIs" dxfId="215" priority="108" operator="lessThan">
      <formula>0</formula>
    </cfRule>
  </conditionalFormatting>
  <conditionalFormatting sqref="DH4:DH34">
    <cfRule type="cellIs" dxfId="213" priority="107" operator="lessThan">
      <formula>0</formula>
    </cfRule>
  </conditionalFormatting>
  <conditionalFormatting sqref="DK4:DK34">
    <cfRule type="cellIs" dxfId="211" priority="106" operator="lessThan">
      <formula>0</formula>
    </cfRule>
  </conditionalFormatting>
  <conditionalFormatting sqref="DB4:DB34">
    <cfRule type="cellIs" dxfId="209" priority="105" operator="lessThan">
      <formula>0</formula>
    </cfRule>
  </conditionalFormatting>
  <conditionalFormatting sqref="DN4:DN34">
    <cfRule type="cellIs" dxfId="207" priority="104" operator="lessThan">
      <formula>0</formula>
    </cfRule>
  </conditionalFormatting>
  <conditionalFormatting sqref="DQ4:DQ34">
    <cfRule type="cellIs" dxfId="205" priority="103" operator="lessThan">
      <formula>0</formula>
    </cfRule>
  </conditionalFormatting>
  <conditionalFormatting sqref="DT4:DT34">
    <cfRule type="cellIs" dxfId="203" priority="102" operator="lessThan">
      <formula>0</formula>
    </cfRule>
  </conditionalFormatting>
  <conditionalFormatting sqref="DW4:DW34">
    <cfRule type="cellIs" dxfId="201" priority="101" operator="lessThan">
      <formula>0</formula>
    </cfRule>
  </conditionalFormatting>
  <conditionalFormatting sqref="CY5:CY34">
    <cfRule type="cellIs" dxfId="199" priority="100" operator="lessThan">
      <formula>0</formula>
    </cfRule>
  </conditionalFormatting>
  <conditionalFormatting sqref="CD5:CD34">
    <cfRule type="cellIs" dxfId="197" priority="99" operator="lessThan">
      <formula>0</formula>
    </cfRule>
  </conditionalFormatting>
  <conditionalFormatting sqref="I7">
    <cfRule type="cellIs" dxfId="195" priority="98" operator="lessThan">
      <formula>0</formula>
    </cfRule>
  </conditionalFormatting>
  <conditionalFormatting sqref="DO3:DO7">
    <cfRule type="cellIs" dxfId="193" priority="97" operator="lessThan">
      <formula>0</formula>
    </cfRule>
  </conditionalFormatting>
  <conditionalFormatting sqref="DL3:DL7">
    <cfRule type="cellIs" dxfId="191" priority="96" operator="lessThan">
      <formula>0</formula>
    </cfRule>
  </conditionalFormatting>
  <conditionalFormatting sqref="DI3:DI7">
    <cfRule type="cellIs" dxfId="189" priority="95" operator="lessThan">
      <formula>0</formula>
    </cfRule>
  </conditionalFormatting>
  <conditionalFormatting sqref="DR3:DR7">
    <cfRule type="cellIs" dxfId="187" priority="94" operator="lessThan">
      <formula>0</formula>
    </cfRule>
  </conditionalFormatting>
  <conditionalFormatting sqref="DU3:DU7">
    <cfRule type="cellIs" dxfId="185" priority="93" operator="lessThan">
      <formula>0</formula>
    </cfRule>
  </conditionalFormatting>
  <conditionalFormatting sqref="ED17">
    <cfRule type="cellIs" dxfId="183" priority="92" operator="lessThan">
      <formula>0</formula>
    </cfRule>
  </conditionalFormatting>
  <conditionalFormatting sqref="ED17">
    <cfRule type="cellIs" dxfId="181" priority="91" operator="lessThan">
      <formula>0</formula>
    </cfRule>
  </conditionalFormatting>
  <conditionalFormatting sqref="ED17">
    <cfRule type="cellIs" dxfId="179" priority="90" operator="lessThan">
      <formula>0</formula>
    </cfRule>
  </conditionalFormatting>
  <conditionalFormatting sqref="ED18">
    <cfRule type="cellIs" dxfId="177" priority="89" operator="lessThan">
      <formula>0</formula>
    </cfRule>
  </conditionalFormatting>
  <conditionalFormatting sqref="ED18">
    <cfRule type="cellIs" dxfId="175" priority="88" operator="lessThan">
      <formula>0</formula>
    </cfRule>
  </conditionalFormatting>
  <conditionalFormatting sqref="ED18">
    <cfRule type="cellIs" dxfId="173" priority="87" operator="lessThan">
      <formula>0</formula>
    </cfRule>
  </conditionalFormatting>
  <conditionalFormatting sqref="ED19:ED20">
    <cfRule type="cellIs" dxfId="171" priority="86" operator="lessThan">
      <formula>0</formula>
    </cfRule>
  </conditionalFormatting>
  <conditionalFormatting sqref="ED19:ED20">
    <cfRule type="cellIs" dxfId="169" priority="85" operator="lessThan">
      <formula>0</formula>
    </cfRule>
  </conditionalFormatting>
  <conditionalFormatting sqref="ED19:ED20">
    <cfRule type="cellIs" dxfId="167" priority="84" operator="lessThan">
      <formula>0</formula>
    </cfRule>
  </conditionalFormatting>
  <conditionalFormatting sqref="I20">
    <cfRule type="cellIs" dxfId="165" priority="83" operator="lessThan">
      <formula>0</formula>
    </cfRule>
  </conditionalFormatting>
  <conditionalFormatting sqref="K20">
    <cfRule type="cellIs" dxfId="163" priority="82" operator="lessThan">
      <formula>0</formula>
    </cfRule>
  </conditionalFormatting>
  <conditionalFormatting sqref="O20">
    <cfRule type="cellIs" dxfId="161" priority="81" operator="lessThan">
      <formula>0</formula>
    </cfRule>
  </conditionalFormatting>
  <conditionalFormatting sqref="Q20">
    <cfRule type="cellIs" dxfId="159" priority="80" operator="lessThan">
      <formula>0</formula>
    </cfRule>
  </conditionalFormatting>
  <conditionalFormatting sqref="I21">
    <cfRule type="cellIs" dxfId="157" priority="79" operator="lessThan">
      <formula>0</formula>
    </cfRule>
  </conditionalFormatting>
  <conditionalFormatting sqref="K21">
    <cfRule type="cellIs" dxfId="155" priority="78" operator="lessThan">
      <formula>0</formula>
    </cfRule>
  </conditionalFormatting>
  <conditionalFormatting sqref="O21">
    <cfRule type="cellIs" dxfId="153" priority="77" operator="lessThan">
      <formula>0</formula>
    </cfRule>
  </conditionalFormatting>
  <conditionalFormatting sqref="DX21">
    <cfRule type="cellIs" dxfId="151" priority="76" operator="lessThan">
      <formula>0</formula>
    </cfRule>
  </conditionalFormatting>
  <conditionalFormatting sqref="DZ21">
    <cfRule type="cellIs" dxfId="149" priority="75" operator="lessThan">
      <formula>0</formula>
    </cfRule>
  </conditionalFormatting>
  <conditionalFormatting sqref="EB21">
    <cfRule type="cellIs" dxfId="147" priority="74" operator="lessThan">
      <formula>0</formula>
    </cfRule>
  </conditionalFormatting>
  <conditionalFormatting sqref="EB21">
    <cfRule type="cellIs" dxfId="145" priority="73" operator="lessThan">
      <formula>0</formula>
    </cfRule>
  </conditionalFormatting>
  <conditionalFormatting sqref="ED21">
    <cfRule type="cellIs" dxfId="143" priority="72" operator="lessThan">
      <formula>0</formula>
    </cfRule>
  </conditionalFormatting>
  <conditionalFormatting sqref="ED21">
    <cfRule type="cellIs" dxfId="141" priority="71" operator="lessThan">
      <formula>0</formula>
    </cfRule>
  </conditionalFormatting>
  <conditionalFormatting sqref="ED21">
    <cfRule type="cellIs" dxfId="139" priority="70" operator="lessThan">
      <formula>0</formula>
    </cfRule>
  </conditionalFormatting>
  <conditionalFormatting sqref="I30">
    <cfRule type="cellIs" dxfId="137" priority="69" operator="lessThan">
      <formula>0</formula>
    </cfRule>
  </conditionalFormatting>
  <conditionalFormatting sqref="K30">
    <cfRule type="cellIs" dxfId="135" priority="68" operator="lessThan">
      <formula>0</formula>
    </cfRule>
  </conditionalFormatting>
  <conditionalFormatting sqref="M30">
    <cfRule type="cellIs" dxfId="133" priority="67" operator="lessThan">
      <formula>0</formula>
    </cfRule>
  </conditionalFormatting>
  <conditionalFormatting sqref="O30">
    <cfRule type="cellIs" dxfId="131" priority="66" operator="lessThan">
      <formula>0</formula>
    </cfRule>
  </conditionalFormatting>
  <conditionalFormatting sqref="Q30">
    <cfRule type="cellIs" dxfId="129" priority="65" operator="lessThan">
      <formula>0</formula>
    </cfRule>
  </conditionalFormatting>
  <conditionalFormatting sqref="Y30">
    <cfRule type="cellIs" dxfId="127" priority="64" operator="lessThan">
      <formula>0</formula>
    </cfRule>
  </conditionalFormatting>
  <conditionalFormatting sqref="I33">
    <cfRule type="cellIs" dxfId="125" priority="63" operator="lessThan">
      <formula>0</formula>
    </cfRule>
  </conditionalFormatting>
  <conditionalFormatting sqref="K33">
    <cfRule type="cellIs" dxfId="123" priority="62" operator="lessThan">
      <formula>0</formula>
    </cfRule>
  </conditionalFormatting>
  <conditionalFormatting sqref="M33">
    <cfRule type="cellIs" dxfId="121" priority="61" operator="lessThan">
      <formula>0</formula>
    </cfRule>
  </conditionalFormatting>
  <conditionalFormatting sqref="O33">
    <cfRule type="cellIs" dxfId="119" priority="60" operator="lessThan">
      <formula>0</formula>
    </cfRule>
  </conditionalFormatting>
  <conditionalFormatting sqref="DX33">
    <cfRule type="cellIs" dxfId="117" priority="59" operator="lessThan">
      <formula>0</formula>
    </cfRule>
  </conditionalFormatting>
  <conditionalFormatting sqref="DZ33">
    <cfRule type="cellIs" dxfId="115" priority="58" operator="lessThan">
      <formula>0</formula>
    </cfRule>
  </conditionalFormatting>
  <conditionalFormatting sqref="EB33">
    <cfRule type="cellIs" dxfId="113" priority="57" operator="lessThan">
      <formula>0</formula>
    </cfRule>
  </conditionalFormatting>
  <conditionalFormatting sqref="EB33">
    <cfRule type="cellIs" dxfId="111" priority="56" operator="lessThan">
      <formula>0</formula>
    </cfRule>
  </conditionalFormatting>
  <conditionalFormatting sqref="ED33">
    <cfRule type="cellIs" dxfId="109" priority="55" operator="lessThan">
      <formula>0</formula>
    </cfRule>
  </conditionalFormatting>
  <conditionalFormatting sqref="ED33">
    <cfRule type="cellIs" dxfId="107" priority="54" operator="lessThan">
      <formula>0</formula>
    </cfRule>
  </conditionalFormatting>
  <conditionalFormatting sqref="I4">
    <cfRule type="cellIs" dxfId="105" priority="53" operator="lessThan">
      <formula>0</formula>
    </cfRule>
  </conditionalFormatting>
  <conditionalFormatting sqref="I8">
    <cfRule type="cellIs" dxfId="103" priority="52" operator="lessThan">
      <formula>0</formula>
    </cfRule>
  </conditionalFormatting>
  <conditionalFormatting sqref="ED8">
    <cfRule type="cellIs" dxfId="101" priority="51" operator="lessThan">
      <formula>0</formula>
    </cfRule>
  </conditionalFormatting>
  <conditionalFormatting sqref="I9">
    <cfRule type="cellIs" dxfId="99" priority="50" operator="lessThan">
      <formula>0</formula>
    </cfRule>
  </conditionalFormatting>
  <conditionalFormatting sqref="ED9">
    <cfRule type="cellIs" dxfId="97" priority="49" operator="lessThan">
      <formula>0</formula>
    </cfRule>
  </conditionalFormatting>
  <conditionalFormatting sqref="I10">
    <cfRule type="cellIs" dxfId="95" priority="48" operator="lessThan">
      <formula>0</formula>
    </cfRule>
  </conditionalFormatting>
  <conditionalFormatting sqref="I22">
    <cfRule type="cellIs" dxfId="93" priority="47" operator="lessThan">
      <formula>0</formula>
    </cfRule>
  </conditionalFormatting>
  <conditionalFormatting sqref="K22">
    <cfRule type="cellIs" dxfId="91" priority="46" operator="lessThan">
      <formula>0</formula>
    </cfRule>
  </conditionalFormatting>
  <conditionalFormatting sqref="O22">
    <cfRule type="cellIs" dxfId="89" priority="45" operator="lessThan">
      <formula>0</formula>
    </cfRule>
  </conditionalFormatting>
  <conditionalFormatting sqref="Y22:Y23">
    <cfRule type="cellIs" dxfId="87" priority="44" operator="lessThan">
      <formula>0</formula>
    </cfRule>
  </conditionalFormatting>
  <conditionalFormatting sqref="AU19:AU22">
    <cfRule type="cellIs" dxfId="85" priority="43" operator="lessThan">
      <formula>0</formula>
    </cfRule>
  </conditionalFormatting>
  <conditionalFormatting sqref="DX22:DX23">
    <cfRule type="cellIs" dxfId="83" priority="42" operator="lessThan">
      <formula>0</formula>
    </cfRule>
  </conditionalFormatting>
  <conditionalFormatting sqref="DZ22:DZ24">
    <cfRule type="cellIs" dxfId="81" priority="41" operator="lessThan">
      <formula>0</formula>
    </cfRule>
  </conditionalFormatting>
  <conditionalFormatting sqref="EB22:EB23">
    <cfRule type="cellIs" dxfId="79" priority="40" operator="lessThan">
      <formula>0</formula>
    </cfRule>
  </conditionalFormatting>
  <conditionalFormatting sqref="EB22:EB23">
    <cfRule type="cellIs" dxfId="77" priority="39" operator="lessThan">
      <formula>0</formula>
    </cfRule>
  </conditionalFormatting>
  <conditionalFormatting sqref="ED22:ED24">
    <cfRule type="cellIs" dxfId="75" priority="38" operator="lessThan">
      <formula>0</formula>
    </cfRule>
  </conditionalFormatting>
  <conditionalFormatting sqref="ED22:ED24">
    <cfRule type="cellIs" dxfId="73" priority="37" operator="lessThan">
      <formula>0</formula>
    </cfRule>
  </conditionalFormatting>
  <conditionalFormatting sqref="ED22:ED24">
    <cfRule type="cellIs" dxfId="71" priority="36" operator="lessThan">
      <formula>0</formula>
    </cfRule>
  </conditionalFormatting>
  <conditionalFormatting sqref="I26">
    <cfRule type="cellIs" dxfId="69" priority="35" operator="lessThan">
      <formula>0</formula>
    </cfRule>
  </conditionalFormatting>
  <conditionalFormatting sqref="K26">
    <cfRule type="cellIs" dxfId="67" priority="34" operator="lessThan">
      <formula>0</formula>
    </cfRule>
  </conditionalFormatting>
  <conditionalFormatting sqref="O26">
    <cfRule type="cellIs" dxfId="65" priority="33" operator="lessThan">
      <formula>0</formula>
    </cfRule>
  </conditionalFormatting>
  <conditionalFormatting sqref="I27">
    <cfRule type="cellIs" dxfId="63" priority="32" operator="lessThan">
      <formula>0</formula>
    </cfRule>
  </conditionalFormatting>
  <conditionalFormatting sqref="K27">
    <cfRule type="cellIs" dxfId="61" priority="31" operator="lessThan">
      <formula>0</formula>
    </cfRule>
  </conditionalFormatting>
  <conditionalFormatting sqref="O27">
    <cfRule type="cellIs" dxfId="59" priority="30" operator="lessThan">
      <formula>0</formula>
    </cfRule>
  </conditionalFormatting>
  <conditionalFormatting sqref="M13:M27">
    <cfRule type="cellIs" dxfId="57" priority="29" operator="lessThan">
      <formula>0</formula>
    </cfRule>
  </conditionalFormatting>
  <conditionalFormatting sqref="I28">
    <cfRule type="cellIs" dxfId="55" priority="28" operator="lessThan">
      <formula>0</formula>
    </cfRule>
  </conditionalFormatting>
  <conditionalFormatting sqref="K28">
    <cfRule type="cellIs" dxfId="53" priority="27" operator="lessThan">
      <formula>0</formula>
    </cfRule>
  </conditionalFormatting>
  <conditionalFormatting sqref="M28">
    <cfRule type="cellIs" dxfId="51" priority="26" operator="lessThan">
      <formula>0</formula>
    </cfRule>
  </conditionalFormatting>
  <conditionalFormatting sqref="O28">
    <cfRule type="cellIs" dxfId="49" priority="25" operator="lessThan">
      <formula>0</formula>
    </cfRule>
  </conditionalFormatting>
  <conditionalFormatting sqref="I29">
    <cfRule type="cellIs" dxfId="47" priority="24" operator="lessThan">
      <formula>0</formula>
    </cfRule>
  </conditionalFormatting>
  <conditionalFormatting sqref="K29">
    <cfRule type="cellIs" dxfId="45" priority="23" operator="lessThan">
      <formula>0</formula>
    </cfRule>
  </conditionalFormatting>
  <conditionalFormatting sqref="M29">
    <cfRule type="cellIs" dxfId="43" priority="22" operator="lessThan">
      <formula>0</formula>
    </cfRule>
  </conditionalFormatting>
  <conditionalFormatting sqref="O29">
    <cfRule type="cellIs" dxfId="41" priority="21" operator="lessThan">
      <formula>0</formula>
    </cfRule>
  </conditionalFormatting>
  <conditionalFormatting sqref="I31">
    <cfRule type="cellIs" dxfId="39" priority="20" operator="lessThan">
      <formula>0</formula>
    </cfRule>
  </conditionalFormatting>
  <conditionalFormatting sqref="K31">
    <cfRule type="cellIs" dxfId="37" priority="19" operator="lessThan">
      <formula>0</formula>
    </cfRule>
  </conditionalFormatting>
  <conditionalFormatting sqref="M31">
    <cfRule type="cellIs" dxfId="35" priority="18" operator="lessThan">
      <formula>0</formula>
    </cfRule>
  </conditionalFormatting>
  <conditionalFormatting sqref="O31">
    <cfRule type="cellIs" dxfId="33" priority="17" operator="lessThan">
      <formula>0</formula>
    </cfRule>
  </conditionalFormatting>
  <conditionalFormatting sqref="DX31">
    <cfRule type="cellIs" dxfId="31" priority="16" operator="lessThan">
      <formula>0</formula>
    </cfRule>
  </conditionalFormatting>
  <conditionalFormatting sqref="DZ31">
    <cfRule type="cellIs" dxfId="29" priority="15" operator="lessThan">
      <formula>0</formula>
    </cfRule>
  </conditionalFormatting>
  <conditionalFormatting sqref="EB31">
    <cfRule type="cellIs" dxfId="27" priority="14" operator="lessThan">
      <formula>0</formula>
    </cfRule>
  </conditionalFormatting>
  <conditionalFormatting sqref="EB31">
    <cfRule type="cellIs" dxfId="25" priority="13" operator="lessThan">
      <formula>0</formula>
    </cfRule>
  </conditionalFormatting>
  <conditionalFormatting sqref="ED31">
    <cfRule type="cellIs" dxfId="23" priority="11" operator="lessThan">
      <formula>0</formula>
    </cfRule>
  </conditionalFormatting>
  <conditionalFormatting sqref="ED31">
    <cfRule type="cellIs" dxfId="21" priority="12" operator="lessThan">
      <formula>0</formula>
    </cfRule>
  </conditionalFormatting>
  <conditionalFormatting sqref="I32">
    <cfRule type="cellIs" dxfId="19" priority="10" operator="lessThan">
      <formula>0</formula>
    </cfRule>
  </conditionalFormatting>
  <conditionalFormatting sqref="K32">
    <cfRule type="cellIs" dxfId="17" priority="9" operator="lessThan">
      <formula>0</formula>
    </cfRule>
  </conditionalFormatting>
  <conditionalFormatting sqref="M32">
    <cfRule type="cellIs" dxfId="15" priority="8" operator="lessThan">
      <formula>0</formula>
    </cfRule>
  </conditionalFormatting>
  <conditionalFormatting sqref="O32">
    <cfRule type="cellIs" dxfId="13" priority="7" operator="lessThan">
      <formula>0</formula>
    </cfRule>
  </conditionalFormatting>
  <conditionalFormatting sqref="DX32">
    <cfRule type="cellIs" dxfId="11" priority="6" operator="lessThan">
      <formula>0</formula>
    </cfRule>
  </conditionalFormatting>
  <conditionalFormatting sqref="DZ32">
    <cfRule type="cellIs" dxfId="9" priority="5" operator="lessThan">
      <formula>0</formula>
    </cfRule>
  </conditionalFormatting>
  <conditionalFormatting sqref="EB32">
    <cfRule type="cellIs" dxfId="7" priority="4" operator="lessThan">
      <formula>0</formula>
    </cfRule>
  </conditionalFormatting>
  <conditionalFormatting sqref="EB32">
    <cfRule type="cellIs" dxfId="5" priority="3" operator="lessThan">
      <formula>0</formula>
    </cfRule>
  </conditionalFormatting>
  <conditionalFormatting sqref="ED32">
    <cfRule type="cellIs" dxfId="3" priority="1" operator="lessThan">
      <formula>0</formula>
    </cfRule>
  </conditionalFormatting>
  <conditionalFormatting sqref="ED32">
    <cfRule type="cellIs" dxfId="1" priority="2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36">
        <f>'[1]Sep 2019'!R3</f>
        <v>2054945</v>
      </c>
    </row>
    <row r="4" spans="14:14" ht="13.5" thickBot="1" x14ac:dyDescent="0.25">
      <c r="N4" s="36">
        <f>'[1]Sep 2019'!R4</f>
        <v>2055440</v>
      </c>
    </row>
    <row r="5" spans="14:14" ht="13.5" thickBot="1" x14ac:dyDescent="0.25">
      <c r="N5" s="36">
        <f>'[1]Sep 2019'!R5</f>
        <v>2056149</v>
      </c>
    </row>
    <row r="6" spans="14:14" ht="13.5" thickBot="1" x14ac:dyDescent="0.25">
      <c r="N6" s="36">
        <f>'[1]Sep 2019'!R6</f>
        <v>2056651</v>
      </c>
    </row>
    <row r="7" spans="14:14" ht="13.5" thickBot="1" x14ac:dyDescent="0.25">
      <c r="N7" s="36">
        <f>'[1]Sep 2019'!R7</f>
        <v>2057174</v>
      </c>
    </row>
    <row r="8" spans="14:14" ht="13.5" thickBot="1" x14ac:dyDescent="0.25">
      <c r="N8" s="36">
        <f>'[1]Sep 2019'!R8</f>
        <v>2057715</v>
      </c>
    </row>
    <row r="9" spans="14:14" ht="13.5" thickBot="1" x14ac:dyDescent="0.25">
      <c r="N9" s="36">
        <f>'[1]Sep 2019'!R9</f>
        <v>2058246</v>
      </c>
    </row>
    <row r="10" spans="14:14" ht="13.5" thickBot="1" x14ac:dyDescent="0.25">
      <c r="N10" s="36">
        <f>'[1]Sep 2019'!R10</f>
        <v>2058780</v>
      </c>
    </row>
    <row r="11" spans="14:14" ht="13.5" thickBot="1" x14ac:dyDescent="0.25">
      <c r="N11" s="36">
        <f>'[1]Sep 2019'!R11</f>
        <v>2059332</v>
      </c>
    </row>
    <row r="12" spans="14:14" ht="13.5" thickBot="1" x14ac:dyDescent="0.25">
      <c r="N12" s="36">
        <f>'[1]Sep 2019'!R12</f>
        <v>2059908</v>
      </c>
    </row>
    <row r="13" spans="14:14" ht="13.5" thickBot="1" x14ac:dyDescent="0.25">
      <c r="N13" s="36">
        <f>'[1]Sep 2019'!R13</f>
        <v>2060432</v>
      </c>
    </row>
    <row r="14" spans="14:14" ht="13.5" thickBot="1" x14ac:dyDescent="0.25">
      <c r="N14" s="36">
        <f>'[1]Sep 2019'!R14</f>
        <v>2061086</v>
      </c>
    </row>
    <row r="15" spans="14:14" ht="13.5" thickBot="1" x14ac:dyDescent="0.25">
      <c r="N15" s="36">
        <f>'[1]Sep 2019'!R15</f>
        <v>2061615</v>
      </c>
    </row>
    <row r="16" spans="14:14" ht="13.5" thickBot="1" x14ac:dyDescent="0.25">
      <c r="N16" s="36">
        <f>'[1]Sep 2019'!R16</f>
        <v>2062113</v>
      </c>
    </row>
    <row r="17" spans="2:125" ht="13.5" thickBot="1" x14ac:dyDescent="0.25">
      <c r="N17" s="36">
        <f>'[1]Sep 2019'!R17</f>
        <v>2062731</v>
      </c>
    </row>
    <row r="18" spans="2:125" ht="13.5" thickBot="1" x14ac:dyDescent="0.25">
      <c r="N18" s="36">
        <f>'[1]Sep 2019'!R18</f>
        <v>2063291</v>
      </c>
      <c r="S18">
        <f>'[1]Sep 2019'!W18</f>
        <v>7</v>
      </c>
      <c r="DU18" s="39">
        <f>'[1]Sep 2019'!EA18</f>
        <v>0.67</v>
      </c>
    </row>
    <row r="19" spans="2:125" ht="13.5" thickBot="1" x14ac:dyDescent="0.25">
      <c r="N19" s="36">
        <f>'[1]Sep 2019'!R19</f>
        <v>2063914</v>
      </c>
      <c r="S19">
        <f>'[1]Sep 2019'!W19</f>
        <v>7</v>
      </c>
      <c r="DU19" s="39">
        <f>'[1]Sep 2019'!EA19</f>
        <v>0.63</v>
      </c>
    </row>
    <row r="20" spans="2:125" ht="13.5" thickBot="1" x14ac:dyDescent="0.25">
      <c r="N20" s="36">
        <f>'[1]Sep 2019'!R20</f>
        <v>2064501</v>
      </c>
      <c r="S20">
        <f>'[1]Sep 2019'!W20</f>
        <v>8</v>
      </c>
      <c r="DU20" s="39">
        <f>'[1]Sep 2019'!EA20</f>
        <v>0.69</v>
      </c>
    </row>
    <row r="21" spans="2:125" ht="13.5" thickBot="1" x14ac:dyDescent="0.25">
      <c r="N21" s="36">
        <f>'[1]Sep 2019'!R21</f>
        <v>2065035</v>
      </c>
      <c r="P21">
        <f>'[1]Sep 2019'!T21</f>
        <v>426545</v>
      </c>
      <c r="S21">
        <f>'[1]Sep 2019'!W21</f>
        <v>8</v>
      </c>
      <c r="DU21" s="39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36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39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36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39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36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39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36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39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36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39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36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39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36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39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36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39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36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39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36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39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36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39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36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39">
        <f>'[1]Sep 2019'!EA33</f>
        <v>0.76</v>
      </c>
    </row>
    <row r="34" spans="2:125" ht="13.5" thickBot="1" x14ac:dyDescent="0.25">
      <c r="B34" s="25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36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39">
        <f>'[1]Sep 2019'!EA34</f>
        <v>0</v>
      </c>
    </row>
  </sheetData>
  <conditionalFormatting sqref="B34">
    <cfRule type="cellIs" dxfId="633" priority="374" operator="lessThan">
      <formula>0</formula>
    </cfRule>
  </conditionalFormatting>
  <conditionalFormatting sqref="B34">
    <cfRule type="cellIs" dxfId="632" priority="373" operator="lessThan">
      <formula>0</formula>
    </cfRule>
  </conditionalFormatting>
  <conditionalFormatting sqref="N3:N34">
    <cfRule type="cellIs" dxfId="631" priority="372" operator="lessThan">
      <formula>0</formula>
    </cfRule>
  </conditionalFormatting>
  <conditionalFormatting sqref="N3:N34">
    <cfRule type="cellIs" dxfId="630" priority="371" operator="lessThan">
      <formula>0</formula>
    </cfRule>
  </conditionalFormatting>
  <conditionalFormatting sqref="N3:N34">
    <cfRule type="cellIs" dxfId="629" priority="370" operator="lessThan">
      <formula>0</formula>
    </cfRule>
  </conditionalFormatting>
  <conditionalFormatting sqref="N3:N34">
    <cfRule type="cellIs" dxfId="628" priority="369" operator="lessThan">
      <formula>0</formula>
    </cfRule>
  </conditionalFormatting>
  <conditionalFormatting sqref="N3:N34">
    <cfRule type="cellIs" dxfId="627" priority="368" operator="lessThan">
      <formula>0</formula>
    </cfRule>
  </conditionalFormatting>
  <conditionalFormatting sqref="N3:N34">
    <cfRule type="cellIs" dxfId="626" priority="367" operator="lessThan">
      <formula>0</formula>
    </cfRule>
  </conditionalFormatting>
  <conditionalFormatting sqref="N3:N34">
    <cfRule type="cellIs" dxfId="625" priority="366" operator="lessThan">
      <formula>0</formula>
    </cfRule>
  </conditionalFormatting>
  <conditionalFormatting sqref="N3:N34">
    <cfRule type="cellIs" dxfId="624" priority="365" operator="lessThan">
      <formula>0</formula>
    </cfRule>
  </conditionalFormatting>
  <conditionalFormatting sqref="N3:N34">
    <cfRule type="cellIs" dxfId="623" priority="364" operator="lessThan">
      <formula>0</formula>
    </cfRule>
  </conditionalFormatting>
  <conditionalFormatting sqref="N3:N34">
    <cfRule type="cellIs" dxfId="622" priority="363" operator="lessThan">
      <formula>0</formula>
    </cfRule>
  </conditionalFormatting>
  <conditionalFormatting sqref="N3:N34">
    <cfRule type="cellIs" dxfId="621" priority="362" operator="lessThan">
      <formula>0</formula>
    </cfRule>
  </conditionalFormatting>
  <conditionalFormatting sqref="N3:N34">
    <cfRule type="cellIs" dxfId="620" priority="361" operator="lessThan">
      <formula>0</formula>
    </cfRule>
  </conditionalFormatting>
  <conditionalFormatting sqref="N4:N9">
    <cfRule type="cellIs" dxfId="619" priority="360" operator="lessThan">
      <formula>0</formula>
    </cfRule>
  </conditionalFormatting>
  <conditionalFormatting sqref="N4:N9">
    <cfRule type="cellIs" dxfId="618" priority="359" operator="lessThan">
      <formula>0</formula>
    </cfRule>
  </conditionalFormatting>
  <conditionalFormatting sqref="N3:N34">
    <cfRule type="cellIs" dxfId="617" priority="358" operator="lessThan">
      <formula>0</formula>
    </cfRule>
  </conditionalFormatting>
  <conditionalFormatting sqref="N3:N34">
    <cfRule type="cellIs" dxfId="616" priority="357" operator="lessThan">
      <formula>0</formula>
    </cfRule>
  </conditionalFormatting>
  <conditionalFormatting sqref="N3:N34">
    <cfRule type="cellIs" dxfId="615" priority="356" operator="lessThan">
      <formula>0</formula>
    </cfRule>
  </conditionalFormatting>
  <conditionalFormatting sqref="N3:N34">
    <cfRule type="cellIs" dxfId="614" priority="355" operator="lessThan">
      <formula>0</formula>
    </cfRule>
  </conditionalFormatting>
  <conditionalFormatting sqref="N3:N34">
    <cfRule type="cellIs" dxfId="613" priority="354" operator="lessThan">
      <formula>0</formula>
    </cfRule>
  </conditionalFormatting>
  <conditionalFormatting sqref="N4">
    <cfRule type="cellIs" dxfId="612" priority="353" operator="lessThan">
      <formula>0</formula>
    </cfRule>
  </conditionalFormatting>
  <conditionalFormatting sqref="N3:N34">
    <cfRule type="cellIs" dxfId="611" priority="352" operator="lessThan">
      <formula>0</formula>
    </cfRule>
  </conditionalFormatting>
  <conditionalFormatting sqref="N3:N34">
    <cfRule type="cellIs" dxfId="610" priority="351" operator="lessThan">
      <formula>0</formula>
    </cfRule>
  </conditionalFormatting>
  <conditionalFormatting sqref="N3:N34">
    <cfRule type="cellIs" dxfId="609" priority="350" operator="lessThan">
      <formula>0</formula>
    </cfRule>
  </conditionalFormatting>
  <conditionalFormatting sqref="N3:N34">
    <cfRule type="cellIs" dxfId="608" priority="349" operator="lessThan">
      <formula>0</formula>
    </cfRule>
  </conditionalFormatting>
  <conditionalFormatting sqref="N3:N34">
    <cfRule type="cellIs" dxfId="607" priority="348" operator="lessThan">
      <formula>0</formula>
    </cfRule>
  </conditionalFormatting>
  <conditionalFormatting sqref="N3:N34">
    <cfRule type="cellIs" dxfId="606" priority="347" operator="lessThan">
      <formula>0</formula>
    </cfRule>
  </conditionalFormatting>
  <conditionalFormatting sqref="N3:N34">
    <cfRule type="cellIs" dxfId="605" priority="346" operator="lessThan">
      <formula>0</formula>
    </cfRule>
  </conditionalFormatting>
  <conditionalFormatting sqref="N3:N34">
    <cfRule type="cellIs" dxfId="604" priority="345" operator="lessThan">
      <formula>0</formula>
    </cfRule>
  </conditionalFormatting>
  <conditionalFormatting sqref="N3:N34">
    <cfRule type="cellIs" dxfId="603" priority="344" operator="lessThan">
      <formula>0</formula>
    </cfRule>
  </conditionalFormatting>
  <conditionalFormatting sqref="N3:N34">
    <cfRule type="cellIs" dxfId="602" priority="343" operator="lessThan">
      <formula>0</formula>
    </cfRule>
  </conditionalFormatting>
  <conditionalFormatting sqref="N3:N34">
    <cfRule type="cellIs" dxfId="601" priority="342" operator="lessThan">
      <formula>0</formula>
    </cfRule>
  </conditionalFormatting>
  <conditionalFormatting sqref="N3:N34">
    <cfRule type="cellIs" dxfId="600" priority="341" operator="lessThan">
      <formula>0</formula>
    </cfRule>
  </conditionalFormatting>
  <conditionalFormatting sqref="N3:N34">
    <cfRule type="cellIs" dxfId="599" priority="340" operator="lessThan">
      <formula>0</formula>
    </cfRule>
  </conditionalFormatting>
  <conditionalFormatting sqref="N3:N34">
    <cfRule type="cellIs" dxfId="598" priority="339" operator="lessThan">
      <formula>0</formula>
    </cfRule>
  </conditionalFormatting>
  <conditionalFormatting sqref="N3:N34">
    <cfRule type="cellIs" dxfId="597" priority="338" operator="lessThan">
      <formula>0</formula>
    </cfRule>
  </conditionalFormatting>
  <conditionalFormatting sqref="N3:N34">
    <cfRule type="cellIs" dxfId="596" priority="337" operator="lessThan">
      <formula>0</formula>
    </cfRule>
  </conditionalFormatting>
  <conditionalFormatting sqref="N3:N34">
    <cfRule type="cellIs" dxfId="595" priority="336" operator="lessThan">
      <formula>0</formula>
    </cfRule>
  </conditionalFormatting>
  <conditionalFormatting sqref="N3:N34">
    <cfRule type="cellIs" dxfId="594" priority="335" operator="lessThan">
      <formula>0</formula>
    </cfRule>
  </conditionalFormatting>
  <conditionalFormatting sqref="N3:N34">
    <cfRule type="cellIs" dxfId="593" priority="334" operator="lessThan">
      <formula>0</formula>
    </cfRule>
  </conditionalFormatting>
  <conditionalFormatting sqref="N3:N34">
    <cfRule type="cellIs" dxfId="592" priority="333" operator="lessThan">
      <formula>0</formula>
    </cfRule>
  </conditionalFormatting>
  <conditionalFormatting sqref="N3:N34">
    <cfRule type="cellIs" dxfId="591" priority="332" operator="lessThan">
      <formula>0</formula>
    </cfRule>
  </conditionalFormatting>
  <conditionalFormatting sqref="N3:N34">
    <cfRule type="cellIs" dxfId="590" priority="331" operator="lessThan">
      <formula>0</formula>
    </cfRule>
  </conditionalFormatting>
  <conditionalFormatting sqref="N3:N34">
    <cfRule type="cellIs" dxfId="589" priority="330" operator="lessThan">
      <formula>0</formula>
    </cfRule>
  </conditionalFormatting>
  <conditionalFormatting sqref="N3:N34">
    <cfRule type="cellIs" dxfId="588" priority="329" operator="lessThan">
      <formula>0</formula>
    </cfRule>
  </conditionalFormatting>
  <conditionalFormatting sqref="N3:N34">
    <cfRule type="cellIs" dxfId="587" priority="328" operator="lessThan">
      <formula>0</formula>
    </cfRule>
  </conditionalFormatting>
  <conditionalFormatting sqref="N3:N34">
    <cfRule type="cellIs" dxfId="586" priority="327" operator="lessThan">
      <formula>0</formula>
    </cfRule>
  </conditionalFormatting>
  <conditionalFormatting sqref="N3:N34">
    <cfRule type="cellIs" dxfId="585" priority="326" operator="lessThan">
      <formula>0</formula>
    </cfRule>
  </conditionalFormatting>
  <conditionalFormatting sqref="N3:N34">
    <cfRule type="cellIs" dxfId="584" priority="325" operator="lessThan">
      <formula>0</formula>
    </cfRule>
  </conditionalFormatting>
  <conditionalFormatting sqref="N3:N34">
    <cfRule type="cellIs" dxfId="583" priority="324" operator="lessThan">
      <formula>0</formula>
    </cfRule>
  </conditionalFormatting>
  <conditionalFormatting sqref="N3:N34">
    <cfRule type="cellIs" dxfId="582" priority="323" operator="lessThan">
      <formula>0</formula>
    </cfRule>
  </conditionalFormatting>
  <conditionalFormatting sqref="N3:N34">
    <cfRule type="cellIs" dxfId="581" priority="322" operator="lessThan">
      <formula>0</formula>
    </cfRule>
  </conditionalFormatting>
  <conditionalFormatting sqref="N3:N34">
    <cfRule type="cellIs" dxfId="580" priority="321" operator="lessThan">
      <formula>0</formula>
    </cfRule>
  </conditionalFormatting>
  <conditionalFormatting sqref="N3:N34">
    <cfRule type="cellIs" dxfId="579" priority="320" operator="lessThan">
      <formula>0</formula>
    </cfRule>
  </conditionalFormatting>
  <conditionalFormatting sqref="N3:N34">
    <cfRule type="cellIs" dxfId="578" priority="319" operator="lessThan">
      <formula>0</formula>
    </cfRule>
  </conditionalFormatting>
  <conditionalFormatting sqref="N3:N34">
    <cfRule type="cellIs" dxfId="577" priority="318" operator="lessThan">
      <formula>0</formula>
    </cfRule>
  </conditionalFormatting>
  <conditionalFormatting sqref="N3:N34">
    <cfRule type="cellIs" dxfId="576" priority="317" operator="lessThan">
      <formula>0</formula>
    </cfRule>
  </conditionalFormatting>
  <conditionalFormatting sqref="N3:N34">
    <cfRule type="cellIs" dxfId="575" priority="316" operator="lessThan">
      <formula>0</formula>
    </cfRule>
  </conditionalFormatting>
  <conditionalFormatting sqref="N3:N34">
    <cfRule type="cellIs" dxfId="574" priority="315" operator="lessThan">
      <formula>0</formula>
    </cfRule>
  </conditionalFormatting>
  <conditionalFormatting sqref="N3:N34">
    <cfRule type="cellIs" dxfId="573" priority="314" operator="lessThan">
      <formula>0</formula>
    </cfRule>
  </conditionalFormatting>
  <conditionalFormatting sqref="N5:N9">
    <cfRule type="cellIs" dxfId="572" priority="313" operator="lessThan">
      <formula>0</formula>
    </cfRule>
  </conditionalFormatting>
  <conditionalFormatting sqref="N3:N34">
    <cfRule type="cellIs" dxfId="571" priority="312" operator="lessThan">
      <formula>0</formula>
    </cfRule>
  </conditionalFormatting>
  <conditionalFormatting sqref="N3:N34">
    <cfRule type="cellIs" dxfId="570" priority="311" operator="lessThan">
      <formula>0</formula>
    </cfRule>
  </conditionalFormatting>
  <conditionalFormatting sqref="N3:N34">
    <cfRule type="cellIs" dxfId="569" priority="310" operator="lessThan">
      <formula>0</formula>
    </cfRule>
  </conditionalFormatting>
  <conditionalFormatting sqref="N3:N34">
    <cfRule type="cellIs" dxfId="568" priority="309" operator="lessThan">
      <formula>0</formula>
    </cfRule>
  </conditionalFormatting>
  <conditionalFormatting sqref="N3:N34">
    <cfRule type="cellIs" dxfId="567" priority="308" operator="lessThan">
      <formula>0</formula>
    </cfRule>
  </conditionalFormatting>
  <conditionalFormatting sqref="N3:N34">
    <cfRule type="cellIs" dxfId="566" priority="307" operator="lessThan">
      <formula>0</formula>
    </cfRule>
  </conditionalFormatting>
  <conditionalFormatting sqref="N3:N34">
    <cfRule type="cellIs" dxfId="565" priority="306" operator="lessThan">
      <formula>0</formula>
    </cfRule>
  </conditionalFormatting>
  <conditionalFormatting sqref="N3:N34">
    <cfRule type="cellIs" dxfId="564" priority="305" operator="lessThan">
      <formula>0</formula>
    </cfRule>
  </conditionalFormatting>
  <conditionalFormatting sqref="N3:N34">
    <cfRule type="cellIs" dxfId="563" priority="304" operator="lessThan">
      <formula>0</formula>
    </cfRule>
  </conditionalFormatting>
  <conditionalFormatting sqref="N3:N34">
    <cfRule type="cellIs" dxfId="562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Preet Sanmukhiya</cp:lastModifiedBy>
  <dcterms:created xsi:type="dcterms:W3CDTF">2016-09-19T10:41:46Z</dcterms:created>
  <dcterms:modified xsi:type="dcterms:W3CDTF">2020-08-02T09:25:01Z</dcterms:modified>
</cp:coreProperties>
</file>