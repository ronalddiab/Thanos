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80" documentId="13_ncr:1_{76C55D63-F869-4AF5-AAA3-3D809A91432B}" xr6:coauthVersionLast="47" xr6:coauthVersionMax="47" xr10:uidLastSave="{11FC9FA0-F0FE-43B4-B097-C31C905FAEB6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27" l="1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<sst xmlns="http://schemas.openxmlformats.org/spreadsheetml/2006/main" count="72" uniqueCount="33">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</sst>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</v>
      </c>
      <c r="D2" s="10">
        <v>2022</v>
      </c>
      <c r="E2" s="11">
        <f>IF(Electricity!F8&lt;0,0,Electricity!F8)</f>
        <v>17624.999999998181</v>
      </c>
      <c r="F2" s="14">
        <v>0.08</v>
      </c>
      <c r="G2" s="11">
        <f>IF('Water, Gas, Diesel'!K6&lt;0,0,'Water, Gas, Diesel'!K6)</f>
        <v>830</v>
      </c>
      <c r="H2" s="93">
        <v>0.58489999999999998</v>
      </c>
      <c r="I2" s="11">
        <f>IF('Water, Gas, Diesel'!C6&lt;0,0,'Water, Gas, Diesel'!C6)</f>
        <v>4681</v>
      </c>
      <c r="J2" s="93">
        <v>0.21186441</v>
      </c>
      <c r="K2" s="11">
        <f>IF('Water, Gas, Diesel'!F6&lt;0,0,'Water, Gas, Diesel'!F6)</f>
        <v>198</v>
      </c>
      <c r="L2" s="93">
        <v>1.6949000000000001</v>
      </c>
      <c r="M2" s="11">
        <f>Electricity!H8</f>
        <v>66</v>
      </c>
      <c r="O2" s="132"/>
    </row>
    <row r="3" spans="1:15">
      <c r="A3" s="8" t="s">
        <v>13</v>
      </c>
      <c r="B3" s="9">
        <f>B2+1</f>
        <v>2</v>
      </c>
      <c r="C3" s="9">
        <v>1</v>
      </c>
      <c r="D3" s="10">
        <v>2022</v>
      </c>
      <c r="E3" s="11">
        <f>IF(Electricity!F9&lt;0,0,Electricity!F9)</f>
        <v>20347.500000002583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3745</v>
      </c>
      <c r="J3" s="93">
        <v>0.21186441</v>
      </c>
      <c r="K3" s="11">
        <f>IF('Water, Gas, Diesel'!F7&lt;0,0,'Water, Gas, Diesel'!F7)</f>
        <v>213</v>
      </c>
      <c r="L3" s="93">
        <v>1.6949000000000001</v>
      </c>
      <c r="M3" s="11">
        <f>Electricity!H9</f>
        <v>60</v>
      </c>
    </row>
    <row r="4" spans="1:15">
      <c r="A4" s="8" t="s">
        <v>13</v>
      </c>
      <c r="B4" s="9">
        <f t="shared" ref="B4:B31" si="0">B3+1</f>
        <v>3</v>
      </c>
      <c r="C4" s="9">
        <v>1</v>
      </c>
      <c r="D4" s="10">
        <v>2022</v>
      </c>
      <c r="E4" s="11">
        <f>IF(Electricity!F10&lt;0,0,Electricity!F10)</f>
        <v>17562.499999999091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3148</v>
      </c>
      <c r="J4" s="93">
        <v>0.21186441</v>
      </c>
      <c r="K4" s="11">
        <f>IF('Water, Gas, Diesel'!F8&lt;0,0,'Water, Gas, Diesel'!F8)</f>
        <v>178</v>
      </c>
      <c r="L4" s="93">
        <v>1.6949000000000001</v>
      </c>
      <c r="M4" s="11">
        <f>Electricity!H10</f>
        <v>53</v>
      </c>
    </row>
    <row r="5" spans="1:15">
      <c r="A5" s="8" t="s">
        <v>13</v>
      </c>
      <c r="B5" s="9">
        <f t="shared" si="0"/>
        <v>4</v>
      </c>
      <c r="C5" s="9">
        <v>1</v>
      </c>
      <c r="D5" s="10">
        <v>2022</v>
      </c>
      <c r="E5" s="11">
        <f>IF(Electricity!F11&lt;0,0,Electricity!F11)</f>
        <v>17449.999999998909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3110</v>
      </c>
      <c r="J5" s="93">
        <v>0.21186441</v>
      </c>
      <c r="K5" s="11">
        <f>IF('Water, Gas, Diesel'!F9&lt;0,0,'Water, Gas, Diesel'!F9)</f>
        <v>173</v>
      </c>
      <c r="L5" s="93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</v>
      </c>
      <c r="D6" s="10">
        <v>2022</v>
      </c>
      <c r="E6" s="11">
        <f>IF(Electricity!F12&lt;0,0,Electricity!F12)</f>
        <v>15222.499999999854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2661</v>
      </c>
      <c r="J6" s="93">
        <v>0.21186441</v>
      </c>
      <c r="K6" s="11">
        <f>IF('Water, Gas, Diesel'!F10&lt;0,0,'Water, Gas, Diesel'!F10)</f>
        <v>172</v>
      </c>
      <c r="L6" s="93">
        <v>1.6949000000000001</v>
      </c>
      <c r="M6" s="11">
        <f>Electricity!H12</f>
        <v>51</v>
      </c>
    </row>
    <row r="7" spans="1:15">
      <c r="A7" s="8" t="s">
        <v>13</v>
      </c>
      <c r="B7" s="9">
        <f t="shared" si="0"/>
        <v>6</v>
      </c>
      <c r="C7" s="9">
        <v>1</v>
      </c>
      <c r="D7" s="10">
        <v>2022</v>
      </c>
      <c r="E7" s="11">
        <f>IF(Electricity!F13&lt;0,0,Electricity!F13)</f>
        <v>18857.499999999163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163</v>
      </c>
      <c r="L7" s="93">
        <v>1.6949000000000001</v>
      </c>
      <c r="M7" s="11">
        <f>Electricity!H13</f>
        <v>41</v>
      </c>
    </row>
    <row r="8" spans="1:15">
      <c r="A8" s="8" t="s">
        <v>13</v>
      </c>
      <c r="B8" s="9">
        <f t="shared" si="0"/>
        <v>7</v>
      </c>
      <c r="C8" s="9">
        <v>1</v>
      </c>
      <c r="D8" s="10">
        <v>2022</v>
      </c>
      <c r="E8" s="11">
        <f>IF(Electricity!F14&lt;0,0,Electricity!F14)</f>
        <v>18965.000000002874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3691</v>
      </c>
      <c r="J8" s="93">
        <v>0.21186441</v>
      </c>
      <c r="K8" s="11">
        <f>IF('Water, Gas, Diesel'!F12&lt;0,0,'Water, Gas, Diesel'!F12)</f>
        <v>180</v>
      </c>
      <c r="L8" s="93">
        <v>1.6949000000000001</v>
      </c>
      <c r="M8" s="11">
        <f>Electricity!H14</f>
        <v>36</v>
      </c>
    </row>
    <row r="9" spans="1:15">
      <c r="A9" s="8" t="s">
        <v>13</v>
      </c>
      <c r="B9" s="9">
        <f t="shared" si="0"/>
        <v>8</v>
      </c>
      <c r="C9" s="9">
        <v>1</v>
      </c>
      <c r="D9" s="10">
        <v>2022</v>
      </c>
      <c r="E9" s="11">
        <f>IF(Electricity!F15&lt;0,0,Electricity!F15)</f>
        <v>17137.499999998909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2849</v>
      </c>
      <c r="J9" s="93">
        <v>0.21186441</v>
      </c>
      <c r="K9" s="11">
        <f>IF('Water, Gas, Diesel'!F13&lt;0,0,'Water, Gas, Diesel'!F13)</f>
        <v>165</v>
      </c>
      <c r="L9" s="93">
        <v>1.6949000000000001</v>
      </c>
      <c r="M9" s="11">
        <f>Electricity!H15</f>
        <v>28</v>
      </c>
    </row>
    <row r="10" spans="1:15">
      <c r="A10" s="8" t="s">
        <v>13</v>
      </c>
      <c r="B10" s="9">
        <f t="shared" si="0"/>
        <v>9</v>
      </c>
      <c r="C10" s="9">
        <v>1</v>
      </c>
      <c r="D10" s="10">
        <v>2022</v>
      </c>
      <c r="E10" s="11">
        <f>IF(Electricity!F16&lt;0,0,Electricity!F16)</f>
        <v>16765.000000000327</v>
      </c>
      <c r="F10" s="14">
        <v>0.08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2836</v>
      </c>
      <c r="J10" s="93">
        <v>0.21186441</v>
      </c>
      <c r="K10" s="11">
        <f>IF('Water, Gas, Diesel'!F14&lt;0,0,'Water, Gas, Diesel'!F14)</f>
        <v>154</v>
      </c>
      <c r="L10" s="93">
        <v>1.6949000000000001</v>
      </c>
      <c r="M10" s="11">
        <f>Electricity!H16</f>
        <v>37</v>
      </c>
    </row>
    <row r="11" spans="1:15">
      <c r="A11" s="8" t="s">
        <v>13</v>
      </c>
      <c r="B11" s="9">
        <f t="shared" si="0"/>
        <v>10</v>
      </c>
      <c r="C11" s="9">
        <v>1</v>
      </c>
      <c r="D11" s="10">
        <v>2022</v>
      </c>
      <c r="E11" s="11">
        <f>IF(Electricity!F17&lt;0,0,Electricity!F17)</f>
        <v>17907.500000001164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2530</v>
      </c>
      <c r="J11" s="93">
        <v>0.21186441</v>
      </c>
      <c r="K11" s="11">
        <f>IF('Water, Gas, Diesel'!F15&lt;0,0,'Water, Gas, Diesel'!F15)</f>
        <v>170</v>
      </c>
      <c r="L11" s="93">
        <v>1.6949000000000001</v>
      </c>
      <c r="M11" s="11">
        <f>Electricity!H17</f>
        <v>37</v>
      </c>
    </row>
    <row r="12" spans="1:15">
      <c r="A12" s="8" t="s">
        <v>13</v>
      </c>
      <c r="B12" s="9">
        <f t="shared" si="0"/>
        <v>11</v>
      </c>
      <c r="C12" s="9">
        <v>1</v>
      </c>
      <c r="D12" s="10">
        <v>2022</v>
      </c>
      <c r="E12" s="11">
        <f>IF(Electricity!F18&lt;0,0,Electricity!F18)</f>
        <v>20325.000000002547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4505</v>
      </c>
      <c r="J12" s="93">
        <v>0.21186441</v>
      </c>
      <c r="K12" s="11">
        <f>IF('Water, Gas, Diesel'!F16&lt;0,0,'Water, Gas, Diesel'!F16)</f>
        <v>161</v>
      </c>
      <c r="L12" s="93">
        <v>1.6949000000000001</v>
      </c>
      <c r="M12" s="11">
        <f>Electricity!H18</f>
        <v>42</v>
      </c>
    </row>
    <row r="13" spans="1:15">
      <c r="A13" s="8" t="s">
        <v>13</v>
      </c>
      <c r="B13" s="9">
        <f t="shared" si="0"/>
        <v>12</v>
      </c>
      <c r="C13" s="9">
        <v>1</v>
      </c>
      <c r="D13" s="10">
        <v>2022</v>
      </c>
      <c r="E13" s="11">
        <f>IF(Electricity!F19&lt;0,0,Electricity!F19)</f>
        <v>18072.499999993852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3274</v>
      </c>
      <c r="J13" s="93">
        <v>0.21186441</v>
      </c>
      <c r="K13" s="11">
        <f>IF('Water, Gas, Diesel'!F17&lt;0,0,'Water, Gas, Diesel'!F17)</f>
        <v>170</v>
      </c>
      <c r="L13" s="93">
        <v>1.6949000000000001</v>
      </c>
      <c r="M13" s="11">
        <f>Electricity!H19</f>
        <v>50</v>
      </c>
    </row>
    <row r="14" spans="1:15">
      <c r="A14" s="8" t="s">
        <v>13</v>
      </c>
      <c r="B14" s="9">
        <f t="shared" si="0"/>
        <v>13</v>
      </c>
      <c r="C14" s="9">
        <v>1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12520</v>
      </c>
      <c r="H14" s="93">
        <v>0.58489999999999998</v>
      </c>
      <c r="I14" s="11">
        <f>IF('Water, Gas, Diesel'!C18&lt;0,0,'Water, Gas, Diesel'!C18)</f>
        <v>0</v>
      </c>
      <c r="J14" s="93">
        <v>0.21186441</v>
      </c>
      <c r="K14" s="11">
        <f>IF('Water, Gas, Diesel'!F18&lt;0,0,'Water, Gas, Diesel'!F18)</f>
        <v>0</v>
      </c>
      <c r="L14" s="93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1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0</v>
      </c>
      <c r="J15" s="93">
        <v>0.21186441</v>
      </c>
      <c r="K15" s="11">
        <f>IF('Water, Gas, Diesel'!F19&lt;0,0,'Water, Gas, Diesel'!F19)</f>
        <v>0</v>
      </c>
      <c r="L15" s="9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0</v>
      </c>
      <c r="J16" s="93">
        <v>0.21186441</v>
      </c>
      <c r="K16" s="11">
        <f>IF('Water, Gas, Diesel'!F20&lt;0,0,'Water, Gas, Diesel'!F20)</f>
        <v>0</v>
      </c>
      <c r="L16" s="9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6" activePane="bottomLeft" state="frozen"/>
      <selection pane="bottomLeft" activeCell="M19" sqref="M19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9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72" t="s">
        <v>23</v>
      </c>
      <c r="D5" s="73" t="s">
        <v>22</v>
      </c>
      <c r="E5" s="72" t="s">
        <v>23</v>
      </c>
      <c r="F5" s="155"/>
      <c r="G5" s="157"/>
      <c r="H5" s="147"/>
    </row>
    <row r="6" spans="1:8" ht="15.75" hidden="1">
      <c r="A6" s="120"/>
      <c r="B6" s="24"/>
      <c r="C6" s="74"/>
      <c r="D6" s="75"/>
      <c r="E6" s="74"/>
      <c r="F6" s="27"/>
      <c r="G6" s="76"/>
      <c r="H6" s="121"/>
    </row>
    <row r="7" spans="1:8" ht="27.75" hidden="1" customHeight="1">
      <c r="A7" s="122">
        <v>31</v>
      </c>
      <c r="B7" s="78">
        <v>14745.317999999999</v>
      </c>
      <c r="C7" s="79">
        <f t="shared" ref="C7:C24" si="0">(B8-B7)*2500</f>
        <v>6017.5000000026557</v>
      </c>
      <c r="D7" s="78">
        <v>15042.105</v>
      </c>
      <c r="E7" s="79">
        <f t="shared" ref="E7:E24" si="1">(D8-D7)*2500</f>
        <v>7302.5000000006912</v>
      </c>
      <c r="F7" s="118">
        <f t="shared" ref="F7:F38" si="2">C7+E7</f>
        <v>13320.000000003347</v>
      </c>
      <c r="G7" s="77">
        <f>F7*0.0932</f>
        <v>1241.4240000003119</v>
      </c>
      <c r="H7" s="142">
        <v>87</v>
      </c>
    </row>
    <row r="8" spans="1:8" ht="30.95" customHeight="1">
      <c r="A8" s="123">
        <v>1</v>
      </c>
      <c r="B8" s="117">
        <v>14747.725</v>
      </c>
      <c r="C8" s="80">
        <f t="shared" si="0"/>
        <v>7919.9999999991633</v>
      </c>
      <c r="D8" s="81">
        <v>15045.026</v>
      </c>
      <c r="E8" s="80">
        <f t="shared" si="1"/>
        <v>9704.9999999990177</v>
      </c>
      <c r="F8" s="51">
        <f t="shared" si="2"/>
        <v>17624.999999998181</v>
      </c>
      <c r="G8" s="77">
        <f t="shared" ref="G8:G39" si="3">F8*0.0932</f>
        <v>1642.6499999998305</v>
      </c>
      <c r="H8" s="124">
        <v>66</v>
      </c>
    </row>
    <row r="9" spans="1:8" ht="30.95" customHeight="1">
      <c r="A9" s="125">
        <v>2</v>
      </c>
      <c r="B9" s="82">
        <v>14750.893</v>
      </c>
      <c r="C9" s="39">
        <f t="shared" si="0"/>
        <v>9200.0000000007276</v>
      </c>
      <c r="D9" s="81">
        <v>15048.907999999999</v>
      </c>
      <c r="E9" s="39">
        <f t="shared" si="1"/>
        <v>11147.500000001855</v>
      </c>
      <c r="F9" s="47">
        <f t="shared" si="2"/>
        <v>20347.500000002583</v>
      </c>
      <c r="G9" s="77">
        <f t="shared" si="3"/>
        <v>1896.3870000002407</v>
      </c>
      <c r="H9" s="126">
        <v>60</v>
      </c>
    </row>
    <row r="10" spans="1:8" ht="30.95" customHeight="1">
      <c r="A10" s="123">
        <v>3</v>
      </c>
      <c r="B10" s="83">
        <v>14754.573</v>
      </c>
      <c r="C10" s="80">
        <f t="shared" si="0"/>
        <v>7860.0000000005821</v>
      </c>
      <c r="D10" s="84">
        <v>15053.367</v>
      </c>
      <c r="E10" s="80">
        <f t="shared" si="1"/>
        <v>9702.4999999985084</v>
      </c>
      <c r="F10" s="51">
        <f t="shared" si="2"/>
        <v>17562.499999999091</v>
      </c>
      <c r="G10" s="77">
        <f t="shared" si="3"/>
        <v>1636.8249999999152</v>
      </c>
      <c r="H10" s="126">
        <v>53</v>
      </c>
    </row>
    <row r="11" spans="1:8" ht="30.95" customHeight="1">
      <c r="A11" s="125">
        <v>4</v>
      </c>
      <c r="B11" s="85">
        <v>14757.717000000001</v>
      </c>
      <c r="C11" s="39">
        <f t="shared" si="0"/>
        <v>7777.499999997417</v>
      </c>
      <c r="D11" s="86">
        <v>15057.248</v>
      </c>
      <c r="E11" s="39">
        <f t="shared" si="1"/>
        <v>9672.5000000014916</v>
      </c>
      <c r="F11" s="47">
        <f t="shared" si="2"/>
        <v>17449.999999998909</v>
      </c>
      <c r="G11" s="77">
        <f t="shared" si="3"/>
        <v>1626.3399999998983</v>
      </c>
      <c r="H11" s="126">
        <v>42</v>
      </c>
    </row>
    <row r="12" spans="1:8" ht="30.95" customHeight="1">
      <c r="A12" s="123">
        <v>5</v>
      </c>
      <c r="B12" s="87">
        <v>14760.828</v>
      </c>
      <c r="C12" s="80">
        <f t="shared" si="0"/>
        <v>6782.4999999993452</v>
      </c>
      <c r="D12" s="84">
        <v>15061.117</v>
      </c>
      <c r="E12" s="80">
        <f t="shared" si="1"/>
        <v>8440.0000000005093</v>
      </c>
      <c r="F12" s="51">
        <f t="shared" si="2"/>
        <v>15222.499999999854</v>
      </c>
      <c r="G12" s="77">
        <f t="shared" si="3"/>
        <v>1418.7369999999864</v>
      </c>
      <c r="H12" s="126">
        <v>51</v>
      </c>
    </row>
    <row r="13" spans="1:8" ht="30.95" customHeight="1">
      <c r="A13" s="125">
        <v>6</v>
      </c>
      <c r="B13" s="85">
        <v>14763.540999999999</v>
      </c>
      <c r="C13" s="39">
        <f t="shared" si="0"/>
        <v>8515.0000000021464</v>
      </c>
      <c r="D13" s="86">
        <v>15064.493</v>
      </c>
      <c r="E13" s="39">
        <f t="shared" si="1"/>
        <v>10342.499999997017</v>
      </c>
      <c r="F13" s="47">
        <f t="shared" si="2"/>
        <v>18857.499999999163</v>
      </c>
      <c r="G13" s="77">
        <f t="shared" si="3"/>
        <v>1757.518999999922</v>
      </c>
      <c r="H13" s="126">
        <v>41</v>
      </c>
    </row>
    <row r="14" spans="1:8" ht="30.95" customHeight="1">
      <c r="A14" s="123">
        <v>7</v>
      </c>
      <c r="B14" s="87">
        <v>14766.947</v>
      </c>
      <c r="C14" s="80">
        <f t="shared" si="0"/>
        <v>8535.0000000016735</v>
      </c>
      <c r="D14" s="127">
        <v>15068.63</v>
      </c>
      <c r="E14" s="80">
        <f t="shared" si="1"/>
        <v>10430.000000001201</v>
      </c>
      <c r="F14" s="51">
        <f t="shared" si="2"/>
        <v>18965.000000002874</v>
      </c>
      <c r="G14" s="77">
        <f t="shared" si="3"/>
        <v>1767.5380000002679</v>
      </c>
      <c r="H14" s="126">
        <v>36</v>
      </c>
    </row>
    <row r="15" spans="1:8" ht="30.95" customHeight="1">
      <c r="A15" s="125">
        <v>8</v>
      </c>
      <c r="B15" s="85">
        <v>14770.361000000001</v>
      </c>
      <c r="C15" s="39">
        <f t="shared" si="0"/>
        <v>8007.4999999987995</v>
      </c>
      <c r="D15" s="88">
        <v>15072.802</v>
      </c>
      <c r="E15" s="39">
        <f t="shared" si="1"/>
        <v>9130.0000000001091</v>
      </c>
      <c r="F15" s="47">
        <f t="shared" si="2"/>
        <v>17137.499999998909</v>
      </c>
      <c r="G15" s="77">
        <f t="shared" si="3"/>
        <v>1597.2149999998983</v>
      </c>
      <c r="H15" s="126">
        <v>28</v>
      </c>
    </row>
    <row r="16" spans="1:8" ht="30.95" customHeight="1">
      <c r="A16" s="123">
        <v>9</v>
      </c>
      <c r="B16" s="89">
        <v>14773.564</v>
      </c>
      <c r="C16" s="80">
        <f t="shared" si="0"/>
        <v>7437.5000000009095</v>
      </c>
      <c r="D16" s="90">
        <v>15076.454</v>
      </c>
      <c r="E16" s="80">
        <f t="shared" si="1"/>
        <v>9327.4999999994179</v>
      </c>
      <c r="F16" s="51">
        <f t="shared" si="2"/>
        <v>16765.000000000327</v>
      </c>
      <c r="G16" s="77">
        <f t="shared" si="3"/>
        <v>1562.4980000000305</v>
      </c>
      <c r="H16" s="126">
        <v>37</v>
      </c>
    </row>
    <row r="17" spans="1:8" ht="30.95" customHeight="1">
      <c r="A17" s="125">
        <v>10</v>
      </c>
      <c r="B17" s="87">
        <v>14776.539000000001</v>
      </c>
      <c r="C17" s="39">
        <f t="shared" si="0"/>
        <v>8159.9999999980355</v>
      </c>
      <c r="D17" s="127">
        <v>15080.184999999999</v>
      </c>
      <c r="E17" s="39">
        <f t="shared" si="1"/>
        <v>9747.5000000031287</v>
      </c>
      <c r="F17" s="47">
        <f t="shared" si="2"/>
        <v>17907.500000001164</v>
      </c>
      <c r="G17" s="77">
        <f t="shared" si="3"/>
        <v>1668.9790000001085</v>
      </c>
      <c r="H17" s="126">
        <v>37</v>
      </c>
    </row>
    <row r="18" spans="1:8" ht="30.95" customHeight="1">
      <c r="A18" s="123">
        <v>11</v>
      </c>
      <c r="B18" s="85">
        <v>14779.803</v>
      </c>
      <c r="C18" s="80">
        <f t="shared" si="0"/>
        <v>8827.5000000021464</v>
      </c>
      <c r="D18" s="88">
        <v>15084.084000000001</v>
      </c>
      <c r="E18" s="80">
        <f t="shared" si="1"/>
        <v>11497.5000000004</v>
      </c>
      <c r="F18" s="51">
        <f t="shared" si="2"/>
        <v>20325.000000002547</v>
      </c>
      <c r="G18" s="77">
        <f t="shared" si="3"/>
        <v>1894.2900000002373</v>
      </c>
      <c r="H18" s="126">
        <v>42</v>
      </c>
    </row>
    <row r="19" spans="1:8" ht="30.95" customHeight="1">
      <c r="A19" s="125">
        <v>12</v>
      </c>
      <c r="B19" s="87">
        <v>14783.334000000001</v>
      </c>
      <c r="C19" s="39">
        <f t="shared" si="0"/>
        <v>8287.4999999967258</v>
      </c>
      <c r="D19" s="127">
        <v>15088.683000000001</v>
      </c>
      <c r="E19" s="39">
        <f t="shared" si="1"/>
        <v>9784.999999997126</v>
      </c>
      <c r="F19" s="47">
        <f t="shared" si="2"/>
        <v>18072.499999993852</v>
      </c>
      <c r="G19" s="77">
        <f t="shared" si="3"/>
        <v>1684.356999999427</v>
      </c>
      <c r="H19" s="126">
        <v>50</v>
      </c>
    </row>
    <row r="20" spans="1:8" ht="30.95" customHeight="1">
      <c r="A20" s="123">
        <v>13</v>
      </c>
      <c r="B20" s="85">
        <v>14786.648999999999</v>
      </c>
      <c r="C20" s="80">
        <f t="shared" si="0"/>
        <v>-36966622.5</v>
      </c>
      <c r="D20" s="91">
        <v>15092.597</v>
      </c>
      <c r="E20" s="80">
        <f t="shared" si="1"/>
        <v>-37731492.5</v>
      </c>
      <c r="F20" s="51">
        <f t="shared" si="2"/>
        <v>-74698115</v>
      </c>
      <c r="G20" s="77">
        <f t="shared" si="3"/>
        <v>-6961864.318</v>
      </c>
      <c r="H20" s="126">
        <v>62</v>
      </c>
    </row>
    <row r="21" spans="1:8" ht="30.95" customHeight="1">
      <c r="A21" s="125">
        <v>14</v>
      </c>
      <c r="B21" s="85"/>
      <c r="C21" s="39">
        <f t="shared" si="0"/>
        <v>0</v>
      </c>
      <c r="D21" s="88"/>
      <c r="E21" s="39">
        <f t="shared" si="1"/>
        <v>0</v>
      </c>
      <c r="F21" s="47">
        <f t="shared" si="2"/>
        <v>0</v>
      </c>
      <c r="G21" s="77">
        <f t="shared" si="3"/>
        <v>0</v>
      </c>
      <c r="H21" s="126"/>
    </row>
    <row r="22" spans="1:8" ht="30.95" customHeight="1">
      <c r="A22" s="123">
        <v>15</v>
      </c>
      <c r="B22" s="85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26"/>
    </row>
    <row r="23" spans="1:8" ht="30.95" customHeight="1">
      <c r="A23" s="125">
        <v>16</v>
      </c>
      <c r="B23" s="94"/>
      <c r="C23" s="39">
        <f t="shared" si="0"/>
        <v>0</v>
      </c>
      <c r="D23" s="95"/>
      <c r="E23" s="39">
        <f t="shared" si="1"/>
        <v>0</v>
      </c>
      <c r="F23" s="47">
        <f t="shared" si="2"/>
        <v>0</v>
      </c>
      <c r="G23" s="77">
        <f t="shared" si="3"/>
        <v>0</v>
      </c>
      <c r="H23" s="126"/>
    </row>
    <row r="24" spans="1:8" ht="30.95" customHeight="1">
      <c r="A24" s="123">
        <v>17</v>
      </c>
      <c r="B24" s="96"/>
      <c r="C24" s="80">
        <f t="shared" si="0"/>
        <v>0</v>
      </c>
      <c r="D24" s="127"/>
      <c r="E24" s="80">
        <f t="shared" si="1"/>
        <v>0</v>
      </c>
      <c r="F24" s="51">
        <f t="shared" si="2"/>
        <v>0</v>
      </c>
      <c r="G24" s="77">
        <f t="shared" si="3"/>
        <v>0</v>
      </c>
      <c r="H24" s="126"/>
    </row>
    <row r="25" spans="1:8" ht="30.95" customHeight="1">
      <c r="A25" s="125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6"/>
    </row>
    <row r="26" spans="1:8" ht="30.95" customHeight="1">
      <c r="A26" s="123">
        <v>19</v>
      </c>
      <c r="B26" s="87"/>
      <c r="C26" s="80">
        <f t="shared" ref="C26:C38" si="4">(B27-B26)*2500</f>
        <v>0</v>
      </c>
      <c r="D26" s="127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6"/>
    </row>
    <row r="27" spans="1:8" ht="30.95" customHeight="1">
      <c r="A27" s="125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6"/>
    </row>
    <row r="28" spans="1:8" ht="30.95" customHeight="1">
      <c r="A28" s="123">
        <v>21</v>
      </c>
      <c r="B28" s="87"/>
      <c r="C28" s="80">
        <f t="shared" si="4"/>
        <v>0</v>
      </c>
      <c r="D28" s="127"/>
      <c r="E28" s="80">
        <f t="shared" si="5"/>
        <v>0</v>
      </c>
      <c r="F28" s="47">
        <f t="shared" si="2"/>
        <v>0</v>
      </c>
      <c r="G28" s="77">
        <f t="shared" si="3"/>
        <v>0</v>
      </c>
      <c r="H28" s="126"/>
    </row>
    <row r="29" spans="1:8" ht="30.95" customHeight="1">
      <c r="A29" s="125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6"/>
    </row>
    <row r="30" spans="1:8" ht="30.95" customHeight="1">
      <c r="A30" s="123">
        <v>23</v>
      </c>
      <c r="B30" s="87"/>
      <c r="C30" s="80">
        <f t="shared" si="4"/>
        <v>0</v>
      </c>
      <c r="D30" s="127"/>
      <c r="E30" s="80">
        <f t="shared" si="5"/>
        <v>0</v>
      </c>
      <c r="F30" s="47">
        <f t="shared" si="2"/>
        <v>0</v>
      </c>
      <c r="G30" s="77">
        <f t="shared" si="3"/>
        <v>0</v>
      </c>
      <c r="H30" s="126"/>
    </row>
    <row r="31" spans="1:8" ht="30.95" customHeight="1">
      <c r="A31" s="125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6"/>
    </row>
    <row r="32" spans="1:8" ht="30.95" customHeight="1">
      <c r="A32" s="123">
        <v>25</v>
      </c>
      <c r="B32" s="87"/>
      <c r="C32" s="80">
        <f t="shared" si="4"/>
        <v>0</v>
      </c>
      <c r="D32" s="127"/>
      <c r="E32" s="80">
        <f t="shared" si="5"/>
        <v>0</v>
      </c>
      <c r="F32" s="47">
        <f t="shared" si="2"/>
        <v>0</v>
      </c>
      <c r="G32" s="77">
        <f t="shared" si="3"/>
        <v>0</v>
      </c>
      <c r="H32" s="126"/>
    </row>
    <row r="33" spans="1:8" ht="30.95" customHeight="1">
      <c r="A33" s="125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6"/>
    </row>
    <row r="34" spans="1:8" ht="30.95" customHeight="1">
      <c r="A34" s="123">
        <v>27</v>
      </c>
      <c r="B34" s="87"/>
      <c r="C34" s="80">
        <f t="shared" si="4"/>
        <v>0</v>
      </c>
      <c r="D34" s="127"/>
      <c r="E34" s="39">
        <f t="shared" si="5"/>
        <v>0</v>
      </c>
      <c r="F34" s="47">
        <f t="shared" si="2"/>
        <v>0</v>
      </c>
      <c r="G34" s="77">
        <f t="shared" si="3"/>
        <v>0</v>
      </c>
      <c r="H34" s="126"/>
    </row>
    <row r="35" spans="1:8" ht="30.95" customHeight="1">
      <c r="A35" s="125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6"/>
    </row>
    <row r="36" spans="1:8" ht="30.95" customHeight="1">
      <c r="A36" s="123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4"/>
    </row>
    <row r="37" spans="1:8" ht="30.95" customHeight="1">
      <c r="A37" s="128">
        <v>30</v>
      </c>
      <c r="B37" s="104"/>
      <c r="C37" s="105">
        <f t="shared" si="4"/>
        <v>0</v>
      </c>
      <c r="D37" s="106"/>
      <c r="E37" s="105">
        <f t="shared" si="5"/>
        <v>0</v>
      </c>
      <c r="F37" s="107">
        <f t="shared" si="2"/>
        <v>0</v>
      </c>
      <c r="G37" s="77">
        <f t="shared" si="3"/>
        <v>0</v>
      </c>
      <c r="H37" s="129"/>
    </row>
    <row r="38" spans="1:8" ht="30.95" customHeight="1">
      <c r="A38" s="123">
        <v>31</v>
      </c>
      <c r="B38" s="40"/>
      <c r="C38" s="80">
        <f t="shared" si="4"/>
        <v>0</v>
      </c>
      <c r="D38" s="127"/>
      <c r="E38" s="80">
        <f t="shared" si="5"/>
        <v>0</v>
      </c>
      <c r="F38" s="51">
        <f t="shared" si="2"/>
        <v>0</v>
      </c>
      <c r="G38" s="140">
        <f t="shared" si="3"/>
        <v>0</v>
      </c>
      <c r="H38" s="141"/>
    </row>
    <row r="39" spans="1:8" ht="30.95" customHeight="1">
      <c r="A39" s="133">
        <v>1</v>
      </c>
      <c r="B39" s="134"/>
      <c r="C39" s="135">
        <f t="shared" ref="C39" si="6">(B40-B39)*2500</f>
        <v>0</v>
      </c>
      <c r="D39" s="136"/>
      <c r="E39" s="135">
        <f t="shared" ref="E39" si="7">(D40-D39)*2500</f>
        <v>0</v>
      </c>
      <c r="F39" s="137">
        <f t="shared" ref="F39" si="8">C39+E39</f>
        <v>0</v>
      </c>
      <c r="G39" s="138">
        <f t="shared" si="3"/>
        <v>0</v>
      </c>
      <c r="H39" s="139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14" activePane="bottomLeft" state="frozen"/>
      <selection pane="bottomLeft" activeCell="J18" sqref="J18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103" t="s">
        <v>15</v>
      </c>
      <c r="B3" s="17" t="s">
        <v>22</v>
      </c>
      <c r="C3" s="18" t="s">
        <v>27</v>
      </c>
      <c r="D3" s="19" t="s">
        <v>28</v>
      </c>
      <c r="E3" s="100" t="s">
        <v>22</v>
      </c>
      <c r="F3" s="20" t="s">
        <v>23</v>
      </c>
      <c r="G3" s="21" t="s">
        <v>29</v>
      </c>
      <c r="H3" s="21" t="s">
        <v>30</v>
      </c>
      <c r="I3" s="9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101">
        <v>31</v>
      </c>
      <c r="B5" s="101">
        <v>6399374</v>
      </c>
      <c r="C5" s="130">
        <f>B6-B5</f>
        <v>274</v>
      </c>
      <c r="D5" s="34">
        <f>C5*0.21186441</f>
        <v>58.050848340000002</v>
      </c>
      <c r="E5" s="35">
        <v>505158</v>
      </c>
      <c r="F5" s="131">
        <f>E6-E5</f>
        <v>121</v>
      </c>
      <c r="G5" s="36">
        <f>F5*0.84746</f>
        <v>102.54266</v>
      </c>
      <c r="H5" s="36">
        <f>F5*0.84746</f>
        <v>102.54266</v>
      </c>
      <c r="I5" s="102">
        <f>G5+H5</f>
        <v>205.08532</v>
      </c>
      <c r="J5" s="37">
        <f>6850+6500</f>
        <v>13350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1">
        <v>6399648</v>
      </c>
      <c r="C6" s="53">
        <f t="shared" ref="C6:C15" si="0">B7-B6</f>
        <v>4681</v>
      </c>
      <c r="D6" s="41">
        <f>C6*0.21186441</f>
        <v>991.73730321000005</v>
      </c>
      <c r="E6" s="42">
        <v>505279</v>
      </c>
      <c r="F6" s="54">
        <f t="shared" ref="F6:F15" si="1">E7-E6</f>
        <v>198</v>
      </c>
      <c r="G6" s="43">
        <f>F6*0.84746</f>
        <v>167.79707999999999</v>
      </c>
      <c r="H6" s="43">
        <f>F6*0.84746</f>
        <v>167.79707999999999</v>
      </c>
      <c r="I6" s="44">
        <f t="shared" ref="I6:I36" si="2">G6+H6</f>
        <v>335.59415999999999</v>
      </c>
      <c r="J6" s="37">
        <f>6850+6500</f>
        <v>13350</v>
      </c>
      <c r="K6" s="38">
        <f t="shared" ref="K6:K35" si="3">J6-J7</f>
        <v>830</v>
      </c>
      <c r="L6" s="39">
        <f t="shared" ref="L6:L36" si="4">K6*0.59</f>
        <v>489.7</v>
      </c>
    </row>
    <row r="7" spans="1:12" ht="32.450000000000003" customHeight="1">
      <c r="A7" s="45">
        <v>2</v>
      </c>
      <c r="B7" s="45">
        <v>6404329</v>
      </c>
      <c r="C7" s="55">
        <f t="shared" si="0"/>
        <v>3745</v>
      </c>
      <c r="D7" s="46">
        <f>C7*0.21186441</f>
        <v>793.43221545000006</v>
      </c>
      <c r="E7" s="47">
        <v>505477</v>
      </c>
      <c r="F7" s="56">
        <f t="shared" si="1"/>
        <v>213</v>
      </c>
      <c r="G7" s="48">
        <f t="shared" ref="G7:G36" si="5">F7*0.84746</f>
        <v>180.50898000000001</v>
      </c>
      <c r="H7" s="48">
        <f t="shared" ref="H7:H36" si="6">F7*0.84746</f>
        <v>180.50898000000001</v>
      </c>
      <c r="I7" s="49">
        <f t="shared" si="2"/>
        <v>361.01796000000002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6408074</v>
      </c>
      <c r="C8" s="53">
        <f t="shared" si="0"/>
        <v>3148</v>
      </c>
      <c r="D8" s="46">
        <f t="shared" ref="D8:D36" si="7">C8*0.21186441</f>
        <v>666.94916267999997</v>
      </c>
      <c r="E8" s="47">
        <v>505690</v>
      </c>
      <c r="F8" s="54">
        <f t="shared" si="1"/>
        <v>178</v>
      </c>
      <c r="G8" s="43">
        <f t="shared" si="5"/>
        <v>150.84788</v>
      </c>
      <c r="H8" s="43">
        <f t="shared" si="6"/>
        <v>150.84788</v>
      </c>
      <c r="I8" s="49">
        <f t="shared" si="2"/>
        <v>301.69576000000001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6411222</v>
      </c>
      <c r="C9" s="55">
        <f t="shared" si="0"/>
        <v>3110</v>
      </c>
      <c r="D9" s="46">
        <f t="shared" si="7"/>
        <v>658.89831509999999</v>
      </c>
      <c r="E9" s="47">
        <v>505868</v>
      </c>
      <c r="F9" s="56">
        <f t="shared" si="1"/>
        <v>173</v>
      </c>
      <c r="G9" s="48">
        <f t="shared" si="5"/>
        <v>146.61058</v>
      </c>
      <c r="H9" s="48">
        <f t="shared" si="6"/>
        <v>146.61058</v>
      </c>
      <c r="I9" s="49">
        <f t="shared" si="2"/>
        <v>293.22116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6414332</v>
      </c>
      <c r="C10" s="53">
        <f t="shared" si="0"/>
        <v>2661</v>
      </c>
      <c r="D10" s="46">
        <f t="shared" si="7"/>
        <v>563.77119501000004</v>
      </c>
      <c r="E10" s="47">
        <v>506041</v>
      </c>
      <c r="F10" s="54">
        <f t="shared" si="1"/>
        <v>172</v>
      </c>
      <c r="G10" s="43">
        <f t="shared" si="5"/>
        <v>145.76311999999999</v>
      </c>
      <c r="H10" s="43">
        <f t="shared" si="6"/>
        <v>145.76311999999999</v>
      </c>
      <c r="I10" s="49">
        <f t="shared" si="2"/>
        <v>291.52623999999997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6416993</v>
      </c>
      <c r="C11" s="55">
        <f t="shared" si="0"/>
        <v>3210</v>
      </c>
      <c r="D11" s="46">
        <f t="shared" si="7"/>
        <v>680.08475610000005</v>
      </c>
      <c r="E11" s="47">
        <v>506213</v>
      </c>
      <c r="F11" s="56">
        <f t="shared" si="1"/>
        <v>163</v>
      </c>
      <c r="G11" s="48">
        <f t="shared" si="5"/>
        <v>138.13597999999999</v>
      </c>
      <c r="H11" s="48">
        <f t="shared" si="6"/>
        <v>138.13597999999999</v>
      </c>
      <c r="I11" s="49">
        <f t="shared" si="2"/>
        <v>276.27195999999998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6420203</v>
      </c>
      <c r="C12" s="53">
        <f t="shared" si="0"/>
        <v>3691</v>
      </c>
      <c r="D12" s="46">
        <f t="shared" si="7"/>
        <v>781.99153731000001</v>
      </c>
      <c r="E12" s="47">
        <v>506376</v>
      </c>
      <c r="F12" s="54">
        <f t="shared" si="1"/>
        <v>180</v>
      </c>
      <c r="G12" s="43">
        <f t="shared" si="5"/>
        <v>152.5428</v>
      </c>
      <c r="H12" s="43">
        <f t="shared" si="6"/>
        <v>152.5428</v>
      </c>
      <c r="I12" s="49">
        <f t="shared" si="2"/>
        <v>305.0856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6423894</v>
      </c>
      <c r="C13" s="55">
        <f t="shared" si="0"/>
        <v>2849</v>
      </c>
      <c r="D13" s="46">
        <f t="shared" si="7"/>
        <v>603.60170409</v>
      </c>
      <c r="E13" s="47">
        <v>506556</v>
      </c>
      <c r="F13" s="56">
        <f t="shared" si="1"/>
        <v>165</v>
      </c>
      <c r="G13" s="48">
        <f t="shared" si="5"/>
        <v>139.83089999999999</v>
      </c>
      <c r="H13" s="48">
        <f t="shared" si="6"/>
        <v>139.83089999999999</v>
      </c>
      <c r="I13" s="49">
        <f t="shared" si="2"/>
        <v>279.66179999999997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6426743</v>
      </c>
      <c r="C14" s="53">
        <f t="shared" si="0"/>
        <v>2836</v>
      </c>
      <c r="D14" s="46">
        <f t="shared" si="7"/>
        <v>600.84746675999997</v>
      </c>
      <c r="E14" s="47">
        <v>506721</v>
      </c>
      <c r="F14" s="54">
        <f t="shared" si="1"/>
        <v>154</v>
      </c>
      <c r="G14" s="48">
        <f t="shared" si="5"/>
        <v>130.50883999999999</v>
      </c>
      <c r="H14" s="43">
        <f t="shared" si="6"/>
        <v>130.50883999999999</v>
      </c>
      <c r="I14" s="49">
        <f t="shared" si="2"/>
        <v>261.01767999999998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6429579</v>
      </c>
      <c r="C15" s="55">
        <f t="shared" si="0"/>
        <v>2530</v>
      </c>
      <c r="D15" s="46">
        <f t="shared" si="7"/>
        <v>536.01695730000006</v>
      </c>
      <c r="E15" s="47">
        <v>506875</v>
      </c>
      <c r="F15" s="56">
        <f t="shared" si="1"/>
        <v>170</v>
      </c>
      <c r="G15" s="48">
        <f t="shared" si="5"/>
        <v>144.06819999999999</v>
      </c>
      <c r="H15" s="48">
        <f t="shared" si="6"/>
        <v>144.06819999999999</v>
      </c>
      <c r="I15" s="49">
        <f t="shared" si="2"/>
        <v>288.13639999999998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6432109</v>
      </c>
      <c r="C16" s="53">
        <f>B17-B16</f>
        <v>4505</v>
      </c>
      <c r="D16" s="46">
        <f t="shared" si="7"/>
        <v>954.44916705000003</v>
      </c>
      <c r="E16" s="47">
        <v>507045</v>
      </c>
      <c r="F16" s="54">
        <f>E17-E16</f>
        <v>161</v>
      </c>
      <c r="G16" s="43">
        <f t="shared" si="5"/>
        <v>136.44105999999999</v>
      </c>
      <c r="H16" s="43">
        <f t="shared" si="6"/>
        <v>136.44105999999999</v>
      </c>
      <c r="I16" s="49">
        <f t="shared" si="2"/>
        <v>272.88211999999999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6436614</v>
      </c>
      <c r="C17" s="55">
        <f t="shared" ref="C17:C35" si="8">B18-B17</f>
        <v>3274</v>
      </c>
      <c r="D17" s="46">
        <f t="shared" si="7"/>
        <v>693.64407833999996</v>
      </c>
      <c r="E17" s="47">
        <v>507206</v>
      </c>
      <c r="F17" s="56">
        <f t="shared" ref="F17:F35" si="9">E18-E17</f>
        <v>170</v>
      </c>
      <c r="G17" s="48">
        <f t="shared" si="5"/>
        <v>144.06819999999999</v>
      </c>
      <c r="H17" s="48">
        <f t="shared" si="6"/>
        <v>144.06819999999999</v>
      </c>
      <c r="I17" s="49">
        <f t="shared" si="2"/>
        <v>288.13639999999998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6439888</v>
      </c>
      <c r="C18" s="53">
        <f t="shared" si="8"/>
        <v>-6439888</v>
      </c>
      <c r="D18" s="46">
        <f t="shared" si="7"/>
        <v>-1364383.0715860801</v>
      </c>
      <c r="E18" s="51">
        <v>507376</v>
      </c>
      <c r="F18" s="54">
        <f t="shared" si="9"/>
        <v>-507376</v>
      </c>
      <c r="G18" s="43">
        <f t="shared" si="5"/>
        <v>-429980.86495999998</v>
      </c>
      <c r="H18" s="43">
        <f t="shared" si="6"/>
        <v>-429980.86495999998</v>
      </c>
      <c r="I18" s="49">
        <f t="shared" si="2"/>
        <v>-859961.72991999995</v>
      </c>
      <c r="J18" s="37">
        <f>6060+6460</f>
        <v>12520</v>
      </c>
      <c r="K18" s="38">
        <f t="shared" si="3"/>
        <v>12520</v>
      </c>
      <c r="L18" s="39">
        <f t="shared" si="4"/>
        <v>7386.7999999999993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/>
      <c r="C21" s="55">
        <f t="shared" si="8"/>
        <v>0</v>
      </c>
      <c r="D21" s="46">
        <f t="shared" si="7"/>
        <v>0</v>
      </c>
      <c r="E21" s="97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8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8">
        <v>31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13">
        <f t="shared" ref="I36" si="14">G36+H36</f>
        <v>0</v>
      </c>
      <c r="J36" s="114"/>
      <c r="K36" s="115">
        <f t="shared" ref="K36" si="15">J36-J37</f>
        <v>0</v>
      </c>
      <c r="L36" s="116">
        <f t="shared" ref="L36" si="16">K36*0.59</f>
        <v>0</v>
      </c>
    </row>
    <row r="37" spans="1:12" ht="32.450000000000003" customHeight="1">
      <c r="A37" s="108">
        <v>1</v>
      </c>
      <c r="B37" s="108"/>
      <c r="C37" s="109">
        <f t="shared" ref="C37" si="17">B38-B37</f>
        <v>0</v>
      </c>
      <c r="D37" s="110">
        <f t="shared" ref="D37" si="18">C37*0.21186441</f>
        <v>0</v>
      </c>
      <c r="E37" s="111"/>
      <c r="F37" s="109">
        <f t="shared" ref="F37" si="19">E38-E37</f>
        <v>0</v>
      </c>
      <c r="G37" s="112">
        <f t="shared" ref="G37" si="20">F37*0.84746</f>
        <v>0</v>
      </c>
      <c r="H37" s="112">
        <f t="shared" ref="H37" si="21">F37*0.84746</f>
        <v>0</v>
      </c>
      <c r="I37" s="113">
        <f t="shared" ref="I37" si="22">G37+H37</f>
        <v>0</v>
      </c>
      <c r="J37" s="114"/>
      <c r="K37" s="115">
        <f t="shared" ref="K37" si="23">J37-J38</f>
        <v>0</v>
      </c>
      <c r="L37" s="116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2022-01-14T05:36:54Z</dcterms:modified>
  <cp:category/>
  <cp:contentStatus/>
</cp:coreProperties>
</file>