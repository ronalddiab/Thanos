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filterPrivacy="1" defaultThemeVersion="124226"/>
  <xr:revisionPtr revIDLastSave="0" documentId="13_ncr:1_{182E41A3-C2EF-4BB6-B602-49D71821B64F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8" l="1"/>
  <c r="S27" i="2" l="1"/>
  <c r="H21" i="2" l="1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P6" i="8"/>
  <c r="P10" i="8"/>
  <c r="X10" i="8"/>
  <c r="P14" i="8"/>
  <c r="X6" i="8"/>
  <c r="X30" i="8"/>
  <c r="R30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F30" i="3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G29" i="4"/>
  <c r="H30" i="3"/>
  <c r="J30" i="3"/>
  <c r="I29" i="4"/>
  <c r="F29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<sst xmlns="http://schemas.openxmlformats.org/spreadsheetml/2006/main" count="201" uniqueCount="128">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</sst>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13889.999999999984</c:v>
                </c:pt>
                <c:pt idx="1">
                  <c:v>68100.000000000044</c:v>
                </c:pt>
                <c:pt idx="2">
                  <c:v>6960.0000000000082</c:v>
                </c:pt>
                <c:pt idx="3">
                  <c:v>26329.999999999985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-31035</c:v>
                </c:pt>
                <c:pt idx="7">
                  <c:v>0.13509454659423317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-714036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10" zoomScale="85" zoomScaleNormal="85" workbookViewId="0">
      <selection activeCell="Q27" sqref="Q27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1.5287027707808565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0</v>
      </c>
      <c r="L22" s="76">
        <v>1.5287027707808565</v>
      </c>
      <c r="M22" s="72">
        <v>42</v>
      </c>
      <c r="N22" s="72">
        <v>92</v>
      </c>
      <c r="O22" s="72">
        <v>287</v>
      </c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21389.999999999647</v>
      </c>
      <c r="F23" s="48">
        <v>0.14000000000000001</v>
      </c>
      <c r="G23" s="107">
        <v>5894</v>
      </c>
      <c r="H23" s="48">
        <v>0.4453480216384178</v>
      </c>
      <c r="I23" s="65">
        <v>278</v>
      </c>
      <c r="J23" s="76">
        <v>0.4</v>
      </c>
      <c r="K23" s="108">
        <v>0</v>
      </c>
      <c r="L23" s="76">
        <v>1.5287027707808565</v>
      </c>
      <c r="M23" s="72">
        <v>45</v>
      </c>
      <c r="N23" s="72">
        <v>103</v>
      </c>
      <c r="O23" s="72">
        <v>296</v>
      </c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22340.000000000371</v>
      </c>
      <c r="F24" s="48">
        <v>0.14000000000000001</v>
      </c>
      <c r="G24" s="107">
        <v>6019</v>
      </c>
      <c r="H24" s="48">
        <v>0.4453480216384178</v>
      </c>
      <c r="I24" s="65">
        <v>269</v>
      </c>
      <c r="J24" s="76">
        <v>0.4</v>
      </c>
      <c r="K24" s="108">
        <v>0</v>
      </c>
      <c r="L24" s="76">
        <v>1.5287027707808565</v>
      </c>
      <c r="M24" s="72">
        <v>40</v>
      </c>
      <c r="N24" s="72">
        <v>95</v>
      </c>
      <c r="O24" s="72">
        <v>268</v>
      </c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22340.000000000146</v>
      </c>
      <c r="F25" s="48">
        <v>0.14000000000000001</v>
      </c>
      <c r="G25" s="107">
        <v>6181</v>
      </c>
      <c r="H25" s="48">
        <v>0.4453480216384178</v>
      </c>
      <c r="I25" s="65">
        <v>267</v>
      </c>
      <c r="J25" s="76">
        <v>0.4</v>
      </c>
      <c r="K25" s="108">
        <v>0</v>
      </c>
      <c r="L25" s="76">
        <v>1.5287027707808565</v>
      </c>
      <c r="M25" s="72">
        <v>37</v>
      </c>
      <c r="N25" s="72">
        <v>89</v>
      </c>
      <c r="O25" s="72">
        <v>244</v>
      </c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21589.99999999992</v>
      </c>
      <c r="F26" s="48">
        <v>0.14000000000000001</v>
      </c>
      <c r="G26" s="107">
        <v>6140</v>
      </c>
      <c r="H26" s="48">
        <v>0.4453480216384178</v>
      </c>
      <c r="I26" s="65">
        <v>253</v>
      </c>
      <c r="J26" s="76">
        <v>0.4</v>
      </c>
      <c r="K26" s="108">
        <v>0</v>
      </c>
      <c r="L26" s="76">
        <v>1.5287027707808565</v>
      </c>
      <c r="M26" s="72">
        <v>36</v>
      </c>
      <c r="N26" s="72">
        <v>89</v>
      </c>
      <c r="O26" s="72">
        <v>254</v>
      </c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20749.999999999545</v>
      </c>
      <c r="F27" s="48">
        <v>0.14000000000000001</v>
      </c>
      <c r="G27" s="107">
        <v>5556</v>
      </c>
      <c r="H27" s="48">
        <v>0.4453480216384178</v>
      </c>
      <c r="I27" s="65">
        <v>251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20950</v>
      </c>
      <c r="F28" s="48">
        <v>0.14000000000000001</v>
      </c>
      <c r="G28" s="107">
        <v>5765</v>
      </c>
      <c r="H28" s="48">
        <v>0.4453480216384178</v>
      </c>
      <c r="I28" s="65">
        <v>308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565129.99999999942</v>
      </c>
      <c r="F33" s="104">
        <v>0</v>
      </c>
      <c r="G33" s="101">
        <f>SUM(G2:G32)</f>
        <v>155940</v>
      </c>
      <c r="H33" s="102">
        <v>0</v>
      </c>
      <c r="I33" s="103">
        <f>SUM(I2:I32)</f>
        <v>7548</v>
      </c>
      <c r="J33" s="104">
        <v>0</v>
      </c>
      <c r="K33" s="105">
        <v>0</v>
      </c>
      <c r="L33" s="102">
        <v>0</v>
      </c>
      <c r="M33" s="106">
        <f t="shared" ref="M33:O33" si="1">SUM(M2:M32)</f>
        <v>1212</v>
      </c>
      <c r="N33" s="106">
        <f t="shared" si="1"/>
        <v>3124</v>
      </c>
      <c r="O33" s="106">
        <f t="shared" si="1"/>
        <v>8826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F25" zoomScale="78" zoomScaleNormal="78" workbookViewId="0">
      <selection activeCell="V31" sqref="V3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>
        <v>42</v>
      </c>
      <c r="W24" s="71">
        <v>92</v>
      </c>
      <c r="X24" s="71">
        <v>287</v>
      </c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>
        <v>45</v>
      </c>
      <c r="W25" s="71">
        <v>103</v>
      </c>
      <c r="X25" s="71">
        <v>296</v>
      </c>
      <c r="Y25" s="17"/>
    </row>
    <row r="26" spans="1:25" ht="21" customHeight="1" x14ac:dyDescent="0.25">
      <c r="A26" s="8">
        <v>44219</v>
      </c>
      <c r="B26" s="1">
        <v>779.73</v>
      </c>
      <c r="C26" s="1">
        <v>193.17</v>
      </c>
      <c r="D26" s="1">
        <v>7109098.8099999996</v>
      </c>
      <c r="E26" s="1">
        <v>7704846.3899999997</v>
      </c>
      <c r="F26" s="1">
        <v>1.9910000000000001</v>
      </c>
      <c r="G26" s="1">
        <v>601.21</v>
      </c>
      <c r="H26" s="1">
        <v>499.32</v>
      </c>
      <c r="I26" s="1">
        <v>186.83</v>
      </c>
      <c r="J26" s="1">
        <v>279.33999999999997</v>
      </c>
      <c r="K26" s="1">
        <v>292.25</v>
      </c>
      <c r="L26" s="1">
        <v>200.71</v>
      </c>
      <c r="M26" s="1">
        <v>401.39</v>
      </c>
      <c r="N26" s="1">
        <v>346.49</v>
      </c>
      <c r="O26" s="1">
        <v>112.93</v>
      </c>
      <c r="P26" s="1">
        <v>464.28</v>
      </c>
      <c r="Q26" s="1">
        <v>344.61</v>
      </c>
      <c r="R26" s="1">
        <v>117.95</v>
      </c>
      <c r="S26" s="1">
        <v>94.260999999999996</v>
      </c>
      <c r="T26" s="1">
        <v>345.97</v>
      </c>
      <c r="V26" s="71">
        <v>40</v>
      </c>
      <c r="W26" s="71">
        <v>95</v>
      </c>
      <c r="X26" s="71">
        <v>268</v>
      </c>
      <c r="Y26" s="17"/>
    </row>
    <row r="27" spans="1:25" ht="21" customHeight="1" x14ac:dyDescent="0.25">
      <c r="A27" s="8">
        <v>44220</v>
      </c>
      <c r="B27" s="1">
        <v>780.9</v>
      </c>
      <c r="C27" s="1">
        <v>193.4</v>
      </c>
      <c r="D27" s="1">
        <v>7111284.8200000003</v>
      </c>
      <c r="E27" s="1">
        <v>7707682.6500000004</v>
      </c>
      <c r="F27" s="1">
        <v>1.9934000000000001</v>
      </c>
      <c r="G27" s="1">
        <v>602.01</v>
      </c>
      <c r="H27" s="1">
        <v>500.17</v>
      </c>
      <c r="I27" s="1">
        <v>187.09</v>
      </c>
      <c r="J27" s="1">
        <v>279.58999999999997</v>
      </c>
      <c r="K27" s="1">
        <v>292.54000000000002</v>
      </c>
      <c r="L27" s="1">
        <v>200.91</v>
      </c>
      <c r="M27" s="1">
        <v>402.14</v>
      </c>
      <c r="N27" s="1">
        <v>347.27</v>
      </c>
      <c r="O27" s="1">
        <v>113.13</v>
      </c>
      <c r="P27" s="1">
        <v>465.04</v>
      </c>
      <c r="Q27" s="1">
        <v>345.26</v>
      </c>
      <c r="R27" s="1">
        <v>118.12</v>
      </c>
      <c r="S27" s="1">
        <v>94.39</v>
      </c>
      <c r="T27" s="1">
        <v>346.52</v>
      </c>
      <c r="V27" s="71">
        <v>37</v>
      </c>
      <c r="W27" s="71">
        <v>89</v>
      </c>
      <c r="X27" s="71">
        <v>244</v>
      </c>
      <c r="Y27" s="17"/>
    </row>
    <row r="28" spans="1:25" ht="21" customHeight="1" x14ac:dyDescent="0.25">
      <c r="A28" s="8">
        <v>44221</v>
      </c>
      <c r="B28" s="1">
        <v>782.1</v>
      </c>
      <c r="C28" s="1">
        <v>193.64</v>
      </c>
      <c r="D28" s="1">
        <v>7113665.4000000004</v>
      </c>
      <c r="E28" s="1">
        <v>7710707.0899999999</v>
      </c>
      <c r="F28" s="1">
        <v>1.9959</v>
      </c>
      <c r="G28" s="1">
        <v>602.85</v>
      </c>
      <c r="H28" s="1">
        <v>501.09</v>
      </c>
      <c r="I28" s="1">
        <v>187.36</v>
      </c>
      <c r="J28" s="1">
        <v>279.95</v>
      </c>
      <c r="K28" s="1">
        <v>292.89</v>
      </c>
      <c r="L28" s="1">
        <v>201.14</v>
      </c>
      <c r="M28" s="1">
        <v>402.86</v>
      </c>
      <c r="N28" s="1">
        <v>348.09</v>
      </c>
      <c r="O28" s="1">
        <v>113.36</v>
      </c>
      <c r="P28" s="1">
        <v>465.9</v>
      </c>
      <c r="Q28" s="1">
        <v>345.98</v>
      </c>
      <c r="R28" s="1">
        <v>118.19</v>
      </c>
      <c r="S28" s="1">
        <v>94.54</v>
      </c>
      <c r="T28" s="1">
        <v>347.03</v>
      </c>
      <c r="V28" s="71">
        <v>36</v>
      </c>
      <c r="W28" s="71">
        <v>89</v>
      </c>
      <c r="X28" s="71">
        <v>254</v>
      </c>
      <c r="Y28" s="17"/>
    </row>
    <row r="29" spans="1:25" ht="21" customHeight="1" x14ac:dyDescent="0.25">
      <c r="A29" s="8">
        <v>44222</v>
      </c>
      <c r="B29" s="1">
        <v>783.32</v>
      </c>
      <c r="C29" s="1">
        <v>193.9</v>
      </c>
      <c r="D29" s="1">
        <v>7115763.2400000002</v>
      </c>
      <c r="E29" s="1">
        <v>7713634.1200000001</v>
      </c>
      <c r="F29" s="1">
        <v>1.9984999999999999</v>
      </c>
      <c r="G29" s="1">
        <v>603.73</v>
      </c>
      <c r="H29" s="1">
        <v>501.99</v>
      </c>
      <c r="I29" s="1">
        <v>187.61</v>
      </c>
      <c r="J29" s="1">
        <v>280.31</v>
      </c>
      <c r="K29" s="1">
        <v>293.27999999999997</v>
      </c>
      <c r="L29" s="1">
        <v>201.37</v>
      </c>
      <c r="M29" s="1">
        <v>403.66</v>
      </c>
      <c r="N29" s="1">
        <v>348.87</v>
      </c>
      <c r="O29" s="1">
        <v>113.57</v>
      </c>
      <c r="P29" s="1">
        <v>466.79</v>
      </c>
      <c r="Q29" s="1">
        <v>346.69</v>
      </c>
      <c r="R29" s="1">
        <v>118.35</v>
      </c>
      <c r="S29" s="1">
        <v>94.673000000000002</v>
      </c>
      <c r="T29" s="1">
        <v>347.55</v>
      </c>
      <c r="V29" s="71"/>
      <c r="W29" s="71"/>
      <c r="X29" s="71"/>
      <c r="Y29" s="17"/>
    </row>
    <row r="30" spans="1:25" ht="21" customHeight="1" x14ac:dyDescent="0.25">
      <c r="A30" s="8">
        <v>44223</v>
      </c>
      <c r="B30" s="1">
        <v>784.49</v>
      </c>
      <c r="C30" s="1">
        <v>194.17</v>
      </c>
      <c r="D30" s="1">
        <v>7117788.8799999999</v>
      </c>
      <c r="E30" s="1">
        <v>7716351.7800000003</v>
      </c>
      <c r="F30" s="1">
        <v>2.0013000000000001</v>
      </c>
      <c r="G30" s="1">
        <v>604.61</v>
      </c>
      <c r="H30" s="1">
        <v>502.86</v>
      </c>
      <c r="I30" s="1">
        <v>187.88</v>
      </c>
      <c r="J30" s="1">
        <v>280.74</v>
      </c>
      <c r="K30" s="1">
        <v>293.67</v>
      </c>
      <c r="L30" s="1">
        <v>201.64</v>
      </c>
      <c r="M30" s="1">
        <v>404.42</v>
      </c>
      <c r="N30" s="1">
        <v>349.71</v>
      </c>
      <c r="O30" s="1">
        <v>113.77</v>
      </c>
      <c r="P30" s="1">
        <v>467.66</v>
      </c>
      <c r="Q30" s="1">
        <v>347.45</v>
      </c>
      <c r="R30" s="1">
        <v>118.51</v>
      </c>
      <c r="S30" s="1">
        <v>94.811000000000007</v>
      </c>
      <c r="T30" s="1">
        <v>348.09</v>
      </c>
      <c r="V30" s="71"/>
      <c r="W30" s="71"/>
      <c r="X30" s="71"/>
      <c r="Y30" s="17"/>
    </row>
    <row r="31" spans="1:25" ht="21" customHeight="1" x14ac:dyDescent="0.25">
      <c r="A31" s="8">
        <v>44224</v>
      </c>
      <c r="B31" s="1">
        <v>785.48</v>
      </c>
      <c r="C31" s="1">
        <v>194.41</v>
      </c>
      <c r="D31" s="1">
        <v>7119552.6200000001</v>
      </c>
      <c r="E31" s="1">
        <v>7718755.5499999998</v>
      </c>
      <c r="F31" s="1">
        <v>2.0036</v>
      </c>
      <c r="G31" s="1">
        <v>605.42999999999995</v>
      </c>
      <c r="H31" s="1">
        <v>503.64</v>
      </c>
      <c r="I31" s="1">
        <v>188.13</v>
      </c>
      <c r="J31" s="1">
        <v>281</v>
      </c>
      <c r="K31" s="1">
        <v>293.95999999999998</v>
      </c>
      <c r="L31" s="1">
        <v>201.84</v>
      </c>
      <c r="M31" s="1">
        <v>405.04</v>
      </c>
      <c r="N31" s="1">
        <v>350.42</v>
      </c>
      <c r="O31" s="1">
        <v>113.97</v>
      </c>
      <c r="P31" s="1">
        <v>468.46</v>
      </c>
      <c r="Q31" s="1">
        <v>348.11</v>
      </c>
      <c r="R31" s="1">
        <v>118.71</v>
      </c>
      <c r="S31" s="1">
        <v>94.944000000000003</v>
      </c>
      <c r="T31" s="1">
        <v>348.63</v>
      </c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1212</v>
      </c>
      <c r="W35" s="78">
        <f>SUM(W4:W34)</f>
        <v>3124</v>
      </c>
      <c r="X35" s="78">
        <f>SUM(X4:X34)</f>
        <v>8826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J39" sqref="J3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4.42578125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21389.999999999647</v>
      </c>
      <c r="C25" s="4">
        <f>('Kwh Reading'!T26-'Kwh Reading'!T25)*1000</f>
        <v>250</v>
      </c>
      <c r="D25" s="2">
        <f>('Kwh Reading'!F26-'Kwh Reading'!F25)*1000000</f>
        <v>2600.0000000001578</v>
      </c>
      <c r="E25" s="2">
        <f>('Kwh Reading'!C26-'Kwh Reading'!C25)*1000</f>
        <v>259.99999999999091</v>
      </c>
      <c r="F25" s="2">
        <f>('Kwh Reading'!J26-'Kwh Reading'!J25)*1000</f>
        <v>329.99999999998408</v>
      </c>
      <c r="G25" s="2">
        <f>('Kwh Reading'!K26-'Kwh Reading'!K25)*1000</f>
        <v>370.00000000000455</v>
      </c>
      <c r="H25" s="2">
        <f>('Kwh Reading'!L26-'Kwh Reading'!L25)*1000</f>
        <v>270.00000000001023</v>
      </c>
      <c r="I25" s="2">
        <f>('Kwh Reading'!R26-'Kwh Reading'!R25)*1000</f>
        <v>180.00000000000682</v>
      </c>
      <c r="J25" s="2">
        <f>('Kwh Reading'!S26-'Kwh Reading'!S25)*1000</f>
        <v>137.99999999999102</v>
      </c>
      <c r="K25" s="2">
        <f>('Kwh Reading'!I26-'Kwh Reading'!I25)*1000</f>
        <v>230.00000000001819</v>
      </c>
      <c r="L25" s="2">
        <f>('Kwh Reading'!B26-'Kwh Reading'!B25)*1000</f>
        <v>1370.0000000000045</v>
      </c>
      <c r="M25" s="2">
        <f>('Kwh Reading'!M26-'Kwh Reading'!M25)*1000</f>
        <v>719.99999999997044</v>
      </c>
      <c r="N25" s="2">
        <f>('Kwh Reading'!H26-'Kwh Reading'!H25)*1000</f>
        <v>980.00000000001819</v>
      </c>
      <c r="O25" s="2">
        <f>('Kwh Reading'!P26-'Kwh Reading'!P25)*1000</f>
        <v>789.99999999996362</v>
      </c>
      <c r="P25" s="2">
        <f>('Kwh Reading'!G26-'Kwh Reading'!G25)*1000</f>
        <v>840.00000000003183</v>
      </c>
      <c r="Q25" s="2">
        <f>('Kwh Reading'!Q26-'Kwh Reading'!Q25)*1000</f>
        <v>639.99999999998636</v>
      </c>
      <c r="R25" s="2">
        <f>('Kwh Reading'!N26-'Kwh Reading'!N25)*1000</f>
        <v>720.00000000002728</v>
      </c>
      <c r="S25" s="2">
        <f>'Kwh Reading'!E26-'Kwh Reading'!E25</f>
        <v>2430.5099999997765</v>
      </c>
      <c r="T25" s="2">
        <f>'Kwh Reading'!D26-'Kwh Reading'!D25</f>
        <v>2256.8699999991804</v>
      </c>
      <c r="U25" s="27">
        <f>('Kwh Reading'!O26-'Kwh Reading'!O25)*1000</f>
        <v>210.00000000000796</v>
      </c>
      <c r="V25" s="16">
        <f t="shared" si="0"/>
        <v>5804.6200000005174</v>
      </c>
    </row>
    <row r="26" spans="1:22" x14ac:dyDescent="0.25">
      <c r="A26" s="3">
        <f>'Kwh Reading'!A26</f>
        <v>44219</v>
      </c>
      <c r="B26" s="26">
        <f>TOTAL!E24</f>
        <v>22340.000000000371</v>
      </c>
      <c r="C26" s="4">
        <f>('Kwh Reading'!T27-'Kwh Reading'!T26)*1000</f>
        <v>549.99999999995453</v>
      </c>
      <c r="D26" s="2">
        <f>('Kwh Reading'!F27-'Kwh Reading'!F26)*1000000</f>
        <v>2399.9999999999577</v>
      </c>
      <c r="E26" s="2">
        <f>('Kwh Reading'!C27-'Kwh Reading'!C26)*1000</f>
        <v>230.00000000001819</v>
      </c>
      <c r="F26" s="2">
        <f>('Kwh Reading'!J27-'Kwh Reading'!J26)*1000</f>
        <v>250</v>
      </c>
      <c r="G26" s="2">
        <f>('Kwh Reading'!K27-'Kwh Reading'!K26)*1000</f>
        <v>290.00000000002046</v>
      </c>
      <c r="H26" s="2">
        <f>('Kwh Reading'!L27-'Kwh Reading'!L26)*1000</f>
        <v>199.99999999998863</v>
      </c>
      <c r="I26" s="2">
        <f>('Kwh Reading'!R27-'Kwh Reading'!R26)*1000</f>
        <v>170.00000000000171</v>
      </c>
      <c r="J26" s="2">
        <f>('Kwh Reading'!S27-'Kwh Reading'!S26)*1000</f>
        <v>129.00000000000489</v>
      </c>
      <c r="K26" s="2">
        <f>('Kwh Reading'!I27-'Kwh Reading'!I26)*1000</f>
        <v>259.99999999999091</v>
      </c>
      <c r="L26" s="2">
        <f>('Kwh Reading'!B27-'Kwh Reading'!B26)*1000</f>
        <v>1169.9999999999591</v>
      </c>
      <c r="M26" s="2">
        <f>('Kwh Reading'!M27-'Kwh Reading'!M26)*1000</f>
        <v>750</v>
      </c>
      <c r="N26" s="2">
        <f>('Kwh Reading'!H27-'Kwh Reading'!H26)*1000</f>
        <v>850.00000000002274</v>
      </c>
      <c r="O26" s="2">
        <f>('Kwh Reading'!P27-'Kwh Reading'!P26)*1000</f>
        <v>760.00000000004775</v>
      </c>
      <c r="P26" s="2">
        <f>('Kwh Reading'!G27-'Kwh Reading'!G26)*1000</f>
        <v>799.99999999995453</v>
      </c>
      <c r="Q26" s="2">
        <f>('Kwh Reading'!Q27-'Kwh Reading'!Q26)*1000</f>
        <v>649.99999999997726</v>
      </c>
      <c r="R26" s="2">
        <f>('Kwh Reading'!N27-'Kwh Reading'!N26)*1000</f>
        <v>779.99999999997272</v>
      </c>
      <c r="S26" s="2">
        <f>'Kwh Reading'!E27-'Kwh Reading'!E26</f>
        <v>2836.2600000007078</v>
      </c>
      <c r="T26" s="2">
        <f>'Kwh Reading'!D27-'Kwh Reading'!D26</f>
        <v>2186.0100000007078</v>
      </c>
      <c r="U26" s="27">
        <f>('Kwh Reading'!O27-'Kwh Reading'!O26)*1000</f>
        <v>199.99999999998863</v>
      </c>
      <c r="V26" s="16">
        <f t="shared" si="0"/>
        <v>6878.7299999990955</v>
      </c>
    </row>
    <row r="27" spans="1:22" x14ac:dyDescent="0.25">
      <c r="A27" s="3">
        <f>'Kwh Reading'!A27</f>
        <v>44220</v>
      </c>
      <c r="B27" s="26">
        <f>TOTAL!E25</f>
        <v>22340.000000000146</v>
      </c>
      <c r="C27" s="4">
        <f>('Kwh Reading'!T28-'Kwh Reading'!T27)*1000</f>
        <v>509.99999999999091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360.00000000001364</v>
      </c>
      <c r="G27" s="2">
        <f>('Kwh Reading'!K28-'Kwh Reading'!K27)*1000</f>
        <v>349.99999999996589</v>
      </c>
      <c r="H27" s="2">
        <f>('Kwh Reading'!L28-'Kwh Reading'!L27)*1000</f>
        <v>229.99999999998977</v>
      </c>
      <c r="I27" s="2">
        <f>('Kwh Reading'!R28-'Kwh Reading'!R27)*1000</f>
        <v>69.999999999993179</v>
      </c>
      <c r="J27" s="2">
        <f>('Kwh Reading'!S28-'Kwh Reading'!S27)*1000</f>
        <v>150.00000000000568</v>
      </c>
      <c r="K27" s="2">
        <f>('Kwh Reading'!I28-'Kwh Reading'!I27)*1000</f>
        <v>270.00000000001023</v>
      </c>
      <c r="L27" s="2">
        <f>('Kwh Reading'!B28-'Kwh Reading'!B27)*1000</f>
        <v>1200.0000000000455</v>
      </c>
      <c r="M27" s="2">
        <f>('Kwh Reading'!M28-'Kwh Reading'!M27)*1000</f>
        <v>720.00000000002728</v>
      </c>
      <c r="N27" s="2">
        <f>('Kwh Reading'!H28-'Kwh Reading'!H27)*1000</f>
        <v>919.99999999995907</v>
      </c>
      <c r="O27" s="2">
        <f>('Kwh Reading'!P28-'Kwh Reading'!P27)*1000</f>
        <v>859.9999999999568</v>
      </c>
      <c r="P27" s="2">
        <f>('Kwh Reading'!G28-'Kwh Reading'!G27)*1000</f>
        <v>840.00000000003183</v>
      </c>
      <c r="Q27" s="2">
        <f>('Kwh Reading'!Q28-'Kwh Reading'!Q27)*1000</f>
        <v>720.00000000002728</v>
      </c>
      <c r="R27" s="2">
        <f>('Kwh Reading'!N28-'Kwh Reading'!N27)*1000</f>
        <v>819.99999999999318</v>
      </c>
      <c r="S27" s="2">
        <f>'Kwh Reading'!E28-'Kwh Reading'!E27</f>
        <v>3024.4399999994785</v>
      </c>
      <c r="T27" s="2">
        <f>'Kwh Reading'!D28-'Kwh Reading'!D27</f>
        <v>2380.5800000000745</v>
      </c>
      <c r="U27" s="27">
        <f>('Kwh Reading'!O28-'Kwh Reading'!O27)*1000</f>
        <v>230.00000000000398</v>
      </c>
      <c r="V27" s="16">
        <f t="shared" si="0"/>
        <v>5944.9800000006508</v>
      </c>
    </row>
    <row r="28" spans="1:22" x14ac:dyDescent="0.25">
      <c r="A28" s="3">
        <f>'Kwh Reading'!A28</f>
        <v>44221</v>
      </c>
      <c r="B28" s="26">
        <f>TOTAL!E26</f>
        <v>21589.99999999992</v>
      </c>
      <c r="C28" s="4">
        <f>('Kwh Reading'!T29-'Kwh Reading'!T28)*1000</f>
        <v>520.00000000003865</v>
      </c>
      <c r="D28" s="2">
        <f>('Kwh Reading'!F29-'Kwh Reading'!F28)*1000000</f>
        <v>2599.9999999999359</v>
      </c>
      <c r="E28" s="2">
        <f>('Kwh Reading'!C29-'Kwh Reading'!C28)*1000</f>
        <v>260.00000000001933</v>
      </c>
      <c r="F28" s="2">
        <f>('Kwh Reading'!J29-'Kwh Reading'!J28)*1000</f>
        <v>360.00000000001364</v>
      </c>
      <c r="G28" s="2">
        <f>('Kwh Reading'!K29-'Kwh Reading'!K28)*1000</f>
        <v>389.99999999998636</v>
      </c>
      <c r="H28" s="2">
        <f>('Kwh Reading'!L29-'Kwh Reading'!L28)*1000</f>
        <v>230.00000000001819</v>
      </c>
      <c r="I28" s="2">
        <f>('Kwh Reading'!R29-'Kwh Reading'!R28)*1000</f>
        <v>159.99999999999659</v>
      </c>
      <c r="J28" s="2">
        <f>('Kwh Reading'!S29-'Kwh Reading'!S28)*1000</f>
        <v>132.99999999999557</v>
      </c>
      <c r="K28" s="2">
        <f>('Kwh Reading'!I29-'Kwh Reading'!I28)*1000</f>
        <v>250</v>
      </c>
      <c r="L28" s="2">
        <f>('Kwh Reading'!B29-'Kwh Reading'!B28)*1000</f>
        <v>1220.0000000000273</v>
      </c>
      <c r="M28" s="2">
        <f>('Kwh Reading'!M29-'Kwh Reading'!M28)*1000</f>
        <v>800.00000000001137</v>
      </c>
      <c r="N28" s="2">
        <f>('Kwh Reading'!H29-'Kwh Reading'!H28)*1000</f>
        <v>900.00000000003411</v>
      </c>
      <c r="O28" s="2">
        <f>('Kwh Reading'!P29-'Kwh Reading'!P28)*1000</f>
        <v>890.0000000000432</v>
      </c>
      <c r="P28" s="2">
        <f>('Kwh Reading'!G29-'Kwh Reading'!G28)*1000</f>
        <v>879.99999999999545</v>
      </c>
      <c r="Q28" s="2">
        <f>('Kwh Reading'!Q29-'Kwh Reading'!Q28)*1000</f>
        <v>709.99999999997954</v>
      </c>
      <c r="R28" s="2">
        <f>('Kwh Reading'!N29-'Kwh Reading'!N28)*1000</f>
        <v>780.00000000002956</v>
      </c>
      <c r="S28" s="2">
        <f>'Kwh Reading'!E29-'Kwh Reading'!E28</f>
        <v>2927.0300000002608</v>
      </c>
      <c r="T28" s="2">
        <f>'Kwh Reading'!D29-'Kwh Reading'!D28</f>
        <v>2097.839999999851</v>
      </c>
      <c r="U28" s="27">
        <f>('Kwh Reading'!O29-'Kwh Reading'!O28)*1000</f>
        <v>209.99999999999375</v>
      </c>
      <c r="V28" s="16">
        <f t="shared" si="0"/>
        <v>5272.1299999996882</v>
      </c>
    </row>
    <row r="29" spans="1:22" x14ac:dyDescent="0.25">
      <c r="A29" s="3">
        <f>'Kwh Reading'!A29</f>
        <v>44222</v>
      </c>
      <c r="B29" s="26">
        <f>TOTAL!E27</f>
        <v>20749.999999999545</v>
      </c>
      <c r="C29" s="4">
        <f>('Kwh Reading'!T30-'Kwh Reading'!T29)*1000</f>
        <v>539.99999999996362</v>
      </c>
      <c r="D29" s="2">
        <f>('Kwh Reading'!F30-'Kwh Reading'!F29)*1000000</f>
        <v>2800.0000000001355</v>
      </c>
      <c r="E29" s="2">
        <f>('Kwh Reading'!C30-'Kwh Reading'!C29)*1000</f>
        <v>269.99999999998181</v>
      </c>
      <c r="F29" s="2">
        <f>('Kwh Reading'!J30-'Kwh Reading'!J29)*1000</f>
        <v>430.00000000000682</v>
      </c>
      <c r="G29" s="2">
        <f>('Kwh Reading'!K30-'Kwh Reading'!K29)*1000</f>
        <v>390.0000000000432</v>
      </c>
      <c r="H29" s="2">
        <f>('Kwh Reading'!L30-'Kwh Reading'!L29)*1000</f>
        <v>269.99999999998181</v>
      </c>
      <c r="I29" s="2">
        <f>('Kwh Reading'!R30-'Kwh Reading'!R29)*1000</f>
        <v>160.0000000000108</v>
      </c>
      <c r="J29" s="2">
        <f>('Kwh Reading'!S30-'Kwh Reading'!S29)*1000</f>
        <v>138.00000000000523</v>
      </c>
      <c r="K29" s="2">
        <f>('Kwh Reading'!I30-'Kwh Reading'!I29)*1000</f>
        <v>269.99999999998181</v>
      </c>
      <c r="L29" s="2">
        <f>('Kwh Reading'!B30-'Kwh Reading'!B29)*1000</f>
        <v>1169.9999999999591</v>
      </c>
      <c r="M29" s="2">
        <f>('Kwh Reading'!M30-'Kwh Reading'!M29)*1000</f>
        <v>759.99999999999091</v>
      </c>
      <c r="N29" s="2">
        <f>('Kwh Reading'!H30-'Kwh Reading'!H29)*1000</f>
        <v>870.00000000000455</v>
      </c>
      <c r="O29" s="2">
        <f>('Kwh Reading'!P30-'Kwh Reading'!P29)*1000</f>
        <v>870.00000000000455</v>
      </c>
      <c r="P29" s="2">
        <f>('Kwh Reading'!G30-'Kwh Reading'!G29)*1000</f>
        <v>879.99999999999545</v>
      </c>
      <c r="Q29" s="2">
        <f>('Kwh Reading'!Q30-'Kwh Reading'!Q29)*1000</f>
        <v>759.99999999999091</v>
      </c>
      <c r="R29" s="2">
        <f>('Kwh Reading'!N30-'Kwh Reading'!N29)*1000</f>
        <v>839.99999999997499</v>
      </c>
      <c r="S29" s="2">
        <f>'Kwh Reading'!E30-'Kwh Reading'!E29</f>
        <v>2717.660000000149</v>
      </c>
      <c r="T29" s="2">
        <f>'Kwh Reading'!D30-'Kwh Reading'!D29</f>
        <v>2025.6399999996647</v>
      </c>
      <c r="U29" s="27">
        <f>('Kwh Reading'!O30-'Kwh Reading'!O29)*1000</f>
        <v>200.00000000000284</v>
      </c>
      <c r="V29" s="16">
        <f t="shared" si="0"/>
        <v>4388.699999999697</v>
      </c>
    </row>
    <row r="30" spans="1:22" x14ac:dyDescent="0.25">
      <c r="A30" s="3">
        <f>'Kwh Reading'!A30</f>
        <v>44223</v>
      </c>
      <c r="B30" s="26">
        <v>20950</v>
      </c>
      <c r="C30" s="4">
        <f>('Kwh Reading'!T31-'Kwh Reading'!T30)*1000</f>
        <v>540.00000000002046</v>
      </c>
      <c r="D30" s="2">
        <f>('Kwh Reading'!F31-'Kwh Reading'!F30)*1000000</f>
        <v>2299.9999999999686</v>
      </c>
      <c r="E30" s="2">
        <f>('Kwh Reading'!C31-'Kwh Reading'!C30)*1000</f>
        <v>240.00000000000909</v>
      </c>
      <c r="F30" s="2">
        <f>('Kwh Reading'!J31-'Kwh Reading'!J30)*1000</f>
        <v>259.99999999999091</v>
      </c>
      <c r="G30" s="2">
        <f>('Kwh Reading'!K31-'Kwh Reading'!K30)*1000</f>
        <v>289.99999999996362</v>
      </c>
      <c r="H30" s="2">
        <f>('Kwh Reading'!L31-'Kwh Reading'!L30)*1000</f>
        <v>200.00000000001705</v>
      </c>
      <c r="I30" s="2">
        <f>('Kwh Reading'!R31-'Kwh Reading'!R30)*1000</f>
        <v>199.99999999998863</v>
      </c>
      <c r="J30" s="2">
        <f>('Kwh Reading'!S31-'Kwh Reading'!S30)*1000</f>
        <v>132.99999999999557</v>
      </c>
      <c r="K30" s="2">
        <f>('Kwh Reading'!I31-'Kwh Reading'!I30)*1000</f>
        <v>250</v>
      </c>
      <c r="L30" s="2">
        <f>('Kwh Reading'!B31-'Kwh Reading'!B30)*1000</f>
        <v>990.00000000000909</v>
      </c>
      <c r="M30" s="2">
        <f>('Kwh Reading'!M31-'Kwh Reading'!M30)*1000</f>
        <v>620.00000000000455</v>
      </c>
      <c r="N30" s="2">
        <f>('Kwh Reading'!H31-'Kwh Reading'!H30)*1000</f>
        <v>779.99999999997272</v>
      </c>
      <c r="O30" s="2">
        <f>('Kwh Reading'!P31-'Kwh Reading'!P30)*1000</f>
        <v>799.99999999995453</v>
      </c>
      <c r="P30" s="2">
        <f>('Kwh Reading'!G31-'Kwh Reading'!G30)*1000</f>
        <v>819.99999999993634</v>
      </c>
      <c r="Q30" s="2">
        <f>('Kwh Reading'!Q31-'Kwh Reading'!Q30)*1000</f>
        <v>660.00000000002501</v>
      </c>
      <c r="R30" s="2">
        <f>('Kwh Reading'!N31-'Kwh Reading'!N30)*1000</f>
        <v>710.00000000003638</v>
      </c>
      <c r="S30" s="2">
        <f>'Kwh Reading'!E31-'Kwh Reading'!E30</f>
        <v>2403.769999999553</v>
      </c>
      <c r="T30" s="2">
        <f>'Kwh Reading'!D31-'Kwh Reading'!D30</f>
        <v>1763.7400000002235</v>
      </c>
      <c r="U30" s="27">
        <f>('Kwh Reading'!O31-'Kwh Reading'!O30)*1000</f>
        <v>200.00000000000284</v>
      </c>
      <c r="V30" s="16">
        <f t="shared" si="0"/>
        <v>6789.4900000003254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565129.99999999942</v>
      </c>
      <c r="C35" s="75">
        <f t="shared" ref="C35" si="1">SUM(C4:C34)</f>
        <v>13889.999999999984</v>
      </c>
      <c r="D35" s="75">
        <f t="shared" ref="D35" si="2">SUM(D4:D34)</f>
        <v>68100.000000000044</v>
      </c>
      <c r="E35" s="75">
        <f t="shared" ref="E35" si="3">SUM(E4:E34)</f>
        <v>6960.0000000000082</v>
      </c>
      <c r="F35" s="75">
        <f t="shared" ref="F35" si="4">SUM(F4:F34)</f>
        <v>8910.0000000000236</v>
      </c>
      <c r="G35" s="75">
        <f t="shared" ref="G35:U35" si="5">SUM(G4:G34)</f>
        <v>10349.999999999964</v>
      </c>
      <c r="H35" s="75">
        <f t="shared" si="5"/>
        <v>7069.9999999999927</v>
      </c>
      <c r="I35" s="75">
        <f t="shared" si="5"/>
        <v>4409.9999999999964</v>
      </c>
      <c r="J35" s="75">
        <f t="shared" si="5"/>
        <v>3725.9999999999991</v>
      </c>
      <c r="K35" s="75">
        <f t="shared" si="5"/>
        <v>6539.9999999999918</v>
      </c>
      <c r="L35" s="75">
        <f t="shared" si="5"/>
        <v>30950.000000000051</v>
      </c>
      <c r="M35" s="75">
        <f t="shared" si="5"/>
        <v>17580.00000000004</v>
      </c>
      <c r="N35" s="75">
        <f t="shared" si="5"/>
        <v>21610.000000000007</v>
      </c>
      <c r="O35" s="75">
        <f t="shared" si="5"/>
        <v>21069.999999999993</v>
      </c>
      <c r="P35" s="75">
        <f t="shared" si="5"/>
        <v>21829.999999999935</v>
      </c>
      <c r="Q35" s="75">
        <f t="shared" si="5"/>
        <v>16800.000000000011</v>
      </c>
      <c r="R35" s="75">
        <f t="shared" si="5"/>
        <v>18610.000000000015</v>
      </c>
      <c r="S35" s="75">
        <f t="shared" si="5"/>
        <v>74489.479999999516</v>
      </c>
      <c r="T35" s="75">
        <f t="shared" si="5"/>
        <v>52802.810000000522</v>
      </c>
      <c r="U35" s="75">
        <f t="shared" si="5"/>
        <v>6609.9999999999973</v>
      </c>
      <c r="V35" s="75">
        <f>SUM(V4:V34)</f>
        <v>152821.70999999926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D24" activePane="bottomRight" state="frozen"/>
      <selection pane="topRight" activeCell="C1" sqref="C1"/>
      <selection pane="bottomLeft" activeCell="A3" sqref="A3"/>
      <selection pane="bottomRight" activeCell="K48" sqref="K48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21389.999999999647</v>
      </c>
      <c r="C24" s="1">
        <f>'Kwh Consumption'!C25</f>
        <v>250</v>
      </c>
      <c r="D24" s="1">
        <f>'Kwh Consumption'!D25</f>
        <v>2600.0000000001578</v>
      </c>
      <c r="E24" s="1">
        <f>'Kwh Consumption'!E25</f>
        <v>259.99999999999091</v>
      </c>
      <c r="F24" s="1">
        <f>('Kwh Consumption'!F25+'Kwh Consumption'!G25+'Kwh Consumption'!H25)</f>
        <v>969.99999999999886</v>
      </c>
      <c r="G24" s="16">
        <f>('Kwh Consumption'!I25+'Kwh Consumption'!J25)</f>
        <v>317.99999999999784</v>
      </c>
      <c r="H24" s="1">
        <f>('Kwh Consumption'!K25+'Kwh Consumption'!L25)</f>
        <v>1600.0000000000227</v>
      </c>
      <c r="I24" s="1">
        <f>('Kwh Consumption'!M25+'Kwh Consumption'!N25+'Kwh Consumption'!O25+'Kwh Consumption'!P25+'Kwh Consumption'!Q25+'Kwh Consumption'!R25)</f>
        <v>4689.9999999999982</v>
      </c>
      <c r="J24" s="1">
        <f>('Kwh Consumption'!S25+'Kwh Consumption'!T25)</f>
        <v>4687.3799999989569</v>
      </c>
      <c r="K24" s="1">
        <f>'Kwh Consumption'!U25</f>
        <v>210.00000000000796</v>
      </c>
      <c r="L24" s="32">
        <f t="shared" si="0"/>
        <v>5804.6200000005165</v>
      </c>
    </row>
    <row r="25" spans="1:12" x14ac:dyDescent="0.25">
      <c r="A25" s="14">
        <f>'Kwh Reading'!A26</f>
        <v>44219</v>
      </c>
      <c r="B25" s="83">
        <f>TOTAL!E24</f>
        <v>22340.000000000371</v>
      </c>
      <c r="C25" s="1">
        <f>'Kwh Consumption'!C26</f>
        <v>549.99999999995453</v>
      </c>
      <c r="D25" s="1">
        <f>'Kwh Consumption'!D26</f>
        <v>2399.9999999999577</v>
      </c>
      <c r="E25" s="1">
        <f>'Kwh Consumption'!E26</f>
        <v>230.00000000001819</v>
      </c>
      <c r="F25" s="1">
        <f>('Kwh Consumption'!F26+'Kwh Consumption'!G26+'Kwh Consumption'!H26)</f>
        <v>740.00000000000909</v>
      </c>
      <c r="G25" s="16">
        <f>('Kwh Consumption'!I26+'Kwh Consumption'!J26)</f>
        <v>299.00000000000659</v>
      </c>
      <c r="H25" s="1">
        <f>('Kwh Consumption'!K26+'Kwh Consumption'!L26)</f>
        <v>1429.99999999995</v>
      </c>
      <c r="I25" s="1">
        <f>('Kwh Consumption'!M26+'Kwh Consumption'!N26+'Kwh Consumption'!O26+'Kwh Consumption'!P26+'Kwh Consumption'!Q26+'Kwh Consumption'!R26)</f>
        <v>4589.9999999999745</v>
      </c>
      <c r="J25" s="1">
        <f>('Kwh Consumption'!S26+'Kwh Consumption'!T26)</f>
        <v>5022.2700000014156</v>
      </c>
      <c r="K25" s="1">
        <f>'Kwh Consumption'!U26</f>
        <v>199.99999999998863</v>
      </c>
      <c r="L25" s="32">
        <f t="shared" si="0"/>
        <v>6878.7299999990937</v>
      </c>
    </row>
    <row r="26" spans="1:12" x14ac:dyDescent="0.25">
      <c r="A26" s="14">
        <f>'Kwh Reading'!A27</f>
        <v>44220</v>
      </c>
      <c r="B26" s="83">
        <f>TOTAL!E25</f>
        <v>22340.000000000146</v>
      </c>
      <c r="C26" s="1">
        <f>'Kwh Consumption'!C27</f>
        <v>509.99999999999091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939.9999999999693</v>
      </c>
      <c r="G26" s="16">
        <f>('Kwh Consumption'!I27+'Kwh Consumption'!J27)</f>
        <v>219.99999999999886</v>
      </c>
      <c r="H26" s="1">
        <f>('Kwh Consumption'!K27+'Kwh Consumption'!L27)</f>
        <v>1470.0000000000557</v>
      </c>
      <c r="I26" s="1">
        <f>('Kwh Consumption'!M27+'Kwh Consumption'!N27+'Kwh Consumption'!O27+'Kwh Consumption'!P27+'Kwh Consumption'!Q27+'Kwh Consumption'!R27)</f>
        <v>4879.9999999999955</v>
      </c>
      <c r="J26" s="1">
        <f>('Kwh Consumption'!S27+'Kwh Consumption'!T27)</f>
        <v>5405.019999999553</v>
      </c>
      <c r="K26" s="1">
        <f>'Kwh Consumption'!U27</f>
        <v>230.00000000000398</v>
      </c>
      <c r="L26" s="32">
        <f t="shared" si="0"/>
        <v>5944.9800000006471</v>
      </c>
    </row>
    <row r="27" spans="1:12" x14ac:dyDescent="0.25">
      <c r="A27" s="14">
        <f>'Kwh Reading'!A28</f>
        <v>44221</v>
      </c>
      <c r="B27" s="83">
        <f>TOTAL!E26</f>
        <v>21589.99999999992</v>
      </c>
      <c r="C27" s="1">
        <f>'Kwh Consumption'!C28</f>
        <v>520.00000000003865</v>
      </c>
      <c r="D27" s="1">
        <f>'Kwh Consumption'!D28</f>
        <v>2599.9999999999359</v>
      </c>
      <c r="E27" s="1">
        <f>'Kwh Consumption'!E28</f>
        <v>260.00000000001933</v>
      </c>
      <c r="F27" s="1">
        <f>('Kwh Consumption'!F28+'Kwh Consumption'!G28+'Kwh Consumption'!H28)</f>
        <v>980.00000000001819</v>
      </c>
      <c r="G27" s="16">
        <f>('Kwh Consumption'!I28+'Kwh Consumption'!J28)</f>
        <v>292.99999999999216</v>
      </c>
      <c r="H27" s="1">
        <f>('Kwh Consumption'!K28+'Kwh Consumption'!L28)</f>
        <v>1470.0000000000273</v>
      </c>
      <c r="I27" s="1">
        <f>('Kwh Consumption'!M28+'Kwh Consumption'!N28+'Kwh Consumption'!O28+'Kwh Consumption'!P28+'Kwh Consumption'!Q28+'Kwh Consumption'!R28)</f>
        <v>4960.0000000000928</v>
      </c>
      <c r="J27" s="1">
        <f>('Kwh Consumption'!S28+'Kwh Consumption'!T28)</f>
        <v>5024.8700000001118</v>
      </c>
      <c r="K27" s="1">
        <f>'Kwh Consumption'!U28</f>
        <v>209.99999999999375</v>
      </c>
      <c r="L27" s="32">
        <f t="shared" si="0"/>
        <v>5272.1299999996909</v>
      </c>
    </row>
    <row r="28" spans="1:12" x14ac:dyDescent="0.25">
      <c r="A28" s="14">
        <f>'Kwh Reading'!A29</f>
        <v>44222</v>
      </c>
      <c r="B28" s="83">
        <f>TOTAL!E27</f>
        <v>20749.999999999545</v>
      </c>
      <c r="C28" s="1">
        <f>'Kwh Consumption'!C29</f>
        <v>539.99999999996362</v>
      </c>
      <c r="D28" s="1">
        <f>'Kwh Consumption'!D29</f>
        <v>2800.0000000001355</v>
      </c>
      <c r="E28" s="1">
        <f>'Kwh Consumption'!E29</f>
        <v>269.99999999998181</v>
      </c>
      <c r="F28" s="1">
        <f>('Kwh Consumption'!F29+'Kwh Consumption'!G29+'Kwh Consumption'!H29)</f>
        <v>1090.0000000000318</v>
      </c>
      <c r="G28" s="16">
        <f>('Kwh Consumption'!I29+'Kwh Consumption'!J29)</f>
        <v>298.00000000001603</v>
      </c>
      <c r="H28" s="1">
        <f>('Kwh Consumption'!K29+'Kwh Consumption'!L29)</f>
        <v>1439.9999999999409</v>
      </c>
      <c r="I28" s="1">
        <f>('Kwh Consumption'!M29+'Kwh Consumption'!N29+'Kwh Consumption'!O29+'Kwh Consumption'!P29+'Kwh Consumption'!Q29+'Kwh Consumption'!R29)</f>
        <v>4979.9999999999618</v>
      </c>
      <c r="J28" s="1">
        <f>('Kwh Consumption'!S29+'Kwh Consumption'!T29)</f>
        <v>4743.2999999998137</v>
      </c>
      <c r="K28" s="1">
        <f>'Kwh Consumption'!U29</f>
        <v>200.00000000000284</v>
      </c>
      <c r="L28" s="32">
        <f t="shared" si="0"/>
        <v>4388.6999999996979</v>
      </c>
    </row>
    <row r="29" spans="1:12" x14ac:dyDescent="0.25">
      <c r="A29" s="14">
        <f>'Kwh Reading'!A30</f>
        <v>44223</v>
      </c>
      <c r="B29" s="83">
        <v>20950</v>
      </c>
      <c r="C29" s="1">
        <f>'Kwh Consumption'!C30</f>
        <v>540.00000000002046</v>
      </c>
      <c r="D29" s="1">
        <f>'Kwh Consumption'!D30</f>
        <v>2299.9999999999686</v>
      </c>
      <c r="E29" s="1">
        <f>'Kwh Consumption'!E30</f>
        <v>240.00000000000909</v>
      </c>
      <c r="F29" s="1">
        <f>('Kwh Consumption'!F30+'Kwh Consumption'!G30+'Kwh Consumption'!H30)</f>
        <v>749.99999999997158</v>
      </c>
      <c r="G29" s="16">
        <f>('Kwh Consumption'!I30+'Kwh Consumption'!J30)</f>
        <v>332.9999999999842</v>
      </c>
      <c r="H29" s="1">
        <f>('Kwh Consumption'!K30+'Kwh Consumption'!L30)</f>
        <v>1240.0000000000091</v>
      </c>
      <c r="I29" s="1">
        <f>('Kwh Consumption'!M30+'Kwh Consumption'!N30+'Kwh Consumption'!O30+'Kwh Consumption'!P30+'Kwh Consumption'!Q30+'Kwh Consumption'!R30)</f>
        <v>4389.9999999999291</v>
      </c>
      <c r="J29" s="1">
        <f>('Kwh Consumption'!S30+'Kwh Consumption'!T30)</f>
        <v>4167.5099999997765</v>
      </c>
      <c r="K29" s="1">
        <f>'Kwh Consumption'!U30</f>
        <v>200.00000000000284</v>
      </c>
      <c r="L29" s="32">
        <f t="shared" si="0"/>
        <v>6789.4900000003263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0</v>
      </c>
      <c r="I30" s="1">
        <v>0</v>
      </c>
      <c r="J30" s="1">
        <v>0</v>
      </c>
      <c r="K30" s="1"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565129.99999999942</v>
      </c>
      <c r="C34" s="75">
        <f>SUM(C3:C33)</f>
        <v>13889.999999999984</v>
      </c>
      <c r="D34" s="75">
        <f t="shared" ref="D34:L34" si="1">SUM(D3:D33)</f>
        <v>68100.000000000044</v>
      </c>
      <c r="E34" s="75">
        <f t="shared" si="1"/>
        <v>6960.0000000000082</v>
      </c>
      <c r="F34" s="75">
        <f t="shared" si="1"/>
        <v>26329.999999999985</v>
      </c>
      <c r="G34" s="75">
        <f t="shared" si="1"/>
        <v>8135.9999999999964</v>
      </c>
      <c r="H34" s="75">
        <f t="shared" si="1"/>
        <v>37490.000000000036</v>
      </c>
      <c r="I34" s="75">
        <f t="shared" si="1"/>
        <v>117500</v>
      </c>
      <c r="J34" s="75">
        <f t="shared" si="1"/>
        <v>127292.29000000004</v>
      </c>
      <c r="K34" s="75">
        <f t="shared" si="1"/>
        <v>6609.9999999999973</v>
      </c>
      <c r="L34" s="75">
        <f t="shared" si="1"/>
        <v>152821.70999999929</v>
      </c>
      <c r="M34" s="84">
        <f>C34+D34+E34+F34+G34+H34+I34+J34+K34+L34</f>
        <v>565129.99999999942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1944.5999999999979</v>
      </c>
      <c r="D36" s="75">
        <f>D34*B36</f>
        <v>9534.0000000000073</v>
      </c>
      <c r="E36" s="75">
        <f>E34*B36</f>
        <v>974.40000000000123</v>
      </c>
      <c r="F36" s="75">
        <f>F34*B36</f>
        <v>3686.1999999999985</v>
      </c>
      <c r="G36" s="75">
        <f>G34*B36</f>
        <v>1139.0399999999995</v>
      </c>
      <c r="H36" s="75">
        <f>H34*B36</f>
        <v>5248.6000000000058</v>
      </c>
      <c r="I36" s="75">
        <f>I34*B36</f>
        <v>16450</v>
      </c>
      <c r="J36" s="75">
        <f>J34*B36</f>
        <v>17820.920600000009</v>
      </c>
      <c r="K36" s="75">
        <f>K34*B36</f>
        <v>925.39999999999975</v>
      </c>
      <c r="L36" s="75">
        <f>L34*B36</f>
        <v>21395.039399999903</v>
      </c>
      <c r="M36" s="84">
        <f>C36+D36+E36+F36+G36+H36+I36+J36+K36+L36</f>
        <v>79118.199999999924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D37" sqref="D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2994.5999999999508</v>
      </c>
      <c r="D24" s="1">
        <f>'Kwh Consumption'!C25*' Kwh area wise $ '!B24</f>
        <v>35</v>
      </c>
      <c r="E24" s="1">
        <f>'Kwh Consumption'!D25*' Kwh area wise $ '!B24</f>
        <v>364.00000000002211</v>
      </c>
      <c r="F24" s="1">
        <f>'Kwh Consumption'!E25*' Kwh area wise $ '!B24</f>
        <v>36.399999999998727</v>
      </c>
      <c r="G24" s="1">
        <f>('Kwh Consumption'!F25+'Kwh Consumption'!G25+'Kwh Consumption'!H25)*' Kwh area wise $ '!B24</f>
        <v>135.79999999999984</v>
      </c>
      <c r="H24" s="16">
        <f>('Kwh Consumption'!I25+'Kwh Consumption'!J25)*' Kwh area wise $ '!B24</f>
        <v>44.519999999999705</v>
      </c>
      <c r="I24" s="1">
        <f>('Kwh Consumption'!K25+'Kwh Consumption'!L25)*' Kwh area wise $ '!B24</f>
        <v>224.00000000000321</v>
      </c>
      <c r="J24" s="1">
        <f>('Kwh Consumption'!M25+'Kwh Consumption'!N25+'Kwh Consumption'!O25+'Kwh Consumption'!P25+'Kwh Consumption'!Q25+'Kwh Consumption'!R25)*' Kwh area wise $ '!B24</f>
        <v>656.5999999999998</v>
      </c>
      <c r="K24" s="1">
        <f>('Kwh Consumption'!S25+'Kwh Consumption'!T25)*' Kwh area wise $ '!B24</f>
        <v>656.23319999985404</v>
      </c>
      <c r="L24" s="1">
        <f>'Kwh Consumption'!U25*' Kwh area wise $ '!B24</f>
        <v>29.400000000001118</v>
      </c>
      <c r="M24" s="1">
        <f>'Kwh Consumption'!V25*' Kwh area wise $ '!B24</f>
        <v>812.64680000007252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3127.6000000000522</v>
      </c>
      <c r="D25" s="1">
        <f>'Kwh Consumption'!C26*' Kwh area wise $ '!B25</f>
        <v>76.999999999993648</v>
      </c>
      <c r="E25" s="1">
        <f>'Kwh Consumption'!D26*' Kwh area wise $ '!B25</f>
        <v>335.99999999999409</v>
      </c>
      <c r="F25" s="1">
        <f>'Kwh Consumption'!E26*' Kwh area wise $ '!B25</f>
        <v>32.200000000002547</v>
      </c>
      <c r="G25" s="1">
        <f>('Kwh Consumption'!F26+'Kwh Consumption'!G26+'Kwh Consumption'!H26)*' Kwh area wise $ '!B25</f>
        <v>103.60000000000129</v>
      </c>
      <c r="H25" s="16">
        <f>('Kwh Consumption'!I26+'Kwh Consumption'!J26)*' Kwh area wise $ '!B25</f>
        <v>41.86000000000093</v>
      </c>
      <c r="I25" s="1">
        <f>('Kwh Consumption'!K26+'Kwh Consumption'!L26)*' Kwh area wise $ '!B25</f>
        <v>200.19999999999303</v>
      </c>
      <c r="J25" s="1">
        <f>('Kwh Consumption'!M26+'Kwh Consumption'!N26+'Kwh Consumption'!O26+'Kwh Consumption'!P26+'Kwh Consumption'!Q26+'Kwh Consumption'!R26)*' Kwh area wise $ '!B25</f>
        <v>642.5999999999965</v>
      </c>
      <c r="K25" s="1">
        <f>('Kwh Consumption'!S26+'Kwh Consumption'!T26)*' Kwh area wise $ '!B25</f>
        <v>703.11780000019826</v>
      </c>
      <c r="L25" s="1">
        <f>'Kwh Consumption'!U26*' Kwh area wise $ '!B25</f>
        <v>27.999999999998412</v>
      </c>
      <c r="M25" s="1">
        <f>'Kwh Consumption'!V26*' Kwh area wise $ '!B25</f>
        <v>963.02219999987346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3127.6000000000208</v>
      </c>
      <c r="D26" s="1">
        <f>'Kwh Consumption'!C27*' Kwh area wise $ '!B26</f>
        <v>71.399999999998727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131.5999999999957</v>
      </c>
      <c r="H26" s="16">
        <f>('Kwh Consumption'!I27+'Kwh Consumption'!J27)*' Kwh area wise $ '!B26</f>
        <v>30.799999999999844</v>
      </c>
      <c r="I26" s="1">
        <f>('Kwh Consumption'!K27+'Kwh Consumption'!L27)*' Kwh area wise $ '!B26</f>
        <v>205.80000000000783</v>
      </c>
      <c r="J26" s="1">
        <f>('Kwh Consumption'!M27+'Kwh Consumption'!N27+'Kwh Consumption'!O27+'Kwh Consumption'!P27+'Kwh Consumption'!Q27+'Kwh Consumption'!R27)*' Kwh area wise $ '!B26</f>
        <v>683.19999999999948</v>
      </c>
      <c r="K26" s="1">
        <f>('Kwh Consumption'!S27+'Kwh Consumption'!T27)*' Kwh area wise $ '!B26</f>
        <v>756.7027999999375</v>
      </c>
      <c r="L26" s="1">
        <f>'Kwh Consumption'!U27*' Kwh area wise $ '!B26</f>
        <v>32.200000000000557</v>
      </c>
      <c r="M26" s="1">
        <f>'Kwh Consumption'!V27*' Kwh area wise $ '!B26</f>
        <v>832.29720000009115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3022.599999999989</v>
      </c>
      <c r="D27" s="1">
        <f>'Kwh Consumption'!C28*' Kwh area wise $ '!B27</f>
        <v>72.800000000005411</v>
      </c>
      <c r="E27" s="1">
        <f>'Kwh Consumption'!D28*' Kwh area wise $ '!B27</f>
        <v>363.99999999999108</v>
      </c>
      <c r="F27" s="1">
        <f>'Kwh Consumption'!E28*' Kwh area wise $ '!B27</f>
        <v>36.400000000002706</v>
      </c>
      <c r="G27" s="1">
        <f>('Kwh Consumption'!F28+'Kwh Consumption'!G28+'Kwh Consumption'!H28)*' Kwh area wise $ '!B27</f>
        <v>137.20000000000255</v>
      </c>
      <c r="H27" s="16">
        <f>('Kwh Consumption'!I28+'Kwh Consumption'!J28)*' Kwh area wise $ '!B27</f>
        <v>41.019999999998909</v>
      </c>
      <c r="I27" s="1">
        <f>('Kwh Consumption'!K28+'Kwh Consumption'!L28)*' Kwh area wise $ '!B27</f>
        <v>205.80000000000385</v>
      </c>
      <c r="J27" s="1">
        <f>('Kwh Consumption'!M28+'Kwh Consumption'!N28+'Kwh Consumption'!O28+'Kwh Consumption'!P28+'Kwh Consumption'!Q28+'Kwh Consumption'!R28)*' Kwh area wise $ '!B27</f>
        <v>694.40000000001305</v>
      </c>
      <c r="K27" s="1">
        <f>('Kwh Consumption'!S28+'Kwh Consumption'!T28)*' Kwh area wise $ '!B27</f>
        <v>703.48180000001571</v>
      </c>
      <c r="L27" s="1">
        <f>'Kwh Consumption'!U28*' Kwh area wise $ '!B27</f>
        <v>29.399999999999128</v>
      </c>
      <c r="M27" s="1">
        <f>'Kwh Consumption'!V28*' Kwh area wise $ '!B27</f>
        <v>738.09819999995636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2904.9999999999368</v>
      </c>
      <c r="D28" s="1">
        <f>'Kwh Consumption'!C29*' Kwh area wise $ '!B28</f>
        <v>75.599999999994921</v>
      </c>
      <c r="E28" s="1">
        <f>'Kwh Consumption'!D29*' Kwh area wise $ '!B28</f>
        <v>392.00000000001899</v>
      </c>
      <c r="F28" s="1">
        <f>'Kwh Consumption'!E29*' Kwh area wise $ '!B28</f>
        <v>37.799999999997461</v>
      </c>
      <c r="G28" s="1">
        <f>('Kwh Consumption'!F29+'Kwh Consumption'!G29+'Kwh Consumption'!H29)*' Kwh area wise $ '!B28</f>
        <v>152.60000000000448</v>
      </c>
      <c r="H28" s="16">
        <f>('Kwh Consumption'!I29+'Kwh Consumption'!J29)*' Kwh area wise $ '!B28</f>
        <v>41.720000000002251</v>
      </c>
      <c r="I28" s="1">
        <f>('Kwh Consumption'!K29+'Kwh Consumption'!L29)*' Kwh area wise $ '!B28</f>
        <v>201.59999999999175</v>
      </c>
      <c r="J28" s="1">
        <f>('Kwh Consumption'!M29+'Kwh Consumption'!N29+'Kwh Consumption'!O29+'Kwh Consumption'!P29+'Kwh Consumption'!Q29+'Kwh Consumption'!R29)*' Kwh area wise $ '!B28</f>
        <v>697.1999999999947</v>
      </c>
      <c r="K28" s="1">
        <f>('Kwh Consumption'!S29+'Kwh Consumption'!T29)*' Kwh area wise $ '!B28</f>
        <v>664.06199999997398</v>
      </c>
      <c r="L28" s="1">
        <f>'Kwh Consumption'!U29*' Kwh area wise $ '!B28</f>
        <v>28.000000000000401</v>
      </c>
      <c r="M28" s="1">
        <f>'Kwh Consumption'!V29*' Kwh area wise $ '!B28</f>
        <v>614.4179999999576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2933.0000000000005</v>
      </c>
      <c r="D29" s="1">
        <f>'Kwh Consumption'!C30*' Kwh area wise $ '!B29</f>
        <v>75.600000000002879</v>
      </c>
      <c r="E29" s="1">
        <f>'Kwh Consumption'!D30*' Kwh area wise $ '!B29</f>
        <v>321.99999999999562</v>
      </c>
      <c r="F29" s="1">
        <f>'Kwh Consumption'!E30*' Kwh area wise $ '!B29</f>
        <v>33.600000000001273</v>
      </c>
      <c r="G29" s="1">
        <f>('Kwh Consumption'!F30+'Kwh Consumption'!G30+'Kwh Consumption'!H30)*' Kwh area wise $ '!B29</f>
        <v>104.99999999999604</v>
      </c>
      <c r="H29" s="16">
        <f>('Kwh Consumption'!I30+'Kwh Consumption'!J30)*' Kwh area wise $ '!B29</f>
        <v>46.619999999997795</v>
      </c>
      <c r="I29" s="1">
        <f>('Kwh Consumption'!K30+'Kwh Consumption'!L30)*' Kwh area wise $ '!B29</f>
        <v>173.6000000000013</v>
      </c>
      <c r="J29" s="1">
        <f>('Kwh Consumption'!M30+'Kwh Consumption'!N30+'Kwh Consumption'!O30+'Kwh Consumption'!P30+'Kwh Consumption'!Q30+'Kwh Consumption'!R30)*' Kwh area wise $ '!B29</f>
        <v>614.59999999999013</v>
      </c>
      <c r="K29" s="1">
        <f>('Kwh Consumption'!S30+'Kwh Consumption'!T30)*' Kwh area wise $ '!B29</f>
        <v>583.45139999996877</v>
      </c>
      <c r="L29" s="1">
        <f>'Kwh Consumption'!U30*' Kwh area wise $ '!B29</f>
        <v>28.000000000000401</v>
      </c>
      <c r="M29" s="1">
        <f>'Kwh Consumption'!V30*' Kwh area wise $ '!B29</f>
        <v>950.52860000004569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79118.199999999924</v>
      </c>
      <c r="D34" s="75">
        <f t="shared" si="0"/>
        <v>1944.5999999999981</v>
      </c>
      <c r="E34" s="75">
        <f t="shared" si="0"/>
        <v>9534.0000000000091</v>
      </c>
      <c r="F34" s="75">
        <f t="shared" si="0"/>
        <v>974.40000000000111</v>
      </c>
      <c r="G34" s="75">
        <f t="shared" si="0"/>
        <v>3686.1999999999989</v>
      </c>
      <c r="H34" s="75">
        <f t="shared" si="0"/>
        <v>1139.0399999999997</v>
      </c>
      <c r="I34" s="75">
        <f t="shared" si="0"/>
        <v>5248.6000000000067</v>
      </c>
      <c r="J34" s="75">
        <f t="shared" si="0"/>
        <v>16450.000000000004</v>
      </c>
      <c r="K34" s="75">
        <f t="shared" si="0"/>
        <v>17820.920600000005</v>
      </c>
      <c r="L34" s="75">
        <f t="shared" si="0"/>
        <v>925.40000000000032</v>
      </c>
      <c r="M34" s="75">
        <f>SUM(M3:M33)</f>
        <v>21395.039399999903</v>
      </c>
      <c r="N34" s="84">
        <f>D34+E34+F34+G34+H34+I34+J34+K34+L34+M34</f>
        <v>79118.199999999924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B30" sqref="B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>
        <v>140577</v>
      </c>
      <c r="C25" s="33">
        <v>96618</v>
      </c>
      <c r="D25" s="55">
        <v>186548</v>
      </c>
      <c r="E25" s="55">
        <v>238383</v>
      </c>
      <c r="F25" s="55">
        <v>66840</v>
      </c>
      <c r="G25" s="55">
        <v>108577</v>
      </c>
      <c r="H25" s="33">
        <v>45190</v>
      </c>
      <c r="I25" s="55">
        <v>57380</v>
      </c>
      <c r="J25" s="55">
        <v>18231</v>
      </c>
      <c r="K25" s="55">
        <v>1024</v>
      </c>
      <c r="L25" s="55">
        <v>16162</v>
      </c>
      <c r="M25" s="55">
        <v>21826</v>
      </c>
      <c r="N25" s="55">
        <v>6641</v>
      </c>
      <c r="O25" s="55">
        <v>1538</v>
      </c>
      <c r="P25" s="55">
        <v>25782</v>
      </c>
      <c r="Q25" s="33">
        <v>30</v>
      </c>
      <c r="R25" s="55">
        <v>5408</v>
      </c>
    </row>
    <row r="26" spans="1:22" x14ac:dyDescent="0.25">
      <c r="A26" s="54">
        <v>44220</v>
      </c>
      <c r="B26" s="33">
        <v>140746</v>
      </c>
      <c r="C26" s="56">
        <v>96771</v>
      </c>
      <c r="D26" s="55">
        <v>186723</v>
      </c>
      <c r="E26" s="55">
        <v>238441</v>
      </c>
      <c r="F26" s="55">
        <v>66840</v>
      </c>
      <c r="G26" s="55">
        <v>108601</v>
      </c>
      <c r="H26" s="33">
        <v>45208</v>
      </c>
      <c r="I26" s="55">
        <v>57405</v>
      </c>
      <c r="J26" s="55">
        <v>18242</v>
      </c>
      <c r="K26" s="55">
        <v>1024</v>
      </c>
      <c r="L26" s="55">
        <v>16169</v>
      </c>
      <c r="M26" s="55">
        <v>21904</v>
      </c>
      <c r="N26" s="55">
        <v>6646</v>
      </c>
      <c r="O26" s="55">
        <v>1539</v>
      </c>
      <c r="P26" s="55">
        <v>25782</v>
      </c>
      <c r="Q26" s="33">
        <v>33</v>
      </c>
      <c r="R26" s="55">
        <v>5415</v>
      </c>
    </row>
    <row r="27" spans="1:22" x14ac:dyDescent="0.25">
      <c r="A27" s="54">
        <v>44221</v>
      </c>
      <c r="B27" s="33">
        <v>140877</v>
      </c>
      <c r="C27" s="33">
        <v>96967</v>
      </c>
      <c r="D27" s="55">
        <v>186888</v>
      </c>
      <c r="E27" s="55">
        <v>238501</v>
      </c>
      <c r="F27" s="55">
        <v>66841</v>
      </c>
      <c r="G27" s="55">
        <v>108662</v>
      </c>
      <c r="H27" s="33">
        <v>45229</v>
      </c>
      <c r="I27" s="55">
        <v>57437</v>
      </c>
      <c r="J27" s="55">
        <v>18254</v>
      </c>
      <c r="K27" s="55">
        <v>1024</v>
      </c>
      <c r="L27" s="55">
        <v>16177</v>
      </c>
      <c r="M27" s="55">
        <v>21917</v>
      </c>
      <c r="N27" s="55">
        <v>6648</v>
      </c>
      <c r="O27" s="55">
        <v>1539</v>
      </c>
      <c r="P27" s="55">
        <v>25794</v>
      </c>
      <c r="Q27" s="33">
        <v>34</v>
      </c>
      <c r="R27" s="55">
        <v>5422</v>
      </c>
    </row>
    <row r="28" spans="1:22" x14ac:dyDescent="0.25">
      <c r="A28" s="54">
        <v>44222</v>
      </c>
      <c r="B28" s="33">
        <v>141008</v>
      </c>
      <c r="C28" s="56">
        <v>97105</v>
      </c>
      <c r="D28" s="55">
        <v>187005</v>
      </c>
      <c r="E28" s="55">
        <v>238560</v>
      </c>
      <c r="F28" s="55">
        <v>66841</v>
      </c>
      <c r="G28" s="55">
        <v>108647</v>
      </c>
      <c r="H28" s="33">
        <v>45253</v>
      </c>
      <c r="I28" s="55">
        <v>57453</v>
      </c>
      <c r="J28" s="55">
        <v>18265</v>
      </c>
      <c r="K28" s="55">
        <v>1024</v>
      </c>
      <c r="L28" s="55">
        <v>16184</v>
      </c>
      <c r="M28" s="55">
        <v>21932</v>
      </c>
      <c r="N28" s="55">
        <v>6651</v>
      </c>
      <c r="O28" s="55">
        <v>1540</v>
      </c>
      <c r="P28" s="55">
        <v>25794</v>
      </c>
      <c r="Q28" s="33">
        <v>40</v>
      </c>
      <c r="R28" s="55">
        <v>5428</v>
      </c>
    </row>
    <row r="29" spans="1:22" x14ac:dyDescent="0.25">
      <c r="A29" s="54">
        <v>44223</v>
      </c>
      <c r="B29" s="33">
        <v>141204</v>
      </c>
      <c r="C29" s="33">
        <v>97285</v>
      </c>
      <c r="D29" s="55">
        <v>187179</v>
      </c>
      <c r="E29" s="55">
        <v>238633</v>
      </c>
      <c r="F29" s="55">
        <v>66841</v>
      </c>
      <c r="G29" s="55">
        <v>108675</v>
      </c>
      <c r="H29" s="33">
        <v>45297</v>
      </c>
      <c r="I29" s="10">
        <v>57478</v>
      </c>
      <c r="J29" s="55">
        <v>18277</v>
      </c>
      <c r="K29" s="55">
        <v>1024</v>
      </c>
      <c r="L29" s="55">
        <v>16191</v>
      </c>
      <c r="M29" s="55">
        <v>21940</v>
      </c>
      <c r="N29" s="55">
        <v>6654</v>
      </c>
      <c r="O29" s="55">
        <v>1541</v>
      </c>
      <c r="P29" s="55">
        <v>25802</v>
      </c>
      <c r="Q29" s="55">
        <v>45</v>
      </c>
      <c r="R29" s="55">
        <v>5436</v>
      </c>
    </row>
    <row r="30" spans="1:22" x14ac:dyDescent="0.25">
      <c r="A30" s="54">
        <v>44224</v>
      </c>
      <c r="B30" s="33">
        <v>141370</v>
      </c>
      <c r="C30" s="56">
        <v>97415</v>
      </c>
      <c r="D30" s="55">
        <v>187326</v>
      </c>
      <c r="E30" s="55">
        <v>238691</v>
      </c>
      <c r="F30" s="55">
        <v>66841</v>
      </c>
      <c r="G30" s="55">
        <v>108695</v>
      </c>
      <c r="H30" s="33">
        <v>45320</v>
      </c>
      <c r="I30" s="55">
        <v>57490</v>
      </c>
      <c r="J30" s="55">
        <v>18287</v>
      </c>
      <c r="K30" s="55">
        <v>1024</v>
      </c>
      <c r="L30" s="55">
        <v>16198</v>
      </c>
      <c r="M30" s="55">
        <v>21963</v>
      </c>
      <c r="N30" s="55">
        <v>6658</v>
      </c>
      <c r="O30" s="55">
        <v>1541</v>
      </c>
      <c r="P30" s="55">
        <v>26808</v>
      </c>
      <c r="Q30" s="55">
        <v>48</v>
      </c>
      <c r="R30" s="55">
        <v>5443</v>
      </c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22" activePane="bottomLeft" state="frozen"/>
      <selection activeCell="C25" sqref="C25"/>
      <selection pane="bottomLeft" activeCell="B30" sqref="B3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278</v>
      </c>
      <c r="C25" s="66">
        <f>('Water Reading'!B25-'Water Reading'!B24)+('Water Reading'!C25-'Water Reading'!C24)</f>
        <v>340</v>
      </c>
      <c r="D25" s="67">
        <f t="shared" si="2"/>
        <v>1.2230215827338129</v>
      </c>
      <c r="E25" s="87">
        <f>'Water Reading'!H25-'Water Reading'!H24</f>
        <v>32</v>
      </c>
      <c r="F25" s="89">
        <f t="shared" si="3"/>
        <v>9.4117647058823528E-2</v>
      </c>
      <c r="G25" s="93">
        <f>('Water Reading'!D25-'Water Reading'!D24)-('Water Reading'!R25-'Water Reading'!R24)-('Water Reading'!Q25-'Water Reading'!Q24)</f>
        <v>165</v>
      </c>
      <c r="H25" s="89">
        <f t="shared" si="4"/>
        <v>0.48529411764705882</v>
      </c>
      <c r="I25" s="90">
        <f>'Water Reading'!P25-'Water Reading'!P24</f>
        <v>23</v>
      </c>
      <c r="J25" s="68">
        <f t="shared" si="5"/>
        <v>6.7647058823529407E-2</v>
      </c>
      <c r="K25" s="90">
        <f>('Water Reading'!I25-'Water Reading'!I24)</f>
        <v>26</v>
      </c>
      <c r="L25" s="68">
        <f t="shared" si="6"/>
        <v>7.6470588235294124E-2</v>
      </c>
      <c r="M25" s="90">
        <f>'Water Reading'!R25-'Water Reading'!R24</f>
        <v>1</v>
      </c>
      <c r="N25" s="92">
        <f t="shared" si="7"/>
        <v>2.9411764705882353E-3</v>
      </c>
      <c r="O25" s="90">
        <f>'Water Reading'!Q25-'Water Reading'!Q24</f>
        <v>1</v>
      </c>
      <c r="P25" s="99">
        <f t="shared" si="8"/>
        <v>2.9411764705882353E-3</v>
      </c>
      <c r="Q25" s="91">
        <f>'Water Reading'!F25-'Water Reading'!F24</f>
        <v>1</v>
      </c>
      <c r="R25" s="100">
        <f t="shared" si="9"/>
        <v>2.9411764705882353E-3</v>
      </c>
      <c r="S25" s="94">
        <f>'Water Reading'!E25-'Water Reading'!E24</f>
        <v>56</v>
      </c>
      <c r="T25" s="100">
        <f t="shared" si="10"/>
        <v>0.16470588235294117</v>
      </c>
      <c r="U25" s="90">
        <f>'Water Reading'!G25-'Water Reading'!G24</f>
        <v>24</v>
      </c>
      <c r="V25" s="100">
        <f t="shared" si="11"/>
        <v>7.0588235294117646E-2</v>
      </c>
      <c r="W25" s="90">
        <f>'Water Reading'!J25-'Water Reading'!J24</f>
        <v>13</v>
      </c>
      <c r="X25" s="100">
        <f t="shared" si="12"/>
        <v>3.8235294117647062E-2</v>
      </c>
      <c r="Y25" s="66">
        <f t="shared" si="0"/>
        <v>342</v>
      </c>
      <c r="Z25" s="67">
        <f t="shared" si="1"/>
        <v>1.2302158273381294</v>
      </c>
    </row>
    <row r="26" spans="1:26" x14ac:dyDescent="0.25">
      <c r="A26" s="8">
        <f>'Water Reading'!A25</f>
        <v>44219</v>
      </c>
      <c r="B26" s="65">
        <f>TOTAL!I24</f>
        <v>269</v>
      </c>
      <c r="C26" s="66">
        <f>('Water Reading'!B26-'Water Reading'!B25)+('Water Reading'!C26-'Water Reading'!C25)</f>
        <v>322</v>
      </c>
      <c r="D26" s="67">
        <f t="shared" si="2"/>
        <v>1.1970260223048328</v>
      </c>
      <c r="E26" s="87">
        <f>'Water Reading'!H26-'Water Reading'!H25</f>
        <v>18</v>
      </c>
      <c r="F26" s="89">
        <f t="shared" si="3"/>
        <v>5.5900621118012424E-2</v>
      </c>
      <c r="G26" s="93">
        <f>('Water Reading'!D26-'Water Reading'!D25)-('Water Reading'!R26-'Water Reading'!R25)-('Water Reading'!Q26-'Water Reading'!Q25)</f>
        <v>165</v>
      </c>
      <c r="H26" s="89">
        <f t="shared" si="4"/>
        <v>0.51242236024844723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25</v>
      </c>
      <c r="L26" s="68">
        <f t="shared" si="6"/>
        <v>7.7639751552795025E-2</v>
      </c>
      <c r="M26" s="90">
        <f>'Water Reading'!R26-'Water Reading'!R25</f>
        <v>7</v>
      </c>
      <c r="N26" s="92">
        <f t="shared" si="7"/>
        <v>2.1739130434782608E-2</v>
      </c>
      <c r="O26" s="90">
        <f>'Water Reading'!Q26-'Water Reading'!Q25</f>
        <v>3</v>
      </c>
      <c r="P26" s="99">
        <f t="shared" si="8"/>
        <v>9.316770186335404E-3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0.18012422360248448</v>
      </c>
      <c r="U26" s="90">
        <f>'Water Reading'!G26-'Water Reading'!G25</f>
        <v>24</v>
      </c>
      <c r="V26" s="100">
        <f t="shared" si="11"/>
        <v>7.4534161490683232E-2</v>
      </c>
      <c r="W26" s="90">
        <f>'Water Reading'!J26-'Water Reading'!J25</f>
        <v>11</v>
      </c>
      <c r="X26" s="100">
        <f t="shared" si="12"/>
        <v>3.4161490683229816E-2</v>
      </c>
      <c r="Y26" s="66">
        <f t="shared" si="0"/>
        <v>311</v>
      </c>
      <c r="Z26" s="67">
        <f t="shared" si="1"/>
        <v>1.1561338289962826</v>
      </c>
    </row>
    <row r="27" spans="1:26" x14ac:dyDescent="0.25">
      <c r="A27" s="8">
        <f>'Water Reading'!A26</f>
        <v>44220</v>
      </c>
      <c r="B27" s="65">
        <f>TOTAL!I25</f>
        <v>267</v>
      </c>
      <c r="C27" s="66">
        <f>('Water Reading'!B27-'Water Reading'!B26)+('Water Reading'!C27-'Water Reading'!C26)</f>
        <v>327</v>
      </c>
      <c r="D27" s="67">
        <f t="shared" si="2"/>
        <v>1.2247191011235956</v>
      </c>
      <c r="E27" s="87">
        <f>'Water Reading'!H27-'Water Reading'!H26</f>
        <v>21</v>
      </c>
      <c r="F27" s="89">
        <f t="shared" si="3"/>
        <v>6.4220183486238536E-2</v>
      </c>
      <c r="G27" s="93">
        <f>('Water Reading'!D27-'Water Reading'!D26)-('Water Reading'!R27-'Water Reading'!R26)-('Water Reading'!Q27-'Water Reading'!Q26)</f>
        <v>157</v>
      </c>
      <c r="H27" s="89">
        <f t="shared" si="4"/>
        <v>0.4801223241590214</v>
      </c>
      <c r="I27" s="90">
        <f>'Water Reading'!P27-'Water Reading'!P26</f>
        <v>12</v>
      </c>
      <c r="J27" s="68">
        <f t="shared" si="5"/>
        <v>3.669724770642202E-2</v>
      </c>
      <c r="K27" s="90">
        <f>('Water Reading'!I27-'Water Reading'!I26)-('Water Reading'!P27-'Water Reading'!P26)</f>
        <v>20</v>
      </c>
      <c r="L27" s="68">
        <f t="shared" si="6"/>
        <v>6.1162079510703363E-2</v>
      </c>
      <c r="M27" s="90">
        <f>'Water Reading'!R27-'Water Reading'!R26</f>
        <v>7</v>
      </c>
      <c r="N27" s="92">
        <f t="shared" si="7"/>
        <v>2.1406727828746176E-2</v>
      </c>
      <c r="O27" s="90">
        <f>'Water Reading'!Q27-'Water Reading'!Q26</f>
        <v>1</v>
      </c>
      <c r="P27" s="99">
        <f t="shared" si="8"/>
        <v>3.0581039755351682E-3</v>
      </c>
      <c r="Q27" s="91">
        <f>'Water Reading'!F27-'Water Reading'!F26</f>
        <v>1</v>
      </c>
      <c r="R27" s="100">
        <f t="shared" si="9"/>
        <v>3.0581039755351682E-3</v>
      </c>
      <c r="S27" s="94">
        <f>'Water Reading'!E27-'Water Reading'!E26</f>
        <v>60</v>
      </c>
      <c r="T27" s="100">
        <f t="shared" si="10"/>
        <v>0.1834862385321101</v>
      </c>
      <c r="U27" s="90">
        <f>'Water Reading'!G27-'Water Reading'!G26</f>
        <v>61</v>
      </c>
      <c r="V27" s="100">
        <f t="shared" si="11"/>
        <v>0.18654434250764526</v>
      </c>
      <c r="W27" s="90">
        <f>'Water Reading'!J27-'Water Reading'!J26</f>
        <v>12</v>
      </c>
      <c r="X27" s="100">
        <f t="shared" si="12"/>
        <v>3.669724770642202E-2</v>
      </c>
      <c r="Y27" s="66">
        <f t="shared" si="0"/>
        <v>352</v>
      </c>
      <c r="Z27" s="67">
        <f t="shared" si="1"/>
        <v>1.3183520599250935</v>
      </c>
    </row>
    <row r="28" spans="1:26" x14ac:dyDescent="0.25">
      <c r="A28" s="8">
        <f>'Water Reading'!A27</f>
        <v>44221</v>
      </c>
      <c r="B28" s="65">
        <f>TOTAL!I26</f>
        <v>253</v>
      </c>
      <c r="C28" s="66">
        <f>('Water Reading'!B28-'Water Reading'!B27)+('Water Reading'!C28-'Water Reading'!C27)</f>
        <v>269</v>
      </c>
      <c r="D28" s="67">
        <f t="shared" si="2"/>
        <v>1.0632411067193677</v>
      </c>
      <c r="E28" s="87">
        <f>'Water Reading'!H28-'Water Reading'!H27</f>
        <v>24</v>
      </c>
      <c r="F28" s="89">
        <f t="shared" si="3"/>
        <v>8.9219330855018583E-2</v>
      </c>
      <c r="G28" s="93">
        <f>('Water Reading'!D28-'Water Reading'!D27)-('Water Reading'!R28-'Water Reading'!R27)-('Water Reading'!Q28-'Water Reading'!Q27)</f>
        <v>105</v>
      </c>
      <c r="H28" s="89">
        <f t="shared" si="4"/>
        <v>0.3903345724907063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16</v>
      </c>
      <c r="L28" s="68">
        <f t="shared" si="6"/>
        <v>5.9479553903345722E-2</v>
      </c>
      <c r="M28" s="90">
        <f>'Water Reading'!R28-'Water Reading'!R27</f>
        <v>6</v>
      </c>
      <c r="N28" s="92">
        <f t="shared" si="7"/>
        <v>2.2304832713754646E-2</v>
      </c>
      <c r="O28" s="90">
        <f>'Water Reading'!Q28-'Water Reading'!Q27</f>
        <v>6</v>
      </c>
      <c r="P28" s="99">
        <f t="shared" si="8"/>
        <v>2.2304832713754646E-2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59</v>
      </c>
      <c r="T28" s="100">
        <f t="shared" si="10"/>
        <v>0.21933085501858737</v>
      </c>
      <c r="U28" s="90">
        <f>'Water Reading'!G28-'Water Reading'!G27</f>
        <v>-15</v>
      </c>
      <c r="V28" s="100">
        <f t="shared" si="11"/>
        <v>-5.5762081784386616E-2</v>
      </c>
      <c r="W28" s="90">
        <f>'Water Reading'!J28-'Water Reading'!J27</f>
        <v>11</v>
      </c>
      <c r="X28" s="100">
        <f t="shared" si="12"/>
        <v>4.0892193308550186E-2</v>
      </c>
      <c r="Y28" s="66">
        <f t="shared" si="0"/>
        <v>212</v>
      </c>
      <c r="Z28" s="67">
        <f t="shared" si="1"/>
        <v>0.8379446640316206</v>
      </c>
    </row>
    <row r="29" spans="1:26" x14ac:dyDescent="0.25">
      <c r="A29" s="8">
        <f>'Water Reading'!A28</f>
        <v>44222</v>
      </c>
      <c r="B29" s="65">
        <f>TOTAL!I27</f>
        <v>251</v>
      </c>
      <c r="C29" s="66">
        <f>('Water Reading'!B29-'Water Reading'!B28)+('Water Reading'!C29-'Water Reading'!C28)</f>
        <v>376</v>
      </c>
      <c r="D29" s="67">
        <f t="shared" si="2"/>
        <v>1.49800796812749</v>
      </c>
      <c r="E29" s="87">
        <f>'Water Reading'!H29-'Water Reading'!H28</f>
        <v>44</v>
      </c>
      <c r="F29" s="89">
        <f t="shared" si="3"/>
        <v>0.11702127659574468</v>
      </c>
      <c r="G29" s="93">
        <f>('Water Reading'!D29-'Water Reading'!D28)-('Water Reading'!R29-'Water Reading'!R28)-('Water Reading'!Q29-'Water Reading'!Q28)</f>
        <v>161</v>
      </c>
      <c r="H29" s="89">
        <f t="shared" si="4"/>
        <v>0.42819148936170215</v>
      </c>
      <c r="I29" s="90">
        <f>'Water Reading'!P29-'Water Reading'!P28</f>
        <v>8</v>
      </c>
      <c r="J29" s="68">
        <f t="shared" si="5"/>
        <v>2.1276595744680851E-2</v>
      </c>
      <c r="K29" s="90">
        <f>('Water Reading'!I29-'Water Reading'!I28)</f>
        <v>25</v>
      </c>
      <c r="L29" s="68">
        <f t="shared" si="6"/>
        <v>6.6489361702127658E-2</v>
      </c>
      <c r="M29" s="90">
        <f>'Water Reading'!R29-'Water Reading'!R28</f>
        <v>8</v>
      </c>
      <c r="N29" s="92">
        <f t="shared" si="7"/>
        <v>2.1276595744680851E-2</v>
      </c>
      <c r="O29" s="90">
        <f>'Water Reading'!Q29-'Water Reading'!Q28</f>
        <v>5</v>
      </c>
      <c r="P29" s="99">
        <f t="shared" si="8"/>
        <v>1.3297872340425532E-2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73</v>
      </c>
      <c r="T29" s="100">
        <f t="shared" si="10"/>
        <v>0.19414893617021275</v>
      </c>
      <c r="U29" s="90">
        <f>'Water Reading'!G29-'Water Reading'!G28</f>
        <v>28</v>
      </c>
      <c r="V29" s="100">
        <f t="shared" si="11"/>
        <v>7.4468085106382975E-2</v>
      </c>
      <c r="W29" s="90">
        <f>'Water Reading'!J29-'Water Reading'!J28</f>
        <v>12</v>
      </c>
      <c r="X29" s="100">
        <f t="shared" si="12"/>
        <v>3.1914893617021274E-2</v>
      </c>
      <c r="Y29" s="66">
        <f t="shared" si="0"/>
        <v>364</v>
      </c>
      <c r="Z29" s="67">
        <f t="shared" si="1"/>
        <v>1.450199203187251</v>
      </c>
    </row>
    <row r="30" spans="1:26" x14ac:dyDescent="0.25">
      <c r="A30" s="8">
        <f>'Water Reading'!A29</f>
        <v>44223</v>
      </c>
      <c r="B30" s="65">
        <f>TOTAL!I28</f>
        <v>308</v>
      </c>
      <c r="C30" s="66">
        <f>('Water Reading'!B30-'Water Reading'!B29)+('Water Reading'!C30-'Water Reading'!C29)</f>
        <v>296</v>
      </c>
      <c r="D30" s="67">
        <f t="shared" si="2"/>
        <v>0.96103896103896103</v>
      </c>
      <c r="E30" s="87">
        <f>'Water Reading'!H30-'Water Reading'!H29</f>
        <v>23</v>
      </c>
      <c r="F30" s="89">
        <f t="shared" si="3"/>
        <v>7.77027027027027E-2</v>
      </c>
      <c r="G30" s="93">
        <f>('Water Reading'!D30-'Water Reading'!D29)-('Water Reading'!R30-'Water Reading'!R29)-('Water Reading'!Q30-'Water Reading'!Q29)</f>
        <v>137</v>
      </c>
      <c r="H30" s="89">
        <f t="shared" si="4"/>
        <v>0.46283783783783783</v>
      </c>
      <c r="I30" s="90">
        <f>'Water Reading'!P30-'Water Reading'!P29</f>
        <v>1006</v>
      </c>
      <c r="J30" s="68">
        <f t="shared" si="5"/>
        <v>3.3986486486486487</v>
      </c>
      <c r="K30" s="90">
        <f>('Water Reading'!I30-'Water Reading'!I29)-('Water Reading'!P30-'Water Reading'!P29)</f>
        <v>-994</v>
      </c>
      <c r="L30" s="68">
        <f t="shared" si="6"/>
        <v>-3.3581081081081079</v>
      </c>
      <c r="M30" s="90">
        <f>'Water Reading'!R30-'Water Reading'!R29</f>
        <v>7</v>
      </c>
      <c r="N30" s="92">
        <f t="shared" si="7"/>
        <v>2.364864864864865E-2</v>
      </c>
      <c r="O30" s="90">
        <f>'Water Reading'!Q30-'Water Reading'!Q29</f>
        <v>3</v>
      </c>
      <c r="P30" s="99">
        <f t="shared" si="8"/>
        <v>1.0135135135135136E-2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58</v>
      </c>
      <c r="T30" s="100">
        <f t="shared" si="10"/>
        <v>0.19594594594594594</v>
      </c>
      <c r="U30" s="90">
        <f>'Water Reading'!G30-'Water Reading'!G29</f>
        <v>20</v>
      </c>
      <c r="V30" s="100">
        <f t="shared" si="11"/>
        <v>6.7567567567567571E-2</v>
      </c>
      <c r="W30" s="90">
        <f>'Water Reading'!J30-'Water Reading'!J29</f>
        <v>10</v>
      </c>
      <c r="X30" s="100">
        <f t="shared" si="12"/>
        <v>3.3783783783783786E-2</v>
      </c>
      <c r="Y30" s="66">
        <f t="shared" si="0"/>
        <v>270</v>
      </c>
      <c r="Z30" s="67">
        <f t="shared" si="1"/>
        <v>0.87662337662337664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-238785</v>
      </c>
      <c r="D31" s="67" t="e">
        <f t="shared" si="2"/>
        <v>#DIV/0!</v>
      </c>
      <c r="E31" s="87">
        <f>'Water Reading'!H31-'Water Reading'!H30</f>
        <v>-45320</v>
      </c>
      <c r="F31" s="89">
        <f t="shared" si="3"/>
        <v>0.18979416630022825</v>
      </c>
      <c r="G31" s="93">
        <f>('Water Reading'!D31-'Water Reading'!D30)-('Water Reading'!R31-'Water Reading'!R30)-('Water Reading'!Q31-'Water Reading'!Q30)</f>
        <v>-181835</v>
      </c>
      <c r="H31" s="89">
        <f t="shared" si="4"/>
        <v>0.76150093180057377</v>
      </c>
      <c r="I31" s="90">
        <f>'Water Reading'!P31-'Water Reading'!P30</f>
        <v>-26808</v>
      </c>
      <c r="J31" s="68">
        <f t="shared" si="5"/>
        <v>0.11226835856523651</v>
      </c>
      <c r="K31" s="90">
        <f>('Water Reading'!I31-'Water Reading'!I30)-('Water Reading'!P31-'Water Reading'!P30)</f>
        <v>-30682</v>
      </c>
      <c r="L31" s="68">
        <f t="shared" si="6"/>
        <v>0.12849215821764348</v>
      </c>
      <c r="M31" s="90">
        <f>'Water Reading'!R31-'Water Reading'!R30</f>
        <v>-5443</v>
      </c>
      <c r="N31" s="92">
        <f t="shared" si="7"/>
        <v>2.2794564147664217E-2</v>
      </c>
      <c r="O31" s="90">
        <f>'Water Reading'!Q31-'Water Reading'!Q30</f>
        <v>-48</v>
      </c>
      <c r="P31" s="99">
        <f t="shared" si="8"/>
        <v>2.0101765186255417E-4</v>
      </c>
      <c r="Q31" s="91">
        <f>'Water Reading'!F31-'Water Reading'!F30</f>
        <v>-66841</v>
      </c>
      <c r="R31" s="100">
        <f t="shared" si="9"/>
        <v>0.27992126808635381</v>
      </c>
      <c r="S31" s="94">
        <f>'Water Reading'!E31-'Water Reading'!E30</f>
        <v>-238691</v>
      </c>
      <c r="T31" s="100">
        <f t="shared" si="10"/>
        <v>0.99960634043176921</v>
      </c>
      <c r="U31" s="90">
        <f>'Water Reading'!G31-'Water Reading'!G30</f>
        <v>-108695</v>
      </c>
      <c r="V31" s="100">
        <f t="shared" si="11"/>
        <v>0.45520028477500679</v>
      </c>
      <c r="W31" s="90">
        <f>'Water Reading'!J31-'Water Reading'!J30</f>
        <v>-18287</v>
      </c>
      <c r="X31" s="100">
        <f t="shared" si="12"/>
        <v>7.6583537491886011E-2</v>
      </c>
      <c r="Y31" s="66">
        <f t="shared" si="0"/>
        <v>-722650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7548</v>
      </c>
      <c r="C35" s="75">
        <f>SUM(C4:C34)</f>
        <v>-229728</v>
      </c>
      <c r="D35" s="96">
        <f>C35/B35</f>
        <v>-30.435612082670907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-31035</v>
      </c>
      <c r="L35" s="95">
        <f>K35/C35</f>
        <v>0.13509454659423317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-714036</v>
      </c>
      <c r="Z35" s="95">
        <f t="shared" si="1"/>
        <v>-94.599364069952301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2021-01-28T06:03:19Z</dcterms:modified>
  <cp:category/>
  <cp:contentStatus/>
</cp:coreProperties>
</file>