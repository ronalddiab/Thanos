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<sst xmlns="http://schemas.openxmlformats.org/spreadsheetml/2006/main" count="315" uniqueCount="148">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</sst>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 t="e">
        <f>Submetering!E23+Submetering!F23+Submetering!G23+Submetering!H23+Submetering!J23-Submetering!AV23</f>
        <v>#VALUE!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 t="e">
        <f>'FS Desroches Daily'!CM25</f>
        <v>#VALUE!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2359.9999999999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e">
        <f>'FS Desroches Daily'!T25</f>
        <v>#VALUE!</v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66600.000000000247</v>
      </c>
      <c r="F33" s="17">
        <f t="shared" ref="F33:BC33" si="0">SUM(F2:F32)</f>
        <v>70300.000000000495</v>
      </c>
      <c r="G33" s="17">
        <f t="shared" si="0"/>
        <v>84299.999999999854</v>
      </c>
      <c r="H33" s="17">
        <f t="shared" si="0"/>
        <v>34800.000000000175</v>
      </c>
      <c r="I33" s="17">
        <f t="shared" si="0"/>
        <v>54199.999999999818</v>
      </c>
      <c r="J33" s="17">
        <f t="shared" si="0"/>
        <v>35200.000000000138</v>
      </c>
      <c r="K33" s="17">
        <f t="shared" si="0"/>
        <v>616</v>
      </c>
      <c r="L33" s="17">
        <f t="shared" si="0"/>
        <v>95</v>
      </c>
      <c r="M33" s="17" t="e">
        <f t="shared" si="0"/>
        <v>#VALUE!</v>
      </c>
      <c r="N33" s="17">
        <f t="shared" si="0"/>
        <v>10478.899999999907</v>
      </c>
      <c r="O33" s="17">
        <f t="shared" si="0"/>
        <v>9179.9999999999491</v>
      </c>
      <c r="P33" s="17">
        <f t="shared" si="0"/>
        <v>63000.000000000633</v>
      </c>
      <c r="Q33" s="17">
        <f t="shared" si="0"/>
        <v>7000</v>
      </c>
      <c r="R33" s="17">
        <f t="shared" si="0"/>
        <v>7960.0000000000364</v>
      </c>
      <c r="S33" s="17">
        <f t="shared" si="0"/>
        <v>17949.999999999931</v>
      </c>
      <c r="T33" s="17">
        <f t="shared" si="0"/>
        <v>966</v>
      </c>
      <c r="U33" s="35">
        <f t="shared" si="0"/>
        <v>17900.000000000029</v>
      </c>
      <c r="V33" s="35">
        <f t="shared" si="0"/>
        <v>4970.0000000000291</v>
      </c>
      <c r="W33" s="35">
        <f t="shared" si="0"/>
        <v>3389.9999999999864</v>
      </c>
      <c r="X33" s="35">
        <f t="shared" si="0"/>
        <v>5220.0000000000273</v>
      </c>
      <c r="Y33" s="35">
        <f t="shared" si="0"/>
        <v>4409.9999999999682</v>
      </c>
      <c r="Z33" s="35">
        <f t="shared" si="0"/>
        <v>6255.5199999999486</v>
      </c>
      <c r="AA33" s="35">
        <f t="shared" si="0"/>
        <v>6255.5199999999486</v>
      </c>
      <c r="AB33" s="35">
        <f t="shared" si="0"/>
        <v>3839.999999999975</v>
      </c>
      <c r="AC33" s="35">
        <f t="shared" si="0"/>
        <v>3699.9999999999886</v>
      </c>
      <c r="AD33" s="35">
        <f t="shared" si="0"/>
        <v>3580.0000000000409</v>
      </c>
      <c r="AE33" s="35">
        <f t="shared" si="0"/>
        <v>2819.9999999999932</v>
      </c>
      <c r="AF33" s="17">
        <f t="shared" si="0"/>
        <v>979</v>
      </c>
      <c r="AG33" s="32">
        <f t="shared" si="0"/>
        <v>839.99999999997499</v>
      </c>
      <c r="AH33" s="32">
        <f t="shared" si="0"/>
        <v>870.00000000000455</v>
      </c>
      <c r="AI33" s="32">
        <f t="shared" si="0"/>
        <v>1339.999999999975</v>
      </c>
      <c r="AJ33" s="32">
        <f t="shared" si="0"/>
        <v>899.99999999997726</v>
      </c>
      <c r="AK33" s="32">
        <f t="shared" si="0"/>
        <v>769.99999999998181</v>
      </c>
      <c r="AL33" s="32">
        <f t="shared" si="0"/>
        <v>931</v>
      </c>
      <c r="AM33" s="32">
        <f t="shared" si="0"/>
        <v>939.99999999999773</v>
      </c>
      <c r="AN33" s="32">
        <f t="shared" si="0"/>
        <v>907</v>
      </c>
      <c r="AO33" s="32">
        <f t="shared" si="0"/>
        <v>870.00000000000455</v>
      </c>
      <c r="AP33" s="32">
        <f t="shared" si="0"/>
        <v>1097</v>
      </c>
      <c r="AQ33" s="17">
        <f t="shared" si="0"/>
        <v>1719.0999999999985</v>
      </c>
      <c r="AR33" s="17">
        <f t="shared" si="0"/>
        <v>315.40000000000146</v>
      </c>
      <c r="AS33" s="17">
        <f t="shared" si="0"/>
        <v>63.799999999999272</v>
      </c>
      <c r="AT33" s="17">
        <f t="shared" si="0"/>
        <v>1205.8000000000029</v>
      </c>
      <c r="AU33" s="17">
        <f t="shared" si="0"/>
        <v>6679</v>
      </c>
      <c r="AV33" s="17">
        <f t="shared" si="0"/>
        <v>22599.999999999909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108.0585</v>
      </c>
      <c r="BC33" s="17">
        <f t="shared" si="0"/>
        <v>680</v>
      </c>
    </row>
    <row r="35" spans="5:55" x14ac:dyDescent="0.25">
      <c r="E35" s="38">
        <f>E33/E37</f>
        <v>0.23588748237927601</v>
      </c>
      <c r="G35" s="29" t="e">
        <f>G33-M36</f>
        <v>#VALUE!</v>
      </c>
      <c r="AE35" s="35">
        <f>SUM(U33:AE33)</f>
        <v>62341.039999999935</v>
      </c>
      <c r="AG35" s="32">
        <f>SUM(AG33:AP33)</f>
        <v>9464.9999999999163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282338.00000000093</v>
      </c>
      <c r="G37" s="37" t="e">
        <f>M36/E37</f>
        <v>#VALUE!</v>
      </c>
      <c r="M37" s="35">
        <f>AE35</f>
        <v>62341.039999999935</v>
      </c>
    </row>
    <row r="38" spans="5:55" x14ac:dyDescent="0.25">
      <c r="L38" s="27">
        <f>M38/E37</f>
        <v>3.3523648959757048E-2</v>
      </c>
      <c r="M38" s="29">
        <f>AG35</f>
        <v>9464.9999999999163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K1" zoomScale="82" zoomScaleNormal="82" workbookViewId="0">
      <pane ySplit="1" topLeftCell="A14" activePane="bottomLeft" state="frozen"/>
      <selection pane="bottomLeft" activeCell="CF24" sqref="CF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594.17999999999995</v>
      </c>
      <c r="X24" s="65">
        <f t="shared" si="10"/>
        <v>2359.9999999999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/>
      <c r="D25" s="64" t="str">
        <f t="shared" si="0"/>
        <v>0</v>
      </c>
      <c r="E25" s="58"/>
      <c r="F25" s="64" t="str">
        <f t="shared" si="1"/>
        <v>0</v>
      </c>
      <c r="G25" s="58"/>
      <c r="H25" s="64" t="str">
        <f t="shared" si="2"/>
        <v>0</v>
      </c>
      <c r="I25" s="58"/>
      <c r="J25" s="64" t="str">
        <f t="shared" si="3"/>
        <v>0</v>
      </c>
      <c r="K25" s="58"/>
      <c r="L25" s="64" t="str">
        <f t="shared" si="48"/>
        <v>0</v>
      </c>
      <c r="M25" s="58"/>
      <c r="N25" s="64" t="str">
        <f t="shared" si="49"/>
        <v/>
      </c>
      <c r="O25" s="58"/>
      <c r="P25" s="67" t="str">
        <f t="shared" si="6"/>
        <v/>
      </c>
      <c r="Q25" s="58"/>
      <c r="R25" s="67" t="str">
        <f t="shared" si="7"/>
        <v/>
      </c>
      <c r="S25" s="58"/>
      <c r="T25" s="67" t="e">
        <f t="shared" si="8"/>
        <v>#VALUE!</v>
      </c>
      <c r="U25" s="58"/>
      <c r="V25" s="67" t="str">
        <f t="shared" si="9"/>
        <v/>
      </c>
      <c r="W25" s="58"/>
      <c r="X25" s="65" t="str">
        <f t="shared" si="10"/>
        <v/>
      </c>
      <c r="Y25" s="58"/>
      <c r="Z25" s="65" t="str">
        <f t="shared" si="11"/>
        <v/>
      </c>
      <c r="AA25" s="58"/>
      <c r="AB25" s="65" t="str">
        <f t="shared" si="12"/>
        <v/>
      </c>
      <c r="AC25" s="58"/>
      <c r="AD25" s="65" t="str">
        <f t="shared" si="13"/>
        <v/>
      </c>
      <c r="AE25" s="58"/>
      <c r="AF25" s="65" t="str">
        <f t="shared" si="14"/>
        <v/>
      </c>
      <c r="AG25" s="58"/>
      <c r="AH25" s="67" t="str">
        <f t="shared" si="15"/>
        <v/>
      </c>
      <c r="AI25" s="58"/>
      <c r="AJ25" s="65" t="str">
        <f t="shared" si="16"/>
        <v/>
      </c>
      <c r="AK25" s="58"/>
      <c r="AL25" s="65" t="str">
        <f t="shared" si="17"/>
        <v/>
      </c>
      <c r="AM25" s="58"/>
      <c r="AN25" s="65" t="str">
        <f t="shared" si="18"/>
        <v/>
      </c>
      <c r="AO25" s="58"/>
      <c r="AP25" s="65" t="str">
        <f t="shared" si="19"/>
        <v/>
      </c>
      <c r="AQ25" s="58"/>
      <c r="AR25" s="65" t="str">
        <f t="shared" si="20"/>
        <v/>
      </c>
      <c r="AS25" s="58"/>
      <c r="AT25" s="65" t="str">
        <f t="shared" si="21"/>
        <v/>
      </c>
      <c r="AU25" s="58"/>
      <c r="AV25" s="65" t="str">
        <f t="shared" si="22"/>
        <v/>
      </c>
      <c r="AW25" s="58"/>
      <c r="AX25" s="65" t="str">
        <f t="shared" si="23"/>
        <v/>
      </c>
      <c r="AY25" s="58"/>
      <c r="AZ25" s="65" t="str">
        <f t="shared" si="24"/>
        <v/>
      </c>
      <c r="BA25" s="58"/>
      <c r="BB25" s="65" t="str">
        <f t="shared" si="25"/>
        <v/>
      </c>
      <c r="BC25" s="58"/>
      <c r="BD25" s="65" t="str">
        <f t="shared" si="26"/>
        <v/>
      </c>
      <c r="BE25" s="59"/>
      <c r="BF25" s="67" t="str">
        <f t="shared" si="27"/>
        <v/>
      </c>
      <c r="BG25" s="60"/>
      <c r="BH25" s="65" t="str">
        <f t="shared" si="28"/>
        <v/>
      </c>
      <c r="BI25" s="60"/>
      <c r="BJ25" s="65" t="str">
        <f t="shared" si="29"/>
        <v/>
      </c>
      <c r="BK25" s="60"/>
      <c r="BL25" s="65" t="str">
        <f t="shared" si="30"/>
        <v/>
      </c>
      <c r="BM25" s="60"/>
      <c r="BN25" s="65" t="str">
        <f t="shared" si="31"/>
        <v/>
      </c>
      <c r="BO25" s="60"/>
      <c r="BP25" s="65" t="str">
        <f t="shared" si="32"/>
        <v/>
      </c>
      <c r="BQ25" s="60"/>
      <c r="BR25" s="65" t="str">
        <f t="shared" si="33"/>
        <v/>
      </c>
      <c r="BS25" s="60"/>
      <c r="BT25" s="65" t="str">
        <f t="shared" si="34"/>
        <v/>
      </c>
      <c r="BU25" s="60"/>
      <c r="BV25" s="65" t="str">
        <f t="shared" si="35"/>
        <v/>
      </c>
      <c r="BW25" s="60"/>
      <c r="BX25" s="65" t="str">
        <f t="shared" si="36"/>
        <v/>
      </c>
      <c r="BY25" s="60"/>
      <c r="BZ25" s="67" t="str">
        <f t="shared" si="37"/>
        <v/>
      </c>
      <c r="CA25" s="60"/>
      <c r="CB25" s="67" t="str">
        <f t="shared" si="38"/>
        <v/>
      </c>
      <c r="CC25" s="60"/>
      <c r="CD25" s="67" t="str">
        <f t="shared" si="39"/>
        <v/>
      </c>
      <c r="CE25" s="60"/>
      <c r="CF25" s="67" t="str">
        <f t="shared" si="40"/>
        <v/>
      </c>
      <c r="CG25" s="60"/>
      <c r="CH25" s="67" t="str">
        <f t="shared" si="41"/>
        <v/>
      </c>
      <c r="CI25" s="60"/>
      <c r="CJ25" s="67" t="str">
        <f t="shared" si="42"/>
        <v/>
      </c>
      <c r="CK25" s="60"/>
      <c r="CL25" s="64" t="str">
        <f t="shared" si="43"/>
        <v/>
      </c>
      <c r="CM25" s="65" t="e">
        <f t="shared" si="50"/>
        <v>#VALUE!</v>
      </c>
      <c r="CN25" s="62"/>
      <c r="CO25" s="62"/>
      <c r="CP25" s="68"/>
      <c r="CQ25" s="67" t="str">
        <f t="shared" si="51"/>
        <v/>
      </c>
      <c r="CR25" s="68"/>
      <c r="CS25" s="67" t="str">
        <f t="shared" si="44"/>
        <v/>
      </c>
      <c r="CT25" s="75"/>
      <c r="CU25" s="67" t="str">
        <f t="shared" si="45"/>
        <v/>
      </c>
      <c r="CV25" s="68"/>
      <c r="CW25" s="67" t="str">
        <f t="shared" si="46"/>
        <v/>
      </c>
      <c r="CX25" s="58"/>
      <c r="CY25" s="67" t="str">
        <f t="shared" si="47"/>
        <v/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K26" sqref="K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-233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2023-01-22T15:01:03Z</dcterms:modified>
</cp:coreProperties>
</file>