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5" i="2" s="1"/>
  <c r="P26" i="2" s="1"/>
  <c r="P27" i="2" s="1"/>
  <c r="P28" i="2" s="1"/>
  <c r="P29" i="2" s="1"/>
  <c r="P30" i="2" s="1"/>
  <c r="P31" i="2" s="1"/>
  <c r="P32" i="2" s="1"/>
  <c r="N25" i="2"/>
  <c r="N26" i="2" s="1"/>
  <c r="N27" i="2" s="1"/>
  <c r="N28" i="2" s="1"/>
  <c r="N29" i="2" s="1"/>
  <c r="N30" i="2" s="1"/>
  <c r="N31" i="2" s="1"/>
  <c r="N32" i="2" s="1"/>
  <c r="L25" i="2"/>
  <c r="L26" i="2" s="1"/>
  <c r="L27" i="2" s="1"/>
  <c r="L28" i="2" s="1"/>
  <c r="L29" i="2" s="1"/>
  <c r="L30" i="2" s="1"/>
  <c r="L31" i="2" s="1"/>
  <c r="L32" i="2" s="1"/>
  <c r="J25" i="2"/>
  <c r="J26" i="2" s="1"/>
  <c r="J27" i="2" s="1"/>
  <c r="J28" i="2" s="1"/>
  <c r="J29" i="2" s="1"/>
  <c r="J30" i="2" s="1"/>
  <c r="J31" i="2" s="1"/>
  <c r="J32" i="2" s="1"/>
  <c r="H25" i="2"/>
  <c r="H26" i="2" s="1"/>
  <c r="H27" i="2" s="1"/>
  <c r="H28" i="2" s="1"/>
  <c r="H29" i="2" s="1"/>
  <c r="H30" i="2" s="1"/>
  <c r="H31" i="2" s="1"/>
  <c r="H32" i="2" s="1"/>
  <c r="F25" i="2"/>
  <c r="F26" i="2" s="1"/>
  <c r="F27" i="2" s="1"/>
  <c r="F28" i="2" s="1"/>
  <c r="F29" i="2" s="1"/>
  <c r="F30" i="2" s="1"/>
  <c r="F31" i="2" s="1"/>
  <c r="F32" i="2" s="1"/>
  <c r="D25" i="2"/>
  <c r="D26" i="2" s="1"/>
  <c r="D27" i="2" s="1"/>
  <c r="D28" i="2" s="1"/>
  <c r="D29" i="2" s="1"/>
  <c r="D30" i="2" s="1"/>
  <c r="D31" i="2" s="1"/>
  <c r="D32" i="2" s="1"/>
  <c r="B25" i="2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<sst xmlns="http://schemas.openxmlformats.org/spreadsheetml/2006/main" count="511" uniqueCount="150">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</sst>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23" sqref="P23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1048.2462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1516.5726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84675.790399999998</v>
      </c>
      <c r="F21" s="139">
        <v>1.27</v>
      </c>
      <c r="G21" s="37">
        <f>Gas!C22*0.9147</f>
        <v>1207.404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324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56810.774584000006</v>
      </c>
      <c r="F22" s="139">
        <v>1.27</v>
      </c>
      <c r="G22" s="37">
        <f>Gas!C23*0.9147</f>
        <v>1716.8918999999999</v>
      </c>
      <c r="H22" s="140">
        <v>3.65</v>
      </c>
      <c r="I22" s="142">
        <f>Submetering!H22+Submetering!AD22+Submetering!AE22</f>
        <v>796</v>
      </c>
      <c r="J22" s="142">
        <v>10.029999999999999</v>
      </c>
      <c r="K22" s="37">
        <f>ELECT.!B23</f>
        <v>324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72057.308296000003</v>
      </c>
      <c r="F23" s="139">
        <v>1.27</v>
      </c>
      <c r="G23" s="37">
        <f>Gas!C24*0.9147</f>
        <v>2389.1963999999998</v>
      </c>
      <c r="H23" s="140">
        <v>3.65</v>
      </c>
      <c r="I23" s="142">
        <f>Submetering!H23+Submetering!AD23+Submetering!AE23</f>
        <v>796</v>
      </c>
      <c r="J23" s="142">
        <v>10.029999999999999</v>
      </c>
      <c r="K23" s="37">
        <f>ELECT.!B24</f>
        <v>137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2" sqref="G4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940</v>
      </c>
      <c r="F21" s="37">
        <f>Water!E22</f>
        <v>500</v>
      </c>
      <c r="G21" s="37">
        <f>Water!G22</f>
        <v>410.4</v>
      </c>
      <c r="H21" s="37">
        <f>Water!I22</f>
        <v>5.0759999999999996</v>
      </c>
      <c r="I21" s="37">
        <f>ELECT.!F22</f>
        <v>25290</v>
      </c>
      <c r="J21" s="37">
        <f>ELECT.!H22</f>
        <v>62556</v>
      </c>
      <c r="K21" s="37">
        <f>ELECT.!K22</f>
        <v>11842</v>
      </c>
      <c r="L21" s="37">
        <f>ELECT.!M22</f>
        <v>7919</v>
      </c>
      <c r="M21" s="37">
        <f>ELECT.!O22</f>
        <v>17160</v>
      </c>
      <c r="N21" s="37">
        <f>ELECT.!Q22</f>
        <v>18534</v>
      </c>
      <c r="O21" s="37">
        <f>ELECT.!S22</f>
        <v>12328</v>
      </c>
      <c r="P21" s="37">
        <f>ELECT.!W22*2</f>
        <v>27772</v>
      </c>
      <c r="Q21" s="37">
        <f>ELECT.!D22</f>
        <v>480</v>
      </c>
      <c r="R21" s="142">
        <f>BTU!C22</f>
        <v>8.1190000000024156</v>
      </c>
      <c r="S21" s="142">
        <f>BTU!F22</f>
        <v>2.5760000000000218</v>
      </c>
      <c r="T21" s="142">
        <f>BTU!I22</f>
        <v>4</v>
      </c>
      <c r="U21" s="142">
        <f>BTU!O22</f>
        <v>0.97499999999990905</v>
      </c>
      <c r="V21" s="142">
        <f>BTU!L22</f>
        <v>1.430000000000291</v>
      </c>
      <c r="W21" s="142">
        <f>BTU!R22</f>
        <v>1.2600000000002183</v>
      </c>
      <c r="X21" s="35">
        <f>ELECT.!B22</f>
        <v>324</v>
      </c>
      <c r="Y21" s="35">
        <f t="shared" si="0"/>
        <v>-7709</v>
      </c>
      <c r="Z21">
        <f>'Mall, Citadel, Rotana'!C22+'Mall, Citadel, Rotana'!E22+'Mall, Citadel, Rotana'!G22+'Mall, Citadel, Rotana'!I22</f>
        <v>1361</v>
      </c>
      <c r="AA21">
        <f>'Mall, Citadel, Rotana'!K22+'Mall, Citadel, Rotana'!M22</f>
        <v>347</v>
      </c>
      <c r="AB21">
        <f>'Mall, Citadel, Rotana'!O22</f>
        <v>3</v>
      </c>
      <c r="AC21">
        <f>'Mall, Citadel, Rotana'!Q22+'Mall, Citadel, Rotana'!S22</f>
        <v>244</v>
      </c>
      <c r="AD21" s="35">
        <f t="shared" si="1"/>
        <v>97.653783199999992</v>
      </c>
      <c r="AE21" s="35">
        <f t="shared" si="2"/>
        <v>643.27021679999996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990</v>
      </c>
      <c r="F22" s="37">
        <f>Water!E23</f>
        <v>380</v>
      </c>
      <c r="G22" s="37">
        <f>Water!G23</f>
        <v>529.20000000000005</v>
      </c>
      <c r="H22" s="37">
        <f>Water!I23</f>
        <v>4.266</v>
      </c>
      <c r="I22" s="37">
        <f>ELECT.!F23</f>
        <v>16958</v>
      </c>
      <c r="J22" s="37">
        <f>ELECT.!H23</f>
        <v>42415</v>
      </c>
      <c r="K22" s="37">
        <f>ELECT.!K23</f>
        <v>8696</v>
      </c>
      <c r="L22" s="37">
        <f>ELECT.!M23</f>
        <v>5353</v>
      </c>
      <c r="M22" s="37">
        <f>ELECT.!O23</f>
        <v>11432</v>
      </c>
      <c r="N22" s="37">
        <f>ELECT.!Q23</f>
        <v>10097</v>
      </c>
      <c r="O22" s="37">
        <f>ELECT.!S23</f>
        <v>8298</v>
      </c>
      <c r="P22" s="37">
        <f>ELECT.!W23*2</f>
        <v>18728</v>
      </c>
      <c r="Q22" s="37">
        <f>ELECT.!D23</f>
        <v>640</v>
      </c>
      <c r="R22" s="142">
        <f>BTU!C23</f>
        <v>20.114999999997963</v>
      </c>
      <c r="S22" s="142">
        <f>BTU!F23</f>
        <v>3.1000000000003638</v>
      </c>
      <c r="T22" s="142">
        <f>BTU!I23</f>
        <v>4</v>
      </c>
      <c r="U22" s="142">
        <f>BTU!O23</f>
        <v>0.87700000000040745</v>
      </c>
      <c r="V22" s="142">
        <f>BTU!L23</f>
        <v>1.8899999999994179</v>
      </c>
      <c r="W22" s="142">
        <f>BTU!R23</f>
        <v>2.2299999999995634</v>
      </c>
      <c r="X22" s="35">
        <f>ELECT.!B23</f>
        <v>324</v>
      </c>
      <c r="Y22" s="35">
        <f t="shared" si="0"/>
        <v>-3231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346</v>
      </c>
      <c r="AB22">
        <f>'Mall, Citadel, Rotana'!O23</f>
        <v>3</v>
      </c>
      <c r="AC22">
        <f>'Mall, Citadel, Rotana'!Q23+'Mall, Citadel, Rotana'!S23</f>
        <v>256</v>
      </c>
      <c r="AD22" s="35">
        <f t="shared" si="1"/>
        <v>104.35054120000001</v>
      </c>
      <c r="AE22" s="35">
        <f t="shared" si="2"/>
        <v>687.38345879999997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990</v>
      </c>
      <c r="F23" s="37">
        <f>Water!E24</f>
        <v>430</v>
      </c>
      <c r="G23" s="37">
        <f>Water!G24</f>
        <v>399.6</v>
      </c>
      <c r="H23" s="37">
        <f>Water!I24</f>
        <v>4.4279999999999999</v>
      </c>
      <c r="I23" s="37">
        <f>ELECT.!F24</f>
        <v>21916</v>
      </c>
      <c r="J23" s="37">
        <f>ELECT.!H24</f>
        <v>53353</v>
      </c>
      <c r="K23" s="37">
        <f>ELECT.!K24</f>
        <v>10450</v>
      </c>
      <c r="L23" s="37">
        <f>ELECT.!M24</f>
        <v>6824</v>
      </c>
      <c r="M23" s="37">
        <f>ELECT.!O24</f>
        <v>14916</v>
      </c>
      <c r="N23" s="37">
        <f>ELECT.!Q24</f>
        <v>12966</v>
      </c>
      <c r="O23" s="37">
        <f>ELECT.!S24</f>
        <v>10396</v>
      </c>
      <c r="P23" s="37">
        <f>ELECT.!W24*2</f>
        <v>23598</v>
      </c>
      <c r="Q23" s="37">
        <f>ELECT.!D24</f>
        <v>640</v>
      </c>
      <c r="R23" s="142">
        <f>BTU!C24</f>
        <v>6.625</v>
      </c>
      <c r="S23" s="142">
        <f>BTU!F24</f>
        <v>3.7409999999999854</v>
      </c>
      <c r="T23" s="142">
        <f>BTU!I24</f>
        <v>11</v>
      </c>
      <c r="U23" s="142">
        <f>BTU!O24</f>
        <v>2.5989999999997053</v>
      </c>
      <c r="V23" s="142">
        <f>BTU!L24</f>
        <v>2.6499999999996362</v>
      </c>
      <c r="W23" s="142">
        <f>BTU!R24</f>
        <v>2.0300000000006548</v>
      </c>
      <c r="X23" s="35">
        <f>ELECT.!B24</f>
        <v>137</v>
      </c>
      <c r="Y23" s="35">
        <f t="shared" si="0"/>
        <v>-3881</v>
      </c>
      <c r="Z23">
        <f>'Mall, Citadel, Rotana'!C24+'Mall, Citadel, Rotana'!E24+'Mall, Citadel, Rotana'!G24+'Mall, Citadel, Rotana'!I24</f>
        <v>1549</v>
      </c>
      <c r="AA23">
        <f>'Mall, Citadel, Rotana'!K24+'Mall, Citadel, Rotana'!M24</f>
        <v>409</v>
      </c>
      <c r="AB23">
        <f>'Mall, Citadel, Rotana'!O24</f>
        <v>3</v>
      </c>
      <c r="AC23">
        <f>'Mall, Citadel, Rotana'!Q24+'Mall, Citadel, Rotana'!S24</f>
        <v>246</v>
      </c>
      <c r="AD23" s="35">
        <f t="shared" si="1"/>
        <v>104.32918960000001</v>
      </c>
      <c r="AE23" s="35">
        <f t="shared" si="2"/>
        <v>687.24281040000005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 t="str">
        <f>ELECT.!F25</f>
        <v>0</v>
      </c>
      <c r="J24" s="37" t="str">
        <f>ELECT.!H25</f>
        <v>0</v>
      </c>
      <c r="K24" s="37">
        <f>ELECT.!K25</f>
        <v>0</v>
      </c>
      <c r="L24" s="37" t="str">
        <f>ELECT.!M25</f>
        <v>0</v>
      </c>
      <c r="M24" s="37">
        <f>ELECT.!O25</f>
        <v>0</v>
      </c>
      <c r="N24" s="37" t="str">
        <f>ELECT.!Q25</f>
        <v>0</v>
      </c>
      <c r="O24" s="37" t="str">
        <f>ELECT.!S25</f>
        <v>0</v>
      </c>
      <c r="P24" s="37">
        <f>ELECT.!W25*2</f>
        <v>0</v>
      </c>
      <c r="Q24" s="37">
        <f>ELECT.!D25</f>
        <v>0</v>
      </c>
      <c r="R24" s="142" t="str">
        <f>BTU!C25</f>
        <v>0</v>
      </c>
      <c r="S24" s="142" t="str">
        <f>BTU!F25</f>
        <v>0</v>
      </c>
      <c r="T24" s="142" t="str">
        <f>BTU!I25</f>
        <v>0</v>
      </c>
      <c r="U24" s="142" t="str">
        <f>BTU!O25</f>
        <v>0</v>
      </c>
      <c r="V24" s="142" t="str">
        <f>BTU!L25</f>
        <v>0</v>
      </c>
      <c r="W24" s="142" t="str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5" thickBot="1" x14ac:dyDescent="0.25">
      <c r="A22" s="9">
        <v>44732</v>
      </c>
      <c r="B22" s="32">
        <v>47182</v>
      </c>
      <c r="C22" s="14">
        <f t="shared" si="9"/>
        <v>800</v>
      </c>
      <c r="D22" s="32">
        <v>40702</v>
      </c>
      <c r="E22" s="14">
        <f t="shared" si="1"/>
        <v>480</v>
      </c>
      <c r="F22" s="32">
        <v>21758</v>
      </c>
      <c r="G22" s="14">
        <f t="shared" si="2"/>
        <v>60</v>
      </c>
      <c r="H22" s="32">
        <v>255795</v>
      </c>
      <c r="I22" s="14">
        <f t="shared" si="3"/>
        <v>21</v>
      </c>
      <c r="J22" s="32">
        <v>319601</v>
      </c>
      <c r="K22" s="14">
        <f t="shared" si="4"/>
        <v>167</v>
      </c>
      <c r="L22" s="32">
        <v>26234</v>
      </c>
      <c r="M22" s="14">
        <f t="shared" si="5"/>
        <v>180</v>
      </c>
      <c r="N22" s="32">
        <v>226100</v>
      </c>
      <c r="O22" s="14">
        <f t="shared" si="6"/>
        <v>3</v>
      </c>
      <c r="P22" s="32">
        <v>157148</v>
      </c>
      <c r="Q22" s="14">
        <f t="shared" si="0"/>
        <v>244</v>
      </c>
      <c r="R22" s="1">
        <f t="shared" si="10"/>
        <v>55047</v>
      </c>
      <c r="S22" s="14">
        <f t="shared" si="7"/>
        <v>0</v>
      </c>
      <c r="T22" s="32">
        <v>4009</v>
      </c>
      <c r="U22" s="14">
        <f t="shared" si="8"/>
        <v>0</v>
      </c>
    </row>
    <row r="23" spans="1:23" ht="13.5" thickBot="1" x14ac:dyDescent="0.25">
      <c r="A23" s="9">
        <v>44733</v>
      </c>
      <c r="B23" s="32">
        <v>47186</v>
      </c>
      <c r="C23" s="14">
        <f t="shared" si="9"/>
        <v>640</v>
      </c>
      <c r="D23" s="32">
        <v>40705</v>
      </c>
      <c r="E23" s="14">
        <f t="shared" si="1"/>
        <v>480</v>
      </c>
      <c r="F23" s="32">
        <v>21761</v>
      </c>
      <c r="G23" s="14">
        <f t="shared" si="2"/>
        <v>60</v>
      </c>
      <c r="H23" s="32">
        <v>255819</v>
      </c>
      <c r="I23" s="14">
        <f t="shared" si="3"/>
        <v>24</v>
      </c>
      <c r="J23" s="32">
        <v>319767</v>
      </c>
      <c r="K23" s="14">
        <f t="shared" si="4"/>
        <v>166</v>
      </c>
      <c r="L23" s="32">
        <v>26237</v>
      </c>
      <c r="M23" s="14">
        <f t="shared" si="5"/>
        <v>180</v>
      </c>
      <c r="N23" s="32">
        <v>226103</v>
      </c>
      <c r="O23" s="14">
        <f t="shared" si="6"/>
        <v>3</v>
      </c>
      <c r="P23" s="32">
        <v>157404</v>
      </c>
      <c r="Q23" s="14">
        <f t="shared" si="0"/>
        <v>256</v>
      </c>
      <c r="R23" s="1">
        <f t="shared" si="10"/>
        <v>55047</v>
      </c>
      <c r="S23" s="14">
        <f t="shared" si="7"/>
        <v>0</v>
      </c>
      <c r="T23" s="32">
        <v>4010</v>
      </c>
      <c r="U23" s="14">
        <f t="shared" si="8"/>
        <v>160</v>
      </c>
    </row>
    <row r="24" spans="1:23" s="132" customFormat="1" ht="13.5" thickBot="1" x14ac:dyDescent="0.25">
      <c r="A24" s="9">
        <v>44734</v>
      </c>
      <c r="B24" s="32">
        <v>47191</v>
      </c>
      <c r="C24" s="14">
        <f t="shared" si="9"/>
        <v>800</v>
      </c>
      <c r="D24" s="32">
        <v>40709</v>
      </c>
      <c r="E24" s="14">
        <f t="shared" si="1"/>
        <v>640</v>
      </c>
      <c r="F24" s="32">
        <v>21764</v>
      </c>
      <c r="G24" s="14">
        <f t="shared" si="2"/>
        <v>60</v>
      </c>
      <c r="H24" s="32">
        <v>255868</v>
      </c>
      <c r="I24" s="14">
        <f t="shared" si="3"/>
        <v>49</v>
      </c>
      <c r="J24" s="32">
        <v>319936</v>
      </c>
      <c r="K24" s="14">
        <f t="shared" si="4"/>
        <v>169</v>
      </c>
      <c r="L24" s="32">
        <v>26241</v>
      </c>
      <c r="M24" s="14">
        <f t="shared" si="5"/>
        <v>240</v>
      </c>
      <c r="N24" s="32">
        <v>226106</v>
      </c>
      <c r="O24" s="14">
        <f t="shared" si="6"/>
        <v>3</v>
      </c>
      <c r="P24" s="32">
        <v>157650</v>
      </c>
      <c r="Q24" s="14">
        <f t="shared" si="0"/>
        <v>246</v>
      </c>
      <c r="R24" s="1">
        <f t="shared" si="10"/>
        <v>55047</v>
      </c>
      <c r="S24" s="14">
        <f t="shared" si="7"/>
        <v>0</v>
      </c>
      <c r="T24" s="32">
        <v>4011</v>
      </c>
      <c r="U24" s="14">
        <f t="shared" si="8"/>
        <v>160</v>
      </c>
    </row>
    <row r="25" spans="1:23" ht="13.5" thickBot="1" x14ac:dyDescent="0.25">
      <c r="A25" s="9">
        <v>44735</v>
      </c>
      <c r="B25" s="32">
        <f t="shared" ref="B24:B32" si="17">B24</f>
        <v>47191</v>
      </c>
      <c r="C25" s="14">
        <f t="shared" si="9"/>
        <v>0</v>
      </c>
      <c r="D25" s="32">
        <f t="shared" ref="D24:D32" si="18">D24</f>
        <v>40709</v>
      </c>
      <c r="E25" s="14">
        <f t="shared" si="1"/>
        <v>0</v>
      </c>
      <c r="F25" s="32">
        <f t="shared" ref="F24:F32" si="19">F24</f>
        <v>21764</v>
      </c>
      <c r="G25" s="14">
        <f t="shared" si="2"/>
        <v>0</v>
      </c>
      <c r="H25" s="32">
        <f t="shared" ref="H24:H32" si="20">H24</f>
        <v>255868</v>
      </c>
      <c r="I25" s="14">
        <f t="shared" si="3"/>
        <v>0</v>
      </c>
      <c r="J25" s="32">
        <f t="shared" ref="J24:J32" si="21">J24</f>
        <v>319936</v>
      </c>
      <c r="K25" s="14">
        <f t="shared" si="4"/>
        <v>0</v>
      </c>
      <c r="L25" s="32">
        <f t="shared" ref="L24:L32" si="22">L24</f>
        <v>26241</v>
      </c>
      <c r="M25" s="14">
        <f t="shared" si="5"/>
        <v>0</v>
      </c>
      <c r="N25" s="32">
        <f t="shared" ref="N24:N32" si="23">N24</f>
        <v>226106</v>
      </c>
      <c r="O25" s="14">
        <f t="shared" si="6"/>
        <v>0</v>
      </c>
      <c r="P25" s="32">
        <f t="shared" si="12"/>
        <v>157650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4011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47191</v>
      </c>
      <c r="C26" s="14">
        <f t="shared" si="9"/>
        <v>0</v>
      </c>
      <c r="D26" s="32">
        <f t="shared" si="18"/>
        <v>40709</v>
      </c>
      <c r="E26" s="14">
        <f t="shared" si="1"/>
        <v>0</v>
      </c>
      <c r="F26" s="32">
        <f t="shared" si="19"/>
        <v>21764</v>
      </c>
      <c r="G26" s="14">
        <f t="shared" si="2"/>
        <v>0</v>
      </c>
      <c r="H26" s="32">
        <f t="shared" si="20"/>
        <v>255868</v>
      </c>
      <c r="I26" s="14">
        <f t="shared" si="3"/>
        <v>0</v>
      </c>
      <c r="J26" s="32">
        <f t="shared" si="21"/>
        <v>319936</v>
      </c>
      <c r="K26" s="14">
        <f t="shared" si="4"/>
        <v>0</v>
      </c>
      <c r="L26" s="32">
        <f t="shared" si="22"/>
        <v>26241</v>
      </c>
      <c r="M26" s="14">
        <f t="shared" si="5"/>
        <v>0</v>
      </c>
      <c r="N26" s="32">
        <f t="shared" si="23"/>
        <v>226106</v>
      </c>
      <c r="O26" s="14">
        <f t="shared" si="6"/>
        <v>0</v>
      </c>
      <c r="P26" s="32">
        <f t="shared" si="12"/>
        <v>157650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4011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47191</v>
      </c>
      <c r="C27" s="14">
        <f t="shared" si="9"/>
        <v>0</v>
      </c>
      <c r="D27" s="32">
        <f t="shared" si="18"/>
        <v>40709</v>
      </c>
      <c r="E27" s="14">
        <f t="shared" si="1"/>
        <v>0</v>
      </c>
      <c r="F27" s="32">
        <f t="shared" si="19"/>
        <v>21764</v>
      </c>
      <c r="G27" s="14">
        <f t="shared" si="2"/>
        <v>0</v>
      </c>
      <c r="H27" s="32">
        <f t="shared" si="20"/>
        <v>255868</v>
      </c>
      <c r="I27" s="14">
        <f t="shared" si="3"/>
        <v>0</v>
      </c>
      <c r="J27" s="32">
        <f t="shared" si="21"/>
        <v>319936</v>
      </c>
      <c r="K27" s="14">
        <f t="shared" si="4"/>
        <v>0</v>
      </c>
      <c r="L27" s="32">
        <f t="shared" si="22"/>
        <v>26241</v>
      </c>
      <c r="M27" s="14">
        <f t="shared" si="5"/>
        <v>0</v>
      </c>
      <c r="N27" s="32">
        <f t="shared" si="23"/>
        <v>226106</v>
      </c>
      <c r="O27" s="14">
        <f t="shared" si="6"/>
        <v>0</v>
      </c>
      <c r="P27" s="32">
        <f t="shared" si="12"/>
        <v>157650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4011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47191</v>
      </c>
      <c r="C28" s="14">
        <f t="shared" si="9"/>
        <v>0</v>
      </c>
      <c r="D28" s="32">
        <f t="shared" si="18"/>
        <v>40709</v>
      </c>
      <c r="E28" s="14">
        <f t="shared" si="1"/>
        <v>0</v>
      </c>
      <c r="F28" s="32">
        <f t="shared" si="19"/>
        <v>21764</v>
      </c>
      <c r="G28" s="14">
        <f t="shared" si="2"/>
        <v>0</v>
      </c>
      <c r="H28" s="32">
        <f t="shared" si="20"/>
        <v>255868</v>
      </c>
      <c r="I28" s="14">
        <f t="shared" si="3"/>
        <v>0</v>
      </c>
      <c r="J28" s="32">
        <f t="shared" si="21"/>
        <v>319936</v>
      </c>
      <c r="K28" s="14">
        <f t="shared" si="4"/>
        <v>0</v>
      </c>
      <c r="L28" s="32">
        <f t="shared" si="22"/>
        <v>26241</v>
      </c>
      <c r="M28" s="14">
        <f t="shared" si="5"/>
        <v>0</v>
      </c>
      <c r="N28" s="32">
        <f t="shared" si="23"/>
        <v>226106</v>
      </c>
      <c r="O28" s="14">
        <f t="shared" si="6"/>
        <v>0</v>
      </c>
      <c r="P28" s="32">
        <f t="shared" si="12"/>
        <v>157650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4011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47191</v>
      </c>
      <c r="C29" s="14">
        <f t="shared" si="9"/>
        <v>0</v>
      </c>
      <c r="D29" s="32">
        <f t="shared" si="18"/>
        <v>40709</v>
      </c>
      <c r="E29" s="14">
        <f t="shared" si="1"/>
        <v>0</v>
      </c>
      <c r="F29" s="32">
        <f t="shared" si="19"/>
        <v>21764</v>
      </c>
      <c r="G29" s="14">
        <f t="shared" si="2"/>
        <v>0</v>
      </c>
      <c r="H29" s="32">
        <f t="shared" si="20"/>
        <v>255868</v>
      </c>
      <c r="I29" s="14">
        <f t="shared" si="3"/>
        <v>0</v>
      </c>
      <c r="J29" s="32">
        <f t="shared" si="21"/>
        <v>319936</v>
      </c>
      <c r="K29" s="14">
        <f t="shared" si="4"/>
        <v>0</v>
      </c>
      <c r="L29" s="32">
        <f t="shared" si="22"/>
        <v>26241</v>
      </c>
      <c r="M29" s="14">
        <f t="shared" si="5"/>
        <v>0</v>
      </c>
      <c r="N29" s="32">
        <f t="shared" si="23"/>
        <v>226106</v>
      </c>
      <c r="O29" s="14">
        <f t="shared" si="6"/>
        <v>0</v>
      </c>
      <c r="P29" s="32">
        <f t="shared" si="12"/>
        <v>157650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4011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47191</v>
      </c>
      <c r="C30" s="14">
        <f t="shared" si="9"/>
        <v>0</v>
      </c>
      <c r="D30" s="32">
        <f t="shared" si="18"/>
        <v>40709</v>
      </c>
      <c r="E30" s="14">
        <f t="shared" si="1"/>
        <v>0</v>
      </c>
      <c r="F30" s="32">
        <f t="shared" si="19"/>
        <v>21764</v>
      </c>
      <c r="G30" s="14">
        <f t="shared" si="2"/>
        <v>0</v>
      </c>
      <c r="H30" s="32">
        <f t="shared" si="20"/>
        <v>255868</v>
      </c>
      <c r="I30" s="14">
        <f t="shared" si="3"/>
        <v>0</v>
      </c>
      <c r="J30" s="32">
        <f t="shared" si="21"/>
        <v>319936</v>
      </c>
      <c r="K30" s="14">
        <f t="shared" si="4"/>
        <v>0</v>
      </c>
      <c r="L30" s="32">
        <f t="shared" si="22"/>
        <v>26241</v>
      </c>
      <c r="M30" s="14">
        <f t="shared" si="5"/>
        <v>0</v>
      </c>
      <c r="N30" s="32">
        <f t="shared" si="23"/>
        <v>226106</v>
      </c>
      <c r="O30" s="14">
        <f t="shared" si="6"/>
        <v>0</v>
      </c>
      <c r="P30" s="32">
        <f t="shared" si="12"/>
        <v>157650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4011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47191</v>
      </c>
      <c r="C31" s="14">
        <f t="shared" si="9"/>
        <v>0</v>
      </c>
      <c r="D31" s="32">
        <f t="shared" si="18"/>
        <v>40709</v>
      </c>
      <c r="E31" s="14">
        <f t="shared" si="1"/>
        <v>0</v>
      </c>
      <c r="F31" s="32">
        <f t="shared" si="19"/>
        <v>21764</v>
      </c>
      <c r="G31" s="14">
        <f t="shared" si="2"/>
        <v>0</v>
      </c>
      <c r="H31" s="32">
        <f t="shared" si="20"/>
        <v>255868</v>
      </c>
      <c r="I31" s="14">
        <f t="shared" si="3"/>
        <v>0</v>
      </c>
      <c r="J31" s="32">
        <f t="shared" si="21"/>
        <v>319936</v>
      </c>
      <c r="K31" s="14">
        <f t="shared" si="4"/>
        <v>0</v>
      </c>
      <c r="L31" s="32">
        <f t="shared" si="22"/>
        <v>26241</v>
      </c>
      <c r="M31" s="14">
        <f t="shared" si="5"/>
        <v>0</v>
      </c>
      <c r="N31" s="32">
        <f t="shared" si="23"/>
        <v>226106</v>
      </c>
      <c r="O31" s="14">
        <f t="shared" si="6"/>
        <v>0</v>
      </c>
      <c r="P31" s="32">
        <f t="shared" si="12"/>
        <v>157650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4011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47191</v>
      </c>
      <c r="C32" s="14">
        <f t="shared" si="9"/>
        <v>0</v>
      </c>
      <c r="D32" s="32">
        <f t="shared" si="18"/>
        <v>40709</v>
      </c>
      <c r="E32" s="14">
        <f t="shared" si="1"/>
        <v>0</v>
      </c>
      <c r="F32" s="32">
        <f t="shared" si="19"/>
        <v>21764</v>
      </c>
      <c r="G32" s="14">
        <f t="shared" si="2"/>
        <v>0</v>
      </c>
      <c r="H32" s="32">
        <f t="shared" si="20"/>
        <v>255868</v>
      </c>
      <c r="I32" s="14">
        <f t="shared" si="3"/>
        <v>0</v>
      </c>
      <c r="J32" s="32">
        <f t="shared" si="21"/>
        <v>319936</v>
      </c>
      <c r="K32" s="14">
        <f t="shared" si="4"/>
        <v>0</v>
      </c>
      <c r="L32" s="32">
        <f t="shared" si="22"/>
        <v>26241</v>
      </c>
      <c r="M32" s="14">
        <f t="shared" si="5"/>
        <v>0</v>
      </c>
      <c r="N32" s="32">
        <f t="shared" si="23"/>
        <v>226106</v>
      </c>
      <c r="O32" s="14">
        <f t="shared" si="6"/>
        <v>0</v>
      </c>
      <c r="P32" s="32">
        <f t="shared" si="12"/>
        <v>157650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4011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16640</v>
      </c>
      <c r="D33" s="11"/>
      <c r="E33" s="14">
        <f>SUM(E3:E32)</f>
        <v>11360</v>
      </c>
      <c r="F33" s="11"/>
      <c r="G33" s="14">
        <f>SUM(G3:G32)</f>
        <v>1540</v>
      </c>
      <c r="H33" s="11"/>
      <c r="I33" s="14">
        <f>SUM(I3:I32)</f>
        <v>569</v>
      </c>
      <c r="J33" s="11"/>
      <c r="K33" s="14">
        <f>SUM(K3:K32)</f>
        <v>3532</v>
      </c>
      <c r="L33" s="11"/>
      <c r="M33" s="14">
        <f>SUM(M3:M32)</f>
        <v>4200</v>
      </c>
      <c r="N33" s="33"/>
      <c r="O33" s="14">
        <f>SUM(O3:O32)</f>
        <v>70</v>
      </c>
      <c r="P33" s="32"/>
      <c r="Q33" s="14">
        <f>SUM(Q3:Q32)</f>
        <v>3284</v>
      </c>
      <c r="R33" s="1"/>
      <c r="S33" s="14">
        <f>SUM(S3:S32)</f>
        <v>0</v>
      </c>
      <c r="T33" s="1"/>
      <c r="U33" s="14">
        <f>SUM(U3:U32)</f>
        <v>2240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24" sqref="A24:XFD24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145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5" thickBot="1" x14ac:dyDescent="0.3">
      <c r="A22" s="9">
        <v>44732</v>
      </c>
      <c r="B22" s="39">
        <v>324</v>
      </c>
      <c r="C22" s="145">
        <v>19756</v>
      </c>
      <c r="D22" s="39">
        <f t="shared" si="1"/>
        <v>480</v>
      </c>
      <c r="E22" s="146">
        <v>31529162</v>
      </c>
      <c r="F22" s="39">
        <f t="shared" si="2"/>
        <v>25290</v>
      </c>
      <c r="G22" s="147">
        <v>708745</v>
      </c>
      <c r="H22" s="39">
        <f t="shared" si="3"/>
        <v>62556</v>
      </c>
      <c r="I22" s="148">
        <f t="shared" si="4"/>
        <v>87846</v>
      </c>
      <c r="J22" s="146">
        <v>25272</v>
      </c>
      <c r="K22" s="39">
        <f t="shared" si="12"/>
        <v>11842</v>
      </c>
      <c r="L22" s="149">
        <v>231055</v>
      </c>
      <c r="M22" s="39">
        <f t="shared" si="5"/>
        <v>7919</v>
      </c>
      <c r="N22" s="146">
        <v>6792942</v>
      </c>
      <c r="O22" s="39">
        <f t="shared" si="13"/>
        <v>17160</v>
      </c>
      <c r="P22" s="149">
        <v>6903575</v>
      </c>
      <c r="Q22" s="39">
        <f t="shared" si="6"/>
        <v>18534</v>
      </c>
      <c r="R22" s="146">
        <v>21438494</v>
      </c>
      <c r="S22" s="39">
        <f t="shared" si="7"/>
        <v>12328</v>
      </c>
      <c r="T22" s="146">
        <v>0</v>
      </c>
      <c r="U22" s="150"/>
      <c r="V22" s="146">
        <v>9388410</v>
      </c>
      <c r="W22" s="39">
        <f t="shared" si="8"/>
        <v>13886</v>
      </c>
      <c r="X22" s="19">
        <f t="shared" si="9"/>
        <v>81669</v>
      </c>
      <c r="Y22" s="151">
        <f t="shared" si="10"/>
        <v>6177</v>
      </c>
      <c r="Z22" s="3">
        <f t="shared" si="11"/>
        <v>11529.885244800002</v>
      </c>
      <c r="AA22" s="3">
        <f>SUM(Z1:Z22)</f>
        <v>189354.34720800005</v>
      </c>
    </row>
    <row r="23" spans="1:27" ht="16.5" thickBot="1" x14ac:dyDescent="0.3">
      <c r="A23" s="9">
        <v>44733</v>
      </c>
      <c r="B23" s="39">
        <v>324</v>
      </c>
      <c r="C23" s="145">
        <v>19760</v>
      </c>
      <c r="D23" s="39">
        <f t="shared" si="1"/>
        <v>640</v>
      </c>
      <c r="E23" s="146">
        <v>31546120</v>
      </c>
      <c r="F23" s="39">
        <f t="shared" si="2"/>
        <v>16958</v>
      </c>
      <c r="G23" s="147">
        <v>751160</v>
      </c>
      <c r="H23" s="39">
        <f t="shared" si="3"/>
        <v>42415</v>
      </c>
      <c r="I23" s="148">
        <f t="shared" si="4"/>
        <v>59373</v>
      </c>
      <c r="J23" s="146">
        <v>29620</v>
      </c>
      <c r="K23" s="39">
        <f t="shared" si="12"/>
        <v>8696</v>
      </c>
      <c r="L23" s="149">
        <v>236408</v>
      </c>
      <c r="M23" s="39">
        <f t="shared" si="5"/>
        <v>5353</v>
      </c>
      <c r="N23" s="146">
        <v>6798658</v>
      </c>
      <c r="O23" s="39">
        <f t="shared" si="13"/>
        <v>11432</v>
      </c>
      <c r="P23" s="149">
        <v>6913672</v>
      </c>
      <c r="Q23" s="39">
        <f t="shared" si="6"/>
        <v>10097</v>
      </c>
      <c r="R23" s="146">
        <v>21446792</v>
      </c>
      <c r="S23" s="39">
        <f t="shared" si="7"/>
        <v>8298</v>
      </c>
      <c r="T23" s="146">
        <v>0</v>
      </c>
      <c r="U23" s="150"/>
      <c r="V23" s="146">
        <v>9397774</v>
      </c>
      <c r="W23" s="39">
        <f t="shared" si="8"/>
        <v>9364</v>
      </c>
      <c r="X23" s="19">
        <f t="shared" si="9"/>
        <v>53240</v>
      </c>
      <c r="Y23" s="151">
        <f t="shared" si="10"/>
        <v>6133</v>
      </c>
      <c r="Z23" s="3">
        <f t="shared" si="11"/>
        <v>7403.5461344000005</v>
      </c>
      <c r="AA23" s="3">
        <f>SUM(Z1:Z23)</f>
        <v>196757.89334240006</v>
      </c>
    </row>
    <row r="24" spans="1:27" ht="16.5" thickBot="1" x14ac:dyDescent="0.3">
      <c r="A24" s="9">
        <v>44734</v>
      </c>
      <c r="B24" s="39">
        <v>137</v>
      </c>
      <c r="C24" s="145">
        <v>19764</v>
      </c>
      <c r="D24" s="39">
        <f t="shared" si="1"/>
        <v>640</v>
      </c>
      <c r="E24" s="146">
        <v>31568036</v>
      </c>
      <c r="F24" s="39">
        <f t="shared" si="2"/>
        <v>21916</v>
      </c>
      <c r="G24" s="147">
        <v>804513</v>
      </c>
      <c r="H24" s="39">
        <f t="shared" si="3"/>
        <v>53353</v>
      </c>
      <c r="I24" s="148">
        <f t="shared" si="4"/>
        <v>75269</v>
      </c>
      <c r="J24" s="146">
        <v>34845</v>
      </c>
      <c r="K24" s="39">
        <f t="shared" si="12"/>
        <v>10450</v>
      </c>
      <c r="L24" s="149">
        <v>243232</v>
      </c>
      <c r="M24" s="39">
        <f t="shared" si="5"/>
        <v>6824</v>
      </c>
      <c r="N24" s="146">
        <v>6806116</v>
      </c>
      <c r="O24" s="39">
        <f t="shared" si="13"/>
        <v>14916</v>
      </c>
      <c r="P24" s="149">
        <v>6926638</v>
      </c>
      <c r="Q24" s="39">
        <f t="shared" si="6"/>
        <v>12966</v>
      </c>
      <c r="R24" s="146">
        <v>21457188</v>
      </c>
      <c r="S24" s="39">
        <f t="shared" si="7"/>
        <v>10396</v>
      </c>
      <c r="T24" s="146">
        <v>0</v>
      </c>
      <c r="U24" s="150"/>
      <c r="V24" s="146">
        <v>9409573</v>
      </c>
      <c r="W24" s="39">
        <f t="shared" si="8"/>
        <v>11799</v>
      </c>
      <c r="X24" s="19">
        <f t="shared" si="9"/>
        <v>67351</v>
      </c>
      <c r="Y24" s="151">
        <f t="shared" si="10"/>
        <v>7918</v>
      </c>
      <c r="Z24" s="3">
        <f t="shared" si="11"/>
        <v>9423.48524</v>
      </c>
      <c r="AA24" s="3">
        <f>SUM(Z1:Z24)</f>
        <v>206181.37858240007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 t="str">
        <f t="shared" si="2"/>
        <v>0</v>
      </c>
      <c r="G25" s="147"/>
      <c r="H25" s="39" t="str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 t="str">
        <f t="shared" si="5"/>
        <v>0</v>
      </c>
      <c r="N25" s="146"/>
      <c r="O25" s="39">
        <f t="shared" si="13"/>
        <v>0</v>
      </c>
      <c r="P25" s="149"/>
      <c r="Q25" s="39" t="str">
        <f t="shared" si="6"/>
        <v>0</v>
      </c>
      <c r="R25" s="146"/>
      <c r="S25" s="39" t="str">
        <f t="shared" si="7"/>
        <v>0</v>
      </c>
      <c r="T25" s="146">
        <v>0</v>
      </c>
      <c r="U25" s="150"/>
      <c r="V25" s="146"/>
      <c r="W25" s="39" t="str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206181.37858240007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206181.37858240007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206181.37858240007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206181.37858240007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206181.37858240007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206181.37858240007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206181.37858240007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206181.37858240007</v>
      </c>
    </row>
    <row r="33" spans="1:27" ht="16.5" thickBot="1" x14ac:dyDescent="0.3">
      <c r="A33" s="137" t="s">
        <v>23</v>
      </c>
      <c r="B33" s="137">
        <f>SUM(B3:B32)</f>
        <v>4800</v>
      </c>
      <c r="C33" s="137">
        <v>0</v>
      </c>
      <c r="D33" s="137">
        <f>SUM(D3:D32)</f>
        <v>14080</v>
      </c>
      <c r="E33" s="56">
        <v>0</v>
      </c>
      <c r="F33" s="56">
        <f>SUM(F3:F32)</f>
        <v>472458</v>
      </c>
      <c r="G33" s="56">
        <v>0</v>
      </c>
      <c r="H33" s="56">
        <f>SUM(H3:H32)</f>
        <v>1163691</v>
      </c>
      <c r="I33" s="56">
        <f>SUM(I3:I32)</f>
        <v>1636149</v>
      </c>
      <c r="J33" s="56">
        <v>0</v>
      </c>
      <c r="K33" s="56">
        <f>SUM(K2:K32)</f>
        <v>221803</v>
      </c>
      <c r="L33" s="56">
        <v>0</v>
      </c>
      <c r="M33" s="56">
        <f>SUM(M3:M32)</f>
        <v>148500</v>
      </c>
      <c r="N33" s="56">
        <v>0</v>
      </c>
      <c r="O33" s="56">
        <f>SUM(O3:O32)</f>
        <v>319720</v>
      </c>
      <c r="P33" s="56">
        <v>0</v>
      </c>
      <c r="Q33" s="56">
        <f>SUM(Q3:Q32)</f>
        <v>290382</v>
      </c>
      <c r="R33" s="56">
        <v>0</v>
      </c>
      <c r="S33" s="56">
        <f>SUM(S3:S32)</f>
        <v>234955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250627</v>
      </c>
      <c r="X33" s="56">
        <f>SUM(X3:X32)</f>
        <v>1465987</v>
      </c>
      <c r="Y33" s="56">
        <f>SUM(Y3:Y32)</f>
        <v>170162</v>
      </c>
      <c r="Z33" s="56">
        <f>SUM(Z3:Z32)</f>
        <v>206181.37858240007</v>
      </c>
      <c r="AA33" s="56">
        <f>SUM(AA3:AA32)</f>
        <v>4022743.5575808026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5" thickBot="1" x14ac:dyDescent="0.3">
      <c r="A22" s="9">
        <v>44732</v>
      </c>
      <c r="B22" s="3">
        <v>452284</v>
      </c>
      <c r="C22" s="39">
        <f t="shared" si="5"/>
        <v>940</v>
      </c>
      <c r="D22" s="3">
        <v>9765</v>
      </c>
      <c r="E22" s="39">
        <f t="shared" si="6"/>
        <v>500</v>
      </c>
      <c r="F22" s="3">
        <v>9705700</v>
      </c>
      <c r="G22" s="39">
        <f t="shared" si="3"/>
        <v>410.4</v>
      </c>
      <c r="H22" s="3">
        <v>797768</v>
      </c>
      <c r="I22" s="44">
        <f t="shared" si="4"/>
        <v>5.0759999999999996</v>
      </c>
      <c r="J22" s="19">
        <f t="shared" si="1"/>
        <v>1855.4760000000001</v>
      </c>
      <c r="K22" s="20">
        <f t="shared" si="2"/>
        <v>10873.089360000002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>
        <v>452383</v>
      </c>
      <c r="C23" s="39">
        <f t="shared" si="5"/>
        <v>990</v>
      </c>
      <c r="D23" s="3">
        <v>9803</v>
      </c>
      <c r="E23" s="39">
        <f t="shared" si="6"/>
        <v>380</v>
      </c>
      <c r="F23" s="3">
        <v>9725300</v>
      </c>
      <c r="G23" s="39">
        <f t="shared" si="3"/>
        <v>529.20000000000005</v>
      </c>
      <c r="H23" s="3">
        <v>797926</v>
      </c>
      <c r="I23" s="44">
        <f t="shared" si="4"/>
        <v>4.266</v>
      </c>
      <c r="J23" s="19">
        <f t="shared" si="1"/>
        <v>1903.4660000000001</v>
      </c>
      <c r="K23" s="20">
        <f t="shared" si="2"/>
        <v>11154.310760000002</v>
      </c>
      <c r="Q23" t="s">
        <v>12</v>
      </c>
    </row>
    <row r="24" spans="1:25" ht="16.5" thickBot="1" x14ac:dyDescent="0.3">
      <c r="A24" s="9">
        <v>44734</v>
      </c>
      <c r="B24" s="3">
        <v>452482</v>
      </c>
      <c r="C24" s="39">
        <f t="shared" si="5"/>
        <v>990</v>
      </c>
      <c r="D24" s="3">
        <v>9846</v>
      </c>
      <c r="E24" s="39">
        <f t="shared" si="6"/>
        <v>430</v>
      </c>
      <c r="F24" s="3">
        <v>9740100</v>
      </c>
      <c r="G24" s="39">
        <f t="shared" si="3"/>
        <v>399.6</v>
      </c>
      <c r="H24" s="3">
        <v>798090</v>
      </c>
      <c r="I24" s="44">
        <f t="shared" si="4"/>
        <v>4.4279999999999999</v>
      </c>
      <c r="J24" s="19">
        <f t="shared" si="1"/>
        <v>1824.028</v>
      </c>
      <c r="K24" s="20">
        <f t="shared" si="2"/>
        <v>10688.80408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23140</v>
      </c>
      <c r="D33" s="3"/>
      <c r="E33" s="56">
        <f>SUM(E3:E32)</f>
        <v>10530</v>
      </c>
      <c r="F33" s="3"/>
      <c r="G33" s="56">
        <f>SUM(G3:G32)</f>
        <v>11375.099999999999</v>
      </c>
      <c r="H33" s="3"/>
      <c r="I33" s="56">
        <f>SUM(I3:I32)</f>
        <v>116.721</v>
      </c>
      <c r="J33" s="56">
        <f>SUM(J3:J32)</f>
        <v>45161.821000000004</v>
      </c>
      <c r="K33" s="56">
        <f>SUM(K3:K32)</f>
        <v>264648.27105999994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24" sqref="A24:XFD2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18341487</v>
      </c>
      <c r="C20" s="45">
        <f t="shared" si="0"/>
        <v>1146</v>
      </c>
    </row>
    <row r="21" spans="1:9" ht="24" thickBot="1" x14ac:dyDescent="0.4">
      <c r="A21" s="9">
        <v>44731</v>
      </c>
      <c r="B21" s="133">
        <v>18343145</v>
      </c>
      <c r="C21" s="45">
        <f t="shared" si="0"/>
        <v>1658</v>
      </c>
    </row>
    <row r="22" spans="1:9" ht="24" thickBot="1" x14ac:dyDescent="0.4">
      <c r="A22" s="9">
        <v>44732</v>
      </c>
      <c r="B22" s="133">
        <v>18344465</v>
      </c>
      <c r="C22" s="45">
        <f t="shared" si="0"/>
        <v>1320</v>
      </c>
    </row>
    <row r="23" spans="1:9" ht="24" thickBot="1" x14ac:dyDescent="0.4">
      <c r="A23" s="9">
        <v>44733</v>
      </c>
      <c r="B23" s="133">
        <v>18346342</v>
      </c>
      <c r="C23" s="45">
        <f t="shared" si="0"/>
        <v>1877</v>
      </c>
      <c r="F23" t="s">
        <v>12</v>
      </c>
    </row>
    <row r="24" spans="1:9" ht="24" thickBot="1" x14ac:dyDescent="0.4">
      <c r="A24" s="9">
        <v>44734</v>
      </c>
      <c r="B24" s="133">
        <v>18348954</v>
      </c>
      <c r="C24" s="45">
        <f t="shared" si="0"/>
        <v>2612</v>
      </c>
      <c r="E24" t="s">
        <v>12</v>
      </c>
    </row>
    <row r="25" spans="1:9" ht="24" thickBot="1" x14ac:dyDescent="0.4">
      <c r="A25" s="9">
        <v>44735</v>
      </c>
      <c r="B25" s="133"/>
      <c r="C25" s="45" t="str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47700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5" thickBot="1" x14ac:dyDescent="0.25">
      <c r="A22" s="9">
        <v>44732</v>
      </c>
      <c r="B22" s="160">
        <v>23767.006000000001</v>
      </c>
      <c r="C22" s="44">
        <f t="shared" si="22"/>
        <v>8.1190000000024156</v>
      </c>
      <c r="D22" s="28">
        <f t="shared" si="23"/>
        <v>15426.100000004588</v>
      </c>
      <c r="E22" s="160">
        <v>4295.1229999999996</v>
      </c>
      <c r="F22" s="44">
        <f t="shared" si="24"/>
        <v>2.5760000000000218</v>
      </c>
      <c r="G22" s="28">
        <f t="shared" si="25"/>
        <v>4894.4000000000406</v>
      </c>
      <c r="H22" s="160">
        <v>5473</v>
      </c>
      <c r="I22" s="44">
        <f t="shared" si="26"/>
        <v>4</v>
      </c>
      <c r="J22" s="28">
        <f t="shared" si="27"/>
        <v>7600</v>
      </c>
      <c r="K22" s="7">
        <v>14019.26</v>
      </c>
      <c r="L22" s="44">
        <f t="shared" si="28"/>
        <v>1.430000000000291</v>
      </c>
      <c r="M22" s="28">
        <f t="shared" si="29"/>
        <v>2717.000000000553</v>
      </c>
      <c r="N22" s="160">
        <v>3588.9409999999998</v>
      </c>
      <c r="O22" s="44">
        <f t="shared" si="30"/>
        <v>0.97499999999990905</v>
      </c>
      <c r="P22" s="28">
        <f t="shared" si="31"/>
        <v>1852.499999999827</v>
      </c>
      <c r="Q22" s="160">
        <v>5392</v>
      </c>
      <c r="R22" s="44">
        <f t="shared" si="32"/>
        <v>1.2600000000002183</v>
      </c>
      <c r="S22" s="28">
        <f t="shared" si="33"/>
        <v>2394.0000000004143</v>
      </c>
      <c r="T22" s="8">
        <f t="shared" si="35"/>
        <v>18.360000000002856</v>
      </c>
      <c r="U22" s="30">
        <f t="shared" si="34"/>
        <v>34884.000000005421</v>
      </c>
      <c r="W22" s="157">
        <v>44732</v>
      </c>
      <c r="X22" s="158">
        <v>182450</v>
      </c>
      <c r="Y22" s="163">
        <f t="shared" si="21"/>
        <v>172</v>
      </c>
      <c r="Z22" s="158">
        <v>9436</v>
      </c>
      <c r="AA22" s="163">
        <f t="shared" si="21"/>
        <v>4</v>
      </c>
      <c r="AB22" s="158">
        <v>28.7</v>
      </c>
      <c r="AC22" s="163">
        <f t="shared" si="21"/>
        <v>0</v>
      </c>
      <c r="AD22" s="158">
        <v>541</v>
      </c>
      <c r="AE22" s="163">
        <f t="shared" si="21"/>
        <v>7</v>
      </c>
      <c r="AF22" s="158">
        <v>7862</v>
      </c>
      <c r="AG22" s="163">
        <f t="shared" si="21"/>
        <v>10</v>
      </c>
    </row>
    <row r="23" spans="1:33" ht="16.5" thickBot="1" x14ac:dyDescent="0.25">
      <c r="A23" s="9">
        <v>44733</v>
      </c>
      <c r="B23" s="160">
        <v>23787.120999999999</v>
      </c>
      <c r="C23" s="44">
        <f t="shared" si="22"/>
        <v>20.114999999997963</v>
      </c>
      <c r="D23" s="28">
        <f t="shared" si="23"/>
        <v>38218.499999996129</v>
      </c>
      <c r="E23" s="160">
        <v>4298.223</v>
      </c>
      <c r="F23" s="44">
        <f t="shared" si="24"/>
        <v>3.1000000000003638</v>
      </c>
      <c r="G23" s="28">
        <f t="shared" si="25"/>
        <v>5890.0000000006903</v>
      </c>
      <c r="H23" s="160">
        <v>5477</v>
      </c>
      <c r="I23" s="44">
        <f t="shared" si="26"/>
        <v>4</v>
      </c>
      <c r="J23" s="28">
        <f t="shared" si="27"/>
        <v>7600</v>
      </c>
      <c r="K23" s="7">
        <v>14021.15</v>
      </c>
      <c r="L23" s="44">
        <f t="shared" si="28"/>
        <v>1.8899999999994179</v>
      </c>
      <c r="M23" s="28">
        <f t="shared" si="29"/>
        <v>3590.9999999988941</v>
      </c>
      <c r="N23" s="160">
        <v>3589.8180000000002</v>
      </c>
      <c r="O23" s="44">
        <f t="shared" si="30"/>
        <v>0.87700000000040745</v>
      </c>
      <c r="P23" s="28">
        <f t="shared" si="31"/>
        <v>1666.3000000007742</v>
      </c>
      <c r="Q23" s="160">
        <v>5394.23</v>
      </c>
      <c r="R23" s="44">
        <f t="shared" si="32"/>
        <v>2.2299999999995634</v>
      </c>
      <c r="S23" s="28">
        <f t="shared" si="33"/>
        <v>4236.9999999991705</v>
      </c>
      <c r="T23" s="8">
        <f t="shared" si="35"/>
        <v>32.211999999997715</v>
      </c>
      <c r="U23" s="30">
        <f t="shared" si="34"/>
        <v>61202.799999995652</v>
      </c>
      <c r="W23" s="157">
        <v>44733</v>
      </c>
      <c r="X23" s="158">
        <v>182663</v>
      </c>
      <c r="Y23" s="163">
        <f t="shared" si="21"/>
        <v>213</v>
      </c>
      <c r="Z23" s="158">
        <v>9443</v>
      </c>
      <c r="AA23" s="163">
        <f t="shared" si="21"/>
        <v>7</v>
      </c>
      <c r="AB23" s="158">
        <v>28.7</v>
      </c>
      <c r="AC23" s="163">
        <f t="shared" si="21"/>
        <v>0</v>
      </c>
      <c r="AD23" s="158">
        <v>542</v>
      </c>
      <c r="AE23" s="163">
        <f t="shared" si="21"/>
        <v>1</v>
      </c>
      <c r="AF23" s="158">
        <v>7871</v>
      </c>
      <c r="AG23" s="163">
        <f t="shared" si="21"/>
        <v>9</v>
      </c>
    </row>
    <row r="24" spans="1:33" ht="16.5" thickBot="1" x14ac:dyDescent="0.25">
      <c r="A24" s="9">
        <v>44734</v>
      </c>
      <c r="B24" s="160">
        <v>23793.745999999999</v>
      </c>
      <c r="C24" s="44">
        <f t="shared" si="22"/>
        <v>6.625</v>
      </c>
      <c r="D24" s="28">
        <f t="shared" si="23"/>
        <v>12587.499999999998</v>
      </c>
      <c r="E24" s="160">
        <v>4301.9639999999999</v>
      </c>
      <c r="F24" s="44">
        <f t="shared" si="24"/>
        <v>3.7409999999999854</v>
      </c>
      <c r="G24" s="28">
        <f t="shared" si="25"/>
        <v>7107.8999999999724</v>
      </c>
      <c r="H24" s="160">
        <v>5488</v>
      </c>
      <c r="I24" s="44">
        <f t="shared" si="26"/>
        <v>11</v>
      </c>
      <c r="J24" s="28">
        <f t="shared" si="27"/>
        <v>20900</v>
      </c>
      <c r="K24" s="7">
        <v>14023.8</v>
      </c>
      <c r="L24" s="44">
        <f t="shared" si="28"/>
        <v>2.6499999999996362</v>
      </c>
      <c r="M24" s="28">
        <f t="shared" si="29"/>
        <v>5034.9999999993079</v>
      </c>
      <c r="N24" s="160">
        <v>3592.4169999999999</v>
      </c>
      <c r="O24" s="44">
        <f t="shared" si="30"/>
        <v>2.5989999999997053</v>
      </c>
      <c r="P24" s="28">
        <f t="shared" si="31"/>
        <v>4938.0999999994401</v>
      </c>
      <c r="Q24" s="160">
        <v>5396.26</v>
      </c>
      <c r="R24" s="44">
        <f t="shared" si="32"/>
        <v>2.0300000000006548</v>
      </c>
      <c r="S24" s="28">
        <f t="shared" si="33"/>
        <v>3857.0000000012442</v>
      </c>
      <c r="T24" s="8">
        <f t="shared" si="35"/>
        <v>28.644999999999982</v>
      </c>
      <c r="U24" s="30">
        <f t="shared" si="34"/>
        <v>54425.499999999964</v>
      </c>
      <c r="W24" s="157">
        <v>44734</v>
      </c>
      <c r="X24" s="158">
        <v>183017</v>
      </c>
      <c r="Y24" s="163">
        <f t="shared" si="21"/>
        <v>354</v>
      </c>
      <c r="Z24" s="158">
        <v>9446</v>
      </c>
      <c r="AA24" s="163">
        <f t="shared" si="21"/>
        <v>3</v>
      </c>
      <c r="AB24" s="158">
        <v>28.7</v>
      </c>
      <c r="AC24" s="163">
        <f t="shared" si="21"/>
        <v>0</v>
      </c>
      <c r="AD24" s="158">
        <v>545</v>
      </c>
      <c r="AE24" s="163">
        <f t="shared" si="21"/>
        <v>3</v>
      </c>
      <c r="AF24" s="158">
        <v>7882</v>
      </c>
      <c r="AG24" s="163">
        <f t="shared" si="21"/>
        <v>11</v>
      </c>
    </row>
    <row r="25" spans="1:33" ht="16.5" thickBot="1" x14ac:dyDescent="0.25">
      <c r="A25" s="9">
        <v>44735</v>
      </c>
      <c r="B25" s="160"/>
      <c r="C25" s="44" t="str">
        <f t="shared" si="22"/>
        <v>0</v>
      </c>
      <c r="D25" s="28">
        <f t="shared" si="23"/>
        <v>0</v>
      </c>
      <c r="E25" s="160"/>
      <c r="F25" s="44" t="str">
        <f t="shared" si="24"/>
        <v>0</v>
      </c>
      <c r="G25" s="28">
        <f t="shared" si="25"/>
        <v>0</v>
      </c>
      <c r="H25" s="160"/>
      <c r="I25" s="44" t="str">
        <f t="shared" si="26"/>
        <v>0</v>
      </c>
      <c r="J25" s="28">
        <f t="shared" si="27"/>
        <v>0</v>
      </c>
      <c r="K25" s="7"/>
      <c r="L25" s="44" t="str">
        <f t="shared" si="28"/>
        <v>0</v>
      </c>
      <c r="M25" s="28">
        <f t="shared" si="29"/>
        <v>0</v>
      </c>
      <c r="N25" s="160"/>
      <c r="O25" s="44" t="str">
        <f t="shared" si="30"/>
        <v>0</v>
      </c>
      <c r="P25" s="28">
        <f t="shared" si="31"/>
        <v>0</v>
      </c>
      <c r="Q25" s="160"/>
      <c r="R25" s="44" t="str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 t="str">
        <f t="shared" si="21"/>
        <v>0</v>
      </c>
      <c r="Z25" s="158"/>
      <c r="AA25" s="163" t="str">
        <f t="shared" si="21"/>
        <v>0</v>
      </c>
      <c r="AB25" s="158"/>
      <c r="AC25" s="163" t="str">
        <f t="shared" si="21"/>
        <v>0</v>
      </c>
      <c r="AD25" s="158"/>
      <c r="AE25" s="163" t="str">
        <f t="shared" si="21"/>
        <v>0</v>
      </c>
      <c r="AF25" s="158"/>
      <c r="AG25" s="163" t="str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291.20799999999872</v>
      </c>
      <c r="D33" s="137">
        <f>SUM(D3:D32)</f>
        <v>553295.19999999751</v>
      </c>
      <c r="E33" s="137"/>
      <c r="F33" s="44">
        <f>SUM(F2:F32)</f>
        <v>64.273000000000138</v>
      </c>
      <c r="G33" s="137">
        <f>SUM(G3:G32)</f>
        <v>122118.70000000022</v>
      </c>
      <c r="H33" s="137"/>
      <c r="I33" s="44">
        <f>SUM(I2:I32)</f>
        <v>169</v>
      </c>
      <c r="J33" s="137">
        <f>SUM(J3:J32)</f>
        <v>321100</v>
      </c>
      <c r="K33" s="137"/>
      <c r="L33" s="44">
        <f>SUM(L2:L32)</f>
        <v>50.889999999999418</v>
      </c>
      <c r="M33" s="137">
        <f>SUM(M3:M32)</f>
        <v>96690.99999999888</v>
      </c>
      <c r="N33" s="137"/>
      <c r="O33" s="44">
        <f>SUM(O2:O32)</f>
        <v>33.089999999999691</v>
      </c>
      <c r="P33" s="137">
        <f>SUM(P3:P32)</f>
        <v>62870.999999999396</v>
      </c>
      <c r="Q33" s="137"/>
      <c r="R33" s="44">
        <f>SUM(R3:R32)</f>
        <v>42.460000000000036</v>
      </c>
      <c r="S33" s="137">
        <f>SUM(S3:S32)</f>
        <v>80674.000000000058</v>
      </c>
      <c r="T33" s="137">
        <f>SUM(T3:T32)</f>
        <v>650.920999999998</v>
      </c>
      <c r="U33" s="137">
        <f>SUM(U3:U32)</f>
        <v>1236749.8999999962</v>
      </c>
      <c r="V33"/>
      <c r="W33" s="137" t="s">
        <v>141</v>
      </c>
      <c r="X33" s="137"/>
      <c r="Y33" s="137">
        <f>SUM(Y2:Y32)</f>
        <v>5827</v>
      </c>
      <c r="Z33" s="137"/>
      <c r="AA33" s="137">
        <f>SUM(AA2:AA32)</f>
        <v>132</v>
      </c>
      <c r="AB33" s="137"/>
      <c r="AC33" s="137">
        <f>SUM(AC2:AC32)</f>
        <v>1.3000000000000007</v>
      </c>
      <c r="AD33" s="137"/>
      <c r="AE33" s="137">
        <f>SUM(AE2:AE32)</f>
        <v>50</v>
      </c>
      <c r="AF33" s="137">
        <v>0</v>
      </c>
      <c r="AG33" s="137">
        <f>SUM(AG2:AG32)</f>
        <v>316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-6913794</v>
      </c>
      <c r="D7" s="105">
        <f t="shared" si="0"/>
        <v>-8780518.3800000008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25949</v>
      </c>
      <c r="D8" s="105">
        <f t="shared" si="0"/>
        <v>32955.230000000003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5842</v>
      </c>
      <c r="D9" s="105">
        <f t="shared" si="0"/>
        <v>7419.34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11200</v>
      </c>
      <c r="D10" s="105">
        <f t="shared" si="0"/>
        <v>14224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3284</v>
      </c>
      <c r="D11" s="105">
        <f t="shared" si="0"/>
        <v>4170.68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4011</v>
      </c>
      <c r="K16" s="94">
        <f>(J16-I16)*160</f>
        <v>2240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319936</v>
      </c>
      <c r="K17" s="94">
        <f>(J17-I17)</f>
        <v>3532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26241</v>
      </c>
      <c r="K18" s="94">
        <f>(J18-I18)*160</f>
        <v>11200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157650</v>
      </c>
      <c r="K19" s="94">
        <f>J19-I19</f>
        <v>3284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47191</v>
      </c>
      <c r="K21" s="94">
        <f>(J21-I21)*120</f>
        <v>12480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40709</v>
      </c>
      <c r="K22" s="94">
        <f>(J22-I22)*160</f>
        <v>11360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21764</v>
      </c>
      <c r="K23" s="94">
        <f>(J23-I23)*20</f>
        <v>1540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255868</v>
      </c>
      <c r="K24" s="94">
        <f>J24-I24</f>
        <v>569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226106</v>
      </c>
      <c r="K25" s="94">
        <f>J25-I25</f>
        <v>70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2022-06-23T00:14:54Z</dcterms:modified>
</cp:coreProperties>
</file>