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<sst xmlns="http://schemas.openxmlformats.org/spreadsheetml/2006/main" count="296" uniqueCount="138">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</sst>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 t="e">
        <f>Submetering!E21+Submetering!F21+Submetering!G21+Submetering!H21-Submetering!AV21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 t="str">
        <f>'FS Desroches Daily'!BH22</f>
        <v/>
      </c>
      <c r="AH20" s="36" t="str">
        <f>'FS Desroches Daily'!BJ22</f>
        <v/>
      </c>
      <c r="AI20" s="36" t="str">
        <f>'FS Desroches Daily'!BL22</f>
        <v/>
      </c>
      <c r="AJ20" s="36" t="str">
        <f>'FS Desroches Daily'!BN22</f>
        <v/>
      </c>
      <c r="AK20" s="36" t="str">
        <f>'FS Desroches Daily'!BP22</f>
        <v/>
      </c>
      <c r="AL20" s="36" t="str">
        <f>'FS Desroches Daily'!BR22</f>
        <v/>
      </c>
      <c r="AM20" s="36" t="str">
        <f>'FS Desroches Daily'!BT22</f>
        <v/>
      </c>
      <c r="AN20" s="36" t="str">
        <f>'FS Desroches Daily'!BV22</f>
        <v/>
      </c>
      <c r="AO20" s="36" t="str">
        <f>'FS Desroches Daily'!BX22</f>
        <v/>
      </c>
      <c r="AP20" s="36" t="str">
        <f>'FS Desroches Daily'!BZ22</f>
        <v/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 t="str">
        <f>'FS Desroches Daily'!D23</f>
        <v>0</v>
      </c>
      <c r="F21" s="36" t="str">
        <f>'FS Desroches Daily'!F23</f>
        <v>0</v>
      </c>
      <c r="G21" s="35" t="str">
        <f>'FS Desroches Daily'!H23</f>
        <v>0</v>
      </c>
      <c r="H21" s="36" t="str">
        <f>'FS Desroches Daily'!J23</f>
        <v>0</v>
      </c>
      <c r="I21" s="35" t="str">
        <f>'FS Desroches Daily'!L23</f>
        <v>0</v>
      </c>
      <c r="J21" s="36" t="str">
        <f>'FS Desroches Daily'!N23</f>
        <v/>
      </c>
      <c r="K21" s="13" t="str">
        <f>'FS Desroches Daily'!P23</f>
        <v/>
      </c>
      <c r="L21" s="35" t="str">
        <f>'FS Desroches Daily'!R23</f>
        <v/>
      </c>
      <c r="M21" s="35" t="str">
        <f>'FS Desroches Daily'!T23</f>
        <v/>
      </c>
      <c r="N21" s="35" t="str">
        <f>'FS Desroches Daily'!V23</f>
        <v/>
      </c>
      <c r="O21" s="35" t="str">
        <f>'FS Desroches Daily'!X23</f>
        <v/>
      </c>
      <c r="P21" s="35" t="str">
        <f>'FS Desroches Daily'!Z23</f>
        <v/>
      </c>
      <c r="Q21" s="35" t="str">
        <f>'FS Desroches Daily'!AB23</f>
        <v/>
      </c>
      <c r="R21" s="35" t="str">
        <f>'FS Desroches Daily'!AD23</f>
        <v/>
      </c>
      <c r="S21" s="35" t="str">
        <f>'FS Desroches Daily'!AF23</f>
        <v/>
      </c>
      <c r="T21" s="35" t="str">
        <f>'FS Desroches Daily'!AH23</f>
        <v/>
      </c>
      <c r="U21" s="39" t="str">
        <f>'FS Desroches Daily'!AJ23</f>
        <v/>
      </c>
      <c r="V21" s="39">
        <f>'FS Desroches Daily'!AL23</f>
        <v>0</v>
      </c>
      <c r="W21" s="39" t="str">
        <f>'FS Desroches Daily'!AN23</f>
        <v/>
      </c>
      <c r="X21" s="39" t="str">
        <f>'FS Desroches Daily'!AP23</f>
        <v/>
      </c>
      <c r="Y21" s="39" t="str">
        <f>'FS Desroches Daily'!AR23</f>
        <v/>
      </c>
      <c r="Z21" s="39" t="str">
        <f>'FS Desroches Daily'!AT23</f>
        <v/>
      </c>
      <c r="AA21" s="39" t="str">
        <f>'FS Desroches Daily'!AT23</f>
        <v/>
      </c>
      <c r="AB21" s="39" t="str">
        <f>'FS Desroches Daily'!AV23</f>
        <v/>
      </c>
      <c r="AC21" s="39" t="str">
        <f>'FS Desroches Daily'!AZ23</f>
        <v/>
      </c>
      <c r="AD21" s="39" t="str">
        <f>'FS Desroches Daily'!BB23</f>
        <v/>
      </c>
      <c r="AE21" s="39" t="str">
        <f>'FS Desroches Daily'!BD23</f>
        <v/>
      </c>
      <c r="AF21" s="35" t="str">
        <f>'FS Desroches Daily'!BF23</f>
        <v/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 t="str">
        <f>'FS Desroches Daily'!CB23</f>
        <v/>
      </c>
      <c r="AR21" s="35" t="str">
        <f>'FS Desroches Daily'!CD23</f>
        <v/>
      </c>
      <c r="AS21" s="35" t="str">
        <f>'FS Desroches Daily'!CF23</f>
        <v/>
      </c>
      <c r="AT21" s="35" t="str">
        <f>'FS Desroches Daily'!CH23</f>
        <v/>
      </c>
      <c r="AU21" s="35" t="str">
        <f>'FS Desroches Daily'!CJ23</f>
        <v/>
      </c>
      <c r="AV21" s="35" t="str">
        <f>'FS Desroches Daily'!CL23</f>
        <v/>
      </c>
      <c r="AW21" s="35">
        <f>'FS Desroches Daily'!CM23</f>
        <v>0</v>
      </c>
      <c r="AX21" s="35" t="str">
        <f>IF(LPG!F28-LPG!F27&lt;0,"0",(LPG!F28-LPG!F27)*1.8315)</f>
        <v>0</v>
      </c>
      <c r="AY21" s="35" t="str">
        <f>IF(LPG!H28-LPG!H27&lt;0,"0",(LPG!H28-LPG!H27)*1.8315)</f>
        <v>0</v>
      </c>
      <c r="AZ21" s="35" t="str">
        <f>IF(LPG!J28-LPG!J27&lt;0,"0",(LPG!J28-LPG!J27)*1.8315)</f>
        <v>0</v>
      </c>
      <c r="BA21" s="35" t="str">
        <f>IF(LPG!M28-LPG!M27&lt;0,"0",(LPG!M28-LPG!M27)*1.8315)</f>
        <v>0</v>
      </c>
      <c r="BB21" s="35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30899.999999999938</v>
      </c>
      <c r="F33" s="17">
        <f t="shared" ref="F33:BC33" si="1">SUM(F2:F32)</f>
        <v>18400.000000000196</v>
      </c>
      <c r="G33" s="17">
        <f t="shared" si="1"/>
        <v>34200.00000000024</v>
      </c>
      <c r="H33" s="17">
        <f t="shared" si="1"/>
        <v>24100.000000000015</v>
      </c>
      <c r="I33" s="17">
        <f t="shared" si="1"/>
        <v>43699.999999999833</v>
      </c>
      <c r="J33" s="17">
        <f t="shared" si="1"/>
        <v>22000.000000000018</v>
      </c>
      <c r="K33" s="17">
        <f t="shared" si="1"/>
        <v>5</v>
      </c>
      <c r="L33" s="17">
        <f t="shared" si="1"/>
        <v>105</v>
      </c>
      <c r="M33" s="17">
        <f t="shared" si="1"/>
        <v>3866</v>
      </c>
      <c r="N33" s="17">
        <f t="shared" si="1"/>
        <v>2286</v>
      </c>
      <c r="O33" s="17">
        <f t="shared" si="1"/>
        <v>4150.0000000000346</v>
      </c>
      <c r="P33" s="17">
        <f t="shared" si="1"/>
        <v>11800.000000000036</v>
      </c>
      <c r="Q33" s="17">
        <f t="shared" si="1"/>
        <v>2240.0000000000091</v>
      </c>
      <c r="R33" s="17">
        <f t="shared" si="1"/>
        <v>6159.9999999999691</v>
      </c>
      <c r="S33" s="17">
        <f t="shared" si="1"/>
        <v>11620.000000000004</v>
      </c>
      <c r="T33" s="17">
        <f t="shared" si="1"/>
        <v>18.600000000000136</v>
      </c>
      <c r="U33" s="39">
        <f t="shared" si="1"/>
        <v>5620.0000000000055</v>
      </c>
      <c r="V33" s="39">
        <f t="shared" si="1"/>
        <v>3.5400000000000205</v>
      </c>
      <c r="W33" s="39">
        <f t="shared" si="1"/>
        <v>2.8499999999999943</v>
      </c>
      <c r="X33" s="39">
        <f t="shared" si="1"/>
        <v>2.710000000000008</v>
      </c>
      <c r="Y33" s="39">
        <f t="shared" si="1"/>
        <v>2560.0000000000027</v>
      </c>
      <c r="Z33" s="39">
        <f t="shared" si="1"/>
        <v>2251.8600000000092</v>
      </c>
      <c r="AA33" s="39">
        <f t="shared" si="1"/>
        <v>2251.8600000000092</v>
      </c>
      <c r="AB33" s="39">
        <f t="shared" si="1"/>
        <v>1680.0000000000068</v>
      </c>
      <c r="AC33" s="39">
        <f t="shared" si="1"/>
        <v>1560.0000000000023</v>
      </c>
      <c r="AD33" s="39">
        <f t="shared" si="1"/>
        <v>1769.9999999999818</v>
      </c>
      <c r="AE33" s="39">
        <f t="shared" si="1"/>
        <v>210.00000000000796</v>
      </c>
      <c r="AF33" s="17">
        <f t="shared" si="1"/>
        <v>611</v>
      </c>
      <c r="AG33" s="36">
        <f t="shared" si="1"/>
        <v>569.99999999999318</v>
      </c>
      <c r="AH33" s="36">
        <f t="shared" si="1"/>
        <v>680.00000000000682</v>
      </c>
      <c r="AI33" s="36">
        <f t="shared" si="1"/>
        <v>640.00000000001478</v>
      </c>
      <c r="AJ33" s="36">
        <f t="shared" si="1"/>
        <v>870.00000000000455</v>
      </c>
      <c r="AK33" s="36">
        <f t="shared" si="1"/>
        <v>959.99999999997954</v>
      </c>
      <c r="AL33" s="36">
        <f t="shared" si="1"/>
        <v>420</v>
      </c>
      <c r="AM33" s="36">
        <f t="shared" si="1"/>
        <v>430.00000000000682</v>
      </c>
      <c r="AN33" s="36">
        <f t="shared" si="1"/>
        <v>467</v>
      </c>
      <c r="AO33" s="36">
        <f t="shared" si="1"/>
        <v>680.00000000000682</v>
      </c>
      <c r="AP33" s="36">
        <f t="shared" si="1"/>
        <v>776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1063.6000000000058</v>
      </c>
      <c r="AU33" s="17">
        <f t="shared" si="1"/>
        <v>4512</v>
      </c>
      <c r="AV33" s="17">
        <f t="shared" si="1"/>
        <v>7950.0000000000455</v>
      </c>
      <c r="AW33" s="17">
        <f t="shared" si="1"/>
        <v>520.5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131.86799999999997</v>
      </c>
      <c r="BC33" s="17">
        <f t="shared" si="1"/>
        <v>0</v>
      </c>
    </row>
    <row r="35" spans="5:55" x14ac:dyDescent="0.25">
      <c r="E35" s="42">
        <f>E33/E37</f>
        <v>0.2559260547632049</v>
      </c>
      <c r="G35" s="33">
        <f>G33-M36</f>
        <v>28048.00000000024</v>
      </c>
      <c r="AE35" s="39">
        <f>SUM(U33:AE33)</f>
        <v>17912.820000000025</v>
      </c>
      <c r="AG35" s="36">
        <f>SUM(AG33:AP33)</f>
        <v>6493.0000000000127</v>
      </c>
    </row>
    <row r="36" spans="5:55" x14ac:dyDescent="0.25">
      <c r="G36" s="33">
        <f>G35-633*14</f>
        <v>19186.00000000024</v>
      </c>
      <c r="M36" s="33">
        <f>M33+N33</f>
        <v>6152</v>
      </c>
    </row>
    <row r="37" spans="5:55" x14ac:dyDescent="0.25">
      <c r="E37" s="17">
        <f>E33+F33+G33+H33+J33-633*14</f>
        <v>120738.00000000041</v>
      </c>
      <c r="G37" s="41">
        <f>M36/E37</f>
        <v>5.0953303848001286E-2</v>
      </c>
      <c r="M37" s="39">
        <f>AE35</f>
        <v>17912.820000000025</v>
      </c>
    </row>
    <row r="38" spans="5:55" x14ac:dyDescent="0.25">
      <c r="L38" s="31">
        <f>M38/E37</f>
        <v>5.3777601086650355E-2</v>
      </c>
      <c r="M38" s="33">
        <f>AG35</f>
        <v>6493.0000000000127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2" activePane="bottomLeft" state="frozen"/>
      <selection pane="bottomLeft" activeCell="V26" sqref="V26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/>
      <c r="BH22" s="72" t="str">
        <f t="shared" si="36"/>
        <v/>
      </c>
      <c r="BI22" s="67"/>
      <c r="BJ22" s="72" t="str">
        <f t="shared" si="37"/>
        <v/>
      </c>
      <c r="BK22" s="67"/>
      <c r="BL22" s="72" t="str">
        <f t="shared" si="38"/>
        <v/>
      </c>
      <c r="BM22" s="67"/>
      <c r="BN22" s="72" t="str">
        <f t="shared" si="39"/>
        <v/>
      </c>
      <c r="BO22" s="67"/>
      <c r="BP22" s="72" t="str">
        <f t="shared" si="40"/>
        <v/>
      </c>
      <c r="BQ22" s="67"/>
      <c r="BR22" s="72" t="str">
        <f t="shared" si="16"/>
        <v/>
      </c>
      <c r="BS22" s="67"/>
      <c r="BT22" s="72" t="str">
        <f t="shared" si="41"/>
        <v/>
      </c>
      <c r="BU22" s="67"/>
      <c r="BV22" s="72" t="str">
        <f t="shared" si="1"/>
        <v/>
      </c>
      <c r="BW22" s="67"/>
      <c r="BX22" s="72" t="str">
        <f t="shared" si="42"/>
        <v/>
      </c>
      <c r="BY22" s="67"/>
      <c r="BZ22" s="72" t="str">
        <f t="shared" si="17"/>
        <v/>
      </c>
      <c r="CA22" s="67">
        <v>27497.9</v>
      </c>
      <c r="CB22" s="72">
        <f t="shared" si="18"/>
        <v>0</v>
      </c>
      <c r="CC22" s="67">
        <v>11250.2</v>
      </c>
      <c r="CD22" s="72">
        <f t="shared" si="19"/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/>
      <c r="D23" s="71" t="str">
        <f t="shared" si="3"/>
        <v>0</v>
      </c>
      <c r="E23" s="64"/>
      <c r="F23" s="71" t="str">
        <f t="shared" si="4"/>
        <v>0</v>
      </c>
      <c r="G23" s="64"/>
      <c r="H23" s="71" t="str">
        <f t="shared" si="5"/>
        <v>0</v>
      </c>
      <c r="I23" s="64"/>
      <c r="J23" s="71" t="str">
        <f t="shared" si="43"/>
        <v>0</v>
      </c>
      <c r="K23" s="64"/>
      <c r="L23" s="71" t="str">
        <f t="shared" si="0"/>
        <v>0</v>
      </c>
      <c r="M23" s="64"/>
      <c r="N23" s="71" t="str">
        <f t="shared" si="6"/>
        <v/>
      </c>
      <c r="O23" s="64"/>
      <c r="P23" s="72" t="str">
        <f t="shared" si="7"/>
        <v/>
      </c>
      <c r="Q23" s="64"/>
      <c r="R23" s="72" t="str">
        <f t="shared" si="8"/>
        <v/>
      </c>
      <c r="S23" s="64"/>
      <c r="T23" s="72" t="str">
        <f t="shared" si="44"/>
        <v/>
      </c>
      <c r="U23" s="64"/>
      <c r="V23" s="72" t="str">
        <f t="shared" si="10"/>
        <v/>
      </c>
      <c r="W23" s="64"/>
      <c r="X23" s="72" t="str">
        <f t="shared" si="23"/>
        <v/>
      </c>
      <c r="Y23" s="64"/>
      <c r="Z23" s="72" t="str">
        <f t="shared" si="24"/>
        <v/>
      </c>
      <c r="AA23" s="64"/>
      <c r="AB23" s="72" t="str">
        <f t="shared" si="25"/>
        <v/>
      </c>
      <c r="AC23" s="64"/>
      <c r="AD23" s="72" t="str">
        <f t="shared" si="26"/>
        <v/>
      </c>
      <c r="AE23" s="64"/>
      <c r="AF23" s="72" t="str">
        <f t="shared" si="27"/>
        <v/>
      </c>
      <c r="AG23" s="64"/>
      <c r="AH23" s="72" t="str">
        <f t="shared" si="11"/>
        <v/>
      </c>
      <c r="AI23" s="64"/>
      <c r="AJ23" s="72" t="str">
        <f t="shared" si="28"/>
        <v/>
      </c>
      <c r="AK23" s="64"/>
      <c r="AL23" s="72"/>
      <c r="AM23" s="64"/>
      <c r="AN23" s="72" t="str">
        <f t="shared" si="13"/>
        <v/>
      </c>
      <c r="AO23" s="64"/>
      <c r="AP23" s="72" t="str">
        <f t="shared" si="14"/>
        <v/>
      </c>
      <c r="AQ23" s="64"/>
      <c r="AR23" s="72" t="str">
        <f t="shared" si="29"/>
        <v/>
      </c>
      <c r="AS23" s="64"/>
      <c r="AT23" s="72" t="str">
        <f t="shared" si="30"/>
        <v/>
      </c>
      <c r="AU23" s="64"/>
      <c r="AV23" s="72" t="str">
        <f t="shared" si="31"/>
        <v/>
      </c>
      <c r="AW23" s="64"/>
      <c r="AX23" s="72" t="str">
        <f t="shared" si="32"/>
        <v/>
      </c>
      <c r="AY23" s="64"/>
      <c r="AZ23" s="72" t="str">
        <f t="shared" si="33"/>
        <v/>
      </c>
      <c r="BA23" s="64"/>
      <c r="BB23" s="72" t="str">
        <f t="shared" si="34"/>
        <v/>
      </c>
      <c r="BC23" s="64"/>
      <c r="BD23" s="72" t="str">
        <f t="shared" si="35"/>
        <v/>
      </c>
      <c r="BE23" s="66"/>
      <c r="BF23" s="72" t="str">
        <f t="shared" si="15"/>
        <v/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 t="str">
        <f t="shared" si="18"/>
        <v/>
      </c>
      <c r="CC23" s="67"/>
      <c r="CD23" s="72" t="str">
        <f t="shared" si="19"/>
        <v/>
      </c>
      <c r="CE23" s="67"/>
      <c r="CF23" s="72" t="str">
        <f t="shared" si="20"/>
        <v/>
      </c>
      <c r="CG23" s="67"/>
      <c r="CH23" s="72" t="str">
        <f t="shared" si="21"/>
        <v/>
      </c>
      <c r="CI23" s="67"/>
      <c r="CJ23" s="72" t="str">
        <f t="shared" si="2"/>
        <v/>
      </c>
      <c r="CK23" s="67"/>
      <c r="CL23" s="71" t="str">
        <f t="shared" si="22"/>
        <v/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105</v>
      </c>
      <c r="AX35" s="72">
        <f t="shared" si="32"/>
        <v>0</v>
      </c>
      <c r="BF35" s="76">
        <f>SUM(BF4:BF33)</f>
        <v>611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B1" zoomScaleNormal="100" workbookViewId="0">
      <selection activeCell="Q29" sqref="Q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2020-04-20T09:37:51Z</dcterms:modified>
</cp:coreProperties>
</file>