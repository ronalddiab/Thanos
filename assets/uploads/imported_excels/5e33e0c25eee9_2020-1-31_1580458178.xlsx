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iro at Nile Plaza\2019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Plaza and residential" sheetId="10" r:id="rId8"/>
    <sheet name="Energy Monthly Statement" sheetId="11" r:id="rId9"/>
  </sheets>
  <externalReferences>
    <externalReference r:id="rId10"/>
  </externalReferences>
  <definedNames>
    <definedName name="_xlnm.Print_Area" localSheetId="5">Gas!$A$1:$C$35</definedName>
  </definedNames>
  <calcPr calcId="152511"/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2" i="9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2" i="8"/>
  <c r="AE32" i="8"/>
  <c r="AD32" i="8"/>
  <c r="Y32" i="8"/>
  <c r="AE31" i="8"/>
  <c r="AD31" i="8"/>
  <c r="Y31" i="8"/>
  <c r="AD30" i="8"/>
  <c r="AE30" i="8"/>
  <c r="Y30" i="8"/>
  <c r="AE29" i="8"/>
  <c r="AD29" i="8"/>
  <c r="Y29" i="8"/>
  <c r="AE28" i="8"/>
  <c r="AD28" i="8"/>
  <c r="Y28" i="8"/>
  <c r="AE27" i="8"/>
  <c r="AD27" i="8"/>
  <c r="Y27" i="8"/>
  <c r="AD26" i="8"/>
  <c r="AE26" i="8"/>
  <c r="Y26" i="8"/>
  <c r="AE25" i="8"/>
  <c r="AD25" i="8"/>
  <c r="Y25" i="8"/>
  <c r="AE24" i="8"/>
  <c r="AD24" i="8"/>
  <c r="Y24" i="8"/>
  <c r="AE23" i="8"/>
  <c r="AD23" i="8"/>
  <c r="Y23" i="8"/>
  <c r="AD22" i="8"/>
  <c r="AE22" i="8"/>
  <c r="Y22" i="8"/>
  <c r="AE21" i="8"/>
  <c r="AD21" i="8"/>
  <c r="Y21" i="8"/>
  <c r="AE20" i="8"/>
  <c r="AD20" i="8"/>
  <c r="Y20" i="8"/>
  <c r="AE19" i="8"/>
  <c r="AD19" i="8"/>
  <c r="Y19" i="8"/>
  <c r="AD18" i="8"/>
  <c r="AE18" i="8"/>
  <c r="Y18" i="8"/>
  <c r="AE17" i="8"/>
  <c r="AD17" i="8"/>
  <c r="Y17" i="8"/>
  <c r="AE16" i="8"/>
  <c r="AD16" i="8"/>
  <c r="Y16" i="8"/>
  <c r="AE15" i="8"/>
  <c r="AD15" i="8"/>
  <c r="Y15" i="8"/>
  <c r="AD14" i="8"/>
  <c r="AE14" i="8"/>
  <c r="Y14" i="8"/>
  <c r="AE13" i="8"/>
  <c r="AD13" i="8"/>
  <c r="Y13" i="8"/>
  <c r="AE12" i="8"/>
  <c r="AD12" i="8"/>
  <c r="Y12" i="8"/>
  <c r="AE11" i="8"/>
  <c r="AD11" i="8"/>
  <c r="Y11" i="8"/>
  <c r="AD10" i="8"/>
  <c r="AE10" i="8"/>
  <c r="Y10" i="8"/>
  <c r="AE9" i="8"/>
  <c r="AD9" i="8"/>
  <c r="Y9" i="8"/>
  <c r="AE8" i="8"/>
  <c r="AD8" i="8"/>
  <c r="Y8" i="8"/>
  <c r="AE7" i="8"/>
  <c r="AD7" i="8"/>
  <c r="Y7" i="8"/>
  <c r="AD6" i="8"/>
  <c r="AE6" i="8"/>
  <c r="Y6" i="8"/>
  <c r="AE5" i="8"/>
  <c r="AD5" i="8"/>
  <c r="Y5" i="8"/>
  <c r="AE4" i="8"/>
  <c r="AD4" i="8"/>
  <c r="Y4" i="8"/>
  <c r="AE3" i="8"/>
  <c r="AD3" i="8"/>
  <c r="Y3" i="8"/>
  <c r="AD2" i="8"/>
  <c r="AE2" i="8"/>
  <c r="Y2" i="8"/>
  <c r="J35" i="11"/>
  <c r="I35" i="11"/>
  <c r="J32" i="11"/>
  <c r="I32" i="11"/>
  <c r="K32" i="11"/>
  <c r="J31" i="11"/>
  <c r="I31" i="11"/>
  <c r="J30" i="11"/>
  <c r="I30" i="11"/>
  <c r="K30" i="11"/>
  <c r="C15" i="11"/>
  <c r="D15" i="11"/>
  <c r="J29" i="11"/>
  <c r="I29" i="11"/>
  <c r="K26" i="11"/>
  <c r="J25" i="11"/>
  <c r="K25" i="11"/>
  <c r="C9" i="11"/>
  <c r="D9" i="11"/>
  <c r="I25" i="11"/>
  <c r="J24" i="11"/>
  <c r="I24" i="11"/>
  <c r="J23" i="11"/>
  <c r="K23" i="11"/>
  <c r="I23" i="11"/>
  <c r="J22" i="11"/>
  <c r="K22" i="11"/>
  <c r="I22" i="11"/>
  <c r="J21" i="11"/>
  <c r="I21" i="11"/>
  <c r="D21" i="11"/>
  <c r="J20" i="11"/>
  <c r="I20" i="11"/>
  <c r="D20" i="11"/>
  <c r="J19" i="11"/>
  <c r="I19" i="11"/>
  <c r="D19" i="11"/>
  <c r="J18" i="11"/>
  <c r="I18" i="11"/>
  <c r="D18" i="11"/>
  <c r="J17" i="11"/>
  <c r="I17" i="11"/>
  <c r="D17" i="11"/>
  <c r="J12" i="11"/>
  <c r="I12" i="11"/>
  <c r="K11" i="11"/>
  <c r="J10" i="11"/>
  <c r="K10" i="11"/>
  <c r="I10" i="11"/>
  <c r="J9" i="11"/>
  <c r="K9" i="11"/>
  <c r="I9" i="11"/>
  <c r="J8" i="11"/>
  <c r="K8" i="11"/>
  <c r="I8" i="11"/>
  <c r="J7" i="11"/>
  <c r="I7" i="11"/>
  <c r="J6" i="11"/>
  <c r="K6" i="11"/>
  <c r="I6" i="11"/>
  <c r="J4" i="11"/>
  <c r="K4" i="11"/>
  <c r="I4" i="11"/>
  <c r="J3" i="11"/>
  <c r="I3" i="11"/>
  <c r="N95" i="10"/>
  <c r="G61" i="10"/>
  <c r="G60" i="10"/>
  <c r="G59" i="10"/>
  <c r="G58" i="10"/>
  <c r="G57" i="10"/>
  <c r="G56" i="10"/>
  <c r="G55" i="10"/>
  <c r="G54" i="10"/>
  <c r="G53" i="10"/>
  <c r="G51" i="10"/>
  <c r="G50" i="10"/>
  <c r="G49" i="10"/>
  <c r="G48" i="10"/>
  <c r="G47" i="10"/>
  <c r="G46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N94" i="10"/>
  <c r="O93" i="10"/>
  <c r="N93" i="10"/>
  <c r="M93" i="10"/>
  <c r="O92" i="10"/>
  <c r="N92" i="10"/>
  <c r="M92" i="10"/>
  <c r="O91" i="10"/>
  <c r="N91" i="10"/>
  <c r="M91" i="10"/>
  <c r="O90" i="10"/>
  <c r="N90" i="10"/>
  <c r="M90" i="10"/>
  <c r="O89" i="10"/>
  <c r="N89" i="10"/>
  <c r="M89" i="10"/>
  <c r="O88" i="10"/>
  <c r="N88" i="10"/>
  <c r="M88" i="10"/>
  <c r="O87" i="10"/>
  <c r="N87" i="10"/>
  <c r="M87" i="10"/>
  <c r="O86" i="10"/>
  <c r="N86" i="10"/>
  <c r="M86" i="10"/>
  <c r="O85" i="10"/>
  <c r="N85" i="10"/>
  <c r="M85" i="10"/>
  <c r="O84" i="10"/>
  <c r="N84" i="10"/>
  <c r="M84" i="10"/>
  <c r="O83" i="10"/>
  <c r="N83" i="10"/>
  <c r="M83" i="10"/>
  <c r="O82" i="10"/>
  <c r="N82" i="10"/>
  <c r="M82" i="10"/>
  <c r="O81" i="10"/>
  <c r="N81" i="10"/>
  <c r="M81" i="10"/>
  <c r="O80" i="10"/>
  <c r="N80" i="10"/>
  <c r="M80" i="10"/>
  <c r="O79" i="10"/>
  <c r="N79" i="10"/>
  <c r="M79" i="10"/>
  <c r="O78" i="10"/>
  <c r="N78" i="10"/>
  <c r="M78" i="10"/>
  <c r="O77" i="10"/>
  <c r="N77" i="10"/>
  <c r="M77" i="10"/>
  <c r="O76" i="10"/>
  <c r="N76" i="10"/>
  <c r="M76" i="10"/>
  <c r="O75" i="10"/>
  <c r="N75" i="10"/>
  <c r="M75" i="10"/>
  <c r="O74" i="10"/>
  <c r="N74" i="10"/>
  <c r="M74" i="10"/>
  <c r="O73" i="10"/>
  <c r="N73" i="10"/>
  <c r="M73" i="10"/>
  <c r="O72" i="10"/>
  <c r="N72" i="10"/>
  <c r="M72" i="10"/>
  <c r="N61" i="10"/>
  <c r="N60" i="10"/>
  <c r="N59" i="10"/>
  <c r="N58" i="10"/>
  <c r="N57" i="10"/>
  <c r="N56" i="10"/>
  <c r="N55" i="10"/>
  <c r="N54" i="10"/>
  <c r="N53" i="10"/>
  <c r="N51" i="10"/>
  <c r="N50" i="10"/>
  <c r="N49" i="10"/>
  <c r="N48" i="10"/>
  <c r="N47" i="10"/>
  <c r="N46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R30" i="1"/>
  <c r="R31" i="1"/>
  <c r="W19" i="4"/>
  <c r="S19" i="4"/>
  <c r="O17" i="8"/>
  <c r="Q19" i="4"/>
  <c r="O19" i="4"/>
  <c r="M19" i="4"/>
  <c r="L17" i="8"/>
  <c r="K19" i="4"/>
  <c r="X19" i="4"/>
  <c r="H19" i="4"/>
  <c r="F19" i="4"/>
  <c r="I19" i="4"/>
  <c r="Y19" i="4"/>
  <c r="D19" i="4"/>
  <c r="W18" i="4"/>
  <c r="S18" i="4"/>
  <c r="Z18" i="4"/>
  <c r="Q18" i="4"/>
  <c r="N16" i="8"/>
  <c r="O18" i="4"/>
  <c r="X18" i="4"/>
  <c r="M18" i="4"/>
  <c r="K18" i="4"/>
  <c r="H18" i="4"/>
  <c r="J16" i="8"/>
  <c r="F18" i="4"/>
  <c r="D18" i="4"/>
  <c r="W17" i="4"/>
  <c r="S17" i="4"/>
  <c r="O15" i="8"/>
  <c r="Q17" i="4"/>
  <c r="O17" i="4"/>
  <c r="M15" i="8"/>
  <c r="M17" i="4"/>
  <c r="L15" i="8"/>
  <c r="K17" i="4"/>
  <c r="X17" i="4"/>
  <c r="X35" i="4"/>
  <c r="H17" i="4"/>
  <c r="F17" i="4"/>
  <c r="I17" i="4"/>
  <c r="D17" i="4"/>
  <c r="Q15" i="8"/>
  <c r="G19" i="3"/>
  <c r="E19" i="3"/>
  <c r="C19" i="3"/>
  <c r="G18" i="3"/>
  <c r="G16" i="8"/>
  <c r="E18" i="3"/>
  <c r="C18" i="3"/>
  <c r="G17" i="3"/>
  <c r="E17" i="3"/>
  <c r="F15" i="8"/>
  <c r="C17" i="3"/>
  <c r="S19" i="2"/>
  <c r="Q19" i="2"/>
  <c r="O19" i="2"/>
  <c r="M19" i="2"/>
  <c r="K19" i="2"/>
  <c r="I19" i="2"/>
  <c r="G19" i="2"/>
  <c r="E19" i="2"/>
  <c r="C19" i="2"/>
  <c r="S18" i="2"/>
  <c r="S35" i="2"/>
  <c r="Q18" i="2"/>
  <c r="O18" i="2"/>
  <c r="M18" i="2"/>
  <c r="K18" i="2"/>
  <c r="I18" i="2"/>
  <c r="G18" i="2"/>
  <c r="E18" i="2"/>
  <c r="C18" i="2"/>
  <c r="S17" i="2"/>
  <c r="Q17" i="2"/>
  <c r="O17" i="2"/>
  <c r="M17" i="2"/>
  <c r="K17" i="2"/>
  <c r="I17" i="2"/>
  <c r="G17" i="2"/>
  <c r="E17" i="2"/>
  <c r="C17" i="2"/>
  <c r="O29" i="1"/>
  <c r="P29" i="1"/>
  <c r="I14" i="1"/>
  <c r="S32" i="2"/>
  <c r="D2" i="1"/>
  <c r="G2" i="1"/>
  <c r="J2" i="1"/>
  <c r="M2" i="1"/>
  <c r="P2" i="1"/>
  <c r="T2" i="1"/>
  <c r="C3" i="1"/>
  <c r="R2" i="8"/>
  <c r="D3" i="1"/>
  <c r="F3" i="1"/>
  <c r="I3" i="1"/>
  <c r="J3" i="1"/>
  <c r="T2" i="8"/>
  <c r="L3" i="1"/>
  <c r="O3" i="1"/>
  <c r="P3" i="1"/>
  <c r="U2" i="8"/>
  <c r="R3" i="1"/>
  <c r="W2" i="8"/>
  <c r="S3" i="1"/>
  <c r="C4" i="1"/>
  <c r="F4" i="1"/>
  <c r="G4" i="1"/>
  <c r="S3" i="8"/>
  <c r="I4" i="1"/>
  <c r="T3" i="8"/>
  <c r="L4" i="1"/>
  <c r="V3" i="8"/>
  <c r="M4" i="1"/>
  <c r="O4" i="1"/>
  <c r="U3" i="8"/>
  <c r="P4" i="1"/>
  <c r="R4" i="1"/>
  <c r="W3" i="8"/>
  <c r="C5" i="1"/>
  <c r="D5" i="1"/>
  <c r="R4" i="8"/>
  <c r="F5" i="1"/>
  <c r="I5" i="1"/>
  <c r="T4" i="8"/>
  <c r="J5" i="1"/>
  <c r="L5" i="1"/>
  <c r="M5" i="1"/>
  <c r="O5" i="1"/>
  <c r="P5" i="1"/>
  <c r="U4" i="8"/>
  <c r="R5" i="1"/>
  <c r="W4" i="8"/>
  <c r="C6" i="1"/>
  <c r="R5" i="8"/>
  <c r="F6" i="1"/>
  <c r="S5" i="8"/>
  <c r="G6" i="1"/>
  <c r="I6" i="1"/>
  <c r="J6" i="1"/>
  <c r="T5" i="8"/>
  <c r="L6" i="1"/>
  <c r="V5" i="8"/>
  <c r="M6" i="1"/>
  <c r="O6" i="1"/>
  <c r="P6" i="1"/>
  <c r="R6" i="1"/>
  <c r="S6" i="1"/>
  <c r="C7" i="1"/>
  <c r="D7" i="1"/>
  <c r="R6" i="8"/>
  <c r="F7" i="1"/>
  <c r="I7" i="1"/>
  <c r="J7" i="1"/>
  <c r="L7" i="1"/>
  <c r="M7" i="1"/>
  <c r="O7" i="1"/>
  <c r="P7" i="1"/>
  <c r="U6" i="8"/>
  <c r="R7" i="1"/>
  <c r="S7" i="1"/>
  <c r="C8" i="1"/>
  <c r="R7" i="8"/>
  <c r="D8" i="1"/>
  <c r="F8" i="1"/>
  <c r="S7" i="8"/>
  <c r="I8" i="1"/>
  <c r="J8" i="1"/>
  <c r="L8" i="1"/>
  <c r="V7" i="8"/>
  <c r="M8" i="1"/>
  <c r="O8" i="1"/>
  <c r="R8" i="1"/>
  <c r="W7" i="8"/>
  <c r="C9" i="1"/>
  <c r="R8" i="8"/>
  <c r="D9" i="1"/>
  <c r="F9" i="1"/>
  <c r="G9" i="1"/>
  <c r="I9" i="1"/>
  <c r="T8" i="8"/>
  <c r="L9" i="1"/>
  <c r="M9" i="1"/>
  <c r="V8" i="8"/>
  <c r="O9" i="1"/>
  <c r="P9" i="1"/>
  <c r="R9" i="1"/>
  <c r="S9" i="1"/>
  <c r="W8" i="8"/>
  <c r="C10" i="1"/>
  <c r="R9" i="8"/>
  <c r="D10" i="1"/>
  <c r="F10" i="1"/>
  <c r="G10" i="1"/>
  <c r="I10" i="1"/>
  <c r="J10" i="1"/>
  <c r="T9" i="8"/>
  <c r="L10" i="1"/>
  <c r="M10" i="1"/>
  <c r="V9" i="8"/>
  <c r="O10" i="1"/>
  <c r="P10" i="1"/>
  <c r="U9" i="8"/>
  <c r="R10" i="1"/>
  <c r="S10" i="1"/>
  <c r="W9" i="8"/>
  <c r="C11" i="1"/>
  <c r="R10" i="8"/>
  <c r="D11" i="1"/>
  <c r="F11" i="1"/>
  <c r="G11" i="1"/>
  <c r="S10" i="8"/>
  <c r="I11" i="1"/>
  <c r="J11" i="1"/>
  <c r="L11" i="1"/>
  <c r="M11" i="1"/>
  <c r="O11" i="1"/>
  <c r="P11" i="1"/>
  <c r="U10" i="8"/>
  <c r="R11" i="1"/>
  <c r="W10" i="8"/>
  <c r="S11" i="1"/>
  <c r="C12" i="1"/>
  <c r="D12" i="1"/>
  <c r="F12" i="1"/>
  <c r="G12" i="1"/>
  <c r="I12" i="1"/>
  <c r="J12" i="1"/>
  <c r="T11" i="8"/>
  <c r="L12" i="1"/>
  <c r="M12" i="1"/>
  <c r="O12" i="1"/>
  <c r="P12" i="1"/>
  <c r="U11" i="8"/>
  <c r="R12" i="1"/>
  <c r="S12" i="1"/>
  <c r="C13" i="1"/>
  <c r="D13" i="1"/>
  <c r="F13" i="1"/>
  <c r="S12" i="8"/>
  <c r="I13" i="1"/>
  <c r="T12" i="8"/>
  <c r="J13" i="1"/>
  <c r="L13" i="1"/>
  <c r="V12" i="8"/>
  <c r="O13" i="1"/>
  <c r="P13" i="1"/>
  <c r="U12" i="8"/>
  <c r="R13" i="1"/>
  <c r="W12" i="8"/>
  <c r="S13" i="1"/>
  <c r="C14" i="1"/>
  <c r="R13" i="8"/>
  <c r="D14" i="1"/>
  <c r="F14" i="1"/>
  <c r="S13" i="8"/>
  <c r="G14" i="1"/>
  <c r="L14" i="1"/>
  <c r="M14" i="1"/>
  <c r="O14" i="1"/>
  <c r="U13" i="8"/>
  <c r="R14" i="1"/>
  <c r="W13" i="8"/>
  <c r="C15" i="1"/>
  <c r="R14" i="8"/>
  <c r="F15" i="1"/>
  <c r="S14" i="8"/>
  <c r="I15" i="1"/>
  <c r="T14" i="8"/>
  <c r="J15" i="1"/>
  <c r="L15" i="1"/>
  <c r="O15" i="1"/>
  <c r="P15" i="1"/>
  <c r="R15" i="1"/>
  <c r="W14" i="8"/>
  <c r="C16" i="1"/>
  <c r="R15" i="8"/>
  <c r="F16" i="1"/>
  <c r="G16" i="1"/>
  <c r="I16" i="1"/>
  <c r="J16" i="1"/>
  <c r="L16" i="1"/>
  <c r="M16" i="1"/>
  <c r="O16" i="1"/>
  <c r="P16" i="1"/>
  <c r="R16" i="1"/>
  <c r="S16" i="1"/>
  <c r="C17" i="1"/>
  <c r="D17" i="1"/>
  <c r="F17" i="1"/>
  <c r="I17" i="1"/>
  <c r="J17" i="1"/>
  <c r="T16" i="8"/>
  <c r="L17" i="1"/>
  <c r="V16" i="8"/>
  <c r="O17" i="1"/>
  <c r="U16" i="8"/>
  <c r="R17" i="1"/>
  <c r="S17" i="1"/>
  <c r="W16" i="8"/>
  <c r="C18" i="1"/>
  <c r="R17" i="8"/>
  <c r="F18" i="1"/>
  <c r="T18" i="1"/>
  <c r="U18" i="1"/>
  <c r="G18" i="1"/>
  <c r="I18" i="1"/>
  <c r="T17" i="8"/>
  <c r="L18" i="1"/>
  <c r="V17" i="8"/>
  <c r="M18" i="1"/>
  <c r="O18" i="1"/>
  <c r="P18" i="1"/>
  <c r="R18" i="1"/>
  <c r="S18" i="1"/>
  <c r="C19" i="1"/>
  <c r="D19" i="1"/>
  <c r="F19" i="1"/>
  <c r="S18" i="8"/>
  <c r="I19" i="1"/>
  <c r="J19" i="1"/>
  <c r="L19" i="1"/>
  <c r="V18" i="8"/>
  <c r="O19" i="1"/>
  <c r="U18" i="8"/>
  <c r="R19" i="1"/>
  <c r="S19" i="1"/>
  <c r="W18" i="8"/>
  <c r="C20" i="1"/>
  <c r="R19" i="8"/>
  <c r="F20" i="1"/>
  <c r="G20" i="1"/>
  <c r="I20" i="1"/>
  <c r="J20" i="1"/>
  <c r="L20" i="1"/>
  <c r="M20" i="1"/>
  <c r="O20" i="1"/>
  <c r="U19" i="8"/>
  <c r="P20" i="1"/>
  <c r="R20" i="1"/>
  <c r="S20" i="1"/>
  <c r="C21" i="1"/>
  <c r="R20" i="8"/>
  <c r="F21" i="1"/>
  <c r="T21" i="1"/>
  <c r="U21" i="1"/>
  <c r="I21" i="1"/>
  <c r="T20" i="8"/>
  <c r="L21" i="1"/>
  <c r="V20" i="8"/>
  <c r="O21" i="1"/>
  <c r="U20" i="8"/>
  <c r="R21" i="1"/>
  <c r="S21" i="1"/>
  <c r="C22" i="1"/>
  <c r="D22" i="1"/>
  <c r="F22" i="1"/>
  <c r="G22" i="1"/>
  <c r="S21" i="8"/>
  <c r="I22" i="1"/>
  <c r="J22" i="1"/>
  <c r="T21" i="8"/>
  <c r="L22" i="1"/>
  <c r="V21" i="8"/>
  <c r="M22" i="1"/>
  <c r="O22" i="1"/>
  <c r="P22" i="1"/>
  <c r="U21" i="8"/>
  <c r="R22" i="1"/>
  <c r="S22" i="1"/>
  <c r="W21" i="8"/>
  <c r="C23" i="1"/>
  <c r="D23" i="1"/>
  <c r="F23" i="1"/>
  <c r="S22" i="8"/>
  <c r="I23" i="1"/>
  <c r="J23" i="1"/>
  <c r="T22" i="8"/>
  <c r="L23" i="1"/>
  <c r="V22" i="8"/>
  <c r="M23" i="1"/>
  <c r="O23" i="1"/>
  <c r="P23" i="1"/>
  <c r="R23" i="1"/>
  <c r="W22" i="8"/>
  <c r="C24" i="1"/>
  <c r="D24" i="1"/>
  <c r="R23" i="8"/>
  <c r="F24" i="1"/>
  <c r="G24" i="1"/>
  <c r="S23" i="8"/>
  <c r="I24" i="1"/>
  <c r="T23" i="8"/>
  <c r="J24" i="1"/>
  <c r="L24" i="1"/>
  <c r="M24" i="1"/>
  <c r="V23" i="8"/>
  <c r="O24" i="1"/>
  <c r="P24" i="1"/>
  <c r="R24" i="1"/>
  <c r="W23" i="8"/>
  <c r="C25" i="1"/>
  <c r="D25" i="1"/>
  <c r="F25" i="1"/>
  <c r="G25" i="1"/>
  <c r="I25" i="1"/>
  <c r="J25" i="1"/>
  <c r="T24" i="8"/>
  <c r="L25" i="1"/>
  <c r="V24" i="8"/>
  <c r="O25" i="1"/>
  <c r="P25" i="1"/>
  <c r="U24" i="8"/>
  <c r="R25" i="1"/>
  <c r="W24" i="8"/>
  <c r="C26" i="1"/>
  <c r="R25" i="8"/>
  <c r="D26" i="1"/>
  <c r="F26" i="1"/>
  <c r="G26" i="1"/>
  <c r="S25" i="8"/>
  <c r="I26" i="1"/>
  <c r="T25" i="8"/>
  <c r="J26" i="1"/>
  <c r="L26" i="1"/>
  <c r="V25" i="8"/>
  <c r="O26" i="1"/>
  <c r="P26" i="1"/>
  <c r="R26" i="1"/>
  <c r="W25" i="8"/>
  <c r="C27" i="1"/>
  <c r="R26" i="8"/>
  <c r="D27" i="1"/>
  <c r="F27" i="1"/>
  <c r="G27" i="1"/>
  <c r="I27" i="1"/>
  <c r="J27" i="1"/>
  <c r="T26" i="8"/>
  <c r="L27" i="1"/>
  <c r="M27" i="1"/>
  <c r="O27" i="1"/>
  <c r="P27" i="1"/>
  <c r="U26" i="8"/>
  <c r="R27" i="1"/>
  <c r="W26" i="8"/>
  <c r="C28" i="1"/>
  <c r="D28" i="1"/>
  <c r="R27" i="8"/>
  <c r="F28" i="1"/>
  <c r="T28" i="1"/>
  <c r="U28" i="1"/>
  <c r="I28" i="1"/>
  <c r="J28" i="1"/>
  <c r="L28" i="1"/>
  <c r="V27" i="8"/>
  <c r="M28" i="1"/>
  <c r="O28" i="1"/>
  <c r="P28" i="1"/>
  <c r="R28" i="1"/>
  <c r="W27" i="8"/>
  <c r="S28" i="1"/>
  <c r="C29" i="1"/>
  <c r="R28" i="8"/>
  <c r="F29" i="1"/>
  <c r="G29" i="1"/>
  <c r="S28" i="8"/>
  <c r="I29" i="1"/>
  <c r="T28" i="8"/>
  <c r="L29" i="1"/>
  <c r="M29" i="1"/>
  <c r="R29" i="1"/>
  <c r="S29" i="1"/>
  <c r="C30" i="1"/>
  <c r="D30" i="1"/>
  <c r="F30" i="1"/>
  <c r="S29" i="8"/>
  <c r="I30" i="1"/>
  <c r="T29" i="8"/>
  <c r="L30" i="1"/>
  <c r="V29" i="8"/>
  <c r="M30" i="1"/>
  <c r="O30" i="1"/>
  <c r="P30" i="1"/>
  <c r="W29" i="8"/>
  <c r="C31" i="1"/>
  <c r="D31" i="1"/>
  <c r="F31" i="1"/>
  <c r="G31" i="1"/>
  <c r="I31" i="1"/>
  <c r="J31" i="1"/>
  <c r="T30" i="8"/>
  <c r="L31" i="1"/>
  <c r="V30" i="8"/>
  <c r="M31" i="1"/>
  <c r="O31" i="1"/>
  <c r="U30" i="8"/>
  <c r="P31" i="1"/>
  <c r="S31" i="1"/>
  <c r="C32" i="1"/>
  <c r="R31" i="8"/>
  <c r="F32" i="1"/>
  <c r="G32" i="1"/>
  <c r="S31" i="8"/>
  <c r="I32" i="1"/>
  <c r="J32" i="1"/>
  <c r="L32" i="1"/>
  <c r="M32" i="1"/>
  <c r="O32" i="1"/>
  <c r="U31" i="8"/>
  <c r="P32" i="1"/>
  <c r="R32" i="1"/>
  <c r="W31" i="8"/>
  <c r="C33" i="1"/>
  <c r="R32" i="8"/>
  <c r="F33" i="1"/>
  <c r="G33" i="1"/>
  <c r="I33" i="1"/>
  <c r="T32" i="8"/>
  <c r="L33" i="1"/>
  <c r="M33" i="1"/>
  <c r="O33" i="1"/>
  <c r="U32" i="8"/>
  <c r="R33" i="1"/>
  <c r="S33" i="1"/>
  <c r="W32" i="8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D4" i="4"/>
  <c r="Q2" i="8"/>
  <c r="F4" i="4"/>
  <c r="I2" i="8"/>
  <c r="H4" i="4"/>
  <c r="K4" i="4"/>
  <c r="K2" i="8"/>
  <c r="M4" i="4"/>
  <c r="O4" i="4"/>
  <c r="M2" i="8"/>
  <c r="Q4" i="4"/>
  <c r="N2" i="8"/>
  <c r="S4" i="4"/>
  <c r="O2" i="8"/>
  <c r="W4" i="4"/>
  <c r="P2" i="8"/>
  <c r="D5" i="4"/>
  <c r="Q3" i="8"/>
  <c r="F5" i="4"/>
  <c r="I3" i="8"/>
  <c r="H5" i="4"/>
  <c r="K5" i="4"/>
  <c r="M5" i="4"/>
  <c r="L3" i="8"/>
  <c r="O5" i="4"/>
  <c r="M3" i="8"/>
  <c r="Q5" i="4"/>
  <c r="N3" i="8"/>
  <c r="S5" i="4"/>
  <c r="O3" i="8"/>
  <c r="W5" i="4"/>
  <c r="P3" i="8"/>
  <c r="D6" i="4"/>
  <c r="Q4" i="8"/>
  <c r="F6" i="4"/>
  <c r="H6" i="4"/>
  <c r="J4" i="8"/>
  <c r="K6" i="4"/>
  <c r="M6" i="4"/>
  <c r="L4" i="8"/>
  <c r="O6" i="4"/>
  <c r="M4" i="8"/>
  <c r="Q6" i="4"/>
  <c r="N4" i="8"/>
  <c r="S6" i="4"/>
  <c r="O4" i="8"/>
  <c r="W6" i="4"/>
  <c r="D7" i="4"/>
  <c r="Q5" i="8"/>
  <c r="F7" i="4"/>
  <c r="I5" i="8"/>
  <c r="I7" i="4"/>
  <c r="H7" i="4"/>
  <c r="J5" i="8"/>
  <c r="K7" i="4"/>
  <c r="K5" i="8"/>
  <c r="M7" i="4"/>
  <c r="L5" i="8"/>
  <c r="O7" i="4"/>
  <c r="M5" i="8"/>
  <c r="Q7" i="4"/>
  <c r="N5" i="8"/>
  <c r="S7" i="4"/>
  <c r="O5" i="8"/>
  <c r="W7" i="4"/>
  <c r="D8" i="4"/>
  <c r="Q6" i="8"/>
  <c r="F8" i="4"/>
  <c r="I6" i="8"/>
  <c r="H8" i="4"/>
  <c r="K8" i="4"/>
  <c r="K6" i="8"/>
  <c r="M8" i="4"/>
  <c r="L6" i="8"/>
  <c r="O8" i="4"/>
  <c r="Q8" i="4"/>
  <c r="N6" i="8"/>
  <c r="S8" i="4"/>
  <c r="O6" i="8"/>
  <c r="W8" i="4"/>
  <c r="D9" i="4"/>
  <c r="Q7" i="8"/>
  <c r="F9" i="4"/>
  <c r="I7" i="8"/>
  <c r="H9" i="4"/>
  <c r="J7" i="8"/>
  <c r="K9" i="4"/>
  <c r="M9" i="4"/>
  <c r="L7" i="8"/>
  <c r="O9" i="4"/>
  <c r="M7" i="8"/>
  <c r="Q9" i="4"/>
  <c r="N7" i="8"/>
  <c r="S9" i="4"/>
  <c r="O7" i="8"/>
  <c r="W9" i="4"/>
  <c r="P7" i="8"/>
  <c r="D10" i="4"/>
  <c r="Q8" i="8"/>
  <c r="F10" i="4"/>
  <c r="I8" i="8"/>
  <c r="H10" i="4"/>
  <c r="J8" i="8"/>
  <c r="K10" i="4"/>
  <c r="K8" i="8"/>
  <c r="M10" i="4"/>
  <c r="O10" i="4"/>
  <c r="Q10" i="4"/>
  <c r="N8" i="8"/>
  <c r="S10" i="4"/>
  <c r="X10" i="4"/>
  <c r="O8" i="8"/>
  <c r="W10" i="4"/>
  <c r="P8" i="8"/>
  <c r="D11" i="4"/>
  <c r="Q9" i="8"/>
  <c r="F11" i="4"/>
  <c r="H11" i="4"/>
  <c r="J9" i="8"/>
  <c r="K11" i="4"/>
  <c r="M11" i="4"/>
  <c r="L9" i="8"/>
  <c r="O11" i="4"/>
  <c r="M9" i="8"/>
  <c r="Q11" i="4"/>
  <c r="N9" i="8"/>
  <c r="S11" i="4"/>
  <c r="O9" i="8"/>
  <c r="W11" i="4"/>
  <c r="P9" i="8"/>
  <c r="D12" i="4"/>
  <c r="Q10" i="8"/>
  <c r="F12" i="4"/>
  <c r="I10" i="8"/>
  <c r="H12" i="4"/>
  <c r="J10" i="8"/>
  <c r="K12" i="4"/>
  <c r="K10" i="8"/>
  <c r="M12" i="4"/>
  <c r="L10" i="8"/>
  <c r="O12" i="4"/>
  <c r="M10" i="8"/>
  <c r="Q12" i="4"/>
  <c r="Z12" i="4"/>
  <c r="AA12" i="4"/>
  <c r="N10" i="8"/>
  <c r="S12" i="4"/>
  <c r="O10" i="8"/>
  <c r="W12" i="4"/>
  <c r="P10" i="8"/>
  <c r="D13" i="4"/>
  <c r="Q11" i="8"/>
  <c r="F13" i="4"/>
  <c r="I11" i="8"/>
  <c r="H13" i="4"/>
  <c r="K13" i="4"/>
  <c r="K11" i="8"/>
  <c r="M13" i="4"/>
  <c r="O13" i="4"/>
  <c r="M11" i="8"/>
  <c r="Q13" i="4"/>
  <c r="N11" i="8"/>
  <c r="S13" i="4"/>
  <c r="O11" i="8"/>
  <c r="W13" i="4"/>
  <c r="P11" i="8"/>
  <c r="D14" i="4"/>
  <c r="Q12" i="8"/>
  <c r="F14" i="4"/>
  <c r="H14" i="4"/>
  <c r="I14" i="4"/>
  <c r="J12" i="8"/>
  <c r="K14" i="4"/>
  <c r="M14" i="4"/>
  <c r="L12" i="8"/>
  <c r="O14" i="4"/>
  <c r="M12" i="8"/>
  <c r="Q14" i="4"/>
  <c r="N12" i="8"/>
  <c r="S14" i="4"/>
  <c r="O12" i="8"/>
  <c r="W14" i="4"/>
  <c r="P12" i="8"/>
  <c r="D15" i="4"/>
  <c r="Q13" i="8"/>
  <c r="F15" i="4"/>
  <c r="I13" i="8"/>
  <c r="H15" i="4"/>
  <c r="I15" i="4"/>
  <c r="J13" i="8"/>
  <c r="K15" i="4"/>
  <c r="M15" i="4"/>
  <c r="L13" i="8"/>
  <c r="O15" i="4"/>
  <c r="M13" i="8"/>
  <c r="Q15" i="4"/>
  <c r="S15" i="4"/>
  <c r="O13" i="8"/>
  <c r="W15" i="4"/>
  <c r="P13" i="8"/>
  <c r="D16" i="4"/>
  <c r="Q14" i="8"/>
  <c r="F16" i="4"/>
  <c r="I14" i="8"/>
  <c r="H16" i="4"/>
  <c r="I16" i="4"/>
  <c r="K16" i="4"/>
  <c r="K14" i="8"/>
  <c r="M16" i="4"/>
  <c r="L14" i="8"/>
  <c r="O16" i="4"/>
  <c r="M14" i="8"/>
  <c r="Q16" i="4"/>
  <c r="N14" i="8"/>
  <c r="S16" i="4"/>
  <c r="O14" i="8"/>
  <c r="W16" i="4"/>
  <c r="P14" i="8"/>
  <c r="J15" i="8"/>
  <c r="K15" i="8"/>
  <c r="N15" i="8"/>
  <c r="P15" i="8"/>
  <c r="Q16" i="8"/>
  <c r="K16" i="8"/>
  <c r="L16" i="8"/>
  <c r="M16" i="8"/>
  <c r="O16" i="8"/>
  <c r="P16" i="8"/>
  <c r="Q17" i="8"/>
  <c r="J17" i="8"/>
  <c r="M17" i="8"/>
  <c r="N17" i="8"/>
  <c r="P17" i="8"/>
  <c r="D20" i="4"/>
  <c r="Q18" i="8"/>
  <c r="F20" i="4"/>
  <c r="I20" i="4"/>
  <c r="Y20" i="4"/>
  <c r="I18" i="8"/>
  <c r="H20" i="4"/>
  <c r="J18" i="8"/>
  <c r="K20" i="4"/>
  <c r="M20" i="4"/>
  <c r="L18" i="8"/>
  <c r="O20" i="4"/>
  <c r="M18" i="8"/>
  <c r="Q20" i="4"/>
  <c r="N18" i="8"/>
  <c r="S20" i="4"/>
  <c r="O18" i="8"/>
  <c r="W20" i="4"/>
  <c r="P18" i="8"/>
  <c r="D21" i="4"/>
  <c r="Q19" i="8"/>
  <c r="F21" i="4"/>
  <c r="I19" i="8"/>
  <c r="H21" i="4"/>
  <c r="I21" i="4"/>
  <c r="J19" i="8"/>
  <c r="K21" i="4"/>
  <c r="K19" i="8"/>
  <c r="M21" i="4"/>
  <c r="L19" i="8"/>
  <c r="O21" i="4"/>
  <c r="M19" i="8"/>
  <c r="Q21" i="4"/>
  <c r="N19" i="8"/>
  <c r="S21" i="4"/>
  <c r="O19" i="8"/>
  <c r="W21" i="4"/>
  <c r="P19" i="8"/>
  <c r="D22" i="4"/>
  <c r="Q20" i="8"/>
  <c r="F22" i="4"/>
  <c r="H22" i="4"/>
  <c r="J20" i="8"/>
  <c r="K22" i="4"/>
  <c r="K20" i="8"/>
  <c r="M22" i="4"/>
  <c r="L20" i="8"/>
  <c r="O22" i="4"/>
  <c r="M20" i="8"/>
  <c r="Q22" i="4"/>
  <c r="N20" i="8"/>
  <c r="S22" i="4"/>
  <c r="O20" i="8"/>
  <c r="W22" i="4"/>
  <c r="P20" i="8"/>
  <c r="D23" i="4"/>
  <c r="Q21" i="8"/>
  <c r="F23" i="4"/>
  <c r="H23" i="4"/>
  <c r="J21" i="8"/>
  <c r="K23" i="4"/>
  <c r="K21" i="8"/>
  <c r="M23" i="4"/>
  <c r="L21" i="8"/>
  <c r="O23" i="4"/>
  <c r="M21" i="8"/>
  <c r="Q23" i="4"/>
  <c r="N21" i="8"/>
  <c r="S23" i="4"/>
  <c r="O21" i="8"/>
  <c r="W23" i="4"/>
  <c r="P21" i="8"/>
  <c r="D24" i="4"/>
  <c r="Q22" i="8"/>
  <c r="F24" i="4"/>
  <c r="I22" i="8"/>
  <c r="H24" i="4"/>
  <c r="J22" i="8"/>
  <c r="K24" i="4"/>
  <c r="K22" i="8"/>
  <c r="M24" i="4"/>
  <c r="L22" i="8"/>
  <c r="O24" i="4"/>
  <c r="M22" i="8"/>
  <c r="Q24" i="4"/>
  <c r="N22" i="8"/>
  <c r="S24" i="4"/>
  <c r="O22" i="8"/>
  <c r="W24" i="4"/>
  <c r="P22" i="8"/>
  <c r="D25" i="4"/>
  <c r="Q23" i="8"/>
  <c r="F25" i="4"/>
  <c r="I23" i="8"/>
  <c r="H25" i="4"/>
  <c r="I25" i="4"/>
  <c r="J23" i="8"/>
  <c r="K25" i="4"/>
  <c r="K23" i="8"/>
  <c r="M25" i="4"/>
  <c r="L23" i="8"/>
  <c r="O25" i="4"/>
  <c r="Q25" i="4"/>
  <c r="N23" i="8"/>
  <c r="S25" i="4"/>
  <c r="O23" i="8"/>
  <c r="W25" i="4"/>
  <c r="P23" i="8"/>
  <c r="D26" i="4"/>
  <c r="Q24" i="8"/>
  <c r="F26" i="4"/>
  <c r="I24" i="8"/>
  <c r="H26" i="4"/>
  <c r="J24" i="8"/>
  <c r="K26" i="4"/>
  <c r="K24" i="8"/>
  <c r="M26" i="4"/>
  <c r="L24" i="8"/>
  <c r="O26" i="4"/>
  <c r="M24" i="8"/>
  <c r="Q26" i="4"/>
  <c r="N24" i="8"/>
  <c r="S26" i="4"/>
  <c r="O24" i="8"/>
  <c r="W26" i="4"/>
  <c r="P24" i="8"/>
  <c r="D27" i="4"/>
  <c r="Q25" i="8"/>
  <c r="F27" i="4"/>
  <c r="I25" i="8"/>
  <c r="H27" i="4"/>
  <c r="I27" i="4"/>
  <c r="J25" i="8"/>
  <c r="K27" i="4"/>
  <c r="K25" i="8"/>
  <c r="M27" i="4"/>
  <c r="L25" i="8"/>
  <c r="O27" i="4"/>
  <c r="Q27" i="4"/>
  <c r="N25" i="8"/>
  <c r="S27" i="4"/>
  <c r="O25" i="8"/>
  <c r="W27" i="4"/>
  <c r="D28" i="4"/>
  <c r="Q26" i="8"/>
  <c r="F28" i="4"/>
  <c r="I26" i="8"/>
  <c r="H28" i="4"/>
  <c r="I28" i="4"/>
  <c r="J26" i="8"/>
  <c r="K28" i="4"/>
  <c r="K26" i="8"/>
  <c r="M28" i="4"/>
  <c r="L26" i="8"/>
  <c r="O28" i="4"/>
  <c r="M26" i="8"/>
  <c r="Q28" i="4"/>
  <c r="N26" i="8"/>
  <c r="S28" i="4"/>
  <c r="O26" i="8"/>
  <c r="W28" i="4"/>
  <c r="P26" i="8"/>
  <c r="D29" i="4"/>
  <c r="Q27" i="8"/>
  <c r="F29" i="4"/>
  <c r="I29" i="4"/>
  <c r="I27" i="8"/>
  <c r="H29" i="4"/>
  <c r="J27" i="8"/>
  <c r="K29" i="4"/>
  <c r="K27" i="8"/>
  <c r="M29" i="4"/>
  <c r="L27" i="8"/>
  <c r="O29" i="4"/>
  <c r="M27" i="8"/>
  <c r="Q29" i="4"/>
  <c r="N27" i="8"/>
  <c r="S29" i="4"/>
  <c r="O27" i="8"/>
  <c r="W29" i="4"/>
  <c r="D30" i="4"/>
  <c r="Q28" i="8"/>
  <c r="F30" i="4"/>
  <c r="H30" i="4"/>
  <c r="J28" i="8"/>
  <c r="K30" i="4"/>
  <c r="K28" i="8"/>
  <c r="M30" i="4"/>
  <c r="L28" i="8"/>
  <c r="O30" i="4"/>
  <c r="M28" i="8"/>
  <c r="Q30" i="4"/>
  <c r="N28" i="8"/>
  <c r="S30" i="4"/>
  <c r="O28" i="8"/>
  <c r="W30" i="4"/>
  <c r="P28" i="8"/>
  <c r="D31" i="4"/>
  <c r="Q29" i="8"/>
  <c r="F31" i="4"/>
  <c r="I29" i="8"/>
  <c r="H31" i="4"/>
  <c r="J29" i="8"/>
  <c r="K31" i="4"/>
  <c r="K29" i="8"/>
  <c r="M31" i="4"/>
  <c r="L29" i="8"/>
  <c r="O31" i="4"/>
  <c r="M29" i="8"/>
  <c r="Q31" i="4"/>
  <c r="N29" i="8"/>
  <c r="S31" i="4"/>
  <c r="O29" i="8"/>
  <c r="W31" i="4"/>
  <c r="P29" i="8"/>
  <c r="D32" i="4"/>
  <c r="Q30" i="8"/>
  <c r="F32" i="4"/>
  <c r="I30" i="8"/>
  <c r="H32" i="4"/>
  <c r="I32" i="4"/>
  <c r="J30" i="8"/>
  <c r="K32" i="4"/>
  <c r="K30" i="8"/>
  <c r="M32" i="4"/>
  <c r="L30" i="8"/>
  <c r="O32" i="4"/>
  <c r="M30" i="8"/>
  <c r="Q32" i="4"/>
  <c r="N30" i="8"/>
  <c r="S32" i="4"/>
  <c r="Z32" i="4"/>
  <c r="AA32" i="4"/>
  <c r="O30" i="8"/>
  <c r="W32" i="4"/>
  <c r="P30" i="8"/>
  <c r="D33" i="4"/>
  <c r="Q31" i="8"/>
  <c r="F33" i="4"/>
  <c r="H33" i="4"/>
  <c r="J31" i="8"/>
  <c r="K33" i="4"/>
  <c r="K31" i="8"/>
  <c r="M33" i="4"/>
  <c r="L31" i="8"/>
  <c r="O33" i="4"/>
  <c r="M31" i="8"/>
  <c r="Q33" i="4"/>
  <c r="N31" i="8"/>
  <c r="S33" i="4"/>
  <c r="O31" i="8"/>
  <c r="W33" i="4"/>
  <c r="P31" i="8"/>
  <c r="D34" i="4"/>
  <c r="Q32" i="8"/>
  <c r="F34" i="4"/>
  <c r="I32" i="8"/>
  <c r="H34" i="4"/>
  <c r="I34" i="4"/>
  <c r="J32" i="8"/>
  <c r="K34" i="4"/>
  <c r="K32" i="8"/>
  <c r="M34" i="4"/>
  <c r="L32" i="8"/>
  <c r="O34" i="4"/>
  <c r="M32" i="8"/>
  <c r="Q34" i="4"/>
  <c r="N32" i="8"/>
  <c r="S34" i="4"/>
  <c r="O32" i="8"/>
  <c r="W34" i="4"/>
  <c r="P32" i="8"/>
  <c r="J3" i="3"/>
  <c r="K3" i="3"/>
  <c r="C4" i="3"/>
  <c r="E4" i="3"/>
  <c r="F2" i="8"/>
  <c r="G4" i="3"/>
  <c r="G2" i="8"/>
  <c r="I4" i="3"/>
  <c r="H2" i="8"/>
  <c r="C5" i="3"/>
  <c r="E3" i="8"/>
  <c r="E5" i="3"/>
  <c r="F3" i="8"/>
  <c r="G5" i="3"/>
  <c r="I5" i="3"/>
  <c r="C6" i="3"/>
  <c r="E4" i="8"/>
  <c r="E6" i="3"/>
  <c r="F4" i="8"/>
  <c r="G6" i="3"/>
  <c r="G4" i="8"/>
  <c r="I6" i="3"/>
  <c r="H4" i="8"/>
  <c r="C7" i="3"/>
  <c r="E5" i="8"/>
  <c r="E7" i="3"/>
  <c r="F5" i="8"/>
  <c r="G7" i="3"/>
  <c r="G5" i="8"/>
  <c r="I7" i="3"/>
  <c r="H5" i="8"/>
  <c r="C8" i="3"/>
  <c r="E6" i="8"/>
  <c r="E8" i="3"/>
  <c r="F6" i="8"/>
  <c r="G8" i="3"/>
  <c r="I8" i="3"/>
  <c r="C9" i="3"/>
  <c r="E7" i="8"/>
  <c r="E9" i="3"/>
  <c r="F7" i="8"/>
  <c r="G9" i="3"/>
  <c r="I9" i="3"/>
  <c r="H7" i="8"/>
  <c r="C10" i="3"/>
  <c r="E10" i="3"/>
  <c r="F8" i="8"/>
  <c r="G10" i="3"/>
  <c r="G8" i="8"/>
  <c r="I10" i="3"/>
  <c r="H8" i="8"/>
  <c r="C11" i="3"/>
  <c r="E11" i="3"/>
  <c r="F9" i="8"/>
  <c r="G11" i="3"/>
  <c r="G9" i="8"/>
  <c r="I11" i="3"/>
  <c r="H9" i="8"/>
  <c r="C12" i="3"/>
  <c r="E10" i="8"/>
  <c r="E12" i="3"/>
  <c r="F10" i="8"/>
  <c r="G12" i="3"/>
  <c r="G10" i="8"/>
  <c r="I12" i="3"/>
  <c r="H10" i="8"/>
  <c r="C13" i="3"/>
  <c r="E11" i="8"/>
  <c r="E13" i="3"/>
  <c r="F11" i="8"/>
  <c r="G13" i="3"/>
  <c r="G11" i="8"/>
  <c r="I13" i="3"/>
  <c r="C14" i="3"/>
  <c r="E12" i="8"/>
  <c r="E14" i="3"/>
  <c r="F12" i="8"/>
  <c r="G14" i="3"/>
  <c r="G12" i="8"/>
  <c r="I14" i="3"/>
  <c r="H12" i="8"/>
  <c r="C15" i="3"/>
  <c r="E13" i="8"/>
  <c r="E15" i="3"/>
  <c r="G15" i="3"/>
  <c r="G13" i="8"/>
  <c r="I15" i="3"/>
  <c r="H13" i="8"/>
  <c r="C16" i="3"/>
  <c r="E16" i="3"/>
  <c r="F14" i="8"/>
  <c r="G16" i="3"/>
  <c r="G14" i="8"/>
  <c r="I16" i="3"/>
  <c r="H14" i="8"/>
  <c r="E15" i="8"/>
  <c r="G15" i="8"/>
  <c r="I17" i="3"/>
  <c r="H15" i="8"/>
  <c r="E16" i="8"/>
  <c r="F16" i="8"/>
  <c r="I18" i="3"/>
  <c r="H16" i="8"/>
  <c r="F17" i="8"/>
  <c r="J19" i="3"/>
  <c r="K19" i="3"/>
  <c r="G17" i="8"/>
  <c r="I19" i="3"/>
  <c r="H17" i="8"/>
  <c r="C20" i="3"/>
  <c r="J20" i="3"/>
  <c r="K20" i="3"/>
  <c r="E18" i="8"/>
  <c r="E20" i="3"/>
  <c r="F18" i="8"/>
  <c r="G20" i="3"/>
  <c r="G18" i="8"/>
  <c r="I20" i="3"/>
  <c r="H18" i="8"/>
  <c r="C21" i="3"/>
  <c r="E19" i="8"/>
  <c r="E21" i="3"/>
  <c r="F19" i="8"/>
  <c r="G21" i="3"/>
  <c r="G19" i="8"/>
  <c r="I21" i="3"/>
  <c r="H19" i="8"/>
  <c r="C22" i="3"/>
  <c r="E22" i="3"/>
  <c r="F20" i="8"/>
  <c r="G22" i="3"/>
  <c r="G20" i="8"/>
  <c r="I22" i="3"/>
  <c r="H20" i="8"/>
  <c r="C23" i="3"/>
  <c r="E21" i="8"/>
  <c r="E23" i="3"/>
  <c r="F21" i="8"/>
  <c r="G23" i="3"/>
  <c r="G21" i="8"/>
  <c r="I23" i="3"/>
  <c r="H21" i="8"/>
  <c r="C24" i="3"/>
  <c r="E22" i="8"/>
  <c r="E24" i="3"/>
  <c r="F22" i="8"/>
  <c r="G24" i="3"/>
  <c r="G22" i="8"/>
  <c r="I24" i="3"/>
  <c r="H22" i="8"/>
  <c r="C25" i="3"/>
  <c r="E23" i="8"/>
  <c r="E25" i="3"/>
  <c r="F23" i="8"/>
  <c r="G25" i="3"/>
  <c r="G23" i="8"/>
  <c r="I25" i="3"/>
  <c r="H23" i="8"/>
  <c r="C26" i="3"/>
  <c r="E24" i="8"/>
  <c r="E26" i="3"/>
  <c r="F24" i="8"/>
  <c r="G26" i="3"/>
  <c r="G24" i="8"/>
  <c r="I26" i="3"/>
  <c r="H24" i="8"/>
  <c r="C27" i="3"/>
  <c r="E27" i="3"/>
  <c r="F25" i="8"/>
  <c r="G27" i="3"/>
  <c r="G25" i="8"/>
  <c r="I27" i="3"/>
  <c r="H25" i="8"/>
  <c r="C28" i="3"/>
  <c r="E26" i="8"/>
  <c r="E28" i="3"/>
  <c r="F26" i="8"/>
  <c r="G28" i="3"/>
  <c r="G26" i="8"/>
  <c r="I28" i="3"/>
  <c r="H26" i="8"/>
  <c r="C29" i="3"/>
  <c r="E27" i="8"/>
  <c r="E29" i="3"/>
  <c r="F27" i="8"/>
  <c r="G29" i="3"/>
  <c r="G27" i="8"/>
  <c r="I29" i="3"/>
  <c r="H27" i="8"/>
  <c r="C30" i="3"/>
  <c r="E28" i="8"/>
  <c r="E30" i="3"/>
  <c r="F28" i="8"/>
  <c r="G30" i="3"/>
  <c r="G28" i="8"/>
  <c r="I30" i="3"/>
  <c r="H28" i="8"/>
  <c r="C31" i="3"/>
  <c r="E29" i="8"/>
  <c r="E31" i="3"/>
  <c r="F29" i="8"/>
  <c r="G31" i="3"/>
  <c r="G29" i="8"/>
  <c r="I31" i="3"/>
  <c r="H29" i="8"/>
  <c r="C32" i="3"/>
  <c r="E30" i="8"/>
  <c r="E32" i="3"/>
  <c r="F30" i="8"/>
  <c r="G32" i="3"/>
  <c r="G30" i="8"/>
  <c r="I32" i="3"/>
  <c r="H30" i="8"/>
  <c r="C33" i="3"/>
  <c r="E31" i="8"/>
  <c r="E33" i="3"/>
  <c r="F31" i="8"/>
  <c r="G33" i="3"/>
  <c r="G31" i="8"/>
  <c r="I33" i="3"/>
  <c r="H31" i="8"/>
  <c r="C34" i="3"/>
  <c r="C35" i="3"/>
  <c r="E32" i="8"/>
  <c r="E34" i="3"/>
  <c r="F32" i="8"/>
  <c r="G34" i="3"/>
  <c r="G32" i="8"/>
  <c r="I34" i="3"/>
  <c r="H32" i="8"/>
  <c r="C4" i="2"/>
  <c r="E4" i="2"/>
  <c r="G4" i="2"/>
  <c r="I4" i="2"/>
  <c r="K4" i="2"/>
  <c r="M4" i="2"/>
  <c r="O4" i="2"/>
  <c r="Q4" i="2"/>
  <c r="S4" i="2"/>
  <c r="C5" i="2"/>
  <c r="E5" i="2"/>
  <c r="G5" i="2"/>
  <c r="I5" i="2"/>
  <c r="K5" i="2"/>
  <c r="M5" i="2"/>
  <c r="O5" i="2"/>
  <c r="Q5" i="2"/>
  <c r="S5" i="2"/>
  <c r="C6" i="2"/>
  <c r="E6" i="2"/>
  <c r="G6" i="2"/>
  <c r="I6" i="2"/>
  <c r="K6" i="2"/>
  <c r="M6" i="2"/>
  <c r="O6" i="2"/>
  <c r="Q6" i="2"/>
  <c r="S6" i="2"/>
  <c r="C7" i="2"/>
  <c r="E7" i="2"/>
  <c r="G7" i="2"/>
  <c r="I7" i="2"/>
  <c r="K7" i="2"/>
  <c r="M7" i="2"/>
  <c r="O7" i="2"/>
  <c r="Q7" i="2"/>
  <c r="S7" i="2"/>
  <c r="C8" i="2"/>
  <c r="E8" i="2"/>
  <c r="G8" i="2"/>
  <c r="I8" i="2"/>
  <c r="K8" i="2"/>
  <c r="M8" i="2"/>
  <c r="O8" i="2"/>
  <c r="Q8" i="2"/>
  <c r="S8" i="2"/>
  <c r="C9" i="2"/>
  <c r="E9" i="2"/>
  <c r="G9" i="2"/>
  <c r="I9" i="2"/>
  <c r="K9" i="2"/>
  <c r="M9" i="2"/>
  <c r="O9" i="2"/>
  <c r="Q9" i="2"/>
  <c r="S9" i="2"/>
  <c r="C10" i="2"/>
  <c r="E10" i="2"/>
  <c r="G10" i="2"/>
  <c r="I10" i="2"/>
  <c r="K10" i="2"/>
  <c r="M10" i="2"/>
  <c r="O10" i="2"/>
  <c r="Q10" i="2"/>
  <c r="S10" i="2"/>
  <c r="C11" i="2"/>
  <c r="E11" i="2"/>
  <c r="G11" i="2"/>
  <c r="I11" i="2"/>
  <c r="K11" i="2"/>
  <c r="M11" i="2"/>
  <c r="O11" i="2"/>
  <c r="Q11" i="2"/>
  <c r="S11" i="2"/>
  <c r="C12" i="2"/>
  <c r="E12" i="2"/>
  <c r="G12" i="2"/>
  <c r="I12" i="2"/>
  <c r="K12" i="2"/>
  <c r="M12" i="2"/>
  <c r="O12" i="2"/>
  <c r="Q12" i="2"/>
  <c r="S12" i="2"/>
  <c r="C13" i="2"/>
  <c r="E13" i="2"/>
  <c r="G13" i="2"/>
  <c r="I13" i="2"/>
  <c r="K13" i="2"/>
  <c r="M13" i="2"/>
  <c r="O13" i="2"/>
  <c r="Q13" i="2"/>
  <c r="S13" i="2"/>
  <c r="C14" i="2"/>
  <c r="E14" i="2"/>
  <c r="G14" i="2"/>
  <c r="I14" i="2"/>
  <c r="K14" i="2"/>
  <c r="M14" i="2"/>
  <c r="O14" i="2"/>
  <c r="Q14" i="2"/>
  <c r="S14" i="2"/>
  <c r="C15" i="2"/>
  <c r="E15" i="2"/>
  <c r="G15" i="2"/>
  <c r="I15" i="2"/>
  <c r="K15" i="2"/>
  <c r="M15" i="2"/>
  <c r="O15" i="2"/>
  <c r="Q15" i="2"/>
  <c r="S15" i="2"/>
  <c r="C16" i="2"/>
  <c r="E16" i="2"/>
  <c r="G16" i="2"/>
  <c r="I16" i="2"/>
  <c r="K16" i="2"/>
  <c r="M16" i="2"/>
  <c r="O16" i="2"/>
  <c r="Q16" i="2"/>
  <c r="S16" i="2"/>
  <c r="C20" i="2"/>
  <c r="E20" i="2"/>
  <c r="G20" i="2"/>
  <c r="I20" i="2"/>
  <c r="K20" i="2"/>
  <c r="M20" i="2"/>
  <c r="O20" i="2"/>
  <c r="Q20" i="2"/>
  <c r="S20" i="2"/>
  <c r="C21" i="2"/>
  <c r="E21" i="2"/>
  <c r="G21" i="2"/>
  <c r="I21" i="2"/>
  <c r="K21" i="2"/>
  <c r="M21" i="2"/>
  <c r="O21" i="2"/>
  <c r="Q21" i="2"/>
  <c r="S21" i="2"/>
  <c r="C22" i="2"/>
  <c r="E22" i="2"/>
  <c r="G22" i="2"/>
  <c r="I22" i="2"/>
  <c r="K22" i="2"/>
  <c r="M22" i="2"/>
  <c r="O22" i="2"/>
  <c r="Q22" i="2"/>
  <c r="S22" i="2"/>
  <c r="C23" i="2"/>
  <c r="E23" i="2"/>
  <c r="G23" i="2"/>
  <c r="I23" i="2"/>
  <c r="K23" i="2"/>
  <c r="M23" i="2"/>
  <c r="O23" i="2"/>
  <c r="Q23" i="2"/>
  <c r="S23" i="2"/>
  <c r="C24" i="2"/>
  <c r="E24" i="2"/>
  <c r="G24" i="2"/>
  <c r="I24" i="2"/>
  <c r="K24" i="2"/>
  <c r="M24" i="2"/>
  <c r="O24" i="2"/>
  <c r="Q24" i="2"/>
  <c r="S24" i="2"/>
  <c r="C25" i="2"/>
  <c r="E25" i="2"/>
  <c r="G25" i="2"/>
  <c r="I25" i="2"/>
  <c r="K25" i="2"/>
  <c r="M25" i="2"/>
  <c r="O25" i="2"/>
  <c r="Q25" i="2"/>
  <c r="S25" i="2"/>
  <c r="C26" i="2"/>
  <c r="E26" i="2"/>
  <c r="G26" i="2"/>
  <c r="I26" i="2"/>
  <c r="K26" i="2"/>
  <c r="M26" i="2"/>
  <c r="O26" i="2"/>
  <c r="Q26" i="2"/>
  <c r="S26" i="2"/>
  <c r="C27" i="2"/>
  <c r="E27" i="2"/>
  <c r="G27" i="2"/>
  <c r="I27" i="2"/>
  <c r="K27" i="2"/>
  <c r="M27" i="2"/>
  <c r="O27" i="2"/>
  <c r="Q27" i="2"/>
  <c r="S27" i="2"/>
  <c r="C28" i="2"/>
  <c r="E28" i="2"/>
  <c r="G28" i="2"/>
  <c r="I28" i="2"/>
  <c r="K28" i="2"/>
  <c r="M28" i="2"/>
  <c r="O28" i="2"/>
  <c r="Q28" i="2"/>
  <c r="S28" i="2"/>
  <c r="C29" i="2"/>
  <c r="E29" i="2"/>
  <c r="G29" i="2"/>
  <c r="I29" i="2"/>
  <c r="K29" i="2"/>
  <c r="M29" i="2"/>
  <c r="O29" i="2"/>
  <c r="Q29" i="2"/>
  <c r="S29" i="2"/>
  <c r="C30" i="2"/>
  <c r="E30" i="2"/>
  <c r="G30" i="2"/>
  <c r="I30" i="2"/>
  <c r="K30" i="2"/>
  <c r="M30" i="2"/>
  <c r="O30" i="2"/>
  <c r="Q30" i="2"/>
  <c r="S30" i="2"/>
  <c r="C31" i="2"/>
  <c r="E31" i="2"/>
  <c r="G31" i="2"/>
  <c r="I31" i="2"/>
  <c r="K31" i="2"/>
  <c r="M31" i="2"/>
  <c r="O31" i="2"/>
  <c r="Q31" i="2"/>
  <c r="S31" i="2"/>
  <c r="C32" i="2"/>
  <c r="E32" i="2"/>
  <c r="G32" i="2"/>
  <c r="I32" i="2"/>
  <c r="K32" i="2"/>
  <c r="M32" i="2"/>
  <c r="O32" i="2"/>
  <c r="C33" i="2"/>
  <c r="E33" i="2"/>
  <c r="G33" i="2"/>
  <c r="I33" i="2"/>
  <c r="K33" i="2"/>
  <c r="M33" i="2"/>
  <c r="O33" i="2"/>
  <c r="Q33" i="2"/>
  <c r="S33" i="2"/>
  <c r="C34" i="2"/>
  <c r="E34" i="2"/>
  <c r="G34" i="2"/>
  <c r="G35" i="2"/>
  <c r="I34" i="2"/>
  <c r="I35" i="2"/>
  <c r="K34" i="2"/>
  <c r="M34" i="2"/>
  <c r="O34" i="2"/>
  <c r="Q34" i="2"/>
  <c r="S34" i="2"/>
  <c r="J2" i="8"/>
  <c r="X2" i="8"/>
  <c r="B3" i="8"/>
  <c r="X3" i="8"/>
  <c r="B4" i="8"/>
  <c r="K4" i="8"/>
  <c r="X4" i="8"/>
  <c r="B5" i="8"/>
  <c r="X5" i="8"/>
  <c r="B6" i="8"/>
  <c r="H6" i="8"/>
  <c r="J6" i="8"/>
  <c r="X6" i="8"/>
  <c r="B7" i="8"/>
  <c r="G7" i="8"/>
  <c r="K7" i="8"/>
  <c r="X7" i="8"/>
  <c r="B8" i="8"/>
  <c r="X8" i="8"/>
  <c r="B9" i="8"/>
  <c r="X9" i="8"/>
  <c r="B10" i="8"/>
  <c r="X10" i="8"/>
  <c r="B11" i="8"/>
  <c r="L11" i="8"/>
  <c r="X11" i="8"/>
  <c r="B12" i="8"/>
  <c r="X12" i="8"/>
  <c r="B13" i="8"/>
  <c r="X13" i="8"/>
  <c r="B14" i="8"/>
  <c r="V14" i="8"/>
  <c r="X14" i="8"/>
  <c r="B15" i="8"/>
  <c r="X15" i="8"/>
  <c r="B16" i="8"/>
  <c r="I16" i="8"/>
  <c r="X16" i="8"/>
  <c r="B17" i="8"/>
  <c r="E17" i="8"/>
  <c r="X17" i="8"/>
  <c r="B18" i="8"/>
  <c r="T18" i="8"/>
  <c r="X18" i="8"/>
  <c r="B19" i="8"/>
  <c r="X19" i="8"/>
  <c r="B20" i="8"/>
  <c r="X20" i="8"/>
  <c r="B21" i="8"/>
  <c r="X21" i="8"/>
  <c r="B22" i="8"/>
  <c r="X22" i="8"/>
  <c r="B23" i="8"/>
  <c r="X23" i="8"/>
  <c r="B24" i="8"/>
  <c r="X24" i="8"/>
  <c r="B25" i="8"/>
  <c r="X25" i="8"/>
  <c r="B26" i="8"/>
  <c r="X26" i="8"/>
  <c r="B27" i="8"/>
  <c r="X27" i="8"/>
  <c r="B28" i="8"/>
  <c r="X28" i="8"/>
  <c r="B29" i="8"/>
  <c r="X29" i="8"/>
  <c r="B30" i="8"/>
  <c r="X30" i="8"/>
  <c r="B31" i="8"/>
  <c r="X31" i="8"/>
  <c r="B32" i="8"/>
  <c r="X32" i="8"/>
  <c r="K2" i="9"/>
  <c r="B3" i="9"/>
  <c r="K3" i="9"/>
  <c r="B4" i="9"/>
  <c r="K4" i="9"/>
  <c r="B5" i="9"/>
  <c r="K5" i="9"/>
  <c r="B6" i="9"/>
  <c r="K6" i="9"/>
  <c r="B7" i="9"/>
  <c r="K7" i="9"/>
  <c r="B8" i="9"/>
  <c r="K8" i="9"/>
  <c r="B9" i="9"/>
  <c r="K9" i="9"/>
  <c r="B10" i="9"/>
  <c r="K10" i="9"/>
  <c r="B11" i="9"/>
  <c r="K11" i="9"/>
  <c r="B12" i="9"/>
  <c r="K12" i="9"/>
  <c r="B13" i="9"/>
  <c r="K13" i="9"/>
  <c r="B14" i="9"/>
  <c r="K14" i="9"/>
  <c r="B15" i="9"/>
  <c r="K15" i="9"/>
  <c r="B16" i="9"/>
  <c r="K16" i="9"/>
  <c r="B17" i="9"/>
  <c r="K17" i="9"/>
  <c r="B18" i="9"/>
  <c r="K18" i="9"/>
  <c r="B19" i="9"/>
  <c r="K19" i="9"/>
  <c r="B20" i="9"/>
  <c r="K20" i="9"/>
  <c r="B21" i="9"/>
  <c r="K21" i="9"/>
  <c r="B22" i="9"/>
  <c r="K22" i="9"/>
  <c r="B23" i="9"/>
  <c r="K23" i="9"/>
  <c r="B24" i="9"/>
  <c r="K24" i="9"/>
  <c r="B25" i="9"/>
  <c r="K25" i="9"/>
  <c r="B26" i="9"/>
  <c r="K26" i="9"/>
  <c r="B27" i="9"/>
  <c r="K27" i="9"/>
  <c r="B28" i="9"/>
  <c r="K28" i="9"/>
  <c r="B29" i="9"/>
  <c r="K29" i="9"/>
  <c r="B30" i="9"/>
  <c r="K30" i="9"/>
  <c r="B31" i="9"/>
  <c r="K31" i="9"/>
  <c r="K32" i="9"/>
  <c r="F13" i="8"/>
  <c r="N13" i="8"/>
  <c r="U17" i="8"/>
  <c r="M15" i="1"/>
  <c r="U22" i="8"/>
  <c r="M19" i="1"/>
  <c r="R22" i="8"/>
  <c r="T27" i="8"/>
  <c r="M6" i="8"/>
  <c r="K3" i="8"/>
  <c r="I28" i="8"/>
  <c r="I4" i="8"/>
  <c r="D6" i="1"/>
  <c r="P6" i="8"/>
  <c r="S8" i="1"/>
  <c r="T7" i="8"/>
  <c r="I9" i="8"/>
  <c r="I11" i="4"/>
  <c r="I12" i="8"/>
  <c r="H11" i="8"/>
  <c r="R12" i="8"/>
  <c r="W17" i="8"/>
  <c r="V19" i="8"/>
  <c r="I20" i="8"/>
  <c r="M21" i="1"/>
  <c r="S27" i="1"/>
  <c r="M25" i="8"/>
  <c r="E25" i="8"/>
  <c r="P27" i="8"/>
  <c r="V32" i="8"/>
  <c r="J4" i="1"/>
  <c r="G3" i="1"/>
  <c r="P21" i="1"/>
  <c r="U23" i="8"/>
  <c r="M17" i="1"/>
  <c r="V2" i="8"/>
  <c r="T6" i="8"/>
  <c r="S17" i="8"/>
  <c r="D18" i="1"/>
  <c r="I5" i="4"/>
  <c r="I4" i="4"/>
  <c r="Z4" i="4"/>
  <c r="X9" i="4"/>
  <c r="L2" i="8"/>
  <c r="K9" i="8"/>
  <c r="X4" i="4"/>
  <c r="I31" i="4"/>
  <c r="J3" i="8"/>
  <c r="J5" i="3"/>
  <c r="K5" i="3"/>
  <c r="G3" i="8"/>
  <c r="J4" i="3"/>
  <c r="K4" i="3"/>
  <c r="E2" i="8"/>
  <c r="AA4" i="4"/>
  <c r="Y4" i="4"/>
  <c r="V4" i="8"/>
  <c r="Z5" i="4"/>
  <c r="AA5" i="4"/>
  <c r="X5" i="4"/>
  <c r="Y5" i="4"/>
  <c r="H3" i="8"/>
  <c r="W5" i="8"/>
  <c r="S5" i="1"/>
  <c r="T5" i="1"/>
  <c r="U5" i="1"/>
  <c r="J6" i="3"/>
  <c r="K6" i="3"/>
  <c r="P4" i="8"/>
  <c r="X6" i="4"/>
  <c r="Z6" i="4"/>
  <c r="AA6" i="4"/>
  <c r="Z7" i="4"/>
  <c r="I6" i="4"/>
  <c r="Y6" i="4"/>
  <c r="W6" i="8"/>
  <c r="U5" i="8"/>
  <c r="T6" i="1"/>
  <c r="U6" i="1"/>
  <c r="P5" i="8"/>
  <c r="AA7" i="4"/>
  <c r="X8" i="4"/>
  <c r="X7" i="4"/>
  <c r="Y7" i="4"/>
  <c r="J7" i="3"/>
  <c r="K7" i="3"/>
  <c r="Z8" i="4"/>
  <c r="AA8" i="4"/>
  <c r="Z9" i="4"/>
  <c r="I8" i="4"/>
  <c r="Y8" i="4"/>
  <c r="G6" i="8"/>
  <c r="J8" i="3"/>
  <c r="AA9" i="4"/>
  <c r="K8" i="3"/>
  <c r="I9" i="4"/>
  <c r="Y9" i="4"/>
  <c r="U8" i="8"/>
  <c r="G8" i="1"/>
  <c r="J9" i="3"/>
  <c r="K9" i="3"/>
  <c r="T7" i="1"/>
  <c r="U7" i="1"/>
  <c r="V6" i="8"/>
  <c r="Z10" i="4"/>
  <c r="M8" i="8"/>
  <c r="L8" i="8"/>
  <c r="I10" i="4"/>
  <c r="Y10" i="4"/>
  <c r="J10" i="3"/>
  <c r="K10" i="3"/>
  <c r="E8" i="8"/>
  <c r="J9" i="1"/>
  <c r="T9" i="1"/>
  <c r="U9" i="1"/>
  <c r="AA10" i="4"/>
  <c r="V10" i="8"/>
  <c r="T10" i="8"/>
  <c r="X11" i="4"/>
  <c r="Z11" i="4"/>
  <c r="Y11" i="4"/>
  <c r="J11" i="3"/>
  <c r="K11" i="3"/>
  <c r="E9" i="8"/>
  <c r="AA11" i="4"/>
  <c r="X12" i="4"/>
  <c r="J11" i="8"/>
  <c r="I12" i="4"/>
  <c r="Y12" i="4"/>
  <c r="J12" i="3"/>
  <c r="K12" i="3"/>
  <c r="T11" i="1"/>
  <c r="U11" i="1"/>
  <c r="J13" i="3"/>
  <c r="K13" i="3"/>
  <c r="V11" i="8"/>
  <c r="G13" i="1"/>
  <c r="X13" i="4"/>
  <c r="Z13" i="4"/>
  <c r="I13" i="4"/>
  <c r="Y13" i="4"/>
  <c r="AA13" i="4"/>
  <c r="P14" i="1"/>
  <c r="M13" i="1"/>
  <c r="T14" i="1"/>
  <c r="U14" i="1"/>
  <c r="J14" i="3"/>
  <c r="K14" i="3"/>
  <c r="Z14" i="4"/>
  <c r="AA14" i="4"/>
  <c r="X14" i="4"/>
  <c r="Y14" i="4"/>
  <c r="K12" i="8"/>
  <c r="U14" i="8"/>
  <c r="Z15" i="4"/>
  <c r="AA15" i="4"/>
  <c r="X15" i="4"/>
  <c r="K13" i="8"/>
  <c r="J15" i="3"/>
  <c r="Y15" i="4"/>
  <c r="K15" i="3"/>
  <c r="T15" i="1"/>
  <c r="U15" i="1"/>
  <c r="Z16" i="4"/>
  <c r="AA16" i="4"/>
  <c r="X16" i="4"/>
  <c r="Y16" i="4"/>
  <c r="J14" i="8"/>
  <c r="E14" i="8"/>
  <c r="J16" i="3"/>
  <c r="K16" i="3"/>
  <c r="T15" i="8"/>
  <c r="D16" i="1"/>
  <c r="Z20" i="4"/>
  <c r="AA23" i="4"/>
  <c r="X20" i="4"/>
  <c r="K18" i="8"/>
  <c r="J17" i="3"/>
  <c r="K17" i="3"/>
  <c r="T19" i="8"/>
  <c r="X21" i="4"/>
  <c r="Y21" i="4"/>
  <c r="Z21" i="4"/>
  <c r="J21" i="3"/>
  <c r="K21" i="3"/>
  <c r="Z22" i="4"/>
  <c r="X22" i="4"/>
  <c r="I22" i="4"/>
  <c r="J22" i="3"/>
  <c r="K22" i="3"/>
  <c r="E20" i="8"/>
  <c r="Y22" i="4"/>
  <c r="R21" i="8"/>
  <c r="W20" i="8"/>
  <c r="J21" i="1"/>
  <c r="D21" i="1"/>
  <c r="Z24" i="4"/>
  <c r="AA24" i="4"/>
  <c r="X23" i="4"/>
  <c r="X24" i="4"/>
  <c r="Z23" i="4"/>
  <c r="I23" i="4"/>
  <c r="Y23" i="4"/>
  <c r="I21" i="8"/>
  <c r="J24" i="3"/>
  <c r="J23" i="3"/>
  <c r="K23" i="3"/>
  <c r="S23" i="1"/>
  <c r="I24" i="4"/>
  <c r="Y24" i="4"/>
  <c r="K24" i="3"/>
  <c r="S24" i="1"/>
  <c r="S24" i="8"/>
  <c r="R24" i="8"/>
  <c r="X25" i="4"/>
  <c r="Z25" i="4"/>
  <c r="M23" i="8"/>
  <c r="Y25" i="4"/>
  <c r="I26" i="4"/>
  <c r="J25" i="3"/>
  <c r="K25" i="3"/>
  <c r="AA25" i="4"/>
  <c r="Z26" i="4"/>
  <c r="AA26" i="4"/>
  <c r="X26" i="4"/>
  <c r="J26" i="3"/>
  <c r="K26" i="3"/>
  <c r="J27" i="3"/>
  <c r="K27" i="3"/>
  <c r="Y26" i="4"/>
  <c r="S25" i="1"/>
  <c r="S26" i="1"/>
  <c r="U25" i="8"/>
  <c r="M26" i="1"/>
  <c r="P25" i="8"/>
  <c r="Z27" i="4"/>
  <c r="AA27" i="4"/>
  <c r="Z28" i="4"/>
  <c r="AA28" i="4"/>
  <c r="X27" i="4"/>
  <c r="Y27" i="4"/>
  <c r="V26" i="8"/>
  <c r="U27" i="8"/>
  <c r="J28" i="3"/>
  <c r="Z29" i="4"/>
  <c r="AA29" i="4"/>
  <c r="X28" i="4"/>
  <c r="Y28" i="4"/>
  <c r="K28" i="3"/>
  <c r="V28" i="8"/>
  <c r="J29" i="1"/>
  <c r="G28" i="1"/>
  <c r="X29" i="4"/>
  <c r="J29" i="3"/>
  <c r="K29" i="3"/>
  <c r="Y29" i="4"/>
  <c r="Z30" i="4"/>
  <c r="X30" i="4"/>
  <c r="AA30" i="4"/>
  <c r="I30" i="4"/>
  <c r="J30" i="3"/>
  <c r="K30" i="3"/>
  <c r="Y30" i="4"/>
  <c r="R29" i="8"/>
  <c r="W30" i="8"/>
  <c r="S30" i="8"/>
  <c r="W28" i="8"/>
  <c r="S30" i="1"/>
  <c r="J30" i="1"/>
  <c r="X31" i="4"/>
  <c r="Z31" i="4"/>
  <c r="Y31" i="4"/>
  <c r="J31" i="3"/>
  <c r="K31" i="3"/>
  <c r="K35" i="3"/>
  <c r="AA31" i="4"/>
  <c r="V31" i="8"/>
  <c r="S32" i="1"/>
  <c r="U28" i="8"/>
  <c r="Q35" i="2"/>
  <c r="X32" i="4"/>
  <c r="Y32" i="4"/>
  <c r="I31" i="8"/>
  <c r="Y17" i="4"/>
  <c r="Z17" i="4"/>
  <c r="Z19" i="4"/>
  <c r="AA22" i="4"/>
  <c r="K17" i="8"/>
  <c r="I18" i="4"/>
  <c r="Y18" i="4"/>
  <c r="M35" i="4"/>
  <c r="I15" i="8"/>
  <c r="I17" i="8"/>
  <c r="U15" i="8"/>
  <c r="P17" i="1"/>
  <c r="R18" i="8"/>
  <c r="J35" i="3"/>
  <c r="J18" i="3"/>
  <c r="K18" i="3"/>
  <c r="E35" i="3"/>
  <c r="K35" i="2"/>
  <c r="Y35" i="4"/>
  <c r="AA21" i="4"/>
  <c r="AA18" i="4"/>
  <c r="AA19" i="4"/>
  <c r="AA17" i="4"/>
  <c r="AA20" i="4"/>
  <c r="Z35" i="4"/>
  <c r="K12" i="11"/>
  <c r="K20" i="11"/>
  <c r="K24" i="11"/>
  <c r="K35" i="11"/>
  <c r="C26" i="11"/>
  <c r="C27" i="11"/>
  <c r="D27" i="11"/>
  <c r="K7" i="11"/>
  <c r="K3" i="11"/>
  <c r="K29" i="11"/>
  <c r="C14" i="11"/>
  <c r="K31" i="11"/>
  <c r="K19" i="11"/>
  <c r="C11" i="11"/>
  <c r="D11" i="11"/>
  <c r="K18" i="11"/>
  <c r="K17" i="11"/>
  <c r="C10" i="11"/>
  <c r="D10" i="11"/>
  <c r="K21" i="11"/>
  <c r="K13" i="11"/>
  <c r="C6" i="11"/>
  <c r="D6" i="11"/>
  <c r="C5" i="11"/>
  <c r="D5" i="11"/>
  <c r="K5" i="11"/>
  <c r="K14" i="11"/>
  <c r="C2" i="11"/>
  <c r="D2" i="11"/>
  <c r="C8" i="11"/>
  <c r="D8" i="11"/>
  <c r="M35" i="2"/>
  <c r="E35" i="2"/>
  <c r="W35" i="4"/>
  <c r="S35" i="4"/>
  <c r="Q35" i="4"/>
  <c r="O35" i="4"/>
  <c r="K35" i="4"/>
  <c r="H35" i="4"/>
  <c r="X34" i="4"/>
  <c r="Y34" i="4"/>
  <c r="Z34" i="4"/>
  <c r="Z33" i="4"/>
  <c r="X33" i="4"/>
  <c r="I33" i="4"/>
  <c r="F35" i="4"/>
  <c r="I35" i="4"/>
  <c r="J32" i="3"/>
  <c r="K32" i="3"/>
  <c r="J33" i="3"/>
  <c r="K33" i="3"/>
  <c r="I35" i="3"/>
  <c r="G35" i="3"/>
  <c r="P33" i="1"/>
  <c r="G65" i="10"/>
  <c r="N65" i="10"/>
  <c r="C35" i="2"/>
  <c r="C35" i="5"/>
  <c r="S32" i="8"/>
  <c r="T13" i="8"/>
  <c r="J14" i="1"/>
  <c r="T16" i="1"/>
  <c r="U16" i="1"/>
  <c r="T29" i="1"/>
  <c r="U29" i="1"/>
  <c r="R34" i="1"/>
  <c r="W19" i="8"/>
  <c r="D15" i="1"/>
  <c r="S8" i="8"/>
  <c r="D32" i="1"/>
  <c r="S2" i="8"/>
  <c r="T3" i="1"/>
  <c r="U3" i="1"/>
  <c r="T17" i="1"/>
  <c r="U17" i="1"/>
  <c r="O34" i="1"/>
  <c r="M25" i="1"/>
  <c r="T24" i="1"/>
  <c r="U24" i="1"/>
  <c r="G21" i="1"/>
  <c r="V15" i="8"/>
  <c r="D20" i="1"/>
  <c r="J33" i="1"/>
  <c r="R30" i="8"/>
  <c r="U29" i="8"/>
  <c r="T26" i="1"/>
  <c r="U26" i="1"/>
  <c r="S16" i="8"/>
  <c r="G17" i="1"/>
  <c r="W11" i="8"/>
  <c r="U7" i="8"/>
  <c r="P8" i="1"/>
  <c r="P34" i="1"/>
  <c r="G7" i="1"/>
  <c r="S6" i="8"/>
  <c r="M3" i="1"/>
  <c r="M34" i="1"/>
  <c r="L34" i="1"/>
  <c r="T22" i="1"/>
  <c r="U22" i="1"/>
  <c r="I34" i="1"/>
  <c r="T25" i="1"/>
  <c r="U25" i="1"/>
  <c r="W15" i="8"/>
  <c r="G15" i="1"/>
  <c r="S15" i="1"/>
  <c r="S14" i="1"/>
  <c r="R11" i="8"/>
  <c r="T4" i="1"/>
  <c r="U4" i="1"/>
  <c r="S4" i="1"/>
  <c r="S34" i="1"/>
  <c r="V13" i="8"/>
  <c r="T31" i="8"/>
  <c r="D29" i="1"/>
  <c r="S27" i="8"/>
  <c r="G23" i="1"/>
  <c r="P19" i="1"/>
  <c r="J18" i="1"/>
  <c r="R16" i="8"/>
  <c r="S15" i="8"/>
  <c r="T13" i="1"/>
  <c r="U13" i="1"/>
  <c r="S4" i="8"/>
  <c r="G5" i="1"/>
  <c r="D4" i="1"/>
  <c r="R3" i="8"/>
  <c r="T8" i="1"/>
  <c r="U8" i="1"/>
  <c r="T31" i="1"/>
  <c r="U31" i="1"/>
  <c r="T30" i="1"/>
  <c r="U30" i="1"/>
  <c r="S20" i="8"/>
  <c r="S19" i="8"/>
  <c r="T12" i="1"/>
  <c r="U12" i="1"/>
  <c r="T10" i="1"/>
  <c r="U10" i="1"/>
  <c r="S11" i="8"/>
  <c r="F34" i="1"/>
  <c r="S26" i="8"/>
  <c r="G19" i="1"/>
  <c r="T19" i="1"/>
  <c r="U19" i="1"/>
  <c r="G30" i="1"/>
  <c r="T27" i="1"/>
  <c r="U27" i="1"/>
  <c r="T23" i="1"/>
  <c r="U23" i="1"/>
  <c r="T20" i="1"/>
  <c r="U20" i="1"/>
  <c r="S9" i="8"/>
  <c r="T33" i="1"/>
  <c r="U33" i="1"/>
  <c r="D33" i="1"/>
  <c r="C34" i="1"/>
  <c r="T32" i="1"/>
  <c r="D26" i="11"/>
  <c r="C22" i="11"/>
  <c r="D22" i="11"/>
  <c r="C16" i="11"/>
  <c r="D16" i="11"/>
  <c r="D14" i="11"/>
  <c r="C7" i="11"/>
  <c r="D7" i="11"/>
  <c r="AA34" i="4"/>
  <c r="AA33" i="4"/>
  <c r="Y33" i="4"/>
  <c r="J34" i="1"/>
  <c r="D34" i="1"/>
  <c r="G34" i="1"/>
  <c r="T34" i="1"/>
  <c r="U32" i="1"/>
  <c r="U34" i="1"/>
</calcChain>
</file>

<file path=xl/comments1.xml><?xml version="1.0" encoding="utf-8"?>
<comments xmlns="http://schemas.openxmlformats.org/spreadsheetml/2006/main">
  <authors>
    <author>Mohamed Amin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
</t>
        </r>
      </text>
    </comment>
  </commentList>
</comments>
</file>

<file path=xl/sharedStrings.xml><?xml version="1.0" encoding="utf-8"?>
<sst xmlns="http://schemas.openxmlformats.org/spreadsheetml/2006/main" count="468" uniqueCount="155">
  <si>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</si>
  <si>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</si>
  <si>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</si>
  <si>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</si>
  <si>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</si>
  <si>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</si>
  <si>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</si>
  <si>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</si>
  <si>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</si>
  <si>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</si>
  <si>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</si>
  <si>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</si>
  <si>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</si>
  <si>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</si>
  <si>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</si>
  <si>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</si>
  <si>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</si>
  <si>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</si>
  <si>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</si>
  <si>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</si>
  <si>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</si>
  <si>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</si>
  <si>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</si>
  <si>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</si>
  <si>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 xml:space="preserve">Last </t>
  </si>
  <si>
    <t xml:space="preserve">                                     </t>
  </si>
  <si>
    <t xml:space="preserve">        </t>
  </si>
  <si>
    <t xml:space="preserve">         </t>
  </si>
  <si>
    <t>Total</t>
  </si>
  <si>
    <t xml:space="preserve">                            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</si>
  <si>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</si>
  <si>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</si>
  <si>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</si>
  <si>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</si>
  <si>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</si>
  <si>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</si>
  <si>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</si>
  <si>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</si>
  <si>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</si>
  <si>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</si>
  <si>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</si>
  <si>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</si>
  <si>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</si>
  <si>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</si>
  <si>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</si>
  <si>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</si>
  <si>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</si>
  <si>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</si>
  <si>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</si>
  <si>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</si>
  <si>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</si>
  <si>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</si>
  <si>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</si>
  <si>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</si>
  <si>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</si>
  <si>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</si>
  <si>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</si>
  <si>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</si>
  <si>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</si>
  <si>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</si>
  <si>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</si>
  <si>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</si>
  <si>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</si>
  <si>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</si>
  <si>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</si>
  <si>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</si>
  <si>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</si>
  <si>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</si>
  <si>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</si>
  <si>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</si>
  <si>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</si>
  <si>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</si>
  <si>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</si>
  <si>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</si>
  <si>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</si>
  <si>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</si>
  <si>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</si>
  <si>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</si>
  <si>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</si>
  <si>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</si>
  <si>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</si>
  <si>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</si>
  <si>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</si>
  <si>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.</t>
  </si>
  <si>
    <t>Mall, Citadel and Rotana readings and cons.  MAY 2019</t>
  </si>
  <si>
    <t>Main Building, Podium, Hotel and Large cons.  MAY 2019</t>
  </si>
  <si>
    <t>Feeders and transformers Electrity cons.  MAY  2019</t>
  </si>
  <si>
    <t>Gas Con. MAY  2019</t>
  </si>
  <si>
    <t>Four Season Nile Plaza</t>
  </si>
  <si>
    <t>Floor</t>
  </si>
  <si>
    <t>Type</t>
  </si>
  <si>
    <t>Acutal till March. 2019</t>
  </si>
  <si>
    <t>Note</t>
  </si>
  <si>
    <t>Acutal tillAprill. 2019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</si>
  <si>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</si>
  <si>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</si>
  <si>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</si>
  <si>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</si>
  <si>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</si>
  <si>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</si>
  <si>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</si>
  <si>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</si>
  <si>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</si>
  <si>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April . 2018</t>
  </si>
  <si>
    <t>35,40</t>
  </si>
  <si>
    <t>45,50</t>
  </si>
  <si>
    <t>Acutal till April . 2019</t>
  </si>
  <si>
    <t>Acutal till May  2019</t>
  </si>
  <si>
    <t>Consumption</t>
  </si>
  <si>
    <t>May . 2018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</si>
  <si>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</si>
  <si>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</si>
  <si>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</si>
  <si>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</si>
  <si>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</si>
  <si>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</si>
  <si>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</si>
  <si>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</si>
  <si>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</si>
  <si>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</si>
  <si>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</si>
  <si>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</si>
  <si>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</si>
  <si>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Rotana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</si>
  <si>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</si>
  <si>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</si>
  <si>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</si>
  <si>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</si>
  <si>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</si>
  <si>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</si>
  <si>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</si>
  <si>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</si>
  <si>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</si>
  <si>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</si>
  <si>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</si>
  <si>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</si>
  <si>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</si>
  <si>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</si>
  <si>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</si>
  <si>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</si>
  <si>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</si>
  <si>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</si>
  <si>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</si>
  <si>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</si>
  <si>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</si>
  <si>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</si>
  <si>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</si>
  <si>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Energy Monthly Statement  May . 2019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</si>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</sst>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.0"/>
    <numFmt numFmtId="166" formatCode="[$-409]d\-mmm\-yyyy;@"/>
    <numFmt numFmtId="168" formatCode="0.000"/>
    <numFmt numFmtId="170" formatCode="0.00;[Red]0.00"/>
  </numFmts>
  <fonts count="5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2"/>
      <color indexed="30"/>
      <name val="Arial"/>
      <family val="2"/>
    </font>
    <font>
      <b/>
      <sz val="12"/>
      <color indexed="12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name val="Arial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8"/>
      <name val="Trebuchet MS"/>
      <family val="2"/>
    </font>
    <font>
      <sz val="11"/>
      <name val="Calibri"/>
      <family val="2"/>
    </font>
    <font>
      <sz val="10"/>
      <color indexed="30"/>
      <name val="Trebuchet MS"/>
      <family val="2"/>
    </font>
    <font>
      <b/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b/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0" fontId="17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8" fillId="0" borderId="0" xfId="0" applyFont="1"/>
    <xf numFmtId="0" fontId="18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0" fontId="20" fillId="4" borderId="1" xfId="0" applyFont="1" applyFill="1" applyBorder="1" applyAlignment="1">
      <alignment horizontal="center"/>
    </xf>
    <xf numFmtId="0" fontId="21" fillId="0" borderId="1" xfId="0" applyFont="1" applyBorder="1"/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170" fontId="18" fillId="3" borderId="1" xfId="0" applyNumberFormat="1" applyFont="1" applyFill="1" applyBorder="1" applyAlignment="1">
      <alignment horizontal="center"/>
    </xf>
    <xf numFmtId="170" fontId="20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4" xfId="0" applyFill="1" applyBorder="1"/>
    <xf numFmtId="0" fontId="0" fillId="13" borderId="4" xfId="0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1" fillId="14" borderId="0" xfId="0" applyFont="1" applyFill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42" fillId="14" borderId="1" xfId="0" applyFont="1" applyFill="1" applyBorder="1" applyAlignment="1">
      <alignment horizontal="center"/>
    </xf>
    <xf numFmtId="0" fontId="4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43" fillId="0" borderId="1" xfId="0" applyNumberFormat="1" applyFont="1" applyBorder="1" applyAlignment="1">
      <alignment horizontal="center" vertical="center"/>
    </xf>
    <xf numFmtId="1" fontId="44" fillId="0" borderId="0" xfId="0" applyNumberFormat="1" applyFont="1"/>
    <xf numFmtId="1" fontId="43" fillId="0" borderId="0" xfId="0" applyNumberFormat="1" applyFont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43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46" fillId="0" borderId="1" xfId="0" applyNumberFormat="1" applyFont="1" applyBorder="1" applyAlignment="1">
      <alignment horizontal="center" vertical="center"/>
    </xf>
    <xf numFmtId="0" fontId="24" fillId="0" borderId="0" xfId="0" applyFont="1"/>
    <xf numFmtId="2" fontId="5" fillId="4" borderId="1" xfId="0" applyNumberFormat="1" applyFont="1" applyFill="1" applyBorder="1" applyAlignment="1">
      <alignment horizontal="center"/>
    </xf>
    <xf numFmtId="0" fontId="47" fillId="0" borderId="5" xfId="0" applyFont="1" applyBorder="1"/>
    <xf numFmtId="0" fontId="48" fillId="0" borderId="0" xfId="0" applyFont="1"/>
    <xf numFmtId="1" fontId="40" fillId="0" borderId="5" xfId="0" applyNumberFormat="1" applyFont="1" applyBorder="1" applyAlignment="1">
      <alignment wrapText="1"/>
    </xf>
    <xf numFmtId="0" fontId="40" fillId="0" borderId="5" xfId="0" applyFont="1" applyBorder="1" applyAlignment="1">
      <alignment horizontal="center" wrapText="1"/>
    </xf>
    <xf numFmtId="0" fontId="49" fillId="0" borderId="5" xfId="0" applyFont="1" applyBorder="1" applyAlignment="1">
      <alignment horizontal="center"/>
    </xf>
    <xf numFmtId="1" fontId="40" fillId="0" borderId="5" xfId="0" applyNumberFormat="1" applyFont="1" applyBorder="1" applyAlignment="1">
      <alignment horizontal="center" wrapText="1"/>
    </xf>
    <xf numFmtId="0" fontId="48" fillId="0" borderId="0" xfId="0" applyFont="1" applyAlignment="1">
      <alignment horizontal="center"/>
    </xf>
    <xf numFmtId="2" fontId="40" fillId="0" borderId="5" xfId="0" applyNumberFormat="1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68" fontId="27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4" applyFont="1"/>
    <xf numFmtId="0" fontId="29" fillId="4" borderId="4" xfId="5" applyFont="1" applyFill="1" applyBorder="1" applyAlignment="1">
      <alignment horizontal="center" vertical="center" wrapText="1"/>
    </xf>
    <xf numFmtId="0" fontId="29" fillId="4" borderId="4" xfId="5" applyFont="1" applyFill="1" applyBorder="1" applyAlignment="1">
      <alignment horizontal="left" vertical="center" wrapText="1"/>
    </xf>
    <xf numFmtId="0" fontId="30" fillId="4" borderId="4" xfId="5" applyFont="1" applyFill="1" applyBorder="1" applyAlignment="1">
      <alignment horizontal="center" vertical="center" wrapText="1"/>
    </xf>
    <xf numFmtId="0" fontId="31" fillId="0" borderId="4" xfId="5" applyFont="1" applyBorder="1" applyAlignment="1">
      <alignment horizontal="left" vertical="center" wrapText="1"/>
    </xf>
    <xf numFmtId="3" fontId="31" fillId="5" borderId="4" xfId="5" applyNumberFormat="1" applyFont="1" applyFill="1" applyBorder="1" applyAlignment="1">
      <alignment horizontal="left" vertical="center" wrapText="1"/>
    </xf>
    <xf numFmtId="3" fontId="29" fillId="0" borderId="4" xfId="5" applyNumberFormat="1" applyFont="1" applyBorder="1" applyAlignment="1">
      <alignment horizontal="left" vertical="center" wrapText="1"/>
    </xf>
    <xf numFmtId="0" fontId="32" fillId="0" borderId="4" xfId="5" applyFont="1" applyBorder="1" applyAlignment="1">
      <alignment horizontal="center" vertical="center" wrapText="1"/>
    </xf>
    <xf numFmtId="3" fontId="33" fillId="0" borderId="4" xfId="5" applyNumberFormat="1" applyFont="1" applyFill="1" applyBorder="1" applyAlignment="1">
      <alignment horizontal="left" vertical="center" wrapText="1"/>
    </xf>
    <xf numFmtId="3" fontId="29" fillId="0" borderId="4" xfId="5" applyNumberFormat="1" applyFont="1" applyFill="1" applyBorder="1" applyAlignment="1">
      <alignment horizontal="left" vertical="center" wrapText="1"/>
    </xf>
    <xf numFmtId="3" fontId="34" fillId="3" borderId="4" xfId="1" applyNumberFormat="1" applyFont="1" applyFill="1" applyBorder="1" applyAlignment="1">
      <alignment horizontal="left" vertical="center" wrapText="1"/>
    </xf>
    <xf numFmtId="0" fontId="30" fillId="0" borderId="4" xfId="5" applyFont="1" applyBorder="1" applyAlignment="1">
      <alignment horizontal="left" vertical="center" wrapText="1"/>
    </xf>
    <xf numFmtId="0" fontId="1" fillId="0" borderId="6" xfId="4" applyFont="1" applyFill="1" applyBorder="1" applyAlignment="1"/>
    <xf numFmtId="0" fontId="3" fillId="0" borderId="0" xfId="4"/>
    <xf numFmtId="3" fontId="31" fillId="0" borderId="4" xfId="5" applyNumberFormat="1" applyFont="1" applyFill="1" applyBorder="1" applyAlignment="1">
      <alignment horizontal="left" vertical="center" wrapText="1"/>
    </xf>
    <xf numFmtId="0" fontId="3" fillId="3" borderId="0" xfId="4" applyFill="1"/>
    <xf numFmtId="3" fontId="35" fillId="5" borderId="4" xfId="5" applyNumberFormat="1" applyFont="1" applyFill="1" applyBorder="1" applyAlignment="1">
      <alignment horizontal="left" vertical="center" wrapText="1"/>
    </xf>
    <xf numFmtId="0" fontId="32" fillId="3" borderId="4" xfId="5" applyFont="1" applyFill="1" applyBorder="1" applyAlignment="1">
      <alignment horizontal="center" vertical="center" wrapText="1"/>
    </xf>
    <xf numFmtId="3" fontId="36" fillId="0" borderId="4" xfId="5" applyNumberFormat="1" applyFont="1" applyFill="1" applyBorder="1" applyAlignment="1">
      <alignment horizontal="left" vertical="center" wrapText="1"/>
    </xf>
    <xf numFmtId="0" fontId="29" fillId="6" borderId="7" xfId="5" applyFont="1" applyFill="1" applyBorder="1" applyAlignment="1">
      <alignment horizontal="center" vertical="center" wrapText="1"/>
    </xf>
    <xf numFmtId="0" fontId="31" fillId="6" borderId="4" xfId="5" applyFont="1" applyFill="1" applyBorder="1" applyAlignment="1">
      <alignment horizontal="left" vertical="center" wrapText="1"/>
    </xf>
    <xf numFmtId="3" fontId="31" fillId="6" borderId="4" xfId="5" applyNumberFormat="1" applyFont="1" applyFill="1" applyBorder="1" applyAlignment="1">
      <alignment horizontal="left" vertical="center" wrapText="1"/>
    </xf>
    <xf numFmtId="0" fontId="32" fillId="6" borderId="4" xfId="5" applyFont="1" applyFill="1" applyBorder="1" applyAlignment="1">
      <alignment horizontal="center" vertical="center" wrapText="1"/>
    </xf>
    <xf numFmtId="0" fontId="31" fillId="0" borderId="4" xfId="5" applyFont="1" applyFill="1" applyBorder="1" applyAlignment="1">
      <alignment horizontal="left" vertical="center" wrapText="1"/>
    </xf>
    <xf numFmtId="3" fontId="32" fillId="5" borderId="4" xfId="5" applyNumberFormat="1" applyFont="1" applyFill="1" applyBorder="1" applyAlignment="1">
      <alignment horizontal="left" vertical="center" wrapText="1"/>
    </xf>
    <xf numFmtId="0" fontId="29" fillId="6" borderId="4" xfId="5" applyFont="1" applyFill="1" applyBorder="1" applyAlignment="1">
      <alignment horizontal="center" vertical="center" wrapText="1"/>
    </xf>
    <xf numFmtId="0" fontId="32" fillId="0" borderId="4" xfId="5" applyFont="1" applyFill="1" applyBorder="1" applyAlignment="1">
      <alignment horizontal="center" vertical="center" wrapText="1"/>
    </xf>
    <xf numFmtId="0" fontId="37" fillId="0" borderId="4" xfId="5" applyFont="1" applyFill="1" applyBorder="1" applyAlignment="1">
      <alignment horizontal="left" vertical="center" wrapText="1"/>
    </xf>
    <xf numFmtId="3" fontId="29" fillId="15" borderId="4" xfId="5" applyNumberFormat="1" applyFont="1" applyFill="1" applyBorder="1" applyAlignment="1">
      <alignment horizontal="left" vertical="center" wrapText="1"/>
    </xf>
    <xf numFmtId="3" fontId="36" fillId="0" borderId="4" xfId="5" applyNumberFormat="1" applyFont="1" applyBorder="1" applyAlignment="1">
      <alignment horizontal="left" vertical="center" wrapText="1"/>
    </xf>
    <xf numFmtId="3" fontId="29" fillId="6" borderId="4" xfId="5" applyNumberFormat="1" applyFont="1" applyFill="1" applyBorder="1" applyAlignment="1">
      <alignment horizontal="left" vertical="center" wrapText="1"/>
    </xf>
    <xf numFmtId="3" fontId="38" fillId="4" borderId="4" xfId="5" applyNumberFormat="1" applyFont="1" applyFill="1" applyBorder="1" applyAlignment="1">
      <alignment horizontal="left" vertical="center"/>
    </xf>
    <xf numFmtId="0" fontId="39" fillId="0" borderId="0" xfId="5" applyFont="1" applyAlignment="1">
      <alignment vertical="center"/>
    </xf>
    <xf numFmtId="0" fontId="3" fillId="0" borderId="0" xfId="3"/>
    <xf numFmtId="17" fontId="2" fillId="0" borderId="0" xfId="3" applyNumberFormat="1" applyFont="1"/>
    <xf numFmtId="0" fontId="3" fillId="0" borderId="0" xfId="3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4" fillId="7" borderId="1" xfId="3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3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1" fillId="0" borderId="1" xfId="6" applyFont="1" applyFill="1" applyBorder="1" applyAlignment="1">
      <alignment horizontal="center" vertical="center"/>
    </xf>
    <xf numFmtId="43" fontId="1" fillId="0" borderId="1" xfId="6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/>
    </xf>
    <xf numFmtId="43" fontId="48" fillId="0" borderId="1" xfId="0" applyNumberFormat="1" applyFont="1" applyFill="1" applyBorder="1" applyAlignment="1">
      <alignment horizontal="center" vertical="center"/>
    </xf>
    <xf numFmtId="43" fontId="48" fillId="0" borderId="0" xfId="0" applyNumberFormat="1" applyFont="1" applyFill="1" applyBorder="1" applyAlignment="1">
      <alignment horizontal="center" vertical="center"/>
    </xf>
    <xf numFmtId="0" fontId="48" fillId="0" borderId="0" xfId="6" applyFont="1" applyFill="1" applyBorder="1" applyAlignment="1">
      <alignment horizontal="center" vertical="center"/>
    </xf>
    <xf numFmtId="0" fontId="1" fillId="0" borderId="0" xfId="6" applyFont="1" applyFill="1" applyBorder="1" applyAlignment="1">
      <alignment horizontal="center" vertical="center"/>
    </xf>
    <xf numFmtId="0" fontId="48" fillId="16" borderId="1" xfId="6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164" fontId="48" fillId="0" borderId="1" xfId="0" applyNumberFormat="1" applyFont="1" applyFill="1" applyBorder="1" applyAlignment="1">
      <alignment horizontal="center" vertical="center"/>
    </xf>
    <xf numFmtId="164" fontId="48" fillId="0" borderId="0" xfId="0" applyNumberFormat="1" applyFont="1" applyFill="1" applyBorder="1" applyAlignment="1">
      <alignment horizontal="center" vertical="center"/>
    </xf>
    <xf numFmtId="0" fontId="1" fillId="18" borderId="1" xfId="6" applyFont="1" applyFill="1" applyBorder="1" applyAlignment="1">
      <alignment horizontal="center" vertical="center"/>
    </xf>
    <xf numFmtId="43" fontId="48" fillId="0" borderId="1" xfId="2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48" fillId="0" borderId="1" xfId="6" applyFont="1" applyFill="1" applyBorder="1" applyAlignment="1">
      <alignment horizontal="center" vertical="center"/>
    </xf>
    <xf numFmtId="164" fontId="48" fillId="0" borderId="1" xfId="6" applyNumberFormat="1" applyFont="1" applyFill="1" applyBorder="1" applyAlignment="1">
      <alignment horizontal="center" vertical="center"/>
    </xf>
    <xf numFmtId="164" fontId="48" fillId="0" borderId="0" xfId="6" applyNumberFormat="1" applyFont="1" applyFill="1" applyBorder="1" applyAlignment="1">
      <alignment horizontal="center" vertical="center"/>
    </xf>
    <xf numFmtId="164" fontId="48" fillId="0" borderId="1" xfId="2" applyNumberFormat="1" applyFont="1" applyFill="1" applyBorder="1" applyAlignment="1">
      <alignment horizontal="center" vertical="center"/>
    </xf>
    <xf numFmtId="0" fontId="48" fillId="16" borderId="4" xfId="6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164" fontId="48" fillId="0" borderId="8" xfId="6" applyNumberFormat="1" applyFont="1" applyFill="1" applyBorder="1" applyAlignment="1">
      <alignment horizontal="center" vertical="center"/>
    </xf>
    <xf numFmtId="164" fontId="51" fillId="0" borderId="1" xfId="0" applyNumberFormat="1" applyFont="1" applyFill="1" applyBorder="1" applyAlignment="1">
      <alignment horizontal="center" vertical="center"/>
    </xf>
    <xf numFmtId="0" fontId="1" fillId="0" borderId="0" xfId="2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48" fillId="0" borderId="0" xfId="6" applyFont="1" applyFill="1" applyBorder="1" applyAlignment="1">
      <alignment horizontal="center"/>
    </xf>
    <xf numFmtId="0" fontId="48" fillId="16" borderId="4" xfId="6" applyFont="1" applyFill="1" applyBorder="1"/>
    <xf numFmtId="0" fontId="1" fillId="18" borderId="4" xfId="0" applyFont="1" applyFill="1" applyBorder="1"/>
    <xf numFmtId="0" fontId="1" fillId="0" borderId="4" xfId="0" applyFont="1" applyFill="1" applyBorder="1"/>
    <xf numFmtId="1" fontId="53" fillId="0" borderId="0" xfId="0" applyNumberFormat="1" applyFont="1" applyFill="1" applyBorder="1" applyAlignment="1">
      <alignment wrapText="1"/>
    </xf>
    <xf numFmtId="0" fontId="53" fillId="0" borderId="0" xfId="0" applyFont="1" applyFill="1" applyBorder="1"/>
    <xf numFmtId="0" fontId="53" fillId="0" borderId="0" xfId="0" applyFont="1" applyFill="1" applyBorder="1" applyAlignment="1">
      <alignment horizontal="center" vertical="center" wrapText="1"/>
    </xf>
    <xf numFmtId="1" fontId="0" fillId="0" borderId="0" xfId="0" applyNumberFormat="1" applyFont="1" applyFill="1" applyBorder="1"/>
    <xf numFmtId="0" fontId="0" fillId="0" borderId="0" xfId="0" applyFont="1" applyFill="1" applyBorder="1"/>
    <xf numFmtId="166" fontId="4" fillId="0" borderId="9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66" fontId="16" fillId="0" borderId="10" xfId="0" applyNumberFormat="1" applyFont="1" applyBorder="1" applyAlignment="1">
      <alignment horizontal="center" vertical="center"/>
    </xf>
    <xf numFmtId="0" fontId="31" fillId="0" borderId="14" xfId="5" applyFont="1" applyBorder="1" applyAlignment="1">
      <alignment horizontal="left" vertical="center" wrapText="1"/>
    </xf>
    <xf numFmtId="0" fontId="31" fillId="0" borderId="15" xfId="5" applyFont="1" applyBorder="1" applyAlignment="1">
      <alignment horizontal="left" vertical="center" wrapText="1"/>
    </xf>
    <xf numFmtId="0" fontId="30" fillId="0" borderId="14" xfId="5" applyFont="1" applyBorder="1" applyAlignment="1">
      <alignment horizontal="left" vertical="center" wrapText="1"/>
    </xf>
    <xf numFmtId="0" fontId="30" fillId="0" borderId="15" xfId="5" applyFont="1" applyBorder="1" applyAlignment="1">
      <alignment horizontal="left" vertical="center" wrapText="1"/>
    </xf>
    <xf numFmtId="0" fontId="38" fillId="4" borderId="4" xfId="5" applyFont="1" applyFill="1" applyBorder="1" applyAlignment="1">
      <alignment horizontal="center" vertical="center"/>
    </xf>
    <xf numFmtId="17" fontId="2" fillId="0" borderId="2" xfId="3" applyNumberFormat="1" applyFont="1" applyBorder="1" applyAlignment="1">
      <alignment horizontal="center" vertical="center"/>
    </xf>
    <xf numFmtId="17" fontId="2" fillId="0" borderId="16" xfId="3" applyNumberFormat="1" applyFont="1" applyBorder="1" applyAlignment="1">
      <alignment horizontal="center" vertical="center"/>
    </xf>
    <xf numFmtId="17" fontId="2" fillId="0" borderId="10" xfId="3" applyNumberFormat="1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16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9" fillId="0" borderId="14" xfId="5" applyFont="1" applyBorder="1" applyAlignment="1">
      <alignment horizontal="center" vertical="center" wrapText="1"/>
    </xf>
    <xf numFmtId="0" fontId="29" fillId="0" borderId="15" xfId="5" applyFont="1" applyBorder="1" applyAlignment="1">
      <alignment horizontal="center" vertical="center" wrapText="1"/>
    </xf>
    <xf numFmtId="0" fontId="29" fillId="0" borderId="14" xfId="5" applyFont="1" applyFill="1" applyBorder="1" applyAlignment="1">
      <alignment horizontal="center" vertical="center" wrapText="1"/>
    </xf>
    <xf numFmtId="0" fontId="29" fillId="0" borderId="7" xfId="5" applyFont="1" applyFill="1" applyBorder="1" applyAlignment="1">
      <alignment horizontal="center" vertical="center" wrapText="1"/>
    </xf>
    <xf numFmtId="0" fontId="29" fillId="0" borderId="15" xfId="5" applyFont="1" applyFill="1" applyBorder="1" applyAlignment="1">
      <alignment horizontal="center" vertical="center" wrapText="1"/>
    </xf>
    <xf numFmtId="0" fontId="29" fillId="0" borderId="7" xfId="5" applyFont="1" applyBorder="1" applyAlignment="1">
      <alignment horizontal="center" vertical="center" wrapText="1"/>
    </xf>
    <xf numFmtId="168" fontId="28" fillId="12" borderId="11" xfId="5" applyNumberFormat="1" applyFont="1" applyFill="1" applyBorder="1" applyAlignment="1">
      <alignment horizontal="center" vertical="center"/>
    </xf>
    <xf numFmtId="168" fontId="28" fillId="12" borderId="12" xfId="5" applyNumberFormat="1" applyFont="1" applyFill="1" applyBorder="1" applyAlignment="1">
      <alignment horizontal="center" vertical="center"/>
    </xf>
    <xf numFmtId="168" fontId="28" fillId="12" borderId="13" xfId="5" applyNumberFormat="1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18" fillId="20" borderId="17" xfId="0" applyFont="1" applyFill="1" applyBorder="1" applyAlignment="1">
      <alignment horizontal="left" vertical="center"/>
    </xf>
    <xf numFmtId="0" fontId="18" fillId="20" borderId="0" xfId="0" applyFont="1" applyFill="1" applyBorder="1" applyAlignment="1">
      <alignment horizontal="left" vertical="center"/>
    </xf>
  </cellXfs>
  <cellStyles count="7">
    <cellStyle name="Bad" xfId="1" builtinId="27" customBuiltin="1"/>
    <cellStyle name="Comma" xfId="2" builtinId="3"/>
    <cellStyle name="Normal" xfId="0" builtinId="0"/>
    <cellStyle name="Normal 12" xfId="3"/>
    <cellStyle name="Normal 14" xfId="4"/>
    <cellStyle name="Normal 14 2" xfId="5"/>
    <cellStyle name="Normal_~031337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brahim.Saad\Desktop\Nile%20Plaza%20Daily%20Consumption%2030%20%20April%20%202019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Water"/>
      <sheetName val="ELECT."/>
      <sheetName val="Gas"/>
      <sheetName val="BTU"/>
      <sheetName val="Energy Monthly statment"/>
      <sheetName val="Plaza and Residential"/>
    </sheetNames>
    <sheetDataSet>
      <sheetData sheetId="0" refreshError="1"/>
      <sheetData sheetId="1" refreshError="1"/>
      <sheetData sheetId="2">
        <row r="3">
          <cell r="B3">
            <v>41866</v>
          </cell>
          <cell r="D3">
            <v>37448</v>
          </cell>
          <cell r="F3">
            <v>17666</v>
          </cell>
          <cell r="H3">
            <v>214979</v>
          </cell>
          <cell r="J3">
            <v>303517</v>
          </cell>
          <cell r="L3">
            <v>22153</v>
          </cell>
          <cell r="N3">
            <v>168148</v>
          </cell>
          <cell r="P3">
            <v>983783</v>
          </cell>
          <cell r="R3">
            <v>55047</v>
          </cell>
        </row>
        <row r="34">
          <cell r="B34">
            <v>41991</v>
          </cell>
          <cell r="D34">
            <v>37539</v>
          </cell>
          <cell r="F34">
            <v>17778</v>
          </cell>
          <cell r="H34">
            <v>215279</v>
          </cell>
          <cell r="J34">
            <v>303517</v>
          </cell>
          <cell r="L34">
            <v>22270</v>
          </cell>
          <cell r="N34">
            <v>168243</v>
          </cell>
          <cell r="P34">
            <v>989504</v>
          </cell>
          <cell r="R34">
            <v>55047</v>
          </cell>
        </row>
      </sheetData>
      <sheetData sheetId="3">
        <row r="3">
          <cell r="B3">
            <v>351660</v>
          </cell>
          <cell r="D3">
            <v>93796800</v>
          </cell>
          <cell r="F3">
            <v>93388700</v>
          </cell>
          <cell r="H3">
            <v>609235</v>
          </cell>
        </row>
        <row r="34">
          <cell r="B34">
            <v>354630</v>
          </cell>
          <cell r="D34">
            <v>94395500</v>
          </cell>
          <cell r="F34">
            <v>93872000</v>
          </cell>
          <cell r="H34">
            <v>614813</v>
          </cell>
        </row>
      </sheetData>
      <sheetData sheetId="4">
        <row r="3">
          <cell r="E3">
            <v>16655010</v>
          </cell>
          <cell r="G3">
            <v>45047485</v>
          </cell>
          <cell r="J3">
            <v>3869359</v>
          </cell>
          <cell r="L3">
            <v>4076121</v>
          </cell>
          <cell r="N3">
            <v>2537554</v>
          </cell>
          <cell r="P3">
            <v>5174422</v>
          </cell>
          <cell r="R3">
            <v>10188644</v>
          </cell>
          <cell r="V3">
            <v>6731805</v>
          </cell>
        </row>
        <row r="34">
          <cell r="E34">
            <v>17084485</v>
          </cell>
          <cell r="G34">
            <v>46768437</v>
          </cell>
          <cell r="J34">
            <v>4057002</v>
          </cell>
          <cell r="L34">
            <v>4226976</v>
          </cell>
          <cell r="N34">
            <v>2674034</v>
          </cell>
          <cell r="P34">
            <v>5562756</v>
          </cell>
          <cell r="R34">
            <v>10513383</v>
          </cell>
          <cell r="V34">
            <v>7125204</v>
          </cell>
        </row>
      </sheetData>
      <sheetData sheetId="5">
        <row r="3">
          <cell r="B3">
            <v>15455257</v>
          </cell>
        </row>
        <row r="34">
          <cell r="B34">
            <v>15543823</v>
          </cell>
        </row>
      </sheetData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3"/>
  <sheetViews>
    <sheetView tabSelected="1" zoomScale="85" zoomScaleNormal="85" workbookViewId="0">
      <selection activeCell="L5" sqref="L5"/>
    </sheetView>
  </sheetViews>
  <sheetFormatPr defaultColWidth="11.5703125" defaultRowHeight="12.75" x14ac:dyDescent="0.2"/>
  <cols>
    <col min="1" max="1" width="15.85546875" style="77" bestFit="1" customWidth="1"/>
    <col min="2" max="3" width="11.5703125" style="82"/>
    <col min="4" max="4" width="13.42578125" style="82" customWidth="1"/>
    <col min="5" max="6" width="12.5703125" style="16" customWidth="1"/>
    <col min="7" max="11" width="11.5703125" style="16"/>
  </cols>
  <sheetData>
    <row r="1" spans="1:11" s="60" customFormat="1" ht="60" x14ac:dyDescent="0.25">
      <c r="A1" s="76" t="s">
        <v>51</v>
      </c>
      <c r="B1" s="80" t="s">
        <v>0</v>
      </c>
      <c r="C1" s="80" t="s">
        <v>52</v>
      </c>
      <c r="D1" s="80" t="s">
        <v>53</v>
      </c>
      <c r="E1" s="79" t="s">
        <v>54</v>
      </c>
      <c r="F1" s="79" t="s">
        <v>55</v>
      </c>
      <c r="G1" s="79" t="s">
        <v>80</v>
      </c>
      <c r="H1" s="79" t="s">
        <v>81</v>
      </c>
      <c r="I1" s="79" t="s">
        <v>56</v>
      </c>
      <c r="J1" s="79" t="s">
        <v>57</v>
      </c>
      <c r="K1" s="79" t="s">
        <v>58</v>
      </c>
    </row>
    <row r="2" spans="1:11" x14ac:dyDescent="0.2">
      <c r="A2" s="77" t="s">
        <v>59</v>
      </c>
      <c r="B2" s="82">
        <v>1</v>
      </c>
      <c r="C2" s="82">
        <v>5</v>
      </c>
      <c r="D2" s="82">
        <v>2019</v>
      </c>
      <c r="E2" s="63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70385.209171999988</v>
      </c>
      <c r="F2" s="16">
        <v>1.1499999999999999</v>
      </c>
      <c r="G2" s="63">
        <f>Gas!C4*0.9147</f>
        <v>3227.9762999999998</v>
      </c>
      <c r="H2" s="16">
        <v>2.25</v>
      </c>
      <c r="I2" s="63">
        <f>Submetering!AE2+Submetering!AD2+Submetering!H2</f>
        <v>296</v>
      </c>
      <c r="J2" s="64">
        <v>9.1199999999999992</v>
      </c>
      <c r="K2" s="63">
        <f>ELECT.!B4</f>
        <v>237</v>
      </c>
    </row>
    <row r="3" spans="1:11" x14ac:dyDescent="0.2">
      <c r="A3" s="77" t="s">
        <v>59</v>
      </c>
      <c r="B3" s="82">
        <f>B2+1</f>
        <v>2</v>
      </c>
      <c r="C3" s="82">
        <v>5</v>
      </c>
      <c r="D3" s="82">
        <v>2019</v>
      </c>
      <c r="E3" s="63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38407.567344000003</v>
      </c>
      <c r="F3" s="16">
        <v>1.1499999999999999</v>
      </c>
      <c r="G3" s="63">
        <f>Gas!C5*0.9147</f>
        <v>2993.8130999999998</v>
      </c>
      <c r="H3" s="16">
        <v>2.25</v>
      </c>
      <c r="I3" s="63">
        <f>Submetering!AE3+Submetering!AD3+Submetering!H3</f>
        <v>866</v>
      </c>
      <c r="J3" s="64">
        <v>9.1199999999999992</v>
      </c>
      <c r="K3" s="63">
        <f>ELECT.!B5</f>
        <v>241</v>
      </c>
    </row>
    <row r="4" spans="1:11" x14ac:dyDescent="0.2">
      <c r="A4" s="77" t="s">
        <v>59</v>
      </c>
      <c r="B4" s="82">
        <f t="shared" ref="B4:B31" si="0">B3+1</f>
        <v>3</v>
      </c>
      <c r="C4" s="82">
        <v>5</v>
      </c>
      <c r="D4" s="82">
        <v>2019</v>
      </c>
      <c r="E4" s="63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92437.525915999999</v>
      </c>
      <c r="F4" s="16">
        <v>1.1499999999999999</v>
      </c>
      <c r="G4" s="63">
        <f>Gas!C6*0.9147</f>
        <v>3056.0126999999998</v>
      </c>
      <c r="H4" s="16">
        <v>2.25</v>
      </c>
      <c r="I4" s="63">
        <f>Submetering!AE4+Submetering!AD4+Submetering!H4</f>
        <v>1046</v>
      </c>
      <c r="J4" s="64">
        <v>9.1199999999999992</v>
      </c>
      <c r="K4" s="63">
        <f>ELECT.!B6</f>
        <v>244</v>
      </c>
    </row>
    <row r="5" spans="1:11" x14ac:dyDescent="0.2">
      <c r="A5" s="77" t="s">
        <v>59</v>
      </c>
      <c r="B5" s="82">
        <f t="shared" si="0"/>
        <v>4</v>
      </c>
      <c r="C5" s="82">
        <v>5</v>
      </c>
      <c r="D5" s="82">
        <v>2019</v>
      </c>
      <c r="E5" s="63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61742.205891999998</v>
      </c>
      <c r="F5" s="16">
        <v>1.1499999999999999</v>
      </c>
      <c r="G5" s="63">
        <f>Gas!C7*0.9147</f>
        <v>3157.5443999999998</v>
      </c>
      <c r="H5" s="16">
        <v>2.25</v>
      </c>
      <c r="I5" s="63">
        <f>Submetering!AE5+Submetering!AD5+Submetering!H5</f>
        <v>776</v>
      </c>
      <c r="J5" s="64">
        <v>9.1199999999999992</v>
      </c>
      <c r="K5" s="63">
        <f>ELECT.!B7</f>
        <v>204</v>
      </c>
    </row>
    <row r="6" spans="1:11" x14ac:dyDescent="0.2">
      <c r="A6" s="77" t="s">
        <v>59</v>
      </c>
      <c r="B6" s="82">
        <f t="shared" si="0"/>
        <v>5</v>
      </c>
      <c r="C6" s="82">
        <v>5</v>
      </c>
      <c r="D6" s="82">
        <v>2019</v>
      </c>
      <c r="E6" s="63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69480.754820000002</v>
      </c>
      <c r="F6" s="16">
        <v>1.1499999999999999</v>
      </c>
      <c r="G6" s="63">
        <f>Gas!C8*0.9147</f>
        <v>3113.6387999999997</v>
      </c>
      <c r="H6" s="16">
        <v>2.25</v>
      </c>
      <c r="I6" s="63">
        <f>Submetering!AE6+Submetering!AD6+Submetering!H6</f>
        <v>796</v>
      </c>
      <c r="J6" s="64">
        <v>9.1199999999999992</v>
      </c>
      <c r="K6" s="63">
        <f>ELECT.!B8</f>
        <v>131</v>
      </c>
    </row>
    <row r="7" spans="1:11" x14ac:dyDescent="0.2">
      <c r="A7" s="77" t="s">
        <v>59</v>
      </c>
      <c r="B7" s="82">
        <f t="shared" si="0"/>
        <v>6</v>
      </c>
      <c r="C7" s="82">
        <v>5</v>
      </c>
      <c r="D7" s="82">
        <v>2019</v>
      </c>
      <c r="E7" s="63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48160.786068000001</v>
      </c>
      <c r="F7" s="16">
        <v>1.1499999999999999</v>
      </c>
      <c r="G7" s="63">
        <f>Gas!C9*0.9147</f>
        <v>3044.1215999999999</v>
      </c>
      <c r="H7" s="16">
        <v>2.25</v>
      </c>
      <c r="I7" s="63">
        <f>Submetering!AE7+Submetering!AD7+Submetering!H7</f>
        <v>816</v>
      </c>
      <c r="J7" s="64">
        <v>9.1199999999999992</v>
      </c>
      <c r="K7" s="63">
        <f>ELECT.!B9</f>
        <v>115</v>
      </c>
    </row>
    <row r="8" spans="1:11" x14ac:dyDescent="0.2">
      <c r="A8" s="77" t="s">
        <v>59</v>
      </c>
      <c r="B8" s="82">
        <f t="shared" si="0"/>
        <v>7</v>
      </c>
      <c r="C8" s="82">
        <v>5</v>
      </c>
      <c r="D8" s="82">
        <v>2019</v>
      </c>
      <c r="E8" s="63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86436.787867999999</v>
      </c>
      <c r="F8" s="16">
        <v>1.1499999999999999</v>
      </c>
      <c r="G8" s="63">
        <f>Gas!C10*0.9147</f>
        <v>2849.2905000000001</v>
      </c>
      <c r="H8" s="16">
        <v>2.25</v>
      </c>
      <c r="I8" s="63">
        <f>Submetering!AE8+Submetering!AD8+Submetering!H8</f>
        <v>686</v>
      </c>
      <c r="J8" s="64">
        <v>9.1199999999999992</v>
      </c>
      <c r="K8" s="63">
        <f>ELECT.!B10</f>
        <v>107</v>
      </c>
    </row>
    <row r="9" spans="1:11" x14ac:dyDescent="0.2">
      <c r="A9" s="77" t="s">
        <v>59</v>
      </c>
      <c r="B9" s="82">
        <f t="shared" si="0"/>
        <v>8</v>
      </c>
      <c r="C9" s="82">
        <v>5</v>
      </c>
      <c r="D9" s="82">
        <v>2019</v>
      </c>
      <c r="E9" s="63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62834.343043999994</v>
      </c>
      <c r="F9" s="16">
        <v>1.1499999999999999</v>
      </c>
      <c r="G9" s="63">
        <f>Gas!C11*0.9147</f>
        <v>2941.6751999999997</v>
      </c>
      <c r="H9" s="16">
        <v>2.25</v>
      </c>
      <c r="I9" s="63">
        <f>Submetering!AE9+Submetering!AD9+Submetering!H9</f>
        <v>636</v>
      </c>
      <c r="J9" s="64">
        <v>9.1199999999999992</v>
      </c>
      <c r="K9" s="63">
        <f>ELECT.!B11</f>
        <v>85</v>
      </c>
    </row>
    <row r="10" spans="1:11" x14ac:dyDescent="0.2">
      <c r="A10" s="77" t="s">
        <v>59</v>
      </c>
      <c r="B10" s="82">
        <f t="shared" si="0"/>
        <v>9</v>
      </c>
      <c r="C10" s="82">
        <v>5</v>
      </c>
      <c r="D10" s="82">
        <v>2019</v>
      </c>
      <c r="E10" s="63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40329.376199999999</v>
      </c>
      <c r="F10" s="16">
        <v>1.1499999999999999</v>
      </c>
      <c r="G10" s="63">
        <f>Gas!C12*0.9147</f>
        <v>2981.922</v>
      </c>
      <c r="H10" s="16">
        <v>2.25</v>
      </c>
      <c r="I10" s="63">
        <f>Submetering!AE10+Submetering!AD10+Submetering!H10</f>
        <v>686</v>
      </c>
      <c r="J10" s="64">
        <v>9.1199999999999992</v>
      </c>
      <c r="K10" s="63">
        <f>ELECT.!B12</f>
        <v>76</v>
      </c>
    </row>
    <row r="11" spans="1:11" x14ac:dyDescent="0.2">
      <c r="A11" s="77" t="s">
        <v>59</v>
      </c>
      <c r="B11" s="82">
        <f t="shared" si="0"/>
        <v>10</v>
      </c>
      <c r="C11" s="82">
        <v>5</v>
      </c>
      <c r="D11" s="82">
        <v>2019</v>
      </c>
      <c r="E11" s="63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76884.220687999987</v>
      </c>
      <c r="F11" s="16">
        <v>1.1499999999999999</v>
      </c>
      <c r="G11" s="63">
        <f>Gas!C13*0.9147</f>
        <v>2519.9984999999997</v>
      </c>
      <c r="H11" s="16">
        <v>2.25</v>
      </c>
      <c r="I11" s="63">
        <f>Submetering!AE11+Submetering!AD11+Submetering!H11</f>
        <v>786.00000000000011</v>
      </c>
      <c r="J11" s="64">
        <v>9.1199999999999992</v>
      </c>
      <c r="K11" s="63">
        <f>ELECT.!B13</f>
        <v>133</v>
      </c>
    </row>
    <row r="12" spans="1:11" x14ac:dyDescent="0.2">
      <c r="A12" s="77" t="s">
        <v>59</v>
      </c>
      <c r="B12" s="82">
        <f t="shared" si="0"/>
        <v>11</v>
      </c>
      <c r="C12" s="82">
        <v>5</v>
      </c>
      <c r="D12" s="82">
        <v>2019</v>
      </c>
      <c r="E12" s="63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54710.650728000001</v>
      </c>
      <c r="F12" s="16">
        <v>1.1499999999999999</v>
      </c>
      <c r="G12" s="63">
        <f>Gas!C14*0.9147</f>
        <v>1068.3696</v>
      </c>
      <c r="H12" s="16">
        <v>2.25</v>
      </c>
      <c r="I12" s="63">
        <f>Submetering!AE12+Submetering!AD12+Submetering!H12</f>
        <v>626</v>
      </c>
      <c r="J12" s="64">
        <v>9.1199999999999992</v>
      </c>
      <c r="K12" s="63">
        <f>ELECT.!B14</f>
        <v>142</v>
      </c>
    </row>
    <row r="13" spans="1:11" x14ac:dyDescent="0.2">
      <c r="A13" s="77" t="s">
        <v>59</v>
      </c>
      <c r="B13" s="82">
        <f t="shared" si="0"/>
        <v>12</v>
      </c>
      <c r="C13" s="82">
        <v>5</v>
      </c>
      <c r="D13" s="82">
        <v>2019</v>
      </c>
      <c r="E13" s="63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68941.897831999988</v>
      </c>
      <c r="F13" s="16">
        <v>1.1499999999999999</v>
      </c>
      <c r="G13" s="63">
        <f>Gas!C15*0.9147</f>
        <v>2638.9094999999998</v>
      </c>
      <c r="H13" s="16">
        <v>2.25</v>
      </c>
      <c r="I13" s="63">
        <f>Submetering!AE13+Submetering!AD13+Submetering!H13</f>
        <v>866.00000000000011</v>
      </c>
      <c r="J13" s="64">
        <v>9.1199999999999992</v>
      </c>
      <c r="K13" s="63">
        <f>ELECT.!B15</f>
        <v>163</v>
      </c>
    </row>
    <row r="14" spans="1:11" x14ac:dyDescent="0.2">
      <c r="A14" s="77" t="s">
        <v>59</v>
      </c>
      <c r="B14" s="82">
        <f t="shared" si="0"/>
        <v>13</v>
      </c>
      <c r="C14" s="82">
        <v>5</v>
      </c>
      <c r="D14" s="82">
        <v>2019</v>
      </c>
      <c r="E14" s="63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61017.646379999998</v>
      </c>
      <c r="F14" s="16">
        <v>1.1499999999999999</v>
      </c>
      <c r="G14" s="63">
        <f>Gas!C16*0.9147</f>
        <v>2584.0274999999997</v>
      </c>
      <c r="H14" s="16">
        <v>2.25</v>
      </c>
      <c r="I14" s="63">
        <f>Submetering!AE14+Submetering!AD14+Submetering!H14</f>
        <v>896</v>
      </c>
      <c r="J14" s="64">
        <v>9.1199999999999992</v>
      </c>
      <c r="K14" s="63">
        <f>ELECT.!B16</f>
        <v>138</v>
      </c>
    </row>
    <row r="15" spans="1:11" x14ac:dyDescent="0.2">
      <c r="A15" s="77" t="s">
        <v>59</v>
      </c>
      <c r="B15" s="82">
        <f t="shared" si="0"/>
        <v>14</v>
      </c>
      <c r="C15" s="82">
        <v>5</v>
      </c>
      <c r="D15" s="82">
        <v>2019</v>
      </c>
      <c r="E15" s="63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50228.651619999997</v>
      </c>
      <c r="F15" s="16">
        <v>1.1499999999999999</v>
      </c>
      <c r="G15" s="63">
        <f>Gas!C17*0.9147</f>
        <v>2744.1</v>
      </c>
      <c r="H15" s="16">
        <v>2.25</v>
      </c>
      <c r="I15" s="63">
        <f>Submetering!AE15+Submetering!AD15+Submetering!H15</f>
        <v>806</v>
      </c>
      <c r="J15" s="64">
        <v>9.1199999999999992</v>
      </c>
      <c r="K15" s="63">
        <f>ELECT.!B17</f>
        <v>113</v>
      </c>
    </row>
    <row r="16" spans="1:11" x14ac:dyDescent="0.2">
      <c r="A16" s="77" t="s">
        <v>59</v>
      </c>
      <c r="B16" s="82">
        <f t="shared" si="0"/>
        <v>15</v>
      </c>
      <c r="C16" s="82">
        <v>5</v>
      </c>
      <c r="D16" s="82">
        <v>2019</v>
      </c>
      <c r="E16" s="63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84339.111675999986</v>
      </c>
      <c r="F16" s="16">
        <v>1.1499999999999999</v>
      </c>
      <c r="G16" s="63">
        <f>Gas!C18*0.9147</f>
        <v>2927.04</v>
      </c>
      <c r="H16" s="16">
        <v>2.25</v>
      </c>
      <c r="I16" s="63">
        <f>Submetering!AE16+Submetering!AD16+Submetering!H16</f>
        <v>-84</v>
      </c>
      <c r="J16" s="64">
        <v>9.1199999999999992</v>
      </c>
      <c r="K16" s="63">
        <f>ELECT.!B18</f>
        <v>120</v>
      </c>
    </row>
    <row r="17" spans="1:11" x14ac:dyDescent="0.2">
      <c r="A17" s="77" t="s">
        <v>59</v>
      </c>
      <c r="B17" s="82">
        <f t="shared" si="0"/>
        <v>16</v>
      </c>
      <c r="C17" s="82">
        <v>5</v>
      </c>
      <c r="D17" s="82">
        <v>2019</v>
      </c>
      <c r="E17" s="63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72120.052303999997</v>
      </c>
      <c r="F17" s="16">
        <v>1.1499999999999999</v>
      </c>
      <c r="G17" s="63">
        <f>Gas!C19*0.9147</f>
        <v>2744.1</v>
      </c>
      <c r="H17" s="16">
        <v>2.25</v>
      </c>
      <c r="I17" s="63">
        <f>Submetering!AE17+Submetering!AD17+Submetering!H17</f>
        <v>835.99999999999989</v>
      </c>
      <c r="J17" s="64">
        <v>9.1199999999999992</v>
      </c>
      <c r="K17" s="63">
        <f>ELECT.!B19</f>
        <v>116</v>
      </c>
    </row>
    <row r="18" spans="1:11" x14ac:dyDescent="0.2">
      <c r="A18" s="77" t="s">
        <v>59</v>
      </c>
      <c r="B18" s="82">
        <f t="shared" si="0"/>
        <v>17</v>
      </c>
      <c r="C18" s="82">
        <v>5</v>
      </c>
      <c r="D18" s="82">
        <v>2019</v>
      </c>
      <c r="E18" s="63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66023.057111999995</v>
      </c>
      <c r="F18" s="16">
        <v>1.1499999999999999</v>
      </c>
      <c r="G18" s="63">
        <f>Gas!C20*0.9147</f>
        <v>1868.7320999999999</v>
      </c>
      <c r="H18" s="16">
        <v>2.25</v>
      </c>
      <c r="I18" s="63">
        <f>Submetering!AE18+Submetering!AD18+Submetering!H18</f>
        <v>1346.0000000000002</v>
      </c>
      <c r="J18" s="64">
        <v>9.1199999999999992</v>
      </c>
      <c r="K18" s="63">
        <f>ELECT.!B20</f>
        <v>115</v>
      </c>
    </row>
    <row r="19" spans="1:11" x14ac:dyDescent="0.2">
      <c r="A19" s="77" t="s">
        <v>59</v>
      </c>
      <c r="B19" s="82">
        <f t="shared" si="0"/>
        <v>18</v>
      </c>
      <c r="C19" s="82">
        <v>5</v>
      </c>
      <c r="D19" s="82">
        <v>2019</v>
      </c>
      <c r="E19" s="63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64869.487183999998</v>
      </c>
      <c r="F19" s="16">
        <v>1.1499999999999999</v>
      </c>
      <c r="G19" s="63">
        <f>Gas!C21*0.9147</f>
        <v>3197.7911999999997</v>
      </c>
      <c r="H19" s="16">
        <v>2.25</v>
      </c>
      <c r="I19" s="63">
        <f>Submetering!AE19+Submetering!AD19+Submetering!H19</f>
        <v>856</v>
      </c>
      <c r="J19" s="64">
        <v>9.1199999999999992</v>
      </c>
      <c r="K19" s="63">
        <f>ELECT.!B21</f>
        <v>157</v>
      </c>
    </row>
    <row r="20" spans="1:11" x14ac:dyDescent="0.2">
      <c r="A20" s="77" t="s">
        <v>59</v>
      </c>
      <c r="B20" s="82">
        <f t="shared" si="0"/>
        <v>19</v>
      </c>
      <c r="C20" s="82">
        <v>5</v>
      </c>
      <c r="D20" s="82">
        <v>2019</v>
      </c>
      <c r="E20" s="63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69207.712719999996</v>
      </c>
      <c r="F20" s="16">
        <v>1.1499999999999999</v>
      </c>
      <c r="G20" s="63">
        <f>Gas!C22*0.9147</f>
        <v>3117.2975999999999</v>
      </c>
      <c r="H20" s="16">
        <v>2.25</v>
      </c>
      <c r="I20" s="63">
        <f>Submetering!AE20+Submetering!AD20+Submetering!H20</f>
        <v>536</v>
      </c>
      <c r="J20" s="64">
        <v>9.1199999999999992</v>
      </c>
      <c r="K20" s="63">
        <f>ELECT.!B22</f>
        <v>181</v>
      </c>
    </row>
    <row r="21" spans="1:11" x14ac:dyDescent="0.2">
      <c r="A21" s="77" t="s">
        <v>59</v>
      </c>
      <c r="B21" s="82">
        <f t="shared" si="0"/>
        <v>20</v>
      </c>
      <c r="C21" s="82">
        <v>5</v>
      </c>
      <c r="D21" s="82">
        <v>2019</v>
      </c>
      <c r="E21" s="63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44674.443632000002</v>
      </c>
      <c r="F21" s="16">
        <v>1.1499999999999999</v>
      </c>
      <c r="G21" s="63">
        <f>Gas!C23*0.9147</f>
        <v>2071.7954999999997</v>
      </c>
      <c r="H21" s="16">
        <v>2.25</v>
      </c>
      <c r="I21" s="63">
        <f>Submetering!AE21+Submetering!AD21+Submetering!H21</f>
        <v>775.99999999999989</v>
      </c>
      <c r="J21" s="64">
        <v>9.1199999999999992</v>
      </c>
      <c r="K21" s="63">
        <f>ELECT.!B23</f>
        <v>165</v>
      </c>
    </row>
    <row r="22" spans="1:11" x14ac:dyDescent="0.2">
      <c r="A22" s="77" t="s">
        <v>59</v>
      </c>
      <c r="B22" s="82">
        <f t="shared" si="0"/>
        <v>21</v>
      </c>
      <c r="C22" s="82">
        <v>5</v>
      </c>
      <c r="D22" s="82">
        <v>2019</v>
      </c>
      <c r="E22" s="63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88672.036995999995</v>
      </c>
      <c r="F22" s="16">
        <v>1.1499999999999999</v>
      </c>
      <c r="G22" s="63">
        <f>Gas!C24*0.9147</f>
        <v>1453.4583</v>
      </c>
      <c r="H22" s="16">
        <v>2.25</v>
      </c>
      <c r="I22" s="63">
        <f>Submetering!AE22+Submetering!AD22+Submetering!H22</f>
        <v>846</v>
      </c>
      <c r="J22" s="64">
        <v>9.1199999999999992</v>
      </c>
      <c r="K22" s="63">
        <f>ELECT.!B24</f>
        <v>139</v>
      </c>
    </row>
    <row r="23" spans="1:11" x14ac:dyDescent="0.2">
      <c r="A23" s="77" t="s">
        <v>59</v>
      </c>
      <c r="B23" s="82">
        <f t="shared" si="0"/>
        <v>22</v>
      </c>
      <c r="C23" s="82">
        <v>5</v>
      </c>
      <c r="D23" s="82">
        <v>2019</v>
      </c>
      <c r="E23" s="63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44961.417627999996</v>
      </c>
      <c r="F23" s="16">
        <v>1.1499999999999999</v>
      </c>
      <c r="G23" s="63">
        <f>Gas!C25*0.9147</f>
        <v>1272.3477</v>
      </c>
      <c r="H23" s="16">
        <v>2.25</v>
      </c>
      <c r="I23" s="63">
        <f>Submetering!AE23+Submetering!AD23+Submetering!H23</f>
        <v>886</v>
      </c>
      <c r="J23" s="64">
        <v>9.1199999999999992</v>
      </c>
      <c r="K23" s="63">
        <f>ELECT.!B25</f>
        <v>132</v>
      </c>
    </row>
    <row r="24" spans="1:11" x14ac:dyDescent="0.2">
      <c r="A24" s="77" t="s">
        <v>59</v>
      </c>
      <c r="B24" s="82">
        <f t="shared" si="0"/>
        <v>23</v>
      </c>
      <c r="C24" s="82">
        <v>5</v>
      </c>
      <c r="D24" s="82">
        <v>2019</v>
      </c>
      <c r="E24" s="63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104113.73175599999</v>
      </c>
      <c r="F24" s="16">
        <v>1.1499999999999999</v>
      </c>
      <c r="G24" s="63">
        <f>Gas!C26*0.9147</f>
        <v>3709.1084999999998</v>
      </c>
      <c r="H24" s="16">
        <v>2.25</v>
      </c>
      <c r="I24" s="63">
        <f>Submetering!AE24+Submetering!AD24+Submetering!H24</f>
        <v>776</v>
      </c>
      <c r="J24" s="64">
        <v>9.1199999999999992</v>
      </c>
      <c r="K24" s="63">
        <f>ELECT.!B26</f>
        <v>118</v>
      </c>
    </row>
    <row r="25" spans="1:11" x14ac:dyDescent="0.2">
      <c r="A25" s="77" t="s">
        <v>59</v>
      </c>
      <c r="B25" s="82">
        <f t="shared" si="0"/>
        <v>24</v>
      </c>
      <c r="C25" s="82">
        <v>5</v>
      </c>
      <c r="D25" s="82">
        <v>2019</v>
      </c>
      <c r="E25" s="63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78112.692500000005</v>
      </c>
      <c r="F25" s="16">
        <v>1.1499999999999999</v>
      </c>
      <c r="G25" s="63">
        <f>Gas!C27*0.9147</f>
        <v>2393.7698999999998</v>
      </c>
      <c r="H25" s="16">
        <v>2.25</v>
      </c>
      <c r="I25" s="63">
        <f>Submetering!AE25+Submetering!AD25+Submetering!H25</f>
        <v>876.00000000000011</v>
      </c>
      <c r="J25" s="64">
        <v>9.1199999999999992</v>
      </c>
      <c r="K25" s="63">
        <f>ELECT.!B27</f>
        <v>137</v>
      </c>
    </row>
    <row r="26" spans="1:11" x14ac:dyDescent="0.2">
      <c r="A26" s="77" t="s">
        <v>59</v>
      </c>
      <c r="B26" s="82">
        <f>B25+1</f>
        <v>25</v>
      </c>
      <c r="C26" s="82">
        <v>5</v>
      </c>
      <c r="D26" s="82">
        <v>2019</v>
      </c>
      <c r="E26" s="63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73754.567203999992</v>
      </c>
      <c r="F26" s="16">
        <v>1.1499999999999999</v>
      </c>
      <c r="G26" s="63">
        <f>Gas!C28*0.9147</f>
        <v>2820.9348</v>
      </c>
      <c r="H26" s="16">
        <v>2.25</v>
      </c>
      <c r="I26" s="63">
        <f>Submetering!AE26+Submetering!AD26+Submetering!H26</f>
        <v>826</v>
      </c>
      <c r="J26" s="64">
        <v>9.1199999999999992</v>
      </c>
      <c r="K26" s="63">
        <f>ELECT.!B28</f>
        <v>135</v>
      </c>
    </row>
    <row r="27" spans="1:11" x14ac:dyDescent="0.2">
      <c r="A27" s="77" t="s">
        <v>59</v>
      </c>
      <c r="B27" s="82">
        <f t="shared" si="0"/>
        <v>26</v>
      </c>
      <c r="C27" s="82">
        <v>5</v>
      </c>
      <c r="D27" s="82">
        <v>2019</v>
      </c>
      <c r="E27" s="63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73808.526515999998</v>
      </c>
      <c r="F27" s="16">
        <v>1.1499999999999999</v>
      </c>
      <c r="G27" s="63">
        <f>Gas!C29*0.9147</f>
        <v>2296.8116999999997</v>
      </c>
      <c r="H27" s="16">
        <v>2.25</v>
      </c>
      <c r="I27" s="63">
        <f>Submetering!AE27+Submetering!AD27+Submetering!H27</f>
        <v>946</v>
      </c>
      <c r="J27" s="64">
        <v>9.1199999999999992</v>
      </c>
      <c r="K27" s="63">
        <f>ELECT.!B29</f>
        <v>127</v>
      </c>
    </row>
    <row r="28" spans="1:11" x14ac:dyDescent="0.2">
      <c r="A28" s="77" t="s">
        <v>59</v>
      </c>
      <c r="B28" s="82">
        <f t="shared" si="0"/>
        <v>27</v>
      </c>
      <c r="C28" s="82">
        <v>5</v>
      </c>
      <c r="D28" s="82">
        <v>2019</v>
      </c>
      <c r="E28" s="63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66773.341972000009</v>
      </c>
      <c r="F28" s="16">
        <v>1.1499999999999999</v>
      </c>
      <c r="G28" s="63">
        <f>Gas!C30*0.9147</f>
        <v>2669.0945999999999</v>
      </c>
      <c r="H28" s="16">
        <v>2.25</v>
      </c>
      <c r="I28" s="63">
        <f>Submetering!AE28+Submetering!AD28+Submetering!H28</f>
        <v>906.00000000000011</v>
      </c>
      <c r="J28" s="64">
        <v>9.1199999999999992</v>
      </c>
      <c r="K28" s="63">
        <f>ELECT.!B30</f>
        <v>124</v>
      </c>
    </row>
    <row r="29" spans="1:11" x14ac:dyDescent="0.2">
      <c r="A29" s="77" t="s">
        <v>59</v>
      </c>
      <c r="B29" s="82">
        <f t="shared" si="0"/>
        <v>28</v>
      </c>
      <c r="C29" s="82">
        <v>5</v>
      </c>
      <c r="D29" s="82">
        <v>2019</v>
      </c>
      <c r="E29" s="63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70290.064784000017</v>
      </c>
      <c r="F29" s="16">
        <v>1.1499999999999999</v>
      </c>
      <c r="G29" s="63">
        <f>Gas!C31*0.9147</f>
        <v>2256.5648999999999</v>
      </c>
      <c r="H29" s="16">
        <v>2.25</v>
      </c>
      <c r="I29" s="63">
        <f>Submetering!AE29+Submetering!AD29+Submetering!H29</f>
        <v>935.99999999999989</v>
      </c>
      <c r="J29" s="64">
        <v>9.1199999999999992</v>
      </c>
      <c r="K29" s="63">
        <f>ELECT.!B31</f>
        <v>104</v>
      </c>
    </row>
    <row r="30" spans="1:11" x14ac:dyDescent="0.2">
      <c r="A30" s="77" t="s">
        <v>59</v>
      </c>
      <c r="B30" s="82">
        <f t="shared" si="0"/>
        <v>29</v>
      </c>
      <c r="C30" s="82">
        <v>5</v>
      </c>
      <c r="D30" s="82">
        <v>2019</v>
      </c>
      <c r="E30" s="63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126521.06202</v>
      </c>
      <c r="F30" s="16">
        <v>1.1499999999999999</v>
      </c>
      <c r="G30" s="63">
        <f>Gas!C32*0.9147</f>
        <v>1891.5996</v>
      </c>
      <c r="H30" s="16">
        <v>2.25</v>
      </c>
      <c r="I30" s="63">
        <f>Submetering!AE30+Submetering!AD30+Submetering!H30</f>
        <v>505.99999999999994</v>
      </c>
      <c r="J30" s="64">
        <v>9.1199999999999992</v>
      </c>
      <c r="K30" s="63">
        <f>ELECT.!B32</f>
        <v>84</v>
      </c>
    </row>
    <row r="31" spans="1:11" x14ac:dyDescent="0.2">
      <c r="A31" s="77" t="s">
        <v>59</v>
      </c>
      <c r="B31" s="82">
        <f t="shared" si="0"/>
        <v>30</v>
      </c>
      <c r="C31" s="82">
        <v>5</v>
      </c>
      <c r="D31" s="82">
        <v>2019</v>
      </c>
      <c r="E31" s="63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21831.558991999998</v>
      </c>
      <c r="F31" s="16">
        <v>1.1499999999999999</v>
      </c>
      <c r="G31" s="63">
        <f>Gas!C33*0.9147</f>
        <v>2462.3723999999997</v>
      </c>
      <c r="H31" s="16">
        <v>2.25</v>
      </c>
      <c r="I31" s="63">
        <f>Submetering!AE31+Submetering!AD31+Submetering!H31</f>
        <v>716</v>
      </c>
      <c r="J31" s="64">
        <v>9.1199999999999992</v>
      </c>
      <c r="K31" s="63">
        <f>ELECT.!B33</f>
        <v>89</v>
      </c>
    </row>
    <row r="32" spans="1:11" x14ac:dyDescent="0.2">
      <c r="A32" s="77" t="s">
        <v>59</v>
      </c>
      <c r="C32" s="82">
        <v>5</v>
      </c>
      <c r="E32" s="63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32024.76914</v>
      </c>
      <c r="F32" s="16">
        <v>1.1499999999999999</v>
      </c>
      <c r="G32" s="63">
        <f>Gas!C34*0.9147</f>
        <v>2937.1016999999997</v>
      </c>
      <c r="H32" s="16">
        <v>2.25</v>
      </c>
      <c r="I32" s="63">
        <f>Submetering!AE32+Submetering!AD32+Submetering!H32</f>
        <v>616</v>
      </c>
      <c r="J32" s="64">
        <v>9.1199999999999992</v>
      </c>
      <c r="K32" s="63">
        <f>ELECT.!B34</f>
        <v>82</v>
      </c>
    </row>
    <row r="33" spans="11:11" x14ac:dyDescent="0.2">
      <c r="K33" s="8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M1" zoomScale="85" zoomScaleNormal="85" workbookViewId="0">
      <selection activeCell="AF17" sqref="AF17"/>
    </sheetView>
  </sheetViews>
  <sheetFormatPr defaultColWidth="11.5703125" defaultRowHeight="12.75" x14ac:dyDescent="0.2"/>
  <cols>
    <col min="1" max="1" width="15.85546875" style="77" bestFit="1" customWidth="1"/>
    <col min="2" max="3" width="11.5703125" style="82"/>
    <col min="4" max="4" width="13.42578125" style="82" customWidth="1"/>
    <col min="5" max="17" width="12.5703125" style="63" customWidth="1"/>
    <col min="18" max="23" width="12.5703125" style="64" customWidth="1"/>
    <col min="24" max="24" width="11.5703125" style="61"/>
    <col min="28" max="28" width="13.5703125" bestFit="1" customWidth="1"/>
  </cols>
  <sheetData>
    <row r="1" spans="1:31" s="60" customFormat="1" ht="60" x14ac:dyDescent="0.25">
      <c r="A1" s="76" t="s">
        <v>51</v>
      </c>
      <c r="B1" s="80" t="s">
        <v>0</v>
      </c>
      <c r="C1" s="80" t="s">
        <v>52</v>
      </c>
      <c r="D1" s="80" t="s">
        <v>53</v>
      </c>
      <c r="E1" s="81" t="s">
        <v>70</v>
      </c>
      <c r="F1" s="81" t="s">
        <v>71</v>
      </c>
      <c r="G1" s="81" t="s">
        <v>72</v>
      </c>
      <c r="H1" s="81" t="s">
        <v>73</v>
      </c>
      <c r="I1" s="81" t="s">
        <v>63</v>
      </c>
      <c r="J1" s="81" t="s">
        <v>62</v>
      </c>
      <c r="K1" s="81" t="s">
        <v>61</v>
      </c>
      <c r="L1" s="81" t="s">
        <v>64</v>
      </c>
      <c r="M1" s="81" t="s">
        <v>65</v>
      </c>
      <c r="N1" s="81" t="s">
        <v>66</v>
      </c>
      <c r="O1" s="81" t="s">
        <v>67</v>
      </c>
      <c r="P1" s="81" t="s">
        <v>68</v>
      </c>
      <c r="Q1" s="81" t="s">
        <v>82</v>
      </c>
      <c r="R1" s="83" t="s">
        <v>74</v>
      </c>
      <c r="S1" s="83" t="s">
        <v>75</v>
      </c>
      <c r="T1" s="83" t="s">
        <v>76</v>
      </c>
      <c r="U1" s="83" t="s">
        <v>77</v>
      </c>
      <c r="V1" s="83" t="s">
        <v>78</v>
      </c>
      <c r="W1" s="83" t="s">
        <v>79</v>
      </c>
      <c r="X1" s="78" t="s">
        <v>58</v>
      </c>
      <c r="Y1" s="166" t="s">
        <v>148</v>
      </c>
      <c r="Z1" s="167" t="s">
        <v>149</v>
      </c>
      <c r="AA1" s="167" t="s">
        <v>150</v>
      </c>
      <c r="AB1" s="167" t="s">
        <v>151</v>
      </c>
      <c r="AC1" s="167" t="s">
        <v>152</v>
      </c>
      <c r="AD1" s="168" t="s">
        <v>153</v>
      </c>
      <c r="AE1" s="168" t="s">
        <v>154</v>
      </c>
    </row>
    <row r="2" spans="1:31" x14ac:dyDescent="0.2">
      <c r="A2" s="77" t="s">
        <v>59</v>
      </c>
      <c r="B2" s="82">
        <v>1</v>
      </c>
      <c r="C2" s="82">
        <v>5</v>
      </c>
      <c r="D2" s="82">
        <v>2019</v>
      </c>
      <c r="E2" s="63">
        <f>Water!C4</f>
        <v>490</v>
      </c>
      <c r="F2" s="63">
        <f>Water!E4</f>
        <v>513</v>
      </c>
      <c r="G2" s="63">
        <f>Water!G4</f>
        <v>299.7</v>
      </c>
      <c r="H2" s="63">
        <f>Water!I4</f>
        <v>1.8089999999999999</v>
      </c>
      <c r="I2" s="63">
        <f>ELECT.!F4</f>
        <v>13534</v>
      </c>
      <c r="J2" s="63">
        <f>ELECT.!H4</f>
        <v>59705</v>
      </c>
      <c r="K2" s="63">
        <f>ELECT.!K4</f>
        <v>5404</v>
      </c>
      <c r="L2" s="63">
        <f>ELECT.!M4</f>
        <v>4808</v>
      </c>
      <c r="M2" s="63">
        <f>ELECT.!O4</f>
        <v>8524</v>
      </c>
      <c r="N2" s="63">
        <f>ELECT.!Q4</f>
        <v>15159</v>
      </c>
      <c r="O2" s="63">
        <f>ELECT.!S4</f>
        <v>11167</v>
      </c>
      <c r="P2" s="63">
        <f>ELECT.!W4*2</f>
        <v>26416</v>
      </c>
      <c r="Q2" s="63">
        <f>ELECT.!D4</f>
        <v>800</v>
      </c>
      <c r="R2" s="64">
        <f>BTU!C3</f>
        <v>12.039000000000669</v>
      </c>
      <c r="S2" s="64">
        <f>BTU!F3</f>
        <v>1.4279999999998836</v>
      </c>
      <c r="T2" s="64">
        <f>BTU!I3</f>
        <v>0</v>
      </c>
      <c r="U2" s="64">
        <f>BTU!O3</f>
        <v>1.5039999999999054</v>
      </c>
      <c r="V2" s="64">
        <f>BTU!L3</f>
        <v>1.2899999999990541</v>
      </c>
      <c r="W2" s="64">
        <f>BTU!R3</f>
        <v>1.9000000000000909</v>
      </c>
      <c r="X2" s="61">
        <f>ELECT.!B4</f>
        <v>237</v>
      </c>
      <c r="Y2" s="169">
        <f>I2+J2-(K2+L2+M2+N2+O2+P2)</f>
        <v>1761</v>
      </c>
      <c r="Z2" s="170">
        <f>'Mall, Citadel, Rotana'!C4+'Mall, Citadel, Rotana'!E4+'Mall, Citadel, Rotana'!G4+'Mall, Citadel, Rotana'!I4</f>
        <v>1129</v>
      </c>
      <c r="AA2" s="170">
        <f>'Mall, Citadel, Rotana'!K4+'Mall, Citadel, Rotana'!M4</f>
        <v>480</v>
      </c>
      <c r="AB2" s="170">
        <f>'Mall, Citadel, Rotana'!O4</f>
        <v>4</v>
      </c>
      <c r="AC2" s="170">
        <f>'Mall, Citadel, Rotana'!Q4+'Mall, Citadel, Rotana'!S4</f>
        <v>180</v>
      </c>
      <c r="AD2" s="169">
        <f>(E2-H2-194)*0.1318</f>
        <v>38.774373799999999</v>
      </c>
      <c r="AE2" s="169">
        <f>E2-H2-AD2-194</f>
        <v>255.4166262</v>
      </c>
    </row>
    <row r="3" spans="1:31" x14ac:dyDescent="0.2">
      <c r="A3" s="77" t="s">
        <v>59</v>
      </c>
      <c r="B3" s="82">
        <f>B2+1</f>
        <v>2</v>
      </c>
      <c r="C3" s="82">
        <v>5</v>
      </c>
      <c r="D3" s="82">
        <v>2019</v>
      </c>
      <c r="E3" s="63">
        <f>Water!C5</f>
        <v>1060</v>
      </c>
      <c r="F3" s="63">
        <f>Water!E5</f>
        <v>683.1</v>
      </c>
      <c r="G3" s="63">
        <f>Water!G5</f>
        <v>707.4</v>
      </c>
      <c r="H3" s="63">
        <f>Water!I5</f>
        <v>7.56</v>
      </c>
      <c r="I3" s="63">
        <f>ELECT.!F5</f>
        <v>7578</v>
      </c>
      <c r="J3" s="63">
        <f>ELECT.!H5</f>
        <v>33043</v>
      </c>
      <c r="K3" s="63">
        <f>ELECT.!K5</f>
        <v>2867</v>
      </c>
      <c r="L3" s="63">
        <f>ELECT.!M5</f>
        <v>2818</v>
      </c>
      <c r="M3" s="63">
        <f>ELECT.!O5</f>
        <v>4690</v>
      </c>
      <c r="N3" s="63">
        <f>ELECT.!Q5</f>
        <v>9055</v>
      </c>
      <c r="O3" s="63">
        <f>ELECT.!S5</f>
        <v>6254</v>
      </c>
      <c r="P3" s="63">
        <f>ELECT.!W5*2</f>
        <v>14262</v>
      </c>
      <c r="Q3" s="63">
        <f>ELECT.!D5</f>
        <v>640</v>
      </c>
      <c r="R3" s="64">
        <f>BTU!C4</f>
        <v>6.5910000000003492</v>
      </c>
      <c r="S3" s="64">
        <f>BTU!F4</f>
        <v>1.9770000000003165</v>
      </c>
      <c r="T3" s="64">
        <f>BTU!I4</f>
        <v>0</v>
      </c>
      <c r="U3" s="64">
        <f>BTU!O4</f>
        <v>1.0769999999999982</v>
      </c>
      <c r="V3" s="64">
        <f>BTU!L4</f>
        <v>1.0400000000008731</v>
      </c>
      <c r="W3" s="64">
        <f>BTU!R4</f>
        <v>1.5999999999999091</v>
      </c>
      <c r="X3" s="61">
        <f>ELECT.!B5</f>
        <v>241</v>
      </c>
      <c r="Y3" s="169">
        <f t="shared" ref="Y3:Y31" si="0">I3+J3-(K3+L3+M3+N3+O3+P3)</f>
        <v>675</v>
      </c>
      <c r="Z3" s="170">
        <f>'Mall, Citadel, Rotana'!C5+'Mall, Citadel, Rotana'!E5+'Mall, Citadel, Rotana'!G5+'Mall, Citadel, Rotana'!I5</f>
        <v>765</v>
      </c>
      <c r="AA3" s="170">
        <f>'Mall, Citadel, Rotana'!K5+'Mall, Citadel, Rotana'!M5</f>
        <v>640</v>
      </c>
      <c r="AB3" s="170">
        <f>'Mall, Citadel, Rotana'!O5</f>
        <v>2</v>
      </c>
      <c r="AC3" s="170">
        <f>'Mall, Citadel, Rotana'!Q5+'Mall, Citadel, Rotana'!S5</f>
        <v>240</v>
      </c>
      <c r="AD3" s="169">
        <f t="shared" ref="AD3:AD31" si="1">(E3-H3-194)*0.1318</f>
        <v>113.142392</v>
      </c>
      <c r="AE3" s="169">
        <f t="shared" ref="AE3:AE31" si="2">E3-H3-AD3-194</f>
        <v>745.29760800000008</v>
      </c>
    </row>
    <row r="4" spans="1:31" x14ac:dyDescent="0.2">
      <c r="A4" s="77" t="s">
        <v>59</v>
      </c>
      <c r="B4" s="82">
        <f t="shared" ref="B4:B32" si="3">B3+1</f>
        <v>3</v>
      </c>
      <c r="C4" s="82">
        <v>5</v>
      </c>
      <c r="D4" s="82">
        <v>2019</v>
      </c>
      <c r="E4" s="63">
        <f>Water!C6</f>
        <v>1240</v>
      </c>
      <c r="F4" s="63">
        <f>Water!E6</f>
        <v>402.3</v>
      </c>
      <c r="G4" s="63">
        <f>Water!G6</f>
        <v>364.5</v>
      </c>
      <c r="H4" s="63">
        <f>Water!I6</f>
        <v>2.5110000000000001</v>
      </c>
      <c r="I4" s="63">
        <f>ELECT.!F6</f>
        <v>17548</v>
      </c>
      <c r="J4" s="63">
        <f>ELECT.!H6</f>
        <v>77926</v>
      </c>
      <c r="K4" s="63">
        <f>ELECT.!K6</f>
        <v>6232</v>
      </c>
      <c r="L4" s="63">
        <f>ELECT.!M6</f>
        <v>6689</v>
      </c>
      <c r="M4" s="63">
        <f>ELECT.!O6</f>
        <v>10652</v>
      </c>
      <c r="N4" s="63">
        <f>ELECT.!Q6</f>
        <v>18990</v>
      </c>
      <c r="O4" s="63">
        <f>ELECT.!S6</f>
        <v>14693</v>
      </c>
      <c r="P4" s="63">
        <f>ELECT.!W6*2</f>
        <v>36256</v>
      </c>
      <c r="Q4" s="63">
        <f>ELECT.!D6</f>
        <v>800</v>
      </c>
      <c r="R4" s="64">
        <f>BTU!C5</f>
        <v>11.456999999998516</v>
      </c>
      <c r="S4" s="64">
        <f>BTU!F5</f>
        <v>1.5769999999997708</v>
      </c>
      <c r="T4" s="64">
        <f>BTU!I5</f>
        <v>0</v>
      </c>
      <c r="U4" s="64">
        <f>BTU!O5</f>
        <v>2.1059999999999945</v>
      </c>
      <c r="V4" s="64">
        <f>BTU!L5</f>
        <v>0.88999999999941792</v>
      </c>
      <c r="W4" s="64">
        <f>BTU!R5</f>
        <v>1.930000000000291</v>
      </c>
      <c r="X4" s="61">
        <f>ELECT.!B6</f>
        <v>244</v>
      </c>
      <c r="Y4" s="169">
        <f t="shared" si="0"/>
        <v>1962</v>
      </c>
      <c r="Z4" s="170">
        <f>'Mall, Citadel, Rotana'!C6+'Mall, Citadel, Rotana'!E6+'Mall, Citadel, Rotana'!G6+'Mall, Citadel, Rotana'!I6</f>
        <v>977</v>
      </c>
      <c r="AA4" s="170">
        <f>'Mall, Citadel, Rotana'!K6+'Mall, Citadel, Rotana'!M6</f>
        <v>480</v>
      </c>
      <c r="AB4" s="170">
        <f>'Mall, Citadel, Rotana'!O6</f>
        <v>3</v>
      </c>
      <c r="AC4" s="170">
        <f>'Mall, Citadel, Rotana'!Q6+'Mall, Citadel, Rotana'!S6</f>
        <v>192</v>
      </c>
      <c r="AD4" s="169">
        <f t="shared" si="1"/>
        <v>137.53185020000001</v>
      </c>
      <c r="AE4" s="169">
        <f t="shared" si="2"/>
        <v>905.95714980000002</v>
      </c>
    </row>
    <row r="5" spans="1:31" x14ac:dyDescent="0.2">
      <c r="A5" s="77" t="s">
        <v>59</v>
      </c>
      <c r="B5" s="82">
        <f t="shared" si="3"/>
        <v>4</v>
      </c>
      <c r="C5" s="82">
        <v>5</v>
      </c>
      <c r="D5" s="82">
        <v>2019</v>
      </c>
      <c r="E5" s="63">
        <f>Water!C7</f>
        <v>970</v>
      </c>
      <c r="F5" s="63">
        <f>Water!E7</f>
        <v>542.70000000000005</v>
      </c>
      <c r="G5" s="63">
        <f>Water!G7</f>
        <v>402.3</v>
      </c>
      <c r="H5" s="63">
        <f>Water!I7</f>
        <v>4.7519999999999998</v>
      </c>
      <c r="I5" s="63">
        <f>ELECT.!F7</f>
        <v>11603</v>
      </c>
      <c r="J5" s="63">
        <f>ELECT.!H7</f>
        <v>52369</v>
      </c>
      <c r="K5" s="63">
        <f>ELECT.!K7</f>
        <v>4561</v>
      </c>
      <c r="L5" s="63">
        <f>ELECT.!M7</f>
        <v>4363</v>
      </c>
      <c r="M5" s="63">
        <f>ELECT.!O7</f>
        <v>7070</v>
      </c>
      <c r="N5" s="63">
        <f>ELECT.!Q7</f>
        <v>11172</v>
      </c>
      <c r="O5" s="63">
        <f>ELECT.!S7</f>
        <v>10525</v>
      </c>
      <c r="P5" s="63">
        <f>ELECT.!W7*2</f>
        <v>24938</v>
      </c>
      <c r="Q5" s="63">
        <f>ELECT.!D7</f>
        <v>320</v>
      </c>
      <c r="R5" s="64">
        <f>BTU!C6</f>
        <v>7.6110000000007858</v>
      </c>
      <c r="S5" s="64">
        <f>BTU!F6</f>
        <v>1.3589999999999236</v>
      </c>
      <c r="T5" s="64">
        <f>BTU!I6</f>
        <v>0</v>
      </c>
      <c r="U5" s="64">
        <f>BTU!O6</f>
        <v>1.5780000000002019</v>
      </c>
      <c r="V5" s="64">
        <f>BTU!L6</f>
        <v>1.5</v>
      </c>
      <c r="W5" s="64">
        <f>BTU!R6</f>
        <v>1.6599999999998545</v>
      </c>
      <c r="X5" s="61">
        <f>ELECT.!B7</f>
        <v>204</v>
      </c>
      <c r="Y5" s="169">
        <f t="shared" si="0"/>
        <v>1343</v>
      </c>
      <c r="Z5" s="170">
        <f>'Mall, Citadel, Rotana'!C7+'Mall, Citadel, Rotana'!E7+'Mall, Citadel, Rotana'!G7+'Mall, Citadel, Rotana'!I7</f>
        <v>742</v>
      </c>
      <c r="AA5" s="170">
        <f>'Mall, Citadel, Rotana'!K7+'Mall, Citadel, Rotana'!M7</f>
        <v>320</v>
      </c>
      <c r="AB5" s="170">
        <f>'Mall, Citadel, Rotana'!O7</f>
        <v>1</v>
      </c>
      <c r="AC5" s="170">
        <f>'Mall, Citadel, Rotana'!Q7+'Mall, Citadel, Rotana'!S7</f>
        <v>248</v>
      </c>
      <c r="AD5" s="169">
        <f t="shared" si="1"/>
        <v>101.65048640000001</v>
      </c>
      <c r="AE5" s="169">
        <f t="shared" si="2"/>
        <v>669.59751360000007</v>
      </c>
    </row>
    <row r="6" spans="1:31" x14ac:dyDescent="0.2">
      <c r="A6" s="77" t="s">
        <v>59</v>
      </c>
      <c r="B6" s="82">
        <f t="shared" si="3"/>
        <v>5</v>
      </c>
      <c r="C6" s="82">
        <v>5</v>
      </c>
      <c r="D6" s="82">
        <v>2019</v>
      </c>
      <c r="E6" s="63">
        <f>Water!C8</f>
        <v>990</v>
      </c>
      <c r="F6" s="63">
        <f>Water!E8</f>
        <v>550.79999999999995</v>
      </c>
      <c r="G6" s="63">
        <f>Water!G8</f>
        <v>396.9</v>
      </c>
      <c r="H6" s="63">
        <f>Water!I8</f>
        <v>4.8600000000000003</v>
      </c>
      <c r="I6" s="63">
        <f>ELECT.!F8</f>
        <v>13288</v>
      </c>
      <c r="J6" s="63">
        <f>ELECT.!H8</f>
        <v>58403</v>
      </c>
      <c r="K6" s="63">
        <f>ELECT.!K8</f>
        <v>5820</v>
      </c>
      <c r="L6" s="63">
        <f>ELECT.!M8</f>
        <v>4949</v>
      </c>
      <c r="M6" s="63">
        <f>ELECT.!O8</f>
        <v>8138</v>
      </c>
      <c r="N6" s="63">
        <f>ELECT.!Q8</f>
        <v>13698</v>
      </c>
      <c r="O6" s="63">
        <f>ELECT.!S8</f>
        <v>10831</v>
      </c>
      <c r="P6" s="63">
        <f>ELECT.!W8*2</f>
        <v>26624</v>
      </c>
      <c r="Q6" s="63">
        <f>ELECT.!D8</f>
        <v>160</v>
      </c>
      <c r="R6" s="64">
        <f>BTU!C7</f>
        <v>7.896999999999025</v>
      </c>
      <c r="S6" s="64">
        <f>BTU!F7</f>
        <v>2.7260000000001128</v>
      </c>
      <c r="T6" s="64">
        <f>BTU!I7</f>
        <v>0</v>
      </c>
      <c r="U6" s="64">
        <f>BTU!O7</f>
        <v>1.6599999999998545</v>
      </c>
      <c r="V6" s="64">
        <f>BTU!L7</f>
        <v>1.3700000000008004</v>
      </c>
      <c r="W6" s="64">
        <f>BTU!R7</f>
        <v>1.4800000000000182</v>
      </c>
      <c r="X6" s="61">
        <f>ELECT.!B8</f>
        <v>131</v>
      </c>
      <c r="Y6" s="169">
        <f t="shared" si="0"/>
        <v>1631</v>
      </c>
      <c r="Z6" s="170">
        <f>'Mall, Citadel, Rotana'!C8+'Mall, Citadel, Rotana'!E8+'Mall, Citadel, Rotana'!G8+'Mall, Citadel, Rotana'!I8</f>
        <v>622</v>
      </c>
      <c r="AA6" s="170">
        <f>'Mall, Citadel, Rotana'!K8+'Mall, Citadel, Rotana'!M8</f>
        <v>320</v>
      </c>
      <c r="AB6" s="170">
        <f>'Mall, Citadel, Rotana'!O8</f>
        <v>1</v>
      </c>
      <c r="AC6" s="170">
        <f>'Mall, Citadel, Rotana'!Q8+'Mall, Citadel, Rotana'!S8</f>
        <v>178</v>
      </c>
      <c r="AD6" s="169">
        <f t="shared" si="1"/>
        <v>104.27225199999999</v>
      </c>
      <c r="AE6" s="169">
        <f t="shared" si="2"/>
        <v>686.86774800000001</v>
      </c>
    </row>
    <row r="7" spans="1:31" x14ac:dyDescent="0.2">
      <c r="A7" s="77" t="s">
        <v>59</v>
      </c>
      <c r="B7" s="82">
        <f t="shared" si="3"/>
        <v>6</v>
      </c>
      <c r="C7" s="82">
        <v>5</v>
      </c>
      <c r="D7" s="82">
        <v>2019</v>
      </c>
      <c r="E7" s="63">
        <f>Water!C9</f>
        <v>1010</v>
      </c>
      <c r="F7" s="63">
        <f>Water!E9</f>
        <v>531.9</v>
      </c>
      <c r="G7" s="63">
        <f>Water!G9</f>
        <v>469.8</v>
      </c>
      <c r="H7" s="63">
        <f>Water!I9</f>
        <v>4.7789999999999999</v>
      </c>
      <c r="I7" s="63">
        <f>ELECT.!F9</f>
        <v>9484</v>
      </c>
      <c r="J7" s="63">
        <f>ELECT.!H9</f>
        <v>40501</v>
      </c>
      <c r="K7" s="63">
        <f>ELECT.!K9</f>
        <v>4875</v>
      </c>
      <c r="L7" s="63">
        <f>ELECT.!M9</f>
        <v>3169</v>
      </c>
      <c r="M7" s="63">
        <f>ELECT.!O9</f>
        <v>6224</v>
      </c>
      <c r="N7" s="63">
        <f>ELECT.!Q9</f>
        <v>8921</v>
      </c>
      <c r="O7" s="63">
        <f>ELECT.!S9</f>
        <v>7555</v>
      </c>
      <c r="P7" s="63">
        <f>ELECT.!W9*2</f>
        <v>18372</v>
      </c>
      <c r="Q7" s="63">
        <f>ELECT.!D9</f>
        <v>320</v>
      </c>
      <c r="R7" s="64">
        <f>BTU!C8</f>
        <v>7.9180000000014843</v>
      </c>
      <c r="S7" s="64">
        <f>BTU!F8</f>
        <v>2.5340000000001055</v>
      </c>
      <c r="T7" s="64">
        <f>BTU!I8</f>
        <v>0</v>
      </c>
      <c r="U7" s="64">
        <f>BTU!O8</f>
        <v>1.1720000000000255</v>
      </c>
      <c r="V7" s="64">
        <f>BTU!L8</f>
        <v>1.319999999999709</v>
      </c>
      <c r="W7" s="64">
        <f>BTU!R8</f>
        <v>0.73000000000001819</v>
      </c>
      <c r="X7" s="61">
        <f>ELECT.!B9</f>
        <v>115</v>
      </c>
      <c r="Y7" s="169">
        <f t="shared" si="0"/>
        <v>869</v>
      </c>
      <c r="Z7" s="170">
        <f>'Mall, Citadel, Rotana'!C9+'Mall, Citadel, Rotana'!E9+'Mall, Citadel, Rotana'!G9+'Mall, Citadel, Rotana'!I9</f>
        <v>643</v>
      </c>
      <c r="AA7" s="170">
        <f>'Mall, Citadel, Rotana'!K9+'Mall, Citadel, Rotana'!M9</f>
        <v>320</v>
      </c>
      <c r="AB7" s="170">
        <f>'Mall, Citadel, Rotana'!O9</f>
        <v>3</v>
      </c>
      <c r="AC7" s="170">
        <f>'Mall, Citadel, Rotana'!Q9+'Mall, Citadel, Rotana'!S9</f>
        <v>143</v>
      </c>
      <c r="AD7" s="169">
        <f t="shared" si="1"/>
        <v>106.91892780000001</v>
      </c>
      <c r="AE7" s="169">
        <f t="shared" si="2"/>
        <v>704.3020722</v>
      </c>
    </row>
    <row r="8" spans="1:31" x14ac:dyDescent="0.2">
      <c r="A8" s="77" t="s">
        <v>59</v>
      </c>
      <c r="B8" s="82">
        <f t="shared" si="3"/>
        <v>7</v>
      </c>
      <c r="C8" s="82">
        <v>5</v>
      </c>
      <c r="D8" s="82">
        <v>2019</v>
      </c>
      <c r="E8" s="63">
        <f>Water!C10</f>
        <v>880</v>
      </c>
      <c r="F8" s="63">
        <f>Water!E10</f>
        <v>475.2</v>
      </c>
      <c r="G8" s="63">
        <f>Water!G10</f>
        <v>372.6</v>
      </c>
      <c r="H8" s="63">
        <f>Water!I10</f>
        <v>4.9409999999999998</v>
      </c>
      <c r="I8" s="63">
        <f>ELECT.!F10</f>
        <v>20162</v>
      </c>
      <c r="J8" s="63">
        <f>ELECT.!H10</f>
        <v>70944</v>
      </c>
      <c r="K8" s="63">
        <f>ELECT.!K10</f>
        <v>8675</v>
      </c>
      <c r="L8" s="63">
        <f>ELECT.!M10</f>
        <v>7368</v>
      </c>
      <c r="M8" s="63">
        <f>ELECT.!O10</f>
        <v>12570</v>
      </c>
      <c r="N8" s="63">
        <f>ELECT.!Q10</f>
        <v>14539</v>
      </c>
      <c r="O8" s="63">
        <f>ELECT.!S10</f>
        <v>13125</v>
      </c>
      <c r="P8" s="63">
        <f>ELECT.!W10*2</f>
        <v>33352</v>
      </c>
      <c r="Q8" s="63">
        <f>ELECT.!D10</f>
        <v>640</v>
      </c>
      <c r="R8" s="64">
        <f>BTU!C9</f>
        <v>6.0509999999994761</v>
      </c>
      <c r="S8" s="64">
        <f>BTU!F9</f>
        <v>1.8840000000000146</v>
      </c>
      <c r="T8" s="64">
        <f>BTU!I9</f>
        <v>0</v>
      </c>
      <c r="U8" s="64">
        <f>BTU!O9</f>
        <v>1.1330000000000382</v>
      </c>
      <c r="V8" s="64">
        <f>BTU!L9</f>
        <v>1.2299999999995634</v>
      </c>
      <c r="W8" s="64">
        <f>BTU!R9</f>
        <v>1.1999999999998181</v>
      </c>
      <c r="X8" s="61">
        <f>ELECT.!B10</f>
        <v>107</v>
      </c>
      <c r="Y8" s="169">
        <f t="shared" si="0"/>
        <v>1477</v>
      </c>
      <c r="Z8" s="170">
        <f>'Mall, Citadel, Rotana'!C10+'Mall, Citadel, Rotana'!E10+'Mall, Citadel, Rotana'!G10+'Mall, Citadel, Rotana'!I10</f>
        <v>2698</v>
      </c>
      <c r="AA8" s="170">
        <f>'Mall, Citadel, Rotana'!K10+'Mall, Citadel, Rotana'!M10</f>
        <v>480</v>
      </c>
      <c r="AB8" s="170">
        <f>'Mall, Citadel, Rotana'!O10</f>
        <v>3</v>
      </c>
      <c r="AC8" s="170">
        <f>'Mall, Citadel, Rotana'!Q10+'Mall, Citadel, Rotana'!S10</f>
        <v>220</v>
      </c>
      <c r="AD8" s="169">
        <f t="shared" si="1"/>
        <v>89.763576200000003</v>
      </c>
      <c r="AE8" s="169">
        <f t="shared" si="2"/>
        <v>591.29542379999998</v>
      </c>
    </row>
    <row r="9" spans="1:31" x14ac:dyDescent="0.2">
      <c r="A9" s="77" t="s">
        <v>59</v>
      </c>
      <c r="B9" s="82">
        <f t="shared" si="3"/>
        <v>8</v>
      </c>
      <c r="C9" s="82">
        <v>5</v>
      </c>
      <c r="D9" s="82">
        <v>2019</v>
      </c>
      <c r="E9" s="63">
        <f>Water!C11</f>
        <v>830</v>
      </c>
      <c r="F9" s="63">
        <f>Water!E11</f>
        <v>469.8</v>
      </c>
      <c r="G9" s="63">
        <f>Water!G11</f>
        <v>332.1</v>
      </c>
      <c r="H9" s="63">
        <f>Water!I11</f>
        <v>5.5350000000000001</v>
      </c>
      <c r="I9" s="63">
        <f>ELECT.!F11</f>
        <v>12506</v>
      </c>
      <c r="J9" s="63">
        <f>ELECT.!H11</f>
        <v>54386</v>
      </c>
      <c r="K9" s="63">
        <f>ELECT.!K11</f>
        <v>6485</v>
      </c>
      <c r="L9" s="63">
        <f>ELECT.!M11</f>
        <v>4484</v>
      </c>
      <c r="M9" s="63">
        <f>ELECT.!O11</f>
        <v>7852</v>
      </c>
      <c r="N9" s="63">
        <f>ELECT.!Q11</f>
        <v>10614</v>
      </c>
      <c r="O9" s="63">
        <f>ELECT.!S11</f>
        <v>10111</v>
      </c>
      <c r="P9" s="63">
        <f>ELECT.!W11*2</f>
        <v>26180</v>
      </c>
      <c r="Q9" s="63">
        <f>ELECT.!D11</f>
        <v>1920</v>
      </c>
      <c r="R9" s="64">
        <f>BTU!C10</f>
        <v>7.433999999999287</v>
      </c>
      <c r="S9" s="64">
        <f>BTU!F10</f>
        <v>2.1839999999997417</v>
      </c>
      <c r="T9" s="64">
        <f>BTU!I10</f>
        <v>0</v>
      </c>
      <c r="U9" s="64">
        <f>BTU!O10</f>
        <v>1.1759999999999309</v>
      </c>
      <c r="V9" s="64">
        <f>BTU!L10</f>
        <v>1.2299999999995634</v>
      </c>
      <c r="W9" s="64">
        <f>BTU!R10</f>
        <v>2.7699999999999818</v>
      </c>
      <c r="X9" s="61">
        <f>ELECT.!B11</f>
        <v>85</v>
      </c>
      <c r="Y9" s="169">
        <f t="shared" si="0"/>
        <v>1166</v>
      </c>
      <c r="Z9" s="170">
        <f>'Mall, Citadel, Rotana'!C11+'Mall, Citadel, Rotana'!E11+'Mall, Citadel, Rotana'!G11+'Mall, Citadel, Rotana'!I11</f>
        <v>1101</v>
      </c>
      <c r="AA9" s="170">
        <f>'Mall, Citadel, Rotana'!K11+'Mall, Citadel, Rotana'!M11</f>
        <v>1920</v>
      </c>
      <c r="AB9" s="170">
        <f>'Mall, Citadel, Rotana'!O11</f>
        <v>10</v>
      </c>
      <c r="AC9" s="170">
        <f>'Mall, Citadel, Rotana'!Q11+'Mall, Citadel, Rotana'!S11</f>
        <v>337</v>
      </c>
      <c r="AD9" s="169">
        <f t="shared" si="1"/>
        <v>83.095286999999999</v>
      </c>
      <c r="AE9" s="169">
        <f t="shared" si="2"/>
        <v>547.36971300000005</v>
      </c>
    </row>
    <row r="10" spans="1:31" x14ac:dyDescent="0.2">
      <c r="A10" s="77" t="s">
        <v>59</v>
      </c>
      <c r="B10" s="82">
        <f t="shared" si="3"/>
        <v>9</v>
      </c>
      <c r="C10" s="82">
        <v>5</v>
      </c>
      <c r="D10" s="82">
        <v>2019</v>
      </c>
      <c r="E10" s="63">
        <f>Water!C12</f>
        <v>880</v>
      </c>
      <c r="F10" s="63">
        <f>Water!E12</f>
        <v>510.3</v>
      </c>
      <c r="G10" s="63">
        <f>Water!G12</f>
        <v>297</v>
      </c>
      <c r="H10" s="63">
        <f>Water!I12</f>
        <v>5.7779999999999996</v>
      </c>
      <c r="I10" s="63">
        <f>ELECT.!F12</f>
        <v>9353</v>
      </c>
      <c r="J10" s="63">
        <f>ELECT.!H12</f>
        <v>33373</v>
      </c>
      <c r="K10" s="63">
        <f>ELECT.!K12</f>
        <v>4558</v>
      </c>
      <c r="L10" s="63">
        <f>ELECT.!M12</f>
        <v>3054</v>
      </c>
      <c r="M10" s="63">
        <f>ELECT.!O12</f>
        <v>6180</v>
      </c>
      <c r="N10" s="63">
        <f>ELECT.!Q12</f>
        <v>2430</v>
      </c>
      <c r="O10" s="63">
        <f>ELECT.!S12</f>
        <v>7088</v>
      </c>
      <c r="P10" s="63">
        <f>ELECT.!W12*2</f>
        <v>18662</v>
      </c>
      <c r="Q10" s="63">
        <f>ELECT.!D12</f>
        <v>960</v>
      </c>
      <c r="R10" s="64">
        <f>BTU!C11</f>
        <v>7</v>
      </c>
      <c r="S10" s="64">
        <f>BTU!F11</f>
        <v>1.4080000000003565</v>
      </c>
      <c r="T10" s="64">
        <f>BTU!I11</f>
        <v>0</v>
      </c>
      <c r="U10" s="64">
        <f>BTU!O11</f>
        <v>1.1130000000000564</v>
      </c>
      <c r="V10" s="64">
        <f>BTU!L11</f>
        <v>1.0599999999994907</v>
      </c>
      <c r="W10" s="64">
        <f>BTU!R11</f>
        <v>0.93000000000029104</v>
      </c>
      <c r="X10" s="61">
        <f>ELECT.!B12</f>
        <v>76</v>
      </c>
      <c r="Y10" s="169">
        <f t="shared" si="0"/>
        <v>754</v>
      </c>
      <c r="Z10" s="170">
        <f>'Mall, Citadel, Rotana'!C12+'Mall, Citadel, Rotana'!E12+'Mall, Citadel, Rotana'!G12+'Mall, Citadel, Rotana'!I12</f>
        <v>1183</v>
      </c>
      <c r="AA10" s="170">
        <f>'Mall, Citadel, Rotana'!K12+'Mall, Citadel, Rotana'!M12</f>
        <v>640</v>
      </c>
      <c r="AB10" s="170">
        <f>'Mall, Citadel, Rotana'!O12</f>
        <v>3</v>
      </c>
      <c r="AC10" s="170">
        <f>'Mall, Citadel, Rotana'!Q12+'Mall, Citadel, Rotana'!S12</f>
        <v>173</v>
      </c>
      <c r="AD10" s="169">
        <f t="shared" si="1"/>
        <v>89.653259599999998</v>
      </c>
      <c r="AE10" s="169">
        <f t="shared" si="2"/>
        <v>590.56874040000002</v>
      </c>
    </row>
    <row r="11" spans="1:31" x14ac:dyDescent="0.2">
      <c r="A11" s="77" t="s">
        <v>59</v>
      </c>
      <c r="B11" s="82">
        <f t="shared" si="3"/>
        <v>10</v>
      </c>
      <c r="C11" s="82">
        <v>5</v>
      </c>
      <c r="D11" s="82">
        <v>2019</v>
      </c>
      <c r="E11" s="63">
        <f>Water!C13</f>
        <v>980</v>
      </c>
      <c r="F11" s="63">
        <f>Water!E13</f>
        <v>569.70000000000005</v>
      </c>
      <c r="G11" s="63">
        <f>Water!G13</f>
        <v>369.9</v>
      </c>
      <c r="H11" s="63">
        <f>Water!I13</f>
        <v>5.4</v>
      </c>
      <c r="I11" s="63">
        <f>ELECT.!F13</f>
        <v>17011</v>
      </c>
      <c r="J11" s="63">
        <f>ELECT.!H13</f>
        <v>62450</v>
      </c>
      <c r="K11" s="63">
        <f>ELECT.!K13</f>
        <v>8020</v>
      </c>
      <c r="L11" s="63">
        <f>ELECT.!M13</f>
        <v>5585</v>
      </c>
      <c r="M11" s="63">
        <f>ELECT.!O13</f>
        <v>11184</v>
      </c>
      <c r="N11" s="63">
        <f>ELECT.!Q13</f>
        <v>4384</v>
      </c>
      <c r="O11" s="63">
        <f>ELECT.!S13</f>
        <v>13440</v>
      </c>
      <c r="P11" s="63">
        <f>ELECT.!W13*2</f>
        <v>35292</v>
      </c>
      <c r="Q11" s="63">
        <f>ELECT.!D13</f>
        <v>640</v>
      </c>
      <c r="R11" s="64">
        <f>BTU!C12</f>
        <v>6.3659999999999854</v>
      </c>
      <c r="S11" s="64">
        <f>BTU!F12</f>
        <v>0.97699999999986176</v>
      </c>
      <c r="T11" s="64">
        <f>BTU!I12</f>
        <v>0</v>
      </c>
      <c r="U11" s="64">
        <f>BTU!O12</f>
        <v>1.2159999999998945</v>
      </c>
      <c r="V11" s="64">
        <f>BTU!L12</f>
        <v>0.86000000000058208</v>
      </c>
      <c r="W11" s="64">
        <f>BTU!R12</f>
        <v>0.79999999999972715</v>
      </c>
      <c r="X11" s="61">
        <f>ELECT.!B13</f>
        <v>133</v>
      </c>
      <c r="Y11" s="169">
        <f t="shared" si="0"/>
        <v>1556</v>
      </c>
      <c r="Z11" s="170">
        <f>'Mall, Citadel, Rotana'!C13+'Mall, Citadel, Rotana'!E13+'Mall, Citadel, Rotana'!G13+'Mall, Citadel, Rotana'!I13</f>
        <v>1042</v>
      </c>
      <c r="AA11" s="170">
        <f>'Mall, Citadel, Rotana'!K13+'Mall, Citadel, Rotana'!M13</f>
        <v>480</v>
      </c>
      <c r="AB11" s="170">
        <f>'Mall, Citadel, Rotana'!O13</f>
        <v>3</v>
      </c>
      <c r="AC11" s="170">
        <f>'Mall, Citadel, Rotana'!Q13+'Mall, Citadel, Rotana'!S13</f>
        <v>144</v>
      </c>
      <c r="AD11" s="169">
        <f t="shared" si="1"/>
        <v>102.88308000000001</v>
      </c>
      <c r="AE11" s="169">
        <f t="shared" si="2"/>
        <v>677.71692000000007</v>
      </c>
    </row>
    <row r="12" spans="1:31" x14ac:dyDescent="0.2">
      <c r="A12" s="77" t="s">
        <v>59</v>
      </c>
      <c r="B12" s="82">
        <f t="shared" si="3"/>
        <v>11</v>
      </c>
      <c r="C12" s="82">
        <v>5</v>
      </c>
      <c r="D12" s="82">
        <v>2019</v>
      </c>
      <c r="E12" s="63">
        <f>Water!C14</f>
        <v>820</v>
      </c>
      <c r="F12" s="63">
        <f>Water!E14</f>
        <v>445.5</v>
      </c>
      <c r="G12" s="63">
        <f>Water!G14</f>
        <v>342.9</v>
      </c>
      <c r="H12" s="63">
        <f>Water!I14</f>
        <v>4.4009999999999998</v>
      </c>
      <c r="I12" s="63">
        <f>ELECT.!F14</f>
        <v>11788</v>
      </c>
      <c r="J12" s="63">
        <f>ELECT.!H14</f>
        <v>45761</v>
      </c>
      <c r="K12" s="63">
        <f>ELECT.!K14</f>
        <v>5719</v>
      </c>
      <c r="L12" s="63">
        <f>ELECT.!M14</f>
        <v>3779</v>
      </c>
      <c r="M12" s="63">
        <f>ELECT.!O14</f>
        <v>7590</v>
      </c>
      <c r="N12" s="63">
        <f>ELECT.!Q14</f>
        <v>6648</v>
      </c>
      <c r="O12" s="63">
        <f>ELECT.!S14</f>
        <v>9080</v>
      </c>
      <c r="P12" s="63">
        <f>ELECT.!W14*2</f>
        <v>3962</v>
      </c>
      <c r="Q12" s="63">
        <f>ELECT.!D14</f>
        <v>640</v>
      </c>
      <c r="R12" s="64">
        <f>BTU!C13</f>
        <v>7.2520000000004075</v>
      </c>
      <c r="S12" s="64">
        <f>BTU!F13</f>
        <v>1.5549999999998363</v>
      </c>
      <c r="T12" s="64">
        <f>BTU!I13</f>
        <v>9.9999999997635314E-4</v>
      </c>
      <c r="U12" s="64">
        <f>BTU!O13</f>
        <v>1.1440000000000055</v>
      </c>
      <c r="V12" s="64">
        <f>BTU!L13</f>
        <v>1.2399999999997817</v>
      </c>
      <c r="W12" s="64">
        <f>BTU!R13</f>
        <v>1.9800000000000182</v>
      </c>
      <c r="X12" s="61">
        <f>ELECT.!B14</f>
        <v>142</v>
      </c>
      <c r="Y12" s="169">
        <f t="shared" si="0"/>
        <v>20771</v>
      </c>
      <c r="Z12" s="170">
        <f>'Mall, Citadel, Rotana'!C14+'Mall, Citadel, Rotana'!E14+'Mall, Citadel, Rotana'!G14+'Mall, Citadel, Rotana'!I14</f>
        <v>1025</v>
      </c>
      <c r="AA12" s="170">
        <f>'Mall, Citadel, Rotana'!K14+'Mall, Citadel, Rotana'!M14</f>
        <v>480</v>
      </c>
      <c r="AB12" s="170">
        <f>'Mall, Citadel, Rotana'!O14</f>
        <v>3</v>
      </c>
      <c r="AC12" s="170">
        <f>'Mall, Citadel, Rotana'!Q14+'Mall, Citadel, Rotana'!S14</f>
        <v>147</v>
      </c>
      <c r="AD12" s="169">
        <f t="shared" si="1"/>
        <v>81.926748200000006</v>
      </c>
      <c r="AE12" s="169">
        <f t="shared" si="2"/>
        <v>539.67225180000003</v>
      </c>
    </row>
    <row r="13" spans="1:31" x14ac:dyDescent="0.2">
      <c r="A13" s="77" t="s">
        <v>59</v>
      </c>
      <c r="B13" s="82">
        <f t="shared" si="3"/>
        <v>12</v>
      </c>
      <c r="C13" s="82">
        <v>5</v>
      </c>
      <c r="D13" s="82">
        <v>2019</v>
      </c>
      <c r="E13" s="63">
        <f>Water!C15</f>
        <v>1060</v>
      </c>
      <c r="F13" s="63">
        <f>Water!E15</f>
        <v>604.79999999999995</v>
      </c>
      <c r="G13" s="63">
        <f>Water!G15</f>
        <v>415.8</v>
      </c>
      <c r="H13" s="63">
        <f>Water!I15</f>
        <v>6.9930000000000003</v>
      </c>
      <c r="I13" s="63">
        <f>ELECT.!F15</f>
        <v>13077</v>
      </c>
      <c r="J13" s="63">
        <f>ELECT.!H15</f>
        <v>58216</v>
      </c>
      <c r="K13" s="63">
        <f>ELECT.!K15</f>
        <v>6166</v>
      </c>
      <c r="L13" s="63">
        <f>ELECT.!M15</f>
        <v>4661</v>
      </c>
      <c r="M13" s="63">
        <f>ELECT.!O15</f>
        <v>8220</v>
      </c>
      <c r="N13" s="63">
        <f>ELECT.!Q15</f>
        <v>12413</v>
      </c>
      <c r="O13" s="63">
        <f>ELECT.!S15</f>
        <v>10638</v>
      </c>
      <c r="P13" s="63">
        <f>ELECT.!W15*2</f>
        <v>47760</v>
      </c>
      <c r="Q13" s="63">
        <f>ELECT.!D15</f>
        <v>640</v>
      </c>
      <c r="R13" s="64">
        <f>BTU!C14</f>
        <v>7.8909999999996217</v>
      </c>
      <c r="S13" s="64">
        <f>BTU!F14</f>
        <v>2.4010000000002947</v>
      </c>
      <c r="T13" s="64">
        <f>BTU!I14</f>
        <v>0</v>
      </c>
      <c r="U13" s="64">
        <f>BTU!O14</f>
        <v>1.1760000000001583</v>
      </c>
      <c r="V13" s="64">
        <f>BTU!L14</f>
        <v>1.3000000000010914</v>
      </c>
      <c r="W13" s="64" t="str">
        <f>BTU!R14</f>
        <v>0</v>
      </c>
      <c r="X13" s="61">
        <f>ELECT.!B15</f>
        <v>163</v>
      </c>
      <c r="Y13" s="169">
        <f t="shared" si="0"/>
        <v>-18565</v>
      </c>
      <c r="Z13" s="170">
        <f>'Mall, Citadel, Rotana'!C15+'Mall, Citadel, Rotana'!E15+'Mall, Citadel, Rotana'!G15+'Mall, Citadel, Rotana'!I15</f>
        <v>862</v>
      </c>
      <c r="AA13" s="170">
        <f>'Mall, Citadel, Rotana'!K15+'Mall, Citadel, Rotana'!M15</f>
        <v>800</v>
      </c>
      <c r="AB13" s="170">
        <f>'Mall, Citadel, Rotana'!O15</f>
        <v>3</v>
      </c>
      <c r="AC13" s="170">
        <f>'Mall, Citadel, Rotana'!Q15+'Mall, Citadel, Rotana'!S15</f>
        <v>192</v>
      </c>
      <c r="AD13" s="169">
        <f t="shared" si="1"/>
        <v>113.21712260000001</v>
      </c>
      <c r="AE13" s="169">
        <f t="shared" si="2"/>
        <v>745.78987740000002</v>
      </c>
    </row>
    <row r="14" spans="1:31" x14ac:dyDescent="0.2">
      <c r="A14" s="77" t="s">
        <v>59</v>
      </c>
      <c r="B14" s="82">
        <f t="shared" si="3"/>
        <v>13</v>
      </c>
      <c r="C14" s="82">
        <v>5</v>
      </c>
      <c r="D14" s="82">
        <v>2019</v>
      </c>
      <c r="E14" s="63">
        <f>Water!C16</f>
        <v>1090</v>
      </c>
      <c r="F14" s="63">
        <f>Water!E16</f>
        <v>564.29999999999995</v>
      </c>
      <c r="G14" s="63">
        <f>Water!G16</f>
        <v>423.9</v>
      </c>
      <c r="H14" s="63">
        <f>Water!I16</f>
        <v>5.1840000000000002</v>
      </c>
      <c r="I14" s="63">
        <f>ELECT.!F16</f>
        <v>11593</v>
      </c>
      <c r="J14" s="63">
        <f>ELECT.!H16</f>
        <v>52244</v>
      </c>
      <c r="K14" s="63">
        <f>ELECT.!K16</f>
        <v>5918</v>
      </c>
      <c r="L14" s="63">
        <f>ELECT.!M16</f>
        <v>4075</v>
      </c>
      <c r="M14" s="63">
        <f>ELECT.!O16</f>
        <v>7410</v>
      </c>
      <c r="N14" s="63">
        <f>ELECT.!Q16</f>
        <v>11605</v>
      </c>
      <c r="O14" s="63">
        <f>ELECT.!S16</f>
        <v>9875</v>
      </c>
      <c r="P14" s="63">
        <f>ELECT.!W16*2</f>
        <v>23770</v>
      </c>
      <c r="Q14" s="63">
        <f>ELECT.!D16</f>
        <v>640</v>
      </c>
      <c r="R14" s="64">
        <f>BTU!C15</f>
        <v>9.0310000000008586</v>
      </c>
      <c r="S14" s="64">
        <f>BTU!F15</f>
        <v>2.5919999999996435</v>
      </c>
      <c r="T14" s="64">
        <f>BTU!I15</f>
        <v>0</v>
      </c>
      <c r="U14" s="64">
        <f>BTU!O15</f>
        <v>1.1799999999998363</v>
      </c>
      <c r="V14" s="64">
        <f>BTU!L15</f>
        <v>1.2699999999986176</v>
      </c>
      <c r="W14" s="64">
        <f>BTU!R15</f>
        <v>1.7000000000002728</v>
      </c>
      <c r="X14" s="61">
        <f>ELECT.!B16</f>
        <v>138</v>
      </c>
      <c r="Y14" s="169">
        <f t="shared" si="0"/>
        <v>1184</v>
      </c>
      <c r="Z14" s="170">
        <f>'Mall, Citadel, Rotana'!C16+'Mall, Citadel, Rotana'!E16+'Mall, Citadel, Rotana'!G16+'Mall, Citadel, Rotana'!I16</f>
        <v>1042</v>
      </c>
      <c r="AA14" s="170">
        <f>'Mall, Citadel, Rotana'!K16+'Mall, Citadel, Rotana'!M16</f>
        <v>640</v>
      </c>
      <c r="AB14" s="170">
        <f>'Mall, Citadel, Rotana'!O16</f>
        <v>3</v>
      </c>
      <c r="AC14" s="170">
        <f>'Mall, Citadel, Rotana'!Q16+'Mall, Citadel, Rotana'!S16</f>
        <v>259</v>
      </c>
      <c r="AD14" s="169">
        <f t="shared" si="1"/>
        <v>117.40954880000001</v>
      </c>
      <c r="AE14" s="169">
        <f t="shared" si="2"/>
        <v>773.40645119999999</v>
      </c>
    </row>
    <row r="15" spans="1:31" x14ac:dyDescent="0.2">
      <c r="A15" s="77" t="s">
        <v>59</v>
      </c>
      <c r="B15" s="82">
        <f t="shared" si="3"/>
        <v>14</v>
      </c>
      <c r="C15" s="82">
        <v>5</v>
      </c>
      <c r="D15" s="82">
        <v>2019</v>
      </c>
      <c r="E15" s="63">
        <f>Water!C17</f>
        <v>1000</v>
      </c>
      <c r="F15" s="63">
        <f>Water!E17</f>
        <v>629.1</v>
      </c>
      <c r="G15" s="63">
        <f>Water!G17</f>
        <v>510.3</v>
      </c>
      <c r="H15" s="63">
        <f>Water!I17</f>
        <v>6.1020000000000003</v>
      </c>
      <c r="I15" s="63">
        <f>ELECT.!F17</f>
        <v>9705</v>
      </c>
      <c r="J15" s="63">
        <f>ELECT.!H17</f>
        <v>43113</v>
      </c>
      <c r="K15" s="63">
        <f>ELECT.!K17</f>
        <v>4772</v>
      </c>
      <c r="L15" s="63">
        <f>ELECT.!M17</f>
        <v>3301</v>
      </c>
      <c r="M15" s="63">
        <f>ELECT.!O17</f>
        <v>6264</v>
      </c>
      <c r="N15" s="63">
        <f>ELECT.!Q17</f>
        <v>9748</v>
      </c>
      <c r="O15" s="63">
        <f>ELECT.!S17</f>
        <v>8179</v>
      </c>
      <c r="P15" s="63">
        <f>ELECT.!W17*2</f>
        <v>19376</v>
      </c>
      <c r="Q15" s="63">
        <f>ELECT.!D17</f>
        <v>800</v>
      </c>
      <c r="R15" s="64">
        <f>BTU!C16</f>
        <v>8.2710000000006403</v>
      </c>
      <c r="S15" s="64">
        <f>BTU!F16</f>
        <v>2.4646666666699275</v>
      </c>
      <c r="T15" s="64">
        <f>BTU!I16</f>
        <v>0</v>
      </c>
      <c r="U15" s="64">
        <f>BTU!O16</f>
        <v>1.1773333333301252</v>
      </c>
      <c r="V15" s="64">
        <f>BTU!L16</f>
        <v>1.2700000000004366</v>
      </c>
      <c r="W15" s="64">
        <f>BTU!R16</f>
        <v>0</v>
      </c>
      <c r="X15" s="61">
        <f>ELECT.!B17</f>
        <v>113</v>
      </c>
      <c r="Y15" s="169">
        <f t="shared" si="0"/>
        <v>1178</v>
      </c>
      <c r="Z15" s="170">
        <f>'Mall, Citadel, Rotana'!C17+'Mall, Citadel, Rotana'!E17+'Mall, Citadel, Rotana'!G17+'Mall, Citadel, Rotana'!I17</f>
        <v>1047</v>
      </c>
      <c r="AA15" s="170">
        <f>'Mall, Citadel, Rotana'!K17+'Mall, Citadel, Rotana'!M17</f>
        <v>640</v>
      </c>
      <c r="AB15" s="170">
        <f>'Mall, Citadel, Rotana'!O17</f>
        <v>3</v>
      </c>
      <c r="AC15" s="170">
        <f>'Mall, Citadel, Rotana'!Q17+'Mall, Citadel, Rotana'!S17</f>
        <v>202</v>
      </c>
      <c r="AD15" s="169">
        <f t="shared" si="1"/>
        <v>105.42655640000001</v>
      </c>
      <c r="AE15" s="169">
        <f t="shared" si="2"/>
        <v>694.47144360000004</v>
      </c>
    </row>
    <row r="16" spans="1:31" x14ac:dyDescent="0.2">
      <c r="A16" s="77" t="s">
        <v>59</v>
      </c>
      <c r="B16" s="82">
        <f t="shared" si="3"/>
        <v>15</v>
      </c>
      <c r="C16" s="82">
        <v>5</v>
      </c>
      <c r="D16" s="82">
        <v>2019</v>
      </c>
      <c r="E16" s="63">
        <f>Water!C18</f>
        <v>110</v>
      </c>
      <c r="F16" s="63">
        <f>Water!E18</f>
        <v>486</v>
      </c>
      <c r="G16" s="63">
        <f>Water!G18</f>
        <v>388.8</v>
      </c>
      <c r="H16" s="63">
        <f>Water!I18</f>
        <v>5.319</v>
      </c>
      <c r="I16" s="63">
        <f>ELECT.!F18</f>
        <v>16427</v>
      </c>
      <c r="J16" s="63">
        <f>ELECT.!H18</f>
        <v>71068</v>
      </c>
      <c r="K16" s="63">
        <f>ELECT.!K18</f>
        <v>7613</v>
      </c>
      <c r="L16" s="63">
        <f>ELECT.!M18</f>
        <v>5659</v>
      </c>
      <c r="M16" s="63">
        <f>ELECT.!O18</f>
        <v>10362</v>
      </c>
      <c r="N16" s="63">
        <f>ELECT.!Q18</f>
        <v>16508</v>
      </c>
      <c r="O16" s="63">
        <f>ELECT.!S18</f>
        <v>13113</v>
      </c>
      <c r="P16" s="63">
        <f>ELECT.!W18*2</f>
        <v>32476</v>
      </c>
      <c r="Q16" s="63">
        <f>ELECT.!D18</f>
        <v>640</v>
      </c>
      <c r="R16" s="64">
        <f>BTU!C17</f>
        <v>8.4609999999993306</v>
      </c>
      <c r="S16" s="64">
        <f>BTU!F17</f>
        <v>2.4965000000001965</v>
      </c>
      <c r="T16" s="64">
        <f>BTU!I17</f>
        <v>0</v>
      </c>
      <c r="U16" s="64">
        <f>BTU!O17</f>
        <v>1.1779999999998836</v>
      </c>
      <c r="V16" s="64">
        <f>BTU!L17</f>
        <v>1.2730000000010477</v>
      </c>
      <c r="W16" s="64">
        <f>BTU!R17</f>
        <v>0</v>
      </c>
      <c r="X16" s="61">
        <f>ELECT.!B18</f>
        <v>120</v>
      </c>
      <c r="Y16" s="169">
        <f t="shared" si="0"/>
        <v>1764</v>
      </c>
      <c r="Z16" s="170">
        <f>'Mall, Citadel, Rotana'!C18+'Mall, Citadel, Rotana'!E18+'Mall, Citadel, Rotana'!G18+'Mall, Citadel, Rotana'!I18</f>
        <v>1022</v>
      </c>
      <c r="AA16" s="170">
        <f>'Mall, Citadel, Rotana'!K18+'Mall, Citadel, Rotana'!M18</f>
        <v>640</v>
      </c>
      <c r="AB16" s="170">
        <f>'Mall, Citadel, Rotana'!O18</f>
        <v>2</v>
      </c>
      <c r="AC16" s="170">
        <f>'Mall, Citadel, Rotana'!Q18+'Mall, Citadel, Rotana'!S18</f>
        <v>230</v>
      </c>
      <c r="AD16" s="169">
        <f t="shared" si="1"/>
        <v>-11.772244200000001</v>
      </c>
      <c r="AE16" s="169">
        <f t="shared" si="2"/>
        <v>-77.5467558</v>
      </c>
    </row>
    <row r="17" spans="1:31" x14ac:dyDescent="0.2">
      <c r="A17" s="77" t="s">
        <v>59</v>
      </c>
      <c r="B17" s="82">
        <f t="shared" si="3"/>
        <v>16</v>
      </c>
      <c r="C17" s="82">
        <v>5</v>
      </c>
      <c r="D17" s="82">
        <v>2019</v>
      </c>
      <c r="E17" s="63">
        <f>Water!C19</f>
        <v>1030</v>
      </c>
      <c r="F17" s="63">
        <f>Water!E19</f>
        <v>170.1</v>
      </c>
      <c r="G17" s="63">
        <f>Water!G19</f>
        <v>216</v>
      </c>
      <c r="H17" s="63">
        <f>Water!I19</f>
        <v>5.4</v>
      </c>
      <c r="I17" s="63">
        <f>ELECT.!F19</f>
        <v>13927</v>
      </c>
      <c r="J17" s="63">
        <f>ELECT.!H19</f>
        <v>61278</v>
      </c>
      <c r="K17" s="63">
        <f>ELECT.!K19</f>
        <v>6650</v>
      </c>
      <c r="L17" s="63">
        <f>ELECT.!M19</f>
        <v>4704</v>
      </c>
      <c r="M17" s="63">
        <f>ELECT.!O19</f>
        <v>9066</v>
      </c>
      <c r="N17" s="63">
        <f>ELECT.!Q19</f>
        <v>14752</v>
      </c>
      <c r="O17" s="63">
        <f>ELECT.!S19</f>
        <v>11112</v>
      </c>
      <c r="P17" s="63">
        <f>ELECT.!W19*2</f>
        <v>27344</v>
      </c>
      <c r="Q17" s="63">
        <f>ELECT.!D19</f>
        <v>800</v>
      </c>
      <c r="R17" s="64">
        <f>BTU!C18</f>
        <v>8.4609999999993306</v>
      </c>
      <c r="S17" s="64">
        <f>BTU!F18</f>
        <v>2.4965000000001965</v>
      </c>
      <c r="T17" s="64">
        <f>BTU!I18</f>
        <v>0</v>
      </c>
      <c r="U17" s="64">
        <f>BTU!O18</f>
        <v>1.178000000000111</v>
      </c>
      <c r="V17" s="64">
        <f>BTU!L18</f>
        <v>1.2729999999992287</v>
      </c>
      <c r="W17" s="64">
        <f>BTU!R18</f>
        <v>0</v>
      </c>
      <c r="X17" s="61">
        <f>ELECT.!B19</f>
        <v>116</v>
      </c>
      <c r="Y17" s="169">
        <f t="shared" si="0"/>
        <v>1577</v>
      </c>
      <c r="Z17" s="170">
        <f>'Mall, Citadel, Rotana'!C19+'Mall, Citadel, Rotana'!E19+'Mall, Citadel, Rotana'!G19+'Mall, Citadel, Rotana'!I19</f>
        <v>1163</v>
      </c>
      <c r="AA17" s="170">
        <f>'Mall, Citadel, Rotana'!K19+'Mall, Citadel, Rotana'!M19</f>
        <v>640</v>
      </c>
      <c r="AB17" s="170">
        <f>'Mall, Citadel, Rotana'!O19</f>
        <v>3</v>
      </c>
      <c r="AC17" s="170">
        <f>'Mall, Citadel, Rotana'!Q19+'Mall, Citadel, Rotana'!S19</f>
        <v>212</v>
      </c>
      <c r="AD17" s="169">
        <f t="shared" si="1"/>
        <v>109.47307999999998</v>
      </c>
      <c r="AE17" s="169">
        <f t="shared" si="2"/>
        <v>721.12691999999993</v>
      </c>
    </row>
    <row r="18" spans="1:31" x14ac:dyDescent="0.2">
      <c r="A18" s="77" t="s">
        <v>59</v>
      </c>
      <c r="B18" s="82">
        <f t="shared" si="3"/>
        <v>17</v>
      </c>
      <c r="C18" s="82">
        <v>5</v>
      </c>
      <c r="D18" s="82">
        <v>2019</v>
      </c>
      <c r="E18" s="63">
        <f>Water!C20</f>
        <v>1540</v>
      </c>
      <c r="F18" s="63">
        <f>Water!E20</f>
        <v>758.7</v>
      </c>
      <c r="G18" s="63">
        <f>Water!G20</f>
        <v>523.79999999999995</v>
      </c>
      <c r="H18" s="63">
        <f>Water!I20</f>
        <v>2.9430000000000001</v>
      </c>
      <c r="I18" s="63">
        <f>ELECT.!F20</f>
        <v>12708</v>
      </c>
      <c r="J18" s="63">
        <f>ELECT.!H20</f>
        <v>56245</v>
      </c>
      <c r="K18" s="63">
        <f>ELECT.!K20</f>
        <v>5623</v>
      </c>
      <c r="L18" s="63">
        <f>ELECT.!M20</f>
        <v>1271</v>
      </c>
      <c r="M18" s="63">
        <f>ELECT.!O20</f>
        <v>8250</v>
      </c>
      <c r="N18" s="63">
        <f>ELECT.!Q20</f>
        <v>13475</v>
      </c>
      <c r="O18" s="63">
        <f>ELECT.!S20</f>
        <v>10078</v>
      </c>
      <c r="P18" s="63">
        <f>ELECT.!W20*2</f>
        <v>25640</v>
      </c>
      <c r="Q18" s="63">
        <f>ELECT.!D20</f>
        <v>800</v>
      </c>
      <c r="R18" s="64">
        <f>BTU!C19</f>
        <v>14.972999999999956</v>
      </c>
      <c r="S18" s="64">
        <f>BTU!F19</f>
        <v>1.7813333333297123</v>
      </c>
      <c r="T18" s="64">
        <f>BTU!I19</f>
        <v>0</v>
      </c>
      <c r="U18" s="64">
        <f>BTU!O19</f>
        <v>1.304666666670073</v>
      </c>
      <c r="V18" s="64">
        <f>BTU!L19</f>
        <v>0.36399999999957799</v>
      </c>
      <c r="W18" s="64">
        <f>BTU!R19</f>
        <v>56.039999999999964</v>
      </c>
      <c r="X18" s="61">
        <f>ELECT.!B20</f>
        <v>115</v>
      </c>
      <c r="Y18" s="169">
        <f t="shared" si="0"/>
        <v>4616</v>
      </c>
      <c r="Z18" s="170">
        <f>'Mall, Citadel, Rotana'!C20+'Mall, Citadel, Rotana'!E20+'Mall, Citadel, Rotana'!G20+'Mall, Citadel, Rotana'!I20</f>
        <v>1044</v>
      </c>
      <c r="AA18" s="170">
        <f>'Mall, Citadel, Rotana'!K20+'Mall, Citadel, Rotana'!M20</f>
        <v>640</v>
      </c>
      <c r="AB18" s="170">
        <f>'Mall, Citadel, Rotana'!O20</f>
        <v>4</v>
      </c>
      <c r="AC18" s="170">
        <f>'Mall, Citadel, Rotana'!Q20+'Mall, Citadel, Rotana'!S20</f>
        <v>168</v>
      </c>
      <c r="AD18" s="169">
        <f t="shared" si="1"/>
        <v>177.0149126</v>
      </c>
      <c r="AE18" s="169">
        <f t="shared" si="2"/>
        <v>1166.0420874000001</v>
      </c>
    </row>
    <row r="19" spans="1:31" x14ac:dyDescent="0.2">
      <c r="A19" s="77" t="s">
        <v>59</v>
      </c>
      <c r="B19" s="82">
        <f t="shared" si="3"/>
        <v>18</v>
      </c>
      <c r="C19" s="82">
        <v>5</v>
      </c>
      <c r="D19" s="82">
        <v>2019</v>
      </c>
      <c r="E19" s="63">
        <f>Water!C21</f>
        <v>1050</v>
      </c>
      <c r="F19" s="63">
        <f>Water!E21</f>
        <v>510.3</v>
      </c>
      <c r="G19" s="63">
        <f>Water!G21</f>
        <v>369.9</v>
      </c>
      <c r="H19" s="63">
        <f>Water!I21</f>
        <v>4.8869999999999996</v>
      </c>
      <c r="I19" s="63">
        <f>ELECT.!F21</f>
        <v>12604</v>
      </c>
      <c r="J19" s="63">
        <f>ELECT.!H21</f>
        <v>54750</v>
      </c>
      <c r="K19" s="63">
        <f>ELECT.!K21</f>
        <v>5959</v>
      </c>
      <c r="L19" s="63">
        <f>ELECT.!M21</f>
        <v>7396</v>
      </c>
      <c r="M19" s="63">
        <f>ELECT.!O21</f>
        <v>8074</v>
      </c>
      <c r="N19" s="63">
        <f>ELECT.!Q21</f>
        <v>12676</v>
      </c>
      <c r="O19" s="63">
        <f>ELECT.!S21</f>
        <v>10300</v>
      </c>
      <c r="P19" s="63">
        <f>ELECT.!W21*2</f>
        <v>24876</v>
      </c>
      <c r="Q19" s="63">
        <f>ELECT.!D21</f>
        <v>800</v>
      </c>
      <c r="R19" s="64">
        <f>BTU!C20</f>
        <v>6.4729999999999563</v>
      </c>
      <c r="S19" s="64">
        <f>BTU!F20</f>
        <v>1.4230000000002292</v>
      </c>
      <c r="T19" s="64">
        <f>BTU!I20</f>
        <v>0</v>
      </c>
      <c r="U19" s="64">
        <f>BTU!O20</f>
        <v>0.75599999999985812</v>
      </c>
      <c r="V19" s="64">
        <f>BTU!L20</f>
        <v>2.2900000000008731</v>
      </c>
      <c r="W19" s="64">
        <f>BTU!R20</f>
        <v>1.569999999999709</v>
      </c>
      <c r="X19" s="61">
        <f>ELECT.!B21</f>
        <v>157</v>
      </c>
      <c r="Y19" s="169">
        <f t="shared" si="0"/>
        <v>-1927</v>
      </c>
      <c r="Z19" s="170">
        <f>'Mall, Citadel, Rotana'!C21+'Mall, Citadel, Rotana'!E21+'Mall, Citadel, Rotana'!G21+'Mall, Citadel, Rotana'!I21</f>
        <v>1025</v>
      </c>
      <c r="AA19" s="170">
        <f>'Mall, Citadel, Rotana'!K21+'Mall, Citadel, Rotana'!M21</f>
        <v>480</v>
      </c>
      <c r="AB19" s="170">
        <f>'Mall, Citadel, Rotana'!O21</f>
        <v>3</v>
      </c>
      <c r="AC19" s="170">
        <f>'Mall, Citadel, Rotana'!Q21+'Mall, Citadel, Rotana'!S21</f>
        <v>157</v>
      </c>
      <c r="AD19" s="169">
        <f t="shared" si="1"/>
        <v>112.1766934</v>
      </c>
      <c r="AE19" s="169">
        <f t="shared" si="2"/>
        <v>738.93630660000008</v>
      </c>
    </row>
    <row r="20" spans="1:31" x14ac:dyDescent="0.2">
      <c r="A20" s="77" t="s">
        <v>59</v>
      </c>
      <c r="B20" s="82">
        <f t="shared" si="3"/>
        <v>19</v>
      </c>
      <c r="C20" s="82">
        <v>5</v>
      </c>
      <c r="D20" s="82">
        <v>2019</v>
      </c>
      <c r="E20" s="63">
        <f>Water!C22</f>
        <v>730</v>
      </c>
      <c r="F20" s="63">
        <f>Water!E22</f>
        <v>475.2</v>
      </c>
      <c r="G20" s="63">
        <f>Water!G22</f>
        <v>359.1</v>
      </c>
      <c r="H20" s="63">
        <f>Water!I22</f>
        <v>4.5629999999999997</v>
      </c>
      <c r="I20" s="63">
        <f>ELECT.!F22</f>
        <v>13531</v>
      </c>
      <c r="J20" s="63">
        <f>ELECT.!H22</f>
        <v>58960</v>
      </c>
      <c r="K20" s="63">
        <f>ELECT.!K22</f>
        <v>6426</v>
      </c>
      <c r="L20" s="63">
        <f>ELECT.!M22</f>
        <v>4854</v>
      </c>
      <c r="M20" s="63">
        <f>ELECT.!O22</f>
        <v>8488</v>
      </c>
      <c r="N20" s="63">
        <f>ELECT.!Q22</f>
        <v>13498</v>
      </c>
      <c r="O20" s="63">
        <f>ELECT.!S22</f>
        <v>11128</v>
      </c>
      <c r="P20" s="63">
        <f>ELECT.!W22*2</f>
        <v>26752</v>
      </c>
      <c r="Q20" s="63">
        <f>ELECT.!D22</f>
        <v>800</v>
      </c>
      <c r="R20" s="64">
        <f>BTU!C21</f>
        <v>20.793999999999869</v>
      </c>
      <c r="S20" s="64">
        <f>BTU!F21</f>
        <v>5.5459999999998217</v>
      </c>
      <c r="T20" s="64">
        <f>BTU!I21</f>
        <v>0</v>
      </c>
      <c r="U20" s="64">
        <f>BTU!O21</f>
        <v>1.121777777780153</v>
      </c>
      <c r="V20" s="64" t="str">
        <f>BTU!L21</f>
        <v>0</v>
      </c>
      <c r="W20" s="64">
        <f>BTU!R21</f>
        <v>0</v>
      </c>
      <c r="X20" s="61">
        <f>ELECT.!B22</f>
        <v>181</v>
      </c>
      <c r="Y20" s="169">
        <f t="shared" si="0"/>
        <v>1345</v>
      </c>
      <c r="Z20" s="170">
        <f>'Mall, Citadel, Rotana'!C22+'Mall, Citadel, Rotana'!E22+'Mall, Citadel, Rotana'!G22+'Mall, Citadel, Rotana'!I22</f>
        <v>1304</v>
      </c>
      <c r="AA20" s="170">
        <f>'Mall, Citadel, Rotana'!K22+'Mall, Citadel, Rotana'!M22</f>
        <v>800</v>
      </c>
      <c r="AB20" s="170">
        <f>'Mall, Citadel, Rotana'!O22</f>
        <v>3</v>
      </c>
      <c r="AC20" s="170">
        <f>'Mall, Citadel, Rotana'!Q22+'Mall, Citadel, Rotana'!S22</f>
        <v>183</v>
      </c>
      <c r="AD20" s="169">
        <f t="shared" si="1"/>
        <v>70.043396600000008</v>
      </c>
      <c r="AE20" s="169">
        <f t="shared" si="2"/>
        <v>461.39360339999996</v>
      </c>
    </row>
    <row r="21" spans="1:31" x14ac:dyDescent="0.2">
      <c r="A21" s="77" t="s">
        <v>59</v>
      </c>
      <c r="B21" s="82">
        <f t="shared" si="3"/>
        <v>20</v>
      </c>
      <c r="C21" s="82">
        <v>5</v>
      </c>
      <c r="D21" s="82">
        <v>2019</v>
      </c>
      <c r="E21" s="63">
        <f>Water!C23</f>
        <v>970</v>
      </c>
      <c r="F21" s="63">
        <f>Water!E23</f>
        <v>531.9</v>
      </c>
      <c r="G21" s="63">
        <f>Water!G23</f>
        <v>405</v>
      </c>
      <c r="H21" s="63">
        <f>Water!I23</f>
        <v>5.1029999999999998</v>
      </c>
      <c r="I21" s="63">
        <f>ELECT.!F23</f>
        <v>8682</v>
      </c>
      <c r="J21" s="63">
        <f>ELECT.!H23</f>
        <v>38658</v>
      </c>
      <c r="K21" s="63">
        <f>ELECT.!K23</f>
        <v>4295</v>
      </c>
      <c r="L21" s="63">
        <f>ELECT.!M23</f>
        <v>3019</v>
      </c>
      <c r="M21" s="63">
        <f>ELECT.!O23</f>
        <v>5568</v>
      </c>
      <c r="N21" s="63">
        <f>ELECT.!Q23</f>
        <v>8675</v>
      </c>
      <c r="O21" s="63">
        <f>ELECT.!S23</f>
        <v>7058</v>
      </c>
      <c r="P21" s="63">
        <f>ELECT.!W23*2</f>
        <v>17290</v>
      </c>
      <c r="Q21" s="63">
        <f>ELECT.!D23</f>
        <v>800</v>
      </c>
      <c r="R21" s="64">
        <f>BTU!C22</f>
        <v>3.0500000000010914</v>
      </c>
      <c r="S21" s="64">
        <f>BTU!F22</f>
        <v>0.52899999999999636</v>
      </c>
      <c r="T21" s="64">
        <f>BTU!I22</f>
        <v>0</v>
      </c>
      <c r="U21" s="64">
        <f>BTU!O22</f>
        <v>1.5712222222198307</v>
      </c>
      <c r="V21" s="64">
        <f>BTU!L22</f>
        <v>6.6200000000008004</v>
      </c>
      <c r="W21" s="64">
        <f>BTU!R22</f>
        <v>2.6300000000001091</v>
      </c>
      <c r="X21" s="61">
        <f>ELECT.!B23</f>
        <v>165</v>
      </c>
      <c r="Y21" s="169">
        <f t="shared" si="0"/>
        <v>1435</v>
      </c>
      <c r="Z21" s="170">
        <f>'Mall, Citadel, Rotana'!C23+'Mall, Citadel, Rotana'!E23+'Mall, Citadel, Rotana'!G23+'Mall, Citadel, Rotana'!I23</f>
        <v>1044</v>
      </c>
      <c r="AA21" s="170">
        <f>'Mall, Citadel, Rotana'!K23+'Mall, Citadel, Rotana'!M23</f>
        <v>800</v>
      </c>
      <c r="AB21" s="170">
        <f>'Mall, Citadel, Rotana'!O23</f>
        <v>3</v>
      </c>
      <c r="AC21" s="170">
        <f>'Mall, Citadel, Rotana'!Q23+'Mall, Citadel, Rotana'!S23</f>
        <v>200</v>
      </c>
      <c r="AD21" s="169">
        <f t="shared" si="1"/>
        <v>101.60422460000001</v>
      </c>
      <c r="AE21" s="169">
        <f t="shared" si="2"/>
        <v>669.29277539999998</v>
      </c>
    </row>
    <row r="22" spans="1:31" x14ac:dyDescent="0.2">
      <c r="A22" s="77" t="s">
        <v>59</v>
      </c>
      <c r="B22" s="82">
        <f t="shared" si="3"/>
        <v>21</v>
      </c>
      <c r="C22" s="82">
        <v>5</v>
      </c>
      <c r="D22" s="82">
        <v>2019</v>
      </c>
      <c r="E22" s="63">
        <f>Water!C24</f>
        <v>1040</v>
      </c>
      <c r="F22" s="63">
        <f>Water!E24</f>
        <v>556.20000000000005</v>
      </c>
      <c r="G22" s="63">
        <f>Water!G24</f>
        <v>469.8</v>
      </c>
      <c r="H22" s="63">
        <f>Water!I24</f>
        <v>5.3460000000000001</v>
      </c>
      <c r="I22" s="63">
        <f>ELECT.!F24</f>
        <v>17553</v>
      </c>
      <c r="J22" s="63">
        <f>ELECT.!H24</f>
        <v>74452</v>
      </c>
      <c r="K22" s="63">
        <f>ELECT.!K24</f>
        <v>7963</v>
      </c>
      <c r="L22" s="63">
        <f>ELECT.!M24</f>
        <v>6011</v>
      </c>
      <c r="M22" s="63">
        <f>ELECT.!O24</f>
        <v>11340</v>
      </c>
      <c r="N22" s="63">
        <f>ELECT.!Q24</f>
        <v>18722</v>
      </c>
      <c r="O22" s="63">
        <f>ELECT.!S24</f>
        <v>14143</v>
      </c>
      <c r="P22" s="63">
        <f>ELECT.!W24*2</f>
        <v>33076</v>
      </c>
      <c r="Q22" s="63">
        <f>ELECT.!D24</f>
        <v>0</v>
      </c>
      <c r="R22" s="64">
        <f>BTU!C23</f>
        <v>11.082000000000335</v>
      </c>
      <c r="S22" s="64">
        <f>BTU!F23</f>
        <v>2.7519999999999527</v>
      </c>
      <c r="T22" s="64">
        <f>BTU!I23</f>
        <v>0</v>
      </c>
      <c r="U22" s="64">
        <f>BTU!O23</f>
        <v>1.1920000000000073</v>
      </c>
      <c r="V22" s="64">
        <f>BTU!L23</f>
        <v>1.2999999999992724</v>
      </c>
      <c r="W22" s="64">
        <f>BTU!R23</f>
        <v>3.0000000000200089E-2</v>
      </c>
      <c r="X22" s="61">
        <f>ELECT.!B24</f>
        <v>139</v>
      </c>
      <c r="Y22" s="169">
        <f t="shared" si="0"/>
        <v>750</v>
      </c>
      <c r="Z22" s="170">
        <f>'Mall, Citadel, Rotana'!C24+'Mall, Citadel, Rotana'!E24+'Mall, Citadel, Rotana'!G24+'Mall, Citadel, Rotana'!I24</f>
        <v>1044</v>
      </c>
      <c r="AA22" s="170">
        <f>'Mall, Citadel, Rotana'!K24+'Mall, Citadel, Rotana'!M24</f>
        <v>640</v>
      </c>
      <c r="AB22" s="170">
        <f>'Mall, Citadel, Rotana'!O24</f>
        <v>3</v>
      </c>
      <c r="AC22" s="170">
        <f>'Mall, Citadel, Rotana'!Q24+'Mall, Citadel, Rotana'!S24</f>
        <v>202</v>
      </c>
      <c r="AD22" s="169">
        <f t="shared" si="1"/>
        <v>110.7981972</v>
      </c>
      <c r="AE22" s="169">
        <f t="shared" si="2"/>
        <v>729.85580279999999</v>
      </c>
    </row>
    <row r="23" spans="1:31" x14ac:dyDescent="0.2">
      <c r="A23" s="77" t="s">
        <v>59</v>
      </c>
      <c r="B23" s="82">
        <f t="shared" si="3"/>
        <v>22</v>
      </c>
      <c r="C23" s="82">
        <v>5</v>
      </c>
      <c r="D23" s="82">
        <v>2019</v>
      </c>
      <c r="E23" s="63">
        <f>Water!C25</f>
        <v>1080</v>
      </c>
      <c r="F23" s="63">
        <f>Water!E25</f>
        <v>529.20000000000005</v>
      </c>
      <c r="G23" s="63">
        <f>Water!G25</f>
        <v>540</v>
      </c>
      <c r="H23" s="63">
        <f>Water!I25</f>
        <v>4.617</v>
      </c>
      <c r="I23" s="63">
        <f>ELECT.!F25</f>
        <v>9955</v>
      </c>
      <c r="J23" s="63">
        <f>ELECT.!H25</f>
        <v>37585</v>
      </c>
      <c r="K23" s="63">
        <f>ELECT.!K25</f>
        <v>4087</v>
      </c>
      <c r="L23" s="63">
        <f>ELECT.!M25</f>
        <v>3396</v>
      </c>
      <c r="M23" s="63">
        <f>ELECT.!O25</f>
        <v>6428</v>
      </c>
      <c r="N23" s="63">
        <f>ELECT.!Q25</f>
        <v>9473</v>
      </c>
      <c r="O23" s="63">
        <f>ELECT.!S25</f>
        <v>7003</v>
      </c>
      <c r="P23" s="63">
        <f>ELECT.!W25*2</f>
        <v>16314</v>
      </c>
      <c r="Q23" s="63">
        <f>ELECT.!D25</f>
        <v>1600</v>
      </c>
      <c r="R23" s="64">
        <f>BTU!C24</f>
        <v>10.909999999999854</v>
      </c>
      <c r="S23" s="64">
        <f>BTU!F24</f>
        <v>2.5060000000003129</v>
      </c>
      <c r="T23" s="64">
        <f>BTU!I24</f>
        <v>0</v>
      </c>
      <c r="U23" s="64">
        <f>BTU!O24</f>
        <v>1.1000000000001364</v>
      </c>
      <c r="V23" s="64">
        <f>BTU!L24</f>
        <v>1.3100000000013097</v>
      </c>
      <c r="W23" s="64">
        <f>BTU!R24</f>
        <v>0.86999999999989086</v>
      </c>
      <c r="X23" s="61">
        <f>ELECT.!B25</f>
        <v>132</v>
      </c>
      <c r="Y23" s="169">
        <f t="shared" si="0"/>
        <v>839</v>
      </c>
      <c r="Z23" s="170">
        <f>'Mall, Citadel, Rotana'!C25+'Mall, Citadel, Rotana'!E25+'Mall, Citadel, Rotana'!G25+'Mall, Citadel, Rotana'!I25</f>
        <v>1164</v>
      </c>
      <c r="AA23" s="170">
        <f>'Mall, Citadel, Rotana'!K25+'Mall, Citadel, Rotana'!M25</f>
        <v>640</v>
      </c>
      <c r="AB23" s="170">
        <f>'Mall, Citadel, Rotana'!O25</f>
        <v>3</v>
      </c>
      <c r="AC23" s="170">
        <f>'Mall, Citadel, Rotana'!Q25+'Mall, Citadel, Rotana'!S25</f>
        <v>246</v>
      </c>
      <c r="AD23" s="169">
        <f t="shared" si="1"/>
        <v>116.16627940000001</v>
      </c>
      <c r="AE23" s="169">
        <f t="shared" si="2"/>
        <v>765.21672060000003</v>
      </c>
    </row>
    <row r="24" spans="1:31" x14ac:dyDescent="0.2">
      <c r="A24" s="77" t="s">
        <v>59</v>
      </c>
      <c r="B24" s="82">
        <f t="shared" si="3"/>
        <v>23</v>
      </c>
      <c r="C24" s="82">
        <v>5</v>
      </c>
      <c r="D24" s="82">
        <v>2019</v>
      </c>
      <c r="E24" s="63">
        <f>Water!C26</f>
        <v>970</v>
      </c>
      <c r="F24" s="63">
        <f>Water!E26</f>
        <v>483.3</v>
      </c>
      <c r="G24" s="63">
        <f>Water!G26</f>
        <v>467.1</v>
      </c>
      <c r="H24" s="63">
        <f>Water!I26</f>
        <v>4.3739999999999997</v>
      </c>
      <c r="I24" s="63">
        <f>ELECT.!F26</f>
        <v>23776</v>
      </c>
      <c r="J24" s="63">
        <f>ELECT.!H26</f>
        <v>83890</v>
      </c>
      <c r="K24" s="63">
        <f>ELECT.!K26</f>
        <v>6018</v>
      </c>
      <c r="L24" s="63">
        <f>ELECT.!M26</f>
        <v>10942</v>
      </c>
      <c r="M24" s="63">
        <f>ELECT.!O26</f>
        <v>12608</v>
      </c>
      <c r="N24" s="63">
        <f>ELECT.!Q26</f>
        <v>25232</v>
      </c>
      <c r="O24" s="63">
        <f>ELECT.!S26</f>
        <v>15133</v>
      </c>
      <c r="P24" s="63">
        <f>ELECT.!W26*2</f>
        <v>35976</v>
      </c>
      <c r="Q24" s="63">
        <f>ELECT.!D26</f>
        <v>800</v>
      </c>
      <c r="R24" s="64">
        <f>BTU!C25</f>
        <v>14.119999999998981</v>
      </c>
      <c r="S24" s="64">
        <f>BTU!F25</f>
        <v>3.0289999999999964</v>
      </c>
      <c r="T24" s="64">
        <f>BTU!I25</f>
        <v>3.3999999999991815E-2</v>
      </c>
      <c r="U24" s="64">
        <f>BTU!O25</f>
        <v>1.1430000000000291</v>
      </c>
      <c r="V24" s="64">
        <f>BTU!L25</f>
        <v>1.3899999999994179</v>
      </c>
      <c r="W24" s="64">
        <f>BTU!R25</f>
        <v>0.86000000000012733</v>
      </c>
      <c r="X24" s="61">
        <f>ELECT.!B26</f>
        <v>118</v>
      </c>
      <c r="Y24" s="169">
        <f t="shared" si="0"/>
        <v>1757</v>
      </c>
      <c r="Z24" s="170">
        <f>'Mall, Citadel, Rotana'!C26+'Mall, Citadel, Rotana'!E26+'Mall, Citadel, Rotana'!G26+'Mall, Citadel, Rotana'!I26</f>
        <v>1044</v>
      </c>
      <c r="AA24" s="170">
        <f>'Mall, Citadel, Rotana'!K26+'Mall, Citadel, Rotana'!M26</f>
        <v>640</v>
      </c>
      <c r="AB24" s="170">
        <f>'Mall, Citadel, Rotana'!O26</f>
        <v>3</v>
      </c>
      <c r="AC24" s="170">
        <f>'Mall, Citadel, Rotana'!Q26+'Mall, Citadel, Rotana'!S26</f>
        <v>214</v>
      </c>
      <c r="AD24" s="169">
        <f t="shared" si="1"/>
        <v>101.70030679999999</v>
      </c>
      <c r="AE24" s="169">
        <f t="shared" si="2"/>
        <v>669.92569319999996</v>
      </c>
    </row>
    <row r="25" spans="1:31" x14ac:dyDescent="0.2">
      <c r="A25" s="77" t="s">
        <v>59</v>
      </c>
      <c r="B25" s="82">
        <f t="shared" si="3"/>
        <v>24</v>
      </c>
      <c r="C25" s="82">
        <v>5</v>
      </c>
      <c r="D25" s="82">
        <v>2019</v>
      </c>
      <c r="E25" s="63">
        <f>Water!C27</f>
        <v>1070</v>
      </c>
      <c r="F25" s="63">
        <f>Water!E27</f>
        <v>567</v>
      </c>
      <c r="G25" s="63">
        <f>Water!G27</f>
        <v>491.4</v>
      </c>
      <c r="H25" s="63">
        <f>Water!I27</f>
        <v>4.4550000000000001</v>
      </c>
      <c r="I25" s="63">
        <f>ELECT.!F27</f>
        <v>21936</v>
      </c>
      <c r="J25" s="63">
        <f>ELECT.!H27</f>
        <v>59221</v>
      </c>
      <c r="K25" s="63">
        <f>ELECT.!K27</f>
        <v>5585</v>
      </c>
      <c r="L25" s="63">
        <f>ELECT.!M27</f>
        <v>6963</v>
      </c>
      <c r="M25" s="63">
        <f>ELECT.!O27</f>
        <v>14724</v>
      </c>
      <c r="N25" s="63">
        <f>ELECT.!Q27</f>
        <v>14809</v>
      </c>
      <c r="O25" s="63">
        <f>ELECT.!S27</f>
        <v>10947</v>
      </c>
      <c r="P25" s="63">
        <f>ELECT.!W27*2</f>
        <v>26628</v>
      </c>
      <c r="Q25" s="63">
        <f>ELECT.!D27</f>
        <v>800</v>
      </c>
      <c r="R25" s="64">
        <f>BTU!C26</f>
        <v>14.166000000001077</v>
      </c>
      <c r="S25" s="64">
        <f>BTU!F26</f>
        <v>1.9019999999995889</v>
      </c>
      <c r="T25" s="64">
        <f>BTU!I26</f>
        <v>0</v>
      </c>
      <c r="U25" s="64">
        <f>BTU!O26</f>
        <v>1.8039999999998599</v>
      </c>
      <c r="V25" s="64">
        <f>BTU!L26</f>
        <v>1.3600000000005821</v>
      </c>
      <c r="W25" s="64">
        <f>BTU!R26</f>
        <v>1.4699999999997999</v>
      </c>
      <c r="X25" s="61">
        <f>ELECT.!B27</f>
        <v>137</v>
      </c>
      <c r="Y25" s="169">
        <f t="shared" si="0"/>
        <v>1501</v>
      </c>
      <c r="Z25" s="170">
        <f>'Mall, Citadel, Rotana'!C27+'Mall, Citadel, Rotana'!E27+'Mall, Citadel, Rotana'!G27+'Mall, Citadel, Rotana'!I27</f>
        <v>1145</v>
      </c>
      <c r="AA25" s="170">
        <f>'Mall, Citadel, Rotana'!K27+'Mall, Citadel, Rotana'!M27</f>
        <v>480</v>
      </c>
      <c r="AB25" s="170">
        <f>'Mall, Citadel, Rotana'!O27</f>
        <v>2</v>
      </c>
      <c r="AC25" s="170">
        <f>'Mall, Citadel, Rotana'!Q27+'Mall, Citadel, Rotana'!S27</f>
        <v>171</v>
      </c>
      <c r="AD25" s="169">
        <f t="shared" si="1"/>
        <v>114.86963100000001</v>
      </c>
      <c r="AE25" s="169">
        <f t="shared" si="2"/>
        <v>756.67536900000005</v>
      </c>
    </row>
    <row r="26" spans="1:31" x14ac:dyDescent="0.2">
      <c r="A26" s="77" t="s">
        <v>59</v>
      </c>
      <c r="B26" s="82">
        <f>B25+1</f>
        <v>25</v>
      </c>
      <c r="C26" s="82">
        <v>5</v>
      </c>
      <c r="D26" s="82">
        <v>2019</v>
      </c>
      <c r="E26" s="63">
        <f>Water!C28</f>
        <v>1020</v>
      </c>
      <c r="F26" s="63">
        <f>Water!E28</f>
        <v>534.6</v>
      </c>
      <c r="G26" s="63">
        <f>Water!G28</f>
        <v>440.1</v>
      </c>
      <c r="H26" s="63">
        <f>Water!I28</f>
        <v>5.0490000000000004</v>
      </c>
      <c r="I26" s="63">
        <f>ELECT.!F28</f>
        <v>20082</v>
      </c>
      <c r="J26" s="63">
        <f>ELECT.!H28</f>
        <v>56506</v>
      </c>
      <c r="K26" s="63">
        <f>ELECT.!K28</f>
        <v>5979</v>
      </c>
      <c r="L26" s="63">
        <f>ELECT.!M28</f>
        <v>6796</v>
      </c>
      <c r="M26" s="63">
        <f>ELECT.!O28</f>
        <v>13136</v>
      </c>
      <c r="N26" s="63">
        <f>ELECT.!Q28</f>
        <v>13071</v>
      </c>
      <c r="O26" s="63">
        <f>ELECT.!S28</f>
        <v>10595</v>
      </c>
      <c r="P26" s="63">
        <f>ELECT.!W28*2</f>
        <v>25936</v>
      </c>
      <c r="Q26" s="63">
        <f>ELECT.!D28</f>
        <v>800</v>
      </c>
      <c r="R26" s="64">
        <f>BTU!C27</f>
        <v>12.126000000000204</v>
      </c>
      <c r="S26" s="64">
        <f>BTU!F27</f>
        <v>1.8350000000000364</v>
      </c>
      <c r="T26" s="64">
        <f>BTU!I27</f>
        <v>0</v>
      </c>
      <c r="U26" s="64">
        <f>BTU!O27</f>
        <v>1.4860000000001037</v>
      </c>
      <c r="V26" s="64">
        <f>BTU!L27</f>
        <v>1.25</v>
      </c>
      <c r="W26" s="64">
        <f>BTU!R27</f>
        <v>0.63000000000010914</v>
      </c>
      <c r="X26" s="61">
        <f>ELECT.!B28</f>
        <v>135</v>
      </c>
      <c r="Y26" s="169">
        <f t="shared" si="0"/>
        <v>1075</v>
      </c>
      <c r="Z26" s="170">
        <f>'Mall, Citadel, Rotana'!C28+'Mall, Citadel, Rotana'!E28+'Mall, Citadel, Rotana'!G28+'Mall, Citadel, Rotana'!I28</f>
        <v>1044</v>
      </c>
      <c r="AA26" s="170">
        <f>'Mall, Citadel, Rotana'!K28+'Mall, Citadel, Rotana'!M28</f>
        <v>480</v>
      </c>
      <c r="AB26" s="170">
        <f>'Mall, Citadel, Rotana'!O28</f>
        <v>5</v>
      </c>
      <c r="AC26" s="170">
        <f>'Mall, Citadel, Rotana'!Q28+'Mall, Citadel, Rotana'!S28</f>
        <v>192</v>
      </c>
      <c r="AD26" s="169">
        <f t="shared" si="1"/>
        <v>108.20134180000001</v>
      </c>
      <c r="AE26" s="169">
        <f t="shared" si="2"/>
        <v>712.7496582</v>
      </c>
    </row>
    <row r="27" spans="1:31" x14ac:dyDescent="0.2">
      <c r="A27" s="77" t="s">
        <v>59</v>
      </c>
      <c r="B27" s="82">
        <f t="shared" si="3"/>
        <v>26</v>
      </c>
      <c r="C27" s="82">
        <v>5</v>
      </c>
      <c r="D27" s="82">
        <v>2019</v>
      </c>
      <c r="E27" s="63">
        <f>Water!C29</f>
        <v>1140</v>
      </c>
      <c r="F27" s="63">
        <f>Water!E29</f>
        <v>648</v>
      </c>
      <c r="G27" s="63">
        <f>Water!G29</f>
        <v>469.8</v>
      </c>
      <c r="H27" s="63">
        <f>Water!I29</f>
        <v>4.7789999999999999</v>
      </c>
      <c r="I27" s="63">
        <f>ELECT.!F29</f>
        <v>18443</v>
      </c>
      <c r="J27" s="63">
        <f>ELECT.!H29</f>
        <v>58799</v>
      </c>
      <c r="K27" s="63">
        <f>ELECT.!K29</f>
        <v>6226</v>
      </c>
      <c r="L27" s="63">
        <f>ELECT.!M29</f>
        <v>1620</v>
      </c>
      <c r="M27" s="63">
        <f>ELECT.!O29</f>
        <v>11516</v>
      </c>
      <c r="N27" s="63">
        <f>ELECT.!Q29</f>
        <v>13895</v>
      </c>
      <c r="O27" s="63">
        <f>ELECT.!S29</f>
        <v>11143</v>
      </c>
      <c r="P27" s="63">
        <f>ELECT.!W29*2</f>
        <v>26356</v>
      </c>
      <c r="Q27" s="63">
        <f>ELECT.!D29</f>
        <v>960</v>
      </c>
      <c r="R27" s="64">
        <f>BTU!C28</f>
        <v>11.906999999999243</v>
      </c>
      <c r="S27" s="64">
        <f>BTU!F28</f>
        <v>2.955000000000382</v>
      </c>
      <c r="T27" s="64">
        <f>BTU!I28</f>
        <v>0</v>
      </c>
      <c r="U27" s="64">
        <f>BTU!O28</f>
        <v>1.3679999999999382</v>
      </c>
      <c r="V27" s="64">
        <f>BTU!L28</f>
        <v>1.1599999999998545</v>
      </c>
      <c r="W27" s="64">
        <f>BTU!R28</f>
        <v>2.5799999999999272</v>
      </c>
      <c r="X27" s="61">
        <f>ELECT.!B29</f>
        <v>127</v>
      </c>
      <c r="Y27" s="169">
        <f t="shared" si="0"/>
        <v>6486</v>
      </c>
      <c r="Z27" s="170">
        <f>'Mall, Citadel, Rotana'!C29+'Mall, Citadel, Rotana'!E29+'Mall, Citadel, Rotana'!G29+'Mall, Citadel, Rotana'!I29</f>
        <v>1165</v>
      </c>
      <c r="AA27" s="170">
        <f>'Mall, Citadel, Rotana'!K29+'Mall, Citadel, Rotana'!M29</f>
        <v>800</v>
      </c>
      <c r="AB27" s="170">
        <f>'Mall, Citadel, Rotana'!O29</f>
        <v>3</v>
      </c>
      <c r="AC27" s="170">
        <f>'Mall, Citadel, Rotana'!Q29+'Mall, Citadel, Rotana'!S29</f>
        <v>215</v>
      </c>
      <c r="AD27" s="169">
        <f t="shared" si="1"/>
        <v>124.05292780000001</v>
      </c>
      <c r="AE27" s="169">
        <f t="shared" si="2"/>
        <v>817.16807219999998</v>
      </c>
    </row>
    <row r="28" spans="1:31" x14ac:dyDescent="0.2">
      <c r="A28" s="77" t="s">
        <v>59</v>
      </c>
      <c r="B28" s="82">
        <f t="shared" si="3"/>
        <v>27</v>
      </c>
      <c r="C28" s="82">
        <v>5</v>
      </c>
      <c r="D28" s="82">
        <v>2019</v>
      </c>
      <c r="E28" s="63">
        <f>Water!C30</f>
        <v>1100</v>
      </c>
      <c r="F28" s="63">
        <f>Water!E30</f>
        <v>448.2</v>
      </c>
      <c r="G28" s="63">
        <f>Water!G30</f>
        <v>367.2</v>
      </c>
      <c r="H28" s="63">
        <f>Water!I30</f>
        <v>4.0229999999999997</v>
      </c>
      <c r="I28" s="63">
        <f>ELECT.!F30</f>
        <v>13354</v>
      </c>
      <c r="J28" s="63">
        <f>ELECT.!H30</f>
        <v>56046</v>
      </c>
      <c r="K28" s="63">
        <f>ELECT.!K30</f>
        <v>6068</v>
      </c>
      <c r="L28" s="63">
        <f>ELECT.!M30</f>
        <v>10035</v>
      </c>
      <c r="M28" s="63">
        <f>ELECT.!O30</f>
        <v>8288</v>
      </c>
      <c r="N28" s="63">
        <f>ELECT.!Q30</f>
        <v>13319</v>
      </c>
      <c r="O28" s="63">
        <f>ELECT.!S30</f>
        <v>10933</v>
      </c>
      <c r="P28" s="63">
        <f>ELECT.!W30*2</f>
        <v>24850</v>
      </c>
      <c r="Q28" s="63">
        <f>ELECT.!D30</f>
        <v>960</v>
      </c>
      <c r="R28" s="64">
        <f>BTU!C29</f>
        <v>11.906999999999243</v>
      </c>
      <c r="S28" s="64">
        <f>BTU!F29</f>
        <v>2.9549999999999272</v>
      </c>
      <c r="T28" s="64">
        <f>BTU!I29</f>
        <v>3.0000000000427463E-3</v>
      </c>
      <c r="U28" s="64">
        <f>BTU!O29</f>
        <v>1.4466666666698984</v>
      </c>
      <c r="V28" s="64">
        <f>BTU!L29</f>
        <v>1.1599999999998545</v>
      </c>
      <c r="W28" s="64">
        <f>BTU!R29</f>
        <v>1.2799999999997453</v>
      </c>
      <c r="X28" s="61">
        <f>ELECT.!B30</f>
        <v>124</v>
      </c>
      <c r="Y28" s="169">
        <f t="shared" si="0"/>
        <v>-4093</v>
      </c>
      <c r="Z28" s="170">
        <f>'Mall, Citadel, Rotana'!C30+'Mall, Citadel, Rotana'!E30+'Mall, Citadel, Rotana'!G30+'Mall, Citadel, Rotana'!I30</f>
        <v>1024</v>
      </c>
      <c r="AA28" s="170">
        <f>'Mall, Citadel, Rotana'!K30+'Mall, Citadel, Rotana'!M30</f>
        <v>640</v>
      </c>
      <c r="AB28" s="170">
        <f>'Mall, Citadel, Rotana'!O30</f>
        <v>3</v>
      </c>
      <c r="AC28" s="170">
        <f>'Mall, Citadel, Rotana'!Q30+'Mall, Citadel, Rotana'!S30</f>
        <v>202</v>
      </c>
      <c r="AD28" s="169">
        <f t="shared" si="1"/>
        <v>118.88056860000002</v>
      </c>
      <c r="AE28" s="169">
        <f t="shared" si="2"/>
        <v>783.09643140000003</v>
      </c>
    </row>
    <row r="29" spans="1:31" x14ac:dyDescent="0.2">
      <c r="A29" s="77" t="s">
        <v>59</v>
      </c>
      <c r="B29" s="82">
        <f t="shared" si="3"/>
        <v>28</v>
      </c>
      <c r="C29" s="82">
        <v>5</v>
      </c>
      <c r="D29" s="82">
        <v>2019</v>
      </c>
      <c r="E29" s="63">
        <f>Water!C31</f>
        <v>1130</v>
      </c>
      <c r="F29" s="63">
        <f>Water!E31</f>
        <v>499.5</v>
      </c>
      <c r="G29" s="63">
        <f>Water!G31</f>
        <v>454.95</v>
      </c>
      <c r="H29" s="63">
        <f>Water!I31</f>
        <v>2.9969999999999999</v>
      </c>
      <c r="I29" s="63">
        <f>ELECT.!F31</f>
        <v>14406</v>
      </c>
      <c r="J29" s="63">
        <f>ELECT.!H31</f>
        <v>58878</v>
      </c>
      <c r="K29" s="63">
        <f>ELECT.!K31</f>
        <v>6433</v>
      </c>
      <c r="L29" s="63">
        <f>ELECT.!M31</f>
        <v>5206</v>
      </c>
      <c r="M29" s="63">
        <f>ELECT.!O31</f>
        <v>9012</v>
      </c>
      <c r="N29" s="63">
        <f>ELECT.!Q31</f>
        <v>13953</v>
      </c>
      <c r="O29" s="63">
        <f>ELECT.!S31</f>
        <v>11852</v>
      </c>
      <c r="P29" s="63">
        <f>ELECT.!W31*2</f>
        <v>25524</v>
      </c>
      <c r="Q29" s="63">
        <f>ELECT.!D31</f>
        <v>800</v>
      </c>
      <c r="R29" s="64">
        <f>BTU!C30</f>
        <v>12.462000000001353</v>
      </c>
      <c r="S29" s="64">
        <f>BTU!F30</f>
        <v>2.6039999999998145</v>
      </c>
      <c r="T29" s="64">
        <f>BTU!I30</f>
        <v>0</v>
      </c>
      <c r="U29" s="64">
        <f>BTU!O30</f>
        <v>1.7363333333300943</v>
      </c>
      <c r="V29" s="64">
        <f>BTU!L30</f>
        <v>1.0499999999992724</v>
      </c>
      <c r="W29" s="64">
        <f>BTU!R30</f>
        <v>1.6050000000000182</v>
      </c>
      <c r="X29" s="61">
        <f>ELECT.!B31</f>
        <v>104</v>
      </c>
      <c r="Y29" s="169">
        <f t="shared" si="0"/>
        <v>1304</v>
      </c>
      <c r="Z29" s="170">
        <f>'Mall, Citadel, Rotana'!C31+'Mall, Citadel, Rotana'!E31+'Mall, Citadel, Rotana'!G31+'Mall, Citadel, Rotana'!I31</f>
        <v>1204</v>
      </c>
      <c r="AA29" s="170">
        <f>'Mall, Citadel, Rotana'!K31+'Mall, Citadel, Rotana'!M31</f>
        <v>640</v>
      </c>
      <c r="AB29" s="170">
        <f>'Mall, Citadel, Rotana'!O31</f>
        <v>3</v>
      </c>
      <c r="AC29" s="170">
        <f>'Mall, Citadel, Rotana'!Q31+'Mall, Citadel, Rotana'!S31</f>
        <v>127</v>
      </c>
      <c r="AD29" s="169">
        <f t="shared" si="1"/>
        <v>122.9697954</v>
      </c>
      <c r="AE29" s="169">
        <f t="shared" si="2"/>
        <v>810.03320459999998</v>
      </c>
    </row>
    <row r="30" spans="1:31" x14ac:dyDescent="0.2">
      <c r="A30" s="77" t="s">
        <v>59</v>
      </c>
      <c r="B30" s="82">
        <f t="shared" si="3"/>
        <v>29</v>
      </c>
      <c r="C30" s="82">
        <v>5</v>
      </c>
      <c r="D30" s="82">
        <v>2019</v>
      </c>
      <c r="E30" s="63">
        <f>Water!C32</f>
        <v>700</v>
      </c>
      <c r="F30" s="63">
        <f>Water!E32</f>
        <v>542.70000000000005</v>
      </c>
      <c r="G30" s="63">
        <f>Water!G32</f>
        <v>430.11</v>
      </c>
      <c r="H30" s="63">
        <f>Water!I32</f>
        <v>7.1550000000000002</v>
      </c>
      <c r="I30" s="63">
        <f>ELECT.!F32</f>
        <v>15419</v>
      </c>
      <c r="J30" s="63">
        <f>ELECT.!H32</f>
        <v>116025</v>
      </c>
      <c r="K30" s="63">
        <f>ELECT.!K32</f>
        <v>5852</v>
      </c>
      <c r="L30" s="63">
        <f>ELECT.!M32</f>
        <v>6022</v>
      </c>
      <c r="M30" s="63">
        <f>ELECT.!O32</f>
        <v>9174</v>
      </c>
      <c r="N30" s="63">
        <f>ELECT.!Q32</f>
        <v>13266</v>
      </c>
      <c r="O30" s="63">
        <f>ELECT.!S32</f>
        <v>11289</v>
      </c>
      <c r="P30" s="63">
        <f>ELECT.!W32*2</f>
        <v>25366</v>
      </c>
      <c r="Q30" s="63">
        <f>ELECT.!D32</f>
        <v>1120</v>
      </c>
      <c r="R30" s="64">
        <f>BTU!C31</f>
        <v>13.385999999998603</v>
      </c>
      <c r="S30" s="64">
        <f>BTU!F31</f>
        <v>2.61200000000008</v>
      </c>
      <c r="T30" s="64">
        <f>BTU!I31</f>
        <v>3.1999999999925421E-2</v>
      </c>
      <c r="U30" s="64">
        <f>BTU!O31</f>
        <v>1.8170000000000073</v>
      </c>
      <c r="V30" s="64">
        <f>BTU!L31</f>
        <v>1.0300000000006548</v>
      </c>
      <c r="W30" s="64">
        <f>BTU!R31</f>
        <v>1.6050000000000182</v>
      </c>
      <c r="X30" s="61">
        <f>ELECT.!B32</f>
        <v>84</v>
      </c>
      <c r="Y30" s="169">
        <f t="shared" si="0"/>
        <v>60475</v>
      </c>
      <c r="Z30" s="170">
        <f>'Mall, Citadel, Rotana'!C32+'Mall, Citadel, Rotana'!E32+'Mall, Citadel, Rotana'!G32+'Mall, Citadel, Rotana'!I32</f>
        <v>1165</v>
      </c>
      <c r="AA30" s="170">
        <f>'Mall, Citadel, Rotana'!K32+'Mall, Citadel, Rotana'!M32</f>
        <v>800</v>
      </c>
      <c r="AB30" s="170">
        <f>'Mall, Citadel, Rotana'!O32</f>
        <v>4</v>
      </c>
      <c r="AC30" s="170">
        <f>'Mall, Citadel, Rotana'!Q32+'Mall, Citadel, Rotana'!S32</f>
        <v>41</v>
      </c>
      <c r="AD30" s="169">
        <f t="shared" si="1"/>
        <v>65.747771</v>
      </c>
      <c r="AE30" s="169">
        <f t="shared" si="2"/>
        <v>433.09722899999997</v>
      </c>
    </row>
    <row r="31" spans="1:31" x14ac:dyDescent="0.2">
      <c r="A31" s="77" t="s">
        <v>59</v>
      </c>
      <c r="B31" s="82">
        <f t="shared" si="3"/>
        <v>30</v>
      </c>
      <c r="C31" s="82">
        <v>5</v>
      </c>
      <c r="D31" s="82">
        <v>2019</v>
      </c>
      <c r="E31" s="63">
        <f>Water!C33</f>
        <v>910</v>
      </c>
      <c r="F31" s="63">
        <f>Water!E33</f>
        <v>467.1</v>
      </c>
      <c r="G31" s="63">
        <f>Water!G33</f>
        <v>537.84</v>
      </c>
      <c r="H31" s="63">
        <f>Water!I33</f>
        <v>4.7789999999999999</v>
      </c>
      <c r="I31" s="63">
        <f>ELECT.!F33</f>
        <v>5000</v>
      </c>
      <c r="J31" s="63">
        <f>ELECT.!H33</f>
        <v>17595</v>
      </c>
      <c r="K31" s="63">
        <f>ELECT.!K33</f>
        <v>6000</v>
      </c>
      <c r="L31" s="63">
        <f>ELECT.!M33</f>
        <v>1132</v>
      </c>
      <c r="M31" s="63">
        <f>ELECT.!O33</f>
        <v>6000</v>
      </c>
      <c r="N31" s="63">
        <f>ELECT.!Q33</f>
        <v>3000</v>
      </c>
      <c r="O31" s="63">
        <f>ELECT.!S33</f>
        <v>2488</v>
      </c>
      <c r="P31" s="63">
        <f>ELECT.!W33*2</f>
        <v>6000</v>
      </c>
      <c r="Q31" s="63">
        <f>ELECT.!D33</f>
        <v>160</v>
      </c>
      <c r="R31" s="64">
        <f>BTU!C32</f>
        <v>11.472000000001572</v>
      </c>
      <c r="S31" s="64">
        <f>BTU!F32</f>
        <v>2.9909999999999854</v>
      </c>
      <c r="T31" s="64">
        <f>BTU!I32</f>
        <v>5.7000000000016371E-2</v>
      </c>
      <c r="U31" s="64">
        <f>BTU!O32</f>
        <v>1.4280333333299495</v>
      </c>
      <c r="V31" s="64">
        <f>BTU!L32</f>
        <v>1.0200000000004366</v>
      </c>
      <c r="W31" s="64">
        <f>BTU!R32</f>
        <v>1.8324999999999818</v>
      </c>
      <c r="X31" s="61">
        <f>ELECT.!B33</f>
        <v>89</v>
      </c>
      <c r="Y31" s="169">
        <f t="shared" si="0"/>
        <v>-2025</v>
      </c>
      <c r="Z31" s="170">
        <f>'Mall, Citadel, Rotana'!C33+'Mall, Citadel, Rotana'!E33+'Mall, Citadel, Rotana'!G33+'Mall, Citadel, Rotana'!I33</f>
        <v>320</v>
      </c>
      <c r="AA31" s="170">
        <f>'Mall, Citadel, Rotana'!K33+'Mall, Citadel, Rotana'!M33</f>
        <v>160</v>
      </c>
      <c r="AB31" s="170">
        <f>'Mall, Citadel, Rotana'!O33</f>
        <v>0</v>
      </c>
      <c r="AC31" s="170">
        <f>'Mall, Citadel, Rotana'!Q33+'Mall, Citadel, Rotana'!S33</f>
        <v>0</v>
      </c>
      <c r="AD31" s="169">
        <f t="shared" si="1"/>
        <v>93.738927799999999</v>
      </c>
      <c r="AE31" s="169">
        <f t="shared" si="2"/>
        <v>617.48207219999995</v>
      </c>
    </row>
    <row r="32" spans="1:31" x14ac:dyDescent="0.2">
      <c r="A32" s="77" t="s">
        <v>59</v>
      </c>
      <c r="B32" s="82">
        <f t="shared" si="3"/>
        <v>31</v>
      </c>
      <c r="C32" s="82">
        <v>5</v>
      </c>
      <c r="D32" s="82">
        <v>2019</v>
      </c>
      <c r="E32" s="63">
        <f>Water!C34</f>
        <v>810</v>
      </c>
      <c r="F32" s="63">
        <f>Water!E34</f>
        <v>464.4</v>
      </c>
      <c r="G32" s="63">
        <f>Water!G34</f>
        <v>413.1</v>
      </c>
      <c r="H32" s="63">
        <f>Water!I34</f>
        <v>4.2119999999999997</v>
      </c>
      <c r="I32" s="63">
        <f>ELECT.!F34</f>
        <v>13442</v>
      </c>
      <c r="J32" s="63">
        <f>ELECT.!H34</f>
        <v>18562</v>
      </c>
      <c r="K32" s="63">
        <f>ELECT.!K34</f>
        <v>10794</v>
      </c>
      <c r="L32" s="63">
        <f>ELECT.!M34</f>
        <v>2726</v>
      </c>
      <c r="M32" s="63">
        <f>ELECT.!O34</f>
        <v>8358</v>
      </c>
      <c r="N32" s="63">
        <f>ELECT.!Q34</f>
        <v>20634</v>
      </c>
      <c r="O32" s="63">
        <f>ELECT.!S34</f>
        <v>13863</v>
      </c>
      <c r="P32" s="63">
        <f>ELECT.!W34*2</f>
        <v>31172</v>
      </c>
      <c r="Q32" s="63">
        <f>ELECT.!D34</f>
        <v>160</v>
      </c>
      <c r="R32" s="64">
        <f>BTU!C33</f>
        <v>12.804999999998472</v>
      </c>
      <c r="S32" s="64">
        <f>BTU!F33</f>
        <v>2.1920000000000073</v>
      </c>
      <c r="T32" s="64">
        <f>BTU!I33</f>
        <v>2.0000000000663931E-3</v>
      </c>
      <c r="U32" s="64">
        <f>BTU!O33</f>
        <v>1.705966666670065</v>
      </c>
      <c r="V32" s="64">
        <f>BTU!L33</f>
        <v>0.96999999999934516</v>
      </c>
      <c r="W32" s="64">
        <f>BTU!R33</f>
        <v>0.33750000000009095</v>
      </c>
      <c r="X32" s="61">
        <f>ELECT.!B34</f>
        <v>82</v>
      </c>
      <c r="Y32" s="169">
        <f>I32+J32-(K32+L32+M32+N32+O32+P32)</f>
        <v>-55543</v>
      </c>
      <c r="Z32" s="170">
        <f>'Mall, Citadel, Rotana'!C34+'Mall, Citadel, Rotana'!E34+'Mall, Citadel, Rotana'!G34+'Mall, Citadel, Rotana'!I34</f>
        <v>301</v>
      </c>
      <c r="AA32" s="170">
        <f>'Mall, Citadel, Rotana'!K34+'Mall, Citadel, Rotana'!M34</f>
        <v>160</v>
      </c>
      <c r="AB32" s="170">
        <f>'Mall, Citadel, Rotana'!O34</f>
        <v>3</v>
      </c>
      <c r="AC32" s="170">
        <f>'Mall, Citadel, Rotana'!Q34+'Mall, Citadel, Rotana'!S34</f>
        <v>19</v>
      </c>
      <c r="AD32" s="169">
        <f>(E32-H32-194)*0.1318</f>
        <v>80.633658400000002</v>
      </c>
      <c r="AE32" s="169">
        <f>E32-H32-AD32-194</f>
        <v>531.15434159999995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zoomScale="55" zoomScaleNormal="55" workbookViewId="0">
      <selection activeCell="D38" sqref="D38"/>
    </sheetView>
  </sheetViews>
  <sheetFormatPr defaultRowHeight="12.75" x14ac:dyDescent="0.2"/>
  <cols>
    <col min="1" max="1" width="16.5703125" style="19" bestFit="1" customWidth="1"/>
    <col min="2" max="2" width="10.5703125" style="22" bestFit="1" customWidth="1"/>
    <col min="3" max="3" width="11.42578125" style="23" bestFit="1" customWidth="1"/>
    <col min="4" max="4" width="10.85546875" style="22" bestFit="1" customWidth="1"/>
    <col min="5" max="5" width="11.42578125" style="23" bestFit="1" customWidth="1"/>
    <col min="6" max="6" width="8.7109375" style="22" customWidth="1"/>
    <col min="7" max="7" width="9.7109375" style="23" bestFit="1" customWidth="1"/>
    <col min="8" max="8" width="9.140625" style="22" bestFit="1" customWidth="1"/>
    <col min="9" max="9" width="9.7109375" style="23" bestFit="1" customWidth="1"/>
    <col min="10" max="10" width="9.28515625" style="22" bestFit="1" customWidth="1"/>
    <col min="11" max="11" width="9.7109375" style="23" bestFit="1" customWidth="1"/>
    <col min="12" max="12" width="7" style="22" bestFit="1" customWidth="1"/>
    <col min="13" max="13" width="11.42578125" style="23" bestFit="1" customWidth="1"/>
    <col min="14" max="14" width="11.42578125" style="57" customWidth="1"/>
    <col min="15" max="15" width="11.42578125" style="23" customWidth="1"/>
    <col min="16" max="16" width="9.140625" style="22" bestFit="1" customWidth="1"/>
    <col min="17" max="17" width="9.7109375" style="23" bestFit="1" customWidth="1"/>
    <col min="18" max="18" width="7.5703125" style="22" customWidth="1"/>
    <col min="19" max="19" width="8.42578125" style="23" bestFit="1" customWidth="1"/>
  </cols>
  <sheetData>
    <row r="1" spans="1:24" ht="13.5" thickBot="1" x14ac:dyDescent="0.25">
      <c r="A1" s="171" t="s">
        <v>84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</row>
    <row r="2" spans="1:24" s="16" customFormat="1" ht="15.75" thickBot="1" x14ac:dyDescent="0.25">
      <c r="A2" s="13" t="s">
        <v>0</v>
      </c>
      <c r="B2" s="1" t="s">
        <v>14</v>
      </c>
      <c r="C2" s="14" t="s">
        <v>15</v>
      </c>
      <c r="D2" s="1" t="s">
        <v>16</v>
      </c>
      <c r="E2" s="14" t="s">
        <v>17</v>
      </c>
      <c r="F2" s="1" t="s">
        <v>18</v>
      </c>
      <c r="G2" s="14" t="s">
        <v>17</v>
      </c>
      <c r="H2" s="1" t="s">
        <v>19</v>
      </c>
      <c r="I2" s="14" t="s">
        <v>17</v>
      </c>
      <c r="J2" s="1" t="s">
        <v>20</v>
      </c>
      <c r="K2" s="14" t="s">
        <v>17</v>
      </c>
      <c r="L2" s="1" t="s">
        <v>21</v>
      </c>
      <c r="M2" s="14" t="s">
        <v>17</v>
      </c>
      <c r="N2" s="58" t="s">
        <v>50</v>
      </c>
      <c r="O2" s="14" t="s">
        <v>17</v>
      </c>
      <c r="P2" s="1" t="s">
        <v>22</v>
      </c>
      <c r="Q2" s="14" t="s">
        <v>17</v>
      </c>
      <c r="R2" s="1" t="s">
        <v>23</v>
      </c>
      <c r="S2" s="15" t="s">
        <v>17</v>
      </c>
    </row>
    <row r="3" spans="1:24" ht="13.5" thickBot="1" x14ac:dyDescent="0.25">
      <c r="A3" s="10" t="s">
        <v>24</v>
      </c>
      <c r="B3" s="1">
        <v>41866</v>
      </c>
      <c r="C3" s="17"/>
      <c r="D3" s="1">
        <v>37448</v>
      </c>
      <c r="E3" s="17"/>
      <c r="F3" s="1">
        <v>17666</v>
      </c>
      <c r="G3" s="17"/>
      <c r="H3" s="1">
        <v>214979</v>
      </c>
      <c r="I3" s="17"/>
      <c r="J3" s="1">
        <v>303517</v>
      </c>
      <c r="K3" s="17"/>
      <c r="L3" s="1">
        <v>22153</v>
      </c>
      <c r="M3" s="17"/>
      <c r="N3" s="58">
        <v>168148</v>
      </c>
      <c r="O3" s="17"/>
      <c r="P3" s="1">
        <v>983783</v>
      </c>
      <c r="Q3" s="17"/>
      <c r="R3" s="1">
        <v>55047</v>
      </c>
      <c r="S3" s="17"/>
    </row>
    <row r="4" spans="1:24" ht="13.5" thickBot="1" x14ac:dyDescent="0.25">
      <c r="A4" s="10">
        <v>43586</v>
      </c>
      <c r="B4" s="1">
        <v>41869</v>
      </c>
      <c r="C4" s="17">
        <f t="shared" ref="C4:C13" si="0">(B4-B3)*600/5</f>
        <v>360</v>
      </c>
      <c r="D4" s="1">
        <v>37452</v>
      </c>
      <c r="E4" s="17">
        <f>(D4-D3)*800/5</f>
        <v>640</v>
      </c>
      <c r="F4" s="1">
        <v>17671</v>
      </c>
      <c r="G4" s="17">
        <f>(F4-F3)*100/5</f>
        <v>100</v>
      </c>
      <c r="H4" s="1">
        <v>215008</v>
      </c>
      <c r="I4" s="17">
        <f>H4-H3</f>
        <v>29</v>
      </c>
      <c r="J4" s="1">
        <v>303517</v>
      </c>
      <c r="K4" s="17">
        <f t="shared" ref="K4:K13" si="1">J4-J3</f>
        <v>0</v>
      </c>
      <c r="L4" s="1">
        <v>22156</v>
      </c>
      <c r="M4" s="17">
        <f>(L4-L3)*800/5</f>
        <v>480</v>
      </c>
      <c r="N4" s="58">
        <v>168152</v>
      </c>
      <c r="O4" s="17">
        <f>N4-N3</f>
        <v>4</v>
      </c>
      <c r="P4" s="1">
        <v>983963</v>
      </c>
      <c r="Q4" s="17">
        <f t="shared" ref="Q4:Q31" si="2">P4-P3</f>
        <v>180</v>
      </c>
      <c r="R4" s="1">
        <v>55047</v>
      </c>
      <c r="S4" s="17">
        <f>R4-R3</f>
        <v>0</v>
      </c>
    </row>
    <row r="5" spans="1:24" ht="13.5" thickBot="1" x14ac:dyDescent="0.25">
      <c r="A5" s="10">
        <v>43587</v>
      </c>
      <c r="B5" s="1">
        <v>41872</v>
      </c>
      <c r="C5" s="17">
        <f t="shared" si="0"/>
        <v>360</v>
      </c>
      <c r="D5" s="1">
        <v>37454</v>
      </c>
      <c r="E5" s="17">
        <f t="shared" ref="E5:E33" si="3">(D5-D4)*800/5</f>
        <v>320</v>
      </c>
      <c r="F5" s="1">
        <v>17674</v>
      </c>
      <c r="G5" s="17">
        <f t="shared" ref="G5:G33" si="4">(F5-F4)*100/5</f>
        <v>60</v>
      </c>
      <c r="H5" s="1">
        <v>215033</v>
      </c>
      <c r="I5" s="17">
        <f t="shared" ref="I5:I33" si="5">H5-H4</f>
        <v>25</v>
      </c>
      <c r="J5" s="1">
        <v>303517</v>
      </c>
      <c r="K5" s="17">
        <f t="shared" si="1"/>
        <v>0</v>
      </c>
      <c r="L5" s="1">
        <v>22160</v>
      </c>
      <c r="M5" s="17">
        <f t="shared" ref="M5:M33" si="6">(L5-L4)*800/5</f>
        <v>640</v>
      </c>
      <c r="N5" s="58">
        <v>168154</v>
      </c>
      <c r="O5" s="17">
        <f t="shared" ref="O5:O34" si="7">N5-N4</f>
        <v>2</v>
      </c>
      <c r="P5" s="1">
        <v>984203</v>
      </c>
      <c r="Q5" s="17">
        <f t="shared" si="2"/>
        <v>240</v>
      </c>
      <c r="R5" s="1">
        <v>55047</v>
      </c>
      <c r="S5" s="17">
        <f t="shared" ref="S5:S32" si="8">R5-R4</f>
        <v>0</v>
      </c>
    </row>
    <row r="6" spans="1:24" ht="13.5" thickBot="1" x14ac:dyDescent="0.25">
      <c r="A6" s="10">
        <v>43588</v>
      </c>
      <c r="B6" s="1">
        <v>41874</v>
      </c>
      <c r="C6" s="17">
        <f t="shared" si="0"/>
        <v>240</v>
      </c>
      <c r="D6" s="1">
        <v>37458</v>
      </c>
      <c r="E6" s="17">
        <f t="shared" si="3"/>
        <v>640</v>
      </c>
      <c r="F6" s="1">
        <v>17678</v>
      </c>
      <c r="G6" s="17">
        <f t="shared" si="4"/>
        <v>80</v>
      </c>
      <c r="H6" s="1">
        <v>215050</v>
      </c>
      <c r="I6" s="17">
        <f t="shared" si="5"/>
        <v>17</v>
      </c>
      <c r="J6" s="1">
        <v>303517</v>
      </c>
      <c r="K6" s="17">
        <f t="shared" si="1"/>
        <v>0</v>
      </c>
      <c r="L6" s="1">
        <v>22163</v>
      </c>
      <c r="M6" s="17">
        <f t="shared" si="6"/>
        <v>480</v>
      </c>
      <c r="N6" s="58">
        <v>168157</v>
      </c>
      <c r="O6" s="17">
        <f t="shared" si="7"/>
        <v>3</v>
      </c>
      <c r="P6" s="1">
        <v>984395</v>
      </c>
      <c r="Q6" s="17">
        <f t="shared" si="2"/>
        <v>192</v>
      </c>
      <c r="R6" s="1">
        <v>55047</v>
      </c>
      <c r="S6" s="17">
        <f t="shared" si="8"/>
        <v>0</v>
      </c>
    </row>
    <row r="7" spans="1:24" ht="13.5" thickBot="1" x14ac:dyDescent="0.25">
      <c r="A7" s="10">
        <v>43589</v>
      </c>
      <c r="B7" s="1">
        <v>41876</v>
      </c>
      <c r="C7" s="17">
        <f t="shared" si="0"/>
        <v>240</v>
      </c>
      <c r="D7" s="1">
        <v>37461</v>
      </c>
      <c r="E7" s="17">
        <f t="shared" si="3"/>
        <v>480</v>
      </c>
      <c r="F7" s="1">
        <v>17679</v>
      </c>
      <c r="G7" s="17">
        <f t="shared" si="4"/>
        <v>20</v>
      </c>
      <c r="H7" s="1">
        <v>215052</v>
      </c>
      <c r="I7" s="17">
        <f t="shared" si="5"/>
        <v>2</v>
      </c>
      <c r="J7" s="1">
        <v>303517</v>
      </c>
      <c r="K7" s="17">
        <f t="shared" si="1"/>
        <v>0</v>
      </c>
      <c r="L7" s="1">
        <v>22165</v>
      </c>
      <c r="M7" s="17">
        <f t="shared" si="6"/>
        <v>320</v>
      </c>
      <c r="N7" s="58">
        <v>168158</v>
      </c>
      <c r="O7" s="17">
        <f t="shared" si="7"/>
        <v>1</v>
      </c>
      <c r="P7" s="1">
        <v>984643</v>
      </c>
      <c r="Q7" s="17">
        <f t="shared" si="2"/>
        <v>248</v>
      </c>
      <c r="R7" s="1">
        <v>55047</v>
      </c>
      <c r="S7" s="17">
        <f t="shared" si="8"/>
        <v>0</v>
      </c>
    </row>
    <row r="8" spans="1:24" ht="13.5" thickBot="1" x14ac:dyDescent="0.25">
      <c r="A8" s="10">
        <v>43590</v>
      </c>
      <c r="B8" s="1">
        <v>41878</v>
      </c>
      <c r="C8" s="17">
        <f t="shared" si="0"/>
        <v>240</v>
      </c>
      <c r="D8" s="1">
        <v>37463</v>
      </c>
      <c r="E8" s="17">
        <f t="shared" si="3"/>
        <v>320</v>
      </c>
      <c r="F8" s="1">
        <v>17682</v>
      </c>
      <c r="G8" s="17">
        <f t="shared" si="4"/>
        <v>60</v>
      </c>
      <c r="H8" s="1">
        <v>215054</v>
      </c>
      <c r="I8" s="17">
        <f t="shared" si="5"/>
        <v>2</v>
      </c>
      <c r="J8" s="1">
        <v>303517</v>
      </c>
      <c r="K8" s="17">
        <f t="shared" si="1"/>
        <v>0</v>
      </c>
      <c r="L8" s="1">
        <v>22167</v>
      </c>
      <c r="M8" s="17">
        <f t="shared" si="6"/>
        <v>320</v>
      </c>
      <c r="N8" s="58">
        <v>168159</v>
      </c>
      <c r="O8" s="17">
        <f t="shared" si="7"/>
        <v>1</v>
      </c>
      <c r="P8" s="1">
        <v>984821</v>
      </c>
      <c r="Q8" s="17">
        <f t="shared" si="2"/>
        <v>178</v>
      </c>
      <c r="R8" s="1">
        <v>55047</v>
      </c>
      <c r="S8" s="17">
        <f t="shared" si="8"/>
        <v>0</v>
      </c>
    </row>
    <row r="9" spans="1:24" ht="13.5" thickBot="1" x14ac:dyDescent="0.25">
      <c r="A9" s="10">
        <v>43591</v>
      </c>
      <c r="B9" s="1">
        <v>41879</v>
      </c>
      <c r="C9" s="17">
        <f t="shared" si="0"/>
        <v>120</v>
      </c>
      <c r="D9" s="1">
        <v>37466</v>
      </c>
      <c r="E9" s="17">
        <f t="shared" si="3"/>
        <v>480</v>
      </c>
      <c r="F9" s="1">
        <v>17684</v>
      </c>
      <c r="G9" s="17">
        <f t="shared" si="4"/>
        <v>40</v>
      </c>
      <c r="H9" s="1">
        <v>215057</v>
      </c>
      <c r="I9" s="17">
        <f t="shared" si="5"/>
        <v>3</v>
      </c>
      <c r="J9" s="1">
        <v>303517</v>
      </c>
      <c r="K9" s="17">
        <f t="shared" si="1"/>
        <v>0</v>
      </c>
      <c r="L9" s="1">
        <v>22169</v>
      </c>
      <c r="M9" s="17">
        <f t="shared" si="6"/>
        <v>320</v>
      </c>
      <c r="N9" s="58">
        <v>168162</v>
      </c>
      <c r="O9" s="17">
        <f t="shared" si="7"/>
        <v>3</v>
      </c>
      <c r="P9" s="1">
        <v>984964</v>
      </c>
      <c r="Q9" s="17">
        <f t="shared" si="2"/>
        <v>143</v>
      </c>
      <c r="R9" s="1">
        <v>55047</v>
      </c>
      <c r="S9" s="17">
        <f t="shared" si="8"/>
        <v>0</v>
      </c>
    </row>
    <row r="10" spans="1:24" ht="13.5" thickBot="1" x14ac:dyDescent="0.25">
      <c r="A10" s="10">
        <v>43592</v>
      </c>
      <c r="B10" s="1">
        <v>41894</v>
      </c>
      <c r="C10" s="17">
        <f t="shared" si="0"/>
        <v>1800</v>
      </c>
      <c r="D10" s="1">
        <v>37470</v>
      </c>
      <c r="E10" s="17">
        <f t="shared" si="3"/>
        <v>640</v>
      </c>
      <c r="F10" s="1">
        <v>17694</v>
      </c>
      <c r="G10" s="17">
        <f t="shared" si="4"/>
        <v>200</v>
      </c>
      <c r="H10" s="1">
        <v>215115</v>
      </c>
      <c r="I10" s="17">
        <f t="shared" si="5"/>
        <v>58</v>
      </c>
      <c r="J10" s="1">
        <v>303517</v>
      </c>
      <c r="K10" s="17">
        <f t="shared" si="1"/>
        <v>0</v>
      </c>
      <c r="L10" s="1">
        <v>22172</v>
      </c>
      <c r="M10" s="17">
        <f t="shared" si="6"/>
        <v>480</v>
      </c>
      <c r="N10" s="58">
        <v>168165</v>
      </c>
      <c r="O10" s="17">
        <f t="shared" si="7"/>
        <v>3</v>
      </c>
      <c r="P10" s="1">
        <v>985184</v>
      </c>
      <c r="Q10" s="17">
        <f>P10-P9</f>
        <v>220</v>
      </c>
      <c r="R10" s="1">
        <v>55047</v>
      </c>
      <c r="S10" s="17">
        <f>R10-R9</f>
        <v>0</v>
      </c>
    </row>
    <row r="11" spans="1:24" ht="13.5" thickBot="1" x14ac:dyDescent="0.25">
      <c r="A11" s="10">
        <v>43593</v>
      </c>
      <c r="B11" s="1">
        <v>41898</v>
      </c>
      <c r="C11" s="17">
        <f t="shared" si="0"/>
        <v>480</v>
      </c>
      <c r="D11" s="1">
        <v>37473</v>
      </c>
      <c r="E11" s="17">
        <f t="shared" si="3"/>
        <v>480</v>
      </c>
      <c r="F11" s="1">
        <v>17697</v>
      </c>
      <c r="G11" s="17">
        <f t="shared" si="4"/>
        <v>60</v>
      </c>
      <c r="H11" s="1">
        <v>215196</v>
      </c>
      <c r="I11" s="17">
        <f t="shared" si="5"/>
        <v>81</v>
      </c>
      <c r="J11" s="1">
        <v>303517</v>
      </c>
      <c r="K11" s="17">
        <f t="shared" si="1"/>
        <v>0</v>
      </c>
      <c r="L11" s="1">
        <v>22184</v>
      </c>
      <c r="M11" s="17">
        <f t="shared" si="6"/>
        <v>1920</v>
      </c>
      <c r="N11" s="58">
        <v>168175</v>
      </c>
      <c r="O11" s="17">
        <f t="shared" si="7"/>
        <v>10</v>
      </c>
      <c r="P11" s="1">
        <v>985521</v>
      </c>
      <c r="Q11" s="17">
        <f>P11-P10</f>
        <v>337</v>
      </c>
      <c r="R11" s="1">
        <v>55047</v>
      </c>
      <c r="S11" s="17">
        <f>R11-R10</f>
        <v>0</v>
      </c>
    </row>
    <row r="12" spans="1:24" ht="13.5" thickBot="1" x14ac:dyDescent="0.25">
      <c r="A12" s="10">
        <v>43594</v>
      </c>
      <c r="B12" s="1">
        <v>41903</v>
      </c>
      <c r="C12" s="17">
        <f t="shared" si="0"/>
        <v>600</v>
      </c>
      <c r="D12" s="1">
        <v>37476</v>
      </c>
      <c r="E12" s="17">
        <f t="shared" si="3"/>
        <v>480</v>
      </c>
      <c r="F12" s="1">
        <v>17702</v>
      </c>
      <c r="G12" s="17">
        <f>(F12-F11)*100/5</f>
        <v>100</v>
      </c>
      <c r="H12" s="1">
        <v>215199</v>
      </c>
      <c r="I12" s="17">
        <f t="shared" si="5"/>
        <v>3</v>
      </c>
      <c r="J12" s="1">
        <v>303517</v>
      </c>
      <c r="K12" s="17">
        <f t="shared" si="1"/>
        <v>0</v>
      </c>
      <c r="L12" s="1">
        <v>22188</v>
      </c>
      <c r="M12" s="17">
        <f t="shared" si="6"/>
        <v>640</v>
      </c>
      <c r="N12" s="58">
        <v>168178</v>
      </c>
      <c r="O12" s="17">
        <f t="shared" si="7"/>
        <v>3</v>
      </c>
      <c r="P12" s="1">
        <v>985694</v>
      </c>
      <c r="Q12" s="17">
        <f t="shared" si="2"/>
        <v>173</v>
      </c>
      <c r="R12" s="1">
        <v>55047</v>
      </c>
      <c r="S12" s="17">
        <f t="shared" si="8"/>
        <v>0</v>
      </c>
    </row>
    <row r="13" spans="1:24" ht="13.5" thickBot="1" x14ac:dyDescent="0.25">
      <c r="A13" s="10">
        <v>43595</v>
      </c>
      <c r="B13" s="1">
        <v>41907</v>
      </c>
      <c r="C13" s="17">
        <f t="shared" si="0"/>
        <v>480</v>
      </c>
      <c r="D13" s="1">
        <v>37479</v>
      </c>
      <c r="E13" s="17">
        <f t="shared" si="3"/>
        <v>480</v>
      </c>
      <c r="F13" s="1">
        <v>17706</v>
      </c>
      <c r="G13" s="17">
        <f t="shared" si="4"/>
        <v>80</v>
      </c>
      <c r="H13" s="1">
        <v>215201</v>
      </c>
      <c r="I13" s="17">
        <f t="shared" si="5"/>
        <v>2</v>
      </c>
      <c r="J13" s="1">
        <v>303517</v>
      </c>
      <c r="K13" s="17">
        <f t="shared" si="1"/>
        <v>0</v>
      </c>
      <c r="L13" s="1">
        <v>22191</v>
      </c>
      <c r="M13" s="17">
        <f t="shared" si="6"/>
        <v>480</v>
      </c>
      <c r="N13" s="58">
        <v>168181</v>
      </c>
      <c r="O13" s="17">
        <f t="shared" si="7"/>
        <v>3</v>
      </c>
      <c r="P13" s="1">
        <v>985838</v>
      </c>
      <c r="Q13" s="17">
        <f t="shared" si="2"/>
        <v>144</v>
      </c>
      <c r="R13" s="1">
        <v>55047</v>
      </c>
      <c r="S13" s="17">
        <f t="shared" si="8"/>
        <v>0</v>
      </c>
    </row>
    <row r="14" spans="1:24" ht="13.5" thickBot="1" x14ac:dyDescent="0.25">
      <c r="A14" s="10">
        <v>43596</v>
      </c>
      <c r="B14" s="1">
        <v>41911</v>
      </c>
      <c r="C14" s="17">
        <f t="shared" ref="C14:C33" si="9">(B14-B13)*600/5</f>
        <v>480</v>
      </c>
      <c r="D14" s="1">
        <v>37482</v>
      </c>
      <c r="E14" s="17">
        <f t="shared" si="3"/>
        <v>480</v>
      </c>
      <c r="F14" s="1">
        <v>17709</v>
      </c>
      <c r="G14" s="17">
        <f t="shared" si="4"/>
        <v>60</v>
      </c>
      <c r="H14" s="1">
        <v>215206</v>
      </c>
      <c r="I14" s="17">
        <f t="shared" si="5"/>
        <v>5</v>
      </c>
      <c r="J14" s="1">
        <v>303517</v>
      </c>
      <c r="K14" s="17">
        <f t="shared" ref="K14:K33" si="10">J14-J13</f>
        <v>0</v>
      </c>
      <c r="L14" s="1">
        <v>22194</v>
      </c>
      <c r="M14" s="17">
        <f t="shared" si="6"/>
        <v>480</v>
      </c>
      <c r="N14" s="58">
        <v>168184</v>
      </c>
      <c r="O14" s="17">
        <f t="shared" si="7"/>
        <v>3</v>
      </c>
      <c r="P14" s="1">
        <v>985985</v>
      </c>
      <c r="Q14" s="17">
        <f t="shared" si="2"/>
        <v>147</v>
      </c>
      <c r="R14" s="1">
        <v>55047</v>
      </c>
      <c r="S14" s="17">
        <f t="shared" si="8"/>
        <v>0</v>
      </c>
    </row>
    <row r="15" spans="1:24" ht="13.5" thickBot="1" x14ac:dyDescent="0.25">
      <c r="A15" s="10">
        <v>43597</v>
      </c>
      <c r="B15" s="1">
        <v>41915</v>
      </c>
      <c r="C15" s="17">
        <f t="shared" si="9"/>
        <v>480</v>
      </c>
      <c r="D15" s="1">
        <v>37484</v>
      </c>
      <c r="E15" s="17">
        <f t="shared" si="3"/>
        <v>320</v>
      </c>
      <c r="F15" s="1">
        <v>17712</v>
      </c>
      <c r="G15" s="17">
        <f t="shared" si="4"/>
        <v>60</v>
      </c>
      <c r="H15" s="1">
        <v>215208</v>
      </c>
      <c r="I15" s="17">
        <f t="shared" si="5"/>
        <v>2</v>
      </c>
      <c r="J15" s="1">
        <v>303517</v>
      </c>
      <c r="K15" s="17">
        <f t="shared" si="10"/>
        <v>0</v>
      </c>
      <c r="L15" s="1">
        <v>22199</v>
      </c>
      <c r="M15" s="17">
        <f t="shared" si="6"/>
        <v>800</v>
      </c>
      <c r="N15" s="58">
        <v>168187</v>
      </c>
      <c r="O15" s="17">
        <f t="shared" si="7"/>
        <v>3</v>
      </c>
      <c r="P15" s="1">
        <v>986177</v>
      </c>
      <c r="Q15" s="17">
        <f t="shared" si="2"/>
        <v>192</v>
      </c>
      <c r="R15" s="1">
        <v>55047</v>
      </c>
      <c r="S15" s="17">
        <f t="shared" si="8"/>
        <v>0</v>
      </c>
    </row>
    <row r="16" spans="1:24" ht="13.5" thickBot="1" x14ac:dyDescent="0.25">
      <c r="A16" s="10">
        <v>43598</v>
      </c>
      <c r="B16" s="1">
        <v>41919</v>
      </c>
      <c r="C16" s="17">
        <f t="shared" si="9"/>
        <v>480</v>
      </c>
      <c r="D16" s="1">
        <v>37487</v>
      </c>
      <c r="E16" s="17">
        <f t="shared" si="3"/>
        <v>480</v>
      </c>
      <c r="F16" s="1">
        <v>17716</v>
      </c>
      <c r="G16" s="17">
        <f t="shared" si="4"/>
        <v>80</v>
      </c>
      <c r="H16" s="1">
        <v>215210</v>
      </c>
      <c r="I16" s="17">
        <f t="shared" si="5"/>
        <v>2</v>
      </c>
      <c r="J16" s="1">
        <v>303517</v>
      </c>
      <c r="K16" s="17">
        <f t="shared" si="10"/>
        <v>0</v>
      </c>
      <c r="L16" s="1">
        <v>22203</v>
      </c>
      <c r="M16" s="17">
        <f t="shared" si="6"/>
        <v>640</v>
      </c>
      <c r="N16" s="58">
        <v>168190</v>
      </c>
      <c r="O16" s="17">
        <f t="shared" si="7"/>
        <v>3</v>
      </c>
      <c r="P16" s="1">
        <v>986436</v>
      </c>
      <c r="Q16" s="17">
        <f t="shared" si="2"/>
        <v>259</v>
      </c>
      <c r="R16" s="1">
        <v>55047</v>
      </c>
      <c r="S16" s="17">
        <f t="shared" si="8"/>
        <v>0</v>
      </c>
      <c r="X16" t="s">
        <v>13</v>
      </c>
    </row>
    <row r="17" spans="1:23" ht="13.5" thickBot="1" x14ac:dyDescent="0.25">
      <c r="A17" s="10">
        <v>43599</v>
      </c>
      <c r="B17" s="1">
        <v>41923</v>
      </c>
      <c r="C17" s="17">
        <f t="shared" si="9"/>
        <v>480</v>
      </c>
      <c r="D17" s="1">
        <v>37490</v>
      </c>
      <c r="E17" s="17">
        <f t="shared" si="3"/>
        <v>480</v>
      </c>
      <c r="F17" s="1">
        <v>17720</v>
      </c>
      <c r="G17" s="17">
        <f t="shared" si="4"/>
        <v>80</v>
      </c>
      <c r="H17" s="1">
        <v>215217</v>
      </c>
      <c r="I17" s="17">
        <f t="shared" si="5"/>
        <v>7</v>
      </c>
      <c r="J17" s="1">
        <v>303517</v>
      </c>
      <c r="K17" s="17">
        <f t="shared" si="10"/>
        <v>0</v>
      </c>
      <c r="L17" s="1">
        <v>22207</v>
      </c>
      <c r="M17" s="17">
        <f t="shared" si="6"/>
        <v>640</v>
      </c>
      <c r="N17" s="58">
        <v>168193</v>
      </c>
      <c r="O17" s="17">
        <f t="shared" si="7"/>
        <v>3</v>
      </c>
      <c r="P17" s="1">
        <v>986638</v>
      </c>
      <c r="Q17" s="17">
        <f t="shared" si="2"/>
        <v>202</v>
      </c>
      <c r="R17" s="1">
        <v>55047</v>
      </c>
      <c r="S17" s="17">
        <f t="shared" si="8"/>
        <v>0</v>
      </c>
      <c r="W17" t="s">
        <v>13</v>
      </c>
    </row>
    <row r="18" spans="1:23" ht="13.5" thickBot="1" x14ac:dyDescent="0.25">
      <c r="A18" s="10">
        <v>43600</v>
      </c>
      <c r="B18" s="1">
        <v>41927</v>
      </c>
      <c r="C18" s="17">
        <f t="shared" si="9"/>
        <v>480</v>
      </c>
      <c r="D18" s="1">
        <v>37493</v>
      </c>
      <c r="E18" s="17">
        <f t="shared" si="3"/>
        <v>480</v>
      </c>
      <c r="F18" s="1">
        <v>17723</v>
      </c>
      <c r="G18" s="17">
        <f t="shared" si="4"/>
        <v>60</v>
      </c>
      <c r="H18" s="1">
        <v>215219</v>
      </c>
      <c r="I18" s="17">
        <f t="shared" si="5"/>
        <v>2</v>
      </c>
      <c r="J18" s="1">
        <v>303517</v>
      </c>
      <c r="K18" s="17">
        <f t="shared" si="10"/>
        <v>0</v>
      </c>
      <c r="L18" s="1">
        <v>22211</v>
      </c>
      <c r="M18" s="17">
        <f t="shared" si="6"/>
        <v>640</v>
      </c>
      <c r="N18" s="58">
        <v>168195</v>
      </c>
      <c r="O18" s="17">
        <f t="shared" si="7"/>
        <v>2</v>
      </c>
      <c r="P18" s="1">
        <v>986868</v>
      </c>
      <c r="Q18" s="17">
        <f t="shared" si="2"/>
        <v>230</v>
      </c>
      <c r="R18" s="1">
        <v>55047</v>
      </c>
      <c r="S18" s="17">
        <f t="shared" si="8"/>
        <v>0</v>
      </c>
    </row>
    <row r="19" spans="1:23" ht="13.5" thickBot="1" x14ac:dyDescent="0.25">
      <c r="A19" s="10">
        <v>43601</v>
      </c>
      <c r="B19" s="1">
        <v>41932</v>
      </c>
      <c r="C19" s="17">
        <f t="shared" si="9"/>
        <v>600</v>
      </c>
      <c r="D19" s="1">
        <v>37496</v>
      </c>
      <c r="E19" s="17">
        <f t="shared" si="3"/>
        <v>480</v>
      </c>
      <c r="F19" s="1">
        <v>17727</v>
      </c>
      <c r="G19" s="17">
        <f t="shared" si="4"/>
        <v>80</v>
      </c>
      <c r="H19" s="1">
        <v>215222</v>
      </c>
      <c r="I19" s="17">
        <f t="shared" si="5"/>
        <v>3</v>
      </c>
      <c r="J19" s="1">
        <v>303517</v>
      </c>
      <c r="K19" s="17">
        <f t="shared" si="10"/>
        <v>0</v>
      </c>
      <c r="L19" s="1">
        <v>22215</v>
      </c>
      <c r="M19" s="17">
        <f t="shared" si="6"/>
        <v>640</v>
      </c>
      <c r="N19" s="58">
        <v>168198</v>
      </c>
      <c r="O19" s="17">
        <f t="shared" si="7"/>
        <v>3</v>
      </c>
      <c r="P19" s="1">
        <v>987080</v>
      </c>
      <c r="Q19" s="17">
        <f t="shared" si="2"/>
        <v>212</v>
      </c>
      <c r="R19" s="1">
        <v>55047</v>
      </c>
      <c r="S19" s="17">
        <f t="shared" si="8"/>
        <v>0</v>
      </c>
      <c r="U19" t="s">
        <v>13</v>
      </c>
    </row>
    <row r="20" spans="1:23" ht="13.5" thickBot="1" x14ac:dyDescent="0.25">
      <c r="A20" s="10">
        <v>43602</v>
      </c>
      <c r="B20" s="1">
        <v>41936</v>
      </c>
      <c r="C20" s="17">
        <f t="shared" si="9"/>
        <v>480</v>
      </c>
      <c r="D20" s="1">
        <v>37499</v>
      </c>
      <c r="E20" s="17">
        <f t="shared" si="3"/>
        <v>480</v>
      </c>
      <c r="F20" s="1">
        <v>17731</v>
      </c>
      <c r="G20" s="17">
        <f t="shared" si="4"/>
        <v>80</v>
      </c>
      <c r="H20" s="1">
        <v>215226</v>
      </c>
      <c r="I20" s="17">
        <f t="shared" si="5"/>
        <v>4</v>
      </c>
      <c r="J20" s="1">
        <v>303517</v>
      </c>
      <c r="K20" s="17">
        <f t="shared" si="10"/>
        <v>0</v>
      </c>
      <c r="L20" s="1">
        <v>22219</v>
      </c>
      <c r="M20" s="17">
        <f t="shared" si="6"/>
        <v>640</v>
      </c>
      <c r="N20" s="58">
        <v>168202</v>
      </c>
      <c r="O20" s="17">
        <f t="shared" si="7"/>
        <v>4</v>
      </c>
      <c r="P20" s="1">
        <v>987248</v>
      </c>
      <c r="Q20" s="17">
        <f t="shared" si="2"/>
        <v>168</v>
      </c>
      <c r="R20" s="1">
        <v>55047</v>
      </c>
      <c r="S20" s="17">
        <f t="shared" si="8"/>
        <v>0</v>
      </c>
      <c r="T20" t="s">
        <v>26</v>
      </c>
      <c r="W20" t="s">
        <v>13</v>
      </c>
    </row>
    <row r="21" spans="1:23" ht="13.5" thickBot="1" x14ac:dyDescent="0.25">
      <c r="A21" s="10">
        <v>43603</v>
      </c>
      <c r="B21" s="1">
        <v>41940</v>
      </c>
      <c r="C21" s="17">
        <f t="shared" si="9"/>
        <v>480</v>
      </c>
      <c r="D21" s="1">
        <v>37502</v>
      </c>
      <c r="E21" s="17">
        <f t="shared" si="3"/>
        <v>480</v>
      </c>
      <c r="F21" s="1">
        <v>17734</v>
      </c>
      <c r="G21" s="17">
        <f t="shared" si="4"/>
        <v>60</v>
      </c>
      <c r="H21" s="1">
        <v>215231</v>
      </c>
      <c r="I21" s="17">
        <f t="shared" si="5"/>
        <v>5</v>
      </c>
      <c r="J21" s="1">
        <v>303517</v>
      </c>
      <c r="K21" s="17">
        <f t="shared" si="10"/>
        <v>0</v>
      </c>
      <c r="L21" s="1">
        <v>22222</v>
      </c>
      <c r="M21" s="17">
        <f t="shared" si="6"/>
        <v>480</v>
      </c>
      <c r="N21" s="58">
        <v>168205</v>
      </c>
      <c r="O21" s="17">
        <f t="shared" si="7"/>
        <v>3</v>
      </c>
      <c r="P21" s="1">
        <v>987405</v>
      </c>
      <c r="Q21" s="17">
        <f t="shared" si="2"/>
        <v>157</v>
      </c>
      <c r="R21" s="1">
        <v>55047</v>
      </c>
      <c r="S21" s="17">
        <f t="shared" si="8"/>
        <v>0</v>
      </c>
    </row>
    <row r="22" spans="1:23" ht="13.5" thickBot="1" x14ac:dyDescent="0.25">
      <c r="A22" s="10">
        <v>43604</v>
      </c>
      <c r="B22" s="1">
        <v>41945</v>
      </c>
      <c r="C22" s="17">
        <f t="shared" si="9"/>
        <v>600</v>
      </c>
      <c r="D22" s="1">
        <v>37506</v>
      </c>
      <c r="E22" s="17">
        <f t="shared" si="3"/>
        <v>640</v>
      </c>
      <c r="F22" s="1">
        <v>17737</v>
      </c>
      <c r="G22" s="17">
        <f t="shared" si="4"/>
        <v>60</v>
      </c>
      <c r="H22" s="1">
        <v>215235</v>
      </c>
      <c r="I22" s="17">
        <f t="shared" si="5"/>
        <v>4</v>
      </c>
      <c r="J22" s="1">
        <v>303517</v>
      </c>
      <c r="K22" s="17">
        <f t="shared" si="10"/>
        <v>0</v>
      </c>
      <c r="L22" s="1">
        <v>22227</v>
      </c>
      <c r="M22" s="17">
        <f t="shared" si="6"/>
        <v>800</v>
      </c>
      <c r="N22" s="58">
        <v>168208</v>
      </c>
      <c r="O22" s="17">
        <f t="shared" si="7"/>
        <v>3</v>
      </c>
      <c r="P22" s="1">
        <v>987588</v>
      </c>
      <c r="Q22" s="17">
        <f t="shared" si="2"/>
        <v>183</v>
      </c>
      <c r="R22" s="1">
        <v>55047</v>
      </c>
      <c r="S22" s="17">
        <f t="shared" si="8"/>
        <v>0</v>
      </c>
    </row>
    <row r="23" spans="1:23" ht="13.5" thickBot="1" x14ac:dyDescent="0.25">
      <c r="A23" s="10">
        <v>43605</v>
      </c>
      <c r="B23" s="1">
        <v>41949</v>
      </c>
      <c r="C23" s="17">
        <f t="shared" si="9"/>
        <v>480</v>
      </c>
      <c r="D23" s="1">
        <v>37509</v>
      </c>
      <c r="E23" s="17">
        <f t="shared" si="3"/>
        <v>480</v>
      </c>
      <c r="F23" s="1">
        <v>17741</v>
      </c>
      <c r="G23" s="17">
        <f t="shared" si="4"/>
        <v>80</v>
      </c>
      <c r="H23" s="1">
        <v>215239</v>
      </c>
      <c r="I23" s="17">
        <f t="shared" si="5"/>
        <v>4</v>
      </c>
      <c r="J23" s="1">
        <v>303517</v>
      </c>
      <c r="K23" s="17">
        <f t="shared" si="10"/>
        <v>0</v>
      </c>
      <c r="L23" s="1">
        <v>22232</v>
      </c>
      <c r="M23" s="17">
        <f t="shared" si="6"/>
        <v>800</v>
      </c>
      <c r="N23" s="58">
        <v>168211</v>
      </c>
      <c r="O23" s="17">
        <f t="shared" si="7"/>
        <v>3</v>
      </c>
      <c r="P23" s="1">
        <v>987788</v>
      </c>
      <c r="Q23" s="17">
        <f t="shared" si="2"/>
        <v>200</v>
      </c>
      <c r="R23" s="1">
        <v>55047</v>
      </c>
      <c r="S23" s="17">
        <f t="shared" si="8"/>
        <v>0</v>
      </c>
    </row>
    <row r="24" spans="1:23" ht="13.5" thickBot="1" x14ac:dyDescent="0.25">
      <c r="A24" s="10">
        <v>43606</v>
      </c>
      <c r="B24" s="1">
        <v>41953</v>
      </c>
      <c r="C24" s="17">
        <f t="shared" si="9"/>
        <v>480</v>
      </c>
      <c r="D24" s="1">
        <v>37512</v>
      </c>
      <c r="E24" s="17">
        <f t="shared" si="3"/>
        <v>480</v>
      </c>
      <c r="F24" s="1">
        <v>17745</v>
      </c>
      <c r="G24" s="17">
        <f t="shared" si="4"/>
        <v>80</v>
      </c>
      <c r="H24" s="1">
        <v>215243</v>
      </c>
      <c r="I24" s="17">
        <f t="shared" si="5"/>
        <v>4</v>
      </c>
      <c r="J24" s="1">
        <v>303517</v>
      </c>
      <c r="K24" s="17">
        <f t="shared" si="10"/>
        <v>0</v>
      </c>
      <c r="L24" s="1">
        <v>22236</v>
      </c>
      <c r="M24" s="17">
        <f t="shared" si="6"/>
        <v>640</v>
      </c>
      <c r="N24" s="58">
        <v>168214</v>
      </c>
      <c r="O24" s="17">
        <f t="shared" si="7"/>
        <v>3</v>
      </c>
      <c r="P24" s="1">
        <v>987990</v>
      </c>
      <c r="Q24" s="17">
        <f t="shared" si="2"/>
        <v>202</v>
      </c>
      <c r="R24" s="1">
        <v>55047</v>
      </c>
      <c r="S24" s="17">
        <f t="shared" si="8"/>
        <v>0</v>
      </c>
    </row>
    <row r="25" spans="1:23" ht="13.5" thickBot="1" x14ac:dyDescent="0.25">
      <c r="A25" s="10">
        <v>43607</v>
      </c>
      <c r="B25" s="1">
        <v>41958</v>
      </c>
      <c r="C25" s="17">
        <f t="shared" si="9"/>
        <v>600</v>
      </c>
      <c r="D25" s="1">
        <v>37515</v>
      </c>
      <c r="E25" s="17">
        <f t="shared" si="3"/>
        <v>480</v>
      </c>
      <c r="F25" s="1">
        <v>17749</v>
      </c>
      <c r="G25" s="17">
        <f t="shared" si="4"/>
        <v>80</v>
      </c>
      <c r="H25" s="1">
        <v>215247</v>
      </c>
      <c r="I25" s="17">
        <f t="shared" si="5"/>
        <v>4</v>
      </c>
      <c r="J25" s="1">
        <v>303517</v>
      </c>
      <c r="K25" s="17">
        <f t="shared" si="10"/>
        <v>0</v>
      </c>
      <c r="L25" s="1">
        <v>22240</v>
      </c>
      <c r="M25" s="17">
        <f t="shared" si="6"/>
        <v>640</v>
      </c>
      <c r="N25" s="58">
        <v>168217</v>
      </c>
      <c r="O25" s="17">
        <f t="shared" si="7"/>
        <v>3</v>
      </c>
      <c r="P25" s="1">
        <v>988236</v>
      </c>
      <c r="Q25" s="17">
        <f t="shared" si="2"/>
        <v>246</v>
      </c>
      <c r="R25" s="1">
        <v>55047</v>
      </c>
      <c r="S25" s="17">
        <f t="shared" si="8"/>
        <v>0</v>
      </c>
    </row>
    <row r="26" spans="1:23" ht="13.5" thickBot="1" x14ac:dyDescent="0.25">
      <c r="A26" s="10">
        <v>43608</v>
      </c>
      <c r="B26" s="1">
        <v>41962</v>
      </c>
      <c r="C26" s="17">
        <f t="shared" si="9"/>
        <v>480</v>
      </c>
      <c r="D26" s="1">
        <v>37518</v>
      </c>
      <c r="E26" s="17">
        <f t="shared" si="3"/>
        <v>480</v>
      </c>
      <c r="F26" s="1">
        <v>17753</v>
      </c>
      <c r="G26" s="17">
        <f t="shared" si="4"/>
        <v>80</v>
      </c>
      <c r="H26" s="1">
        <v>215251</v>
      </c>
      <c r="I26" s="17">
        <f t="shared" si="5"/>
        <v>4</v>
      </c>
      <c r="J26" s="1">
        <v>303517</v>
      </c>
      <c r="K26" s="17">
        <f t="shared" si="10"/>
        <v>0</v>
      </c>
      <c r="L26" s="1">
        <v>22244</v>
      </c>
      <c r="M26" s="17">
        <f t="shared" si="6"/>
        <v>640</v>
      </c>
      <c r="N26" s="58">
        <v>168220</v>
      </c>
      <c r="O26" s="17">
        <f t="shared" si="7"/>
        <v>3</v>
      </c>
      <c r="P26" s="1">
        <v>988450</v>
      </c>
      <c r="Q26" s="17">
        <f t="shared" si="2"/>
        <v>214</v>
      </c>
      <c r="R26" s="1">
        <v>55047</v>
      </c>
      <c r="S26" s="17">
        <f t="shared" si="8"/>
        <v>0</v>
      </c>
      <c r="U26" t="s">
        <v>13</v>
      </c>
      <c r="V26" t="s">
        <v>13</v>
      </c>
    </row>
    <row r="27" spans="1:23" ht="13.5" thickBot="1" x14ac:dyDescent="0.25">
      <c r="A27" s="10">
        <v>43609</v>
      </c>
      <c r="B27" s="1">
        <v>41967</v>
      </c>
      <c r="C27" s="17">
        <f t="shared" si="9"/>
        <v>600</v>
      </c>
      <c r="D27" s="1">
        <v>37521</v>
      </c>
      <c r="E27" s="17">
        <f t="shared" si="3"/>
        <v>480</v>
      </c>
      <c r="F27" s="1">
        <v>17756</v>
      </c>
      <c r="G27" s="17">
        <f t="shared" si="4"/>
        <v>60</v>
      </c>
      <c r="H27" s="1">
        <v>215256</v>
      </c>
      <c r="I27" s="17">
        <f t="shared" si="5"/>
        <v>5</v>
      </c>
      <c r="J27" s="1">
        <v>303517</v>
      </c>
      <c r="K27" s="17">
        <f t="shared" si="10"/>
        <v>0</v>
      </c>
      <c r="L27" s="1">
        <v>22247</v>
      </c>
      <c r="M27" s="17">
        <f t="shared" si="6"/>
        <v>480</v>
      </c>
      <c r="N27" s="58">
        <v>168222</v>
      </c>
      <c r="O27" s="17">
        <f t="shared" si="7"/>
        <v>2</v>
      </c>
      <c r="P27" s="1">
        <v>988621</v>
      </c>
      <c r="Q27" s="17">
        <f t="shared" si="2"/>
        <v>171</v>
      </c>
      <c r="R27" s="1">
        <v>55047</v>
      </c>
      <c r="S27" s="17">
        <f t="shared" si="8"/>
        <v>0</v>
      </c>
    </row>
    <row r="28" spans="1:23" ht="13.5" thickBot="1" x14ac:dyDescent="0.25">
      <c r="A28" s="10">
        <v>43610</v>
      </c>
      <c r="B28" s="1">
        <v>41971</v>
      </c>
      <c r="C28" s="17">
        <f t="shared" si="9"/>
        <v>480</v>
      </c>
      <c r="D28" s="1">
        <v>37524</v>
      </c>
      <c r="E28" s="17">
        <f t="shared" si="3"/>
        <v>480</v>
      </c>
      <c r="F28" s="1">
        <v>17760</v>
      </c>
      <c r="G28" s="17">
        <f t="shared" si="4"/>
        <v>80</v>
      </c>
      <c r="H28" s="1">
        <v>215260</v>
      </c>
      <c r="I28" s="17">
        <f t="shared" si="5"/>
        <v>4</v>
      </c>
      <c r="J28" s="1">
        <v>303517</v>
      </c>
      <c r="K28" s="17">
        <f t="shared" si="10"/>
        <v>0</v>
      </c>
      <c r="L28" s="1">
        <v>22250</v>
      </c>
      <c r="M28" s="17">
        <f t="shared" si="6"/>
        <v>480</v>
      </c>
      <c r="N28" s="58">
        <v>168227</v>
      </c>
      <c r="O28" s="17">
        <f t="shared" si="7"/>
        <v>5</v>
      </c>
      <c r="P28" s="1">
        <v>988813</v>
      </c>
      <c r="Q28" s="17">
        <f t="shared" si="2"/>
        <v>192</v>
      </c>
      <c r="R28" s="1">
        <v>55047</v>
      </c>
      <c r="S28" s="17">
        <f t="shared" si="8"/>
        <v>0</v>
      </c>
      <c r="T28" t="s">
        <v>25</v>
      </c>
    </row>
    <row r="29" spans="1:23" ht="13.5" thickBot="1" x14ac:dyDescent="0.25">
      <c r="A29" s="10">
        <v>43611</v>
      </c>
      <c r="B29" s="1">
        <v>41976</v>
      </c>
      <c r="C29" s="17">
        <f t="shared" si="9"/>
        <v>600</v>
      </c>
      <c r="D29" s="1">
        <v>37527</v>
      </c>
      <c r="E29" s="17">
        <f t="shared" si="3"/>
        <v>480</v>
      </c>
      <c r="F29" s="1">
        <v>17764</v>
      </c>
      <c r="G29" s="17">
        <f t="shared" si="4"/>
        <v>80</v>
      </c>
      <c r="H29" s="1">
        <v>215265</v>
      </c>
      <c r="I29" s="17">
        <f t="shared" si="5"/>
        <v>5</v>
      </c>
      <c r="J29" s="1">
        <v>303517</v>
      </c>
      <c r="K29" s="17">
        <f t="shared" si="10"/>
        <v>0</v>
      </c>
      <c r="L29" s="1">
        <v>22255</v>
      </c>
      <c r="M29" s="17">
        <f t="shared" si="6"/>
        <v>800</v>
      </c>
      <c r="N29" s="58">
        <v>168230</v>
      </c>
      <c r="O29" s="17">
        <f t="shared" si="7"/>
        <v>3</v>
      </c>
      <c r="P29" s="1">
        <v>989028</v>
      </c>
      <c r="Q29" s="18">
        <f t="shared" si="2"/>
        <v>215</v>
      </c>
      <c r="R29" s="1">
        <v>55047</v>
      </c>
      <c r="S29" s="18">
        <f t="shared" si="8"/>
        <v>0</v>
      </c>
    </row>
    <row r="30" spans="1:23" ht="13.5" thickBot="1" x14ac:dyDescent="0.25">
      <c r="A30" s="10">
        <v>43612</v>
      </c>
      <c r="B30" s="1">
        <v>41980</v>
      </c>
      <c r="C30" s="17">
        <f t="shared" si="9"/>
        <v>480</v>
      </c>
      <c r="D30" s="1">
        <v>37530</v>
      </c>
      <c r="E30" s="17">
        <f t="shared" si="3"/>
        <v>480</v>
      </c>
      <c r="F30" s="1">
        <v>17767</v>
      </c>
      <c r="G30" s="17">
        <f t="shared" si="4"/>
        <v>60</v>
      </c>
      <c r="H30" s="1">
        <v>215269</v>
      </c>
      <c r="I30" s="17">
        <f t="shared" si="5"/>
        <v>4</v>
      </c>
      <c r="J30" s="1">
        <v>303517</v>
      </c>
      <c r="K30" s="17">
        <f t="shared" si="10"/>
        <v>0</v>
      </c>
      <c r="L30" s="1">
        <v>22259</v>
      </c>
      <c r="M30" s="17">
        <f t="shared" si="6"/>
        <v>640</v>
      </c>
      <c r="N30" s="58">
        <v>168233</v>
      </c>
      <c r="O30" s="17">
        <f t="shared" si="7"/>
        <v>3</v>
      </c>
      <c r="P30" s="1">
        <v>989230</v>
      </c>
      <c r="Q30" s="17">
        <f t="shared" si="2"/>
        <v>202</v>
      </c>
      <c r="R30" s="1">
        <v>55047</v>
      </c>
      <c r="S30" s="17">
        <f t="shared" si="8"/>
        <v>0</v>
      </c>
      <c r="T30" t="s">
        <v>27</v>
      </c>
      <c r="U30" t="s">
        <v>13</v>
      </c>
    </row>
    <row r="31" spans="1:23" ht="13.5" thickBot="1" x14ac:dyDescent="0.25">
      <c r="A31" s="10">
        <v>43613</v>
      </c>
      <c r="B31" s="1">
        <v>41984</v>
      </c>
      <c r="C31" s="17">
        <f t="shared" si="9"/>
        <v>480</v>
      </c>
      <c r="D31" s="1">
        <v>37534</v>
      </c>
      <c r="E31" s="17">
        <f t="shared" si="3"/>
        <v>640</v>
      </c>
      <c r="F31" s="1">
        <v>17771</v>
      </c>
      <c r="G31" s="17">
        <f t="shared" si="4"/>
        <v>80</v>
      </c>
      <c r="H31" s="1">
        <v>215273</v>
      </c>
      <c r="I31" s="17">
        <f t="shared" si="5"/>
        <v>4</v>
      </c>
      <c r="J31" s="1">
        <v>303517</v>
      </c>
      <c r="K31" s="17">
        <f t="shared" si="10"/>
        <v>0</v>
      </c>
      <c r="L31" s="1">
        <v>22263</v>
      </c>
      <c r="M31" s="17">
        <f t="shared" si="6"/>
        <v>640</v>
      </c>
      <c r="N31" s="58">
        <v>168236</v>
      </c>
      <c r="O31" s="17">
        <f t="shared" si="7"/>
        <v>3</v>
      </c>
      <c r="P31" s="1">
        <v>989357</v>
      </c>
      <c r="Q31" s="17">
        <f t="shared" si="2"/>
        <v>127</v>
      </c>
      <c r="R31" s="1">
        <v>55047</v>
      </c>
      <c r="S31" s="17">
        <f t="shared" si="8"/>
        <v>0</v>
      </c>
      <c r="T31" t="s">
        <v>13</v>
      </c>
    </row>
    <row r="32" spans="1:23" ht="13.5" thickBot="1" x14ac:dyDescent="0.25">
      <c r="A32" s="10">
        <v>43614</v>
      </c>
      <c r="B32" s="1">
        <v>41989</v>
      </c>
      <c r="C32" s="17">
        <f t="shared" si="9"/>
        <v>600</v>
      </c>
      <c r="D32" s="1">
        <v>37537</v>
      </c>
      <c r="E32" s="17">
        <f t="shared" si="3"/>
        <v>480</v>
      </c>
      <c r="F32" s="1">
        <v>17775</v>
      </c>
      <c r="G32" s="17">
        <f t="shared" si="4"/>
        <v>80</v>
      </c>
      <c r="H32" s="1">
        <v>215278</v>
      </c>
      <c r="I32" s="17">
        <f t="shared" si="5"/>
        <v>5</v>
      </c>
      <c r="J32" s="1">
        <v>303517</v>
      </c>
      <c r="K32" s="17">
        <f t="shared" si="10"/>
        <v>0</v>
      </c>
      <c r="L32" s="1">
        <v>22268</v>
      </c>
      <c r="M32" s="17">
        <f t="shared" si="6"/>
        <v>800</v>
      </c>
      <c r="N32" s="58">
        <v>168240</v>
      </c>
      <c r="O32" s="17">
        <f t="shared" si="7"/>
        <v>4</v>
      </c>
      <c r="P32" s="1">
        <v>989485</v>
      </c>
      <c r="Q32" s="17">
        <v>41</v>
      </c>
      <c r="R32" s="1">
        <v>55047</v>
      </c>
      <c r="S32" s="17">
        <f t="shared" si="8"/>
        <v>0</v>
      </c>
    </row>
    <row r="33" spans="1:22" ht="13.5" thickBot="1" x14ac:dyDescent="0.25">
      <c r="A33" s="10">
        <v>43615</v>
      </c>
      <c r="B33" s="1">
        <v>41990</v>
      </c>
      <c r="C33" s="17">
        <f t="shared" si="9"/>
        <v>120</v>
      </c>
      <c r="D33" s="1">
        <v>37538</v>
      </c>
      <c r="E33" s="17">
        <f t="shared" si="3"/>
        <v>160</v>
      </c>
      <c r="F33" s="1">
        <v>17777</v>
      </c>
      <c r="G33" s="17">
        <f t="shared" si="4"/>
        <v>40</v>
      </c>
      <c r="H33" s="1">
        <v>215278</v>
      </c>
      <c r="I33" s="17">
        <f t="shared" si="5"/>
        <v>0</v>
      </c>
      <c r="J33" s="1">
        <v>303517</v>
      </c>
      <c r="K33" s="17">
        <f t="shared" si="10"/>
        <v>0</v>
      </c>
      <c r="L33" s="1">
        <v>22269</v>
      </c>
      <c r="M33" s="17">
        <f t="shared" si="6"/>
        <v>160</v>
      </c>
      <c r="N33" s="58">
        <v>168240</v>
      </c>
      <c r="O33" s="17">
        <f t="shared" si="7"/>
        <v>0</v>
      </c>
      <c r="P33" s="1">
        <v>989485</v>
      </c>
      <c r="Q33" s="17">
        <f>P33-P32</f>
        <v>0</v>
      </c>
      <c r="R33" s="1">
        <v>55047</v>
      </c>
      <c r="S33" s="17">
        <f>R33-R32</f>
        <v>0</v>
      </c>
      <c r="V33" t="s">
        <v>13</v>
      </c>
    </row>
    <row r="34" spans="1:22" ht="13.5" thickBot="1" x14ac:dyDescent="0.25">
      <c r="A34" s="10">
        <v>43616</v>
      </c>
      <c r="B34" s="1">
        <v>41991</v>
      </c>
      <c r="C34" s="17">
        <f>(B34-B33)*600/5</f>
        <v>120</v>
      </c>
      <c r="D34" s="1">
        <v>37539</v>
      </c>
      <c r="E34" s="17">
        <f>(D34-D33)*800/5</f>
        <v>160</v>
      </c>
      <c r="F34" s="1">
        <v>17778</v>
      </c>
      <c r="G34" s="17">
        <f>(F34-F33)*100/5</f>
        <v>20</v>
      </c>
      <c r="H34" s="1">
        <v>215279</v>
      </c>
      <c r="I34" s="17">
        <f>H34-H33</f>
        <v>1</v>
      </c>
      <c r="J34" s="1">
        <v>303517</v>
      </c>
      <c r="K34" s="17">
        <f>J34-J33</f>
        <v>0</v>
      </c>
      <c r="L34" s="1">
        <v>22270</v>
      </c>
      <c r="M34" s="17">
        <f>(L34-L33)*800/5</f>
        <v>160</v>
      </c>
      <c r="N34" s="58">
        <v>168243</v>
      </c>
      <c r="O34" s="17">
        <f t="shared" si="7"/>
        <v>3</v>
      </c>
      <c r="P34" s="1">
        <v>989504</v>
      </c>
      <c r="Q34" s="17">
        <f>P34-P33</f>
        <v>19</v>
      </c>
      <c r="R34" s="1">
        <v>55047</v>
      </c>
      <c r="S34" s="17">
        <f>R34-R33</f>
        <v>0</v>
      </c>
    </row>
    <row r="35" spans="1:22" ht="16.5" thickBot="1" x14ac:dyDescent="0.3">
      <c r="A35" s="10" t="s">
        <v>28</v>
      </c>
      <c r="B35" s="1"/>
      <c r="C35" s="11">
        <f>SUM(C4:C34)</f>
        <v>15000</v>
      </c>
      <c r="D35" s="14"/>
      <c r="E35" s="11">
        <f>SUM(E4:E34)</f>
        <v>14560</v>
      </c>
      <c r="F35" s="14"/>
      <c r="G35" s="11">
        <f>SUM(G4:G34)</f>
        <v>2240</v>
      </c>
      <c r="H35" s="14"/>
      <c r="I35" s="11">
        <f>SUM(I4:I34)</f>
        <v>300</v>
      </c>
      <c r="J35" s="14"/>
      <c r="K35" s="11">
        <f>SUM(K4:K34)</f>
        <v>0</v>
      </c>
      <c r="L35" s="14"/>
      <c r="M35" s="11">
        <f>SUM(M4:M34)</f>
        <v>18720</v>
      </c>
      <c r="N35" s="59"/>
      <c r="O35" s="11"/>
      <c r="P35" s="14"/>
      <c r="Q35" s="11">
        <f>SUM(Q4:Q34)</f>
        <v>5634</v>
      </c>
      <c r="R35" s="1"/>
      <c r="S35" s="11">
        <f>SUM(S4:S34)</f>
        <v>0</v>
      </c>
      <c r="T35" t="s">
        <v>29</v>
      </c>
    </row>
    <row r="36" spans="1:22" ht="23.25" x14ac:dyDescent="0.35">
      <c r="B36" s="20"/>
      <c r="C36" s="21"/>
      <c r="D36" s="21"/>
      <c r="E36" s="21"/>
    </row>
    <row r="37" spans="1:22" ht="15.75" x14ac:dyDescent="0.25">
      <c r="B37" s="20"/>
      <c r="P37" s="22" t="s">
        <v>13</v>
      </c>
    </row>
    <row r="38" spans="1:22" ht="15.75" x14ac:dyDescent="0.25">
      <c r="B38" s="20"/>
    </row>
    <row r="39" spans="1:22" ht="15.75" x14ac:dyDescent="0.25">
      <c r="B39" s="20"/>
    </row>
  </sheetData>
  <mergeCells count="1">
    <mergeCell ref="A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zoomScale="55" zoomScaleNormal="55" workbookViewId="0">
      <selection sqref="A1:K35"/>
    </sheetView>
  </sheetViews>
  <sheetFormatPr defaultRowHeight="12.75" x14ac:dyDescent="0.2"/>
  <cols>
    <col min="1" max="1" width="20.85546875" style="19" bestFit="1" customWidth="1"/>
    <col min="2" max="2" width="20.7109375" bestFit="1" customWidth="1"/>
    <col min="3" max="3" width="14.140625" customWidth="1"/>
    <col min="4" max="4" width="1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62" bestFit="1" customWidth="1"/>
    <col min="10" max="10" width="17.5703125" bestFit="1" customWidth="1"/>
    <col min="11" max="11" width="16.140625" bestFit="1" customWidth="1"/>
    <col min="25" max="25" width="18.28515625" bestFit="1" customWidth="1"/>
  </cols>
  <sheetData>
    <row r="1" spans="1:14" ht="28.5" customHeight="1" thickBot="1" x14ac:dyDescent="0.25">
      <c r="A1" s="172" t="s">
        <v>85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4" ht="16.5" thickBot="1" x14ac:dyDescent="0.3">
      <c r="A2" s="2" t="s">
        <v>0</v>
      </c>
      <c r="B2" s="3" t="s">
        <v>30</v>
      </c>
      <c r="C2" s="4" t="s">
        <v>31</v>
      </c>
      <c r="D2" s="3" t="s">
        <v>32</v>
      </c>
      <c r="E2" s="4" t="s">
        <v>31</v>
      </c>
      <c r="F2" s="3" t="s">
        <v>33</v>
      </c>
      <c r="G2" s="24" t="s">
        <v>31</v>
      </c>
      <c r="H2" s="3" t="s">
        <v>34</v>
      </c>
      <c r="I2" s="69" t="s">
        <v>31</v>
      </c>
      <c r="J2" s="3" t="s">
        <v>28</v>
      </c>
      <c r="K2" s="3" t="s">
        <v>35</v>
      </c>
    </row>
    <row r="3" spans="1:14" ht="21" thickBot="1" x14ac:dyDescent="0.3">
      <c r="A3" s="9" t="s">
        <v>12</v>
      </c>
      <c r="B3" s="3">
        <v>351660</v>
      </c>
      <c r="C3" s="25">
        <v>0</v>
      </c>
      <c r="D3" s="3">
        <v>93796800</v>
      </c>
      <c r="E3" s="26">
        <v>0</v>
      </c>
      <c r="F3" s="3">
        <v>93388700</v>
      </c>
      <c r="G3" s="26">
        <v>0</v>
      </c>
      <c r="H3" s="3">
        <v>609235</v>
      </c>
      <c r="I3" s="70">
        <v>0</v>
      </c>
      <c r="J3" s="27">
        <f>C3+E3+G3+I3</f>
        <v>0</v>
      </c>
      <c r="K3" s="28">
        <f>J3*5.86</f>
        <v>0</v>
      </c>
    </row>
    <row r="4" spans="1:14" ht="21" thickBot="1" x14ac:dyDescent="0.3">
      <c r="A4" s="9">
        <v>43586</v>
      </c>
      <c r="B4" s="3">
        <v>351709</v>
      </c>
      <c r="C4" s="65">
        <f>(IF((B4-B3)&lt;0,"0",(B4-B3)))*10</f>
        <v>490</v>
      </c>
      <c r="D4" s="3">
        <v>93815800</v>
      </c>
      <c r="E4" s="65">
        <f>(IF((D4-D3)&lt;0,"0",(D4-D3)))*0.027</f>
        <v>513</v>
      </c>
      <c r="F4" s="3">
        <v>93399800</v>
      </c>
      <c r="G4" s="65">
        <f>(IF((F4-F3)&lt;0,"0",(F4-F3)))*0.027</f>
        <v>299.7</v>
      </c>
      <c r="H4" s="3">
        <v>609302</v>
      </c>
      <c r="I4" s="71">
        <f>(IF((H4-H3)&lt;0,"0",(H4-H3)))*0.027</f>
        <v>1.8089999999999999</v>
      </c>
      <c r="J4" s="27">
        <f>C4+E4+G4+I4</f>
        <v>1304.509</v>
      </c>
      <c r="K4" s="28">
        <f>J4*5.86</f>
        <v>7644.4227400000009</v>
      </c>
    </row>
    <row r="5" spans="1:14" ht="21" thickBot="1" x14ac:dyDescent="0.3">
      <c r="A5" s="9">
        <v>43587</v>
      </c>
      <c r="B5" s="3">
        <v>351815</v>
      </c>
      <c r="C5" s="65">
        <f t="shared" ref="C5:C34" si="0">(IF((B5-B4)&lt;0,"0",(B5-B4)))*10</f>
        <v>1060</v>
      </c>
      <c r="D5" s="3">
        <v>93841100</v>
      </c>
      <c r="E5" s="65">
        <f t="shared" ref="E5:E34" si="1">(IF((D5-D4)&lt;0,"0",(D5-D4)))*0.027</f>
        <v>683.1</v>
      </c>
      <c r="F5" s="3">
        <v>93426000</v>
      </c>
      <c r="G5" s="65">
        <f>(IF((F5-F4)&lt;0,"0",(F5-F4)))*0.027</f>
        <v>707.4</v>
      </c>
      <c r="H5" s="3">
        <v>609582</v>
      </c>
      <c r="I5" s="71">
        <f>(IF((H5-H4)&lt;0,"0",(H5-H4)))*0.027</f>
        <v>7.56</v>
      </c>
      <c r="J5" s="27">
        <f t="shared" ref="J5:J31" si="2">C5+E5+G5+I5</f>
        <v>2458.06</v>
      </c>
      <c r="K5" s="28">
        <f t="shared" ref="K5:K33" si="3">J5*5.86</f>
        <v>14404.231600000001</v>
      </c>
    </row>
    <row r="6" spans="1:14" ht="21" thickBot="1" x14ac:dyDescent="0.3">
      <c r="A6" s="9">
        <v>43588</v>
      </c>
      <c r="B6" s="3">
        <v>351939</v>
      </c>
      <c r="C6" s="65">
        <f t="shared" si="0"/>
        <v>1240</v>
      </c>
      <c r="D6" s="3">
        <v>93856000</v>
      </c>
      <c r="E6" s="65">
        <f t="shared" si="1"/>
        <v>402.3</v>
      </c>
      <c r="F6" s="3">
        <v>93439500</v>
      </c>
      <c r="G6" s="65">
        <f t="shared" ref="G6:G34" si="4">(IF((F6-F5)&lt;0,"0",(F6-F5)))*0.027</f>
        <v>364.5</v>
      </c>
      <c r="H6" s="3">
        <v>609675</v>
      </c>
      <c r="I6" s="71">
        <f t="shared" ref="I6:I34" si="5">(IF((H6-H5)&lt;0,"0",(H6-H5)))*0.027</f>
        <v>2.5110000000000001</v>
      </c>
      <c r="J6" s="27">
        <f t="shared" si="2"/>
        <v>2009.3109999999999</v>
      </c>
      <c r="K6" s="28">
        <f t="shared" si="3"/>
        <v>11774.562460000001</v>
      </c>
    </row>
    <row r="7" spans="1:14" ht="21" thickBot="1" x14ac:dyDescent="0.3">
      <c r="A7" s="9">
        <v>43589</v>
      </c>
      <c r="B7" s="3">
        <v>352036</v>
      </c>
      <c r="C7" s="65">
        <f t="shared" si="0"/>
        <v>970</v>
      </c>
      <c r="D7" s="3">
        <v>93876100</v>
      </c>
      <c r="E7" s="65">
        <f t="shared" si="1"/>
        <v>542.70000000000005</v>
      </c>
      <c r="F7" s="3">
        <v>93454400</v>
      </c>
      <c r="G7" s="65">
        <f t="shared" si="4"/>
        <v>402.3</v>
      </c>
      <c r="H7" s="3">
        <v>609851</v>
      </c>
      <c r="I7" s="71">
        <f t="shared" si="5"/>
        <v>4.7519999999999998</v>
      </c>
      <c r="J7" s="27">
        <f t="shared" si="2"/>
        <v>1919.752</v>
      </c>
      <c r="K7" s="28">
        <f t="shared" si="3"/>
        <v>11249.746720000001</v>
      </c>
    </row>
    <row r="8" spans="1:14" ht="21" thickBot="1" x14ac:dyDescent="0.3">
      <c r="A8" s="9">
        <v>43590</v>
      </c>
      <c r="B8" s="3">
        <v>352135</v>
      </c>
      <c r="C8" s="65">
        <f t="shared" si="0"/>
        <v>990</v>
      </c>
      <c r="D8" s="3">
        <v>93896500</v>
      </c>
      <c r="E8" s="65">
        <f t="shared" si="1"/>
        <v>550.79999999999995</v>
      </c>
      <c r="F8" s="3">
        <v>93469100</v>
      </c>
      <c r="G8" s="65">
        <f t="shared" si="4"/>
        <v>396.9</v>
      </c>
      <c r="H8" s="3">
        <v>610031</v>
      </c>
      <c r="I8" s="71">
        <f t="shared" si="5"/>
        <v>4.8600000000000003</v>
      </c>
      <c r="J8" s="27">
        <f t="shared" si="2"/>
        <v>1942.5599999999997</v>
      </c>
      <c r="K8" s="28">
        <f t="shared" si="3"/>
        <v>11383.401599999999</v>
      </c>
      <c r="L8" t="s">
        <v>13</v>
      </c>
      <c r="N8" t="s">
        <v>13</v>
      </c>
    </row>
    <row r="9" spans="1:14" ht="21" thickBot="1" x14ac:dyDescent="0.3">
      <c r="A9" s="9">
        <v>43591</v>
      </c>
      <c r="B9" s="3">
        <v>352236</v>
      </c>
      <c r="C9" s="65">
        <f t="shared" si="0"/>
        <v>1010</v>
      </c>
      <c r="D9" s="3">
        <v>93916200</v>
      </c>
      <c r="E9" s="65">
        <f t="shared" si="1"/>
        <v>531.9</v>
      </c>
      <c r="F9" s="3">
        <v>93486500</v>
      </c>
      <c r="G9" s="65">
        <f t="shared" si="4"/>
        <v>469.8</v>
      </c>
      <c r="H9" s="3">
        <v>610208</v>
      </c>
      <c r="I9" s="71">
        <f t="shared" si="5"/>
        <v>4.7789999999999999</v>
      </c>
      <c r="J9" s="27">
        <f t="shared" si="2"/>
        <v>2016.479</v>
      </c>
      <c r="K9" s="28">
        <f t="shared" si="3"/>
        <v>11816.566940000001</v>
      </c>
    </row>
    <row r="10" spans="1:14" ht="21" thickBot="1" x14ac:dyDescent="0.3">
      <c r="A10" s="9">
        <v>43592</v>
      </c>
      <c r="B10" s="3">
        <v>352324</v>
      </c>
      <c r="C10" s="65">
        <f t="shared" si="0"/>
        <v>880</v>
      </c>
      <c r="D10" s="3">
        <v>93933800</v>
      </c>
      <c r="E10" s="65">
        <f t="shared" si="1"/>
        <v>475.2</v>
      </c>
      <c r="F10" s="3">
        <v>93500300</v>
      </c>
      <c r="G10" s="65">
        <f t="shared" si="4"/>
        <v>372.6</v>
      </c>
      <c r="H10" s="3">
        <v>610391</v>
      </c>
      <c r="I10" s="71">
        <f t="shared" si="5"/>
        <v>4.9409999999999998</v>
      </c>
      <c r="J10" s="27">
        <f t="shared" si="2"/>
        <v>1732.7410000000002</v>
      </c>
      <c r="K10" s="28">
        <f t="shared" si="3"/>
        <v>10153.862260000002</v>
      </c>
    </row>
    <row r="11" spans="1:14" ht="21" thickBot="1" x14ac:dyDescent="0.3">
      <c r="A11" s="9">
        <v>43593</v>
      </c>
      <c r="B11" s="3">
        <v>352407</v>
      </c>
      <c r="C11" s="65">
        <f>(IF((B11-B10)&lt;0,"0",(B11-B10)))*10</f>
        <v>830</v>
      </c>
      <c r="D11" s="3">
        <v>93951200</v>
      </c>
      <c r="E11" s="65">
        <f t="shared" si="1"/>
        <v>469.8</v>
      </c>
      <c r="F11" s="3">
        <v>93512600</v>
      </c>
      <c r="G11" s="65">
        <f t="shared" si="4"/>
        <v>332.1</v>
      </c>
      <c r="H11" s="3">
        <v>610596</v>
      </c>
      <c r="I11" s="71">
        <f t="shared" si="5"/>
        <v>5.5350000000000001</v>
      </c>
      <c r="J11" s="27">
        <f t="shared" si="2"/>
        <v>1637.4350000000002</v>
      </c>
      <c r="K11" s="28">
        <f t="shared" si="3"/>
        <v>9595.3691000000017</v>
      </c>
    </row>
    <row r="12" spans="1:14" ht="21" thickBot="1" x14ac:dyDescent="0.3">
      <c r="A12" s="9">
        <v>43594</v>
      </c>
      <c r="B12" s="3">
        <v>352495</v>
      </c>
      <c r="C12" s="65">
        <f t="shared" si="0"/>
        <v>880</v>
      </c>
      <c r="D12" s="3">
        <v>93970100</v>
      </c>
      <c r="E12" s="65">
        <f t="shared" si="1"/>
        <v>510.3</v>
      </c>
      <c r="F12" s="3">
        <v>93523600</v>
      </c>
      <c r="G12" s="65">
        <f t="shared" si="4"/>
        <v>297</v>
      </c>
      <c r="H12" s="3">
        <v>610810</v>
      </c>
      <c r="I12" s="71">
        <f t="shared" si="5"/>
        <v>5.7779999999999996</v>
      </c>
      <c r="J12" s="27">
        <f t="shared" si="2"/>
        <v>1693.078</v>
      </c>
      <c r="K12" s="28">
        <f t="shared" si="3"/>
        <v>9921.4370799999997</v>
      </c>
      <c r="N12" t="s">
        <v>13</v>
      </c>
    </row>
    <row r="13" spans="1:14" ht="21" thickBot="1" x14ac:dyDescent="0.3">
      <c r="A13" s="9">
        <v>43595</v>
      </c>
      <c r="B13" s="3">
        <v>352593</v>
      </c>
      <c r="C13" s="65">
        <f t="shared" si="0"/>
        <v>980</v>
      </c>
      <c r="D13" s="3">
        <v>93991200</v>
      </c>
      <c r="E13" s="65">
        <f t="shared" si="1"/>
        <v>569.70000000000005</v>
      </c>
      <c r="F13" s="3">
        <v>93537300</v>
      </c>
      <c r="G13" s="65">
        <f t="shared" si="4"/>
        <v>369.9</v>
      </c>
      <c r="H13" s="3">
        <v>611010</v>
      </c>
      <c r="I13" s="71">
        <f t="shared" si="5"/>
        <v>5.4</v>
      </c>
      <c r="J13" s="27">
        <f t="shared" si="2"/>
        <v>1925</v>
      </c>
      <c r="K13" s="28">
        <f t="shared" si="3"/>
        <v>11280.5</v>
      </c>
    </row>
    <row r="14" spans="1:14" ht="21" thickBot="1" x14ac:dyDescent="0.3">
      <c r="A14" s="9">
        <v>43596</v>
      </c>
      <c r="B14" s="3">
        <v>352675</v>
      </c>
      <c r="C14" s="65">
        <f t="shared" si="0"/>
        <v>820</v>
      </c>
      <c r="D14" s="3">
        <v>94007700</v>
      </c>
      <c r="E14" s="65">
        <f t="shared" si="1"/>
        <v>445.5</v>
      </c>
      <c r="F14" s="3">
        <v>93550000</v>
      </c>
      <c r="G14" s="65">
        <f t="shared" si="4"/>
        <v>342.9</v>
      </c>
      <c r="H14" s="3">
        <v>611173</v>
      </c>
      <c r="I14" s="71">
        <f t="shared" si="5"/>
        <v>4.4009999999999998</v>
      </c>
      <c r="J14" s="27">
        <f t="shared" si="2"/>
        <v>1612.8010000000002</v>
      </c>
      <c r="K14" s="28">
        <f t="shared" si="3"/>
        <v>9451.0138600000009</v>
      </c>
    </row>
    <row r="15" spans="1:14" ht="21" thickBot="1" x14ac:dyDescent="0.3">
      <c r="A15" s="9">
        <v>43597</v>
      </c>
      <c r="B15" s="3">
        <v>352781</v>
      </c>
      <c r="C15" s="65">
        <f t="shared" si="0"/>
        <v>1060</v>
      </c>
      <c r="D15" s="3">
        <v>94030100</v>
      </c>
      <c r="E15" s="65">
        <f t="shared" si="1"/>
        <v>604.79999999999995</v>
      </c>
      <c r="F15" s="3">
        <v>93565400</v>
      </c>
      <c r="G15" s="65">
        <f t="shared" si="4"/>
        <v>415.8</v>
      </c>
      <c r="H15" s="3">
        <v>611432</v>
      </c>
      <c r="I15" s="71">
        <f t="shared" si="5"/>
        <v>6.9930000000000003</v>
      </c>
      <c r="J15" s="27">
        <f t="shared" si="2"/>
        <v>2087.5929999999998</v>
      </c>
      <c r="K15" s="28">
        <f t="shared" si="3"/>
        <v>12233.294980000001</v>
      </c>
    </row>
    <row r="16" spans="1:14" ht="21" thickBot="1" x14ac:dyDescent="0.3">
      <c r="A16" s="9">
        <v>43598</v>
      </c>
      <c r="B16" s="3">
        <v>352890</v>
      </c>
      <c r="C16" s="65">
        <f t="shared" si="0"/>
        <v>1090</v>
      </c>
      <c r="D16" s="3">
        <v>94051000</v>
      </c>
      <c r="E16" s="65">
        <f t="shared" si="1"/>
        <v>564.29999999999995</v>
      </c>
      <c r="F16" s="3">
        <v>93581100</v>
      </c>
      <c r="G16" s="65">
        <f t="shared" si="4"/>
        <v>423.9</v>
      </c>
      <c r="H16" s="3">
        <v>611624</v>
      </c>
      <c r="I16" s="71">
        <f t="shared" si="5"/>
        <v>5.1840000000000002</v>
      </c>
      <c r="J16" s="27">
        <f t="shared" si="2"/>
        <v>2083.384</v>
      </c>
      <c r="K16" s="28">
        <f t="shared" si="3"/>
        <v>12208.63024</v>
      </c>
    </row>
    <row r="17" spans="1:25" ht="21" thickBot="1" x14ac:dyDescent="0.3">
      <c r="A17" s="9">
        <v>43599</v>
      </c>
      <c r="B17" s="3">
        <v>352990</v>
      </c>
      <c r="C17" s="65">
        <f t="shared" si="0"/>
        <v>1000</v>
      </c>
      <c r="D17" s="3">
        <v>94074300</v>
      </c>
      <c r="E17" s="65">
        <f t="shared" si="1"/>
        <v>629.1</v>
      </c>
      <c r="F17" s="3">
        <v>93600000</v>
      </c>
      <c r="G17" s="65">
        <f t="shared" si="4"/>
        <v>510.3</v>
      </c>
      <c r="H17" s="3">
        <v>611850</v>
      </c>
      <c r="I17" s="71">
        <f t="shared" si="5"/>
        <v>6.1020000000000003</v>
      </c>
      <c r="J17" s="27">
        <f t="shared" si="2"/>
        <v>2145.502</v>
      </c>
      <c r="K17" s="28">
        <f t="shared" si="3"/>
        <v>12572.64172</v>
      </c>
    </row>
    <row r="18" spans="1:25" ht="21" thickBot="1" x14ac:dyDescent="0.3">
      <c r="A18" s="9">
        <v>43600</v>
      </c>
      <c r="B18" s="3">
        <v>353001</v>
      </c>
      <c r="C18" s="65">
        <f t="shared" si="0"/>
        <v>110</v>
      </c>
      <c r="D18" s="3">
        <v>94092300</v>
      </c>
      <c r="E18" s="65">
        <f t="shared" si="1"/>
        <v>486</v>
      </c>
      <c r="F18" s="3">
        <v>93614400</v>
      </c>
      <c r="G18" s="65">
        <f t="shared" si="4"/>
        <v>388.8</v>
      </c>
      <c r="H18" s="3">
        <v>612047</v>
      </c>
      <c r="I18" s="71">
        <f t="shared" si="5"/>
        <v>5.319</v>
      </c>
      <c r="J18" s="27">
        <f t="shared" si="2"/>
        <v>990.11899999999991</v>
      </c>
      <c r="K18" s="28">
        <f t="shared" si="3"/>
        <v>5802.0973400000003</v>
      </c>
      <c r="P18" t="s">
        <v>13</v>
      </c>
      <c r="R18" t="s">
        <v>13</v>
      </c>
    </row>
    <row r="19" spans="1:25" ht="21" thickBot="1" x14ac:dyDescent="0.3">
      <c r="A19" s="9">
        <v>43601</v>
      </c>
      <c r="B19" s="3">
        <v>353104</v>
      </c>
      <c r="C19" s="65">
        <f t="shared" si="0"/>
        <v>1030</v>
      </c>
      <c r="D19" s="3">
        <v>94098600</v>
      </c>
      <c r="E19" s="65">
        <f t="shared" si="1"/>
        <v>170.1</v>
      </c>
      <c r="F19" s="3">
        <v>93622400</v>
      </c>
      <c r="G19" s="65">
        <f t="shared" si="4"/>
        <v>216</v>
      </c>
      <c r="H19" s="3">
        <v>612247</v>
      </c>
      <c r="I19" s="71">
        <f t="shared" si="5"/>
        <v>5.4</v>
      </c>
      <c r="J19" s="27">
        <f t="shared" si="2"/>
        <v>1421.5</v>
      </c>
      <c r="K19" s="28">
        <f t="shared" si="3"/>
        <v>8329.99</v>
      </c>
      <c r="O19" t="s">
        <v>13</v>
      </c>
      <c r="Q19" t="s">
        <v>49</v>
      </c>
    </row>
    <row r="20" spans="1:25" ht="21" thickBot="1" x14ac:dyDescent="0.3">
      <c r="A20" s="9">
        <v>43602</v>
      </c>
      <c r="B20" s="3">
        <v>353258</v>
      </c>
      <c r="C20" s="65">
        <f t="shared" si="0"/>
        <v>1540</v>
      </c>
      <c r="D20" s="3">
        <v>94126700</v>
      </c>
      <c r="E20" s="65">
        <f t="shared" si="1"/>
        <v>758.7</v>
      </c>
      <c r="F20" s="3">
        <v>93641800</v>
      </c>
      <c r="G20" s="65">
        <f t="shared" si="4"/>
        <v>523.79999999999995</v>
      </c>
      <c r="H20" s="3">
        <v>612356</v>
      </c>
      <c r="I20" s="71">
        <f t="shared" si="5"/>
        <v>2.9430000000000001</v>
      </c>
      <c r="J20" s="27">
        <f t="shared" si="2"/>
        <v>2825.4430000000002</v>
      </c>
      <c r="K20" s="28">
        <f t="shared" si="3"/>
        <v>16557.095980000002</v>
      </c>
      <c r="Q20" t="s">
        <v>13</v>
      </c>
    </row>
    <row r="21" spans="1:25" ht="21" thickBot="1" x14ac:dyDescent="0.3">
      <c r="A21" s="9">
        <v>43603</v>
      </c>
      <c r="B21" s="3">
        <v>353363</v>
      </c>
      <c r="C21" s="65">
        <f t="shared" si="0"/>
        <v>1050</v>
      </c>
      <c r="D21" s="3">
        <v>94145600</v>
      </c>
      <c r="E21" s="65">
        <f t="shared" si="1"/>
        <v>510.3</v>
      </c>
      <c r="F21" s="3">
        <v>93655500</v>
      </c>
      <c r="G21" s="65">
        <f t="shared" si="4"/>
        <v>369.9</v>
      </c>
      <c r="H21" s="3">
        <v>612537</v>
      </c>
      <c r="I21" s="71">
        <f t="shared" si="5"/>
        <v>4.8869999999999996</v>
      </c>
      <c r="J21" s="27">
        <f t="shared" si="2"/>
        <v>1935.0869999999998</v>
      </c>
      <c r="K21" s="28">
        <f t="shared" si="3"/>
        <v>11339.60982</v>
      </c>
    </row>
    <row r="22" spans="1:25" ht="21" thickBot="1" x14ac:dyDescent="0.3">
      <c r="A22" s="9">
        <v>43604</v>
      </c>
      <c r="B22" s="3">
        <v>353436</v>
      </c>
      <c r="C22" s="65">
        <f t="shared" si="0"/>
        <v>730</v>
      </c>
      <c r="D22" s="3">
        <v>94163200</v>
      </c>
      <c r="E22" s="65">
        <f t="shared" si="1"/>
        <v>475.2</v>
      </c>
      <c r="F22" s="3">
        <v>93668800</v>
      </c>
      <c r="G22" s="65">
        <f t="shared" si="4"/>
        <v>359.1</v>
      </c>
      <c r="H22" s="3">
        <v>612706</v>
      </c>
      <c r="I22" s="71">
        <f t="shared" si="5"/>
        <v>4.5629999999999997</v>
      </c>
      <c r="J22" s="27">
        <f t="shared" si="2"/>
        <v>1568.8630000000003</v>
      </c>
      <c r="K22" s="28">
        <f t="shared" si="3"/>
        <v>9193.537180000003</v>
      </c>
      <c r="N22" t="s">
        <v>13</v>
      </c>
    </row>
    <row r="23" spans="1:25" ht="21" thickBot="1" x14ac:dyDescent="0.3">
      <c r="A23" s="9">
        <v>43605</v>
      </c>
      <c r="B23" s="3">
        <v>353533</v>
      </c>
      <c r="C23" s="65">
        <f t="shared" si="0"/>
        <v>970</v>
      </c>
      <c r="D23" s="3">
        <v>94182900</v>
      </c>
      <c r="E23" s="65">
        <f t="shared" si="1"/>
        <v>531.9</v>
      </c>
      <c r="F23" s="3">
        <v>93683800</v>
      </c>
      <c r="G23" s="65">
        <f t="shared" si="4"/>
        <v>405</v>
      </c>
      <c r="H23" s="3">
        <v>612895</v>
      </c>
      <c r="I23" s="71">
        <f t="shared" si="5"/>
        <v>5.1029999999999998</v>
      </c>
      <c r="J23" s="27">
        <f t="shared" si="2"/>
        <v>1912.0030000000002</v>
      </c>
      <c r="K23" s="28">
        <f t="shared" si="3"/>
        <v>11204.337580000001</v>
      </c>
      <c r="P23" t="s">
        <v>13</v>
      </c>
      <c r="S23" s="49" t="s">
        <v>13</v>
      </c>
    </row>
    <row r="24" spans="1:25" ht="21" thickBot="1" x14ac:dyDescent="0.3">
      <c r="A24" s="9">
        <v>43606</v>
      </c>
      <c r="B24" s="3">
        <v>353637</v>
      </c>
      <c r="C24" s="65">
        <f t="shared" si="0"/>
        <v>1040</v>
      </c>
      <c r="D24" s="3">
        <v>94203500</v>
      </c>
      <c r="E24" s="65">
        <f t="shared" si="1"/>
        <v>556.20000000000005</v>
      </c>
      <c r="F24" s="3">
        <v>93701200</v>
      </c>
      <c r="G24" s="65">
        <f t="shared" si="4"/>
        <v>469.8</v>
      </c>
      <c r="H24" s="3">
        <v>613093</v>
      </c>
      <c r="I24" s="71">
        <f t="shared" si="5"/>
        <v>5.3460000000000001</v>
      </c>
      <c r="J24" s="27">
        <f t="shared" si="2"/>
        <v>2071.346</v>
      </c>
      <c r="K24" s="28">
        <f t="shared" si="3"/>
        <v>12138.08756</v>
      </c>
      <c r="Q24" t="s">
        <v>13</v>
      </c>
    </row>
    <row r="25" spans="1:25" ht="21" thickBot="1" x14ac:dyDescent="0.3">
      <c r="A25" s="9">
        <v>43607</v>
      </c>
      <c r="B25" s="3">
        <v>353745</v>
      </c>
      <c r="C25" s="65">
        <f t="shared" si="0"/>
        <v>1080</v>
      </c>
      <c r="D25" s="3">
        <v>94223100</v>
      </c>
      <c r="E25" s="65">
        <f t="shared" si="1"/>
        <v>529.20000000000005</v>
      </c>
      <c r="F25" s="3">
        <v>93721200</v>
      </c>
      <c r="G25" s="65">
        <f t="shared" si="4"/>
        <v>540</v>
      </c>
      <c r="H25" s="3">
        <v>613264</v>
      </c>
      <c r="I25" s="71">
        <f t="shared" si="5"/>
        <v>4.617</v>
      </c>
      <c r="J25" s="27">
        <f t="shared" si="2"/>
        <v>2153.817</v>
      </c>
      <c r="K25" s="28">
        <f t="shared" si="3"/>
        <v>12621.367620000001</v>
      </c>
    </row>
    <row r="26" spans="1:25" ht="22.5" customHeight="1" thickBot="1" x14ac:dyDescent="0.4">
      <c r="A26" s="9">
        <v>43608</v>
      </c>
      <c r="B26" s="3">
        <v>353842</v>
      </c>
      <c r="C26" s="65">
        <f t="shared" si="0"/>
        <v>970</v>
      </c>
      <c r="D26" s="3">
        <v>94241000</v>
      </c>
      <c r="E26" s="65">
        <f t="shared" si="1"/>
        <v>483.3</v>
      </c>
      <c r="F26" s="3">
        <v>93738500</v>
      </c>
      <c r="G26" s="65">
        <f t="shared" si="4"/>
        <v>467.1</v>
      </c>
      <c r="H26" s="3">
        <v>613426</v>
      </c>
      <c r="I26" s="71">
        <f t="shared" si="5"/>
        <v>4.3739999999999997</v>
      </c>
      <c r="J26" s="27">
        <f t="shared" si="2"/>
        <v>1924.7740000000001</v>
      </c>
      <c r="K26" s="28">
        <f t="shared" si="3"/>
        <v>11279.175640000001</v>
      </c>
      <c r="Y26" s="85"/>
    </row>
    <row r="27" spans="1:25" ht="21" thickBot="1" x14ac:dyDescent="0.3">
      <c r="A27" s="9">
        <v>43609</v>
      </c>
      <c r="B27" s="3">
        <v>353949</v>
      </c>
      <c r="C27" s="65">
        <f t="shared" si="0"/>
        <v>1070</v>
      </c>
      <c r="D27" s="3">
        <v>94262000</v>
      </c>
      <c r="E27" s="65">
        <f t="shared" si="1"/>
        <v>567</v>
      </c>
      <c r="F27" s="3">
        <v>93756700</v>
      </c>
      <c r="G27" s="65">
        <f t="shared" si="4"/>
        <v>491.4</v>
      </c>
      <c r="H27" s="3">
        <v>613591</v>
      </c>
      <c r="I27" s="71">
        <f t="shared" si="5"/>
        <v>4.4550000000000001</v>
      </c>
      <c r="J27" s="27">
        <f t="shared" si="2"/>
        <v>2132.855</v>
      </c>
      <c r="K27" s="28">
        <f t="shared" si="3"/>
        <v>12498.5303</v>
      </c>
      <c r="L27" t="s">
        <v>13</v>
      </c>
    </row>
    <row r="28" spans="1:25" ht="21" thickBot="1" x14ac:dyDescent="0.3">
      <c r="A28" s="9">
        <v>43610</v>
      </c>
      <c r="B28" s="3">
        <v>354051</v>
      </c>
      <c r="C28" s="65">
        <f t="shared" si="0"/>
        <v>1020</v>
      </c>
      <c r="D28" s="3">
        <v>94281800</v>
      </c>
      <c r="E28" s="65">
        <f t="shared" si="1"/>
        <v>534.6</v>
      </c>
      <c r="F28" s="3">
        <v>93773000</v>
      </c>
      <c r="G28" s="65">
        <f t="shared" si="4"/>
        <v>440.1</v>
      </c>
      <c r="H28" s="3">
        <v>613778</v>
      </c>
      <c r="I28" s="71">
        <f t="shared" si="5"/>
        <v>5.0490000000000004</v>
      </c>
      <c r="J28" s="27">
        <f t="shared" si="2"/>
        <v>1999.7489999999998</v>
      </c>
      <c r="K28" s="28">
        <f t="shared" si="3"/>
        <v>11718.529139999999</v>
      </c>
      <c r="O28" t="s">
        <v>13</v>
      </c>
    </row>
    <row r="29" spans="1:25" ht="21" thickBot="1" x14ac:dyDescent="0.3">
      <c r="A29" s="9">
        <v>43611</v>
      </c>
      <c r="B29" s="3">
        <v>354165</v>
      </c>
      <c r="C29" s="65">
        <f t="shared" si="0"/>
        <v>1140</v>
      </c>
      <c r="D29" s="3">
        <v>94305800</v>
      </c>
      <c r="E29" s="65">
        <f t="shared" si="1"/>
        <v>648</v>
      </c>
      <c r="F29" s="3">
        <v>93790400</v>
      </c>
      <c r="G29" s="65">
        <f t="shared" si="4"/>
        <v>469.8</v>
      </c>
      <c r="H29" s="3">
        <v>613955</v>
      </c>
      <c r="I29" s="71">
        <f t="shared" si="5"/>
        <v>4.7789999999999999</v>
      </c>
      <c r="J29" s="27">
        <f t="shared" si="2"/>
        <v>2262.5790000000002</v>
      </c>
      <c r="K29" s="28">
        <f t="shared" si="3"/>
        <v>13258.712940000001</v>
      </c>
    </row>
    <row r="30" spans="1:25" ht="21" thickBot="1" x14ac:dyDescent="0.3">
      <c r="A30" s="9">
        <v>43612</v>
      </c>
      <c r="B30" s="3">
        <v>354275</v>
      </c>
      <c r="C30" s="65">
        <f t="shared" si="0"/>
        <v>1100</v>
      </c>
      <c r="D30" s="3">
        <v>94322400</v>
      </c>
      <c r="E30" s="65">
        <f t="shared" si="1"/>
        <v>448.2</v>
      </c>
      <c r="F30" s="3">
        <v>93804000</v>
      </c>
      <c r="G30" s="65">
        <f t="shared" si="4"/>
        <v>367.2</v>
      </c>
      <c r="H30" s="3">
        <v>614104</v>
      </c>
      <c r="I30" s="71">
        <f t="shared" si="5"/>
        <v>4.0229999999999997</v>
      </c>
      <c r="J30" s="27">
        <f t="shared" si="2"/>
        <v>1919.423</v>
      </c>
      <c r="K30" s="28">
        <f t="shared" si="3"/>
        <v>11247.818780000001</v>
      </c>
    </row>
    <row r="31" spans="1:25" ht="21" thickBot="1" x14ac:dyDescent="0.3">
      <c r="A31" s="9">
        <v>43613</v>
      </c>
      <c r="B31" s="3">
        <v>354388</v>
      </c>
      <c r="C31" s="65">
        <f t="shared" si="0"/>
        <v>1130</v>
      </c>
      <c r="D31" s="3">
        <v>94340900</v>
      </c>
      <c r="E31" s="65">
        <f t="shared" si="1"/>
        <v>499.5</v>
      </c>
      <c r="F31" s="3">
        <v>93820850</v>
      </c>
      <c r="G31" s="65">
        <f t="shared" si="4"/>
        <v>454.95</v>
      </c>
      <c r="H31" s="3">
        <v>614215</v>
      </c>
      <c r="I31" s="71">
        <f t="shared" si="5"/>
        <v>2.9969999999999999</v>
      </c>
      <c r="J31" s="27">
        <f t="shared" si="2"/>
        <v>2087.4469999999997</v>
      </c>
      <c r="K31" s="28">
        <f t="shared" si="3"/>
        <v>12232.439419999999</v>
      </c>
    </row>
    <row r="32" spans="1:25" ht="21" thickBot="1" x14ac:dyDescent="0.3">
      <c r="A32" s="9">
        <v>43614</v>
      </c>
      <c r="B32" s="3">
        <v>354458</v>
      </c>
      <c r="C32" s="65">
        <f t="shared" si="0"/>
        <v>700</v>
      </c>
      <c r="D32" s="3">
        <v>94361000</v>
      </c>
      <c r="E32" s="65">
        <f t="shared" si="1"/>
        <v>542.70000000000005</v>
      </c>
      <c r="F32" s="3">
        <v>93836780</v>
      </c>
      <c r="G32" s="65">
        <f t="shared" si="4"/>
        <v>430.11</v>
      </c>
      <c r="H32" s="3">
        <v>614480</v>
      </c>
      <c r="I32" s="71">
        <f t="shared" si="5"/>
        <v>7.1550000000000002</v>
      </c>
      <c r="J32" s="27">
        <f>C32+E32+G32+I32</f>
        <v>1679.9649999999999</v>
      </c>
      <c r="K32" s="28">
        <f t="shared" si="3"/>
        <v>9844.5949000000001</v>
      </c>
    </row>
    <row r="33" spans="1:11" ht="21" thickBot="1" x14ac:dyDescent="0.3">
      <c r="A33" s="9">
        <v>43615</v>
      </c>
      <c r="B33" s="3">
        <v>354549</v>
      </c>
      <c r="C33" s="65">
        <f t="shared" si="0"/>
        <v>910</v>
      </c>
      <c r="D33" s="3">
        <v>94378300</v>
      </c>
      <c r="E33" s="65">
        <f t="shared" si="1"/>
        <v>467.1</v>
      </c>
      <c r="F33" s="3">
        <v>93856700</v>
      </c>
      <c r="G33" s="65">
        <f t="shared" si="4"/>
        <v>537.84</v>
      </c>
      <c r="H33" s="3">
        <v>614657</v>
      </c>
      <c r="I33" s="71">
        <f t="shared" si="5"/>
        <v>4.7789999999999999</v>
      </c>
      <c r="J33" s="27">
        <f>C33+E33+G33+I33</f>
        <v>1919.7190000000001</v>
      </c>
      <c r="K33" s="28">
        <f t="shared" si="3"/>
        <v>11249.55334</v>
      </c>
    </row>
    <row r="34" spans="1:11" ht="21" thickBot="1" x14ac:dyDescent="0.3">
      <c r="A34" s="9">
        <v>43616</v>
      </c>
      <c r="B34" s="3">
        <v>354630</v>
      </c>
      <c r="C34" s="65">
        <f t="shared" si="0"/>
        <v>810</v>
      </c>
      <c r="D34" s="3">
        <v>94395500</v>
      </c>
      <c r="E34" s="65">
        <f t="shared" si="1"/>
        <v>464.4</v>
      </c>
      <c r="F34" s="3">
        <v>93872000</v>
      </c>
      <c r="G34" s="65">
        <f t="shared" si="4"/>
        <v>413.1</v>
      </c>
      <c r="H34" s="3">
        <v>614813</v>
      </c>
      <c r="I34" s="71">
        <f t="shared" si="5"/>
        <v>4.2119999999999997</v>
      </c>
      <c r="J34" s="27"/>
      <c r="K34" s="28"/>
    </row>
    <row r="35" spans="1:11" ht="21" thickBot="1" x14ac:dyDescent="0.3">
      <c r="A35" s="9" t="s">
        <v>28</v>
      </c>
      <c r="B35" s="3"/>
      <c r="C35" s="86">
        <f>SUM(C4:C34)</f>
        <v>29700</v>
      </c>
      <c r="D35" s="3"/>
      <c r="E35" s="86">
        <f>SUM(E4:E34)</f>
        <v>16164.900000000003</v>
      </c>
      <c r="F35" s="3"/>
      <c r="G35" s="86">
        <f>SUM(G4:G34)</f>
        <v>13049.100000000002</v>
      </c>
      <c r="H35" s="3"/>
      <c r="I35" s="72">
        <f>SUM(I4:I34)</f>
        <v>150.60600000000002</v>
      </c>
      <c r="J35" s="11">
        <f>SUM(J4:J31)</f>
        <v>53773.21</v>
      </c>
      <c r="K35" s="11">
        <f>SUM(K4:K31)</f>
        <v>315111.0106000001</v>
      </c>
    </row>
    <row r="38" spans="1:11" x14ac:dyDescent="0.2">
      <c r="G38" t="s">
        <v>13</v>
      </c>
    </row>
  </sheetData>
  <mergeCells count="1">
    <mergeCell ref="A1:K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2"/>
  <sheetViews>
    <sheetView view="pageBreakPreview" topLeftCell="D1" zoomScale="40" zoomScaleNormal="110" zoomScaleSheetLayoutView="40" workbookViewId="0">
      <selection sqref="A1:AA35"/>
    </sheetView>
  </sheetViews>
  <sheetFormatPr defaultColWidth="23" defaultRowHeight="15.75" x14ac:dyDescent="0.25"/>
  <cols>
    <col min="1" max="1" width="14.5703125" style="39" bestFit="1" customWidth="1"/>
    <col min="2" max="2" width="14.85546875" style="67" bestFit="1" customWidth="1"/>
    <col min="3" max="3" width="15.28515625" style="67" bestFit="1" customWidth="1"/>
    <col min="4" max="4" width="7.140625" style="67" bestFit="1" customWidth="1"/>
    <col min="5" max="5" width="12.85546875" style="30" bestFit="1" customWidth="1"/>
    <col min="6" max="6" width="9" style="30" bestFit="1" customWidth="1"/>
    <col min="7" max="7" width="11.5703125" style="30" bestFit="1" customWidth="1"/>
    <col min="8" max="10" width="10.28515625" style="30" bestFit="1" customWidth="1"/>
    <col min="11" max="11" width="9" style="30" bestFit="1" customWidth="1"/>
    <col min="12" max="12" width="11.5703125" style="30" bestFit="1" customWidth="1"/>
    <col min="13" max="13" width="9" style="30" bestFit="1" customWidth="1"/>
    <col min="14" max="14" width="11.5703125" style="30" bestFit="1" customWidth="1"/>
    <col min="15" max="15" width="9" style="30" bestFit="1" customWidth="1"/>
    <col min="16" max="16" width="11.5703125" style="30" bestFit="1" customWidth="1"/>
    <col min="17" max="17" width="9" style="30" bestFit="1" customWidth="1"/>
    <col min="18" max="18" width="12.85546875" style="30" bestFit="1" customWidth="1"/>
    <col min="19" max="19" width="9" style="30" bestFit="1" customWidth="1"/>
    <col min="20" max="20" width="4.7109375" style="30" bestFit="1" customWidth="1"/>
    <col min="21" max="21" width="7.7109375" style="30" bestFit="1" customWidth="1"/>
    <col min="22" max="22" width="11.5703125" style="30" bestFit="1" customWidth="1"/>
    <col min="23" max="23" width="9" style="30" bestFit="1" customWidth="1"/>
    <col min="24" max="24" width="10.85546875" style="30" bestFit="1" customWidth="1"/>
    <col min="25" max="25" width="12.140625" style="30" bestFit="1" customWidth="1"/>
    <col min="26" max="26" width="21.7109375" style="40" bestFit="1" customWidth="1"/>
    <col min="27" max="27" width="20.42578125" style="40" bestFit="1" customWidth="1"/>
    <col min="28" max="16384" width="23" style="30"/>
  </cols>
  <sheetData>
    <row r="1" spans="1:27" ht="16.5" thickBot="1" x14ac:dyDescent="0.25">
      <c r="A1" s="173" t="s">
        <v>86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</row>
    <row r="2" spans="1:27" ht="16.5" thickBot="1" x14ac:dyDescent="0.3">
      <c r="A2" s="6" t="s">
        <v>0</v>
      </c>
      <c r="B2" s="65" t="s">
        <v>60</v>
      </c>
      <c r="C2" s="68" t="s">
        <v>69</v>
      </c>
      <c r="D2" s="68" t="s">
        <v>17</v>
      </c>
      <c r="E2" s="3" t="s">
        <v>36</v>
      </c>
      <c r="F2" s="4" t="s">
        <v>31</v>
      </c>
      <c r="G2" s="3" t="s">
        <v>37</v>
      </c>
      <c r="H2" s="4" t="s">
        <v>31</v>
      </c>
      <c r="I2" s="3" t="s">
        <v>28</v>
      </c>
      <c r="J2" s="3" t="s">
        <v>38</v>
      </c>
      <c r="K2" s="4" t="s">
        <v>31</v>
      </c>
      <c r="L2" s="3" t="s">
        <v>39</v>
      </c>
      <c r="M2" s="4" t="s">
        <v>31</v>
      </c>
      <c r="N2" s="3" t="s">
        <v>40</v>
      </c>
      <c r="O2" s="4" t="s">
        <v>31</v>
      </c>
      <c r="P2" s="3" t="s">
        <v>41</v>
      </c>
      <c r="Q2" s="4" t="s">
        <v>31</v>
      </c>
      <c r="R2" s="3" t="s">
        <v>42</v>
      </c>
      <c r="S2" s="4" t="s">
        <v>31</v>
      </c>
      <c r="T2" s="3" t="s">
        <v>43</v>
      </c>
      <c r="U2" s="4" t="s">
        <v>31</v>
      </c>
      <c r="V2" s="3" t="s">
        <v>44</v>
      </c>
      <c r="W2" s="4" t="s">
        <v>31</v>
      </c>
      <c r="X2" s="3" t="s">
        <v>28</v>
      </c>
      <c r="Y2" s="3" t="s">
        <v>45</v>
      </c>
      <c r="Z2" s="29" t="s">
        <v>46</v>
      </c>
      <c r="AA2" s="29" t="s">
        <v>47</v>
      </c>
    </row>
    <row r="3" spans="1:27" ht="16.5" thickBot="1" x14ac:dyDescent="0.25">
      <c r="A3" s="6" t="s">
        <v>12</v>
      </c>
      <c r="B3" s="65">
        <v>298</v>
      </c>
      <c r="C3" s="65">
        <v>15466</v>
      </c>
      <c r="D3" s="65"/>
      <c r="E3" s="31">
        <v>16655010</v>
      </c>
      <c r="F3" s="32">
        <v>0</v>
      </c>
      <c r="G3" s="31">
        <v>45047485</v>
      </c>
      <c r="H3" s="32">
        <v>0</v>
      </c>
      <c r="I3" s="33">
        <v>0</v>
      </c>
      <c r="J3" s="31">
        <v>3869359</v>
      </c>
      <c r="K3" s="32">
        <v>0</v>
      </c>
      <c r="L3" s="34">
        <v>4076121</v>
      </c>
      <c r="M3" s="32">
        <v>0</v>
      </c>
      <c r="N3" s="31">
        <v>2537554</v>
      </c>
      <c r="O3" s="32">
        <v>0</v>
      </c>
      <c r="P3" s="34">
        <v>5174422</v>
      </c>
      <c r="Q3" s="32">
        <v>0</v>
      </c>
      <c r="R3" s="31">
        <v>10188644</v>
      </c>
      <c r="S3" s="32">
        <v>0</v>
      </c>
      <c r="T3" s="31">
        <v>0</v>
      </c>
      <c r="U3" s="32"/>
      <c r="V3" s="31">
        <v>6731805</v>
      </c>
      <c r="W3" s="32">
        <v>0</v>
      </c>
      <c r="X3" s="33"/>
      <c r="Y3" s="47"/>
      <c r="Z3" s="31"/>
      <c r="AA3" s="31"/>
    </row>
    <row r="4" spans="1:27" ht="16.5" thickBot="1" x14ac:dyDescent="0.25">
      <c r="A4" s="6">
        <v>43586</v>
      </c>
      <c r="B4" s="65">
        <v>237</v>
      </c>
      <c r="C4" s="65">
        <v>15471</v>
      </c>
      <c r="D4" s="65">
        <f>IF((C4-C3)&lt;0,"0",(C4-C3))*160</f>
        <v>800</v>
      </c>
      <c r="E4" s="31">
        <v>16668544</v>
      </c>
      <c r="F4" s="65">
        <f>IF((E4-E3)&lt;0,"0",(E4-E3))</f>
        <v>13534</v>
      </c>
      <c r="G4" s="31">
        <v>45107190</v>
      </c>
      <c r="H4" s="65">
        <f>IF((G4-G3)&lt;0,"0",(G4-G3))</f>
        <v>59705</v>
      </c>
      <c r="I4" s="33">
        <f t="shared" ref="I4:I35" si="0">F4+H4</f>
        <v>73239</v>
      </c>
      <c r="J4" s="31">
        <v>3874763</v>
      </c>
      <c r="K4" s="65">
        <f>IF((J4-J3)&lt;0,"0",(J4-J3))</f>
        <v>5404</v>
      </c>
      <c r="L4" s="34">
        <v>4080929</v>
      </c>
      <c r="M4" s="65">
        <f>IF((L4-L3)&lt;0,"0",(L4-L3))</f>
        <v>4808</v>
      </c>
      <c r="N4" s="31">
        <v>2541816</v>
      </c>
      <c r="O4" s="65">
        <f>(IF((N4-N3)&lt;0,"0",(N4-N3)))*2</f>
        <v>8524</v>
      </c>
      <c r="P4" s="34">
        <v>5189581</v>
      </c>
      <c r="Q4" s="65">
        <f>IF((P4-P3)&lt;0,"0",(P4-P3))</f>
        <v>15159</v>
      </c>
      <c r="R4" s="31">
        <v>10199811</v>
      </c>
      <c r="S4" s="65">
        <f>IF((R4-R3)&lt;0,"0",(R4-R3))</f>
        <v>11167</v>
      </c>
      <c r="T4" s="31">
        <v>0</v>
      </c>
      <c r="U4" s="32"/>
      <c r="V4" s="31">
        <v>6745013</v>
      </c>
      <c r="W4" s="65">
        <f>IF((V4-V3)&lt;0,"0",(V4-V3))</f>
        <v>13208</v>
      </c>
      <c r="X4" s="33">
        <f t="shared" ref="X4:X31" si="1">K4+M4+O4+Q4+S4+U4+W4</f>
        <v>58270</v>
      </c>
      <c r="Y4" s="47">
        <f t="shared" ref="Y4:Y31" si="2">I4-X4</f>
        <v>14969</v>
      </c>
      <c r="Z4" s="31">
        <f t="shared" ref="Z4:Z34" si="3">(0.93352*(W4+S4)+0.5568*(Q4+O4))*0.26</f>
        <v>9344.7235439999986</v>
      </c>
      <c r="AA4" s="31">
        <f>SUM(Z1:Z4)</f>
        <v>9344.7235439999986</v>
      </c>
    </row>
    <row r="5" spans="1:27" ht="16.5" thickBot="1" x14ac:dyDescent="0.25">
      <c r="A5" s="6">
        <v>43587</v>
      </c>
      <c r="B5" s="65">
        <v>241</v>
      </c>
      <c r="C5" s="65">
        <v>15475</v>
      </c>
      <c r="D5" s="65">
        <f t="shared" ref="D5:D34" si="4">IF((C5-C4)&lt;0,"0",(C5-C4))*160</f>
        <v>640</v>
      </c>
      <c r="E5" s="31">
        <v>16676122</v>
      </c>
      <c r="F5" s="65">
        <f t="shared" ref="F5:F34" si="5">IF((E5-E4)&lt;0,"0",(E5-E4))</f>
        <v>7578</v>
      </c>
      <c r="G5" s="31">
        <v>45140233</v>
      </c>
      <c r="H5" s="65">
        <f t="shared" ref="H5:H34" si="6">IF((G5-G4)&lt;0,"0",(G5-G4))</f>
        <v>33043</v>
      </c>
      <c r="I5" s="33">
        <f t="shared" si="0"/>
        <v>40621</v>
      </c>
      <c r="J5" s="31">
        <v>3877630</v>
      </c>
      <c r="K5" s="65">
        <f t="shared" ref="K5:K34" si="7">IF((J5-J4)&lt;0,"0",(J5-J4))</f>
        <v>2867</v>
      </c>
      <c r="L5" s="34">
        <v>4083747</v>
      </c>
      <c r="M5" s="65">
        <f t="shared" ref="M5:M34" si="8">IF((L5-L4)&lt;0,"0",(L5-L4))</f>
        <v>2818</v>
      </c>
      <c r="N5" s="31">
        <v>2544161</v>
      </c>
      <c r="O5" s="65">
        <f t="shared" ref="O5:O34" si="9">(IF((N5-N4)&lt;0,"0",(N5-N4)))*2</f>
        <v>4690</v>
      </c>
      <c r="P5" s="34">
        <v>5198636</v>
      </c>
      <c r="Q5" s="65">
        <f t="shared" ref="Q5:Q34" si="10">IF((P5-P4)&lt;0,"0",(P5-P4))</f>
        <v>9055</v>
      </c>
      <c r="R5" s="31">
        <v>10206065</v>
      </c>
      <c r="S5" s="65">
        <f t="shared" ref="S5:S34" si="11">IF((R5-R4)&lt;0,"0",(R5-R4))</f>
        <v>6254</v>
      </c>
      <c r="T5" s="31">
        <v>0</v>
      </c>
      <c r="U5" s="32"/>
      <c r="V5" s="31">
        <v>6752144</v>
      </c>
      <c r="W5" s="65">
        <f t="shared" ref="W5:W34" si="12">IF((V5-V4)&lt;0,"0",(V5-V4))</f>
        <v>7131</v>
      </c>
      <c r="X5" s="33">
        <f t="shared" si="1"/>
        <v>32815</v>
      </c>
      <c r="Y5" s="47">
        <f t="shared" si="2"/>
        <v>7806</v>
      </c>
      <c r="Z5" s="31">
        <f t="shared" si="3"/>
        <v>5238.5791120000004</v>
      </c>
      <c r="AA5" s="31">
        <f t="shared" ref="AA5:AA34" si="13">SUM(Z2:Z5)</f>
        <v>14583.302656</v>
      </c>
    </row>
    <row r="6" spans="1:27" ht="16.5" thickBot="1" x14ac:dyDescent="0.25">
      <c r="A6" s="6">
        <v>43588</v>
      </c>
      <c r="B6" s="65">
        <v>244</v>
      </c>
      <c r="C6" s="65">
        <v>15480</v>
      </c>
      <c r="D6" s="65">
        <f t="shared" si="4"/>
        <v>800</v>
      </c>
      <c r="E6" s="31">
        <v>16693670</v>
      </c>
      <c r="F6" s="65">
        <f t="shared" si="5"/>
        <v>17548</v>
      </c>
      <c r="G6" s="31">
        <v>45218159</v>
      </c>
      <c r="H6" s="65">
        <f t="shared" si="6"/>
        <v>77926</v>
      </c>
      <c r="I6" s="33">
        <f t="shared" si="0"/>
        <v>95474</v>
      </c>
      <c r="J6" s="31">
        <v>3883862</v>
      </c>
      <c r="K6" s="65">
        <f t="shared" si="7"/>
        <v>6232</v>
      </c>
      <c r="L6" s="34">
        <v>4090436</v>
      </c>
      <c r="M6" s="65">
        <f t="shared" si="8"/>
        <v>6689</v>
      </c>
      <c r="N6" s="31">
        <v>2549487</v>
      </c>
      <c r="O6" s="65">
        <f t="shared" si="9"/>
        <v>10652</v>
      </c>
      <c r="P6" s="34">
        <v>5217626</v>
      </c>
      <c r="Q6" s="65">
        <f t="shared" si="10"/>
        <v>18990</v>
      </c>
      <c r="R6" s="31">
        <v>10220758</v>
      </c>
      <c r="S6" s="65">
        <f t="shared" si="11"/>
        <v>14693</v>
      </c>
      <c r="T6" s="31">
        <v>0</v>
      </c>
      <c r="U6" s="32"/>
      <c r="V6" s="31">
        <v>6770272</v>
      </c>
      <c r="W6" s="65">
        <f t="shared" si="12"/>
        <v>18128</v>
      </c>
      <c r="X6" s="33">
        <f t="shared" si="1"/>
        <v>75384</v>
      </c>
      <c r="Y6" s="47">
        <f t="shared" si="2"/>
        <v>20090</v>
      </c>
      <c r="Z6" s="31">
        <f t="shared" si="3"/>
        <v>12257.3686352</v>
      </c>
      <c r="AA6" s="31">
        <f t="shared" si="13"/>
        <v>26840.6712912</v>
      </c>
    </row>
    <row r="7" spans="1:27" ht="16.5" thickBot="1" x14ac:dyDescent="0.25">
      <c r="A7" s="6">
        <v>43589</v>
      </c>
      <c r="B7" s="65">
        <v>204</v>
      </c>
      <c r="C7" s="65">
        <v>15482</v>
      </c>
      <c r="D7" s="65">
        <f t="shared" si="4"/>
        <v>320</v>
      </c>
      <c r="E7" s="31">
        <v>16705273</v>
      </c>
      <c r="F7" s="65">
        <f t="shared" si="5"/>
        <v>11603</v>
      </c>
      <c r="G7" s="31">
        <v>45270528</v>
      </c>
      <c r="H7" s="65">
        <f t="shared" si="6"/>
        <v>52369</v>
      </c>
      <c r="I7" s="33">
        <f t="shared" si="0"/>
        <v>63972</v>
      </c>
      <c r="J7" s="31">
        <v>3888423</v>
      </c>
      <c r="K7" s="65">
        <f t="shared" si="7"/>
        <v>4561</v>
      </c>
      <c r="L7" s="34">
        <v>4094799</v>
      </c>
      <c r="M7" s="65">
        <f t="shared" si="8"/>
        <v>4363</v>
      </c>
      <c r="N7" s="31">
        <v>2553022</v>
      </c>
      <c r="O7" s="65">
        <f t="shared" si="9"/>
        <v>7070</v>
      </c>
      <c r="P7" s="34">
        <v>5228798</v>
      </c>
      <c r="Q7" s="65">
        <f t="shared" si="10"/>
        <v>11172</v>
      </c>
      <c r="R7" s="31">
        <v>10231283</v>
      </c>
      <c r="S7" s="65">
        <f t="shared" si="11"/>
        <v>10525</v>
      </c>
      <c r="T7" s="31">
        <v>0</v>
      </c>
      <c r="U7" s="32"/>
      <c r="V7" s="31">
        <v>6782741</v>
      </c>
      <c r="W7" s="65">
        <f t="shared" si="12"/>
        <v>12469</v>
      </c>
      <c r="X7" s="33">
        <f t="shared" si="1"/>
        <v>50160</v>
      </c>
      <c r="Y7" s="47">
        <f t="shared" si="2"/>
        <v>13812</v>
      </c>
      <c r="Z7" s="31">
        <f t="shared" si="3"/>
        <v>8221.8511648000003</v>
      </c>
      <c r="AA7" s="31">
        <f t="shared" si="13"/>
        <v>35062.522455999999</v>
      </c>
    </row>
    <row r="8" spans="1:27" ht="16.5" thickBot="1" x14ac:dyDescent="0.25">
      <c r="A8" s="6">
        <v>43590</v>
      </c>
      <c r="B8" s="65">
        <v>131</v>
      </c>
      <c r="C8" s="65">
        <v>15483</v>
      </c>
      <c r="D8" s="65">
        <f t="shared" si="4"/>
        <v>160</v>
      </c>
      <c r="E8" s="31">
        <v>16718561</v>
      </c>
      <c r="F8" s="65">
        <f t="shared" si="5"/>
        <v>13288</v>
      </c>
      <c r="G8" s="31">
        <v>45328931</v>
      </c>
      <c r="H8" s="65">
        <f t="shared" si="6"/>
        <v>58403</v>
      </c>
      <c r="I8" s="33">
        <f t="shared" si="0"/>
        <v>71691</v>
      </c>
      <c r="J8" s="31">
        <v>3894243</v>
      </c>
      <c r="K8" s="65">
        <f t="shared" si="7"/>
        <v>5820</v>
      </c>
      <c r="L8" s="34">
        <v>4099748</v>
      </c>
      <c r="M8" s="65">
        <f t="shared" si="8"/>
        <v>4949</v>
      </c>
      <c r="N8" s="31">
        <v>2557091</v>
      </c>
      <c r="O8" s="65">
        <f t="shared" si="9"/>
        <v>8138</v>
      </c>
      <c r="P8" s="34">
        <v>5242496</v>
      </c>
      <c r="Q8" s="65">
        <f t="shared" si="10"/>
        <v>13698</v>
      </c>
      <c r="R8" s="31">
        <v>10242114</v>
      </c>
      <c r="S8" s="65">
        <f t="shared" si="11"/>
        <v>10831</v>
      </c>
      <c r="T8" s="31">
        <v>0</v>
      </c>
      <c r="U8" s="32"/>
      <c r="V8" s="31">
        <v>6796053</v>
      </c>
      <c r="W8" s="65">
        <f t="shared" si="12"/>
        <v>13312</v>
      </c>
      <c r="X8" s="33">
        <f t="shared" si="1"/>
        <v>56748</v>
      </c>
      <c r="Y8" s="47">
        <f t="shared" si="2"/>
        <v>14943</v>
      </c>
      <c r="Z8" s="31">
        <f t="shared" si="3"/>
        <v>9021.0271216000001</v>
      </c>
      <c r="AA8" s="31">
        <f t="shared" si="13"/>
        <v>34738.826033599995</v>
      </c>
    </row>
    <row r="9" spans="1:27" ht="16.5" thickBot="1" x14ac:dyDescent="0.25">
      <c r="A9" s="6">
        <v>43591</v>
      </c>
      <c r="B9" s="65">
        <v>115</v>
      </c>
      <c r="C9" s="65">
        <v>15485</v>
      </c>
      <c r="D9" s="65">
        <f t="shared" si="4"/>
        <v>320</v>
      </c>
      <c r="E9" s="31">
        <v>16728045</v>
      </c>
      <c r="F9" s="65">
        <f t="shared" si="5"/>
        <v>9484</v>
      </c>
      <c r="G9" s="31">
        <v>45369432</v>
      </c>
      <c r="H9" s="65">
        <f t="shared" si="6"/>
        <v>40501</v>
      </c>
      <c r="I9" s="33">
        <f t="shared" si="0"/>
        <v>49985</v>
      </c>
      <c r="J9" s="31">
        <v>3899118</v>
      </c>
      <c r="K9" s="65">
        <f t="shared" si="7"/>
        <v>4875</v>
      </c>
      <c r="L9" s="34">
        <v>4102917</v>
      </c>
      <c r="M9" s="65">
        <f t="shared" si="8"/>
        <v>3169</v>
      </c>
      <c r="N9" s="31">
        <v>2560203</v>
      </c>
      <c r="O9" s="65">
        <f t="shared" si="9"/>
        <v>6224</v>
      </c>
      <c r="P9" s="34">
        <v>5251417</v>
      </c>
      <c r="Q9" s="65">
        <f t="shared" si="10"/>
        <v>8921</v>
      </c>
      <c r="R9" s="31">
        <v>10249669</v>
      </c>
      <c r="S9" s="65">
        <f t="shared" si="11"/>
        <v>7555</v>
      </c>
      <c r="T9" s="31">
        <v>0</v>
      </c>
      <c r="U9" s="32"/>
      <c r="V9" s="31">
        <v>6805239</v>
      </c>
      <c r="W9" s="65">
        <f t="shared" si="12"/>
        <v>9186</v>
      </c>
      <c r="X9" s="33">
        <f t="shared" si="1"/>
        <v>39930</v>
      </c>
      <c r="Y9" s="47">
        <f t="shared" si="2"/>
        <v>10055</v>
      </c>
      <c r="Z9" s="31">
        <f t="shared" si="3"/>
        <v>6255.8065232000008</v>
      </c>
      <c r="AA9" s="31">
        <f t="shared" si="13"/>
        <v>35756.053444799996</v>
      </c>
    </row>
    <row r="10" spans="1:27" ht="16.5" thickBot="1" x14ac:dyDescent="0.25">
      <c r="A10" s="6">
        <v>43592</v>
      </c>
      <c r="B10" s="65">
        <v>107</v>
      </c>
      <c r="C10" s="65">
        <v>15489</v>
      </c>
      <c r="D10" s="65">
        <f t="shared" si="4"/>
        <v>640</v>
      </c>
      <c r="E10" s="31">
        <v>16748207</v>
      </c>
      <c r="F10" s="65">
        <f t="shared" si="5"/>
        <v>20162</v>
      </c>
      <c r="G10" s="31">
        <v>45440376</v>
      </c>
      <c r="H10" s="65">
        <f t="shared" si="6"/>
        <v>70944</v>
      </c>
      <c r="I10" s="33">
        <f t="shared" si="0"/>
        <v>91106</v>
      </c>
      <c r="J10" s="31">
        <v>3907793</v>
      </c>
      <c r="K10" s="65">
        <f t="shared" si="7"/>
        <v>8675</v>
      </c>
      <c r="L10" s="34">
        <v>4110285</v>
      </c>
      <c r="M10" s="65">
        <f t="shared" si="8"/>
        <v>7368</v>
      </c>
      <c r="N10" s="31">
        <v>2566488</v>
      </c>
      <c r="O10" s="65">
        <f t="shared" si="9"/>
        <v>12570</v>
      </c>
      <c r="P10" s="34">
        <v>5265956</v>
      </c>
      <c r="Q10" s="65">
        <f t="shared" si="10"/>
        <v>14539</v>
      </c>
      <c r="R10" s="31">
        <v>10262794</v>
      </c>
      <c r="S10" s="65">
        <f t="shared" si="11"/>
        <v>13125</v>
      </c>
      <c r="T10" s="31">
        <v>0</v>
      </c>
      <c r="U10" s="32"/>
      <c r="V10" s="31">
        <v>6821915</v>
      </c>
      <c r="W10" s="65">
        <f t="shared" si="12"/>
        <v>16676</v>
      </c>
      <c r="X10" s="33">
        <f t="shared" si="1"/>
        <v>72953</v>
      </c>
      <c r="Y10" s="47">
        <f t="shared" si="2"/>
        <v>18153</v>
      </c>
      <c r="Z10" s="31">
        <f t="shared" si="3"/>
        <v>11157.6713872</v>
      </c>
      <c r="AA10" s="31">
        <f t="shared" si="13"/>
        <v>34656.356196799999</v>
      </c>
    </row>
    <row r="11" spans="1:27" ht="16.5" thickBot="1" x14ac:dyDescent="0.25">
      <c r="A11" s="6">
        <v>43593</v>
      </c>
      <c r="B11" s="65">
        <v>85</v>
      </c>
      <c r="C11" s="65">
        <v>15501</v>
      </c>
      <c r="D11" s="65">
        <f t="shared" si="4"/>
        <v>1920</v>
      </c>
      <c r="E11" s="31">
        <v>16760713</v>
      </c>
      <c r="F11" s="65">
        <f t="shared" si="5"/>
        <v>12506</v>
      </c>
      <c r="G11" s="31">
        <v>45494762</v>
      </c>
      <c r="H11" s="65">
        <f t="shared" si="6"/>
        <v>54386</v>
      </c>
      <c r="I11" s="33">
        <f t="shared" si="0"/>
        <v>66892</v>
      </c>
      <c r="J11" s="31">
        <v>3914278</v>
      </c>
      <c r="K11" s="65">
        <f t="shared" si="7"/>
        <v>6485</v>
      </c>
      <c r="L11" s="34">
        <v>4114769</v>
      </c>
      <c r="M11" s="65">
        <f t="shared" si="8"/>
        <v>4484</v>
      </c>
      <c r="N11" s="31">
        <v>2570414</v>
      </c>
      <c r="O11" s="65">
        <f t="shared" si="9"/>
        <v>7852</v>
      </c>
      <c r="P11" s="34">
        <v>5276570</v>
      </c>
      <c r="Q11" s="65">
        <f t="shared" si="10"/>
        <v>10614</v>
      </c>
      <c r="R11" s="31">
        <v>10272905</v>
      </c>
      <c r="S11" s="65">
        <f t="shared" si="11"/>
        <v>10111</v>
      </c>
      <c r="T11" s="31">
        <v>0</v>
      </c>
      <c r="U11" s="32"/>
      <c r="V11" s="31">
        <v>6835005</v>
      </c>
      <c r="W11" s="65">
        <f t="shared" si="12"/>
        <v>13090</v>
      </c>
      <c r="X11" s="33">
        <f t="shared" si="1"/>
        <v>52636</v>
      </c>
      <c r="Y11" s="47">
        <f t="shared" si="2"/>
        <v>14256</v>
      </c>
      <c r="Z11" s="31">
        <f t="shared" si="3"/>
        <v>8304.5212432000008</v>
      </c>
      <c r="AA11" s="31">
        <f t="shared" si="13"/>
        <v>34739.026275199998</v>
      </c>
    </row>
    <row r="12" spans="1:27" ht="16.5" thickBot="1" x14ac:dyDescent="0.25">
      <c r="A12" s="6">
        <v>43594</v>
      </c>
      <c r="B12" s="65">
        <v>76</v>
      </c>
      <c r="C12" s="65">
        <v>15507</v>
      </c>
      <c r="D12" s="65">
        <f t="shared" si="4"/>
        <v>960</v>
      </c>
      <c r="E12" s="31">
        <v>16770066</v>
      </c>
      <c r="F12" s="65">
        <f t="shared" si="5"/>
        <v>9353</v>
      </c>
      <c r="G12" s="31">
        <v>45528135</v>
      </c>
      <c r="H12" s="65">
        <f t="shared" si="6"/>
        <v>33373</v>
      </c>
      <c r="I12" s="33">
        <f t="shared" si="0"/>
        <v>42726</v>
      </c>
      <c r="J12" s="31">
        <v>3918836</v>
      </c>
      <c r="K12" s="65">
        <f t="shared" si="7"/>
        <v>4558</v>
      </c>
      <c r="L12" s="34">
        <v>4117823</v>
      </c>
      <c r="M12" s="65">
        <f t="shared" si="8"/>
        <v>3054</v>
      </c>
      <c r="N12" s="31">
        <v>2573504</v>
      </c>
      <c r="O12" s="65">
        <f t="shared" si="9"/>
        <v>6180</v>
      </c>
      <c r="P12" s="34">
        <v>5279000</v>
      </c>
      <c r="Q12" s="65">
        <f t="shared" si="10"/>
        <v>2430</v>
      </c>
      <c r="R12" s="31">
        <v>10279993</v>
      </c>
      <c r="S12" s="65">
        <f t="shared" si="11"/>
        <v>7088</v>
      </c>
      <c r="T12" s="31">
        <v>0</v>
      </c>
      <c r="U12" s="32"/>
      <c r="V12" s="31">
        <v>6844336</v>
      </c>
      <c r="W12" s="65">
        <f t="shared" si="12"/>
        <v>9331</v>
      </c>
      <c r="X12" s="33">
        <f t="shared" si="1"/>
        <v>32641</v>
      </c>
      <c r="Y12" s="47">
        <f t="shared" si="2"/>
        <v>10085</v>
      </c>
      <c r="Z12" s="31">
        <f t="shared" si="3"/>
        <v>5231.5933488000001</v>
      </c>
      <c r="AA12" s="31">
        <f t="shared" si="13"/>
        <v>30949.592502400003</v>
      </c>
    </row>
    <row r="13" spans="1:27" ht="16.5" thickBot="1" x14ac:dyDescent="0.25">
      <c r="A13" s="6">
        <v>43595</v>
      </c>
      <c r="B13" s="65">
        <v>133</v>
      </c>
      <c r="C13" s="65">
        <v>15511</v>
      </c>
      <c r="D13" s="65">
        <f t="shared" si="4"/>
        <v>640</v>
      </c>
      <c r="E13" s="31">
        <v>16787077</v>
      </c>
      <c r="F13" s="65">
        <f t="shared" si="5"/>
        <v>17011</v>
      </c>
      <c r="G13" s="31">
        <v>45590585</v>
      </c>
      <c r="H13" s="65">
        <f t="shared" si="6"/>
        <v>62450</v>
      </c>
      <c r="I13" s="33">
        <f t="shared" si="0"/>
        <v>79461</v>
      </c>
      <c r="J13" s="31">
        <v>3926856</v>
      </c>
      <c r="K13" s="65">
        <f t="shared" si="7"/>
        <v>8020</v>
      </c>
      <c r="L13" s="34">
        <v>4123408</v>
      </c>
      <c r="M13" s="65">
        <f t="shared" si="8"/>
        <v>5585</v>
      </c>
      <c r="N13" s="31">
        <v>2579096</v>
      </c>
      <c r="O13" s="65">
        <f t="shared" si="9"/>
        <v>11184</v>
      </c>
      <c r="P13" s="34">
        <v>5283384</v>
      </c>
      <c r="Q13" s="65">
        <f t="shared" si="10"/>
        <v>4384</v>
      </c>
      <c r="R13" s="31">
        <v>10293433</v>
      </c>
      <c r="S13" s="65">
        <f t="shared" si="11"/>
        <v>13440</v>
      </c>
      <c r="T13" s="31">
        <v>0</v>
      </c>
      <c r="U13" s="32"/>
      <c r="V13" s="31">
        <v>6861982</v>
      </c>
      <c r="W13" s="65">
        <f t="shared" si="12"/>
        <v>17646</v>
      </c>
      <c r="X13" s="33">
        <f t="shared" si="1"/>
        <v>60259</v>
      </c>
      <c r="Y13" s="47">
        <f t="shared" si="2"/>
        <v>19202</v>
      </c>
      <c r="Z13" s="31">
        <f t="shared" si="3"/>
        <v>9798.7929312000015</v>
      </c>
      <c r="AA13" s="31">
        <f t="shared" si="13"/>
        <v>34492.5789104</v>
      </c>
    </row>
    <row r="14" spans="1:27" ht="16.5" thickBot="1" x14ac:dyDescent="0.25">
      <c r="A14" s="6">
        <v>43596</v>
      </c>
      <c r="B14" s="65">
        <v>142</v>
      </c>
      <c r="C14" s="65">
        <v>15515</v>
      </c>
      <c r="D14" s="65">
        <f t="shared" si="4"/>
        <v>640</v>
      </c>
      <c r="E14" s="31">
        <v>16798865</v>
      </c>
      <c r="F14" s="65">
        <f t="shared" si="5"/>
        <v>11788</v>
      </c>
      <c r="G14" s="31">
        <v>45636346</v>
      </c>
      <c r="H14" s="65">
        <f t="shared" si="6"/>
        <v>45761</v>
      </c>
      <c r="I14" s="33">
        <f t="shared" si="0"/>
        <v>57549</v>
      </c>
      <c r="J14" s="31">
        <v>3932575</v>
      </c>
      <c r="K14" s="65">
        <f t="shared" si="7"/>
        <v>5719</v>
      </c>
      <c r="L14" s="34">
        <v>4127187</v>
      </c>
      <c r="M14" s="65">
        <f t="shared" si="8"/>
        <v>3779</v>
      </c>
      <c r="N14" s="31">
        <v>2582891</v>
      </c>
      <c r="O14" s="65">
        <f t="shared" si="9"/>
        <v>7590</v>
      </c>
      <c r="P14" s="34">
        <v>5290032</v>
      </c>
      <c r="Q14" s="65">
        <f t="shared" si="10"/>
        <v>6648</v>
      </c>
      <c r="R14" s="31">
        <v>10302513</v>
      </c>
      <c r="S14" s="65">
        <f t="shared" si="11"/>
        <v>9080</v>
      </c>
      <c r="T14" s="31">
        <v>0</v>
      </c>
      <c r="U14" s="32"/>
      <c r="V14" s="31">
        <v>6863963</v>
      </c>
      <c r="W14" s="65">
        <f t="shared" si="12"/>
        <v>1981</v>
      </c>
      <c r="X14" s="33">
        <f t="shared" si="1"/>
        <v>34797</v>
      </c>
      <c r="Y14" s="47">
        <f t="shared" si="2"/>
        <v>22752</v>
      </c>
      <c r="Z14" s="31">
        <f t="shared" si="3"/>
        <v>4745.8796112</v>
      </c>
      <c r="AA14" s="31">
        <f t="shared" si="13"/>
        <v>28080.787134400001</v>
      </c>
    </row>
    <row r="15" spans="1:27" ht="16.5" thickBot="1" x14ac:dyDescent="0.25">
      <c r="A15" s="6">
        <v>43597</v>
      </c>
      <c r="B15" s="65">
        <v>163</v>
      </c>
      <c r="C15" s="65">
        <v>15519</v>
      </c>
      <c r="D15" s="65">
        <f t="shared" si="4"/>
        <v>640</v>
      </c>
      <c r="E15" s="31">
        <v>16811942</v>
      </c>
      <c r="F15" s="65">
        <f t="shared" si="5"/>
        <v>13077</v>
      </c>
      <c r="G15" s="31">
        <v>45694562</v>
      </c>
      <c r="H15" s="65">
        <f t="shared" si="6"/>
        <v>58216</v>
      </c>
      <c r="I15" s="33">
        <f t="shared" si="0"/>
        <v>71293</v>
      </c>
      <c r="J15" s="31">
        <v>3938741</v>
      </c>
      <c r="K15" s="65">
        <f t="shared" si="7"/>
        <v>6166</v>
      </c>
      <c r="L15" s="34">
        <v>4131848</v>
      </c>
      <c r="M15" s="65">
        <f t="shared" si="8"/>
        <v>4661</v>
      </c>
      <c r="N15" s="31">
        <v>2587001</v>
      </c>
      <c r="O15" s="65">
        <f t="shared" si="9"/>
        <v>8220</v>
      </c>
      <c r="P15" s="34">
        <v>5302445</v>
      </c>
      <c r="Q15" s="65">
        <f t="shared" si="10"/>
        <v>12413</v>
      </c>
      <c r="R15" s="31">
        <v>10313151</v>
      </c>
      <c r="S15" s="65">
        <f t="shared" si="11"/>
        <v>10638</v>
      </c>
      <c r="T15" s="31">
        <v>0</v>
      </c>
      <c r="U15" s="32"/>
      <c r="V15" s="31">
        <v>6887843</v>
      </c>
      <c r="W15" s="65">
        <f t="shared" si="12"/>
        <v>23880</v>
      </c>
      <c r="X15" s="33">
        <f t="shared" si="1"/>
        <v>65978</v>
      </c>
      <c r="Y15" s="47">
        <f t="shared" si="2"/>
        <v>5315</v>
      </c>
      <c r="Z15" s="31">
        <f t="shared" si="3"/>
        <v>11365.041417599999</v>
      </c>
      <c r="AA15" s="31">
        <f t="shared" si="13"/>
        <v>31141.307308800002</v>
      </c>
    </row>
    <row r="16" spans="1:27" ht="16.5" thickBot="1" x14ac:dyDescent="0.25">
      <c r="A16" s="6">
        <v>43598</v>
      </c>
      <c r="B16" s="65">
        <v>138</v>
      </c>
      <c r="C16" s="65">
        <v>15523</v>
      </c>
      <c r="D16" s="65">
        <f t="shared" si="4"/>
        <v>640</v>
      </c>
      <c r="E16" s="31">
        <v>16823535</v>
      </c>
      <c r="F16" s="65">
        <f t="shared" si="5"/>
        <v>11593</v>
      </c>
      <c r="G16" s="31">
        <v>45746806</v>
      </c>
      <c r="H16" s="65">
        <f t="shared" si="6"/>
        <v>52244</v>
      </c>
      <c r="I16" s="33">
        <f t="shared" si="0"/>
        <v>63837</v>
      </c>
      <c r="J16" s="31">
        <v>3944659</v>
      </c>
      <c r="K16" s="65">
        <f t="shared" si="7"/>
        <v>5918</v>
      </c>
      <c r="L16" s="34">
        <v>4135923</v>
      </c>
      <c r="M16" s="65">
        <f t="shared" si="8"/>
        <v>4075</v>
      </c>
      <c r="N16" s="31">
        <v>2590706</v>
      </c>
      <c r="O16" s="65">
        <f t="shared" si="9"/>
        <v>7410</v>
      </c>
      <c r="P16" s="34">
        <v>5314050</v>
      </c>
      <c r="Q16" s="65">
        <f t="shared" si="10"/>
        <v>11605</v>
      </c>
      <c r="R16" s="31">
        <v>10323026</v>
      </c>
      <c r="S16" s="65">
        <f t="shared" si="11"/>
        <v>9875</v>
      </c>
      <c r="T16" s="31">
        <v>0</v>
      </c>
      <c r="U16" s="32"/>
      <c r="V16" s="31">
        <v>6899728</v>
      </c>
      <c r="W16" s="65">
        <f t="shared" si="12"/>
        <v>11885</v>
      </c>
      <c r="X16" s="33">
        <f t="shared" si="1"/>
        <v>50768</v>
      </c>
      <c r="Y16" s="47">
        <f t="shared" si="2"/>
        <v>13069</v>
      </c>
      <c r="Z16" s="31">
        <f t="shared" si="3"/>
        <v>8034.2462720000003</v>
      </c>
      <c r="AA16" s="31">
        <f t="shared" si="13"/>
        <v>33943.960231999998</v>
      </c>
    </row>
    <row r="17" spans="1:27" ht="16.5" thickBot="1" x14ac:dyDescent="0.25">
      <c r="A17" s="6">
        <v>43599</v>
      </c>
      <c r="B17" s="65">
        <v>113</v>
      </c>
      <c r="C17" s="65">
        <v>15528</v>
      </c>
      <c r="D17" s="65">
        <f t="shared" si="4"/>
        <v>800</v>
      </c>
      <c r="E17" s="31">
        <v>16833240</v>
      </c>
      <c r="F17" s="65">
        <f t="shared" si="5"/>
        <v>9705</v>
      </c>
      <c r="G17" s="31">
        <v>45789919</v>
      </c>
      <c r="H17" s="65">
        <f t="shared" si="6"/>
        <v>43113</v>
      </c>
      <c r="I17" s="33">
        <f t="shared" si="0"/>
        <v>52818</v>
      </c>
      <c r="J17" s="31">
        <v>3949431</v>
      </c>
      <c r="K17" s="65">
        <f t="shared" si="7"/>
        <v>4772</v>
      </c>
      <c r="L17" s="34">
        <v>4139224</v>
      </c>
      <c r="M17" s="65">
        <f t="shared" si="8"/>
        <v>3301</v>
      </c>
      <c r="N17" s="31">
        <v>2593838</v>
      </c>
      <c r="O17" s="65">
        <f t="shared" si="9"/>
        <v>6264</v>
      </c>
      <c r="P17" s="34">
        <v>5323798</v>
      </c>
      <c r="Q17" s="65">
        <f t="shared" si="10"/>
        <v>9748</v>
      </c>
      <c r="R17" s="31">
        <v>10331205</v>
      </c>
      <c r="S17" s="65">
        <f t="shared" si="11"/>
        <v>8179</v>
      </c>
      <c r="T17" s="31">
        <v>0</v>
      </c>
      <c r="U17" s="32"/>
      <c r="V17" s="31">
        <v>6909416</v>
      </c>
      <c r="W17" s="65">
        <f t="shared" si="12"/>
        <v>9688</v>
      </c>
      <c r="X17" s="33">
        <f t="shared" si="1"/>
        <v>41952</v>
      </c>
      <c r="Y17" s="47">
        <f t="shared" si="2"/>
        <v>10866</v>
      </c>
      <c r="Z17" s="31">
        <f t="shared" si="3"/>
        <v>6654.6176944000008</v>
      </c>
      <c r="AA17" s="31">
        <f t="shared" si="13"/>
        <v>30799.7849952</v>
      </c>
    </row>
    <row r="18" spans="1:27" ht="16.5" thickBot="1" x14ac:dyDescent="0.25">
      <c r="A18" s="6">
        <v>43600</v>
      </c>
      <c r="B18" s="65">
        <v>120</v>
      </c>
      <c r="C18" s="65">
        <v>15532</v>
      </c>
      <c r="D18" s="65">
        <f t="shared" si="4"/>
        <v>640</v>
      </c>
      <c r="E18" s="31">
        <v>16849667</v>
      </c>
      <c r="F18" s="65">
        <f t="shared" si="5"/>
        <v>16427</v>
      </c>
      <c r="G18" s="31">
        <v>45860987</v>
      </c>
      <c r="H18" s="65">
        <f t="shared" si="6"/>
        <v>71068</v>
      </c>
      <c r="I18" s="33">
        <f t="shared" si="0"/>
        <v>87495</v>
      </c>
      <c r="J18" s="31">
        <v>3957044</v>
      </c>
      <c r="K18" s="65">
        <f t="shared" si="7"/>
        <v>7613</v>
      </c>
      <c r="L18" s="34">
        <v>4144883</v>
      </c>
      <c r="M18" s="65">
        <f t="shared" si="8"/>
        <v>5659</v>
      </c>
      <c r="N18" s="31">
        <v>2599019</v>
      </c>
      <c r="O18" s="65">
        <f t="shared" si="9"/>
        <v>10362</v>
      </c>
      <c r="P18" s="34">
        <v>5340306</v>
      </c>
      <c r="Q18" s="65">
        <f t="shared" si="10"/>
        <v>16508</v>
      </c>
      <c r="R18" s="31">
        <v>10344318</v>
      </c>
      <c r="S18" s="65">
        <f t="shared" si="11"/>
        <v>13113</v>
      </c>
      <c r="T18" s="31">
        <v>0</v>
      </c>
      <c r="U18" s="32"/>
      <c r="V18" s="31">
        <v>6925654</v>
      </c>
      <c r="W18" s="65">
        <f t="shared" si="12"/>
        <v>16238</v>
      </c>
      <c r="X18" s="33">
        <f t="shared" si="1"/>
        <v>69493</v>
      </c>
      <c r="Y18" s="47">
        <f t="shared" si="2"/>
        <v>18002</v>
      </c>
      <c r="Z18" s="31">
        <f t="shared" si="3"/>
        <v>11013.8499952</v>
      </c>
      <c r="AA18" s="31">
        <f t="shared" si="13"/>
        <v>37067.755379200004</v>
      </c>
    </row>
    <row r="19" spans="1:27" ht="16.5" thickBot="1" x14ac:dyDescent="0.25">
      <c r="A19" s="6">
        <v>43601</v>
      </c>
      <c r="B19" s="65">
        <v>116</v>
      </c>
      <c r="C19" s="65">
        <v>15537</v>
      </c>
      <c r="D19" s="65">
        <f t="shared" si="4"/>
        <v>800</v>
      </c>
      <c r="E19" s="31">
        <v>16863594</v>
      </c>
      <c r="F19" s="65">
        <f t="shared" si="5"/>
        <v>13927</v>
      </c>
      <c r="G19" s="31">
        <v>45922265</v>
      </c>
      <c r="H19" s="65">
        <f t="shared" si="6"/>
        <v>61278</v>
      </c>
      <c r="I19" s="33">
        <f t="shared" si="0"/>
        <v>75205</v>
      </c>
      <c r="J19" s="31">
        <v>3963694</v>
      </c>
      <c r="K19" s="65">
        <f t="shared" si="7"/>
        <v>6650</v>
      </c>
      <c r="L19" s="34">
        <v>4149587</v>
      </c>
      <c r="M19" s="65">
        <f t="shared" si="8"/>
        <v>4704</v>
      </c>
      <c r="N19" s="31">
        <v>2603552</v>
      </c>
      <c r="O19" s="65">
        <f t="shared" si="9"/>
        <v>9066</v>
      </c>
      <c r="P19" s="34">
        <v>5355058</v>
      </c>
      <c r="Q19" s="65">
        <f t="shared" si="10"/>
        <v>14752</v>
      </c>
      <c r="R19" s="31">
        <v>10355430</v>
      </c>
      <c r="S19" s="65">
        <f t="shared" si="11"/>
        <v>11112</v>
      </c>
      <c r="T19" s="31">
        <v>0</v>
      </c>
      <c r="U19" s="32"/>
      <c r="V19" s="31">
        <v>6939326</v>
      </c>
      <c r="W19" s="65">
        <f t="shared" si="12"/>
        <v>13672</v>
      </c>
      <c r="X19" s="33">
        <f t="shared" si="1"/>
        <v>59956</v>
      </c>
      <c r="Y19" s="47">
        <f t="shared" si="2"/>
        <v>15249</v>
      </c>
      <c r="Z19" s="31">
        <f t="shared" si="3"/>
        <v>9463.5377408000004</v>
      </c>
      <c r="AA19" s="31">
        <f t="shared" si="13"/>
        <v>35166.251702399997</v>
      </c>
    </row>
    <row r="20" spans="1:27" ht="16.5" thickBot="1" x14ac:dyDescent="0.25">
      <c r="A20" s="6">
        <v>43602</v>
      </c>
      <c r="B20" s="65">
        <v>115</v>
      </c>
      <c r="C20" s="65">
        <v>15542</v>
      </c>
      <c r="D20" s="65">
        <f>IF((C20-C19)&lt;0,"0",(C20-C19))*160</f>
        <v>800</v>
      </c>
      <c r="E20" s="31">
        <v>16876302</v>
      </c>
      <c r="F20" s="65">
        <f t="shared" si="5"/>
        <v>12708</v>
      </c>
      <c r="G20" s="31">
        <v>45978510</v>
      </c>
      <c r="H20" s="65">
        <f t="shared" si="6"/>
        <v>56245</v>
      </c>
      <c r="I20" s="33">
        <f t="shared" si="0"/>
        <v>68953</v>
      </c>
      <c r="J20" s="31">
        <v>3969317</v>
      </c>
      <c r="K20" s="65">
        <f t="shared" si="7"/>
        <v>5623</v>
      </c>
      <c r="L20" s="34">
        <v>4150858</v>
      </c>
      <c r="M20" s="65">
        <f t="shared" si="8"/>
        <v>1271</v>
      </c>
      <c r="N20" s="31">
        <v>2607677</v>
      </c>
      <c r="O20" s="65">
        <f t="shared" si="9"/>
        <v>8250</v>
      </c>
      <c r="P20" s="34">
        <v>5368533</v>
      </c>
      <c r="Q20" s="65">
        <f t="shared" si="10"/>
        <v>13475</v>
      </c>
      <c r="R20" s="31">
        <v>10365508</v>
      </c>
      <c r="S20" s="65">
        <f t="shared" si="11"/>
        <v>10078</v>
      </c>
      <c r="T20" s="31">
        <v>0</v>
      </c>
      <c r="U20" s="32"/>
      <c r="V20" s="31">
        <v>6952146</v>
      </c>
      <c r="W20" s="65">
        <f t="shared" si="12"/>
        <v>12820</v>
      </c>
      <c r="X20" s="33">
        <f t="shared" si="1"/>
        <v>51517</v>
      </c>
      <c r="Y20" s="47">
        <f t="shared" si="2"/>
        <v>17436</v>
      </c>
      <c r="Z20" s="31">
        <f t="shared" si="3"/>
        <v>8702.7774496000002</v>
      </c>
      <c r="AA20" s="31">
        <f t="shared" si="13"/>
        <v>35834.782879999999</v>
      </c>
    </row>
    <row r="21" spans="1:27" ht="16.5" thickBot="1" x14ac:dyDescent="0.25">
      <c r="A21" s="6">
        <v>43603</v>
      </c>
      <c r="B21" s="65">
        <v>157</v>
      </c>
      <c r="C21" s="65">
        <v>15547</v>
      </c>
      <c r="D21" s="65">
        <f>IF((C21-C20)&lt;0,"0",(C21-C20))*160</f>
        <v>800</v>
      </c>
      <c r="E21" s="31">
        <v>16888906</v>
      </c>
      <c r="F21" s="65">
        <f t="shared" si="5"/>
        <v>12604</v>
      </c>
      <c r="G21" s="31">
        <v>46033260</v>
      </c>
      <c r="H21" s="65">
        <f t="shared" si="6"/>
        <v>54750</v>
      </c>
      <c r="I21" s="33">
        <f t="shared" si="0"/>
        <v>67354</v>
      </c>
      <c r="J21" s="31">
        <v>3975276</v>
      </c>
      <c r="K21" s="65">
        <f t="shared" si="7"/>
        <v>5959</v>
      </c>
      <c r="L21" s="34">
        <v>4158254</v>
      </c>
      <c r="M21" s="65">
        <f t="shared" si="8"/>
        <v>7396</v>
      </c>
      <c r="N21" s="31">
        <v>2611714</v>
      </c>
      <c r="O21" s="65">
        <f t="shared" si="9"/>
        <v>8074</v>
      </c>
      <c r="P21" s="34">
        <v>5381209</v>
      </c>
      <c r="Q21" s="65">
        <f t="shared" si="10"/>
        <v>12676</v>
      </c>
      <c r="R21" s="31">
        <v>10375808</v>
      </c>
      <c r="S21" s="65">
        <f t="shared" si="11"/>
        <v>10300</v>
      </c>
      <c r="T21" s="31">
        <v>0</v>
      </c>
      <c r="U21" s="32"/>
      <c r="V21" s="31">
        <v>6964584</v>
      </c>
      <c r="W21" s="65">
        <f t="shared" si="12"/>
        <v>12438</v>
      </c>
      <c r="X21" s="33">
        <f t="shared" si="1"/>
        <v>56843</v>
      </c>
      <c r="Y21" s="47">
        <f t="shared" si="2"/>
        <v>10511</v>
      </c>
      <c r="Z21" s="31">
        <f t="shared" si="3"/>
        <v>8522.7942175999997</v>
      </c>
      <c r="AA21" s="31">
        <f t="shared" si="13"/>
        <v>37702.959403200002</v>
      </c>
    </row>
    <row r="22" spans="1:27" ht="16.5" thickBot="1" x14ac:dyDescent="0.25">
      <c r="A22" s="6">
        <v>43604</v>
      </c>
      <c r="B22" s="65">
        <v>181</v>
      </c>
      <c r="C22" s="65">
        <v>15552</v>
      </c>
      <c r="D22" s="65">
        <f>IF((C22-C21)&lt;0,"0",(C22-C21))*160</f>
        <v>800</v>
      </c>
      <c r="E22" s="31">
        <v>16902437</v>
      </c>
      <c r="F22" s="65">
        <f t="shared" si="5"/>
        <v>13531</v>
      </c>
      <c r="G22" s="31">
        <v>46092220</v>
      </c>
      <c r="H22" s="65">
        <f t="shared" si="6"/>
        <v>58960</v>
      </c>
      <c r="I22" s="33">
        <f t="shared" si="0"/>
        <v>72491</v>
      </c>
      <c r="J22" s="31">
        <v>3981702</v>
      </c>
      <c r="K22" s="65">
        <f t="shared" si="7"/>
        <v>6426</v>
      </c>
      <c r="L22" s="34">
        <v>4163108</v>
      </c>
      <c r="M22" s="65">
        <f t="shared" si="8"/>
        <v>4854</v>
      </c>
      <c r="N22" s="31">
        <v>2615958</v>
      </c>
      <c r="O22" s="65">
        <f t="shared" si="9"/>
        <v>8488</v>
      </c>
      <c r="P22" s="34">
        <v>5394707</v>
      </c>
      <c r="Q22" s="65">
        <f t="shared" si="10"/>
        <v>13498</v>
      </c>
      <c r="R22" s="31">
        <v>10386936</v>
      </c>
      <c r="S22" s="65">
        <f t="shared" si="11"/>
        <v>11128</v>
      </c>
      <c r="T22" s="31">
        <v>0</v>
      </c>
      <c r="U22" s="32"/>
      <c r="V22" s="31">
        <v>6977960</v>
      </c>
      <c r="W22" s="65">
        <f t="shared" si="12"/>
        <v>13376</v>
      </c>
      <c r="X22" s="33">
        <f t="shared" si="1"/>
        <v>57770</v>
      </c>
      <c r="Y22" s="47">
        <f t="shared" si="2"/>
        <v>14721</v>
      </c>
      <c r="Z22" s="31">
        <f t="shared" si="3"/>
        <v>9130.362508799999</v>
      </c>
      <c r="AA22" s="31">
        <f t="shared" si="13"/>
        <v>35819.471916800001</v>
      </c>
    </row>
    <row r="23" spans="1:27" ht="16.5" thickBot="1" x14ac:dyDescent="0.25">
      <c r="A23" s="6">
        <v>43605</v>
      </c>
      <c r="B23" s="65">
        <v>165</v>
      </c>
      <c r="C23" s="65">
        <v>15557</v>
      </c>
      <c r="D23" s="65">
        <f t="shared" si="4"/>
        <v>800</v>
      </c>
      <c r="E23" s="31">
        <v>16911119</v>
      </c>
      <c r="F23" s="65">
        <f t="shared" si="5"/>
        <v>8682</v>
      </c>
      <c r="G23" s="31">
        <v>46130878</v>
      </c>
      <c r="H23" s="65">
        <f t="shared" si="6"/>
        <v>38658</v>
      </c>
      <c r="I23" s="33">
        <f t="shared" si="0"/>
        <v>47340</v>
      </c>
      <c r="J23" s="31">
        <v>3985997</v>
      </c>
      <c r="K23" s="65">
        <f t="shared" si="7"/>
        <v>4295</v>
      </c>
      <c r="L23" s="34">
        <v>4166127</v>
      </c>
      <c r="M23" s="65">
        <f t="shared" si="8"/>
        <v>3019</v>
      </c>
      <c r="N23" s="31">
        <v>2618742</v>
      </c>
      <c r="O23" s="65">
        <f t="shared" si="9"/>
        <v>5568</v>
      </c>
      <c r="P23" s="34">
        <v>5403382</v>
      </c>
      <c r="Q23" s="65">
        <f t="shared" si="10"/>
        <v>8675</v>
      </c>
      <c r="R23" s="31">
        <v>10393994</v>
      </c>
      <c r="S23" s="65">
        <f t="shared" si="11"/>
        <v>7058</v>
      </c>
      <c r="T23" s="31">
        <v>0</v>
      </c>
      <c r="U23" s="32"/>
      <c r="V23" s="31">
        <v>6986605</v>
      </c>
      <c r="W23" s="65">
        <f t="shared" si="12"/>
        <v>8645</v>
      </c>
      <c r="X23" s="33">
        <f t="shared" si="1"/>
        <v>37260</v>
      </c>
      <c r="Y23" s="47">
        <f t="shared" si="2"/>
        <v>10080</v>
      </c>
      <c r="Z23" s="31">
        <f t="shared" si="3"/>
        <v>5873.2874096000005</v>
      </c>
      <c r="AA23" s="31">
        <f t="shared" si="13"/>
        <v>32229.221585599997</v>
      </c>
    </row>
    <row r="24" spans="1:27" ht="16.5" thickBot="1" x14ac:dyDescent="0.25">
      <c r="A24" s="6">
        <v>43606</v>
      </c>
      <c r="B24" s="65">
        <v>139</v>
      </c>
      <c r="C24" s="65">
        <v>15557</v>
      </c>
      <c r="D24" s="65">
        <f t="shared" si="4"/>
        <v>0</v>
      </c>
      <c r="E24" s="31">
        <v>16928672</v>
      </c>
      <c r="F24" s="65">
        <f t="shared" si="5"/>
        <v>17553</v>
      </c>
      <c r="G24" s="31">
        <v>46205330</v>
      </c>
      <c r="H24" s="65">
        <f t="shared" si="6"/>
        <v>74452</v>
      </c>
      <c r="I24" s="33">
        <f t="shared" si="0"/>
        <v>92005</v>
      </c>
      <c r="J24" s="31">
        <v>3993960</v>
      </c>
      <c r="K24" s="65">
        <f t="shared" si="7"/>
        <v>7963</v>
      </c>
      <c r="L24" s="34">
        <v>4172138</v>
      </c>
      <c r="M24" s="65">
        <f t="shared" si="8"/>
        <v>6011</v>
      </c>
      <c r="N24" s="31">
        <v>2624412</v>
      </c>
      <c r="O24" s="65">
        <f t="shared" si="9"/>
        <v>11340</v>
      </c>
      <c r="P24" s="34">
        <v>5422104</v>
      </c>
      <c r="Q24" s="65">
        <f t="shared" si="10"/>
        <v>18722</v>
      </c>
      <c r="R24" s="31">
        <v>10408137</v>
      </c>
      <c r="S24" s="65">
        <f t="shared" si="11"/>
        <v>14143</v>
      </c>
      <c r="T24" s="31">
        <v>0</v>
      </c>
      <c r="U24" s="32"/>
      <c r="V24" s="31">
        <v>7003143</v>
      </c>
      <c r="W24" s="65">
        <f t="shared" si="12"/>
        <v>16538</v>
      </c>
      <c r="X24" s="33">
        <f t="shared" si="1"/>
        <v>74717</v>
      </c>
      <c r="Y24" s="47">
        <f t="shared" si="2"/>
        <v>17288</v>
      </c>
      <c r="Z24" s="31">
        <f t="shared" si="3"/>
        <v>11798.7606672</v>
      </c>
      <c r="AA24" s="31">
        <f t="shared" si="13"/>
        <v>35325.204803200002</v>
      </c>
    </row>
    <row r="25" spans="1:27" ht="16.5" thickBot="1" x14ac:dyDescent="0.25">
      <c r="A25" s="6">
        <v>43607</v>
      </c>
      <c r="B25" s="65">
        <v>132</v>
      </c>
      <c r="C25" s="65">
        <v>15567</v>
      </c>
      <c r="D25" s="65">
        <f t="shared" si="4"/>
        <v>1600</v>
      </c>
      <c r="E25" s="31">
        <v>16938627</v>
      </c>
      <c r="F25" s="65">
        <f t="shared" si="5"/>
        <v>9955</v>
      </c>
      <c r="G25" s="31">
        <v>46242915</v>
      </c>
      <c r="H25" s="65">
        <f t="shared" si="6"/>
        <v>37585</v>
      </c>
      <c r="I25" s="33">
        <f t="shared" si="0"/>
        <v>47540</v>
      </c>
      <c r="J25" s="31">
        <v>3998047</v>
      </c>
      <c r="K25" s="65">
        <f t="shared" si="7"/>
        <v>4087</v>
      </c>
      <c r="L25" s="34">
        <v>4175534</v>
      </c>
      <c r="M25" s="65">
        <f t="shared" si="8"/>
        <v>3396</v>
      </c>
      <c r="N25" s="31">
        <v>2627626</v>
      </c>
      <c r="O25" s="65">
        <f t="shared" si="9"/>
        <v>6428</v>
      </c>
      <c r="P25" s="34">
        <v>5431577</v>
      </c>
      <c r="Q25" s="65">
        <f t="shared" si="10"/>
        <v>9473</v>
      </c>
      <c r="R25" s="31">
        <v>10415140</v>
      </c>
      <c r="S25" s="65">
        <f t="shared" si="11"/>
        <v>7003</v>
      </c>
      <c r="T25" s="31">
        <v>0</v>
      </c>
      <c r="U25" s="32"/>
      <c r="V25" s="31">
        <v>7011300</v>
      </c>
      <c r="W25" s="65">
        <f t="shared" si="12"/>
        <v>8157</v>
      </c>
      <c r="X25" s="33">
        <f t="shared" si="1"/>
        <v>38544</v>
      </c>
      <c r="Y25" s="47">
        <f t="shared" si="2"/>
        <v>8996</v>
      </c>
      <c r="Z25" s="31">
        <f t="shared" si="3"/>
        <v>5981.5183999999999</v>
      </c>
      <c r="AA25" s="31">
        <f t="shared" si="13"/>
        <v>32783.928985599996</v>
      </c>
    </row>
    <row r="26" spans="1:27" ht="16.5" thickBot="1" x14ac:dyDescent="0.25">
      <c r="A26" s="6">
        <v>43608</v>
      </c>
      <c r="B26" s="65">
        <v>118</v>
      </c>
      <c r="C26" s="65">
        <v>15572</v>
      </c>
      <c r="D26" s="65">
        <f t="shared" si="4"/>
        <v>800</v>
      </c>
      <c r="E26" s="31">
        <v>16962403</v>
      </c>
      <c r="F26" s="65">
        <f t="shared" si="5"/>
        <v>23776</v>
      </c>
      <c r="G26" s="31">
        <v>46326805</v>
      </c>
      <c r="H26" s="65">
        <f t="shared" si="6"/>
        <v>83890</v>
      </c>
      <c r="I26" s="33">
        <f t="shared" si="0"/>
        <v>107666</v>
      </c>
      <c r="J26" s="31">
        <v>4004065</v>
      </c>
      <c r="K26" s="65">
        <f t="shared" si="7"/>
        <v>6018</v>
      </c>
      <c r="L26" s="34">
        <v>4186476</v>
      </c>
      <c r="M26" s="65">
        <f t="shared" si="8"/>
        <v>10942</v>
      </c>
      <c r="N26" s="31">
        <v>2633930</v>
      </c>
      <c r="O26" s="65">
        <f t="shared" si="9"/>
        <v>12608</v>
      </c>
      <c r="P26" s="34">
        <v>5456809</v>
      </c>
      <c r="Q26" s="65">
        <f t="shared" si="10"/>
        <v>25232</v>
      </c>
      <c r="R26" s="31">
        <v>10430273</v>
      </c>
      <c r="S26" s="65">
        <f t="shared" si="11"/>
        <v>15133</v>
      </c>
      <c r="T26" s="31">
        <v>0</v>
      </c>
      <c r="U26" s="32"/>
      <c r="V26" s="31">
        <v>7029288</v>
      </c>
      <c r="W26" s="65">
        <f t="shared" si="12"/>
        <v>17988</v>
      </c>
      <c r="X26" s="33">
        <f t="shared" si="1"/>
        <v>87921</v>
      </c>
      <c r="Y26" s="47">
        <f t="shared" si="2"/>
        <v>19745</v>
      </c>
      <c r="Z26" s="31">
        <f t="shared" si="3"/>
        <v>13516.9912592</v>
      </c>
      <c r="AA26" s="31">
        <f t="shared" si="13"/>
        <v>37170.557736000002</v>
      </c>
    </row>
    <row r="27" spans="1:27" ht="16.5" thickBot="1" x14ac:dyDescent="0.25">
      <c r="A27" s="6">
        <v>43609</v>
      </c>
      <c r="B27" s="65">
        <v>137</v>
      </c>
      <c r="C27" s="65">
        <v>15577</v>
      </c>
      <c r="D27" s="65">
        <f t="shared" si="4"/>
        <v>800</v>
      </c>
      <c r="E27" s="31">
        <v>16984339</v>
      </c>
      <c r="F27" s="65">
        <f t="shared" si="5"/>
        <v>21936</v>
      </c>
      <c r="G27" s="31">
        <v>46386026</v>
      </c>
      <c r="H27" s="65">
        <f t="shared" si="6"/>
        <v>59221</v>
      </c>
      <c r="I27" s="33">
        <f t="shared" si="0"/>
        <v>81157</v>
      </c>
      <c r="J27" s="31">
        <v>4009650</v>
      </c>
      <c r="K27" s="65">
        <f t="shared" si="7"/>
        <v>5585</v>
      </c>
      <c r="L27" s="34">
        <v>4193439</v>
      </c>
      <c r="M27" s="65">
        <f t="shared" si="8"/>
        <v>6963</v>
      </c>
      <c r="N27" s="31">
        <v>2641292</v>
      </c>
      <c r="O27" s="65">
        <f t="shared" si="9"/>
        <v>14724</v>
      </c>
      <c r="P27" s="34">
        <v>5471618</v>
      </c>
      <c r="Q27" s="65">
        <f t="shared" si="10"/>
        <v>14809</v>
      </c>
      <c r="R27" s="31">
        <v>10441220</v>
      </c>
      <c r="S27" s="65">
        <f t="shared" si="11"/>
        <v>10947</v>
      </c>
      <c r="T27" s="31">
        <v>0</v>
      </c>
      <c r="U27" s="32"/>
      <c r="V27" s="31">
        <v>7042602</v>
      </c>
      <c r="W27" s="65">
        <f t="shared" si="12"/>
        <v>13314</v>
      </c>
      <c r="X27" s="33">
        <f t="shared" si="1"/>
        <v>66342</v>
      </c>
      <c r="Y27" s="47">
        <f t="shared" si="2"/>
        <v>14815</v>
      </c>
      <c r="Z27" s="31">
        <f t="shared" si="3"/>
        <v>10163.9468112</v>
      </c>
      <c r="AA27" s="31">
        <f t="shared" si="13"/>
        <v>41461.217137600004</v>
      </c>
    </row>
    <row r="28" spans="1:27" ht="16.5" thickBot="1" x14ac:dyDescent="0.25">
      <c r="A28" s="6">
        <v>43610</v>
      </c>
      <c r="B28" s="65">
        <v>135</v>
      </c>
      <c r="C28" s="65">
        <v>15582</v>
      </c>
      <c r="D28" s="65">
        <f t="shared" si="4"/>
        <v>800</v>
      </c>
      <c r="E28" s="31">
        <v>17004421</v>
      </c>
      <c r="F28" s="65">
        <f t="shared" si="5"/>
        <v>20082</v>
      </c>
      <c r="G28" s="31">
        <v>46442532</v>
      </c>
      <c r="H28" s="65">
        <f t="shared" si="6"/>
        <v>56506</v>
      </c>
      <c r="I28" s="33">
        <f t="shared" si="0"/>
        <v>76588</v>
      </c>
      <c r="J28" s="31">
        <v>4015629</v>
      </c>
      <c r="K28" s="65">
        <f t="shared" si="7"/>
        <v>5979</v>
      </c>
      <c r="L28" s="34">
        <v>4200235</v>
      </c>
      <c r="M28" s="65">
        <f t="shared" si="8"/>
        <v>6796</v>
      </c>
      <c r="N28" s="31">
        <v>2647860</v>
      </c>
      <c r="O28" s="65">
        <f t="shared" si="9"/>
        <v>13136</v>
      </c>
      <c r="P28" s="34">
        <v>5484689</v>
      </c>
      <c r="Q28" s="65">
        <f t="shared" si="10"/>
        <v>13071</v>
      </c>
      <c r="R28" s="31">
        <v>10451815</v>
      </c>
      <c r="S28" s="65">
        <f t="shared" si="11"/>
        <v>10595</v>
      </c>
      <c r="T28" s="31">
        <v>0</v>
      </c>
      <c r="U28" s="32"/>
      <c r="V28" s="31">
        <v>7055570</v>
      </c>
      <c r="W28" s="65">
        <f t="shared" si="12"/>
        <v>12968</v>
      </c>
      <c r="X28" s="33">
        <f t="shared" si="1"/>
        <v>62545</v>
      </c>
      <c r="Y28" s="47">
        <f t="shared" si="2"/>
        <v>14043</v>
      </c>
      <c r="Z28" s="31">
        <f t="shared" si="3"/>
        <v>9513.0332335999992</v>
      </c>
      <c r="AA28" s="31">
        <f t="shared" si="13"/>
        <v>39175.489704</v>
      </c>
    </row>
    <row r="29" spans="1:27" ht="16.5" thickBot="1" x14ac:dyDescent="0.25">
      <c r="A29" s="6">
        <v>43611</v>
      </c>
      <c r="B29" s="65">
        <v>127</v>
      </c>
      <c r="C29" s="65">
        <v>15588</v>
      </c>
      <c r="D29" s="65">
        <f t="shared" si="4"/>
        <v>960</v>
      </c>
      <c r="E29" s="31">
        <v>17022864</v>
      </c>
      <c r="F29" s="65">
        <f t="shared" si="5"/>
        <v>18443</v>
      </c>
      <c r="G29" s="31">
        <v>46501331</v>
      </c>
      <c r="H29" s="65">
        <f t="shared" si="6"/>
        <v>58799</v>
      </c>
      <c r="I29" s="33">
        <f t="shared" si="0"/>
        <v>77242</v>
      </c>
      <c r="J29" s="31">
        <v>4021855</v>
      </c>
      <c r="K29" s="65">
        <f t="shared" si="7"/>
        <v>6226</v>
      </c>
      <c r="L29" s="34">
        <v>4201855</v>
      </c>
      <c r="M29" s="65">
        <f t="shared" si="8"/>
        <v>1620</v>
      </c>
      <c r="N29" s="31">
        <v>2653618</v>
      </c>
      <c r="O29" s="65">
        <f t="shared" si="9"/>
        <v>11516</v>
      </c>
      <c r="P29" s="34">
        <v>5498584</v>
      </c>
      <c r="Q29" s="65">
        <f t="shared" si="10"/>
        <v>13895</v>
      </c>
      <c r="R29" s="31">
        <v>10462958</v>
      </c>
      <c r="S29" s="65">
        <f t="shared" si="11"/>
        <v>11143</v>
      </c>
      <c r="T29" s="31">
        <v>0</v>
      </c>
      <c r="U29" s="32"/>
      <c r="V29" s="31">
        <v>7068748</v>
      </c>
      <c r="W29" s="65">
        <f t="shared" si="12"/>
        <v>13178</v>
      </c>
      <c r="X29" s="33">
        <f t="shared" si="1"/>
        <v>57578</v>
      </c>
      <c r="Y29" s="47">
        <f t="shared" si="2"/>
        <v>19664</v>
      </c>
      <c r="Z29" s="31">
        <f t="shared" si="3"/>
        <v>9581.7760271999996</v>
      </c>
      <c r="AA29" s="31">
        <f t="shared" si="13"/>
        <v>42775.7473312</v>
      </c>
    </row>
    <row r="30" spans="1:27" ht="16.5" thickBot="1" x14ac:dyDescent="0.25">
      <c r="A30" s="6">
        <v>43612</v>
      </c>
      <c r="B30" s="65">
        <v>124</v>
      </c>
      <c r="C30" s="65">
        <v>15594</v>
      </c>
      <c r="D30" s="65">
        <f t="shared" si="4"/>
        <v>960</v>
      </c>
      <c r="E30" s="31">
        <v>17036218</v>
      </c>
      <c r="F30" s="65">
        <f t="shared" si="5"/>
        <v>13354</v>
      </c>
      <c r="G30" s="31">
        <v>46557377</v>
      </c>
      <c r="H30" s="65">
        <f t="shared" si="6"/>
        <v>56046</v>
      </c>
      <c r="I30" s="33">
        <f t="shared" si="0"/>
        <v>69400</v>
      </c>
      <c r="J30" s="31">
        <v>4027923</v>
      </c>
      <c r="K30" s="65">
        <f t="shared" si="7"/>
        <v>6068</v>
      </c>
      <c r="L30" s="34">
        <v>4211890</v>
      </c>
      <c r="M30" s="65">
        <f t="shared" si="8"/>
        <v>10035</v>
      </c>
      <c r="N30" s="31">
        <v>2657762</v>
      </c>
      <c r="O30" s="65">
        <f t="shared" si="9"/>
        <v>8288</v>
      </c>
      <c r="P30" s="34">
        <v>5511903</v>
      </c>
      <c r="Q30" s="65">
        <f t="shared" si="10"/>
        <v>13319</v>
      </c>
      <c r="R30" s="31">
        <v>10473891</v>
      </c>
      <c r="S30" s="65">
        <f t="shared" si="11"/>
        <v>10933</v>
      </c>
      <c r="T30" s="31">
        <v>0</v>
      </c>
      <c r="U30" s="32"/>
      <c r="V30" s="31">
        <v>7081173</v>
      </c>
      <c r="W30" s="65">
        <f t="shared" si="12"/>
        <v>12425</v>
      </c>
      <c r="X30" s="33">
        <f t="shared" si="1"/>
        <v>61068</v>
      </c>
      <c r="Y30" s="47">
        <f t="shared" si="2"/>
        <v>8332</v>
      </c>
      <c r="Z30" s="31">
        <f t="shared" si="3"/>
        <v>8797.3438176</v>
      </c>
      <c r="AA30" s="31">
        <f t="shared" si="13"/>
        <v>38056.099889599995</v>
      </c>
    </row>
    <row r="31" spans="1:27" ht="16.5" thickBot="1" x14ac:dyDescent="0.25">
      <c r="A31" s="6">
        <v>43613</v>
      </c>
      <c r="B31" s="65">
        <v>104</v>
      </c>
      <c r="C31" s="65">
        <v>15599</v>
      </c>
      <c r="D31" s="65">
        <f t="shared" si="4"/>
        <v>800</v>
      </c>
      <c r="E31" s="31">
        <v>17050624</v>
      </c>
      <c r="F31" s="65">
        <f t="shared" si="5"/>
        <v>14406</v>
      </c>
      <c r="G31" s="31">
        <v>46616255</v>
      </c>
      <c r="H31" s="65">
        <f t="shared" si="6"/>
        <v>58878</v>
      </c>
      <c r="I31" s="33">
        <f t="shared" si="0"/>
        <v>73284</v>
      </c>
      <c r="J31" s="31">
        <v>4034356</v>
      </c>
      <c r="K31" s="65">
        <f t="shared" si="7"/>
        <v>6433</v>
      </c>
      <c r="L31" s="34">
        <v>4217096</v>
      </c>
      <c r="M31" s="65">
        <f t="shared" si="8"/>
        <v>5206</v>
      </c>
      <c r="N31" s="31">
        <v>2662268</v>
      </c>
      <c r="O31" s="65">
        <f t="shared" si="9"/>
        <v>9012</v>
      </c>
      <c r="P31" s="34">
        <v>5525856</v>
      </c>
      <c r="Q31" s="65">
        <f t="shared" si="10"/>
        <v>13953</v>
      </c>
      <c r="R31" s="31">
        <v>10485743</v>
      </c>
      <c r="S31" s="65">
        <f t="shared" si="11"/>
        <v>11852</v>
      </c>
      <c r="T31" s="31">
        <v>0</v>
      </c>
      <c r="U31" s="32"/>
      <c r="V31" s="31">
        <v>7093935</v>
      </c>
      <c r="W31" s="65">
        <f t="shared" si="12"/>
        <v>12762</v>
      </c>
      <c r="X31" s="33">
        <f t="shared" si="1"/>
        <v>59218</v>
      </c>
      <c r="Y31" s="47">
        <f t="shared" si="2"/>
        <v>14066</v>
      </c>
      <c r="Z31" s="31">
        <f t="shared" si="3"/>
        <v>9298.7890527999989</v>
      </c>
      <c r="AA31" s="31">
        <f t="shared" si="13"/>
        <v>37190.942131199998</v>
      </c>
    </row>
    <row r="32" spans="1:27" ht="16.5" thickBot="1" x14ac:dyDescent="0.25">
      <c r="A32" s="6">
        <v>43614</v>
      </c>
      <c r="B32" s="65">
        <v>84</v>
      </c>
      <c r="C32" s="65">
        <v>15606</v>
      </c>
      <c r="D32" s="65">
        <f t="shared" si="4"/>
        <v>1120</v>
      </c>
      <c r="E32" s="31">
        <v>17066043</v>
      </c>
      <c r="F32" s="65">
        <f t="shared" si="5"/>
        <v>15419</v>
      </c>
      <c r="G32" s="31">
        <v>46732280</v>
      </c>
      <c r="H32" s="65">
        <f t="shared" si="6"/>
        <v>116025</v>
      </c>
      <c r="I32" s="33">
        <f>F32+H32</f>
        <v>131444</v>
      </c>
      <c r="J32" s="31">
        <v>4040208</v>
      </c>
      <c r="K32" s="65">
        <f t="shared" si="7"/>
        <v>5852</v>
      </c>
      <c r="L32" s="34">
        <v>4223118</v>
      </c>
      <c r="M32" s="65">
        <f t="shared" si="8"/>
        <v>6022</v>
      </c>
      <c r="N32" s="31">
        <v>2666855</v>
      </c>
      <c r="O32" s="65">
        <f t="shared" si="9"/>
        <v>9174</v>
      </c>
      <c r="P32" s="34">
        <v>5539122</v>
      </c>
      <c r="Q32" s="65">
        <f t="shared" si="10"/>
        <v>13266</v>
      </c>
      <c r="R32" s="31">
        <v>10497032</v>
      </c>
      <c r="S32" s="65">
        <f t="shared" si="11"/>
        <v>11289</v>
      </c>
      <c r="T32" s="31">
        <v>0</v>
      </c>
      <c r="U32" s="32"/>
      <c r="V32" s="31">
        <v>7106618</v>
      </c>
      <c r="W32" s="65">
        <f t="shared" si="12"/>
        <v>12683</v>
      </c>
      <c r="X32" s="33">
        <f>K32+M32+O32+Q32+S32+U32+W32</f>
        <v>58286</v>
      </c>
      <c r="Y32" s="47">
        <f>I32-X32</f>
        <v>73158</v>
      </c>
      <c r="Z32" s="31">
        <f t="shared" si="3"/>
        <v>9066.9626944000011</v>
      </c>
      <c r="AA32" s="31">
        <f t="shared" si="13"/>
        <v>36744.871591999996</v>
      </c>
    </row>
    <row r="33" spans="1:27" ht="16.5" thickBot="1" x14ac:dyDescent="0.25">
      <c r="A33" s="6">
        <v>43615</v>
      </c>
      <c r="B33" s="65">
        <v>89</v>
      </c>
      <c r="C33" s="65">
        <v>15607</v>
      </c>
      <c r="D33" s="65">
        <f t="shared" si="4"/>
        <v>160</v>
      </c>
      <c r="E33" s="31">
        <v>17071043</v>
      </c>
      <c r="F33" s="65">
        <f t="shared" si="5"/>
        <v>5000</v>
      </c>
      <c r="G33" s="31">
        <v>46749875</v>
      </c>
      <c r="H33" s="65">
        <f t="shared" si="6"/>
        <v>17595</v>
      </c>
      <c r="I33" s="33">
        <f>F33+H33</f>
        <v>22595</v>
      </c>
      <c r="J33" s="31">
        <v>4046208</v>
      </c>
      <c r="K33" s="65">
        <f t="shared" si="7"/>
        <v>6000</v>
      </c>
      <c r="L33" s="34">
        <v>4224250</v>
      </c>
      <c r="M33" s="65">
        <f t="shared" si="8"/>
        <v>1132</v>
      </c>
      <c r="N33" s="31">
        <v>2669855</v>
      </c>
      <c r="O33" s="65">
        <f t="shared" si="9"/>
        <v>6000</v>
      </c>
      <c r="P33" s="34">
        <v>5542122</v>
      </c>
      <c r="Q33" s="65">
        <f t="shared" si="10"/>
        <v>3000</v>
      </c>
      <c r="R33" s="31">
        <v>10499520</v>
      </c>
      <c r="S33" s="65">
        <f t="shared" si="11"/>
        <v>2488</v>
      </c>
      <c r="T33" s="31">
        <v>0</v>
      </c>
      <c r="U33" s="32"/>
      <c r="V33" s="31">
        <v>7109618</v>
      </c>
      <c r="W33" s="65">
        <f t="shared" si="12"/>
        <v>3000</v>
      </c>
      <c r="X33" s="33">
        <f>K33+M33+O33+Q33+S33+U33+W33</f>
        <v>21620</v>
      </c>
      <c r="Y33" s="47">
        <f>I33-X33</f>
        <v>975</v>
      </c>
      <c r="Z33" s="31">
        <f t="shared" si="3"/>
        <v>2634.9330175999999</v>
      </c>
      <c r="AA33" s="31">
        <f t="shared" si="13"/>
        <v>29798.028582399998</v>
      </c>
    </row>
    <row r="34" spans="1:27" ht="16.5" thickBot="1" x14ac:dyDescent="0.25">
      <c r="A34" s="6">
        <v>43616</v>
      </c>
      <c r="B34" s="65">
        <v>82</v>
      </c>
      <c r="C34" s="65">
        <v>15608</v>
      </c>
      <c r="D34" s="65">
        <f t="shared" si="4"/>
        <v>160</v>
      </c>
      <c r="E34" s="31">
        <v>17084485</v>
      </c>
      <c r="F34" s="65">
        <f t="shared" si="5"/>
        <v>13442</v>
      </c>
      <c r="G34" s="31">
        <v>46768437</v>
      </c>
      <c r="H34" s="65">
        <f t="shared" si="6"/>
        <v>18562</v>
      </c>
      <c r="I34" s="33">
        <f>F34+H34</f>
        <v>32004</v>
      </c>
      <c r="J34" s="31">
        <v>4057002</v>
      </c>
      <c r="K34" s="65">
        <f t="shared" si="7"/>
        <v>10794</v>
      </c>
      <c r="L34" s="34">
        <v>4226976</v>
      </c>
      <c r="M34" s="65">
        <f t="shared" si="8"/>
        <v>2726</v>
      </c>
      <c r="N34" s="31">
        <v>2674034</v>
      </c>
      <c r="O34" s="65">
        <f t="shared" si="9"/>
        <v>8358</v>
      </c>
      <c r="P34" s="34">
        <v>5562756</v>
      </c>
      <c r="Q34" s="65">
        <f t="shared" si="10"/>
        <v>20634</v>
      </c>
      <c r="R34" s="31">
        <v>10513383</v>
      </c>
      <c r="S34" s="65">
        <f t="shared" si="11"/>
        <v>13863</v>
      </c>
      <c r="T34" s="31">
        <v>0</v>
      </c>
      <c r="U34" s="32"/>
      <c r="V34" s="31">
        <v>7125204</v>
      </c>
      <c r="W34" s="65">
        <f t="shared" si="12"/>
        <v>15586</v>
      </c>
      <c r="X34" s="33">
        <f>K34+M34+O34+Q34+S34+U34+W34</f>
        <v>71961</v>
      </c>
      <c r="Y34" s="47">
        <f>I34-X34</f>
        <v>-39957</v>
      </c>
      <c r="Z34" s="31">
        <f t="shared" si="3"/>
        <v>11344.8337808</v>
      </c>
      <c r="AA34" s="31">
        <f t="shared" si="13"/>
        <v>32345.5185456</v>
      </c>
    </row>
    <row r="35" spans="1:27" ht="16.5" thickBot="1" x14ac:dyDescent="0.25">
      <c r="A35" s="6" t="s">
        <v>28</v>
      </c>
      <c r="B35" s="65"/>
      <c r="C35" s="65"/>
      <c r="D35" s="65"/>
      <c r="E35" s="36"/>
      <c r="F35" s="37">
        <f>SUM(F3:F34)</f>
        <v>429475</v>
      </c>
      <c r="G35" s="38"/>
      <c r="H35" s="37">
        <f>SUM(H3:H34)</f>
        <v>1720952</v>
      </c>
      <c r="I35" s="33">
        <f t="shared" si="0"/>
        <v>2150427</v>
      </c>
      <c r="J35" s="36"/>
      <c r="K35" s="37">
        <f>SUM(K3:K34)</f>
        <v>187643</v>
      </c>
      <c r="L35" s="35"/>
      <c r="M35" s="37">
        <f>SUM(M3:M34)</f>
        <v>150855</v>
      </c>
      <c r="N35" s="35"/>
      <c r="O35" s="37">
        <f>SUM(O3:O34)</f>
        <v>272960</v>
      </c>
      <c r="P35" s="35"/>
      <c r="Q35" s="37">
        <f>SUM(Q3:Q34)</f>
        <v>388334</v>
      </c>
      <c r="R35" s="35"/>
      <c r="S35" s="37">
        <f>SUM(S3:T34)</f>
        <v>324739</v>
      </c>
      <c r="T35" s="35"/>
      <c r="U35" s="37"/>
      <c r="V35" s="35"/>
      <c r="W35" s="37">
        <f>SUM(W3:W34)</f>
        <v>393399</v>
      </c>
      <c r="X35" s="37">
        <f>SUM(X4:X31)</f>
        <v>1566063</v>
      </c>
      <c r="Y35" s="48">
        <f>SUM(Y4:Y31)</f>
        <v>398321</v>
      </c>
      <c r="Z35" s="37">
        <f>SUM(Z5:Z31)</f>
        <v>237645.76505279995</v>
      </c>
      <c r="AA35" s="37"/>
    </row>
    <row r="37" spans="1:27" ht="15" x14ac:dyDescent="0.2">
      <c r="A37" s="30"/>
      <c r="B37" s="66"/>
      <c r="C37" s="66"/>
      <c r="D37" s="66"/>
      <c r="G37" s="30" t="s">
        <v>13</v>
      </c>
      <c r="M37" s="30" t="s">
        <v>13</v>
      </c>
      <c r="N37" s="30" t="s">
        <v>13</v>
      </c>
      <c r="P37" s="30" t="s">
        <v>13</v>
      </c>
      <c r="T37" s="30" t="s">
        <v>13</v>
      </c>
      <c r="V37" s="30" t="s">
        <v>13</v>
      </c>
      <c r="Z37" s="30"/>
      <c r="AA37" s="30"/>
    </row>
    <row r="38" spans="1:27" x14ac:dyDescent="0.25">
      <c r="V38" s="30" t="s">
        <v>13</v>
      </c>
      <c r="Y38" s="40"/>
    </row>
    <row r="39" spans="1:27" x14ac:dyDescent="0.25">
      <c r="U39" s="30" t="s">
        <v>13</v>
      </c>
      <c r="Y39" s="40"/>
    </row>
    <row r="40" spans="1:27" x14ac:dyDescent="0.25">
      <c r="Y40" s="40"/>
    </row>
    <row r="41" spans="1:27" x14ac:dyDescent="0.25">
      <c r="Y41" s="40"/>
    </row>
    <row r="52" spans="1:27" ht="15" x14ac:dyDescent="0.2">
      <c r="A52" s="30"/>
      <c r="B52" s="66"/>
      <c r="C52" s="66"/>
      <c r="D52" s="66"/>
      <c r="Z52" s="30"/>
      <c r="AA52" s="30"/>
    </row>
  </sheetData>
  <mergeCells count="1">
    <mergeCell ref="A1:AA1"/>
  </mergeCells>
  <phoneticPr fontId="0" type="noConversion"/>
  <pageMargins left="0.75" right="0.75" top="1" bottom="1" header="0.5" footer="0.5"/>
  <pageSetup paperSize="9" scale="52" orientation="portrait" r:id="rId1"/>
  <headerFooter alignWithMargins="0"/>
  <colBreaks count="1" manualBreakCount="1">
    <brk id="15" max="3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zoomScale="55" zoomScaleNormal="55" zoomScaleSheetLayoutView="55" workbookViewId="0">
      <selection sqref="A1:C35"/>
    </sheetView>
  </sheetViews>
  <sheetFormatPr defaultRowHeight="23.25" x14ac:dyDescent="0.35"/>
  <cols>
    <col min="1" max="1" width="37.140625" style="19" customWidth="1"/>
    <col min="2" max="2" width="37.140625" customWidth="1"/>
    <col min="3" max="3" width="37.140625" style="74" customWidth="1"/>
    <col min="4" max="5" width="8.5703125" bestFit="1" customWidth="1"/>
    <col min="7" max="7" width="8.5703125" bestFit="1" customWidth="1"/>
  </cols>
  <sheetData>
    <row r="1" spans="1:9" ht="33" customHeight="1" thickBot="1" x14ac:dyDescent="0.25">
      <c r="A1" s="174" t="s">
        <v>87</v>
      </c>
      <c r="B1" s="174"/>
      <c r="C1" s="174"/>
    </row>
    <row r="2" spans="1:9" ht="24" thickBot="1" x14ac:dyDescent="0.4">
      <c r="A2" s="41" t="s">
        <v>0</v>
      </c>
      <c r="B2" s="42" t="s">
        <v>48</v>
      </c>
      <c r="C2" s="43" t="s">
        <v>31</v>
      </c>
    </row>
    <row r="3" spans="1:9" ht="24" thickBot="1" x14ac:dyDescent="0.4">
      <c r="A3" s="41" t="s">
        <v>12</v>
      </c>
      <c r="B3" s="44">
        <v>15455257</v>
      </c>
      <c r="C3" s="45"/>
    </row>
    <row r="4" spans="1:9" ht="24" thickBot="1" x14ac:dyDescent="0.4">
      <c r="A4" s="41">
        <v>43586</v>
      </c>
      <c r="B4" s="44">
        <v>15458786</v>
      </c>
      <c r="C4" s="73">
        <f>IF((B4-B3)&lt;0,"0",(B4-B3))</f>
        <v>3529</v>
      </c>
    </row>
    <row r="5" spans="1:9" ht="24" thickBot="1" x14ac:dyDescent="0.4">
      <c r="A5" s="41">
        <v>43587</v>
      </c>
      <c r="B5" s="44">
        <v>15462059</v>
      </c>
      <c r="C5" s="73">
        <f t="shared" ref="C5:C34" si="0">IF((B5-B4)&lt;0,"0",(B5-B4))</f>
        <v>3273</v>
      </c>
    </row>
    <row r="6" spans="1:9" ht="24" thickBot="1" x14ac:dyDescent="0.4">
      <c r="A6" s="41">
        <v>43588</v>
      </c>
      <c r="B6" s="44">
        <v>15465400</v>
      </c>
      <c r="C6" s="73">
        <f t="shared" si="0"/>
        <v>3341</v>
      </c>
    </row>
    <row r="7" spans="1:9" ht="24" thickBot="1" x14ac:dyDescent="0.4">
      <c r="A7" s="41">
        <v>43589</v>
      </c>
      <c r="B7" s="44">
        <v>15468852</v>
      </c>
      <c r="C7" s="73">
        <f t="shared" si="0"/>
        <v>3452</v>
      </c>
    </row>
    <row r="8" spans="1:9" ht="24" thickBot="1" x14ac:dyDescent="0.4">
      <c r="A8" s="41">
        <v>43590</v>
      </c>
      <c r="B8" s="44">
        <v>15472256</v>
      </c>
      <c r="C8" s="73">
        <f t="shared" si="0"/>
        <v>3404</v>
      </c>
    </row>
    <row r="9" spans="1:9" ht="24" thickBot="1" x14ac:dyDescent="0.4">
      <c r="A9" s="41">
        <v>43591</v>
      </c>
      <c r="B9" s="44">
        <v>15475584</v>
      </c>
      <c r="C9" s="73">
        <f t="shared" si="0"/>
        <v>3328</v>
      </c>
    </row>
    <row r="10" spans="1:9" ht="24" thickBot="1" x14ac:dyDescent="0.4">
      <c r="A10" s="41">
        <v>43592</v>
      </c>
      <c r="B10" s="44">
        <v>15478699</v>
      </c>
      <c r="C10" s="73">
        <f t="shared" si="0"/>
        <v>3115</v>
      </c>
    </row>
    <row r="11" spans="1:9" ht="24" thickBot="1" x14ac:dyDescent="0.4">
      <c r="A11" s="41">
        <v>43593</v>
      </c>
      <c r="B11" s="44">
        <v>15481915</v>
      </c>
      <c r="C11" s="73">
        <f t="shared" si="0"/>
        <v>3216</v>
      </c>
    </row>
    <row r="12" spans="1:9" ht="24" thickBot="1" x14ac:dyDescent="0.4">
      <c r="A12" s="41">
        <v>43594</v>
      </c>
      <c r="B12" s="44">
        <v>15485175</v>
      </c>
      <c r="C12" s="73">
        <f t="shared" si="0"/>
        <v>3260</v>
      </c>
    </row>
    <row r="13" spans="1:9" ht="24" thickBot="1" x14ac:dyDescent="0.4">
      <c r="A13" s="41">
        <v>43595</v>
      </c>
      <c r="B13" s="44">
        <v>15487930</v>
      </c>
      <c r="C13" s="73">
        <f t="shared" si="0"/>
        <v>2755</v>
      </c>
    </row>
    <row r="14" spans="1:9" ht="24" thickBot="1" x14ac:dyDescent="0.4">
      <c r="A14" s="41">
        <v>43596</v>
      </c>
      <c r="B14" s="44">
        <v>15489098</v>
      </c>
      <c r="C14" s="73">
        <f t="shared" si="0"/>
        <v>1168</v>
      </c>
    </row>
    <row r="15" spans="1:9" ht="24" thickBot="1" x14ac:dyDescent="0.4">
      <c r="A15" s="41">
        <v>43597</v>
      </c>
      <c r="B15" s="44">
        <v>15491983</v>
      </c>
      <c r="C15" s="73">
        <f t="shared" si="0"/>
        <v>2885</v>
      </c>
    </row>
    <row r="16" spans="1:9" ht="24" thickBot="1" x14ac:dyDescent="0.4">
      <c r="A16" s="41">
        <v>43598</v>
      </c>
      <c r="B16" s="44">
        <v>15494808</v>
      </c>
      <c r="C16" s="73">
        <f t="shared" si="0"/>
        <v>2825</v>
      </c>
      <c r="I16" t="s">
        <v>13</v>
      </c>
    </row>
    <row r="17" spans="1:9" ht="24" thickBot="1" x14ac:dyDescent="0.4">
      <c r="A17" s="41">
        <v>43599</v>
      </c>
      <c r="B17" s="44">
        <v>15497808</v>
      </c>
      <c r="C17" s="73">
        <f t="shared" si="0"/>
        <v>3000</v>
      </c>
    </row>
    <row r="18" spans="1:9" ht="24" thickBot="1" x14ac:dyDescent="0.4">
      <c r="A18" s="41">
        <v>43600</v>
      </c>
      <c r="B18" s="44">
        <v>15501008</v>
      </c>
      <c r="C18" s="73">
        <f>IF((B18-B17)&lt;0,"0",(B18-B17))</f>
        <v>3200</v>
      </c>
    </row>
    <row r="19" spans="1:9" ht="24" thickBot="1" x14ac:dyDescent="0.4">
      <c r="A19" s="41">
        <v>43601</v>
      </c>
      <c r="B19" s="44">
        <v>15504008</v>
      </c>
      <c r="C19" s="73">
        <f>IF((B19-B18)&lt;0,"0",(B19-B18))</f>
        <v>3000</v>
      </c>
    </row>
    <row r="20" spans="1:9" ht="24" thickBot="1" x14ac:dyDescent="0.4">
      <c r="A20" s="41">
        <v>43602</v>
      </c>
      <c r="B20" s="44">
        <v>15506051</v>
      </c>
      <c r="C20" s="73">
        <f>IF((B20-B19)&lt;0,"0",(B20-B19))</f>
        <v>2043</v>
      </c>
    </row>
    <row r="21" spans="1:9" ht="24" thickBot="1" x14ac:dyDescent="0.4">
      <c r="A21" s="41">
        <v>43603</v>
      </c>
      <c r="B21" s="44">
        <v>15509547</v>
      </c>
      <c r="C21" s="73">
        <f>IF((B21-B20)&lt;0,"0",(B21-B20))</f>
        <v>3496</v>
      </c>
    </row>
    <row r="22" spans="1:9" ht="24" thickBot="1" x14ac:dyDescent="0.4">
      <c r="A22" s="41">
        <v>43604</v>
      </c>
      <c r="B22" s="44">
        <v>15512955</v>
      </c>
      <c r="C22" s="73">
        <f t="shared" si="0"/>
        <v>3408</v>
      </c>
    </row>
    <row r="23" spans="1:9" ht="24" thickBot="1" x14ac:dyDescent="0.4">
      <c r="A23" s="41">
        <v>43605</v>
      </c>
      <c r="B23" s="44">
        <v>15515220</v>
      </c>
      <c r="C23" s="73">
        <f t="shared" si="0"/>
        <v>2265</v>
      </c>
    </row>
    <row r="24" spans="1:9" ht="24" thickBot="1" x14ac:dyDescent="0.4">
      <c r="A24" s="41">
        <v>43606</v>
      </c>
      <c r="B24" s="44">
        <v>15516809</v>
      </c>
      <c r="C24" s="73">
        <f t="shared" si="0"/>
        <v>1589</v>
      </c>
      <c r="F24" t="s">
        <v>13</v>
      </c>
    </row>
    <row r="25" spans="1:9" ht="24" thickBot="1" x14ac:dyDescent="0.4">
      <c r="A25" s="41">
        <v>43607</v>
      </c>
      <c r="B25" s="44">
        <v>15518200</v>
      </c>
      <c r="C25" s="73">
        <f t="shared" si="0"/>
        <v>1391</v>
      </c>
      <c r="E25" t="s">
        <v>13</v>
      </c>
    </row>
    <row r="26" spans="1:9" ht="24" thickBot="1" x14ac:dyDescent="0.4">
      <c r="A26" s="41">
        <v>43608</v>
      </c>
      <c r="B26" s="44">
        <v>15522255</v>
      </c>
      <c r="C26" s="73">
        <f t="shared" si="0"/>
        <v>4055</v>
      </c>
    </row>
    <row r="27" spans="1:9" ht="24" thickBot="1" x14ac:dyDescent="0.4">
      <c r="A27" s="41">
        <v>43609</v>
      </c>
      <c r="B27" s="44">
        <v>15524872</v>
      </c>
      <c r="C27" s="73">
        <f t="shared" si="0"/>
        <v>2617</v>
      </c>
    </row>
    <row r="28" spans="1:9" ht="24" thickBot="1" x14ac:dyDescent="0.4">
      <c r="A28" s="41">
        <v>43610</v>
      </c>
      <c r="B28" s="44">
        <v>15527956</v>
      </c>
      <c r="C28" s="73">
        <f t="shared" si="0"/>
        <v>3084</v>
      </c>
    </row>
    <row r="29" spans="1:9" ht="24" thickBot="1" x14ac:dyDescent="0.4">
      <c r="A29" s="41">
        <v>43611</v>
      </c>
      <c r="B29" s="44">
        <v>15530467</v>
      </c>
      <c r="C29" s="73">
        <f t="shared" si="0"/>
        <v>2511</v>
      </c>
      <c r="I29" t="s">
        <v>13</v>
      </c>
    </row>
    <row r="30" spans="1:9" ht="24" thickBot="1" x14ac:dyDescent="0.4">
      <c r="A30" s="41">
        <v>43612</v>
      </c>
      <c r="B30" s="44">
        <v>15533385</v>
      </c>
      <c r="C30" s="73">
        <f t="shared" si="0"/>
        <v>2918</v>
      </c>
    </row>
    <row r="31" spans="1:9" ht="24" thickBot="1" x14ac:dyDescent="0.4">
      <c r="A31" s="41">
        <v>43613</v>
      </c>
      <c r="B31" s="44">
        <v>15535852</v>
      </c>
      <c r="C31" s="73">
        <f t="shared" si="0"/>
        <v>2467</v>
      </c>
    </row>
    <row r="32" spans="1:9" ht="24" thickBot="1" x14ac:dyDescent="0.4">
      <c r="A32" s="41">
        <v>43614</v>
      </c>
      <c r="B32" s="44">
        <v>15537920</v>
      </c>
      <c r="C32" s="73">
        <f t="shared" si="0"/>
        <v>2068</v>
      </c>
    </row>
    <row r="33" spans="1:3" ht="24" thickBot="1" x14ac:dyDescent="0.4">
      <c r="A33" s="41">
        <v>43615</v>
      </c>
      <c r="B33" s="44">
        <v>15540612</v>
      </c>
      <c r="C33" s="73">
        <f t="shared" si="0"/>
        <v>2692</v>
      </c>
    </row>
    <row r="34" spans="1:3" ht="24" thickBot="1" x14ac:dyDescent="0.4">
      <c r="A34" s="41">
        <v>43616</v>
      </c>
      <c r="B34" s="44">
        <v>15543823</v>
      </c>
      <c r="C34" s="73">
        <f t="shared" si="0"/>
        <v>3211</v>
      </c>
    </row>
    <row r="35" spans="1:3" ht="24" thickBot="1" x14ac:dyDescent="0.4">
      <c r="A35" s="175" t="s">
        <v>28</v>
      </c>
      <c r="B35" s="176"/>
      <c r="C35" s="46">
        <f>SUM(C4:C34)</f>
        <v>88566</v>
      </c>
    </row>
  </sheetData>
  <mergeCells count="2">
    <mergeCell ref="A1:C1"/>
    <mergeCell ref="A35:B35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9"/>
  <sheetViews>
    <sheetView topLeftCell="E1" zoomScale="40" zoomScaleNormal="40" workbookViewId="0">
      <selection sqref="A1:U34"/>
    </sheetView>
  </sheetViews>
  <sheetFormatPr defaultRowHeight="12.75" x14ac:dyDescent="0.2"/>
  <cols>
    <col min="1" max="1" width="20.85546875" bestFit="1" customWidth="1"/>
    <col min="2" max="2" width="12.5703125" bestFit="1" customWidth="1"/>
    <col min="3" max="3" width="17" style="62" bestFit="1" customWidth="1"/>
    <col min="4" max="4" width="15.140625" bestFit="1" customWidth="1"/>
    <col min="5" max="5" width="12.5703125" bestFit="1" customWidth="1"/>
    <col min="6" max="6" width="17" style="62" bestFit="1" customWidth="1"/>
    <col min="7" max="7" width="15.140625" customWidth="1"/>
    <col min="8" max="8" width="17.7109375" customWidth="1"/>
    <col min="9" max="9" width="12.85546875" style="62" bestFit="1" customWidth="1"/>
    <col min="10" max="10" width="11.42578125" bestFit="1" customWidth="1"/>
    <col min="11" max="11" width="15.7109375" bestFit="1" customWidth="1"/>
    <col min="12" max="12" width="12.85546875" style="62" bestFit="1" customWidth="1"/>
    <col min="13" max="13" width="12.7109375" bestFit="1" customWidth="1"/>
    <col min="14" max="14" width="11.28515625" bestFit="1" customWidth="1"/>
    <col min="15" max="15" width="12.85546875" style="62" bestFit="1" customWidth="1"/>
    <col min="16" max="16" width="15.140625" bestFit="1" customWidth="1"/>
    <col min="17" max="17" width="13.85546875" bestFit="1" customWidth="1"/>
    <col min="18" max="18" width="16.28515625" style="62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69" t="s">
        <v>2</v>
      </c>
      <c r="D1" s="50" t="s">
        <v>3</v>
      </c>
      <c r="E1" s="3" t="s">
        <v>4</v>
      </c>
      <c r="F1" s="69" t="s">
        <v>2</v>
      </c>
      <c r="G1" s="50" t="s">
        <v>3</v>
      </c>
      <c r="H1" s="3" t="s">
        <v>5</v>
      </c>
      <c r="I1" s="69" t="s">
        <v>6</v>
      </c>
      <c r="J1" s="50" t="s">
        <v>83</v>
      </c>
      <c r="K1" s="3" t="s">
        <v>7</v>
      </c>
      <c r="L1" s="69" t="s">
        <v>6</v>
      </c>
      <c r="M1" s="50" t="s">
        <v>3</v>
      </c>
      <c r="N1" s="4" t="s">
        <v>8</v>
      </c>
      <c r="O1" s="69" t="s">
        <v>6</v>
      </c>
      <c r="P1" s="50" t="s">
        <v>3</v>
      </c>
      <c r="Q1" s="4" t="s">
        <v>9</v>
      </c>
      <c r="R1" s="69" t="s">
        <v>6</v>
      </c>
      <c r="S1" s="50" t="s">
        <v>3</v>
      </c>
      <c r="T1" s="5" t="s">
        <v>10</v>
      </c>
      <c r="U1" s="53" t="s">
        <v>11</v>
      </c>
    </row>
    <row r="2" spans="1:25" ht="16.5" thickBot="1" x14ac:dyDescent="0.25">
      <c r="A2" s="6" t="s">
        <v>12</v>
      </c>
      <c r="B2" s="1">
        <v>14254.981</v>
      </c>
      <c r="C2" s="75"/>
      <c r="D2" s="51">
        <f>C2*1.9*1000</f>
        <v>0</v>
      </c>
      <c r="E2" s="1">
        <v>2151.183</v>
      </c>
      <c r="F2" s="75"/>
      <c r="G2" s="51">
        <f>F2*1.9*1000</f>
        <v>0</v>
      </c>
      <c r="H2" s="1">
        <v>857.57600000000002</v>
      </c>
      <c r="I2" s="75"/>
      <c r="J2" s="51">
        <f>I2*1.9*1000</f>
        <v>0</v>
      </c>
      <c r="K2" s="7">
        <v>12719.78</v>
      </c>
      <c r="L2" s="75"/>
      <c r="M2" s="51">
        <f>L2*1.9*1000</f>
        <v>0</v>
      </c>
      <c r="N2" s="7">
        <v>1784.885</v>
      </c>
      <c r="O2" s="75"/>
      <c r="P2" s="51">
        <f>O2*1.9*1000</f>
        <v>0</v>
      </c>
      <c r="Q2" s="7">
        <v>3862.89</v>
      </c>
      <c r="R2" s="75"/>
      <c r="S2" s="51">
        <v>0</v>
      </c>
      <c r="T2" s="8">
        <f>C2+F2+I2+L2+O2+R2</f>
        <v>0</v>
      </c>
      <c r="U2" s="54"/>
    </row>
    <row r="3" spans="1:25" ht="21" thickBot="1" x14ac:dyDescent="0.25">
      <c r="A3" s="9">
        <v>43586</v>
      </c>
      <c r="B3" s="1">
        <v>14267.02</v>
      </c>
      <c r="C3" s="71">
        <f>IF((B3-B2)&lt;0,"0",(B3-B2))</f>
        <v>12.039000000000669</v>
      </c>
      <c r="D3" s="51">
        <f>C3*1.9*1000</f>
        <v>22874.100000001272</v>
      </c>
      <c r="E3" s="1">
        <v>2152.6109999999999</v>
      </c>
      <c r="F3" s="71">
        <f>IF((E3-E2)&lt;0,"0",(E3-E2))</f>
        <v>1.4279999999998836</v>
      </c>
      <c r="G3" s="51">
        <f>F3*1.9*1000</f>
        <v>2713.1999999997788</v>
      </c>
      <c r="H3" s="1">
        <v>857.57600000000002</v>
      </c>
      <c r="I3" s="71">
        <f>IF((H3-H2)&lt;0,"0",(H3-H2))</f>
        <v>0</v>
      </c>
      <c r="J3" s="51">
        <f>I3*1.9*1000</f>
        <v>0</v>
      </c>
      <c r="K3" s="7">
        <v>12721.07</v>
      </c>
      <c r="L3" s="71">
        <f>IF((K3-K2)&lt;0,"0",(K3-K2))</f>
        <v>1.2899999999990541</v>
      </c>
      <c r="M3" s="51">
        <f>L3*1.9*1000</f>
        <v>2450.9999999982028</v>
      </c>
      <c r="N3" s="7">
        <v>1786.3889999999999</v>
      </c>
      <c r="O3" s="71">
        <f>IF((N3-N2)&lt;0,"0",(N3-N2))</f>
        <v>1.5039999999999054</v>
      </c>
      <c r="P3" s="51">
        <f>O3*1.9*1000</f>
        <v>2857.5999999998203</v>
      </c>
      <c r="Q3" s="7">
        <v>3864.79</v>
      </c>
      <c r="R3" s="71">
        <f>IF((Q3-Q2)&lt;0,"0",(Q3-Q2))</f>
        <v>1.9000000000000909</v>
      </c>
      <c r="S3" s="51">
        <f>R3*1.9*1000</f>
        <v>3610.0000000001728</v>
      </c>
      <c r="T3" s="8">
        <f>C3+F3+I3+L3+O3+R3</f>
        <v>18.160999999999603</v>
      </c>
      <c r="U3" s="55">
        <f>T3*1.9*1000</f>
        <v>34505.899999999245</v>
      </c>
    </row>
    <row r="4" spans="1:25" ht="21" thickBot="1" x14ac:dyDescent="0.25">
      <c r="A4" s="9">
        <v>43587</v>
      </c>
      <c r="B4" s="1">
        <v>14273.611000000001</v>
      </c>
      <c r="C4" s="71">
        <f t="shared" ref="C4:C33" si="0">IF((B4-B3)&lt;0,"0",(B4-B3))</f>
        <v>6.5910000000003492</v>
      </c>
      <c r="D4" s="51">
        <f t="shared" ref="D4:D31" si="1">C4*1.9*1000</f>
        <v>12522.900000000662</v>
      </c>
      <c r="E4" s="1">
        <v>2154.5880000000002</v>
      </c>
      <c r="F4" s="71">
        <f t="shared" ref="F4:F26" si="2">IF((E4-E3)&lt;0,"0",(E4-E3))</f>
        <v>1.9770000000003165</v>
      </c>
      <c r="G4" s="51">
        <f t="shared" ref="G4:G31" si="3">F4*1.9*1000</f>
        <v>3756.3000000006014</v>
      </c>
      <c r="H4" s="1">
        <v>857.57600000000002</v>
      </c>
      <c r="I4" s="71">
        <f t="shared" ref="I4:I33" si="4">IF((H4-H3)&lt;0,"0",(H4-H3))</f>
        <v>0</v>
      </c>
      <c r="J4" s="51">
        <f t="shared" ref="J4:J31" si="5">I4*1.9*1000</f>
        <v>0</v>
      </c>
      <c r="K4" s="7">
        <v>12722.11</v>
      </c>
      <c r="L4" s="71">
        <f t="shared" ref="L4:L33" si="6">IF((K4-K3)&lt;0,"0",(K4-K3))</f>
        <v>1.0400000000008731</v>
      </c>
      <c r="M4" s="51">
        <f t="shared" ref="M4:M31" si="7">L4*1.9*1000</f>
        <v>1976.0000000016589</v>
      </c>
      <c r="N4" s="7">
        <v>1787.4659999999999</v>
      </c>
      <c r="O4" s="71">
        <f t="shared" ref="O4:O33" si="8">IF((N4-N3)&lt;0,"0",(N4-N3))</f>
        <v>1.0769999999999982</v>
      </c>
      <c r="P4" s="51">
        <f t="shared" ref="P4:P31" si="9">O4*1.9*1000</f>
        <v>2046.2999999999965</v>
      </c>
      <c r="Q4" s="7">
        <v>3866.39</v>
      </c>
      <c r="R4" s="71">
        <f t="shared" ref="R4:R33" si="10">IF((Q4-Q3)&lt;0,"0",(Q4-Q3))</f>
        <v>1.5999999999999091</v>
      </c>
      <c r="S4" s="51">
        <f t="shared" ref="S4:S31" si="11">R4*1.9*1000</f>
        <v>3039.9999999998267</v>
      </c>
      <c r="T4" s="8">
        <f t="shared" ref="T4:T31" si="12">C4+F4+I4+L4+O4+R4</f>
        <v>12.285000000001446</v>
      </c>
      <c r="U4" s="55">
        <f t="shared" ref="U4:U31" si="13">T4*1.9*1000</f>
        <v>23341.500000002747</v>
      </c>
    </row>
    <row r="5" spans="1:25" ht="21" thickBot="1" x14ac:dyDescent="0.25">
      <c r="A5" s="9">
        <v>43588</v>
      </c>
      <c r="B5" s="1">
        <v>14285.067999999999</v>
      </c>
      <c r="C5" s="71">
        <f t="shared" si="0"/>
        <v>11.456999999998516</v>
      </c>
      <c r="D5" s="51">
        <f t="shared" si="1"/>
        <v>21768.29999999718</v>
      </c>
      <c r="E5" s="1">
        <v>2156.165</v>
      </c>
      <c r="F5" s="71">
        <f t="shared" si="2"/>
        <v>1.5769999999997708</v>
      </c>
      <c r="G5" s="51">
        <f t="shared" si="3"/>
        <v>2996.2999999995645</v>
      </c>
      <c r="H5" s="1">
        <v>857.57600000000002</v>
      </c>
      <c r="I5" s="71">
        <f t="shared" si="4"/>
        <v>0</v>
      </c>
      <c r="J5" s="51">
        <f t="shared" si="5"/>
        <v>0</v>
      </c>
      <c r="K5" s="7">
        <v>12723</v>
      </c>
      <c r="L5" s="71">
        <f t="shared" si="6"/>
        <v>0.88999999999941792</v>
      </c>
      <c r="M5" s="51">
        <f t="shared" si="7"/>
        <v>1690.9999999988941</v>
      </c>
      <c r="N5" s="7">
        <v>1789.5719999999999</v>
      </c>
      <c r="O5" s="71">
        <f t="shared" si="8"/>
        <v>2.1059999999999945</v>
      </c>
      <c r="P5" s="51">
        <f t="shared" si="9"/>
        <v>4001.3999999999896</v>
      </c>
      <c r="Q5" s="7">
        <v>3868.32</v>
      </c>
      <c r="R5" s="71">
        <f t="shared" si="10"/>
        <v>1.930000000000291</v>
      </c>
      <c r="S5" s="51">
        <f t="shared" si="11"/>
        <v>3667.0000000005525</v>
      </c>
      <c r="T5" s="8">
        <f t="shared" si="12"/>
        <v>17.95999999999799</v>
      </c>
      <c r="U5" s="55">
        <f t="shared" si="13"/>
        <v>34123.99999999618</v>
      </c>
    </row>
    <row r="6" spans="1:25" ht="21" thickBot="1" x14ac:dyDescent="0.25">
      <c r="A6" s="9">
        <v>43589</v>
      </c>
      <c r="B6" s="1">
        <v>14292.679</v>
      </c>
      <c r="C6" s="71">
        <f t="shared" si="0"/>
        <v>7.6110000000007858</v>
      </c>
      <c r="D6" s="51">
        <f t="shared" si="1"/>
        <v>14460.900000001493</v>
      </c>
      <c r="E6" s="1">
        <v>2157.5239999999999</v>
      </c>
      <c r="F6" s="71">
        <f t="shared" si="2"/>
        <v>1.3589999999999236</v>
      </c>
      <c r="G6" s="51">
        <f t="shared" si="3"/>
        <v>2582.0999999998548</v>
      </c>
      <c r="H6" s="1">
        <v>857.57600000000002</v>
      </c>
      <c r="I6" s="71">
        <f t="shared" si="4"/>
        <v>0</v>
      </c>
      <c r="J6" s="51">
        <f t="shared" si="5"/>
        <v>0</v>
      </c>
      <c r="K6" s="7">
        <v>12724.5</v>
      </c>
      <c r="L6" s="71">
        <f t="shared" si="6"/>
        <v>1.5</v>
      </c>
      <c r="M6" s="51">
        <f t="shared" si="7"/>
        <v>2849.9999999999995</v>
      </c>
      <c r="N6" s="7">
        <v>1791.15</v>
      </c>
      <c r="O6" s="71">
        <f t="shared" si="8"/>
        <v>1.5780000000002019</v>
      </c>
      <c r="P6" s="51">
        <f t="shared" si="9"/>
        <v>2998.2000000003836</v>
      </c>
      <c r="Q6" s="7">
        <v>3869.98</v>
      </c>
      <c r="R6" s="71">
        <f t="shared" si="10"/>
        <v>1.6599999999998545</v>
      </c>
      <c r="S6" s="51">
        <f t="shared" si="11"/>
        <v>3153.9999999997231</v>
      </c>
      <c r="T6" s="8">
        <f t="shared" si="12"/>
        <v>13.708000000000766</v>
      </c>
      <c r="U6" s="55">
        <f t="shared" si="13"/>
        <v>26045.200000001456</v>
      </c>
    </row>
    <row r="7" spans="1:25" ht="21" thickBot="1" x14ac:dyDescent="0.25">
      <c r="A7" s="9">
        <v>43590</v>
      </c>
      <c r="B7" s="1">
        <v>14300.575999999999</v>
      </c>
      <c r="C7" s="71">
        <f t="shared" si="0"/>
        <v>7.896999999999025</v>
      </c>
      <c r="D7" s="51">
        <f t="shared" si="1"/>
        <v>15004.299999998146</v>
      </c>
      <c r="E7" s="1">
        <v>2160.25</v>
      </c>
      <c r="F7" s="71">
        <f t="shared" si="2"/>
        <v>2.7260000000001128</v>
      </c>
      <c r="G7" s="51">
        <f t="shared" si="3"/>
        <v>5179.4000000002143</v>
      </c>
      <c r="H7" s="1">
        <v>857.57600000000002</v>
      </c>
      <c r="I7" s="71">
        <f t="shared" si="4"/>
        <v>0</v>
      </c>
      <c r="J7" s="51">
        <f t="shared" si="5"/>
        <v>0</v>
      </c>
      <c r="K7" s="7">
        <v>12725.87</v>
      </c>
      <c r="L7" s="71">
        <f t="shared" si="6"/>
        <v>1.3700000000008004</v>
      </c>
      <c r="M7" s="51">
        <f t="shared" si="7"/>
        <v>2603.0000000015207</v>
      </c>
      <c r="N7" s="7">
        <v>1792.81</v>
      </c>
      <c r="O7" s="71">
        <f t="shared" si="8"/>
        <v>1.6599999999998545</v>
      </c>
      <c r="P7" s="51">
        <f t="shared" si="9"/>
        <v>3153.9999999997231</v>
      </c>
      <c r="Q7" s="7">
        <v>3871.46</v>
      </c>
      <c r="R7" s="71">
        <f t="shared" si="10"/>
        <v>1.4800000000000182</v>
      </c>
      <c r="S7" s="51">
        <f t="shared" si="11"/>
        <v>2812.0000000000346</v>
      </c>
      <c r="T7" s="8">
        <f t="shared" si="12"/>
        <v>15.132999999999811</v>
      </c>
      <c r="U7" s="55">
        <f t="shared" si="13"/>
        <v>28752.699999999637</v>
      </c>
    </row>
    <row r="8" spans="1:25" ht="21" thickBot="1" x14ac:dyDescent="0.25">
      <c r="A8" s="9">
        <v>43591</v>
      </c>
      <c r="B8" s="1">
        <v>14308.494000000001</v>
      </c>
      <c r="C8" s="71">
        <f t="shared" si="0"/>
        <v>7.9180000000014843</v>
      </c>
      <c r="D8" s="51">
        <f t="shared" si="1"/>
        <v>15044.200000002818</v>
      </c>
      <c r="E8" s="1">
        <v>2162.7840000000001</v>
      </c>
      <c r="F8" s="71">
        <f t="shared" si="2"/>
        <v>2.5340000000001055</v>
      </c>
      <c r="G8" s="51">
        <f t="shared" si="3"/>
        <v>4814.6000000002005</v>
      </c>
      <c r="H8" s="1">
        <v>857.57600000000002</v>
      </c>
      <c r="I8" s="71">
        <f t="shared" si="4"/>
        <v>0</v>
      </c>
      <c r="J8" s="51">
        <f t="shared" si="5"/>
        <v>0</v>
      </c>
      <c r="K8" s="7">
        <v>12727.19</v>
      </c>
      <c r="L8" s="71">
        <f t="shared" si="6"/>
        <v>1.319999999999709</v>
      </c>
      <c r="M8" s="51">
        <f t="shared" si="7"/>
        <v>2507.999999999447</v>
      </c>
      <c r="N8" s="7">
        <v>1793.982</v>
      </c>
      <c r="O8" s="71">
        <f t="shared" si="8"/>
        <v>1.1720000000000255</v>
      </c>
      <c r="P8" s="51">
        <f t="shared" si="9"/>
        <v>2226.8000000000484</v>
      </c>
      <c r="Q8" s="7">
        <v>3872.19</v>
      </c>
      <c r="R8" s="71">
        <f t="shared" si="10"/>
        <v>0.73000000000001819</v>
      </c>
      <c r="S8" s="51">
        <f t="shared" si="11"/>
        <v>1387.0000000000343</v>
      </c>
      <c r="T8" s="8">
        <f t="shared" si="12"/>
        <v>13.674000000001342</v>
      </c>
      <c r="U8" s="55">
        <f t="shared" si="13"/>
        <v>25980.600000002549</v>
      </c>
    </row>
    <row r="9" spans="1:25" ht="21" thickBot="1" x14ac:dyDescent="0.25">
      <c r="A9" s="9">
        <v>43592</v>
      </c>
      <c r="B9" s="1">
        <v>14314.545</v>
      </c>
      <c r="C9" s="71">
        <f t="shared" si="0"/>
        <v>6.0509999999994761</v>
      </c>
      <c r="D9" s="51">
        <f t="shared" si="1"/>
        <v>11496.899999999003</v>
      </c>
      <c r="E9" s="1">
        <v>2164.6680000000001</v>
      </c>
      <c r="F9" s="71">
        <f t="shared" si="2"/>
        <v>1.8840000000000146</v>
      </c>
      <c r="G9" s="51">
        <f t="shared" si="3"/>
        <v>3579.6000000000276</v>
      </c>
      <c r="H9" s="1">
        <v>857.57600000000002</v>
      </c>
      <c r="I9" s="71">
        <f t="shared" si="4"/>
        <v>0</v>
      </c>
      <c r="J9" s="51">
        <f t="shared" si="5"/>
        <v>0</v>
      </c>
      <c r="K9" s="7">
        <v>12728.42</v>
      </c>
      <c r="L9" s="71">
        <f t="shared" si="6"/>
        <v>1.2299999999995634</v>
      </c>
      <c r="M9" s="51">
        <f t="shared" si="7"/>
        <v>2336.9999999991705</v>
      </c>
      <c r="N9" s="7">
        <v>1795.115</v>
      </c>
      <c r="O9" s="71">
        <f t="shared" si="8"/>
        <v>1.1330000000000382</v>
      </c>
      <c r="P9" s="51">
        <f t="shared" si="9"/>
        <v>2152.7000000000726</v>
      </c>
      <c r="Q9" s="7">
        <v>3873.39</v>
      </c>
      <c r="R9" s="71">
        <f t="shared" si="10"/>
        <v>1.1999999999998181</v>
      </c>
      <c r="S9" s="51">
        <f t="shared" si="11"/>
        <v>2279.9999999996544</v>
      </c>
      <c r="T9" s="8">
        <f t="shared" si="12"/>
        <v>11.49799999999891</v>
      </c>
      <c r="U9" s="55">
        <f t="shared" si="13"/>
        <v>21846.199999997927</v>
      </c>
    </row>
    <row r="10" spans="1:25" ht="21" thickBot="1" x14ac:dyDescent="0.25">
      <c r="A10" s="9">
        <v>43593</v>
      </c>
      <c r="B10" s="1">
        <v>14321.978999999999</v>
      </c>
      <c r="C10" s="71">
        <f t="shared" si="0"/>
        <v>7.433999999999287</v>
      </c>
      <c r="D10" s="51">
        <f t="shared" si="1"/>
        <v>14124.599999998643</v>
      </c>
      <c r="E10" s="1">
        <v>2166.8519999999999</v>
      </c>
      <c r="F10" s="71">
        <f t="shared" si="2"/>
        <v>2.1839999999997417</v>
      </c>
      <c r="G10" s="51">
        <f t="shared" si="3"/>
        <v>4149.5999999995092</v>
      </c>
      <c r="H10" s="1">
        <v>857.57600000000002</v>
      </c>
      <c r="I10" s="71">
        <f t="shared" si="4"/>
        <v>0</v>
      </c>
      <c r="J10" s="51">
        <f t="shared" si="5"/>
        <v>0</v>
      </c>
      <c r="K10" s="7">
        <v>12729.65</v>
      </c>
      <c r="L10" s="71">
        <f t="shared" si="6"/>
        <v>1.2299999999995634</v>
      </c>
      <c r="M10" s="51">
        <f t="shared" si="7"/>
        <v>2336.9999999991705</v>
      </c>
      <c r="N10" s="7">
        <v>1796.2909999999999</v>
      </c>
      <c r="O10" s="71">
        <f t="shared" si="8"/>
        <v>1.1759999999999309</v>
      </c>
      <c r="P10" s="51">
        <f t="shared" si="9"/>
        <v>2234.3999999998687</v>
      </c>
      <c r="Q10" s="7">
        <v>3876.16</v>
      </c>
      <c r="R10" s="71">
        <f t="shared" si="10"/>
        <v>2.7699999999999818</v>
      </c>
      <c r="S10" s="51">
        <f t="shared" si="11"/>
        <v>5262.9999999999654</v>
      </c>
      <c r="T10" s="8">
        <f t="shared" si="12"/>
        <v>14.793999999998505</v>
      </c>
      <c r="U10" s="55">
        <f t="shared" si="13"/>
        <v>28108.599999997157</v>
      </c>
    </row>
    <row r="11" spans="1:25" ht="21" thickBot="1" x14ac:dyDescent="0.25">
      <c r="A11" s="9">
        <v>43594</v>
      </c>
      <c r="B11" s="1">
        <v>14328.978999999999</v>
      </c>
      <c r="C11" s="71">
        <f t="shared" si="0"/>
        <v>7</v>
      </c>
      <c r="D11" s="51">
        <f t="shared" si="1"/>
        <v>13299.999999999998</v>
      </c>
      <c r="E11" s="1">
        <v>2168.2600000000002</v>
      </c>
      <c r="F11" s="71">
        <f t="shared" si="2"/>
        <v>1.4080000000003565</v>
      </c>
      <c r="G11" s="51">
        <f t="shared" si="3"/>
        <v>2675.2000000006774</v>
      </c>
      <c r="H11" s="1">
        <v>857.57600000000002</v>
      </c>
      <c r="I11" s="71">
        <f t="shared" si="4"/>
        <v>0</v>
      </c>
      <c r="J11" s="51">
        <f t="shared" si="5"/>
        <v>0</v>
      </c>
      <c r="K11" s="7">
        <v>12730.71</v>
      </c>
      <c r="L11" s="71">
        <f t="shared" si="6"/>
        <v>1.0599999999994907</v>
      </c>
      <c r="M11" s="51">
        <f t="shared" si="7"/>
        <v>2013.9999999990321</v>
      </c>
      <c r="N11" s="7">
        <v>1797.404</v>
      </c>
      <c r="O11" s="71">
        <f t="shared" si="8"/>
        <v>1.1130000000000564</v>
      </c>
      <c r="P11" s="51">
        <f t="shared" si="9"/>
        <v>2114.7000000001071</v>
      </c>
      <c r="Q11" s="7">
        <v>3877.09</v>
      </c>
      <c r="R11" s="71">
        <f t="shared" si="10"/>
        <v>0.93000000000029104</v>
      </c>
      <c r="S11" s="51">
        <f t="shared" si="11"/>
        <v>1767.0000000005527</v>
      </c>
      <c r="T11" s="8">
        <f t="shared" si="12"/>
        <v>11.511000000000195</v>
      </c>
      <c r="U11" s="55">
        <f t="shared" si="13"/>
        <v>21870.900000000369</v>
      </c>
    </row>
    <row r="12" spans="1:25" ht="21" thickBot="1" x14ac:dyDescent="0.25">
      <c r="A12" s="9">
        <v>43595</v>
      </c>
      <c r="B12" s="1">
        <v>14335.344999999999</v>
      </c>
      <c r="C12" s="71">
        <f t="shared" si="0"/>
        <v>6.3659999999999854</v>
      </c>
      <c r="D12" s="51">
        <f t="shared" si="1"/>
        <v>12095.399999999971</v>
      </c>
      <c r="E12" s="1">
        <v>2169.2370000000001</v>
      </c>
      <c r="F12" s="71">
        <f t="shared" si="2"/>
        <v>0.97699999999986176</v>
      </c>
      <c r="G12" s="51">
        <f t="shared" si="3"/>
        <v>1856.2999999997371</v>
      </c>
      <c r="H12" s="1">
        <v>857.57600000000002</v>
      </c>
      <c r="I12" s="71">
        <f t="shared" si="4"/>
        <v>0</v>
      </c>
      <c r="J12" s="51">
        <f t="shared" si="5"/>
        <v>0</v>
      </c>
      <c r="K12" s="7">
        <v>12731.57</v>
      </c>
      <c r="L12" s="71">
        <f t="shared" si="6"/>
        <v>0.86000000000058208</v>
      </c>
      <c r="M12" s="51">
        <f t="shared" si="7"/>
        <v>1634.0000000011059</v>
      </c>
      <c r="N12" s="7">
        <v>1798.62</v>
      </c>
      <c r="O12" s="71">
        <f t="shared" si="8"/>
        <v>1.2159999999998945</v>
      </c>
      <c r="P12" s="51">
        <f t="shared" si="9"/>
        <v>2310.3999999997991</v>
      </c>
      <c r="Q12" s="7">
        <v>3877.89</v>
      </c>
      <c r="R12" s="71">
        <f t="shared" si="10"/>
        <v>0.79999999999972715</v>
      </c>
      <c r="S12" s="51">
        <f t="shared" si="11"/>
        <v>1519.9999999994816</v>
      </c>
      <c r="T12" s="8">
        <f t="shared" si="12"/>
        <v>10.219000000000051</v>
      </c>
      <c r="U12" s="55">
        <f t="shared" si="13"/>
        <v>19416.100000000097</v>
      </c>
    </row>
    <row r="13" spans="1:25" ht="21" thickBot="1" x14ac:dyDescent="0.25">
      <c r="A13" s="9">
        <v>43596</v>
      </c>
      <c r="B13" s="1">
        <v>14342.597</v>
      </c>
      <c r="C13" s="71">
        <f t="shared" si="0"/>
        <v>7.2520000000004075</v>
      </c>
      <c r="D13" s="51">
        <f t="shared" si="1"/>
        <v>13778.800000000772</v>
      </c>
      <c r="E13" s="1">
        <v>2170.7919999999999</v>
      </c>
      <c r="F13" s="71">
        <f t="shared" si="2"/>
        <v>1.5549999999998363</v>
      </c>
      <c r="G13" s="51">
        <f t="shared" si="3"/>
        <v>2954.4999999996885</v>
      </c>
      <c r="H13" s="1">
        <v>857.577</v>
      </c>
      <c r="I13" s="71">
        <f t="shared" si="4"/>
        <v>9.9999999997635314E-4</v>
      </c>
      <c r="J13" s="51">
        <f t="shared" si="5"/>
        <v>1.899999999955071</v>
      </c>
      <c r="K13" s="7">
        <v>12732.81</v>
      </c>
      <c r="L13" s="71">
        <f t="shared" si="6"/>
        <v>1.2399999999997817</v>
      </c>
      <c r="M13" s="51">
        <f t="shared" si="7"/>
        <v>2355.9999999995853</v>
      </c>
      <c r="N13" s="7">
        <v>1799.7639999999999</v>
      </c>
      <c r="O13" s="71">
        <f t="shared" si="8"/>
        <v>1.1440000000000055</v>
      </c>
      <c r="P13" s="51">
        <f t="shared" si="9"/>
        <v>2173.6000000000104</v>
      </c>
      <c r="Q13" s="7">
        <v>3879.87</v>
      </c>
      <c r="R13" s="71">
        <f t="shared" si="10"/>
        <v>1.9800000000000182</v>
      </c>
      <c r="S13" s="51">
        <f t="shared" si="11"/>
        <v>3762.0000000000341</v>
      </c>
      <c r="T13" s="8">
        <f t="shared" si="12"/>
        <v>13.172000000000025</v>
      </c>
      <c r="U13" s="55">
        <f t="shared" si="13"/>
        <v>25026.800000000047</v>
      </c>
    </row>
    <row r="14" spans="1:25" ht="21" thickBot="1" x14ac:dyDescent="0.25">
      <c r="A14" s="9">
        <v>43597</v>
      </c>
      <c r="B14" s="1">
        <v>14350.487999999999</v>
      </c>
      <c r="C14" s="71">
        <f t="shared" si="0"/>
        <v>7.8909999999996217</v>
      </c>
      <c r="D14" s="51">
        <f t="shared" si="1"/>
        <v>14992.899999999281</v>
      </c>
      <c r="E14" s="1">
        <v>2173.1930000000002</v>
      </c>
      <c r="F14" s="71">
        <f>IF((E14-E13)&lt;0,"0",(E14-E13))</f>
        <v>2.4010000000002947</v>
      </c>
      <c r="G14" s="51">
        <f t="shared" si="3"/>
        <v>4561.9000000005599</v>
      </c>
      <c r="H14" s="1">
        <v>857.577</v>
      </c>
      <c r="I14" s="71">
        <f t="shared" si="4"/>
        <v>0</v>
      </c>
      <c r="J14" s="51">
        <f t="shared" si="5"/>
        <v>0</v>
      </c>
      <c r="K14" s="7">
        <v>12734.11</v>
      </c>
      <c r="L14" s="71">
        <f t="shared" si="6"/>
        <v>1.3000000000010914</v>
      </c>
      <c r="M14" s="51">
        <f t="shared" si="7"/>
        <v>2470.0000000020736</v>
      </c>
      <c r="N14" s="7">
        <v>1800.94</v>
      </c>
      <c r="O14" s="71">
        <f t="shared" si="8"/>
        <v>1.1760000000001583</v>
      </c>
      <c r="P14" s="51">
        <f t="shared" si="9"/>
        <v>2234.4000000003007</v>
      </c>
      <c r="Q14" s="7">
        <v>3831.31</v>
      </c>
      <c r="R14" s="71" t="str">
        <f t="shared" si="10"/>
        <v>0</v>
      </c>
      <c r="S14" s="51">
        <f t="shared" si="11"/>
        <v>0</v>
      </c>
      <c r="T14" s="8">
        <f t="shared" si="12"/>
        <v>12.768000000001166</v>
      </c>
      <c r="U14" s="55">
        <f t="shared" si="13"/>
        <v>24259.200000002213</v>
      </c>
    </row>
    <row r="15" spans="1:25" ht="21" thickBot="1" x14ac:dyDescent="0.25">
      <c r="A15" s="9">
        <v>43598</v>
      </c>
      <c r="B15" s="1">
        <v>14359.519</v>
      </c>
      <c r="C15" s="71">
        <f t="shared" si="0"/>
        <v>9.0310000000008586</v>
      </c>
      <c r="D15" s="51">
        <f t="shared" si="1"/>
        <v>17158.900000001631</v>
      </c>
      <c r="E15" s="1">
        <v>2175.7849999999999</v>
      </c>
      <c r="F15" s="71">
        <f>IF((E15-E14)&lt;0,"0",(E15-E14))</f>
        <v>2.5919999999996435</v>
      </c>
      <c r="G15" s="51">
        <f t="shared" si="3"/>
        <v>4924.7999999993226</v>
      </c>
      <c r="H15" s="1">
        <v>857.577</v>
      </c>
      <c r="I15" s="71">
        <f t="shared" si="4"/>
        <v>0</v>
      </c>
      <c r="J15" s="51">
        <f t="shared" si="5"/>
        <v>0</v>
      </c>
      <c r="K15" s="7">
        <v>12735.38</v>
      </c>
      <c r="L15" s="71">
        <f t="shared" si="6"/>
        <v>1.2699999999986176</v>
      </c>
      <c r="M15" s="51">
        <f t="shared" si="7"/>
        <v>2412.9999999973734</v>
      </c>
      <c r="N15" s="7">
        <v>1802.12</v>
      </c>
      <c r="O15" s="71">
        <f t="shared" si="8"/>
        <v>1.1799999999998363</v>
      </c>
      <c r="P15" s="51">
        <f t="shared" si="9"/>
        <v>2241.9999999996885</v>
      </c>
      <c r="Q15" s="7">
        <v>3833.01</v>
      </c>
      <c r="R15" s="71">
        <f t="shared" si="10"/>
        <v>1.7000000000002728</v>
      </c>
      <c r="S15" s="51">
        <f t="shared" si="11"/>
        <v>3230.0000000005184</v>
      </c>
      <c r="T15" s="8">
        <f t="shared" si="12"/>
        <v>15.772999999999229</v>
      </c>
      <c r="U15" s="55">
        <f t="shared" si="13"/>
        <v>29968.699999998535</v>
      </c>
      <c r="W15" t="s">
        <v>13</v>
      </c>
    </row>
    <row r="16" spans="1:25" ht="21" thickBot="1" x14ac:dyDescent="0.25">
      <c r="A16" s="9">
        <v>43599</v>
      </c>
      <c r="B16" s="1">
        <v>14367.79</v>
      </c>
      <c r="C16" s="71">
        <f t="shared" si="0"/>
        <v>8.2710000000006403</v>
      </c>
      <c r="D16" s="51">
        <f t="shared" si="1"/>
        <v>15714.900000001215</v>
      </c>
      <c r="E16" s="1">
        <v>2178.2496666666698</v>
      </c>
      <c r="F16" s="71">
        <f>IF((E16-E15)&lt;0,"0",(E16-E15))</f>
        <v>2.4646666666699275</v>
      </c>
      <c r="G16" s="51">
        <f t="shared" si="3"/>
        <v>4682.8666666728623</v>
      </c>
      <c r="H16" s="1">
        <v>857.577</v>
      </c>
      <c r="I16" s="71">
        <f t="shared" si="4"/>
        <v>0</v>
      </c>
      <c r="J16" s="51">
        <f t="shared" si="5"/>
        <v>0</v>
      </c>
      <c r="K16" s="7">
        <v>12736.65</v>
      </c>
      <c r="L16" s="71">
        <f t="shared" si="6"/>
        <v>1.2700000000004366</v>
      </c>
      <c r="M16" s="51">
        <f t="shared" si="7"/>
        <v>2413.0000000008295</v>
      </c>
      <c r="N16" s="7">
        <v>1803.29733333333</v>
      </c>
      <c r="O16" s="71">
        <f t="shared" si="8"/>
        <v>1.1773333333301252</v>
      </c>
      <c r="P16" s="51">
        <f t="shared" si="9"/>
        <v>2236.933333327238</v>
      </c>
      <c r="Q16" s="7">
        <v>3833.01</v>
      </c>
      <c r="R16" s="71">
        <f t="shared" si="10"/>
        <v>0</v>
      </c>
      <c r="S16" s="51">
        <f t="shared" si="11"/>
        <v>0</v>
      </c>
      <c r="T16" s="8">
        <f t="shared" si="12"/>
        <v>13.18300000000113</v>
      </c>
      <c r="U16" s="55">
        <f t="shared" si="13"/>
        <v>25047.700000002143</v>
      </c>
      <c r="Y16" t="s">
        <v>13</v>
      </c>
    </row>
    <row r="17" spans="1:24" ht="21" thickBot="1" x14ac:dyDescent="0.25">
      <c r="A17" s="9">
        <v>43600</v>
      </c>
      <c r="B17" s="1">
        <v>14376.251</v>
      </c>
      <c r="C17" s="71">
        <f t="shared" si="0"/>
        <v>8.4609999999993306</v>
      </c>
      <c r="D17" s="51">
        <f t="shared" si="1"/>
        <v>16075.899999998728</v>
      </c>
      <c r="E17" s="1">
        <v>2180.74616666667</v>
      </c>
      <c r="F17" s="71">
        <f t="shared" si="2"/>
        <v>2.4965000000001965</v>
      </c>
      <c r="G17" s="51">
        <f t="shared" si="3"/>
        <v>4743.3500000003733</v>
      </c>
      <c r="H17" s="1">
        <v>857.577</v>
      </c>
      <c r="I17" s="71">
        <f t="shared" si="4"/>
        <v>0</v>
      </c>
      <c r="J17" s="51">
        <f t="shared" si="5"/>
        <v>0</v>
      </c>
      <c r="K17" s="7">
        <v>12737.923000000001</v>
      </c>
      <c r="L17" s="71">
        <f t="shared" si="6"/>
        <v>1.2730000000010477</v>
      </c>
      <c r="M17" s="51">
        <f t="shared" si="7"/>
        <v>2418.7000000019907</v>
      </c>
      <c r="N17" s="7">
        <v>1804.4753333333299</v>
      </c>
      <c r="O17" s="71">
        <f t="shared" si="8"/>
        <v>1.1779999999998836</v>
      </c>
      <c r="P17" s="51">
        <f t="shared" si="9"/>
        <v>2238.1999999997788</v>
      </c>
      <c r="Q17" s="7">
        <v>3833.01</v>
      </c>
      <c r="R17" s="71">
        <f t="shared" si="10"/>
        <v>0</v>
      </c>
      <c r="S17" s="51">
        <f t="shared" si="11"/>
        <v>0</v>
      </c>
      <c r="T17" s="8">
        <f t="shared" si="12"/>
        <v>13.408500000000458</v>
      </c>
      <c r="U17" s="55">
        <f t="shared" si="13"/>
        <v>25476.150000000871</v>
      </c>
    </row>
    <row r="18" spans="1:24" ht="21" thickBot="1" x14ac:dyDescent="0.25">
      <c r="A18" s="9">
        <v>43601</v>
      </c>
      <c r="B18" s="1">
        <v>14384.712</v>
      </c>
      <c r="C18" s="71">
        <f t="shared" si="0"/>
        <v>8.4609999999993306</v>
      </c>
      <c r="D18" s="51">
        <f t="shared" si="1"/>
        <v>16075.899999998728</v>
      </c>
      <c r="E18" s="1">
        <v>2183.2426666666702</v>
      </c>
      <c r="F18" s="71">
        <f t="shared" si="2"/>
        <v>2.4965000000001965</v>
      </c>
      <c r="G18" s="51">
        <f t="shared" si="3"/>
        <v>4743.3500000003733</v>
      </c>
      <c r="H18" s="1">
        <v>857.577</v>
      </c>
      <c r="I18" s="71">
        <f t="shared" si="4"/>
        <v>0</v>
      </c>
      <c r="J18" s="51">
        <f t="shared" si="5"/>
        <v>0</v>
      </c>
      <c r="K18" s="7">
        <v>12739.196</v>
      </c>
      <c r="L18" s="71">
        <f t="shared" si="6"/>
        <v>1.2729999999992287</v>
      </c>
      <c r="M18" s="51">
        <f t="shared" si="7"/>
        <v>2418.6999999985342</v>
      </c>
      <c r="N18" s="7">
        <v>1805.65333333333</v>
      </c>
      <c r="O18" s="71">
        <f t="shared" si="8"/>
        <v>1.178000000000111</v>
      </c>
      <c r="P18" s="51">
        <f t="shared" si="9"/>
        <v>2238.2000000002108</v>
      </c>
      <c r="Q18" s="7">
        <v>3833.01</v>
      </c>
      <c r="R18" s="71">
        <f t="shared" si="10"/>
        <v>0</v>
      </c>
      <c r="S18" s="51">
        <f t="shared" si="11"/>
        <v>0</v>
      </c>
      <c r="T18" s="8">
        <f t="shared" si="12"/>
        <v>13.408499999998867</v>
      </c>
      <c r="U18" s="55">
        <f t="shared" si="13"/>
        <v>25476.149999997844</v>
      </c>
    </row>
    <row r="19" spans="1:24" ht="21" thickBot="1" x14ac:dyDescent="0.25">
      <c r="A19" s="9">
        <v>43602</v>
      </c>
      <c r="B19" s="1">
        <v>14399.684999999999</v>
      </c>
      <c r="C19" s="71">
        <f t="shared" si="0"/>
        <v>14.972999999999956</v>
      </c>
      <c r="D19" s="51">
        <f t="shared" si="1"/>
        <v>28448.699999999917</v>
      </c>
      <c r="E19" s="1">
        <v>2185.0239999999999</v>
      </c>
      <c r="F19" s="71">
        <f t="shared" si="2"/>
        <v>1.7813333333297123</v>
      </c>
      <c r="G19" s="51">
        <f t="shared" si="3"/>
        <v>3384.5333333264534</v>
      </c>
      <c r="H19" s="1">
        <v>857.577</v>
      </c>
      <c r="I19" s="71">
        <f t="shared" si="4"/>
        <v>0</v>
      </c>
      <c r="J19" s="51">
        <f t="shared" si="5"/>
        <v>0</v>
      </c>
      <c r="K19" s="7">
        <v>12739.56</v>
      </c>
      <c r="L19" s="71">
        <f t="shared" si="6"/>
        <v>0.36399999999957799</v>
      </c>
      <c r="M19" s="51">
        <f t="shared" si="7"/>
        <v>691.59999999919819</v>
      </c>
      <c r="N19" s="7">
        <v>1806.9580000000001</v>
      </c>
      <c r="O19" s="71">
        <f t="shared" si="8"/>
        <v>1.304666666670073</v>
      </c>
      <c r="P19" s="51">
        <f t="shared" si="9"/>
        <v>2478.8666666731383</v>
      </c>
      <c r="Q19" s="7">
        <v>3889.05</v>
      </c>
      <c r="R19" s="71">
        <f t="shared" si="10"/>
        <v>56.039999999999964</v>
      </c>
      <c r="S19" s="51">
        <f t="shared" si="11"/>
        <v>106475.99999999993</v>
      </c>
      <c r="T19" s="8">
        <f t="shared" si="12"/>
        <v>74.462999999999283</v>
      </c>
      <c r="U19" s="55">
        <f t="shared" si="13"/>
        <v>141479.69999999864</v>
      </c>
    </row>
    <row r="20" spans="1:24" ht="21" thickBot="1" x14ac:dyDescent="0.25">
      <c r="A20" s="9">
        <v>43603</v>
      </c>
      <c r="B20" s="1">
        <v>14406.157999999999</v>
      </c>
      <c r="C20" s="71">
        <f t="shared" si="0"/>
        <v>6.4729999999999563</v>
      </c>
      <c r="D20" s="51">
        <f t="shared" si="1"/>
        <v>12298.699999999917</v>
      </c>
      <c r="E20" s="1">
        <v>2186.4470000000001</v>
      </c>
      <c r="F20" s="71">
        <f t="shared" si="2"/>
        <v>1.4230000000002292</v>
      </c>
      <c r="G20" s="51">
        <f t="shared" si="3"/>
        <v>2703.700000000435</v>
      </c>
      <c r="H20" s="1">
        <v>857.577</v>
      </c>
      <c r="I20" s="71">
        <f t="shared" si="4"/>
        <v>0</v>
      </c>
      <c r="J20" s="51">
        <f t="shared" si="5"/>
        <v>0</v>
      </c>
      <c r="K20" s="7">
        <v>12741.85</v>
      </c>
      <c r="L20" s="71">
        <f t="shared" si="6"/>
        <v>2.2900000000008731</v>
      </c>
      <c r="M20" s="51">
        <f t="shared" si="7"/>
        <v>4351.0000000016589</v>
      </c>
      <c r="N20" s="7">
        <v>1807.7139999999999</v>
      </c>
      <c r="O20" s="71">
        <f t="shared" si="8"/>
        <v>0.75599999999985812</v>
      </c>
      <c r="P20" s="51">
        <f t="shared" si="9"/>
        <v>1436.3999999997304</v>
      </c>
      <c r="Q20" s="7">
        <v>3890.62</v>
      </c>
      <c r="R20" s="71">
        <f t="shared" si="10"/>
        <v>1.569999999999709</v>
      </c>
      <c r="S20" s="51">
        <f t="shared" si="11"/>
        <v>2982.9999999994466</v>
      </c>
      <c r="T20" s="8">
        <f t="shared" si="12"/>
        <v>12.512000000000626</v>
      </c>
      <c r="U20" s="55">
        <f t="shared" si="13"/>
        <v>23772.800000001185</v>
      </c>
      <c r="X20" t="s">
        <v>13</v>
      </c>
    </row>
    <row r="21" spans="1:24" ht="21" thickBot="1" x14ac:dyDescent="0.25">
      <c r="A21" s="9">
        <v>43604</v>
      </c>
      <c r="B21" s="1">
        <v>14426.951999999999</v>
      </c>
      <c r="C21" s="71">
        <f t="shared" si="0"/>
        <v>20.793999999999869</v>
      </c>
      <c r="D21" s="51">
        <f t="shared" si="1"/>
        <v>39508.599999999751</v>
      </c>
      <c r="E21" s="1">
        <v>2191.9929999999999</v>
      </c>
      <c r="F21" s="71">
        <f t="shared" si="2"/>
        <v>5.5459999999998217</v>
      </c>
      <c r="G21" s="51">
        <f t="shared" si="3"/>
        <v>10537.399999999661</v>
      </c>
      <c r="H21" s="1">
        <v>857.577</v>
      </c>
      <c r="I21" s="71">
        <f t="shared" si="4"/>
        <v>0</v>
      </c>
      <c r="J21" s="51">
        <f t="shared" si="5"/>
        <v>0</v>
      </c>
      <c r="K21" s="7">
        <v>12738.05</v>
      </c>
      <c r="L21" s="71" t="str">
        <f t="shared" si="6"/>
        <v>0</v>
      </c>
      <c r="M21" s="51">
        <f t="shared" si="7"/>
        <v>0</v>
      </c>
      <c r="N21" s="7">
        <v>1808.8357777777801</v>
      </c>
      <c r="O21" s="71">
        <f t="shared" si="8"/>
        <v>1.121777777780153</v>
      </c>
      <c r="P21" s="51">
        <f t="shared" si="9"/>
        <v>2131.3777777822907</v>
      </c>
      <c r="Q21" s="7">
        <v>3890.62</v>
      </c>
      <c r="R21" s="71">
        <f t="shared" si="10"/>
        <v>0</v>
      </c>
      <c r="S21" s="51">
        <f t="shared" si="11"/>
        <v>0</v>
      </c>
      <c r="T21" s="8">
        <f t="shared" si="12"/>
        <v>27.461777777779844</v>
      </c>
      <c r="U21" s="55">
        <f t="shared" si="13"/>
        <v>52177.377777781701</v>
      </c>
    </row>
    <row r="22" spans="1:24" ht="21" thickBot="1" x14ac:dyDescent="0.25">
      <c r="A22" s="9">
        <v>43605</v>
      </c>
      <c r="B22" s="1">
        <v>14430.002</v>
      </c>
      <c r="C22" s="71">
        <f t="shared" si="0"/>
        <v>3.0500000000010914</v>
      </c>
      <c r="D22" s="51">
        <f t="shared" si="1"/>
        <v>5795.0000000020727</v>
      </c>
      <c r="E22" s="1">
        <v>2192.5219999999999</v>
      </c>
      <c r="F22" s="71">
        <f t="shared" si="2"/>
        <v>0.52899999999999636</v>
      </c>
      <c r="G22" s="51">
        <f t="shared" si="3"/>
        <v>1005.099999999993</v>
      </c>
      <c r="H22" s="1">
        <v>857.577</v>
      </c>
      <c r="I22" s="71">
        <f t="shared" si="4"/>
        <v>0</v>
      </c>
      <c r="J22" s="51">
        <f t="shared" si="5"/>
        <v>0</v>
      </c>
      <c r="K22" s="7">
        <v>12744.67</v>
      </c>
      <c r="L22" s="71">
        <f t="shared" si="6"/>
        <v>6.6200000000008004</v>
      </c>
      <c r="M22" s="51">
        <f t="shared" si="7"/>
        <v>12578.000000001521</v>
      </c>
      <c r="N22" s="7">
        <v>1810.4069999999999</v>
      </c>
      <c r="O22" s="71">
        <f t="shared" si="8"/>
        <v>1.5712222222198307</v>
      </c>
      <c r="P22" s="51">
        <f t="shared" si="9"/>
        <v>2985.3222222176782</v>
      </c>
      <c r="Q22" s="7">
        <v>3893.25</v>
      </c>
      <c r="R22" s="71">
        <f t="shared" si="10"/>
        <v>2.6300000000001091</v>
      </c>
      <c r="S22" s="51">
        <f t="shared" si="11"/>
        <v>4997.0000000002065</v>
      </c>
      <c r="T22" s="8">
        <f t="shared" si="12"/>
        <v>14.400222222221828</v>
      </c>
      <c r="U22" s="55">
        <f t="shared" si="13"/>
        <v>27360.422222221474</v>
      </c>
    </row>
    <row r="23" spans="1:24" ht="21" thickBot="1" x14ac:dyDescent="0.25">
      <c r="A23" s="9">
        <v>43606</v>
      </c>
      <c r="B23" s="1">
        <v>14441.084000000001</v>
      </c>
      <c r="C23" s="71">
        <f t="shared" si="0"/>
        <v>11.082000000000335</v>
      </c>
      <c r="D23" s="51">
        <f t="shared" si="1"/>
        <v>21055.800000000632</v>
      </c>
      <c r="E23" s="1">
        <v>2195.2739999999999</v>
      </c>
      <c r="F23" s="71">
        <f t="shared" si="2"/>
        <v>2.7519999999999527</v>
      </c>
      <c r="G23" s="51">
        <f t="shared" si="3"/>
        <v>5228.7999999999101</v>
      </c>
      <c r="H23" s="1">
        <v>857.577</v>
      </c>
      <c r="I23" s="71">
        <f t="shared" si="4"/>
        <v>0</v>
      </c>
      <c r="J23" s="51">
        <f t="shared" si="5"/>
        <v>0</v>
      </c>
      <c r="K23" s="7">
        <v>12745.97</v>
      </c>
      <c r="L23" s="71">
        <f t="shared" si="6"/>
        <v>1.2999999999992724</v>
      </c>
      <c r="M23" s="51">
        <f t="shared" si="7"/>
        <v>2469.9999999986171</v>
      </c>
      <c r="N23" s="7">
        <v>1811.5989999999999</v>
      </c>
      <c r="O23" s="71">
        <f t="shared" si="8"/>
        <v>1.1920000000000073</v>
      </c>
      <c r="P23" s="51">
        <f t="shared" si="9"/>
        <v>2264.8000000000138</v>
      </c>
      <c r="Q23" s="7">
        <v>3893.28</v>
      </c>
      <c r="R23" s="71">
        <f t="shared" si="10"/>
        <v>3.0000000000200089E-2</v>
      </c>
      <c r="S23" s="51">
        <f t="shared" si="11"/>
        <v>57.000000000380162</v>
      </c>
      <c r="T23" s="8">
        <f t="shared" si="12"/>
        <v>16.355999999999767</v>
      </c>
      <c r="U23" s="55">
        <f t="shared" si="13"/>
        <v>31076.399999999554</v>
      </c>
    </row>
    <row r="24" spans="1:24" ht="21" thickBot="1" x14ac:dyDescent="0.25">
      <c r="A24" s="9">
        <v>43607</v>
      </c>
      <c r="B24" s="1">
        <v>14451.994000000001</v>
      </c>
      <c r="C24" s="71">
        <f t="shared" si="0"/>
        <v>10.909999999999854</v>
      </c>
      <c r="D24" s="51">
        <f t="shared" si="1"/>
        <v>20728.999999999724</v>
      </c>
      <c r="E24" s="1">
        <v>2197.7800000000002</v>
      </c>
      <c r="F24" s="71">
        <f t="shared" si="2"/>
        <v>2.5060000000003129</v>
      </c>
      <c r="G24" s="51">
        <f t="shared" si="3"/>
        <v>4761.4000000005944</v>
      </c>
      <c r="H24" s="1">
        <v>857.577</v>
      </c>
      <c r="I24" s="71">
        <f t="shared" si="4"/>
        <v>0</v>
      </c>
      <c r="J24" s="51">
        <f t="shared" si="5"/>
        <v>0</v>
      </c>
      <c r="K24" s="7">
        <v>12747.28</v>
      </c>
      <c r="L24" s="71">
        <f t="shared" si="6"/>
        <v>1.3100000000013097</v>
      </c>
      <c r="M24" s="51">
        <f t="shared" si="7"/>
        <v>2489.0000000024879</v>
      </c>
      <c r="N24" s="7">
        <v>1812.6990000000001</v>
      </c>
      <c r="O24" s="71">
        <f t="shared" si="8"/>
        <v>1.1000000000001364</v>
      </c>
      <c r="P24" s="51">
        <f t="shared" si="9"/>
        <v>2090.0000000002592</v>
      </c>
      <c r="Q24" s="7">
        <v>3894.15</v>
      </c>
      <c r="R24" s="71">
        <f t="shared" si="10"/>
        <v>0.86999999999989086</v>
      </c>
      <c r="S24" s="51">
        <f t="shared" si="11"/>
        <v>1652.9999999997926</v>
      </c>
      <c r="T24" s="8">
        <f t="shared" si="12"/>
        <v>16.696000000001504</v>
      </c>
      <c r="U24" s="55">
        <f t="shared" si="13"/>
        <v>31722.400000002857</v>
      </c>
    </row>
    <row r="25" spans="1:24" ht="21" thickBot="1" x14ac:dyDescent="0.25">
      <c r="A25" s="9">
        <v>43608</v>
      </c>
      <c r="B25" s="1">
        <v>14466.114</v>
      </c>
      <c r="C25" s="71">
        <f t="shared" si="0"/>
        <v>14.119999999998981</v>
      </c>
      <c r="D25" s="51">
        <f t="shared" si="1"/>
        <v>26827.999999998065</v>
      </c>
      <c r="E25" s="1">
        <v>2200.8090000000002</v>
      </c>
      <c r="F25" s="71">
        <f t="shared" si="2"/>
        <v>3.0289999999999964</v>
      </c>
      <c r="G25" s="51">
        <f t="shared" si="3"/>
        <v>5755.0999999999922</v>
      </c>
      <c r="H25" s="1">
        <v>857.61099999999999</v>
      </c>
      <c r="I25" s="71">
        <f t="shared" si="4"/>
        <v>3.3999999999991815E-2</v>
      </c>
      <c r="J25" s="51">
        <f t="shared" si="5"/>
        <v>64.599999999984448</v>
      </c>
      <c r="K25" s="7">
        <v>12748.67</v>
      </c>
      <c r="L25" s="71">
        <f t="shared" si="6"/>
        <v>1.3899999999994179</v>
      </c>
      <c r="M25" s="51">
        <f t="shared" si="7"/>
        <v>2640.9999999988936</v>
      </c>
      <c r="N25" s="7">
        <v>1813.8420000000001</v>
      </c>
      <c r="O25" s="71">
        <f t="shared" si="8"/>
        <v>1.1430000000000291</v>
      </c>
      <c r="P25" s="51">
        <f t="shared" si="9"/>
        <v>2171.7000000000548</v>
      </c>
      <c r="Q25" s="7">
        <v>3895.01</v>
      </c>
      <c r="R25" s="71">
        <f t="shared" si="10"/>
        <v>0.86000000000012733</v>
      </c>
      <c r="S25" s="51">
        <f t="shared" si="11"/>
        <v>1634.0000000002419</v>
      </c>
      <c r="T25" s="8">
        <f t="shared" si="12"/>
        <v>20.575999999998544</v>
      </c>
      <c r="U25" s="55">
        <f t="shared" si="13"/>
        <v>39094.399999997229</v>
      </c>
    </row>
    <row r="26" spans="1:24" ht="21" thickBot="1" x14ac:dyDescent="0.25">
      <c r="A26" s="9">
        <v>43609</v>
      </c>
      <c r="B26" s="1">
        <v>14480.28</v>
      </c>
      <c r="C26" s="71">
        <f t="shared" si="0"/>
        <v>14.166000000001077</v>
      </c>
      <c r="D26" s="51">
        <f t="shared" si="1"/>
        <v>26915.400000002046</v>
      </c>
      <c r="E26" s="1">
        <v>2202.7109999999998</v>
      </c>
      <c r="F26" s="71">
        <f t="shared" si="2"/>
        <v>1.9019999999995889</v>
      </c>
      <c r="G26" s="51">
        <f t="shared" si="3"/>
        <v>3613.7999999992189</v>
      </c>
      <c r="H26" s="1">
        <v>857.61099999999999</v>
      </c>
      <c r="I26" s="71">
        <f t="shared" si="4"/>
        <v>0</v>
      </c>
      <c r="J26" s="51">
        <f t="shared" si="5"/>
        <v>0</v>
      </c>
      <c r="K26" s="7">
        <v>12750.03</v>
      </c>
      <c r="L26" s="71">
        <f t="shared" si="6"/>
        <v>1.3600000000005821</v>
      </c>
      <c r="M26" s="51">
        <f t="shared" si="7"/>
        <v>2584.0000000011059</v>
      </c>
      <c r="N26" s="7">
        <v>1815.646</v>
      </c>
      <c r="O26" s="71">
        <f t="shared" si="8"/>
        <v>1.8039999999998599</v>
      </c>
      <c r="P26" s="51">
        <f t="shared" si="9"/>
        <v>3427.5999999997334</v>
      </c>
      <c r="Q26" s="7">
        <v>3896.48</v>
      </c>
      <c r="R26" s="71">
        <f t="shared" si="10"/>
        <v>1.4699999999997999</v>
      </c>
      <c r="S26" s="51">
        <f t="shared" si="11"/>
        <v>2792.9999999996194</v>
      </c>
      <c r="T26" s="8">
        <f t="shared" si="12"/>
        <v>20.702000000000908</v>
      </c>
      <c r="U26" s="55">
        <f t="shared" si="13"/>
        <v>39333.80000000172</v>
      </c>
      <c r="V26" t="s">
        <v>13</v>
      </c>
    </row>
    <row r="27" spans="1:24" ht="21" thickBot="1" x14ac:dyDescent="0.25">
      <c r="A27" s="9">
        <v>43610</v>
      </c>
      <c r="B27" s="1">
        <v>14492.406000000001</v>
      </c>
      <c r="C27" s="71">
        <f t="shared" si="0"/>
        <v>12.126000000000204</v>
      </c>
      <c r="D27" s="51">
        <f t="shared" si="1"/>
        <v>23039.400000000383</v>
      </c>
      <c r="E27" s="1">
        <v>2204.5459999999998</v>
      </c>
      <c r="F27" s="71">
        <f t="shared" ref="F27:F33" si="14">IF((E27-E26)&lt;0,"0",(E27-E26))</f>
        <v>1.8350000000000364</v>
      </c>
      <c r="G27" s="51">
        <f t="shared" si="3"/>
        <v>3486.5000000000687</v>
      </c>
      <c r="H27" s="1">
        <v>857.61099999999999</v>
      </c>
      <c r="I27" s="71">
        <f t="shared" si="4"/>
        <v>0</v>
      </c>
      <c r="J27" s="51">
        <f t="shared" si="5"/>
        <v>0</v>
      </c>
      <c r="K27" s="7">
        <v>12751.28</v>
      </c>
      <c r="L27" s="71">
        <f t="shared" si="6"/>
        <v>1.25</v>
      </c>
      <c r="M27" s="51">
        <f t="shared" si="7"/>
        <v>2375</v>
      </c>
      <c r="N27" s="7">
        <v>1817.1320000000001</v>
      </c>
      <c r="O27" s="71">
        <f t="shared" si="8"/>
        <v>1.4860000000001037</v>
      </c>
      <c r="P27" s="51">
        <f t="shared" si="9"/>
        <v>2823.400000000197</v>
      </c>
      <c r="Q27" s="7">
        <v>3897.11</v>
      </c>
      <c r="R27" s="71">
        <f t="shared" si="10"/>
        <v>0.63000000000010914</v>
      </c>
      <c r="S27" s="51">
        <f t="shared" si="11"/>
        <v>1197.0000000002071</v>
      </c>
      <c r="T27" s="8">
        <f t="shared" si="12"/>
        <v>17.327000000000453</v>
      </c>
      <c r="U27" s="55">
        <f t="shared" si="13"/>
        <v>32921.300000000861</v>
      </c>
      <c r="V27" t="s">
        <v>13</v>
      </c>
    </row>
    <row r="28" spans="1:24" ht="21" thickBot="1" x14ac:dyDescent="0.25">
      <c r="A28" s="9">
        <v>43611</v>
      </c>
      <c r="B28" s="1">
        <v>14504.313</v>
      </c>
      <c r="C28" s="71">
        <f t="shared" si="0"/>
        <v>11.906999999999243</v>
      </c>
      <c r="D28" s="51">
        <f t="shared" si="1"/>
        <v>22623.299999998562</v>
      </c>
      <c r="E28" s="1">
        <v>2207.5010000000002</v>
      </c>
      <c r="F28" s="71">
        <f t="shared" si="14"/>
        <v>2.955000000000382</v>
      </c>
      <c r="G28" s="51">
        <f t="shared" si="3"/>
        <v>5614.5000000007249</v>
      </c>
      <c r="H28" s="1">
        <v>857.61099999999999</v>
      </c>
      <c r="I28" s="71">
        <f t="shared" si="4"/>
        <v>0</v>
      </c>
      <c r="J28" s="51">
        <f t="shared" si="5"/>
        <v>0</v>
      </c>
      <c r="K28" s="7">
        <v>12752.44</v>
      </c>
      <c r="L28" s="71">
        <f t="shared" si="6"/>
        <v>1.1599999999998545</v>
      </c>
      <c r="M28" s="51">
        <f t="shared" si="7"/>
        <v>2203.9999999997235</v>
      </c>
      <c r="N28" s="7">
        <v>1818.5</v>
      </c>
      <c r="O28" s="71">
        <f t="shared" si="8"/>
        <v>1.3679999999999382</v>
      </c>
      <c r="P28" s="51">
        <f t="shared" si="9"/>
        <v>2599.1999999998825</v>
      </c>
      <c r="Q28" s="7">
        <v>3899.69</v>
      </c>
      <c r="R28" s="71">
        <f t="shared" si="10"/>
        <v>2.5799999999999272</v>
      </c>
      <c r="S28" s="51">
        <f t="shared" si="11"/>
        <v>4901.9999999998618</v>
      </c>
      <c r="T28" s="8">
        <f t="shared" si="12"/>
        <v>19.969999999999345</v>
      </c>
      <c r="U28" s="55">
        <f t="shared" si="13"/>
        <v>37942.999999998756</v>
      </c>
    </row>
    <row r="29" spans="1:24" ht="21" thickBot="1" x14ac:dyDescent="0.25">
      <c r="A29" s="9">
        <v>43612</v>
      </c>
      <c r="B29" s="1">
        <v>14516.22</v>
      </c>
      <c r="C29" s="71">
        <f t="shared" si="0"/>
        <v>11.906999999999243</v>
      </c>
      <c r="D29" s="51">
        <f t="shared" si="1"/>
        <v>22623.299999998562</v>
      </c>
      <c r="E29" s="1">
        <v>2210.4560000000001</v>
      </c>
      <c r="F29" s="71">
        <f t="shared" si="14"/>
        <v>2.9549999999999272</v>
      </c>
      <c r="G29" s="51">
        <f t="shared" si="3"/>
        <v>5614.4999999998618</v>
      </c>
      <c r="H29" s="1">
        <v>857.61400000000003</v>
      </c>
      <c r="I29" s="71">
        <f t="shared" si="4"/>
        <v>3.0000000000427463E-3</v>
      </c>
      <c r="J29" s="51">
        <f t="shared" si="5"/>
        <v>5.700000000081217</v>
      </c>
      <c r="K29" s="7">
        <v>12753.6</v>
      </c>
      <c r="L29" s="71">
        <f t="shared" si="6"/>
        <v>1.1599999999998545</v>
      </c>
      <c r="M29" s="51">
        <f t="shared" si="7"/>
        <v>2203.9999999997235</v>
      </c>
      <c r="N29" s="7">
        <v>1819.9466666666699</v>
      </c>
      <c r="O29" s="71">
        <f t="shared" si="8"/>
        <v>1.4466666666698984</v>
      </c>
      <c r="P29" s="51">
        <f t="shared" si="9"/>
        <v>2748.666666672807</v>
      </c>
      <c r="Q29" s="7">
        <v>3900.97</v>
      </c>
      <c r="R29" s="71">
        <f t="shared" si="10"/>
        <v>1.2799999999997453</v>
      </c>
      <c r="S29" s="51">
        <f t="shared" si="11"/>
        <v>2431.9999999995157</v>
      </c>
      <c r="T29" s="8">
        <f t="shared" si="12"/>
        <v>18.751666666668712</v>
      </c>
      <c r="U29" s="55">
        <f t="shared" si="13"/>
        <v>35628.16666667055</v>
      </c>
    </row>
    <row r="30" spans="1:24" ht="21" thickBot="1" x14ac:dyDescent="0.25">
      <c r="A30" s="9">
        <v>43613</v>
      </c>
      <c r="B30" s="1">
        <v>14528.682000000001</v>
      </c>
      <c r="C30" s="71">
        <f t="shared" si="0"/>
        <v>12.462000000001353</v>
      </c>
      <c r="D30" s="51">
        <f t="shared" si="1"/>
        <v>23677.800000002571</v>
      </c>
      <c r="E30" s="1">
        <v>2213.06</v>
      </c>
      <c r="F30" s="71">
        <f t="shared" si="14"/>
        <v>2.6039999999998145</v>
      </c>
      <c r="G30" s="51">
        <f t="shared" si="3"/>
        <v>4947.5999999996466</v>
      </c>
      <c r="H30" s="1">
        <v>857.61400000000003</v>
      </c>
      <c r="I30" s="71">
        <f t="shared" si="4"/>
        <v>0</v>
      </c>
      <c r="J30" s="51">
        <f t="shared" si="5"/>
        <v>0</v>
      </c>
      <c r="K30" s="7">
        <v>12754.65</v>
      </c>
      <c r="L30" s="71">
        <f t="shared" si="6"/>
        <v>1.0499999999992724</v>
      </c>
      <c r="M30" s="51">
        <f t="shared" si="7"/>
        <v>1994.9999999986173</v>
      </c>
      <c r="N30" s="7">
        <v>1821.683</v>
      </c>
      <c r="O30" s="71">
        <f t="shared" si="8"/>
        <v>1.7363333333300943</v>
      </c>
      <c r="P30" s="51">
        <f t="shared" si="9"/>
        <v>3299.0333333271788</v>
      </c>
      <c r="Q30" s="7">
        <v>3902.5749999999998</v>
      </c>
      <c r="R30" s="71">
        <f t="shared" si="10"/>
        <v>1.6050000000000182</v>
      </c>
      <c r="S30" s="51">
        <f t="shared" si="11"/>
        <v>3049.5000000000341</v>
      </c>
      <c r="T30" s="8">
        <f t="shared" si="12"/>
        <v>19.457333333330553</v>
      </c>
      <c r="U30" s="55">
        <f t="shared" si="13"/>
        <v>36968.933333328045</v>
      </c>
    </row>
    <row r="31" spans="1:24" ht="21" thickBot="1" x14ac:dyDescent="0.25">
      <c r="A31" s="9">
        <v>43614</v>
      </c>
      <c r="B31" s="1">
        <v>14542.067999999999</v>
      </c>
      <c r="C31" s="71">
        <f t="shared" si="0"/>
        <v>13.385999999998603</v>
      </c>
      <c r="D31" s="51">
        <f t="shared" si="1"/>
        <v>25433.399999997346</v>
      </c>
      <c r="E31" s="1">
        <v>2215.672</v>
      </c>
      <c r="F31" s="71">
        <f t="shared" si="14"/>
        <v>2.61200000000008</v>
      </c>
      <c r="G31" s="51">
        <f t="shared" si="3"/>
        <v>4962.8000000001512</v>
      </c>
      <c r="H31" s="1">
        <v>857.64599999999996</v>
      </c>
      <c r="I31" s="71">
        <f t="shared" si="4"/>
        <v>3.1999999999925421E-2</v>
      </c>
      <c r="J31" s="51">
        <f t="shared" si="5"/>
        <v>60.799999999858301</v>
      </c>
      <c r="K31" s="7">
        <v>12755.68</v>
      </c>
      <c r="L31" s="71">
        <f t="shared" si="6"/>
        <v>1.0300000000006548</v>
      </c>
      <c r="M31" s="51">
        <f t="shared" si="7"/>
        <v>1957.0000000012442</v>
      </c>
      <c r="N31" s="7">
        <v>1823.5</v>
      </c>
      <c r="O31" s="71">
        <f t="shared" si="8"/>
        <v>1.8170000000000073</v>
      </c>
      <c r="P31" s="51">
        <f t="shared" si="9"/>
        <v>3452.3000000000134</v>
      </c>
      <c r="Q31" s="7">
        <v>3904.18</v>
      </c>
      <c r="R31" s="71">
        <f t="shared" si="10"/>
        <v>1.6050000000000182</v>
      </c>
      <c r="S31" s="51">
        <f t="shared" si="11"/>
        <v>3049.5000000000341</v>
      </c>
      <c r="T31" s="8">
        <f t="shared" si="12"/>
        <v>20.481999999999289</v>
      </c>
      <c r="U31" s="55">
        <f t="shared" si="13"/>
        <v>38915.79999999865</v>
      </c>
    </row>
    <row r="32" spans="1:24" ht="21" thickBot="1" x14ac:dyDescent="0.25">
      <c r="A32" s="9">
        <v>43615</v>
      </c>
      <c r="B32" s="1">
        <v>14553.54</v>
      </c>
      <c r="C32" s="71">
        <f t="shared" si="0"/>
        <v>11.472000000001572</v>
      </c>
      <c r="D32" s="51">
        <f>C32*1.9*1000</f>
        <v>21796.800000002986</v>
      </c>
      <c r="E32" s="1">
        <v>2218.663</v>
      </c>
      <c r="F32" s="71">
        <f t="shared" si="14"/>
        <v>2.9909999999999854</v>
      </c>
      <c r="G32" s="51">
        <f>F32*1.9*1000</f>
        <v>5682.8999999999724</v>
      </c>
      <c r="H32" s="1">
        <v>857.70299999999997</v>
      </c>
      <c r="I32" s="71">
        <f t="shared" si="4"/>
        <v>5.7000000000016371E-2</v>
      </c>
      <c r="J32" s="51">
        <f>I32*1.9*1000</f>
        <v>108.30000000003109</v>
      </c>
      <c r="K32" s="7">
        <v>12756.7</v>
      </c>
      <c r="L32" s="71">
        <f t="shared" si="6"/>
        <v>1.0200000000004366</v>
      </c>
      <c r="M32" s="51">
        <f>L32*1.9*1000</f>
        <v>1938.0000000008292</v>
      </c>
      <c r="N32" s="7">
        <v>1824.9280333333299</v>
      </c>
      <c r="O32" s="71">
        <f t="shared" si="8"/>
        <v>1.4280333333299495</v>
      </c>
      <c r="P32" s="51">
        <f>O32*1.9*1000</f>
        <v>2713.2633333269036</v>
      </c>
      <c r="Q32" s="7">
        <v>3906.0124999999998</v>
      </c>
      <c r="R32" s="71">
        <f t="shared" si="10"/>
        <v>1.8324999999999818</v>
      </c>
      <c r="S32" s="51">
        <f>R32*1.9*1000</f>
        <v>3481.7499999999654</v>
      </c>
      <c r="T32" s="8">
        <f>C32+F32+I32+L32+O32+R32</f>
        <v>18.800533333331941</v>
      </c>
      <c r="U32" s="55">
        <f>T32*1.9*1000</f>
        <v>35721.013333330688</v>
      </c>
    </row>
    <row r="33" spans="1:21" ht="21" thickBot="1" x14ac:dyDescent="0.25">
      <c r="A33" s="9">
        <v>43616</v>
      </c>
      <c r="B33" s="1">
        <v>14566.344999999999</v>
      </c>
      <c r="C33" s="71">
        <f t="shared" si="0"/>
        <v>12.804999999998472</v>
      </c>
      <c r="D33" s="51">
        <f>C33*1.9*1000</f>
        <v>24329.499999997097</v>
      </c>
      <c r="E33" s="1">
        <v>2220.855</v>
      </c>
      <c r="F33" s="71">
        <f t="shared" si="14"/>
        <v>2.1920000000000073</v>
      </c>
      <c r="G33" s="51">
        <f>F33*1.9*1000</f>
        <v>4164.8000000000138</v>
      </c>
      <c r="H33" s="1">
        <v>857.70500000000004</v>
      </c>
      <c r="I33" s="71">
        <f t="shared" si="4"/>
        <v>2.0000000000663931E-3</v>
      </c>
      <c r="J33" s="51">
        <f>I33*1.9*1000</f>
        <v>3.8000000001261469</v>
      </c>
      <c r="K33" s="7">
        <v>12757.67</v>
      </c>
      <c r="L33" s="71">
        <f t="shared" si="6"/>
        <v>0.96999999999934516</v>
      </c>
      <c r="M33" s="51">
        <f>L33*1.9*1000</f>
        <v>1842.9999999987556</v>
      </c>
      <c r="N33" s="7">
        <v>1826.634</v>
      </c>
      <c r="O33" s="71">
        <f t="shared" si="8"/>
        <v>1.705966666670065</v>
      </c>
      <c r="P33" s="51">
        <f>O33*1.9*1000</f>
        <v>3241.3366666731235</v>
      </c>
      <c r="Q33" s="7">
        <v>3906.35</v>
      </c>
      <c r="R33" s="71">
        <f t="shared" si="10"/>
        <v>0.33750000000009095</v>
      </c>
      <c r="S33" s="51">
        <f>R33*1.9*1000</f>
        <v>641.25000000017269</v>
      </c>
      <c r="T33" s="8">
        <f>C33+F33+I33+L33+O33+R33</f>
        <v>18.012466666668047</v>
      </c>
      <c r="U33" s="55">
        <f>T33*1.9*1000</f>
        <v>34223.686666669288</v>
      </c>
    </row>
    <row r="34" spans="1:21" ht="16.5" thickBot="1" x14ac:dyDescent="0.3">
      <c r="A34" s="10"/>
      <c r="B34" s="1"/>
      <c r="C34" s="72">
        <f>SUM(C3:C33)</f>
        <v>311.36399999999958</v>
      </c>
      <c r="D34" s="52">
        <f>SUM(D3:D33)</f>
        <v>591591.59999999916</v>
      </c>
      <c r="E34" s="1"/>
      <c r="F34" s="72">
        <f>SUM(F3:F33)</f>
        <v>69.672000000000025</v>
      </c>
      <c r="G34" s="52">
        <f>SUM(G2:G33)</f>
        <v>132376.80000000005</v>
      </c>
      <c r="H34" s="1"/>
      <c r="I34" s="72">
        <f>SUM(I3:I33)</f>
        <v>0.1290000000000191</v>
      </c>
      <c r="J34" s="52">
        <f>SUM(J2:J33)</f>
        <v>245.10000000003629</v>
      </c>
      <c r="K34" s="7"/>
      <c r="L34" s="72">
        <f>SUM(L3:L33)</f>
        <v>41.690000000000509</v>
      </c>
      <c r="M34" s="52">
        <f>SUM(M2:M33)</f>
        <v>79211.000000000946</v>
      </c>
      <c r="N34" s="7"/>
      <c r="O34" s="72">
        <f>SUM(O3:O33)</f>
        <v>41.749000000000024</v>
      </c>
      <c r="P34" s="52">
        <f>SUM(P2:P33)</f>
        <v>79323.100000000035</v>
      </c>
      <c r="Q34" s="7"/>
      <c r="R34" s="72">
        <f>SUM(R3:R33)</f>
        <v>92.019999999999982</v>
      </c>
      <c r="S34" s="52">
        <f>SUM(S2:S33)</f>
        <v>174837.99999999991</v>
      </c>
      <c r="T34" s="12">
        <f>SUM(T2:T33)</f>
        <v>556.62400000000014</v>
      </c>
      <c r="U34" s="56">
        <f>SUM(U3:U33)</f>
        <v>1057585.6000000003</v>
      </c>
    </row>
    <row r="39" spans="1:21" x14ac:dyDescent="0.2">
      <c r="R39" s="62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zoomScale="85" zoomScaleNormal="85" workbookViewId="0">
      <selection activeCell="N2" sqref="N2"/>
    </sheetView>
  </sheetViews>
  <sheetFormatPr defaultRowHeight="12.75" x14ac:dyDescent="0.2"/>
  <cols>
    <col min="7" max="7" width="16.5703125" bestFit="1" customWidth="1"/>
    <col min="14" max="14" width="16.5703125" bestFit="1" customWidth="1"/>
  </cols>
  <sheetData>
    <row r="1" spans="2:15" ht="18" x14ac:dyDescent="0.2">
      <c r="B1" s="87"/>
      <c r="C1" s="194" t="s">
        <v>88</v>
      </c>
      <c r="D1" s="195"/>
      <c r="E1" s="195"/>
      <c r="F1" s="195"/>
      <c r="G1" s="195"/>
      <c r="H1" s="196"/>
      <c r="J1" s="194" t="s">
        <v>88</v>
      </c>
      <c r="K1" s="195"/>
      <c r="L1" s="195"/>
      <c r="M1" s="195"/>
      <c r="N1" s="195"/>
      <c r="O1" s="196"/>
    </row>
    <row r="2" spans="2:15" ht="60" x14ac:dyDescent="0.2">
      <c r="B2" s="87"/>
      <c r="C2" s="88" t="s">
        <v>89</v>
      </c>
      <c r="D2" s="89" t="s">
        <v>90</v>
      </c>
      <c r="E2" s="89" t="s">
        <v>91</v>
      </c>
      <c r="F2" s="89" t="s">
        <v>93</v>
      </c>
      <c r="G2" s="89" t="s">
        <v>108</v>
      </c>
      <c r="H2" s="90" t="s">
        <v>92</v>
      </c>
      <c r="J2" s="88" t="s">
        <v>89</v>
      </c>
      <c r="K2" s="89" t="s">
        <v>90</v>
      </c>
      <c r="L2" s="89" t="s">
        <v>106</v>
      </c>
      <c r="M2" s="89" t="s">
        <v>107</v>
      </c>
      <c r="N2" s="89" t="s">
        <v>108</v>
      </c>
      <c r="O2" s="90" t="s">
        <v>92</v>
      </c>
    </row>
    <row r="3" spans="2:15" ht="15" x14ac:dyDescent="0.2">
      <c r="B3" s="87"/>
      <c r="C3" s="188">
        <v>6</v>
      </c>
      <c r="D3" s="91" t="s">
        <v>94</v>
      </c>
      <c r="E3" s="92">
        <v>248958</v>
      </c>
      <c r="F3" s="92">
        <v>251152</v>
      </c>
      <c r="G3" s="93">
        <f>F3-E3</f>
        <v>2194</v>
      </c>
      <c r="H3" s="94"/>
      <c r="J3" s="188">
        <v>6</v>
      </c>
      <c r="K3" s="91" t="s">
        <v>94</v>
      </c>
      <c r="L3" s="92">
        <v>251152</v>
      </c>
      <c r="M3" s="92">
        <v>252205</v>
      </c>
      <c r="N3" s="93">
        <f>M3-L3</f>
        <v>1053</v>
      </c>
      <c r="O3" s="94"/>
    </row>
    <row r="4" spans="2:15" ht="15" x14ac:dyDescent="0.2">
      <c r="B4" s="87"/>
      <c r="C4" s="193"/>
      <c r="D4" s="91" t="s">
        <v>95</v>
      </c>
      <c r="E4" s="92">
        <v>211264</v>
      </c>
      <c r="F4" s="92">
        <v>212959</v>
      </c>
      <c r="G4" s="95">
        <f t="shared" ref="G4:G44" si="0">F4-E4</f>
        <v>1695</v>
      </c>
      <c r="H4" s="94"/>
      <c r="J4" s="193"/>
      <c r="K4" s="91" t="s">
        <v>95</v>
      </c>
      <c r="L4" s="92">
        <v>212959</v>
      </c>
      <c r="M4" s="92">
        <v>214247</v>
      </c>
      <c r="N4" s="95">
        <f t="shared" ref="N4:N44" si="1">M4-L4</f>
        <v>1288</v>
      </c>
      <c r="O4" s="94"/>
    </row>
    <row r="5" spans="2:15" ht="15" x14ac:dyDescent="0.2">
      <c r="B5" s="87"/>
      <c r="C5" s="189"/>
      <c r="D5" s="91" t="s">
        <v>96</v>
      </c>
      <c r="E5" s="92">
        <v>168324</v>
      </c>
      <c r="F5" s="92">
        <v>169211</v>
      </c>
      <c r="G5" s="96">
        <f t="shared" si="0"/>
        <v>887</v>
      </c>
      <c r="H5" s="94"/>
      <c r="J5" s="189"/>
      <c r="K5" s="91" t="s">
        <v>96</v>
      </c>
      <c r="L5" s="92">
        <v>169211</v>
      </c>
      <c r="M5" s="92">
        <v>170423</v>
      </c>
      <c r="N5" s="96">
        <f t="shared" si="1"/>
        <v>1212</v>
      </c>
      <c r="O5" s="94"/>
    </row>
    <row r="6" spans="2:15" ht="15" x14ac:dyDescent="0.2">
      <c r="B6" s="87"/>
      <c r="C6" s="188">
        <v>7</v>
      </c>
      <c r="D6" s="91" t="s">
        <v>94</v>
      </c>
      <c r="E6" s="92">
        <v>205132</v>
      </c>
      <c r="F6" s="92">
        <v>206660</v>
      </c>
      <c r="G6" s="93">
        <f t="shared" si="0"/>
        <v>1528</v>
      </c>
      <c r="H6" s="94"/>
      <c r="J6" s="188">
        <v>7</v>
      </c>
      <c r="K6" s="91" t="s">
        <v>94</v>
      </c>
      <c r="L6" s="92">
        <v>206660</v>
      </c>
      <c r="M6" s="92">
        <v>207990</v>
      </c>
      <c r="N6" s="93">
        <f t="shared" si="1"/>
        <v>1330</v>
      </c>
      <c r="O6" s="94"/>
    </row>
    <row r="7" spans="2:15" ht="15" x14ac:dyDescent="0.2">
      <c r="B7" s="87"/>
      <c r="C7" s="193"/>
      <c r="D7" s="91" t="s">
        <v>95</v>
      </c>
      <c r="E7" s="92">
        <v>143166</v>
      </c>
      <c r="F7" s="92">
        <v>144593</v>
      </c>
      <c r="G7" s="96">
        <f t="shared" si="0"/>
        <v>1427</v>
      </c>
      <c r="H7" s="94"/>
      <c r="J7" s="193"/>
      <c r="K7" s="91" t="s">
        <v>95</v>
      </c>
      <c r="L7" s="92">
        <v>144593</v>
      </c>
      <c r="M7" s="92">
        <v>145368</v>
      </c>
      <c r="N7" s="96">
        <f t="shared" si="1"/>
        <v>775</v>
      </c>
      <c r="O7" s="94"/>
    </row>
    <row r="8" spans="2:15" ht="15" x14ac:dyDescent="0.2">
      <c r="B8" s="87"/>
      <c r="C8" s="189"/>
      <c r="D8" s="91" t="s">
        <v>96</v>
      </c>
      <c r="E8" s="92">
        <v>103928</v>
      </c>
      <c r="F8" s="92">
        <v>103990</v>
      </c>
      <c r="G8" s="97">
        <f t="shared" si="0"/>
        <v>62</v>
      </c>
      <c r="H8" s="94"/>
      <c r="J8" s="189"/>
      <c r="K8" s="91" t="s">
        <v>96</v>
      </c>
      <c r="L8" s="92">
        <v>103990</v>
      </c>
      <c r="M8" s="92">
        <v>104411</v>
      </c>
      <c r="N8" s="97">
        <f t="shared" si="1"/>
        <v>421</v>
      </c>
      <c r="O8" s="94"/>
    </row>
    <row r="9" spans="2:15" ht="15" x14ac:dyDescent="0.2">
      <c r="B9" s="87"/>
      <c r="C9" s="188">
        <v>8</v>
      </c>
      <c r="D9" s="91" t="s">
        <v>94</v>
      </c>
      <c r="E9" s="92">
        <v>67895</v>
      </c>
      <c r="F9" s="92">
        <v>68089</v>
      </c>
      <c r="G9" s="93">
        <f t="shared" si="0"/>
        <v>194</v>
      </c>
      <c r="H9" s="94"/>
      <c r="J9" s="188">
        <v>8</v>
      </c>
      <c r="K9" s="91" t="s">
        <v>94</v>
      </c>
      <c r="L9" s="92">
        <v>68089</v>
      </c>
      <c r="M9" s="92">
        <v>68225</v>
      </c>
      <c r="N9" s="93">
        <f t="shared" si="1"/>
        <v>136</v>
      </c>
      <c r="O9" s="94"/>
    </row>
    <row r="10" spans="2:15" ht="15" x14ac:dyDescent="0.2">
      <c r="B10" s="87"/>
      <c r="C10" s="193"/>
      <c r="D10" s="91" t="s">
        <v>95</v>
      </c>
      <c r="E10" s="92">
        <v>158</v>
      </c>
      <c r="F10" s="92">
        <v>158</v>
      </c>
      <c r="G10" s="93">
        <f t="shared" si="0"/>
        <v>0</v>
      </c>
      <c r="H10" s="98" t="s">
        <v>13</v>
      </c>
      <c r="J10" s="193"/>
      <c r="K10" s="91" t="s">
        <v>95</v>
      </c>
      <c r="L10" s="92">
        <v>158</v>
      </c>
      <c r="M10" s="92">
        <v>158</v>
      </c>
      <c r="N10" s="93">
        <f t="shared" si="1"/>
        <v>0</v>
      </c>
      <c r="O10" s="98" t="s">
        <v>13</v>
      </c>
    </row>
    <row r="11" spans="2:15" ht="15" x14ac:dyDescent="0.2">
      <c r="B11" s="87"/>
      <c r="C11" s="189"/>
      <c r="D11" s="91" t="s">
        <v>96</v>
      </c>
      <c r="E11" s="92">
        <v>77178</v>
      </c>
      <c r="F11" s="92">
        <v>77917</v>
      </c>
      <c r="G11" s="96">
        <f t="shared" si="0"/>
        <v>739</v>
      </c>
      <c r="H11" s="94"/>
      <c r="J11" s="189"/>
      <c r="K11" s="91" t="s">
        <v>96</v>
      </c>
      <c r="L11" s="92">
        <v>77917</v>
      </c>
      <c r="M11" s="92">
        <v>78791</v>
      </c>
      <c r="N11" s="96">
        <f t="shared" si="1"/>
        <v>874</v>
      </c>
      <c r="O11" s="94"/>
    </row>
    <row r="12" spans="2:15" ht="15" x14ac:dyDescent="0.2">
      <c r="B12" s="87"/>
      <c r="C12" s="188">
        <v>9</v>
      </c>
      <c r="D12" s="91" t="s">
        <v>94</v>
      </c>
      <c r="E12" s="92">
        <v>33372</v>
      </c>
      <c r="F12" s="92">
        <v>33512</v>
      </c>
      <c r="G12" s="96">
        <f t="shared" si="0"/>
        <v>140</v>
      </c>
      <c r="H12" s="94"/>
      <c r="J12" s="188">
        <v>9</v>
      </c>
      <c r="K12" s="91" t="s">
        <v>94</v>
      </c>
      <c r="L12" s="92">
        <v>33512</v>
      </c>
      <c r="M12" s="92">
        <v>33550</v>
      </c>
      <c r="N12" s="96">
        <f t="shared" si="1"/>
        <v>38</v>
      </c>
      <c r="O12" s="94"/>
    </row>
    <row r="13" spans="2:15" ht="15" x14ac:dyDescent="0.2">
      <c r="B13" s="87"/>
      <c r="C13" s="193"/>
      <c r="D13" s="91" t="s">
        <v>95</v>
      </c>
      <c r="E13" s="92">
        <v>0</v>
      </c>
      <c r="F13" s="92">
        <v>0</v>
      </c>
      <c r="G13" s="93">
        <f t="shared" si="0"/>
        <v>0</v>
      </c>
      <c r="H13" s="98" t="s">
        <v>13</v>
      </c>
      <c r="I13" s="99"/>
      <c r="J13" s="193"/>
      <c r="K13" s="91" t="s">
        <v>95</v>
      </c>
      <c r="L13" s="92">
        <v>0</v>
      </c>
      <c r="M13" s="92">
        <v>0</v>
      </c>
      <c r="N13" s="93">
        <f t="shared" si="1"/>
        <v>0</v>
      </c>
      <c r="O13" s="98" t="s">
        <v>13</v>
      </c>
    </row>
    <row r="14" spans="2:15" ht="15" x14ac:dyDescent="0.2">
      <c r="B14" s="87"/>
      <c r="C14" s="189"/>
      <c r="D14" s="91" t="s">
        <v>96</v>
      </c>
      <c r="E14" s="92">
        <v>26446</v>
      </c>
      <c r="F14" s="92">
        <v>26642</v>
      </c>
      <c r="G14" s="96">
        <f t="shared" si="0"/>
        <v>196</v>
      </c>
      <c r="H14" s="94"/>
      <c r="I14" s="100"/>
      <c r="J14" s="189"/>
      <c r="K14" s="91" t="s">
        <v>96</v>
      </c>
      <c r="L14" s="92">
        <v>26642</v>
      </c>
      <c r="M14" s="92">
        <v>26733</v>
      </c>
      <c r="N14" s="96">
        <f t="shared" si="1"/>
        <v>91</v>
      </c>
      <c r="O14" s="94"/>
    </row>
    <row r="15" spans="2:15" ht="15" x14ac:dyDescent="0.2">
      <c r="B15" s="87"/>
      <c r="C15" s="188">
        <v>10</v>
      </c>
      <c r="D15" s="91" t="s">
        <v>94</v>
      </c>
      <c r="E15" s="92">
        <v>144956</v>
      </c>
      <c r="F15" s="92">
        <v>146983</v>
      </c>
      <c r="G15" s="96">
        <f t="shared" si="0"/>
        <v>2027</v>
      </c>
      <c r="H15" s="94"/>
      <c r="I15" s="100"/>
      <c r="J15" s="188">
        <v>10</v>
      </c>
      <c r="K15" s="91" t="s">
        <v>94</v>
      </c>
      <c r="L15" s="92">
        <v>146983</v>
      </c>
      <c r="M15" s="92">
        <v>148591</v>
      </c>
      <c r="N15" s="96">
        <f t="shared" si="1"/>
        <v>1608</v>
      </c>
      <c r="O15" s="94"/>
    </row>
    <row r="16" spans="2:15" ht="15" x14ac:dyDescent="0.2">
      <c r="B16" s="87"/>
      <c r="C16" s="193"/>
      <c r="D16" s="91" t="s">
        <v>95</v>
      </c>
      <c r="E16" s="92">
        <v>7591</v>
      </c>
      <c r="F16" s="92">
        <v>7592</v>
      </c>
      <c r="G16" s="96">
        <f t="shared" si="0"/>
        <v>1</v>
      </c>
      <c r="H16" s="94"/>
      <c r="I16" s="100"/>
      <c r="J16" s="193"/>
      <c r="K16" s="91" t="s">
        <v>95</v>
      </c>
      <c r="L16" s="92">
        <v>7592</v>
      </c>
      <c r="M16" s="92">
        <v>7593</v>
      </c>
      <c r="N16" s="96">
        <f t="shared" si="1"/>
        <v>1</v>
      </c>
      <c r="O16" s="94"/>
    </row>
    <row r="17" spans="2:15" ht="15" x14ac:dyDescent="0.2">
      <c r="B17" s="87"/>
      <c r="C17" s="189"/>
      <c r="D17" s="91" t="s">
        <v>96</v>
      </c>
      <c r="E17" s="92">
        <v>141523</v>
      </c>
      <c r="F17" s="92">
        <v>142505</v>
      </c>
      <c r="G17" s="96">
        <f t="shared" si="0"/>
        <v>982</v>
      </c>
      <c r="H17" s="94"/>
      <c r="I17" s="100"/>
      <c r="J17" s="189"/>
      <c r="K17" s="91" t="s">
        <v>96</v>
      </c>
      <c r="L17" s="92">
        <v>142505</v>
      </c>
      <c r="M17" s="92">
        <v>143599</v>
      </c>
      <c r="N17" s="96">
        <f t="shared" si="1"/>
        <v>1094</v>
      </c>
      <c r="O17" s="94"/>
    </row>
    <row r="18" spans="2:15" ht="15" x14ac:dyDescent="0.2">
      <c r="B18" s="87"/>
      <c r="C18" s="188">
        <v>11</v>
      </c>
      <c r="D18" s="91" t="s">
        <v>94</v>
      </c>
      <c r="E18" s="101">
        <v>60851</v>
      </c>
      <c r="F18" s="101">
        <v>60999</v>
      </c>
      <c r="G18" s="96">
        <f t="shared" si="0"/>
        <v>148</v>
      </c>
      <c r="H18" s="94"/>
      <c r="I18" s="100"/>
      <c r="J18" s="188">
        <v>11</v>
      </c>
      <c r="K18" s="91" t="s">
        <v>94</v>
      </c>
      <c r="L18" s="101">
        <v>60999</v>
      </c>
      <c r="M18" s="101">
        <v>61086</v>
      </c>
      <c r="N18" s="96">
        <f t="shared" si="1"/>
        <v>87</v>
      </c>
      <c r="O18" s="94"/>
    </row>
    <row r="19" spans="2:15" ht="15" x14ac:dyDescent="0.2">
      <c r="B19" s="87"/>
      <c r="C19" s="193"/>
      <c r="D19" s="91" t="s">
        <v>95</v>
      </c>
      <c r="E19" s="101">
        <v>181018</v>
      </c>
      <c r="F19" s="101">
        <v>181997</v>
      </c>
      <c r="G19" s="96">
        <f t="shared" si="0"/>
        <v>979</v>
      </c>
      <c r="H19" s="94"/>
      <c r="I19" s="100"/>
      <c r="J19" s="193"/>
      <c r="K19" s="91" t="s">
        <v>95</v>
      </c>
      <c r="L19" s="101">
        <v>181997</v>
      </c>
      <c r="M19" s="101">
        <v>183253</v>
      </c>
      <c r="N19" s="96">
        <f t="shared" si="1"/>
        <v>1256</v>
      </c>
      <c r="O19" s="94"/>
    </row>
    <row r="20" spans="2:15" ht="15" x14ac:dyDescent="0.2">
      <c r="B20" s="87"/>
      <c r="C20" s="189"/>
      <c r="D20" s="91" t="s">
        <v>96</v>
      </c>
      <c r="E20" s="92">
        <v>29244</v>
      </c>
      <c r="F20" s="92">
        <v>29304</v>
      </c>
      <c r="G20" s="96">
        <f t="shared" si="0"/>
        <v>60</v>
      </c>
      <c r="H20" s="94"/>
      <c r="I20" s="100"/>
      <c r="J20" s="189"/>
      <c r="K20" s="91" t="s">
        <v>96</v>
      </c>
      <c r="L20" s="92">
        <v>29304</v>
      </c>
      <c r="M20" s="92">
        <v>29352</v>
      </c>
      <c r="N20" s="96">
        <f t="shared" si="1"/>
        <v>48</v>
      </c>
      <c r="O20" s="94"/>
    </row>
    <row r="21" spans="2:15" ht="15" x14ac:dyDescent="0.2">
      <c r="B21" s="87"/>
      <c r="C21" s="188">
        <v>12</v>
      </c>
      <c r="D21" s="91" t="s">
        <v>94</v>
      </c>
      <c r="E21" s="101">
        <v>141429</v>
      </c>
      <c r="F21" s="101">
        <v>143096</v>
      </c>
      <c r="G21" s="93">
        <f t="shared" si="0"/>
        <v>1667</v>
      </c>
      <c r="H21" s="94"/>
      <c r="I21" s="102" t="s">
        <v>13</v>
      </c>
      <c r="J21" s="188">
        <v>12</v>
      </c>
      <c r="K21" s="91" t="s">
        <v>94</v>
      </c>
      <c r="L21" s="101">
        <v>143096</v>
      </c>
      <c r="M21" s="101">
        <v>143599</v>
      </c>
      <c r="N21" s="93">
        <f t="shared" si="1"/>
        <v>503</v>
      </c>
      <c r="O21" s="94"/>
    </row>
    <row r="22" spans="2:15" ht="15" x14ac:dyDescent="0.2">
      <c r="B22" s="87"/>
      <c r="C22" s="193"/>
      <c r="D22" s="91" t="s">
        <v>95</v>
      </c>
      <c r="E22" s="92">
        <v>17780</v>
      </c>
      <c r="F22" s="92">
        <v>17943</v>
      </c>
      <c r="G22" s="93">
        <f t="shared" si="0"/>
        <v>163</v>
      </c>
      <c r="H22" s="94"/>
      <c r="I22" s="100"/>
      <c r="J22" s="193"/>
      <c r="K22" s="91" t="s">
        <v>95</v>
      </c>
      <c r="L22" s="92">
        <v>17943</v>
      </c>
      <c r="M22" s="92">
        <v>17983</v>
      </c>
      <c r="N22" s="93">
        <f t="shared" si="1"/>
        <v>40</v>
      </c>
      <c r="O22" s="94"/>
    </row>
    <row r="23" spans="2:15" ht="15" x14ac:dyDescent="0.2">
      <c r="B23" s="87"/>
      <c r="C23" s="189"/>
      <c r="D23" s="91" t="s">
        <v>96</v>
      </c>
      <c r="E23" s="92">
        <v>200206</v>
      </c>
      <c r="F23" s="92">
        <v>203015</v>
      </c>
      <c r="G23" s="93">
        <f t="shared" si="0"/>
        <v>2809</v>
      </c>
      <c r="H23" s="94"/>
      <c r="I23" s="100"/>
      <c r="J23" s="189"/>
      <c r="K23" s="91" t="s">
        <v>96</v>
      </c>
      <c r="L23" s="92">
        <v>203015</v>
      </c>
      <c r="M23" s="92">
        <v>203905</v>
      </c>
      <c r="N23" s="93">
        <f t="shared" si="1"/>
        <v>890</v>
      </c>
      <c r="O23" s="94"/>
    </row>
    <row r="24" spans="2:15" ht="15" x14ac:dyDescent="0.2">
      <c r="B24" s="87"/>
      <c r="C24" s="188">
        <v>14</v>
      </c>
      <c r="D24" s="91" t="s">
        <v>94</v>
      </c>
      <c r="E24" s="92">
        <v>109996</v>
      </c>
      <c r="F24" s="92">
        <v>110156</v>
      </c>
      <c r="G24" s="96">
        <f t="shared" si="0"/>
        <v>160</v>
      </c>
      <c r="H24" s="94"/>
      <c r="I24" s="100"/>
      <c r="J24" s="188">
        <v>14</v>
      </c>
      <c r="K24" s="91" t="s">
        <v>94</v>
      </c>
      <c r="L24" s="92">
        <v>110156</v>
      </c>
      <c r="M24" s="92">
        <v>110289</v>
      </c>
      <c r="N24" s="96">
        <f t="shared" si="1"/>
        <v>133</v>
      </c>
      <c r="O24" s="94"/>
    </row>
    <row r="25" spans="2:15" ht="15" x14ac:dyDescent="0.2">
      <c r="B25" s="87"/>
      <c r="C25" s="193"/>
      <c r="D25" s="91" t="s">
        <v>95</v>
      </c>
      <c r="E25" s="103">
        <v>20584</v>
      </c>
      <c r="F25" s="103">
        <v>20602</v>
      </c>
      <c r="G25" s="96">
        <f t="shared" si="0"/>
        <v>18</v>
      </c>
      <c r="H25" s="94"/>
      <c r="I25" s="100"/>
      <c r="J25" s="193"/>
      <c r="K25" s="91" t="s">
        <v>95</v>
      </c>
      <c r="L25" s="103">
        <v>20602</v>
      </c>
      <c r="M25" s="103">
        <v>20602</v>
      </c>
      <c r="N25" s="96">
        <f t="shared" si="1"/>
        <v>0</v>
      </c>
      <c r="O25" s="94"/>
    </row>
    <row r="26" spans="2:15" ht="15" x14ac:dyDescent="0.2">
      <c r="B26" s="87"/>
      <c r="C26" s="189"/>
      <c r="D26" s="91" t="s">
        <v>96</v>
      </c>
      <c r="E26" s="92">
        <v>984</v>
      </c>
      <c r="F26" s="92">
        <v>1006</v>
      </c>
      <c r="G26" s="96">
        <f t="shared" si="0"/>
        <v>22</v>
      </c>
      <c r="H26" s="94"/>
      <c r="I26" s="102" t="s">
        <v>13</v>
      </c>
      <c r="J26" s="189"/>
      <c r="K26" s="91" t="s">
        <v>96</v>
      </c>
      <c r="L26" s="92">
        <v>1006</v>
      </c>
      <c r="M26" s="92">
        <v>1028</v>
      </c>
      <c r="N26" s="96">
        <f t="shared" si="1"/>
        <v>22</v>
      </c>
      <c r="O26" s="94"/>
    </row>
    <row r="27" spans="2:15" ht="15" x14ac:dyDescent="0.2">
      <c r="B27" s="87"/>
      <c r="C27" s="188">
        <v>15</v>
      </c>
      <c r="D27" s="91" t="s">
        <v>94</v>
      </c>
      <c r="E27" s="101">
        <v>39008</v>
      </c>
      <c r="F27" s="101">
        <v>39008</v>
      </c>
      <c r="G27" s="96">
        <f t="shared" si="0"/>
        <v>0</v>
      </c>
      <c r="H27" s="94"/>
      <c r="I27" s="102" t="s">
        <v>13</v>
      </c>
      <c r="J27" s="188">
        <v>15</v>
      </c>
      <c r="K27" s="91" t="s">
        <v>94</v>
      </c>
      <c r="L27" s="101">
        <v>39008</v>
      </c>
      <c r="M27" s="101">
        <v>39008</v>
      </c>
      <c r="N27" s="96">
        <f t="shared" si="1"/>
        <v>0</v>
      </c>
      <c r="O27" s="94"/>
    </row>
    <row r="28" spans="2:15" ht="15" x14ac:dyDescent="0.2">
      <c r="B28" s="87"/>
      <c r="C28" s="193"/>
      <c r="D28" s="91" t="s">
        <v>95</v>
      </c>
      <c r="E28" s="92">
        <v>70135</v>
      </c>
      <c r="F28" s="92">
        <v>70264</v>
      </c>
      <c r="G28" s="93">
        <f t="shared" si="0"/>
        <v>129</v>
      </c>
      <c r="H28" s="94"/>
      <c r="I28" s="100"/>
      <c r="J28" s="193"/>
      <c r="K28" s="91" t="s">
        <v>95</v>
      </c>
      <c r="L28" s="92">
        <v>70264</v>
      </c>
      <c r="M28" s="92">
        <v>70387</v>
      </c>
      <c r="N28" s="93">
        <f t="shared" si="1"/>
        <v>123</v>
      </c>
      <c r="O28" s="94"/>
    </row>
    <row r="29" spans="2:15" ht="15" x14ac:dyDescent="0.2">
      <c r="B29" s="87"/>
      <c r="C29" s="189"/>
      <c r="D29" s="91" t="s">
        <v>96</v>
      </c>
      <c r="E29" s="92">
        <v>131415</v>
      </c>
      <c r="F29" s="92">
        <v>132028</v>
      </c>
      <c r="G29" s="93">
        <f t="shared" si="0"/>
        <v>613</v>
      </c>
      <c r="H29" s="94"/>
      <c r="I29" s="100"/>
      <c r="J29" s="189"/>
      <c r="K29" s="91" t="s">
        <v>96</v>
      </c>
      <c r="L29" s="92">
        <v>132028</v>
      </c>
      <c r="M29" s="92">
        <v>132603</v>
      </c>
      <c r="N29" s="93">
        <f t="shared" si="1"/>
        <v>575</v>
      </c>
      <c r="O29" s="94"/>
    </row>
    <row r="30" spans="2:15" ht="15" x14ac:dyDescent="0.2">
      <c r="B30" s="87"/>
      <c r="C30" s="188">
        <v>16</v>
      </c>
      <c r="D30" s="91" t="s">
        <v>94</v>
      </c>
      <c r="E30" s="101">
        <v>88952</v>
      </c>
      <c r="F30" s="101">
        <v>90585</v>
      </c>
      <c r="G30" s="96">
        <f t="shared" si="0"/>
        <v>1633</v>
      </c>
      <c r="H30" s="98" t="s">
        <v>13</v>
      </c>
      <c r="I30" s="100"/>
      <c r="J30" s="188">
        <v>16</v>
      </c>
      <c r="K30" s="91" t="s">
        <v>94</v>
      </c>
      <c r="L30" s="101">
        <v>90585</v>
      </c>
      <c r="M30" s="101">
        <v>91932</v>
      </c>
      <c r="N30" s="96">
        <f t="shared" si="1"/>
        <v>1347</v>
      </c>
      <c r="O30" s="98" t="s">
        <v>13</v>
      </c>
    </row>
    <row r="31" spans="2:15" ht="15" x14ac:dyDescent="0.2">
      <c r="B31" s="87"/>
      <c r="C31" s="193"/>
      <c r="D31" s="91" t="s">
        <v>95</v>
      </c>
      <c r="E31" s="92">
        <v>51666</v>
      </c>
      <c r="F31" s="92">
        <v>51886</v>
      </c>
      <c r="G31" s="96">
        <f t="shared" si="0"/>
        <v>220</v>
      </c>
      <c r="H31" s="94"/>
      <c r="I31" s="100"/>
      <c r="J31" s="193"/>
      <c r="K31" s="91" t="s">
        <v>95</v>
      </c>
      <c r="L31" s="92">
        <v>51886</v>
      </c>
      <c r="M31" s="92">
        <v>52060</v>
      </c>
      <c r="N31" s="96">
        <f t="shared" si="1"/>
        <v>174</v>
      </c>
      <c r="O31" s="94"/>
    </row>
    <row r="32" spans="2:15" ht="15" x14ac:dyDescent="0.2">
      <c r="B32" s="87"/>
      <c r="C32" s="189"/>
      <c r="D32" s="91" t="s">
        <v>96</v>
      </c>
      <c r="E32" s="92">
        <v>63198</v>
      </c>
      <c r="F32" s="92">
        <v>65528</v>
      </c>
      <c r="G32" s="93">
        <f t="shared" si="0"/>
        <v>2330</v>
      </c>
      <c r="H32" s="104"/>
      <c r="I32" s="100"/>
      <c r="J32" s="189"/>
      <c r="K32" s="91" t="s">
        <v>96</v>
      </c>
      <c r="L32" s="92">
        <v>65528</v>
      </c>
      <c r="M32" s="92">
        <v>66134</v>
      </c>
      <c r="N32" s="93">
        <f t="shared" si="1"/>
        <v>606</v>
      </c>
      <c r="O32" s="104"/>
    </row>
    <row r="33" spans="2:15" ht="15" x14ac:dyDescent="0.2">
      <c r="B33" s="87"/>
      <c r="C33" s="188">
        <v>17</v>
      </c>
      <c r="D33" s="91" t="s">
        <v>94</v>
      </c>
      <c r="E33" s="92">
        <v>20651</v>
      </c>
      <c r="F33" s="92">
        <v>20651</v>
      </c>
      <c r="G33" s="96">
        <f t="shared" si="0"/>
        <v>0</v>
      </c>
      <c r="H33" s="94"/>
      <c r="I33" s="100"/>
      <c r="J33" s="188">
        <v>17</v>
      </c>
      <c r="K33" s="91" t="s">
        <v>94</v>
      </c>
      <c r="L33" s="92">
        <v>20651</v>
      </c>
      <c r="M33" s="92">
        <v>21738</v>
      </c>
      <c r="N33" s="96">
        <f t="shared" si="1"/>
        <v>1087</v>
      </c>
      <c r="O33" s="94"/>
    </row>
    <row r="34" spans="2:15" ht="15" x14ac:dyDescent="0.2">
      <c r="B34" s="87"/>
      <c r="C34" s="193"/>
      <c r="D34" s="91" t="s">
        <v>95</v>
      </c>
      <c r="E34" s="92">
        <v>63375</v>
      </c>
      <c r="F34" s="92">
        <v>63431</v>
      </c>
      <c r="G34" s="96">
        <f t="shared" si="0"/>
        <v>56</v>
      </c>
      <c r="H34" s="94"/>
      <c r="I34" s="100"/>
      <c r="J34" s="193"/>
      <c r="K34" s="91" t="s">
        <v>95</v>
      </c>
      <c r="L34" s="92">
        <v>63431</v>
      </c>
      <c r="M34" s="92">
        <v>63474</v>
      </c>
      <c r="N34" s="96">
        <f t="shared" si="1"/>
        <v>43</v>
      </c>
      <c r="O34" s="94"/>
    </row>
    <row r="35" spans="2:15" ht="15" x14ac:dyDescent="0.2">
      <c r="B35" s="87"/>
      <c r="C35" s="189"/>
      <c r="D35" s="91" t="s">
        <v>96</v>
      </c>
      <c r="E35" s="92">
        <v>11165</v>
      </c>
      <c r="F35" s="92">
        <v>11165</v>
      </c>
      <c r="G35" s="105">
        <f t="shared" si="0"/>
        <v>0</v>
      </c>
      <c r="H35" s="104"/>
      <c r="I35" s="100"/>
      <c r="J35" s="189"/>
      <c r="K35" s="91" t="s">
        <v>96</v>
      </c>
      <c r="L35" s="92">
        <v>11165</v>
      </c>
      <c r="M35" s="92">
        <v>11165</v>
      </c>
      <c r="N35" s="105">
        <f t="shared" si="1"/>
        <v>0</v>
      </c>
      <c r="O35" s="104"/>
    </row>
    <row r="36" spans="2:15" ht="15" x14ac:dyDescent="0.2">
      <c r="B36" s="87"/>
      <c r="C36" s="188">
        <v>18</v>
      </c>
      <c r="D36" s="91" t="s">
        <v>94</v>
      </c>
      <c r="E36" s="92">
        <v>204613</v>
      </c>
      <c r="F36" s="92">
        <v>205611</v>
      </c>
      <c r="G36" s="96">
        <f t="shared" si="0"/>
        <v>998</v>
      </c>
      <c r="H36" s="104"/>
      <c r="I36" s="100"/>
      <c r="J36" s="188">
        <v>18</v>
      </c>
      <c r="K36" s="91" t="s">
        <v>94</v>
      </c>
      <c r="L36" s="92">
        <v>205611</v>
      </c>
      <c r="M36" s="92">
        <v>206852</v>
      </c>
      <c r="N36" s="96">
        <f t="shared" si="1"/>
        <v>1241</v>
      </c>
      <c r="O36" s="104"/>
    </row>
    <row r="37" spans="2:15" ht="15" x14ac:dyDescent="0.2">
      <c r="B37" s="87"/>
      <c r="C37" s="193"/>
      <c r="D37" s="91" t="s">
        <v>95</v>
      </c>
      <c r="E37" s="103">
        <v>15620</v>
      </c>
      <c r="F37" s="103">
        <v>15682</v>
      </c>
      <c r="G37" s="96">
        <f t="shared" si="0"/>
        <v>62</v>
      </c>
      <c r="H37" s="94"/>
      <c r="I37" s="100"/>
      <c r="J37" s="193"/>
      <c r="K37" s="91" t="s">
        <v>95</v>
      </c>
      <c r="L37" s="103">
        <v>15682</v>
      </c>
      <c r="M37" s="103">
        <v>15712</v>
      </c>
      <c r="N37" s="96">
        <f t="shared" si="1"/>
        <v>30</v>
      </c>
      <c r="O37" s="94"/>
    </row>
    <row r="38" spans="2:15" ht="15" x14ac:dyDescent="0.2">
      <c r="B38" s="87"/>
      <c r="C38" s="189"/>
      <c r="D38" s="91" t="s">
        <v>96</v>
      </c>
      <c r="E38" s="92">
        <v>61937</v>
      </c>
      <c r="F38" s="92">
        <v>61942</v>
      </c>
      <c r="G38" s="93">
        <f t="shared" si="0"/>
        <v>5</v>
      </c>
      <c r="H38" s="94"/>
      <c r="I38" s="100"/>
      <c r="J38" s="189"/>
      <c r="K38" s="91" t="s">
        <v>96</v>
      </c>
      <c r="L38" s="92">
        <v>61942</v>
      </c>
      <c r="M38" s="92">
        <v>67994</v>
      </c>
      <c r="N38" s="93">
        <f t="shared" si="1"/>
        <v>6052</v>
      </c>
      <c r="O38" s="94"/>
    </row>
    <row r="39" spans="2:15" ht="15" x14ac:dyDescent="0.2">
      <c r="B39" s="87"/>
      <c r="C39" s="188">
        <v>19</v>
      </c>
      <c r="D39" s="91" t="s">
        <v>94</v>
      </c>
      <c r="E39" s="92">
        <v>15532</v>
      </c>
      <c r="F39" s="92">
        <v>15728</v>
      </c>
      <c r="G39" s="93">
        <f t="shared" si="0"/>
        <v>196</v>
      </c>
      <c r="H39" s="94"/>
      <c r="I39" s="100"/>
      <c r="J39" s="188">
        <v>19</v>
      </c>
      <c r="K39" s="91" t="s">
        <v>94</v>
      </c>
      <c r="L39" s="92">
        <v>15728</v>
      </c>
      <c r="M39" s="92">
        <v>15874</v>
      </c>
      <c r="N39" s="93">
        <f t="shared" si="1"/>
        <v>146</v>
      </c>
      <c r="O39" s="94"/>
    </row>
    <row r="40" spans="2:15" ht="15" x14ac:dyDescent="0.2">
      <c r="B40" s="87"/>
      <c r="C40" s="193"/>
      <c r="D40" s="91" t="s">
        <v>95</v>
      </c>
      <c r="E40" s="101">
        <v>76074</v>
      </c>
      <c r="F40" s="101">
        <v>77243</v>
      </c>
      <c r="G40" s="96">
        <f t="shared" si="0"/>
        <v>1169</v>
      </c>
      <c r="H40" s="104"/>
      <c r="I40" s="100"/>
      <c r="J40" s="193"/>
      <c r="K40" s="91" t="s">
        <v>95</v>
      </c>
      <c r="L40" s="101">
        <v>77243</v>
      </c>
      <c r="M40" s="101">
        <v>77436</v>
      </c>
      <c r="N40" s="96">
        <f t="shared" si="1"/>
        <v>193</v>
      </c>
      <c r="O40" s="104"/>
    </row>
    <row r="41" spans="2:15" ht="15" x14ac:dyDescent="0.2">
      <c r="B41" s="87"/>
      <c r="C41" s="189"/>
      <c r="D41" s="91" t="s">
        <v>96</v>
      </c>
      <c r="E41" s="92">
        <v>50241</v>
      </c>
      <c r="F41" s="92">
        <v>50474</v>
      </c>
      <c r="G41" s="96">
        <f t="shared" si="0"/>
        <v>233</v>
      </c>
      <c r="H41" s="94"/>
      <c r="I41" s="100"/>
      <c r="J41" s="189"/>
      <c r="K41" s="91" t="s">
        <v>96</v>
      </c>
      <c r="L41" s="92">
        <v>50474</v>
      </c>
      <c r="M41" s="92">
        <v>50585</v>
      </c>
      <c r="N41" s="96">
        <f t="shared" si="1"/>
        <v>111</v>
      </c>
      <c r="O41" s="94"/>
    </row>
    <row r="42" spans="2:15" ht="15" x14ac:dyDescent="0.2">
      <c r="B42" s="87"/>
      <c r="C42" s="188">
        <v>20</v>
      </c>
      <c r="D42" s="91" t="s">
        <v>94</v>
      </c>
      <c r="E42" s="92">
        <v>105421</v>
      </c>
      <c r="F42" s="92">
        <v>105941</v>
      </c>
      <c r="G42" s="93">
        <f t="shared" si="0"/>
        <v>520</v>
      </c>
      <c r="H42" s="94"/>
      <c r="J42" s="188">
        <v>20</v>
      </c>
      <c r="K42" s="91" t="s">
        <v>94</v>
      </c>
      <c r="L42" s="92">
        <v>105941</v>
      </c>
      <c r="M42" s="92">
        <v>106251</v>
      </c>
      <c r="N42" s="93">
        <f t="shared" si="1"/>
        <v>310</v>
      </c>
      <c r="O42" s="94"/>
    </row>
    <row r="43" spans="2:15" ht="15" x14ac:dyDescent="0.2">
      <c r="B43" s="87"/>
      <c r="C43" s="193"/>
      <c r="D43" s="91" t="s">
        <v>95</v>
      </c>
      <c r="E43" s="101">
        <v>61740</v>
      </c>
      <c r="F43" s="101">
        <v>62092</v>
      </c>
      <c r="G43" s="96">
        <f t="shared" si="0"/>
        <v>352</v>
      </c>
      <c r="H43" s="94"/>
      <c r="J43" s="193"/>
      <c r="K43" s="91" t="s">
        <v>95</v>
      </c>
      <c r="L43" s="101">
        <v>62092</v>
      </c>
      <c r="M43" s="101">
        <v>62169</v>
      </c>
      <c r="N43" s="96">
        <f t="shared" si="1"/>
        <v>77</v>
      </c>
      <c r="O43" s="94"/>
    </row>
    <row r="44" spans="2:15" ht="15" x14ac:dyDescent="0.2">
      <c r="B44" s="87"/>
      <c r="C44" s="189"/>
      <c r="D44" s="91" t="s">
        <v>96</v>
      </c>
      <c r="E44" s="92">
        <v>3128</v>
      </c>
      <c r="F44" s="92">
        <v>3128</v>
      </c>
      <c r="G44" s="93">
        <f t="shared" si="0"/>
        <v>0</v>
      </c>
      <c r="H44" s="94"/>
      <c r="J44" s="189"/>
      <c r="K44" s="91" t="s">
        <v>96</v>
      </c>
      <c r="L44" s="92">
        <v>3128</v>
      </c>
      <c r="M44" s="92">
        <v>3128</v>
      </c>
      <c r="N44" s="93">
        <f t="shared" si="1"/>
        <v>0</v>
      </c>
      <c r="O44" s="94"/>
    </row>
    <row r="45" spans="2:15" ht="15" x14ac:dyDescent="0.2">
      <c r="B45" s="87"/>
      <c r="C45" s="106"/>
      <c r="D45" s="107"/>
      <c r="E45" s="107"/>
      <c r="F45" s="107"/>
      <c r="G45" s="108"/>
      <c r="H45" s="109"/>
      <c r="J45" s="106"/>
      <c r="K45" s="107"/>
      <c r="L45" s="107"/>
      <c r="M45" s="107"/>
      <c r="N45" s="108"/>
      <c r="O45" s="109"/>
    </row>
    <row r="46" spans="2:15" ht="15" x14ac:dyDescent="0.2">
      <c r="B46" s="87"/>
      <c r="C46" s="188">
        <v>21</v>
      </c>
      <c r="D46" s="110" t="s">
        <v>97</v>
      </c>
      <c r="E46" s="92">
        <v>2487</v>
      </c>
      <c r="F46" s="92">
        <v>2622</v>
      </c>
      <c r="G46" s="96">
        <f t="shared" ref="G46:G51" si="2">F46-E46</f>
        <v>135</v>
      </c>
      <c r="H46" s="98" t="s">
        <v>13</v>
      </c>
      <c r="J46" s="188">
        <v>21</v>
      </c>
      <c r="K46" s="110" t="s">
        <v>97</v>
      </c>
      <c r="L46" s="92">
        <v>2622</v>
      </c>
      <c r="M46" s="92">
        <v>2623</v>
      </c>
      <c r="N46" s="96">
        <f t="shared" ref="N46:N51" si="3">M46-L46</f>
        <v>1</v>
      </c>
      <c r="O46" s="98" t="s">
        <v>13</v>
      </c>
    </row>
    <row r="47" spans="2:15" ht="15" x14ac:dyDescent="0.2">
      <c r="B47" s="87"/>
      <c r="C47" s="193"/>
      <c r="D47" s="110" t="s">
        <v>96</v>
      </c>
      <c r="E47" s="92">
        <v>37982</v>
      </c>
      <c r="F47" s="92">
        <v>37982</v>
      </c>
      <c r="G47" s="96">
        <f t="shared" si="2"/>
        <v>0</v>
      </c>
      <c r="H47" s="94"/>
      <c r="I47" t="s">
        <v>13</v>
      </c>
      <c r="J47" s="193"/>
      <c r="K47" s="110" t="s">
        <v>96</v>
      </c>
      <c r="L47" s="92">
        <v>37982</v>
      </c>
      <c r="M47" s="92">
        <v>37982</v>
      </c>
      <c r="N47" s="96">
        <f t="shared" si="3"/>
        <v>0</v>
      </c>
      <c r="O47" s="94"/>
    </row>
    <row r="48" spans="2:15" ht="15" x14ac:dyDescent="0.2">
      <c r="B48" s="87"/>
      <c r="C48" s="188">
        <v>22</v>
      </c>
      <c r="D48" s="110" t="s">
        <v>97</v>
      </c>
      <c r="E48" s="111">
        <v>11494</v>
      </c>
      <c r="F48" s="111">
        <v>11494</v>
      </c>
      <c r="G48" s="96">
        <f t="shared" si="2"/>
        <v>0</v>
      </c>
      <c r="H48" s="94"/>
      <c r="J48" s="188">
        <v>22</v>
      </c>
      <c r="K48" s="110" t="s">
        <v>97</v>
      </c>
      <c r="L48" s="111">
        <v>11494</v>
      </c>
      <c r="M48" s="111">
        <v>11771</v>
      </c>
      <c r="N48" s="96">
        <f t="shared" si="3"/>
        <v>277</v>
      </c>
      <c r="O48" s="94"/>
    </row>
    <row r="49" spans="1:15" ht="15" x14ac:dyDescent="0.2">
      <c r="B49" s="87"/>
      <c r="C49" s="193"/>
      <c r="D49" s="110" t="s">
        <v>96</v>
      </c>
      <c r="E49" s="111">
        <v>16580</v>
      </c>
      <c r="F49" s="111">
        <v>16580</v>
      </c>
      <c r="G49" s="96">
        <f t="shared" si="2"/>
        <v>0</v>
      </c>
      <c r="H49" s="94"/>
      <c r="J49" s="193"/>
      <c r="K49" s="110" t="s">
        <v>96</v>
      </c>
      <c r="L49" s="111">
        <v>16580</v>
      </c>
      <c r="M49" s="111">
        <v>16741</v>
      </c>
      <c r="N49" s="96">
        <f t="shared" si="3"/>
        <v>161</v>
      </c>
      <c r="O49" s="94"/>
    </row>
    <row r="50" spans="1:15" ht="15" x14ac:dyDescent="0.2">
      <c r="B50" s="87"/>
      <c r="C50" s="188">
        <v>23</v>
      </c>
      <c r="D50" s="91" t="s">
        <v>97</v>
      </c>
      <c r="E50" s="111"/>
      <c r="F50" s="111"/>
      <c r="G50" s="93">
        <f t="shared" si="2"/>
        <v>0</v>
      </c>
      <c r="H50" s="94"/>
      <c r="J50" s="188">
        <v>23</v>
      </c>
      <c r="K50" s="91" t="s">
        <v>97</v>
      </c>
      <c r="L50" s="111"/>
      <c r="M50" s="111"/>
      <c r="N50" s="93">
        <f t="shared" si="3"/>
        <v>0</v>
      </c>
      <c r="O50" s="94"/>
    </row>
    <row r="51" spans="1:15" ht="15" x14ac:dyDescent="0.2">
      <c r="B51" s="87"/>
      <c r="C51" s="193"/>
      <c r="D51" s="91" t="s">
        <v>96</v>
      </c>
      <c r="E51" s="111"/>
      <c r="F51" s="111"/>
      <c r="G51" s="93">
        <f t="shared" si="2"/>
        <v>0</v>
      </c>
      <c r="H51" s="94"/>
      <c r="J51" s="193"/>
      <c r="K51" s="91" t="s">
        <v>96</v>
      </c>
      <c r="L51" s="111"/>
      <c r="M51" s="111"/>
      <c r="N51" s="93">
        <f t="shared" si="3"/>
        <v>0</v>
      </c>
      <c r="O51" s="94"/>
    </row>
    <row r="52" spans="1:15" ht="15" x14ac:dyDescent="0.2">
      <c r="B52" s="87"/>
      <c r="C52" s="112"/>
      <c r="D52" s="107"/>
      <c r="E52" s="108"/>
      <c r="F52" s="108"/>
      <c r="G52" s="108"/>
      <c r="H52" s="109"/>
      <c r="J52" s="112"/>
      <c r="K52" s="107"/>
      <c r="L52" s="108"/>
      <c r="M52" s="108"/>
      <c r="N52" s="108"/>
      <c r="O52" s="109"/>
    </row>
    <row r="53" spans="1:15" ht="15" x14ac:dyDescent="0.2">
      <c r="B53" s="87"/>
      <c r="C53" s="190">
        <v>24</v>
      </c>
      <c r="D53" s="91" t="s">
        <v>98</v>
      </c>
      <c r="E53" s="101">
        <v>221661</v>
      </c>
      <c r="F53" s="101">
        <v>221661</v>
      </c>
      <c r="G53" s="96">
        <f>F53-E53</f>
        <v>0</v>
      </c>
      <c r="H53" s="113"/>
      <c r="J53" s="190">
        <v>24</v>
      </c>
      <c r="K53" s="91" t="s">
        <v>98</v>
      </c>
      <c r="L53" s="101">
        <v>221661</v>
      </c>
      <c r="M53" s="101">
        <v>221661</v>
      </c>
      <c r="N53" s="96">
        <f>M53-L53</f>
        <v>0</v>
      </c>
      <c r="O53" s="113"/>
    </row>
    <row r="54" spans="1:15" ht="15" x14ac:dyDescent="0.2">
      <c r="B54" s="87"/>
      <c r="C54" s="191"/>
      <c r="D54" s="91" t="s">
        <v>99</v>
      </c>
      <c r="E54" s="101">
        <v>521137</v>
      </c>
      <c r="F54" s="101">
        <v>521898</v>
      </c>
      <c r="G54" s="96">
        <f t="shared" ref="G54:G61" si="4">F54-E54</f>
        <v>761</v>
      </c>
      <c r="H54" s="104"/>
      <c r="J54" s="191"/>
      <c r="K54" s="91" t="s">
        <v>99</v>
      </c>
      <c r="L54" s="101">
        <v>521898</v>
      </c>
      <c r="M54" s="101">
        <v>522467</v>
      </c>
      <c r="N54" s="96">
        <f t="shared" ref="N54:N61" si="5">M54-L54</f>
        <v>569</v>
      </c>
      <c r="O54" s="104"/>
    </row>
    <row r="55" spans="1:15" ht="15" x14ac:dyDescent="0.2">
      <c r="B55" s="87"/>
      <c r="C55" s="192"/>
      <c r="D55" s="91" t="s">
        <v>98</v>
      </c>
      <c r="E55" s="101">
        <v>34543</v>
      </c>
      <c r="F55" s="101">
        <v>34243</v>
      </c>
      <c r="G55" s="115">
        <f t="shared" si="4"/>
        <v>-300</v>
      </c>
      <c r="H55" s="114" t="s">
        <v>13</v>
      </c>
      <c r="J55" s="192"/>
      <c r="K55" s="91" t="s">
        <v>98</v>
      </c>
      <c r="L55" s="101">
        <v>34243</v>
      </c>
      <c r="M55" s="101">
        <v>34528</v>
      </c>
      <c r="N55" s="115">
        <f t="shared" si="5"/>
        <v>285</v>
      </c>
      <c r="O55" s="114" t="s">
        <v>13</v>
      </c>
    </row>
    <row r="56" spans="1:15" ht="15" x14ac:dyDescent="0.2">
      <c r="B56" s="87"/>
      <c r="C56" s="188">
        <v>25</v>
      </c>
      <c r="D56" s="91" t="s">
        <v>98</v>
      </c>
      <c r="E56" s="111">
        <v>318</v>
      </c>
      <c r="F56" s="111">
        <v>318</v>
      </c>
      <c r="G56" s="105">
        <f t="shared" si="4"/>
        <v>0</v>
      </c>
      <c r="H56" s="94"/>
      <c r="J56" s="188">
        <v>25</v>
      </c>
      <c r="K56" s="91" t="s">
        <v>98</v>
      </c>
      <c r="L56" s="111">
        <v>318</v>
      </c>
      <c r="M56" s="111">
        <v>318</v>
      </c>
      <c r="N56" s="105">
        <f t="shared" si="5"/>
        <v>0</v>
      </c>
      <c r="O56" s="94"/>
    </row>
    <row r="57" spans="1:15" ht="15" x14ac:dyDescent="0.2">
      <c r="B57" s="87"/>
      <c r="C57" s="189"/>
      <c r="D57" s="91" t="s">
        <v>99</v>
      </c>
      <c r="E57" s="111">
        <v>3</v>
      </c>
      <c r="F57" s="111">
        <v>3</v>
      </c>
      <c r="G57" s="116">
        <f t="shared" si="4"/>
        <v>0</v>
      </c>
      <c r="H57" s="94"/>
      <c r="J57" s="189"/>
      <c r="K57" s="91" t="s">
        <v>99</v>
      </c>
      <c r="L57" s="111">
        <v>3</v>
      </c>
      <c r="M57" s="111">
        <v>3</v>
      </c>
      <c r="N57" s="116">
        <f t="shared" si="5"/>
        <v>0</v>
      </c>
      <c r="O57" s="94"/>
    </row>
    <row r="58" spans="1:15" ht="15" x14ac:dyDescent="0.2">
      <c r="A58" s="100"/>
      <c r="B58" s="87"/>
      <c r="C58" s="188">
        <v>26</v>
      </c>
      <c r="D58" s="91" t="s">
        <v>98</v>
      </c>
      <c r="E58" s="92">
        <v>600314</v>
      </c>
      <c r="F58" s="92">
        <v>604748</v>
      </c>
      <c r="G58" s="93">
        <f t="shared" si="4"/>
        <v>4434</v>
      </c>
      <c r="H58" s="94"/>
      <c r="I58" s="100"/>
      <c r="J58" s="188">
        <v>26</v>
      </c>
      <c r="K58" s="91" t="s">
        <v>98</v>
      </c>
      <c r="L58" s="92">
        <v>604748</v>
      </c>
      <c r="M58" s="92">
        <v>608571</v>
      </c>
      <c r="N58" s="93">
        <f t="shared" si="5"/>
        <v>3823</v>
      </c>
      <c r="O58" s="94"/>
    </row>
    <row r="59" spans="1:15" ht="15" x14ac:dyDescent="0.2">
      <c r="A59" s="100"/>
      <c r="B59" s="87"/>
      <c r="C59" s="189"/>
      <c r="D59" s="91" t="s">
        <v>99</v>
      </c>
      <c r="E59" s="92">
        <v>660994</v>
      </c>
      <c r="F59" s="92">
        <v>665609</v>
      </c>
      <c r="G59" s="93">
        <f t="shared" si="4"/>
        <v>4615</v>
      </c>
      <c r="H59" s="104"/>
      <c r="I59" s="100"/>
      <c r="J59" s="189"/>
      <c r="K59" s="91" t="s">
        <v>99</v>
      </c>
      <c r="L59" s="92">
        <v>665609</v>
      </c>
      <c r="M59" s="92">
        <v>669218</v>
      </c>
      <c r="N59" s="93">
        <f t="shared" si="5"/>
        <v>3609</v>
      </c>
      <c r="O59" s="104"/>
    </row>
    <row r="60" spans="1:15" ht="15" x14ac:dyDescent="0.2">
      <c r="A60" s="100"/>
      <c r="B60" s="87"/>
      <c r="C60" s="188">
        <v>27</v>
      </c>
      <c r="D60" s="91" t="s">
        <v>98</v>
      </c>
      <c r="E60" s="92">
        <v>206967</v>
      </c>
      <c r="F60" s="92">
        <v>208164</v>
      </c>
      <c r="G60" s="93">
        <f t="shared" si="4"/>
        <v>1197</v>
      </c>
      <c r="H60" s="94"/>
      <c r="I60" s="100"/>
      <c r="J60" s="188">
        <v>27</v>
      </c>
      <c r="K60" s="91" t="s">
        <v>98</v>
      </c>
      <c r="L60" s="92">
        <v>208164</v>
      </c>
      <c r="M60" s="92">
        <v>209289</v>
      </c>
      <c r="N60" s="93">
        <f t="shared" si="5"/>
        <v>1125</v>
      </c>
      <c r="O60" s="94"/>
    </row>
    <row r="61" spans="1:15" ht="15" x14ac:dyDescent="0.2">
      <c r="A61" s="100"/>
      <c r="B61" s="87"/>
      <c r="C61" s="189"/>
      <c r="D61" s="91" t="s">
        <v>99</v>
      </c>
      <c r="E61" s="92">
        <v>72354</v>
      </c>
      <c r="F61" s="92">
        <v>72912</v>
      </c>
      <c r="G61" s="96">
        <f t="shared" si="4"/>
        <v>558</v>
      </c>
      <c r="H61" s="94"/>
      <c r="I61" s="100"/>
      <c r="J61" s="189"/>
      <c r="K61" s="91" t="s">
        <v>99</v>
      </c>
      <c r="L61" s="92">
        <v>72912</v>
      </c>
      <c r="M61" s="92">
        <v>73209</v>
      </c>
      <c r="N61" s="96">
        <f t="shared" si="5"/>
        <v>297</v>
      </c>
      <c r="O61" s="94"/>
    </row>
    <row r="62" spans="1:15" ht="15" x14ac:dyDescent="0.2">
      <c r="A62" s="100"/>
      <c r="B62" s="87"/>
      <c r="C62" s="106"/>
      <c r="D62" s="107"/>
      <c r="E62" s="92"/>
      <c r="F62" s="92"/>
      <c r="G62" s="117"/>
      <c r="H62" s="109"/>
      <c r="I62" s="100"/>
      <c r="J62" s="106"/>
      <c r="K62" s="107"/>
      <c r="L62" s="92"/>
      <c r="M62" s="92"/>
      <c r="N62" s="117"/>
      <c r="O62" s="109"/>
    </row>
    <row r="63" spans="1:15" ht="15" x14ac:dyDescent="0.2">
      <c r="A63" s="100"/>
      <c r="B63" s="87"/>
      <c r="C63" s="188">
        <v>28</v>
      </c>
      <c r="D63" s="177" t="s">
        <v>100</v>
      </c>
      <c r="E63" s="92"/>
      <c r="F63" s="92"/>
      <c r="G63" s="93">
        <v>0</v>
      </c>
      <c r="H63" s="179" t="s">
        <v>101</v>
      </c>
      <c r="I63" s="100"/>
      <c r="J63" s="188">
        <v>28</v>
      </c>
      <c r="K63" s="177" t="s">
        <v>100</v>
      </c>
      <c r="L63" s="92"/>
      <c r="M63" s="92"/>
      <c r="N63" s="93">
        <v>0</v>
      </c>
      <c r="O63" s="179" t="s">
        <v>101</v>
      </c>
    </row>
    <row r="64" spans="1:15" ht="15" x14ac:dyDescent="0.2">
      <c r="A64" s="100"/>
      <c r="B64" s="87"/>
      <c r="C64" s="189"/>
      <c r="D64" s="178"/>
      <c r="E64" s="92"/>
      <c r="F64" s="92"/>
      <c r="G64" s="93">
        <v>0</v>
      </c>
      <c r="H64" s="180"/>
      <c r="I64" s="100"/>
      <c r="J64" s="189"/>
      <c r="K64" s="178"/>
      <c r="L64" s="92"/>
      <c r="M64" s="92"/>
      <c r="N64" s="93">
        <v>0</v>
      </c>
      <c r="O64" s="180"/>
    </row>
    <row r="65" spans="1:15" x14ac:dyDescent="0.2">
      <c r="A65" s="100"/>
      <c r="B65" s="87"/>
      <c r="C65" s="181" t="s">
        <v>102</v>
      </c>
      <c r="D65" s="181"/>
      <c r="E65" s="181"/>
      <c r="F65" s="181"/>
      <c r="G65" s="118">
        <f>SUM(G3:G64)</f>
        <v>38014</v>
      </c>
      <c r="H65" s="119"/>
      <c r="I65" s="100"/>
      <c r="J65" s="181" t="s">
        <v>102</v>
      </c>
      <c r="K65" s="181"/>
      <c r="L65" s="181"/>
      <c r="M65" s="181"/>
      <c r="N65" s="118">
        <f>SUM(N3:N64)</f>
        <v>35162</v>
      </c>
      <c r="O65" s="119"/>
    </row>
    <row r="69" spans="1:15" ht="13.5" thickBot="1" x14ac:dyDescent="0.25">
      <c r="A69" s="120"/>
      <c r="B69" s="120"/>
      <c r="C69" s="120"/>
      <c r="D69" s="121" t="s">
        <v>13</v>
      </c>
      <c r="E69" s="120"/>
      <c r="F69" s="120"/>
      <c r="G69" s="120"/>
      <c r="H69" s="120"/>
    </row>
    <row r="70" spans="1:15" ht="13.5" thickBot="1" x14ac:dyDescent="0.25">
      <c r="A70" s="122"/>
      <c r="B70" s="182" t="s">
        <v>103</v>
      </c>
      <c r="C70" s="183"/>
      <c r="D70" s="183"/>
      <c r="E70" s="184"/>
      <c r="F70" s="122"/>
      <c r="G70" s="182" t="s">
        <v>109</v>
      </c>
      <c r="H70" s="183"/>
      <c r="I70" s="183"/>
      <c r="J70" s="184"/>
      <c r="K70" s="122"/>
      <c r="L70" s="185" t="s">
        <v>31</v>
      </c>
      <c r="M70" s="186"/>
      <c r="N70" s="186"/>
      <c r="O70" s="187"/>
    </row>
    <row r="71" spans="1:15" ht="13.5" thickBot="1" x14ac:dyDescent="0.25">
      <c r="A71" s="120"/>
      <c r="B71" s="123" t="s">
        <v>89</v>
      </c>
      <c r="C71" s="123">
        <v>30</v>
      </c>
      <c r="D71" s="123" t="s">
        <v>104</v>
      </c>
      <c r="E71" s="123" t="s">
        <v>105</v>
      </c>
      <c r="F71" s="120"/>
      <c r="G71" s="123" t="s">
        <v>89</v>
      </c>
      <c r="H71" s="123">
        <v>30</v>
      </c>
      <c r="I71" s="123" t="s">
        <v>104</v>
      </c>
      <c r="J71" s="123" t="s">
        <v>105</v>
      </c>
      <c r="K71" s="120"/>
      <c r="L71" s="124" t="s">
        <v>89</v>
      </c>
      <c r="M71" s="124">
        <v>30</v>
      </c>
      <c r="N71" s="124" t="s">
        <v>104</v>
      </c>
      <c r="O71" s="124" t="s">
        <v>105</v>
      </c>
    </row>
    <row r="72" spans="1:15" ht="15.75" thickBot="1" x14ac:dyDescent="0.25">
      <c r="A72" s="120"/>
      <c r="B72" s="125">
        <v>6</v>
      </c>
      <c r="C72" s="126">
        <v>85314</v>
      </c>
      <c r="D72" s="127">
        <v>50358</v>
      </c>
      <c r="E72" s="128">
        <v>78515</v>
      </c>
      <c r="F72" s="120"/>
      <c r="G72" s="125">
        <v>6</v>
      </c>
      <c r="H72" s="126">
        <v>85433</v>
      </c>
      <c r="I72" s="127">
        <v>50571</v>
      </c>
      <c r="J72" s="128">
        <v>78515</v>
      </c>
      <c r="K72" s="120"/>
      <c r="L72" s="124">
        <v>6</v>
      </c>
      <c r="M72" s="129">
        <f>H72-C72</f>
        <v>119</v>
      </c>
      <c r="N72" s="129">
        <f>I72-D72</f>
        <v>213</v>
      </c>
      <c r="O72" s="129">
        <f>J72-E72</f>
        <v>0</v>
      </c>
    </row>
    <row r="73" spans="1:15" ht="15.75" thickBot="1" x14ac:dyDescent="0.25">
      <c r="A73" s="120"/>
      <c r="B73" s="125">
        <v>7</v>
      </c>
      <c r="C73" s="126">
        <v>86861</v>
      </c>
      <c r="D73" s="127">
        <v>98928</v>
      </c>
      <c r="E73" s="128">
        <v>54180</v>
      </c>
      <c r="F73" s="120"/>
      <c r="G73" s="125">
        <v>7</v>
      </c>
      <c r="H73" s="126">
        <v>87334</v>
      </c>
      <c r="I73" s="127">
        <v>99139</v>
      </c>
      <c r="J73" s="128">
        <v>54621</v>
      </c>
      <c r="K73" s="120"/>
      <c r="L73" s="124">
        <v>7</v>
      </c>
      <c r="M73" s="129">
        <f t="shared" ref="M73:O95" si="6">H73-C73</f>
        <v>473</v>
      </c>
      <c r="N73" s="129">
        <f t="shared" si="6"/>
        <v>211</v>
      </c>
      <c r="O73" s="129">
        <f t="shared" si="6"/>
        <v>441</v>
      </c>
    </row>
    <row r="74" spans="1:15" ht="15.75" thickBot="1" x14ac:dyDescent="0.25">
      <c r="A74" s="120"/>
      <c r="B74" s="125">
        <v>8</v>
      </c>
      <c r="C74" s="126">
        <v>97542</v>
      </c>
      <c r="D74" s="127">
        <v>218960</v>
      </c>
      <c r="E74" s="128">
        <v>95892</v>
      </c>
      <c r="F74" s="120"/>
      <c r="G74" s="125">
        <v>8</v>
      </c>
      <c r="H74" s="126">
        <v>97777</v>
      </c>
      <c r="I74" s="127">
        <v>220435</v>
      </c>
      <c r="J74" s="128">
        <v>97100</v>
      </c>
      <c r="K74" s="120"/>
      <c r="L74" s="124">
        <v>8</v>
      </c>
      <c r="M74" s="129">
        <f t="shared" si="6"/>
        <v>235</v>
      </c>
      <c r="N74" s="129">
        <f t="shared" si="6"/>
        <v>1475</v>
      </c>
      <c r="O74" s="129">
        <f t="shared" si="6"/>
        <v>1208</v>
      </c>
    </row>
    <row r="75" spans="1:15" ht="15.75" thickBot="1" x14ac:dyDescent="0.25">
      <c r="A75" s="120"/>
      <c r="B75" s="125">
        <v>9</v>
      </c>
      <c r="C75" s="126">
        <v>63958</v>
      </c>
      <c r="D75" s="127">
        <v>126852</v>
      </c>
      <c r="E75" s="128">
        <v>118089</v>
      </c>
      <c r="F75" s="120"/>
      <c r="G75" s="125">
        <v>9</v>
      </c>
      <c r="H75" s="126">
        <v>64088</v>
      </c>
      <c r="I75" s="127">
        <v>127503</v>
      </c>
      <c r="J75" s="128">
        <v>119607</v>
      </c>
      <c r="K75" s="120"/>
      <c r="L75" s="124">
        <v>9</v>
      </c>
      <c r="M75" s="129">
        <f t="shared" si="6"/>
        <v>130</v>
      </c>
      <c r="N75" s="129">
        <f t="shared" si="6"/>
        <v>651</v>
      </c>
      <c r="O75" s="129">
        <f t="shared" si="6"/>
        <v>1518</v>
      </c>
    </row>
    <row r="76" spans="1:15" ht="15.75" thickBot="1" x14ac:dyDescent="0.25">
      <c r="A76" s="120"/>
      <c r="B76" s="125">
        <v>10</v>
      </c>
      <c r="C76" s="126">
        <v>55284</v>
      </c>
      <c r="D76" s="127">
        <v>84073</v>
      </c>
      <c r="E76" s="128">
        <v>125840</v>
      </c>
      <c r="F76" s="120"/>
      <c r="G76" s="125">
        <v>10</v>
      </c>
      <c r="H76" s="126">
        <v>55485</v>
      </c>
      <c r="I76" s="127">
        <v>85258</v>
      </c>
      <c r="J76" s="128">
        <v>125840</v>
      </c>
      <c r="K76" s="120"/>
      <c r="L76" s="124">
        <v>10</v>
      </c>
      <c r="M76" s="129">
        <f t="shared" si="6"/>
        <v>201</v>
      </c>
      <c r="N76" s="129">
        <f t="shared" si="6"/>
        <v>1185</v>
      </c>
      <c r="O76" s="129">
        <f t="shared" si="6"/>
        <v>0</v>
      </c>
    </row>
    <row r="77" spans="1:15" ht="15.75" thickBot="1" x14ac:dyDescent="0.25">
      <c r="A77" s="120"/>
      <c r="B77" s="125">
        <v>11</v>
      </c>
      <c r="C77" s="126">
        <v>137387</v>
      </c>
      <c r="D77" s="127">
        <v>168772</v>
      </c>
      <c r="E77" s="128">
        <v>187661</v>
      </c>
      <c r="F77" s="120"/>
      <c r="G77" s="125">
        <v>11</v>
      </c>
      <c r="H77" s="126">
        <v>137640</v>
      </c>
      <c r="I77" s="127">
        <v>169122</v>
      </c>
      <c r="J77" s="128">
        <v>188427</v>
      </c>
      <c r="K77" s="120"/>
      <c r="L77" s="124">
        <v>11</v>
      </c>
      <c r="M77" s="129">
        <f t="shared" si="6"/>
        <v>253</v>
      </c>
      <c r="N77" s="129">
        <f t="shared" si="6"/>
        <v>350</v>
      </c>
      <c r="O77" s="129">
        <f t="shared" si="6"/>
        <v>766</v>
      </c>
    </row>
    <row r="78" spans="1:15" ht="15.75" thickBot="1" x14ac:dyDescent="0.25">
      <c r="A78" s="120"/>
      <c r="B78" s="125">
        <v>12</v>
      </c>
      <c r="C78" s="126">
        <v>127224</v>
      </c>
      <c r="D78" s="127">
        <v>85373</v>
      </c>
      <c r="E78" s="128">
        <v>93440</v>
      </c>
      <c r="F78" s="120"/>
      <c r="G78" s="125">
        <v>12</v>
      </c>
      <c r="H78" s="126">
        <v>128374</v>
      </c>
      <c r="I78" s="127">
        <v>86409</v>
      </c>
      <c r="J78" s="128">
        <v>93547</v>
      </c>
      <c r="K78" s="120"/>
      <c r="L78" s="124">
        <v>12</v>
      </c>
      <c r="M78" s="129">
        <f t="shared" si="6"/>
        <v>1150</v>
      </c>
      <c r="N78" s="129">
        <f t="shared" si="6"/>
        <v>1036</v>
      </c>
      <c r="O78" s="129">
        <f t="shared" si="6"/>
        <v>107</v>
      </c>
    </row>
    <row r="79" spans="1:15" ht="15.75" thickBot="1" x14ac:dyDescent="0.25">
      <c r="A79" s="120"/>
      <c r="B79" s="125">
        <v>14</v>
      </c>
      <c r="C79" s="126">
        <v>116027</v>
      </c>
      <c r="D79" s="127">
        <v>46901</v>
      </c>
      <c r="E79" s="128">
        <v>46919</v>
      </c>
      <c r="F79" s="120"/>
      <c r="G79" s="125">
        <v>14</v>
      </c>
      <c r="H79" s="126">
        <v>116168</v>
      </c>
      <c r="I79" s="127">
        <v>47401</v>
      </c>
      <c r="J79" s="128">
        <v>47039</v>
      </c>
      <c r="K79" s="120"/>
      <c r="L79" s="124">
        <v>14</v>
      </c>
      <c r="M79" s="129">
        <f t="shared" si="6"/>
        <v>141</v>
      </c>
      <c r="N79" s="129">
        <f t="shared" si="6"/>
        <v>500</v>
      </c>
      <c r="O79" s="129">
        <f t="shared" si="6"/>
        <v>120</v>
      </c>
    </row>
    <row r="80" spans="1:15" ht="15.75" thickBot="1" x14ac:dyDescent="0.25">
      <c r="A80" s="120"/>
      <c r="B80" s="125">
        <v>15</v>
      </c>
      <c r="C80" s="126">
        <v>147958</v>
      </c>
      <c r="D80" s="127">
        <v>121990</v>
      </c>
      <c r="E80" s="128">
        <v>144583</v>
      </c>
      <c r="F80" s="120"/>
      <c r="G80" s="125">
        <v>15</v>
      </c>
      <c r="H80" s="126">
        <v>148731</v>
      </c>
      <c r="I80" s="127">
        <v>122552</v>
      </c>
      <c r="J80" s="128">
        <v>144835</v>
      </c>
      <c r="K80" s="120"/>
      <c r="L80" s="124">
        <v>15</v>
      </c>
      <c r="M80" s="129">
        <f t="shared" si="6"/>
        <v>773</v>
      </c>
      <c r="N80" s="129">
        <f t="shared" si="6"/>
        <v>562</v>
      </c>
      <c r="O80" s="129">
        <f t="shared" si="6"/>
        <v>252</v>
      </c>
    </row>
    <row r="81" spans="1:15" ht="15.75" thickBot="1" x14ac:dyDescent="0.25">
      <c r="A81" s="120"/>
      <c r="B81" s="125">
        <v>16</v>
      </c>
      <c r="C81" s="126">
        <v>114576</v>
      </c>
      <c r="D81" s="127">
        <v>129068</v>
      </c>
      <c r="E81" s="128">
        <v>196503</v>
      </c>
      <c r="F81" s="120"/>
      <c r="G81" s="125">
        <v>16</v>
      </c>
      <c r="H81" s="126">
        <v>114921</v>
      </c>
      <c r="I81" s="127">
        <v>129322</v>
      </c>
      <c r="J81" s="128">
        <v>197357</v>
      </c>
      <c r="K81" s="120"/>
      <c r="L81" s="124">
        <v>16</v>
      </c>
      <c r="M81" s="129">
        <f t="shared" si="6"/>
        <v>345</v>
      </c>
      <c r="N81" s="129">
        <f t="shared" si="6"/>
        <v>254</v>
      </c>
      <c r="O81" s="129">
        <f t="shared" si="6"/>
        <v>854</v>
      </c>
    </row>
    <row r="82" spans="1:15" ht="15.75" thickBot="1" x14ac:dyDescent="0.25">
      <c r="A82" s="120"/>
      <c r="B82" s="125">
        <v>17</v>
      </c>
      <c r="C82" s="126">
        <v>38476</v>
      </c>
      <c r="D82" s="127">
        <v>77324</v>
      </c>
      <c r="E82" s="128">
        <v>182639</v>
      </c>
      <c r="F82" s="120"/>
      <c r="G82" s="125">
        <v>17</v>
      </c>
      <c r="H82" s="126">
        <v>38476</v>
      </c>
      <c r="I82" s="127">
        <v>77564</v>
      </c>
      <c r="J82" s="128">
        <v>183321</v>
      </c>
      <c r="K82" s="120"/>
      <c r="L82" s="124">
        <v>17</v>
      </c>
      <c r="M82" s="129">
        <f t="shared" si="6"/>
        <v>0</v>
      </c>
      <c r="N82" s="129">
        <f t="shared" si="6"/>
        <v>240</v>
      </c>
      <c r="O82" s="129">
        <f t="shared" si="6"/>
        <v>682</v>
      </c>
    </row>
    <row r="83" spans="1:15" ht="15.75" thickBot="1" x14ac:dyDescent="0.25">
      <c r="A83" s="120"/>
      <c r="B83" s="125">
        <v>18</v>
      </c>
      <c r="C83" s="126">
        <v>124995</v>
      </c>
      <c r="D83" s="127">
        <v>65212</v>
      </c>
      <c r="E83" s="128">
        <v>154500</v>
      </c>
      <c r="F83" s="120"/>
      <c r="G83" s="125">
        <v>18</v>
      </c>
      <c r="H83" s="126">
        <v>125636</v>
      </c>
      <c r="I83" s="127">
        <v>65395</v>
      </c>
      <c r="J83" s="128">
        <v>154728</v>
      </c>
      <c r="K83" s="120"/>
      <c r="L83" s="124">
        <v>18</v>
      </c>
      <c r="M83" s="129">
        <f t="shared" si="6"/>
        <v>641</v>
      </c>
      <c r="N83" s="129">
        <f t="shared" si="6"/>
        <v>183</v>
      </c>
      <c r="O83" s="129">
        <f t="shared" si="6"/>
        <v>228</v>
      </c>
    </row>
    <row r="84" spans="1:15" ht="15.75" thickBot="1" x14ac:dyDescent="0.25">
      <c r="A84" s="120"/>
      <c r="B84" s="125">
        <v>19</v>
      </c>
      <c r="C84" s="126">
        <v>64269</v>
      </c>
      <c r="D84" s="127">
        <v>154448</v>
      </c>
      <c r="E84" s="128">
        <v>105894</v>
      </c>
      <c r="F84" s="120"/>
      <c r="G84" s="125">
        <v>19</v>
      </c>
      <c r="H84" s="126">
        <v>64526</v>
      </c>
      <c r="I84" s="127">
        <v>154820</v>
      </c>
      <c r="J84" s="128">
        <v>106425</v>
      </c>
      <c r="K84" s="120"/>
      <c r="L84" s="124">
        <v>19</v>
      </c>
      <c r="M84" s="129">
        <f t="shared" si="6"/>
        <v>257</v>
      </c>
      <c r="N84" s="129">
        <f t="shared" si="6"/>
        <v>372</v>
      </c>
      <c r="O84" s="129">
        <f t="shared" si="6"/>
        <v>531</v>
      </c>
    </row>
    <row r="85" spans="1:15" ht="15.75" thickBot="1" x14ac:dyDescent="0.25">
      <c r="A85" s="120"/>
      <c r="B85" s="125">
        <v>20</v>
      </c>
      <c r="C85" s="126">
        <v>133459</v>
      </c>
      <c r="D85" s="127">
        <v>155963</v>
      </c>
      <c r="E85" s="128">
        <v>82327</v>
      </c>
      <c r="F85" s="120"/>
      <c r="G85" s="125">
        <v>20</v>
      </c>
      <c r="H85" s="126">
        <v>133636</v>
      </c>
      <c r="I85" s="127">
        <v>156642</v>
      </c>
      <c r="J85" s="128">
        <v>82468</v>
      </c>
      <c r="K85" s="120"/>
      <c r="L85" s="124">
        <v>20</v>
      </c>
      <c r="M85" s="129">
        <f>H85-C85</f>
        <v>177</v>
      </c>
      <c r="N85" s="129">
        <f t="shared" si="6"/>
        <v>679</v>
      </c>
      <c r="O85" s="129">
        <f t="shared" si="6"/>
        <v>141</v>
      </c>
    </row>
    <row r="86" spans="1:15" ht="15.75" thickBot="1" x14ac:dyDescent="0.25">
      <c r="A86" s="120"/>
      <c r="B86" s="125">
        <v>21</v>
      </c>
      <c r="C86" s="126">
        <v>182094</v>
      </c>
      <c r="D86" s="127">
        <v>82273</v>
      </c>
      <c r="E86" s="128">
        <v>89117</v>
      </c>
      <c r="F86" s="120"/>
      <c r="G86" s="125">
        <v>21</v>
      </c>
      <c r="H86" s="126">
        <v>182233</v>
      </c>
      <c r="I86" s="127">
        <v>82452</v>
      </c>
      <c r="J86" s="128">
        <v>89442</v>
      </c>
      <c r="K86" s="120"/>
      <c r="L86" s="124">
        <v>21</v>
      </c>
      <c r="M86" s="129">
        <f t="shared" si="6"/>
        <v>139</v>
      </c>
      <c r="N86" s="129">
        <f t="shared" si="6"/>
        <v>179</v>
      </c>
      <c r="O86" s="129">
        <f t="shared" si="6"/>
        <v>325</v>
      </c>
    </row>
    <row r="87" spans="1:15" ht="15.75" thickBot="1" x14ac:dyDescent="0.25">
      <c r="A87" s="120"/>
      <c r="B87" s="125">
        <v>22</v>
      </c>
      <c r="C87" s="126">
        <v>105365</v>
      </c>
      <c r="D87" s="127">
        <v>79435</v>
      </c>
      <c r="E87" s="128">
        <v>97194</v>
      </c>
      <c r="F87" s="120"/>
      <c r="G87" s="125">
        <v>22</v>
      </c>
      <c r="H87" s="126">
        <v>106160</v>
      </c>
      <c r="I87" s="127">
        <v>79532</v>
      </c>
      <c r="J87" s="128">
        <v>97696</v>
      </c>
      <c r="K87" s="120"/>
      <c r="L87" s="124">
        <v>22</v>
      </c>
      <c r="M87" s="129">
        <f t="shared" si="6"/>
        <v>795</v>
      </c>
      <c r="N87" s="129">
        <f t="shared" si="6"/>
        <v>97</v>
      </c>
      <c r="O87" s="129">
        <f t="shared" si="6"/>
        <v>502</v>
      </c>
    </row>
    <row r="88" spans="1:15" ht="15.75" thickBot="1" x14ac:dyDescent="0.25">
      <c r="A88" s="120"/>
      <c r="B88" s="125">
        <v>23</v>
      </c>
      <c r="C88" s="126">
        <v>117452</v>
      </c>
      <c r="D88" s="127">
        <v>140085</v>
      </c>
      <c r="E88" s="128">
        <v>267799</v>
      </c>
      <c r="F88" s="120"/>
      <c r="G88" s="125">
        <v>23</v>
      </c>
      <c r="H88" s="126">
        <v>117757</v>
      </c>
      <c r="I88" s="127">
        <v>140396</v>
      </c>
      <c r="J88" s="128">
        <v>268716</v>
      </c>
      <c r="K88" s="120"/>
      <c r="L88" s="124">
        <v>23</v>
      </c>
      <c r="M88" s="129">
        <f t="shared" si="6"/>
        <v>305</v>
      </c>
      <c r="N88" s="129">
        <f t="shared" si="6"/>
        <v>311</v>
      </c>
      <c r="O88" s="129">
        <f t="shared" si="6"/>
        <v>917</v>
      </c>
    </row>
    <row r="89" spans="1:15" ht="15.75" thickBot="1" x14ac:dyDescent="0.25">
      <c r="A89" s="120"/>
      <c r="B89" s="125">
        <v>24</v>
      </c>
      <c r="C89" s="126">
        <v>74834</v>
      </c>
      <c r="D89" s="127">
        <v>137425</v>
      </c>
      <c r="E89" s="128">
        <v>97194</v>
      </c>
      <c r="F89" s="120"/>
      <c r="G89" s="125">
        <v>24</v>
      </c>
      <c r="H89" s="126">
        <v>74948</v>
      </c>
      <c r="I89" s="127">
        <v>137943</v>
      </c>
      <c r="J89" s="128">
        <v>97489</v>
      </c>
      <c r="K89" s="120"/>
      <c r="L89" s="124">
        <v>24</v>
      </c>
      <c r="M89" s="129">
        <f t="shared" si="6"/>
        <v>114</v>
      </c>
      <c r="N89" s="129">
        <f t="shared" si="6"/>
        <v>518</v>
      </c>
      <c r="O89" s="129">
        <f>J89-E89</f>
        <v>295</v>
      </c>
    </row>
    <row r="90" spans="1:15" ht="15.75" thickBot="1" x14ac:dyDescent="0.25">
      <c r="A90" s="120"/>
      <c r="B90" s="125">
        <v>25</v>
      </c>
      <c r="C90" s="126">
        <v>111623</v>
      </c>
      <c r="D90" s="127">
        <v>168815</v>
      </c>
      <c r="E90" s="128">
        <v>137988</v>
      </c>
      <c r="F90" s="120"/>
      <c r="G90" s="125">
        <v>25</v>
      </c>
      <c r="H90" s="126">
        <v>112055</v>
      </c>
      <c r="I90" s="127">
        <v>169131</v>
      </c>
      <c r="J90" s="128">
        <v>138388</v>
      </c>
      <c r="K90" s="120"/>
      <c r="L90" s="124">
        <v>25</v>
      </c>
      <c r="M90" s="129">
        <f t="shared" si="6"/>
        <v>432</v>
      </c>
      <c r="N90" s="129">
        <f t="shared" si="6"/>
        <v>316</v>
      </c>
      <c r="O90" s="129">
        <f>J90-E90</f>
        <v>400</v>
      </c>
    </row>
    <row r="91" spans="1:15" ht="15.75" thickBot="1" x14ac:dyDescent="0.25">
      <c r="A91" s="120"/>
      <c r="B91" s="125">
        <v>26</v>
      </c>
      <c r="C91" s="126">
        <v>106949</v>
      </c>
      <c r="D91" s="127">
        <v>46835</v>
      </c>
      <c r="E91" s="127">
        <v>47028</v>
      </c>
      <c r="F91" s="120"/>
      <c r="G91" s="125">
        <v>26</v>
      </c>
      <c r="H91" s="126">
        <v>107150</v>
      </c>
      <c r="I91" s="127">
        <v>46937</v>
      </c>
      <c r="J91" s="127">
        <v>47028</v>
      </c>
      <c r="K91" s="120"/>
      <c r="L91" s="124">
        <v>26</v>
      </c>
      <c r="M91" s="129">
        <f t="shared" si="6"/>
        <v>201</v>
      </c>
      <c r="N91" s="129">
        <f t="shared" si="6"/>
        <v>102</v>
      </c>
      <c r="O91" s="129">
        <f t="shared" si="6"/>
        <v>0</v>
      </c>
    </row>
    <row r="92" spans="1:15" ht="15.75" thickBot="1" x14ac:dyDescent="0.25">
      <c r="A92" s="120"/>
      <c r="B92" s="125">
        <v>27</v>
      </c>
      <c r="C92" s="126">
        <v>95543</v>
      </c>
      <c r="D92" s="127">
        <v>103423</v>
      </c>
      <c r="E92" s="128">
        <v>112800</v>
      </c>
      <c r="F92" s="120"/>
      <c r="G92" s="125">
        <v>27</v>
      </c>
      <c r="H92" s="126">
        <v>95692</v>
      </c>
      <c r="I92" s="127">
        <v>104509</v>
      </c>
      <c r="J92" s="128">
        <v>113386</v>
      </c>
      <c r="K92" s="120"/>
      <c r="L92" s="124">
        <v>27</v>
      </c>
      <c r="M92" s="129">
        <f t="shared" si="6"/>
        <v>149</v>
      </c>
      <c r="N92" s="129">
        <f t="shared" si="6"/>
        <v>1086</v>
      </c>
      <c r="O92" s="129">
        <f t="shared" si="6"/>
        <v>586</v>
      </c>
    </row>
    <row r="93" spans="1:15" ht="15.75" thickBot="1" x14ac:dyDescent="0.25">
      <c r="A93" s="120"/>
      <c r="B93" s="125">
        <v>28</v>
      </c>
      <c r="C93" s="126">
        <v>171867</v>
      </c>
      <c r="D93" s="127">
        <v>99416</v>
      </c>
      <c r="E93" s="128">
        <v>99086</v>
      </c>
      <c r="F93" s="120"/>
      <c r="G93" s="125">
        <v>28</v>
      </c>
      <c r="H93" s="126">
        <v>171996</v>
      </c>
      <c r="I93" s="127">
        <v>99511</v>
      </c>
      <c r="J93" s="128">
        <v>99229</v>
      </c>
      <c r="K93" s="120"/>
      <c r="L93" s="124">
        <v>28</v>
      </c>
      <c r="M93" s="129">
        <f t="shared" si="6"/>
        <v>129</v>
      </c>
      <c r="N93" s="129">
        <f t="shared" si="6"/>
        <v>95</v>
      </c>
      <c r="O93" s="129">
        <f t="shared" si="6"/>
        <v>143</v>
      </c>
    </row>
    <row r="94" spans="1:15" ht="15.75" thickBot="1" x14ac:dyDescent="0.25">
      <c r="A94" s="120"/>
      <c r="B94" s="125">
        <v>29</v>
      </c>
      <c r="C94" s="126"/>
      <c r="D94" s="127">
        <v>71496</v>
      </c>
      <c r="E94" s="128"/>
      <c r="F94" s="120"/>
      <c r="G94" s="125">
        <v>29</v>
      </c>
      <c r="H94" s="126"/>
      <c r="I94" s="127">
        <v>72156</v>
      </c>
      <c r="J94" s="128"/>
      <c r="K94" s="120"/>
      <c r="L94" s="124">
        <v>29</v>
      </c>
      <c r="M94" s="129"/>
      <c r="N94" s="129">
        <f t="shared" si="6"/>
        <v>660</v>
      </c>
      <c r="O94" s="129"/>
    </row>
    <row r="95" spans="1:15" ht="15.75" thickBot="1" x14ac:dyDescent="0.25">
      <c r="A95" s="120"/>
      <c r="B95" s="125">
        <v>30</v>
      </c>
      <c r="C95" s="126"/>
      <c r="D95" s="127">
        <v>14818</v>
      </c>
      <c r="E95" s="128"/>
      <c r="F95" s="120"/>
      <c r="G95" s="125">
        <v>30</v>
      </c>
      <c r="H95" s="126"/>
      <c r="I95" s="127">
        <v>14818</v>
      </c>
      <c r="J95" s="128"/>
      <c r="K95" s="120"/>
      <c r="L95" s="124">
        <v>30</v>
      </c>
      <c r="M95" s="129"/>
      <c r="N95" s="129">
        <f t="shared" si="6"/>
        <v>0</v>
      </c>
      <c r="O95" s="120"/>
    </row>
    <row r="96" spans="1:15" ht="15.75" thickBot="1" x14ac:dyDescent="0.25">
      <c r="B96" s="125"/>
      <c r="C96" s="126"/>
      <c r="D96" s="127"/>
      <c r="E96" s="128"/>
      <c r="F96" s="130"/>
      <c r="H96" s="130"/>
      <c r="I96" s="130"/>
      <c r="J96" s="130"/>
      <c r="K96" s="130"/>
      <c r="L96" s="120"/>
      <c r="M96" s="120"/>
      <c r="N96" s="120"/>
      <c r="O96" s="120"/>
    </row>
  </sheetData>
  <mergeCells count="55">
    <mergeCell ref="C1:H1"/>
    <mergeCell ref="J1:O1"/>
    <mergeCell ref="C3:C5"/>
    <mergeCell ref="J3:J5"/>
    <mergeCell ref="C6:C8"/>
    <mergeCell ref="J6:J8"/>
    <mergeCell ref="C9:C11"/>
    <mergeCell ref="J9:J11"/>
    <mergeCell ref="C12:C14"/>
    <mergeCell ref="J12:J14"/>
    <mergeCell ref="C15:C17"/>
    <mergeCell ref="J15:J17"/>
    <mergeCell ref="C18:C20"/>
    <mergeCell ref="J18:J20"/>
    <mergeCell ref="C21:C23"/>
    <mergeCell ref="J21:J23"/>
    <mergeCell ref="C24:C26"/>
    <mergeCell ref="J24:J26"/>
    <mergeCell ref="C27:C29"/>
    <mergeCell ref="J27:J29"/>
    <mergeCell ref="C30:C32"/>
    <mergeCell ref="J30:J32"/>
    <mergeCell ref="C33:C35"/>
    <mergeCell ref="J33:J35"/>
    <mergeCell ref="C36:C38"/>
    <mergeCell ref="J36:J38"/>
    <mergeCell ref="C39:C41"/>
    <mergeCell ref="J39:J41"/>
    <mergeCell ref="C42:C44"/>
    <mergeCell ref="J42:J44"/>
    <mergeCell ref="C46:C47"/>
    <mergeCell ref="J46:J47"/>
    <mergeCell ref="C48:C49"/>
    <mergeCell ref="J48:J49"/>
    <mergeCell ref="C50:C51"/>
    <mergeCell ref="J50:J51"/>
    <mergeCell ref="C53:C55"/>
    <mergeCell ref="J53:J55"/>
    <mergeCell ref="C56:C57"/>
    <mergeCell ref="J56:J57"/>
    <mergeCell ref="C58:C59"/>
    <mergeCell ref="J58:J59"/>
    <mergeCell ref="C60:C61"/>
    <mergeCell ref="J60:J61"/>
    <mergeCell ref="C63:C64"/>
    <mergeCell ref="D63:D64"/>
    <mergeCell ref="H63:H64"/>
    <mergeCell ref="J63:J64"/>
    <mergeCell ref="K63:K64"/>
    <mergeCell ref="O63:O64"/>
    <mergeCell ref="C65:F65"/>
    <mergeCell ref="J65:M65"/>
    <mergeCell ref="B70:E70"/>
    <mergeCell ref="G70:J70"/>
    <mergeCell ref="L70:O7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70" zoomScaleNormal="70" workbookViewId="0">
      <selection activeCell="P12" sqref="P12"/>
    </sheetView>
  </sheetViews>
  <sheetFormatPr defaultRowHeight="12.75" x14ac:dyDescent="0.2"/>
  <cols>
    <col min="2" max="2" width="14.28515625" bestFit="1" customWidth="1"/>
    <col min="3" max="4" width="11.28515625" bestFit="1" customWidth="1"/>
    <col min="6" max="6" width="40.85546875" customWidth="1"/>
    <col min="8" max="8" width="13.7109375" bestFit="1" customWidth="1"/>
    <col min="9" max="10" width="9.5703125" bestFit="1" customWidth="1"/>
    <col min="11" max="11" width="12.85546875" bestFit="1" customWidth="1"/>
  </cols>
  <sheetData>
    <row r="1" spans="1:11" ht="24" thickBot="1" x14ac:dyDescent="0.25">
      <c r="A1" s="197" t="s">
        <v>147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</row>
    <row r="2" spans="1:11" ht="13.5" thickBot="1" x14ac:dyDescent="0.25">
      <c r="A2" s="134"/>
      <c r="B2" s="135" t="s">
        <v>110</v>
      </c>
      <c r="C2" s="136">
        <f>K8+K9+K14</f>
        <v>700392</v>
      </c>
      <c r="D2" s="136">
        <f>C2*1.15</f>
        <v>805450.79999999993</v>
      </c>
      <c r="E2" s="137"/>
      <c r="F2" s="134"/>
      <c r="G2" s="134"/>
      <c r="H2" s="138" t="s">
        <v>111</v>
      </c>
      <c r="I2" s="139"/>
      <c r="J2" s="139"/>
      <c r="K2" s="139"/>
    </row>
    <row r="3" spans="1:11" ht="13.5" thickBot="1" x14ac:dyDescent="0.25">
      <c r="A3" s="134"/>
      <c r="B3" s="134"/>
      <c r="C3" s="134"/>
      <c r="D3" s="134"/>
      <c r="E3" s="134"/>
      <c r="F3" s="134"/>
      <c r="G3" s="134"/>
      <c r="H3" s="140" t="s">
        <v>112</v>
      </c>
      <c r="I3" s="141">
        <f>[1]ELECT.!E3</f>
        <v>16655010</v>
      </c>
      <c r="J3" s="141">
        <f>[1]ELECT.!E34</f>
        <v>17084485</v>
      </c>
      <c r="K3" s="131">
        <f>J3-I3</f>
        <v>429475</v>
      </c>
    </row>
    <row r="4" spans="1:11" ht="13.5" thickBot="1" x14ac:dyDescent="0.25">
      <c r="A4" s="134"/>
      <c r="B4" s="142" t="s">
        <v>113</v>
      </c>
      <c r="C4" s="143" t="s">
        <v>114</v>
      </c>
      <c r="D4" s="143" t="s">
        <v>115</v>
      </c>
      <c r="E4" s="143"/>
      <c r="F4" s="134"/>
      <c r="G4" s="134"/>
      <c r="H4" s="140" t="s">
        <v>116</v>
      </c>
      <c r="I4" s="141">
        <f>[1]ELECT.!G3</f>
        <v>45047485</v>
      </c>
      <c r="J4" s="141">
        <f>[1]ELECT.!G34</f>
        <v>46768437</v>
      </c>
      <c r="K4" s="131">
        <f>J4-I4</f>
        <v>1720952</v>
      </c>
    </row>
    <row r="5" spans="1:11" ht="13.5" thickBot="1" x14ac:dyDescent="0.25">
      <c r="A5" s="134"/>
      <c r="B5" s="140" t="s">
        <v>33</v>
      </c>
      <c r="C5" s="144">
        <f>(K10+K12)*0.842284+K26</f>
        <v>958149.83050799998</v>
      </c>
      <c r="D5" s="144">
        <f>C5*1.15</f>
        <v>1101872.3050841999</v>
      </c>
      <c r="E5" s="145"/>
      <c r="F5" s="134"/>
      <c r="G5" s="134"/>
      <c r="H5" s="140" t="s">
        <v>28</v>
      </c>
      <c r="I5" s="146"/>
      <c r="J5" s="146"/>
      <c r="K5" s="147">
        <f>K3+K4</f>
        <v>2150427</v>
      </c>
    </row>
    <row r="6" spans="1:11" ht="13.5" thickBot="1" x14ac:dyDescent="0.25">
      <c r="A6" s="134"/>
      <c r="B6" s="140" t="s">
        <v>117</v>
      </c>
      <c r="C6" s="144">
        <f>(K10+K12+K26)*0.1488</f>
        <v>168658.40159999998</v>
      </c>
      <c r="D6" s="144">
        <f t="shared" ref="D6:D11" si="0">C6*1.15</f>
        <v>193957.16183999996</v>
      </c>
      <c r="E6" s="145"/>
      <c r="F6" s="134"/>
      <c r="G6" s="134"/>
      <c r="H6" s="140" t="s">
        <v>118</v>
      </c>
      <c r="I6" s="148">
        <f>[1]ELECT.!J3</f>
        <v>3869359</v>
      </c>
      <c r="J6" s="146">
        <f>[1]ELECT.!J34</f>
        <v>4057002</v>
      </c>
      <c r="K6" s="131">
        <f>J6-I6</f>
        <v>187643</v>
      </c>
    </row>
    <row r="7" spans="1:11" ht="13.5" thickBot="1" x14ac:dyDescent="0.25">
      <c r="A7" s="134"/>
      <c r="B7" s="140" t="s">
        <v>119</v>
      </c>
      <c r="C7" s="144">
        <f>(K6+K7)-(C8+C9+C10+C11+K26)</f>
        <v>282185</v>
      </c>
      <c r="D7" s="144">
        <f t="shared" si="0"/>
        <v>324512.75</v>
      </c>
      <c r="E7" s="145"/>
      <c r="F7" s="134"/>
      <c r="G7" s="134"/>
      <c r="H7" s="140" t="s">
        <v>120</v>
      </c>
      <c r="I7" s="148">
        <f>[1]ELECT.!L3</f>
        <v>4076121</v>
      </c>
      <c r="J7" s="146">
        <f>[1]ELECT.!L34</f>
        <v>4226976</v>
      </c>
      <c r="K7" s="131">
        <f>J7-I7</f>
        <v>150855</v>
      </c>
    </row>
    <row r="8" spans="1:11" ht="13.5" thickBot="1" x14ac:dyDescent="0.25">
      <c r="A8" s="134"/>
      <c r="B8" s="140" t="s">
        <v>121</v>
      </c>
      <c r="C8" s="144">
        <f>K21+K22+K23+K24</f>
        <v>28460</v>
      </c>
      <c r="D8" s="144">
        <f t="shared" si="0"/>
        <v>32728.999999999996</v>
      </c>
      <c r="E8" s="145"/>
      <c r="F8" s="134"/>
      <c r="G8" s="134"/>
      <c r="H8" s="140" t="s">
        <v>122</v>
      </c>
      <c r="I8" s="148">
        <f>[1]ELECT.!N3</f>
        <v>2537554</v>
      </c>
      <c r="J8" s="146">
        <f>[1]ELECT.!N34</f>
        <v>2674034</v>
      </c>
      <c r="K8" s="131">
        <f>(J8-I8)*2</f>
        <v>272960</v>
      </c>
    </row>
    <row r="9" spans="1:11" ht="13.5" thickBot="1" x14ac:dyDescent="0.25">
      <c r="A9" s="134"/>
      <c r="B9" s="140" t="s">
        <v>123</v>
      </c>
      <c r="C9" s="144">
        <f>K25</f>
        <v>95</v>
      </c>
      <c r="D9" s="144">
        <f t="shared" si="0"/>
        <v>109.24999999999999</v>
      </c>
      <c r="E9" s="145"/>
      <c r="F9" s="134"/>
      <c r="G9" s="134"/>
      <c r="H9" s="140" t="s">
        <v>124</v>
      </c>
      <c r="I9" s="148">
        <f>[1]ELECT.!P3</f>
        <v>5174422</v>
      </c>
      <c r="J9" s="146">
        <f>[1]ELECT.!P34</f>
        <v>5562756</v>
      </c>
      <c r="K9" s="131">
        <f>J9-I9</f>
        <v>388334</v>
      </c>
    </row>
    <row r="10" spans="1:11" ht="13.5" thickBot="1" x14ac:dyDescent="0.25">
      <c r="A10" s="134"/>
      <c r="B10" s="140" t="s">
        <v>125</v>
      </c>
      <c r="C10" s="144">
        <f>K17+K18</f>
        <v>117</v>
      </c>
      <c r="D10" s="144">
        <f t="shared" si="0"/>
        <v>134.54999999999998</v>
      </c>
      <c r="E10" s="145"/>
      <c r="F10" s="134"/>
      <c r="G10" s="134"/>
      <c r="H10" s="140" t="s">
        <v>126</v>
      </c>
      <c r="I10" s="148">
        <f>[1]ELECT.!R3</f>
        <v>10188644</v>
      </c>
      <c r="J10" s="146">
        <f>[1]ELECT.!R34</f>
        <v>10513383</v>
      </c>
      <c r="K10" s="131">
        <f>J10-I10</f>
        <v>324739</v>
      </c>
    </row>
    <row r="11" spans="1:11" ht="13.5" thickBot="1" x14ac:dyDescent="0.25">
      <c r="A11" s="134"/>
      <c r="B11" s="140" t="s">
        <v>127</v>
      </c>
      <c r="C11" s="144">
        <f>K19+K20</f>
        <v>5721</v>
      </c>
      <c r="D11" s="144">
        <f t="shared" si="0"/>
        <v>6579.15</v>
      </c>
      <c r="E11" s="145"/>
      <c r="F11" s="134"/>
      <c r="G11" s="134"/>
      <c r="H11" s="140" t="s">
        <v>128</v>
      </c>
      <c r="I11" s="148">
        <v>0</v>
      </c>
      <c r="J11" s="146">
        <v>0</v>
      </c>
      <c r="K11" s="131">
        <f>J11-I11</f>
        <v>0</v>
      </c>
    </row>
    <row r="12" spans="1:11" ht="13.5" thickBot="1" x14ac:dyDescent="0.25">
      <c r="A12" s="134"/>
      <c r="B12" s="134"/>
      <c r="C12" s="149"/>
      <c r="D12" s="149"/>
      <c r="E12" s="149"/>
      <c r="F12" s="134"/>
      <c r="G12" s="134"/>
      <c r="H12" s="140" t="s">
        <v>129</v>
      </c>
      <c r="I12" s="148">
        <f>[1]ELECT.!V3</f>
        <v>6731805</v>
      </c>
      <c r="J12" s="146">
        <f>[1]ELECT.!V34</f>
        <v>7125204</v>
      </c>
      <c r="K12" s="131">
        <f>(J12-I12)*2</f>
        <v>786798</v>
      </c>
    </row>
    <row r="13" spans="1:11" ht="13.5" thickBot="1" x14ac:dyDescent="0.25">
      <c r="A13" s="134"/>
      <c r="B13" s="138" t="s">
        <v>130</v>
      </c>
      <c r="C13" s="145" t="s">
        <v>131</v>
      </c>
      <c r="D13" s="145" t="s">
        <v>115</v>
      </c>
      <c r="E13" s="145"/>
      <c r="F13" s="134"/>
      <c r="G13" s="134"/>
      <c r="H13" s="140" t="s">
        <v>132</v>
      </c>
      <c r="I13" s="150"/>
      <c r="J13" s="151"/>
      <c r="K13" s="152">
        <f>SUM(K6:K12)</f>
        <v>2111329</v>
      </c>
    </row>
    <row r="14" spans="1:11" ht="13.5" thickBot="1" x14ac:dyDescent="0.25">
      <c r="A14" s="134"/>
      <c r="B14" s="140" t="s">
        <v>48</v>
      </c>
      <c r="C14" s="144">
        <f>K29</f>
        <v>29700</v>
      </c>
      <c r="D14" s="153">
        <f>C14*9.12</f>
        <v>270864</v>
      </c>
      <c r="E14" s="154"/>
      <c r="F14" s="134"/>
      <c r="G14" s="134"/>
      <c r="H14" s="140" t="s">
        <v>133</v>
      </c>
      <c r="I14" s="150"/>
      <c r="J14" s="151"/>
      <c r="K14" s="132">
        <f>K5-K13</f>
        <v>39098</v>
      </c>
    </row>
    <row r="15" spans="1:11" ht="13.5" thickBot="1" x14ac:dyDescent="0.25">
      <c r="A15" s="134"/>
      <c r="B15" s="140" t="s">
        <v>134</v>
      </c>
      <c r="C15" s="155">
        <f>K30</f>
        <v>150.60599999999999</v>
      </c>
      <c r="D15" s="153">
        <f t="shared" ref="D15:D22" si="1">C15*9.12</f>
        <v>1373.5267199999998</v>
      </c>
      <c r="E15" s="154"/>
      <c r="F15" s="134"/>
      <c r="G15" s="134"/>
      <c r="H15" s="134"/>
      <c r="I15" s="134"/>
      <c r="J15" s="134"/>
      <c r="K15" s="134"/>
    </row>
    <row r="16" spans="1:11" ht="13.5" thickBot="1" x14ac:dyDescent="0.25">
      <c r="A16" s="134"/>
      <c r="B16" s="140" t="s">
        <v>117</v>
      </c>
      <c r="C16" s="155">
        <f>(C14-C15-C18-C19-C20-C21)*0.1318</f>
        <v>3314.6901292000002</v>
      </c>
      <c r="D16" s="153">
        <f t="shared" si="1"/>
        <v>30229.973978303999</v>
      </c>
      <c r="E16" s="154"/>
      <c r="F16" s="134"/>
      <c r="G16" s="134"/>
      <c r="H16" s="134"/>
      <c r="I16" s="134"/>
      <c r="J16" s="134"/>
      <c r="K16" s="134"/>
    </row>
    <row r="17" spans="1:11" ht="13.5" thickBot="1" x14ac:dyDescent="0.25">
      <c r="A17" s="134"/>
      <c r="B17" s="140" t="s">
        <v>121</v>
      </c>
      <c r="C17" s="155">
        <v>1420</v>
      </c>
      <c r="D17" s="153">
        <f t="shared" si="1"/>
        <v>12950.4</v>
      </c>
      <c r="E17" s="154"/>
      <c r="F17" s="134"/>
      <c r="G17" s="134"/>
      <c r="H17" s="156" t="s">
        <v>20</v>
      </c>
      <c r="I17" s="157">
        <f>'[1]Mall, Citadel, Rotana'!J3</f>
        <v>303517</v>
      </c>
      <c r="J17" s="157">
        <f>'[1]Mall, Citadel, Rotana'!J34</f>
        <v>303517</v>
      </c>
      <c r="K17" s="133">
        <f>J17-I17</f>
        <v>0</v>
      </c>
    </row>
    <row r="18" spans="1:11" ht="13.5" thickBot="1" x14ac:dyDescent="0.25">
      <c r="A18" s="134"/>
      <c r="B18" s="140" t="s">
        <v>127</v>
      </c>
      <c r="C18" s="155">
        <v>200</v>
      </c>
      <c r="D18" s="153">
        <f t="shared" si="1"/>
        <v>1823.9999999999998</v>
      </c>
      <c r="E18" s="154"/>
      <c r="F18" s="134"/>
      <c r="G18" s="134"/>
      <c r="H18" s="156" t="s">
        <v>21</v>
      </c>
      <c r="I18" s="157">
        <f>'[1]Mall, Citadel, Rotana'!L3</f>
        <v>22153</v>
      </c>
      <c r="J18" s="157">
        <f>'[1]Mall, Citadel, Rotana'!L34</f>
        <v>22270</v>
      </c>
      <c r="K18" s="133">
        <f>J18-I18</f>
        <v>117</v>
      </c>
    </row>
    <row r="19" spans="1:11" ht="15.75" thickBot="1" x14ac:dyDescent="0.25">
      <c r="A19" s="134"/>
      <c r="B19" s="140" t="s">
        <v>123</v>
      </c>
      <c r="C19" s="155">
        <v>600</v>
      </c>
      <c r="D19" s="153">
        <f t="shared" si="1"/>
        <v>5471.9999999999991</v>
      </c>
      <c r="E19" s="198" t="s">
        <v>135</v>
      </c>
      <c r="F19" s="199"/>
      <c r="G19" s="134"/>
      <c r="H19" s="156" t="s">
        <v>136</v>
      </c>
      <c r="I19" s="157">
        <f>'[1]Mall, Citadel, Rotana'!P3</f>
        <v>983783</v>
      </c>
      <c r="J19" s="157">
        <f>'[1]Mall, Citadel, Rotana'!P34</f>
        <v>989504</v>
      </c>
      <c r="K19" s="133">
        <f>J19-I19</f>
        <v>5721</v>
      </c>
    </row>
    <row r="20" spans="1:11" ht="13.5" thickBot="1" x14ac:dyDescent="0.25">
      <c r="A20" s="134"/>
      <c r="B20" s="140" t="s">
        <v>125</v>
      </c>
      <c r="C20" s="155">
        <v>600</v>
      </c>
      <c r="D20" s="153">
        <f t="shared" si="1"/>
        <v>5471.9999999999991</v>
      </c>
      <c r="E20" s="154"/>
      <c r="F20" s="134"/>
      <c r="G20" s="134"/>
      <c r="H20" s="156" t="s">
        <v>137</v>
      </c>
      <c r="I20" s="157">
        <f>'[1]Mall, Citadel, Rotana'!R3</f>
        <v>55047</v>
      </c>
      <c r="J20" s="157">
        <f>'[1]Mall, Citadel, Rotana'!R34</f>
        <v>55047</v>
      </c>
      <c r="K20" s="133">
        <f>J20-I20</f>
        <v>0</v>
      </c>
    </row>
    <row r="21" spans="1:11" ht="13.5" thickBot="1" x14ac:dyDescent="0.25">
      <c r="A21" s="134"/>
      <c r="B21" s="140" t="s">
        <v>110</v>
      </c>
      <c r="C21" s="155">
        <v>3000</v>
      </c>
      <c r="D21" s="153">
        <f t="shared" si="1"/>
        <v>27359.999999999996</v>
      </c>
      <c r="E21" s="154"/>
      <c r="F21" s="134"/>
      <c r="G21" s="134"/>
      <c r="H21" s="156" t="s">
        <v>14</v>
      </c>
      <c r="I21" s="157">
        <f>'[1]Mall, Citadel, Rotana'!B3</f>
        <v>41866</v>
      </c>
      <c r="J21" s="157">
        <f>'[1]Mall, Citadel, Rotana'!B34</f>
        <v>41991</v>
      </c>
      <c r="K21" s="133">
        <f>(J21-I21)*120</f>
        <v>15000</v>
      </c>
    </row>
    <row r="22" spans="1:11" ht="13.5" thickBot="1" x14ac:dyDescent="0.25">
      <c r="A22" s="134"/>
      <c r="B22" s="140" t="s">
        <v>138</v>
      </c>
      <c r="C22" s="153">
        <f>C14-(C15+C16+C17+C18+C19+C20+C21)</f>
        <v>20414.7038708</v>
      </c>
      <c r="D22" s="153">
        <f t="shared" si="1"/>
        <v>186182.099301696</v>
      </c>
      <c r="E22" s="154"/>
      <c r="F22" s="134"/>
      <c r="G22" s="134"/>
      <c r="H22" s="156" t="s">
        <v>16</v>
      </c>
      <c r="I22" s="157">
        <f>'[1]Mall, Citadel, Rotana'!D3</f>
        <v>37448</v>
      </c>
      <c r="J22" s="157">
        <f>'[1]Mall, Citadel, Rotana'!D34</f>
        <v>37539</v>
      </c>
      <c r="K22" s="133">
        <f>(J22-I22)*120</f>
        <v>10920</v>
      </c>
    </row>
    <row r="23" spans="1:11" x14ac:dyDescent="0.2">
      <c r="A23" s="134"/>
      <c r="B23" s="134"/>
      <c r="C23" s="149"/>
      <c r="D23" s="158"/>
      <c r="E23" s="154"/>
      <c r="F23" s="134"/>
      <c r="G23" s="134"/>
      <c r="H23" s="156" t="s">
        <v>18</v>
      </c>
      <c r="I23" s="157">
        <f>'[1]Mall, Citadel, Rotana'!F3</f>
        <v>17666</v>
      </c>
      <c r="J23" s="157">
        <f>'[1]Mall, Citadel, Rotana'!F34</f>
        <v>17778</v>
      </c>
      <c r="K23" s="133">
        <f>(J23-I23)*20</f>
        <v>2240</v>
      </c>
    </row>
    <row r="24" spans="1:11" x14ac:dyDescent="0.2">
      <c r="A24" s="134"/>
      <c r="B24" s="138" t="s">
        <v>139</v>
      </c>
      <c r="C24" s="149"/>
      <c r="D24" s="149"/>
      <c r="E24" s="149"/>
      <c r="F24" s="134"/>
      <c r="G24" s="134"/>
      <c r="H24" s="156" t="s">
        <v>19</v>
      </c>
      <c r="I24" s="157">
        <f>'[1]Mall, Citadel, Rotana'!H3</f>
        <v>214979</v>
      </c>
      <c r="J24" s="157">
        <f>'[1]Mall, Citadel, Rotana'!H34</f>
        <v>215279</v>
      </c>
      <c r="K24" s="133">
        <f>J24-I24</f>
        <v>300</v>
      </c>
    </row>
    <row r="25" spans="1:11" ht="13.5" thickBot="1" x14ac:dyDescent="0.25">
      <c r="A25" s="134"/>
      <c r="B25" s="134"/>
      <c r="C25" s="145" t="s">
        <v>131</v>
      </c>
      <c r="D25" s="145" t="s">
        <v>140</v>
      </c>
      <c r="E25" s="145"/>
      <c r="F25" s="134"/>
      <c r="G25" s="134"/>
      <c r="H25" s="156" t="s">
        <v>141</v>
      </c>
      <c r="I25" s="157">
        <f>'[1]Mall, Citadel, Rotana'!N3</f>
        <v>168148</v>
      </c>
      <c r="J25" s="157">
        <f>'[1]Mall, Citadel, Rotana'!N34</f>
        <v>168243</v>
      </c>
      <c r="K25" s="133">
        <f>J25-I25</f>
        <v>95</v>
      </c>
    </row>
    <row r="26" spans="1:11" ht="13.5" thickBot="1" x14ac:dyDescent="0.25">
      <c r="A26" s="134"/>
      <c r="B26" s="140" t="s">
        <v>48</v>
      </c>
      <c r="C26" s="159">
        <f>K35</f>
        <v>88566</v>
      </c>
      <c r="D26" s="144">
        <f>C26*2.25</f>
        <v>199273.5</v>
      </c>
      <c r="E26" s="145"/>
      <c r="F26" s="134"/>
      <c r="G26" s="134"/>
      <c r="H26" s="156" t="s">
        <v>142</v>
      </c>
      <c r="I26" s="157">
        <v>15482</v>
      </c>
      <c r="J26" s="157">
        <v>15619</v>
      </c>
      <c r="K26" s="133">
        <f>(J26-I26)*160</f>
        <v>21920</v>
      </c>
    </row>
    <row r="27" spans="1:11" ht="13.5" thickBot="1" x14ac:dyDescent="0.25">
      <c r="A27" s="134"/>
      <c r="B27" s="135" t="s">
        <v>143</v>
      </c>
      <c r="C27" s="159">
        <f>C26</f>
        <v>88566</v>
      </c>
      <c r="D27" s="144">
        <f>C27*2.25</f>
        <v>199273.5</v>
      </c>
      <c r="E27" s="145"/>
      <c r="F27" s="134"/>
      <c r="G27" s="134"/>
      <c r="H27" s="138"/>
      <c r="I27" s="160"/>
      <c r="J27" s="134"/>
      <c r="K27" s="134"/>
    </row>
    <row r="28" spans="1:11" x14ac:dyDescent="0.2">
      <c r="A28" s="134"/>
      <c r="B28" s="134"/>
      <c r="C28" s="134"/>
      <c r="D28" s="134"/>
      <c r="E28" s="134"/>
      <c r="F28" s="134"/>
      <c r="G28" s="134"/>
      <c r="H28" s="138" t="s">
        <v>130</v>
      </c>
      <c r="I28" s="160"/>
      <c r="J28" s="134"/>
      <c r="K28" s="134"/>
    </row>
    <row r="29" spans="1:11" x14ac:dyDescent="0.2">
      <c r="A29" s="134"/>
      <c r="B29" s="134"/>
      <c r="C29" s="134"/>
      <c r="D29" s="134"/>
      <c r="E29" s="134"/>
      <c r="F29" s="134"/>
      <c r="G29" s="134" t="s">
        <v>13</v>
      </c>
      <c r="H29" s="156" t="s">
        <v>30</v>
      </c>
      <c r="I29" s="157">
        <f>[1]Water!B3</f>
        <v>351660</v>
      </c>
      <c r="J29" s="157">
        <f>[1]Water!B34</f>
        <v>354630</v>
      </c>
      <c r="K29" s="133">
        <f>(J29-I29)*10</f>
        <v>29700</v>
      </c>
    </row>
    <row r="30" spans="1:11" x14ac:dyDescent="0.2">
      <c r="A30" s="134"/>
      <c r="B30" s="134"/>
      <c r="C30" s="134"/>
      <c r="D30" s="134"/>
      <c r="E30" s="134"/>
      <c r="F30" s="134"/>
      <c r="G30" s="134"/>
      <c r="H30" s="156" t="s">
        <v>144</v>
      </c>
      <c r="I30" s="157">
        <f>[1]Water!H3</f>
        <v>609235</v>
      </c>
      <c r="J30" s="157">
        <f>[1]Water!H34</f>
        <v>614813</v>
      </c>
      <c r="K30" s="133">
        <f>(J30-I30)*0.027</f>
        <v>150.60599999999999</v>
      </c>
    </row>
    <row r="31" spans="1:11" x14ac:dyDescent="0.2">
      <c r="A31" s="134"/>
      <c r="B31" s="134"/>
      <c r="C31" s="134"/>
      <c r="D31" s="134"/>
      <c r="E31" s="134"/>
      <c r="F31" s="134"/>
      <c r="G31" s="134"/>
      <c r="H31" s="156" t="s">
        <v>145</v>
      </c>
      <c r="I31" s="157">
        <f>[1]Water!D3</f>
        <v>93796800</v>
      </c>
      <c r="J31" s="157">
        <f>[1]Water!D34</f>
        <v>94395500</v>
      </c>
      <c r="K31" s="133">
        <f>(J31-I31)*0.027</f>
        <v>16164.9</v>
      </c>
    </row>
    <row r="32" spans="1:11" x14ac:dyDescent="0.2">
      <c r="A32" s="134"/>
      <c r="B32" s="134"/>
      <c r="C32" s="134"/>
      <c r="D32" s="134"/>
      <c r="E32" s="134"/>
      <c r="F32" s="134"/>
      <c r="G32" s="134"/>
      <c r="H32" s="156" t="s">
        <v>146</v>
      </c>
      <c r="I32" s="157">
        <f>[1]Water!F3</f>
        <v>93388700</v>
      </c>
      <c r="J32" s="157">
        <f>[1]Water!F34</f>
        <v>93872000</v>
      </c>
      <c r="K32" s="133">
        <f>(J32-I32)*0.027</f>
        <v>13049.1</v>
      </c>
    </row>
    <row r="33" spans="1:11" x14ac:dyDescent="0.2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</row>
    <row r="34" spans="1:11" x14ac:dyDescent="0.2">
      <c r="A34" s="161"/>
      <c r="B34" s="161"/>
      <c r="C34" s="161"/>
      <c r="D34" s="161"/>
      <c r="E34" s="161"/>
      <c r="F34" s="161"/>
      <c r="G34" s="161"/>
      <c r="H34" s="161" t="s">
        <v>139</v>
      </c>
      <c r="I34" s="161"/>
      <c r="J34" s="161"/>
      <c r="K34" s="161"/>
    </row>
    <row r="35" spans="1:11" x14ac:dyDescent="0.2">
      <c r="A35" s="161"/>
      <c r="B35" s="161"/>
      <c r="C35" s="161"/>
      <c r="D35" s="161"/>
      <c r="E35" s="161"/>
      <c r="F35" s="161"/>
      <c r="G35" s="162"/>
      <c r="H35" s="163" t="s">
        <v>48</v>
      </c>
      <c r="I35" s="164">
        <f>[1]Gas!B3</f>
        <v>15455257</v>
      </c>
      <c r="J35" s="164">
        <f>[1]Gas!B34</f>
        <v>15543823</v>
      </c>
      <c r="K35" s="165">
        <f>J35-I35</f>
        <v>88566</v>
      </c>
    </row>
  </sheetData>
  <mergeCells count="2">
    <mergeCell ref="A1:K1"/>
    <mergeCell ref="E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2020-01-31T07:43:50Z</dcterms:modified>
</cp:coreProperties>
</file>