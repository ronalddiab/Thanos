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347" documentId="13_ncr:1_{76C55D63-F869-4AF5-AAA3-3D809A91432B}" xr6:coauthVersionLast="47" xr6:coauthVersionMax="47" xr10:uidLastSave="{58B626DF-E1B5-414A-9A1A-56881DC8DAA4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" i="27" l="1"/>
  <c r="J31" i="27"/>
  <c r="J30" i="27"/>
  <c r="J29" i="27"/>
  <c r="J28" i="27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35" i="28"/>
  <c r="G36" i="28"/>
  <c r="G37" i="28"/>
  <c r="G38" i="28"/>
  <c r="G8" i="28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D34" i="27"/>
  <c r="D35" i="27"/>
  <c r="D36" i="27"/>
  <c r="D37" i="27"/>
  <c r="K32" i="26"/>
  <c r="I32" i="26"/>
  <c r="G32" i="26"/>
  <c r="K37" i="27"/>
  <c r="L37" i="27"/>
  <c r="F37" i="27"/>
  <c r="G37" i="27"/>
  <c r="H37" i="27"/>
  <c r="I37" i="27"/>
  <c r="C37" i="27"/>
  <c r="E32" i="26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D33" i="27" s="1"/>
  <c r="K32" i="27"/>
  <c r="F32" i="27"/>
  <c r="C32" i="27"/>
  <c r="D32" i="27" s="1"/>
  <c r="K31" i="27"/>
  <c r="G26" i="26" s="1"/>
  <c r="F31" i="27"/>
  <c r="C31" i="27"/>
  <c r="D31" i="27" s="1"/>
  <c r="K30" i="27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F8" i="27"/>
  <c r="C8" i="27"/>
  <c r="D8" i="27" s="1"/>
  <c r="F7" i="27"/>
  <c r="C7" i="27"/>
  <c r="D7" i="27" s="1"/>
  <c r="J6" i="27"/>
  <c r="K6" i="27" s="1"/>
  <c r="L6" i="27" s="1"/>
  <c r="F6" i="27"/>
  <c r="G6" i="27" s="1"/>
  <c r="C6" i="27"/>
  <c r="D6" i="27" s="1"/>
  <c r="I2" i="26" l="1"/>
  <c r="H7" i="27"/>
  <c r="K2" i="26"/>
  <c r="I3" i="26"/>
  <c r="G8" i="27"/>
  <c r="K3" i="26"/>
  <c r="H8" i="27"/>
  <c r="K7" i="27"/>
  <c r="I4" i="26"/>
  <c r="H9" i="27"/>
  <c r="K4" i="26"/>
  <c r="G9" i="27"/>
  <c r="L9" i="27"/>
  <c r="G4" i="26"/>
  <c r="I5" i="26"/>
  <c r="G10" i="27"/>
  <c r="K5" i="26"/>
  <c r="H10" i="27"/>
  <c r="L10" i="27"/>
  <c r="G5" i="26"/>
  <c r="I6" i="26"/>
  <c r="K6" i="26"/>
  <c r="H11" i="27"/>
  <c r="G11" i="27"/>
  <c r="I11" i="27" s="1"/>
  <c r="L11" i="27"/>
  <c r="G6" i="26"/>
  <c r="I7" i="26"/>
  <c r="H12" i="27"/>
  <c r="K7" i="26"/>
  <c r="L12" i="27"/>
  <c r="G7" i="26"/>
  <c r="I8" i="26"/>
  <c r="K8" i="26"/>
  <c r="H13" i="27"/>
  <c r="G13" i="27"/>
  <c r="I13" i="27" s="1"/>
  <c r="L13" i="27"/>
  <c r="G8" i="26"/>
  <c r="I9" i="26"/>
  <c r="G14" i="27"/>
  <c r="K9" i="26"/>
  <c r="L14" i="27"/>
  <c r="G9" i="26"/>
  <c r="I10" i="26"/>
  <c r="H15" i="27"/>
  <c r="K10" i="26"/>
  <c r="L15" i="27"/>
  <c r="G10" i="26"/>
  <c r="I11" i="26"/>
  <c r="G16" i="27"/>
  <c r="K11" i="26"/>
  <c r="H16" i="27"/>
  <c r="L16" i="27"/>
  <c r="G11" i="26"/>
  <c r="I12" i="26"/>
  <c r="H17" i="27"/>
  <c r="K12" i="26"/>
  <c r="G17" i="27"/>
  <c r="L17" i="27"/>
  <c r="G12" i="26"/>
  <c r="I13" i="26"/>
  <c r="G18" i="27"/>
  <c r="K13" i="26"/>
  <c r="H18" i="27"/>
  <c r="L18" i="27"/>
  <c r="G13" i="26"/>
  <c r="I14" i="26"/>
  <c r="K14" i="26"/>
  <c r="H19" i="27"/>
  <c r="G19" i="27"/>
  <c r="I19" i="27" s="1"/>
  <c r="L19" i="27"/>
  <c r="G14" i="26"/>
  <c r="I15" i="26"/>
  <c r="H20" i="27"/>
  <c r="K15" i="26"/>
  <c r="L20" i="27"/>
  <c r="G15" i="26"/>
  <c r="I16" i="26"/>
  <c r="K16" i="26"/>
  <c r="H21" i="27"/>
  <c r="G21" i="27"/>
  <c r="I21" i="27" s="1"/>
  <c r="L21" i="27"/>
  <c r="G16" i="26"/>
  <c r="I17" i="26"/>
  <c r="H22" i="27"/>
  <c r="K17" i="26"/>
  <c r="L22" i="27"/>
  <c r="G17" i="26"/>
  <c r="I18" i="26"/>
  <c r="H23" i="27"/>
  <c r="K18" i="26"/>
  <c r="L23" i="27"/>
  <c r="G18" i="26"/>
  <c r="I19" i="26"/>
  <c r="H24" i="27"/>
  <c r="K19" i="26"/>
  <c r="L24" i="27"/>
  <c r="G19" i="26"/>
  <c r="I20" i="26"/>
  <c r="H25" i="27"/>
  <c r="K20" i="26"/>
  <c r="L25" i="27"/>
  <c r="G20" i="26"/>
  <c r="I21" i="26"/>
  <c r="H26" i="27"/>
  <c r="K21" i="26"/>
  <c r="L26" i="27"/>
  <c r="G21" i="26"/>
  <c r="I22" i="26"/>
  <c r="H27" i="27"/>
  <c r="K22" i="26"/>
  <c r="L27" i="27"/>
  <c r="G22" i="26"/>
  <c r="I23" i="26"/>
  <c r="H28" i="27"/>
  <c r="K23" i="26"/>
  <c r="L28" i="27"/>
  <c r="G23" i="26"/>
  <c r="I24" i="26"/>
  <c r="H29" i="27"/>
  <c r="K24" i="26"/>
  <c r="L29" i="27"/>
  <c r="G24" i="26"/>
  <c r="I25" i="26"/>
  <c r="H30" i="27"/>
  <c r="K25" i="26"/>
  <c r="L30" i="27"/>
  <c r="G25" i="26"/>
  <c r="I26" i="26"/>
  <c r="H31" i="27"/>
  <c r="K26" i="26"/>
  <c r="L31" i="27"/>
  <c r="I27" i="26"/>
  <c r="H32" i="27"/>
  <c r="K27" i="26"/>
  <c r="L32" i="27"/>
  <c r="G27" i="26"/>
  <c r="I28" i="26"/>
  <c r="H33" i="27"/>
  <c r="K28" i="26"/>
  <c r="L33" i="27"/>
  <c r="G28" i="26"/>
  <c r="I29" i="26"/>
  <c r="H34" i="27"/>
  <c r="K29" i="26"/>
  <c r="L34" i="27"/>
  <c r="G29" i="26"/>
  <c r="I30" i="26"/>
  <c r="H35" i="27"/>
  <c r="K30" i="26"/>
  <c r="L35" i="27"/>
  <c r="G30" i="26"/>
  <c r="I31" i="26"/>
  <c r="H36" i="27"/>
  <c r="K31" i="26"/>
  <c r="L36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<sst xmlns="http://schemas.openxmlformats.org/spreadsheetml/2006/main" count="72" uniqueCount="33">
  <si>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</si>
  <si>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</si>
  <si>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</si>
  <si>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</si>
  <si>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</si>
  <si>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</si>
  <si>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</si>
  <si>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</si>
  <si>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</si>
  <si>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</si>
  <si>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</si>
  <si>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</si>
  <si>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</si>
  <si>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</si>
  <si>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</si>
  <si>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December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</si>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</sst>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4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55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164" fontId="10" fillId="4" borderId="59" xfId="6" applyNumberFormat="1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0" borderId="61" xfId="6" applyNumberFormat="1" applyFont="1" applyBorder="1" applyAlignment="1">
      <alignment horizontal="center" vertical="center"/>
    </xf>
    <xf numFmtId="0" fontId="10" fillId="2" borderId="59" xfId="6" applyFont="1" applyFill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0" xfId="6" applyNumberFormat="1" applyFont="1" applyBorder="1" applyAlignment="1">
      <alignment horizontal="center" vertical="center"/>
    </xf>
    <xf numFmtId="0" fontId="14" fillId="0" borderId="0" xfId="0" applyFont="1"/>
    <xf numFmtId="164" fontId="10" fillId="0" borderId="55" xfId="0" applyNumberFormat="1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3" fillId="0" borderId="74" xfId="6" applyFont="1" applyBorder="1" applyAlignment="1">
      <alignment horizontal="center" vertical="center"/>
    </xf>
    <xf numFmtId="0" fontId="10" fillId="0" borderId="75" xfId="6" applyFont="1" applyBorder="1"/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164" fontId="10" fillId="0" borderId="8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2" fontId="10" fillId="0" borderId="56" xfId="6" applyNumberFormat="1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0" fontId="12" fillId="0" borderId="70" xfId="6" applyFont="1" applyBorder="1" applyAlignment="1">
      <alignment horizontal="center" vertical="center"/>
    </xf>
    <xf numFmtId="0" fontId="12" fillId="0" borderId="73" xfId="6" applyFont="1" applyBorder="1" applyAlignment="1">
      <alignment horizontal="center" vertical="center"/>
    </xf>
    <xf numFmtId="0" fontId="13" fillId="0" borderId="69" xfId="6" applyFont="1" applyBorder="1" applyAlignment="1">
      <alignment horizontal="center" vertical="center"/>
    </xf>
    <xf numFmtId="0" fontId="13" fillId="0" borderId="71" xfId="6" applyFont="1" applyBorder="1" applyAlignment="1">
      <alignment horizontal="center" vertical="center"/>
    </xf>
    <xf numFmtId="0" fontId="13" fillId="0" borderId="72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J32" sqref="J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2021</v>
      </c>
      <c r="E2" s="11">
        <f>IF(Electricity!F8&lt;0,0,Electricity!F8)</f>
        <v>20895.000000000437</v>
      </c>
      <c r="F2" s="14">
        <v>0.08</v>
      </c>
      <c r="G2" s="11">
        <f>IF('Water, Gas, Diesel'!K7&lt;0,0,'Water, Gas, Diesel'!K7)</f>
        <v>0</v>
      </c>
      <c r="H2" s="96">
        <v>0.58489999999999998</v>
      </c>
      <c r="I2" s="11">
        <f>IF('Water, Gas, Diesel'!C7&lt;0,0,'Water, Gas, Diesel'!C7)</f>
        <v>4070</v>
      </c>
      <c r="J2" s="96">
        <v>0.21186441</v>
      </c>
      <c r="K2" s="11">
        <f>IF('Water, Gas, Diesel'!F7&lt;0,0,'Water, Gas, Diesel'!F7)</f>
        <v>200</v>
      </c>
      <c r="L2" s="96">
        <v>1.6949000000000001</v>
      </c>
      <c r="M2" s="11">
        <f>Electricity!H8</f>
        <v>86</v>
      </c>
      <c r="O2" s="119"/>
    </row>
    <row r="3" spans="1:15">
      <c r="A3" s="8" t="s">
        <v>13</v>
      </c>
      <c r="B3" s="9">
        <f>B2+1</f>
        <v>2</v>
      </c>
      <c r="C3" s="9">
        <v>12</v>
      </c>
      <c r="D3" s="10">
        <v>2021</v>
      </c>
      <c r="E3" s="11">
        <f>IF(Electricity!F9&lt;0,0,Electricity!F9)</f>
        <v>19877.499999993233</v>
      </c>
      <c r="F3" s="14">
        <v>0.08</v>
      </c>
      <c r="G3" s="11">
        <f>IF('Water, Gas, Diesel'!K8&lt;0,0,'Water, Gas, Diesel'!K8)</f>
        <v>0</v>
      </c>
      <c r="H3" s="96">
        <v>0.58489999999999998</v>
      </c>
      <c r="I3" s="11">
        <f>IF('Water, Gas, Diesel'!C8&lt;0,0,'Water, Gas, Diesel'!C8)</f>
        <v>3690</v>
      </c>
      <c r="J3" s="96">
        <v>0.21186441</v>
      </c>
      <c r="K3" s="11">
        <f>IF('Water, Gas, Diesel'!F8&lt;0,0,'Water, Gas, Diesel'!F8)</f>
        <v>207</v>
      </c>
      <c r="L3" s="96">
        <v>1.6949000000000001</v>
      </c>
      <c r="M3" s="11">
        <f>Electricity!H9</f>
        <v>103</v>
      </c>
    </row>
    <row r="4" spans="1:15">
      <c r="A4" s="8" t="s">
        <v>13</v>
      </c>
      <c r="B4" s="9">
        <f t="shared" ref="B4:B31" si="0">B3+1</f>
        <v>3</v>
      </c>
      <c r="C4" s="9">
        <v>12</v>
      </c>
      <c r="D4" s="10">
        <v>2021</v>
      </c>
      <c r="E4" s="11">
        <f>IF(Electricity!F10&lt;0,0,Electricity!F10)</f>
        <v>18782.500000002074</v>
      </c>
      <c r="F4" s="14">
        <v>0.08</v>
      </c>
      <c r="G4" s="11">
        <f>IF('Water, Gas, Diesel'!K9&lt;0,0,'Water, Gas, Diesel'!K9)</f>
        <v>0</v>
      </c>
      <c r="H4" s="96">
        <v>0.58489999999999998</v>
      </c>
      <c r="I4" s="11">
        <f>IF('Water, Gas, Diesel'!C9&lt;0,0,'Water, Gas, Diesel'!C9)</f>
        <v>2973</v>
      </c>
      <c r="J4" s="96">
        <v>0.21186441</v>
      </c>
      <c r="K4" s="11">
        <f>IF('Water, Gas, Diesel'!F9&lt;0,0,'Water, Gas, Diesel'!F9)</f>
        <v>215</v>
      </c>
      <c r="L4" s="96">
        <v>1.6949000000000001</v>
      </c>
      <c r="M4" s="11">
        <f>Electricity!H10</f>
        <v>61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2021</v>
      </c>
      <c r="E5" s="11">
        <f>IF(Electricity!F11&lt;0,0,Electricity!F11)</f>
        <v>17285.000000001673</v>
      </c>
      <c r="F5" s="14">
        <v>0.08</v>
      </c>
      <c r="G5" s="11">
        <f>IF('Water, Gas, Diesel'!K10&lt;0,0,'Water, Gas, Diesel'!K10)</f>
        <v>0</v>
      </c>
      <c r="H5" s="96">
        <v>0.58489999999999998</v>
      </c>
      <c r="I5" s="11">
        <f>IF('Water, Gas, Diesel'!C10&lt;0,0,'Water, Gas, Diesel'!C10)</f>
        <v>2851</v>
      </c>
      <c r="J5" s="96">
        <v>0.21186441</v>
      </c>
      <c r="K5" s="11">
        <f>IF('Water, Gas, Diesel'!F10&lt;0,0,'Water, Gas, Diesel'!F10)</f>
        <v>177</v>
      </c>
      <c r="L5" s="96">
        <v>1.6949000000000001</v>
      </c>
      <c r="M5" s="11">
        <f>Electricity!H11</f>
        <v>42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2021</v>
      </c>
      <c r="E6" s="11">
        <f>IF(Electricity!F12&lt;0,0,Electricity!F12)</f>
        <v>18265.000000001237</v>
      </c>
      <c r="F6" s="14">
        <v>0.08</v>
      </c>
      <c r="G6" s="11">
        <f>IF('Water, Gas, Diesel'!K11&lt;0,0,'Water, Gas, Diesel'!K11)</f>
        <v>0</v>
      </c>
      <c r="H6" s="96">
        <v>0.58489999999999998</v>
      </c>
      <c r="I6" s="11">
        <f>IF('Water, Gas, Diesel'!C11&lt;0,0,'Water, Gas, Diesel'!C11)</f>
        <v>3029</v>
      </c>
      <c r="J6" s="96">
        <v>0.21186441</v>
      </c>
      <c r="K6" s="11">
        <f>IF('Water, Gas, Diesel'!F11&lt;0,0,'Water, Gas, Diesel'!F11)</f>
        <v>150</v>
      </c>
      <c r="L6" s="96">
        <v>1.6949000000000001</v>
      </c>
      <c r="M6" s="11">
        <f>Electricity!H12</f>
        <v>48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2021</v>
      </c>
      <c r="E7" s="11">
        <f>IF(Electricity!F13&lt;0,0,Electricity!F13)</f>
        <v>18867.499999996653</v>
      </c>
      <c r="F7" s="14">
        <v>0.08</v>
      </c>
      <c r="G7" s="11">
        <f>IF('Water, Gas, Diesel'!K12&lt;0,0,'Water, Gas, Diesel'!K12)</f>
        <v>0</v>
      </c>
      <c r="H7" s="96">
        <v>0.58489999999999998</v>
      </c>
      <c r="I7" s="11">
        <f>IF('Water, Gas, Diesel'!C12&lt;0,0,'Water, Gas, Diesel'!C12)</f>
        <v>3330</v>
      </c>
      <c r="J7" s="96">
        <v>0.21186441</v>
      </c>
      <c r="K7" s="11">
        <f>IF('Water, Gas, Diesel'!F12&lt;0,0,'Water, Gas, Diesel'!F12)</f>
        <v>184</v>
      </c>
      <c r="L7" s="96">
        <v>1.6949000000000001</v>
      </c>
      <c r="M7" s="11">
        <f>Electricity!H13</f>
        <v>39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2021</v>
      </c>
      <c r="E8" s="11">
        <f>IF(Electricity!F14&lt;0,0,Electricity!F14)</f>
        <v>18187.500000003638</v>
      </c>
      <c r="F8" s="14">
        <v>0.08</v>
      </c>
      <c r="G8" s="11">
        <f>IF('Water, Gas, Diesel'!K13&lt;0,0,'Water, Gas, Diesel'!K13)</f>
        <v>0</v>
      </c>
      <c r="H8" s="96">
        <v>0.58489999999999998</v>
      </c>
      <c r="I8" s="11">
        <f>IF('Water, Gas, Diesel'!C13&lt;0,0,'Water, Gas, Diesel'!C13)</f>
        <v>3152</v>
      </c>
      <c r="J8" s="96">
        <v>0.21186441</v>
      </c>
      <c r="K8" s="11">
        <f>IF('Water, Gas, Diesel'!F13&lt;0,0,'Water, Gas, Diesel'!F13)</f>
        <v>181</v>
      </c>
      <c r="L8" s="96">
        <v>1.6949000000000001</v>
      </c>
      <c r="M8" s="11">
        <f>Electricity!H14</f>
        <v>31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2021</v>
      </c>
      <c r="E9" s="11">
        <f>IF(Electricity!F15&lt;0,0,Electricity!F15)</f>
        <v>20585.000000000946</v>
      </c>
      <c r="F9" s="14">
        <v>0.08</v>
      </c>
      <c r="G9" s="11">
        <f>IF('Water, Gas, Diesel'!K14&lt;0,0,'Water, Gas, Diesel'!K14)</f>
        <v>0</v>
      </c>
      <c r="H9" s="96">
        <v>0.58489999999999998</v>
      </c>
      <c r="I9" s="11">
        <f>IF('Water, Gas, Diesel'!C14&lt;0,0,'Water, Gas, Diesel'!C14)</f>
        <v>3211</v>
      </c>
      <c r="J9" s="96">
        <v>0.21186441</v>
      </c>
      <c r="K9" s="11">
        <f>IF('Water, Gas, Diesel'!F14&lt;0,0,'Water, Gas, Diesel'!F14)</f>
        <v>166</v>
      </c>
      <c r="L9" s="96">
        <v>1.6949000000000001</v>
      </c>
      <c r="M9" s="11">
        <f>Electricity!H15</f>
        <v>39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2021</v>
      </c>
      <c r="E10" s="11">
        <f>IF(Electricity!F16&lt;0,0,Electricity!F16)</f>
        <v>19914.999999996326</v>
      </c>
      <c r="F10" s="14">
        <v>0.08</v>
      </c>
      <c r="G10" s="11">
        <f>IF('Water, Gas, Diesel'!K15&lt;0,0,'Water, Gas, Diesel'!K15)</f>
        <v>0</v>
      </c>
      <c r="H10" s="96">
        <v>0.58489999999999998</v>
      </c>
      <c r="I10" s="11">
        <f>IF('Water, Gas, Diesel'!C15&lt;0,0,'Water, Gas, Diesel'!C15)</f>
        <v>3487</v>
      </c>
      <c r="J10" s="96">
        <v>0.21186441</v>
      </c>
      <c r="K10" s="11">
        <f>IF('Water, Gas, Diesel'!F15&lt;0,0,'Water, Gas, Diesel'!F15)</f>
        <v>162</v>
      </c>
      <c r="L10" s="96">
        <v>1.6949000000000001</v>
      </c>
      <c r="M10" s="11">
        <f>Electricity!H16</f>
        <v>45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2021</v>
      </c>
      <c r="E11" s="11">
        <f>IF(Electricity!F17&lt;0,0,Electricity!F17)</f>
        <v>18587.500000003274</v>
      </c>
      <c r="F11" s="14">
        <v>0.08</v>
      </c>
      <c r="G11" s="11">
        <f>IF('Water, Gas, Diesel'!K16&lt;0,0,'Water, Gas, Diesel'!K16)</f>
        <v>0</v>
      </c>
      <c r="H11" s="96">
        <v>0.58489999999999998</v>
      </c>
      <c r="I11" s="11">
        <f>IF('Water, Gas, Diesel'!C16&lt;0,0,'Water, Gas, Diesel'!C16)</f>
        <v>3134</v>
      </c>
      <c r="J11" s="96">
        <v>0.21186441</v>
      </c>
      <c r="K11" s="11">
        <f>IF('Water, Gas, Diesel'!F16&lt;0,0,'Water, Gas, Diesel'!F16)</f>
        <v>168</v>
      </c>
      <c r="L11" s="96">
        <v>1.6949000000000001</v>
      </c>
      <c r="M11" s="11">
        <f>Electricity!H17</f>
        <v>53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2021</v>
      </c>
      <c r="E12" s="11">
        <f>IF(Electricity!F18&lt;0,0,Electricity!F18)</f>
        <v>17104.999999996835</v>
      </c>
      <c r="F12" s="14">
        <v>0.08</v>
      </c>
      <c r="G12" s="11">
        <f>IF('Water, Gas, Diesel'!K17&lt;0,0,'Water, Gas, Diesel'!K17)</f>
        <v>0</v>
      </c>
      <c r="H12" s="96">
        <v>0.58489999999999998</v>
      </c>
      <c r="I12" s="11">
        <f>IF('Water, Gas, Diesel'!C17&lt;0,0,'Water, Gas, Diesel'!C17)</f>
        <v>2624</v>
      </c>
      <c r="J12" s="96">
        <v>0.21186441</v>
      </c>
      <c r="K12" s="11">
        <f>IF('Water, Gas, Diesel'!F17&lt;0,0,'Water, Gas, Diesel'!F17)</f>
        <v>165</v>
      </c>
      <c r="L12" s="96">
        <v>1.6949000000000001</v>
      </c>
      <c r="M12" s="11">
        <f>Electricity!H18</f>
        <v>47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2021</v>
      </c>
      <c r="E13" s="11">
        <f>IF(Electricity!F19&lt;0,0,Electricity!F19)</f>
        <v>14402.500000001055</v>
      </c>
      <c r="F13" s="14">
        <v>0.08</v>
      </c>
      <c r="G13" s="11">
        <f>IF('Water, Gas, Diesel'!K18&lt;0,0,'Water, Gas, Diesel'!K18)</f>
        <v>0</v>
      </c>
      <c r="H13" s="96">
        <v>0.58489999999999998</v>
      </c>
      <c r="I13" s="11">
        <f>IF('Water, Gas, Diesel'!C18&lt;0,0,'Water, Gas, Diesel'!C18)</f>
        <v>2377</v>
      </c>
      <c r="J13" s="96">
        <v>0.21186441</v>
      </c>
      <c r="K13" s="11">
        <f>IF('Water, Gas, Diesel'!F18&lt;0,0,'Water, Gas, Diesel'!F18)</f>
        <v>136</v>
      </c>
      <c r="L13" s="96">
        <v>1.6949000000000001</v>
      </c>
      <c r="M13" s="11">
        <f>Electricity!H19</f>
        <v>49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2021</v>
      </c>
      <c r="E14" s="11">
        <f>IF(Electricity!F20&lt;0,0,Electricity!F20)</f>
        <v>19102.500000003602</v>
      </c>
      <c r="F14" s="14">
        <v>0.08</v>
      </c>
      <c r="G14" s="11">
        <f>IF('Water, Gas, Diesel'!K19&lt;0,0,'Water, Gas, Diesel'!K19)</f>
        <v>0</v>
      </c>
      <c r="H14" s="96">
        <v>0.58489999999999998</v>
      </c>
      <c r="I14" s="11">
        <f>IF('Water, Gas, Diesel'!C19&lt;0,0,'Water, Gas, Diesel'!C19)</f>
        <v>3033</v>
      </c>
      <c r="J14" s="96">
        <v>0.21186441</v>
      </c>
      <c r="K14" s="11">
        <f>IF('Water, Gas, Diesel'!F19&lt;0,0,'Water, Gas, Diesel'!F19)</f>
        <v>207</v>
      </c>
      <c r="L14" s="96">
        <v>1.6949000000000001</v>
      </c>
      <c r="M14" s="11">
        <f>Electricity!H20</f>
        <v>44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2021</v>
      </c>
      <c r="E15" s="11">
        <f>IF(Electricity!F21&lt;0,0,Electricity!F21)</f>
        <v>18319.999999994252</v>
      </c>
      <c r="F15" s="14">
        <v>0.08</v>
      </c>
      <c r="G15" s="11">
        <f>IF('Water, Gas, Diesel'!K20&lt;0,0,'Water, Gas, Diesel'!K20)</f>
        <v>0</v>
      </c>
      <c r="H15" s="96">
        <v>0.58489999999999998</v>
      </c>
      <c r="I15" s="11">
        <f>IF('Water, Gas, Diesel'!C20&lt;0,0,'Water, Gas, Diesel'!C20)</f>
        <v>3104</v>
      </c>
      <c r="J15" s="96">
        <v>0.21186441</v>
      </c>
      <c r="K15" s="11">
        <f>IF('Water, Gas, Diesel'!F20&lt;0,0,'Water, Gas, Diesel'!F20)</f>
        <v>129</v>
      </c>
      <c r="L15" s="96">
        <v>1.6949000000000001</v>
      </c>
      <c r="M15" s="11">
        <f>Electricity!H21</f>
        <v>68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2021</v>
      </c>
      <c r="E16" s="11">
        <f>IF(Electricity!F22&lt;0,0,Electricity!F22)</f>
        <v>19710.000000000036</v>
      </c>
      <c r="F16" s="14">
        <v>0.08</v>
      </c>
      <c r="G16" s="11">
        <f>IF('Water, Gas, Diesel'!K21&lt;0,0,'Water, Gas, Diesel'!K21)</f>
        <v>0</v>
      </c>
      <c r="H16" s="96">
        <v>0.58489999999999998</v>
      </c>
      <c r="I16" s="11">
        <f>IF('Water, Gas, Diesel'!C21&lt;0,0,'Water, Gas, Diesel'!C21)</f>
        <v>4050</v>
      </c>
      <c r="J16" s="96">
        <v>0.21186441</v>
      </c>
      <c r="K16" s="11">
        <f>IF('Water, Gas, Diesel'!F21&lt;0,0,'Water, Gas, Diesel'!F21)</f>
        <v>236</v>
      </c>
      <c r="L16" s="96">
        <v>1.6949000000000001</v>
      </c>
      <c r="M16" s="11">
        <f>Electricity!H22</f>
        <v>106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2021</v>
      </c>
      <c r="E17" s="11">
        <f>IF(Electricity!F23&lt;0,0,Electricity!F23)</f>
        <v>19122.500000003129</v>
      </c>
      <c r="F17" s="14">
        <v>0.08</v>
      </c>
      <c r="G17" s="11">
        <f>IF('Water, Gas, Diesel'!K22&lt;0,0,'Water, Gas, Diesel'!K22)</f>
        <v>0</v>
      </c>
      <c r="H17" s="96">
        <v>0.58489999999999998</v>
      </c>
      <c r="I17" s="11">
        <f>IF('Water, Gas, Diesel'!C22&lt;0,0,'Water, Gas, Diesel'!C22)</f>
        <v>2350</v>
      </c>
      <c r="J17" s="96">
        <v>0.21186441</v>
      </c>
      <c r="K17" s="11">
        <f>IF('Water, Gas, Diesel'!F22&lt;0,0,'Water, Gas, Diesel'!F22)</f>
        <v>175</v>
      </c>
      <c r="L17" s="96">
        <v>1.6949000000000001</v>
      </c>
      <c r="M17" s="11">
        <f>Electricity!H23</f>
        <v>121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2021</v>
      </c>
      <c r="E18" s="11">
        <f>IF(Electricity!F24&lt;0,0,Electricity!F24)</f>
        <v>18927.499999999782</v>
      </c>
      <c r="F18" s="14">
        <v>0.08</v>
      </c>
      <c r="G18" s="11">
        <f>IF('Water, Gas, Diesel'!K23&lt;0,0,'Water, Gas, Diesel'!K23)</f>
        <v>0</v>
      </c>
      <c r="H18" s="96">
        <v>0.58489999999999998</v>
      </c>
      <c r="I18" s="11">
        <f>IF('Water, Gas, Diesel'!C23&lt;0,0,'Water, Gas, Diesel'!C23)</f>
        <v>3203</v>
      </c>
      <c r="J18" s="96">
        <v>0.21186441</v>
      </c>
      <c r="K18" s="11">
        <f>IF('Water, Gas, Diesel'!F23&lt;0,0,'Water, Gas, Diesel'!F23)</f>
        <v>182</v>
      </c>
      <c r="L18" s="96">
        <v>1.6949000000000001</v>
      </c>
      <c r="M18" s="11">
        <f>Electricity!H24</f>
        <v>85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2021</v>
      </c>
      <c r="E19" s="11">
        <f>IF(Electricity!F25&lt;0,0,Electricity!F25)</f>
        <v>17887.500000001637</v>
      </c>
      <c r="F19" s="14">
        <v>0.08</v>
      </c>
      <c r="G19" s="11">
        <f>IF('Water, Gas, Diesel'!K24&lt;0,0,'Water, Gas, Diesel'!K24)</f>
        <v>0</v>
      </c>
      <c r="H19" s="96">
        <v>0.58489999999999998</v>
      </c>
      <c r="I19" s="11">
        <f>IF('Water, Gas, Diesel'!C24&lt;0,0,'Water, Gas, Diesel'!C24)</f>
        <v>3013</v>
      </c>
      <c r="J19" s="96">
        <v>0.21186441</v>
      </c>
      <c r="K19" s="11">
        <f>IF('Water, Gas, Diesel'!F24&lt;0,0,'Water, Gas, Diesel'!F24)</f>
        <v>171</v>
      </c>
      <c r="L19" s="96">
        <v>1.6949000000000001</v>
      </c>
      <c r="M19" s="11">
        <f>Electricity!H25</f>
        <v>67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2021</v>
      </c>
      <c r="E20" s="11">
        <f>IF(Electricity!F26&lt;0,0,Electricity!F26)</f>
        <v>18527.499999995598</v>
      </c>
      <c r="F20" s="14">
        <v>0.08</v>
      </c>
      <c r="G20" s="11">
        <f>IF('Water, Gas, Diesel'!K25&lt;0,0,'Water, Gas, Diesel'!K25)</f>
        <v>0</v>
      </c>
      <c r="H20" s="96">
        <v>0.58489999999999998</v>
      </c>
      <c r="I20" s="11">
        <f>IF('Water, Gas, Diesel'!C25&lt;0,0,'Water, Gas, Diesel'!C25)</f>
        <v>3321</v>
      </c>
      <c r="J20" s="96">
        <v>0.21186441</v>
      </c>
      <c r="K20" s="11">
        <f>IF('Water, Gas, Diesel'!F25&lt;0,0,'Water, Gas, Diesel'!F25)</f>
        <v>159</v>
      </c>
      <c r="L20" s="96">
        <v>1.6949000000000001</v>
      </c>
      <c r="M20" s="11">
        <f>Electricity!H26</f>
        <v>65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2021</v>
      </c>
      <c r="E21" s="11">
        <f>IF(Electricity!F27&lt;0,0,Electricity!F27)</f>
        <v>20239.999999998872</v>
      </c>
      <c r="F21" s="14">
        <v>0.08</v>
      </c>
      <c r="G21" s="11">
        <f>IF('Water, Gas, Diesel'!K26&lt;0,0,'Water, Gas, Diesel'!K26)</f>
        <v>0</v>
      </c>
      <c r="H21" s="96">
        <v>0.58489999999999998</v>
      </c>
      <c r="I21" s="11">
        <f>IF('Water, Gas, Diesel'!C26&lt;0,0,'Water, Gas, Diesel'!C26)</f>
        <v>3820</v>
      </c>
      <c r="J21" s="96">
        <v>0.21186441</v>
      </c>
      <c r="K21" s="11">
        <f>IF('Water, Gas, Diesel'!F26&lt;0,0,'Water, Gas, Diesel'!F26)</f>
        <v>193</v>
      </c>
      <c r="L21" s="96">
        <v>1.6949000000000001</v>
      </c>
      <c r="M21" s="11">
        <f>Electricity!H27</f>
        <v>78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2021</v>
      </c>
      <c r="E22" s="11">
        <f>IF(Electricity!F28&lt;0,0,Electricity!F28)</f>
        <v>20347.500000002583</v>
      </c>
      <c r="F22" s="14">
        <v>0.08</v>
      </c>
      <c r="G22" s="11">
        <f>IF('Water, Gas, Diesel'!K27&lt;0,0,'Water, Gas, Diesel'!K27)</f>
        <v>0</v>
      </c>
      <c r="H22" s="96">
        <v>0.58489999999999998</v>
      </c>
      <c r="I22" s="11">
        <f>IF('Water, Gas, Diesel'!C27&lt;0,0,'Water, Gas, Diesel'!C27)</f>
        <v>4260</v>
      </c>
      <c r="J22" s="96">
        <v>0.21186441</v>
      </c>
      <c r="K22" s="11">
        <f>IF('Water, Gas, Diesel'!F27&lt;0,0,'Water, Gas, Diesel'!F27)</f>
        <v>171</v>
      </c>
      <c r="L22" s="96">
        <v>1.6949000000000001</v>
      </c>
      <c r="M22" s="11">
        <f>Electricity!H28</f>
        <v>99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2021</v>
      </c>
      <c r="E23" s="11">
        <f>IF(Electricity!F29&lt;0,0,Electricity!F29)</f>
        <v>19422.500000000582</v>
      </c>
      <c r="F23" s="14">
        <v>0.08</v>
      </c>
      <c r="G23" s="11">
        <f>IF('Water, Gas, Diesel'!K28&lt;0,0,'Water, Gas, Diesel'!K28)</f>
        <v>0</v>
      </c>
      <c r="H23" s="96">
        <v>0.58489999999999998</v>
      </c>
      <c r="I23" s="11">
        <f>IF('Water, Gas, Diesel'!C28&lt;0,0,'Water, Gas, Diesel'!C28)</f>
        <v>4038</v>
      </c>
      <c r="J23" s="96">
        <v>0.21186441</v>
      </c>
      <c r="K23" s="11">
        <f>IF('Water, Gas, Diesel'!F28&lt;0,0,'Water, Gas, Diesel'!F28)</f>
        <v>191</v>
      </c>
      <c r="L23" s="96">
        <v>1.6949000000000001</v>
      </c>
      <c r="M23" s="11">
        <f>Electricity!H29</f>
        <v>120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2021</v>
      </c>
      <c r="E24" s="11">
        <f>IF(Electricity!F30&lt;0,0,Electricity!F30)</f>
        <v>19517.500000001746</v>
      </c>
      <c r="F24" s="14">
        <v>0.08</v>
      </c>
      <c r="G24" s="11">
        <f>IF('Water, Gas, Diesel'!K29&lt;0,0,'Water, Gas, Diesel'!K29)</f>
        <v>0</v>
      </c>
      <c r="H24" s="96">
        <v>0.58489999999999998</v>
      </c>
      <c r="I24" s="11">
        <f>IF('Water, Gas, Diesel'!C29&lt;0,0,'Water, Gas, Diesel'!C29)</f>
        <v>3834</v>
      </c>
      <c r="J24" s="96">
        <v>0.21186441</v>
      </c>
      <c r="K24" s="11">
        <f>IF('Water, Gas, Diesel'!F29&lt;0,0,'Water, Gas, Diesel'!F29)</f>
        <v>185</v>
      </c>
      <c r="L24" s="96">
        <v>1.6949000000000001</v>
      </c>
      <c r="M24" s="11">
        <f>Electricity!H30</f>
        <v>85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2021</v>
      </c>
      <c r="E25" s="11">
        <f>IF(Electricity!F31&lt;0,0,Electricity!F31)</f>
        <v>17807.499999998981</v>
      </c>
      <c r="F25" s="14">
        <v>0.08</v>
      </c>
      <c r="G25" s="11">
        <f>IF('Water, Gas, Diesel'!K30&lt;0,0,'Water, Gas, Diesel'!K30)</f>
        <v>0</v>
      </c>
      <c r="H25" s="96">
        <v>0.58489999999999998</v>
      </c>
      <c r="I25" s="11">
        <f>IF('Water, Gas, Diesel'!C30&lt;0,0,'Water, Gas, Diesel'!C30)</f>
        <v>3642</v>
      </c>
      <c r="J25" s="96">
        <v>0.21186441</v>
      </c>
      <c r="K25" s="11">
        <f>IF('Water, Gas, Diesel'!F30&lt;0,0,'Water, Gas, Diesel'!F30)</f>
        <v>189</v>
      </c>
      <c r="L25" s="96">
        <v>1.6949000000000001</v>
      </c>
      <c r="M25" s="11">
        <f>Electricity!H31</f>
        <v>81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2021</v>
      </c>
      <c r="E26" s="11">
        <f>IF(Electricity!F32&lt;0,0,Electricity!F32)</f>
        <v>19245.0000000008</v>
      </c>
      <c r="F26" s="14">
        <v>0.08</v>
      </c>
      <c r="G26" s="11">
        <f>IF('Water, Gas, Diesel'!K31&lt;0,0,'Water, Gas, Diesel'!K31)</f>
        <v>0</v>
      </c>
      <c r="H26" s="96">
        <v>0.58489999999999998</v>
      </c>
      <c r="I26" s="11">
        <f>IF('Water, Gas, Diesel'!C31&lt;0,0,'Water, Gas, Diesel'!C31)</f>
        <v>4123</v>
      </c>
      <c r="J26" s="96">
        <v>0.21186441</v>
      </c>
      <c r="K26" s="11">
        <f>IF('Water, Gas, Diesel'!F31&lt;0,0,'Water, Gas, Diesel'!F31)</f>
        <v>184</v>
      </c>
      <c r="L26" s="96">
        <v>1.6949000000000001</v>
      </c>
      <c r="M26" s="11">
        <f>Electricity!H32</f>
        <v>87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2021</v>
      </c>
      <c r="E27" s="11">
        <f>IF(Electricity!F33&lt;0,0,Electricity!F33)</f>
        <v>18022.499999997308</v>
      </c>
      <c r="F27" s="14">
        <v>0.08</v>
      </c>
      <c r="G27" s="11">
        <f>IF('Water, Gas, Diesel'!K32&lt;0,0,'Water, Gas, Diesel'!K32)</f>
        <v>13350</v>
      </c>
      <c r="H27" s="96">
        <v>0.58489999999999998</v>
      </c>
      <c r="I27" s="11">
        <f>IF('Water, Gas, Diesel'!C32&lt;0,0,'Water, Gas, Diesel'!C32)</f>
        <v>3268</v>
      </c>
      <c r="J27" s="96">
        <v>0.21186441</v>
      </c>
      <c r="K27" s="11">
        <f>IF('Water, Gas, Diesel'!F32&lt;0,0,'Water, Gas, Diesel'!F32)</f>
        <v>0</v>
      </c>
      <c r="L27" s="96">
        <v>1.6949000000000001</v>
      </c>
      <c r="M27" s="11">
        <f>Electricity!H33</f>
        <v>85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6">
        <v>0.58489999999999998</v>
      </c>
      <c r="I28" s="11">
        <f>IF('Water, Gas, Diesel'!C33&lt;0,0,'Water, Gas, Diesel'!C33)</f>
        <v>0</v>
      </c>
      <c r="J28" s="96">
        <v>0.21186441</v>
      </c>
      <c r="K28" s="11">
        <f>IF('Water, Gas, Diesel'!F33&lt;0,0,'Water, Gas, Diesel'!F33)</f>
        <v>0</v>
      </c>
      <c r="L28" s="96">
        <v>1.6949000000000001</v>
      </c>
      <c r="M28" s="11">
        <f>Electricity!H34</f>
        <v>78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6">
        <v>0.58489999999999998</v>
      </c>
      <c r="I29" s="11">
        <f>IF('Water, Gas, Diesel'!C34&lt;0,0,'Water, Gas, Diesel'!C34)</f>
        <v>0</v>
      </c>
      <c r="J29" s="96">
        <v>0.21186441</v>
      </c>
      <c r="K29" s="11">
        <f>IF('Water, Gas, Diesel'!F34&lt;0,0,'Water, Gas, Diesel'!F34)</f>
        <v>0</v>
      </c>
      <c r="L29" s="96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6">
        <v>0.58489999999999998</v>
      </c>
      <c r="I30" s="11">
        <f>IF('Water, Gas, Diesel'!C35&lt;0,0,'Water, Gas, Diesel'!C35)</f>
        <v>0</v>
      </c>
      <c r="J30" s="96">
        <v>0.21186441</v>
      </c>
      <c r="K30" s="11">
        <f>IF('Water, Gas, Diesel'!F35&lt;0,0,'Water, Gas, Diesel'!F35)</f>
        <v>0</v>
      </c>
      <c r="L30" s="96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6">
        <v>0.58489999999999998</v>
      </c>
      <c r="I31" s="11">
        <f>IF('Water, Gas, Diesel'!C36&lt;0,0,'Water, Gas, Diesel'!C36)</f>
        <v>0</v>
      </c>
      <c r="J31" s="96">
        <v>0.21186441</v>
      </c>
      <c r="K31" s="11">
        <f>IF('Water, Gas, Diesel'!F36&lt;0,0,'Water, Gas, Diesel'!F36)</f>
        <v>0</v>
      </c>
      <c r="L31" s="96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12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6">
        <v>0.58489999999999998</v>
      </c>
      <c r="I32" s="11">
        <f>IF('Water, Gas, Diesel'!C37&lt;0,0,'Water, Gas, Diesel'!C37)</f>
        <v>0</v>
      </c>
      <c r="J32" s="96">
        <v>0.21186441</v>
      </c>
      <c r="K32" s="11">
        <f>IF('Water, Gas, Diesel'!F37&lt;0,0,'Water, Gas, Diesel'!F37)</f>
        <v>0</v>
      </c>
      <c r="L32" s="96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1" activePane="bottomLeft" state="frozen"/>
      <selection pane="bottomLeft" activeCell="O30" sqref="O30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121" t="s">
        <v>14</v>
      </c>
      <c r="B1" s="139">
        <v>52822.559999999998</v>
      </c>
      <c r="C1" s="140"/>
      <c r="D1" s="140"/>
      <c r="E1" s="140"/>
      <c r="F1" s="140"/>
      <c r="G1" s="140"/>
      <c r="H1" s="141"/>
    </row>
    <row r="2" spans="1:8" ht="15.75" customHeight="1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>
      <c r="A4" s="145"/>
      <c r="B4" s="156"/>
      <c r="C4" s="157"/>
      <c r="D4" s="156"/>
      <c r="E4" s="157"/>
      <c r="F4" s="150"/>
      <c r="G4" s="152"/>
      <c r="H4" s="142"/>
    </row>
    <row r="5" spans="1:8">
      <c r="A5" s="146"/>
      <c r="B5" s="17" t="s">
        <v>22</v>
      </c>
      <c r="C5" s="74" t="s">
        <v>23</v>
      </c>
      <c r="D5" s="75" t="s">
        <v>22</v>
      </c>
      <c r="E5" s="74" t="s">
        <v>23</v>
      </c>
      <c r="F5" s="151"/>
      <c r="G5" s="153"/>
      <c r="H5" s="143"/>
    </row>
    <row r="6" spans="1:8" ht="15.75" hidden="1">
      <c r="A6" s="122"/>
      <c r="B6" s="24"/>
      <c r="C6" s="76"/>
      <c r="D6" s="77"/>
      <c r="E6" s="76"/>
      <c r="F6" s="27"/>
      <c r="G6" s="78"/>
      <c r="H6" s="123"/>
    </row>
    <row r="7" spans="1:8" ht="27.75" hidden="1" customHeight="1">
      <c r="A7" s="124">
        <v>31</v>
      </c>
      <c r="B7" s="80">
        <v>14341.978999999999</v>
      </c>
      <c r="C7" s="81">
        <f t="shared" ref="C7:C24" si="0">(B8-B7)*2500</f>
        <v>763652.50000000291</v>
      </c>
      <c r="D7" s="80">
        <v>14505.421</v>
      </c>
      <c r="E7" s="81">
        <f t="shared" ref="E7:E24" si="1">(D8-D7)*2500</f>
        <v>1022725.0000000003</v>
      </c>
      <c r="F7" s="82">
        <f t="shared" ref="F7:F38" si="2">C7+E7</f>
        <v>1786377.5000000033</v>
      </c>
      <c r="G7" s="79">
        <f>F7*0.08</f>
        <v>142910.20000000027</v>
      </c>
      <c r="H7" s="123"/>
    </row>
    <row r="8" spans="1:8" ht="30.95" customHeight="1">
      <c r="A8" s="125">
        <v>1</v>
      </c>
      <c r="B8" s="118">
        <v>14647.44</v>
      </c>
      <c r="C8" s="83">
        <f t="shared" si="0"/>
        <v>8687.5000000009095</v>
      </c>
      <c r="D8" s="84">
        <v>14914.511</v>
      </c>
      <c r="E8" s="83">
        <f t="shared" si="1"/>
        <v>12207.499999999527</v>
      </c>
      <c r="F8" s="53">
        <f t="shared" si="2"/>
        <v>20895.000000000437</v>
      </c>
      <c r="G8" s="79">
        <f>F8*0.0932</f>
        <v>1947.4140000000407</v>
      </c>
      <c r="H8" s="126">
        <v>86</v>
      </c>
    </row>
    <row r="9" spans="1:8" ht="30.95" customHeight="1">
      <c r="A9" s="127">
        <v>2</v>
      </c>
      <c r="B9" s="85">
        <v>14650.915000000001</v>
      </c>
      <c r="C9" s="41">
        <f t="shared" si="0"/>
        <v>8282.4999999957072</v>
      </c>
      <c r="D9" s="84">
        <v>14919.394</v>
      </c>
      <c r="E9" s="41">
        <f t="shared" si="1"/>
        <v>11594.999999997526</v>
      </c>
      <c r="F9" s="49">
        <f t="shared" si="2"/>
        <v>19877.499999993233</v>
      </c>
      <c r="G9" s="79">
        <f t="shared" ref="G9:G38" si="3">F9*0.0932</f>
        <v>1852.5829999993693</v>
      </c>
      <c r="H9" s="128">
        <v>103</v>
      </c>
    </row>
    <row r="10" spans="1:8" ht="30.95" customHeight="1">
      <c r="A10" s="125">
        <v>3</v>
      </c>
      <c r="B10" s="86">
        <v>14654.227999999999</v>
      </c>
      <c r="C10" s="83">
        <f t="shared" si="0"/>
        <v>7992.500000000291</v>
      </c>
      <c r="D10" s="87">
        <v>14924.031999999999</v>
      </c>
      <c r="E10" s="83">
        <f t="shared" si="1"/>
        <v>10790.000000001783</v>
      </c>
      <c r="F10" s="53">
        <f t="shared" si="2"/>
        <v>18782.500000002074</v>
      </c>
      <c r="G10" s="79">
        <f t="shared" si="3"/>
        <v>1750.5290000001933</v>
      </c>
      <c r="H10" s="128">
        <v>61</v>
      </c>
    </row>
    <row r="11" spans="1:8" ht="30.95" customHeight="1">
      <c r="A11" s="127">
        <v>4</v>
      </c>
      <c r="B11" s="88">
        <v>14657.424999999999</v>
      </c>
      <c r="C11" s="41">
        <f t="shared" si="0"/>
        <v>7490.0000000025102</v>
      </c>
      <c r="D11" s="89">
        <v>14928.348</v>
      </c>
      <c r="E11" s="41">
        <f t="shared" si="1"/>
        <v>9794.9999999991633</v>
      </c>
      <c r="F11" s="49">
        <f t="shared" si="2"/>
        <v>17285.000000001673</v>
      </c>
      <c r="G11" s="79">
        <f t="shared" si="3"/>
        <v>1610.962000000156</v>
      </c>
      <c r="H11" s="128">
        <v>42</v>
      </c>
    </row>
    <row r="12" spans="1:8" ht="30.95" customHeight="1">
      <c r="A12" s="125">
        <v>5</v>
      </c>
      <c r="B12" s="90">
        <v>14660.421</v>
      </c>
      <c r="C12" s="83">
        <f t="shared" si="0"/>
        <v>7897.4999999991269</v>
      </c>
      <c r="D12" s="87">
        <v>14932.266</v>
      </c>
      <c r="E12" s="83">
        <f t="shared" si="1"/>
        <v>10367.50000000211</v>
      </c>
      <c r="F12" s="53">
        <f t="shared" si="2"/>
        <v>18265.000000001237</v>
      </c>
      <c r="G12" s="79">
        <f t="shared" si="3"/>
        <v>1702.2980000001153</v>
      </c>
      <c r="H12" s="128">
        <v>48</v>
      </c>
    </row>
    <row r="13" spans="1:8" ht="30.95" customHeight="1">
      <c r="A13" s="127">
        <v>6</v>
      </c>
      <c r="B13" s="88">
        <v>14663.58</v>
      </c>
      <c r="C13" s="41">
        <f t="shared" si="0"/>
        <v>7944.999999999709</v>
      </c>
      <c r="D13" s="89">
        <v>14936.413</v>
      </c>
      <c r="E13" s="41">
        <f t="shared" si="1"/>
        <v>10922.499999996944</v>
      </c>
      <c r="F13" s="49">
        <f t="shared" si="2"/>
        <v>18867.499999996653</v>
      </c>
      <c r="G13" s="79">
        <f t="shared" si="3"/>
        <v>1758.4509999996881</v>
      </c>
      <c r="H13" s="128">
        <v>39</v>
      </c>
    </row>
    <row r="14" spans="1:8" ht="30.95" customHeight="1">
      <c r="A14" s="125">
        <v>7</v>
      </c>
      <c r="B14" s="90">
        <v>14666.758</v>
      </c>
      <c r="C14" s="83">
        <f t="shared" si="0"/>
        <v>6680.0000000012005</v>
      </c>
      <c r="D14" s="129">
        <v>14940.781999999999</v>
      </c>
      <c r="E14" s="83">
        <f t="shared" si="1"/>
        <v>11507.500000002437</v>
      </c>
      <c r="F14" s="53">
        <f t="shared" si="2"/>
        <v>18187.500000003638</v>
      </c>
      <c r="G14" s="79">
        <f t="shared" si="3"/>
        <v>1695.0750000003391</v>
      </c>
      <c r="H14" s="128">
        <v>31</v>
      </c>
    </row>
    <row r="15" spans="1:8" ht="30.95" customHeight="1">
      <c r="A15" s="127">
        <v>8</v>
      </c>
      <c r="B15" s="88">
        <v>14669.43</v>
      </c>
      <c r="C15" s="41">
        <f t="shared" si="0"/>
        <v>9555.000000000291</v>
      </c>
      <c r="D15" s="91">
        <v>14945.385</v>
      </c>
      <c r="E15" s="41">
        <f t="shared" si="1"/>
        <v>11030.000000000655</v>
      </c>
      <c r="F15" s="49">
        <f t="shared" si="2"/>
        <v>20585.000000000946</v>
      </c>
      <c r="G15" s="79">
        <f t="shared" si="3"/>
        <v>1918.5220000000882</v>
      </c>
      <c r="H15" s="128">
        <v>39</v>
      </c>
    </row>
    <row r="16" spans="1:8" ht="30.95" customHeight="1">
      <c r="A16" s="125">
        <v>9</v>
      </c>
      <c r="B16" s="92">
        <v>14673.252</v>
      </c>
      <c r="C16" s="83">
        <f t="shared" si="0"/>
        <v>8312.4999999972715</v>
      </c>
      <c r="D16" s="93">
        <v>14949.797</v>
      </c>
      <c r="E16" s="83">
        <f t="shared" si="1"/>
        <v>11602.499999999054</v>
      </c>
      <c r="F16" s="53">
        <f t="shared" si="2"/>
        <v>19914.999999996326</v>
      </c>
      <c r="G16" s="79">
        <f t="shared" si="3"/>
        <v>1856.0779999996575</v>
      </c>
      <c r="H16" s="128">
        <v>45</v>
      </c>
    </row>
    <row r="17" spans="1:8" ht="30.95" customHeight="1">
      <c r="A17" s="127">
        <v>10</v>
      </c>
      <c r="B17" s="90">
        <v>14676.576999999999</v>
      </c>
      <c r="C17" s="41">
        <f t="shared" si="0"/>
        <v>7830.0000000035652</v>
      </c>
      <c r="D17" s="129">
        <v>14954.438</v>
      </c>
      <c r="E17" s="41">
        <f t="shared" si="1"/>
        <v>10757.499999999709</v>
      </c>
      <c r="F17" s="49">
        <f t="shared" si="2"/>
        <v>18587.500000003274</v>
      </c>
      <c r="G17" s="79">
        <f t="shared" si="3"/>
        <v>1732.3550000003052</v>
      </c>
      <c r="H17" s="128">
        <v>53</v>
      </c>
    </row>
    <row r="18" spans="1:8" ht="30.95" customHeight="1">
      <c r="A18" s="125">
        <v>11</v>
      </c>
      <c r="B18" s="88">
        <v>14679.709000000001</v>
      </c>
      <c r="C18" s="83">
        <f t="shared" si="0"/>
        <v>7864.9999999970532</v>
      </c>
      <c r="D18" s="91">
        <v>14958.741</v>
      </c>
      <c r="E18" s="83">
        <f t="shared" si="1"/>
        <v>9239.9999999997817</v>
      </c>
      <c r="F18" s="53">
        <f t="shared" si="2"/>
        <v>17104.999999996835</v>
      </c>
      <c r="G18" s="79">
        <f t="shared" si="3"/>
        <v>1594.185999999705</v>
      </c>
      <c r="H18" s="128">
        <v>47</v>
      </c>
    </row>
    <row r="19" spans="1:8" ht="30.95" customHeight="1">
      <c r="A19" s="127">
        <v>12</v>
      </c>
      <c r="B19" s="90">
        <v>14682.855</v>
      </c>
      <c r="C19" s="41">
        <f t="shared" si="0"/>
        <v>6442.5000000028376</v>
      </c>
      <c r="D19" s="129">
        <v>14962.437</v>
      </c>
      <c r="E19" s="41">
        <f t="shared" si="1"/>
        <v>7959.9999999982174</v>
      </c>
      <c r="F19" s="49">
        <f t="shared" si="2"/>
        <v>14402.500000001055</v>
      </c>
      <c r="G19" s="79">
        <f t="shared" si="3"/>
        <v>1342.3130000000983</v>
      </c>
      <c r="H19" s="128">
        <v>49</v>
      </c>
    </row>
    <row r="20" spans="1:8" ht="30.95" customHeight="1">
      <c r="A20" s="125">
        <v>13</v>
      </c>
      <c r="B20" s="88">
        <v>14685.432000000001</v>
      </c>
      <c r="C20" s="83">
        <f t="shared" si="0"/>
        <v>8479.9999999995634</v>
      </c>
      <c r="D20" s="94">
        <v>14965.620999999999</v>
      </c>
      <c r="E20" s="83">
        <f t="shared" si="1"/>
        <v>10622.500000004038</v>
      </c>
      <c r="F20" s="53">
        <f t="shared" si="2"/>
        <v>19102.500000003602</v>
      </c>
      <c r="G20" s="79">
        <f t="shared" si="3"/>
        <v>1780.3530000003357</v>
      </c>
      <c r="H20" s="128">
        <v>44</v>
      </c>
    </row>
    <row r="21" spans="1:8" ht="30.95" customHeight="1">
      <c r="A21" s="127">
        <v>14</v>
      </c>
      <c r="B21" s="88">
        <v>14688.824000000001</v>
      </c>
      <c r="C21" s="41">
        <f t="shared" si="0"/>
        <v>7862.4999999965439</v>
      </c>
      <c r="D21" s="91">
        <v>14969.87</v>
      </c>
      <c r="E21" s="41">
        <f t="shared" si="1"/>
        <v>10457.499999997708</v>
      </c>
      <c r="F21" s="49">
        <f t="shared" si="2"/>
        <v>18319.999999994252</v>
      </c>
      <c r="G21" s="79">
        <f t="shared" si="3"/>
        <v>1707.4239999994643</v>
      </c>
      <c r="H21" s="128">
        <v>68</v>
      </c>
    </row>
    <row r="22" spans="1:8" ht="30.95" customHeight="1">
      <c r="A22" s="125">
        <v>15</v>
      </c>
      <c r="B22" s="88">
        <v>14691.968999999999</v>
      </c>
      <c r="C22" s="83">
        <f t="shared" si="0"/>
        <v>8392.4999999999272</v>
      </c>
      <c r="D22" s="69">
        <v>14974.053</v>
      </c>
      <c r="E22" s="83">
        <f t="shared" si="1"/>
        <v>11317.500000000109</v>
      </c>
      <c r="F22" s="53">
        <f t="shared" si="2"/>
        <v>19710.000000000036</v>
      </c>
      <c r="G22" s="79">
        <f t="shared" si="3"/>
        <v>1836.9720000000034</v>
      </c>
      <c r="H22" s="128">
        <v>106</v>
      </c>
    </row>
    <row r="23" spans="1:8" ht="30.95" customHeight="1">
      <c r="A23" s="127">
        <v>16</v>
      </c>
      <c r="B23" s="97">
        <v>14695.325999999999</v>
      </c>
      <c r="C23" s="41">
        <f t="shared" si="0"/>
        <v>8337.5000000023647</v>
      </c>
      <c r="D23" s="120">
        <v>14978.58</v>
      </c>
      <c r="E23" s="41">
        <f t="shared" si="1"/>
        <v>10785.000000000764</v>
      </c>
      <c r="F23" s="49">
        <f t="shared" si="2"/>
        <v>19122.500000003129</v>
      </c>
      <c r="G23" s="79">
        <f t="shared" si="3"/>
        <v>1782.2170000002916</v>
      </c>
      <c r="H23" s="128">
        <v>121</v>
      </c>
    </row>
    <row r="24" spans="1:8" ht="30.95" customHeight="1">
      <c r="A24" s="125">
        <v>17</v>
      </c>
      <c r="B24" s="98">
        <v>14698.661</v>
      </c>
      <c r="C24" s="83">
        <f t="shared" si="0"/>
        <v>8339.9999999983265</v>
      </c>
      <c r="D24" s="129">
        <v>14982.894</v>
      </c>
      <c r="E24" s="83">
        <f t="shared" si="1"/>
        <v>10587.500000001455</v>
      </c>
      <c r="F24" s="53">
        <f t="shared" si="2"/>
        <v>18927.499999999782</v>
      </c>
      <c r="G24" s="79">
        <f t="shared" si="3"/>
        <v>1764.0429999999797</v>
      </c>
      <c r="H24" s="128">
        <v>85</v>
      </c>
    </row>
    <row r="25" spans="1:8" ht="30.95" customHeight="1">
      <c r="A25" s="127">
        <v>18</v>
      </c>
      <c r="B25" s="88">
        <v>14701.996999999999</v>
      </c>
      <c r="C25" s="41">
        <f>(B26-B25)*2500</f>
        <v>7760.0000000029468</v>
      </c>
      <c r="D25" s="91">
        <v>14987.129000000001</v>
      </c>
      <c r="E25" s="41">
        <f>(D26-D25)*2500</f>
        <v>10127.49999999869</v>
      </c>
      <c r="F25" s="49">
        <f t="shared" si="2"/>
        <v>17887.500000001637</v>
      </c>
      <c r="G25" s="79">
        <f t="shared" si="3"/>
        <v>1667.1150000001526</v>
      </c>
      <c r="H25" s="128">
        <v>67</v>
      </c>
    </row>
    <row r="26" spans="1:8" ht="30.95" customHeight="1">
      <c r="A26" s="125">
        <v>19</v>
      </c>
      <c r="B26" s="90">
        <v>14705.101000000001</v>
      </c>
      <c r="C26" s="83">
        <f t="shared" ref="C26:C38" si="4">(B27-B26)*2500</f>
        <v>7909.999999997126</v>
      </c>
      <c r="D26" s="129">
        <v>14991.18</v>
      </c>
      <c r="E26" s="83">
        <f t="shared" ref="E26:E38" si="5">(D27-D26)*2500</f>
        <v>10617.499999998472</v>
      </c>
      <c r="F26" s="49">
        <f t="shared" si="2"/>
        <v>18527.499999995598</v>
      </c>
      <c r="G26" s="79">
        <f t="shared" si="3"/>
        <v>1726.7629999995897</v>
      </c>
      <c r="H26" s="128">
        <v>65</v>
      </c>
    </row>
    <row r="27" spans="1:8" ht="30.95" customHeight="1">
      <c r="A27" s="127">
        <v>20</v>
      </c>
      <c r="B27" s="88">
        <v>14708.264999999999</v>
      </c>
      <c r="C27" s="41">
        <f t="shared" si="4"/>
        <v>8902.499999999236</v>
      </c>
      <c r="D27" s="94">
        <v>14995.427</v>
      </c>
      <c r="E27" s="41">
        <f t="shared" si="5"/>
        <v>11337.499999999636</v>
      </c>
      <c r="F27" s="53">
        <f t="shared" si="2"/>
        <v>20239.999999998872</v>
      </c>
      <c r="G27" s="79">
        <f t="shared" si="3"/>
        <v>1886.3679999998949</v>
      </c>
      <c r="H27" s="128">
        <v>78</v>
      </c>
    </row>
    <row r="28" spans="1:8" ht="30.95" customHeight="1">
      <c r="A28" s="125">
        <v>21</v>
      </c>
      <c r="B28" s="90">
        <v>14711.825999999999</v>
      </c>
      <c r="C28" s="83">
        <f t="shared" si="4"/>
        <v>8845.0000000011642</v>
      </c>
      <c r="D28" s="129">
        <v>14999.962</v>
      </c>
      <c r="E28" s="83">
        <f t="shared" si="5"/>
        <v>11502.500000001419</v>
      </c>
      <c r="F28" s="49">
        <f t="shared" si="2"/>
        <v>20347.500000002583</v>
      </c>
      <c r="G28" s="79">
        <f t="shared" si="3"/>
        <v>1896.3870000002407</v>
      </c>
      <c r="H28" s="128">
        <v>99</v>
      </c>
    </row>
    <row r="29" spans="1:8" ht="30.95" customHeight="1">
      <c r="A29" s="127">
        <v>22</v>
      </c>
      <c r="B29" s="88">
        <v>14715.364</v>
      </c>
      <c r="C29" s="41">
        <f t="shared" si="4"/>
        <v>8690.0000000014188</v>
      </c>
      <c r="D29" s="91">
        <v>15004.563</v>
      </c>
      <c r="E29" s="41">
        <f t="shared" si="5"/>
        <v>10732.499999999163</v>
      </c>
      <c r="F29" s="53">
        <f t="shared" si="2"/>
        <v>19422.500000000582</v>
      </c>
      <c r="G29" s="79">
        <f t="shared" si="3"/>
        <v>1810.1770000000542</v>
      </c>
      <c r="H29" s="128">
        <v>120</v>
      </c>
    </row>
    <row r="30" spans="1:8" ht="30.95" customHeight="1">
      <c r="A30" s="125">
        <v>23</v>
      </c>
      <c r="B30" s="90">
        <v>14718.84</v>
      </c>
      <c r="C30" s="83">
        <f t="shared" si="4"/>
        <v>8755.0000000010186</v>
      </c>
      <c r="D30" s="129">
        <v>15008.856</v>
      </c>
      <c r="E30" s="83">
        <f t="shared" si="5"/>
        <v>10762.500000000728</v>
      </c>
      <c r="F30" s="49">
        <f t="shared" si="2"/>
        <v>19517.500000001746</v>
      </c>
      <c r="G30" s="79">
        <f t="shared" si="3"/>
        <v>1819.0310000001627</v>
      </c>
      <c r="H30" s="128">
        <v>85</v>
      </c>
    </row>
    <row r="31" spans="1:8" ht="30.95" customHeight="1">
      <c r="A31" s="127">
        <v>24</v>
      </c>
      <c r="B31" s="88">
        <v>14722.342000000001</v>
      </c>
      <c r="C31" s="41">
        <f t="shared" si="4"/>
        <v>6907.4999999975262</v>
      </c>
      <c r="D31" s="91">
        <v>15013.161</v>
      </c>
      <c r="E31" s="41">
        <f t="shared" si="5"/>
        <v>10900.000000001455</v>
      </c>
      <c r="F31" s="53">
        <f t="shared" si="2"/>
        <v>17807.499999998981</v>
      </c>
      <c r="G31" s="79">
        <f t="shared" si="3"/>
        <v>1659.6589999999051</v>
      </c>
      <c r="H31" s="128">
        <v>81</v>
      </c>
    </row>
    <row r="32" spans="1:8" ht="30.95" customHeight="1">
      <c r="A32" s="125">
        <v>25</v>
      </c>
      <c r="B32" s="90">
        <v>14725.105</v>
      </c>
      <c r="C32" s="83">
        <f t="shared" si="4"/>
        <v>9185.0000000022192</v>
      </c>
      <c r="D32" s="129">
        <v>15017.521000000001</v>
      </c>
      <c r="E32" s="83">
        <f t="shared" si="5"/>
        <v>10059.999999998581</v>
      </c>
      <c r="F32" s="49">
        <f t="shared" si="2"/>
        <v>19245.0000000008</v>
      </c>
      <c r="G32" s="79">
        <f t="shared" si="3"/>
        <v>1793.6340000000746</v>
      </c>
      <c r="H32" s="128">
        <v>87</v>
      </c>
    </row>
    <row r="33" spans="1:8" ht="30.95" customHeight="1">
      <c r="A33" s="127">
        <v>26</v>
      </c>
      <c r="B33" s="88">
        <v>14728.779</v>
      </c>
      <c r="C33" s="41">
        <f t="shared" si="4"/>
        <v>8007.4999999987995</v>
      </c>
      <c r="D33" s="91">
        <v>15021.545</v>
      </c>
      <c r="E33" s="41">
        <f t="shared" si="5"/>
        <v>10014.999999998508</v>
      </c>
      <c r="F33" s="53">
        <f t="shared" si="2"/>
        <v>18022.499999997308</v>
      </c>
      <c r="G33" s="79">
        <f t="shared" si="3"/>
        <v>1679.6969999997491</v>
      </c>
      <c r="H33" s="128">
        <v>85</v>
      </c>
    </row>
    <row r="34" spans="1:8" ht="30.95" customHeight="1">
      <c r="A34" s="125">
        <v>27</v>
      </c>
      <c r="B34" s="90">
        <v>14731.982</v>
      </c>
      <c r="C34" s="83">
        <f t="shared" si="4"/>
        <v>-36829955</v>
      </c>
      <c r="D34" s="129">
        <v>15025.550999999999</v>
      </c>
      <c r="E34" s="41">
        <f t="shared" si="5"/>
        <v>-37563877.5</v>
      </c>
      <c r="F34" s="49">
        <f t="shared" si="2"/>
        <v>-74393832.5</v>
      </c>
      <c r="G34" s="79">
        <f t="shared" si="3"/>
        <v>-6933505.1890000002</v>
      </c>
      <c r="H34" s="128">
        <v>78</v>
      </c>
    </row>
    <row r="35" spans="1:8" ht="30.95" customHeight="1">
      <c r="A35" s="127">
        <v>28</v>
      </c>
      <c r="B35" s="95"/>
      <c r="C35" s="41">
        <f t="shared" si="4"/>
        <v>0</v>
      </c>
      <c r="D35" s="91"/>
      <c r="E35" s="41">
        <f t="shared" si="5"/>
        <v>0</v>
      </c>
      <c r="F35" s="49">
        <f t="shared" si="2"/>
        <v>0</v>
      </c>
      <c r="G35" s="79">
        <f t="shared" si="3"/>
        <v>0</v>
      </c>
      <c r="H35" s="128"/>
    </row>
    <row r="36" spans="1:8" ht="30.95" customHeight="1">
      <c r="A36" s="125">
        <v>29</v>
      </c>
      <c r="B36" s="90"/>
      <c r="C36" s="81">
        <f t="shared" si="4"/>
        <v>0</v>
      </c>
      <c r="D36" s="69"/>
      <c r="E36" s="81">
        <f t="shared" si="5"/>
        <v>0</v>
      </c>
      <c r="F36" s="44">
        <f t="shared" si="2"/>
        <v>0</v>
      </c>
      <c r="G36" s="79">
        <f t="shared" si="3"/>
        <v>0</v>
      </c>
      <c r="H36" s="126"/>
    </row>
    <row r="37" spans="1:8" ht="30.95" customHeight="1">
      <c r="A37" s="130">
        <v>30</v>
      </c>
      <c r="B37" s="105"/>
      <c r="C37" s="106">
        <f t="shared" si="4"/>
        <v>0</v>
      </c>
      <c r="D37" s="107"/>
      <c r="E37" s="106">
        <f t="shared" si="5"/>
        <v>0</v>
      </c>
      <c r="F37" s="108">
        <f t="shared" si="2"/>
        <v>0</v>
      </c>
      <c r="G37" s="79">
        <f t="shared" si="3"/>
        <v>0</v>
      </c>
      <c r="H37" s="131"/>
    </row>
    <row r="38" spans="1:8" ht="30.95" customHeight="1">
      <c r="A38" s="132">
        <v>31</v>
      </c>
      <c r="B38" s="133"/>
      <c r="C38" s="134">
        <f t="shared" si="4"/>
        <v>0</v>
      </c>
      <c r="D38" s="135"/>
      <c r="E38" s="134">
        <f t="shared" si="5"/>
        <v>0</v>
      </c>
      <c r="F38" s="136">
        <f t="shared" si="2"/>
        <v>0</v>
      </c>
      <c r="G38" s="137">
        <f t="shared" si="3"/>
        <v>0</v>
      </c>
      <c r="H38" s="138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28" activePane="bottomLeft" state="frozen"/>
      <selection pane="bottomLeft" activeCell="B34" sqref="B34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58" t="s">
        <v>14</v>
      </c>
      <c r="B1" s="154" t="s">
        <v>24</v>
      </c>
      <c r="C1" s="161"/>
      <c r="D1" s="155"/>
      <c r="E1" s="154" t="s">
        <v>25</v>
      </c>
      <c r="F1" s="161"/>
      <c r="G1" s="161"/>
      <c r="H1" s="161"/>
      <c r="I1" s="155"/>
      <c r="J1" s="154" t="s">
        <v>26</v>
      </c>
      <c r="K1" s="161"/>
      <c r="L1" s="155"/>
    </row>
    <row r="2" spans="1:12">
      <c r="A2" s="159"/>
      <c r="B2" s="162"/>
      <c r="C2" s="163"/>
      <c r="D2" s="164"/>
      <c r="E2" s="156"/>
      <c r="F2" s="165"/>
      <c r="G2" s="165"/>
      <c r="H2" s="165"/>
      <c r="I2" s="157"/>
      <c r="J2" s="156"/>
      <c r="K2" s="165"/>
      <c r="L2" s="157"/>
    </row>
    <row r="3" spans="1:12" ht="27" customHeight="1">
      <c r="A3" s="160"/>
      <c r="B3" s="166">
        <v>10570.79</v>
      </c>
      <c r="C3" s="167"/>
      <c r="D3" s="168"/>
      <c r="E3" s="169">
        <v>6704.58</v>
      </c>
      <c r="F3" s="170"/>
      <c r="G3" s="170"/>
      <c r="H3" s="170"/>
      <c r="I3" s="171"/>
      <c r="J3" s="169">
        <v>0</v>
      </c>
      <c r="K3" s="170"/>
      <c r="L3" s="171"/>
    </row>
    <row r="4" spans="1:12" ht="59.25" customHeight="1">
      <c r="A4" s="104" t="s">
        <v>15</v>
      </c>
      <c r="B4" s="17" t="s">
        <v>22</v>
      </c>
      <c r="C4" s="18" t="s">
        <v>27</v>
      </c>
      <c r="D4" s="19" t="s">
        <v>28</v>
      </c>
      <c r="E4" s="101" t="s">
        <v>22</v>
      </c>
      <c r="F4" s="20" t="s">
        <v>23</v>
      </c>
      <c r="G4" s="21" t="s">
        <v>29</v>
      </c>
      <c r="H4" s="21" t="s">
        <v>30</v>
      </c>
      <c r="I4" s="100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2">
        <v>31</v>
      </c>
      <c r="B6" s="102">
        <v>6099967</v>
      </c>
      <c r="C6" s="34">
        <f>B7-B6</f>
        <v>198338</v>
      </c>
      <c r="D6" s="35">
        <f>C6*0.16949153</f>
        <v>33616.611077139998</v>
      </c>
      <c r="E6" s="36">
        <v>482840</v>
      </c>
      <c r="F6" s="37">
        <f>E7-E6</f>
        <v>16843</v>
      </c>
      <c r="G6" s="38">
        <f>F6*0.84746</f>
        <v>14273.76878</v>
      </c>
      <c r="H6" s="38">
        <f>F6*0.84746</f>
        <v>14273.76878</v>
      </c>
      <c r="I6" s="103">
        <f>G6+H6</f>
        <v>28547.537560000001</v>
      </c>
      <c r="J6" s="39">
        <f>7300+6550</f>
        <v>13850</v>
      </c>
      <c r="K6" s="40">
        <f>J6-J7</f>
        <v>520</v>
      </c>
      <c r="L6" s="41">
        <f>K6*0.59</f>
        <v>306.8</v>
      </c>
    </row>
    <row r="7" spans="1:12" ht="32.450000000000003" customHeight="1">
      <c r="A7" s="42">
        <v>1</v>
      </c>
      <c r="B7" s="102">
        <v>6298305</v>
      </c>
      <c r="C7" s="55">
        <f t="shared" ref="C7:C16" si="0">B8-B7</f>
        <v>4070</v>
      </c>
      <c r="D7" s="43">
        <f>C7*0.21186441</f>
        <v>862.28814869999997</v>
      </c>
      <c r="E7" s="44">
        <v>499683</v>
      </c>
      <c r="F7" s="56">
        <f t="shared" ref="F7:F16" si="1">E8-E7</f>
        <v>200</v>
      </c>
      <c r="G7" s="45">
        <f>F7*0.84746</f>
        <v>169.49199999999999</v>
      </c>
      <c r="H7" s="45">
        <f>F7*0.84746</f>
        <v>169.49199999999999</v>
      </c>
      <c r="I7" s="46">
        <f t="shared" ref="I7:I37" si="2">G7+H7</f>
        <v>338.98399999999998</v>
      </c>
      <c r="J7" s="39">
        <f>6830+6500</f>
        <v>13330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6302375</v>
      </c>
      <c r="C8" s="57">
        <f t="shared" si="0"/>
        <v>3690</v>
      </c>
      <c r="D8" s="48">
        <f>C8*0.21186441</f>
        <v>781.77967290000004</v>
      </c>
      <c r="E8" s="49">
        <v>499883</v>
      </c>
      <c r="F8" s="58">
        <f t="shared" si="1"/>
        <v>207</v>
      </c>
      <c r="G8" s="50">
        <f t="shared" ref="G8:G37" si="5">F8*0.84746</f>
        <v>175.42421999999999</v>
      </c>
      <c r="H8" s="50">
        <f t="shared" ref="H8:H37" si="6">F8*0.84746</f>
        <v>175.42421999999999</v>
      </c>
      <c r="I8" s="51">
        <f t="shared" si="2"/>
        <v>350.84843999999998</v>
      </c>
      <c r="J8" s="39">
        <f>6830+6500</f>
        <v>13330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6306065</v>
      </c>
      <c r="C9" s="55">
        <f t="shared" si="0"/>
        <v>2973</v>
      </c>
      <c r="D9" s="48">
        <f t="shared" ref="D9:D37" si="7">C9*0.21186441</f>
        <v>629.87289093000004</v>
      </c>
      <c r="E9" s="49">
        <v>500090</v>
      </c>
      <c r="F9" s="56">
        <f t="shared" si="1"/>
        <v>215</v>
      </c>
      <c r="G9" s="45">
        <f t="shared" si="5"/>
        <v>182.2039</v>
      </c>
      <c r="H9" s="45">
        <f t="shared" si="6"/>
        <v>182.2039</v>
      </c>
      <c r="I9" s="51">
        <f t="shared" si="2"/>
        <v>364.40780000000001</v>
      </c>
      <c r="J9" s="39">
        <f>6830+6500</f>
        <v>13330</v>
      </c>
      <c r="K9" s="40">
        <f t="shared" si="3"/>
        <v>-20</v>
      </c>
      <c r="L9" s="41">
        <f>K9*0.59</f>
        <v>-11.799999999999999</v>
      </c>
    </row>
    <row r="10" spans="1:12" ht="32.450000000000003" customHeight="1">
      <c r="A10" s="47">
        <v>4</v>
      </c>
      <c r="B10" s="47">
        <v>6309038</v>
      </c>
      <c r="C10" s="57">
        <f t="shared" si="0"/>
        <v>2851</v>
      </c>
      <c r="D10" s="48">
        <f t="shared" si="7"/>
        <v>604.02543291000006</v>
      </c>
      <c r="E10" s="49">
        <v>500305</v>
      </c>
      <c r="F10" s="58">
        <f t="shared" si="1"/>
        <v>177</v>
      </c>
      <c r="G10" s="50">
        <f t="shared" si="5"/>
        <v>150.00041999999999</v>
      </c>
      <c r="H10" s="50">
        <f t="shared" si="6"/>
        <v>150.00041999999999</v>
      </c>
      <c r="I10" s="51">
        <f t="shared" si="2"/>
        <v>300.00083999999998</v>
      </c>
      <c r="J10" s="39">
        <f>6850+6500</f>
        <v>13350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6311889</v>
      </c>
      <c r="C11" s="55">
        <f t="shared" si="0"/>
        <v>3029</v>
      </c>
      <c r="D11" s="48">
        <f t="shared" si="7"/>
        <v>641.73729789000004</v>
      </c>
      <c r="E11" s="49">
        <v>500482</v>
      </c>
      <c r="F11" s="56">
        <f t="shared" si="1"/>
        <v>150</v>
      </c>
      <c r="G11" s="45">
        <f t="shared" si="5"/>
        <v>127.119</v>
      </c>
      <c r="H11" s="45">
        <f t="shared" si="6"/>
        <v>127.119</v>
      </c>
      <c r="I11" s="51">
        <f t="shared" si="2"/>
        <v>254.238</v>
      </c>
      <c r="J11" s="39">
        <f>6850+6500</f>
        <v>13350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6314918</v>
      </c>
      <c r="C12" s="57">
        <f t="shared" si="0"/>
        <v>3330</v>
      </c>
      <c r="D12" s="48">
        <f t="shared" si="7"/>
        <v>705.50848529999996</v>
      </c>
      <c r="E12" s="49">
        <v>500632</v>
      </c>
      <c r="F12" s="58">
        <f t="shared" si="1"/>
        <v>184</v>
      </c>
      <c r="G12" s="50">
        <f t="shared" si="5"/>
        <v>155.93263999999999</v>
      </c>
      <c r="H12" s="50">
        <f t="shared" si="6"/>
        <v>155.93263999999999</v>
      </c>
      <c r="I12" s="51">
        <f t="shared" si="2"/>
        <v>311.86527999999998</v>
      </c>
      <c r="J12" s="39">
        <f>6850+6500</f>
        <v>13350</v>
      </c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>
        <v>6318248</v>
      </c>
      <c r="C13" s="55">
        <f t="shared" si="0"/>
        <v>3152</v>
      </c>
      <c r="D13" s="48">
        <f t="shared" si="7"/>
        <v>667.79662031999999</v>
      </c>
      <c r="E13" s="49">
        <v>500816</v>
      </c>
      <c r="F13" s="56">
        <f t="shared" si="1"/>
        <v>181</v>
      </c>
      <c r="G13" s="45">
        <f t="shared" si="5"/>
        <v>153.39026000000001</v>
      </c>
      <c r="H13" s="45">
        <f t="shared" si="6"/>
        <v>153.39026000000001</v>
      </c>
      <c r="I13" s="51">
        <f t="shared" si="2"/>
        <v>306.78052000000002</v>
      </c>
      <c r="J13" s="39">
        <f>6850+6500</f>
        <v>13350</v>
      </c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>
        <v>6321400</v>
      </c>
      <c r="C14" s="57">
        <f t="shared" si="0"/>
        <v>3211</v>
      </c>
      <c r="D14" s="48">
        <f t="shared" si="7"/>
        <v>680.29662051000003</v>
      </c>
      <c r="E14" s="49">
        <v>500997</v>
      </c>
      <c r="F14" s="58">
        <f t="shared" si="1"/>
        <v>166</v>
      </c>
      <c r="G14" s="50">
        <f t="shared" si="5"/>
        <v>140.67836</v>
      </c>
      <c r="H14" s="50">
        <f t="shared" si="6"/>
        <v>140.67836</v>
      </c>
      <c r="I14" s="51">
        <f t="shared" si="2"/>
        <v>281.35672</v>
      </c>
      <c r="J14" s="39">
        <f>6850+6500</f>
        <v>13350</v>
      </c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>
        <v>6324611</v>
      </c>
      <c r="C15" s="55">
        <f t="shared" si="0"/>
        <v>3487</v>
      </c>
      <c r="D15" s="48">
        <f t="shared" si="7"/>
        <v>738.77119766999999</v>
      </c>
      <c r="E15" s="49">
        <v>501163</v>
      </c>
      <c r="F15" s="56">
        <f t="shared" si="1"/>
        <v>162</v>
      </c>
      <c r="G15" s="50">
        <f t="shared" si="5"/>
        <v>137.28852000000001</v>
      </c>
      <c r="H15" s="45">
        <f t="shared" si="6"/>
        <v>137.28852000000001</v>
      </c>
      <c r="I15" s="51">
        <f t="shared" si="2"/>
        <v>274.57704000000001</v>
      </c>
      <c r="J15" s="39">
        <f>6850+6500</f>
        <v>13350</v>
      </c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>
        <v>6328098</v>
      </c>
      <c r="C16" s="57">
        <f t="shared" si="0"/>
        <v>3134</v>
      </c>
      <c r="D16" s="48">
        <f t="shared" si="7"/>
        <v>663.98306093999997</v>
      </c>
      <c r="E16" s="49">
        <v>501325</v>
      </c>
      <c r="F16" s="58">
        <f t="shared" si="1"/>
        <v>168</v>
      </c>
      <c r="G16" s="50">
        <f t="shared" si="5"/>
        <v>142.37327999999999</v>
      </c>
      <c r="H16" s="50">
        <f t="shared" si="6"/>
        <v>142.37327999999999</v>
      </c>
      <c r="I16" s="51">
        <f t="shared" si="2"/>
        <v>284.74655999999999</v>
      </c>
      <c r="J16" s="39">
        <f>6850+6500</f>
        <v>13350</v>
      </c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>
        <v>6331232</v>
      </c>
      <c r="C17" s="55">
        <f>B18-B17</f>
        <v>2624</v>
      </c>
      <c r="D17" s="48">
        <f t="shared" si="7"/>
        <v>555.93221184000004</v>
      </c>
      <c r="E17" s="49">
        <v>501493</v>
      </c>
      <c r="F17" s="56">
        <f>E18-E17</f>
        <v>165</v>
      </c>
      <c r="G17" s="45">
        <f t="shared" si="5"/>
        <v>139.83089999999999</v>
      </c>
      <c r="H17" s="45">
        <f t="shared" si="6"/>
        <v>139.83089999999999</v>
      </c>
      <c r="I17" s="51">
        <f t="shared" si="2"/>
        <v>279.66179999999997</v>
      </c>
      <c r="J17" s="39">
        <f>6850+6500</f>
        <v>13350</v>
      </c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>
        <v>6333856</v>
      </c>
      <c r="C18" s="57">
        <f t="shared" ref="C18:C36" si="8">B19-B18</f>
        <v>2377</v>
      </c>
      <c r="D18" s="48">
        <f t="shared" si="7"/>
        <v>503.60170256999999</v>
      </c>
      <c r="E18" s="49">
        <v>501658</v>
      </c>
      <c r="F18" s="58">
        <f t="shared" ref="F18:F36" si="9">E19-E18</f>
        <v>136</v>
      </c>
      <c r="G18" s="50">
        <f t="shared" si="5"/>
        <v>115.25456</v>
      </c>
      <c r="H18" s="50">
        <f t="shared" si="6"/>
        <v>115.25456</v>
      </c>
      <c r="I18" s="51">
        <f t="shared" si="2"/>
        <v>230.50912</v>
      </c>
      <c r="J18" s="39">
        <f>6850+6500</f>
        <v>13350</v>
      </c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>
        <v>6336233</v>
      </c>
      <c r="C19" s="55">
        <f t="shared" si="8"/>
        <v>3033</v>
      </c>
      <c r="D19" s="48">
        <f t="shared" si="7"/>
        <v>642.58475553000005</v>
      </c>
      <c r="E19" s="53">
        <v>501794</v>
      </c>
      <c r="F19" s="56">
        <f t="shared" si="9"/>
        <v>207</v>
      </c>
      <c r="G19" s="45">
        <f t="shared" si="5"/>
        <v>175.42421999999999</v>
      </c>
      <c r="H19" s="45">
        <f t="shared" si="6"/>
        <v>175.42421999999999</v>
      </c>
      <c r="I19" s="51">
        <f t="shared" si="2"/>
        <v>350.84843999999998</v>
      </c>
      <c r="J19" s="39">
        <f>6850+6500</f>
        <v>13350</v>
      </c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>
        <v>6339266</v>
      </c>
      <c r="C20" s="57">
        <f t="shared" si="8"/>
        <v>3104</v>
      </c>
      <c r="D20" s="48">
        <f t="shared" si="7"/>
        <v>657.62712864000002</v>
      </c>
      <c r="E20" s="54">
        <v>502001</v>
      </c>
      <c r="F20" s="58">
        <f t="shared" si="9"/>
        <v>129</v>
      </c>
      <c r="G20" s="50">
        <f t="shared" si="5"/>
        <v>109.32234</v>
      </c>
      <c r="H20" s="50">
        <f t="shared" si="6"/>
        <v>109.32234</v>
      </c>
      <c r="I20" s="51">
        <f t="shared" si="2"/>
        <v>218.64467999999999</v>
      </c>
      <c r="J20" s="39">
        <f>6850+6500</f>
        <v>13350</v>
      </c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>
        <v>6342370</v>
      </c>
      <c r="C21" s="55">
        <f t="shared" si="8"/>
        <v>4050</v>
      </c>
      <c r="D21" s="48">
        <f t="shared" si="7"/>
        <v>858.0508605</v>
      </c>
      <c r="E21" s="53">
        <v>502130</v>
      </c>
      <c r="F21" s="56">
        <f t="shared" si="9"/>
        <v>236</v>
      </c>
      <c r="G21" s="45">
        <f t="shared" si="5"/>
        <v>200.00056000000001</v>
      </c>
      <c r="H21" s="45">
        <f t="shared" si="6"/>
        <v>200.00056000000001</v>
      </c>
      <c r="I21" s="51">
        <f t="shared" si="2"/>
        <v>400.00112000000001</v>
      </c>
      <c r="J21" s="39">
        <f>6850+6500</f>
        <v>13350</v>
      </c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98">
        <v>6346420</v>
      </c>
      <c r="C22" s="57">
        <f t="shared" si="8"/>
        <v>2350</v>
      </c>
      <c r="D22" s="48">
        <f t="shared" si="7"/>
        <v>497.88136350000002</v>
      </c>
      <c r="E22" s="99">
        <v>502366</v>
      </c>
      <c r="F22" s="58">
        <f t="shared" si="9"/>
        <v>175</v>
      </c>
      <c r="G22" s="50">
        <f t="shared" si="5"/>
        <v>148.30549999999999</v>
      </c>
      <c r="H22" s="50">
        <f t="shared" si="6"/>
        <v>148.30549999999999</v>
      </c>
      <c r="I22" s="51">
        <f t="shared" si="2"/>
        <v>296.61099999999999</v>
      </c>
      <c r="J22" s="39">
        <f>6850+6500</f>
        <v>13350</v>
      </c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>
        <v>6348770</v>
      </c>
      <c r="C23" s="55">
        <f t="shared" si="8"/>
        <v>3203</v>
      </c>
      <c r="D23" s="48">
        <f t="shared" si="7"/>
        <v>678.60170522999999</v>
      </c>
      <c r="E23" s="54">
        <v>502541</v>
      </c>
      <c r="F23" s="56">
        <f t="shared" si="9"/>
        <v>182</v>
      </c>
      <c r="G23" s="45">
        <f t="shared" si="5"/>
        <v>154.23772</v>
      </c>
      <c r="H23" s="45">
        <f t="shared" si="6"/>
        <v>154.23772</v>
      </c>
      <c r="I23" s="51">
        <f t="shared" si="2"/>
        <v>308.47543999999999</v>
      </c>
      <c r="J23" s="39">
        <f>6850+6500</f>
        <v>13350</v>
      </c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>
        <v>6351973</v>
      </c>
      <c r="C24" s="57">
        <f t="shared" si="8"/>
        <v>3013</v>
      </c>
      <c r="D24" s="48">
        <f t="shared" si="7"/>
        <v>638.34746732999997</v>
      </c>
      <c r="E24" s="54">
        <v>502723</v>
      </c>
      <c r="F24" s="58">
        <f t="shared" si="9"/>
        <v>171</v>
      </c>
      <c r="G24" s="50">
        <f t="shared" si="5"/>
        <v>144.91566</v>
      </c>
      <c r="H24" s="50">
        <f t="shared" si="6"/>
        <v>144.91566</v>
      </c>
      <c r="I24" s="51">
        <f t="shared" si="2"/>
        <v>289.83132000000001</v>
      </c>
      <c r="J24" s="39">
        <f>6850+6500</f>
        <v>13350</v>
      </c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>
        <v>6354986</v>
      </c>
      <c r="C25" s="55">
        <f t="shared" si="8"/>
        <v>3321</v>
      </c>
      <c r="D25" s="48">
        <f t="shared" si="7"/>
        <v>703.60170560999995</v>
      </c>
      <c r="E25" s="54">
        <v>502894</v>
      </c>
      <c r="F25" s="56">
        <f t="shared" si="9"/>
        <v>159</v>
      </c>
      <c r="G25" s="45">
        <f t="shared" si="5"/>
        <v>134.74614</v>
      </c>
      <c r="H25" s="45">
        <f t="shared" si="6"/>
        <v>134.74614</v>
      </c>
      <c r="I25" s="51">
        <f t="shared" si="2"/>
        <v>269.49227999999999</v>
      </c>
      <c r="J25" s="39">
        <f>6850+6500</f>
        <v>13350</v>
      </c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>
        <v>6358307</v>
      </c>
      <c r="C26" s="57">
        <f t="shared" si="8"/>
        <v>3820</v>
      </c>
      <c r="D26" s="48">
        <f t="shared" si="7"/>
        <v>809.32204620000005</v>
      </c>
      <c r="E26" s="54">
        <v>503053</v>
      </c>
      <c r="F26" s="58">
        <f t="shared" si="9"/>
        <v>193</v>
      </c>
      <c r="G26" s="50">
        <f t="shared" si="5"/>
        <v>163.55977999999999</v>
      </c>
      <c r="H26" s="50">
        <f t="shared" si="6"/>
        <v>163.55977999999999</v>
      </c>
      <c r="I26" s="51">
        <f t="shared" si="2"/>
        <v>327.11955999999998</v>
      </c>
      <c r="J26" s="39">
        <f>6850+6500</f>
        <v>13350</v>
      </c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>
        <v>6362127</v>
      </c>
      <c r="C27" s="55">
        <f t="shared" si="8"/>
        <v>4260</v>
      </c>
      <c r="D27" s="48">
        <f t="shared" si="7"/>
        <v>902.54238659999999</v>
      </c>
      <c r="E27" s="54">
        <v>503246</v>
      </c>
      <c r="F27" s="56">
        <f t="shared" si="9"/>
        <v>171</v>
      </c>
      <c r="G27" s="45">
        <f t="shared" si="5"/>
        <v>144.91566</v>
      </c>
      <c r="H27" s="45">
        <f t="shared" si="6"/>
        <v>144.91566</v>
      </c>
      <c r="I27" s="51">
        <f t="shared" si="2"/>
        <v>289.83132000000001</v>
      </c>
      <c r="J27" s="39">
        <f>6850+6500</f>
        <v>13350</v>
      </c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>
        <v>6366387</v>
      </c>
      <c r="C28" s="57">
        <f t="shared" si="8"/>
        <v>4038</v>
      </c>
      <c r="D28" s="48">
        <f t="shared" si="7"/>
        <v>855.50848758000006</v>
      </c>
      <c r="E28" s="54">
        <v>503417</v>
      </c>
      <c r="F28" s="58">
        <f t="shared" si="9"/>
        <v>191</v>
      </c>
      <c r="G28" s="50">
        <f t="shared" si="5"/>
        <v>161.86485999999999</v>
      </c>
      <c r="H28" s="50">
        <f t="shared" si="6"/>
        <v>161.86485999999999</v>
      </c>
      <c r="I28" s="51">
        <f t="shared" si="2"/>
        <v>323.72971999999999</v>
      </c>
      <c r="J28" s="39">
        <f>6850+6500</f>
        <v>13350</v>
      </c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>
        <v>6370425</v>
      </c>
      <c r="C29" s="55">
        <f t="shared" si="8"/>
        <v>3834</v>
      </c>
      <c r="D29" s="48">
        <f t="shared" si="7"/>
        <v>812.28814794000004</v>
      </c>
      <c r="E29" s="54">
        <v>503608</v>
      </c>
      <c r="F29" s="56">
        <f t="shared" si="9"/>
        <v>185</v>
      </c>
      <c r="G29" s="45">
        <f t="shared" si="5"/>
        <v>156.7801</v>
      </c>
      <c r="H29" s="45">
        <f t="shared" si="6"/>
        <v>156.7801</v>
      </c>
      <c r="I29" s="51">
        <f t="shared" si="2"/>
        <v>313.56020000000001</v>
      </c>
      <c r="J29" s="39">
        <f>6850+6500</f>
        <v>13350</v>
      </c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>
        <v>6374259</v>
      </c>
      <c r="C30" s="57">
        <f t="shared" si="8"/>
        <v>3642</v>
      </c>
      <c r="D30" s="48">
        <f t="shared" si="7"/>
        <v>771.61018121999996</v>
      </c>
      <c r="E30" s="54">
        <v>503793</v>
      </c>
      <c r="F30" s="58">
        <f t="shared" si="9"/>
        <v>189</v>
      </c>
      <c r="G30" s="50">
        <f t="shared" si="5"/>
        <v>160.16994</v>
      </c>
      <c r="H30" s="50">
        <f t="shared" si="6"/>
        <v>160.16994</v>
      </c>
      <c r="I30" s="51">
        <f t="shared" si="2"/>
        <v>320.33987999999999</v>
      </c>
      <c r="J30" s="39">
        <f>6850+6500</f>
        <v>13350</v>
      </c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>
        <v>6377901</v>
      </c>
      <c r="C31" s="55">
        <f t="shared" si="8"/>
        <v>4123</v>
      </c>
      <c r="D31" s="48">
        <f t="shared" si="7"/>
        <v>873.51696243000004</v>
      </c>
      <c r="E31" s="54">
        <v>503982</v>
      </c>
      <c r="F31" s="56">
        <f t="shared" si="9"/>
        <v>184</v>
      </c>
      <c r="G31" s="45">
        <f t="shared" si="5"/>
        <v>155.93263999999999</v>
      </c>
      <c r="H31" s="45">
        <f t="shared" si="6"/>
        <v>155.93263999999999</v>
      </c>
      <c r="I31" s="51">
        <f t="shared" si="2"/>
        <v>311.86527999999998</v>
      </c>
      <c r="J31" s="39">
        <f>6850+6500</f>
        <v>13350</v>
      </c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>
        <v>6382024</v>
      </c>
      <c r="C32" s="57">
        <f t="shared" si="8"/>
        <v>3268</v>
      </c>
      <c r="D32" s="48">
        <f t="shared" si="7"/>
        <v>692.37289188</v>
      </c>
      <c r="E32" s="54">
        <v>504166</v>
      </c>
      <c r="F32" s="58">
        <f t="shared" si="9"/>
        <v>-504166</v>
      </c>
      <c r="G32" s="50">
        <f t="shared" si="5"/>
        <v>-427260.51835999999</v>
      </c>
      <c r="H32" s="50">
        <f t="shared" si="6"/>
        <v>-427260.51835999999</v>
      </c>
      <c r="I32" s="51">
        <f t="shared" si="2"/>
        <v>-854521.03671999997</v>
      </c>
      <c r="J32" s="39">
        <f>6850+6500</f>
        <v>13350</v>
      </c>
      <c r="K32" s="40">
        <f t="shared" si="3"/>
        <v>13350</v>
      </c>
      <c r="L32" s="41">
        <f t="shared" si="4"/>
        <v>7876.5</v>
      </c>
    </row>
    <row r="33" spans="1:12" ht="32.450000000000003" customHeight="1">
      <c r="A33" s="42">
        <v>27</v>
      </c>
      <c r="B33" s="42">
        <v>6385292</v>
      </c>
      <c r="C33" s="55">
        <f t="shared" si="8"/>
        <v>-6385292</v>
      </c>
      <c r="D33" s="48">
        <f t="shared" si="7"/>
        <v>-1352816.12225772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09">
        <v>31</v>
      </c>
      <c r="B37" s="109"/>
      <c r="C37" s="110">
        <f t="shared" ref="C37" si="10">B38-B37</f>
        <v>0</v>
      </c>
      <c r="D37" s="111">
        <f t="shared" si="7"/>
        <v>0</v>
      </c>
      <c r="E37" s="112"/>
      <c r="F37" s="110">
        <f t="shared" ref="F37" si="11">E38-E37</f>
        <v>0</v>
      </c>
      <c r="G37" s="113">
        <f t="shared" ref="G37" si="12">F37*0.84746</f>
        <v>0</v>
      </c>
      <c r="H37" s="113">
        <f t="shared" ref="H37" si="13">F37*0.84746</f>
        <v>0</v>
      </c>
      <c r="I37" s="114">
        <f t="shared" ref="I37" si="14">G37+H37</f>
        <v>0</v>
      </c>
      <c r="J37" s="115"/>
      <c r="K37" s="116">
        <f t="shared" ref="K37" si="15">J37-J38</f>
        <v>0</v>
      </c>
      <c r="L37" s="117">
        <f t="shared" ref="L37" si="16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2021-12-28T06:26:28Z</dcterms:modified>
  <cp:category/>
  <cp:contentStatus/>
</cp:coreProperties>
</file>