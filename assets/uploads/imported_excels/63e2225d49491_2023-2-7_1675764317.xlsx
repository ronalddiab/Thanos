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2\1. January 2022\"/>
    </mc:Choice>
  </mc:AlternateContent>
  <xr:revisionPtr revIDLastSave="60" documentId="11_73ABE33DB05C8F2F1640A99E1BDE32DE9F6CFA9D" xr6:coauthVersionLast="47" xr6:coauthVersionMax="47" xr10:uidLastSave="{795EEC43-95BA-4162-8290-63439E3A6FA5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anuary 2023" sheetId="14" r:id="rId2"/>
    <sheet name="RNs &amp; Covers January 2023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6" i="14" l="1"/>
  <c r="AH48" i="14"/>
  <c r="C46" i="14"/>
  <c r="AL48" i="14"/>
  <c r="AL47" i="14"/>
  <c r="AA48" i="14"/>
  <c r="P48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AH46" i="14"/>
  <c r="Y46" i="14"/>
  <c r="AH11" i="14" l="1"/>
  <c r="X46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AI12" i="14" l="1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O16" i="14" s="1"/>
  <c r="I17" i="14"/>
  <c r="O17" i="14" s="1"/>
  <c r="I18" i="14"/>
  <c r="O18" i="14" s="1"/>
  <c r="I19" i="14"/>
  <c r="I20" i="14"/>
  <c r="O20" i="14" s="1"/>
  <c r="I21" i="14"/>
  <c r="I22" i="14"/>
  <c r="I23" i="14"/>
  <c r="I24" i="14"/>
  <c r="O24" i="14" s="1"/>
  <c r="I25" i="14"/>
  <c r="O25" i="14" s="1"/>
  <c r="I26" i="14"/>
  <c r="O26" i="14" s="1"/>
  <c r="I27" i="14"/>
  <c r="I28" i="14"/>
  <c r="O28" i="14" s="1"/>
  <c r="I29" i="14"/>
  <c r="I30" i="14"/>
  <c r="I31" i="14"/>
  <c r="I32" i="14"/>
  <c r="O32" i="14" s="1"/>
  <c r="I33" i="14"/>
  <c r="O33" i="14" s="1"/>
  <c r="I34" i="14"/>
  <c r="O34" i="14" s="1"/>
  <c r="I35" i="14"/>
  <c r="I36" i="14"/>
  <c r="O36" i="14" s="1"/>
  <c r="I37" i="14"/>
  <c r="I38" i="14"/>
  <c r="I39" i="14"/>
  <c r="I40" i="14"/>
  <c r="O40" i="14" s="1"/>
  <c r="I41" i="14"/>
  <c r="O41" i="14" s="1"/>
  <c r="I42" i="14"/>
  <c r="O42" i="14" s="1"/>
  <c r="I12" i="14"/>
  <c r="I46" i="14" s="1"/>
  <c r="O21" i="14" l="1"/>
  <c r="O13" i="14"/>
  <c r="O38" i="14"/>
  <c r="O22" i="14"/>
  <c r="O14" i="14"/>
  <c r="O30" i="14"/>
  <c r="O23" i="14"/>
  <c r="O15" i="14"/>
  <c r="O39" i="14"/>
  <c r="O31" i="14"/>
  <c r="O37" i="14"/>
  <c r="O29" i="14"/>
  <c r="O35" i="14"/>
  <c r="O27" i="14"/>
  <c r="O19" i="14"/>
  <c r="O12" i="14"/>
  <c r="P46" i="14"/>
  <c r="L46" i="14"/>
  <c r="K46" i="14"/>
  <c r="J46" i="14"/>
  <c r="H46" i="14"/>
  <c r="G46" i="14"/>
  <c r="F46" i="14"/>
  <c r="E46" i="14"/>
  <c r="AK46" i="14" l="1"/>
  <c r="AL46" i="14" s="1"/>
  <c r="AI46" i="14"/>
  <c r="AF46" i="14"/>
  <c r="AE46" i="14"/>
  <c r="M46" i="14"/>
  <c r="D46" i="14"/>
  <c r="Z46" i="14"/>
  <c r="W46" i="14"/>
  <c r="E32" i="11" l="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<sst xmlns="http://schemas.openxmlformats.org/spreadsheetml/2006/main" count="101" uniqueCount="55">
  <si>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</si>
  <si>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</si>
  <si>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</si>
  <si>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</si>
  <si>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</si>
  <si>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</si>
  <si>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</si>
  <si>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</si>
  <si>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</si>
  <si>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</si>
  <si>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</si>
  <si>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</si>
  <si>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</si>
  <si>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</si>
  <si>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</si>
  <si>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</si>
  <si>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</si>
  <si>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2023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</si>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</sst>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</cellStyleXfs>
  <cellXfs count="271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8" fillId="0" borderId="0" xfId="2" applyNumberFormat="1" applyFont="1" applyBorder="1"/>
    <xf numFmtId="0" fontId="16" fillId="3" borderId="0" xfId="0" applyFont="1" applyFill="1"/>
    <xf numFmtId="165" fontId="16" fillId="0" borderId="0" xfId="2" applyNumberFormat="1" applyFont="1"/>
    <xf numFmtId="0" fontId="16" fillId="0" borderId="0" xfId="0" applyFont="1"/>
    <xf numFmtId="164" fontId="17" fillId="0" borderId="0" xfId="2" applyFont="1"/>
    <xf numFmtId="165" fontId="17" fillId="0" borderId="0" xfId="2" applyNumberFormat="1" applyFont="1"/>
    <xf numFmtId="168" fontId="16" fillId="0" borderId="0" xfId="2" applyNumberFormat="1" applyFont="1"/>
    <xf numFmtId="167" fontId="16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6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6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8" fontId="0" fillId="0" borderId="67" xfId="2" applyNumberFormat="1" applyFont="1" applyBorder="1"/>
    <xf numFmtId="9" fontId="16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166" fontId="19" fillId="0" borderId="8" xfId="0" applyNumberFormat="1" applyFont="1" applyBorder="1"/>
    <xf numFmtId="37" fontId="19" fillId="0" borderId="8" xfId="0" applyNumberFormat="1" applyFont="1" applyBorder="1"/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" fontId="1" fillId="12" borderId="6" xfId="0" applyNumberFormat="1" applyFont="1" applyFill="1" applyBorder="1"/>
    <xf numFmtId="164" fontId="0" fillId="0" borderId="29" xfId="2" applyFont="1" applyBorder="1"/>
    <xf numFmtId="166" fontId="19" fillId="0" borderId="67" xfId="0" applyNumberFormat="1" applyFont="1" applyBorder="1"/>
    <xf numFmtId="37" fontId="19" fillId="0" borderId="29" xfId="0" applyNumberFormat="1" applyFont="1" applyBorder="1"/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7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31" xfId="2" applyNumberFormat="1" applyFont="1" applyFill="1" applyBorder="1"/>
    <xf numFmtId="1" fontId="1" fillId="12" borderId="33" xfId="2" applyNumberFormat="1" applyFont="1" applyFill="1" applyBorder="1"/>
    <xf numFmtId="1" fontId="1" fillId="12" borderId="6" xfId="2" applyNumberFormat="1" applyFont="1" applyFill="1" applyBorder="1"/>
    <xf numFmtId="1" fontId="1" fillId="12" borderId="7" xfId="0" applyNumberFormat="1" applyFont="1" applyFill="1" applyBorder="1"/>
    <xf numFmtId="164" fontId="20" fillId="3" borderId="8" xfId="2" applyFont="1" applyFill="1" applyBorder="1" applyProtection="1">
      <protection locked="0"/>
    </xf>
    <xf numFmtId="166" fontId="1" fillId="0" borderId="24" xfId="0" applyNumberFormat="1" applyFont="1" applyBorder="1" applyAlignment="1">
      <alignment horizontal="center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5" fontId="0" fillId="0" borderId="69" xfId="2" applyNumberFormat="1" applyFont="1" applyBorder="1"/>
    <xf numFmtId="165" fontId="0" fillId="0" borderId="12" xfId="2" applyNumberFormat="1" applyFont="1" applyBorder="1"/>
    <xf numFmtId="165" fontId="4" fillId="0" borderId="0" xfId="0" applyNumberFormat="1" applyFont="1"/>
    <xf numFmtId="1" fontId="21" fillId="4" borderId="23" xfId="0" applyNumberFormat="1" applyFont="1" applyFill="1" applyBorder="1"/>
    <xf numFmtId="1" fontId="0" fillId="4" borderId="6" xfId="2" applyNumberFormat="1" applyFont="1" applyFill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workbookViewId="0">
      <selection activeCell="L34" sqref="L34"/>
    </sheetView>
  </sheetViews>
  <sheetFormatPr defaultColWidth="11.5703125" defaultRowHeight="15"/>
  <cols>
    <col min="1" max="1" width="18.42578125" style="125" customWidth="1"/>
    <col min="2" max="2" width="11.5703125" style="126"/>
    <col min="3" max="3" width="11.5703125" style="127"/>
    <col min="4" max="4" width="13.42578125" style="126" customWidth="1"/>
    <col min="5" max="5" width="12.5703125" style="124" customWidth="1"/>
    <col min="6" max="6" width="12.5703125" style="128" customWidth="1"/>
    <col min="7" max="7" width="11.5703125" style="124"/>
    <col min="8" max="8" width="11.5703125" style="128"/>
    <col min="9" max="9" width="11.5703125" style="129"/>
    <col min="10" max="10" width="11.5703125" style="130"/>
    <col min="11" max="11" width="11.5703125" style="124"/>
    <col min="12" max="12" width="11.5703125" style="130"/>
    <col min="13" max="25" width="11.5703125" style="124"/>
  </cols>
  <sheetData>
    <row r="1" spans="1:15" s="118" customFormat="1" ht="60">
      <c r="A1" s="114" t="s">
        <v>0</v>
      </c>
      <c r="B1" s="114" t="s">
        <v>1</v>
      </c>
      <c r="C1" s="115" t="s">
        <v>2</v>
      </c>
      <c r="D1" s="114" t="s">
        <v>3</v>
      </c>
      <c r="E1" s="113" t="s">
        <v>4</v>
      </c>
      <c r="F1" s="116" t="s">
        <v>5</v>
      </c>
      <c r="G1" s="113" t="s">
        <v>6</v>
      </c>
      <c r="H1" s="116" t="s">
        <v>7</v>
      </c>
      <c r="I1" s="113" t="s">
        <v>8</v>
      </c>
      <c r="J1" s="116" t="s">
        <v>9</v>
      </c>
      <c r="K1" s="113" t="s">
        <v>10</v>
      </c>
      <c r="L1" s="117" t="s">
        <v>11</v>
      </c>
      <c r="M1" s="113" t="s">
        <v>12</v>
      </c>
      <c r="N1" s="113" t="s">
        <v>13</v>
      </c>
    </row>
    <row r="2" spans="1:15">
      <c r="A2" s="119" t="s">
        <v>14</v>
      </c>
      <c r="B2" s="120">
        <v>1</v>
      </c>
      <c r="C2" s="121">
        <v>1</v>
      </c>
      <c r="D2" s="120">
        <v>2022</v>
      </c>
      <c r="E2" s="122">
        <f>'FS Jimbaran January 2023'!P12</f>
        <v>24200.000000000728</v>
      </c>
      <c r="F2" s="131">
        <f>'FS Jimbaran January 2023'!O12/'FS Jimbaran January 2023'!P12</f>
        <v>1199.9211694214841</v>
      </c>
      <c r="G2" s="122">
        <f>'FS Jimbaran January 2023'!AG12</f>
        <v>693.54103999998699</v>
      </c>
      <c r="H2" s="131">
        <f>'FS Jimbaran January 2023'!AH12/'FS Jimbaran January 2023'!AG12</f>
        <v>15233.910009292593</v>
      </c>
      <c r="I2" s="122">
        <f>'FS Jimbaran January 2023'!AJ12</f>
        <v>55.220000000001164</v>
      </c>
      <c r="J2" s="123">
        <f>'FS Jimbaran January 2023'!AK12/'FS Jimbaran January 2023'!AJ12</f>
        <v>12000</v>
      </c>
      <c r="K2" s="122">
        <f>'FS Jimbaran January 2023'!V12</f>
        <v>538</v>
      </c>
      <c r="L2" s="131">
        <f>'FS Jimbaran January 2023'!AA12/'FS Jimbaran January 2023'!V12</f>
        <v>11223.718959107806</v>
      </c>
      <c r="M2" s="122">
        <f>'RNs &amp; Covers January 2023'!B6</f>
        <v>145</v>
      </c>
      <c r="N2" s="122">
        <f>'RNs &amp; Covers January 2023'!C6</f>
        <v>881</v>
      </c>
    </row>
    <row r="3" spans="1:15">
      <c r="A3" s="119" t="s">
        <v>14</v>
      </c>
      <c r="B3" s="120">
        <f>B2+1</f>
        <v>2</v>
      </c>
      <c r="C3" s="121">
        <v>1</v>
      </c>
      <c r="D3" s="120">
        <v>2022</v>
      </c>
      <c r="E3" s="122">
        <f>'FS Jimbaran January 2023'!P13</f>
        <v>23799.999999999953</v>
      </c>
      <c r="F3" s="131">
        <f>'FS Jimbaran January 2023'!O13/'FS Jimbaran January 2023'!P13</f>
        <v>1197.2398235294163</v>
      </c>
      <c r="G3" s="122">
        <f>'FS Jimbaran January 2023'!AG13</f>
        <v>706.14180000000772</v>
      </c>
      <c r="H3" s="131">
        <f>'FS Jimbaran January 2023'!AH13/'FS Jimbaran January 2023'!AG13</f>
        <v>15388.838011705868</v>
      </c>
      <c r="I3" s="122">
        <f>'FS Jimbaran January 2023'!AJ13</f>
        <v>55.229999999995925</v>
      </c>
      <c r="J3" s="123">
        <f>'FS Jimbaran January 2023'!AK13/'FS Jimbaran January 2023'!AJ13</f>
        <v>12000</v>
      </c>
      <c r="K3" s="122">
        <f>'FS Jimbaran January 2023'!V13</f>
        <v>660</v>
      </c>
      <c r="L3" s="131">
        <f>'FS Jimbaran January 2023'!AA13/'FS Jimbaran January 2023'!V13</f>
        <v>9912.1994545454563</v>
      </c>
      <c r="M3" s="122">
        <f>'RNs &amp; Covers January 2023'!B7</f>
        <v>132</v>
      </c>
      <c r="N3" s="122">
        <f>'RNs &amp; Covers January 2023'!C7</f>
        <v>872</v>
      </c>
    </row>
    <row r="4" spans="1:15">
      <c r="A4" s="119" t="s">
        <v>14</v>
      </c>
      <c r="B4" s="120">
        <f t="shared" ref="B4:B32" si="0">B3+1</f>
        <v>3</v>
      </c>
      <c r="C4" s="121">
        <v>1</v>
      </c>
      <c r="D4" s="120">
        <v>2022</v>
      </c>
      <c r="E4" s="122">
        <f>'FS Jimbaran January 2023'!P14</f>
        <v>22979.99999999905</v>
      </c>
      <c r="F4" s="131">
        <f>'FS Jimbaran January 2023'!O14/'FS Jimbaran January 2023'!P14</f>
        <v>1197.367088772846</v>
      </c>
      <c r="G4" s="122">
        <f>'FS Jimbaran January 2023'!AG14</f>
        <v>787.283880000012</v>
      </c>
      <c r="H4" s="131">
        <f>'FS Jimbaran January 2023'!AH14/'FS Jimbaran January 2023'!AG14</f>
        <v>15727.576181647719</v>
      </c>
      <c r="I4" s="122">
        <f>'FS Jimbaran January 2023'!AJ14</f>
        <v>52.790000000008149</v>
      </c>
      <c r="J4" s="123">
        <f>'FS Jimbaran January 2023'!AK14/'FS Jimbaran January 2023'!AJ14</f>
        <v>12000</v>
      </c>
      <c r="K4" s="122">
        <f>'FS Jimbaran January 2023'!V14</f>
        <v>562</v>
      </c>
      <c r="L4" s="131">
        <f>'FS Jimbaran January 2023'!AA14/'FS Jimbaran January 2023'!V14</f>
        <v>10870.010035587189</v>
      </c>
      <c r="M4" s="122">
        <f>'RNs &amp; Covers January 2023'!B8</f>
        <v>126</v>
      </c>
      <c r="N4" s="122">
        <f>'RNs &amp; Covers January 2023'!C8</f>
        <v>803</v>
      </c>
    </row>
    <row r="5" spans="1:15">
      <c r="A5" s="119" t="s">
        <v>14</v>
      </c>
      <c r="B5" s="120">
        <f t="shared" si="0"/>
        <v>4</v>
      </c>
      <c r="C5" s="121">
        <v>1</v>
      </c>
      <c r="D5" s="120">
        <v>2022</v>
      </c>
      <c r="E5" s="122">
        <f>'FS Jimbaran January 2023'!P15</f>
        <v>25800.000000000411</v>
      </c>
      <c r="F5" s="131">
        <f>'FS Jimbaran January 2023'!O15/'FS Jimbaran January 2023'!P15</f>
        <v>1196.3259000000048</v>
      </c>
      <c r="G5" s="122">
        <f>'FS Jimbaran January 2023'!AG15</f>
        <v>225.76252000000056</v>
      </c>
      <c r="H5" s="131">
        <f>'FS Jimbaran January 2023'!AH15/'FS Jimbaran January 2023'!AG15</f>
        <v>14985.685609816917</v>
      </c>
      <c r="I5" s="122">
        <f>'FS Jimbaran January 2023'!AJ15</f>
        <v>854.11000000000058</v>
      </c>
      <c r="J5" s="123">
        <f>'FS Jimbaran January 2023'!AK15/'FS Jimbaran January 2023'!AJ15</f>
        <v>12000</v>
      </c>
      <c r="K5" s="122">
        <f>'FS Jimbaran January 2023'!V15</f>
        <v>749</v>
      </c>
      <c r="L5" s="131">
        <f>'FS Jimbaran January 2023'!AA15/'FS Jimbaran January 2023'!V15</f>
        <v>9161.6968758344465</v>
      </c>
      <c r="M5" s="122">
        <f>'RNs &amp; Covers January 2023'!B9</f>
        <v>131</v>
      </c>
      <c r="N5" s="122">
        <f>'RNs &amp; Covers January 2023'!C9</f>
        <v>819</v>
      </c>
    </row>
    <row r="6" spans="1:15">
      <c r="A6" s="119" t="s">
        <v>14</v>
      </c>
      <c r="B6" s="120">
        <f t="shared" si="0"/>
        <v>5</v>
      </c>
      <c r="C6" s="121">
        <v>1</v>
      </c>
      <c r="D6" s="120">
        <v>2022</v>
      </c>
      <c r="E6" s="122">
        <f>'FS Jimbaran January 2023'!P16</f>
        <v>23780.000000000597</v>
      </c>
      <c r="F6" s="131">
        <f>'FS Jimbaran January 2023'!O16/'FS Jimbaran January 2023'!P16</f>
        <v>1194.1306387720704</v>
      </c>
      <c r="G6" s="122">
        <f>'FS Jimbaran January 2023'!AG16</f>
        <v>180.73291999999992</v>
      </c>
      <c r="H6" s="131">
        <f>'FS Jimbaran January 2023'!AH16/'FS Jimbaran January 2023'!AG16</f>
        <v>15065.056986851072</v>
      </c>
      <c r="I6" s="122">
        <f>'FS Jimbaran January 2023'!AJ16</f>
        <v>529.06999999999243</v>
      </c>
      <c r="J6" s="123">
        <f>'FS Jimbaran January 2023'!AK16/'FS Jimbaran January 2023'!AJ16</f>
        <v>12000</v>
      </c>
      <c r="K6" s="122">
        <f>'FS Jimbaran January 2023'!V16</f>
        <v>667</v>
      </c>
      <c r="L6" s="131">
        <f>'FS Jimbaran January 2023'!AA16/'FS Jimbaran January 2023'!V16</f>
        <v>10027.118020989505</v>
      </c>
      <c r="M6" s="122">
        <f>'RNs &amp; Covers January 2023'!B10</f>
        <v>127</v>
      </c>
      <c r="N6" s="122">
        <f>'RNs &amp; Covers January 2023'!C10</f>
        <v>835</v>
      </c>
    </row>
    <row r="7" spans="1:15">
      <c r="A7" s="119" t="s">
        <v>14</v>
      </c>
      <c r="B7" s="120">
        <f t="shared" si="0"/>
        <v>6</v>
      </c>
      <c r="C7" s="121">
        <v>1</v>
      </c>
      <c r="D7" s="120">
        <v>2022</v>
      </c>
      <c r="E7" s="122">
        <f>'FS Jimbaran January 2023'!P17</f>
        <v>25200.000000000498</v>
      </c>
      <c r="F7" s="131">
        <f>'FS Jimbaran January 2023'!O17/'FS Jimbaran January 2023'!P17</f>
        <v>1195.4627499999979</v>
      </c>
      <c r="G7" s="122">
        <f>'FS Jimbaran January 2023'!AG17</f>
        <v>201.84308000000004</v>
      </c>
      <c r="H7" s="131">
        <f>'FS Jimbaran January 2023'!AH17/'FS Jimbaran January 2023'!AG17</f>
        <v>14723.807623228891</v>
      </c>
      <c r="I7" s="122">
        <f>'FS Jimbaran January 2023'!AJ17</f>
        <v>469.65000000000873</v>
      </c>
      <c r="J7" s="123">
        <f>'FS Jimbaran January 2023'!AK17/'FS Jimbaran January 2023'!AJ17</f>
        <v>11999.999999999998</v>
      </c>
      <c r="K7" s="122">
        <f>'FS Jimbaran January 2023'!V17</f>
        <v>484</v>
      </c>
      <c r="L7" s="131">
        <f>'FS Jimbaran January 2023'!AA17/'FS Jimbaran January 2023'!V17</f>
        <v>10957.728099173555</v>
      </c>
      <c r="M7" s="122">
        <f>'RNs &amp; Covers January 2023'!B11</f>
        <v>120</v>
      </c>
      <c r="N7" s="122">
        <f>'RNs &amp; Covers January 2023'!C11</f>
        <v>730</v>
      </c>
    </row>
    <row r="8" spans="1:15">
      <c r="A8" s="119" t="s">
        <v>14</v>
      </c>
      <c r="B8" s="120">
        <f t="shared" si="0"/>
        <v>7</v>
      </c>
      <c r="C8" s="121">
        <v>1</v>
      </c>
      <c r="D8" s="120">
        <v>2022</v>
      </c>
      <c r="E8" s="122">
        <f>'FS Jimbaran January 2023'!P18</f>
        <v>24259.999999998567</v>
      </c>
      <c r="F8" s="131">
        <f>'FS Jimbaran January 2023'!O18/'FS Jimbaran January 2023'!P18</f>
        <v>1195.6086244847575</v>
      </c>
      <c r="G8" s="122">
        <f>'FS Jimbaran January 2023'!AG18</f>
        <v>260.40676000001588</v>
      </c>
      <c r="H8" s="131">
        <f>'FS Jimbaran January 2023'!AH18/'FS Jimbaran January 2023'!AG18</f>
        <v>14687.233814861096</v>
      </c>
      <c r="I8" s="122">
        <f>'FS Jimbaran January 2023'!AJ18</f>
        <v>551.97000000000116</v>
      </c>
      <c r="J8" s="123">
        <f>'FS Jimbaran January 2023'!AK18/'FS Jimbaran January 2023'!AJ18</f>
        <v>12000</v>
      </c>
      <c r="K8" s="122">
        <f>'FS Jimbaran January 2023'!V18</f>
        <v>644</v>
      </c>
      <c r="L8" s="131">
        <f>'FS Jimbaran January 2023'!AA18/'FS Jimbaran January 2023'!V18</f>
        <v>10129.293850931677</v>
      </c>
      <c r="M8" s="122">
        <f>'RNs &amp; Covers January 2023'!B12</f>
        <v>121</v>
      </c>
      <c r="N8" s="122">
        <f>'RNs &amp; Covers January 2023'!C12</f>
        <v>765</v>
      </c>
    </row>
    <row r="9" spans="1:15">
      <c r="A9" s="119" t="s">
        <v>14</v>
      </c>
      <c r="B9" s="120">
        <f t="shared" si="0"/>
        <v>8</v>
      </c>
      <c r="C9" s="121">
        <v>1</v>
      </c>
      <c r="D9" s="120">
        <v>2022</v>
      </c>
      <c r="E9" s="122">
        <f>'FS Jimbaran January 2023'!P19</f>
        <v>23420.000000000298</v>
      </c>
      <c r="F9" s="131">
        <f>'FS Jimbaran January 2023'!O19/'FS Jimbaran January 2023'!P19</f>
        <v>1199.4836579846308</v>
      </c>
      <c r="G9" s="122">
        <f>'FS Jimbaran January 2023'!AG19</f>
        <v>180.33356000000083</v>
      </c>
      <c r="H9" s="131">
        <f>'FS Jimbaran January 2023'!AH19/'FS Jimbaran January 2023'!AG19</f>
        <v>14261.688630779556</v>
      </c>
      <c r="I9" s="122">
        <f>'FS Jimbaran January 2023'!AJ19</f>
        <v>458.83000000000175</v>
      </c>
      <c r="J9" s="123">
        <f>'FS Jimbaran January 2023'!AK19/'FS Jimbaran January 2023'!AJ19</f>
        <v>11999.999999999998</v>
      </c>
      <c r="K9" s="122">
        <f>'FS Jimbaran January 2023'!V19</f>
        <v>729</v>
      </c>
      <c r="L9" s="131">
        <f>'FS Jimbaran January 2023'!AA19/'FS Jimbaran January 2023'!V19</f>
        <v>9303.2752263374496</v>
      </c>
      <c r="M9" s="122">
        <f>'RNs &amp; Covers January 2023'!B13</f>
        <v>105</v>
      </c>
      <c r="N9" s="122">
        <f>'RNs &amp; Covers January 2023'!C13</f>
        <v>672</v>
      </c>
      <c r="O9" s="124" t="s">
        <v>15</v>
      </c>
    </row>
    <row r="10" spans="1:15">
      <c r="A10" s="119" t="s">
        <v>14</v>
      </c>
      <c r="B10" s="120">
        <f t="shared" si="0"/>
        <v>9</v>
      </c>
      <c r="C10" s="121">
        <v>1</v>
      </c>
      <c r="D10" s="120">
        <v>2022</v>
      </c>
      <c r="E10" s="122">
        <f>'FS Jimbaran January 2023'!P20</f>
        <v>22619.999999999833</v>
      </c>
      <c r="F10" s="131">
        <f>'FS Jimbaran January 2023'!O20/'FS Jimbaran January 2023'!P20</f>
        <v>1193.344941644553</v>
      </c>
      <c r="G10" s="122">
        <f>'FS Jimbaran January 2023'!AG20</f>
        <v>489.98063999995873</v>
      </c>
      <c r="H10" s="131">
        <f>'FS Jimbaran January 2023'!AH20/'FS Jimbaran January 2023'!AG20</f>
        <v>15660.75892696005</v>
      </c>
      <c r="I10" s="122">
        <f>'FS Jimbaran January 2023'!AJ20</f>
        <v>296.67999999999302</v>
      </c>
      <c r="J10" s="123">
        <f>'FS Jimbaran January 2023'!AK20/'FS Jimbaran January 2023'!AJ20</f>
        <v>12000</v>
      </c>
      <c r="K10" s="122">
        <f>'FS Jimbaran January 2023'!V20</f>
        <v>715</v>
      </c>
      <c r="L10" s="131">
        <f>'FS Jimbaran January 2023'!AA20/'FS Jimbaran January 2023'!V20</f>
        <v>9096.7140699300708</v>
      </c>
      <c r="M10" s="122">
        <f>'RNs &amp; Covers January 2023'!B14</f>
        <v>101</v>
      </c>
      <c r="N10" s="122">
        <f>'RNs &amp; Covers January 2023'!C14</f>
        <v>670</v>
      </c>
    </row>
    <row r="11" spans="1:15">
      <c r="A11" s="119" t="s">
        <v>14</v>
      </c>
      <c r="B11" s="120">
        <f t="shared" si="0"/>
        <v>10</v>
      </c>
      <c r="C11" s="121">
        <v>1</v>
      </c>
      <c r="D11" s="120">
        <v>2022</v>
      </c>
      <c r="E11" s="122">
        <f>'FS Jimbaran January 2023'!P21</f>
        <v>22920.00000000024</v>
      </c>
      <c r="F11" s="131">
        <f>'FS Jimbaran January 2023'!O21/'FS Jimbaran January 2023'!P21</f>
        <v>1197.1800117801106</v>
      </c>
      <c r="G11" s="122">
        <f>'FS Jimbaran January 2023'!AG21</f>
        <v>648.30316000001494</v>
      </c>
      <c r="H11" s="131">
        <f>'FS Jimbaran January 2023'!AH21/'FS Jimbaran January 2023'!AG21</f>
        <v>15318.779935911467</v>
      </c>
      <c r="I11" s="122">
        <f>'FS Jimbaran January 2023'!AJ21</f>
        <v>58.350000000005821</v>
      </c>
      <c r="J11" s="123">
        <f>'FS Jimbaran January 2023'!AK21/'FS Jimbaran January 2023'!AJ21</f>
        <v>12000</v>
      </c>
      <c r="K11" s="122">
        <f>'FS Jimbaran January 2023'!V21</f>
        <v>600</v>
      </c>
      <c r="L11" s="131">
        <f>'FS Jimbaran January 2023'!AA21/'FS Jimbaran January 2023'!V21</f>
        <v>9325.3794666666654</v>
      </c>
      <c r="M11" s="122">
        <f>'RNs &amp; Covers January 2023'!B15</f>
        <v>82</v>
      </c>
      <c r="N11" s="122">
        <f>'RNs &amp; Covers January 2023'!C15</f>
        <v>523</v>
      </c>
    </row>
    <row r="12" spans="1:15">
      <c r="A12" s="119" t="s">
        <v>14</v>
      </c>
      <c r="B12" s="120">
        <f t="shared" si="0"/>
        <v>11</v>
      </c>
      <c r="C12" s="121">
        <v>1</v>
      </c>
      <c r="D12" s="120">
        <v>2022</v>
      </c>
      <c r="E12" s="122">
        <f>'FS Jimbaran January 2023'!P22</f>
        <v>22800.000000000182</v>
      </c>
      <c r="F12" s="131">
        <f>'FS Jimbaran January 2023'!O22/'FS Jimbaran January 2023'!P22</f>
        <v>1191.5558605263182</v>
      </c>
      <c r="G12" s="122">
        <f>'FS Jimbaran January 2023'!AG22</f>
        <v>700.26435999997705</v>
      </c>
      <c r="H12" s="131">
        <f>'FS Jimbaran January 2023'!AH22/'FS Jimbaran January 2023'!AG22</f>
        <v>15456.035788924053</v>
      </c>
      <c r="I12" s="122">
        <f>'FS Jimbaran January 2023'!AJ22</f>
        <v>58.369999999995343</v>
      </c>
      <c r="J12" s="123">
        <f>'FS Jimbaran January 2023'!AK22/'FS Jimbaran January 2023'!AJ22</f>
        <v>12000</v>
      </c>
      <c r="K12" s="122">
        <f>'FS Jimbaran January 2023'!V22</f>
        <v>715</v>
      </c>
      <c r="L12" s="131">
        <f>'FS Jimbaran January 2023'!AA22/'FS Jimbaran January 2023'!V22</f>
        <v>9136.2527552447555</v>
      </c>
      <c r="M12" s="122">
        <f>'RNs &amp; Covers January 2023'!B16</f>
        <v>83</v>
      </c>
      <c r="N12" s="122">
        <f>'RNs &amp; Covers January 2023'!C16</f>
        <v>520</v>
      </c>
    </row>
    <row r="13" spans="1:15">
      <c r="A13" s="119" t="s">
        <v>14</v>
      </c>
      <c r="B13" s="120">
        <f t="shared" si="0"/>
        <v>12</v>
      </c>
      <c r="C13" s="121">
        <v>1</v>
      </c>
      <c r="D13" s="120">
        <v>2022</v>
      </c>
      <c r="E13" s="122">
        <f>'FS Jimbaran January 2023'!P23</f>
        <v>23519.999999999694</v>
      </c>
      <c r="F13" s="131">
        <f>'FS Jimbaran January 2023'!O23/'FS Jimbaran January 2023'!P23</f>
        <v>1199.0078303571365</v>
      </c>
      <c r="G13" s="122">
        <f>'FS Jimbaran January 2023'!AG23</f>
        <v>265.04240000002955</v>
      </c>
      <c r="H13" s="131">
        <f>'FS Jimbaran January 2023'!AH23/'FS Jimbaran January 2023'!AG23</f>
        <v>14602.544887538097</v>
      </c>
      <c r="I13" s="122">
        <f>'FS Jimbaran January 2023'!AJ23</f>
        <v>382.95999999999185</v>
      </c>
      <c r="J13" s="123">
        <f>'FS Jimbaran January 2023'!AK23/'FS Jimbaran January 2023'!AJ23</f>
        <v>12000</v>
      </c>
      <c r="K13" s="122">
        <f>'FS Jimbaran January 2023'!V23</f>
        <v>683</v>
      </c>
      <c r="L13" s="131">
        <f>'FS Jimbaran January 2023'!AA23/'FS Jimbaran January 2023'!V23</f>
        <v>9612.7720644216697</v>
      </c>
      <c r="M13" s="122">
        <f>'RNs &amp; Covers January 2023'!B17</f>
        <v>77</v>
      </c>
      <c r="N13" s="122">
        <f>'RNs &amp; Covers January 2023'!C17</f>
        <v>519</v>
      </c>
    </row>
    <row r="14" spans="1:15">
      <c r="A14" s="119" t="s">
        <v>14</v>
      </c>
      <c r="B14" s="120">
        <f t="shared" si="0"/>
        <v>13</v>
      </c>
      <c r="C14" s="121">
        <v>1</v>
      </c>
      <c r="D14" s="120">
        <v>2022</v>
      </c>
      <c r="E14" s="122">
        <f>'FS Jimbaran January 2023'!P24</f>
        <v>23720.000000001164</v>
      </c>
      <c r="F14" s="131">
        <f>'FS Jimbaran January 2023'!O24/'FS Jimbaran January 2023'!P24</f>
        <v>1190.7321639966224</v>
      </c>
      <c r="G14" s="122">
        <f>'FS Jimbaran January 2023'!AG24</f>
        <v>182.62952000000149</v>
      </c>
      <c r="H14" s="131">
        <f>'FS Jimbaran January 2023'!AH24/'FS Jimbaran January 2023'!AG24</f>
        <v>12989.007498897276</v>
      </c>
      <c r="I14" s="122">
        <f>'FS Jimbaran January 2023'!AJ24</f>
        <v>377.77000000000407</v>
      </c>
      <c r="J14" s="123">
        <f>'FS Jimbaran January 2023'!AK24/'FS Jimbaran January 2023'!AJ24</f>
        <v>11999.999999999998</v>
      </c>
      <c r="K14" s="122">
        <f>'FS Jimbaran January 2023'!V24</f>
        <v>678</v>
      </c>
      <c r="L14" s="131">
        <f>'FS Jimbaran January 2023'!AA24/'FS Jimbaran January 2023'!V24</f>
        <v>9628.0953392330393</v>
      </c>
      <c r="M14" s="122">
        <f>'RNs &amp; Covers January 2023'!B18</f>
        <v>68</v>
      </c>
      <c r="N14" s="122">
        <f>'RNs &amp; Covers January 2023'!C18</f>
        <v>465</v>
      </c>
    </row>
    <row r="15" spans="1:15">
      <c r="A15" s="119" t="s">
        <v>14</v>
      </c>
      <c r="B15" s="120">
        <f t="shared" si="0"/>
        <v>14</v>
      </c>
      <c r="C15" s="121">
        <v>1</v>
      </c>
      <c r="D15" s="120">
        <v>2022</v>
      </c>
      <c r="E15" s="122">
        <f>'FS Jimbaran January 2023'!P25</f>
        <v>23239.999999999269</v>
      </c>
      <c r="F15" s="131">
        <f>'FS Jimbaran January 2023'!O25/'FS Jimbaran January 2023'!P25</f>
        <v>1195.6707379518175</v>
      </c>
      <c r="G15" s="122">
        <f>'FS Jimbaran January 2023'!AG25</f>
        <v>224.19503999998605</v>
      </c>
      <c r="H15" s="131">
        <f>'FS Jimbaran January 2023'!AH25/'FS Jimbaran January 2023'!AG25</f>
        <v>14154.009064771348</v>
      </c>
      <c r="I15" s="122">
        <f>'FS Jimbaran January 2023'!AJ25</f>
        <v>388.30000000000291</v>
      </c>
      <c r="J15" s="123">
        <f>'FS Jimbaran January 2023'!AK25/'FS Jimbaran January 2023'!AJ25</f>
        <v>12000.000000000002</v>
      </c>
      <c r="K15" s="122">
        <f>'FS Jimbaran January 2023'!V25</f>
        <v>633</v>
      </c>
      <c r="L15" s="131">
        <f>'FS Jimbaran January 2023'!AA25/'FS Jimbaran January 2023'!V25</f>
        <v>11183.707045813588</v>
      </c>
      <c r="M15" s="122">
        <f>'RNs &amp; Covers January 2023'!B19</f>
        <v>61</v>
      </c>
      <c r="N15" s="122">
        <f>'RNs &amp; Covers January 2023'!C19</f>
        <v>410</v>
      </c>
    </row>
    <row r="16" spans="1:15">
      <c r="A16" s="119" t="s">
        <v>14</v>
      </c>
      <c r="B16" s="120">
        <f t="shared" si="0"/>
        <v>15</v>
      </c>
      <c r="C16" s="121">
        <v>1</v>
      </c>
      <c r="D16" s="120">
        <v>2022</v>
      </c>
      <c r="E16" s="122">
        <f>'FS Jimbaran January 2023'!P26</f>
        <v>21800.000000000124</v>
      </c>
      <c r="F16" s="131">
        <f>'FS Jimbaran January 2023'!O26/'FS Jimbaran January 2023'!P26</f>
        <v>1196.3259000000012</v>
      </c>
      <c r="G16" s="122">
        <f>'FS Jimbaran January 2023'!AG26</f>
        <v>365.63972000000047</v>
      </c>
      <c r="H16" s="131">
        <f>'FS Jimbaran January 2023'!AH26/'FS Jimbaran January 2023'!AG26</f>
        <v>15371.483116842997</v>
      </c>
      <c r="I16" s="122">
        <f>'FS Jimbaran January 2023'!AJ26</f>
        <v>344.05000000000291</v>
      </c>
      <c r="J16" s="123">
        <f>'FS Jimbaran January 2023'!AK26/'FS Jimbaran January 2023'!AJ26</f>
        <v>12000</v>
      </c>
      <c r="K16" s="122">
        <f>'FS Jimbaran January 2023'!V26</f>
        <v>664</v>
      </c>
      <c r="L16" s="131">
        <f>'FS Jimbaran January 2023'!AA26/'FS Jimbaran January 2023'!V26</f>
        <v>9816.9850602409642</v>
      </c>
      <c r="M16" s="122">
        <f>'RNs &amp; Covers January 2023'!B20</f>
        <v>57</v>
      </c>
      <c r="N16" s="122">
        <f>'RNs &amp; Covers January 2023'!C20</f>
        <v>385</v>
      </c>
    </row>
    <row r="17" spans="1:14">
      <c r="A17" s="119" t="s">
        <v>14</v>
      </c>
      <c r="B17" s="120">
        <f t="shared" si="0"/>
        <v>16</v>
      </c>
      <c r="C17" s="121">
        <v>1</v>
      </c>
      <c r="D17" s="120">
        <v>2022</v>
      </c>
      <c r="E17" s="122">
        <f>'FS Jimbaran January 2023'!P27</f>
        <v>21580.000000000779</v>
      </c>
      <c r="F17" s="131">
        <f>'FS Jimbaran January 2023'!O27/'FS Jimbaran January 2023'!P27</f>
        <v>1192.3949277108345</v>
      </c>
      <c r="G17" s="122">
        <f>'FS Jimbaran January 2023'!AG27</f>
        <v>200.11104000001029</v>
      </c>
      <c r="H17" s="131">
        <f>'FS Jimbaran January 2023'!AH27/'FS Jimbaran January 2023'!AG27</f>
        <v>14279.642202093497</v>
      </c>
      <c r="I17" s="122">
        <f>'FS Jimbaran January 2023'!AJ27</f>
        <v>325.55000000000291</v>
      </c>
      <c r="J17" s="123">
        <f>'FS Jimbaran January 2023'!AK27/'FS Jimbaran January 2023'!AJ27</f>
        <v>12000</v>
      </c>
      <c r="K17" s="122">
        <f>'FS Jimbaran January 2023'!V27</f>
        <v>663</v>
      </c>
      <c r="L17" s="131">
        <f>'FS Jimbaran January 2023'!AA27/'FS Jimbaran January 2023'!V27</f>
        <v>9419.6133333333346</v>
      </c>
      <c r="M17" s="122">
        <f>'RNs &amp; Covers January 2023'!B21</f>
        <v>63</v>
      </c>
      <c r="N17" s="122">
        <f>'RNs &amp; Covers January 2023'!C21</f>
        <v>345</v>
      </c>
    </row>
    <row r="18" spans="1:14">
      <c r="A18" s="119" t="s">
        <v>14</v>
      </c>
      <c r="B18" s="120">
        <f t="shared" si="0"/>
        <v>17</v>
      </c>
      <c r="C18" s="121">
        <v>1</v>
      </c>
      <c r="D18" s="120">
        <v>2022</v>
      </c>
      <c r="E18" s="122">
        <f>'FS Jimbaran January 2023'!P28</f>
        <v>22379.999999998687</v>
      </c>
      <c r="F18" s="131">
        <f>'FS Jimbaran January 2023'!O28/'FS Jimbaran January 2023'!P28</f>
        <v>1197.3950026809698</v>
      </c>
      <c r="G18" s="122">
        <f>'FS Jimbaran January 2023'!AG28</f>
        <v>398.24492000000089</v>
      </c>
      <c r="H18" s="131">
        <f>'FS Jimbaran January 2023'!AH28/'FS Jimbaran January 2023'!AG28</f>
        <v>14740.299001209602</v>
      </c>
      <c r="I18" s="122">
        <f>'FS Jimbaran January 2023'!AJ28</f>
        <v>270.67999999999302</v>
      </c>
      <c r="J18" s="123">
        <f>'FS Jimbaran January 2023'!AK28/'FS Jimbaran January 2023'!AJ28</f>
        <v>12000</v>
      </c>
      <c r="K18" s="122">
        <f>'FS Jimbaran January 2023'!V28</f>
        <v>761</v>
      </c>
      <c r="L18" s="131">
        <f>'FS Jimbaran January 2023'!AA28/'FS Jimbaran January 2023'!V28</f>
        <v>9202.9125886990805</v>
      </c>
      <c r="M18" s="122">
        <f>'RNs &amp; Covers January 2023'!B22</f>
        <v>54</v>
      </c>
      <c r="N18" s="122">
        <f>'RNs &amp; Covers January 2023'!C22</f>
        <v>420</v>
      </c>
    </row>
    <row r="19" spans="1:14">
      <c r="A19" s="119" t="s">
        <v>14</v>
      </c>
      <c r="B19" s="120">
        <f t="shared" si="0"/>
        <v>18</v>
      </c>
      <c r="C19" s="121">
        <v>1</v>
      </c>
      <c r="D19" s="120">
        <v>2022</v>
      </c>
      <c r="E19" s="122">
        <f>'FS Jimbaran January 2023'!P29</f>
        <v>22140.00000000004</v>
      </c>
      <c r="F19" s="131">
        <f>'FS Jimbaran January 2023'!O29/'FS Jimbaran January 2023'!P29</f>
        <v>1189.7435040650469</v>
      </c>
      <c r="G19" s="122">
        <f>'FS Jimbaran January 2023'!AG29</f>
        <v>736.11943999998721</v>
      </c>
      <c r="H19" s="131">
        <f>'FS Jimbaran January 2023'!AH29/'FS Jimbaran January 2023'!AG29</f>
        <v>15530.028058930217</v>
      </c>
      <c r="I19" s="122">
        <f>'FS Jimbaran January 2023'!AJ29</f>
        <v>79.180000000007567</v>
      </c>
      <c r="J19" s="123">
        <f>'FS Jimbaran January 2023'!AK29/'FS Jimbaran January 2023'!AJ29</f>
        <v>12000</v>
      </c>
      <c r="K19" s="122">
        <f>'FS Jimbaran January 2023'!V29</f>
        <v>766</v>
      </c>
      <c r="L19" s="131">
        <f>'FS Jimbaran January 2023'!AA29/'FS Jimbaran January 2023'!V29</f>
        <v>8749.1504438642296</v>
      </c>
      <c r="M19" s="122">
        <f>'RNs &amp; Covers January 2023'!B23</f>
        <v>61</v>
      </c>
      <c r="N19" s="122">
        <f>'RNs &amp; Covers January 2023'!C23</f>
        <v>357</v>
      </c>
    </row>
    <row r="20" spans="1:14">
      <c r="A20" s="119" t="s">
        <v>14</v>
      </c>
      <c r="B20" s="120">
        <f t="shared" si="0"/>
        <v>19</v>
      </c>
      <c r="C20" s="121">
        <v>1</v>
      </c>
      <c r="D20" s="120">
        <v>2022</v>
      </c>
      <c r="E20" s="122">
        <f>'FS Jimbaran January 2023'!P30</f>
        <v>24340.000000000542</v>
      </c>
      <c r="F20" s="131">
        <f>'FS Jimbaran January 2023'!O30/'FS Jimbaran January 2023'!P30</f>
        <v>1191.2321092851209</v>
      </c>
      <c r="G20" s="122">
        <f>'FS Jimbaran January 2023'!AG30</f>
        <v>536.85184000000493</v>
      </c>
      <c r="H20" s="131">
        <f>'FS Jimbaran January 2023'!AH30/'FS Jimbaran January 2023'!AG30</f>
        <v>14959.354251200481</v>
      </c>
      <c r="I20" s="122">
        <f>'FS Jimbaran January 2023'!AJ30</f>
        <v>61.110000000000582</v>
      </c>
      <c r="J20" s="123">
        <f>'FS Jimbaran January 2023'!AK30/'FS Jimbaran January 2023'!AJ30</f>
        <v>12000</v>
      </c>
      <c r="K20" s="122">
        <f>'FS Jimbaran January 2023'!V30</f>
        <v>595</v>
      </c>
      <c r="L20" s="131">
        <f>'FS Jimbaran January 2023'!AA30/'FS Jimbaran January 2023'!V30</f>
        <v>10932.106487394958</v>
      </c>
      <c r="M20" s="122">
        <f>'RNs &amp; Covers January 2023'!B24</f>
        <v>67</v>
      </c>
      <c r="N20" s="122">
        <f>'RNs &amp; Covers January 2023'!C24</f>
        <v>388</v>
      </c>
    </row>
    <row r="21" spans="1:14">
      <c r="A21" s="119" t="s">
        <v>14</v>
      </c>
      <c r="B21" s="120">
        <f t="shared" si="0"/>
        <v>20</v>
      </c>
      <c r="C21" s="121">
        <v>1</v>
      </c>
      <c r="D21" s="120">
        <v>2022</v>
      </c>
      <c r="E21" s="122">
        <f>'FS Jimbaran January 2023'!P31</f>
        <v>20119.999999999269</v>
      </c>
      <c r="F21" s="131">
        <f>'FS Jimbaran January 2023'!O31/'FS Jimbaran January 2023'!P31</f>
        <v>1203.2448280318079</v>
      </c>
      <c r="G21" s="122">
        <f>'FS Jimbaran January 2023'!AG31</f>
        <v>557.95512000002782</v>
      </c>
      <c r="H21" s="131">
        <f>'FS Jimbaran January 2023'!AH31/'FS Jimbaran January 2023'!AG31</f>
        <v>15129.171459393396</v>
      </c>
      <c r="I21" s="122">
        <f>'FS Jimbaran January 2023'!AJ31</f>
        <v>63.619999999995343</v>
      </c>
      <c r="J21" s="123">
        <f>'FS Jimbaran January 2023'!AK31/'FS Jimbaran January 2023'!AJ31</f>
        <v>12000</v>
      </c>
      <c r="K21" s="122">
        <f>'FS Jimbaran January 2023'!V31</f>
        <v>695</v>
      </c>
      <c r="L21" s="131">
        <f>'FS Jimbaran January 2023'!AA31/'FS Jimbaran January 2023'!V31</f>
        <v>9650.1134388489209</v>
      </c>
      <c r="M21" s="122">
        <f>'RNs &amp; Covers January 2023'!B25</f>
        <v>65</v>
      </c>
      <c r="N21" s="122">
        <f>'RNs &amp; Covers January 2023'!C25</f>
        <v>416</v>
      </c>
    </row>
    <row r="22" spans="1:14">
      <c r="A22" s="119" t="s">
        <v>14</v>
      </c>
      <c r="B22" s="120">
        <f t="shared" si="0"/>
        <v>21</v>
      </c>
      <c r="C22" s="121">
        <v>1</v>
      </c>
      <c r="D22" s="120">
        <v>2022</v>
      </c>
      <c r="E22" s="122">
        <f>'FS Jimbaran January 2023'!P32</f>
        <v>22980.000000000698</v>
      </c>
      <c r="F22" s="131">
        <f>'FS Jimbaran January 2023'!O32/'FS Jimbaran January 2023'!P32</f>
        <v>1198.7868916449117</v>
      </c>
      <c r="G22" s="122">
        <f>'FS Jimbaran January 2023'!AG32</f>
        <v>599.1394399999615</v>
      </c>
      <c r="H22" s="131">
        <f>'FS Jimbaran January 2023'!AH32/'FS Jimbaran January 2023'!AG32</f>
        <v>15626.243391217238</v>
      </c>
      <c r="I22" s="122">
        <f>'FS Jimbaran January 2023'!AJ32</f>
        <v>41.660000000003492</v>
      </c>
      <c r="J22" s="123">
        <f>'FS Jimbaran January 2023'!AK32/'FS Jimbaran January 2023'!AJ32</f>
        <v>12000</v>
      </c>
      <c r="K22" s="122">
        <f>'FS Jimbaran January 2023'!V32</f>
        <v>466</v>
      </c>
      <c r="L22" s="131">
        <f>'FS Jimbaran January 2023'!AA32/'FS Jimbaran January 2023'!V32</f>
        <v>7983.8612875536492</v>
      </c>
      <c r="M22" s="122">
        <f>'RNs &amp; Covers January 2023'!B26</f>
        <v>85</v>
      </c>
      <c r="N22" s="122">
        <f>'RNs &amp; Covers January 2023'!C26</f>
        <v>546</v>
      </c>
    </row>
    <row r="23" spans="1:14">
      <c r="A23" s="119" t="s">
        <v>14</v>
      </c>
      <c r="B23" s="120">
        <f t="shared" si="0"/>
        <v>22</v>
      </c>
      <c r="C23" s="121">
        <v>1</v>
      </c>
      <c r="D23" s="120">
        <v>2022</v>
      </c>
      <c r="E23" s="122">
        <f>'FS Jimbaran January 2023'!P33</f>
        <v>22239.999999999782</v>
      </c>
      <c r="F23" s="131">
        <f>'FS Jimbaran January 2023'!O33/'FS Jimbaran January 2023'!P33</f>
        <v>1198.5753682553959</v>
      </c>
      <c r="G23" s="122">
        <f>'FS Jimbaran January 2023'!AG33</f>
        <v>557.23351999999136</v>
      </c>
      <c r="H23" s="131">
        <f>'FS Jimbaran January 2023'!AH33/'FS Jimbaran January 2023'!AG33</f>
        <v>15537.668681509322</v>
      </c>
      <c r="I23" s="122">
        <f>'FS Jimbaran January 2023'!AJ33</f>
        <v>63.479999999995925</v>
      </c>
      <c r="J23" s="123">
        <f>'FS Jimbaran January 2023'!AK33/'FS Jimbaran January 2023'!AJ33</f>
        <v>12000</v>
      </c>
      <c r="K23" s="122">
        <f>'FS Jimbaran January 2023'!V33</f>
        <v>788</v>
      </c>
      <c r="L23" s="131">
        <f>'FS Jimbaran January 2023'!AA33/'FS Jimbaran January 2023'!V33</f>
        <v>9084.7721827411169</v>
      </c>
      <c r="M23" s="122">
        <f>'RNs &amp; Covers January 2023'!B27</f>
        <v>83</v>
      </c>
      <c r="N23" s="122">
        <f>'RNs &amp; Covers January 2023'!C27</f>
        <v>598</v>
      </c>
    </row>
    <row r="24" spans="1:14">
      <c r="A24" s="119" t="s">
        <v>14</v>
      </c>
      <c r="B24" s="120">
        <f t="shared" si="0"/>
        <v>23</v>
      </c>
      <c r="C24" s="121">
        <v>1</v>
      </c>
      <c r="D24" s="120">
        <v>2022</v>
      </c>
      <c r="E24" s="122">
        <f>'FS Jimbaran January 2023'!P34</f>
        <v>23320.000000000618</v>
      </c>
      <c r="F24" s="131">
        <f>'FS Jimbaran January 2023'!O34/'FS Jimbaran January 2023'!P34</f>
        <v>1198.5644639794084</v>
      </c>
      <c r="G24" s="122">
        <f>'FS Jimbaran January 2023'!AG34</f>
        <v>596.74820000002001</v>
      </c>
      <c r="H24" s="131">
        <f>'FS Jimbaran January 2023'!AH34/'FS Jimbaran January 2023'!AG34</f>
        <v>15375.252795140073</v>
      </c>
      <c r="I24" s="122">
        <f>'FS Jimbaran January 2023'!AJ34</f>
        <v>60</v>
      </c>
      <c r="J24" s="123">
        <f>'FS Jimbaran January 2023'!AK34/'FS Jimbaran January 2023'!AJ34</f>
        <v>12000</v>
      </c>
      <c r="K24" s="122">
        <f>'FS Jimbaran January 2023'!V34</f>
        <v>786</v>
      </c>
      <c r="L24" s="131">
        <f>'FS Jimbaran January 2023'!AA34/'FS Jimbaran January 2023'!V34</f>
        <v>8970.0242748091605</v>
      </c>
      <c r="M24" s="122">
        <f>'RNs &amp; Covers January 2023'!B28</f>
        <v>91</v>
      </c>
      <c r="N24" s="122">
        <f>'RNs &amp; Covers January 2023'!C28</f>
        <v>521</v>
      </c>
    </row>
    <row r="25" spans="1:14">
      <c r="A25" s="119" t="s">
        <v>14</v>
      </c>
      <c r="B25" s="120">
        <f t="shared" si="0"/>
        <v>24</v>
      </c>
      <c r="C25" s="121">
        <v>1</v>
      </c>
      <c r="D25" s="120">
        <v>2022</v>
      </c>
      <c r="E25" s="122">
        <f>'FS Jimbaran January 2023'!P35</f>
        <v>23799.999999999785</v>
      </c>
      <c r="F25" s="131">
        <f>'FS Jimbaran January 2023'!O35/'FS Jimbaran January 2023'!P35</f>
        <v>1199.0676705882402</v>
      </c>
      <c r="G25" s="122">
        <f>'FS Jimbaran January 2023'!AG35</f>
        <v>566.65216000003034</v>
      </c>
      <c r="H25" s="131">
        <f>'FS Jimbaran January 2023'!AH35/'FS Jimbaran January 2023'!AG35</f>
        <v>15336.449878809628</v>
      </c>
      <c r="I25" s="122">
        <f>'FS Jimbaran January 2023'!AJ35</f>
        <v>59.020000000004075</v>
      </c>
      <c r="J25" s="123">
        <f>'FS Jimbaran January 2023'!AK35/'FS Jimbaran January 2023'!AJ35</f>
        <v>12000</v>
      </c>
      <c r="K25" s="122">
        <f>'FS Jimbaran January 2023'!V35</f>
        <v>752</v>
      </c>
      <c r="L25" s="131">
        <f>'FS Jimbaran January 2023'!AA35/'FS Jimbaran January 2023'!V35</f>
        <v>9106.33585106383</v>
      </c>
      <c r="M25" s="122">
        <f>'RNs &amp; Covers January 2023'!B29</f>
        <v>92</v>
      </c>
      <c r="N25" s="122">
        <f>'RNs &amp; Covers January 2023'!C29</f>
        <v>517</v>
      </c>
    </row>
    <row r="26" spans="1:14">
      <c r="A26" s="119" t="s">
        <v>14</v>
      </c>
      <c r="B26" s="120">
        <f>B25+1</f>
        <v>25</v>
      </c>
      <c r="C26" s="121">
        <v>1</v>
      </c>
      <c r="D26" s="120">
        <v>2022</v>
      </c>
      <c r="E26" s="122">
        <f>'FS Jimbaran January 2023'!P36</f>
        <v>24299.999999999272</v>
      </c>
      <c r="F26" s="131">
        <f>'FS Jimbaran January 2023'!O36/'FS Jimbaran January 2023'!P36</f>
        <v>1185.5844777777831</v>
      </c>
      <c r="G26" s="122">
        <f>'FS Jimbaran January 2023'!AG36</f>
        <v>749.60047999995311</v>
      </c>
      <c r="H26" s="131">
        <f>'FS Jimbaran January 2023'!AH36/'FS Jimbaran January 2023'!AG36</f>
        <v>15423.37589165256</v>
      </c>
      <c r="I26" s="122">
        <f>'FS Jimbaran January 2023'!AJ36</f>
        <v>61.829999999987194</v>
      </c>
      <c r="J26" s="123">
        <f>'FS Jimbaran January 2023'!AK36/'FS Jimbaran January 2023'!AJ36</f>
        <v>12000</v>
      </c>
      <c r="K26" s="122">
        <f>'FS Jimbaran January 2023'!V36</f>
        <v>638</v>
      </c>
      <c r="L26" s="131">
        <f>'FS Jimbaran January 2023'!AA36/'FS Jimbaran January 2023'!V36</f>
        <v>10180.27855799373</v>
      </c>
      <c r="M26" s="122">
        <f>'RNs &amp; Covers January 2023'!B30</f>
        <v>84</v>
      </c>
      <c r="N26" s="122">
        <f>'RNs &amp; Covers January 2023'!C30</f>
        <v>462</v>
      </c>
    </row>
    <row r="27" spans="1:14">
      <c r="A27" s="119" t="s">
        <v>14</v>
      </c>
      <c r="B27" s="120">
        <f t="shared" si="0"/>
        <v>26</v>
      </c>
      <c r="C27" s="121">
        <v>1</v>
      </c>
      <c r="D27" s="120">
        <v>2022</v>
      </c>
      <c r="E27" s="122">
        <f>'FS Jimbaran January 2023'!P37</f>
        <v>22460.000000000433</v>
      </c>
      <c r="F27" s="131">
        <f>'FS Jimbaran January 2023'!O37/'FS Jimbaran January 2023'!P37</f>
        <v>1193.1300160284948</v>
      </c>
      <c r="G27" s="122">
        <f>'FS Jimbaran January 2023'!AG37</f>
        <v>609.19472000002509</v>
      </c>
      <c r="H27" s="131">
        <f>'FS Jimbaran January 2023'!AH37/'FS Jimbaran January 2023'!AG37</f>
        <v>15041.512819359985</v>
      </c>
      <c r="I27" s="122">
        <f>'FS Jimbaran January 2023'!AJ37</f>
        <v>54.470000000001164</v>
      </c>
      <c r="J27" s="123">
        <f>'FS Jimbaran January 2023'!AK37/'FS Jimbaran January 2023'!AJ37</f>
        <v>12000</v>
      </c>
      <c r="K27" s="122">
        <f>'FS Jimbaran January 2023'!V37</f>
        <v>547</v>
      </c>
      <c r="L27" s="131">
        <f>'FS Jimbaran January 2023'!AA37/'FS Jimbaran January 2023'!V37</f>
        <v>10780.577769652651</v>
      </c>
      <c r="M27" s="122">
        <f>'RNs &amp; Covers January 2023'!B31</f>
        <v>77</v>
      </c>
      <c r="N27" s="122">
        <f>'RNs &amp; Covers January 2023'!C31</f>
        <v>473</v>
      </c>
    </row>
    <row r="28" spans="1:14">
      <c r="A28" s="119" t="s">
        <v>14</v>
      </c>
      <c r="B28" s="120">
        <f t="shared" si="0"/>
        <v>27</v>
      </c>
      <c r="C28" s="121">
        <v>1</v>
      </c>
      <c r="D28" s="120">
        <v>2022</v>
      </c>
      <c r="E28" s="122">
        <f>'FS Jimbaran January 2023'!P38</f>
        <v>22200.000000000728</v>
      </c>
      <c r="F28" s="131">
        <f>'FS Jimbaran January 2023'!O38/'FS Jimbaran January 2023'!P38</f>
        <v>1203.1844432432347</v>
      </c>
      <c r="G28" s="122">
        <f>'FS Jimbaran January 2023'!AG38</f>
        <v>687.14544800002091</v>
      </c>
      <c r="H28" s="131">
        <f>'FS Jimbaran January 2023'!AH38/'FS Jimbaran January 2023'!AG38</f>
        <v>15200.596761979297</v>
      </c>
      <c r="I28" s="122">
        <f>'FS Jimbaran January 2023'!AJ38</f>
        <v>41.80000000000291</v>
      </c>
      <c r="J28" s="123">
        <f>'FS Jimbaran January 2023'!AK38/'FS Jimbaran January 2023'!AJ38</f>
        <v>12000</v>
      </c>
      <c r="K28" s="122">
        <f>'FS Jimbaran January 2023'!V38</f>
        <v>680</v>
      </c>
      <c r="L28" s="131">
        <f>'FS Jimbaran January 2023'!AA38/'FS Jimbaran January 2023'!V38</f>
        <v>9655.1980000000003</v>
      </c>
      <c r="M28" s="122">
        <f>'RNs &amp; Covers January 2023'!B32</f>
        <v>86</v>
      </c>
      <c r="N28" s="122">
        <f>'RNs &amp; Covers January 2023'!C32</f>
        <v>492</v>
      </c>
    </row>
    <row r="29" spans="1:14">
      <c r="A29" s="119" t="s">
        <v>14</v>
      </c>
      <c r="B29" s="120">
        <f t="shared" si="0"/>
        <v>28</v>
      </c>
      <c r="C29" s="121">
        <v>1</v>
      </c>
      <c r="D29" s="120">
        <v>2022</v>
      </c>
      <c r="E29" s="122">
        <f>'FS Jimbaran January 2023'!P39</f>
        <v>20679.999999998588</v>
      </c>
      <c r="F29" s="131">
        <f>'FS Jimbaran January 2023'!O39/'FS Jimbaran January 2023'!P39</f>
        <v>1192.7497543520351</v>
      </c>
      <c r="G29" s="122">
        <f>'FS Jimbaran January 2023'!AG39</f>
        <v>577.0639519999454</v>
      </c>
      <c r="H29" s="131">
        <f>'FS Jimbaran January 2023'!AH39/'FS Jimbaran January 2023'!AG39</f>
        <v>15138.914311172159</v>
      </c>
      <c r="I29" s="122">
        <f>'FS Jimbaran January 2023'!AJ39</f>
        <v>49.979999999995925</v>
      </c>
      <c r="J29" s="123">
        <f>'FS Jimbaran January 2023'!AK39/'FS Jimbaran January 2023'!AJ39</f>
        <v>12000</v>
      </c>
      <c r="K29" s="122">
        <f>'FS Jimbaran January 2023'!V39</f>
        <v>688</v>
      </c>
      <c r="L29" s="131">
        <f>'FS Jimbaran January 2023'!AA39/'FS Jimbaran January 2023'!V39</f>
        <v>9844.2136046511623</v>
      </c>
      <c r="M29" s="122">
        <f>'RNs &amp; Covers January 2023'!B33</f>
        <v>76</v>
      </c>
      <c r="N29" s="122">
        <f>'RNs &amp; Covers January 2023'!C33</f>
        <v>517</v>
      </c>
    </row>
    <row r="30" spans="1:14">
      <c r="A30" s="119" t="s">
        <v>14</v>
      </c>
      <c r="B30" s="120">
        <f t="shared" si="0"/>
        <v>29</v>
      </c>
      <c r="C30" s="121">
        <v>1</v>
      </c>
      <c r="D30" s="120">
        <v>2022</v>
      </c>
      <c r="E30" s="122">
        <f>'FS Jimbaran January 2023'!P40</f>
        <v>22560.000000001539</v>
      </c>
      <c r="F30" s="131">
        <f>'FS Jimbaran January 2023'!O40/'FS Jimbaran January 2023'!P40</f>
        <v>1195.5545744680783</v>
      </c>
      <c r="G30" s="122">
        <f>'FS Jimbaran January 2023'!AG40</f>
        <v>491.89248000004926</v>
      </c>
      <c r="H30" s="131">
        <f>'FS Jimbaran January 2023'!AH40/'FS Jimbaran January 2023'!AG40</f>
        <v>15652.109663541109</v>
      </c>
      <c r="I30" s="122">
        <f>'FS Jimbaran January 2023'!AJ40</f>
        <v>31.100000000005821</v>
      </c>
      <c r="J30" s="123">
        <f>'FS Jimbaran January 2023'!AK40/'FS Jimbaran January 2023'!AJ40</f>
        <v>12000</v>
      </c>
      <c r="K30" s="122">
        <f>'FS Jimbaran January 2023'!V40</f>
        <v>518</v>
      </c>
      <c r="L30" s="131">
        <f>'FS Jimbaran January 2023'!AA40/'FS Jimbaran January 2023'!V40</f>
        <v>11311.567413127414</v>
      </c>
      <c r="M30" s="122">
        <f>'RNs &amp; Covers January 2023'!B34</f>
        <v>58</v>
      </c>
      <c r="N30" s="122">
        <f>'RNs &amp; Covers January 2023'!C34</f>
        <v>463</v>
      </c>
    </row>
    <row r="31" spans="1:14">
      <c r="A31" s="119" t="s">
        <v>14</v>
      </c>
      <c r="B31" s="120">
        <f t="shared" si="0"/>
        <v>30</v>
      </c>
      <c r="C31" s="121">
        <v>1</v>
      </c>
      <c r="D31" s="120">
        <v>2022</v>
      </c>
      <c r="E31" s="122">
        <f>'FS Jimbaran January 2023'!P41</f>
        <v>20979.999999998367</v>
      </c>
      <c r="F31" s="131">
        <f>'FS Jimbaran January 2023'!O41/'FS Jimbaran January 2023'!P41</f>
        <v>1191.2457397521518</v>
      </c>
      <c r="G31" s="122">
        <f>'FS Jimbaran January 2023'!AG41</f>
        <v>596.94959999999321</v>
      </c>
      <c r="H31" s="131">
        <f>'FS Jimbaran January 2023'!AH41/'FS Jimbaran January 2023'!AG41</f>
        <v>15244.785005398118</v>
      </c>
      <c r="I31" s="122">
        <f>'FS Jimbaran January 2023'!AJ41</f>
        <v>41.790000000008149</v>
      </c>
      <c r="J31" s="123">
        <f>'FS Jimbaran January 2023'!AK41/'FS Jimbaran January 2023'!AJ41</f>
        <v>12000</v>
      </c>
      <c r="K31" s="122">
        <f>'FS Jimbaran January 2023'!V41</f>
        <v>755</v>
      </c>
      <c r="L31" s="131">
        <f>'FS Jimbaran January 2023'!AA41/'FS Jimbaran January 2023'!V41</f>
        <v>9163.7465430463581</v>
      </c>
      <c r="M31" s="122">
        <f>'RNs &amp; Covers January 2023'!B35</f>
        <v>59</v>
      </c>
      <c r="N31" s="122">
        <f>'RNs &amp; Covers January 2023'!C35</f>
        <v>335</v>
      </c>
    </row>
    <row r="32" spans="1:14">
      <c r="A32" s="119" t="s">
        <v>14</v>
      </c>
      <c r="B32" s="120">
        <f t="shared" si="0"/>
        <v>31</v>
      </c>
      <c r="C32" s="121">
        <v>1</v>
      </c>
      <c r="D32" s="120">
        <v>2022</v>
      </c>
      <c r="E32" s="122">
        <f>'FS Jimbaran January 2023'!P42</f>
        <v>22100.000000000364</v>
      </c>
      <c r="F32" s="131">
        <f>'FS Jimbaran January 2023'!O42/'FS Jimbaran January 2023'!P42</f>
        <v>1201.7391393665221</v>
      </c>
      <c r="G32" s="122">
        <f>'FS Jimbaran January 2023'!AG42</f>
        <v>1270.3103600000027</v>
      </c>
      <c r="H32" s="131">
        <f>'FS Jimbaran January 2023'!AH42/'FS Jimbaran January 2023'!AG42</f>
        <v>5677.1107188382184</v>
      </c>
      <c r="I32" s="122">
        <f>'FS Jimbaran January 2023'!AJ42</f>
        <v>50.679999999993015</v>
      </c>
      <c r="J32" s="123">
        <f>'FS Jimbaran January 2023'!AK42/'FS Jimbaran January 2023'!AJ42</f>
        <v>12000</v>
      </c>
      <c r="K32" s="122">
        <f>'FS Jimbaran January 2023'!V42</f>
        <v>604</v>
      </c>
      <c r="L32" s="131">
        <f>'FS Jimbaran January 2023'!AA42/'FS Jimbaran January 2023'!V42</f>
        <v>8148.0801986754959</v>
      </c>
      <c r="M32" s="122">
        <f>'RNs &amp; Covers January 2023'!B36</f>
        <v>51</v>
      </c>
      <c r="N32" s="122">
        <f>'RNs &amp; Covers January 2023'!C36</f>
        <v>246</v>
      </c>
    </row>
    <row r="33" spans="12:12">
      <c r="L33" s="2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X11" activePane="bottomRight" state="frozen"/>
      <selection pane="bottomRight" activeCell="AJ46" sqref="AJ46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2"/>
      <c r="X5" s="133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2" t="s">
        <v>17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4"/>
      <c r="AM7" s="27"/>
    </row>
    <row r="8" spans="1:39" s="7" customFormat="1" ht="15.75" customHeight="1" thickBot="1">
      <c r="A8" s="24"/>
      <c r="B8" s="235" t="s">
        <v>18</v>
      </c>
      <c r="C8" s="238" t="s">
        <v>19</v>
      </c>
      <c r="D8" s="241" t="s">
        <v>13</v>
      </c>
      <c r="E8" s="243" t="s">
        <v>20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4"/>
      <c r="V8" s="245" t="s">
        <v>21</v>
      </c>
      <c r="W8" s="246"/>
      <c r="X8" s="246"/>
      <c r="Y8" s="246"/>
      <c r="Z8" s="246"/>
      <c r="AA8" s="246"/>
      <c r="AB8" s="247"/>
      <c r="AC8" s="248" t="s">
        <v>22</v>
      </c>
      <c r="AD8" s="248"/>
      <c r="AE8" s="248"/>
      <c r="AF8" s="248"/>
      <c r="AG8" s="248"/>
      <c r="AH8" s="248"/>
      <c r="AI8" s="248"/>
      <c r="AJ8" s="248"/>
      <c r="AK8" s="248"/>
      <c r="AL8" s="249"/>
      <c r="AM8" s="26"/>
    </row>
    <row r="9" spans="1:39" ht="15" customHeight="1" thickBot="1">
      <c r="B9" s="236"/>
      <c r="C9" s="239"/>
      <c r="D9" s="242"/>
      <c r="E9" s="250" t="s">
        <v>23</v>
      </c>
      <c r="F9" s="251"/>
      <c r="G9" s="251"/>
      <c r="H9" s="251"/>
      <c r="I9" s="252"/>
      <c r="J9" s="253" t="s">
        <v>24</v>
      </c>
      <c r="K9" s="253"/>
      <c r="L9" s="253"/>
      <c r="M9" s="253"/>
      <c r="N9" s="254"/>
      <c r="O9" s="241" t="s">
        <v>25</v>
      </c>
      <c r="P9" s="256" t="s">
        <v>26</v>
      </c>
      <c r="Q9" s="258" t="s">
        <v>27</v>
      </c>
      <c r="R9" s="263" t="s">
        <v>28</v>
      </c>
      <c r="S9" s="265" t="s">
        <v>29</v>
      </c>
      <c r="T9" s="228" t="s">
        <v>30</v>
      </c>
      <c r="U9" s="229"/>
      <c r="V9" s="45"/>
      <c r="W9" s="45" t="s">
        <v>31</v>
      </c>
      <c r="X9" s="45"/>
      <c r="Y9" s="46"/>
      <c r="Z9" s="167"/>
      <c r="AA9" s="230" t="s">
        <v>32</v>
      </c>
      <c r="AB9" s="231"/>
      <c r="AC9" s="248" t="s">
        <v>33</v>
      </c>
      <c r="AD9" s="248"/>
      <c r="AE9" s="248"/>
      <c r="AF9" s="248"/>
      <c r="AG9" s="248"/>
      <c r="AH9" s="248"/>
      <c r="AI9" s="249"/>
      <c r="AJ9" s="260" t="s">
        <v>34</v>
      </c>
      <c r="AK9" s="261"/>
      <c r="AL9" s="262"/>
    </row>
    <row r="10" spans="1:39" ht="61.5" customHeight="1" thickBot="1">
      <c r="A10" s="25"/>
      <c r="B10" s="237"/>
      <c r="C10" s="240"/>
      <c r="D10" s="242"/>
      <c r="E10" s="85" t="s">
        <v>35</v>
      </c>
      <c r="F10" s="73" t="s">
        <v>36</v>
      </c>
      <c r="G10" s="104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4" t="s">
        <v>37</v>
      </c>
      <c r="M10" s="51" t="s">
        <v>36</v>
      </c>
      <c r="N10" s="82" t="s">
        <v>39</v>
      </c>
      <c r="O10" s="255"/>
      <c r="P10" s="257"/>
      <c r="Q10" s="259"/>
      <c r="R10" s="264"/>
      <c r="S10" s="266"/>
      <c r="T10" s="134" t="s">
        <v>40</v>
      </c>
      <c r="U10" s="21" t="s">
        <v>41</v>
      </c>
      <c r="V10" s="135" t="s">
        <v>42</v>
      </c>
      <c r="W10" s="179" t="s">
        <v>43</v>
      </c>
      <c r="X10" s="179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9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7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5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6"/>
      <c r="R11" s="90"/>
      <c r="S11" s="137"/>
      <c r="T11" s="137"/>
      <c r="U11" s="166"/>
      <c r="V11" s="81"/>
      <c r="W11" s="17"/>
      <c r="X11" s="17"/>
      <c r="Y11" s="19"/>
      <c r="Z11" s="19"/>
      <c r="AA11" s="19"/>
      <c r="AB11" s="88">
        <v>14522</v>
      </c>
      <c r="AC11" s="221">
        <v>15755</v>
      </c>
      <c r="AD11" s="38"/>
      <c r="AE11" s="222">
        <v>829000</v>
      </c>
      <c r="AF11" s="222">
        <v>213000</v>
      </c>
      <c r="AG11" s="36"/>
      <c r="AH11" s="38">
        <f>(AE11/50)+(AF11/12)</f>
        <v>34330</v>
      </c>
      <c r="AI11" s="39"/>
      <c r="AJ11" s="108"/>
      <c r="AK11" s="36">
        <v>12000</v>
      </c>
      <c r="AL11" s="43"/>
      <c r="AM11" s="25"/>
    </row>
    <row r="12" spans="1:39" ht="15">
      <c r="A12" s="30"/>
      <c r="B12" s="49">
        <v>1</v>
      </c>
      <c r="C12" s="176">
        <v>145</v>
      </c>
      <c r="D12" s="177">
        <v>881</v>
      </c>
      <c r="E12" s="184">
        <v>17280.000000000655</v>
      </c>
      <c r="F12" s="181">
        <v>17898278.400000677</v>
      </c>
      <c r="G12" s="181">
        <v>4519.9999999999818</v>
      </c>
      <c r="H12" s="181">
        <v>7022588.3999999724</v>
      </c>
      <c r="I12" s="185">
        <f>(F12+H12)*1.05</f>
        <v>26166910.140000682</v>
      </c>
      <c r="J12" s="184">
        <v>1920.0000000000728</v>
      </c>
      <c r="K12" s="181">
        <v>1988697.6000000753</v>
      </c>
      <c r="L12" s="186">
        <v>480.00000000001819</v>
      </c>
      <c r="M12" s="186">
        <v>745761.60000002827</v>
      </c>
      <c r="N12" s="185">
        <f>(K12+M12)*1.05</f>
        <v>2871182.1600001086</v>
      </c>
      <c r="O12" s="182">
        <f>I12+N12</f>
        <v>29038092.300000791</v>
      </c>
      <c r="P12" s="183">
        <f>E12+G12+J12+L12</f>
        <v>24200.000000000728</v>
      </c>
      <c r="Q12" s="105"/>
      <c r="R12" s="150"/>
      <c r="S12" s="160"/>
      <c r="T12" s="159"/>
      <c r="U12" s="158">
        <v>0</v>
      </c>
      <c r="V12" s="138">
        <f>W12+Y12</f>
        <v>538</v>
      </c>
      <c r="W12" s="2">
        <v>248</v>
      </c>
      <c r="X12" s="181">
        <v>4673064</v>
      </c>
      <c r="Y12" s="28">
        <v>290</v>
      </c>
      <c r="Z12" s="180">
        <v>1365296.8</v>
      </c>
      <c r="AA12" s="180">
        <f>X12+Z12</f>
        <v>6038360.7999999998</v>
      </c>
      <c r="AB12" s="100">
        <f>AA12/$AB$11</f>
        <v>415.80779506954963</v>
      </c>
      <c r="AC12" s="220">
        <v>486.62267999999057</v>
      </c>
      <c r="AD12" s="2">
        <v>145.08855999999855</v>
      </c>
      <c r="AE12" s="2">
        <v>61.829799999997796</v>
      </c>
      <c r="AF12" s="2">
        <v>0</v>
      </c>
      <c r="AG12" s="2">
        <f>AC12+AD12+AE12+AF12</f>
        <v>693.54103999998699</v>
      </c>
      <c r="AH12" s="181">
        <v>10565341.791110996</v>
      </c>
      <c r="AI12" s="37">
        <f>AH12/14522</f>
        <v>727.54040704524141</v>
      </c>
      <c r="AJ12" s="109">
        <v>55.220000000001164</v>
      </c>
      <c r="AK12" s="181">
        <v>662640.00000001397</v>
      </c>
      <c r="AL12" s="33">
        <f>AK12/14522</f>
        <v>45.630078501584762</v>
      </c>
      <c r="AM12" s="6"/>
    </row>
    <row r="13" spans="1:39" ht="15">
      <c r="A13" s="30"/>
      <c r="B13" s="49">
        <v>2</v>
      </c>
      <c r="C13" s="176">
        <v>132</v>
      </c>
      <c r="D13" s="177">
        <v>872</v>
      </c>
      <c r="E13" s="184">
        <v>17319.999999999709</v>
      </c>
      <c r="F13" s="181">
        <v>17939709.5999997</v>
      </c>
      <c r="G13" s="181">
        <v>4320.0000000001637</v>
      </c>
      <c r="H13" s="181">
        <v>6711854.4000002546</v>
      </c>
      <c r="I13" s="185">
        <f t="shared" ref="I13:I42" si="0">(F13+H13)*1.05</f>
        <v>25884142.199999955</v>
      </c>
      <c r="J13" s="184">
        <v>1680.0000000000637</v>
      </c>
      <c r="K13" s="181">
        <v>1740110.4000000658</v>
      </c>
      <c r="L13" s="186">
        <v>480.00000000001819</v>
      </c>
      <c r="M13" s="186">
        <v>745761.60000002827</v>
      </c>
      <c r="N13" s="185">
        <f t="shared" ref="N13:N42" si="1">(K13+M13)*1.05</f>
        <v>2610165.6000000988</v>
      </c>
      <c r="O13" s="182">
        <f t="shared" ref="O13:O42" si="2">I13+N13</f>
        <v>28494307.800000053</v>
      </c>
      <c r="P13" s="183">
        <f t="shared" ref="P13:P42" si="3">E13+G13+J13+L13</f>
        <v>23799.999999999953</v>
      </c>
      <c r="Q13" s="140"/>
      <c r="R13" s="151"/>
      <c r="S13" s="160"/>
      <c r="T13" s="159"/>
      <c r="U13" s="158">
        <v>0</v>
      </c>
      <c r="V13" s="138">
        <f t="shared" ref="V13:V42" si="4">W13+Y13</f>
        <v>660</v>
      </c>
      <c r="W13" s="2">
        <v>243</v>
      </c>
      <c r="X13" s="181">
        <v>4578849</v>
      </c>
      <c r="Y13" s="28">
        <v>417</v>
      </c>
      <c r="Z13" s="180">
        <v>1963202.6400000001</v>
      </c>
      <c r="AA13" s="180">
        <f t="shared" ref="AA13:AA42" si="5">X13+Z13</f>
        <v>6542051.6400000006</v>
      </c>
      <c r="AB13" s="100">
        <f t="shared" ref="AB13:AB42" si="6">AA13/$AB$11</f>
        <v>450.49246935683794</v>
      </c>
      <c r="AC13" s="220">
        <v>474.17616000000464</v>
      </c>
      <c r="AD13" s="2">
        <v>142.06756000000081</v>
      </c>
      <c r="AE13" s="2">
        <v>65.898080000002338</v>
      </c>
      <c r="AF13" s="2">
        <v>24</v>
      </c>
      <c r="AG13" s="2">
        <f t="shared" ref="AG13:AG42" si="7">AC13+AD13+AE13+AF13</f>
        <v>706.14180000000772</v>
      </c>
      <c r="AH13" s="181">
        <v>10866701.773494521</v>
      </c>
      <c r="AI13" s="37">
        <f t="shared" ref="AI13:AI42" si="8">AH13/14522</f>
        <v>748.29236837174778</v>
      </c>
      <c r="AJ13" s="109">
        <v>55.229999999995925</v>
      </c>
      <c r="AK13" s="181">
        <v>662759.99999995111</v>
      </c>
      <c r="AL13" s="33">
        <f t="shared" ref="AL13:AL42" si="9">AK13/14522</f>
        <v>45.638341826191372</v>
      </c>
      <c r="AM13" s="6"/>
    </row>
    <row r="14" spans="1:39" ht="15">
      <c r="A14" s="30"/>
      <c r="B14" s="49">
        <v>3</v>
      </c>
      <c r="C14" s="176">
        <v>126</v>
      </c>
      <c r="D14" s="177">
        <v>803</v>
      </c>
      <c r="E14" s="184">
        <v>16879.9999999992</v>
      </c>
      <c r="F14" s="181">
        <v>17483966.399999171</v>
      </c>
      <c r="G14" s="181">
        <v>4199.9999999998181</v>
      </c>
      <c r="H14" s="181">
        <v>6525413.9999997178</v>
      </c>
      <c r="I14" s="185">
        <f t="shared" si="0"/>
        <v>25209849.419998832</v>
      </c>
      <c r="J14" s="184">
        <v>1460.0000000000364</v>
      </c>
      <c r="K14" s="181">
        <v>1512238.8000000375</v>
      </c>
      <c r="L14" s="186">
        <v>439.99999999999773</v>
      </c>
      <c r="M14" s="186">
        <v>683614.79999999655</v>
      </c>
      <c r="N14" s="185">
        <f t="shared" si="1"/>
        <v>2305646.2800000361</v>
      </c>
      <c r="O14" s="182">
        <f t="shared" si="2"/>
        <v>27515495.699998867</v>
      </c>
      <c r="P14" s="183">
        <f t="shared" si="3"/>
        <v>22979.99999999905</v>
      </c>
      <c r="Q14" s="140"/>
      <c r="R14" s="151"/>
      <c r="S14" s="160"/>
      <c r="T14" s="159"/>
      <c r="U14" s="158">
        <v>0</v>
      </c>
      <c r="V14" s="138">
        <f t="shared" si="4"/>
        <v>562</v>
      </c>
      <c r="W14" s="2">
        <v>245</v>
      </c>
      <c r="X14" s="181">
        <v>4616535</v>
      </c>
      <c r="Y14" s="28">
        <v>317</v>
      </c>
      <c r="Z14" s="180">
        <v>1492410.6400000001</v>
      </c>
      <c r="AA14" s="180">
        <f t="shared" si="5"/>
        <v>6108945.6400000006</v>
      </c>
      <c r="AB14" s="100">
        <f t="shared" si="6"/>
        <v>420.66834044897399</v>
      </c>
      <c r="AC14" s="220">
        <v>435.66848000001403</v>
      </c>
      <c r="AD14" s="2">
        <v>237.03255999999899</v>
      </c>
      <c r="AE14" s="2">
        <v>66.582839999998967</v>
      </c>
      <c r="AF14" s="2">
        <v>48</v>
      </c>
      <c r="AG14" s="2">
        <f t="shared" si="7"/>
        <v>787.283880000012</v>
      </c>
      <c r="AH14" s="181">
        <v>12382067.199283389</v>
      </c>
      <c r="AI14" s="37">
        <f t="shared" si="8"/>
        <v>852.64200518409234</v>
      </c>
      <c r="AJ14" s="109">
        <v>52.790000000008149</v>
      </c>
      <c r="AK14" s="181">
        <v>633480.00000009779</v>
      </c>
      <c r="AL14" s="33">
        <f t="shared" si="9"/>
        <v>43.622090621133303</v>
      </c>
      <c r="AM14" s="6"/>
    </row>
    <row r="15" spans="1:39" ht="15">
      <c r="A15" s="30"/>
      <c r="B15" s="49">
        <v>4</v>
      </c>
      <c r="C15" s="176">
        <v>131</v>
      </c>
      <c r="D15" s="177">
        <v>819</v>
      </c>
      <c r="E15" s="184">
        <v>18680.000000000291</v>
      </c>
      <c r="F15" s="181">
        <v>19348370.4000003</v>
      </c>
      <c r="G15" s="181">
        <v>4640.0000000003274</v>
      </c>
      <c r="H15" s="181">
        <v>7209028.8000005092</v>
      </c>
      <c r="I15" s="185">
        <f t="shared" si="0"/>
        <v>27885269.16000085</v>
      </c>
      <c r="J15" s="184">
        <v>1959.999999999809</v>
      </c>
      <c r="K15" s="181">
        <v>2030128.7999998021</v>
      </c>
      <c r="L15" s="186">
        <v>519.99999999998181</v>
      </c>
      <c r="M15" s="186">
        <v>807908.39999997173</v>
      </c>
      <c r="N15" s="185">
        <f t="shared" si="1"/>
        <v>2979939.0599997626</v>
      </c>
      <c r="O15" s="182">
        <f t="shared" si="2"/>
        <v>30865208.220000613</v>
      </c>
      <c r="P15" s="183">
        <f t="shared" si="3"/>
        <v>25800.000000000411</v>
      </c>
      <c r="Q15" s="140"/>
      <c r="R15" s="151"/>
      <c r="S15" s="160"/>
      <c r="T15" s="159"/>
      <c r="U15" s="158">
        <v>0</v>
      </c>
      <c r="V15" s="138">
        <f t="shared" si="4"/>
        <v>749</v>
      </c>
      <c r="W15" s="2">
        <v>236</v>
      </c>
      <c r="X15" s="181">
        <v>4446948</v>
      </c>
      <c r="Y15" s="28">
        <v>513</v>
      </c>
      <c r="Z15" s="180">
        <v>2415162.96</v>
      </c>
      <c r="AA15" s="180">
        <f t="shared" si="5"/>
        <v>6862110.96</v>
      </c>
      <c r="AB15" s="100">
        <f t="shared" si="6"/>
        <v>472.53208648946423</v>
      </c>
      <c r="AC15" s="220">
        <v>0</v>
      </c>
      <c r="AD15" s="2">
        <v>141.866160000001</v>
      </c>
      <c r="AE15" s="2">
        <v>59.896359999999554</v>
      </c>
      <c r="AF15" s="2">
        <v>24</v>
      </c>
      <c r="AG15" s="2">
        <f t="shared" si="7"/>
        <v>225.76252000000056</v>
      </c>
      <c r="AH15" s="181">
        <v>3383206.1472000126</v>
      </c>
      <c r="AI15" s="37">
        <f t="shared" si="8"/>
        <v>232.97108850020746</v>
      </c>
      <c r="AJ15" s="109">
        <v>854.11000000000058</v>
      </c>
      <c r="AK15" s="181">
        <v>10249320.000000007</v>
      </c>
      <c r="AL15" s="33">
        <f t="shared" si="9"/>
        <v>705.77881834458117</v>
      </c>
      <c r="AM15" s="6"/>
    </row>
    <row r="16" spans="1:39" ht="15">
      <c r="A16" s="30"/>
      <c r="B16" s="49">
        <v>5</v>
      </c>
      <c r="C16" s="176">
        <v>127</v>
      </c>
      <c r="D16" s="177">
        <v>835</v>
      </c>
      <c r="E16" s="184">
        <v>17360.000000000582</v>
      </c>
      <c r="F16" s="181">
        <v>17981140.800000604</v>
      </c>
      <c r="G16" s="181">
        <v>4199.9999999998181</v>
      </c>
      <c r="H16" s="181">
        <v>6525413.9999997178</v>
      </c>
      <c r="I16" s="185">
        <f t="shared" si="0"/>
        <v>25731882.540000338</v>
      </c>
      <c r="J16" s="184">
        <v>1760.0000000002183</v>
      </c>
      <c r="K16" s="181">
        <v>1822972.8000002261</v>
      </c>
      <c r="L16" s="186">
        <v>459.99999999997954</v>
      </c>
      <c r="M16" s="186">
        <v>714688.19999996829</v>
      </c>
      <c r="N16" s="185">
        <f t="shared" si="1"/>
        <v>2664544.0500002047</v>
      </c>
      <c r="O16" s="182">
        <f t="shared" si="2"/>
        <v>28396426.590000544</v>
      </c>
      <c r="P16" s="183">
        <f t="shared" si="3"/>
        <v>23780.000000000597</v>
      </c>
      <c r="Q16" s="140"/>
      <c r="R16" s="151"/>
      <c r="S16" s="160"/>
      <c r="T16" s="159"/>
      <c r="U16" s="158">
        <v>0</v>
      </c>
      <c r="V16" s="138">
        <f t="shared" si="4"/>
        <v>667</v>
      </c>
      <c r="W16" s="2">
        <v>251</v>
      </c>
      <c r="X16" s="181">
        <v>4729593</v>
      </c>
      <c r="Y16" s="28">
        <v>416</v>
      </c>
      <c r="Z16" s="180">
        <v>1958494.72</v>
      </c>
      <c r="AA16" s="180">
        <f t="shared" si="5"/>
        <v>6688087.7199999997</v>
      </c>
      <c r="AB16" s="100">
        <f t="shared" si="6"/>
        <v>460.54866547307529</v>
      </c>
      <c r="AC16" s="220">
        <v>0</v>
      </c>
      <c r="AD16" s="2">
        <v>112.01868000000022</v>
      </c>
      <c r="AE16" s="2">
        <v>56.714239999999698</v>
      </c>
      <c r="AF16" s="2">
        <v>12</v>
      </c>
      <c r="AG16" s="2">
        <f t="shared" si="7"/>
        <v>180.73291999999992</v>
      </c>
      <c r="AH16" s="181">
        <v>2722751.7391999946</v>
      </c>
      <c r="AI16" s="37">
        <f t="shared" si="8"/>
        <v>187.49151213331459</v>
      </c>
      <c r="AJ16" s="109">
        <v>529.06999999999243</v>
      </c>
      <c r="AK16" s="181">
        <v>6348839.9999999087</v>
      </c>
      <c r="AL16" s="33">
        <f t="shared" si="9"/>
        <v>437.1877151907388</v>
      </c>
      <c r="AM16" s="6"/>
    </row>
    <row r="17" spans="1:39" ht="15">
      <c r="A17" s="30"/>
      <c r="B17" s="49">
        <v>6</v>
      </c>
      <c r="C17" s="176">
        <v>120</v>
      </c>
      <c r="D17" s="177">
        <v>730</v>
      </c>
      <c r="E17" s="184">
        <v>18280.000000000655</v>
      </c>
      <c r="F17" s="181">
        <v>18934058.400000677</v>
      </c>
      <c r="G17" s="181">
        <v>4519.9999999999818</v>
      </c>
      <c r="H17" s="181">
        <v>7022588.3999999724</v>
      </c>
      <c r="I17" s="185">
        <f t="shared" si="0"/>
        <v>27254479.140000682</v>
      </c>
      <c r="J17" s="184">
        <v>1919.9999999998454</v>
      </c>
      <c r="K17" s="181">
        <v>1988697.5999998399</v>
      </c>
      <c r="L17" s="186">
        <v>480.00000000001819</v>
      </c>
      <c r="M17" s="186">
        <v>745761.60000002827</v>
      </c>
      <c r="N17" s="185">
        <f t="shared" si="1"/>
        <v>2871182.1599998614</v>
      </c>
      <c r="O17" s="182">
        <f t="shared" si="2"/>
        <v>30125661.300000545</v>
      </c>
      <c r="P17" s="183">
        <f t="shared" si="3"/>
        <v>25200.000000000498</v>
      </c>
      <c r="Q17" s="140"/>
      <c r="R17" s="151"/>
      <c r="S17" s="160"/>
      <c r="T17" s="159"/>
      <c r="U17" s="158">
        <v>0</v>
      </c>
      <c r="V17" s="138">
        <f t="shared" si="4"/>
        <v>484</v>
      </c>
      <c r="W17" s="2">
        <v>214</v>
      </c>
      <c r="X17" s="181">
        <v>4032402</v>
      </c>
      <c r="Y17" s="28">
        <v>270</v>
      </c>
      <c r="Z17" s="180">
        <v>1271138.3999999999</v>
      </c>
      <c r="AA17" s="180">
        <f t="shared" si="5"/>
        <v>5303540.4000000004</v>
      </c>
      <c r="AB17" s="100">
        <f t="shared" si="6"/>
        <v>365.20729927007301</v>
      </c>
      <c r="AC17" s="220">
        <v>0</v>
      </c>
      <c r="AD17" s="2">
        <v>136.5491999999999</v>
      </c>
      <c r="AE17" s="2">
        <v>65.293880000000144</v>
      </c>
      <c r="AF17" s="2">
        <v>0</v>
      </c>
      <c r="AG17" s="2">
        <f t="shared" si="7"/>
        <v>201.84308000000004</v>
      </c>
      <c r="AH17" s="181">
        <v>2971898.6799999997</v>
      </c>
      <c r="AI17" s="37">
        <f t="shared" si="8"/>
        <v>204.64802919708026</v>
      </c>
      <c r="AJ17" s="109">
        <v>469.65000000000873</v>
      </c>
      <c r="AK17" s="181">
        <v>5635800.0000001043</v>
      </c>
      <c r="AL17" s="33">
        <f t="shared" si="9"/>
        <v>388.08704035257568</v>
      </c>
      <c r="AM17" s="6"/>
    </row>
    <row r="18" spans="1:39" ht="15">
      <c r="A18" s="30"/>
      <c r="B18" s="49">
        <v>7</v>
      </c>
      <c r="C18" s="176">
        <v>121</v>
      </c>
      <c r="D18" s="177">
        <v>765</v>
      </c>
      <c r="E18" s="184">
        <v>17679.999999998472</v>
      </c>
      <c r="F18" s="181">
        <v>18312590.399998415</v>
      </c>
      <c r="G18" s="181">
        <v>4360.0000000001273</v>
      </c>
      <c r="H18" s="181">
        <v>6774001.2000001986</v>
      </c>
      <c r="I18" s="185">
        <f t="shared" si="0"/>
        <v>26340921.179998547</v>
      </c>
      <c r="J18" s="184">
        <v>1759.9999999999909</v>
      </c>
      <c r="K18" s="181">
        <v>1822972.7999999905</v>
      </c>
      <c r="L18" s="186">
        <v>459.99999999997954</v>
      </c>
      <c r="M18" s="186">
        <v>714688.19999996829</v>
      </c>
      <c r="N18" s="185">
        <f t="shared" si="1"/>
        <v>2664544.049999957</v>
      </c>
      <c r="O18" s="182">
        <f t="shared" si="2"/>
        <v>29005465.229998503</v>
      </c>
      <c r="P18" s="183">
        <f t="shared" si="3"/>
        <v>24259.999999998567</v>
      </c>
      <c r="Q18" s="140"/>
      <c r="R18" s="151"/>
      <c r="S18" s="160"/>
      <c r="T18" s="159"/>
      <c r="U18" s="158">
        <v>0</v>
      </c>
      <c r="V18" s="138">
        <f t="shared" si="4"/>
        <v>644</v>
      </c>
      <c r="W18" s="2">
        <v>247</v>
      </c>
      <c r="X18" s="181">
        <v>4654221</v>
      </c>
      <c r="Y18" s="28">
        <v>397</v>
      </c>
      <c r="Z18" s="180">
        <v>1869044.24</v>
      </c>
      <c r="AA18" s="180">
        <f t="shared" si="5"/>
        <v>6523265.2400000002</v>
      </c>
      <c r="AB18" s="100">
        <f t="shared" si="6"/>
        <v>449.19881834458067</v>
      </c>
      <c r="AC18" s="220">
        <v>45.39556000001641</v>
      </c>
      <c r="AD18" s="2">
        <v>141.94672000000003</v>
      </c>
      <c r="AE18" s="2">
        <v>61.064479999999406</v>
      </c>
      <c r="AF18" s="2">
        <v>12</v>
      </c>
      <c r="AG18" s="2">
        <f t="shared" si="7"/>
        <v>260.40676000001588</v>
      </c>
      <c r="AH18" s="181">
        <v>3824654.9710906511</v>
      </c>
      <c r="AI18" s="37">
        <f t="shared" si="8"/>
        <v>263.36971292457315</v>
      </c>
      <c r="AJ18" s="109">
        <v>551.97000000000116</v>
      </c>
      <c r="AK18" s="181">
        <v>6623640.000000014</v>
      </c>
      <c r="AL18" s="33">
        <f t="shared" si="9"/>
        <v>456.1107285497875</v>
      </c>
      <c r="AM18" s="6"/>
    </row>
    <row r="19" spans="1:39" ht="15">
      <c r="A19" s="30"/>
      <c r="B19" s="49">
        <v>8</v>
      </c>
      <c r="C19" s="176">
        <v>105</v>
      </c>
      <c r="D19" s="177">
        <v>672</v>
      </c>
      <c r="E19" s="184">
        <v>17000</v>
      </c>
      <c r="F19" s="181">
        <v>17608260</v>
      </c>
      <c r="G19" s="181">
        <v>4360.0000000001273</v>
      </c>
      <c r="H19" s="181">
        <v>6774001.2000001986</v>
      </c>
      <c r="I19" s="185">
        <f t="shared" si="0"/>
        <v>25601374.260000207</v>
      </c>
      <c r="J19" s="184">
        <v>1600.0000000001364</v>
      </c>
      <c r="K19" s="181">
        <v>1657248.0000001413</v>
      </c>
      <c r="L19" s="186">
        <v>460.00000000003638</v>
      </c>
      <c r="M19" s="186">
        <v>714688.20000005653</v>
      </c>
      <c r="N19" s="185">
        <f t="shared" si="1"/>
        <v>2490533.0100002075</v>
      </c>
      <c r="O19" s="182">
        <f t="shared" si="2"/>
        <v>28091907.270000413</v>
      </c>
      <c r="P19" s="183">
        <f t="shared" si="3"/>
        <v>23420.000000000298</v>
      </c>
      <c r="Q19" s="140"/>
      <c r="R19" s="151"/>
      <c r="S19" s="160"/>
      <c r="T19" s="159"/>
      <c r="U19" s="158">
        <v>0</v>
      </c>
      <c r="V19" s="138">
        <f t="shared" si="4"/>
        <v>729</v>
      </c>
      <c r="W19" s="2">
        <v>237</v>
      </c>
      <c r="X19" s="181">
        <v>4465791</v>
      </c>
      <c r="Y19" s="28">
        <v>492</v>
      </c>
      <c r="Z19" s="180">
        <v>2316296.64</v>
      </c>
      <c r="AA19" s="180">
        <f t="shared" si="5"/>
        <v>6782087.6400000006</v>
      </c>
      <c r="AB19" s="100">
        <f t="shared" si="6"/>
        <v>467.02159757609149</v>
      </c>
      <c r="AC19" s="220">
        <v>0</v>
      </c>
      <c r="AD19" s="2">
        <v>125.87499999999908</v>
      </c>
      <c r="AE19" s="2">
        <v>54.458560000001754</v>
      </c>
      <c r="AF19" s="2">
        <v>0</v>
      </c>
      <c r="AG19" s="2">
        <f t="shared" si="7"/>
        <v>180.33356000000083</v>
      </c>
      <c r="AH19" s="181">
        <v>2571861.0824000146</v>
      </c>
      <c r="AI19" s="37">
        <f t="shared" si="8"/>
        <v>177.10102481751926</v>
      </c>
      <c r="AJ19" s="109">
        <v>458.83000000000175</v>
      </c>
      <c r="AK19" s="181">
        <v>5505960.0000000205</v>
      </c>
      <c r="AL19" s="33">
        <f t="shared" si="9"/>
        <v>379.14612312353813</v>
      </c>
      <c r="AM19" s="6"/>
    </row>
    <row r="20" spans="1:39" ht="15">
      <c r="A20" s="30"/>
      <c r="B20" s="49">
        <v>9</v>
      </c>
      <c r="C20" s="176">
        <v>101</v>
      </c>
      <c r="D20" s="177">
        <v>670</v>
      </c>
      <c r="E20" s="184">
        <v>16680.000000000291</v>
      </c>
      <c r="F20" s="181">
        <v>17276810.4000003</v>
      </c>
      <c r="G20" s="181">
        <v>3959.9999999995816</v>
      </c>
      <c r="H20" s="181">
        <v>6152533.1999993501</v>
      </c>
      <c r="I20" s="185">
        <f t="shared" si="0"/>
        <v>24600810.779999636</v>
      </c>
      <c r="J20" s="184">
        <v>1539.9999999999636</v>
      </c>
      <c r="K20" s="181">
        <v>1595101.1999999622</v>
      </c>
      <c r="L20" s="186">
        <v>439.99999999999773</v>
      </c>
      <c r="M20" s="186">
        <v>683614.79999999655</v>
      </c>
      <c r="N20" s="185">
        <f t="shared" si="1"/>
        <v>2392651.799999957</v>
      </c>
      <c r="O20" s="182">
        <f t="shared" si="2"/>
        <v>26993462.579999592</v>
      </c>
      <c r="P20" s="183">
        <f t="shared" si="3"/>
        <v>22619.999999999833</v>
      </c>
      <c r="Q20" s="140"/>
      <c r="R20" s="151"/>
      <c r="S20" s="160"/>
      <c r="T20" s="159"/>
      <c r="U20" s="158">
        <v>0</v>
      </c>
      <c r="V20" s="138">
        <f t="shared" si="4"/>
        <v>715</v>
      </c>
      <c r="W20" s="2">
        <v>222</v>
      </c>
      <c r="X20" s="181">
        <v>4183146</v>
      </c>
      <c r="Y20" s="28">
        <v>493</v>
      </c>
      <c r="Z20" s="180">
        <v>2321004.56</v>
      </c>
      <c r="AA20" s="180">
        <f t="shared" si="5"/>
        <v>6504150.5600000005</v>
      </c>
      <c r="AB20" s="100">
        <f t="shared" si="6"/>
        <v>447.88256163062943</v>
      </c>
      <c r="AC20" s="220">
        <v>177.75563999996012</v>
      </c>
      <c r="AD20" s="2">
        <v>209.84356000000037</v>
      </c>
      <c r="AE20" s="2">
        <v>66.381439999998236</v>
      </c>
      <c r="AF20" s="2">
        <v>36</v>
      </c>
      <c r="AG20" s="2">
        <f t="shared" si="7"/>
        <v>489.98063999995873</v>
      </c>
      <c r="AH20" s="181">
        <v>7673468.6819169521</v>
      </c>
      <c r="AI20" s="37">
        <f t="shared" si="8"/>
        <v>528.40302175436943</v>
      </c>
      <c r="AJ20" s="109">
        <v>296.67999999999302</v>
      </c>
      <c r="AK20" s="181">
        <v>3560159.9999999162</v>
      </c>
      <c r="AL20" s="33">
        <f t="shared" si="9"/>
        <v>245.15631455721774</v>
      </c>
      <c r="AM20" s="6"/>
    </row>
    <row r="21" spans="1:39" ht="15">
      <c r="A21" s="30"/>
      <c r="B21" s="49">
        <v>10</v>
      </c>
      <c r="C21" s="176">
        <v>82</v>
      </c>
      <c r="D21" s="177">
        <v>523</v>
      </c>
      <c r="E21" s="184">
        <v>17000</v>
      </c>
      <c r="F21" s="181">
        <v>17608260</v>
      </c>
      <c r="G21" s="181">
        <v>4160.0000000003092</v>
      </c>
      <c r="H21" s="181">
        <v>6463267.2000004807</v>
      </c>
      <c r="I21" s="185">
        <f t="shared" si="0"/>
        <v>25275103.560000505</v>
      </c>
      <c r="J21" s="184">
        <v>1299.9999999999545</v>
      </c>
      <c r="K21" s="181">
        <v>1346513.999999953</v>
      </c>
      <c r="L21" s="186">
        <v>459.99999999997954</v>
      </c>
      <c r="M21" s="186">
        <v>714688.19999996829</v>
      </c>
      <c r="N21" s="185">
        <f t="shared" si="1"/>
        <v>2164262.3099999176</v>
      </c>
      <c r="O21" s="182">
        <f t="shared" si="2"/>
        <v>27439365.870000422</v>
      </c>
      <c r="P21" s="183">
        <f t="shared" si="3"/>
        <v>22920.00000000024</v>
      </c>
      <c r="Q21" s="140"/>
      <c r="R21" s="151"/>
      <c r="S21" s="160"/>
      <c r="T21" s="159"/>
      <c r="U21" s="158">
        <v>0</v>
      </c>
      <c r="V21" s="138">
        <f t="shared" si="4"/>
        <v>600</v>
      </c>
      <c r="W21" s="2">
        <v>196</v>
      </c>
      <c r="X21" s="181">
        <v>3693228</v>
      </c>
      <c r="Y21" s="28">
        <v>404</v>
      </c>
      <c r="Z21" s="180">
        <v>1901999.68</v>
      </c>
      <c r="AA21" s="180">
        <f t="shared" si="5"/>
        <v>5595227.6799999997</v>
      </c>
      <c r="AB21" s="100">
        <f t="shared" si="6"/>
        <v>385.29318826607903</v>
      </c>
      <c r="AC21" s="220">
        <v>447.30940000001169</v>
      </c>
      <c r="AD21" s="2">
        <v>127.44592000000063</v>
      </c>
      <c r="AE21" s="2">
        <v>61.54784000000263</v>
      </c>
      <c r="AF21" s="2">
        <v>12</v>
      </c>
      <c r="AG21" s="2">
        <f t="shared" si="7"/>
        <v>648.30316000001494</v>
      </c>
      <c r="AH21" s="181">
        <v>9931213.4397962298</v>
      </c>
      <c r="AI21" s="37">
        <f t="shared" si="8"/>
        <v>683.87367027931623</v>
      </c>
      <c r="AJ21" s="109">
        <v>58.350000000005821</v>
      </c>
      <c r="AK21" s="181">
        <v>700200.00000006985</v>
      </c>
      <c r="AL21" s="33">
        <f t="shared" si="9"/>
        <v>48.216499104811312</v>
      </c>
      <c r="AM21" s="6"/>
    </row>
    <row r="22" spans="1:39" ht="15">
      <c r="A22" s="30"/>
      <c r="B22" s="49">
        <v>11</v>
      </c>
      <c r="C22" s="176">
        <v>83</v>
      </c>
      <c r="D22" s="177">
        <v>520</v>
      </c>
      <c r="E22" s="184">
        <v>16840.000000000146</v>
      </c>
      <c r="F22" s="181">
        <v>17442535.200000152</v>
      </c>
      <c r="G22" s="181">
        <v>3880.0000000001091</v>
      </c>
      <c r="H22" s="181">
        <v>6028239.6000001701</v>
      </c>
      <c r="I22" s="185">
        <f t="shared" si="0"/>
        <v>24644313.540000338</v>
      </c>
      <c r="J22" s="184">
        <v>1599.9999999999091</v>
      </c>
      <c r="K22" s="181">
        <v>1657247.9999999057</v>
      </c>
      <c r="L22" s="186">
        <v>480.00000000001819</v>
      </c>
      <c r="M22" s="186">
        <v>745761.60000002827</v>
      </c>
      <c r="N22" s="185">
        <f t="shared" si="1"/>
        <v>2523160.0799999307</v>
      </c>
      <c r="O22" s="182">
        <f t="shared" si="2"/>
        <v>27167473.620000269</v>
      </c>
      <c r="P22" s="183">
        <f t="shared" si="3"/>
        <v>22800.000000000182</v>
      </c>
      <c r="Q22" s="140"/>
      <c r="R22" s="151"/>
      <c r="S22" s="160"/>
      <c r="T22" s="159"/>
      <c r="U22" s="158">
        <v>0</v>
      </c>
      <c r="V22" s="138">
        <f t="shared" si="4"/>
        <v>715</v>
      </c>
      <c r="W22" s="2">
        <v>224</v>
      </c>
      <c r="X22" s="181">
        <v>4220832</v>
      </c>
      <c r="Y22" s="28">
        <v>491</v>
      </c>
      <c r="Z22" s="180">
        <v>2311588.7200000002</v>
      </c>
      <c r="AA22" s="180">
        <f t="shared" si="5"/>
        <v>6532420.7200000007</v>
      </c>
      <c r="AB22" s="100">
        <f t="shared" si="6"/>
        <v>449.82927420465506</v>
      </c>
      <c r="AC22" s="220">
        <v>492.02019999997651</v>
      </c>
      <c r="AD22" s="2">
        <v>128.57375999999982</v>
      </c>
      <c r="AE22" s="2">
        <v>67.670400000000726</v>
      </c>
      <c r="AF22" s="2">
        <v>12</v>
      </c>
      <c r="AG22" s="2">
        <f t="shared" si="7"/>
        <v>700.26435999997705</v>
      </c>
      <c r="AH22" s="181">
        <v>10823311.009867642</v>
      </c>
      <c r="AI22" s="37">
        <f t="shared" si="8"/>
        <v>745.30443533037067</v>
      </c>
      <c r="AJ22" s="109">
        <v>58.369999999995343</v>
      </c>
      <c r="AK22" s="181">
        <v>700439.99999994412</v>
      </c>
      <c r="AL22" s="33">
        <f t="shared" si="9"/>
        <v>48.233025754024524</v>
      </c>
      <c r="AM22" s="6"/>
    </row>
    <row r="23" spans="1:39" ht="15">
      <c r="A23" s="30"/>
      <c r="B23" s="49">
        <v>12</v>
      </c>
      <c r="C23" s="176">
        <v>77</v>
      </c>
      <c r="D23" s="177">
        <v>519</v>
      </c>
      <c r="E23" s="184">
        <v>17159.999999999854</v>
      </c>
      <c r="F23" s="181">
        <v>17773984.799999848</v>
      </c>
      <c r="G23" s="181">
        <v>4359.9999999996726</v>
      </c>
      <c r="H23" s="181">
        <v>6774001.1999994917</v>
      </c>
      <c r="I23" s="185">
        <f t="shared" si="0"/>
        <v>25775385.299999308</v>
      </c>
      <c r="J23" s="184">
        <v>1540.000000000191</v>
      </c>
      <c r="K23" s="181">
        <v>1595101.2000001979</v>
      </c>
      <c r="L23" s="186">
        <v>459.99999999997954</v>
      </c>
      <c r="M23" s="186">
        <v>714688.19999996829</v>
      </c>
      <c r="N23" s="185">
        <f t="shared" si="1"/>
        <v>2425278.8700001747</v>
      </c>
      <c r="O23" s="182">
        <f t="shared" si="2"/>
        <v>28200664.169999484</v>
      </c>
      <c r="P23" s="183">
        <f t="shared" si="3"/>
        <v>23519.999999999694</v>
      </c>
      <c r="Q23" s="140"/>
      <c r="R23" s="151"/>
      <c r="S23" s="160"/>
      <c r="T23" s="159"/>
      <c r="U23" s="158">
        <v>0</v>
      </c>
      <c r="V23" s="138">
        <f t="shared" si="4"/>
        <v>683</v>
      </c>
      <c r="W23" s="2">
        <v>237</v>
      </c>
      <c r="X23" s="181">
        <v>4465791</v>
      </c>
      <c r="Y23" s="28">
        <v>446</v>
      </c>
      <c r="Z23" s="180">
        <v>2099732.3199999998</v>
      </c>
      <c r="AA23" s="180">
        <f t="shared" si="5"/>
        <v>6565523.3200000003</v>
      </c>
      <c r="AB23" s="100">
        <f t="shared" si="6"/>
        <v>452.10875361520453</v>
      </c>
      <c r="AC23" s="220">
        <v>64.609120000032817</v>
      </c>
      <c r="AD23" s="2">
        <v>147.66647999999893</v>
      </c>
      <c r="AE23" s="2">
        <v>52.766799999997794</v>
      </c>
      <c r="AF23" s="2">
        <v>0</v>
      </c>
      <c r="AG23" s="2">
        <f t="shared" si="7"/>
        <v>265.04240000002955</v>
      </c>
      <c r="AH23" s="181">
        <v>3870293.5431012586</v>
      </c>
      <c r="AI23" s="37">
        <f t="shared" si="8"/>
        <v>266.51243238543304</v>
      </c>
      <c r="AJ23" s="109">
        <v>382.95999999999185</v>
      </c>
      <c r="AK23" s="181">
        <v>4595519.9999999022</v>
      </c>
      <c r="AL23" s="33">
        <f t="shared" si="9"/>
        <v>316.45227930036509</v>
      </c>
      <c r="AM23" s="6"/>
    </row>
    <row r="24" spans="1:39" ht="15">
      <c r="A24" s="30"/>
      <c r="B24" s="49">
        <v>13</v>
      </c>
      <c r="C24" s="176">
        <v>68</v>
      </c>
      <c r="D24" s="177">
        <v>465</v>
      </c>
      <c r="E24" s="184">
        <v>17560.00000000131</v>
      </c>
      <c r="F24" s="181">
        <v>18188296.800001357</v>
      </c>
      <c r="G24" s="181">
        <v>4039.9999999999636</v>
      </c>
      <c r="H24" s="181">
        <v>6276826.7999999439</v>
      </c>
      <c r="I24" s="185">
        <f t="shared" si="0"/>
        <v>25688379.780001368</v>
      </c>
      <c r="J24" s="184">
        <v>1659.9999999998545</v>
      </c>
      <c r="K24" s="181">
        <v>1719394.7999998492</v>
      </c>
      <c r="L24" s="186">
        <v>460.00000000003638</v>
      </c>
      <c r="M24" s="186">
        <v>714688.20000005653</v>
      </c>
      <c r="N24" s="185">
        <f t="shared" si="1"/>
        <v>2555787.1499999012</v>
      </c>
      <c r="O24" s="182">
        <f t="shared" si="2"/>
        <v>28244166.93000127</v>
      </c>
      <c r="P24" s="183">
        <f t="shared" si="3"/>
        <v>23720.000000001164</v>
      </c>
      <c r="Q24" s="140"/>
      <c r="R24" s="140"/>
      <c r="S24" s="160"/>
      <c r="T24" s="159"/>
      <c r="U24" s="158">
        <v>0</v>
      </c>
      <c r="V24" s="138">
        <f t="shared" si="4"/>
        <v>678</v>
      </c>
      <c r="W24" s="2">
        <v>236</v>
      </c>
      <c r="X24" s="181">
        <v>4446948</v>
      </c>
      <c r="Y24" s="28">
        <v>442</v>
      </c>
      <c r="Z24" s="180">
        <v>2080900.6400000001</v>
      </c>
      <c r="AA24" s="180">
        <f t="shared" si="5"/>
        <v>6527848.6400000006</v>
      </c>
      <c r="AB24" s="100">
        <f t="shared" si="6"/>
        <v>449.51443602809536</v>
      </c>
      <c r="AC24" s="220">
        <v>0</v>
      </c>
      <c r="AD24" s="2">
        <v>125.43192000000222</v>
      </c>
      <c r="AE24" s="2">
        <v>57.197599999999262</v>
      </c>
      <c r="AF24" s="2">
        <v>0</v>
      </c>
      <c r="AG24" s="2">
        <f t="shared" si="7"/>
        <v>182.62952000000149</v>
      </c>
      <c r="AH24" s="181">
        <v>2372176.2048000293</v>
      </c>
      <c r="AI24" s="37">
        <f t="shared" si="8"/>
        <v>163.35051678832318</v>
      </c>
      <c r="AJ24" s="109">
        <v>377.77000000000407</v>
      </c>
      <c r="AK24" s="181">
        <v>4533240.0000000484</v>
      </c>
      <c r="AL24" s="33">
        <f t="shared" si="9"/>
        <v>312.16361382729986</v>
      </c>
      <c r="AM24" s="6"/>
    </row>
    <row r="25" spans="1:39" ht="15">
      <c r="A25" s="30"/>
      <c r="B25" s="49">
        <v>14</v>
      </c>
      <c r="C25" s="176">
        <v>61</v>
      </c>
      <c r="D25" s="177">
        <v>410</v>
      </c>
      <c r="E25" s="184">
        <v>17119.999999998981</v>
      </c>
      <c r="F25" s="181">
        <v>17732553.599998944</v>
      </c>
      <c r="G25" s="181">
        <v>4160.0000000003092</v>
      </c>
      <c r="H25" s="181">
        <v>6463267.2000004807</v>
      </c>
      <c r="I25" s="185">
        <f t="shared" si="0"/>
        <v>25405611.839999396</v>
      </c>
      <c r="J25" s="184">
        <v>1500</v>
      </c>
      <c r="K25" s="181">
        <v>1553670</v>
      </c>
      <c r="L25" s="186">
        <v>459.99999999997954</v>
      </c>
      <c r="M25" s="186">
        <v>714688.19999996829</v>
      </c>
      <c r="N25" s="185">
        <f t="shared" si="1"/>
        <v>2381776.1099999673</v>
      </c>
      <c r="O25" s="182">
        <f t="shared" si="2"/>
        <v>27787387.949999362</v>
      </c>
      <c r="P25" s="183">
        <f t="shared" si="3"/>
        <v>23239.999999999269</v>
      </c>
      <c r="Q25" s="141"/>
      <c r="R25" s="141"/>
      <c r="S25" s="160"/>
      <c r="T25" s="159"/>
      <c r="U25" s="158">
        <v>0</v>
      </c>
      <c r="V25" s="138">
        <f t="shared" si="4"/>
        <v>633</v>
      </c>
      <c r="W25" s="2">
        <v>290</v>
      </c>
      <c r="X25" s="181">
        <v>5464470</v>
      </c>
      <c r="Y25" s="28">
        <v>343</v>
      </c>
      <c r="Z25" s="180">
        <v>1614816.56</v>
      </c>
      <c r="AA25" s="180">
        <f t="shared" si="5"/>
        <v>7079286.5600000005</v>
      </c>
      <c r="AB25" s="100">
        <f t="shared" si="6"/>
        <v>487.48702382591932</v>
      </c>
      <c r="AC25" s="220">
        <v>41.649519999985927</v>
      </c>
      <c r="AD25" s="2">
        <v>111.97840000000026</v>
      </c>
      <c r="AE25" s="2">
        <v>58.567119999999846</v>
      </c>
      <c r="AF25" s="2">
        <v>12</v>
      </c>
      <c r="AG25" s="2">
        <f t="shared" si="7"/>
        <v>224.19503999998605</v>
      </c>
      <c r="AH25" s="181">
        <v>3173258.6284365775</v>
      </c>
      <c r="AI25" s="37">
        <f t="shared" si="8"/>
        <v>218.51388434351864</v>
      </c>
      <c r="AJ25" s="109">
        <v>388.30000000000291</v>
      </c>
      <c r="AK25" s="181">
        <v>4659600.0000000354</v>
      </c>
      <c r="AL25" s="33">
        <f t="shared" si="9"/>
        <v>320.86489464261365</v>
      </c>
      <c r="AM25" s="6"/>
    </row>
    <row r="26" spans="1:39" ht="15">
      <c r="A26" s="30"/>
      <c r="B26" s="49">
        <v>15</v>
      </c>
      <c r="C26" s="176">
        <v>57</v>
      </c>
      <c r="D26" s="177">
        <v>385</v>
      </c>
      <c r="E26" s="184">
        <v>15920.000000000073</v>
      </c>
      <c r="F26" s="181">
        <v>16489617.600000074</v>
      </c>
      <c r="G26" s="181">
        <v>3920.0000000000728</v>
      </c>
      <c r="H26" s="181">
        <v>6090386.4000001131</v>
      </c>
      <c r="I26" s="185">
        <f t="shared" si="0"/>
        <v>23709004.200000197</v>
      </c>
      <c r="J26" s="184">
        <v>1519.9999999999818</v>
      </c>
      <c r="K26" s="181">
        <v>1574385.5999999812</v>
      </c>
      <c r="L26" s="186">
        <v>439.99999999999773</v>
      </c>
      <c r="M26" s="186">
        <v>683614.79999999655</v>
      </c>
      <c r="N26" s="185">
        <f t="shared" si="1"/>
        <v>2370900.4199999771</v>
      </c>
      <c r="O26" s="182">
        <f t="shared" si="2"/>
        <v>26079904.620000172</v>
      </c>
      <c r="P26" s="183">
        <f t="shared" si="3"/>
        <v>21800.000000000124</v>
      </c>
      <c r="Q26" s="140"/>
      <c r="R26" s="151"/>
      <c r="S26" s="160"/>
      <c r="T26" s="159"/>
      <c r="U26" s="158">
        <v>0</v>
      </c>
      <c r="V26" s="138">
        <f t="shared" si="4"/>
        <v>664</v>
      </c>
      <c r="W26" s="2">
        <v>240</v>
      </c>
      <c r="X26" s="181">
        <v>4522320</v>
      </c>
      <c r="Y26" s="28">
        <v>424</v>
      </c>
      <c r="Z26" s="180">
        <v>1996158.08</v>
      </c>
      <c r="AA26" s="180">
        <f t="shared" si="5"/>
        <v>6518478.0800000001</v>
      </c>
      <c r="AB26" s="100">
        <f t="shared" si="6"/>
        <v>448.86916953587661</v>
      </c>
      <c r="AC26" s="220">
        <v>92.08008000000234</v>
      </c>
      <c r="AD26" s="2">
        <v>205.85583999999668</v>
      </c>
      <c r="AE26" s="2">
        <v>43.703800000001458</v>
      </c>
      <c r="AF26" s="2">
        <v>24</v>
      </c>
      <c r="AG26" s="2">
        <f t="shared" si="7"/>
        <v>365.63972000000047</v>
      </c>
      <c r="AH26" s="181">
        <v>5620424.7828272078</v>
      </c>
      <c r="AI26" s="37">
        <f t="shared" si="8"/>
        <v>387.02828693204845</v>
      </c>
      <c r="AJ26" s="109">
        <v>344.05000000000291</v>
      </c>
      <c r="AK26" s="181">
        <v>4128600.0000000349</v>
      </c>
      <c r="AL26" s="33">
        <f t="shared" si="9"/>
        <v>284.29968323922566</v>
      </c>
      <c r="AM26" s="6"/>
    </row>
    <row r="27" spans="1:39" ht="15">
      <c r="A27" s="30"/>
      <c r="B27" s="49">
        <v>16</v>
      </c>
      <c r="C27" s="176">
        <v>63</v>
      </c>
      <c r="D27" s="177">
        <v>345</v>
      </c>
      <c r="E27" s="184">
        <v>15960.000000000946</v>
      </c>
      <c r="F27" s="181">
        <v>16531048.800000979</v>
      </c>
      <c r="G27" s="181">
        <v>3719.9999999997999</v>
      </c>
      <c r="H27" s="181">
        <v>5779652.3999996893</v>
      </c>
      <c r="I27" s="185">
        <f t="shared" si="0"/>
        <v>23426236.260000702</v>
      </c>
      <c r="J27" s="184">
        <v>1460.0000000000364</v>
      </c>
      <c r="K27" s="181">
        <v>1512238.8000000375</v>
      </c>
      <c r="L27" s="186">
        <v>439.99999999999773</v>
      </c>
      <c r="M27" s="186">
        <v>683614.79999999655</v>
      </c>
      <c r="N27" s="185">
        <f t="shared" si="1"/>
        <v>2305646.2800000361</v>
      </c>
      <c r="O27" s="182">
        <f t="shared" si="2"/>
        <v>25731882.540000737</v>
      </c>
      <c r="P27" s="183">
        <f t="shared" si="3"/>
        <v>21580.000000000779</v>
      </c>
      <c r="Q27" s="140"/>
      <c r="R27" s="140"/>
      <c r="S27" s="160"/>
      <c r="T27" s="159"/>
      <c r="U27" s="158">
        <v>0</v>
      </c>
      <c r="V27" s="138">
        <f t="shared" si="4"/>
        <v>663</v>
      </c>
      <c r="W27" s="2">
        <v>221</v>
      </c>
      <c r="X27" s="181">
        <v>4164303</v>
      </c>
      <c r="Y27" s="28">
        <v>442</v>
      </c>
      <c r="Z27" s="180">
        <v>2080900.6400000001</v>
      </c>
      <c r="AA27" s="180">
        <f t="shared" si="5"/>
        <v>6245203.6400000006</v>
      </c>
      <c r="AB27" s="100">
        <f t="shared" si="6"/>
        <v>430.051207822614</v>
      </c>
      <c r="AC27" s="220">
        <v>26.947320000009377</v>
      </c>
      <c r="AD27" s="2">
        <v>112.98540000000256</v>
      </c>
      <c r="AE27" s="2">
        <v>60.178319999998379</v>
      </c>
      <c r="AF27" s="2">
        <v>0</v>
      </c>
      <c r="AG27" s="2">
        <f t="shared" si="7"/>
        <v>200.11104000001029</v>
      </c>
      <c r="AH27" s="181">
        <v>2857514.0518889669</v>
      </c>
      <c r="AI27" s="37">
        <f t="shared" si="8"/>
        <v>196.77138492555895</v>
      </c>
      <c r="AJ27" s="109">
        <v>325.55000000000291</v>
      </c>
      <c r="AK27" s="181">
        <v>3906600.0000000349</v>
      </c>
      <c r="AL27" s="33">
        <f t="shared" si="9"/>
        <v>269.01253270899565</v>
      </c>
      <c r="AM27" s="6"/>
    </row>
    <row r="28" spans="1:39" ht="15">
      <c r="A28" s="30"/>
      <c r="B28" s="49">
        <v>17</v>
      </c>
      <c r="C28" s="176">
        <v>54</v>
      </c>
      <c r="D28" s="177">
        <v>420</v>
      </c>
      <c r="E28" s="184">
        <v>16279.999999998836</v>
      </c>
      <c r="F28" s="181">
        <v>16862498.399998795</v>
      </c>
      <c r="G28" s="181">
        <v>4079.9999999999272</v>
      </c>
      <c r="H28" s="181">
        <v>6338973.5999998869</v>
      </c>
      <c r="I28" s="185">
        <f t="shared" si="0"/>
        <v>24361545.599998616</v>
      </c>
      <c r="J28" s="184">
        <v>1579.9999999999272</v>
      </c>
      <c r="K28" s="181">
        <v>1636532.3999999247</v>
      </c>
      <c r="L28" s="186">
        <v>439.99999999999773</v>
      </c>
      <c r="M28" s="186">
        <v>683614.79999999655</v>
      </c>
      <c r="N28" s="185">
        <f t="shared" si="1"/>
        <v>2436154.5599999172</v>
      </c>
      <c r="O28" s="182">
        <f t="shared" si="2"/>
        <v>26797700.159998532</v>
      </c>
      <c r="P28" s="183">
        <f t="shared" si="3"/>
        <v>22379.999999998687</v>
      </c>
      <c r="Q28" s="141"/>
      <c r="R28" s="141"/>
      <c r="S28" s="160"/>
      <c r="T28" s="159"/>
      <c r="U28" s="158">
        <v>0</v>
      </c>
      <c r="V28" s="138">
        <f t="shared" si="4"/>
        <v>761</v>
      </c>
      <c r="W28" s="2">
        <v>242</v>
      </c>
      <c r="X28" s="181">
        <v>4560006</v>
      </c>
      <c r="Y28" s="28">
        <v>519</v>
      </c>
      <c r="Z28" s="180">
        <v>2443410.48</v>
      </c>
      <c r="AA28" s="180">
        <f t="shared" si="5"/>
        <v>7003416.4800000004</v>
      </c>
      <c r="AB28" s="100">
        <f t="shared" si="6"/>
        <v>482.26253133177249</v>
      </c>
      <c r="AC28" s="220">
        <v>213.04091999999764</v>
      </c>
      <c r="AD28" s="2">
        <v>130.26552000000012</v>
      </c>
      <c r="AE28" s="2">
        <v>42.938480000003075</v>
      </c>
      <c r="AF28" s="2">
        <v>12</v>
      </c>
      <c r="AG28" s="2">
        <f t="shared" si="7"/>
        <v>398.24492000000089</v>
      </c>
      <c r="AH28" s="181">
        <v>5870249.1965128109</v>
      </c>
      <c r="AI28" s="37">
        <f t="shared" si="8"/>
        <v>404.23145548222084</v>
      </c>
      <c r="AJ28" s="109">
        <v>270.67999999999302</v>
      </c>
      <c r="AK28" s="181">
        <v>3248159.9999999162</v>
      </c>
      <c r="AL28" s="33">
        <f t="shared" si="9"/>
        <v>223.6716705687864</v>
      </c>
      <c r="AM28" s="6"/>
    </row>
    <row r="29" spans="1:39" ht="15">
      <c r="A29" s="30"/>
      <c r="B29" s="49">
        <v>18</v>
      </c>
      <c r="C29" s="176">
        <v>61</v>
      </c>
      <c r="D29" s="177">
        <v>357</v>
      </c>
      <c r="E29" s="184">
        <v>16319.999999999709</v>
      </c>
      <c r="F29" s="181">
        <v>16903929.5999997</v>
      </c>
      <c r="G29" s="181">
        <v>3720.0000000002547</v>
      </c>
      <c r="H29" s="181">
        <v>5779652.4000003962</v>
      </c>
      <c r="I29" s="185">
        <f t="shared" si="0"/>
        <v>23817761.100000102</v>
      </c>
      <c r="J29" s="184">
        <v>1660.0000000000819</v>
      </c>
      <c r="K29" s="181">
        <v>1719394.8000000848</v>
      </c>
      <c r="L29" s="186">
        <v>439.99999999999773</v>
      </c>
      <c r="M29" s="186">
        <v>683614.79999999655</v>
      </c>
      <c r="N29" s="185">
        <f t="shared" si="1"/>
        <v>2523160.0800000858</v>
      </c>
      <c r="O29" s="182">
        <f t="shared" si="2"/>
        <v>26340921.180000186</v>
      </c>
      <c r="P29" s="183">
        <f t="shared" si="3"/>
        <v>22140.00000000004</v>
      </c>
      <c r="Q29" s="141"/>
      <c r="R29" s="141"/>
      <c r="S29" s="160"/>
      <c r="T29" s="159"/>
      <c r="U29" s="158">
        <v>0</v>
      </c>
      <c r="V29" s="138">
        <f t="shared" si="4"/>
        <v>766</v>
      </c>
      <c r="W29" s="2">
        <v>219</v>
      </c>
      <c r="X29" s="181">
        <v>4126617</v>
      </c>
      <c r="Y29" s="28">
        <v>547</v>
      </c>
      <c r="Z29" s="180">
        <v>2575232.2400000002</v>
      </c>
      <c r="AA29" s="180">
        <f t="shared" si="5"/>
        <v>6701849.2400000002</v>
      </c>
      <c r="AB29" s="100">
        <f t="shared" si="6"/>
        <v>461.49629803057434</v>
      </c>
      <c r="AC29" s="220">
        <v>412.66859999998826</v>
      </c>
      <c r="AD29" s="2">
        <v>131.917</v>
      </c>
      <c r="AE29" s="2">
        <v>59.533839999998968</v>
      </c>
      <c r="AF29" s="2">
        <v>132</v>
      </c>
      <c r="AG29" s="2">
        <f t="shared" si="7"/>
        <v>736.11943999998721</v>
      </c>
      <c r="AH29" s="181">
        <v>11431955.557923799</v>
      </c>
      <c r="AI29" s="37">
        <f t="shared" si="8"/>
        <v>787.21633094090339</v>
      </c>
      <c r="AJ29" s="109">
        <v>79.180000000007567</v>
      </c>
      <c r="AK29" s="181">
        <v>950160.0000000908</v>
      </c>
      <c r="AL29" s="33">
        <f t="shared" si="9"/>
        <v>65.429004269390632</v>
      </c>
      <c r="AM29" s="6"/>
    </row>
    <row r="30" spans="1:39" ht="15">
      <c r="A30" s="30"/>
      <c r="B30" s="49">
        <v>19</v>
      </c>
      <c r="C30" s="176">
        <v>67</v>
      </c>
      <c r="D30" s="177">
        <v>388</v>
      </c>
      <c r="E30" s="184">
        <v>18280.000000000655</v>
      </c>
      <c r="F30" s="181">
        <v>18934058.400000677</v>
      </c>
      <c r="G30" s="181">
        <v>4199.9999999998181</v>
      </c>
      <c r="H30" s="181">
        <v>6525413.9999997178</v>
      </c>
      <c r="I30" s="185">
        <f t="shared" si="0"/>
        <v>26732446.020000413</v>
      </c>
      <c r="J30" s="184">
        <v>1420.0000000000728</v>
      </c>
      <c r="K30" s="181">
        <v>1470807.6000000753</v>
      </c>
      <c r="L30" s="186">
        <v>439.99999999999773</v>
      </c>
      <c r="M30" s="186">
        <v>683614.79999999655</v>
      </c>
      <c r="N30" s="185">
        <f t="shared" si="1"/>
        <v>2262143.5200000759</v>
      </c>
      <c r="O30" s="182">
        <f t="shared" si="2"/>
        <v>28994589.540000491</v>
      </c>
      <c r="P30" s="183">
        <f t="shared" si="3"/>
        <v>24340.000000000542</v>
      </c>
      <c r="Q30" s="140"/>
      <c r="R30" s="140"/>
      <c r="S30" s="160"/>
      <c r="T30" s="159"/>
      <c r="U30" s="158">
        <v>0</v>
      </c>
      <c r="V30" s="138">
        <f t="shared" si="4"/>
        <v>595</v>
      </c>
      <c r="W30" s="2">
        <v>262</v>
      </c>
      <c r="X30" s="181">
        <v>4936866</v>
      </c>
      <c r="Y30" s="28">
        <v>333</v>
      </c>
      <c r="Z30" s="180">
        <v>1567737.36</v>
      </c>
      <c r="AA30" s="180">
        <f t="shared" si="5"/>
        <v>6504603.3600000003</v>
      </c>
      <c r="AB30" s="100">
        <f t="shared" si="6"/>
        <v>447.913741908828</v>
      </c>
      <c r="AC30" s="220">
        <v>335.08932000000937</v>
      </c>
      <c r="AD30" s="2">
        <v>140.25495999999742</v>
      </c>
      <c r="AE30" s="2">
        <v>61.507559999998087</v>
      </c>
      <c r="AF30" s="2">
        <v>0</v>
      </c>
      <c r="AG30" s="2">
        <f t="shared" si="7"/>
        <v>536.85184000000493</v>
      </c>
      <c r="AH30" s="181">
        <v>8030956.8549688738</v>
      </c>
      <c r="AI30" s="37">
        <f t="shared" si="8"/>
        <v>553.02002857518755</v>
      </c>
      <c r="AJ30" s="109">
        <v>61.110000000000582</v>
      </c>
      <c r="AK30" s="181">
        <v>733320.00000000698</v>
      </c>
      <c r="AL30" s="33">
        <f t="shared" si="9"/>
        <v>50.497176697425076</v>
      </c>
      <c r="AM30" s="6"/>
    </row>
    <row r="31" spans="1:39" ht="15">
      <c r="A31" s="30"/>
      <c r="B31" s="49">
        <v>20</v>
      </c>
      <c r="C31" s="176">
        <v>65</v>
      </c>
      <c r="D31" s="177">
        <v>416</v>
      </c>
      <c r="E31" s="184">
        <v>14479.999999999563</v>
      </c>
      <c r="F31" s="181">
        <v>14998094.399999548</v>
      </c>
      <c r="G31" s="181">
        <v>3759.9999999997635</v>
      </c>
      <c r="H31" s="181">
        <v>5841799.1999996332</v>
      </c>
      <c r="I31" s="185">
        <f t="shared" si="0"/>
        <v>21881888.279999141</v>
      </c>
      <c r="J31" s="184">
        <v>1359.9999999999</v>
      </c>
      <c r="K31" s="181">
        <v>1408660.7999998964</v>
      </c>
      <c r="L31" s="186">
        <v>520.00000000003865</v>
      </c>
      <c r="M31" s="186">
        <v>807908.40000006009</v>
      </c>
      <c r="N31" s="185">
        <f t="shared" si="1"/>
        <v>2327397.6599999545</v>
      </c>
      <c r="O31" s="182">
        <f t="shared" si="2"/>
        <v>24209285.939999096</v>
      </c>
      <c r="P31" s="183">
        <f t="shared" si="3"/>
        <v>20119.999999999269</v>
      </c>
      <c r="Q31" s="141"/>
      <c r="R31" s="141"/>
      <c r="S31" s="160"/>
      <c r="T31" s="159"/>
      <c r="U31" s="158">
        <v>0</v>
      </c>
      <c r="V31" s="138">
        <f t="shared" si="4"/>
        <v>695</v>
      </c>
      <c r="W31" s="2">
        <v>243</v>
      </c>
      <c r="X31" s="181">
        <v>4578849</v>
      </c>
      <c r="Y31" s="28">
        <v>452</v>
      </c>
      <c r="Z31" s="180">
        <v>2127979.84</v>
      </c>
      <c r="AA31" s="180">
        <f t="shared" si="5"/>
        <v>6706828.8399999999</v>
      </c>
      <c r="AB31" s="100">
        <f t="shared" si="6"/>
        <v>461.83919845751274</v>
      </c>
      <c r="AC31" s="220">
        <v>379.92096000002812</v>
      </c>
      <c r="AD31" s="2">
        <v>112.66315999999965</v>
      </c>
      <c r="AE31" s="2">
        <v>53.370999999999995</v>
      </c>
      <c r="AF31" s="2">
        <v>12</v>
      </c>
      <c r="AG31" s="2">
        <f t="shared" si="7"/>
        <v>557.95512000002782</v>
      </c>
      <c r="AH31" s="181">
        <v>8441398.6771268379</v>
      </c>
      <c r="AI31" s="37">
        <f t="shared" si="8"/>
        <v>581.2834786618123</v>
      </c>
      <c r="AJ31" s="109">
        <v>63.619999999995343</v>
      </c>
      <c r="AK31" s="181">
        <v>763439.99999994412</v>
      </c>
      <c r="AL31" s="33">
        <f t="shared" si="9"/>
        <v>52.571271174765471</v>
      </c>
      <c r="AM31" s="6"/>
    </row>
    <row r="32" spans="1:39" ht="15">
      <c r="A32" s="30"/>
      <c r="B32" s="49">
        <v>21</v>
      </c>
      <c r="C32" s="176">
        <v>85</v>
      </c>
      <c r="D32" s="177">
        <v>546</v>
      </c>
      <c r="E32" s="184">
        <v>16600.000000000364</v>
      </c>
      <c r="F32" s="181">
        <v>17193948.000000376</v>
      </c>
      <c r="G32" s="181">
        <v>4160.0000000003092</v>
      </c>
      <c r="H32" s="181">
        <v>6463267.2000004807</v>
      </c>
      <c r="I32" s="185">
        <f t="shared" si="0"/>
        <v>24840075.960000899</v>
      </c>
      <c r="J32" s="184">
        <v>1680.0000000000637</v>
      </c>
      <c r="K32" s="181">
        <v>1740110.4000000658</v>
      </c>
      <c r="L32" s="186">
        <v>539.99999999996362</v>
      </c>
      <c r="M32" s="186">
        <v>838981.79999994347</v>
      </c>
      <c r="N32" s="185">
        <f t="shared" si="1"/>
        <v>2708046.8100000103</v>
      </c>
      <c r="O32" s="182">
        <f t="shared" si="2"/>
        <v>27548122.770000909</v>
      </c>
      <c r="P32" s="183">
        <f t="shared" si="3"/>
        <v>22980.000000000698</v>
      </c>
      <c r="Q32" s="140"/>
      <c r="R32" s="152"/>
      <c r="S32" s="160"/>
      <c r="T32" s="159"/>
      <c r="U32" s="158">
        <v>0</v>
      </c>
      <c r="V32" s="138">
        <f t="shared" si="4"/>
        <v>466</v>
      </c>
      <c r="W32" s="2">
        <v>108</v>
      </c>
      <c r="X32" s="181">
        <v>2035044</v>
      </c>
      <c r="Y32" s="28">
        <v>358</v>
      </c>
      <c r="Z32" s="180">
        <v>1685435.36</v>
      </c>
      <c r="AA32" s="180">
        <f t="shared" si="5"/>
        <v>3720479.3600000003</v>
      </c>
      <c r="AB32" s="100">
        <f t="shared" si="6"/>
        <v>256.19607216636831</v>
      </c>
      <c r="AC32" s="220">
        <v>298.5956399999601</v>
      </c>
      <c r="AD32" s="2">
        <v>203.64044000000189</v>
      </c>
      <c r="AE32" s="2">
        <v>60.903359999999552</v>
      </c>
      <c r="AF32" s="2">
        <v>36</v>
      </c>
      <c r="AG32" s="2">
        <f t="shared" si="7"/>
        <v>599.1394399999615</v>
      </c>
      <c r="AH32" s="181">
        <v>9362298.7147169951</v>
      </c>
      <c r="AI32" s="37">
        <f t="shared" si="8"/>
        <v>644.69761153539423</v>
      </c>
      <c r="AJ32" s="109">
        <v>41.660000000003492</v>
      </c>
      <c r="AK32" s="181">
        <v>499920.00000004191</v>
      </c>
      <c r="AL32" s="33">
        <f t="shared" si="9"/>
        <v>34.425010329158653</v>
      </c>
      <c r="AM32" s="6"/>
    </row>
    <row r="33" spans="1:39" ht="15">
      <c r="A33" s="30"/>
      <c r="B33" s="49">
        <v>22</v>
      </c>
      <c r="C33" s="176">
        <v>83</v>
      </c>
      <c r="D33" s="177">
        <v>598</v>
      </c>
      <c r="E33" s="184">
        <v>16079.999999999927</v>
      </c>
      <c r="F33" s="181">
        <v>16655342.399999924</v>
      </c>
      <c r="G33" s="181">
        <v>4039.9999999999636</v>
      </c>
      <c r="H33" s="181">
        <v>6276826.7999999439</v>
      </c>
      <c r="I33" s="185">
        <f t="shared" si="0"/>
        <v>24078777.659999862</v>
      </c>
      <c r="J33" s="184">
        <v>1619.9999999998909</v>
      </c>
      <c r="K33" s="181">
        <v>1677963.5999998869</v>
      </c>
      <c r="L33" s="186">
        <v>500</v>
      </c>
      <c r="M33" s="186">
        <v>776835</v>
      </c>
      <c r="N33" s="185">
        <f t="shared" si="1"/>
        <v>2577538.5299998815</v>
      </c>
      <c r="O33" s="182">
        <f t="shared" si="2"/>
        <v>26656316.189999744</v>
      </c>
      <c r="P33" s="183">
        <f t="shared" si="3"/>
        <v>22239.999999999782</v>
      </c>
      <c r="Q33" s="140"/>
      <c r="R33" s="153"/>
      <c r="S33" s="160"/>
      <c r="T33" s="159"/>
      <c r="U33" s="158">
        <v>0</v>
      </c>
      <c r="V33" s="138">
        <f t="shared" si="4"/>
        <v>788</v>
      </c>
      <c r="W33" s="2">
        <v>244</v>
      </c>
      <c r="X33" s="181">
        <v>4597692</v>
      </c>
      <c r="Y33" s="28">
        <v>544</v>
      </c>
      <c r="Z33" s="180">
        <v>2561108.48</v>
      </c>
      <c r="AA33" s="180">
        <f t="shared" si="5"/>
        <v>7158800.4800000004</v>
      </c>
      <c r="AB33" s="100">
        <f t="shared" si="6"/>
        <v>492.96243492631874</v>
      </c>
      <c r="AC33" s="220">
        <v>361.75467999999057</v>
      </c>
      <c r="AD33" s="2">
        <v>123.45820000000035</v>
      </c>
      <c r="AE33" s="2">
        <v>72.020640000000427</v>
      </c>
      <c r="AF33" s="2">
        <v>0</v>
      </c>
      <c r="AG33" s="2">
        <f t="shared" si="7"/>
        <v>557.23351999999136</v>
      </c>
      <c r="AH33" s="181">
        <v>8658109.8119910639</v>
      </c>
      <c r="AI33" s="37">
        <f t="shared" si="8"/>
        <v>596.206432446706</v>
      </c>
      <c r="AJ33" s="109">
        <v>63.479999999995925</v>
      </c>
      <c r="AK33" s="181">
        <v>761759.99999995111</v>
      </c>
      <c r="AL33" s="33">
        <f t="shared" si="9"/>
        <v>52.455584630212854</v>
      </c>
      <c r="AM33" s="6"/>
    </row>
    <row r="34" spans="1:39" ht="15">
      <c r="A34" s="30"/>
      <c r="B34" s="49">
        <v>23</v>
      </c>
      <c r="C34" s="176">
        <v>91</v>
      </c>
      <c r="D34" s="177">
        <v>521</v>
      </c>
      <c r="E34" s="184">
        <v>17040.000000000873</v>
      </c>
      <c r="F34" s="181">
        <v>17649691.200000905</v>
      </c>
      <c r="G34" s="181">
        <v>4239.9999999997817</v>
      </c>
      <c r="H34" s="181">
        <v>6587560.7999996608</v>
      </c>
      <c r="I34" s="185">
        <f t="shared" si="0"/>
        <v>25449114.600000594</v>
      </c>
      <c r="J34" s="184">
        <v>1519.9999999999818</v>
      </c>
      <c r="K34" s="181">
        <v>1574385.5999999812</v>
      </c>
      <c r="L34" s="186">
        <v>519.99999999998181</v>
      </c>
      <c r="M34" s="186">
        <v>807908.39999997173</v>
      </c>
      <c r="N34" s="185">
        <f t="shared" si="1"/>
        <v>2501408.6999999508</v>
      </c>
      <c r="O34" s="182">
        <f t="shared" si="2"/>
        <v>27950523.300000545</v>
      </c>
      <c r="P34" s="183">
        <f t="shared" si="3"/>
        <v>23320.000000000618</v>
      </c>
      <c r="Q34" s="141"/>
      <c r="R34" s="154"/>
      <c r="S34" s="160"/>
      <c r="T34" s="159"/>
      <c r="U34" s="158">
        <v>0</v>
      </c>
      <c r="V34" s="138">
        <f t="shared" si="4"/>
        <v>786</v>
      </c>
      <c r="W34" s="2">
        <v>237</v>
      </c>
      <c r="X34" s="181">
        <v>4465791</v>
      </c>
      <c r="Y34" s="28">
        <v>549</v>
      </c>
      <c r="Z34" s="180">
        <v>2584648.08</v>
      </c>
      <c r="AA34" s="180">
        <f t="shared" si="5"/>
        <v>7050439.0800000001</v>
      </c>
      <c r="AB34" s="100">
        <f t="shared" si="6"/>
        <v>485.50055639719045</v>
      </c>
      <c r="AC34" s="220">
        <v>415.85072000002106</v>
      </c>
      <c r="AD34" s="2">
        <v>121.44419999999806</v>
      </c>
      <c r="AE34" s="2">
        <v>59.453280000000873</v>
      </c>
      <c r="AF34" s="2">
        <v>0</v>
      </c>
      <c r="AG34" s="2">
        <f t="shared" si="7"/>
        <v>596.74820000002001</v>
      </c>
      <c r="AH34" s="181">
        <v>9175154.4300451148</v>
      </c>
      <c r="AI34" s="37">
        <f t="shared" si="8"/>
        <v>631.81066175768592</v>
      </c>
      <c r="AJ34" s="109">
        <v>60</v>
      </c>
      <c r="AK34" s="181">
        <v>720000</v>
      </c>
      <c r="AL34" s="33">
        <f t="shared" si="9"/>
        <v>49.579947665610796</v>
      </c>
      <c r="AM34" s="6"/>
    </row>
    <row r="35" spans="1:39" ht="15">
      <c r="A35" s="30"/>
      <c r="B35" s="49">
        <v>24</v>
      </c>
      <c r="C35" s="176">
        <v>92</v>
      </c>
      <c r="D35" s="177">
        <v>517</v>
      </c>
      <c r="E35" s="184">
        <v>17479.999999999563</v>
      </c>
      <c r="F35" s="181">
        <v>18105434.399999548</v>
      </c>
      <c r="G35" s="181">
        <v>4360.0000000001273</v>
      </c>
      <c r="H35" s="181">
        <v>6774001.2000001986</v>
      </c>
      <c r="I35" s="185">
        <f t="shared" si="0"/>
        <v>26123407.379999738</v>
      </c>
      <c r="J35" s="184">
        <v>1440.0000000000546</v>
      </c>
      <c r="K35" s="181">
        <v>1491523.2000000565</v>
      </c>
      <c r="L35" s="186">
        <v>520.00000000003865</v>
      </c>
      <c r="M35" s="186">
        <v>807908.40000006009</v>
      </c>
      <c r="N35" s="185">
        <f t="shared" si="1"/>
        <v>2414403.1800001226</v>
      </c>
      <c r="O35" s="182">
        <f t="shared" si="2"/>
        <v>28537810.559999861</v>
      </c>
      <c r="P35" s="183">
        <f t="shared" si="3"/>
        <v>23799.999999999785</v>
      </c>
      <c r="Q35" s="140"/>
      <c r="R35" s="152"/>
      <c r="S35" s="160"/>
      <c r="T35" s="159"/>
      <c r="U35" s="158">
        <v>0</v>
      </c>
      <c r="V35" s="138">
        <f t="shared" si="4"/>
        <v>752</v>
      </c>
      <c r="W35" s="2">
        <v>234</v>
      </c>
      <c r="X35" s="181">
        <v>4409262</v>
      </c>
      <c r="Y35" s="28">
        <v>518</v>
      </c>
      <c r="Z35" s="180">
        <v>2438702.56</v>
      </c>
      <c r="AA35" s="180">
        <f t="shared" si="5"/>
        <v>6847964.5600000005</v>
      </c>
      <c r="AB35" s="100">
        <f t="shared" si="6"/>
        <v>471.55795069549652</v>
      </c>
      <c r="AC35" s="220">
        <v>365.37988000002576</v>
      </c>
      <c r="AD35" s="2">
        <v>126.68060000000293</v>
      </c>
      <c r="AE35" s="2">
        <v>50.59168000000161</v>
      </c>
      <c r="AF35" s="2">
        <v>24</v>
      </c>
      <c r="AG35" s="2">
        <f t="shared" si="7"/>
        <v>566.65216000003034</v>
      </c>
      <c r="AH35" s="181">
        <v>8690432.4505596794</v>
      </c>
      <c r="AI35" s="37">
        <f t="shared" si="8"/>
        <v>598.43220290315935</v>
      </c>
      <c r="AJ35" s="109">
        <v>59.020000000004075</v>
      </c>
      <c r="AK35" s="181">
        <v>708240.00000004889</v>
      </c>
      <c r="AL35" s="33">
        <f t="shared" si="9"/>
        <v>48.770141853742523</v>
      </c>
      <c r="AM35" s="6"/>
    </row>
    <row r="36" spans="1:39" ht="15">
      <c r="A36" s="30"/>
      <c r="B36" s="49">
        <v>25</v>
      </c>
      <c r="C36" s="176">
        <v>84</v>
      </c>
      <c r="D36" s="177">
        <v>462</v>
      </c>
      <c r="E36" s="184">
        <v>18039.999999999054</v>
      </c>
      <c r="F36" s="181">
        <v>18685471.19999902</v>
      </c>
      <c r="G36" s="181">
        <v>3840.0000000001455</v>
      </c>
      <c r="H36" s="181">
        <v>5966092.8000002261</v>
      </c>
      <c r="I36" s="185">
        <f t="shared" si="0"/>
        <v>25884142.199999209</v>
      </c>
      <c r="J36" s="184">
        <v>1880.0000000001091</v>
      </c>
      <c r="K36" s="181">
        <v>1947266.4000001131</v>
      </c>
      <c r="L36" s="186">
        <v>539.99999999996362</v>
      </c>
      <c r="M36" s="186">
        <v>838981.79999994347</v>
      </c>
      <c r="N36" s="185">
        <f t="shared" si="1"/>
        <v>2925560.6100000595</v>
      </c>
      <c r="O36" s="182">
        <f t="shared" si="2"/>
        <v>28809702.809999269</v>
      </c>
      <c r="P36" s="183">
        <f t="shared" si="3"/>
        <v>24299.999999999272</v>
      </c>
      <c r="Q36" s="140"/>
      <c r="R36" s="152"/>
      <c r="S36" s="160"/>
      <c r="T36" s="159"/>
      <c r="U36" s="158">
        <v>0</v>
      </c>
      <c r="V36" s="138">
        <f t="shared" si="4"/>
        <v>638</v>
      </c>
      <c r="W36" s="2">
        <v>247</v>
      </c>
      <c r="X36" s="181">
        <v>4654221</v>
      </c>
      <c r="Y36" s="28">
        <v>391</v>
      </c>
      <c r="Z36" s="180">
        <v>1840796.72</v>
      </c>
      <c r="AA36" s="180">
        <f t="shared" si="5"/>
        <v>6495017.7199999997</v>
      </c>
      <c r="AB36" s="100">
        <f t="shared" si="6"/>
        <v>447.25366478446495</v>
      </c>
      <c r="AC36" s="220">
        <v>540.39647999995543</v>
      </c>
      <c r="AD36" s="2">
        <v>119.02739999999842</v>
      </c>
      <c r="AE36" s="2">
        <v>54.176599999999262</v>
      </c>
      <c r="AF36" s="2">
        <v>36</v>
      </c>
      <c r="AG36" s="2">
        <f t="shared" si="7"/>
        <v>749.60047999995311</v>
      </c>
      <c r="AH36" s="181">
        <v>11561369.971602464</v>
      </c>
      <c r="AI36" s="37">
        <f t="shared" si="8"/>
        <v>796.12794185390885</v>
      </c>
      <c r="AJ36" s="109">
        <v>61.829999999987194</v>
      </c>
      <c r="AK36" s="181">
        <v>741959.99999984633</v>
      </c>
      <c r="AL36" s="33">
        <f t="shared" si="9"/>
        <v>51.092136069401342</v>
      </c>
      <c r="AM36" s="6"/>
    </row>
    <row r="37" spans="1:39" ht="15">
      <c r="A37" s="30"/>
      <c r="B37" s="49">
        <v>26</v>
      </c>
      <c r="C37" s="176">
        <v>77</v>
      </c>
      <c r="D37" s="177">
        <v>473</v>
      </c>
      <c r="E37" s="184">
        <v>16600.000000000364</v>
      </c>
      <c r="F37" s="181">
        <v>17193948.000000376</v>
      </c>
      <c r="G37" s="181">
        <v>3920.0000000000728</v>
      </c>
      <c r="H37" s="181">
        <v>6090386.4000001131</v>
      </c>
      <c r="I37" s="185">
        <f t="shared" si="0"/>
        <v>24448551.120000515</v>
      </c>
      <c r="J37" s="184">
        <v>1500</v>
      </c>
      <c r="K37" s="181">
        <v>1553670</v>
      </c>
      <c r="L37" s="186">
        <v>439.99999999999773</v>
      </c>
      <c r="M37" s="186">
        <v>683614.79999999655</v>
      </c>
      <c r="N37" s="185">
        <f t="shared" si="1"/>
        <v>2349149.0399999963</v>
      </c>
      <c r="O37" s="182">
        <f t="shared" si="2"/>
        <v>26797700.160000511</v>
      </c>
      <c r="P37" s="183">
        <f t="shared" si="3"/>
        <v>22460.000000000433</v>
      </c>
      <c r="Q37" s="140"/>
      <c r="R37" s="152"/>
      <c r="S37" s="160"/>
      <c r="T37" s="159"/>
      <c r="U37" s="158">
        <v>0</v>
      </c>
      <c r="V37" s="138">
        <f t="shared" si="4"/>
        <v>547</v>
      </c>
      <c r="W37" s="2">
        <v>235</v>
      </c>
      <c r="X37" s="181">
        <v>4428105</v>
      </c>
      <c r="Y37" s="28">
        <v>312</v>
      </c>
      <c r="Z37" s="180">
        <v>1468871.04</v>
      </c>
      <c r="AA37" s="180">
        <f t="shared" si="5"/>
        <v>5896976.04</v>
      </c>
      <c r="AB37" s="100">
        <f t="shared" si="6"/>
        <v>406.07189367855665</v>
      </c>
      <c r="AC37" s="220">
        <v>418.18696000002808</v>
      </c>
      <c r="AD37" s="2">
        <v>131.31279999999825</v>
      </c>
      <c r="AE37" s="2">
        <v>59.694959999998822</v>
      </c>
      <c r="AF37" s="2">
        <v>0</v>
      </c>
      <c r="AG37" s="2">
        <f t="shared" si="7"/>
        <v>609.19472000002509</v>
      </c>
      <c r="AH37" s="181">
        <v>9163210.1903667934</v>
      </c>
      <c r="AI37" s="37">
        <f t="shared" si="8"/>
        <v>630.98816901024611</v>
      </c>
      <c r="AJ37" s="109">
        <v>54.470000000001164</v>
      </c>
      <c r="AK37" s="181">
        <v>653640.00000001397</v>
      </c>
      <c r="AL37" s="33">
        <f t="shared" si="9"/>
        <v>45.01032915576463</v>
      </c>
      <c r="AM37" s="6"/>
    </row>
    <row r="38" spans="1:39" ht="15">
      <c r="A38" s="30"/>
      <c r="B38" s="49">
        <v>27</v>
      </c>
      <c r="C38" s="176">
        <v>86</v>
      </c>
      <c r="D38" s="177">
        <v>492</v>
      </c>
      <c r="E38" s="184">
        <v>16040.000000000873</v>
      </c>
      <c r="F38" s="181">
        <v>16613911.200000905</v>
      </c>
      <c r="G38" s="181">
        <v>4279.9999999997453</v>
      </c>
      <c r="H38" s="181">
        <v>6649707.5999996047</v>
      </c>
      <c r="I38" s="185">
        <f t="shared" si="0"/>
        <v>24426799.740000539</v>
      </c>
      <c r="J38" s="184">
        <v>1440.0000000000546</v>
      </c>
      <c r="K38" s="181">
        <v>1491523.2000000565</v>
      </c>
      <c r="L38" s="186">
        <v>440.00000000005457</v>
      </c>
      <c r="M38" s="186">
        <v>683614.8000000848</v>
      </c>
      <c r="N38" s="185">
        <f t="shared" si="1"/>
        <v>2283894.9000001489</v>
      </c>
      <c r="O38" s="182">
        <f t="shared" si="2"/>
        <v>26710694.640000686</v>
      </c>
      <c r="P38" s="183">
        <f t="shared" si="3"/>
        <v>22200.000000000728</v>
      </c>
      <c r="Q38" s="140"/>
      <c r="R38" s="152"/>
      <c r="S38" s="160"/>
      <c r="T38" s="159"/>
      <c r="U38" s="158">
        <v>0</v>
      </c>
      <c r="V38" s="138">
        <f t="shared" si="4"/>
        <v>680</v>
      </c>
      <c r="W38" s="2">
        <v>238</v>
      </c>
      <c r="X38" s="181">
        <v>4484634</v>
      </c>
      <c r="Y38" s="28">
        <v>442</v>
      </c>
      <c r="Z38" s="180">
        <v>2080900.6400000001</v>
      </c>
      <c r="AA38" s="180">
        <f t="shared" si="5"/>
        <v>6565534.6400000006</v>
      </c>
      <c r="AB38" s="100">
        <f t="shared" si="6"/>
        <v>452.10953312215952</v>
      </c>
      <c r="AC38" s="220">
        <v>381.16964000001872</v>
      </c>
      <c r="AD38" s="2">
        <v>254.29656800000242</v>
      </c>
      <c r="AE38" s="2">
        <v>51.679239999999702</v>
      </c>
      <c r="AF38" s="2">
        <v>0</v>
      </c>
      <c r="AG38" s="2">
        <f t="shared" si="7"/>
        <v>687.14544800002091</v>
      </c>
      <c r="AH38" s="181">
        <v>10445020.871877931</v>
      </c>
      <c r="AI38" s="37">
        <f t="shared" si="8"/>
        <v>719.25498360266704</v>
      </c>
      <c r="AJ38" s="109">
        <v>41.80000000000291</v>
      </c>
      <c r="AK38" s="181">
        <v>501600.00000003492</v>
      </c>
      <c r="AL38" s="33">
        <f t="shared" si="9"/>
        <v>34.540696873711262</v>
      </c>
      <c r="AM38" s="6"/>
    </row>
    <row r="39" spans="1:39" ht="15">
      <c r="A39" s="30"/>
      <c r="B39" s="49">
        <v>28</v>
      </c>
      <c r="C39" s="176">
        <v>76</v>
      </c>
      <c r="D39" s="177">
        <v>517</v>
      </c>
      <c r="E39" s="184">
        <v>15279.999999998836</v>
      </c>
      <c r="F39" s="181">
        <v>15826718.399998793</v>
      </c>
      <c r="G39" s="181">
        <v>3599.9999999999091</v>
      </c>
      <c r="H39" s="181">
        <v>5593211.9999998594</v>
      </c>
      <c r="I39" s="185">
        <f t="shared" si="0"/>
        <v>22490926.919998586</v>
      </c>
      <c r="J39" s="184">
        <v>1399.9999999998636</v>
      </c>
      <c r="K39" s="181">
        <v>1450091.9999998587</v>
      </c>
      <c r="L39" s="186">
        <v>399.99999999997726</v>
      </c>
      <c r="M39" s="186">
        <v>621467.99999996473</v>
      </c>
      <c r="N39" s="185">
        <f t="shared" si="1"/>
        <v>2175137.9999998147</v>
      </c>
      <c r="O39" s="182">
        <f t="shared" si="2"/>
        <v>24666064.9199984</v>
      </c>
      <c r="P39" s="183">
        <f t="shared" si="3"/>
        <v>20679.999999998588</v>
      </c>
      <c r="Q39" s="140"/>
      <c r="R39" s="155"/>
      <c r="S39" s="160"/>
      <c r="T39" s="159"/>
      <c r="U39" s="158">
        <v>0</v>
      </c>
      <c r="V39" s="138">
        <f t="shared" si="4"/>
        <v>688</v>
      </c>
      <c r="W39" s="2">
        <v>250</v>
      </c>
      <c r="X39" s="181">
        <v>4710750</v>
      </c>
      <c r="Y39" s="28">
        <v>438</v>
      </c>
      <c r="Z39" s="180">
        <v>2062068.96</v>
      </c>
      <c r="AA39" s="180">
        <f t="shared" si="5"/>
        <v>6772818.96</v>
      </c>
      <c r="AB39" s="100">
        <f t="shared" si="6"/>
        <v>466.38334664646743</v>
      </c>
      <c r="AC39" s="220">
        <v>388.58115999994601</v>
      </c>
      <c r="AD39" s="2">
        <v>121.78255199999968</v>
      </c>
      <c r="AE39" s="2">
        <v>54.700239999999702</v>
      </c>
      <c r="AF39" s="2">
        <v>12</v>
      </c>
      <c r="AG39" s="2">
        <f t="shared" si="7"/>
        <v>577.0639519999454</v>
      </c>
      <c r="AH39" s="181">
        <v>8736121.7213935368</v>
      </c>
      <c r="AI39" s="37">
        <f t="shared" si="8"/>
        <v>601.57841353763513</v>
      </c>
      <c r="AJ39" s="109">
        <v>49.979999999995925</v>
      </c>
      <c r="AK39" s="181">
        <v>599759.99999995111</v>
      </c>
      <c r="AL39" s="33">
        <f t="shared" si="9"/>
        <v>41.300096405450425</v>
      </c>
      <c r="AM39" s="6"/>
    </row>
    <row r="40" spans="1:39" ht="15">
      <c r="A40" s="30"/>
      <c r="B40" s="49">
        <v>29</v>
      </c>
      <c r="C40" s="176">
        <v>58</v>
      </c>
      <c r="D40" s="177">
        <v>463</v>
      </c>
      <c r="E40" s="184">
        <v>16480.000000001382</v>
      </c>
      <c r="F40" s="181">
        <v>17069654.400001433</v>
      </c>
      <c r="G40" s="181">
        <v>3960.0000000000364</v>
      </c>
      <c r="H40" s="181">
        <v>6152533.200000057</v>
      </c>
      <c r="I40" s="185">
        <f t="shared" si="0"/>
        <v>24383296.980001569</v>
      </c>
      <c r="J40" s="184">
        <v>1600.0000000001364</v>
      </c>
      <c r="K40" s="181">
        <v>1657248.0000001413</v>
      </c>
      <c r="L40" s="186">
        <v>519.99999999998181</v>
      </c>
      <c r="M40" s="186">
        <v>807908.39999997173</v>
      </c>
      <c r="N40" s="185">
        <f t="shared" si="1"/>
        <v>2588414.2200001189</v>
      </c>
      <c r="O40" s="182">
        <f t="shared" si="2"/>
        <v>26971711.200001687</v>
      </c>
      <c r="P40" s="183">
        <f t="shared" si="3"/>
        <v>22560.000000001539</v>
      </c>
      <c r="Q40" s="141"/>
      <c r="R40" s="156"/>
      <c r="S40" s="160"/>
      <c r="T40" s="159"/>
      <c r="U40" s="158">
        <v>0</v>
      </c>
      <c r="V40" s="138">
        <f t="shared" si="4"/>
        <v>518</v>
      </c>
      <c r="W40" s="2">
        <v>242</v>
      </c>
      <c r="X40" s="181">
        <v>4560006</v>
      </c>
      <c r="Y40" s="28">
        <v>276</v>
      </c>
      <c r="Z40" s="180">
        <v>1299385.92</v>
      </c>
      <c r="AA40" s="180">
        <f t="shared" si="5"/>
        <v>5859391.9199999999</v>
      </c>
      <c r="AB40" s="100">
        <f t="shared" si="6"/>
        <v>403.48381214708718</v>
      </c>
      <c r="AC40" s="220">
        <v>319.46068000004919</v>
      </c>
      <c r="AD40" s="2">
        <v>75.444440000000526</v>
      </c>
      <c r="AE40" s="2">
        <v>72.987359999999555</v>
      </c>
      <c r="AF40" s="2">
        <v>24</v>
      </c>
      <c r="AG40" s="2">
        <f t="shared" si="7"/>
        <v>491.89248000004926</v>
      </c>
      <c r="AH40" s="181">
        <v>7699155.0396319721</v>
      </c>
      <c r="AI40" s="37">
        <f t="shared" si="8"/>
        <v>530.17181101996778</v>
      </c>
      <c r="AJ40" s="109">
        <v>31.100000000005821</v>
      </c>
      <c r="AK40" s="181">
        <v>373200.00000006985</v>
      </c>
      <c r="AL40" s="33">
        <f t="shared" si="9"/>
        <v>25.698939540013072</v>
      </c>
      <c r="AM40" s="6"/>
    </row>
    <row r="41" spans="1:39" ht="17.25" customHeight="1">
      <c r="A41" s="30"/>
      <c r="B41" s="49">
        <v>30</v>
      </c>
      <c r="C41" s="176">
        <v>59</v>
      </c>
      <c r="D41" s="177">
        <v>335</v>
      </c>
      <c r="E41" s="184">
        <v>15599.999999998545</v>
      </c>
      <c r="F41" s="181">
        <v>16158167.999998493</v>
      </c>
      <c r="G41" s="181">
        <v>3559.9999999999454</v>
      </c>
      <c r="H41" s="181">
        <v>5531065.1999999154</v>
      </c>
      <c r="I41" s="185">
        <f t="shared" si="0"/>
        <v>22773694.85999833</v>
      </c>
      <c r="J41" s="184">
        <v>1379.9999999998818</v>
      </c>
      <c r="K41" s="181">
        <v>1429376.3999998774</v>
      </c>
      <c r="L41" s="186">
        <v>439.99999999999773</v>
      </c>
      <c r="M41" s="186">
        <v>683614.79999999655</v>
      </c>
      <c r="N41" s="185">
        <f t="shared" si="1"/>
        <v>2218640.759999868</v>
      </c>
      <c r="O41" s="182">
        <f t="shared" si="2"/>
        <v>24992335.619998198</v>
      </c>
      <c r="P41" s="183">
        <f t="shared" si="3"/>
        <v>20979.999999998367</v>
      </c>
      <c r="Q41" s="140"/>
      <c r="R41" s="157"/>
      <c r="S41" s="160"/>
      <c r="T41" s="159"/>
      <c r="U41" s="158">
        <v>0</v>
      </c>
      <c r="V41" s="138">
        <f t="shared" si="4"/>
        <v>755</v>
      </c>
      <c r="W41" s="2">
        <v>238</v>
      </c>
      <c r="X41" s="181">
        <v>4484634</v>
      </c>
      <c r="Y41" s="28">
        <v>517</v>
      </c>
      <c r="Z41" s="180">
        <v>2433994.64</v>
      </c>
      <c r="AA41" s="180">
        <f t="shared" si="5"/>
        <v>6918628.6400000006</v>
      </c>
      <c r="AB41" s="100">
        <f t="shared" si="6"/>
        <v>476.4239526236056</v>
      </c>
      <c r="AC41" s="220">
        <v>441.75075999999291</v>
      </c>
      <c r="AD41" s="2">
        <v>101.14308000000004</v>
      </c>
      <c r="AE41" s="2">
        <v>54.055760000000291</v>
      </c>
      <c r="AF41" s="2">
        <v>0</v>
      </c>
      <c r="AG41" s="224">
        <f t="shared" si="7"/>
        <v>596.94959999999321</v>
      </c>
      <c r="AH41" s="181">
        <v>9100368.3110583015</v>
      </c>
      <c r="AI41" s="37">
        <f t="shared" si="8"/>
        <v>626.66081194451874</v>
      </c>
      <c r="AJ41" s="109">
        <v>41.790000000008149</v>
      </c>
      <c r="AK41" s="181">
        <v>501480.00000009779</v>
      </c>
      <c r="AL41" s="33">
        <f t="shared" si="9"/>
        <v>34.532433549104653</v>
      </c>
      <c r="AM41" s="6"/>
    </row>
    <row r="42" spans="1:39" ht="15">
      <c r="A42" s="30"/>
      <c r="B42" s="98">
        <v>31</v>
      </c>
      <c r="C42" s="204">
        <v>51</v>
      </c>
      <c r="D42" s="205">
        <v>246</v>
      </c>
      <c r="E42" s="187">
        <v>16079.999999999927</v>
      </c>
      <c r="F42" s="188">
        <v>16655342.399999924</v>
      </c>
      <c r="G42" s="188">
        <v>4160.0000000003092</v>
      </c>
      <c r="H42" s="188">
        <v>6463267.2000004807</v>
      </c>
      <c r="I42" s="206">
        <f t="shared" si="0"/>
        <v>24274540.080000427</v>
      </c>
      <c r="J42" s="187">
        <v>1380.0000000001091</v>
      </c>
      <c r="K42" s="188">
        <v>1429376.4000001131</v>
      </c>
      <c r="L42" s="189">
        <v>480.00000000001819</v>
      </c>
      <c r="M42" s="189">
        <v>745761.60000002827</v>
      </c>
      <c r="N42" s="206">
        <f t="shared" si="1"/>
        <v>2283894.9000001489</v>
      </c>
      <c r="O42" s="207">
        <f t="shared" si="2"/>
        <v>26558434.980000574</v>
      </c>
      <c r="P42" s="208">
        <f t="shared" si="3"/>
        <v>22100.000000000364</v>
      </c>
      <c r="Q42" s="168"/>
      <c r="R42" s="169"/>
      <c r="S42" s="161"/>
      <c r="T42" s="161"/>
      <c r="U42" s="170"/>
      <c r="V42" s="209">
        <f t="shared" si="4"/>
        <v>604</v>
      </c>
      <c r="W42" s="84">
        <v>147</v>
      </c>
      <c r="X42" s="188">
        <v>2769921</v>
      </c>
      <c r="Y42" s="171">
        <v>457</v>
      </c>
      <c r="Z42" s="210">
        <v>2151519.44</v>
      </c>
      <c r="AA42" s="210">
        <f t="shared" si="5"/>
        <v>4921440.4399999995</v>
      </c>
      <c r="AB42" s="211">
        <f t="shared" si="6"/>
        <v>338.89549924252856</v>
      </c>
      <c r="AC42" s="203">
        <v>314.62708000000231</v>
      </c>
      <c r="AD42" s="84">
        <v>898.68707999999833</v>
      </c>
      <c r="AE42" s="84">
        <v>56.99620000000219</v>
      </c>
      <c r="AF42" s="84">
        <v>0</v>
      </c>
      <c r="AG42" s="223">
        <f t="shared" si="7"/>
        <v>1270.3103600000027</v>
      </c>
      <c r="AH42" s="188">
        <v>7211692.561007251</v>
      </c>
      <c r="AI42" s="212">
        <f t="shared" si="8"/>
        <v>496.60463854890861</v>
      </c>
      <c r="AJ42" s="172">
        <v>50.679999999993015</v>
      </c>
      <c r="AK42" s="188">
        <v>608159.99999991618</v>
      </c>
      <c r="AL42" s="33">
        <f t="shared" si="9"/>
        <v>41.878529128213479</v>
      </c>
      <c r="AM42" s="6"/>
    </row>
    <row r="43" spans="1:39" s="7" customFormat="1" ht="13.5" customHeight="1">
      <c r="B43" s="93"/>
      <c r="C43" s="94"/>
      <c r="D43" s="94"/>
      <c r="E43" s="190"/>
      <c r="F43" s="191"/>
      <c r="G43" s="192"/>
      <c r="H43" s="191"/>
      <c r="I43" s="192"/>
      <c r="J43" s="192"/>
      <c r="K43" s="192"/>
      <c r="L43" s="191"/>
      <c r="M43" s="193"/>
      <c r="N43" s="193"/>
      <c r="P43" s="57"/>
      <c r="R43" s="76"/>
      <c r="S43" s="6"/>
      <c r="U43" s="29"/>
      <c r="V43" s="101"/>
      <c r="AB43" s="29"/>
      <c r="AD43" s="6"/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1"/>
      <c r="AB44" s="102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39"/>
      <c r="V45" s="103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0"/>
      <c r="AK45" s="70"/>
      <c r="AL45" s="71"/>
    </row>
    <row r="46" spans="1:39">
      <c r="A46" s="22"/>
      <c r="B46" s="60"/>
      <c r="C46" s="61">
        <f>SUM(C12:C42)</f>
        <v>2688</v>
      </c>
      <c r="D46" s="61">
        <f t="shared" ref="C46:O46" si="10">SUM(D12:D42)</f>
        <v>16965</v>
      </c>
      <c r="E46" s="194">
        <f t="shared" si="10"/>
        <v>521399.99999999959</v>
      </c>
      <c r="F46" s="194">
        <f t="shared" si="10"/>
        <v>540055691.99999964</v>
      </c>
      <c r="G46" s="194">
        <f t="shared" si="10"/>
        <v>127200.00000000028</v>
      </c>
      <c r="H46" s="194">
        <f t="shared" si="10"/>
        <v>197626824.00000045</v>
      </c>
      <c r="I46" s="194">
        <f>SUM(I12:I42)</f>
        <v>774566641.79999995</v>
      </c>
      <c r="J46" s="194">
        <f t="shared" si="10"/>
        <v>49040.000000000196</v>
      </c>
      <c r="K46" s="194">
        <f t="shared" si="10"/>
        <v>50794651.200000197</v>
      </c>
      <c r="L46" s="194">
        <f t="shared" si="10"/>
        <v>14600.000000000027</v>
      </c>
      <c r="M46" s="194">
        <f t="shared" si="10"/>
        <v>22683582.000000045</v>
      </c>
      <c r="N46" s="194">
        <f t="shared" si="10"/>
        <v>77152144.860000283</v>
      </c>
      <c r="O46" s="194">
        <f t="shared" si="10"/>
        <v>851718786.66000032</v>
      </c>
      <c r="P46" s="195">
        <f>SUM(P12:P42)</f>
        <v>712240</v>
      </c>
      <c r="Q46" s="196"/>
      <c r="R46" s="197"/>
      <c r="S46" s="198"/>
      <c r="T46" s="198"/>
      <c r="U46" s="199"/>
      <c r="V46" s="200">
        <f t="shared" ref="V46:AB46" si="11">SUM(V12:V42)</f>
        <v>20423</v>
      </c>
      <c r="W46" s="201">
        <f t="shared" si="11"/>
        <v>7173</v>
      </c>
      <c r="X46" s="201">
        <f>SUM(X12:X42)</f>
        <v>135160839</v>
      </c>
      <c r="Y46" s="201">
        <f>SUM(Y12:Y42)</f>
        <v>13250</v>
      </c>
      <c r="Z46" s="201">
        <f t="shared" si="11"/>
        <v>62379939.999999993</v>
      </c>
      <c r="AA46" s="202">
        <f t="shared" si="11"/>
        <v>197540779</v>
      </c>
      <c r="AB46" s="201">
        <f t="shared" si="11"/>
        <v>13602.863173116648</v>
      </c>
      <c r="AC46" s="214">
        <f>SUM(AC12:AC41)</f>
        <v>8056.0805600000167</v>
      </c>
      <c r="AD46" s="215">
        <f>SUM(AD12:AD41)</f>
        <v>4245.5566399999998</v>
      </c>
      <c r="AE46" s="214">
        <f>SUM(AE12:AE42)</f>
        <v>1824.3617600000005</v>
      </c>
      <c r="AF46" s="214">
        <f>SUM(AF12:AF42)</f>
        <v>504</v>
      </c>
      <c r="AG46" s="226">
        <f>SUM(AG12:AG42)</f>
        <v>15843.313120000017</v>
      </c>
      <c r="AH46" s="216">
        <f>SUM(AH12:AH42)</f>
        <v>229187638.0871979</v>
      </c>
      <c r="AI46" s="217">
        <f>AH46/$AL$47</f>
        <v>19098.969840599821</v>
      </c>
      <c r="AJ46" s="227">
        <f>SUM(AJ12:AJ42)</f>
        <v>6289.3000000000029</v>
      </c>
      <c r="AK46" s="218">
        <f>SUM(AK12:AK42)</f>
        <v>75471600.000000045</v>
      </c>
      <c r="AL46" s="219">
        <f>AK46/AL47</f>
        <v>6289.3000000000029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2" t="e">
        <f>U46/S46</f>
        <v>#DIV/0!</v>
      </c>
      <c r="V47" s="142" t="s">
        <v>54</v>
      </c>
      <c r="W47" s="10"/>
      <c r="X47" s="10"/>
      <c r="Y47" s="106"/>
      <c r="Z47" s="10"/>
      <c r="AA47" s="10"/>
      <c r="AB47" s="10"/>
      <c r="AC47" s="14"/>
      <c r="AD47" s="6"/>
      <c r="AE47" s="14"/>
      <c r="AF47" s="14"/>
      <c r="AG47" s="6"/>
      <c r="AH47" s="164"/>
      <c r="AI47" s="10"/>
      <c r="AJ47" s="78"/>
      <c r="AK47" s="10"/>
      <c r="AL47" s="111">
        <f>AK46/AJ46</f>
        <v>12000.000000000002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1195.8311617713134</v>
      </c>
      <c r="Q48" s="9"/>
      <c r="R48" s="91"/>
      <c r="S48" s="13"/>
      <c r="T48" s="165"/>
      <c r="U48" s="112"/>
      <c r="V48" s="142"/>
      <c r="W48" s="163"/>
      <c r="X48" s="163"/>
      <c r="Y48" s="106"/>
      <c r="Z48" s="163"/>
      <c r="AA48" s="225">
        <f>AA46/V46</f>
        <v>9672.466288008618</v>
      </c>
      <c r="AB48" s="10"/>
      <c r="AC48" s="14"/>
      <c r="AD48" s="6"/>
      <c r="AE48" s="14"/>
      <c r="AF48" s="14"/>
      <c r="AG48" s="6"/>
      <c r="AH48" s="8">
        <f>AH46/AG46</f>
        <v>14465.8908368023</v>
      </c>
      <c r="AI48" s="10"/>
      <c r="AJ48" s="78"/>
      <c r="AK48" s="10"/>
      <c r="AL48" s="8">
        <f>AK46/AJ46</f>
        <v>12000.000000000002</v>
      </c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2"/>
      <c r="V49" s="142"/>
      <c r="W49" s="10"/>
      <c r="X49" s="10"/>
      <c r="Y49" s="106"/>
      <c r="Z49" s="163"/>
      <c r="AA49" s="10"/>
      <c r="AB49" s="10"/>
      <c r="AC49" s="14"/>
      <c r="AD49" s="6"/>
      <c r="AE49" s="14"/>
      <c r="AF49" s="14"/>
      <c r="AG49" s="174"/>
      <c r="AH49" s="164"/>
      <c r="AI49" s="10"/>
      <c r="AJ49" s="78"/>
      <c r="AK49" s="10"/>
      <c r="AL49" s="111"/>
      <c r="AM49" s="22"/>
    </row>
    <row r="50" spans="1:39" s="145" customFormat="1">
      <c r="A50" s="143"/>
      <c r="B50" s="143"/>
      <c r="C50" s="144"/>
      <c r="E50" s="144"/>
      <c r="F50" s="144"/>
      <c r="H50" s="144"/>
      <c r="L50" s="144"/>
      <c r="M50" s="146"/>
      <c r="N50" s="147"/>
      <c r="P50" s="147"/>
      <c r="R50" s="148"/>
      <c r="T50" s="162"/>
      <c r="Y50" s="173"/>
      <c r="AD50" s="144"/>
      <c r="AG50" s="162"/>
      <c r="AH50" s="144"/>
      <c r="AJ50" s="148"/>
      <c r="AL50" s="149"/>
      <c r="AM50" s="143"/>
    </row>
    <row r="51" spans="1:39" s="145" customFormat="1">
      <c r="A51" s="143"/>
      <c r="B51" s="143"/>
      <c r="C51" s="144"/>
      <c r="E51" s="144"/>
      <c r="F51" s="144"/>
      <c r="H51" s="144"/>
      <c r="L51" s="144"/>
      <c r="M51" s="146"/>
      <c r="N51" s="147"/>
      <c r="P51" s="147"/>
      <c r="R51" s="148"/>
      <c r="S51" s="162"/>
      <c r="T51" s="162"/>
      <c r="Z51" s="162"/>
      <c r="AD51" s="144"/>
      <c r="AH51" s="144"/>
      <c r="AJ51" s="148"/>
      <c r="AL51" s="149"/>
      <c r="AM51" s="143"/>
    </row>
    <row r="52" spans="1:39" s="145" customFormat="1">
      <c r="A52" s="143"/>
      <c r="B52" s="143"/>
      <c r="C52" s="144"/>
      <c r="E52" s="144"/>
      <c r="F52" s="144"/>
      <c r="H52" s="144"/>
      <c r="L52" s="144"/>
      <c r="M52" s="146"/>
      <c r="N52" s="147"/>
      <c r="P52" s="147"/>
      <c r="R52" s="148"/>
      <c r="X52" s="162"/>
      <c r="AD52" s="144"/>
      <c r="AH52" s="144"/>
      <c r="AJ52" s="148"/>
      <c r="AL52" s="149"/>
      <c r="AM52" s="143"/>
    </row>
    <row r="53" spans="1:39" s="145" customFormat="1">
      <c r="A53" s="143"/>
      <c r="B53" s="143"/>
      <c r="C53" s="144"/>
      <c r="E53" s="144"/>
      <c r="F53" s="144"/>
      <c r="H53" s="144"/>
      <c r="L53" s="144"/>
      <c r="M53" s="146"/>
      <c r="N53" s="147"/>
      <c r="P53" s="147"/>
      <c r="R53" s="148"/>
      <c r="S53" s="162"/>
      <c r="AD53" s="144"/>
      <c r="AH53" s="144"/>
      <c r="AJ53" s="148"/>
      <c r="AL53" s="149"/>
      <c r="AM53" s="143"/>
    </row>
    <row r="54" spans="1:39" s="145" customFormat="1">
      <c r="A54" s="143"/>
      <c r="B54" s="143"/>
      <c r="C54" s="144"/>
      <c r="E54" s="144"/>
      <c r="F54" s="144"/>
      <c r="H54" s="144"/>
      <c r="L54" s="144"/>
      <c r="M54" s="146"/>
      <c r="N54" s="147"/>
      <c r="P54" s="147"/>
      <c r="R54" s="148"/>
      <c r="T54" s="162"/>
      <c r="AD54" s="144"/>
      <c r="AH54" s="144"/>
      <c r="AJ54" s="148"/>
      <c r="AL54" s="149"/>
      <c r="AM54" s="143"/>
    </row>
    <row r="55" spans="1:39" s="145" customFormat="1">
      <c r="A55" s="143"/>
      <c r="B55" s="143"/>
      <c r="C55" s="144"/>
      <c r="E55" s="144"/>
      <c r="F55" s="144"/>
      <c r="H55" s="144"/>
      <c r="L55" s="144"/>
      <c r="M55" s="146"/>
      <c r="N55" s="147"/>
      <c r="P55" s="147"/>
      <c r="R55" s="148"/>
      <c r="AD55" s="144"/>
      <c r="AH55" s="144"/>
      <c r="AJ55" s="148"/>
      <c r="AL55" s="149"/>
      <c r="AM55" s="143"/>
    </row>
    <row r="56" spans="1:39" s="145" customFormat="1">
      <c r="A56" s="143"/>
      <c r="B56" s="143"/>
      <c r="C56" s="144"/>
      <c r="E56" s="144"/>
      <c r="F56" s="144"/>
      <c r="H56" s="144"/>
      <c r="L56" s="144"/>
      <c r="M56" s="146"/>
      <c r="N56" s="147"/>
      <c r="P56" s="147"/>
      <c r="R56" s="148"/>
      <c r="AD56" s="144"/>
      <c r="AH56" s="144"/>
      <c r="AJ56" s="148"/>
      <c r="AL56" s="149"/>
      <c r="AM56" s="143"/>
    </row>
    <row r="57" spans="1:39" s="145" customFormat="1">
      <c r="A57" s="143"/>
      <c r="B57" s="143"/>
      <c r="C57" s="144"/>
      <c r="E57" s="144"/>
      <c r="F57" s="144"/>
      <c r="H57" s="144"/>
      <c r="L57" s="144"/>
      <c r="M57" s="146"/>
      <c r="N57" s="147"/>
      <c r="P57" s="147"/>
      <c r="R57" s="148"/>
      <c r="AD57" s="144"/>
      <c r="AH57" s="144"/>
      <c r="AJ57" s="148"/>
      <c r="AL57" s="149"/>
      <c r="AM57" s="143"/>
    </row>
    <row r="58" spans="1:39" s="145" customFormat="1">
      <c r="A58" s="143"/>
      <c r="B58" s="143"/>
      <c r="C58" s="144"/>
      <c r="E58" s="144"/>
      <c r="F58" s="144"/>
      <c r="H58" s="144"/>
      <c r="L58" s="144"/>
      <c r="M58" s="146"/>
      <c r="N58" s="147"/>
      <c r="P58" s="147"/>
      <c r="R58" s="148"/>
      <c r="AD58" s="144"/>
      <c r="AH58" s="144"/>
      <c r="AJ58" s="148"/>
      <c r="AL58" s="149"/>
      <c r="AM58" s="143"/>
    </row>
    <row r="59" spans="1:39" s="145" customFormat="1">
      <c r="A59" s="143"/>
      <c r="B59" s="143"/>
      <c r="C59" s="144"/>
      <c r="E59" s="144"/>
      <c r="F59" s="144"/>
      <c r="H59" s="144"/>
      <c r="L59" s="144"/>
      <c r="M59" s="146"/>
      <c r="N59" s="147"/>
      <c r="P59" s="147"/>
      <c r="R59" s="148"/>
      <c r="AD59" s="144"/>
      <c r="AH59" s="144"/>
      <c r="AJ59" s="148"/>
      <c r="AL59" s="149"/>
      <c r="AM59" s="143"/>
    </row>
    <row r="60" spans="1:39" s="145" customFormat="1">
      <c r="A60" s="143"/>
      <c r="B60" s="143"/>
      <c r="C60" s="144"/>
      <c r="E60" s="144"/>
      <c r="F60" s="144"/>
      <c r="H60" s="144"/>
      <c r="L60" s="144"/>
      <c r="M60" s="146"/>
      <c r="N60" s="147"/>
      <c r="P60" s="147"/>
      <c r="R60" s="148"/>
      <c r="AD60" s="144"/>
      <c r="AH60" s="144"/>
      <c r="AJ60" s="148"/>
      <c r="AL60" s="149"/>
      <c r="AM60" s="143"/>
    </row>
    <row r="61" spans="1:39" s="145" customFormat="1">
      <c r="A61" s="143"/>
      <c r="B61" s="143"/>
      <c r="C61" s="144"/>
      <c r="E61" s="144"/>
      <c r="F61" s="144"/>
      <c r="H61" s="144"/>
      <c r="L61" s="144"/>
      <c r="M61" s="146"/>
      <c r="N61" s="147"/>
      <c r="P61" s="147"/>
      <c r="R61" s="148"/>
      <c r="AD61" s="144"/>
      <c r="AH61" s="144"/>
      <c r="AJ61" s="148"/>
      <c r="AL61" s="149"/>
      <c r="AM61" s="143"/>
    </row>
    <row r="62" spans="1:39" s="145" customFormat="1">
      <c r="A62" s="143"/>
      <c r="B62" s="143"/>
      <c r="C62" s="144"/>
      <c r="E62" s="144"/>
      <c r="F62" s="144"/>
      <c r="H62" s="144"/>
      <c r="I62" s="144"/>
      <c r="J62" s="144"/>
      <c r="L62" s="144"/>
      <c r="M62" s="146"/>
      <c r="N62" s="147"/>
      <c r="P62" s="147"/>
      <c r="R62" s="148"/>
      <c r="AD62" s="144"/>
      <c r="AH62" s="144"/>
      <c r="AJ62" s="148"/>
      <c r="AL62" s="149"/>
      <c r="AM62" s="143"/>
    </row>
    <row r="63" spans="1:39" s="145" customFormat="1">
      <c r="A63" s="143"/>
      <c r="B63" s="143"/>
      <c r="C63" s="144"/>
      <c r="E63" s="144"/>
      <c r="F63" s="144"/>
      <c r="H63" s="144"/>
      <c r="L63" s="144"/>
      <c r="M63" s="146"/>
      <c r="N63" s="147"/>
      <c r="P63" s="147"/>
      <c r="R63" s="148"/>
      <c r="AD63" s="144"/>
      <c r="AH63" s="144"/>
      <c r="AJ63" s="148"/>
      <c r="AL63" s="149"/>
      <c r="AM63" s="143"/>
    </row>
    <row r="64" spans="1:39" s="145" customFormat="1">
      <c r="A64" s="143"/>
      <c r="B64" s="143"/>
      <c r="C64" s="144"/>
      <c r="E64" s="144"/>
      <c r="F64" s="144"/>
      <c r="H64" s="144"/>
      <c r="L64" s="144"/>
      <c r="M64" s="146"/>
      <c r="N64" s="147"/>
      <c r="P64" s="147"/>
      <c r="R64" s="148"/>
      <c r="AD64" s="144"/>
      <c r="AH64" s="144"/>
      <c r="AJ64" s="148"/>
      <c r="AL64" s="149"/>
      <c r="AM64" s="143"/>
    </row>
    <row r="65" spans="1:39" s="145" customFormat="1">
      <c r="A65" s="143"/>
      <c r="B65" s="143"/>
      <c r="C65" s="144"/>
      <c r="E65" s="144"/>
      <c r="F65" s="144"/>
      <c r="H65" s="144"/>
      <c r="L65" s="144"/>
      <c r="M65" s="146"/>
      <c r="N65" s="147"/>
      <c r="P65" s="147"/>
      <c r="R65" s="148"/>
      <c r="AD65" s="144"/>
      <c r="AH65" s="144"/>
      <c r="AJ65" s="148"/>
      <c r="AL65" s="149"/>
      <c r="AM65" s="143"/>
    </row>
    <row r="66" spans="1:39" s="145" customFormat="1">
      <c r="A66" s="143"/>
      <c r="B66" s="143"/>
      <c r="C66" s="144"/>
      <c r="E66" s="144"/>
      <c r="F66" s="144"/>
      <c r="H66" s="144"/>
      <c r="L66" s="144"/>
      <c r="M66" s="146"/>
      <c r="N66" s="147"/>
      <c r="P66" s="147"/>
      <c r="R66" s="148"/>
      <c r="AD66" s="144"/>
      <c r="AH66" s="144"/>
      <c r="AJ66" s="148"/>
      <c r="AL66" s="149"/>
      <c r="AM66" s="143"/>
    </row>
    <row r="67" spans="1:39" s="145" customFormat="1">
      <c r="A67" s="143"/>
      <c r="B67" s="143"/>
      <c r="C67" s="144"/>
      <c r="E67" s="144"/>
      <c r="F67" s="144"/>
      <c r="H67" s="144"/>
      <c r="L67" s="144"/>
      <c r="M67" s="146"/>
      <c r="N67" s="147"/>
      <c r="P67" s="147"/>
      <c r="R67" s="148"/>
      <c r="AD67" s="144"/>
      <c r="AH67" s="144"/>
      <c r="AJ67" s="148"/>
      <c r="AL67" s="149"/>
      <c r="AM67" s="143"/>
    </row>
    <row r="68" spans="1:39" s="145" customFormat="1">
      <c r="A68" s="143"/>
      <c r="B68" s="143"/>
      <c r="C68" s="144"/>
      <c r="E68" s="144"/>
      <c r="F68" s="144"/>
      <c r="H68" s="144"/>
      <c r="L68" s="144"/>
      <c r="M68" s="146"/>
      <c r="N68" s="147"/>
      <c r="P68" s="147"/>
      <c r="R68" s="148"/>
      <c r="AD68" s="144"/>
      <c r="AH68" s="144"/>
      <c r="AJ68" s="148"/>
      <c r="AL68" s="149"/>
      <c r="AM68" s="143"/>
    </row>
    <row r="69" spans="1:39" s="145" customFormat="1">
      <c r="A69" s="143"/>
      <c r="B69" s="143"/>
      <c r="C69" s="144"/>
      <c r="E69" s="144"/>
      <c r="F69" s="144"/>
      <c r="H69" s="144"/>
      <c r="L69" s="144"/>
      <c r="M69" s="146"/>
      <c r="N69" s="147"/>
      <c r="P69" s="147"/>
      <c r="R69" s="148"/>
      <c r="AD69" s="144"/>
      <c r="AH69" s="144"/>
      <c r="AJ69" s="148"/>
      <c r="AL69" s="149"/>
      <c r="AM69" s="143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7">
        <v>44927</v>
      </c>
      <c r="B2" s="268"/>
      <c r="C2" s="268"/>
    </row>
    <row r="3" spans="1:3">
      <c r="A3" s="270" t="s">
        <v>18</v>
      </c>
      <c r="B3" s="269" t="s">
        <v>19</v>
      </c>
      <c r="C3" s="269" t="s">
        <v>13</v>
      </c>
    </row>
    <row r="4" spans="1:3">
      <c r="A4" s="270"/>
      <c r="B4" s="269"/>
      <c r="C4" s="269"/>
    </row>
    <row r="5" spans="1:3">
      <c r="A5" s="270"/>
      <c r="B5" s="269"/>
      <c r="C5" s="269"/>
    </row>
    <row r="6" spans="1:3">
      <c r="A6" s="1">
        <v>1</v>
      </c>
      <c r="B6" s="1">
        <v>145</v>
      </c>
      <c r="C6" s="178">
        <v>881</v>
      </c>
    </row>
    <row r="7" spans="1:3">
      <c r="A7" s="1">
        <v>2</v>
      </c>
      <c r="B7" s="1">
        <v>132</v>
      </c>
      <c r="C7" s="178">
        <v>872</v>
      </c>
    </row>
    <row r="8" spans="1:3">
      <c r="A8" s="1">
        <f>A7+1</f>
        <v>3</v>
      </c>
      <c r="B8" s="1">
        <v>126</v>
      </c>
      <c r="C8" s="178">
        <v>803</v>
      </c>
    </row>
    <row r="9" spans="1:3">
      <c r="A9" s="1">
        <f>A8+1</f>
        <v>4</v>
      </c>
      <c r="B9" s="1">
        <v>131</v>
      </c>
      <c r="C9" s="178">
        <v>819</v>
      </c>
    </row>
    <row r="10" spans="1:3">
      <c r="A10" s="1">
        <f t="shared" ref="A10:A36" si="0">A9+1</f>
        <v>5</v>
      </c>
      <c r="B10" s="1">
        <v>127</v>
      </c>
      <c r="C10" s="178">
        <v>835</v>
      </c>
    </row>
    <row r="11" spans="1:3">
      <c r="A11" s="1">
        <f t="shared" si="0"/>
        <v>6</v>
      </c>
      <c r="B11" s="1">
        <v>120</v>
      </c>
      <c r="C11" s="178">
        <v>730</v>
      </c>
    </row>
    <row r="12" spans="1:3">
      <c r="A12" s="1">
        <f t="shared" si="0"/>
        <v>7</v>
      </c>
      <c r="B12" s="1">
        <v>121</v>
      </c>
      <c r="C12" s="178">
        <v>765</v>
      </c>
    </row>
    <row r="13" spans="1:3">
      <c r="A13" s="1">
        <f t="shared" si="0"/>
        <v>8</v>
      </c>
      <c r="B13" s="1">
        <v>105</v>
      </c>
      <c r="C13" s="178">
        <v>672</v>
      </c>
    </row>
    <row r="14" spans="1:3">
      <c r="A14" s="1">
        <f t="shared" si="0"/>
        <v>9</v>
      </c>
      <c r="B14" s="1">
        <v>101</v>
      </c>
      <c r="C14" s="178">
        <v>670</v>
      </c>
    </row>
    <row r="15" spans="1:3">
      <c r="A15" s="1">
        <f t="shared" si="0"/>
        <v>10</v>
      </c>
      <c r="B15" s="1">
        <v>82</v>
      </c>
      <c r="C15" s="178">
        <v>523</v>
      </c>
    </row>
    <row r="16" spans="1:3">
      <c r="A16" s="1">
        <f t="shared" si="0"/>
        <v>11</v>
      </c>
      <c r="B16" s="1">
        <v>83</v>
      </c>
      <c r="C16" s="178">
        <v>520</v>
      </c>
    </row>
    <row r="17" spans="1:3">
      <c r="A17" s="1">
        <f t="shared" si="0"/>
        <v>12</v>
      </c>
      <c r="B17" s="1">
        <v>77</v>
      </c>
      <c r="C17" s="178">
        <v>519</v>
      </c>
    </row>
    <row r="18" spans="1:3">
      <c r="A18" s="1">
        <f t="shared" si="0"/>
        <v>13</v>
      </c>
      <c r="B18" s="1">
        <v>68</v>
      </c>
      <c r="C18" s="178">
        <v>465</v>
      </c>
    </row>
    <row r="19" spans="1:3">
      <c r="A19" s="1">
        <f t="shared" si="0"/>
        <v>14</v>
      </c>
      <c r="B19" s="1">
        <v>61</v>
      </c>
      <c r="C19" s="178">
        <v>410</v>
      </c>
    </row>
    <row r="20" spans="1:3">
      <c r="A20" s="1">
        <f t="shared" si="0"/>
        <v>15</v>
      </c>
      <c r="B20" s="1">
        <v>57</v>
      </c>
      <c r="C20" s="178">
        <v>385</v>
      </c>
    </row>
    <row r="21" spans="1:3">
      <c r="A21" s="1">
        <f t="shared" si="0"/>
        <v>16</v>
      </c>
      <c r="B21" s="1">
        <v>63</v>
      </c>
      <c r="C21" s="178">
        <v>345</v>
      </c>
    </row>
    <row r="22" spans="1:3">
      <c r="A22" s="1">
        <f t="shared" si="0"/>
        <v>17</v>
      </c>
      <c r="B22" s="1">
        <v>54</v>
      </c>
      <c r="C22" s="178">
        <v>420</v>
      </c>
    </row>
    <row r="23" spans="1:3">
      <c r="A23" s="1">
        <f t="shared" si="0"/>
        <v>18</v>
      </c>
      <c r="B23" s="1">
        <v>61</v>
      </c>
      <c r="C23" s="178">
        <v>357</v>
      </c>
    </row>
    <row r="24" spans="1:3">
      <c r="A24" s="1">
        <f t="shared" si="0"/>
        <v>19</v>
      </c>
      <c r="B24" s="1">
        <v>67</v>
      </c>
      <c r="C24" s="178">
        <v>388</v>
      </c>
    </row>
    <row r="25" spans="1:3">
      <c r="A25" s="1">
        <f t="shared" si="0"/>
        <v>20</v>
      </c>
      <c r="B25" s="1">
        <v>65</v>
      </c>
      <c r="C25" s="178">
        <v>416</v>
      </c>
    </row>
    <row r="26" spans="1:3">
      <c r="A26" s="1">
        <f t="shared" si="0"/>
        <v>21</v>
      </c>
      <c r="B26" s="1">
        <v>85</v>
      </c>
      <c r="C26" s="178">
        <v>546</v>
      </c>
    </row>
    <row r="27" spans="1:3">
      <c r="A27" s="1">
        <f t="shared" si="0"/>
        <v>22</v>
      </c>
      <c r="B27" s="1">
        <v>83</v>
      </c>
      <c r="C27" s="178">
        <v>598</v>
      </c>
    </row>
    <row r="28" spans="1:3">
      <c r="A28" s="1">
        <f t="shared" si="0"/>
        <v>23</v>
      </c>
      <c r="B28" s="1">
        <v>91</v>
      </c>
      <c r="C28" s="178">
        <v>521</v>
      </c>
    </row>
    <row r="29" spans="1:3">
      <c r="A29" s="1">
        <f t="shared" si="0"/>
        <v>24</v>
      </c>
      <c r="B29" s="1">
        <v>92</v>
      </c>
      <c r="C29" s="178">
        <v>517</v>
      </c>
    </row>
    <row r="30" spans="1:3">
      <c r="A30" s="1">
        <f t="shared" si="0"/>
        <v>25</v>
      </c>
      <c r="B30" s="1">
        <v>84</v>
      </c>
      <c r="C30" s="178">
        <v>462</v>
      </c>
    </row>
    <row r="31" spans="1:3">
      <c r="A31" s="1">
        <f t="shared" si="0"/>
        <v>26</v>
      </c>
      <c r="B31" s="1">
        <v>77</v>
      </c>
      <c r="C31" s="178">
        <v>473</v>
      </c>
    </row>
    <row r="32" spans="1:3">
      <c r="A32" s="1">
        <f t="shared" si="0"/>
        <v>27</v>
      </c>
      <c r="B32" s="1">
        <v>86</v>
      </c>
      <c r="C32" s="178">
        <v>492</v>
      </c>
    </row>
    <row r="33" spans="1:3">
      <c r="A33" s="1">
        <f t="shared" si="0"/>
        <v>28</v>
      </c>
      <c r="B33" s="1">
        <v>76</v>
      </c>
      <c r="C33" s="178">
        <v>517</v>
      </c>
    </row>
    <row r="34" spans="1:3">
      <c r="A34" s="1">
        <f t="shared" si="0"/>
        <v>29</v>
      </c>
      <c r="B34" s="1">
        <v>58</v>
      </c>
      <c r="C34" s="178">
        <v>463</v>
      </c>
    </row>
    <row r="35" spans="1:3">
      <c r="A35" s="1">
        <f t="shared" si="0"/>
        <v>30</v>
      </c>
      <c r="B35" s="1">
        <v>59</v>
      </c>
      <c r="C35" s="178">
        <v>335</v>
      </c>
    </row>
    <row r="36" spans="1:3">
      <c r="A36" s="1">
        <f t="shared" si="0"/>
        <v>31</v>
      </c>
      <c r="B36" s="1">
        <v>51</v>
      </c>
      <c r="C36" s="178">
        <v>246</v>
      </c>
    </row>
    <row r="37" spans="1:3">
      <c r="B37" s="5">
        <f>SUM(B6:B36)</f>
        <v>2688</v>
      </c>
      <c r="C37" s="5">
        <f>SUM(C6:C36)</f>
        <v>16965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008803CA-A831-4A74-820A-57C707E44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2023-02-07T09:27:08Z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